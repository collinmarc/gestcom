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18915" windowHeight="11835" tabRatio="434"/>
  </bookViews>
  <sheets>
    <sheet name="Feuil1" sheetId="1" r:id="rId1"/>
    <sheet name="data" sheetId="6" r:id="rId2"/>
    <sheet name="TABLEAU" sheetId="12" r:id="rId3"/>
    <sheet name="TCD" sheetId="9" r:id="rId4"/>
  </sheets>
  <definedNames>
    <definedName name="_xlnm._FilterDatabase" localSheetId="2" hidden="1">TABLEAU!$A$1:$N$2867</definedName>
    <definedName name="Lancer_la_requête_à_partir_de_vnc5" localSheetId="1" hidden="1">data!$A$1:$J$2867</definedName>
    <definedName name="Lancer_la_requête_à_partir_de_vnc5" localSheetId="2" hidden="1">TABLEAU!#REF!</definedName>
    <definedName name="Segment_FRN_NOM">#N/A</definedName>
    <definedName name="Segment_mois">#N/A</definedName>
  </definedNames>
  <calcPr calcId="145621"/>
  <pivotCaches>
    <pivotCache cacheId="5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N2869" i="12" l="1"/>
  <c r="M2869" i="12"/>
  <c r="L2869" i="12"/>
  <c r="K2869" i="12"/>
  <c r="J2869" i="12"/>
  <c r="I2869" i="12"/>
  <c r="H2869" i="12"/>
  <c r="G2869" i="12"/>
  <c r="A3" i="12"/>
  <c r="B3" i="12"/>
  <c r="C3" i="12"/>
  <c r="D3" i="12"/>
  <c r="E3" i="12"/>
  <c r="F3" i="12"/>
  <c r="G3" i="12"/>
  <c r="H3" i="12"/>
  <c r="J3" i="12"/>
  <c r="K3" i="12"/>
  <c r="L3" i="12"/>
  <c r="N3" i="12" s="1"/>
  <c r="A4" i="12"/>
  <c r="B4" i="12"/>
  <c r="C4" i="12"/>
  <c r="D4" i="12"/>
  <c r="E4" i="12"/>
  <c r="F4" i="12"/>
  <c r="G4" i="12"/>
  <c r="H4" i="12"/>
  <c r="I4" i="12"/>
  <c r="M4" i="12" s="1"/>
  <c r="J4" i="12"/>
  <c r="L4" i="12" s="1"/>
  <c r="K4" i="12"/>
  <c r="N4" i="12"/>
  <c r="A5" i="12"/>
  <c r="B5" i="12"/>
  <c r="C5" i="12"/>
  <c r="D5" i="12"/>
  <c r="E5" i="12"/>
  <c r="F5" i="12"/>
  <c r="G5" i="12"/>
  <c r="H5" i="12"/>
  <c r="J5" i="12"/>
  <c r="K5" i="12"/>
  <c r="L5" i="12"/>
  <c r="N5" i="12" s="1"/>
  <c r="A6" i="12"/>
  <c r="B6" i="12"/>
  <c r="C6" i="12"/>
  <c r="D6" i="12"/>
  <c r="E6" i="12"/>
  <c r="F6" i="12"/>
  <c r="G6" i="12"/>
  <c r="H6" i="12"/>
  <c r="I6" i="12"/>
  <c r="M6" i="12" s="1"/>
  <c r="J6" i="12"/>
  <c r="L6" i="12" s="1"/>
  <c r="K6" i="12"/>
  <c r="N6" i="12"/>
  <c r="A7" i="12"/>
  <c r="B7" i="12"/>
  <c r="C7" i="12"/>
  <c r="D7" i="12"/>
  <c r="E7" i="12"/>
  <c r="F7" i="12"/>
  <c r="G7" i="12"/>
  <c r="H7" i="12"/>
  <c r="J7" i="12"/>
  <c r="K7" i="12"/>
  <c r="L7" i="12"/>
  <c r="N7" i="12" s="1"/>
  <c r="A8" i="12"/>
  <c r="B8" i="12"/>
  <c r="C8" i="12"/>
  <c r="D8" i="12"/>
  <c r="E8" i="12"/>
  <c r="F8" i="12"/>
  <c r="G8" i="12"/>
  <c r="H8" i="12"/>
  <c r="I8" i="12"/>
  <c r="M8" i="12" s="1"/>
  <c r="J8" i="12"/>
  <c r="L8" i="12" s="1"/>
  <c r="K8" i="12"/>
  <c r="N8" i="12"/>
  <c r="A9" i="12"/>
  <c r="B9" i="12"/>
  <c r="C9" i="12"/>
  <c r="D9" i="12"/>
  <c r="E9" i="12"/>
  <c r="F9" i="12"/>
  <c r="G9" i="12"/>
  <c r="H9" i="12"/>
  <c r="J9" i="12"/>
  <c r="K9" i="12"/>
  <c r="L9" i="12"/>
  <c r="N9" i="12" s="1"/>
  <c r="A10" i="12"/>
  <c r="B10" i="12"/>
  <c r="C10" i="12"/>
  <c r="D10" i="12"/>
  <c r="E10" i="12"/>
  <c r="F10" i="12"/>
  <c r="G10" i="12"/>
  <c r="H10" i="12"/>
  <c r="I10" i="12"/>
  <c r="M10" i="12" s="1"/>
  <c r="J10" i="12"/>
  <c r="L10" i="12" s="1"/>
  <c r="K10" i="12"/>
  <c r="N10" i="12"/>
  <c r="A11" i="12"/>
  <c r="B11" i="12"/>
  <c r="C11" i="12"/>
  <c r="D11" i="12"/>
  <c r="E11" i="12"/>
  <c r="F11" i="12"/>
  <c r="G11" i="12"/>
  <c r="H11" i="12"/>
  <c r="J11" i="12"/>
  <c r="K11" i="12"/>
  <c r="L11" i="12"/>
  <c r="N11" i="12" s="1"/>
  <c r="A12" i="12"/>
  <c r="B12" i="12"/>
  <c r="C12" i="12"/>
  <c r="D12" i="12"/>
  <c r="E12" i="12"/>
  <c r="F12" i="12"/>
  <c r="G12" i="12"/>
  <c r="H12" i="12"/>
  <c r="I12" i="12"/>
  <c r="M12" i="12" s="1"/>
  <c r="J12" i="12"/>
  <c r="L12" i="12" s="1"/>
  <c r="K12" i="12"/>
  <c r="N12" i="12"/>
  <c r="A13" i="12"/>
  <c r="B13" i="12"/>
  <c r="C13" i="12"/>
  <c r="D13" i="12"/>
  <c r="E13" i="12"/>
  <c r="F13" i="12"/>
  <c r="G13" i="12"/>
  <c r="H13" i="12"/>
  <c r="J13" i="12"/>
  <c r="K13" i="12"/>
  <c r="L13" i="12"/>
  <c r="N13" i="12" s="1"/>
  <c r="A14" i="12"/>
  <c r="B14" i="12"/>
  <c r="C14" i="12"/>
  <c r="D14" i="12"/>
  <c r="E14" i="12"/>
  <c r="F14" i="12"/>
  <c r="G14" i="12"/>
  <c r="H14" i="12"/>
  <c r="I14" i="12"/>
  <c r="M14" i="12" s="1"/>
  <c r="J14" i="12"/>
  <c r="L14" i="12" s="1"/>
  <c r="K14" i="12"/>
  <c r="N14" i="12"/>
  <c r="A15" i="12"/>
  <c r="B15" i="12"/>
  <c r="C15" i="12"/>
  <c r="D15" i="12"/>
  <c r="E15" i="12"/>
  <c r="F15" i="12"/>
  <c r="G15" i="12"/>
  <c r="H15" i="12"/>
  <c r="J15" i="12"/>
  <c r="K15" i="12"/>
  <c r="L15" i="12"/>
  <c r="N15" i="12" s="1"/>
  <c r="A16" i="12"/>
  <c r="B16" i="12"/>
  <c r="C16" i="12"/>
  <c r="D16" i="12"/>
  <c r="E16" i="12"/>
  <c r="F16" i="12"/>
  <c r="G16" i="12"/>
  <c r="H16" i="12"/>
  <c r="I16" i="12"/>
  <c r="M16" i="12" s="1"/>
  <c r="J16" i="12"/>
  <c r="L16" i="12" s="1"/>
  <c r="K16" i="12"/>
  <c r="N16" i="12"/>
  <c r="A17" i="12"/>
  <c r="B17" i="12"/>
  <c r="C17" i="12"/>
  <c r="D17" i="12"/>
  <c r="E17" i="12"/>
  <c r="F17" i="12"/>
  <c r="G17" i="12"/>
  <c r="H17" i="12"/>
  <c r="J17" i="12"/>
  <c r="K17" i="12"/>
  <c r="L17" i="12"/>
  <c r="N17" i="12" s="1"/>
  <c r="A18" i="12"/>
  <c r="B18" i="12"/>
  <c r="C18" i="12"/>
  <c r="D18" i="12"/>
  <c r="E18" i="12"/>
  <c r="F18" i="12"/>
  <c r="G18" i="12"/>
  <c r="H18" i="12"/>
  <c r="I18" i="12"/>
  <c r="M18" i="12" s="1"/>
  <c r="J18" i="12"/>
  <c r="L18" i="12" s="1"/>
  <c r="K18" i="12"/>
  <c r="N18" i="12"/>
  <c r="A19" i="12"/>
  <c r="B19" i="12"/>
  <c r="C19" i="12"/>
  <c r="D19" i="12"/>
  <c r="E19" i="12"/>
  <c r="F19" i="12"/>
  <c r="G19" i="12"/>
  <c r="H19" i="12"/>
  <c r="J19" i="12"/>
  <c r="K19" i="12"/>
  <c r="L19" i="12"/>
  <c r="N19" i="12" s="1"/>
  <c r="A20" i="12"/>
  <c r="B20" i="12"/>
  <c r="C20" i="12"/>
  <c r="D20" i="12"/>
  <c r="E20" i="12"/>
  <c r="F20" i="12"/>
  <c r="G20" i="12"/>
  <c r="H20" i="12"/>
  <c r="I20" i="12"/>
  <c r="M20" i="12" s="1"/>
  <c r="J20" i="12"/>
  <c r="L20" i="12" s="1"/>
  <c r="K20" i="12"/>
  <c r="N20" i="12"/>
  <c r="A21" i="12"/>
  <c r="B21" i="12"/>
  <c r="C21" i="12"/>
  <c r="D21" i="12"/>
  <c r="E21" i="12"/>
  <c r="F21" i="12"/>
  <c r="G21" i="12"/>
  <c r="H21" i="12"/>
  <c r="J21" i="12"/>
  <c r="K21" i="12"/>
  <c r="L21" i="12"/>
  <c r="N21" i="12" s="1"/>
  <c r="A22" i="12"/>
  <c r="B22" i="12"/>
  <c r="C22" i="12"/>
  <c r="D22" i="12"/>
  <c r="E22" i="12"/>
  <c r="F22" i="12"/>
  <c r="G22" i="12"/>
  <c r="H22" i="12"/>
  <c r="I22" i="12"/>
  <c r="M22" i="12" s="1"/>
  <c r="J22" i="12"/>
  <c r="L22" i="12" s="1"/>
  <c r="K22" i="12"/>
  <c r="N22" i="12"/>
  <c r="A23" i="12"/>
  <c r="B23" i="12"/>
  <c r="C23" i="12"/>
  <c r="D23" i="12"/>
  <c r="E23" i="12"/>
  <c r="F23" i="12"/>
  <c r="G23" i="12"/>
  <c r="H23" i="12"/>
  <c r="J23" i="12"/>
  <c r="K23" i="12"/>
  <c r="L23" i="12"/>
  <c r="N23" i="12" s="1"/>
  <c r="A24" i="12"/>
  <c r="B24" i="12"/>
  <c r="C24" i="12"/>
  <c r="D24" i="12"/>
  <c r="E24" i="12"/>
  <c r="F24" i="12"/>
  <c r="G24" i="12"/>
  <c r="H24" i="12"/>
  <c r="I24" i="12"/>
  <c r="M24" i="12" s="1"/>
  <c r="J24" i="12"/>
  <c r="L24" i="12" s="1"/>
  <c r="K24" i="12"/>
  <c r="N24" i="12"/>
  <c r="A25" i="12"/>
  <c r="B25" i="12"/>
  <c r="C25" i="12"/>
  <c r="D25" i="12"/>
  <c r="E25" i="12"/>
  <c r="F25" i="12"/>
  <c r="G25" i="12"/>
  <c r="H25" i="12"/>
  <c r="J25" i="12"/>
  <c r="K25" i="12"/>
  <c r="L25" i="12"/>
  <c r="N25" i="12" s="1"/>
  <c r="A26" i="12"/>
  <c r="B26" i="12"/>
  <c r="C26" i="12"/>
  <c r="D26" i="12"/>
  <c r="E26" i="12"/>
  <c r="F26" i="12"/>
  <c r="G26" i="12"/>
  <c r="H26" i="12"/>
  <c r="I26" i="12"/>
  <c r="M26" i="12" s="1"/>
  <c r="J26" i="12"/>
  <c r="L26" i="12" s="1"/>
  <c r="K26" i="12"/>
  <c r="N26" i="12"/>
  <c r="A27" i="12"/>
  <c r="B27" i="12"/>
  <c r="C27" i="12"/>
  <c r="D27" i="12"/>
  <c r="E27" i="12"/>
  <c r="F27" i="12"/>
  <c r="G27" i="12"/>
  <c r="H27" i="12"/>
  <c r="J27" i="12"/>
  <c r="K27" i="12"/>
  <c r="L27" i="12"/>
  <c r="N27" i="12" s="1"/>
  <c r="A28" i="12"/>
  <c r="B28" i="12"/>
  <c r="C28" i="12"/>
  <c r="D28" i="12"/>
  <c r="E28" i="12"/>
  <c r="F28" i="12"/>
  <c r="G28" i="12"/>
  <c r="I28" i="12" s="1"/>
  <c r="M28" i="12" s="1"/>
  <c r="H28" i="12"/>
  <c r="J28" i="12"/>
  <c r="L28" i="12" s="1"/>
  <c r="N28" i="12" s="1"/>
  <c r="K28" i="12"/>
  <c r="A29" i="12"/>
  <c r="B29" i="12"/>
  <c r="C29" i="12"/>
  <c r="D29" i="12"/>
  <c r="E29" i="12"/>
  <c r="F29" i="12"/>
  <c r="G29" i="12"/>
  <c r="H29" i="12"/>
  <c r="I29" i="12"/>
  <c r="J29" i="12"/>
  <c r="K29" i="12"/>
  <c r="L29" i="12"/>
  <c r="N29" i="12" s="1"/>
  <c r="M29" i="12"/>
  <c r="A30" i="12"/>
  <c r="B30" i="12"/>
  <c r="C30" i="12"/>
  <c r="D30" i="12"/>
  <c r="E30" i="12"/>
  <c r="F30" i="12"/>
  <c r="G30" i="12"/>
  <c r="H30" i="12"/>
  <c r="I30" i="12"/>
  <c r="M30" i="12" s="1"/>
  <c r="J30" i="12"/>
  <c r="K30" i="12"/>
  <c r="A31" i="12"/>
  <c r="B31" i="12"/>
  <c r="C31" i="12"/>
  <c r="D31" i="12"/>
  <c r="E31" i="12"/>
  <c r="F31" i="12"/>
  <c r="G31" i="12"/>
  <c r="H31" i="12"/>
  <c r="J31" i="12"/>
  <c r="K31" i="12"/>
  <c r="L31" i="12"/>
  <c r="N31" i="12" s="1"/>
  <c r="A32" i="12"/>
  <c r="B32" i="12"/>
  <c r="C32" i="12"/>
  <c r="D32" i="12"/>
  <c r="E32" i="12"/>
  <c r="F32" i="12"/>
  <c r="G32" i="12"/>
  <c r="I32" i="12" s="1"/>
  <c r="M32" i="12" s="1"/>
  <c r="H32" i="12"/>
  <c r="J32" i="12"/>
  <c r="K32" i="12"/>
  <c r="A33" i="12"/>
  <c r="B33" i="12"/>
  <c r="C33" i="12"/>
  <c r="D33" i="12"/>
  <c r="E33" i="12"/>
  <c r="F33" i="12"/>
  <c r="G33" i="12"/>
  <c r="H33" i="12"/>
  <c r="I33" i="12"/>
  <c r="J33" i="12"/>
  <c r="K33" i="12"/>
  <c r="L33" i="12"/>
  <c r="N33" i="12" s="1"/>
  <c r="M33" i="12"/>
  <c r="A34" i="12"/>
  <c r="B34" i="12"/>
  <c r="C34" i="12"/>
  <c r="D34" i="12"/>
  <c r="E34" i="12"/>
  <c r="F34" i="12"/>
  <c r="G34" i="12"/>
  <c r="H34" i="12"/>
  <c r="I34" i="12"/>
  <c r="M34" i="12" s="1"/>
  <c r="J34" i="12"/>
  <c r="K34" i="12"/>
  <c r="A35" i="12"/>
  <c r="B35" i="12"/>
  <c r="C35" i="12"/>
  <c r="D35" i="12"/>
  <c r="E35" i="12"/>
  <c r="F35" i="12"/>
  <c r="G35" i="12"/>
  <c r="H35" i="12"/>
  <c r="J35" i="12"/>
  <c r="K35" i="12"/>
  <c r="L35" i="12" s="1"/>
  <c r="N35" i="12" s="1"/>
  <c r="A36" i="12"/>
  <c r="B36" i="12"/>
  <c r="C36" i="12"/>
  <c r="D36" i="12"/>
  <c r="E36" i="12"/>
  <c r="F36" i="12"/>
  <c r="G36" i="12"/>
  <c r="I36" i="12" s="1"/>
  <c r="M36" i="12" s="1"/>
  <c r="H36" i="12"/>
  <c r="J36" i="12"/>
  <c r="K36" i="12"/>
  <c r="A37" i="12"/>
  <c r="B37" i="12"/>
  <c r="C37" i="12"/>
  <c r="D37" i="12"/>
  <c r="E37" i="12"/>
  <c r="F37" i="12"/>
  <c r="G37" i="12"/>
  <c r="H37" i="12"/>
  <c r="I37" i="12"/>
  <c r="J37" i="12"/>
  <c r="K37" i="12"/>
  <c r="L37" i="12"/>
  <c r="N37" i="12" s="1"/>
  <c r="M37" i="12"/>
  <c r="A38" i="12"/>
  <c r="B38" i="12"/>
  <c r="C38" i="12"/>
  <c r="D38" i="12"/>
  <c r="E38" i="12"/>
  <c r="F38" i="12"/>
  <c r="G38" i="12"/>
  <c r="H38" i="12"/>
  <c r="I38" i="12"/>
  <c r="J38" i="12"/>
  <c r="K38" i="12"/>
  <c r="M38" i="12"/>
  <c r="A39" i="12"/>
  <c r="B39" i="12"/>
  <c r="C39" i="12"/>
  <c r="D39" i="12"/>
  <c r="E39" i="12"/>
  <c r="F39" i="12"/>
  <c r="G39" i="12"/>
  <c r="I39" i="12" s="1"/>
  <c r="M39" i="12" s="1"/>
  <c r="H39" i="12"/>
  <c r="J39" i="12"/>
  <c r="K39" i="12"/>
  <c r="L39" i="12"/>
  <c r="N39" i="12" s="1"/>
  <c r="A40" i="12"/>
  <c r="B40" i="12"/>
  <c r="C40" i="12"/>
  <c r="D40" i="12"/>
  <c r="E40" i="12"/>
  <c r="F40" i="12"/>
  <c r="G40" i="12"/>
  <c r="I40" i="12" s="1"/>
  <c r="M40" i="12" s="1"/>
  <c r="H40" i="12"/>
  <c r="J40" i="12"/>
  <c r="K40" i="12"/>
  <c r="A41" i="12"/>
  <c r="B41" i="12"/>
  <c r="C41" i="12"/>
  <c r="D41" i="12"/>
  <c r="E41" i="12"/>
  <c r="F41" i="12"/>
  <c r="G41" i="12"/>
  <c r="H41" i="12"/>
  <c r="I41" i="12"/>
  <c r="J41" i="12"/>
  <c r="K41" i="12"/>
  <c r="L41" i="12"/>
  <c r="N41" i="12" s="1"/>
  <c r="M41" i="12"/>
  <c r="A42" i="12"/>
  <c r="B42" i="12"/>
  <c r="C42" i="12"/>
  <c r="D42" i="12"/>
  <c r="E42" i="12"/>
  <c r="F42" i="12"/>
  <c r="G42" i="12"/>
  <c r="H42" i="12"/>
  <c r="I42" i="12"/>
  <c r="M42" i="12" s="1"/>
  <c r="J42" i="12"/>
  <c r="K42" i="12"/>
  <c r="A43" i="12"/>
  <c r="B43" i="12"/>
  <c r="C43" i="12"/>
  <c r="D43" i="12"/>
  <c r="E43" i="12"/>
  <c r="F43" i="12"/>
  <c r="G43" i="12"/>
  <c r="H43" i="12"/>
  <c r="J43" i="12"/>
  <c r="K43" i="12"/>
  <c r="L43" i="12"/>
  <c r="N43" i="12" s="1"/>
  <c r="A44" i="12"/>
  <c r="B44" i="12"/>
  <c r="C44" i="12"/>
  <c r="D44" i="12"/>
  <c r="E44" i="12"/>
  <c r="F44" i="12"/>
  <c r="G44" i="12"/>
  <c r="I44" i="12" s="1"/>
  <c r="M44" i="12" s="1"/>
  <c r="H44" i="12"/>
  <c r="J44" i="12"/>
  <c r="L44" i="12" s="1"/>
  <c r="N44" i="12" s="1"/>
  <c r="K44" i="12"/>
  <c r="A45" i="12"/>
  <c r="B45" i="12"/>
  <c r="C45" i="12"/>
  <c r="D45" i="12"/>
  <c r="E45" i="12"/>
  <c r="F45" i="12"/>
  <c r="G45" i="12"/>
  <c r="H45" i="12"/>
  <c r="I45" i="12"/>
  <c r="J45" i="12"/>
  <c r="K45" i="12"/>
  <c r="L45" i="12"/>
  <c r="N45" i="12" s="1"/>
  <c r="M45" i="12"/>
  <c r="A46" i="12"/>
  <c r="B46" i="12"/>
  <c r="C46" i="12"/>
  <c r="D46" i="12"/>
  <c r="E46" i="12"/>
  <c r="F46" i="12"/>
  <c r="G46" i="12"/>
  <c r="H46" i="12"/>
  <c r="I46" i="12"/>
  <c r="M46" i="12" s="1"/>
  <c r="J46" i="12"/>
  <c r="K46" i="12"/>
  <c r="A47" i="12"/>
  <c r="B47" i="12"/>
  <c r="C47" i="12"/>
  <c r="D47" i="12"/>
  <c r="E47" i="12"/>
  <c r="F47" i="12"/>
  <c r="G47" i="12"/>
  <c r="H47" i="12"/>
  <c r="J47" i="12"/>
  <c r="K47" i="12"/>
  <c r="L47" i="12"/>
  <c r="N47" i="12" s="1"/>
  <c r="A48" i="12"/>
  <c r="B48" i="12"/>
  <c r="C48" i="12"/>
  <c r="D48" i="12"/>
  <c r="E48" i="12"/>
  <c r="F48" i="12"/>
  <c r="G48" i="12"/>
  <c r="I48" i="12" s="1"/>
  <c r="M48" i="12" s="1"/>
  <c r="H48" i="12"/>
  <c r="J48" i="12"/>
  <c r="K48" i="12"/>
  <c r="A49" i="12"/>
  <c r="B49" i="12"/>
  <c r="C49" i="12"/>
  <c r="D49" i="12"/>
  <c r="E49" i="12"/>
  <c r="F49" i="12"/>
  <c r="G49" i="12"/>
  <c r="H49" i="12"/>
  <c r="I49" i="12"/>
  <c r="J49" i="12"/>
  <c r="K49" i="12"/>
  <c r="L49" i="12"/>
  <c r="N49" i="12" s="1"/>
  <c r="M49" i="12"/>
  <c r="A50" i="12"/>
  <c r="B50" i="12"/>
  <c r="C50" i="12"/>
  <c r="D50" i="12"/>
  <c r="E50" i="12"/>
  <c r="F50" i="12"/>
  <c r="G50" i="12"/>
  <c r="H50" i="12"/>
  <c r="I50" i="12"/>
  <c r="M50" i="12" s="1"/>
  <c r="J50" i="12"/>
  <c r="K50" i="12"/>
  <c r="A51" i="12"/>
  <c r="B51" i="12"/>
  <c r="C51" i="12"/>
  <c r="D51" i="12"/>
  <c r="E51" i="12"/>
  <c r="F51" i="12"/>
  <c r="G51" i="12"/>
  <c r="H51" i="12"/>
  <c r="J51" i="12"/>
  <c r="K51" i="12"/>
  <c r="L51" i="12" s="1"/>
  <c r="N51" i="12" s="1"/>
  <c r="A52" i="12"/>
  <c r="B52" i="12"/>
  <c r="C52" i="12"/>
  <c r="D52" i="12"/>
  <c r="E52" i="12"/>
  <c r="F52" i="12"/>
  <c r="G52" i="12"/>
  <c r="I52" i="12" s="1"/>
  <c r="M52" i="12" s="1"/>
  <c r="H52" i="12"/>
  <c r="J52" i="12"/>
  <c r="K52" i="12"/>
  <c r="A53" i="12"/>
  <c r="B53" i="12"/>
  <c r="C53" i="12"/>
  <c r="D53" i="12"/>
  <c r="E53" i="12"/>
  <c r="F53" i="12"/>
  <c r="G53" i="12"/>
  <c r="H53" i="12"/>
  <c r="I53" i="12"/>
  <c r="J53" i="12"/>
  <c r="K53" i="12"/>
  <c r="L53" i="12"/>
  <c r="N53" i="12" s="1"/>
  <c r="M53" i="12"/>
  <c r="A54" i="12"/>
  <c r="B54" i="12"/>
  <c r="C54" i="12"/>
  <c r="D54" i="12"/>
  <c r="E54" i="12"/>
  <c r="F54" i="12"/>
  <c r="G54" i="12"/>
  <c r="H54" i="12"/>
  <c r="I54" i="12"/>
  <c r="J54" i="12"/>
  <c r="K54" i="12"/>
  <c r="M54" i="12"/>
  <c r="A55" i="12"/>
  <c r="B55" i="12"/>
  <c r="C55" i="12"/>
  <c r="D55" i="12"/>
  <c r="E55" i="12"/>
  <c r="F55" i="12"/>
  <c r="G55" i="12"/>
  <c r="I55" i="12" s="1"/>
  <c r="M55" i="12" s="1"/>
  <c r="H55" i="12"/>
  <c r="J55" i="12"/>
  <c r="K55" i="12"/>
  <c r="L55" i="12"/>
  <c r="N55" i="12" s="1"/>
  <c r="A56" i="12"/>
  <c r="B56" i="12"/>
  <c r="C56" i="12"/>
  <c r="D56" i="12"/>
  <c r="E56" i="12"/>
  <c r="F56" i="12"/>
  <c r="G56" i="12"/>
  <c r="I56" i="12" s="1"/>
  <c r="M56" i="12" s="1"/>
  <c r="H56" i="12"/>
  <c r="J56" i="12"/>
  <c r="K56" i="12"/>
  <c r="A57" i="12"/>
  <c r="B57" i="12"/>
  <c r="C57" i="12"/>
  <c r="D57" i="12"/>
  <c r="E57" i="12"/>
  <c r="F57" i="12"/>
  <c r="G57" i="12"/>
  <c r="H57" i="12"/>
  <c r="I57" i="12"/>
  <c r="J57" i="12"/>
  <c r="K57" i="12"/>
  <c r="L57" i="12"/>
  <c r="N57" i="12" s="1"/>
  <c r="M57" i="12"/>
  <c r="A58" i="12"/>
  <c r="B58" i="12"/>
  <c r="C58" i="12"/>
  <c r="D58" i="12"/>
  <c r="E58" i="12"/>
  <c r="F58" i="12"/>
  <c r="G58" i="12"/>
  <c r="H58" i="12"/>
  <c r="I58" i="12"/>
  <c r="M58" i="12" s="1"/>
  <c r="J58" i="12"/>
  <c r="K58" i="12"/>
  <c r="A59" i="12"/>
  <c r="B59" i="12"/>
  <c r="C59" i="12"/>
  <c r="D59" i="12"/>
  <c r="E59" i="12"/>
  <c r="F59" i="12"/>
  <c r="G59" i="12"/>
  <c r="H59" i="12"/>
  <c r="J59" i="12"/>
  <c r="K59" i="12"/>
  <c r="L59" i="12"/>
  <c r="N59" i="12" s="1"/>
  <c r="A60" i="12"/>
  <c r="B60" i="12"/>
  <c r="C60" i="12"/>
  <c r="D60" i="12"/>
  <c r="E60" i="12"/>
  <c r="F60" i="12"/>
  <c r="G60" i="12"/>
  <c r="I60" i="12" s="1"/>
  <c r="M60" i="12" s="1"/>
  <c r="H60" i="12"/>
  <c r="J60" i="12"/>
  <c r="L60" i="12" s="1"/>
  <c r="N60" i="12" s="1"/>
  <c r="K60" i="12"/>
  <c r="A61" i="12"/>
  <c r="B61" i="12"/>
  <c r="C61" i="12"/>
  <c r="D61" i="12"/>
  <c r="E61" i="12"/>
  <c r="F61" i="12"/>
  <c r="G61" i="12"/>
  <c r="H61" i="12"/>
  <c r="I61" i="12"/>
  <c r="J61" i="12"/>
  <c r="K61" i="12"/>
  <c r="L61" i="12"/>
  <c r="N61" i="12" s="1"/>
  <c r="M61" i="12"/>
  <c r="A62" i="12"/>
  <c r="B62" i="12"/>
  <c r="C62" i="12"/>
  <c r="D62" i="12"/>
  <c r="E62" i="12"/>
  <c r="F62" i="12"/>
  <c r="G62" i="12"/>
  <c r="H62" i="12"/>
  <c r="I62" i="12"/>
  <c r="M62" i="12" s="1"/>
  <c r="J62" i="12"/>
  <c r="K62" i="12"/>
  <c r="A63" i="12"/>
  <c r="B63" i="12"/>
  <c r="C63" i="12"/>
  <c r="D63" i="12"/>
  <c r="E63" i="12"/>
  <c r="F63" i="12"/>
  <c r="G63" i="12"/>
  <c r="H63" i="12"/>
  <c r="J63" i="12"/>
  <c r="K63" i="12"/>
  <c r="L63" i="12"/>
  <c r="N63" i="12" s="1"/>
  <c r="A64" i="12"/>
  <c r="B64" i="12"/>
  <c r="C64" i="12"/>
  <c r="D64" i="12"/>
  <c r="E64" i="12"/>
  <c r="F64" i="12"/>
  <c r="G64" i="12"/>
  <c r="I64" i="12" s="1"/>
  <c r="M64" i="12" s="1"/>
  <c r="H64" i="12"/>
  <c r="J64" i="12"/>
  <c r="L64" i="12" s="1"/>
  <c r="N64" i="12" s="1"/>
  <c r="K64" i="12"/>
  <c r="A65" i="12"/>
  <c r="B65" i="12"/>
  <c r="C65" i="12"/>
  <c r="D65" i="12"/>
  <c r="E65" i="12"/>
  <c r="F65" i="12"/>
  <c r="G65" i="12"/>
  <c r="H65" i="12"/>
  <c r="I65" i="12"/>
  <c r="J65" i="12"/>
  <c r="K65" i="12"/>
  <c r="L65" i="12"/>
  <c r="N65" i="12" s="1"/>
  <c r="M65" i="12"/>
  <c r="A66" i="12"/>
  <c r="B66" i="12"/>
  <c r="C66" i="12"/>
  <c r="D66" i="12"/>
  <c r="E66" i="12"/>
  <c r="F66" i="12"/>
  <c r="G66" i="12"/>
  <c r="H66" i="12"/>
  <c r="I66" i="12"/>
  <c r="M66" i="12" s="1"/>
  <c r="J66" i="12"/>
  <c r="K66" i="12"/>
  <c r="A67" i="12"/>
  <c r="B67" i="12"/>
  <c r="C67" i="12"/>
  <c r="D67" i="12"/>
  <c r="E67" i="12"/>
  <c r="F67" i="12"/>
  <c r="G67" i="12"/>
  <c r="H67" i="12"/>
  <c r="J67" i="12"/>
  <c r="K67" i="12"/>
  <c r="L67" i="12" s="1"/>
  <c r="N67" i="12" s="1"/>
  <c r="A68" i="12"/>
  <c r="B68" i="12"/>
  <c r="C68" i="12"/>
  <c r="D68" i="12"/>
  <c r="E68" i="12"/>
  <c r="F68" i="12"/>
  <c r="G68" i="12"/>
  <c r="I68" i="12" s="1"/>
  <c r="M68" i="12" s="1"/>
  <c r="H68" i="12"/>
  <c r="J68" i="12"/>
  <c r="K68" i="12"/>
  <c r="A69" i="12"/>
  <c r="B69" i="12"/>
  <c r="C69" i="12"/>
  <c r="D69" i="12"/>
  <c r="E69" i="12"/>
  <c r="F69" i="12"/>
  <c r="G69" i="12"/>
  <c r="H69" i="12"/>
  <c r="I69" i="12"/>
  <c r="J69" i="12"/>
  <c r="K69" i="12"/>
  <c r="L69" i="12"/>
  <c r="N69" i="12" s="1"/>
  <c r="M69" i="12"/>
  <c r="A70" i="12"/>
  <c r="B70" i="12"/>
  <c r="C70" i="12"/>
  <c r="D70" i="12"/>
  <c r="E70" i="12"/>
  <c r="F70" i="12"/>
  <c r="G70" i="12"/>
  <c r="H70" i="12"/>
  <c r="I70" i="12"/>
  <c r="J70" i="12"/>
  <c r="K70" i="12"/>
  <c r="M70" i="12"/>
  <c r="A71" i="12"/>
  <c r="B71" i="12"/>
  <c r="C71" i="12"/>
  <c r="D71" i="12"/>
  <c r="E71" i="12"/>
  <c r="F71" i="12"/>
  <c r="G71" i="12"/>
  <c r="I71" i="12" s="1"/>
  <c r="M71" i="12" s="1"/>
  <c r="H71" i="12"/>
  <c r="J71" i="12"/>
  <c r="K71" i="12"/>
  <c r="L71" i="12" s="1"/>
  <c r="N71" i="12" s="1"/>
  <c r="A72" i="12"/>
  <c r="B72" i="12"/>
  <c r="C72" i="12"/>
  <c r="D72" i="12"/>
  <c r="E72" i="12"/>
  <c r="F72" i="12"/>
  <c r="G72" i="12"/>
  <c r="I72" i="12" s="1"/>
  <c r="M72" i="12" s="1"/>
  <c r="H72" i="12"/>
  <c r="J72" i="12"/>
  <c r="L72" i="12" s="1"/>
  <c r="N72" i="12" s="1"/>
  <c r="K72" i="12"/>
  <c r="A73" i="12"/>
  <c r="B73" i="12"/>
  <c r="C73" i="12"/>
  <c r="D73" i="12"/>
  <c r="E73" i="12"/>
  <c r="F73" i="12"/>
  <c r="G73" i="12"/>
  <c r="H73" i="12"/>
  <c r="I73" i="12"/>
  <c r="J73" i="12"/>
  <c r="K73" i="12"/>
  <c r="L73" i="12"/>
  <c r="N73" i="12" s="1"/>
  <c r="M73" i="12"/>
  <c r="A74" i="12"/>
  <c r="B74" i="12"/>
  <c r="C74" i="12"/>
  <c r="D74" i="12"/>
  <c r="E74" i="12"/>
  <c r="F74" i="12"/>
  <c r="G74" i="12"/>
  <c r="H74" i="12"/>
  <c r="I74" i="12"/>
  <c r="J74" i="12"/>
  <c r="K74" i="12"/>
  <c r="M74" i="12"/>
  <c r="A75" i="12"/>
  <c r="B75" i="12"/>
  <c r="C75" i="12"/>
  <c r="D75" i="12"/>
  <c r="E75" i="12"/>
  <c r="F75" i="12"/>
  <c r="G75" i="12"/>
  <c r="I75" i="12" s="1"/>
  <c r="M75" i="12" s="1"/>
  <c r="H75" i="12"/>
  <c r="J75" i="12"/>
  <c r="K75" i="12"/>
  <c r="L75" i="12"/>
  <c r="N75" i="12" s="1"/>
  <c r="A76" i="12"/>
  <c r="B76" i="12"/>
  <c r="C76" i="12"/>
  <c r="D76" i="12"/>
  <c r="E76" i="12"/>
  <c r="F76" i="12"/>
  <c r="G76" i="12"/>
  <c r="I76" i="12" s="1"/>
  <c r="M76" i="12" s="1"/>
  <c r="H76" i="12"/>
  <c r="J76" i="12"/>
  <c r="L76" i="12" s="1"/>
  <c r="N76" i="12" s="1"/>
  <c r="K76" i="12"/>
  <c r="A77" i="12"/>
  <c r="B77" i="12"/>
  <c r="C77" i="12"/>
  <c r="D77" i="12"/>
  <c r="E77" i="12"/>
  <c r="F77" i="12"/>
  <c r="G77" i="12"/>
  <c r="H77" i="12"/>
  <c r="I77" i="12"/>
  <c r="J77" i="12"/>
  <c r="K77" i="12"/>
  <c r="L77" i="12"/>
  <c r="N77" i="12" s="1"/>
  <c r="M77" i="12"/>
  <c r="A78" i="12"/>
  <c r="B78" i="12"/>
  <c r="C78" i="12"/>
  <c r="D78" i="12"/>
  <c r="E78" i="12"/>
  <c r="F78" i="12"/>
  <c r="G78" i="12"/>
  <c r="H78" i="12"/>
  <c r="I78" i="12"/>
  <c r="M78" i="12" s="1"/>
  <c r="J78" i="12"/>
  <c r="K78" i="12"/>
  <c r="A79" i="12"/>
  <c r="B79" i="12"/>
  <c r="C79" i="12"/>
  <c r="D79" i="12"/>
  <c r="E79" i="12"/>
  <c r="F79" i="12"/>
  <c r="G79" i="12"/>
  <c r="H79" i="12"/>
  <c r="J79" i="12"/>
  <c r="K79" i="12"/>
  <c r="L79" i="12"/>
  <c r="N79" i="12" s="1"/>
  <c r="A80" i="12"/>
  <c r="B80" i="12"/>
  <c r="C80" i="12"/>
  <c r="D80" i="12"/>
  <c r="E80" i="12"/>
  <c r="F80" i="12"/>
  <c r="G80" i="12"/>
  <c r="H80" i="12"/>
  <c r="I80" i="12"/>
  <c r="M80" i="12" s="1"/>
  <c r="J80" i="12"/>
  <c r="L80" i="12" s="1"/>
  <c r="N80" i="12" s="1"/>
  <c r="K80" i="12"/>
  <c r="A81" i="12"/>
  <c r="B81" i="12"/>
  <c r="C81" i="12"/>
  <c r="D81" i="12"/>
  <c r="E81" i="12"/>
  <c r="F81" i="12"/>
  <c r="G81" i="12"/>
  <c r="H81" i="12"/>
  <c r="I81" i="12"/>
  <c r="J81" i="12"/>
  <c r="K81" i="12"/>
  <c r="L81" i="12"/>
  <c r="N81" i="12" s="1"/>
  <c r="M81" i="12"/>
  <c r="A82" i="12"/>
  <c r="B82" i="12"/>
  <c r="C82" i="12"/>
  <c r="D82" i="12"/>
  <c r="E82" i="12"/>
  <c r="F82" i="12"/>
  <c r="G82" i="12"/>
  <c r="H82" i="12"/>
  <c r="I82" i="12"/>
  <c r="M82" i="12" s="1"/>
  <c r="J82" i="12"/>
  <c r="K82" i="12"/>
  <c r="A83" i="12"/>
  <c r="B83" i="12"/>
  <c r="C83" i="12"/>
  <c r="D83" i="12"/>
  <c r="E83" i="12"/>
  <c r="F83" i="12"/>
  <c r="G83" i="12"/>
  <c r="H83" i="12"/>
  <c r="J83" i="12"/>
  <c r="K83" i="12"/>
  <c r="L83" i="12"/>
  <c r="N83" i="12" s="1"/>
  <c r="A84" i="12"/>
  <c r="B84" i="12"/>
  <c r="C84" i="12"/>
  <c r="D84" i="12"/>
  <c r="E84" i="12"/>
  <c r="F84" i="12"/>
  <c r="G84" i="12"/>
  <c r="H84" i="12"/>
  <c r="I84" i="12"/>
  <c r="M84" i="12" s="1"/>
  <c r="J84" i="12"/>
  <c r="K84" i="12"/>
  <c r="A85" i="12"/>
  <c r="B85" i="12"/>
  <c r="C85" i="12"/>
  <c r="D85" i="12"/>
  <c r="E85" i="12"/>
  <c r="F85" i="12"/>
  <c r="G85" i="12"/>
  <c r="H85" i="12"/>
  <c r="I85" i="12"/>
  <c r="J85" i="12"/>
  <c r="K85" i="12"/>
  <c r="L85" i="12"/>
  <c r="N85" i="12" s="1"/>
  <c r="M85" i="12"/>
  <c r="A86" i="12"/>
  <c r="B86" i="12"/>
  <c r="C86" i="12"/>
  <c r="D86" i="12"/>
  <c r="E86" i="12"/>
  <c r="F86" i="12"/>
  <c r="G86" i="12"/>
  <c r="I86" i="12" s="1"/>
  <c r="H86" i="12"/>
  <c r="J86" i="12"/>
  <c r="K86" i="12"/>
  <c r="M86" i="12"/>
  <c r="A87" i="12"/>
  <c r="B87" i="12"/>
  <c r="C87" i="12"/>
  <c r="D87" i="12"/>
  <c r="E87" i="12"/>
  <c r="F87" i="12"/>
  <c r="G87" i="12"/>
  <c r="I87" i="12" s="1"/>
  <c r="M87" i="12" s="1"/>
  <c r="H87" i="12"/>
  <c r="J87" i="12"/>
  <c r="K87" i="12"/>
  <c r="L87" i="12" s="1"/>
  <c r="N87" i="12" s="1"/>
  <c r="A88" i="12"/>
  <c r="B88" i="12"/>
  <c r="C88" i="12"/>
  <c r="D88" i="12"/>
  <c r="E88" i="12"/>
  <c r="F88" i="12"/>
  <c r="G88" i="12"/>
  <c r="I88" i="12" s="1"/>
  <c r="H88" i="12"/>
  <c r="J88" i="12"/>
  <c r="K88" i="12"/>
  <c r="M88" i="12"/>
  <c r="A89" i="12"/>
  <c r="B89" i="12"/>
  <c r="C89" i="12"/>
  <c r="D89" i="12"/>
  <c r="E89" i="12"/>
  <c r="F89" i="12"/>
  <c r="G89" i="12"/>
  <c r="I89" i="12" s="1"/>
  <c r="M89" i="12" s="1"/>
  <c r="H89" i="12"/>
  <c r="J89" i="12"/>
  <c r="K89" i="12"/>
  <c r="L89" i="12" s="1"/>
  <c r="N89" i="12" s="1"/>
  <c r="A90" i="12"/>
  <c r="B90" i="12"/>
  <c r="C90" i="12"/>
  <c r="D90" i="12"/>
  <c r="E90" i="12"/>
  <c r="F90" i="12"/>
  <c r="G90" i="12"/>
  <c r="H90" i="12"/>
  <c r="I90" i="12"/>
  <c r="M90" i="12" s="1"/>
  <c r="J90" i="12"/>
  <c r="L90" i="12" s="1"/>
  <c r="N90" i="12" s="1"/>
  <c r="K90" i="12"/>
  <c r="A91" i="12"/>
  <c r="B91" i="12"/>
  <c r="C91" i="12"/>
  <c r="D91" i="12"/>
  <c r="E91" i="12"/>
  <c r="F91" i="12"/>
  <c r="G91" i="12"/>
  <c r="H91" i="12"/>
  <c r="I91" i="12"/>
  <c r="J91" i="12"/>
  <c r="K91" i="12"/>
  <c r="L91" i="12"/>
  <c r="N91" i="12" s="1"/>
  <c r="M91" i="12"/>
  <c r="A92" i="12"/>
  <c r="B92" i="12"/>
  <c r="C92" i="12"/>
  <c r="D92" i="12"/>
  <c r="E92" i="12"/>
  <c r="F92" i="12"/>
  <c r="G92" i="12"/>
  <c r="I92" i="12" s="1"/>
  <c r="H92" i="12"/>
  <c r="J92" i="12"/>
  <c r="K92" i="12"/>
  <c r="M92" i="12"/>
  <c r="A93" i="12"/>
  <c r="B93" i="12"/>
  <c r="C93" i="12"/>
  <c r="D93" i="12"/>
  <c r="E93" i="12"/>
  <c r="F93" i="12"/>
  <c r="G93" i="12"/>
  <c r="I93" i="12" s="1"/>
  <c r="M93" i="12" s="1"/>
  <c r="H93" i="12"/>
  <c r="J93" i="12"/>
  <c r="K93" i="12"/>
  <c r="L93" i="12" s="1"/>
  <c r="N93" i="12" s="1"/>
  <c r="A94" i="12"/>
  <c r="B94" i="12"/>
  <c r="C94" i="12"/>
  <c r="D94" i="12"/>
  <c r="E94" i="12"/>
  <c r="F94" i="12"/>
  <c r="G94" i="12"/>
  <c r="H94" i="12"/>
  <c r="I94" i="12"/>
  <c r="M94" i="12" s="1"/>
  <c r="J94" i="12"/>
  <c r="L94" i="12" s="1"/>
  <c r="K94" i="12"/>
  <c r="N94" i="12"/>
  <c r="A95" i="12"/>
  <c r="B95" i="12"/>
  <c r="C95" i="12"/>
  <c r="D95" i="12"/>
  <c r="E95" i="12"/>
  <c r="F95" i="12"/>
  <c r="G95" i="12"/>
  <c r="H95" i="12"/>
  <c r="I95" i="12" s="1"/>
  <c r="M95" i="12" s="1"/>
  <c r="J95" i="12"/>
  <c r="K95" i="12"/>
  <c r="L95" i="12"/>
  <c r="N95" i="12" s="1"/>
  <c r="A96" i="12"/>
  <c r="B96" i="12"/>
  <c r="C96" i="12"/>
  <c r="D96" i="12"/>
  <c r="E96" i="12"/>
  <c r="F96" i="12"/>
  <c r="G96" i="12"/>
  <c r="I96" i="12" s="1"/>
  <c r="H96" i="12"/>
  <c r="J96" i="12"/>
  <c r="K96" i="12"/>
  <c r="M96" i="12"/>
  <c r="A97" i="12"/>
  <c r="B97" i="12"/>
  <c r="C97" i="12"/>
  <c r="D97" i="12"/>
  <c r="E97" i="12"/>
  <c r="F97" i="12"/>
  <c r="G97" i="12"/>
  <c r="I97" i="12" s="1"/>
  <c r="M97" i="12" s="1"/>
  <c r="H97" i="12"/>
  <c r="J97" i="12"/>
  <c r="K97" i="12"/>
  <c r="L97" i="12" s="1"/>
  <c r="N97" i="12" s="1"/>
  <c r="A98" i="12"/>
  <c r="B98" i="12"/>
  <c r="C98" i="12"/>
  <c r="D98" i="12"/>
  <c r="E98" i="12"/>
  <c r="F98" i="12"/>
  <c r="G98" i="12"/>
  <c r="H98" i="12"/>
  <c r="I98" i="12"/>
  <c r="M98" i="12" s="1"/>
  <c r="J98" i="12"/>
  <c r="L98" i="12" s="1"/>
  <c r="N98" i="12" s="1"/>
  <c r="K98" i="12"/>
  <c r="A99" i="12"/>
  <c r="B99" i="12"/>
  <c r="C99" i="12"/>
  <c r="D99" i="12"/>
  <c r="E99" i="12"/>
  <c r="F99" i="12"/>
  <c r="G99" i="12"/>
  <c r="H99" i="12"/>
  <c r="I99" i="12"/>
  <c r="J99" i="12"/>
  <c r="K99" i="12"/>
  <c r="L99" i="12"/>
  <c r="N99" i="12" s="1"/>
  <c r="M99" i="12"/>
  <c r="A100" i="12"/>
  <c r="B100" i="12"/>
  <c r="C100" i="12"/>
  <c r="D100" i="12"/>
  <c r="E100" i="12"/>
  <c r="F100" i="12"/>
  <c r="G100" i="12"/>
  <c r="I100" i="12" s="1"/>
  <c r="H100" i="12"/>
  <c r="J100" i="12"/>
  <c r="K100" i="12"/>
  <c r="M100" i="12"/>
  <c r="A101" i="12"/>
  <c r="B101" i="12"/>
  <c r="C101" i="12"/>
  <c r="D101" i="12"/>
  <c r="E101" i="12"/>
  <c r="F101" i="12"/>
  <c r="G101" i="12"/>
  <c r="I101" i="12" s="1"/>
  <c r="M101" i="12" s="1"/>
  <c r="H101" i="12"/>
  <c r="J101" i="12"/>
  <c r="K101" i="12"/>
  <c r="L101" i="12" s="1"/>
  <c r="N101" i="12" s="1"/>
  <c r="A102" i="12"/>
  <c r="B102" i="12"/>
  <c r="C102" i="12"/>
  <c r="D102" i="12"/>
  <c r="E102" i="12"/>
  <c r="F102" i="12"/>
  <c r="G102" i="12"/>
  <c r="H102" i="12"/>
  <c r="I102" i="12"/>
  <c r="M102" i="12" s="1"/>
  <c r="J102" i="12"/>
  <c r="L102" i="12" s="1"/>
  <c r="K102" i="12"/>
  <c r="N102" i="12"/>
  <c r="A103" i="12"/>
  <c r="B103" i="12"/>
  <c r="C103" i="12"/>
  <c r="D103" i="12"/>
  <c r="E103" i="12"/>
  <c r="F103" i="12"/>
  <c r="G103" i="12"/>
  <c r="H103" i="12"/>
  <c r="I103" i="12" s="1"/>
  <c r="M103" i="12" s="1"/>
  <c r="J103" i="12"/>
  <c r="K103" i="12"/>
  <c r="L103" i="12"/>
  <c r="N103" i="12" s="1"/>
  <c r="A104" i="12"/>
  <c r="B104" i="12"/>
  <c r="C104" i="12"/>
  <c r="D104" i="12"/>
  <c r="E104" i="12"/>
  <c r="F104" i="12"/>
  <c r="G104" i="12"/>
  <c r="I104" i="12" s="1"/>
  <c r="H104" i="12"/>
  <c r="J104" i="12"/>
  <c r="K104" i="12"/>
  <c r="M104" i="12"/>
  <c r="A105" i="12"/>
  <c r="B105" i="12"/>
  <c r="C105" i="12"/>
  <c r="D105" i="12"/>
  <c r="E105" i="12"/>
  <c r="F105" i="12"/>
  <c r="G105" i="12"/>
  <c r="I105" i="12" s="1"/>
  <c r="M105" i="12" s="1"/>
  <c r="H105" i="12"/>
  <c r="J105" i="12"/>
  <c r="K105" i="12"/>
  <c r="L105" i="12" s="1"/>
  <c r="N105" i="12" s="1"/>
  <c r="A106" i="12"/>
  <c r="B106" i="12"/>
  <c r="C106" i="12"/>
  <c r="D106" i="12"/>
  <c r="E106" i="12"/>
  <c r="F106" i="12"/>
  <c r="G106" i="12"/>
  <c r="H106" i="12"/>
  <c r="I106" i="12"/>
  <c r="M106" i="12" s="1"/>
  <c r="J106" i="12"/>
  <c r="L106" i="12" s="1"/>
  <c r="N106" i="12" s="1"/>
  <c r="K106" i="12"/>
  <c r="A107" i="12"/>
  <c r="B107" i="12"/>
  <c r="C107" i="12"/>
  <c r="D107" i="12"/>
  <c r="E107" i="12"/>
  <c r="F107" i="12"/>
  <c r="G107" i="12"/>
  <c r="H107" i="12"/>
  <c r="I107" i="12"/>
  <c r="J107" i="12"/>
  <c r="K107" i="12"/>
  <c r="L107" i="12"/>
  <c r="N107" i="12" s="1"/>
  <c r="M107" i="12"/>
  <c r="A108" i="12"/>
  <c r="B108" i="12"/>
  <c r="C108" i="12"/>
  <c r="D108" i="12"/>
  <c r="E108" i="12"/>
  <c r="F108" i="12"/>
  <c r="G108" i="12"/>
  <c r="I108" i="12" s="1"/>
  <c r="H108" i="12"/>
  <c r="J108" i="12"/>
  <c r="K108" i="12"/>
  <c r="M108" i="12"/>
  <c r="A109" i="12"/>
  <c r="B109" i="12"/>
  <c r="C109" i="12"/>
  <c r="D109" i="12"/>
  <c r="E109" i="12"/>
  <c r="F109" i="12"/>
  <c r="G109" i="12"/>
  <c r="I109" i="12" s="1"/>
  <c r="M109" i="12" s="1"/>
  <c r="H109" i="12"/>
  <c r="J109" i="12"/>
  <c r="K109" i="12"/>
  <c r="L109" i="12" s="1"/>
  <c r="N109" i="12" s="1"/>
  <c r="A110" i="12"/>
  <c r="B110" i="12"/>
  <c r="C110" i="12"/>
  <c r="D110" i="12"/>
  <c r="E110" i="12"/>
  <c r="F110" i="12"/>
  <c r="G110" i="12"/>
  <c r="H110" i="12"/>
  <c r="I110" i="12"/>
  <c r="M110" i="12" s="1"/>
  <c r="J110" i="12"/>
  <c r="L110" i="12" s="1"/>
  <c r="K110" i="12"/>
  <c r="N110" i="12"/>
  <c r="A111" i="12"/>
  <c r="B111" i="12"/>
  <c r="C111" i="12"/>
  <c r="D111" i="12"/>
  <c r="E111" i="12"/>
  <c r="F111" i="12"/>
  <c r="G111" i="12"/>
  <c r="H111" i="12"/>
  <c r="I111" i="12" s="1"/>
  <c r="M111" i="12" s="1"/>
  <c r="J111" i="12"/>
  <c r="K111" i="12"/>
  <c r="L111" i="12"/>
  <c r="N111" i="12" s="1"/>
  <c r="A112" i="12"/>
  <c r="B112" i="12"/>
  <c r="C112" i="12"/>
  <c r="D112" i="12"/>
  <c r="E112" i="12"/>
  <c r="F112" i="12"/>
  <c r="G112" i="12"/>
  <c r="I112" i="12" s="1"/>
  <c r="M112" i="12" s="1"/>
  <c r="H112" i="12"/>
  <c r="J112" i="12"/>
  <c r="K112" i="12"/>
  <c r="A113" i="12"/>
  <c r="B113" i="12"/>
  <c r="C113" i="12"/>
  <c r="D113" i="12"/>
  <c r="E113" i="12"/>
  <c r="F113" i="12"/>
  <c r="G113" i="12"/>
  <c r="H113" i="12"/>
  <c r="I113" i="12" s="1"/>
  <c r="M113" i="12" s="1"/>
  <c r="J113" i="12"/>
  <c r="K113" i="12"/>
  <c r="L113" i="12"/>
  <c r="N113" i="12" s="1"/>
  <c r="A114" i="12"/>
  <c r="B114" i="12"/>
  <c r="C114" i="12"/>
  <c r="D114" i="12"/>
  <c r="E114" i="12"/>
  <c r="F114" i="12"/>
  <c r="G114" i="12"/>
  <c r="I114" i="12" s="1"/>
  <c r="M114" i="12" s="1"/>
  <c r="H114" i="12"/>
  <c r="J114" i="12"/>
  <c r="K114" i="12"/>
  <c r="A115" i="12"/>
  <c r="B115" i="12"/>
  <c r="C115" i="12"/>
  <c r="D115" i="12"/>
  <c r="E115" i="12"/>
  <c r="F115" i="12"/>
  <c r="G115" i="12"/>
  <c r="H115" i="12"/>
  <c r="I115" i="12" s="1"/>
  <c r="M115" i="12" s="1"/>
  <c r="J115" i="12"/>
  <c r="K115" i="12"/>
  <c r="L115" i="12"/>
  <c r="N115" i="12" s="1"/>
  <c r="A116" i="12"/>
  <c r="B116" i="12"/>
  <c r="C116" i="12"/>
  <c r="D116" i="12"/>
  <c r="E116" i="12"/>
  <c r="F116" i="12"/>
  <c r="G116" i="12"/>
  <c r="I116" i="12" s="1"/>
  <c r="M116" i="12" s="1"/>
  <c r="H116" i="12"/>
  <c r="J116" i="12"/>
  <c r="K116" i="12"/>
  <c r="A117" i="12"/>
  <c r="B117" i="12"/>
  <c r="C117" i="12"/>
  <c r="D117" i="12"/>
  <c r="E117" i="12"/>
  <c r="F117" i="12"/>
  <c r="G117" i="12"/>
  <c r="H117" i="12"/>
  <c r="I117" i="12" s="1"/>
  <c r="M117" i="12" s="1"/>
  <c r="J117" i="12"/>
  <c r="K117" i="12"/>
  <c r="L117" i="12"/>
  <c r="N117" i="12" s="1"/>
  <c r="A118" i="12"/>
  <c r="B118" i="12"/>
  <c r="C118" i="12"/>
  <c r="D118" i="12"/>
  <c r="E118" i="12"/>
  <c r="F118" i="12"/>
  <c r="G118" i="12"/>
  <c r="I118" i="12" s="1"/>
  <c r="M118" i="12" s="1"/>
  <c r="H118" i="12"/>
  <c r="J118" i="12"/>
  <c r="K118" i="12"/>
  <c r="A119" i="12"/>
  <c r="B119" i="12"/>
  <c r="C119" i="12"/>
  <c r="D119" i="12"/>
  <c r="E119" i="12"/>
  <c r="F119" i="12"/>
  <c r="G119" i="12"/>
  <c r="H119" i="12"/>
  <c r="I119" i="12" s="1"/>
  <c r="M119" i="12" s="1"/>
  <c r="J119" i="12"/>
  <c r="K119" i="12"/>
  <c r="L119" i="12"/>
  <c r="N119" i="12" s="1"/>
  <c r="A120" i="12"/>
  <c r="B120" i="12"/>
  <c r="C120" i="12"/>
  <c r="D120" i="12"/>
  <c r="E120" i="12"/>
  <c r="F120" i="12"/>
  <c r="G120" i="12"/>
  <c r="I120" i="12" s="1"/>
  <c r="M120" i="12" s="1"/>
  <c r="H120" i="12"/>
  <c r="J120" i="12"/>
  <c r="K120" i="12"/>
  <c r="A121" i="12"/>
  <c r="B121" i="12"/>
  <c r="C121" i="12"/>
  <c r="D121" i="12"/>
  <c r="E121" i="12"/>
  <c r="F121" i="12"/>
  <c r="G121" i="12"/>
  <c r="H121" i="12"/>
  <c r="I121" i="12" s="1"/>
  <c r="M121" i="12" s="1"/>
  <c r="J121" i="12"/>
  <c r="K121" i="12"/>
  <c r="L121" i="12"/>
  <c r="N121" i="12" s="1"/>
  <c r="A122" i="12"/>
  <c r="B122" i="12"/>
  <c r="C122" i="12"/>
  <c r="D122" i="12"/>
  <c r="E122" i="12"/>
  <c r="F122" i="12"/>
  <c r="G122" i="12"/>
  <c r="I122" i="12" s="1"/>
  <c r="M122" i="12" s="1"/>
  <c r="H122" i="12"/>
  <c r="J122" i="12"/>
  <c r="K122" i="12"/>
  <c r="A123" i="12"/>
  <c r="B123" i="12"/>
  <c r="C123" i="12"/>
  <c r="D123" i="12"/>
  <c r="E123" i="12"/>
  <c r="F123" i="12"/>
  <c r="G123" i="12"/>
  <c r="H123" i="12"/>
  <c r="I123" i="12" s="1"/>
  <c r="M123" i="12" s="1"/>
  <c r="J123" i="12"/>
  <c r="K123" i="12"/>
  <c r="L123" i="12"/>
  <c r="N123" i="12" s="1"/>
  <c r="A124" i="12"/>
  <c r="B124" i="12"/>
  <c r="C124" i="12"/>
  <c r="D124" i="12"/>
  <c r="E124" i="12"/>
  <c r="F124" i="12"/>
  <c r="G124" i="12"/>
  <c r="I124" i="12" s="1"/>
  <c r="M124" i="12" s="1"/>
  <c r="H124" i="12"/>
  <c r="J124" i="12"/>
  <c r="K124" i="12"/>
  <c r="A125" i="12"/>
  <c r="B125" i="12"/>
  <c r="C125" i="12"/>
  <c r="D125" i="12"/>
  <c r="E125" i="12"/>
  <c r="F125" i="12"/>
  <c r="G125" i="12"/>
  <c r="H125" i="12"/>
  <c r="I125" i="12" s="1"/>
  <c r="M125" i="12" s="1"/>
  <c r="J125" i="12"/>
  <c r="K125" i="12"/>
  <c r="L125" i="12"/>
  <c r="N125" i="12" s="1"/>
  <c r="A126" i="12"/>
  <c r="B126" i="12"/>
  <c r="C126" i="12"/>
  <c r="D126" i="12"/>
  <c r="E126" i="12"/>
  <c r="F126" i="12"/>
  <c r="G126" i="12"/>
  <c r="I126" i="12" s="1"/>
  <c r="M126" i="12" s="1"/>
  <c r="H126" i="12"/>
  <c r="J126" i="12"/>
  <c r="K126" i="12"/>
  <c r="A127" i="12"/>
  <c r="B127" i="12"/>
  <c r="C127" i="12"/>
  <c r="D127" i="12"/>
  <c r="E127" i="12"/>
  <c r="F127" i="12"/>
  <c r="G127" i="12"/>
  <c r="H127" i="12"/>
  <c r="I127" i="12" s="1"/>
  <c r="M127" i="12" s="1"/>
  <c r="J127" i="12"/>
  <c r="K127" i="12"/>
  <c r="L127" i="12"/>
  <c r="N127" i="12" s="1"/>
  <c r="A128" i="12"/>
  <c r="B128" i="12"/>
  <c r="C128" i="12"/>
  <c r="D128" i="12"/>
  <c r="E128" i="12"/>
  <c r="F128" i="12"/>
  <c r="G128" i="12"/>
  <c r="I128" i="12" s="1"/>
  <c r="M128" i="12" s="1"/>
  <c r="H128" i="12"/>
  <c r="J128" i="12"/>
  <c r="K128" i="12"/>
  <c r="A129" i="12"/>
  <c r="B129" i="12"/>
  <c r="C129" i="12"/>
  <c r="D129" i="12"/>
  <c r="E129" i="12"/>
  <c r="F129" i="12"/>
  <c r="G129" i="12"/>
  <c r="H129" i="12"/>
  <c r="I129" i="12" s="1"/>
  <c r="M129" i="12" s="1"/>
  <c r="J129" i="12"/>
  <c r="K129" i="12"/>
  <c r="L129" i="12"/>
  <c r="N129" i="12" s="1"/>
  <c r="A130" i="12"/>
  <c r="B130" i="12"/>
  <c r="C130" i="12"/>
  <c r="D130" i="12"/>
  <c r="E130" i="12"/>
  <c r="F130" i="12"/>
  <c r="G130" i="12"/>
  <c r="I130" i="12" s="1"/>
  <c r="M130" i="12" s="1"/>
  <c r="H130" i="12"/>
  <c r="J130" i="12"/>
  <c r="K130" i="12"/>
  <c r="A131" i="12"/>
  <c r="B131" i="12"/>
  <c r="C131" i="12"/>
  <c r="D131" i="12"/>
  <c r="E131" i="12"/>
  <c r="F131" i="12"/>
  <c r="G131" i="12"/>
  <c r="H131" i="12"/>
  <c r="I131" i="12" s="1"/>
  <c r="M131" i="12" s="1"/>
  <c r="J131" i="12"/>
  <c r="K131" i="12"/>
  <c r="L131" i="12"/>
  <c r="N131" i="12" s="1"/>
  <c r="A132" i="12"/>
  <c r="B132" i="12"/>
  <c r="C132" i="12"/>
  <c r="D132" i="12"/>
  <c r="E132" i="12"/>
  <c r="F132" i="12"/>
  <c r="G132" i="12"/>
  <c r="I132" i="12" s="1"/>
  <c r="M132" i="12" s="1"/>
  <c r="H132" i="12"/>
  <c r="J132" i="12"/>
  <c r="K132" i="12"/>
  <c r="A133" i="12"/>
  <c r="B133" i="12"/>
  <c r="C133" i="12"/>
  <c r="D133" i="12"/>
  <c r="E133" i="12"/>
  <c r="F133" i="12"/>
  <c r="G133" i="12"/>
  <c r="H133" i="12"/>
  <c r="I133" i="12" s="1"/>
  <c r="M133" i="12" s="1"/>
  <c r="J133" i="12"/>
  <c r="K133" i="12"/>
  <c r="L133" i="12"/>
  <c r="N133" i="12" s="1"/>
  <c r="A134" i="12"/>
  <c r="B134" i="12"/>
  <c r="C134" i="12"/>
  <c r="D134" i="12"/>
  <c r="E134" i="12"/>
  <c r="F134" i="12"/>
  <c r="G134" i="12"/>
  <c r="I134" i="12" s="1"/>
  <c r="M134" i="12" s="1"/>
  <c r="H134" i="12"/>
  <c r="J134" i="12"/>
  <c r="K134" i="12"/>
  <c r="A135" i="12"/>
  <c r="B135" i="12"/>
  <c r="C135" i="12"/>
  <c r="D135" i="12"/>
  <c r="E135" i="12"/>
  <c r="F135" i="12"/>
  <c r="G135" i="12"/>
  <c r="H135" i="12"/>
  <c r="I135" i="12" s="1"/>
  <c r="M135" i="12" s="1"/>
  <c r="J135" i="12"/>
  <c r="K135" i="12"/>
  <c r="L135" i="12"/>
  <c r="N135" i="12" s="1"/>
  <c r="A136" i="12"/>
  <c r="B136" i="12"/>
  <c r="C136" i="12"/>
  <c r="D136" i="12"/>
  <c r="E136" i="12"/>
  <c r="F136" i="12"/>
  <c r="G136" i="12"/>
  <c r="I136" i="12" s="1"/>
  <c r="M136" i="12" s="1"/>
  <c r="H136" i="12"/>
  <c r="J136" i="12"/>
  <c r="K136" i="12"/>
  <c r="A137" i="12"/>
  <c r="B137" i="12"/>
  <c r="C137" i="12"/>
  <c r="D137" i="12"/>
  <c r="E137" i="12"/>
  <c r="F137" i="12"/>
  <c r="G137" i="12"/>
  <c r="H137" i="12"/>
  <c r="I137" i="12" s="1"/>
  <c r="M137" i="12" s="1"/>
  <c r="J137" i="12"/>
  <c r="K137" i="12"/>
  <c r="L137" i="12"/>
  <c r="N137" i="12" s="1"/>
  <c r="A138" i="12"/>
  <c r="B138" i="12"/>
  <c r="C138" i="12"/>
  <c r="D138" i="12"/>
  <c r="E138" i="12"/>
  <c r="F138" i="12"/>
  <c r="G138" i="12"/>
  <c r="I138" i="12" s="1"/>
  <c r="M138" i="12" s="1"/>
  <c r="H138" i="12"/>
  <c r="J138" i="12"/>
  <c r="K138" i="12"/>
  <c r="A139" i="12"/>
  <c r="B139" i="12"/>
  <c r="C139" i="12"/>
  <c r="D139" i="12"/>
  <c r="E139" i="12"/>
  <c r="F139" i="12"/>
  <c r="G139" i="12"/>
  <c r="H139" i="12"/>
  <c r="I139" i="12" s="1"/>
  <c r="M139" i="12" s="1"/>
  <c r="J139" i="12"/>
  <c r="K139" i="12"/>
  <c r="L139" i="12"/>
  <c r="N139" i="12" s="1"/>
  <c r="A140" i="12"/>
  <c r="B140" i="12"/>
  <c r="C140" i="12"/>
  <c r="D140" i="12"/>
  <c r="E140" i="12"/>
  <c r="F140" i="12"/>
  <c r="G140" i="12"/>
  <c r="I140" i="12" s="1"/>
  <c r="M140" i="12" s="1"/>
  <c r="H140" i="12"/>
  <c r="J140" i="12"/>
  <c r="K140" i="12"/>
  <c r="A141" i="12"/>
  <c r="B141" i="12"/>
  <c r="C141" i="12"/>
  <c r="D141" i="12"/>
  <c r="E141" i="12"/>
  <c r="F141" i="12"/>
  <c r="G141" i="12"/>
  <c r="H141" i="12"/>
  <c r="I141" i="12" s="1"/>
  <c r="M141" i="12" s="1"/>
  <c r="J141" i="12"/>
  <c r="K141" i="12"/>
  <c r="L141" i="12"/>
  <c r="N141" i="12" s="1"/>
  <c r="A142" i="12"/>
  <c r="B142" i="12"/>
  <c r="C142" i="12"/>
  <c r="D142" i="12"/>
  <c r="E142" i="12"/>
  <c r="F142" i="12"/>
  <c r="G142" i="12"/>
  <c r="I142" i="12" s="1"/>
  <c r="M142" i="12" s="1"/>
  <c r="H142" i="12"/>
  <c r="J142" i="12"/>
  <c r="K142" i="12"/>
  <c r="A143" i="12"/>
  <c r="B143" i="12"/>
  <c r="C143" i="12"/>
  <c r="D143" i="12"/>
  <c r="E143" i="12"/>
  <c r="F143" i="12"/>
  <c r="G143" i="12"/>
  <c r="H143" i="12"/>
  <c r="I143" i="12" s="1"/>
  <c r="M143" i="12" s="1"/>
  <c r="J143" i="12"/>
  <c r="K143" i="12"/>
  <c r="L143" i="12"/>
  <c r="N143" i="12" s="1"/>
  <c r="A144" i="12"/>
  <c r="B144" i="12"/>
  <c r="C144" i="12"/>
  <c r="D144" i="12"/>
  <c r="E144" i="12"/>
  <c r="F144" i="12"/>
  <c r="G144" i="12"/>
  <c r="I144" i="12" s="1"/>
  <c r="M144" i="12" s="1"/>
  <c r="H144" i="12"/>
  <c r="J144" i="12"/>
  <c r="K144" i="12"/>
  <c r="A145" i="12"/>
  <c r="B145" i="12"/>
  <c r="C145" i="12"/>
  <c r="D145" i="12"/>
  <c r="E145" i="12"/>
  <c r="F145" i="12"/>
  <c r="G145" i="12"/>
  <c r="H145" i="12"/>
  <c r="I145" i="12" s="1"/>
  <c r="M145" i="12" s="1"/>
  <c r="J145" i="12"/>
  <c r="K145" i="12"/>
  <c r="L145" i="12"/>
  <c r="N145" i="12" s="1"/>
  <c r="A146" i="12"/>
  <c r="B146" i="12"/>
  <c r="C146" i="12"/>
  <c r="D146" i="12"/>
  <c r="E146" i="12"/>
  <c r="F146" i="12"/>
  <c r="G146" i="12"/>
  <c r="I146" i="12" s="1"/>
  <c r="M146" i="12" s="1"/>
  <c r="H146" i="12"/>
  <c r="J146" i="12"/>
  <c r="K146" i="12"/>
  <c r="A147" i="12"/>
  <c r="B147" i="12"/>
  <c r="C147" i="12"/>
  <c r="D147" i="12"/>
  <c r="E147" i="12"/>
  <c r="F147" i="12"/>
  <c r="G147" i="12"/>
  <c r="H147" i="12"/>
  <c r="I147" i="12" s="1"/>
  <c r="M147" i="12" s="1"/>
  <c r="J147" i="12"/>
  <c r="K147" i="12"/>
  <c r="L147" i="12"/>
  <c r="N147" i="12" s="1"/>
  <c r="A148" i="12"/>
  <c r="B148" i="12"/>
  <c r="C148" i="12"/>
  <c r="D148" i="12"/>
  <c r="E148" i="12"/>
  <c r="F148" i="12"/>
  <c r="G148" i="12"/>
  <c r="I148" i="12" s="1"/>
  <c r="M148" i="12" s="1"/>
  <c r="H148" i="12"/>
  <c r="J148" i="12"/>
  <c r="K148" i="12"/>
  <c r="A149" i="12"/>
  <c r="B149" i="12"/>
  <c r="C149" i="12"/>
  <c r="D149" i="12"/>
  <c r="E149" i="12"/>
  <c r="F149" i="12"/>
  <c r="G149" i="12"/>
  <c r="H149" i="12"/>
  <c r="I149" i="12" s="1"/>
  <c r="M149" i="12" s="1"/>
  <c r="J149" i="12"/>
  <c r="K149" i="12"/>
  <c r="L149" i="12"/>
  <c r="N149" i="12" s="1"/>
  <c r="A150" i="12"/>
  <c r="B150" i="12"/>
  <c r="C150" i="12"/>
  <c r="D150" i="12"/>
  <c r="E150" i="12"/>
  <c r="F150" i="12"/>
  <c r="G150" i="12"/>
  <c r="I150" i="12" s="1"/>
  <c r="M150" i="12" s="1"/>
  <c r="H150" i="12"/>
  <c r="J150" i="12"/>
  <c r="K150" i="12"/>
  <c r="A151" i="12"/>
  <c r="B151" i="12"/>
  <c r="C151" i="12"/>
  <c r="D151" i="12"/>
  <c r="E151" i="12"/>
  <c r="F151" i="12"/>
  <c r="G151" i="12"/>
  <c r="H151" i="12"/>
  <c r="I151" i="12" s="1"/>
  <c r="M151" i="12" s="1"/>
  <c r="J151" i="12"/>
  <c r="K151" i="12"/>
  <c r="L151" i="12"/>
  <c r="N151" i="12" s="1"/>
  <c r="A152" i="12"/>
  <c r="B152" i="12"/>
  <c r="C152" i="12"/>
  <c r="D152" i="12"/>
  <c r="E152" i="12"/>
  <c r="F152" i="12"/>
  <c r="G152" i="12"/>
  <c r="I152" i="12" s="1"/>
  <c r="M152" i="12" s="1"/>
  <c r="H152" i="12"/>
  <c r="J152" i="12"/>
  <c r="K152" i="12"/>
  <c r="A153" i="12"/>
  <c r="B153" i="12"/>
  <c r="C153" i="12"/>
  <c r="D153" i="12"/>
  <c r="E153" i="12"/>
  <c r="F153" i="12"/>
  <c r="G153" i="12"/>
  <c r="H153" i="12"/>
  <c r="I153" i="12" s="1"/>
  <c r="M153" i="12" s="1"/>
  <c r="J153" i="12"/>
  <c r="K153" i="12"/>
  <c r="L153" i="12"/>
  <c r="N153" i="12" s="1"/>
  <c r="A154" i="12"/>
  <c r="B154" i="12"/>
  <c r="C154" i="12"/>
  <c r="D154" i="12"/>
  <c r="E154" i="12"/>
  <c r="F154" i="12"/>
  <c r="G154" i="12"/>
  <c r="I154" i="12" s="1"/>
  <c r="M154" i="12" s="1"/>
  <c r="H154" i="12"/>
  <c r="J154" i="12"/>
  <c r="K154" i="12"/>
  <c r="A155" i="12"/>
  <c r="B155" i="12"/>
  <c r="C155" i="12"/>
  <c r="D155" i="12"/>
  <c r="E155" i="12"/>
  <c r="F155" i="12"/>
  <c r="G155" i="12"/>
  <c r="H155" i="12"/>
  <c r="I155" i="12" s="1"/>
  <c r="M155" i="12" s="1"/>
  <c r="J155" i="12"/>
  <c r="K155" i="12"/>
  <c r="L155" i="12"/>
  <c r="N155" i="12" s="1"/>
  <c r="A156" i="12"/>
  <c r="B156" i="12"/>
  <c r="C156" i="12"/>
  <c r="D156" i="12"/>
  <c r="E156" i="12"/>
  <c r="F156" i="12"/>
  <c r="G156" i="12"/>
  <c r="I156" i="12" s="1"/>
  <c r="M156" i="12" s="1"/>
  <c r="H156" i="12"/>
  <c r="J156" i="12"/>
  <c r="K156" i="12"/>
  <c r="A157" i="12"/>
  <c r="B157" i="12"/>
  <c r="C157" i="12"/>
  <c r="D157" i="12"/>
  <c r="E157" i="12"/>
  <c r="F157" i="12"/>
  <c r="G157" i="12"/>
  <c r="H157" i="12"/>
  <c r="I157" i="12" s="1"/>
  <c r="M157" i="12" s="1"/>
  <c r="J157" i="12"/>
  <c r="K157" i="12"/>
  <c r="L157" i="12"/>
  <c r="N157" i="12" s="1"/>
  <c r="A158" i="12"/>
  <c r="B158" i="12"/>
  <c r="C158" i="12"/>
  <c r="D158" i="12"/>
  <c r="E158" i="12"/>
  <c r="F158" i="12"/>
  <c r="G158" i="12"/>
  <c r="I158" i="12" s="1"/>
  <c r="M158" i="12" s="1"/>
  <c r="H158" i="12"/>
  <c r="J158" i="12"/>
  <c r="K158" i="12"/>
  <c r="A159" i="12"/>
  <c r="B159" i="12"/>
  <c r="C159" i="12"/>
  <c r="D159" i="12"/>
  <c r="E159" i="12"/>
  <c r="F159" i="12"/>
  <c r="G159" i="12"/>
  <c r="H159" i="12"/>
  <c r="I159" i="12" s="1"/>
  <c r="M159" i="12" s="1"/>
  <c r="J159" i="12"/>
  <c r="K159" i="12"/>
  <c r="L159" i="12"/>
  <c r="N159" i="12" s="1"/>
  <c r="A160" i="12"/>
  <c r="B160" i="12"/>
  <c r="C160" i="12"/>
  <c r="D160" i="12"/>
  <c r="E160" i="12"/>
  <c r="F160" i="12"/>
  <c r="G160" i="12"/>
  <c r="I160" i="12" s="1"/>
  <c r="M160" i="12" s="1"/>
  <c r="H160" i="12"/>
  <c r="J160" i="12"/>
  <c r="K160" i="12"/>
  <c r="A161" i="12"/>
  <c r="B161" i="12"/>
  <c r="C161" i="12"/>
  <c r="D161" i="12"/>
  <c r="E161" i="12"/>
  <c r="F161" i="12"/>
  <c r="G161" i="12"/>
  <c r="H161" i="12"/>
  <c r="I161" i="12"/>
  <c r="J161" i="12"/>
  <c r="K161" i="12"/>
  <c r="L161" i="12" s="1"/>
  <c r="N161" i="12" s="1"/>
  <c r="M161" i="12"/>
  <c r="A162" i="12"/>
  <c r="B162" i="12"/>
  <c r="C162" i="12"/>
  <c r="D162" i="12"/>
  <c r="E162" i="12"/>
  <c r="F162" i="12"/>
  <c r="G162" i="12"/>
  <c r="H162" i="12"/>
  <c r="I162" i="12"/>
  <c r="J162" i="12"/>
  <c r="L162" i="12" s="1"/>
  <c r="K162" i="12"/>
  <c r="M162" i="12"/>
  <c r="N162" i="12"/>
  <c r="A163" i="12"/>
  <c r="B163" i="12"/>
  <c r="C163" i="12"/>
  <c r="D163" i="12"/>
  <c r="E163" i="12"/>
  <c r="F163" i="12"/>
  <c r="G163" i="12"/>
  <c r="I163" i="12" s="1"/>
  <c r="M163" i="12" s="1"/>
  <c r="H163" i="12"/>
  <c r="J163" i="12"/>
  <c r="K163" i="12"/>
  <c r="L163" i="12"/>
  <c r="N163" i="12" s="1"/>
  <c r="A164" i="12"/>
  <c r="B164" i="12"/>
  <c r="C164" i="12"/>
  <c r="D164" i="12"/>
  <c r="E164" i="12"/>
  <c r="F164" i="12"/>
  <c r="G164" i="12"/>
  <c r="I164" i="12" s="1"/>
  <c r="M164" i="12" s="1"/>
  <c r="H164" i="12"/>
  <c r="J164" i="12"/>
  <c r="L164" i="12" s="1"/>
  <c r="N164" i="12" s="1"/>
  <c r="K164" i="12"/>
  <c r="A165" i="12"/>
  <c r="B165" i="12"/>
  <c r="C165" i="12"/>
  <c r="D165" i="12"/>
  <c r="E165" i="12"/>
  <c r="F165" i="12"/>
  <c r="G165" i="12"/>
  <c r="H165" i="12"/>
  <c r="I165" i="12"/>
  <c r="M165" i="12" s="1"/>
  <c r="J165" i="12"/>
  <c r="K165" i="12"/>
  <c r="L165" i="12" s="1"/>
  <c r="N165" i="12" s="1"/>
  <c r="A166" i="12"/>
  <c r="B166" i="12"/>
  <c r="C166" i="12"/>
  <c r="D166" i="12"/>
  <c r="E166" i="12"/>
  <c r="F166" i="12"/>
  <c r="G166" i="12"/>
  <c r="H166" i="12"/>
  <c r="I166" i="12"/>
  <c r="M166" i="12" s="1"/>
  <c r="J166" i="12"/>
  <c r="L166" i="12" s="1"/>
  <c r="K166" i="12"/>
  <c r="N166" i="12"/>
  <c r="A167" i="12"/>
  <c r="B167" i="12"/>
  <c r="C167" i="12"/>
  <c r="D167" i="12"/>
  <c r="E167" i="12"/>
  <c r="F167" i="12"/>
  <c r="G167" i="12"/>
  <c r="H167" i="12"/>
  <c r="J167" i="12"/>
  <c r="K167" i="12"/>
  <c r="L167" i="12" s="1"/>
  <c r="N167" i="12" s="1"/>
  <c r="A168" i="12"/>
  <c r="B168" i="12"/>
  <c r="C168" i="12"/>
  <c r="D168" i="12"/>
  <c r="E168" i="12"/>
  <c r="F168" i="12"/>
  <c r="G168" i="12"/>
  <c r="I168" i="12" s="1"/>
  <c r="M168" i="12" s="1"/>
  <c r="H168" i="12"/>
  <c r="J168" i="12"/>
  <c r="K168" i="12"/>
  <c r="A169" i="12"/>
  <c r="B169" i="12"/>
  <c r="C169" i="12"/>
  <c r="D169" i="12"/>
  <c r="E169" i="12"/>
  <c r="F169" i="12"/>
  <c r="G169" i="12"/>
  <c r="H169" i="12"/>
  <c r="I169" i="12"/>
  <c r="J169" i="12"/>
  <c r="K169" i="12"/>
  <c r="L169" i="12" s="1"/>
  <c r="N169" i="12" s="1"/>
  <c r="M169" i="12"/>
  <c r="A170" i="12"/>
  <c r="B170" i="12"/>
  <c r="C170" i="12"/>
  <c r="D170" i="12"/>
  <c r="E170" i="12"/>
  <c r="F170" i="12"/>
  <c r="G170" i="12"/>
  <c r="H170" i="12"/>
  <c r="I170" i="12"/>
  <c r="J170" i="12"/>
  <c r="L170" i="12" s="1"/>
  <c r="K170" i="12"/>
  <c r="M170" i="12"/>
  <c r="N170" i="12"/>
  <c r="A171" i="12"/>
  <c r="B171" i="12"/>
  <c r="C171" i="12"/>
  <c r="D171" i="12"/>
  <c r="E171" i="12"/>
  <c r="F171" i="12"/>
  <c r="G171" i="12"/>
  <c r="I171" i="12" s="1"/>
  <c r="M171" i="12" s="1"/>
  <c r="H171" i="12"/>
  <c r="J171" i="12"/>
  <c r="K171" i="12"/>
  <c r="L171" i="12"/>
  <c r="N171" i="12" s="1"/>
  <c r="A172" i="12"/>
  <c r="B172" i="12"/>
  <c r="C172" i="12"/>
  <c r="D172" i="12"/>
  <c r="E172" i="12"/>
  <c r="F172" i="12"/>
  <c r="G172" i="12"/>
  <c r="I172" i="12" s="1"/>
  <c r="M172" i="12" s="1"/>
  <c r="H172" i="12"/>
  <c r="J172" i="12"/>
  <c r="L172" i="12" s="1"/>
  <c r="N172" i="12" s="1"/>
  <c r="K172" i="12"/>
  <c r="A173" i="12"/>
  <c r="B173" i="12"/>
  <c r="C173" i="12"/>
  <c r="D173" i="12"/>
  <c r="E173" i="12"/>
  <c r="F173" i="12"/>
  <c r="G173" i="12"/>
  <c r="H173" i="12"/>
  <c r="I173" i="12"/>
  <c r="M173" i="12" s="1"/>
  <c r="J173" i="12"/>
  <c r="K173" i="12"/>
  <c r="L173" i="12" s="1"/>
  <c r="N173" i="12" s="1"/>
  <c r="A174" i="12"/>
  <c r="B174" i="12"/>
  <c r="C174" i="12"/>
  <c r="D174" i="12"/>
  <c r="E174" i="12"/>
  <c r="F174" i="12"/>
  <c r="G174" i="12"/>
  <c r="H174" i="12"/>
  <c r="I174" i="12"/>
  <c r="M174" i="12" s="1"/>
  <c r="J174" i="12"/>
  <c r="L174" i="12" s="1"/>
  <c r="K174" i="12"/>
  <c r="N174" i="12"/>
  <c r="A175" i="12"/>
  <c r="B175" i="12"/>
  <c r="C175" i="12"/>
  <c r="D175" i="12"/>
  <c r="E175" i="12"/>
  <c r="F175" i="12"/>
  <c r="G175" i="12"/>
  <c r="H175" i="12"/>
  <c r="J175" i="12"/>
  <c r="K175" i="12"/>
  <c r="L175" i="12" s="1"/>
  <c r="N175" i="12" s="1"/>
  <c r="A176" i="12"/>
  <c r="B176" i="12"/>
  <c r="C176" i="12"/>
  <c r="D176" i="12"/>
  <c r="E176" i="12"/>
  <c r="F176" i="12"/>
  <c r="G176" i="12"/>
  <c r="I176" i="12" s="1"/>
  <c r="M176" i="12" s="1"/>
  <c r="H176" i="12"/>
  <c r="J176" i="12"/>
  <c r="L176" i="12" s="1"/>
  <c r="N176" i="12" s="1"/>
  <c r="K176" i="12"/>
  <c r="A177" i="12"/>
  <c r="B177" i="12"/>
  <c r="C177" i="12"/>
  <c r="D177" i="12"/>
  <c r="E177" i="12"/>
  <c r="F177" i="12"/>
  <c r="G177" i="12"/>
  <c r="H177" i="12"/>
  <c r="I177" i="12"/>
  <c r="J177" i="12"/>
  <c r="K177" i="12"/>
  <c r="L177" i="12" s="1"/>
  <c r="N177" i="12" s="1"/>
  <c r="M177" i="12"/>
  <c r="A178" i="12"/>
  <c r="B178" i="12"/>
  <c r="C178" i="12"/>
  <c r="D178" i="12"/>
  <c r="E178" i="12"/>
  <c r="F178" i="12"/>
  <c r="G178" i="12"/>
  <c r="H178" i="12"/>
  <c r="I178" i="12"/>
  <c r="J178" i="12"/>
  <c r="L178" i="12" s="1"/>
  <c r="K178" i="12"/>
  <c r="M178" i="12"/>
  <c r="N178" i="12"/>
  <c r="A179" i="12"/>
  <c r="B179" i="12"/>
  <c r="C179" i="12"/>
  <c r="D179" i="12"/>
  <c r="E179" i="12"/>
  <c r="F179" i="12"/>
  <c r="G179" i="12"/>
  <c r="I179" i="12" s="1"/>
  <c r="M179" i="12" s="1"/>
  <c r="H179" i="12"/>
  <c r="J179" i="12"/>
  <c r="K179" i="12"/>
  <c r="L179" i="12" s="1"/>
  <c r="N179" i="12" s="1"/>
  <c r="A180" i="12"/>
  <c r="B180" i="12"/>
  <c r="C180" i="12"/>
  <c r="D180" i="12"/>
  <c r="E180" i="12"/>
  <c r="F180" i="12"/>
  <c r="G180" i="12"/>
  <c r="I180" i="12" s="1"/>
  <c r="M180" i="12" s="1"/>
  <c r="H180" i="12"/>
  <c r="J180" i="12"/>
  <c r="L180" i="12" s="1"/>
  <c r="N180" i="12" s="1"/>
  <c r="K180" i="12"/>
  <c r="A181" i="12"/>
  <c r="B181" i="12"/>
  <c r="C181" i="12"/>
  <c r="D181" i="12"/>
  <c r="E181" i="12"/>
  <c r="F181" i="12"/>
  <c r="G181" i="12"/>
  <c r="H181" i="12"/>
  <c r="I181" i="12"/>
  <c r="M181" i="12" s="1"/>
  <c r="J181" i="12"/>
  <c r="K181" i="12"/>
  <c r="L181" i="12" s="1"/>
  <c r="N181" i="12" s="1"/>
  <c r="A182" i="12"/>
  <c r="B182" i="12"/>
  <c r="C182" i="12"/>
  <c r="D182" i="12"/>
  <c r="E182" i="12"/>
  <c r="F182" i="12"/>
  <c r="G182" i="12"/>
  <c r="H182" i="12"/>
  <c r="I182" i="12"/>
  <c r="M182" i="12" s="1"/>
  <c r="J182" i="12"/>
  <c r="L182" i="12" s="1"/>
  <c r="K182" i="12"/>
  <c r="N182" i="12"/>
  <c r="A183" i="12"/>
  <c r="B183" i="12"/>
  <c r="C183" i="12"/>
  <c r="D183" i="12"/>
  <c r="E183" i="12"/>
  <c r="F183" i="12"/>
  <c r="G183" i="12"/>
  <c r="H183" i="12"/>
  <c r="J183" i="12"/>
  <c r="K183" i="12"/>
  <c r="L183" i="12" s="1"/>
  <c r="N183" i="12" s="1"/>
  <c r="A184" i="12"/>
  <c r="B184" i="12"/>
  <c r="C184" i="12"/>
  <c r="D184" i="12"/>
  <c r="E184" i="12"/>
  <c r="F184" i="12"/>
  <c r="G184" i="12"/>
  <c r="I184" i="12" s="1"/>
  <c r="M184" i="12" s="1"/>
  <c r="H184" i="12"/>
  <c r="J184" i="12"/>
  <c r="K184" i="12"/>
  <c r="A185" i="12"/>
  <c r="B185" i="12"/>
  <c r="C185" i="12"/>
  <c r="D185" i="12"/>
  <c r="E185" i="12"/>
  <c r="F185" i="12"/>
  <c r="G185" i="12"/>
  <c r="H185" i="12"/>
  <c r="I185" i="12"/>
  <c r="J185" i="12"/>
  <c r="K185" i="12"/>
  <c r="L185" i="12" s="1"/>
  <c r="N185" i="12" s="1"/>
  <c r="M185" i="12"/>
  <c r="A186" i="12"/>
  <c r="B186" i="12"/>
  <c r="C186" i="12"/>
  <c r="D186" i="12"/>
  <c r="E186" i="12"/>
  <c r="F186" i="12"/>
  <c r="G186" i="12"/>
  <c r="H186" i="12"/>
  <c r="I186" i="12"/>
  <c r="J186" i="12"/>
  <c r="L186" i="12" s="1"/>
  <c r="K186" i="12"/>
  <c r="M186" i="12"/>
  <c r="N186" i="12"/>
  <c r="A187" i="12"/>
  <c r="B187" i="12"/>
  <c r="C187" i="12"/>
  <c r="D187" i="12"/>
  <c r="E187" i="12"/>
  <c r="F187" i="12"/>
  <c r="G187" i="12"/>
  <c r="I187" i="12" s="1"/>
  <c r="M187" i="12" s="1"/>
  <c r="H187" i="12"/>
  <c r="J187" i="12"/>
  <c r="K187" i="12"/>
  <c r="L187" i="12"/>
  <c r="N187" i="12" s="1"/>
  <c r="A188" i="12"/>
  <c r="B188" i="12"/>
  <c r="C188" i="12"/>
  <c r="D188" i="12"/>
  <c r="E188" i="12"/>
  <c r="F188" i="12"/>
  <c r="G188" i="12"/>
  <c r="I188" i="12" s="1"/>
  <c r="M188" i="12" s="1"/>
  <c r="H188" i="12"/>
  <c r="J188" i="12"/>
  <c r="L188" i="12" s="1"/>
  <c r="N188" i="12" s="1"/>
  <c r="K188" i="12"/>
  <c r="A189" i="12"/>
  <c r="B189" i="12"/>
  <c r="C189" i="12"/>
  <c r="D189" i="12"/>
  <c r="E189" i="12"/>
  <c r="F189" i="12"/>
  <c r="G189" i="12"/>
  <c r="H189" i="12"/>
  <c r="I189" i="12"/>
  <c r="M189" i="12" s="1"/>
  <c r="J189" i="12"/>
  <c r="K189" i="12"/>
  <c r="L189" i="12" s="1"/>
  <c r="N189" i="12" s="1"/>
  <c r="A190" i="12"/>
  <c r="B190" i="12"/>
  <c r="C190" i="12"/>
  <c r="D190" i="12"/>
  <c r="E190" i="12"/>
  <c r="F190" i="12"/>
  <c r="G190" i="12"/>
  <c r="H190" i="12"/>
  <c r="I190" i="12"/>
  <c r="M190" i="12" s="1"/>
  <c r="J190" i="12"/>
  <c r="L190" i="12" s="1"/>
  <c r="K190" i="12"/>
  <c r="N190" i="12"/>
  <c r="A191" i="12"/>
  <c r="B191" i="12"/>
  <c r="C191" i="12"/>
  <c r="D191" i="12"/>
  <c r="E191" i="12"/>
  <c r="F191" i="12"/>
  <c r="G191" i="12"/>
  <c r="H191" i="12"/>
  <c r="J191" i="12"/>
  <c r="K191" i="12"/>
  <c r="L191" i="12" s="1"/>
  <c r="N191" i="12" s="1"/>
  <c r="A192" i="12"/>
  <c r="B192" i="12"/>
  <c r="C192" i="12"/>
  <c r="D192" i="12"/>
  <c r="E192" i="12"/>
  <c r="F192" i="12"/>
  <c r="G192" i="12"/>
  <c r="I192" i="12" s="1"/>
  <c r="M192" i="12" s="1"/>
  <c r="H192" i="12"/>
  <c r="J192" i="12"/>
  <c r="K192" i="12"/>
  <c r="A193" i="12"/>
  <c r="B193" i="12"/>
  <c r="C193" i="12"/>
  <c r="D193" i="12"/>
  <c r="E193" i="12"/>
  <c r="F193" i="12"/>
  <c r="G193" i="12"/>
  <c r="H193" i="12"/>
  <c r="I193" i="12"/>
  <c r="J193" i="12"/>
  <c r="K193" i="12"/>
  <c r="L193" i="12" s="1"/>
  <c r="N193" i="12" s="1"/>
  <c r="M193" i="12"/>
  <c r="A194" i="12"/>
  <c r="B194" i="12"/>
  <c r="C194" i="12"/>
  <c r="D194" i="12"/>
  <c r="E194" i="12"/>
  <c r="F194" i="12"/>
  <c r="G194" i="12"/>
  <c r="H194" i="12"/>
  <c r="I194" i="12"/>
  <c r="J194" i="12"/>
  <c r="L194" i="12" s="1"/>
  <c r="K194" i="12"/>
  <c r="M194" i="12"/>
  <c r="N194" i="12"/>
  <c r="A195" i="12"/>
  <c r="B195" i="12"/>
  <c r="C195" i="12"/>
  <c r="D195" i="12"/>
  <c r="E195" i="12"/>
  <c r="F195" i="12"/>
  <c r="G195" i="12"/>
  <c r="I195" i="12" s="1"/>
  <c r="M195" i="12" s="1"/>
  <c r="H195" i="12"/>
  <c r="J195" i="12"/>
  <c r="K195" i="12"/>
  <c r="L195" i="12"/>
  <c r="N195" i="12" s="1"/>
  <c r="A196" i="12"/>
  <c r="B196" i="12"/>
  <c r="C196" i="12"/>
  <c r="D196" i="12"/>
  <c r="E196" i="12"/>
  <c r="F196" i="12"/>
  <c r="G196" i="12"/>
  <c r="I196" i="12" s="1"/>
  <c r="M196" i="12" s="1"/>
  <c r="H196" i="12"/>
  <c r="J196" i="12"/>
  <c r="L196" i="12" s="1"/>
  <c r="N196" i="12" s="1"/>
  <c r="K196" i="12"/>
  <c r="A197" i="12"/>
  <c r="B197" i="12"/>
  <c r="C197" i="12"/>
  <c r="D197" i="12"/>
  <c r="E197" i="12"/>
  <c r="F197" i="12"/>
  <c r="G197" i="12"/>
  <c r="H197" i="12"/>
  <c r="I197" i="12"/>
  <c r="M197" i="12" s="1"/>
  <c r="J197" i="12"/>
  <c r="K197" i="12"/>
  <c r="L197" i="12" s="1"/>
  <c r="N197" i="12" s="1"/>
  <c r="A198" i="12"/>
  <c r="B198" i="12"/>
  <c r="C198" i="12"/>
  <c r="D198" i="12"/>
  <c r="E198" i="12"/>
  <c r="F198" i="12"/>
  <c r="G198" i="12"/>
  <c r="H198" i="12"/>
  <c r="I198" i="12"/>
  <c r="M198" i="12" s="1"/>
  <c r="J198" i="12"/>
  <c r="L198" i="12" s="1"/>
  <c r="K198" i="12"/>
  <c r="N198" i="12"/>
  <c r="A199" i="12"/>
  <c r="B199" i="12"/>
  <c r="C199" i="12"/>
  <c r="D199" i="12"/>
  <c r="E199" i="12"/>
  <c r="F199" i="12"/>
  <c r="G199" i="12"/>
  <c r="H199" i="12"/>
  <c r="J199" i="12"/>
  <c r="K199" i="12"/>
  <c r="L199" i="12" s="1"/>
  <c r="N199" i="12" s="1"/>
  <c r="A200" i="12"/>
  <c r="B200" i="12"/>
  <c r="C200" i="12"/>
  <c r="D200" i="12"/>
  <c r="E200" i="12"/>
  <c r="F200" i="12"/>
  <c r="G200" i="12"/>
  <c r="I200" i="12" s="1"/>
  <c r="M200" i="12" s="1"/>
  <c r="H200" i="12"/>
  <c r="J200" i="12"/>
  <c r="K200" i="12"/>
  <c r="A201" i="12"/>
  <c r="B201" i="12"/>
  <c r="C201" i="12"/>
  <c r="D201" i="12"/>
  <c r="E201" i="12"/>
  <c r="F201" i="12"/>
  <c r="G201" i="12"/>
  <c r="H201" i="12"/>
  <c r="I201" i="12"/>
  <c r="J201" i="12"/>
  <c r="K201" i="12"/>
  <c r="L201" i="12" s="1"/>
  <c r="N201" i="12" s="1"/>
  <c r="M201" i="12"/>
  <c r="A202" i="12"/>
  <c r="B202" i="12"/>
  <c r="C202" i="12"/>
  <c r="D202" i="12"/>
  <c r="E202" i="12"/>
  <c r="F202" i="12"/>
  <c r="G202" i="12"/>
  <c r="H202" i="12"/>
  <c r="I202" i="12"/>
  <c r="J202" i="12"/>
  <c r="L202" i="12" s="1"/>
  <c r="K202" i="12"/>
  <c r="M202" i="12"/>
  <c r="N202" i="12"/>
  <c r="A203" i="12"/>
  <c r="B203" i="12"/>
  <c r="C203" i="12"/>
  <c r="D203" i="12"/>
  <c r="E203" i="12"/>
  <c r="F203" i="12"/>
  <c r="G203" i="12"/>
  <c r="I203" i="12" s="1"/>
  <c r="M203" i="12" s="1"/>
  <c r="H203" i="12"/>
  <c r="J203" i="12"/>
  <c r="K203" i="12"/>
  <c r="L203" i="12"/>
  <c r="N203" i="12" s="1"/>
  <c r="A204" i="12"/>
  <c r="B204" i="12"/>
  <c r="C204" i="12"/>
  <c r="D204" i="12"/>
  <c r="E204" i="12"/>
  <c r="F204" i="12"/>
  <c r="G204" i="12"/>
  <c r="I204" i="12" s="1"/>
  <c r="M204" i="12" s="1"/>
  <c r="H204" i="12"/>
  <c r="J204" i="12"/>
  <c r="L204" i="12" s="1"/>
  <c r="N204" i="12" s="1"/>
  <c r="K204" i="12"/>
  <c r="A205" i="12"/>
  <c r="B205" i="12"/>
  <c r="C205" i="12"/>
  <c r="D205" i="12"/>
  <c r="E205" i="12"/>
  <c r="F205" i="12"/>
  <c r="G205" i="12"/>
  <c r="H205" i="12"/>
  <c r="I205" i="12"/>
  <c r="M205" i="12" s="1"/>
  <c r="J205" i="12"/>
  <c r="K205" i="12"/>
  <c r="L205" i="12" s="1"/>
  <c r="N205" i="12" s="1"/>
  <c r="A206" i="12"/>
  <c r="B206" i="12"/>
  <c r="C206" i="12"/>
  <c r="D206" i="12"/>
  <c r="E206" i="12"/>
  <c r="F206" i="12"/>
  <c r="G206" i="12"/>
  <c r="H206" i="12"/>
  <c r="I206" i="12"/>
  <c r="M206" i="12" s="1"/>
  <c r="J206" i="12"/>
  <c r="L206" i="12" s="1"/>
  <c r="K206" i="12"/>
  <c r="N206" i="12"/>
  <c r="A207" i="12"/>
  <c r="B207" i="12"/>
  <c r="C207" i="12"/>
  <c r="D207" i="12"/>
  <c r="E207" i="12"/>
  <c r="F207" i="12"/>
  <c r="G207" i="12"/>
  <c r="H207" i="12"/>
  <c r="J207" i="12"/>
  <c r="K207" i="12"/>
  <c r="L207" i="12" s="1"/>
  <c r="N207" i="12" s="1"/>
  <c r="A208" i="12"/>
  <c r="B208" i="12"/>
  <c r="C208" i="12"/>
  <c r="D208" i="12"/>
  <c r="E208" i="12"/>
  <c r="F208" i="12"/>
  <c r="G208" i="12"/>
  <c r="I208" i="12" s="1"/>
  <c r="M208" i="12" s="1"/>
  <c r="H208" i="12"/>
  <c r="J208" i="12"/>
  <c r="L208" i="12" s="1"/>
  <c r="N208" i="12" s="1"/>
  <c r="K208" i="12"/>
  <c r="A209" i="12"/>
  <c r="B209" i="12"/>
  <c r="C209" i="12"/>
  <c r="D209" i="12"/>
  <c r="E209" i="12"/>
  <c r="F209" i="12"/>
  <c r="G209" i="12"/>
  <c r="H209" i="12"/>
  <c r="I209" i="12"/>
  <c r="J209" i="12"/>
  <c r="K209" i="12"/>
  <c r="L209" i="12" s="1"/>
  <c r="N209" i="12" s="1"/>
  <c r="M209" i="12"/>
  <c r="A210" i="12"/>
  <c r="B210" i="12"/>
  <c r="C210" i="12"/>
  <c r="D210" i="12"/>
  <c r="E210" i="12"/>
  <c r="F210" i="12"/>
  <c r="G210" i="12"/>
  <c r="H210" i="12"/>
  <c r="I210" i="12"/>
  <c r="J210" i="12"/>
  <c r="L210" i="12" s="1"/>
  <c r="K210" i="12"/>
  <c r="M210" i="12"/>
  <c r="N210" i="12"/>
  <c r="A211" i="12"/>
  <c r="B211" i="12"/>
  <c r="C211" i="12"/>
  <c r="D211" i="12"/>
  <c r="E211" i="12"/>
  <c r="F211" i="12"/>
  <c r="G211" i="12"/>
  <c r="I211" i="12" s="1"/>
  <c r="M211" i="12" s="1"/>
  <c r="H211" i="12"/>
  <c r="J211" i="12"/>
  <c r="K211" i="12"/>
  <c r="L211" i="12" s="1"/>
  <c r="N211" i="12" s="1"/>
  <c r="A212" i="12"/>
  <c r="B212" i="12"/>
  <c r="C212" i="12"/>
  <c r="D212" i="12"/>
  <c r="E212" i="12"/>
  <c r="F212" i="12"/>
  <c r="G212" i="12"/>
  <c r="I212" i="12" s="1"/>
  <c r="M212" i="12" s="1"/>
  <c r="H212" i="12"/>
  <c r="J212" i="12"/>
  <c r="L212" i="12" s="1"/>
  <c r="N212" i="12" s="1"/>
  <c r="K212" i="12"/>
  <c r="A213" i="12"/>
  <c r="B213" i="12"/>
  <c r="C213" i="12"/>
  <c r="D213" i="12"/>
  <c r="E213" i="12"/>
  <c r="F213" i="12"/>
  <c r="G213" i="12"/>
  <c r="H213" i="12"/>
  <c r="I213" i="12"/>
  <c r="M213" i="12" s="1"/>
  <c r="J213" i="12"/>
  <c r="K213" i="12"/>
  <c r="L213" i="12" s="1"/>
  <c r="N213" i="12" s="1"/>
  <c r="A214" i="12"/>
  <c r="B214" i="12"/>
  <c r="C214" i="12"/>
  <c r="D214" i="12"/>
  <c r="E214" i="12"/>
  <c r="F214" i="12"/>
  <c r="G214" i="12"/>
  <c r="H214" i="12"/>
  <c r="I214" i="12"/>
  <c r="M214" i="12" s="1"/>
  <c r="J214" i="12"/>
  <c r="L214" i="12" s="1"/>
  <c r="K214" i="12"/>
  <c r="N214" i="12"/>
  <c r="A215" i="12"/>
  <c r="B215" i="12"/>
  <c r="C215" i="12"/>
  <c r="D215" i="12"/>
  <c r="E215" i="12"/>
  <c r="F215" i="12"/>
  <c r="G215" i="12"/>
  <c r="H215" i="12"/>
  <c r="J215" i="12"/>
  <c r="K215" i="12"/>
  <c r="L215" i="12" s="1"/>
  <c r="N215" i="12" s="1"/>
  <c r="A216" i="12"/>
  <c r="B216" i="12"/>
  <c r="C216" i="12"/>
  <c r="D216" i="12"/>
  <c r="E216" i="12"/>
  <c r="F216" i="12"/>
  <c r="G216" i="12"/>
  <c r="I216" i="12" s="1"/>
  <c r="M216" i="12" s="1"/>
  <c r="H216" i="12"/>
  <c r="J216" i="12"/>
  <c r="K216" i="12"/>
  <c r="A217" i="12"/>
  <c r="B217" i="12"/>
  <c r="C217" i="12"/>
  <c r="D217" i="12"/>
  <c r="E217" i="12"/>
  <c r="F217" i="12"/>
  <c r="G217" i="12"/>
  <c r="H217" i="12"/>
  <c r="I217" i="12"/>
  <c r="J217" i="12"/>
  <c r="K217" i="12"/>
  <c r="L217" i="12" s="1"/>
  <c r="N217" i="12" s="1"/>
  <c r="M217" i="12"/>
  <c r="A218" i="12"/>
  <c r="B218" i="12"/>
  <c r="C218" i="12"/>
  <c r="D218" i="12"/>
  <c r="E218" i="12"/>
  <c r="F218" i="12"/>
  <c r="G218" i="12"/>
  <c r="H218" i="12"/>
  <c r="I218" i="12"/>
  <c r="J218" i="12"/>
  <c r="L218" i="12" s="1"/>
  <c r="K218" i="12"/>
  <c r="M218" i="12"/>
  <c r="N218" i="12"/>
  <c r="A219" i="12"/>
  <c r="B219" i="12"/>
  <c r="C219" i="12"/>
  <c r="D219" i="12"/>
  <c r="E219" i="12"/>
  <c r="F219" i="12"/>
  <c r="G219" i="12"/>
  <c r="I219" i="12" s="1"/>
  <c r="M219" i="12" s="1"/>
  <c r="H219" i="12"/>
  <c r="J219" i="12"/>
  <c r="K219" i="12"/>
  <c r="L219" i="12"/>
  <c r="N219" i="12" s="1"/>
  <c r="A220" i="12"/>
  <c r="B220" i="12"/>
  <c r="C220" i="12"/>
  <c r="D220" i="12"/>
  <c r="E220" i="12"/>
  <c r="F220" i="12"/>
  <c r="G220" i="12"/>
  <c r="I220" i="12" s="1"/>
  <c r="M220" i="12" s="1"/>
  <c r="H220" i="12"/>
  <c r="J220" i="12"/>
  <c r="L220" i="12" s="1"/>
  <c r="N220" i="12" s="1"/>
  <c r="K220" i="12"/>
  <c r="A221" i="12"/>
  <c r="B221" i="12"/>
  <c r="C221" i="12"/>
  <c r="D221" i="12"/>
  <c r="E221" i="12"/>
  <c r="F221" i="12"/>
  <c r="G221" i="12"/>
  <c r="H221" i="12"/>
  <c r="I221" i="12"/>
  <c r="M221" i="12" s="1"/>
  <c r="J221" i="12"/>
  <c r="K221" i="12"/>
  <c r="L221" i="12" s="1"/>
  <c r="N221" i="12" s="1"/>
  <c r="A222" i="12"/>
  <c r="B222" i="12"/>
  <c r="C222" i="12"/>
  <c r="D222" i="12"/>
  <c r="E222" i="12"/>
  <c r="F222" i="12"/>
  <c r="G222" i="12"/>
  <c r="H222" i="12"/>
  <c r="I222" i="12"/>
  <c r="M222" i="12" s="1"/>
  <c r="J222" i="12"/>
  <c r="L222" i="12" s="1"/>
  <c r="K222" i="12"/>
  <c r="N222" i="12"/>
  <c r="A223" i="12"/>
  <c r="B223" i="12"/>
  <c r="C223" i="12"/>
  <c r="D223" i="12"/>
  <c r="E223" i="12"/>
  <c r="F223" i="12"/>
  <c r="G223" i="12"/>
  <c r="H223" i="12"/>
  <c r="J223" i="12"/>
  <c r="K223" i="12"/>
  <c r="L223" i="12" s="1"/>
  <c r="N223" i="12" s="1"/>
  <c r="A224" i="12"/>
  <c r="B224" i="12"/>
  <c r="C224" i="12"/>
  <c r="D224" i="12"/>
  <c r="E224" i="12"/>
  <c r="F224" i="12"/>
  <c r="G224" i="12"/>
  <c r="I224" i="12" s="1"/>
  <c r="M224" i="12" s="1"/>
  <c r="H224" i="12"/>
  <c r="J224" i="12"/>
  <c r="K224" i="12"/>
  <c r="A225" i="12"/>
  <c r="B225" i="12"/>
  <c r="C225" i="12"/>
  <c r="D225" i="12"/>
  <c r="E225" i="12"/>
  <c r="F225" i="12"/>
  <c r="G225" i="12"/>
  <c r="H225" i="12"/>
  <c r="I225" i="12"/>
  <c r="J225" i="12"/>
  <c r="K225" i="12"/>
  <c r="L225" i="12" s="1"/>
  <c r="N225" i="12" s="1"/>
  <c r="M225" i="12"/>
  <c r="A226" i="12"/>
  <c r="B226" i="12"/>
  <c r="C226" i="12"/>
  <c r="D226" i="12"/>
  <c r="E226" i="12"/>
  <c r="F226" i="12"/>
  <c r="G226" i="12"/>
  <c r="H226" i="12"/>
  <c r="I226" i="12"/>
  <c r="J226" i="12"/>
  <c r="L226" i="12" s="1"/>
  <c r="K226" i="12"/>
  <c r="M226" i="12"/>
  <c r="N226" i="12"/>
  <c r="A227" i="12"/>
  <c r="B227" i="12"/>
  <c r="C227" i="12"/>
  <c r="D227" i="12"/>
  <c r="E227" i="12"/>
  <c r="F227" i="12"/>
  <c r="G227" i="12"/>
  <c r="I227" i="12" s="1"/>
  <c r="M227" i="12" s="1"/>
  <c r="H227" i="12"/>
  <c r="J227" i="12"/>
  <c r="K227" i="12"/>
  <c r="L227" i="12"/>
  <c r="N227" i="12" s="1"/>
  <c r="A228" i="12"/>
  <c r="B228" i="12"/>
  <c r="C228" i="12"/>
  <c r="D228" i="12"/>
  <c r="E228" i="12"/>
  <c r="F228" i="12"/>
  <c r="G228" i="12"/>
  <c r="I228" i="12" s="1"/>
  <c r="M228" i="12" s="1"/>
  <c r="H228" i="12"/>
  <c r="J228" i="12"/>
  <c r="L228" i="12" s="1"/>
  <c r="N228" i="12" s="1"/>
  <c r="K228" i="12"/>
  <c r="A229" i="12"/>
  <c r="B229" i="12"/>
  <c r="C229" i="12"/>
  <c r="D229" i="12"/>
  <c r="E229" i="12"/>
  <c r="F229" i="12"/>
  <c r="G229" i="12"/>
  <c r="H229" i="12"/>
  <c r="I229" i="12"/>
  <c r="M229" i="12" s="1"/>
  <c r="J229" i="12"/>
  <c r="K229" i="12"/>
  <c r="L229" i="12" s="1"/>
  <c r="N229" i="12" s="1"/>
  <c r="A230" i="12"/>
  <c r="B230" i="12"/>
  <c r="C230" i="12"/>
  <c r="D230" i="12"/>
  <c r="E230" i="12"/>
  <c r="F230" i="12"/>
  <c r="G230" i="12"/>
  <c r="H230" i="12"/>
  <c r="I230" i="12"/>
  <c r="M230" i="12" s="1"/>
  <c r="J230" i="12"/>
  <c r="L230" i="12" s="1"/>
  <c r="K230" i="12"/>
  <c r="N230" i="12"/>
  <c r="A231" i="12"/>
  <c r="B231" i="12"/>
  <c r="C231" i="12"/>
  <c r="D231" i="12"/>
  <c r="E231" i="12"/>
  <c r="F231" i="12"/>
  <c r="G231" i="12"/>
  <c r="H231" i="12"/>
  <c r="J231" i="12"/>
  <c r="K231" i="12"/>
  <c r="L231" i="12" s="1"/>
  <c r="N231" i="12" s="1"/>
  <c r="A232" i="12"/>
  <c r="B232" i="12"/>
  <c r="C232" i="12"/>
  <c r="D232" i="12"/>
  <c r="E232" i="12"/>
  <c r="F232" i="12"/>
  <c r="G232" i="12"/>
  <c r="I232" i="12" s="1"/>
  <c r="M232" i="12" s="1"/>
  <c r="H232" i="12"/>
  <c r="J232" i="12"/>
  <c r="K232" i="12"/>
  <c r="A233" i="12"/>
  <c r="B233" i="12"/>
  <c r="C233" i="12"/>
  <c r="D233" i="12"/>
  <c r="E233" i="12"/>
  <c r="F233" i="12"/>
  <c r="G233" i="12"/>
  <c r="H233" i="12"/>
  <c r="I233" i="12"/>
  <c r="J233" i="12"/>
  <c r="K233" i="12"/>
  <c r="L233" i="12" s="1"/>
  <c r="N233" i="12" s="1"/>
  <c r="M233" i="12"/>
  <c r="A234" i="12"/>
  <c r="B234" i="12"/>
  <c r="C234" i="12"/>
  <c r="D234" i="12"/>
  <c r="E234" i="12"/>
  <c r="F234" i="12"/>
  <c r="G234" i="12"/>
  <c r="H234" i="12"/>
  <c r="I234" i="12"/>
  <c r="J234" i="12"/>
  <c r="L234" i="12" s="1"/>
  <c r="K234" i="12"/>
  <c r="M234" i="12"/>
  <c r="N234" i="12"/>
  <c r="A235" i="12"/>
  <c r="B235" i="12"/>
  <c r="C235" i="12"/>
  <c r="D235" i="12"/>
  <c r="E235" i="12"/>
  <c r="F235" i="12"/>
  <c r="G235" i="12"/>
  <c r="I235" i="12" s="1"/>
  <c r="M235" i="12" s="1"/>
  <c r="H235" i="12"/>
  <c r="J235" i="12"/>
  <c r="K235" i="12"/>
  <c r="L235" i="12"/>
  <c r="N235" i="12" s="1"/>
  <c r="A236" i="12"/>
  <c r="B236" i="12"/>
  <c r="C236" i="12"/>
  <c r="D236" i="12"/>
  <c r="E236" i="12"/>
  <c r="F236" i="12"/>
  <c r="G236" i="12"/>
  <c r="I236" i="12" s="1"/>
  <c r="M236" i="12" s="1"/>
  <c r="H236" i="12"/>
  <c r="J236" i="12"/>
  <c r="L236" i="12" s="1"/>
  <c r="N236" i="12" s="1"/>
  <c r="K236" i="12"/>
  <c r="A237" i="12"/>
  <c r="B237" i="12"/>
  <c r="C237" i="12"/>
  <c r="D237" i="12"/>
  <c r="E237" i="12"/>
  <c r="F237" i="12"/>
  <c r="G237" i="12"/>
  <c r="H237" i="12"/>
  <c r="I237" i="12"/>
  <c r="M237" i="12" s="1"/>
  <c r="J237" i="12"/>
  <c r="K237" i="12"/>
  <c r="L237" i="12" s="1"/>
  <c r="N237" i="12" s="1"/>
  <c r="A238" i="12"/>
  <c r="B238" i="12"/>
  <c r="C238" i="12"/>
  <c r="D238" i="12"/>
  <c r="E238" i="12"/>
  <c r="F238" i="12"/>
  <c r="G238" i="12"/>
  <c r="H238" i="12"/>
  <c r="I238" i="12"/>
  <c r="M238" i="12" s="1"/>
  <c r="J238" i="12"/>
  <c r="L238" i="12" s="1"/>
  <c r="K238" i="12"/>
  <c r="N238" i="12"/>
  <c r="A239" i="12"/>
  <c r="B239" i="12"/>
  <c r="C239" i="12"/>
  <c r="D239" i="12"/>
  <c r="E239" i="12"/>
  <c r="F239" i="12"/>
  <c r="G239" i="12"/>
  <c r="H239" i="12"/>
  <c r="J239" i="12"/>
  <c r="K239" i="12"/>
  <c r="L239" i="12" s="1"/>
  <c r="N239" i="12" s="1"/>
  <c r="A240" i="12"/>
  <c r="B240" i="12"/>
  <c r="C240" i="12"/>
  <c r="D240" i="12"/>
  <c r="E240" i="12"/>
  <c r="F240" i="12"/>
  <c r="G240" i="12"/>
  <c r="I240" i="12" s="1"/>
  <c r="M240" i="12" s="1"/>
  <c r="H240" i="12"/>
  <c r="J240" i="12"/>
  <c r="L240" i="12" s="1"/>
  <c r="N240" i="12" s="1"/>
  <c r="K240" i="12"/>
  <c r="A241" i="12"/>
  <c r="B241" i="12"/>
  <c r="C241" i="12"/>
  <c r="D241" i="12"/>
  <c r="E241" i="12"/>
  <c r="F241" i="12"/>
  <c r="G241" i="12"/>
  <c r="H241" i="12"/>
  <c r="I241" i="12"/>
  <c r="J241" i="12"/>
  <c r="K241" i="12"/>
  <c r="L241" i="12" s="1"/>
  <c r="N241" i="12" s="1"/>
  <c r="M241" i="12"/>
  <c r="A242" i="12"/>
  <c r="B242" i="12"/>
  <c r="C242" i="12"/>
  <c r="D242" i="12"/>
  <c r="E242" i="12"/>
  <c r="F242" i="12"/>
  <c r="G242" i="12"/>
  <c r="H242" i="12"/>
  <c r="I242" i="12"/>
  <c r="J242" i="12"/>
  <c r="L242" i="12" s="1"/>
  <c r="K242" i="12"/>
  <c r="M242" i="12"/>
  <c r="N242" i="12"/>
  <c r="A243" i="12"/>
  <c r="B243" i="12"/>
  <c r="C243" i="12"/>
  <c r="D243" i="12"/>
  <c r="E243" i="12"/>
  <c r="F243" i="12"/>
  <c r="G243" i="12"/>
  <c r="I243" i="12" s="1"/>
  <c r="M243" i="12" s="1"/>
  <c r="H243" i="12"/>
  <c r="J243" i="12"/>
  <c r="K243" i="12"/>
  <c r="L243" i="12" s="1"/>
  <c r="N243" i="12" s="1"/>
  <c r="A244" i="12"/>
  <c r="B244" i="12"/>
  <c r="C244" i="12"/>
  <c r="D244" i="12"/>
  <c r="E244" i="12"/>
  <c r="F244" i="12"/>
  <c r="G244" i="12"/>
  <c r="I244" i="12" s="1"/>
  <c r="M244" i="12" s="1"/>
  <c r="H244" i="12"/>
  <c r="J244" i="12"/>
  <c r="L244" i="12" s="1"/>
  <c r="N244" i="12" s="1"/>
  <c r="K244" i="12"/>
  <c r="A245" i="12"/>
  <c r="B245" i="12"/>
  <c r="C245" i="12"/>
  <c r="D245" i="12"/>
  <c r="E245" i="12"/>
  <c r="F245" i="12"/>
  <c r="G245" i="12"/>
  <c r="H245" i="12"/>
  <c r="I245" i="12"/>
  <c r="M245" i="12" s="1"/>
  <c r="J245" i="12"/>
  <c r="K245" i="12"/>
  <c r="L245" i="12" s="1"/>
  <c r="N245" i="12" s="1"/>
  <c r="A246" i="12"/>
  <c r="B246" i="12"/>
  <c r="C246" i="12"/>
  <c r="D246" i="12"/>
  <c r="E246" i="12"/>
  <c r="F246" i="12"/>
  <c r="G246" i="12"/>
  <c r="H246" i="12"/>
  <c r="I246" i="12"/>
  <c r="J246" i="12"/>
  <c r="K246" i="12"/>
  <c r="L246" i="12"/>
  <c r="N246" i="12" s="1"/>
  <c r="M246" i="12"/>
  <c r="A247" i="12"/>
  <c r="B247" i="12"/>
  <c r="C247" i="12"/>
  <c r="D247" i="12"/>
  <c r="E247" i="12"/>
  <c r="F247" i="12"/>
  <c r="G247" i="12"/>
  <c r="I247" i="12" s="1"/>
  <c r="M247" i="12" s="1"/>
  <c r="H247" i="12"/>
  <c r="J247" i="12"/>
  <c r="L247" i="12" s="1"/>
  <c r="N247" i="12" s="1"/>
  <c r="K247" i="12"/>
  <c r="A248" i="12"/>
  <c r="B248" i="12"/>
  <c r="C248" i="12"/>
  <c r="D248" i="12"/>
  <c r="E248" i="12"/>
  <c r="F248" i="12"/>
  <c r="G248" i="12"/>
  <c r="H248" i="12"/>
  <c r="I248" i="12"/>
  <c r="J248" i="12"/>
  <c r="K248" i="12"/>
  <c r="L248" i="12"/>
  <c r="N248" i="12" s="1"/>
  <c r="M248" i="12"/>
  <c r="A249" i="12"/>
  <c r="B249" i="12"/>
  <c r="C249" i="12"/>
  <c r="D249" i="12"/>
  <c r="E249" i="12"/>
  <c r="F249" i="12"/>
  <c r="G249" i="12"/>
  <c r="I249" i="12" s="1"/>
  <c r="M249" i="12" s="1"/>
  <c r="H249" i="12"/>
  <c r="J249" i="12"/>
  <c r="L249" i="12" s="1"/>
  <c r="N249" i="12" s="1"/>
  <c r="K249" i="12"/>
  <c r="A250" i="12"/>
  <c r="B250" i="12"/>
  <c r="C250" i="12"/>
  <c r="D250" i="12"/>
  <c r="E250" i="12"/>
  <c r="F250" i="12"/>
  <c r="G250" i="12"/>
  <c r="H250" i="12"/>
  <c r="I250" i="12"/>
  <c r="J250" i="12"/>
  <c r="K250" i="12"/>
  <c r="L250" i="12"/>
  <c r="N250" i="12" s="1"/>
  <c r="M250" i="12"/>
  <c r="A251" i="12"/>
  <c r="B251" i="12"/>
  <c r="C251" i="12"/>
  <c r="D251" i="12"/>
  <c r="E251" i="12"/>
  <c r="F251" i="12"/>
  <c r="G251" i="12"/>
  <c r="I251" i="12" s="1"/>
  <c r="M251" i="12" s="1"/>
  <c r="H251" i="12"/>
  <c r="J251" i="12"/>
  <c r="L251" i="12" s="1"/>
  <c r="N251" i="12" s="1"/>
  <c r="K251" i="12"/>
  <c r="A252" i="12"/>
  <c r="B252" i="12"/>
  <c r="C252" i="12"/>
  <c r="D252" i="12"/>
  <c r="E252" i="12"/>
  <c r="F252" i="12"/>
  <c r="G252" i="12"/>
  <c r="H252" i="12"/>
  <c r="I252" i="12"/>
  <c r="J252" i="12"/>
  <c r="K252" i="12"/>
  <c r="L252" i="12"/>
  <c r="N252" i="12" s="1"/>
  <c r="M252" i="12"/>
  <c r="A253" i="12"/>
  <c r="B253" i="12"/>
  <c r="C253" i="12"/>
  <c r="D253" i="12"/>
  <c r="E253" i="12"/>
  <c r="F253" i="12"/>
  <c r="G253" i="12"/>
  <c r="I253" i="12" s="1"/>
  <c r="M253" i="12" s="1"/>
  <c r="H253" i="12"/>
  <c r="J253" i="12"/>
  <c r="L253" i="12" s="1"/>
  <c r="N253" i="12" s="1"/>
  <c r="K253" i="12"/>
  <c r="A254" i="12"/>
  <c r="B254" i="12"/>
  <c r="C254" i="12"/>
  <c r="D254" i="12"/>
  <c r="E254" i="12"/>
  <c r="F254" i="12"/>
  <c r="G254" i="12"/>
  <c r="H254" i="12"/>
  <c r="I254" i="12"/>
  <c r="J254" i="12"/>
  <c r="K254" i="12"/>
  <c r="L254" i="12"/>
  <c r="N254" i="12" s="1"/>
  <c r="M254" i="12"/>
  <c r="A255" i="12"/>
  <c r="B255" i="12"/>
  <c r="C255" i="12"/>
  <c r="D255" i="12"/>
  <c r="E255" i="12"/>
  <c r="F255" i="12"/>
  <c r="G255" i="12"/>
  <c r="I255" i="12" s="1"/>
  <c r="M255" i="12" s="1"/>
  <c r="H255" i="12"/>
  <c r="J255" i="12"/>
  <c r="L255" i="12" s="1"/>
  <c r="N255" i="12" s="1"/>
  <c r="K255" i="12"/>
  <c r="A256" i="12"/>
  <c r="B256" i="12"/>
  <c r="C256" i="12"/>
  <c r="D256" i="12"/>
  <c r="E256" i="12"/>
  <c r="F256" i="12"/>
  <c r="G256" i="12"/>
  <c r="H256" i="12"/>
  <c r="I256" i="12"/>
  <c r="J256" i="12"/>
  <c r="K256" i="12"/>
  <c r="L256" i="12"/>
  <c r="N256" i="12" s="1"/>
  <c r="M256" i="12"/>
  <c r="A257" i="12"/>
  <c r="B257" i="12"/>
  <c r="C257" i="12"/>
  <c r="D257" i="12"/>
  <c r="E257" i="12"/>
  <c r="F257" i="12"/>
  <c r="G257" i="12"/>
  <c r="I257" i="12" s="1"/>
  <c r="M257" i="12" s="1"/>
  <c r="H257" i="12"/>
  <c r="J257" i="12"/>
  <c r="L257" i="12" s="1"/>
  <c r="N257" i="12" s="1"/>
  <c r="K257" i="12"/>
  <c r="A258" i="12"/>
  <c r="B258" i="12"/>
  <c r="C258" i="12"/>
  <c r="D258" i="12"/>
  <c r="E258" i="12"/>
  <c r="F258" i="12"/>
  <c r="G258" i="12"/>
  <c r="H258" i="12"/>
  <c r="I258" i="12"/>
  <c r="J258" i="12"/>
  <c r="K258" i="12"/>
  <c r="L258" i="12"/>
  <c r="N258" i="12" s="1"/>
  <c r="M258" i="12"/>
  <c r="A259" i="12"/>
  <c r="B259" i="12"/>
  <c r="C259" i="12"/>
  <c r="D259" i="12"/>
  <c r="E259" i="12"/>
  <c r="F259" i="12"/>
  <c r="G259" i="12"/>
  <c r="I259" i="12" s="1"/>
  <c r="M259" i="12" s="1"/>
  <c r="H259" i="12"/>
  <c r="J259" i="12"/>
  <c r="L259" i="12" s="1"/>
  <c r="N259" i="12" s="1"/>
  <c r="K259" i="12"/>
  <c r="A260" i="12"/>
  <c r="B260" i="12"/>
  <c r="C260" i="12"/>
  <c r="D260" i="12"/>
  <c r="E260" i="12"/>
  <c r="F260" i="12"/>
  <c r="G260" i="12"/>
  <c r="H260" i="12"/>
  <c r="I260" i="12"/>
  <c r="J260" i="12"/>
  <c r="K260" i="12"/>
  <c r="L260" i="12"/>
  <c r="N260" i="12" s="1"/>
  <c r="M260" i="12"/>
  <c r="A261" i="12"/>
  <c r="B261" i="12"/>
  <c r="C261" i="12"/>
  <c r="D261" i="12"/>
  <c r="E261" i="12"/>
  <c r="F261" i="12"/>
  <c r="G261" i="12"/>
  <c r="I261" i="12" s="1"/>
  <c r="M261" i="12" s="1"/>
  <c r="H261" i="12"/>
  <c r="J261" i="12"/>
  <c r="L261" i="12" s="1"/>
  <c r="N261" i="12" s="1"/>
  <c r="K261" i="12"/>
  <c r="A262" i="12"/>
  <c r="B262" i="12"/>
  <c r="C262" i="12"/>
  <c r="D262" i="12"/>
  <c r="E262" i="12"/>
  <c r="F262" i="12"/>
  <c r="G262" i="12"/>
  <c r="H262" i="12"/>
  <c r="I262" i="12"/>
  <c r="J262" i="12"/>
  <c r="K262" i="12"/>
  <c r="L262" i="12"/>
  <c r="N262" i="12" s="1"/>
  <c r="M262" i="12"/>
  <c r="A263" i="12"/>
  <c r="B263" i="12"/>
  <c r="C263" i="12"/>
  <c r="D263" i="12"/>
  <c r="E263" i="12"/>
  <c r="F263" i="12"/>
  <c r="G263" i="12"/>
  <c r="I263" i="12" s="1"/>
  <c r="M263" i="12" s="1"/>
  <c r="H263" i="12"/>
  <c r="J263" i="12"/>
  <c r="L263" i="12" s="1"/>
  <c r="N263" i="12" s="1"/>
  <c r="K263" i="12"/>
  <c r="A264" i="12"/>
  <c r="B264" i="12"/>
  <c r="C264" i="12"/>
  <c r="D264" i="12"/>
  <c r="E264" i="12"/>
  <c r="F264" i="12"/>
  <c r="G264" i="12"/>
  <c r="H264" i="12"/>
  <c r="I264" i="12"/>
  <c r="J264" i="12"/>
  <c r="K264" i="12"/>
  <c r="L264" i="12"/>
  <c r="N264" i="12" s="1"/>
  <c r="M264" i="12"/>
  <c r="A265" i="12"/>
  <c r="B265" i="12"/>
  <c r="C265" i="12"/>
  <c r="D265" i="12"/>
  <c r="E265" i="12"/>
  <c r="F265" i="12"/>
  <c r="G265" i="12"/>
  <c r="I265" i="12" s="1"/>
  <c r="M265" i="12" s="1"/>
  <c r="H265" i="12"/>
  <c r="J265" i="12"/>
  <c r="L265" i="12" s="1"/>
  <c r="N265" i="12" s="1"/>
  <c r="K265" i="12"/>
  <c r="A266" i="12"/>
  <c r="B266" i="12"/>
  <c r="C266" i="12"/>
  <c r="D266" i="12"/>
  <c r="E266" i="12"/>
  <c r="F266" i="12"/>
  <c r="G266" i="12"/>
  <c r="H266" i="12"/>
  <c r="I266" i="12"/>
  <c r="J266" i="12"/>
  <c r="K266" i="12"/>
  <c r="L266" i="12"/>
  <c r="N266" i="12" s="1"/>
  <c r="M266" i="12"/>
  <c r="A267" i="12"/>
  <c r="B267" i="12"/>
  <c r="C267" i="12"/>
  <c r="D267" i="12"/>
  <c r="E267" i="12"/>
  <c r="F267" i="12"/>
  <c r="G267" i="12"/>
  <c r="I267" i="12" s="1"/>
  <c r="M267" i="12" s="1"/>
  <c r="H267" i="12"/>
  <c r="J267" i="12"/>
  <c r="L267" i="12" s="1"/>
  <c r="N267" i="12" s="1"/>
  <c r="K267" i="12"/>
  <c r="A268" i="12"/>
  <c r="B268" i="12"/>
  <c r="C268" i="12"/>
  <c r="D268" i="12"/>
  <c r="E268" i="12"/>
  <c r="F268" i="12"/>
  <c r="G268" i="12"/>
  <c r="H268" i="12"/>
  <c r="I268" i="12"/>
  <c r="J268" i="12"/>
  <c r="K268" i="12"/>
  <c r="L268" i="12"/>
  <c r="N268" i="12" s="1"/>
  <c r="M268" i="12"/>
  <c r="A269" i="12"/>
  <c r="B269" i="12"/>
  <c r="C269" i="12"/>
  <c r="D269" i="12"/>
  <c r="E269" i="12"/>
  <c r="F269" i="12"/>
  <c r="G269" i="12"/>
  <c r="I269" i="12" s="1"/>
  <c r="M269" i="12" s="1"/>
  <c r="H269" i="12"/>
  <c r="J269" i="12"/>
  <c r="L269" i="12" s="1"/>
  <c r="N269" i="12" s="1"/>
  <c r="K269" i="12"/>
  <c r="A270" i="12"/>
  <c r="B270" i="12"/>
  <c r="C270" i="12"/>
  <c r="D270" i="12"/>
  <c r="E270" i="12"/>
  <c r="F270" i="12"/>
  <c r="G270" i="12"/>
  <c r="H270" i="12"/>
  <c r="I270" i="12"/>
  <c r="J270" i="12"/>
  <c r="K270" i="12"/>
  <c r="L270" i="12"/>
  <c r="N270" i="12" s="1"/>
  <c r="M270" i="12"/>
  <c r="A271" i="12"/>
  <c r="B271" i="12"/>
  <c r="C271" i="12"/>
  <c r="D271" i="12"/>
  <c r="E271" i="12"/>
  <c r="F271" i="12"/>
  <c r="G271" i="12"/>
  <c r="I271" i="12" s="1"/>
  <c r="M271" i="12" s="1"/>
  <c r="H271" i="12"/>
  <c r="J271" i="12"/>
  <c r="L271" i="12" s="1"/>
  <c r="N271" i="12" s="1"/>
  <c r="K271" i="12"/>
  <c r="A272" i="12"/>
  <c r="B272" i="12"/>
  <c r="C272" i="12"/>
  <c r="D272" i="12"/>
  <c r="E272" i="12"/>
  <c r="F272" i="12"/>
  <c r="G272" i="12"/>
  <c r="H272" i="12"/>
  <c r="I272" i="12"/>
  <c r="J272" i="12"/>
  <c r="K272" i="12"/>
  <c r="L272" i="12"/>
  <c r="N272" i="12" s="1"/>
  <c r="M272" i="12"/>
  <c r="A273" i="12"/>
  <c r="B273" i="12"/>
  <c r="C273" i="12"/>
  <c r="D273" i="12"/>
  <c r="E273" i="12"/>
  <c r="F273" i="12"/>
  <c r="G273" i="12"/>
  <c r="I273" i="12" s="1"/>
  <c r="M273" i="12" s="1"/>
  <c r="H273" i="12"/>
  <c r="J273" i="12"/>
  <c r="L273" i="12" s="1"/>
  <c r="N273" i="12" s="1"/>
  <c r="K273" i="12"/>
  <c r="A274" i="12"/>
  <c r="B274" i="12"/>
  <c r="C274" i="12"/>
  <c r="D274" i="12"/>
  <c r="E274" i="12"/>
  <c r="F274" i="12"/>
  <c r="G274" i="12"/>
  <c r="H274" i="12"/>
  <c r="I274" i="12"/>
  <c r="J274" i="12"/>
  <c r="K274" i="12"/>
  <c r="L274" i="12"/>
  <c r="N274" i="12" s="1"/>
  <c r="M274" i="12"/>
  <c r="A275" i="12"/>
  <c r="B275" i="12"/>
  <c r="C275" i="12"/>
  <c r="D275" i="12"/>
  <c r="E275" i="12"/>
  <c r="F275" i="12"/>
  <c r="G275" i="12"/>
  <c r="I275" i="12" s="1"/>
  <c r="M275" i="12" s="1"/>
  <c r="H275" i="12"/>
  <c r="J275" i="12"/>
  <c r="L275" i="12" s="1"/>
  <c r="N275" i="12" s="1"/>
  <c r="K275" i="12"/>
  <c r="A276" i="12"/>
  <c r="B276" i="12"/>
  <c r="C276" i="12"/>
  <c r="D276" i="12"/>
  <c r="E276" i="12"/>
  <c r="F276" i="12"/>
  <c r="G276" i="12"/>
  <c r="H276" i="12"/>
  <c r="I276" i="12"/>
  <c r="J276" i="12"/>
  <c r="K276" i="12"/>
  <c r="L276" i="12"/>
  <c r="N276" i="12" s="1"/>
  <c r="M276" i="12"/>
  <c r="A277" i="12"/>
  <c r="B277" i="12"/>
  <c r="C277" i="12"/>
  <c r="D277" i="12"/>
  <c r="E277" i="12"/>
  <c r="F277" i="12"/>
  <c r="G277" i="12"/>
  <c r="I277" i="12" s="1"/>
  <c r="M277" i="12" s="1"/>
  <c r="H277" i="12"/>
  <c r="J277" i="12"/>
  <c r="L277" i="12" s="1"/>
  <c r="N277" i="12" s="1"/>
  <c r="K277" i="12"/>
  <c r="A278" i="12"/>
  <c r="B278" i="12"/>
  <c r="C278" i="12"/>
  <c r="D278" i="12"/>
  <c r="E278" i="12"/>
  <c r="F278" i="12"/>
  <c r="G278" i="12"/>
  <c r="H278" i="12"/>
  <c r="I278" i="12"/>
  <c r="J278" i="12"/>
  <c r="K278" i="12"/>
  <c r="L278" i="12"/>
  <c r="N278" i="12" s="1"/>
  <c r="M278" i="12"/>
  <c r="A279" i="12"/>
  <c r="B279" i="12"/>
  <c r="C279" i="12"/>
  <c r="D279" i="12"/>
  <c r="E279" i="12"/>
  <c r="F279" i="12"/>
  <c r="G279" i="12"/>
  <c r="I279" i="12" s="1"/>
  <c r="M279" i="12" s="1"/>
  <c r="H279" i="12"/>
  <c r="J279" i="12"/>
  <c r="L279" i="12" s="1"/>
  <c r="N279" i="12" s="1"/>
  <c r="K279" i="12"/>
  <c r="A280" i="12"/>
  <c r="B280" i="12"/>
  <c r="C280" i="12"/>
  <c r="D280" i="12"/>
  <c r="E280" i="12"/>
  <c r="F280" i="12"/>
  <c r="G280" i="12"/>
  <c r="H280" i="12"/>
  <c r="I280" i="12"/>
  <c r="J280" i="12"/>
  <c r="K280" i="12"/>
  <c r="L280" i="12"/>
  <c r="N280" i="12" s="1"/>
  <c r="M280" i="12"/>
  <c r="A281" i="12"/>
  <c r="B281" i="12"/>
  <c r="C281" i="12"/>
  <c r="D281" i="12"/>
  <c r="E281" i="12"/>
  <c r="F281" i="12"/>
  <c r="G281" i="12"/>
  <c r="I281" i="12" s="1"/>
  <c r="M281" i="12" s="1"/>
  <c r="H281" i="12"/>
  <c r="J281" i="12"/>
  <c r="L281" i="12" s="1"/>
  <c r="N281" i="12" s="1"/>
  <c r="K281" i="12"/>
  <c r="A282" i="12"/>
  <c r="B282" i="12"/>
  <c r="C282" i="12"/>
  <c r="D282" i="12"/>
  <c r="E282" i="12"/>
  <c r="F282" i="12"/>
  <c r="G282" i="12"/>
  <c r="H282" i="12"/>
  <c r="I282" i="12"/>
  <c r="J282" i="12"/>
  <c r="K282" i="12"/>
  <c r="L282" i="12"/>
  <c r="N282" i="12" s="1"/>
  <c r="M282" i="12"/>
  <c r="A283" i="12"/>
  <c r="B283" i="12"/>
  <c r="C283" i="12"/>
  <c r="D283" i="12"/>
  <c r="E283" i="12"/>
  <c r="F283" i="12"/>
  <c r="G283" i="12"/>
  <c r="I283" i="12" s="1"/>
  <c r="M283" i="12" s="1"/>
  <c r="H283" i="12"/>
  <c r="J283" i="12"/>
  <c r="L283" i="12" s="1"/>
  <c r="N283" i="12" s="1"/>
  <c r="K283" i="12"/>
  <c r="A284" i="12"/>
  <c r="B284" i="12"/>
  <c r="C284" i="12"/>
  <c r="D284" i="12"/>
  <c r="E284" i="12"/>
  <c r="F284" i="12"/>
  <c r="G284" i="12"/>
  <c r="H284" i="12"/>
  <c r="I284" i="12"/>
  <c r="J284" i="12"/>
  <c r="K284" i="12"/>
  <c r="L284" i="12"/>
  <c r="N284" i="12" s="1"/>
  <c r="M284" i="12"/>
  <c r="A285" i="12"/>
  <c r="B285" i="12"/>
  <c r="C285" i="12"/>
  <c r="D285" i="12"/>
  <c r="E285" i="12"/>
  <c r="F285" i="12"/>
  <c r="G285" i="12"/>
  <c r="I285" i="12" s="1"/>
  <c r="M285" i="12" s="1"/>
  <c r="H285" i="12"/>
  <c r="J285" i="12"/>
  <c r="L285" i="12" s="1"/>
  <c r="N285" i="12" s="1"/>
  <c r="K285" i="12"/>
  <c r="A286" i="12"/>
  <c r="B286" i="12"/>
  <c r="C286" i="12"/>
  <c r="D286" i="12"/>
  <c r="E286" i="12"/>
  <c r="F286" i="12"/>
  <c r="G286" i="12"/>
  <c r="H286" i="12"/>
  <c r="I286" i="12"/>
  <c r="J286" i="12"/>
  <c r="K286" i="12"/>
  <c r="L286" i="12"/>
  <c r="N286" i="12" s="1"/>
  <c r="M286" i="12"/>
  <c r="A287" i="12"/>
  <c r="B287" i="12"/>
  <c r="C287" i="12"/>
  <c r="D287" i="12"/>
  <c r="E287" i="12"/>
  <c r="F287" i="12"/>
  <c r="G287" i="12"/>
  <c r="I287" i="12" s="1"/>
  <c r="M287" i="12" s="1"/>
  <c r="H287" i="12"/>
  <c r="J287" i="12"/>
  <c r="L287" i="12" s="1"/>
  <c r="N287" i="12" s="1"/>
  <c r="K287" i="12"/>
  <c r="A288" i="12"/>
  <c r="B288" i="12"/>
  <c r="C288" i="12"/>
  <c r="D288" i="12"/>
  <c r="E288" i="12"/>
  <c r="F288" i="12"/>
  <c r="G288" i="12"/>
  <c r="H288" i="12"/>
  <c r="I288" i="12"/>
  <c r="J288" i="12"/>
  <c r="K288" i="12"/>
  <c r="L288" i="12"/>
  <c r="N288" i="12" s="1"/>
  <c r="M288" i="12"/>
  <c r="A289" i="12"/>
  <c r="B289" i="12"/>
  <c r="C289" i="12"/>
  <c r="D289" i="12"/>
  <c r="E289" i="12"/>
  <c r="F289" i="12"/>
  <c r="G289" i="12"/>
  <c r="I289" i="12" s="1"/>
  <c r="M289" i="12" s="1"/>
  <c r="H289" i="12"/>
  <c r="J289" i="12"/>
  <c r="L289" i="12" s="1"/>
  <c r="N289" i="12" s="1"/>
  <c r="K289" i="12"/>
  <c r="A290" i="12"/>
  <c r="B290" i="12"/>
  <c r="C290" i="12"/>
  <c r="D290" i="12"/>
  <c r="E290" i="12"/>
  <c r="F290" i="12"/>
  <c r="G290" i="12"/>
  <c r="H290" i="12"/>
  <c r="I290" i="12"/>
  <c r="J290" i="12"/>
  <c r="K290" i="12"/>
  <c r="L290" i="12"/>
  <c r="N290" i="12" s="1"/>
  <c r="M290" i="12"/>
  <c r="A291" i="12"/>
  <c r="B291" i="12"/>
  <c r="C291" i="12"/>
  <c r="D291" i="12"/>
  <c r="E291" i="12"/>
  <c r="F291" i="12"/>
  <c r="G291" i="12"/>
  <c r="I291" i="12" s="1"/>
  <c r="M291" i="12" s="1"/>
  <c r="H291" i="12"/>
  <c r="J291" i="12"/>
  <c r="L291" i="12" s="1"/>
  <c r="N291" i="12" s="1"/>
  <c r="K291" i="12"/>
  <c r="A292" i="12"/>
  <c r="B292" i="12"/>
  <c r="C292" i="12"/>
  <c r="D292" i="12"/>
  <c r="E292" i="12"/>
  <c r="F292" i="12"/>
  <c r="G292" i="12"/>
  <c r="H292" i="12"/>
  <c r="I292" i="12"/>
  <c r="J292" i="12"/>
  <c r="K292" i="12"/>
  <c r="L292" i="12"/>
  <c r="N292" i="12" s="1"/>
  <c r="M292" i="12"/>
  <c r="A293" i="12"/>
  <c r="B293" i="12"/>
  <c r="C293" i="12"/>
  <c r="D293" i="12"/>
  <c r="E293" i="12"/>
  <c r="F293" i="12"/>
  <c r="G293" i="12"/>
  <c r="I293" i="12" s="1"/>
  <c r="M293" i="12" s="1"/>
  <c r="H293" i="12"/>
  <c r="J293" i="12"/>
  <c r="L293" i="12" s="1"/>
  <c r="N293" i="12" s="1"/>
  <c r="K293" i="12"/>
  <c r="A294" i="12"/>
  <c r="B294" i="12"/>
  <c r="C294" i="12"/>
  <c r="D294" i="12"/>
  <c r="E294" i="12"/>
  <c r="F294" i="12"/>
  <c r="G294" i="12"/>
  <c r="H294" i="12"/>
  <c r="I294" i="12"/>
  <c r="J294" i="12"/>
  <c r="K294" i="12"/>
  <c r="L294" i="12"/>
  <c r="N294" i="12" s="1"/>
  <c r="M294" i="12"/>
  <c r="A295" i="12"/>
  <c r="B295" i="12"/>
  <c r="C295" i="12"/>
  <c r="D295" i="12"/>
  <c r="E295" i="12"/>
  <c r="F295" i="12"/>
  <c r="G295" i="12"/>
  <c r="I295" i="12" s="1"/>
  <c r="M295" i="12" s="1"/>
  <c r="H295" i="12"/>
  <c r="J295" i="12"/>
  <c r="L295" i="12" s="1"/>
  <c r="N295" i="12" s="1"/>
  <c r="K295" i="12"/>
  <c r="A296" i="12"/>
  <c r="B296" i="12"/>
  <c r="C296" i="12"/>
  <c r="D296" i="12"/>
  <c r="E296" i="12"/>
  <c r="F296" i="12"/>
  <c r="G296" i="12"/>
  <c r="H296" i="12"/>
  <c r="I296" i="12"/>
  <c r="J296" i="12"/>
  <c r="K296" i="12"/>
  <c r="L296" i="12"/>
  <c r="N296" i="12" s="1"/>
  <c r="M296" i="12"/>
  <c r="A297" i="12"/>
  <c r="B297" i="12"/>
  <c r="C297" i="12"/>
  <c r="D297" i="12"/>
  <c r="E297" i="12"/>
  <c r="F297" i="12"/>
  <c r="G297" i="12"/>
  <c r="I297" i="12" s="1"/>
  <c r="M297" i="12" s="1"/>
  <c r="H297" i="12"/>
  <c r="J297" i="12"/>
  <c r="L297" i="12" s="1"/>
  <c r="N297" i="12" s="1"/>
  <c r="K297" i="12"/>
  <c r="A298" i="12"/>
  <c r="B298" i="12"/>
  <c r="C298" i="12"/>
  <c r="D298" i="12"/>
  <c r="E298" i="12"/>
  <c r="F298" i="12"/>
  <c r="G298" i="12"/>
  <c r="H298" i="12"/>
  <c r="I298" i="12"/>
  <c r="J298" i="12"/>
  <c r="K298" i="12"/>
  <c r="L298" i="12"/>
  <c r="N298" i="12" s="1"/>
  <c r="M298" i="12"/>
  <c r="A299" i="12"/>
  <c r="B299" i="12"/>
  <c r="C299" i="12"/>
  <c r="D299" i="12"/>
  <c r="E299" i="12"/>
  <c r="F299" i="12"/>
  <c r="G299" i="12"/>
  <c r="I299" i="12" s="1"/>
  <c r="M299" i="12" s="1"/>
  <c r="H299" i="12"/>
  <c r="J299" i="12"/>
  <c r="L299" i="12" s="1"/>
  <c r="N299" i="12" s="1"/>
  <c r="K299" i="12"/>
  <c r="A300" i="12"/>
  <c r="B300" i="12"/>
  <c r="C300" i="12"/>
  <c r="D300" i="12"/>
  <c r="E300" i="12"/>
  <c r="F300" i="12"/>
  <c r="G300" i="12"/>
  <c r="H300" i="12"/>
  <c r="I300" i="12"/>
  <c r="J300" i="12"/>
  <c r="K300" i="12"/>
  <c r="L300" i="12"/>
  <c r="N300" i="12" s="1"/>
  <c r="M300" i="12"/>
  <c r="A301" i="12"/>
  <c r="B301" i="12"/>
  <c r="C301" i="12"/>
  <c r="D301" i="12"/>
  <c r="E301" i="12"/>
  <c r="F301" i="12"/>
  <c r="G301" i="12"/>
  <c r="I301" i="12" s="1"/>
  <c r="M301" i="12" s="1"/>
  <c r="H301" i="12"/>
  <c r="J301" i="12"/>
  <c r="L301" i="12" s="1"/>
  <c r="N301" i="12" s="1"/>
  <c r="K301" i="12"/>
  <c r="A302" i="12"/>
  <c r="B302" i="12"/>
  <c r="C302" i="12"/>
  <c r="D302" i="12"/>
  <c r="E302" i="12"/>
  <c r="F302" i="12"/>
  <c r="G302" i="12"/>
  <c r="H302" i="12"/>
  <c r="I302" i="12"/>
  <c r="J302" i="12"/>
  <c r="K302" i="12"/>
  <c r="L302" i="12"/>
  <c r="N302" i="12" s="1"/>
  <c r="M302" i="12"/>
  <c r="A303" i="12"/>
  <c r="B303" i="12"/>
  <c r="C303" i="12"/>
  <c r="D303" i="12"/>
  <c r="E303" i="12"/>
  <c r="F303" i="12"/>
  <c r="G303" i="12"/>
  <c r="I303" i="12" s="1"/>
  <c r="M303" i="12" s="1"/>
  <c r="H303" i="12"/>
  <c r="J303" i="12"/>
  <c r="L303" i="12" s="1"/>
  <c r="N303" i="12" s="1"/>
  <c r="K303" i="12"/>
  <c r="A304" i="12"/>
  <c r="B304" i="12"/>
  <c r="C304" i="12"/>
  <c r="D304" i="12"/>
  <c r="E304" i="12"/>
  <c r="F304" i="12"/>
  <c r="G304" i="12"/>
  <c r="H304" i="12"/>
  <c r="I304" i="12"/>
  <c r="J304" i="12"/>
  <c r="K304" i="12"/>
  <c r="L304" i="12"/>
  <c r="N304" i="12" s="1"/>
  <c r="M304" i="12"/>
  <c r="A305" i="12"/>
  <c r="B305" i="12"/>
  <c r="C305" i="12"/>
  <c r="D305" i="12"/>
  <c r="E305" i="12"/>
  <c r="F305" i="12"/>
  <c r="G305" i="12"/>
  <c r="I305" i="12" s="1"/>
  <c r="M305" i="12" s="1"/>
  <c r="H305" i="12"/>
  <c r="J305" i="12"/>
  <c r="L305" i="12" s="1"/>
  <c r="N305" i="12" s="1"/>
  <c r="K305" i="12"/>
  <c r="A306" i="12"/>
  <c r="B306" i="12"/>
  <c r="C306" i="12"/>
  <c r="D306" i="12"/>
  <c r="E306" i="12"/>
  <c r="F306" i="12"/>
  <c r="G306" i="12"/>
  <c r="H306" i="12"/>
  <c r="I306" i="12"/>
  <c r="J306" i="12"/>
  <c r="K306" i="12"/>
  <c r="L306" i="12"/>
  <c r="N306" i="12" s="1"/>
  <c r="M306" i="12"/>
  <c r="A307" i="12"/>
  <c r="B307" i="12"/>
  <c r="C307" i="12"/>
  <c r="D307" i="12"/>
  <c r="E307" i="12"/>
  <c r="F307" i="12"/>
  <c r="G307" i="12"/>
  <c r="I307" i="12" s="1"/>
  <c r="M307" i="12" s="1"/>
  <c r="H307" i="12"/>
  <c r="J307" i="12"/>
  <c r="L307" i="12" s="1"/>
  <c r="N307" i="12" s="1"/>
  <c r="K307" i="12"/>
  <c r="A308" i="12"/>
  <c r="B308" i="12"/>
  <c r="C308" i="12"/>
  <c r="D308" i="12"/>
  <c r="E308" i="12"/>
  <c r="F308" i="12"/>
  <c r="G308" i="12"/>
  <c r="H308" i="12"/>
  <c r="I308" i="12"/>
  <c r="J308" i="12"/>
  <c r="K308" i="12"/>
  <c r="L308" i="12"/>
  <c r="N308" i="12" s="1"/>
  <c r="M308" i="12"/>
  <c r="A309" i="12"/>
  <c r="B309" i="12"/>
  <c r="C309" i="12"/>
  <c r="D309" i="12"/>
  <c r="E309" i="12"/>
  <c r="F309" i="12"/>
  <c r="G309" i="12"/>
  <c r="I309" i="12" s="1"/>
  <c r="M309" i="12" s="1"/>
  <c r="H309" i="12"/>
  <c r="J309" i="12"/>
  <c r="L309" i="12" s="1"/>
  <c r="N309" i="12" s="1"/>
  <c r="K309" i="12"/>
  <c r="A310" i="12"/>
  <c r="B310" i="12"/>
  <c r="C310" i="12"/>
  <c r="D310" i="12"/>
  <c r="E310" i="12"/>
  <c r="F310" i="12"/>
  <c r="G310" i="12"/>
  <c r="H310" i="12"/>
  <c r="I310" i="12"/>
  <c r="J310" i="12"/>
  <c r="K310" i="12"/>
  <c r="L310" i="12"/>
  <c r="N310" i="12" s="1"/>
  <c r="M310" i="12"/>
  <c r="A311" i="12"/>
  <c r="B311" i="12"/>
  <c r="C311" i="12"/>
  <c r="D311" i="12"/>
  <c r="E311" i="12"/>
  <c r="F311" i="12"/>
  <c r="G311" i="12"/>
  <c r="I311" i="12" s="1"/>
  <c r="M311" i="12" s="1"/>
  <c r="H311" i="12"/>
  <c r="J311" i="12"/>
  <c r="L311" i="12" s="1"/>
  <c r="N311" i="12" s="1"/>
  <c r="K311" i="12"/>
  <c r="A312" i="12"/>
  <c r="B312" i="12"/>
  <c r="C312" i="12"/>
  <c r="D312" i="12"/>
  <c r="E312" i="12"/>
  <c r="F312" i="12"/>
  <c r="G312" i="12"/>
  <c r="H312" i="12"/>
  <c r="I312" i="12"/>
  <c r="J312" i="12"/>
  <c r="K312" i="12"/>
  <c r="L312" i="12"/>
  <c r="N312" i="12" s="1"/>
  <c r="M312" i="12"/>
  <c r="A313" i="12"/>
  <c r="B313" i="12"/>
  <c r="C313" i="12"/>
  <c r="D313" i="12"/>
  <c r="E313" i="12"/>
  <c r="F313" i="12"/>
  <c r="G313" i="12"/>
  <c r="I313" i="12" s="1"/>
  <c r="M313" i="12" s="1"/>
  <c r="H313" i="12"/>
  <c r="J313" i="12"/>
  <c r="L313" i="12" s="1"/>
  <c r="N313" i="12" s="1"/>
  <c r="K313" i="12"/>
  <c r="A314" i="12"/>
  <c r="B314" i="12"/>
  <c r="C314" i="12"/>
  <c r="D314" i="12"/>
  <c r="E314" i="12"/>
  <c r="F314" i="12"/>
  <c r="G314" i="12"/>
  <c r="H314" i="12"/>
  <c r="I314" i="12"/>
  <c r="J314" i="12"/>
  <c r="K314" i="12"/>
  <c r="L314" i="12"/>
  <c r="N314" i="12" s="1"/>
  <c r="M314" i="12"/>
  <c r="A315" i="12"/>
  <c r="B315" i="12"/>
  <c r="C315" i="12"/>
  <c r="D315" i="12"/>
  <c r="E315" i="12"/>
  <c r="F315" i="12"/>
  <c r="G315" i="12"/>
  <c r="I315" i="12" s="1"/>
  <c r="H315" i="12"/>
  <c r="J315" i="12"/>
  <c r="L315" i="12" s="1"/>
  <c r="N315" i="12" s="1"/>
  <c r="K315" i="12"/>
  <c r="M315" i="12"/>
  <c r="A316" i="12"/>
  <c r="B316" i="12"/>
  <c r="C316" i="12"/>
  <c r="D316" i="12"/>
  <c r="E316" i="12"/>
  <c r="F316" i="12"/>
  <c r="G316" i="12"/>
  <c r="H316" i="12"/>
  <c r="I316" i="12"/>
  <c r="J316" i="12"/>
  <c r="K316" i="12"/>
  <c r="L316" i="12"/>
  <c r="N316" i="12" s="1"/>
  <c r="M316" i="12"/>
  <c r="A317" i="12"/>
  <c r="B317" i="12"/>
  <c r="C317" i="12"/>
  <c r="D317" i="12"/>
  <c r="E317" i="12"/>
  <c r="F317" i="12"/>
  <c r="G317" i="12"/>
  <c r="I317" i="12" s="1"/>
  <c r="H317" i="12"/>
  <c r="J317" i="12"/>
  <c r="K317" i="12"/>
  <c r="M317" i="12"/>
  <c r="A318" i="12"/>
  <c r="B318" i="12"/>
  <c r="C318" i="12"/>
  <c r="D318" i="12"/>
  <c r="E318" i="12"/>
  <c r="F318" i="12"/>
  <c r="G318" i="12"/>
  <c r="I318" i="12" s="1"/>
  <c r="M318" i="12" s="1"/>
  <c r="H318" i="12"/>
  <c r="J318" i="12"/>
  <c r="K318" i="12"/>
  <c r="L318" i="12" s="1"/>
  <c r="N318" i="12" s="1"/>
  <c r="A319" i="12"/>
  <c r="B319" i="12"/>
  <c r="C319" i="12"/>
  <c r="D319" i="12"/>
  <c r="E319" i="12"/>
  <c r="F319" i="12"/>
  <c r="G319" i="12"/>
  <c r="H319" i="12"/>
  <c r="I319" i="12"/>
  <c r="M319" i="12" s="1"/>
  <c r="J319" i="12"/>
  <c r="L319" i="12" s="1"/>
  <c r="K319" i="12"/>
  <c r="N319" i="12"/>
  <c r="A320" i="12"/>
  <c r="B320" i="12"/>
  <c r="C320" i="12"/>
  <c r="D320" i="12"/>
  <c r="E320" i="12"/>
  <c r="F320" i="12"/>
  <c r="G320" i="12"/>
  <c r="H320" i="12"/>
  <c r="I320" i="12"/>
  <c r="J320" i="12"/>
  <c r="K320" i="12"/>
  <c r="L320" i="12"/>
  <c r="N320" i="12" s="1"/>
  <c r="M320" i="12"/>
  <c r="A321" i="12"/>
  <c r="B321" i="12"/>
  <c r="C321" i="12"/>
  <c r="D321" i="12"/>
  <c r="E321" i="12"/>
  <c r="F321" i="12"/>
  <c r="G321" i="12"/>
  <c r="I321" i="12" s="1"/>
  <c r="H321" i="12"/>
  <c r="J321" i="12"/>
  <c r="K321" i="12"/>
  <c r="M321" i="12"/>
  <c r="A322" i="12"/>
  <c r="B322" i="12"/>
  <c r="C322" i="12"/>
  <c r="D322" i="12"/>
  <c r="E322" i="12"/>
  <c r="F322" i="12"/>
  <c r="G322" i="12"/>
  <c r="I322" i="12" s="1"/>
  <c r="M322" i="12" s="1"/>
  <c r="H322" i="12"/>
  <c r="J322" i="12"/>
  <c r="K322" i="12"/>
  <c r="L322" i="12" s="1"/>
  <c r="N322" i="12" s="1"/>
  <c r="A323" i="12"/>
  <c r="B323" i="12"/>
  <c r="C323" i="12"/>
  <c r="D323" i="12"/>
  <c r="E323" i="12"/>
  <c r="F323" i="12"/>
  <c r="G323" i="12"/>
  <c r="H323" i="12"/>
  <c r="I323" i="12"/>
  <c r="M323" i="12" s="1"/>
  <c r="J323" i="12"/>
  <c r="L323" i="12" s="1"/>
  <c r="N323" i="12" s="1"/>
  <c r="K323" i="12"/>
  <c r="A324" i="12"/>
  <c r="B324" i="12"/>
  <c r="C324" i="12"/>
  <c r="D324" i="12"/>
  <c r="E324" i="12"/>
  <c r="F324" i="12"/>
  <c r="G324" i="12"/>
  <c r="H324" i="12"/>
  <c r="I324" i="12"/>
  <c r="J324" i="12"/>
  <c r="K324" i="12"/>
  <c r="L324" i="12"/>
  <c r="N324" i="12" s="1"/>
  <c r="M324" i="12"/>
  <c r="A325" i="12"/>
  <c r="B325" i="12"/>
  <c r="C325" i="12"/>
  <c r="D325" i="12"/>
  <c r="E325" i="12"/>
  <c r="F325" i="12"/>
  <c r="G325" i="12"/>
  <c r="I325" i="12" s="1"/>
  <c r="H325" i="12"/>
  <c r="J325" i="12"/>
  <c r="K325" i="12"/>
  <c r="M325" i="12"/>
  <c r="A326" i="12"/>
  <c r="B326" i="12"/>
  <c r="C326" i="12"/>
  <c r="D326" i="12"/>
  <c r="E326" i="12"/>
  <c r="F326" i="12"/>
  <c r="G326" i="12"/>
  <c r="I326" i="12" s="1"/>
  <c r="M326" i="12" s="1"/>
  <c r="H326" i="12"/>
  <c r="J326" i="12"/>
  <c r="K326" i="12"/>
  <c r="L326" i="12" s="1"/>
  <c r="N326" i="12" s="1"/>
  <c r="A327" i="12"/>
  <c r="B327" i="12"/>
  <c r="C327" i="12"/>
  <c r="D327" i="12"/>
  <c r="E327" i="12"/>
  <c r="F327" i="12"/>
  <c r="G327" i="12"/>
  <c r="H327" i="12"/>
  <c r="I327" i="12"/>
  <c r="M327" i="12" s="1"/>
  <c r="J327" i="12"/>
  <c r="L327" i="12" s="1"/>
  <c r="K327" i="12"/>
  <c r="N327" i="12"/>
  <c r="A328" i="12"/>
  <c r="B328" i="12"/>
  <c r="C328" i="12"/>
  <c r="D328" i="12"/>
  <c r="E328" i="12"/>
  <c r="F328" i="12"/>
  <c r="G328" i="12"/>
  <c r="H328" i="12"/>
  <c r="I328" i="12"/>
  <c r="J328" i="12"/>
  <c r="K328" i="12"/>
  <c r="L328" i="12"/>
  <c r="N328" i="12" s="1"/>
  <c r="M328" i="12"/>
  <c r="A329" i="12"/>
  <c r="B329" i="12"/>
  <c r="C329" i="12"/>
  <c r="D329" i="12"/>
  <c r="E329" i="12"/>
  <c r="F329" i="12"/>
  <c r="G329" i="12"/>
  <c r="I329" i="12" s="1"/>
  <c r="H329" i="12"/>
  <c r="J329" i="12"/>
  <c r="K329" i="12"/>
  <c r="M329" i="12"/>
  <c r="A330" i="12"/>
  <c r="B330" i="12"/>
  <c r="C330" i="12"/>
  <c r="D330" i="12"/>
  <c r="E330" i="12"/>
  <c r="F330" i="12"/>
  <c r="G330" i="12"/>
  <c r="I330" i="12" s="1"/>
  <c r="M330" i="12" s="1"/>
  <c r="H330" i="12"/>
  <c r="J330" i="12"/>
  <c r="K330" i="12"/>
  <c r="L330" i="12" s="1"/>
  <c r="N330" i="12" s="1"/>
  <c r="A331" i="12"/>
  <c r="B331" i="12"/>
  <c r="C331" i="12"/>
  <c r="D331" i="12"/>
  <c r="E331" i="12"/>
  <c r="F331" i="12"/>
  <c r="G331" i="12"/>
  <c r="H331" i="12"/>
  <c r="I331" i="12"/>
  <c r="M331" i="12" s="1"/>
  <c r="J331" i="12"/>
  <c r="L331" i="12" s="1"/>
  <c r="N331" i="12" s="1"/>
  <c r="K331" i="12"/>
  <c r="A332" i="12"/>
  <c r="B332" i="12"/>
  <c r="C332" i="12"/>
  <c r="D332" i="12"/>
  <c r="E332" i="12"/>
  <c r="F332" i="12"/>
  <c r="G332" i="12"/>
  <c r="H332" i="12"/>
  <c r="I332" i="12"/>
  <c r="J332" i="12"/>
  <c r="K332" i="12"/>
  <c r="L332" i="12"/>
  <c r="N332" i="12" s="1"/>
  <c r="M332" i="12"/>
  <c r="A333" i="12"/>
  <c r="B333" i="12"/>
  <c r="C333" i="12"/>
  <c r="D333" i="12"/>
  <c r="E333" i="12"/>
  <c r="F333" i="12"/>
  <c r="G333" i="12"/>
  <c r="I333" i="12" s="1"/>
  <c r="H333" i="12"/>
  <c r="J333" i="12"/>
  <c r="K333" i="12"/>
  <c r="M333" i="12"/>
  <c r="A334" i="12"/>
  <c r="B334" i="12"/>
  <c r="C334" i="12"/>
  <c r="D334" i="12"/>
  <c r="E334" i="12"/>
  <c r="F334" i="12"/>
  <c r="G334" i="12"/>
  <c r="I334" i="12" s="1"/>
  <c r="M334" i="12" s="1"/>
  <c r="H334" i="12"/>
  <c r="J334" i="12"/>
  <c r="K334" i="12"/>
  <c r="L334" i="12" s="1"/>
  <c r="N334" i="12" s="1"/>
  <c r="A335" i="12"/>
  <c r="B335" i="12"/>
  <c r="C335" i="12"/>
  <c r="D335" i="12"/>
  <c r="E335" i="12"/>
  <c r="F335" i="12"/>
  <c r="G335" i="12"/>
  <c r="H335" i="12"/>
  <c r="I335" i="12"/>
  <c r="M335" i="12" s="1"/>
  <c r="J335" i="12"/>
  <c r="L335" i="12" s="1"/>
  <c r="K335" i="12"/>
  <c r="N335" i="12"/>
  <c r="A336" i="12"/>
  <c r="B336" i="12"/>
  <c r="C336" i="12"/>
  <c r="D336" i="12"/>
  <c r="E336" i="12"/>
  <c r="F336" i="12"/>
  <c r="G336" i="12"/>
  <c r="H336" i="12"/>
  <c r="I336" i="12" s="1"/>
  <c r="M336" i="12" s="1"/>
  <c r="J336" i="12"/>
  <c r="K336" i="12"/>
  <c r="L336" i="12"/>
  <c r="N336" i="12" s="1"/>
  <c r="A337" i="12"/>
  <c r="B337" i="12"/>
  <c r="C337" i="12"/>
  <c r="D337" i="12"/>
  <c r="E337" i="12"/>
  <c r="F337" i="12"/>
  <c r="G337" i="12"/>
  <c r="I337" i="12" s="1"/>
  <c r="H337" i="12"/>
  <c r="J337" i="12"/>
  <c r="K337" i="12"/>
  <c r="M337" i="12"/>
  <c r="A338" i="12"/>
  <c r="B338" i="12"/>
  <c r="C338" i="12"/>
  <c r="D338" i="12"/>
  <c r="E338" i="12"/>
  <c r="F338" i="12"/>
  <c r="G338" i="12"/>
  <c r="I338" i="12" s="1"/>
  <c r="M338" i="12" s="1"/>
  <c r="H338" i="12"/>
  <c r="J338" i="12"/>
  <c r="K338" i="12"/>
  <c r="L338" i="12" s="1"/>
  <c r="N338" i="12" s="1"/>
  <c r="A339" i="12"/>
  <c r="B339" i="12"/>
  <c r="C339" i="12"/>
  <c r="D339" i="12"/>
  <c r="E339" i="12"/>
  <c r="F339" i="12"/>
  <c r="G339" i="12"/>
  <c r="H339" i="12"/>
  <c r="I339" i="12"/>
  <c r="M339" i="12" s="1"/>
  <c r="J339" i="12"/>
  <c r="L339" i="12" s="1"/>
  <c r="N339" i="12" s="1"/>
  <c r="K339" i="12"/>
  <c r="A340" i="12"/>
  <c r="B340" i="12"/>
  <c r="C340" i="12"/>
  <c r="D340" i="12"/>
  <c r="E340" i="12"/>
  <c r="F340" i="12"/>
  <c r="G340" i="12"/>
  <c r="H340" i="12"/>
  <c r="I340" i="12"/>
  <c r="J340" i="12"/>
  <c r="K340" i="12"/>
  <c r="L340" i="12"/>
  <c r="N340" i="12" s="1"/>
  <c r="M340" i="12"/>
  <c r="A341" i="12"/>
  <c r="B341" i="12"/>
  <c r="C341" i="12"/>
  <c r="D341" i="12"/>
  <c r="E341" i="12"/>
  <c r="F341" i="12"/>
  <c r="G341" i="12"/>
  <c r="I341" i="12" s="1"/>
  <c r="H341" i="12"/>
  <c r="J341" i="12"/>
  <c r="K341" i="12"/>
  <c r="M341" i="12"/>
  <c r="A342" i="12"/>
  <c r="B342" i="12"/>
  <c r="C342" i="12"/>
  <c r="D342" i="12"/>
  <c r="E342" i="12"/>
  <c r="F342" i="12"/>
  <c r="G342" i="12"/>
  <c r="I342" i="12" s="1"/>
  <c r="M342" i="12" s="1"/>
  <c r="H342" i="12"/>
  <c r="J342" i="12"/>
  <c r="K342" i="12"/>
  <c r="L342" i="12" s="1"/>
  <c r="N342" i="12" s="1"/>
  <c r="A343" i="12"/>
  <c r="B343" i="12"/>
  <c r="C343" i="12"/>
  <c r="D343" i="12"/>
  <c r="E343" i="12"/>
  <c r="F343" i="12"/>
  <c r="G343" i="12"/>
  <c r="H343" i="12"/>
  <c r="I343" i="12"/>
  <c r="M343" i="12" s="1"/>
  <c r="J343" i="12"/>
  <c r="L343" i="12" s="1"/>
  <c r="K343" i="12"/>
  <c r="N343" i="12"/>
  <c r="A344" i="12"/>
  <c r="B344" i="12"/>
  <c r="C344" i="12"/>
  <c r="D344" i="12"/>
  <c r="E344" i="12"/>
  <c r="F344" i="12"/>
  <c r="G344" i="12"/>
  <c r="H344" i="12"/>
  <c r="I344" i="12" s="1"/>
  <c r="M344" i="12" s="1"/>
  <c r="J344" i="12"/>
  <c r="K344" i="12"/>
  <c r="L344" i="12"/>
  <c r="N344" i="12" s="1"/>
  <c r="A345" i="12"/>
  <c r="B345" i="12"/>
  <c r="C345" i="12"/>
  <c r="D345" i="12"/>
  <c r="E345" i="12"/>
  <c r="F345" i="12"/>
  <c r="G345" i="12"/>
  <c r="I345" i="12" s="1"/>
  <c r="H345" i="12"/>
  <c r="J345" i="12"/>
  <c r="K345" i="12"/>
  <c r="M345" i="12"/>
  <c r="A346" i="12"/>
  <c r="B346" i="12"/>
  <c r="C346" i="12"/>
  <c r="D346" i="12"/>
  <c r="E346" i="12"/>
  <c r="F346" i="12"/>
  <c r="G346" i="12"/>
  <c r="I346" i="12" s="1"/>
  <c r="M346" i="12" s="1"/>
  <c r="H346" i="12"/>
  <c r="J346" i="12"/>
  <c r="K346" i="12"/>
  <c r="L346" i="12" s="1"/>
  <c r="N346" i="12" s="1"/>
  <c r="A347" i="12"/>
  <c r="B347" i="12"/>
  <c r="C347" i="12"/>
  <c r="D347" i="12"/>
  <c r="E347" i="12"/>
  <c r="F347" i="12"/>
  <c r="G347" i="12"/>
  <c r="H347" i="12"/>
  <c r="I347" i="12"/>
  <c r="M347" i="12" s="1"/>
  <c r="J347" i="12"/>
  <c r="L347" i="12" s="1"/>
  <c r="N347" i="12" s="1"/>
  <c r="K347" i="12"/>
  <c r="A348" i="12"/>
  <c r="B348" i="12"/>
  <c r="C348" i="12"/>
  <c r="D348" i="12"/>
  <c r="E348" i="12"/>
  <c r="F348" i="12"/>
  <c r="G348" i="12"/>
  <c r="H348" i="12"/>
  <c r="J348" i="12"/>
  <c r="K348" i="12"/>
  <c r="L348" i="12" s="1"/>
  <c r="N348" i="12" s="1"/>
  <c r="A349" i="12"/>
  <c r="B349" i="12"/>
  <c r="C349" i="12"/>
  <c r="D349" i="12"/>
  <c r="E349" i="12"/>
  <c r="F349" i="12"/>
  <c r="G349" i="12"/>
  <c r="H349" i="12"/>
  <c r="I349" i="12"/>
  <c r="M349" i="12" s="1"/>
  <c r="J349" i="12"/>
  <c r="L349" i="12" s="1"/>
  <c r="N349" i="12" s="1"/>
  <c r="K349" i="12"/>
  <c r="A350" i="12"/>
  <c r="B350" i="12"/>
  <c r="C350" i="12"/>
  <c r="D350" i="12"/>
  <c r="E350" i="12"/>
  <c r="F350" i="12"/>
  <c r="G350" i="12"/>
  <c r="H350" i="12"/>
  <c r="J350" i="12"/>
  <c r="K350" i="12"/>
  <c r="L350" i="12" s="1"/>
  <c r="N350" i="12" s="1"/>
  <c r="A351" i="12"/>
  <c r="B351" i="12"/>
  <c r="C351" i="12"/>
  <c r="D351" i="12"/>
  <c r="E351" i="12"/>
  <c r="F351" i="12"/>
  <c r="G351" i="12"/>
  <c r="H351" i="12"/>
  <c r="I351" i="12"/>
  <c r="M351" i="12" s="1"/>
  <c r="J351" i="12"/>
  <c r="L351" i="12" s="1"/>
  <c r="N351" i="12" s="1"/>
  <c r="K351" i="12"/>
  <c r="A352" i="12"/>
  <c r="B352" i="12"/>
  <c r="C352" i="12"/>
  <c r="D352" i="12"/>
  <c r="E352" i="12"/>
  <c r="F352" i="12"/>
  <c r="G352" i="12"/>
  <c r="H352" i="12"/>
  <c r="J352" i="12"/>
  <c r="K352" i="12"/>
  <c r="L352" i="12" s="1"/>
  <c r="N352" i="12" s="1"/>
  <c r="A353" i="12"/>
  <c r="B353" i="12"/>
  <c r="C353" i="12"/>
  <c r="D353" i="12"/>
  <c r="E353" i="12"/>
  <c r="F353" i="12"/>
  <c r="G353" i="12"/>
  <c r="H353" i="12"/>
  <c r="I353" i="12"/>
  <c r="M353" i="12" s="1"/>
  <c r="J353" i="12"/>
  <c r="L353" i="12" s="1"/>
  <c r="N353" i="12" s="1"/>
  <c r="K353" i="12"/>
  <c r="A354" i="12"/>
  <c r="B354" i="12"/>
  <c r="C354" i="12"/>
  <c r="D354" i="12"/>
  <c r="E354" i="12"/>
  <c r="F354" i="12"/>
  <c r="G354" i="12"/>
  <c r="H354" i="12"/>
  <c r="J354" i="12"/>
  <c r="K354" i="12"/>
  <c r="L354" i="12" s="1"/>
  <c r="N354" i="12" s="1"/>
  <c r="A355" i="12"/>
  <c r="B355" i="12"/>
  <c r="C355" i="12"/>
  <c r="D355" i="12"/>
  <c r="E355" i="12"/>
  <c r="F355" i="12"/>
  <c r="G355" i="12"/>
  <c r="H355" i="12"/>
  <c r="I355" i="12"/>
  <c r="M355" i="12" s="1"/>
  <c r="J355" i="12"/>
  <c r="L355" i="12" s="1"/>
  <c r="N355" i="12" s="1"/>
  <c r="K355" i="12"/>
  <c r="A356" i="12"/>
  <c r="B356" i="12"/>
  <c r="C356" i="12"/>
  <c r="D356" i="12"/>
  <c r="E356" i="12"/>
  <c r="F356" i="12"/>
  <c r="G356" i="12"/>
  <c r="H356" i="12"/>
  <c r="J356" i="12"/>
  <c r="K356" i="12"/>
  <c r="L356" i="12" s="1"/>
  <c r="N356" i="12" s="1"/>
  <c r="A357" i="12"/>
  <c r="B357" i="12"/>
  <c r="C357" i="12"/>
  <c r="D357" i="12"/>
  <c r="E357" i="12"/>
  <c r="F357" i="12"/>
  <c r="G357" i="12"/>
  <c r="H357" i="12"/>
  <c r="I357" i="12"/>
  <c r="M357" i="12" s="1"/>
  <c r="J357" i="12"/>
  <c r="L357" i="12" s="1"/>
  <c r="N357" i="12" s="1"/>
  <c r="K357" i="12"/>
  <c r="A358" i="12"/>
  <c r="B358" i="12"/>
  <c r="C358" i="12"/>
  <c r="D358" i="12"/>
  <c r="E358" i="12"/>
  <c r="F358" i="12"/>
  <c r="G358" i="12"/>
  <c r="H358" i="12"/>
  <c r="J358" i="12"/>
  <c r="K358" i="12"/>
  <c r="L358" i="12" s="1"/>
  <c r="N358" i="12" s="1"/>
  <c r="A359" i="12"/>
  <c r="B359" i="12"/>
  <c r="C359" i="12"/>
  <c r="D359" i="12"/>
  <c r="E359" i="12"/>
  <c r="F359" i="12"/>
  <c r="G359" i="12"/>
  <c r="H359" i="12"/>
  <c r="I359" i="12"/>
  <c r="M359" i="12" s="1"/>
  <c r="J359" i="12"/>
  <c r="L359" i="12" s="1"/>
  <c r="N359" i="12" s="1"/>
  <c r="K359" i="12"/>
  <c r="A360" i="12"/>
  <c r="B360" i="12"/>
  <c r="C360" i="12"/>
  <c r="D360" i="12"/>
  <c r="E360" i="12"/>
  <c r="F360" i="12"/>
  <c r="G360" i="12"/>
  <c r="H360" i="12"/>
  <c r="J360" i="12"/>
  <c r="K360" i="12"/>
  <c r="L360" i="12" s="1"/>
  <c r="N360" i="12" s="1"/>
  <c r="A361" i="12"/>
  <c r="B361" i="12"/>
  <c r="C361" i="12"/>
  <c r="D361" i="12"/>
  <c r="E361" i="12"/>
  <c r="F361" i="12"/>
  <c r="G361" i="12"/>
  <c r="H361" i="12"/>
  <c r="I361" i="12"/>
  <c r="M361" i="12" s="1"/>
  <c r="J361" i="12"/>
  <c r="L361" i="12" s="1"/>
  <c r="N361" i="12" s="1"/>
  <c r="K361" i="12"/>
  <c r="A362" i="12"/>
  <c r="B362" i="12"/>
  <c r="C362" i="12"/>
  <c r="D362" i="12"/>
  <c r="E362" i="12"/>
  <c r="F362" i="12"/>
  <c r="G362" i="12"/>
  <c r="H362" i="12"/>
  <c r="J362" i="12"/>
  <c r="K362" i="12"/>
  <c r="L362" i="12" s="1"/>
  <c r="N362" i="12" s="1"/>
  <c r="A363" i="12"/>
  <c r="B363" i="12"/>
  <c r="C363" i="12"/>
  <c r="D363" i="12"/>
  <c r="E363" i="12"/>
  <c r="F363" i="12"/>
  <c r="G363" i="12"/>
  <c r="H363" i="12"/>
  <c r="I363" i="12"/>
  <c r="M363" i="12" s="1"/>
  <c r="J363" i="12"/>
  <c r="L363" i="12" s="1"/>
  <c r="N363" i="12" s="1"/>
  <c r="K363" i="12"/>
  <c r="A364" i="12"/>
  <c r="B364" i="12"/>
  <c r="C364" i="12"/>
  <c r="D364" i="12"/>
  <c r="E364" i="12"/>
  <c r="F364" i="12"/>
  <c r="G364" i="12"/>
  <c r="H364" i="12"/>
  <c r="J364" i="12"/>
  <c r="K364" i="12"/>
  <c r="L364" i="12" s="1"/>
  <c r="N364" i="12" s="1"/>
  <c r="A365" i="12"/>
  <c r="B365" i="12"/>
  <c r="C365" i="12"/>
  <c r="D365" i="12"/>
  <c r="E365" i="12"/>
  <c r="F365" i="12"/>
  <c r="G365" i="12"/>
  <c r="H365" i="12"/>
  <c r="I365" i="12"/>
  <c r="M365" i="12" s="1"/>
  <c r="J365" i="12"/>
  <c r="L365" i="12" s="1"/>
  <c r="N365" i="12" s="1"/>
  <c r="K365" i="12"/>
  <c r="A366" i="12"/>
  <c r="B366" i="12"/>
  <c r="C366" i="12"/>
  <c r="D366" i="12"/>
  <c r="E366" i="12"/>
  <c r="F366" i="12"/>
  <c r="G366" i="12"/>
  <c r="H366" i="12"/>
  <c r="J366" i="12"/>
  <c r="K366" i="12"/>
  <c r="L366" i="12" s="1"/>
  <c r="N366" i="12" s="1"/>
  <c r="A367" i="12"/>
  <c r="B367" i="12"/>
  <c r="C367" i="12"/>
  <c r="D367" i="12"/>
  <c r="E367" i="12"/>
  <c r="F367" i="12"/>
  <c r="G367" i="12"/>
  <c r="H367" i="12"/>
  <c r="I367" i="12"/>
  <c r="M367" i="12" s="1"/>
  <c r="J367" i="12"/>
  <c r="L367" i="12" s="1"/>
  <c r="N367" i="12" s="1"/>
  <c r="K367" i="12"/>
  <c r="A368" i="12"/>
  <c r="B368" i="12"/>
  <c r="C368" i="12"/>
  <c r="D368" i="12"/>
  <c r="E368" i="12"/>
  <c r="F368" i="12"/>
  <c r="G368" i="12"/>
  <c r="H368" i="12"/>
  <c r="J368" i="12"/>
  <c r="K368" i="12"/>
  <c r="L368" i="12" s="1"/>
  <c r="N368" i="12" s="1"/>
  <c r="A369" i="12"/>
  <c r="B369" i="12"/>
  <c r="C369" i="12"/>
  <c r="D369" i="12"/>
  <c r="E369" i="12"/>
  <c r="F369" i="12"/>
  <c r="G369" i="12"/>
  <c r="H369" i="12"/>
  <c r="I369" i="12"/>
  <c r="M369" i="12" s="1"/>
  <c r="J369" i="12"/>
  <c r="L369" i="12" s="1"/>
  <c r="N369" i="12" s="1"/>
  <c r="K369" i="12"/>
  <c r="A370" i="12"/>
  <c r="B370" i="12"/>
  <c r="C370" i="12"/>
  <c r="D370" i="12"/>
  <c r="E370" i="12"/>
  <c r="F370" i="12"/>
  <c r="G370" i="12"/>
  <c r="H370" i="12"/>
  <c r="J370" i="12"/>
  <c r="K370" i="12"/>
  <c r="L370" i="12" s="1"/>
  <c r="N370" i="12" s="1"/>
  <c r="A371" i="12"/>
  <c r="B371" i="12"/>
  <c r="C371" i="12"/>
  <c r="D371" i="12"/>
  <c r="E371" i="12"/>
  <c r="F371" i="12"/>
  <c r="G371" i="12"/>
  <c r="H371" i="12"/>
  <c r="I371" i="12"/>
  <c r="M371" i="12" s="1"/>
  <c r="J371" i="12"/>
  <c r="L371" i="12" s="1"/>
  <c r="N371" i="12" s="1"/>
  <c r="K371" i="12"/>
  <c r="A372" i="12"/>
  <c r="B372" i="12"/>
  <c r="C372" i="12"/>
  <c r="D372" i="12"/>
  <c r="E372" i="12"/>
  <c r="F372" i="12"/>
  <c r="G372" i="12"/>
  <c r="H372" i="12"/>
  <c r="J372" i="12"/>
  <c r="K372" i="12"/>
  <c r="L372" i="12" s="1"/>
  <c r="N372" i="12" s="1"/>
  <c r="A373" i="12"/>
  <c r="B373" i="12"/>
  <c r="C373" i="12"/>
  <c r="D373" i="12"/>
  <c r="E373" i="12"/>
  <c r="F373" i="12"/>
  <c r="G373" i="12"/>
  <c r="H373" i="12"/>
  <c r="I373" i="12"/>
  <c r="M373" i="12" s="1"/>
  <c r="J373" i="12"/>
  <c r="L373" i="12" s="1"/>
  <c r="N373" i="12" s="1"/>
  <c r="K373" i="12"/>
  <c r="A374" i="12"/>
  <c r="B374" i="12"/>
  <c r="C374" i="12"/>
  <c r="D374" i="12"/>
  <c r="E374" i="12"/>
  <c r="F374" i="12"/>
  <c r="G374" i="12"/>
  <c r="H374" i="12"/>
  <c r="J374" i="12"/>
  <c r="K374" i="12"/>
  <c r="L374" i="12" s="1"/>
  <c r="N374" i="12" s="1"/>
  <c r="A375" i="12"/>
  <c r="B375" i="12"/>
  <c r="C375" i="12"/>
  <c r="D375" i="12"/>
  <c r="E375" i="12"/>
  <c r="F375" i="12"/>
  <c r="G375" i="12"/>
  <c r="H375" i="12"/>
  <c r="I375" i="12"/>
  <c r="M375" i="12" s="1"/>
  <c r="J375" i="12"/>
  <c r="L375" i="12" s="1"/>
  <c r="N375" i="12" s="1"/>
  <c r="K375" i="12"/>
  <c r="A376" i="12"/>
  <c r="B376" i="12"/>
  <c r="C376" i="12"/>
  <c r="D376" i="12"/>
  <c r="E376" i="12"/>
  <c r="F376" i="12"/>
  <c r="G376" i="12"/>
  <c r="H376" i="12"/>
  <c r="J376" i="12"/>
  <c r="K376" i="12"/>
  <c r="L376" i="12" s="1"/>
  <c r="N376" i="12" s="1"/>
  <c r="A377" i="12"/>
  <c r="B377" i="12"/>
  <c r="C377" i="12"/>
  <c r="D377" i="12"/>
  <c r="E377" i="12"/>
  <c r="F377" i="12"/>
  <c r="G377" i="12"/>
  <c r="H377" i="12"/>
  <c r="I377" i="12"/>
  <c r="M377" i="12" s="1"/>
  <c r="J377" i="12"/>
  <c r="L377" i="12" s="1"/>
  <c r="N377" i="12" s="1"/>
  <c r="K377" i="12"/>
  <c r="A378" i="12"/>
  <c r="B378" i="12"/>
  <c r="C378" i="12"/>
  <c r="D378" i="12"/>
  <c r="E378" i="12"/>
  <c r="F378" i="12"/>
  <c r="G378" i="12"/>
  <c r="H378" i="12"/>
  <c r="J378" i="12"/>
  <c r="K378" i="12"/>
  <c r="L378" i="12" s="1"/>
  <c r="N378" i="12" s="1"/>
  <c r="A379" i="12"/>
  <c r="B379" i="12"/>
  <c r="C379" i="12"/>
  <c r="D379" i="12"/>
  <c r="E379" i="12"/>
  <c r="F379" i="12"/>
  <c r="G379" i="12"/>
  <c r="H379" i="12"/>
  <c r="I379" i="12"/>
  <c r="M379" i="12" s="1"/>
  <c r="J379" i="12"/>
  <c r="L379" i="12" s="1"/>
  <c r="N379" i="12" s="1"/>
  <c r="K379" i="12"/>
  <c r="A380" i="12"/>
  <c r="B380" i="12"/>
  <c r="C380" i="12"/>
  <c r="D380" i="12"/>
  <c r="E380" i="12"/>
  <c r="F380" i="12"/>
  <c r="G380" i="12"/>
  <c r="H380" i="12"/>
  <c r="J380" i="12"/>
  <c r="K380" i="12"/>
  <c r="L380" i="12" s="1"/>
  <c r="N380" i="12" s="1"/>
  <c r="A381" i="12"/>
  <c r="B381" i="12"/>
  <c r="C381" i="12"/>
  <c r="D381" i="12"/>
  <c r="E381" i="12"/>
  <c r="F381" i="12"/>
  <c r="G381" i="12"/>
  <c r="H381" i="12"/>
  <c r="I381" i="12"/>
  <c r="M381" i="12" s="1"/>
  <c r="J381" i="12"/>
  <c r="L381" i="12" s="1"/>
  <c r="N381" i="12" s="1"/>
  <c r="K381" i="12"/>
  <c r="A382" i="12"/>
  <c r="B382" i="12"/>
  <c r="C382" i="12"/>
  <c r="D382" i="12"/>
  <c r="E382" i="12"/>
  <c r="F382" i="12"/>
  <c r="G382" i="12"/>
  <c r="H382" i="12"/>
  <c r="J382" i="12"/>
  <c r="K382" i="12"/>
  <c r="L382" i="12" s="1"/>
  <c r="N382" i="12" s="1"/>
  <c r="A383" i="12"/>
  <c r="B383" i="12"/>
  <c r="C383" i="12"/>
  <c r="D383" i="12"/>
  <c r="E383" i="12"/>
  <c r="F383" i="12"/>
  <c r="G383" i="12"/>
  <c r="H383" i="12"/>
  <c r="I383" i="12"/>
  <c r="M383" i="12" s="1"/>
  <c r="J383" i="12"/>
  <c r="L383" i="12" s="1"/>
  <c r="N383" i="12" s="1"/>
  <c r="K383" i="12"/>
  <c r="A384" i="12"/>
  <c r="B384" i="12"/>
  <c r="C384" i="12"/>
  <c r="D384" i="12"/>
  <c r="E384" i="12"/>
  <c r="F384" i="12"/>
  <c r="G384" i="12"/>
  <c r="H384" i="12"/>
  <c r="J384" i="12"/>
  <c r="K384" i="12"/>
  <c r="L384" i="12" s="1"/>
  <c r="N384" i="12" s="1"/>
  <c r="A385" i="12"/>
  <c r="B385" i="12"/>
  <c r="C385" i="12"/>
  <c r="D385" i="12"/>
  <c r="E385" i="12"/>
  <c r="F385" i="12"/>
  <c r="G385" i="12"/>
  <c r="H385" i="12"/>
  <c r="I385" i="12"/>
  <c r="M385" i="12" s="1"/>
  <c r="J385" i="12"/>
  <c r="L385" i="12" s="1"/>
  <c r="N385" i="12" s="1"/>
  <c r="K385" i="12"/>
  <c r="A386" i="12"/>
  <c r="B386" i="12"/>
  <c r="C386" i="12"/>
  <c r="D386" i="12"/>
  <c r="E386" i="12"/>
  <c r="F386" i="12"/>
  <c r="G386" i="12"/>
  <c r="H386" i="12"/>
  <c r="J386" i="12"/>
  <c r="K386" i="12"/>
  <c r="L386" i="12" s="1"/>
  <c r="N386" i="12" s="1"/>
  <c r="A387" i="12"/>
  <c r="B387" i="12"/>
  <c r="C387" i="12"/>
  <c r="D387" i="12"/>
  <c r="E387" i="12"/>
  <c r="F387" i="12"/>
  <c r="G387" i="12"/>
  <c r="H387" i="12"/>
  <c r="I387" i="12"/>
  <c r="M387" i="12" s="1"/>
  <c r="J387" i="12"/>
  <c r="L387" i="12" s="1"/>
  <c r="N387" i="12" s="1"/>
  <c r="K387" i="12"/>
  <c r="A388" i="12"/>
  <c r="B388" i="12"/>
  <c r="C388" i="12"/>
  <c r="D388" i="12"/>
  <c r="E388" i="12"/>
  <c r="F388" i="12"/>
  <c r="G388" i="12"/>
  <c r="H388" i="12"/>
  <c r="J388" i="12"/>
  <c r="K388" i="12"/>
  <c r="L388" i="12" s="1"/>
  <c r="N388" i="12" s="1"/>
  <c r="A389" i="12"/>
  <c r="B389" i="12"/>
  <c r="C389" i="12"/>
  <c r="D389" i="12"/>
  <c r="E389" i="12"/>
  <c r="F389" i="12"/>
  <c r="G389" i="12"/>
  <c r="H389" i="12"/>
  <c r="I389" i="12"/>
  <c r="M389" i="12" s="1"/>
  <c r="J389" i="12"/>
  <c r="L389" i="12" s="1"/>
  <c r="N389" i="12" s="1"/>
  <c r="K389" i="12"/>
  <c r="A390" i="12"/>
  <c r="B390" i="12"/>
  <c r="C390" i="12"/>
  <c r="D390" i="12"/>
  <c r="E390" i="12"/>
  <c r="F390" i="12"/>
  <c r="G390" i="12"/>
  <c r="H390" i="12"/>
  <c r="J390" i="12"/>
  <c r="K390" i="12"/>
  <c r="L390" i="12" s="1"/>
  <c r="N390" i="12" s="1"/>
  <c r="A391" i="12"/>
  <c r="B391" i="12"/>
  <c r="C391" i="12"/>
  <c r="D391" i="12"/>
  <c r="E391" i="12"/>
  <c r="F391" i="12"/>
  <c r="G391" i="12"/>
  <c r="H391" i="12"/>
  <c r="I391" i="12"/>
  <c r="M391" i="12" s="1"/>
  <c r="J391" i="12"/>
  <c r="L391" i="12" s="1"/>
  <c r="N391" i="12" s="1"/>
  <c r="K391" i="12"/>
  <c r="A392" i="12"/>
  <c r="B392" i="12"/>
  <c r="C392" i="12"/>
  <c r="D392" i="12"/>
  <c r="E392" i="12"/>
  <c r="F392" i="12"/>
  <c r="G392" i="12"/>
  <c r="H392" i="12"/>
  <c r="J392" i="12"/>
  <c r="K392" i="12"/>
  <c r="L392" i="12" s="1"/>
  <c r="N392" i="12" s="1"/>
  <c r="A393" i="12"/>
  <c r="B393" i="12"/>
  <c r="C393" i="12"/>
  <c r="D393" i="12"/>
  <c r="E393" i="12"/>
  <c r="F393" i="12"/>
  <c r="G393" i="12"/>
  <c r="H393" i="12"/>
  <c r="I393" i="12"/>
  <c r="M393" i="12" s="1"/>
  <c r="J393" i="12"/>
  <c r="L393" i="12" s="1"/>
  <c r="N393" i="12" s="1"/>
  <c r="K393" i="12"/>
  <c r="A394" i="12"/>
  <c r="B394" i="12"/>
  <c r="C394" i="12"/>
  <c r="D394" i="12"/>
  <c r="E394" i="12"/>
  <c r="F394" i="12"/>
  <c r="G394" i="12"/>
  <c r="H394" i="12"/>
  <c r="J394" i="12"/>
  <c r="K394" i="12"/>
  <c r="L394" i="12" s="1"/>
  <c r="N394" i="12" s="1"/>
  <c r="A395" i="12"/>
  <c r="B395" i="12"/>
  <c r="C395" i="12"/>
  <c r="D395" i="12"/>
  <c r="E395" i="12"/>
  <c r="F395" i="12"/>
  <c r="G395" i="12"/>
  <c r="H395" i="12"/>
  <c r="I395" i="12"/>
  <c r="M395" i="12" s="1"/>
  <c r="J395" i="12"/>
  <c r="L395" i="12" s="1"/>
  <c r="N395" i="12" s="1"/>
  <c r="K395" i="12"/>
  <c r="A396" i="12"/>
  <c r="B396" i="12"/>
  <c r="C396" i="12"/>
  <c r="D396" i="12"/>
  <c r="E396" i="12"/>
  <c r="F396" i="12"/>
  <c r="G396" i="12"/>
  <c r="H396" i="12"/>
  <c r="J396" i="12"/>
  <c r="K396" i="12"/>
  <c r="L396" i="12" s="1"/>
  <c r="N396" i="12" s="1"/>
  <c r="A397" i="12"/>
  <c r="B397" i="12"/>
  <c r="C397" i="12"/>
  <c r="D397" i="12"/>
  <c r="E397" i="12"/>
  <c r="F397" i="12"/>
  <c r="G397" i="12"/>
  <c r="H397" i="12"/>
  <c r="I397" i="12"/>
  <c r="M397" i="12" s="1"/>
  <c r="J397" i="12"/>
  <c r="L397" i="12" s="1"/>
  <c r="N397" i="12" s="1"/>
  <c r="K397" i="12"/>
  <c r="A398" i="12"/>
  <c r="B398" i="12"/>
  <c r="C398" i="12"/>
  <c r="D398" i="12"/>
  <c r="E398" i="12"/>
  <c r="F398" i="12"/>
  <c r="G398" i="12"/>
  <c r="H398" i="12"/>
  <c r="J398" i="12"/>
  <c r="K398" i="12"/>
  <c r="L398" i="12" s="1"/>
  <c r="N398" i="12" s="1"/>
  <c r="A399" i="12"/>
  <c r="B399" i="12"/>
  <c r="C399" i="12"/>
  <c r="D399" i="12"/>
  <c r="E399" i="12"/>
  <c r="F399" i="12"/>
  <c r="G399" i="12"/>
  <c r="H399" i="12"/>
  <c r="I399" i="12"/>
  <c r="M399" i="12" s="1"/>
  <c r="J399" i="12"/>
  <c r="L399" i="12" s="1"/>
  <c r="N399" i="12" s="1"/>
  <c r="K399" i="12"/>
  <c r="A400" i="12"/>
  <c r="B400" i="12"/>
  <c r="C400" i="12"/>
  <c r="D400" i="12"/>
  <c r="E400" i="12"/>
  <c r="F400" i="12"/>
  <c r="G400" i="12"/>
  <c r="H400" i="12"/>
  <c r="J400" i="12"/>
  <c r="K400" i="12"/>
  <c r="L400" i="12" s="1"/>
  <c r="N400" i="12" s="1"/>
  <c r="A401" i="12"/>
  <c r="B401" i="12"/>
  <c r="C401" i="12"/>
  <c r="D401" i="12"/>
  <c r="E401" i="12"/>
  <c r="F401" i="12"/>
  <c r="G401" i="12"/>
  <c r="H401" i="12"/>
  <c r="I401" i="12"/>
  <c r="M401" i="12" s="1"/>
  <c r="J401" i="12"/>
  <c r="L401" i="12" s="1"/>
  <c r="N401" i="12" s="1"/>
  <c r="K401" i="12"/>
  <c r="A402" i="12"/>
  <c r="B402" i="12"/>
  <c r="C402" i="12"/>
  <c r="D402" i="12"/>
  <c r="E402" i="12"/>
  <c r="F402" i="12"/>
  <c r="G402" i="12"/>
  <c r="H402" i="12"/>
  <c r="J402" i="12"/>
  <c r="K402" i="12"/>
  <c r="L402" i="12" s="1"/>
  <c r="N402" i="12" s="1"/>
  <c r="A403" i="12"/>
  <c r="B403" i="12"/>
  <c r="C403" i="12"/>
  <c r="D403" i="12"/>
  <c r="E403" i="12"/>
  <c r="F403" i="12"/>
  <c r="G403" i="12"/>
  <c r="H403" i="12"/>
  <c r="I403" i="12"/>
  <c r="M403" i="12" s="1"/>
  <c r="J403" i="12"/>
  <c r="L403" i="12" s="1"/>
  <c r="N403" i="12" s="1"/>
  <c r="K403" i="12"/>
  <c r="A404" i="12"/>
  <c r="B404" i="12"/>
  <c r="C404" i="12"/>
  <c r="D404" i="12"/>
  <c r="E404" i="12"/>
  <c r="F404" i="12"/>
  <c r="G404" i="12"/>
  <c r="H404" i="12"/>
  <c r="J404" i="12"/>
  <c r="K404" i="12"/>
  <c r="L404" i="12" s="1"/>
  <c r="N404" i="12" s="1"/>
  <c r="A405" i="12"/>
  <c r="B405" i="12"/>
  <c r="C405" i="12"/>
  <c r="D405" i="12"/>
  <c r="E405" i="12"/>
  <c r="F405" i="12"/>
  <c r="G405" i="12"/>
  <c r="H405" i="12"/>
  <c r="I405" i="12"/>
  <c r="M405" i="12" s="1"/>
  <c r="J405" i="12"/>
  <c r="L405" i="12" s="1"/>
  <c r="N405" i="12" s="1"/>
  <c r="K405" i="12"/>
  <c r="A406" i="12"/>
  <c r="B406" i="12"/>
  <c r="C406" i="12"/>
  <c r="D406" i="12"/>
  <c r="E406" i="12"/>
  <c r="F406" i="12"/>
  <c r="G406" i="12"/>
  <c r="H406" i="12"/>
  <c r="J406" i="12"/>
  <c r="K406" i="12"/>
  <c r="L406" i="12" s="1"/>
  <c r="N406" i="12" s="1"/>
  <c r="A407" i="12"/>
  <c r="B407" i="12"/>
  <c r="C407" i="12"/>
  <c r="D407" i="12"/>
  <c r="E407" i="12"/>
  <c r="F407" i="12"/>
  <c r="G407" i="12"/>
  <c r="H407" i="12"/>
  <c r="I407" i="12"/>
  <c r="M407" i="12" s="1"/>
  <c r="J407" i="12"/>
  <c r="L407" i="12" s="1"/>
  <c r="N407" i="12" s="1"/>
  <c r="K407" i="12"/>
  <c r="A408" i="12"/>
  <c r="B408" i="12"/>
  <c r="C408" i="12"/>
  <c r="D408" i="12"/>
  <c r="E408" i="12"/>
  <c r="F408" i="12"/>
  <c r="G408" i="12"/>
  <c r="H408" i="12"/>
  <c r="J408" i="12"/>
  <c r="K408" i="12"/>
  <c r="L408" i="12" s="1"/>
  <c r="N408" i="12" s="1"/>
  <c r="A409" i="12"/>
  <c r="B409" i="12"/>
  <c r="C409" i="12"/>
  <c r="D409" i="12"/>
  <c r="E409" i="12"/>
  <c r="F409" i="12"/>
  <c r="G409" i="12"/>
  <c r="H409" i="12"/>
  <c r="I409" i="12"/>
  <c r="M409" i="12" s="1"/>
  <c r="J409" i="12"/>
  <c r="L409" i="12" s="1"/>
  <c r="N409" i="12" s="1"/>
  <c r="K409" i="12"/>
  <c r="A410" i="12"/>
  <c r="B410" i="12"/>
  <c r="C410" i="12"/>
  <c r="D410" i="12"/>
  <c r="E410" i="12"/>
  <c r="F410" i="12"/>
  <c r="G410" i="12"/>
  <c r="H410" i="12"/>
  <c r="J410" i="12"/>
  <c r="K410" i="12"/>
  <c r="L410" i="12" s="1"/>
  <c r="N410" i="12" s="1"/>
  <c r="A411" i="12"/>
  <c r="B411" i="12"/>
  <c r="C411" i="12"/>
  <c r="D411" i="12"/>
  <c r="E411" i="12"/>
  <c r="F411" i="12"/>
  <c r="G411" i="12"/>
  <c r="H411" i="12"/>
  <c r="I411" i="12"/>
  <c r="M411" i="12" s="1"/>
  <c r="J411" i="12"/>
  <c r="L411" i="12" s="1"/>
  <c r="N411" i="12" s="1"/>
  <c r="K411" i="12"/>
  <c r="A412" i="12"/>
  <c r="B412" i="12"/>
  <c r="C412" i="12"/>
  <c r="D412" i="12"/>
  <c r="E412" i="12"/>
  <c r="F412" i="12"/>
  <c r="G412" i="12"/>
  <c r="H412" i="12"/>
  <c r="J412" i="12"/>
  <c r="K412" i="12"/>
  <c r="L412" i="12" s="1"/>
  <c r="N412" i="12" s="1"/>
  <c r="A413" i="12"/>
  <c r="B413" i="12"/>
  <c r="C413" i="12"/>
  <c r="D413" i="12"/>
  <c r="E413" i="12"/>
  <c r="F413" i="12"/>
  <c r="G413" i="12"/>
  <c r="H413" i="12"/>
  <c r="I413" i="12"/>
  <c r="M413" i="12" s="1"/>
  <c r="J413" i="12"/>
  <c r="L413" i="12" s="1"/>
  <c r="N413" i="12" s="1"/>
  <c r="K413" i="12"/>
  <c r="A414" i="12"/>
  <c r="B414" i="12"/>
  <c r="C414" i="12"/>
  <c r="D414" i="12"/>
  <c r="E414" i="12"/>
  <c r="F414" i="12"/>
  <c r="G414" i="12"/>
  <c r="H414" i="12"/>
  <c r="I414" i="12"/>
  <c r="J414" i="12"/>
  <c r="K414" i="12"/>
  <c r="L414" i="12"/>
  <c r="N414" i="12" s="1"/>
  <c r="M414" i="12"/>
  <c r="A415" i="12"/>
  <c r="B415" i="12"/>
  <c r="C415" i="12"/>
  <c r="D415" i="12"/>
  <c r="E415" i="12"/>
  <c r="F415" i="12"/>
  <c r="G415" i="12"/>
  <c r="H415" i="12"/>
  <c r="I415" i="12"/>
  <c r="M415" i="12" s="1"/>
  <c r="J415" i="12"/>
  <c r="K415" i="12"/>
  <c r="A416" i="12"/>
  <c r="B416" i="12"/>
  <c r="C416" i="12"/>
  <c r="D416" i="12"/>
  <c r="E416" i="12"/>
  <c r="F416" i="12"/>
  <c r="G416" i="12"/>
  <c r="H416" i="12"/>
  <c r="J416" i="12"/>
  <c r="K416" i="12"/>
  <c r="L416" i="12"/>
  <c r="N416" i="12" s="1"/>
  <c r="A417" i="12"/>
  <c r="B417" i="12"/>
  <c r="C417" i="12"/>
  <c r="D417" i="12"/>
  <c r="E417" i="12"/>
  <c r="F417" i="12"/>
  <c r="G417" i="12"/>
  <c r="I417" i="12" s="1"/>
  <c r="M417" i="12" s="1"/>
  <c r="H417" i="12"/>
  <c r="J417" i="12"/>
  <c r="L417" i="12" s="1"/>
  <c r="N417" i="12" s="1"/>
  <c r="K417" i="12"/>
  <c r="A418" i="12"/>
  <c r="B418" i="12"/>
  <c r="C418" i="12"/>
  <c r="D418" i="12"/>
  <c r="E418" i="12"/>
  <c r="F418" i="12"/>
  <c r="G418" i="12"/>
  <c r="H418" i="12"/>
  <c r="I418" i="12"/>
  <c r="J418" i="12"/>
  <c r="K418" i="12"/>
  <c r="L418" i="12"/>
  <c r="N418" i="12" s="1"/>
  <c r="M418" i="12"/>
  <c r="A419" i="12"/>
  <c r="B419" i="12"/>
  <c r="C419" i="12"/>
  <c r="D419" i="12"/>
  <c r="E419" i="12"/>
  <c r="F419" i="12"/>
  <c r="G419" i="12"/>
  <c r="H419" i="12"/>
  <c r="I419" i="12"/>
  <c r="M419" i="12" s="1"/>
  <c r="J419" i="12"/>
  <c r="K419" i="12"/>
  <c r="A420" i="12"/>
  <c r="B420" i="12"/>
  <c r="C420" i="12"/>
  <c r="D420" i="12"/>
  <c r="E420" i="12"/>
  <c r="F420" i="12"/>
  <c r="G420" i="12"/>
  <c r="H420" i="12"/>
  <c r="J420" i="12"/>
  <c r="K420" i="12"/>
  <c r="L420" i="12" s="1"/>
  <c r="N420" i="12" s="1"/>
  <c r="A421" i="12"/>
  <c r="B421" i="12"/>
  <c r="C421" i="12"/>
  <c r="D421" i="12"/>
  <c r="E421" i="12"/>
  <c r="F421" i="12"/>
  <c r="G421" i="12"/>
  <c r="I421" i="12" s="1"/>
  <c r="M421" i="12" s="1"/>
  <c r="H421" i="12"/>
  <c r="J421" i="12"/>
  <c r="K421" i="12"/>
  <c r="A422" i="12"/>
  <c r="B422" i="12"/>
  <c r="C422" i="12"/>
  <c r="D422" i="12"/>
  <c r="E422" i="12"/>
  <c r="F422" i="12"/>
  <c r="G422" i="12"/>
  <c r="H422" i="12"/>
  <c r="I422" i="12"/>
  <c r="J422" i="12"/>
  <c r="K422" i="12"/>
  <c r="L422" i="12"/>
  <c r="N422" i="12" s="1"/>
  <c r="M422" i="12"/>
  <c r="A423" i="12"/>
  <c r="B423" i="12"/>
  <c r="C423" i="12"/>
  <c r="D423" i="12"/>
  <c r="E423" i="12"/>
  <c r="F423" i="12"/>
  <c r="G423" i="12"/>
  <c r="H423" i="12"/>
  <c r="I423" i="12"/>
  <c r="J423" i="12"/>
  <c r="K423" i="12"/>
  <c r="M423" i="12"/>
  <c r="A424" i="12"/>
  <c r="B424" i="12"/>
  <c r="C424" i="12"/>
  <c r="D424" i="12"/>
  <c r="E424" i="12"/>
  <c r="F424" i="12"/>
  <c r="G424" i="12"/>
  <c r="I424" i="12" s="1"/>
  <c r="M424" i="12" s="1"/>
  <c r="H424" i="12"/>
  <c r="J424" i="12"/>
  <c r="K424" i="12"/>
  <c r="L424" i="12" s="1"/>
  <c r="N424" i="12" s="1"/>
  <c r="A425" i="12"/>
  <c r="B425" i="12"/>
  <c r="C425" i="12"/>
  <c r="D425" i="12"/>
  <c r="E425" i="12"/>
  <c r="F425" i="12"/>
  <c r="G425" i="12"/>
  <c r="I425" i="12" s="1"/>
  <c r="M425" i="12" s="1"/>
  <c r="H425" i="12"/>
  <c r="J425" i="12"/>
  <c r="K425" i="12"/>
  <c r="A426" i="12"/>
  <c r="B426" i="12"/>
  <c r="C426" i="12"/>
  <c r="D426" i="12"/>
  <c r="E426" i="12"/>
  <c r="F426" i="12"/>
  <c r="G426" i="12"/>
  <c r="H426" i="12"/>
  <c r="I426" i="12"/>
  <c r="J426" i="12"/>
  <c r="K426" i="12"/>
  <c r="L426" i="12"/>
  <c r="N426" i="12" s="1"/>
  <c r="M426" i="12"/>
  <c r="A427" i="12"/>
  <c r="B427" i="12"/>
  <c r="C427" i="12"/>
  <c r="D427" i="12"/>
  <c r="E427" i="12"/>
  <c r="F427" i="12"/>
  <c r="G427" i="12"/>
  <c r="H427" i="12"/>
  <c r="I427" i="12"/>
  <c r="J427" i="12"/>
  <c r="K427" i="12"/>
  <c r="M427" i="12"/>
  <c r="A428" i="12"/>
  <c r="B428" i="12"/>
  <c r="C428" i="12"/>
  <c r="D428" i="12"/>
  <c r="E428" i="12"/>
  <c r="F428" i="12"/>
  <c r="G428" i="12"/>
  <c r="I428" i="12" s="1"/>
  <c r="M428" i="12" s="1"/>
  <c r="H428" i="12"/>
  <c r="J428" i="12"/>
  <c r="K428" i="12"/>
  <c r="L428" i="12"/>
  <c r="N428" i="12" s="1"/>
  <c r="A429" i="12"/>
  <c r="B429" i="12"/>
  <c r="C429" i="12"/>
  <c r="D429" i="12"/>
  <c r="E429" i="12"/>
  <c r="F429" i="12"/>
  <c r="G429" i="12"/>
  <c r="I429" i="12" s="1"/>
  <c r="M429" i="12" s="1"/>
  <c r="H429" i="12"/>
  <c r="J429" i="12"/>
  <c r="L429" i="12" s="1"/>
  <c r="N429" i="12" s="1"/>
  <c r="K429" i="12"/>
  <c r="A430" i="12"/>
  <c r="B430" i="12"/>
  <c r="C430" i="12"/>
  <c r="D430" i="12"/>
  <c r="E430" i="12"/>
  <c r="F430" i="12"/>
  <c r="G430" i="12"/>
  <c r="H430" i="12"/>
  <c r="I430" i="12"/>
  <c r="J430" i="12"/>
  <c r="K430" i="12"/>
  <c r="L430" i="12"/>
  <c r="N430" i="12" s="1"/>
  <c r="M430" i="12"/>
  <c r="A431" i="12"/>
  <c r="B431" i="12"/>
  <c r="C431" i="12"/>
  <c r="D431" i="12"/>
  <c r="E431" i="12"/>
  <c r="F431" i="12"/>
  <c r="G431" i="12"/>
  <c r="H431" i="12"/>
  <c r="I431" i="12"/>
  <c r="M431" i="12" s="1"/>
  <c r="J431" i="12"/>
  <c r="K431" i="12"/>
  <c r="A432" i="12"/>
  <c r="B432" i="12"/>
  <c r="C432" i="12"/>
  <c r="D432" i="12"/>
  <c r="E432" i="12"/>
  <c r="F432" i="12"/>
  <c r="G432" i="12"/>
  <c r="H432" i="12"/>
  <c r="J432" i="12"/>
  <c r="K432" i="12"/>
  <c r="L432" i="12"/>
  <c r="N432" i="12" s="1"/>
  <c r="A433" i="12"/>
  <c r="B433" i="12"/>
  <c r="C433" i="12"/>
  <c r="D433" i="12"/>
  <c r="E433" i="12"/>
  <c r="F433" i="12"/>
  <c r="G433" i="12"/>
  <c r="I433" i="12" s="1"/>
  <c r="M433" i="12" s="1"/>
  <c r="H433" i="12"/>
  <c r="J433" i="12"/>
  <c r="L433" i="12" s="1"/>
  <c r="N433" i="12" s="1"/>
  <c r="K433" i="12"/>
  <c r="A434" i="12"/>
  <c r="B434" i="12"/>
  <c r="C434" i="12"/>
  <c r="D434" i="12"/>
  <c r="E434" i="12"/>
  <c r="F434" i="12"/>
  <c r="G434" i="12"/>
  <c r="H434" i="12"/>
  <c r="I434" i="12"/>
  <c r="J434" i="12"/>
  <c r="K434" i="12"/>
  <c r="L434" i="12"/>
  <c r="N434" i="12" s="1"/>
  <c r="M434" i="12"/>
  <c r="A435" i="12"/>
  <c r="B435" i="12"/>
  <c r="C435" i="12"/>
  <c r="D435" i="12"/>
  <c r="E435" i="12"/>
  <c r="F435" i="12"/>
  <c r="G435" i="12"/>
  <c r="H435" i="12"/>
  <c r="I435" i="12"/>
  <c r="M435" i="12" s="1"/>
  <c r="J435" i="12"/>
  <c r="K435" i="12"/>
  <c r="A436" i="12"/>
  <c r="B436" i="12"/>
  <c r="C436" i="12"/>
  <c r="D436" i="12"/>
  <c r="E436" i="12"/>
  <c r="F436" i="12"/>
  <c r="G436" i="12"/>
  <c r="H436" i="12"/>
  <c r="J436" i="12"/>
  <c r="K436" i="12"/>
  <c r="L436" i="12" s="1"/>
  <c r="N436" i="12" s="1"/>
  <c r="A437" i="12"/>
  <c r="B437" i="12"/>
  <c r="C437" i="12"/>
  <c r="D437" i="12"/>
  <c r="E437" i="12"/>
  <c r="F437" i="12"/>
  <c r="G437" i="12"/>
  <c r="I437" i="12" s="1"/>
  <c r="M437" i="12" s="1"/>
  <c r="H437" i="12"/>
  <c r="J437" i="12"/>
  <c r="L437" i="12" s="1"/>
  <c r="N437" i="12" s="1"/>
  <c r="K437" i="12"/>
  <c r="A438" i="12"/>
  <c r="B438" i="12"/>
  <c r="C438" i="12"/>
  <c r="D438" i="12"/>
  <c r="E438" i="12"/>
  <c r="F438" i="12"/>
  <c r="G438" i="12"/>
  <c r="H438" i="12"/>
  <c r="I438" i="12"/>
  <c r="J438" i="12"/>
  <c r="K438" i="12"/>
  <c r="L438" i="12"/>
  <c r="N438" i="12" s="1"/>
  <c r="M438" i="12"/>
  <c r="A439" i="12"/>
  <c r="B439" i="12"/>
  <c r="C439" i="12"/>
  <c r="D439" i="12"/>
  <c r="E439" i="12"/>
  <c r="F439" i="12"/>
  <c r="G439" i="12"/>
  <c r="H439" i="12"/>
  <c r="I439" i="12"/>
  <c r="J439" i="12"/>
  <c r="K439" i="12"/>
  <c r="M439" i="12"/>
  <c r="A440" i="12"/>
  <c r="B440" i="12"/>
  <c r="C440" i="12"/>
  <c r="D440" i="12"/>
  <c r="E440" i="12"/>
  <c r="F440" i="12"/>
  <c r="G440" i="12"/>
  <c r="I440" i="12" s="1"/>
  <c r="M440" i="12" s="1"/>
  <c r="H440" i="12"/>
  <c r="J440" i="12"/>
  <c r="K440" i="12"/>
  <c r="L440" i="12" s="1"/>
  <c r="N440" i="12" s="1"/>
  <c r="A441" i="12"/>
  <c r="B441" i="12"/>
  <c r="C441" i="12"/>
  <c r="D441" i="12"/>
  <c r="E441" i="12"/>
  <c r="F441" i="12"/>
  <c r="G441" i="12"/>
  <c r="I441" i="12" s="1"/>
  <c r="M441" i="12" s="1"/>
  <c r="H441" i="12"/>
  <c r="J441" i="12"/>
  <c r="K441" i="12"/>
  <c r="A442" i="12"/>
  <c r="B442" i="12"/>
  <c r="C442" i="12"/>
  <c r="D442" i="12"/>
  <c r="E442" i="12"/>
  <c r="F442" i="12"/>
  <c r="G442" i="12"/>
  <c r="H442" i="12"/>
  <c r="I442" i="12"/>
  <c r="J442" i="12"/>
  <c r="K442" i="12"/>
  <c r="L442" i="12"/>
  <c r="N442" i="12" s="1"/>
  <c r="M442" i="12"/>
  <c r="A443" i="12"/>
  <c r="B443" i="12"/>
  <c r="C443" i="12"/>
  <c r="D443" i="12"/>
  <c r="E443" i="12"/>
  <c r="F443" i="12"/>
  <c r="G443" i="12"/>
  <c r="H443" i="12"/>
  <c r="I443" i="12"/>
  <c r="J443" i="12"/>
  <c r="K443" i="12"/>
  <c r="M443" i="12"/>
  <c r="A444" i="12"/>
  <c r="B444" i="12"/>
  <c r="C444" i="12"/>
  <c r="D444" i="12"/>
  <c r="E444" i="12"/>
  <c r="F444" i="12"/>
  <c r="G444" i="12"/>
  <c r="I444" i="12" s="1"/>
  <c r="M444" i="12" s="1"/>
  <c r="H444" i="12"/>
  <c r="J444" i="12"/>
  <c r="K444" i="12"/>
  <c r="L444" i="12"/>
  <c r="N444" i="12" s="1"/>
  <c r="A445" i="12"/>
  <c r="B445" i="12"/>
  <c r="C445" i="12"/>
  <c r="D445" i="12"/>
  <c r="E445" i="12"/>
  <c r="F445" i="12"/>
  <c r="G445" i="12"/>
  <c r="I445" i="12" s="1"/>
  <c r="M445" i="12" s="1"/>
  <c r="H445" i="12"/>
  <c r="J445" i="12"/>
  <c r="L445" i="12" s="1"/>
  <c r="N445" i="12" s="1"/>
  <c r="K445" i="12"/>
  <c r="A446" i="12"/>
  <c r="B446" i="12"/>
  <c r="C446" i="12"/>
  <c r="D446" i="12"/>
  <c r="E446" i="12"/>
  <c r="F446" i="12"/>
  <c r="G446" i="12"/>
  <c r="H446" i="12"/>
  <c r="I446" i="12"/>
  <c r="J446" i="12"/>
  <c r="K446" i="12"/>
  <c r="L446" i="12"/>
  <c r="N446" i="12" s="1"/>
  <c r="M446" i="12"/>
  <c r="A447" i="12"/>
  <c r="B447" i="12"/>
  <c r="C447" i="12"/>
  <c r="D447" i="12"/>
  <c r="E447" i="12"/>
  <c r="F447" i="12"/>
  <c r="G447" i="12"/>
  <c r="H447" i="12"/>
  <c r="I447" i="12"/>
  <c r="M447" i="12" s="1"/>
  <c r="J447" i="12"/>
  <c r="K447" i="12"/>
  <c r="A448" i="12"/>
  <c r="B448" i="12"/>
  <c r="C448" i="12"/>
  <c r="D448" i="12"/>
  <c r="E448" i="12"/>
  <c r="F448" i="12"/>
  <c r="G448" i="12"/>
  <c r="H448" i="12"/>
  <c r="J448" i="12"/>
  <c r="K448" i="12"/>
  <c r="L448" i="12"/>
  <c r="N448" i="12" s="1"/>
  <c r="A449" i="12"/>
  <c r="B449" i="12"/>
  <c r="C449" i="12"/>
  <c r="D449" i="12"/>
  <c r="E449" i="12"/>
  <c r="F449" i="12"/>
  <c r="G449" i="12"/>
  <c r="I449" i="12" s="1"/>
  <c r="M449" i="12" s="1"/>
  <c r="H449" i="12"/>
  <c r="J449" i="12"/>
  <c r="L449" i="12" s="1"/>
  <c r="N449" i="12" s="1"/>
  <c r="K449" i="12"/>
  <c r="A450" i="12"/>
  <c r="B450" i="12"/>
  <c r="C450" i="12"/>
  <c r="D450" i="12"/>
  <c r="E450" i="12"/>
  <c r="F450" i="12"/>
  <c r="G450" i="12"/>
  <c r="H450" i="12"/>
  <c r="I450" i="12"/>
  <c r="J450" i="12"/>
  <c r="K450" i="12"/>
  <c r="L450" i="12"/>
  <c r="N450" i="12" s="1"/>
  <c r="M450" i="12"/>
  <c r="A451" i="12"/>
  <c r="B451" i="12"/>
  <c r="C451" i="12"/>
  <c r="D451" i="12"/>
  <c r="E451" i="12"/>
  <c r="F451" i="12"/>
  <c r="G451" i="12"/>
  <c r="H451" i="12"/>
  <c r="I451" i="12"/>
  <c r="M451" i="12" s="1"/>
  <c r="J451" i="12"/>
  <c r="K451" i="12"/>
  <c r="A452" i="12"/>
  <c r="B452" i="12"/>
  <c r="C452" i="12"/>
  <c r="D452" i="12"/>
  <c r="E452" i="12"/>
  <c r="F452" i="12"/>
  <c r="G452" i="12"/>
  <c r="H452" i="12"/>
  <c r="J452" i="12"/>
  <c r="K452" i="12"/>
  <c r="L452" i="12" s="1"/>
  <c r="N452" i="12" s="1"/>
  <c r="A453" i="12"/>
  <c r="B453" i="12"/>
  <c r="C453" i="12"/>
  <c r="D453" i="12"/>
  <c r="E453" i="12"/>
  <c r="F453" i="12"/>
  <c r="G453" i="12"/>
  <c r="I453" i="12" s="1"/>
  <c r="M453" i="12" s="1"/>
  <c r="H453" i="12"/>
  <c r="J453" i="12"/>
  <c r="L453" i="12" s="1"/>
  <c r="N453" i="12" s="1"/>
  <c r="K453" i="12"/>
  <c r="A454" i="12"/>
  <c r="B454" i="12"/>
  <c r="C454" i="12"/>
  <c r="D454" i="12"/>
  <c r="E454" i="12"/>
  <c r="F454" i="12"/>
  <c r="G454" i="12"/>
  <c r="H454" i="12"/>
  <c r="I454" i="12"/>
  <c r="J454" i="12"/>
  <c r="K454" i="12"/>
  <c r="L454" i="12"/>
  <c r="N454" i="12" s="1"/>
  <c r="M454" i="12"/>
  <c r="A455" i="12"/>
  <c r="B455" i="12"/>
  <c r="C455" i="12"/>
  <c r="D455" i="12"/>
  <c r="E455" i="12"/>
  <c r="F455" i="12"/>
  <c r="G455" i="12"/>
  <c r="H455" i="12"/>
  <c r="I455" i="12"/>
  <c r="J455" i="12"/>
  <c r="K455" i="12"/>
  <c r="M455" i="12"/>
  <c r="A456" i="12"/>
  <c r="B456" i="12"/>
  <c r="C456" i="12"/>
  <c r="D456" i="12"/>
  <c r="E456" i="12"/>
  <c r="F456" i="12"/>
  <c r="G456" i="12"/>
  <c r="I456" i="12" s="1"/>
  <c r="M456" i="12" s="1"/>
  <c r="H456" i="12"/>
  <c r="J456" i="12"/>
  <c r="K456" i="12"/>
  <c r="L456" i="12" s="1"/>
  <c r="N456" i="12" s="1"/>
  <c r="A457" i="12"/>
  <c r="B457" i="12"/>
  <c r="C457" i="12"/>
  <c r="D457" i="12"/>
  <c r="E457" i="12"/>
  <c r="F457" i="12"/>
  <c r="G457" i="12"/>
  <c r="I457" i="12" s="1"/>
  <c r="M457" i="12" s="1"/>
  <c r="H457" i="12"/>
  <c r="J457" i="12"/>
  <c r="K457" i="12"/>
  <c r="A458" i="12"/>
  <c r="B458" i="12"/>
  <c r="C458" i="12"/>
  <c r="D458" i="12"/>
  <c r="E458" i="12"/>
  <c r="F458" i="12"/>
  <c r="G458" i="12"/>
  <c r="H458" i="12"/>
  <c r="I458" i="12"/>
  <c r="J458" i="12"/>
  <c r="K458" i="12"/>
  <c r="L458" i="12"/>
  <c r="N458" i="12" s="1"/>
  <c r="M458" i="12"/>
  <c r="A459" i="12"/>
  <c r="B459" i="12"/>
  <c r="C459" i="12"/>
  <c r="D459" i="12"/>
  <c r="E459" i="12"/>
  <c r="F459" i="12"/>
  <c r="G459" i="12"/>
  <c r="H459" i="12"/>
  <c r="I459" i="12"/>
  <c r="J459" i="12"/>
  <c r="K459" i="12"/>
  <c r="M459" i="12"/>
  <c r="A460" i="12"/>
  <c r="B460" i="12"/>
  <c r="C460" i="12"/>
  <c r="D460" i="12"/>
  <c r="E460" i="12"/>
  <c r="F460" i="12"/>
  <c r="G460" i="12"/>
  <c r="I460" i="12" s="1"/>
  <c r="M460" i="12" s="1"/>
  <c r="H460" i="12"/>
  <c r="J460" i="12"/>
  <c r="K460" i="12"/>
  <c r="L460" i="12" s="1"/>
  <c r="N460" i="12" s="1"/>
  <c r="A461" i="12"/>
  <c r="B461" i="12"/>
  <c r="C461" i="12"/>
  <c r="D461" i="12"/>
  <c r="E461" i="12"/>
  <c r="F461" i="12"/>
  <c r="G461" i="12"/>
  <c r="I461" i="12" s="1"/>
  <c r="M461" i="12" s="1"/>
  <c r="H461" i="12"/>
  <c r="J461" i="12"/>
  <c r="L461" i="12" s="1"/>
  <c r="N461" i="12" s="1"/>
  <c r="K461" i="12"/>
  <c r="A462" i="12"/>
  <c r="B462" i="12"/>
  <c r="C462" i="12"/>
  <c r="D462" i="12"/>
  <c r="E462" i="12"/>
  <c r="F462" i="12"/>
  <c r="G462" i="12"/>
  <c r="H462" i="12"/>
  <c r="I462" i="12"/>
  <c r="J462" i="12"/>
  <c r="K462" i="12"/>
  <c r="L462" i="12"/>
  <c r="N462" i="12" s="1"/>
  <c r="M462" i="12"/>
  <c r="A463" i="12"/>
  <c r="B463" i="12"/>
  <c r="C463" i="12"/>
  <c r="D463" i="12"/>
  <c r="E463" i="12"/>
  <c r="F463" i="12"/>
  <c r="G463" i="12"/>
  <c r="H463" i="12"/>
  <c r="I463" i="12"/>
  <c r="J463" i="12"/>
  <c r="K463" i="12"/>
  <c r="M463" i="12"/>
  <c r="A464" i="12"/>
  <c r="B464" i="12"/>
  <c r="C464" i="12"/>
  <c r="D464" i="12"/>
  <c r="E464" i="12"/>
  <c r="F464" i="12"/>
  <c r="G464" i="12"/>
  <c r="I464" i="12" s="1"/>
  <c r="M464" i="12" s="1"/>
  <c r="H464" i="12"/>
  <c r="J464" i="12"/>
  <c r="K464" i="12"/>
  <c r="L464" i="12"/>
  <c r="N464" i="12" s="1"/>
  <c r="A465" i="12"/>
  <c r="B465" i="12"/>
  <c r="C465" i="12"/>
  <c r="D465" i="12"/>
  <c r="E465" i="12"/>
  <c r="F465" i="12"/>
  <c r="G465" i="12"/>
  <c r="I465" i="12" s="1"/>
  <c r="M465" i="12" s="1"/>
  <c r="H465" i="12"/>
  <c r="J465" i="12"/>
  <c r="L465" i="12" s="1"/>
  <c r="N465" i="12" s="1"/>
  <c r="K465" i="12"/>
  <c r="A466" i="12"/>
  <c r="B466" i="12"/>
  <c r="C466" i="12"/>
  <c r="D466" i="12"/>
  <c r="E466" i="12"/>
  <c r="F466" i="12"/>
  <c r="G466" i="12"/>
  <c r="H466" i="12"/>
  <c r="I466" i="12"/>
  <c r="J466" i="12"/>
  <c r="K466" i="12"/>
  <c r="L466" i="12"/>
  <c r="N466" i="12" s="1"/>
  <c r="M466" i="12"/>
  <c r="A467" i="12"/>
  <c r="B467" i="12"/>
  <c r="C467" i="12"/>
  <c r="D467" i="12"/>
  <c r="E467" i="12"/>
  <c r="F467" i="12"/>
  <c r="G467" i="12"/>
  <c r="H467" i="12"/>
  <c r="I467" i="12"/>
  <c r="M467" i="12" s="1"/>
  <c r="J467" i="12"/>
  <c r="K467" i="12"/>
  <c r="A468" i="12"/>
  <c r="B468" i="12"/>
  <c r="C468" i="12"/>
  <c r="D468" i="12"/>
  <c r="E468" i="12"/>
  <c r="F468" i="12"/>
  <c r="G468" i="12"/>
  <c r="H468" i="12"/>
  <c r="J468" i="12"/>
  <c r="K468" i="12"/>
  <c r="L468" i="12" s="1"/>
  <c r="N468" i="12" s="1"/>
  <c r="A469" i="12"/>
  <c r="B469" i="12"/>
  <c r="C469" i="12"/>
  <c r="D469" i="12"/>
  <c r="E469" i="12"/>
  <c r="F469" i="12"/>
  <c r="G469" i="12"/>
  <c r="I469" i="12" s="1"/>
  <c r="M469" i="12" s="1"/>
  <c r="H469" i="12"/>
  <c r="J469" i="12"/>
  <c r="K469" i="12"/>
  <c r="A470" i="12"/>
  <c r="B470" i="12"/>
  <c r="C470" i="12"/>
  <c r="D470" i="12"/>
  <c r="E470" i="12"/>
  <c r="F470" i="12"/>
  <c r="G470" i="12"/>
  <c r="H470" i="12"/>
  <c r="I470" i="12"/>
  <c r="J470" i="12"/>
  <c r="K470" i="12"/>
  <c r="L470" i="12"/>
  <c r="N470" i="12" s="1"/>
  <c r="M470" i="12"/>
  <c r="A471" i="12"/>
  <c r="B471" i="12"/>
  <c r="C471" i="12"/>
  <c r="D471" i="12"/>
  <c r="E471" i="12"/>
  <c r="F471" i="12"/>
  <c r="G471" i="12"/>
  <c r="H471" i="12"/>
  <c r="I471" i="12"/>
  <c r="J471" i="12"/>
  <c r="K471" i="12"/>
  <c r="M471" i="12"/>
  <c r="A472" i="12"/>
  <c r="B472" i="12"/>
  <c r="C472" i="12"/>
  <c r="D472" i="12"/>
  <c r="E472" i="12"/>
  <c r="F472" i="12"/>
  <c r="G472" i="12"/>
  <c r="I472" i="12" s="1"/>
  <c r="M472" i="12" s="1"/>
  <c r="H472" i="12"/>
  <c r="J472" i="12"/>
  <c r="K472" i="12"/>
  <c r="L472" i="12" s="1"/>
  <c r="N472" i="12" s="1"/>
  <c r="A473" i="12"/>
  <c r="B473" i="12"/>
  <c r="C473" i="12"/>
  <c r="D473" i="12"/>
  <c r="E473" i="12"/>
  <c r="F473" i="12"/>
  <c r="G473" i="12"/>
  <c r="I473" i="12" s="1"/>
  <c r="M473" i="12" s="1"/>
  <c r="H473" i="12"/>
  <c r="J473" i="12"/>
  <c r="K473" i="12"/>
  <c r="A474" i="12"/>
  <c r="B474" i="12"/>
  <c r="C474" i="12"/>
  <c r="D474" i="12"/>
  <c r="E474" i="12"/>
  <c r="F474" i="12"/>
  <c r="G474" i="12"/>
  <c r="H474" i="12"/>
  <c r="I474" i="12"/>
  <c r="J474" i="12"/>
  <c r="K474" i="12"/>
  <c r="L474" i="12"/>
  <c r="N474" i="12" s="1"/>
  <c r="M474" i="12"/>
  <c r="A475" i="12"/>
  <c r="B475" i="12"/>
  <c r="C475" i="12"/>
  <c r="D475" i="12"/>
  <c r="E475" i="12"/>
  <c r="F475" i="12"/>
  <c r="G475" i="12"/>
  <c r="H475" i="12"/>
  <c r="I475" i="12"/>
  <c r="J475" i="12"/>
  <c r="K475" i="12"/>
  <c r="M475" i="12"/>
  <c r="A476" i="12"/>
  <c r="B476" i="12"/>
  <c r="C476" i="12"/>
  <c r="D476" i="12"/>
  <c r="E476" i="12"/>
  <c r="F476" i="12"/>
  <c r="G476" i="12"/>
  <c r="I476" i="12" s="1"/>
  <c r="M476" i="12" s="1"/>
  <c r="H476" i="12"/>
  <c r="J476" i="12"/>
  <c r="K476" i="12"/>
  <c r="L476" i="12"/>
  <c r="N476" i="12" s="1"/>
  <c r="A477" i="12"/>
  <c r="B477" i="12"/>
  <c r="C477" i="12"/>
  <c r="D477" i="12"/>
  <c r="E477" i="12"/>
  <c r="F477" i="12"/>
  <c r="G477" i="12"/>
  <c r="I477" i="12" s="1"/>
  <c r="M477" i="12" s="1"/>
  <c r="H477" i="12"/>
  <c r="J477" i="12"/>
  <c r="L477" i="12" s="1"/>
  <c r="N477" i="12" s="1"/>
  <c r="K477" i="12"/>
  <c r="A478" i="12"/>
  <c r="B478" i="12"/>
  <c r="C478" i="12"/>
  <c r="D478" i="12"/>
  <c r="E478" i="12"/>
  <c r="F478" i="12"/>
  <c r="G478" i="12"/>
  <c r="H478" i="12"/>
  <c r="I478" i="12"/>
  <c r="J478" i="12"/>
  <c r="K478" i="12"/>
  <c r="L478" i="12"/>
  <c r="N478" i="12" s="1"/>
  <c r="M478" i="12"/>
  <c r="A479" i="12"/>
  <c r="B479" i="12"/>
  <c r="C479" i="12"/>
  <c r="D479" i="12"/>
  <c r="E479" i="12"/>
  <c r="F479" i="12"/>
  <c r="G479" i="12"/>
  <c r="H479" i="12"/>
  <c r="I479" i="12"/>
  <c r="M479" i="12" s="1"/>
  <c r="J479" i="12"/>
  <c r="K479" i="12"/>
  <c r="A480" i="12"/>
  <c r="B480" i="12"/>
  <c r="C480" i="12"/>
  <c r="D480" i="12"/>
  <c r="E480" i="12"/>
  <c r="F480" i="12"/>
  <c r="G480" i="12"/>
  <c r="H480" i="12"/>
  <c r="J480" i="12"/>
  <c r="K480" i="12"/>
  <c r="L480" i="12"/>
  <c r="N480" i="12" s="1"/>
  <c r="A481" i="12"/>
  <c r="B481" i="12"/>
  <c r="C481" i="12"/>
  <c r="D481" i="12"/>
  <c r="E481" i="12"/>
  <c r="F481" i="12"/>
  <c r="G481" i="12"/>
  <c r="I481" i="12" s="1"/>
  <c r="M481" i="12" s="1"/>
  <c r="H481" i="12"/>
  <c r="J481" i="12"/>
  <c r="L481" i="12" s="1"/>
  <c r="N481" i="12" s="1"/>
  <c r="K481" i="12"/>
  <c r="A482" i="12"/>
  <c r="B482" i="12"/>
  <c r="C482" i="12"/>
  <c r="D482" i="12"/>
  <c r="E482" i="12"/>
  <c r="F482" i="12"/>
  <c r="G482" i="12"/>
  <c r="H482" i="12"/>
  <c r="I482" i="12"/>
  <c r="J482" i="12"/>
  <c r="K482" i="12"/>
  <c r="L482" i="12"/>
  <c r="N482" i="12" s="1"/>
  <c r="M482" i="12"/>
  <c r="A483" i="12"/>
  <c r="B483" i="12"/>
  <c r="C483" i="12"/>
  <c r="D483" i="12"/>
  <c r="E483" i="12"/>
  <c r="F483" i="12"/>
  <c r="G483" i="12"/>
  <c r="H483" i="12"/>
  <c r="I483" i="12"/>
  <c r="M483" i="12" s="1"/>
  <c r="J483" i="12"/>
  <c r="K483" i="12"/>
  <c r="A484" i="12"/>
  <c r="B484" i="12"/>
  <c r="C484" i="12"/>
  <c r="D484" i="12"/>
  <c r="E484" i="12"/>
  <c r="F484" i="12"/>
  <c r="G484" i="12"/>
  <c r="H484" i="12"/>
  <c r="J484" i="12"/>
  <c r="K484" i="12"/>
  <c r="L484" i="12" s="1"/>
  <c r="N484" i="12" s="1"/>
  <c r="A485" i="12"/>
  <c r="B485" i="12"/>
  <c r="C485" i="12"/>
  <c r="D485" i="12"/>
  <c r="E485" i="12"/>
  <c r="F485" i="12"/>
  <c r="G485" i="12"/>
  <c r="I485" i="12" s="1"/>
  <c r="M485" i="12" s="1"/>
  <c r="H485" i="12"/>
  <c r="J485" i="12"/>
  <c r="K485" i="12"/>
  <c r="A486" i="12"/>
  <c r="B486" i="12"/>
  <c r="C486" i="12"/>
  <c r="D486" i="12"/>
  <c r="E486" i="12"/>
  <c r="F486" i="12"/>
  <c r="G486" i="12"/>
  <c r="H486" i="12"/>
  <c r="I486" i="12"/>
  <c r="J486" i="12"/>
  <c r="K486" i="12"/>
  <c r="L486" i="12"/>
  <c r="N486" i="12" s="1"/>
  <c r="M486" i="12"/>
  <c r="A487" i="12"/>
  <c r="B487" i="12"/>
  <c r="C487" i="12"/>
  <c r="D487" i="12"/>
  <c r="E487" i="12"/>
  <c r="F487" i="12"/>
  <c r="G487" i="12"/>
  <c r="H487" i="12"/>
  <c r="I487" i="12"/>
  <c r="J487" i="12"/>
  <c r="K487" i="12"/>
  <c r="M487" i="12"/>
  <c r="A488" i="12"/>
  <c r="B488" i="12"/>
  <c r="C488" i="12"/>
  <c r="D488" i="12"/>
  <c r="E488" i="12"/>
  <c r="F488" i="12"/>
  <c r="G488" i="12"/>
  <c r="I488" i="12" s="1"/>
  <c r="M488" i="12" s="1"/>
  <c r="H488" i="12"/>
  <c r="J488" i="12"/>
  <c r="K488" i="12"/>
  <c r="L488" i="12" s="1"/>
  <c r="N488" i="12" s="1"/>
  <c r="A489" i="12"/>
  <c r="B489" i="12"/>
  <c r="C489" i="12"/>
  <c r="D489" i="12"/>
  <c r="E489" i="12"/>
  <c r="F489" i="12"/>
  <c r="G489" i="12"/>
  <c r="I489" i="12" s="1"/>
  <c r="M489" i="12" s="1"/>
  <c r="H489" i="12"/>
  <c r="J489" i="12"/>
  <c r="K489" i="12"/>
  <c r="A490" i="12"/>
  <c r="B490" i="12"/>
  <c r="C490" i="12"/>
  <c r="D490" i="12"/>
  <c r="E490" i="12"/>
  <c r="F490" i="12"/>
  <c r="G490" i="12"/>
  <c r="H490" i="12"/>
  <c r="I490" i="12"/>
  <c r="J490" i="12"/>
  <c r="K490" i="12"/>
  <c r="L490" i="12"/>
  <c r="N490" i="12" s="1"/>
  <c r="M490" i="12"/>
  <c r="A491" i="12"/>
  <c r="B491" i="12"/>
  <c r="C491" i="12"/>
  <c r="D491" i="12"/>
  <c r="E491" i="12"/>
  <c r="F491" i="12"/>
  <c r="G491" i="12"/>
  <c r="H491" i="12"/>
  <c r="I491" i="12"/>
  <c r="J491" i="12"/>
  <c r="K491" i="12"/>
  <c r="M491" i="12"/>
  <c r="A492" i="12"/>
  <c r="B492" i="12"/>
  <c r="C492" i="12"/>
  <c r="D492" i="12"/>
  <c r="E492" i="12"/>
  <c r="F492" i="12"/>
  <c r="G492" i="12"/>
  <c r="I492" i="12" s="1"/>
  <c r="M492" i="12" s="1"/>
  <c r="H492" i="12"/>
  <c r="J492" i="12"/>
  <c r="K492" i="12"/>
  <c r="L492" i="12"/>
  <c r="N492" i="12" s="1"/>
  <c r="A493" i="12"/>
  <c r="B493" i="12"/>
  <c r="C493" i="12"/>
  <c r="D493" i="12"/>
  <c r="E493" i="12"/>
  <c r="F493" i="12"/>
  <c r="G493" i="12"/>
  <c r="I493" i="12" s="1"/>
  <c r="M493" i="12" s="1"/>
  <c r="H493" i="12"/>
  <c r="J493" i="12"/>
  <c r="L493" i="12" s="1"/>
  <c r="N493" i="12" s="1"/>
  <c r="K493" i="12"/>
  <c r="A494" i="12"/>
  <c r="B494" i="12"/>
  <c r="C494" i="12"/>
  <c r="D494" i="12"/>
  <c r="E494" i="12"/>
  <c r="F494" i="12"/>
  <c r="G494" i="12"/>
  <c r="H494" i="12"/>
  <c r="I494" i="12"/>
  <c r="J494" i="12"/>
  <c r="K494" i="12"/>
  <c r="L494" i="12"/>
  <c r="N494" i="12" s="1"/>
  <c r="M494" i="12"/>
  <c r="A495" i="12"/>
  <c r="B495" i="12"/>
  <c r="C495" i="12"/>
  <c r="D495" i="12"/>
  <c r="E495" i="12"/>
  <c r="F495" i="12"/>
  <c r="G495" i="12"/>
  <c r="H495" i="12"/>
  <c r="I495" i="12"/>
  <c r="M495" i="12" s="1"/>
  <c r="J495" i="12"/>
  <c r="K495" i="12"/>
  <c r="A496" i="12"/>
  <c r="B496" i="12"/>
  <c r="C496" i="12"/>
  <c r="D496" i="12"/>
  <c r="E496" i="12"/>
  <c r="F496" i="12"/>
  <c r="G496" i="12"/>
  <c r="H496" i="12"/>
  <c r="J496" i="12"/>
  <c r="K496" i="12"/>
  <c r="L496" i="12"/>
  <c r="N496" i="12" s="1"/>
  <c r="A497" i="12"/>
  <c r="B497" i="12"/>
  <c r="C497" i="12"/>
  <c r="D497" i="12"/>
  <c r="E497" i="12"/>
  <c r="F497" i="12"/>
  <c r="G497" i="12"/>
  <c r="I497" i="12" s="1"/>
  <c r="M497" i="12" s="1"/>
  <c r="H497" i="12"/>
  <c r="J497" i="12"/>
  <c r="L497" i="12" s="1"/>
  <c r="N497" i="12" s="1"/>
  <c r="K497" i="12"/>
  <c r="A498" i="12"/>
  <c r="B498" i="12"/>
  <c r="C498" i="12"/>
  <c r="D498" i="12"/>
  <c r="E498" i="12"/>
  <c r="F498" i="12"/>
  <c r="G498" i="12"/>
  <c r="H498" i="12"/>
  <c r="I498" i="12"/>
  <c r="J498" i="12"/>
  <c r="K498" i="12"/>
  <c r="L498" i="12"/>
  <c r="N498" i="12" s="1"/>
  <c r="M498" i="12"/>
  <c r="A499" i="12"/>
  <c r="B499" i="12"/>
  <c r="C499" i="12"/>
  <c r="D499" i="12"/>
  <c r="E499" i="12"/>
  <c r="F499" i="12"/>
  <c r="G499" i="12"/>
  <c r="H499" i="12"/>
  <c r="I499" i="12"/>
  <c r="M499" i="12" s="1"/>
  <c r="J499" i="12"/>
  <c r="K499" i="12"/>
  <c r="A500" i="12"/>
  <c r="B500" i="12"/>
  <c r="C500" i="12"/>
  <c r="D500" i="12"/>
  <c r="E500" i="12"/>
  <c r="F500" i="12"/>
  <c r="G500" i="12"/>
  <c r="H500" i="12"/>
  <c r="J500" i="12"/>
  <c r="K500" i="12"/>
  <c r="L500" i="12" s="1"/>
  <c r="N500" i="12" s="1"/>
  <c r="A501" i="12"/>
  <c r="B501" i="12"/>
  <c r="C501" i="12"/>
  <c r="D501" i="12"/>
  <c r="E501" i="12"/>
  <c r="F501" i="12"/>
  <c r="G501" i="12"/>
  <c r="I501" i="12" s="1"/>
  <c r="M501" i="12" s="1"/>
  <c r="H501" i="12"/>
  <c r="J501" i="12"/>
  <c r="L501" i="12" s="1"/>
  <c r="N501" i="12" s="1"/>
  <c r="K501" i="12"/>
  <c r="A502" i="12"/>
  <c r="B502" i="12"/>
  <c r="C502" i="12"/>
  <c r="D502" i="12"/>
  <c r="E502" i="12"/>
  <c r="F502" i="12"/>
  <c r="G502" i="12"/>
  <c r="H502" i="12"/>
  <c r="I502" i="12"/>
  <c r="J502" i="12"/>
  <c r="K502" i="12"/>
  <c r="L502" i="12"/>
  <c r="N502" i="12" s="1"/>
  <c r="M502" i="12"/>
  <c r="A503" i="12"/>
  <c r="B503" i="12"/>
  <c r="C503" i="12"/>
  <c r="D503" i="12"/>
  <c r="E503" i="12"/>
  <c r="F503" i="12"/>
  <c r="G503" i="12"/>
  <c r="H503" i="12"/>
  <c r="I503" i="12"/>
  <c r="J503" i="12"/>
  <c r="K503" i="12"/>
  <c r="M503" i="12"/>
  <c r="A504" i="12"/>
  <c r="B504" i="12"/>
  <c r="C504" i="12"/>
  <c r="D504" i="12"/>
  <c r="E504" i="12"/>
  <c r="F504" i="12"/>
  <c r="G504" i="12"/>
  <c r="I504" i="12" s="1"/>
  <c r="M504" i="12" s="1"/>
  <c r="H504" i="12"/>
  <c r="J504" i="12"/>
  <c r="K504" i="12"/>
  <c r="L504" i="12" s="1"/>
  <c r="N504" i="12" s="1"/>
  <c r="A505" i="12"/>
  <c r="B505" i="12"/>
  <c r="C505" i="12"/>
  <c r="D505" i="12"/>
  <c r="E505" i="12"/>
  <c r="F505" i="12"/>
  <c r="G505" i="12"/>
  <c r="I505" i="12" s="1"/>
  <c r="M505" i="12" s="1"/>
  <c r="H505" i="12"/>
  <c r="J505" i="12"/>
  <c r="K505" i="12"/>
  <c r="A506" i="12"/>
  <c r="B506" i="12"/>
  <c r="C506" i="12"/>
  <c r="D506" i="12"/>
  <c r="E506" i="12"/>
  <c r="F506" i="12"/>
  <c r="G506" i="12"/>
  <c r="H506" i="12"/>
  <c r="I506" i="12"/>
  <c r="J506" i="12"/>
  <c r="K506" i="12"/>
  <c r="L506" i="12"/>
  <c r="N506" i="12" s="1"/>
  <c r="M506" i="12"/>
  <c r="A507" i="12"/>
  <c r="B507" i="12"/>
  <c r="C507" i="12"/>
  <c r="D507" i="12"/>
  <c r="E507" i="12"/>
  <c r="F507" i="12"/>
  <c r="G507" i="12"/>
  <c r="H507" i="12"/>
  <c r="I507" i="12"/>
  <c r="J507" i="12"/>
  <c r="K507" i="12"/>
  <c r="M507" i="12"/>
  <c r="A508" i="12"/>
  <c r="B508" i="12"/>
  <c r="C508" i="12"/>
  <c r="D508" i="12"/>
  <c r="E508" i="12"/>
  <c r="F508" i="12"/>
  <c r="G508" i="12"/>
  <c r="I508" i="12" s="1"/>
  <c r="M508" i="12" s="1"/>
  <c r="H508" i="12"/>
  <c r="J508" i="12"/>
  <c r="K508" i="12"/>
  <c r="L508" i="12"/>
  <c r="N508" i="12" s="1"/>
  <c r="A509" i="12"/>
  <c r="B509" i="12"/>
  <c r="C509" i="12"/>
  <c r="D509" i="12"/>
  <c r="E509" i="12"/>
  <c r="F509" i="12"/>
  <c r="G509" i="12"/>
  <c r="I509" i="12" s="1"/>
  <c r="M509" i="12" s="1"/>
  <c r="H509" i="12"/>
  <c r="J509" i="12"/>
  <c r="L509" i="12" s="1"/>
  <c r="N509" i="12" s="1"/>
  <c r="K509" i="12"/>
  <c r="A510" i="12"/>
  <c r="B510" i="12"/>
  <c r="C510" i="12"/>
  <c r="D510" i="12"/>
  <c r="E510" i="12"/>
  <c r="F510" i="12"/>
  <c r="G510" i="12"/>
  <c r="H510" i="12"/>
  <c r="I510" i="12"/>
  <c r="J510" i="12"/>
  <c r="K510" i="12"/>
  <c r="L510" i="12"/>
  <c r="N510" i="12" s="1"/>
  <c r="M510" i="12"/>
  <c r="A511" i="12"/>
  <c r="B511" i="12"/>
  <c r="C511" i="12"/>
  <c r="D511" i="12"/>
  <c r="E511" i="12"/>
  <c r="F511" i="12"/>
  <c r="G511" i="12"/>
  <c r="H511" i="12"/>
  <c r="I511" i="12"/>
  <c r="M511" i="12" s="1"/>
  <c r="J511" i="12"/>
  <c r="K511" i="12"/>
  <c r="A512" i="12"/>
  <c r="B512" i="12"/>
  <c r="C512" i="12"/>
  <c r="D512" i="12"/>
  <c r="E512" i="12"/>
  <c r="F512" i="12"/>
  <c r="G512" i="12"/>
  <c r="H512" i="12"/>
  <c r="J512" i="12"/>
  <c r="K512" i="12"/>
  <c r="L512" i="12"/>
  <c r="N512" i="12" s="1"/>
  <c r="A513" i="12"/>
  <c r="B513" i="12"/>
  <c r="C513" i="12"/>
  <c r="D513" i="12"/>
  <c r="E513" i="12"/>
  <c r="F513" i="12"/>
  <c r="G513" i="12"/>
  <c r="I513" i="12" s="1"/>
  <c r="M513" i="12" s="1"/>
  <c r="H513" i="12"/>
  <c r="J513" i="12"/>
  <c r="L513" i="12" s="1"/>
  <c r="N513" i="12" s="1"/>
  <c r="K513" i="12"/>
  <c r="A514" i="12"/>
  <c r="B514" i="12"/>
  <c r="C514" i="12"/>
  <c r="D514" i="12"/>
  <c r="E514" i="12"/>
  <c r="F514" i="12"/>
  <c r="G514" i="12"/>
  <c r="H514" i="12"/>
  <c r="I514" i="12"/>
  <c r="J514" i="12"/>
  <c r="K514" i="12"/>
  <c r="L514" i="12"/>
  <c r="N514" i="12" s="1"/>
  <c r="M514" i="12"/>
  <c r="A515" i="12"/>
  <c r="B515" i="12"/>
  <c r="C515" i="12"/>
  <c r="D515" i="12"/>
  <c r="E515" i="12"/>
  <c r="F515" i="12"/>
  <c r="G515" i="12"/>
  <c r="H515" i="12"/>
  <c r="I515" i="12"/>
  <c r="M515" i="12" s="1"/>
  <c r="J515" i="12"/>
  <c r="K515" i="12"/>
  <c r="A516" i="12"/>
  <c r="B516" i="12"/>
  <c r="C516" i="12"/>
  <c r="D516" i="12"/>
  <c r="E516" i="12"/>
  <c r="F516" i="12"/>
  <c r="G516" i="12"/>
  <c r="H516" i="12"/>
  <c r="J516" i="12"/>
  <c r="K516" i="12"/>
  <c r="L516" i="12" s="1"/>
  <c r="N516" i="12" s="1"/>
  <c r="A517" i="12"/>
  <c r="B517" i="12"/>
  <c r="C517" i="12"/>
  <c r="D517" i="12"/>
  <c r="E517" i="12"/>
  <c r="F517" i="12"/>
  <c r="G517" i="12"/>
  <c r="I517" i="12" s="1"/>
  <c r="M517" i="12" s="1"/>
  <c r="H517" i="12"/>
  <c r="J517" i="12"/>
  <c r="K517" i="12"/>
  <c r="A518" i="12"/>
  <c r="B518" i="12"/>
  <c r="C518" i="12"/>
  <c r="D518" i="12"/>
  <c r="E518" i="12"/>
  <c r="F518" i="12"/>
  <c r="G518" i="12"/>
  <c r="H518" i="12"/>
  <c r="I518" i="12"/>
  <c r="J518" i="12"/>
  <c r="K518" i="12"/>
  <c r="L518" i="12"/>
  <c r="N518" i="12" s="1"/>
  <c r="M518" i="12"/>
  <c r="A519" i="12"/>
  <c r="B519" i="12"/>
  <c r="C519" i="12"/>
  <c r="D519" i="12"/>
  <c r="E519" i="12"/>
  <c r="F519" i="12"/>
  <c r="G519" i="12"/>
  <c r="H519" i="12"/>
  <c r="I519" i="12"/>
  <c r="J519" i="12"/>
  <c r="K519" i="12"/>
  <c r="M519" i="12"/>
  <c r="A520" i="12"/>
  <c r="B520" i="12"/>
  <c r="C520" i="12"/>
  <c r="D520" i="12"/>
  <c r="E520" i="12"/>
  <c r="F520" i="12"/>
  <c r="G520" i="12"/>
  <c r="I520" i="12" s="1"/>
  <c r="M520" i="12" s="1"/>
  <c r="H520" i="12"/>
  <c r="J520" i="12"/>
  <c r="K520" i="12"/>
  <c r="L520" i="12" s="1"/>
  <c r="N520" i="12" s="1"/>
  <c r="A521" i="12"/>
  <c r="B521" i="12"/>
  <c r="C521" i="12"/>
  <c r="D521" i="12"/>
  <c r="E521" i="12"/>
  <c r="F521" i="12"/>
  <c r="G521" i="12"/>
  <c r="I521" i="12" s="1"/>
  <c r="M521" i="12" s="1"/>
  <c r="H521" i="12"/>
  <c r="J521" i="12"/>
  <c r="K521" i="12"/>
  <c r="A522" i="12"/>
  <c r="B522" i="12"/>
  <c r="C522" i="12"/>
  <c r="D522" i="12"/>
  <c r="E522" i="12"/>
  <c r="F522" i="12"/>
  <c r="G522" i="12"/>
  <c r="H522" i="12"/>
  <c r="I522" i="12"/>
  <c r="J522" i="12"/>
  <c r="K522" i="12"/>
  <c r="L522" i="12"/>
  <c r="N522" i="12" s="1"/>
  <c r="M522" i="12"/>
  <c r="A523" i="12"/>
  <c r="B523" i="12"/>
  <c r="C523" i="12"/>
  <c r="D523" i="12"/>
  <c r="E523" i="12"/>
  <c r="F523" i="12"/>
  <c r="G523" i="12"/>
  <c r="H523" i="12"/>
  <c r="I523" i="12"/>
  <c r="J523" i="12"/>
  <c r="K523" i="12"/>
  <c r="M523" i="12"/>
  <c r="A524" i="12"/>
  <c r="B524" i="12"/>
  <c r="C524" i="12"/>
  <c r="D524" i="12"/>
  <c r="E524" i="12"/>
  <c r="F524" i="12"/>
  <c r="G524" i="12"/>
  <c r="I524" i="12" s="1"/>
  <c r="M524" i="12" s="1"/>
  <c r="H524" i="12"/>
  <c r="J524" i="12"/>
  <c r="K524" i="12"/>
  <c r="L524" i="12" s="1"/>
  <c r="N524" i="12" s="1"/>
  <c r="A525" i="12"/>
  <c r="B525" i="12"/>
  <c r="C525" i="12"/>
  <c r="D525" i="12"/>
  <c r="E525" i="12"/>
  <c r="F525" i="12"/>
  <c r="G525" i="12"/>
  <c r="I525" i="12" s="1"/>
  <c r="M525" i="12" s="1"/>
  <c r="H525" i="12"/>
  <c r="J525" i="12"/>
  <c r="L525" i="12" s="1"/>
  <c r="N525" i="12" s="1"/>
  <c r="K525" i="12"/>
  <c r="A526" i="12"/>
  <c r="B526" i="12"/>
  <c r="C526" i="12"/>
  <c r="D526" i="12"/>
  <c r="E526" i="12"/>
  <c r="F526" i="12"/>
  <c r="G526" i="12"/>
  <c r="H526" i="12"/>
  <c r="I526" i="12"/>
  <c r="J526" i="12"/>
  <c r="K526" i="12"/>
  <c r="L526" i="12"/>
  <c r="N526" i="12" s="1"/>
  <c r="M526" i="12"/>
  <c r="A527" i="12"/>
  <c r="B527" i="12"/>
  <c r="C527" i="12"/>
  <c r="D527" i="12"/>
  <c r="E527" i="12"/>
  <c r="F527" i="12"/>
  <c r="G527" i="12"/>
  <c r="H527" i="12"/>
  <c r="I527" i="12"/>
  <c r="J527" i="12"/>
  <c r="K527" i="12"/>
  <c r="M527" i="12"/>
  <c r="A528" i="12"/>
  <c r="B528" i="12"/>
  <c r="C528" i="12"/>
  <c r="D528" i="12"/>
  <c r="E528" i="12"/>
  <c r="F528" i="12"/>
  <c r="G528" i="12"/>
  <c r="I528" i="12" s="1"/>
  <c r="M528" i="12" s="1"/>
  <c r="H528" i="12"/>
  <c r="J528" i="12"/>
  <c r="K528" i="12"/>
  <c r="L528" i="12"/>
  <c r="N528" i="12" s="1"/>
  <c r="A529" i="12"/>
  <c r="B529" i="12"/>
  <c r="C529" i="12"/>
  <c r="D529" i="12"/>
  <c r="E529" i="12"/>
  <c r="F529" i="12"/>
  <c r="G529" i="12"/>
  <c r="I529" i="12" s="1"/>
  <c r="M529" i="12" s="1"/>
  <c r="H529" i="12"/>
  <c r="J529" i="12"/>
  <c r="L529" i="12" s="1"/>
  <c r="N529" i="12" s="1"/>
  <c r="K529" i="12"/>
  <c r="A530" i="12"/>
  <c r="B530" i="12"/>
  <c r="C530" i="12"/>
  <c r="D530" i="12"/>
  <c r="E530" i="12"/>
  <c r="F530" i="12"/>
  <c r="G530" i="12"/>
  <c r="H530" i="12"/>
  <c r="I530" i="12"/>
  <c r="J530" i="12"/>
  <c r="K530" i="12"/>
  <c r="L530" i="12"/>
  <c r="N530" i="12" s="1"/>
  <c r="M530" i="12"/>
  <c r="A531" i="12"/>
  <c r="B531" i="12"/>
  <c r="C531" i="12"/>
  <c r="D531" i="12"/>
  <c r="E531" i="12"/>
  <c r="F531" i="12"/>
  <c r="G531" i="12"/>
  <c r="H531" i="12"/>
  <c r="I531" i="12"/>
  <c r="M531" i="12" s="1"/>
  <c r="J531" i="12"/>
  <c r="K531" i="12"/>
  <c r="A532" i="12"/>
  <c r="B532" i="12"/>
  <c r="C532" i="12"/>
  <c r="D532" i="12"/>
  <c r="E532" i="12"/>
  <c r="F532" i="12"/>
  <c r="G532" i="12"/>
  <c r="H532" i="12"/>
  <c r="J532" i="12"/>
  <c r="K532" i="12"/>
  <c r="L532" i="12" s="1"/>
  <c r="N532" i="12" s="1"/>
  <c r="A533" i="12"/>
  <c r="B533" i="12"/>
  <c r="C533" i="12"/>
  <c r="D533" i="12"/>
  <c r="E533" i="12"/>
  <c r="F533" i="12"/>
  <c r="G533" i="12"/>
  <c r="I533" i="12" s="1"/>
  <c r="M533" i="12" s="1"/>
  <c r="H533" i="12"/>
  <c r="J533" i="12"/>
  <c r="K533" i="12"/>
  <c r="A534" i="12"/>
  <c r="B534" i="12"/>
  <c r="C534" i="12"/>
  <c r="D534" i="12"/>
  <c r="E534" i="12"/>
  <c r="F534" i="12"/>
  <c r="G534" i="12"/>
  <c r="H534" i="12"/>
  <c r="I534" i="12"/>
  <c r="J534" i="12"/>
  <c r="K534" i="12"/>
  <c r="L534" i="12"/>
  <c r="N534" i="12" s="1"/>
  <c r="M534" i="12"/>
  <c r="A535" i="12"/>
  <c r="B535" i="12"/>
  <c r="C535" i="12"/>
  <c r="D535" i="12"/>
  <c r="E535" i="12"/>
  <c r="F535" i="12"/>
  <c r="G535" i="12"/>
  <c r="H535" i="12"/>
  <c r="I535" i="12"/>
  <c r="J535" i="12"/>
  <c r="K535" i="12"/>
  <c r="M535" i="12"/>
  <c r="A536" i="12"/>
  <c r="B536" i="12"/>
  <c r="C536" i="12"/>
  <c r="D536" i="12"/>
  <c r="E536" i="12"/>
  <c r="F536" i="12"/>
  <c r="G536" i="12"/>
  <c r="I536" i="12" s="1"/>
  <c r="M536" i="12" s="1"/>
  <c r="H536" i="12"/>
  <c r="J536" i="12"/>
  <c r="K536" i="12"/>
  <c r="L536" i="12" s="1"/>
  <c r="N536" i="12" s="1"/>
  <c r="A537" i="12"/>
  <c r="B537" i="12"/>
  <c r="C537" i="12"/>
  <c r="D537" i="12"/>
  <c r="E537" i="12"/>
  <c r="F537" i="12"/>
  <c r="G537" i="12"/>
  <c r="I537" i="12" s="1"/>
  <c r="M537" i="12" s="1"/>
  <c r="H537" i="12"/>
  <c r="J537" i="12"/>
  <c r="K537" i="12"/>
  <c r="A538" i="12"/>
  <c r="B538" i="12"/>
  <c r="C538" i="12"/>
  <c r="D538" i="12"/>
  <c r="E538" i="12"/>
  <c r="F538" i="12"/>
  <c r="G538" i="12"/>
  <c r="H538" i="12"/>
  <c r="I538" i="12"/>
  <c r="J538" i="12"/>
  <c r="K538" i="12"/>
  <c r="L538" i="12"/>
  <c r="N538" i="12" s="1"/>
  <c r="M538" i="12"/>
  <c r="A539" i="12"/>
  <c r="B539" i="12"/>
  <c r="C539" i="12"/>
  <c r="D539" i="12"/>
  <c r="E539" i="12"/>
  <c r="F539" i="12"/>
  <c r="G539" i="12"/>
  <c r="H539" i="12"/>
  <c r="I539" i="12"/>
  <c r="J539" i="12"/>
  <c r="K539" i="12"/>
  <c r="M539" i="12"/>
  <c r="A540" i="12"/>
  <c r="B540" i="12"/>
  <c r="C540" i="12"/>
  <c r="D540" i="12"/>
  <c r="E540" i="12"/>
  <c r="F540" i="12"/>
  <c r="G540" i="12"/>
  <c r="I540" i="12" s="1"/>
  <c r="M540" i="12" s="1"/>
  <c r="H540" i="12"/>
  <c r="J540" i="12"/>
  <c r="K540" i="12"/>
  <c r="L540" i="12"/>
  <c r="N540" i="12" s="1"/>
  <c r="A541" i="12"/>
  <c r="B541" i="12"/>
  <c r="C541" i="12"/>
  <c r="D541" i="12"/>
  <c r="E541" i="12"/>
  <c r="F541" i="12"/>
  <c r="G541" i="12"/>
  <c r="I541" i="12" s="1"/>
  <c r="M541" i="12" s="1"/>
  <c r="H541" i="12"/>
  <c r="J541" i="12"/>
  <c r="L541" i="12" s="1"/>
  <c r="N541" i="12" s="1"/>
  <c r="K541" i="12"/>
  <c r="A542" i="12"/>
  <c r="B542" i="12"/>
  <c r="C542" i="12"/>
  <c r="D542" i="12"/>
  <c r="E542" i="12"/>
  <c r="F542" i="12"/>
  <c r="G542" i="12"/>
  <c r="H542" i="12"/>
  <c r="I542" i="12"/>
  <c r="J542" i="12"/>
  <c r="K542" i="12"/>
  <c r="L542" i="12"/>
  <c r="N542" i="12" s="1"/>
  <c r="M542" i="12"/>
  <c r="A543" i="12"/>
  <c r="B543" i="12"/>
  <c r="C543" i="12"/>
  <c r="D543" i="12"/>
  <c r="E543" i="12"/>
  <c r="F543" i="12"/>
  <c r="G543" i="12"/>
  <c r="H543" i="12"/>
  <c r="I543" i="12"/>
  <c r="M543" i="12" s="1"/>
  <c r="J543" i="12"/>
  <c r="K543" i="12"/>
  <c r="A544" i="12"/>
  <c r="B544" i="12"/>
  <c r="C544" i="12"/>
  <c r="D544" i="12"/>
  <c r="E544" i="12"/>
  <c r="F544" i="12"/>
  <c r="G544" i="12"/>
  <c r="H544" i="12"/>
  <c r="J544" i="12"/>
  <c r="K544" i="12"/>
  <c r="L544" i="12"/>
  <c r="N544" i="12" s="1"/>
  <c r="A545" i="12"/>
  <c r="B545" i="12"/>
  <c r="C545" i="12"/>
  <c r="D545" i="12"/>
  <c r="E545" i="12"/>
  <c r="F545" i="12"/>
  <c r="G545" i="12"/>
  <c r="I545" i="12" s="1"/>
  <c r="M545" i="12" s="1"/>
  <c r="H545" i="12"/>
  <c r="J545" i="12"/>
  <c r="L545" i="12" s="1"/>
  <c r="N545" i="12" s="1"/>
  <c r="K545" i="12"/>
  <c r="A546" i="12"/>
  <c r="B546" i="12"/>
  <c r="C546" i="12"/>
  <c r="D546" i="12"/>
  <c r="E546" i="12"/>
  <c r="F546" i="12"/>
  <c r="G546" i="12"/>
  <c r="H546" i="12"/>
  <c r="I546" i="12"/>
  <c r="J546" i="12"/>
  <c r="K546" i="12"/>
  <c r="L546" i="12"/>
  <c r="N546" i="12" s="1"/>
  <c r="M546" i="12"/>
  <c r="A547" i="12"/>
  <c r="B547" i="12"/>
  <c r="C547" i="12"/>
  <c r="D547" i="12"/>
  <c r="E547" i="12"/>
  <c r="F547" i="12"/>
  <c r="G547" i="12"/>
  <c r="H547" i="12"/>
  <c r="I547" i="12"/>
  <c r="M547" i="12" s="1"/>
  <c r="J547" i="12"/>
  <c r="K547" i="12"/>
  <c r="A548" i="12"/>
  <c r="B548" i="12"/>
  <c r="C548" i="12"/>
  <c r="D548" i="12"/>
  <c r="E548" i="12"/>
  <c r="F548" i="12"/>
  <c r="G548" i="12"/>
  <c r="H548" i="12"/>
  <c r="J548" i="12"/>
  <c r="K548" i="12"/>
  <c r="L548" i="12" s="1"/>
  <c r="N548" i="12" s="1"/>
  <c r="A549" i="12"/>
  <c r="B549" i="12"/>
  <c r="C549" i="12"/>
  <c r="D549" i="12"/>
  <c r="E549" i="12"/>
  <c r="F549" i="12"/>
  <c r="G549" i="12"/>
  <c r="I549" i="12" s="1"/>
  <c r="M549" i="12" s="1"/>
  <c r="H549" i="12"/>
  <c r="J549" i="12"/>
  <c r="K549" i="12"/>
  <c r="A550" i="12"/>
  <c r="B550" i="12"/>
  <c r="C550" i="12"/>
  <c r="D550" i="12"/>
  <c r="E550" i="12"/>
  <c r="F550" i="12"/>
  <c r="G550" i="12"/>
  <c r="H550" i="12"/>
  <c r="I550" i="12"/>
  <c r="J550" i="12"/>
  <c r="K550" i="12"/>
  <c r="L550" i="12"/>
  <c r="N550" i="12" s="1"/>
  <c r="M550" i="12"/>
  <c r="A551" i="12"/>
  <c r="B551" i="12"/>
  <c r="C551" i="12"/>
  <c r="D551" i="12"/>
  <c r="E551" i="12"/>
  <c r="F551" i="12"/>
  <c r="G551" i="12"/>
  <c r="H551" i="12"/>
  <c r="I551" i="12"/>
  <c r="J551" i="12"/>
  <c r="K551" i="12"/>
  <c r="M551" i="12"/>
  <c r="A552" i="12"/>
  <c r="B552" i="12"/>
  <c r="C552" i="12"/>
  <c r="D552" i="12"/>
  <c r="E552" i="12"/>
  <c r="F552" i="12"/>
  <c r="G552" i="12"/>
  <c r="I552" i="12" s="1"/>
  <c r="M552" i="12" s="1"/>
  <c r="H552" i="12"/>
  <c r="J552" i="12"/>
  <c r="K552" i="12"/>
  <c r="L552" i="12" s="1"/>
  <c r="N552" i="12" s="1"/>
  <c r="A553" i="12"/>
  <c r="B553" i="12"/>
  <c r="C553" i="12"/>
  <c r="D553" i="12"/>
  <c r="E553" i="12"/>
  <c r="F553" i="12"/>
  <c r="G553" i="12"/>
  <c r="I553" i="12" s="1"/>
  <c r="M553" i="12" s="1"/>
  <c r="H553" i="12"/>
  <c r="J553" i="12"/>
  <c r="K553" i="12"/>
  <c r="A554" i="12"/>
  <c r="B554" i="12"/>
  <c r="C554" i="12"/>
  <c r="D554" i="12"/>
  <c r="E554" i="12"/>
  <c r="F554" i="12"/>
  <c r="G554" i="12"/>
  <c r="H554" i="12"/>
  <c r="I554" i="12"/>
  <c r="J554" i="12"/>
  <c r="K554" i="12"/>
  <c r="L554" i="12"/>
  <c r="N554" i="12" s="1"/>
  <c r="M554" i="12"/>
  <c r="A555" i="12"/>
  <c r="B555" i="12"/>
  <c r="C555" i="12"/>
  <c r="D555" i="12"/>
  <c r="E555" i="12"/>
  <c r="F555" i="12"/>
  <c r="G555" i="12"/>
  <c r="H555" i="12"/>
  <c r="I555" i="12"/>
  <c r="J555" i="12"/>
  <c r="K555" i="12"/>
  <c r="M555" i="12"/>
  <c r="A556" i="12"/>
  <c r="B556" i="12"/>
  <c r="C556" i="12"/>
  <c r="D556" i="12"/>
  <c r="E556" i="12"/>
  <c r="F556" i="12"/>
  <c r="G556" i="12"/>
  <c r="I556" i="12" s="1"/>
  <c r="M556" i="12" s="1"/>
  <c r="H556" i="12"/>
  <c r="J556" i="12"/>
  <c r="K556" i="12"/>
  <c r="L556" i="12"/>
  <c r="N556" i="12" s="1"/>
  <c r="A557" i="12"/>
  <c r="B557" i="12"/>
  <c r="C557" i="12"/>
  <c r="D557" i="12"/>
  <c r="E557" i="12"/>
  <c r="F557" i="12"/>
  <c r="G557" i="12"/>
  <c r="I557" i="12" s="1"/>
  <c r="M557" i="12" s="1"/>
  <c r="H557" i="12"/>
  <c r="J557" i="12"/>
  <c r="L557" i="12" s="1"/>
  <c r="N557" i="12" s="1"/>
  <c r="K557" i="12"/>
  <c r="A558" i="12"/>
  <c r="B558" i="12"/>
  <c r="C558" i="12"/>
  <c r="D558" i="12"/>
  <c r="E558" i="12"/>
  <c r="F558" i="12"/>
  <c r="G558" i="12"/>
  <c r="H558" i="12"/>
  <c r="I558" i="12"/>
  <c r="J558" i="12"/>
  <c r="K558" i="12"/>
  <c r="L558" i="12"/>
  <c r="N558" i="12" s="1"/>
  <c r="M558" i="12"/>
  <c r="A559" i="12"/>
  <c r="B559" i="12"/>
  <c r="C559" i="12"/>
  <c r="D559" i="12"/>
  <c r="E559" i="12"/>
  <c r="F559" i="12"/>
  <c r="G559" i="12"/>
  <c r="H559" i="12"/>
  <c r="I559" i="12"/>
  <c r="M559" i="12" s="1"/>
  <c r="J559" i="12"/>
  <c r="K559" i="12"/>
  <c r="A560" i="12"/>
  <c r="B560" i="12"/>
  <c r="C560" i="12"/>
  <c r="D560" i="12"/>
  <c r="E560" i="12"/>
  <c r="F560" i="12"/>
  <c r="G560" i="12"/>
  <c r="H560" i="12"/>
  <c r="J560" i="12"/>
  <c r="K560" i="12"/>
  <c r="L560" i="12"/>
  <c r="N560" i="12" s="1"/>
  <c r="A561" i="12"/>
  <c r="B561" i="12"/>
  <c r="C561" i="12"/>
  <c r="D561" i="12"/>
  <c r="E561" i="12"/>
  <c r="F561" i="12"/>
  <c r="G561" i="12"/>
  <c r="I561" i="12" s="1"/>
  <c r="M561" i="12" s="1"/>
  <c r="H561" i="12"/>
  <c r="J561" i="12"/>
  <c r="L561" i="12" s="1"/>
  <c r="N561" i="12" s="1"/>
  <c r="K561" i="12"/>
  <c r="A562" i="12"/>
  <c r="B562" i="12"/>
  <c r="C562" i="12"/>
  <c r="D562" i="12"/>
  <c r="E562" i="12"/>
  <c r="F562" i="12"/>
  <c r="G562" i="12"/>
  <c r="H562" i="12"/>
  <c r="I562" i="12"/>
  <c r="J562" i="12"/>
  <c r="K562" i="12"/>
  <c r="L562" i="12"/>
  <c r="N562" i="12" s="1"/>
  <c r="M562" i="12"/>
  <c r="A563" i="12"/>
  <c r="B563" i="12"/>
  <c r="C563" i="12"/>
  <c r="D563" i="12"/>
  <c r="E563" i="12"/>
  <c r="F563" i="12"/>
  <c r="G563" i="12"/>
  <c r="H563" i="12"/>
  <c r="I563" i="12"/>
  <c r="M563" i="12" s="1"/>
  <c r="J563" i="12"/>
  <c r="K563" i="12"/>
  <c r="A564" i="12"/>
  <c r="B564" i="12"/>
  <c r="C564" i="12"/>
  <c r="D564" i="12"/>
  <c r="E564" i="12"/>
  <c r="F564" i="12"/>
  <c r="G564" i="12"/>
  <c r="H564" i="12"/>
  <c r="J564" i="12"/>
  <c r="K564" i="12"/>
  <c r="L564" i="12" s="1"/>
  <c r="N564" i="12" s="1"/>
  <c r="A565" i="12"/>
  <c r="B565" i="12"/>
  <c r="C565" i="12"/>
  <c r="D565" i="12"/>
  <c r="E565" i="12"/>
  <c r="F565" i="12"/>
  <c r="G565" i="12"/>
  <c r="H565" i="12"/>
  <c r="I565" i="12"/>
  <c r="M565" i="12" s="1"/>
  <c r="J565" i="12"/>
  <c r="L565" i="12" s="1"/>
  <c r="N565" i="12" s="1"/>
  <c r="K565" i="12"/>
  <c r="A566" i="12"/>
  <c r="B566" i="12"/>
  <c r="C566" i="12"/>
  <c r="D566" i="12"/>
  <c r="E566" i="12"/>
  <c r="F566" i="12"/>
  <c r="G566" i="12"/>
  <c r="H566" i="12"/>
  <c r="I566" i="12"/>
  <c r="J566" i="12"/>
  <c r="K566" i="12"/>
  <c r="L566" i="12"/>
  <c r="N566" i="12" s="1"/>
  <c r="M566" i="12"/>
  <c r="A567" i="12"/>
  <c r="B567" i="12"/>
  <c r="C567" i="12"/>
  <c r="D567" i="12"/>
  <c r="E567" i="12"/>
  <c r="F567" i="12"/>
  <c r="G567" i="12"/>
  <c r="H567" i="12"/>
  <c r="I567" i="12"/>
  <c r="J567" i="12"/>
  <c r="K567" i="12"/>
  <c r="M567" i="12"/>
  <c r="A568" i="12"/>
  <c r="B568" i="12"/>
  <c r="C568" i="12"/>
  <c r="D568" i="12"/>
  <c r="E568" i="12"/>
  <c r="F568" i="12"/>
  <c r="G568" i="12"/>
  <c r="I568" i="12" s="1"/>
  <c r="M568" i="12" s="1"/>
  <c r="H568" i="12"/>
  <c r="J568" i="12"/>
  <c r="K568" i="12"/>
  <c r="L568" i="12"/>
  <c r="N568" i="12" s="1"/>
  <c r="A569" i="12"/>
  <c r="B569" i="12"/>
  <c r="C569" i="12"/>
  <c r="D569" i="12"/>
  <c r="E569" i="12"/>
  <c r="F569" i="12"/>
  <c r="G569" i="12"/>
  <c r="H569" i="12"/>
  <c r="I569" i="12"/>
  <c r="M569" i="12" s="1"/>
  <c r="J569" i="12"/>
  <c r="L569" i="12" s="1"/>
  <c r="K569" i="12"/>
  <c r="N569" i="12"/>
  <c r="A570" i="12"/>
  <c r="B570" i="12"/>
  <c r="C570" i="12"/>
  <c r="D570" i="12"/>
  <c r="E570" i="12"/>
  <c r="F570" i="12"/>
  <c r="G570" i="12"/>
  <c r="H570" i="12"/>
  <c r="I570" i="12" s="1"/>
  <c r="M570" i="12" s="1"/>
  <c r="J570" i="12"/>
  <c r="K570" i="12"/>
  <c r="L570" i="12"/>
  <c r="N570" i="12" s="1"/>
  <c r="A571" i="12"/>
  <c r="B571" i="12"/>
  <c r="C571" i="12"/>
  <c r="D571" i="12"/>
  <c r="E571" i="12"/>
  <c r="F571" i="12"/>
  <c r="G571" i="12"/>
  <c r="I571" i="12" s="1"/>
  <c r="H571" i="12"/>
  <c r="J571" i="12"/>
  <c r="K571" i="12"/>
  <c r="M571" i="12"/>
  <c r="A572" i="12"/>
  <c r="B572" i="12"/>
  <c r="C572" i="12"/>
  <c r="D572" i="12"/>
  <c r="E572" i="12"/>
  <c r="F572" i="12"/>
  <c r="G572" i="12"/>
  <c r="I572" i="12" s="1"/>
  <c r="M572" i="12" s="1"/>
  <c r="H572" i="12"/>
  <c r="J572" i="12"/>
  <c r="K572" i="12"/>
  <c r="L572" i="12"/>
  <c r="N572" i="12" s="1"/>
  <c r="A573" i="12"/>
  <c r="B573" i="12"/>
  <c r="C573" i="12"/>
  <c r="D573" i="12"/>
  <c r="E573" i="12"/>
  <c r="F573" i="12"/>
  <c r="G573" i="12"/>
  <c r="I573" i="12" s="1"/>
  <c r="M573" i="12" s="1"/>
  <c r="H573" i="12"/>
  <c r="J573" i="12"/>
  <c r="K573" i="12"/>
  <c r="A574" i="12"/>
  <c r="B574" i="12"/>
  <c r="C574" i="12"/>
  <c r="D574" i="12"/>
  <c r="E574" i="12"/>
  <c r="F574" i="12"/>
  <c r="G574" i="12"/>
  <c r="H574" i="12"/>
  <c r="I574" i="12" s="1"/>
  <c r="M574" i="12" s="1"/>
  <c r="J574" i="12"/>
  <c r="K574" i="12"/>
  <c r="L574" i="12"/>
  <c r="N574" i="12" s="1"/>
  <c r="A575" i="12"/>
  <c r="B575" i="12"/>
  <c r="C575" i="12"/>
  <c r="D575" i="12"/>
  <c r="E575" i="12"/>
  <c r="F575" i="12"/>
  <c r="G575" i="12"/>
  <c r="I575" i="12" s="1"/>
  <c r="M575" i="12" s="1"/>
  <c r="H575" i="12"/>
  <c r="J575" i="12"/>
  <c r="K575" i="12"/>
  <c r="A576" i="12"/>
  <c r="B576" i="12"/>
  <c r="C576" i="12"/>
  <c r="D576" i="12"/>
  <c r="E576" i="12"/>
  <c r="F576" i="12"/>
  <c r="G576" i="12"/>
  <c r="I576" i="12" s="1"/>
  <c r="M576" i="12" s="1"/>
  <c r="H576" i="12"/>
  <c r="J576" i="12"/>
  <c r="K576" i="12"/>
  <c r="L576" i="12" s="1"/>
  <c r="N576" i="12" s="1"/>
  <c r="A577" i="12"/>
  <c r="B577" i="12"/>
  <c r="C577" i="12"/>
  <c r="D577" i="12"/>
  <c r="E577" i="12"/>
  <c r="F577" i="12"/>
  <c r="G577" i="12"/>
  <c r="I577" i="12" s="1"/>
  <c r="M577" i="12" s="1"/>
  <c r="H577" i="12"/>
  <c r="J577" i="12"/>
  <c r="K577" i="12"/>
  <c r="A578" i="12"/>
  <c r="B578" i="12"/>
  <c r="C578" i="12"/>
  <c r="D578" i="12"/>
  <c r="E578" i="12"/>
  <c r="F578" i="12"/>
  <c r="G578" i="12"/>
  <c r="H578" i="12"/>
  <c r="I578" i="12" s="1"/>
  <c r="M578" i="12" s="1"/>
  <c r="J578" i="12"/>
  <c r="K578" i="12"/>
  <c r="L578" i="12"/>
  <c r="N578" i="12" s="1"/>
  <c r="A579" i="12"/>
  <c r="B579" i="12"/>
  <c r="C579" i="12"/>
  <c r="D579" i="12"/>
  <c r="E579" i="12"/>
  <c r="F579" i="12"/>
  <c r="G579" i="12"/>
  <c r="H579" i="12"/>
  <c r="I579" i="12"/>
  <c r="M579" i="12" s="1"/>
  <c r="J579" i="12"/>
  <c r="K579" i="12"/>
  <c r="A580" i="12"/>
  <c r="B580" i="12"/>
  <c r="C580" i="12"/>
  <c r="D580" i="12"/>
  <c r="E580" i="12"/>
  <c r="F580" i="12"/>
  <c r="G580" i="12"/>
  <c r="H580" i="12"/>
  <c r="J580" i="12"/>
  <c r="K580" i="12"/>
  <c r="L580" i="12" s="1"/>
  <c r="N580" i="12" s="1"/>
  <c r="A581" i="12"/>
  <c r="B581" i="12"/>
  <c r="C581" i="12"/>
  <c r="D581" i="12"/>
  <c r="E581" i="12"/>
  <c r="F581" i="12"/>
  <c r="G581" i="12"/>
  <c r="H581" i="12"/>
  <c r="I581" i="12"/>
  <c r="M581" i="12" s="1"/>
  <c r="J581" i="12"/>
  <c r="L581" i="12" s="1"/>
  <c r="N581" i="12" s="1"/>
  <c r="K581" i="12"/>
  <c r="A582" i="12"/>
  <c r="B582" i="12"/>
  <c r="C582" i="12"/>
  <c r="D582" i="12"/>
  <c r="E582" i="12"/>
  <c r="F582" i="12"/>
  <c r="G582" i="12"/>
  <c r="H582" i="12"/>
  <c r="I582" i="12"/>
  <c r="M582" i="12" s="1"/>
  <c r="J582" i="12"/>
  <c r="L582" i="12" s="1"/>
  <c r="N582" i="12" s="1"/>
  <c r="K582" i="12"/>
  <c r="A583" i="12"/>
  <c r="B583" i="12"/>
  <c r="C583" i="12"/>
  <c r="D583" i="12"/>
  <c r="E583" i="12"/>
  <c r="F583" i="12"/>
  <c r="G583" i="12"/>
  <c r="H583" i="12"/>
  <c r="J583" i="12"/>
  <c r="K583" i="12"/>
  <c r="L583" i="12"/>
  <c r="N583" i="12"/>
  <c r="A584" i="12"/>
  <c r="B584" i="12"/>
  <c r="C584" i="12"/>
  <c r="D584" i="12"/>
  <c r="E584" i="12"/>
  <c r="F584" i="12"/>
  <c r="G584" i="12"/>
  <c r="H584" i="12"/>
  <c r="I584" i="12" s="1"/>
  <c r="M584" i="12" s="1"/>
  <c r="J584" i="12"/>
  <c r="K584" i="12"/>
  <c r="L584" i="12"/>
  <c r="N584" i="12" s="1"/>
  <c r="A585" i="12"/>
  <c r="B585" i="12"/>
  <c r="C585" i="12"/>
  <c r="D585" i="12"/>
  <c r="E585" i="12"/>
  <c r="F585" i="12"/>
  <c r="G585" i="12"/>
  <c r="I585" i="12" s="1"/>
  <c r="M585" i="12" s="1"/>
  <c r="H585" i="12"/>
  <c r="J585" i="12"/>
  <c r="K585" i="12"/>
  <c r="A586" i="12"/>
  <c r="B586" i="12"/>
  <c r="C586" i="12"/>
  <c r="D586" i="12"/>
  <c r="E586" i="12"/>
  <c r="F586" i="12"/>
  <c r="G586" i="12"/>
  <c r="H586" i="12"/>
  <c r="I586" i="12"/>
  <c r="J586" i="12"/>
  <c r="L586" i="12" s="1"/>
  <c r="N586" i="12" s="1"/>
  <c r="K586" i="12"/>
  <c r="M586" i="12"/>
  <c r="A587" i="12"/>
  <c r="B587" i="12"/>
  <c r="C587" i="12"/>
  <c r="D587" i="12"/>
  <c r="E587" i="12"/>
  <c r="F587" i="12"/>
  <c r="G587" i="12"/>
  <c r="I587" i="12" s="1"/>
  <c r="M587" i="12" s="1"/>
  <c r="H587" i="12"/>
  <c r="J587" i="12"/>
  <c r="K587" i="12"/>
  <c r="L587" i="12"/>
  <c r="N587" i="12" s="1"/>
  <c r="A588" i="12"/>
  <c r="B588" i="12"/>
  <c r="C588" i="12"/>
  <c r="D588" i="12"/>
  <c r="E588" i="12"/>
  <c r="F588" i="12"/>
  <c r="G588" i="12"/>
  <c r="H588" i="12"/>
  <c r="I588" i="12" s="1"/>
  <c r="M588" i="12" s="1"/>
  <c r="J588" i="12"/>
  <c r="K588" i="12"/>
  <c r="L588" i="12"/>
  <c r="N588" i="12" s="1"/>
  <c r="A589" i="12"/>
  <c r="B589" i="12"/>
  <c r="C589" i="12"/>
  <c r="D589" i="12"/>
  <c r="E589" i="12"/>
  <c r="F589" i="12"/>
  <c r="G589" i="12"/>
  <c r="I589" i="12" s="1"/>
  <c r="M589" i="12" s="1"/>
  <c r="H589" i="12"/>
  <c r="J589" i="12"/>
  <c r="K589" i="12"/>
  <c r="A590" i="12"/>
  <c r="B590" i="12"/>
  <c r="C590" i="12"/>
  <c r="D590" i="12"/>
  <c r="E590" i="12"/>
  <c r="F590" i="12"/>
  <c r="G590" i="12"/>
  <c r="H590" i="12"/>
  <c r="I590" i="12"/>
  <c r="M590" i="12" s="1"/>
  <c r="J590" i="12"/>
  <c r="L590" i="12" s="1"/>
  <c r="N590" i="12" s="1"/>
  <c r="K590" i="12"/>
  <c r="A591" i="12"/>
  <c r="B591" i="12"/>
  <c r="C591" i="12"/>
  <c r="D591" i="12"/>
  <c r="E591" i="12"/>
  <c r="F591" i="12"/>
  <c r="G591" i="12"/>
  <c r="H591" i="12"/>
  <c r="J591" i="12"/>
  <c r="K591" i="12"/>
  <c r="L591" i="12"/>
  <c r="N591" i="12"/>
  <c r="A592" i="12"/>
  <c r="B592" i="12"/>
  <c r="C592" i="12"/>
  <c r="D592" i="12"/>
  <c r="E592" i="12"/>
  <c r="F592" i="12"/>
  <c r="G592" i="12"/>
  <c r="H592" i="12"/>
  <c r="I592" i="12" s="1"/>
  <c r="M592" i="12" s="1"/>
  <c r="J592" i="12"/>
  <c r="K592" i="12"/>
  <c r="L592" i="12"/>
  <c r="N592" i="12" s="1"/>
  <c r="A593" i="12"/>
  <c r="B593" i="12"/>
  <c r="C593" i="12"/>
  <c r="D593" i="12"/>
  <c r="E593" i="12"/>
  <c r="F593" i="12"/>
  <c r="G593" i="12"/>
  <c r="I593" i="12" s="1"/>
  <c r="M593" i="12" s="1"/>
  <c r="H593" i="12"/>
  <c r="J593" i="12"/>
  <c r="K593" i="12"/>
  <c r="A594" i="12"/>
  <c r="B594" i="12"/>
  <c r="C594" i="12"/>
  <c r="D594" i="12"/>
  <c r="E594" i="12"/>
  <c r="F594" i="12"/>
  <c r="G594" i="12"/>
  <c r="H594" i="12"/>
  <c r="I594" i="12"/>
  <c r="J594" i="12"/>
  <c r="L594" i="12" s="1"/>
  <c r="N594" i="12" s="1"/>
  <c r="K594" i="12"/>
  <c r="M594" i="12"/>
  <c r="A595" i="12"/>
  <c r="B595" i="12"/>
  <c r="C595" i="12"/>
  <c r="D595" i="12"/>
  <c r="E595" i="12"/>
  <c r="F595" i="12"/>
  <c r="G595" i="12"/>
  <c r="I595" i="12" s="1"/>
  <c r="M595" i="12" s="1"/>
  <c r="H595" i="12"/>
  <c r="J595" i="12"/>
  <c r="K595" i="12"/>
  <c r="L595" i="12"/>
  <c r="N595" i="12" s="1"/>
  <c r="A596" i="12"/>
  <c r="B596" i="12"/>
  <c r="C596" i="12"/>
  <c r="D596" i="12"/>
  <c r="E596" i="12"/>
  <c r="F596" i="12"/>
  <c r="G596" i="12"/>
  <c r="H596" i="12"/>
  <c r="I596" i="12" s="1"/>
  <c r="M596" i="12" s="1"/>
  <c r="J596" i="12"/>
  <c r="K596" i="12"/>
  <c r="L596" i="12"/>
  <c r="N596" i="12" s="1"/>
  <c r="A597" i="12"/>
  <c r="B597" i="12"/>
  <c r="C597" i="12"/>
  <c r="D597" i="12"/>
  <c r="E597" i="12"/>
  <c r="F597" i="12"/>
  <c r="G597" i="12"/>
  <c r="I597" i="12" s="1"/>
  <c r="M597" i="12" s="1"/>
  <c r="H597" i="12"/>
  <c r="J597" i="12"/>
  <c r="K597" i="12"/>
  <c r="A598" i="12"/>
  <c r="B598" i="12"/>
  <c r="C598" i="12"/>
  <c r="D598" i="12"/>
  <c r="E598" i="12"/>
  <c r="F598" i="12"/>
  <c r="G598" i="12"/>
  <c r="H598" i="12"/>
  <c r="I598" i="12"/>
  <c r="M598" i="12" s="1"/>
  <c r="J598" i="12"/>
  <c r="L598" i="12" s="1"/>
  <c r="K598" i="12"/>
  <c r="N598" i="12"/>
  <c r="A599" i="12"/>
  <c r="B599" i="12"/>
  <c r="C599" i="12"/>
  <c r="D599" i="12"/>
  <c r="E599" i="12"/>
  <c r="F599" i="12"/>
  <c r="G599" i="12"/>
  <c r="H599" i="12"/>
  <c r="J599" i="12"/>
  <c r="K599" i="12"/>
  <c r="L599" i="12"/>
  <c r="N599" i="12"/>
  <c r="A600" i="12"/>
  <c r="B600" i="12"/>
  <c r="C600" i="12"/>
  <c r="D600" i="12"/>
  <c r="E600" i="12"/>
  <c r="F600" i="12"/>
  <c r="G600" i="12"/>
  <c r="H600" i="12"/>
  <c r="I600" i="12" s="1"/>
  <c r="M600" i="12" s="1"/>
  <c r="J600" i="12"/>
  <c r="K600" i="12"/>
  <c r="L600" i="12"/>
  <c r="N600" i="12" s="1"/>
  <c r="A601" i="12"/>
  <c r="B601" i="12"/>
  <c r="C601" i="12"/>
  <c r="D601" i="12"/>
  <c r="E601" i="12"/>
  <c r="F601" i="12"/>
  <c r="G601" i="12"/>
  <c r="I601" i="12" s="1"/>
  <c r="M601" i="12" s="1"/>
  <c r="H601" i="12"/>
  <c r="J601" i="12"/>
  <c r="K601" i="12"/>
  <c r="A602" i="12"/>
  <c r="B602" i="12"/>
  <c r="C602" i="12"/>
  <c r="D602" i="12"/>
  <c r="E602" i="12"/>
  <c r="F602" i="12"/>
  <c r="G602" i="12"/>
  <c r="H602" i="12"/>
  <c r="I602" i="12"/>
  <c r="J602" i="12"/>
  <c r="L602" i="12" s="1"/>
  <c r="N602" i="12" s="1"/>
  <c r="K602" i="12"/>
  <c r="M602" i="12"/>
  <c r="A603" i="12"/>
  <c r="B603" i="12"/>
  <c r="C603" i="12"/>
  <c r="D603" i="12"/>
  <c r="E603" i="12"/>
  <c r="F603" i="12"/>
  <c r="G603" i="12"/>
  <c r="I603" i="12" s="1"/>
  <c r="M603" i="12" s="1"/>
  <c r="H603" i="12"/>
  <c r="J603" i="12"/>
  <c r="K603" i="12"/>
  <c r="L603" i="12"/>
  <c r="N603" i="12" s="1"/>
  <c r="A604" i="12"/>
  <c r="B604" i="12"/>
  <c r="C604" i="12"/>
  <c r="D604" i="12"/>
  <c r="E604" i="12"/>
  <c r="F604" i="12"/>
  <c r="G604" i="12"/>
  <c r="H604" i="12"/>
  <c r="I604" i="12" s="1"/>
  <c r="M604" i="12" s="1"/>
  <c r="J604" i="12"/>
  <c r="K604" i="12"/>
  <c r="L604" i="12"/>
  <c r="N604" i="12" s="1"/>
  <c r="A605" i="12"/>
  <c r="B605" i="12"/>
  <c r="C605" i="12"/>
  <c r="D605" i="12"/>
  <c r="E605" i="12"/>
  <c r="F605" i="12"/>
  <c r="G605" i="12"/>
  <c r="I605" i="12" s="1"/>
  <c r="M605" i="12" s="1"/>
  <c r="H605" i="12"/>
  <c r="J605" i="12"/>
  <c r="K605" i="12"/>
  <c r="A606" i="12"/>
  <c r="B606" i="12"/>
  <c r="C606" i="12"/>
  <c r="D606" i="12"/>
  <c r="E606" i="12"/>
  <c r="F606" i="12"/>
  <c r="G606" i="12"/>
  <c r="H606" i="12"/>
  <c r="I606" i="12"/>
  <c r="M606" i="12" s="1"/>
  <c r="J606" i="12"/>
  <c r="L606" i="12" s="1"/>
  <c r="K606" i="12"/>
  <c r="N606" i="12"/>
  <c r="A607" i="12"/>
  <c r="B607" i="12"/>
  <c r="C607" i="12"/>
  <c r="D607" i="12"/>
  <c r="E607" i="12"/>
  <c r="F607" i="12"/>
  <c r="G607" i="12"/>
  <c r="H607" i="12"/>
  <c r="J607" i="12"/>
  <c r="K607" i="12"/>
  <c r="L607" i="12"/>
  <c r="N607" i="12"/>
  <c r="A608" i="12"/>
  <c r="B608" i="12"/>
  <c r="C608" i="12"/>
  <c r="D608" i="12"/>
  <c r="E608" i="12"/>
  <c r="F608" i="12"/>
  <c r="G608" i="12"/>
  <c r="H608" i="12"/>
  <c r="I608" i="12" s="1"/>
  <c r="M608" i="12" s="1"/>
  <c r="J608" i="12"/>
  <c r="K608" i="12"/>
  <c r="L608" i="12"/>
  <c r="N608" i="12" s="1"/>
  <c r="A609" i="12"/>
  <c r="B609" i="12"/>
  <c r="C609" i="12"/>
  <c r="D609" i="12"/>
  <c r="E609" i="12"/>
  <c r="F609" i="12"/>
  <c r="G609" i="12"/>
  <c r="I609" i="12" s="1"/>
  <c r="M609" i="12" s="1"/>
  <c r="H609" i="12"/>
  <c r="J609" i="12"/>
  <c r="L609" i="12" s="1"/>
  <c r="N609" i="12" s="1"/>
  <c r="K609" i="12"/>
  <c r="A610" i="12"/>
  <c r="B610" i="12"/>
  <c r="C610" i="12"/>
  <c r="D610" i="12"/>
  <c r="E610" i="12"/>
  <c r="F610" i="12"/>
  <c r="G610" i="12"/>
  <c r="H610" i="12"/>
  <c r="I610" i="12"/>
  <c r="J610" i="12"/>
  <c r="L610" i="12" s="1"/>
  <c r="N610" i="12" s="1"/>
  <c r="K610" i="12"/>
  <c r="M610" i="12"/>
  <c r="A611" i="12"/>
  <c r="B611" i="12"/>
  <c r="C611" i="12"/>
  <c r="D611" i="12"/>
  <c r="E611" i="12"/>
  <c r="F611" i="12"/>
  <c r="G611" i="12"/>
  <c r="I611" i="12" s="1"/>
  <c r="M611" i="12" s="1"/>
  <c r="H611" i="12"/>
  <c r="J611" i="12"/>
  <c r="K611" i="12"/>
  <c r="L611" i="12"/>
  <c r="N611" i="12" s="1"/>
  <c r="A612" i="12"/>
  <c r="B612" i="12"/>
  <c r="C612" i="12"/>
  <c r="D612" i="12"/>
  <c r="E612" i="12"/>
  <c r="F612" i="12"/>
  <c r="G612" i="12"/>
  <c r="H612" i="12"/>
  <c r="I612" i="12" s="1"/>
  <c r="M612" i="12" s="1"/>
  <c r="J612" i="12"/>
  <c r="K612" i="12"/>
  <c r="L612" i="12"/>
  <c r="N612" i="12" s="1"/>
  <c r="A613" i="12"/>
  <c r="B613" i="12"/>
  <c r="C613" i="12"/>
  <c r="D613" i="12"/>
  <c r="E613" i="12"/>
  <c r="F613" i="12"/>
  <c r="G613" i="12"/>
  <c r="I613" i="12" s="1"/>
  <c r="M613" i="12" s="1"/>
  <c r="H613" i="12"/>
  <c r="J613" i="12"/>
  <c r="K613" i="12"/>
  <c r="A614" i="12"/>
  <c r="B614" i="12"/>
  <c r="C614" i="12"/>
  <c r="D614" i="12"/>
  <c r="E614" i="12"/>
  <c r="F614" i="12"/>
  <c r="G614" i="12"/>
  <c r="H614" i="12"/>
  <c r="I614" i="12"/>
  <c r="M614" i="12" s="1"/>
  <c r="J614" i="12"/>
  <c r="L614" i="12" s="1"/>
  <c r="N614" i="12" s="1"/>
  <c r="K614" i="12"/>
  <c r="A615" i="12"/>
  <c r="B615" i="12"/>
  <c r="C615" i="12"/>
  <c r="D615" i="12"/>
  <c r="E615" i="12"/>
  <c r="F615" i="12"/>
  <c r="G615" i="12"/>
  <c r="H615" i="12"/>
  <c r="J615" i="12"/>
  <c r="K615" i="12"/>
  <c r="L615" i="12"/>
  <c r="N615" i="12"/>
  <c r="A616" i="12"/>
  <c r="B616" i="12"/>
  <c r="C616" i="12"/>
  <c r="D616" i="12"/>
  <c r="E616" i="12"/>
  <c r="F616" i="12"/>
  <c r="G616" i="12"/>
  <c r="H616" i="12"/>
  <c r="I616" i="12" s="1"/>
  <c r="M616" i="12" s="1"/>
  <c r="J616" i="12"/>
  <c r="K616" i="12"/>
  <c r="L616" i="12"/>
  <c r="N616" i="12" s="1"/>
  <c r="A617" i="12"/>
  <c r="B617" i="12"/>
  <c r="C617" i="12"/>
  <c r="D617" i="12"/>
  <c r="E617" i="12"/>
  <c r="F617" i="12"/>
  <c r="G617" i="12"/>
  <c r="I617" i="12" s="1"/>
  <c r="M617" i="12" s="1"/>
  <c r="H617" i="12"/>
  <c r="J617" i="12"/>
  <c r="K617" i="12"/>
  <c r="A618" i="12"/>
  <c r="B618" i="12"/>
  <c r="C618" i="12"/>
  <c r="D618" i="12"/>
  <c r="E618" i="12"/>
  <c r="F618" i="12"/>
  <c r="G618" i="12"/>
  <c r="H618" i="12"/>
  <c r="I618" i="12"/>
  <c r="J618" i="12"/>
  <c r="L618" i="12" s="1"/>
  <c r="N618" i="12" s="1"/>
  <c r="K618" i="12"/>
  <c r="M618" i="12"/>
  <c r="A619" i="12"/>
  <c r="B619" i="12"/>
  <c r="C619" i="12"/>
  <c r="D619" i="12"/>
  <c r="E619" i="12"/>
  <c r="F619" i="12"/>
  <c r="G619" i="12"/>
  <c r="I619" i="12" s="1"/>
  <c r="M619" i="12" s="1"/>
  <c r="H619" i="12"/>
  <c r="J619" i="12"/>
  <c r="K619" i="12"/>
  <c r="L619" i="12"/>
  <c r="N619" i="12" s="1"/>
  <c r="A620" i="12"/>
  <c r="B620" i="12"/>
  <c r="C620" i="12"/>
  <c r="D620" i="12"/>
  <c r="E620" i="12"/>
  <c r="F620" i="12"/>
  <c r="G620" i="12"/>
  <c r="H620" i="12"/>
  <c r="I620" i="12" s="1"/>
  <c r="M620" i="12" s="1"/>
  <c r="J620" i="12"/>
  <c r="K620" i="12"/>
  <c r="L620" i="12"/>
  <c r="N620" i="12" s="1"/>
  <c r="A621" i="12"/>
  <c r="B621" i="12"/>
  <c r="C621" i="12"/>
  <c r="D621" i="12"/>
  <c r="E621" i="12"/>
  <c r="F621" i="12"/>
  <c r="G621" i="12"/>
  <c r="I621" i="12" s="1"/>
  <c r="M621" i="12" s="1"/>
  <c r="H621" i="12"/>
  <c r="J621" i="12"/>
  <c r="K621" i="12"/>
  <c r="A622" i="12"/>
  <c r="B622" i="12"/>
  <c r="C622" i="12"/>
  <c r="D622" i="12"/>
  <c r="E622" i="12"/>
  <c r="F622" i="12"/>
  <c r="G622" i="12"/>
  <c r="H622" i="12"/>
  <c r="I622" i="12"/>
  <c r="M622" i="12" s="1"/>
  <c r="J622" i="12"/>
  <c r="L622" i="12" s="1"/>
  <c r="N622" i="12" s="1"/>
  <c r="K622" i="12"/>
  <c r="A623" i="12"/>
  <c r="B623" i="12"/>
  <c r="C623" i="12"/>
  <c r="D623" i="12"/>
  <c r="E623" i="12"/>
  <c r="F623" i="12"/>
  <c r="G623" i="12"/>
  <c r="H623" i="12"/>
  <c r="J623" i="12"/>
  <c r="K623" i="12"/>
  <c r="L623" i="12"/>
  <c r="N623" i="12"/>
  <c r="A624" i="12"/>
  <c r="B624" i="12"/>
  <c r="C624" i="12"/>
  <c r="D624" i="12"/>
  <c r="E624" i="12"/>
  <c r="F624" i="12"/>
  <c r="G624" i="12"/>
  <c r="H624" i="12"/>
  <c r="I624" i="12" s="1"/>
  <c r="M624" i="12" s="1"/>
  <c r="J624" i="12"/>
  <c r="K624" i="12"/>
  <c r="L624" i="12"/>
  <c r="N624" i="12" s="1"/>
  <c r="A625" i="12"/>
  <c r="B625" i="12"/>
  <c r="C625" i="12"/>
  <c r="D625" i="12"/>
  <c r="E625" i="12"/>
  <c r="F625" i="12"/>
  <c r="G625" i="12"/>
  <c r="I625" i="12" s="1"/>
  <c r="M625" i="12" s="1"/>
  <c r="H625" i="12"/>
  <c r="J625" i="12"/>
  <c r="K625" i="12"/>
  <c r="A626" i="12"/>
  <c r="B626" i="12"/>
  <c r="C626" i="12"/>
  <c r="D626" i="12"/>
  <c r="E626" i="12"/>
  <c r="F626" i="12"/>
  <c r="G626" i="12"/>
  <c r="H626" i="12"/>
  <c r="I626" i="12"/>
  <c r="J626" i="12"/>
  <c r="L626" i="12" s="1"/>
  <c r="N626" i="12" s="1"/>
  <c r="K626" i="12"/>
  <c r="M626" i="12"/>
  <c r="A627" i="12"/>
  <c r="B627" i="12"/>
  <c r="C627" i="12"/>
  <c r="D627" i="12"/>
  <c r="E627" i="12"/>
  <c r="F627" i="12"/>
  <c r="G627" i="12"/>
  <c r="I627" i="12" s="1"/>
  <c r="M627" i="12" s="1"/>
  <c r="H627" i="12"/>
  <c r="J627" i="12"/>
  <c r="K627" i="12"/>
  <c r="L627" i="12"/>
  <c r="N627" i="12" s="1"/>
  <c r="A628" i="12"/>
  <c r="B628" i="12"/>
  <c r="C628" i="12"/>
  <c r="D628" i="12"/>
  <c r="E628" i="12"/>
  <c r="F628" i="12"/>
  <c r="G628" i="12"/>
  <c r="H628" i="12"/>
  <c r="I628" i="12" s="1"/>
  <c r="M628" i="12" s="1"/>
  <c r="J628" i="12"/>
  <c r="K628" i="12"/>
  <c r="L628" i="12"/>
  <c r="N628" i="12" s="1"/>
  <c r="A629" i="12"/>
  <c r="B629" i="12"/>
  <c r="C629" i="12"/>
  <c r="D629" i="12"/>
  <c r="E629" i="12"/>
  <c r="F629" i="12"/>
  <c r="G629" i="12"/>
  <c r="I629" i="12" s="1"/>
  <c r="M629" i="12" s="1"/>
  <c r="H629" i="12"/>
  <c r="J629" i="12"/>
  <c r="L629" i="12" s="1"/>
  <c r="N629" i="12" s="1"/>
  <c r="K629" i="12"/>
  <c r="A630" i="12"/>
  <c r="B630" i="12"/>
  <c r="C630" i="12"/>
  <c r="D630" i="12"/>
  <c r="E630" i="12"/>
  <c r="F630" i="12"/>
  <c r="G630" i="12"/>
  <c r="H630" i="12"/>
  <c r="I630" i="12"/>
  <c r="M630" i="12" s="1"/>
  <c r="J630" i="12"/>
  <c r="L630" i="12" s="1"/>
  <c r="K630" i="12"/>
  <c r="N630" i="12"/>
  <c r="A631" i="12"/>
  <c r="B631" i="12"/>
  <c r="C631" i="12"/>
  <c r="D631" i="12"/>
  <c r="E631" i="12"/>
  <c r="F631" i="12"/>
  <c r="G631" i="12"/>
  <c r="H631" i="12"/>
  <c r="J631" i="12"/>
  <c r="K631" i="12"/>
  <c r="L631" i="12"/>
  <c r="N631" i="12"/>
  <c r="A632" i="12"/>
  <c r="B632" i="12"/>
  <c r="C632" i="12"/>
  <c r="D632" i="12"/>
  <c r="E632" i="12"/>
  <c r="F632" i="12"/>
  <c r="G632" i="12"/>
  <c r="H632" i="12"/>
  <c r="I632" i="12" s="1"/>
  <c r="M632" i="12" s="1"/>
  <c r="J632" i="12"/>
  <c r="K632" i="12"/>
  <c r="L632" i="12"/>
  <c r="N632" i="12" s="1"/>
  <c r="A633" i="12"/>
  <c r="B633" i="12"/>
  <c r="C633" i="12"/>
  <c r="D633" i="12"/>
  <c r="E633" i="12"/>
  <c r="F633" i="12"/>
  <c r="G633" i="12"/>
  <c r="I633" i="12" s="1"/>
  <c r="M633" i="12" s="1"/>
  <c r="H633" i="12"/>
  <c r="J633" i="12"/>
  <c r="K633" i="12"/>
  <c r="A634" i="12"/>
  <c r="B634" i="12"/>
  <c r="C634" i="12"/>
  <c r="D634" i="12"/>
  <c r="E634" i="12"/>
  <c r="F634" i="12"/>
  <c r="G634" i="12"/>
  <c r="H634" i="12"/>
  <c r="I634" i="12"/>
  <c r="J634" i="12"/>
  <c r="L634" i="12" s="1"/>
  <c r="K634" i="12"/>
  <c r="M634" i="12"/>
  <c r="N634" i="12"/>
  <c r="A635" i="12"/>
  <c r="B635" i="12"/>
  <c r="C635" i="12"/>
  <c r="D635" i="12"/>
  <c r="E635" i="12"/>
  <c r="F635" i="12"/>
  <c r="G635" i="12"/>
  <c r="I635" i="12" s="1"/>
  <c r="M635" i="12" s="1"/>
  <c r="H635" i="12"/>
  <c r="J635" i="12"/>
  <c r="K635" i="12"/>
  <c r="L635" i="12"/>
  <c r="N635" i="12" s="1"/>
  <c r="A636" i="12"/>
  <c r="B636" i="12"/>
  <c r="C636" i="12"/>
  <c r="D636" i="12"/>
  <c r="E636" i="12"/>
  <c r="F636" i="12"/>
  <c r="G636" i="12"/>
  <c r="H636" i="12"/>
  <c r="I636" i="12" s="1"/>
  <c r="M636" i="12" s="1"/>
  <c r="J636" i="12"/>
  <c r="K636" i="12"/>
  <c r="L636" i="12"/>
  <c r="N636" i="12" s="1"/>
  <c r="A637" i="12"/>
  <c r="B637" i="12"/>
  <c r="C637" i="12"/>
  <c r="D637" i="12"/>
  <c r="E637" i="12"/>
  <c r="F637" i="12"/>
  <c r="G637" i="12"/>
  <c r="I637" i="12" s="1"/>
  <c r="M637" i="12" s="1"/>
  <c r="H637" i="12"/>
  <c r="J637" i="12"/>
  <c r="L637" i="12" s="1"/>
  <c r="N637" i="12" s="1"/>
  <c r="K637" i="12"/>
  <c r="A638" i="12"/>
  <c r="B638" i="12"/>
  <c r="C638" i="12"/>
  <c r="D638" i="12"/>
  <c r="E638" i="12"/>
  <c r="F638" i="12"/>
  <c r="G638" i="12"/>
  <c r="H638" i="12"/>
  <c r="I638" i="12"/>
  <c r="M638" i="12" s="1"/>
  <c r="J638" i="12"/>
  <c r="L638" i="12" s="1"/>
  <c r="N638" i="12" s="1"/>
  <c r="K638" i="12"/>
  <c r="A639" i="12"/>
  <c r="B639" i="12"/>
  <c r="C639" i="12"/>
  <c r="D639" i="12"/>
  <c r="E639" i="12"/>
  <c r="F639" i="12"/>
  <c r="G639" i="12"/>
  <c r="H639" i="12"/>
  <c r="J639" i="12"/>
  <c r="K639" i="12"/>
  <c r="L639" i="12"/>
  <c r="N639" i="12"/>
  <c r="A640" i="12"/>
  <c r="B640" i="12"/>
  <c r="C640" i="12"/>
  <c r="D640" i="12"/>
  <c r="E640" i="12"/>
  <c r="F640" i="12"/>
  <c r="G640" i="12"/>
  <c r="H640" i="12"/>
  <c r="I640" i="12" s="1"/>
  <c r="M640" i="12" s="1"/>
  <c r="J640" i="12"/>
  <c r="K640" i="12"/>
  <c r="L640" i="12"/>
  <c r="N640" i="12" s="1"/>
  <c r="A641" i="12"/>
  <c r="B641" i="12"/>
  <c r="C641" i="12"/>
  <c r="D641" i="12"/>
  <c r="E641" i="12"/>
  <c r="F641" i="12"/>
  <c r="G641" i="12"/>
  <c r="I641" i="12" s="1"/>
  <c r="M641" i="12" s="1"/>
  <c r="H641" i="12"/>
  <c r="J641" i="12"/>
  <c r="K641" i="12"/>
  <c r="A642" i="12"/>
  <c r="B642" i="12"/>
  <c r="C642" i="12"/>
  <c r="D642" i="12"/>
  <c r="E642" i="12"/>
  <c r="F642" i="12"/>
  <c r="G642" i="12"/>
  <c r="H642" i="12"/>
  <c r="I642" i="12"/>
  <c r="J642" i="12"/>
  <c r="L642" i="12" s="1"/>
  <c r="K642" i="12"/>
  <c r="M642" i="12"/>
  <c r="N642" i="12"/>
  <c r="A643" i="12"/>
  <c r="B643" i="12"/>
  <c r="C643" i="12"/>
  <c r="D643" i="12"/>
  <c r="E643" i="12"/>
  <c r="F643" i="12"/>
  <c r="G643" i="12"/>
  <c r="I643" i="12" s="1"/>
  <c r="M643" i="12" s="1"/>
  <c r="H643" i="12"/>
  <c r="J643" i="12"/>
  <c r="K643" i="12"/>
  <c r="L643" i="12"/>
  <c r="N643" i="12" s="1"/>
  <c r="A644" i="12"/>
  <c r="B644" i="12"/>
  <c r="C644" i="12"/>
  <c r="D644" i="12"/>
  <c r="E644" i="12"/>
  <c r="F644" i="12"/>
  <c r="G644" i="12"/>
  <c r="I644" i="12" s="1"/>
  <c r="M644" i="12" s="1"/>
  <c r="H644" i="12"/>
  <c r="J644" i="12"/>
  <c r="K644" i="12"/>
  <c r="A645" i="12"/>
  <c r="B645" i="12"/>
  <c r="C645" i="12"/>
  <c r="D645" i="12"/>
  <c r="E645" i="12"/>
  <c r="F645" i="12"/>
  <c r="G645" i="12"/>
  <c r="H645" i="12"/>
  <c r="I645" i="12" s="1"/>
  <c r="M645" i="12" s="1"/>
  <c r="J645" i="12"/>
  <c r="K645" i="12"/>
  <c r="L645" i="12"/>
  <c r="N645" i="12" s="1"/>
  <c r="A646" i="12"/>
  <c r="B646" i="12"/>
  <c r="C646" i="12"/>
  <c r="D646" i="12"/>
  <c r="E646" i="12"/>
  <c r="F646" i="12"/>
  <c r="G646" i="12"/>
  <c r="I646" i="12" s="1"/>
  <c r="M646" i="12" s="1"/>
  <c r="H646" i="12"/>
  <c r="J646" i="12"/>
  <c r="K646" i="12"/>
  <c r="A647" i="12"/>
  <c r="B647" i="12"/>
  <c r="C647" i="12"/>
  <c r="D647" i="12"/>
  <c r="E647" i="12"/>
  <c r="F647" i="12"/>
  <c r="G647" i="12"/>
  <c r="H647" i="12"/>
  <c r="I647" i="12" s="1"/>
  <c r="M647" i="12" s="1"/>
  <c r="J647" i="12"/>
  <c r="K647" i="12"/>
  <c r="L647" i="12"/>
  <c r="N647" i="12" s="1"/>
  <c r="A648" i="12"/>
  <c r="B648" i="12"/>
  <c r="C648" i="12"/>
  <c r="D648" i="12"/>
  <c r="E648" i="12"/>
  <c r="F648" i="12"/>
  <c r="G648" i="12"/>
  <c r="I648" i="12" s="1"/>
  <c r="M648" i="12" s="1"/>
  <c r="H648" i="12"/>
  <c r="J648" i="12"/>
  <c r="K648" i="12"/>
  <c r="A649" i="12"/>
  <c r="B649" i="12"/>
  <c r="C649" i="12"/>
  <c r="D649" i="12"/>
  <c r="E649" i="12"/>
  <c r="F649" i="12"/>
  <c r="G649" i="12"/>
  <c r="H649" i="12"/>
  <c r="I649" i="12" s="1"/>
  <c r="M649" i="12" s="1"/>
  <c r="J649" i="12"/>
  <c r="K649" i="12"/>
  <c r="L649" i="12"/>
  <c r="N649" i="12" s="1"/>
  <c r="A650" i="12"/>
  <c r="B650" i="12"/>
  <c r="C650" i="12"/>
  <c r="D650" i="12"/>
  <c r="E650" i="12"/>
  <c r="F650" i="12"/>
  <c r="G650" i="12"/>
  <c r="I650" i="12" s="1"/>
  <c r="M650" i="12" s="1"/>
  <c r="H650" i="12"/>
  <c r="J650" i="12"/>
  <c r="K650" i="12"/>
  <c r="A651" i="12"/>
  <c r="B651" i="12"/>
  <c r="C651" i="12"/>
  <c r="D651" i="12"/>
  <c r="E651" i="12"/>
  <c r="F651" i="12"/>
  <c r="G651" i="12"/>
  <c r="H651" i="12"/>
  <c r="I651" i="12" s="1"/>
  <c r="M651" i="12" s="1"/>
  <c r="J651" i="12"/>
  <c r="K651" i="12"/>
  <c r="L651" i="12"/>
  <c r="N651" i="12" s="1"/>
  <c r="A652" i="12"/>
  <c r="B652" i="12"/>
  <c r="C652" i="12"/>
  <c r="D652" i="12"/>
  <c r="E652" i="12"/>
  <c r="F652" i="12"/>
  <c r="G652" i="12"/>
  <c r="I652" i="12" s="1"/>
  <c r="M652" i="12" s="1"/>
  <c r="H652" i="12"/>
  <c r="J652" i="12"/>
  <c r="K652" i="12"/>
  <c r="A653" i="12"/>
  <c r="B653" i="12"/>
  <c r="C653" i="12"/>
  <c r="D653" i="12"/>
  <c r="E653" i="12"/>
  <c r="F653" i="12"/>
  <c r="G653" i="12"/>
  <c r="H653" i="12"/>
  <c r="I653" i="12" s="1"/>
  <c r="M653" i="12" s="1"/>
  <c r="J653" i="12"/>
  <c r="K653" i="12"/>
  <c r="L653" i="12"/>
  <c r="N653" i="12" s="1"/>
  <c r="A654" i="12"/>
  <c r="B654" i="12"/>
  <c r="C654" i="12"/>
  <c r="D654" i="12"/>
  <c r="E654" i="12"/>
  <c r="F654" i="12"/>
  <c r="G654" i="12"/>
  <c r="I654" i="12" s="1"/>
  <c r="M654" i="12" s="1"/>
  <c r="H654" i="12"/>
  <c r="J654" i="12"/>
  <c r="K654" i="12"/>
  <c r="A655" i="12"/>
  <c r="B655" i="12"/>
  <c r="C655" i="12"/>
  <c r="D655" i="12"/>
  <c r="E655" i="12"/>
  <c r="F655" i="12"/>
  <c r="G655" i="12"/>
  <c r="H655" i="12"/>
  <c r="I655" i="12" s="1"/>
  <c r="M655" i="12" s="1"/>
  <c r="J655" i="12"/>
  <c r="K655" i="12"/>
  <c r="L655" i="12"/>
  <c r="N655" i="12" s="1"/>
  <c r="A656" i="12"/>
  <c r="B656" i="12"/>
  <c r="C656" i="12"/>
  <c r="D656" i="12"/>
  <c r="E656" i="12"/>
  <c r="F656" i="12"/>
  <c r="G656" i="12"/>
  <c r="I656" i="12" s="1"/>
  <c r="M656" i="12" s="1"/>
  <c r="H656" i="12"/>
  <c r="J656" i="12"/>
  <c r="K656" i="12"/>
  <c r="A657" i="12"/>
  <c r="B657" i="12"/>
  <c r="C657" i="12"/>
  <c r="D657" i="12"/>
  <c r="E657" i="12"/>
  <c r="F657" i="12"/>
  <c r="G657" i="12"/>
  <c r="H657" i="12"/>
  <c r="I657" i="12" s="1"/>
  <c r="M657" i="12" s="1"/>
  <c r="J657" i="12"/>
  <c r="K657" i="12"/>
  <c r="L657" i="12"/>
  <c r="N657" i="12" s="1"/>
  <c r="A658" i="12"/>
  <c r="B658" i="12"/>
  <c r="C658" i="12"/>
  <c r="D658" i="12"/>
  <c r="E658" i="12"/>
  <c r="F658" i="12"/>
  <c r="G658" i="12"/>
  <c r="I658" i="12" s="1"/>
  <c r="M658" i="12" s="1"/>
  <c r="H658" i="12"/>
  <c r="J658" i="12"/>
  <c r="K658" i="12"/>
  <c r="A659" i="12"/>
  <c r="B659" i="12"/>
  <c r="C659" i="12"/>
  <c r="D659" i="12"/>
  <c r="E659" i="12"/>
  <c r="F659" i="12"/>
  <c r="G659" i="12"/>
  <c r="H659" i="12"/>
  <c r="I659" i="12" s="1"/>
  <c r="M659" i="12" s="1"/>
  <c r="J659" i="12"/>
  <c r="K659" i="12"/>
  <c r="L659" i="12"/>
  <c r="N659" i="12" s="1"/>
  <c r="A660" i="12"/>
  <c r="B660" i="12"/>
  <c r="C660" i="12"/>
  <c r="D660" i="12"/>
  <c r="E660" i="12"/>
  <c r="F660" i="12"/>
  <c r="G660" i="12"/>
  <c r="I660" i="12" s="1"/>
  <c r="M660" i="12" s="1"/>
  <c r="H660" i="12"/>
  <c r="J660" i="12"/>
  <c r="K660" i="12"/>
  <c r="A661" i="12"/>
  <c r="B661" i="12"/>
  <c r="C661" i="12"/>
  <c r="D661" i="12"/>
  <c r="E661" i="12"/>
  <c r="F661" i="12"/>
  <c r="G661" i="12"/>
  <c r="H661" i="12"/>
  <c r="I661" i="12" s="1"/>
  <c r="M661" i="12" s="1"/>
  <c r="J661" i="12"/>
  <c r="K661" i="12"/>
  <c r="L661" i="12"/>
  <c r="N661" i="12" s="1"/>
  <c r="A662" i="12"/>
  <c r="B662" i="12"/>
  <c r="C662" i="12"/>
  <c r="D662" i="12"/>
  <c r="E662" i="12"/>
  <c r="F662" i="12"/>
  <c r="G662" i="12"/>
  <c r="I662" i="12" s="1"/>
  <c r="M662" i="12" s="1"/>
  <c r="H662" i="12"/>
  <c r="J662" i="12"/>
  <c r="K662" i="12"/>
  <c r="A663" i="12"/>
  <c r="B663" i="12"/>
  <c r="C663" i="12"/>
  <c r="D663" i="12"/>
  <c r="E663" i="12"/>
  <c r="F663" i="12"/>
  <c r="G663" i="12"/>
  <c r="H663" i="12"/>
  <c r="I663" i="12" s="1"/>
  <c r="M663" i="12" s="1"/>
  <c r="J663" i="12"/>
  <c r="K663" i="12"/>
  <c r="L663" i="12"/>
  <c r="N663" i="12" s="1"/>
  <c r="A664" i="12"/>
  <c r="B664" i="12"/>
  <c r="C664" i="12"/>
  <c r="D664" i="12"/>
  <c r="E664" i="12"/>
  <c r="F664" i="12"/>
  <c r="G664" i="12"/>
  <c r="I664" i="12" s="1"/>
  <c r="M664" i="12" s="1"/>
  <c r="H664" i="12"/>
  <c r="J664" i="12"/>
  <c r="K664" i="12"/>
  <c r="A665" i="12"/>
  <c r="B665" i="12"/>
  <c r="C665" i="12"/>
  <c r="D665" i="12"/>
  <c r="E665" i="12"/>
  <c r="F665" i="12"/>
  <c r="G665" i="12"/>
  <c r="H665" i="12"/>
  <c r="I665" i="12" s="1"/>
  <c r="M665" i="12" s="1"/>
  <c r="J665" i="12"/>
  <c r="K665" i="12"/>
  <c r="L665" i="12"/>
  <c r="N665" i="12" s="1"/>
  <c r="A666" i="12"/>
  <c r="B666" i="12"/>
  <c r="C666" i="12"/>
  <c r="D666" i="12"/>
  <c r="E666" i="12"/>
  <c r="F666" i="12"/>
  <c r="G666" i="12"/>
  <c r="I666" i="12" s="1"/>
  <c r="M666" i="12" s="1"/>
  <c r="H666" i="12"/>
  <c r="J666" i="12"/>
  <c r="K666" i="12"/>
  <c r="A667" i="12"/>
  <c r="B667" i="12"/>
  <c r="C667" i="12"/>
  <c r="D667" i="12"/>
  <c r="E667" i="12"/>
  <c r="F667" i="12"/>
  <c r="G667" i="12"/>
  <c r="H667" i="12"/>
  <c r="I667" i="12" s="1"/>
  <c r="M667" i="12" s="1"/>
  <c r="J667" i="12"/>
  <c r="K667" i="12"/>
  <c r="L667" i="12"/>
  <c r="N667" i="12" s="1"/>
  <c r="A668" i="12"/>
  <c r="B668" i="12"/>
  <c r="C668" i="12"/>
  <c r="D668" i="12"/>
  <c r="E668" i="12"/>
  <c r="F668" i="12"/>
  <c r="G668" i="12"/>
  <c r="I668" i="12" s="1"/>
  <c r="M668" i="12" s="1"/>
  <c r="H668" i="12"/>
  <c r="J668" i="12"/>
  <c r="K668" i="12"/>
  <c r="A669" i="12"/>
  <c r="B669" i="12"/>
  <c r="C669" i="12"/>
  <c r="D669" i="12"/>
  <c r="E669" i="12"/>
  <c r="F669" i="12"/>
  <c r="G669" i="12"/>
  <c r="H669" i="12"/>
  <c r="I669" i="12" s="1"/>
  <c r="M669" i="12" s="1"/>
  <c r="J669" i="12"/>
  <c r="K669" i="12"/>
  <c r="L669" i="12"/>
  <c r="N669" i="12" s="1"/>
  <c r="A670" i="12"/>
  <c r="B670" i="12"/>
  <c r="C670" i="12"/>
  <c r="D670" i="12"/>
  <c r="E670" i="12"/>
  <c r="F670" i="12"/>
  <c r="G670" i="12"/>
  <c r="I670" i="12" s="1"/>
  <c r="M670" i="12" s="1"/>
  <c r="H670" i="12"/>
  <c r="J670" i="12"/>
  <c r="K670" i="12"/>
  <c r="A671" i="12"/>
  <c r="B671" i="12"/>
  <c r="C671" i="12"/>
  <c r="D671" i="12"/>
  <c r="E671" i="12"/>
  <c r="F671" i="12"/>
  <c r="G671" i="12"/>
  <c r="H671" i="12"/>
  <c r="I671" i="12" s="1"/>
  <c r="M671" i="12" s="1"/>
  <c r="J671" i="12"/>
  <c r="K671" i="12"/>
  <c r="L671" i="12"/>
  <c r="N671" i="12" s="1"/>
  <c r="A672" i="12"/>
  <c r="B672" i="12"/>
  <c r="C672" i="12"/>
  <c r="D672" i="12"/>
  <c r="E672" i="12"/>
  <c r="F672" i="12"/>
  <c r="G672" i="12"/>
  <c r="I672" i="12" s="1"/>
  <c r="M672" i="12" s="1"/>
  <c r="H672" i="12"/>
  <c r="J672" i="12"/>
  <c r="K672" i="12"/>
  <c r="A673" i="12"/>
  <c r="B673" i="12"/>
  <c r="C673" i="12"/>
  <c r="D673" i="12"/>
  <c r="E673" i="12"/>
  <c r="F673" i="12"/>
  <c r="G673" i="12"/>
  <c r="H673" i="12"/>
  <c r="I673" i="12" s="1"/>
  <c r="M673" i="12" s="1"/>
  <c r="J673" i="12"/>
  <c r="K673" i="12"/>
  <c r="L673" i="12"/>
  <c r="N673" i="12" s="1"/>
  <c r="A674" i="12"/>
  <c r="B674" i="12"/>
  <c r="C674" i="12"/>
  <c r="D674" i="12"/>
  <c r="E674" i="12"/>
  <c r="F674" i="12"/>
  <c r="G674" i="12"/>
  <c r="I674" i="12" s="1"/>
  <c r="M674" i="12" s="1"/>
  <c r="H674" i="12"/>
  <c r="J674" i="12"/>
  <c r="K674" i="12"/>
  <c r="A675" i="12"/>
  <c r="B675" i="12"/>
  <c r="C675" i="12"/>
  <c r="D675" i="12"/>
  <c r="E675" i="12"/>
  <c r="F675" i="12"/>
  <c r="G675" i="12"/>
  <c r="H675" i="12"/>
  <c r="I675" i="12" s="1"/>
  <c r="M675" i="12" s="1"/>
  <c r="J675" i="12"/>
  <c r="K675" i="12"/>
  <c r="L675" i="12"/>
  <c r="N675" i="12" s="1"/>
  <c r="A676" i="12"/>
  <c r="B676" i="12"/>
  <c r="C676" i="12"/>
  <c r="D676" i="12"/>
  <c r="E676" i="12"/>
  <c r="F676" i="12"/>
  <c r="G676" i="12"/>
  <c r="I676" i="12" s="1"/>
  <c r="M676" i="12" s="1"/>
  <c r="H676" i="12"/>
  <c r="J676" i="12"/>
  <c r="K676" i="12"/>
  <c r="A677" i="12"/>
  <c r="B677" i="12"/>
  <c r="C677" i="12"/>
  <c r="D677" i="12"/>
  <c r="E677" i="12"/>
  <c r="F677" i="12"/>
  <c r="G677" i="12"/>
  <c r="H677" i="12"/>
  <c r="I677" i="12" s="1"/>
  <c r="M677" i="12" s="1"/>
  <c r="J677" i="12"/>
  <c r="K677" i="12"/>
  <c r="L677" i="12"/>
  <c r="N677" i="12" s="1"/>
  <c r="A678" i="12"/>
  <c r="B678" i="12"/>
  <c r="C678" i="12"/>
  <c r="D678" i="12"/>
  <c r="E678" i="12"/>
  <c r="F678" i="12"/>
  <c r="G678" i="12"/>
  <c r="I678" i="12" s="1"/>
  <c r="M678" i="12" s="1"/>
  <c r="H678" i="12"/>
  <c r="J678" i="12"/>
  <c r="K678" i="12"/>
  <c r="A679" i="12"/>
  <c r="B679" i="12"/>
  <c r="C679" i="12"/>
  <c r="D679" i="12"/>
  <c r="E679" i="12"/>
  <c r="F679" i="12"/>
  <c r="G679" i="12"/>
  <c r="H679" i="12"/>
  <c r="I679" i="12" s="1"/>
  <c r="M679" i="12" s="1"/>
  <c r="J679" i="12"/>
  <c r="K679" i="12"/>
  <c r="L679" i="12"/>
  <c r="N679" i="12" s="1"/>
  <c r="A680" i="12"/>
  <c r="B680" i="12"/>
  <c r="C680" i="12"/>
  <c r="D680" i="12"/>
  <c r="E680" i="12"/>
  <c r="F680" i="12"/>
  <c r="G680" i="12"/>
  <c r="I680" i="12" s="1"/>
  <c r="M680" i="12" s="1"/>
  <c r="H680" i="12"/>
  <c r="J680" i="12"/>
  <c r="K680" i="12"/>
  <c r="A681" i="12"/>
  <c r="B681" i="12"/>
  <c r="C681" i="12"/>
  <c r="D681" i="12"/>
  <c r="E681" i="12"/>
  <c r="F681" i="12"/>
  <c r="G681" i="12"/>
  <c r="H681" i="12"/>
  <c r="I681" i="12" s="1"/>
  <c r="M681" i="12" s="1"/>
  <c r="J681" i="12"/>
  <c r="K681" i="12"/>
  <c r="L681" i="12"/>
  <c r="N681" i="12" s="1"/>
  <c r="A682" i="12"/>
  <c r="B682" i="12"/>
  <c r="C682" i="12"/>
  <c r="D682" i="12"/>
  <c r="E682" i="12"/>
  <c r="F682" i="12"/>
  <c r="G682" i="12"/>
  <c r="I682" i="12" s="1"/>
  <c r="M682" i="12" s="1"/>
  <c r="H682" i="12"/>
  <c r="J682" i="12"/>
  <c r="K682" i="12"/>
  <c r="A683" i="12"/>
  <c r="B683" i="12"/>
  <c r="C683" i="12"/>
  <c r="D683" i="12"/>
  <c r="E683" i="12"/>
  <c r="F683" i="12"/>
  <c r="G683" i="12"/>
  <c r="H683" i="12"/>
  <c r="I683" i="12" s="1"/>
  <c r="M683" i="12" s="1"/>
  <c r="J683" i="12"/>
  <c r="K683" i="12"/>
  <c r="L683" i="12"/>
  <c r="N683" i="12" s="1"/>
  <c r="A684" i="12"/>
  <c r="B684" i="12"/>
  <c r="C684" i="12"/>
  <c r="D684" i="12"/>
  <c r="E684" i="12"/>
  <c r="F684" i="12"/>
  <c r="G684" i="12"/>
  <c r="I684" i="12" s="1"/>
  <c r="M684" i="12" s="1"/>
  <c r="H684" i="12"/>
  <c r="J684" i="12"/>
  <c r="K684" i="12"/>
  <c r="A685" i="12"/>
  <c r="B685" i="12"/>
  <c r="C685" i="12"/>
  <c r="D685" i="12"/>
  <c r="E685" i="12"/>
  <c r="F685" i="12"/>
  <c r="G685" i="12"/>
  <c r="H685" i="12"/>
  <c r="I685" i="12" s="1"/>
  <c r="M685" i="12" s="1"/>
  <c r="J685" i="12"/>
  <c r="K685" i="12"/>
  <c r="L685" i="12"/>
  <c r="N685" i="12" s="1"/>
  <c r="A686" i="12"/>
  <c r="B686" i="12"/>
  <c r="C686" i="12"/>
  <c r="D686" i="12"/>
  <c r="E686" i="12"/>
  <c r="F686" i="12"/>
  <c r="G686" i="12"/>
  <c r="I686" i="12" s="1"/>
  <c r="M686" i="12" s="1"/>
  <c r="H686" i="12"/>
  <c r="J686" i="12"/>
  <c r="K686" i="12"/>
  <c r="A687" i="12"/>
  <c r="B687" i="12"/>
  <c r="C687" i="12"/>
  <c r="D687" i="12"/>
  <c r="E687" i="12"/>
  <c r="F687" i="12"/>
  <c r="G687" i="12"/>
  <c r="H687" i="12"/>
  <c r="I687" i="12" s="1"/>
  <c r="M687" i="12" s="1"/>
  <c r="J687" i="12"/>
  <c r="K687" i="12"/>
  <c r="L687" i="12"/>
  <c r="N687" i="12" s="1"/>
  <c r="A688" i="12"/>
  <c r="B688" i="12"/>
  <c r="C688" i="12"/>
  <c r="D688" i="12"/>
  <c r="E688" i="12"/>
  <c r="F688" i="12"/>
  <c r="G688" i="12"/>
  <c r="I688" i="12" s="1"/>
  <c r="M688" i="12" s="1"/>
  <c r="H688" i="12"/>
  <c r="J688" i="12"/>
  <c r="K688" i="12"/>
  <c r="A689" i="12"/>
  <c r="B689" i="12"/>
  <c r="C689" i="12"/>
  <c r="D689" i="12"/>
  <c r="E689" i="12"/>
  <c r="F689" i="12"/>
  <c r="G689" i="12"/>
  <c r="H689" i="12"/>
  <c r="I689" i="12" s="1"/>
  <c r="M689" i="12" s="1"/>
  <c r="J689" i="12"/>
  <c r="K689" i="12"/>
  <c r="L689" i="12"/>
  <c r="N689" i="12" s="1"/>
  <c r="A690" i="12"/>
  <c r="B690" i="12"/>
  <c r="C690" i="12"/>
  <c r="D690" i="12"/>
  <c r="E690" i="12"/>
  <c r="F690" i="12"/>
  <c r="G690" i="12"/>
  <c r="I690" i="12" s="1"/>
  <c r="M690" i="12" s="1"/>
  <c r="H690" i="12"/>
  <c r="J690" i="12"/>
  <c r="K690" i="12"/>
  <c r="A691" i="12"/>
  <c r="B691" i="12"/>
  <c r="C691" i="12"/>
  <c r="D691" i="12"/>
  <c r="E691" i="12"/>
  <c r="F691" i="12"/>
  <c r="G691" i="12"/>
  <c r="H691" i="12"/>
  <c r="I691" i="12" s="1"/>
  <c r="M691" i="12" s="1"/>
  <c r="J691" i="12"/>
  <c r="K691" i="12"/>
  <c r="L691" i="12"/>
  <c r="N691" i="12" s="1"/>
  <c r="A692" i="12"/>
  <c r="B692" i="12"/>
  <c r="C692" i="12"/>
  <c r="D692" i="12"/>
  <c r="E692" i="12"/>
  <c r="F692" i="12"/>
  <c r="G692" i="12"/>
  <c r="I692" i="12" s="1"/>
  <c r="M692" i="12" s="1"/>
  <c r="H692" i="12"/>
  <c r="J692" i="12"/>
  <c r="K692" i="12"/>
  <c r="A693" i="12"/>
  <c r="B693" i="12"/>
  <c r="C693" i="12"/>
  <c r="D693" i="12"/>
  <c r="E693" i="12"/>
  <c r="F693" i="12"/>
  <c r="G693" i="12"/>
  <c r="H693" i="12"/>
  <c r="I693" i="12" s="1"/>
  <c r="M693" i="12" s="1"/>
  <c r="J693" i="12"/>
  <c r="K693" i="12"/>
  <c r="L693" i="12"/>
  <c r="N693" i="12" s="1"/>
  <c r="A694" i="12"/>
  <c r="B694" i="12"/>
  <c r="C694" i="12"/>
  <c r="D694" i="12"/>
  <c r="E694" i="12"/>
  <c r="F694" i="12"/>
  <c r="G694" i="12"/>
  <c r="I694" i="12" s="1"/>
  <c r="M694" i="12" s="1"/>
  <c r="H694" i="12"/>
  <c r="J694" i="12"/>
  <c r="K694" i="12"/>
  <c r="A695" i="12"/>
  <c r="B695" i="12"/>
  <c r="C695" i="12"/>
  <c r="D695" i="12"/>
  <c r="E695" i="12"/>
  <c r="F695" i="12"/>
  <c r="G695" i="12"/>
  <c r="H695" i="12"/>
  <c r="I695" i="12" s="1"/>
  <c r="M695" i="12" s="1"/>
  <c r="J695" i="12"/>
  <c r="K695" i="12"/>
  <c r="L695" i="12"/>
  <c r="N695" i="12" s="1"/>
  <c r="A696" i="12"/>
  <c r="B696" i="12"/>
  <c r="C696" i="12"/>
  <c r="D696" i="12"/>
  <c r="E696" i="12"/>
  <c r="F696" i="12"/>
  <c r="G696" i="12"/>
  <c r="I696" i="12" s="1"/>
  <c r="M696" i="12" s="1"/>
  <c r="H696" i="12"/>
  <c r="J696" i="12"/>
  <c r="K696" i="12"/>
  <c r="A697" i="12"/>
  <c r="B697" i="12"/>
  <c r="C697" i="12"/>
  <c r="D697" i="12"/>
  <c r="E697" i="12"/>
  <c r="F697" i="12"/>
  <c r="G697" i="12"/>
  <c r="H697" i="12"/>
  <c r="I697" i="12" s="1"/>
  <c r="M697" i="12" s="1"/>
  <c r="J697" i="12"/>
  <c r="K697" i="12"/>
  <c r="L697" i="12"/>
  <c r="N697" i="12" s="1"/>
  <c r="A698" i="12"/>
  <c r="B698" i="12"/>
  <c r="C698" i="12"/>
  <c r="D698" i="12"/>
  <c r="E698" i="12"/>
  <c r="F698" i="12"/>
  <c r="G698" i="12"/>
  <c r="I698" i="12" s="1"/>
  <c r="M698" i="12" s="1"/>
  <c r="H698" i="12"/>
  <c r="J698" i="12"/>
  <c r="K698" i="12"/>
  <c r="A699" i="12"/>
  <c r="B699" i="12"/>
  <c r="C699" i="12"/>
  <c r="D699" i="12"/>
  <c r="E699" i="12"/>
  <c r="F699" i="12"/>
  <c r="G699" i="12"/>
  <c r="H699" i="12"/>
  <c r="I699" i="12" s="1"/>
  <c r="M699" i="12" s="1"/>
  <c r="J699" i="12"/>
  <c r="K699" i="12"/>
  <c r="L699" i="12"/>
  <c r="N699" i="12" s="1"/>
  <c r="A700" i="12"/>
  <c r="B700" i="12"/>
  <c r="C700" i="12"/>
  <c r="D700" i="12"/>
  <c r="E700" i="12"/>
  <c r="F700" i="12"/>
  <c r="G700" i="12"/>
  <c r="I700" i="12" s="1"/>
  <c r="M700" i="12" s="1"/>
  <c r="H700" i="12"/>
  <c r="J700" i="12"/>
  <c r="K700" i="12"/>
  <c r="A701" i="12"/>
  <c r="B701" i="12"/>
  <c r="C701" i="12"/>
  <c r="D701" i="12"/>
  <c r="E701" i="12"/>
  <c r="F701" i="12"/>
  <c r="G701" i="12"/>
  <c r="H701" i="12"/>
  <c r="I701" i="12" s="1"/>
  <c r="M701" i="12" s="1"/>
  <c r="J701" i="12"/>
  <c r="K701" i="12"/>
  <c r="L701" i="12"/>
  <c r="N701" i="12" s="1"/>
  <c r="A702" i="12"/>
  <c r="B702" i="12"/>
  <c r="C702" i="12"/>
  <c r="D702" i="12"/>
  <c r="E702" i="12"/>
  <c r="F702" i="12"/>
  <c r="G702" i="12"/>
  <c r="I702" i="12" s="1"/>
  <c r="M702" i="12" s="1"/>
  <c r="H702" i="12"/>
  <c r="J702" i="12"/>
  <c r="K702" i="12"/>
  <c r="A703" i="12"/>
  <c r="B703" i="12"/>
  <c r="C703" i="12"/>
  <c r="D703" i="12"/>
  <c r="E703" i="12"/>
  <c r="F703" i="12"/>
  <c r="G703" i="12"/>
  <c r="H703" i="12"/>
  <c r="I703" i="12" s="1"/>
  <c r="M703" i="12" s="1"/>
  <c r="J703" i="12"/>
  <c r="K703" i="12"/>
  <c r="L703" i="12"/>
  <c r="N703" i="12" s="1"/>
  <c r="A704" i="12"/>
  <c r="B704" i="12"/>
  <c r="C704" i="12"/>
  <c r="D704" i="12"/>
  <c r="E704" i="12"/>
  <c r="F704" i="12"/>
  <c r="G704" i="12"/>
  <c r="I704" i="12" s="1"/>
  <c r="M704" i="12" s="1"/>
  <c r="H704" i="12"/>
  <c r="J704" i="12"/>
  <c r="K704" i="12"/>
  <c r="A705" i="12"/>
  <c r="B705" i="12"/>
  <c r="C705" i="12"/>
  <c r="D705" i="12"/>
  <c r="E705" i="12"/>
  <c r="F705" i="12"/>
  <c r="G705" i="12"/>
  <c r="H705" i="12"/>
  <c r="I705" i="12" s="1"/>
  <c r="M705" i="12" s="1"/>
  <c r="J705" i="12"/>
  <c r="K705" i="12"/>
  <c r="L705" i="12"/>
  <c r="N705" i="12" s="1"/>
  <c r="A706" i="12"/>
  <c r="B706" i="12"/>
  <c r="C706" i="12"/>
  <c r="D706" i="12"/>
  <c r="E706" i="12"/>
  <c r="F706" i="12"/>
  <c r="G706" i="12"/>
  <c r="I706" i="12" s="1"/>
  <c r="M706" i="12" s="1"/>
  <c r="H706" i="12"/>
  <c r="J706" i="12"/>
  <c r="K706" i="12"/>
  <c r="A707" i="12"/>
  <c r="B707" i="12"/>
  <c r="C707" i="12"/>
  <c r="D707" i="12"/>
  <c r="E707" i="12"/>
  <c r="F707" i="12"/>
  <c r="G707" i="12"/>
  <c r="H707" i="12"/>
  <c r="I707" i="12" s="1"/>
  <c r="M707" i="12" s="1"/>
  <c r="J707" i="12"/>
  <c r="K707" i="12"/>
  <c r="L707" i="12"/>
  <c r="N707" i="12" s="1"/>
  <c r="A708" i="12"/>
  <c r="B708" i="12"/>
  <c r="C708" i="12"/>
  <c r="D708" i="12"/>
  <c r="E708" i="12"/>
  <c r="F708" i="12"/>
  <c r="G708" i="12"/>
  <c r="I708" i="12" s="1"/>
  <c r="M708" i="12" s="1"/>
  <c r="H708" i="12"/>
  <c r="J708" i="12"/>
  <c r="K708" i="12"/>
  <c r="A709" i="12"/>
  <c r="B709" i="12"/>
  <c r="C709" i="12"/>
  <c r="D709" i="12"/>
  <c r="E709" i="12"/>
  <c r="F709" i="12"/>
  <c r="G709" i="12"/>
  <c r="H709" i="12"/>
  <c r="I709" i="12" s="1"/>
  <c r="M709" i="12" s="1"/>
  <c r="J709" i="12"/>
  <c r="K709" i="12"/>
  <c r="L709" i="12"/>
  <c r="N709" i="12" s="1"/>
  <c r="A710" i="12"/>
  <c r="B710" i="12"/>
  <c r="C710" i="12"/>
  <c r="D710" i="12"/>
  <c r="E710" i="12"/>
  <c r="F710" i="12"/>
  <c r="G710" i="12"/>
  <c r="I710" i="12" s="1"/>
  <c r="M710" i="12" s="1"/>
  <c r="H710" i="12"/>
  <c r="J710" i="12"/>
  <c r="K710" i="12"/>
  <c r="A711" i="12"/>
  <c r="B711" i="12"/>
  <c r="C711" i="12"/>
  <c r="D711" i="12"/>
  <c r="E711" i="12"/>
  <c r="F711" i="12"/>
  <c r="G711" i="12"/>
  <c r="H711" i="12"/>
  <c r="I711" i="12" s="1"/>
  <c r="M711" i="12" s="1"/>
  <c r="J711" i="12"/>
  <c r="K711" i="12"/>
  <c r="L711" i="12"/>
  <c r="N711" i="12" s="1"/>
  <c r="A712" i="12"/>
  <c r="B712" i="12"/>
  <c r="C712" i="12"/>
  <c r="D712" i="12"/>
  <c r="E712" i="12"/>
  <c r="F712" i="12"/>
  <c r="G712" i="12"/>
  <c r="I712" i="12" s="1"/>
  <c r="M712" i="12" s="1"/>
  <c r="H712" i="12"/>
  <c r="J712" i="12"/>
  <c r="K712" i="12"/>
  <c r="A713" i="12"/>
  <c r="B713" i="12"/>
  <c r="C713" i="12"/>
  <c r="D713" i="12"/>
  <c r="E713" i="12"/>
  <c r="F713" i="12"/>
  <c r="G713" i="12"/>
  <c r="H713" i="12"/>
  <c r="I713" i="12" s="1"/>
  <c r="M713" i="12" s="1"/>
  <c r="J713" i="12"/>
  <c r="K713" i="12"/>
  <c r="L713" i="12"/>
  <c r="N713" i="12" s="1"/>
  <c r="A714" i="12"/>
  <c r="B714" i="12"/>
  <c r="C714" i="12"/>
  <c r="D714" i="12"/>
  <c r="E714" i="12"/>
  <c r="F714" i="12"/>
  <c r="G714" i="12"/>
  <c r="I714" i="12" s="1"/>
  <c r="M714" i="12" s="1"/>
  <c r="H714" i="12"/>
  <c r="J714" i="12"/>
  <c r="K714" i="12"/>
  <c r="A715" i="12"/>
  <c r="B715" i="12"/>
  <c r="C715" i="12"/>
  <c r="D715" i="12"/>
  <c r="E715" i="12"/>
  <c r="F715" i="12"/>
  <c r="G715" i="12"/>
  <c r="H715" i="12"/>
  <c r="I715" i="12" s="1"/>
  <c r="M715" i="12" s="1"/>
  <c r="J715" i="12"/>
  <c r="K715" i="12"/>
  <c r="L715" i="12"/>
  <c r="N715" i="12" s="1"/>
  <c r="A716" i="12"/>
  <c r="B716" i="12"/>
  <c r="C716" i="12"/>
  <c r="D716" i="12"/>
  <c r="E716" i="12"/>
  <c r="F716" i="12"/>
  <c r="G716" i="12"/>
  <c r="I716" i="12" s="1"/>
  <c r="M716" i="12" s="1"/>
  <c r="H716" i="12"/>
  <c r="J716" i="12"/>
  <c r="K716" i="12"/>
  <c r="A717" i="12"/>
  <c r="B717" i="12"/>
  <c r="C717" i="12"/>
  <c r="D717" i="12"/>
  <c r="E717" i="12"/>
  <c r="F717" i="12"/>
  <c r="G717" i="12"/>
  <c r="H717" i="12"/>
  <c r="I717" i="12" s="1"/>
  <c r="M717" i="12" s="1"/>
  <c r="J717" i="12"/>
  <c r="K717" i="12"/>
  <c r="L717" i="12"/>
  <c r="N717" i="12" s="1"/>
  <c r="A718" i="12"/>
  <c r="B718" i="12"/>
  <c r="C718" i="12"/>
  <c r="D718" i="12"/>
  <c r="E718" i="12"/>
  <c r="F718" i="12"/>
  <c r="G718" i="12"/>
  <c r="I718" i="12" s="1"/>
  <c r="M718" i="12" s="1"/>
  <c r="H718" i="12"/>
  <c r="J718" i="12"/>
  <c r="K718" i="12"/>
  <c r="A719" i="12"/>
  <c r="B719" i="12"/>
  <c r="C719" i="12"/>
  <c r="D719" i="12"/>
  <c r="E719" i="12"/>
  <c r="F719" i="12"/>
  <c r="G719" i="12"/>
  <c r="H719" i="12"/>
  <c r="I719" i="12" s="1"/>
  <c r="M719" i="12" s="1"/>
  <c r="J719" i="12"/>
  <c r="K719" i="12"/>
  <c r="L719" i="12"/>
  <c r="N719" i="12" s="1"/>
  <c r="A720" i="12"/>
  <c r="B720" i="12"/>
  <c r="C720" i="12"/>
  <c r="D720" i="12"/>
  <c r="E720" i="12"/>
  <c r="F720" i="12"/>
  <c r="G720" i="12"/>
  <c r="I720" i="12" s="1"/>
  <c r="M720" i="12" s="1"/>
  <c r="H720" i="12"/>
  <c r="J720" i="12"/>
  <c r="K720" i="12"/>
  <c r="A721" i="12"/>
  <c r="B721" i="12"/>
  <c r="C721" i="12"/>
  <c r="D721" i="12"/>
  <c r="E721" i="12"/>
  <c r="F721" i="12"/>
  <c r="G721" i="12"/>
  <c r="H721" i="12"/>
  <c r="I721" i="12" s="1"/>
  <c r="M721" i="12" s="1"/>
  <c r="J721" i="12"/>
  <c r="K721" i="12"/>
  <c r="L721" i="12"/>
  <c r="N721" i="12" s="1"/>
  <c r="A722" i="12"/>
  <c r="B722" i="12"/>
  <c r="C722" i="12"/>
  <c r="D722" i="12"/>
  <c r="E722" i="12"/>
  <c r="F722" i="12"/>
  <c r="G722" i="12"/>
  <c r="I722" i="12" s="1"/>
  <c r="M722" i="12" s="1"/>
  <c r="H722" i="12"/>
  <c r="J722" i="12"/>
  <c r="K722" i="12"/>
  <c r="A723" i="12"/>
  <c r="B723" i="12"/>
  <c r="C723" i="12"/>
  <c r="D723" i="12"/>
  <c r="E723" i="12"/>
  <c r="F723" i="12"/>
  <c r="G723" i="12"/>
  <c r="H723" i="12"/>
  <c r="I723" i="12" s="1"/>
  <c r="M723" i="12" s="1"/>
  <c r="J723" i="12"/>
  <c r="K723" i="12"/>
  <c r="L723" i="12"/>
  <c r="N723" i="12" s="1"/>
  <c r="A724" i="12"/>
  <c r="B724" i="12"/>
  <c r="C724" i="12"/>
  <c r="D724" i="12"/>
  <c r="E724" i="12"/>
  <c r="F724" i="12"/>
  <c r="G724" i="12"/>
  <c r="I724" i="12" s="1"/>
  <c r="M724" i="12" s="1"/>
  <c r="H724" i="12"/>
  <c r="J724" i="12"/>
  <c r="K724" i="12"/>
  <c r="A725" i="12"/>
  <c r="B725" i="12"/>
  <c r="C725" i="12"/>
  <c r="D725" i="12"/>
  <c r="E725" i="12"/>
  <c r="F725" i="12"/>
  <c r="G725" i="12"/>
  <c r="H725" i="12"/>
  <c r="I725" i="12" s="1"/>
  <c r="M725" i="12" s="1"/>
  <c r="J725" i="12"/>
  <c r="K725" i="12"/>
  <c r="L725" i="12"/>
  <c r="N725" i="12" s="1"/>
  <c r="A726" i="12"/>
  <c r="B726" i="12"/>
  <c r="C726" i="12"/>
  <c r="D726" i="12"/>
  <c r="E726" i="12"/>
  <c r="F726" i="12"/>
  <c r="G726" i="12"/>
  <c r="I726" i="12" s="1"/>
  <c r="M726" i="12" s="1"/>
  <c r="H726" i="12"/>
  <c r="J726" i="12"/>
  <c r="K726" i="12"/>
  <c r="A727" i="12"/>
  <c r="B727" i="12"/>
  <c r="C727" i="12"/>
  <c r="D727" i="12"/>
  <c r="E727" i="12"/>
  <c r="F727" i="12"/>
  <c r="G727" i="12"/>
  <c r="H727" i="12"/>
  <c r="I727" i="12" s="1"/>
  <c r="M727" i="12" s="1"/>
  <c r="J727" i="12"/>
  <c r="K727" i="12"/>
  <c r="L727" i="12"/>
  <c r="N727" i="12" s="1"/>
  <c r="A728" i="12"/>
  <c r="B728" i="12"/>
  <c r="C728" i="12"/>
  <c r="D728" i="12"/>
  <c r="E728" i="12"/>
  <c r="F728" i="12"/>
  <c r="G728" i="12"/>
  <c r="I728" i="12" s="1"/>
  <c r="M728" i="12" s="1"/>
  <c r="H728" i="12"/>
  <c r="J728" i="12"/>
  <c r="K728" i="12"/>
  <c r="A729" i="12"/>
  <c r="B729" i="12"/>
  <c r="C729" i="12"/>
  <c r="D729" i="12"/>
  <c r="E729" i="12"/>
  <c r="F729" i="12"/>
  <c r="G729" i="12"/>
  <c r="H729" i="12"/>
  <c r="I729" i="12" s="1"/>
  <c r="M729" i="12" s="1"/>
  <c r="J729" i="12"/>
  <c r="K729" i="12"/>
  <c r="L729" i="12"/>
  <c r="N729" i="12" s="1"/>
  <c r="A730" i="12"/>
  <c r="B730" i="12"/>
  <c r="C730" i="12"/>
  <c r="D730" i="12"/>
  <c r="E730" i="12"/>
  <c r="F730" i="12"/>
  <c r="G730" i="12"/>
  <c r="I730" i="12" s="1"/>
  <c r="M730" i="12" s="1"/>
  <c r="H730" i="12"/>
  <c r="J730" i="12"/>
  <c r="K730" i="12"/>
  <c r="A731" i="12"/>
  <c r="B731" i="12"/>
  <c r="C731" i="12"/>
  <c r="D731" i="12"/>
  <c r="E731" i="12"/>
  <c r="F731" i="12"/>
  <c r="G731" i="12"/>
  <c r="H731" i="12"/>
  <c r="I731" i="12" s="1"/>
  <c r="M731" i="12" s="1"/>
  <c r="J731" i="12"/>
  <c r="K731" i="12"/>
  <c r="L731" i="12"/>
  <c r="N731" i="12" s="1"/>
  <c r="A732" i="12"/>
  <c r="B732" i="12"/>
  <c r="C732" i="12"/>
  <c r="D732" i="12"/>
  <c r="E732" i="12"/>
  <c r="F732" i="12"/>
  <c r="G732" i="12"/>
  <c r="I732" i="12" s="1"/>
  <c r="M732" i="12" s="1"/>
  <c r="H732" i="12"/>
  <c r="J732" i="12"/>
  <c r="K732" i="12"/>
  <c r="A733" i="12"/>
  <c r="B733" i="12"/>
  <c r="C733" i="12"/>
  <c r="D733" i="12"/>
  <c r="E733" i="12"/>
  <c r="F733" i="12"/>
  <c r="G733" i="12"/>
  <c r="H733" i="12"/>
  <c r="I733" i="12" s="1"/>
  <c r="M733" i="12" s="1"/>
  <c r="J733" i="12"/>
  <c r="K733" i="12"/>
  <c r="L733" i="12"/>
  <c r="N733" i="12" s="1"/>
  <c r="A734" i="12"/>
  <c r="B734" i="12"/>
  <c r="C734" i="12"/>
  <c r="D734" i="12"/>
  <c r="E734" i="12"/>
  <c r="F734" i="12"/>
  <c r="G734" i="12"/>
  <c r="I734" i="12" s="1"/>
  <c r="M734" i="12" s="1"/>
  <c r="H734" i="12"/>
  <c r="J734" i="12"/>
  <c r="K734" i="12"/>
  <c r="A735" i="12"/>
  <c r="B735" i="12"/>
  <c r="C735" i="12"/>
  <c r="D735" i="12"/>
  <c r="E735" i="12"/>
  <c r="F735" i="12"/>
  <c r="G735" i="12"/>
  <c r="H735" i="12"/>
  <c r="I735" i="12" s="1"/>
  <c r="M735" i="12" s="1"/>
  <c r="J735" i="12"/>
  <c r="K735" i="12"/>
  <c r="L735" i="12"/>
  <c r="N735" i="12" s="1"/>
  <c r="A736" i="12"/>
  <c r="B736" i="12"/>
  <c r="C736" i="12"/>
  <c r="D736" i="12"/>
  <c r="E736" i="12"/>
  <c r="F736" i="12"/>
  <c r="G736" i="12"/>
  <c r="I736" i="12" s="1"/>
  <c r="M736" i="12" s="1"/>
  <c r="H736" i="12"/>
  <c r="J736" i="12"/>
  <c r="K736" i="12"/>
  <c r="A737" i="12"/>
  <c r="B737" i="12"/>
  <c r="C737" i="12"/>
  <c r="D737" i="12"/>
  <c r="E737" i="12"/>
  <c r="F737" i="12"/>
  <c r="G737" i="12"/>
  <c r="H737" i="12"/>
  <c r="I737" i="12" s="1"/>
  <c r="M737" i="12" s="1"/>
  <c r="J737" i="12"/>
  <c r="K737" i="12"/>
  <c r="L737" i="12"/>
  <c r="N737" i="12" s="1"/>
  <c r="A738" i="12"/>
  <c r="B738" i="12"/>
  <c r="C738" i="12"/>
  <c r="D738" i="12"/>
  <c r="E738" i="12"/>
  <c r="F738" i="12"/>
  <c r="G738" i="12"/>
  <c r="I738" i="12" s="1"/>
  <c r="M738" i="12" s="1"/>
  <c r="H738" i="12"/>
  <c r="J738" i="12"/>
  <c r="K738" i="12"/>
  <c r="A739" i="12"/>
  <c r="B739" i="12"/>
  <c r="C739" i="12"/>
  <c r="D739" i="12"/>
  <c r="E739" i="12"/>
  <c r="F739" i="12"/>
  <c r="G739" i="12"/>
  <c r="H739" i="12"/>
  <c r="I739" i="12" s="1"/>
  <c r="M739" i="12" s="1"/>
  <c r="J739" i="12"/>
  <c r="K739" i="12"/>
  <c r="L739" i="12"/>
  <c r="N739" i="12" s="1"/>
  <c r="A740" i="12"/>
  <c r="B740" i="12"/>
  <c r="C740" i="12"/>
  <c r="D740" i="12"/>
  <c r="E740" i="12"/>
  <c r="F740" i="12"/>
  <c r="G740" i="12"/>
  <c r="I740" i="12" s="1"/>
  <c r="M740" i="12" s="1"/>
  <c r="H740" i="12"/>
  <c r="J740" i="12"/>
  <c r="K740" i="12"/>
  <c r="A741" i="12"/>
  <c r="B741" i="12"/>
  <c r="C741" i="12"/>
  <c r="D741" i="12"/>
  <c r="E741" i="12"/>
  <c r="F741" i="12"/>
  <c r="G741" i="12"/>
  <c r="H741" i="12"/>
  <c r="I741" i="12" s="1"/>
  <c r="M741" i="12" s="1"/>
  <c r="J741" i="12"/>
  <c r="K741" i="12"/>
  <c r="L741" i="12"/>
  <c r="N741" i="12" s="1"/>
  <c r="A742" i="12"/>
  <c r="B742" i="12"/>
  <c r="C742" i="12"/>
  <c r="D742" i="12"/>
  <c r="E742" i="12"/>
  <c r="F742" i="12"/>
  <c r="G742" i="12"/>
  <c r="I742" i="12" s="1"/>
  <c r="M742" i="12" s="1"/>
  <c r="H742" i="12"/>
  <c r="J742" i="12"/>
  <c r="K742" i="12"/>
  <c r="A743" i="12"/>
  <c r="B743" i="12"/>
  <c r="C743" i="12"/>
  <c r="D743" i="12"/>
  <c r="E743" i="12"/>
  <c r="F743" i="12"/>
  <c r="G743" i="12"/>
  <c r="H743" i="12"/>
  <c r="I743" i="12" s="1"/>
  <c r="M743" i="12" s="1"/>
  <c r="J743" i="12"/>
  <c r="K743" i="12"/>
  <c r="L743" i="12"/>
  <c r="N743" i="12" s="1"/>
  <c r="A744" i="12"/>
  <c r="B744" i="12"/>
  <c r="C744" i="12"/>
  <c r="D744" i="12"/>
  <c r="E744" i="12"/>
  <c r="F744" i="12"/>
  <c r="G744" i="12"/>
  <c r="I744" i="12" s="1"/>
  <c r="M744" i="12" s="1"/>
  <c r="H744" i="12"/>
  <c r="J744" i="12"/>
  <c r="K744" i="12"/>
  <c r="A745" i="12"/>
  <c r="B745" i="12"/>
  <c r="C745" i="12"/>
  <c r="D745" i="12"/>
  <c r="E745" i="12"/>
  <c r="F745" i="12"/>
  <c r="G745" i="12"/>
  <c r="H745" i="12"/>
  <c r="I745" i="12" s="1"/>
  <c r="M745" i="12" s="1"/>
  <c r="J745" i="12"/>
  <c r="K745" i="12"/>
  <c r="L745" i="12"/>
  <c r="N745" i="12" s="1"/>
  <c r="A746" i="12"/>
  <c r="B746" i="12"/>
  <c r="C746" i="12"/>
  <c r="D746" i="12"/>
  <c r="E746" i="12"/>
  <c r="F746" i="12"/>
  <c r="G746" i="12"/>
  <c r="I746" i="12" s="1"/>
  <c r="M746" i="12" s="1"/>
  <c r="H746" i="12"/>
  <c r="J746" i="12"/>
  <c r="K746" i="12"/>
  <c r="A747" i="12"/>
  <c r="B747" i="12"/>
  <c r="C747" i="12"/>
  <c r="D747" i="12"/>
  <c r="E747" i="12"/>
  <c r="F747" i="12"/>
  <c r="G747" i="12"/>
  <c r="H747" i="12"/>
  <c r="I747" i="12" s="1"/>
  <c r="M747" i="12" s="1"/>
  <c r="J747" i="12"/>
  <c r="K747" i="12"/>
  <c r="L747" i="12"/>
  <c r="N747" i="12" s="1"/>
  <c r="A748" i="12"/>
  <c r="B748" i="12"/>
  <c r="C748" i="12"/>
  <c r="D748" i="12"/>
  <c r="E748" i="12"/>
  <c r="F748" i="12"/>
  <c r="G748" i="12"/>
  <c r="I748" i="12" s="1"/>
  <c r="M748" i="12" s="1"/>
  <c r="H748" i="12"/>
  <c r="J748" i="12"/>
  <c r="K748" i="12"/>
  <c r="A749" i="12"/>
  <c r="B749" i="12"/>
  <c r="C749" i="12"/>
  <c r="D749" i="12"/>
  <c r="E749" i="12"/>
  <c r="F749" i="12"/>
  <c r="G749" i="12"/>
  <c r="H749" i="12"/>
  <c r="I749" i="12" s="1"/>
  <c r="M749" i="12" s="1"/>
  <c r="J749" i="12"/>
  <c r="K749" i="12"/>
  <c r="L749" i="12"/>
  <c r="N749" i="12" s="1"/>
  <c r="A750" i="12"/>
  <c r="B750" i="12"/>
  <c r="C750" i="12"/>
  <c r="D750" i="12"/>
  <c r="E750" i="12"/>
  <c r="F750" i="12"/>
  <c r="G750" i="12"/>
  <c r="I750" i="12" s="1"/>
  <c r="M750" i="12" s="1"/>
  <c r="H750" i="12"/>
  <c r="J750" i="12"/>
  <c r="K750" i="12"/>
  <c r="A751" i="12"/>
  <c r="B751" i="12"/>
  <c r="C751" i="12"/>
  <c r="D751" i="12"/>
  <c r="E751" i="12"/>
  <c r="F751" i="12"/>
  <c r="G751" i="12"/>
  <c r="H751" i="12"/>
  <c r="I751" i="12" s="1"/>
  <c r="M751" i="12" s="1"/>
  <c r="J751" i="12"/>
  <c r="K751" i="12"/>
  <c r="L751" i="12"/>
  <c r="N751" i="12" s="1"/>
  <c r="A752" i="12"/>
  <c r="B752" i="12"/>
  <c r="C752" i="12"/>
  <c r="D752" i="12"/>
  <c r="E752" i="12"/>
  <c r="F752" i="12"/>
  <c r="G752" i="12"/>
  <c r="I752" i="12" s="1"/>
  <c r="M752" i="12" s="1"/>
  <c r="H752" i="12"/>
  <c r="J752" i="12"/>
  <c r="K752" i="12"/>
  <c r="A753" i="12"/>
  <c r="B753" i="12"/>
  <c r="C753" i="12"/>
  <c r="D753" i="12"/>
  <c r="E753" i="12"/>
  <c r="F753" i="12"/>
  <c r="G753" i="12"/>
  <c r="H753" i="12"/>
  <c r="I753" i="12" s="1"/>
  <c r="M753" i="12" s="1"/>
  <c r="J753" i="12"/>
  <c r="K753" i="12"/>
  <c r="L753" i="12"/>
  <c r="N753" i="12" s="1"/>
  <c r="A754" i="12"/>
  <c r="B754" i="12"/>
  <c r="C754" i="12"/>
  <c r="D754" i="12"/>
  <c r="E754" i="12"/>
  <c r="F754" i="12"/>
  <c r="G754" i="12"/>
  <c r="I754" i="12" s="1"/>
  <c r="M754" i="12" s="1"/>
  <c r="H754" i="12"/>
  <c r="J754" i="12"/>
  <c r="K754" i="12"/>
  <c r="A755" i="12"/>
  <c r="B755" i="12"/>
  <c r="C755" i="12"/>
  <c r="D755" i="12"/>
  <c r="E755" i="12"/>
  <c r="F755" i="12"/>
  <c r="G755" i="12"/>
  <c r="H755" i="12"/>
  <c r="I755" i="12" s="1"/>
  <c r="M755" i="12" s="1"/>
  <c r="J755" i="12"/>
  <c r="K755" i="12"/>
  <c r="L755" i="12"/>
  <c r="N755" i="12" s="1"/>
  <c r="A756" i="12"/>
  <c r="B756" i="12"/>
  <c r="C756" i="12"/>
  <c r="D756" i="12"/>
  <c r="E756" i="12"/>
  <c r="F756" i="12"/>
  <c r="G756" i="12"/>
  <c r="I756" i="12" s="1"/>
  <c r="M756" i="12" s="1"/>
  <c r="H756" i="12"/>
  <c r="J756" i="12"/>
  <c r="K756" i="12"/>
  <c r="A757" i="12"/>
  <c r="B757" i="12"/>
  <c r="C757" i="12"/>
  <c r="D757" i="12"/>
  <c r="E757" i="12"/>
  <c r="F757" i="12"/>
  <c r="G757" i="12"/>
  <c r="H757" i="12"/>
  <c r="I757" i="12" s="1"/>
  <c r="M757" i="12" s="1"/>
  <c r="J757" i="12"/>
  <c r="K757" i="12"/>
  <c r="L757" i="12"/>
  <c r="N757" i="12" s="1"/>
  <c r="A758" i="12"/>
  <c r="B758" i="12"/>
  <c r="C758" i="12"/>
  <c r="D758" i="12"/>
  <c r="E758" i="12"/>
  <c r="F758" i="12"/>
  <c r="G758" i="12"/>
  <c r="I758" i="12" s="1"/>
  <c r="M758" i="12" s="1"/>
  <c r="H758" i="12"/>
  <c r="J758" i="12"/>
  <c r="K758" i="12"/>
  <c r="A759" i="12"/>
  <c r="B759" i="12"/>
  <c r="C759" i="12"/>
  <c r="D759" i="12"/>
  <c r="E759" i="12"/>
  <c r="F759" i="12"/>
  <c r="G759" i="12"/>
  <c r="H759" i="12"/>
  <c r="I759" i="12" s="1"/>
  <c r="M759" i="12" s="1"/>
  <c r="J759" i="12"/>
  <c r="K759" i="12"/>
  <c r="L759" i="12"/>
  <c r="N759" i="12" s="1"/>
  <c r="A760" i="12"/>
  <c r="B760" i="12"/>
  <c r="C760" i="12"/>
  <c r="D760" i="12"/>
  <c r="E760" i="12"/>
  <c r="F760" i="12"/>
  <c r="G760" i="12"/>
  <c r="I760" i="12" s="1"/>
  <c r="M760" i="12" s="1"/>
  <c r="H760" i="12"/>
  <c r="J760" i="12"/>
  <c r="K760" i="12"/>
  <c r="A761" i="12"/>
  <c r="B761" i="12"/>
  <c r="C761" i="12"/>
  <c r="D761" i="12"/>
  <c r="E761" i="12"/>
  <c r="F761" i="12"/>
  <c r="G761" i="12"/>
  <c r="H761" i="12"/>
  <c r="I761" i="12" s="1"/>
  <c r="M761" i="12" s="1"/>
  <c r="J761" i="12"/>
  <c r="K761" i="12"/>
  <c r="L761" i="12"/>
  <c r="N761" i="12" s="1"/>
  <c r="A762" i="12"/>
  <c r="B762" i="12"/>
  <c r="C762" i="12"/>
  <c r="D762" i="12"/>
  <c r="E762" i="12"/>
  <c r="F762" i="12"/>
  <c r="G762" i="12"/>
  <c r="I762" i="12" s="1"/>
  <c r="M762" i="12" s="1"/>
  <c r="H762" i="12"/>
  <c r="J762" i="12"/>
  <c r="K762" i="12"/>
  <c r="A763" i="12"/>
  <c r="B763" i="12"/>
  <c r="C763" i="12"/>
  <c r="D763" i="12"/>
  <c r="E763" i="12"/>
  <c r="F763" i="12"/>
  <c r="G763" i="12"/>
  <c r="H763" i="12"/>
  <c r="I763" i="12" s="1"/>
  <c r="M763" i="12" s="1"/>
  <c r="J763" i="12"/>
  <c r="K763" i="12"/>
  <c r="L763" i="12"/>
  <c r="N763" i="12" s="1"/>
  <c r="A764" i="12"/>
  <c r="B764" i="12"/>
  <c r="C764" i="12"/>
  <c r="D764" i="12"/>
  <c r="E764" i="12"/>
  <c r="F764" i="12"/>
  <c r="G764" i="12"/>
  <c r="I764" i="12" s="1"/>
  <c r="M764" i="12" s="1"/>
  <c r="H764" i="12"/>
  <c r="J764" i="12"/>
  <c r="K764" i="12"/>
  <c r="A765" i="12"/>
  <c r="B765" i="12"/>
  <c r="C765" i="12"/>
  <c r="D765" i="12"/>
  <c r="E765" i="12"/>
  <c r="F765" i="12"/>
  <c r="G765" i="12"/>
  <c r="H765" i="12"/>
  <c r="I765" i="12" s="1"/>
  <c r="M765" i="12" s="1"/>
  <c r="J765" i="12"/>
  <c r="K765" i="12"/>
  <c r="L765" i="12"/>
  <c r="N765" i="12" s="1"/>
  <c r="A766" i="12"/>
  <c r="B766" i="12"/>
  <c r="C766" i="12"/>
  <c r="D766" i="12"/>
  <c r="E766" i="12"/>
  <c r="F766" i="12"/>
  <c r="G766" i="12"/>
  <c r="I766" i="12" s="1"/>
  <c r="M766" i="12" s="1"/>
  <c r="H766" i="12"/>
  <c r="J766" i="12"/>
  <c r="K766" i="12"/>
  <c r="A767" i="12"/>
  <c r="B767" i="12"/>
  <c r="C767" i="12"/>
  <c r="D767" i="12"/>
  <c r="E767" i="12"/>
  <c r="F767" i="12"/>
  <c r="G767" i="12"/>
  <c r="H767" i="12"/>
  <c r="I767" i="12" s="1"/>
  <c r="M767" i="12" s="1"/>
  <c r="J767" i="12"/>
  <c r="K767" i="12"/>
  <c r="L767" i="12"/>
  <c r="N767" i="12" s="1"/>
  <c r="A768" i="12"/>
  <c r="B768" i="12"/>
  <c r="C768" i="12"/>
  <c r="D768" i="12"/>
  <c r="E768" i="12"/>
  <c r="F768" i="12"/>
  <c r="G768" i="12"/>
  <c r="I768" i="12" s="1"/>
  <c r="M768" i="12" s="1"/>
  <c r="H768" i="12"/>
  <c r="J768" i="12"/>
  <c r="K768" i="12"/>
  <c r="A769" i="12"/>
  <c r="B769" i="12"/>
  <c r="C769" i="12"/>
  <c r="D769" i="12"/>
  <c r="E769" i="12"/>
  <c r="F769" i="12"/>
  <c r="G769" i="12"/>
  <c r="H769" i="12"/>
  <c r="I769" i="12" s="1"/>
  <c r="M769" i="12" s="1"/>
  <c r="J769" i="12"/>
  <c r="K769" i="12"/>
  <c r="L769" i="12"/>
  <c r="N769" i="12" s="1"/>
  <c r="A770" i="12"/>
  <c r="B770" i="12"/>
  <c r="C770" i="12"/>
  <c r="D770" i="12"/>
  <c r="E770" i="12"/>
  <c r="F770" i="12"/>
  <c r="G770" i="12"/>
  <c r="I770" i="12" s="1"/>
  <c r="M770" i="12" s="1"/>
  <c r="H770" i="12"/>
  <c r="J770" i="12"/>
  <c r="K770" i="12"/>
  <c r="A771" i="12"/>
  <c r="B771" i="12"/>
  <c r="C771" i="12"/>
  <c r="D771" i="12"/>
  <c r="E771" i="12"/>
  <c r="F771" i="12"/>
  <c r="G771" i="12"/>
  <c r="H771" i="12"/>
  <c r="I771" i="12" s="1"/>
  <c r="M771" i="12" s="1"/>
  <c r="J771" i="12"/>
  <c r="K771" i="12"/>
  <c r="L771" i="12"/>
  <c r="N771" i="12" s="1"/>
  <c r="A772" i="12"/>
  <c r="B772" i="12"/>
  <c r="C772" i="12"/>
  <c r="D772" i="12"/>
  <c r="E772" i="12"/>
  <c r="F772" i="12"/>
  <c r="G772" i="12"/>
  <c r="I772" i="12" s="1"/>
  <c r="M772" i="12" s="1"/>
  <c r="H772" i="12"/>
  <c r="J772" i="12"/>
  <c r="K772" i="12"/>
  <c r="A773" i="12"/>
  <c r="B773" i="12"/>
  <c r="C773" i="12"/>
  <c r="D773" i="12"/>
  <c r="E773" i="12"/>
  <c r="F773" i="12"/>
  <c r="G773" i="12"/>
  <c r="H773" i="12"/>
  <c r="I773" i="12" s="1"/>
  <c r="M773" i="12" s="1"/>
  <c r="J773" i="12"/>
  <c r="K773" i="12"/>
  <c r="L773" i="12"/>
  <c r="N773" i="12" s="1"/>
  <c r="A774" i="12"/>
  <c r="B774" i="12"/>
  <c r="C774" i="12"/>
  <c r="D774" i="12"/>
  <c r="E774" i="12"/>
  <c r="F774" i="12"/>
  <c r="G774" i="12"/>
  <c r="I774" i="12" s="1"/>
  <c r="M774" i="12" s="1"/>
  <c r="H774" i="12"/>
  <c r="J774" i="12"/>
  <c r="K774" i="12"/>
  <c r="A775" i="12"/>
  <c r="B775" i="12"/>
  <c r="C775" i="12"/>
  <c r="D775" i="12"/>
  <c r="E775" i="12"/>
  <c r="F775" i="12"/>
  <c r="G775" i="12"/>
  <c r="H775" i="12"/>
  <c r="I775" i="12" s="1"/>
  <c r="M775" i="12" s="1"/>
  <c r="J775" i="12"/>
  <c r="K775" i="12"/>
  <c r="L775" i="12"/>
  <c r="N775" i="12" s="1"/>
  <c r="A776" i="12"/>
  <c r="B776" i="12"/>
  <c r="C776" i="12"/>
  <c r="D776" i="12"/>
  <c r="E776" i="12"/>
  <c r="F776" i="12"/>
  <c r="G776" i="12"/>
  <c r="I776" i="12" s="1"/>
  <c r="M776" i="12" s="1"/>
  <c r="H776" i="12"/>
  <c r="J776" i="12"/>
  <c r="K776" i="12"/>
  <c r="A777" i="12"/>
  <c r="B777" i="12"/>
  <c r="C777" i="12"/>
  <c r="D777" i="12"/>
  <c r="E777" i="12"/>
  <c r="F777" i="12"/>
  <c r="G777" i="12"/>
  <c r="H777" i="12"/>
  <c r="I777" i="12" s="1"/>
  <c r="M777" i="12" s="1"/>
  <c r="J777" i="12"/>
  <c r="K777" i="12"/>
  <c r="L777" i="12"/>
  <c r="N777" i="12" s="1"/>
  <c r="A778" i="12"/>
  <c r="B778" i="12"/>
  <c r="C778" i="12"/>
  <c r="D778" i="12"/>
  <c r="E778" i="12"/>
  <c r="F778" i="12"/>
  <c r="G778" i="12"/>
  <c r="I778" i="12" s="1"/>
  <c r="M778" i="12" s="1"/>
  <c r="H778" i="12"/>
  <c r="J778" i="12"/>
  <c r="K778" i="12"/>
  <c r="A779" i="12"/>
  <c r="B779" i="12"/>
  <c r="C779" i="12"/>
  <c r="D779" i="12"/>
  <c r="E779" i="12"/>
  <c r="F779" i="12"/>
  <c r="G779" i="12"/>
  <c r="H779" i="12"/>
  <c r="I779" i="12" s="1"/>
  <c r="M779" i="12" s="1"/>
  <c r="J779" i="12"/>
  <c r="K779" i="12"/>
  <c r="L779" i="12"/>
  <c r="N779" i="12" s="1"/>
  <c r="A780" i="12"/>
  <c r="B780" i="12"/>
  <c r="C780" i="12"/>
  <c r="D780" i="12"/>
  <c r="E780" i="12"/>
  <c r="F780" i="12"/>
  <c r="G780" i="12"/>
  <c r="I780" i="12" s="1"/>
  <c r="M780" i="12" s="1"/>
  <c r="H780" i="12"/>
  <c r="J780" i="12"/>
  <c r="K780" i="12"/>
  <c r="A781" i="12"/>
  <c r="B781" i="12"/>
  <c r="C781" i="12"/>
  <c r="D781" i="12"/>
  <c r="E781" i="12"/>
  <c r="F781" i="12"/>
  <c r="G781" i="12"/>
  <c r="H781" i="12"/>
  <c r="I781" i="12" s="1"/>
  <c r="M781" i="12" s="1"/>
  <c r="J781" i="12"/>
  <c r="K781" i="12"/>
  <c r="L781" i="12"/>
  <c r="N781" i="12" s="1"/>
  <c r="A782" i="12"/>
  <c r="B782" i="12"/>
  <c r="C782" i="12"/>
  <c r="D782" i="12"/>
  <c r="E782" i="12"/>
  <c r="F782" i="12"/>
  <c r="G782" i="12"/>
  <c r="I782" i="12" s="1"/>
  <c r="M782" i="12" s="1"/>
  <c r="H782" i="12"/>
  <c r="J782" i="12"/>
  <c r="K782" i="12"/>
  <c r="A783" i="12"/>
  <c r="B783" i="12"/>
  <c r="C783" i="12"/>
  <c r="D783" i="12"/>
  <c r="E783" i="12"/>
  <c r="F783" i="12"/>
  <c r="G783" i="12"/>
  <c r="H783" i="12"/>
  <c r="I783" i="12" s="1"/>
  <c r="M783" i="12" s="1"/>
  <c r="J783" i="12"/>
  <c r="K783" i="12"/>
  <c r="L783" i="12"/>
  <c r="N783" i="12" s="1"/>
  <c r="A784" i="12"/>
  <c r="B784" i="12"/>
  <c r="C784" i="12"/>
  <c r="D784" i="12"/>
  <c r="E784" i="12"/>
  <c r="F784" i="12"/>
  <c r="G784" i="12"/>
  <c r="I784" i="12" s="1"/>
  <c r="M784" i="12" s="1"/>
  <c r="H784" i="12"/>
  <c r="J784" i="12"/>
  <c r="K784" i="12"/>
  <c r="A785" i="12"/>
  <c r="B785" i="12"/>
  <c r="C785" i="12"/>
  <c r="D785" i="12"/>
  <c r="E785" i="12"/>
  <c r="F785" i="12"/>
  <c r="G785" i="12"/>
  <c r="H785" i="12"/>
  <c r="I785" i="12" s="1"/>
  <c r="M785" i="12" s="1"/>
  <c r="J785" i="12"/>
  <c r="K785" i="12"/>
  <c r="L785" i="12"/>
  <c r="N785" i="12" s="1"/>
  <c r="A786" i="12"/>
  <c r="B786" i="12"/>
  <c r="C786" i="12"/>
  <c r="D786" i="12"/>
  <c r="E786" i="12"/>
  <c r="F786" i="12"/>
  <c r="G786" i="12"/>
  <c r="I786" i="12" s="1"/>
  <c r="M786" i="12" s="1"/>
  <c r="H786" i="12"/>
  <c r="J786" i="12"/>
  <c r="K786" i="12"/>
  <c r="A787" i="12"/>
  <c r="B787" i="12"/>
  <c r="C787" i="12"/>
  <c r="D787" i="12"/>
  <c r="E787" i="12"/>
  <c r="F787" i="12"/>
  <c r="G787" i="12"/>
  <c r="H787" i="12"/>
  <c r="I787" i="12" s="1"/>
  <c r="M787" i="12" s="1"/>
  <c r="J787" i="12"/>
  <c r="K787" i="12"/>
  <c r="L787" i="12"/>
  <c r="N787" i="12" s="1"/>
  <c r="A788" i="12"/>
  <c r="B788" i="12"/>
  <c r="C788" i="12"/>
  <c r="D788" i="12"/>
  <c r="E788" i="12"/>
  <c r="F788" i="12"/>
  <c r="G788" i="12"/>
  <c r="I788" i="12" s="1"/>
  <c r="M788" i="12" s="1"/>
  <c r="H788" i="12"/>
  <c r="J788" i="12"/>
  <c r="K788" i="12"/>
  <c r="A789" i="12"/>
  <c r="B789" i="12"/>
  <c r="C789" i="12"/>
  <c r="D789" i="12"/>
  <c r="E789" i="12"/>
  <c r="F789" i="12"/>
  <c r="G789" i="12"/>
  <c r="H789" i="12"/>
  <c r="I789" i="12" s="1"/>
  <c r="M789" i="12" s="1"/>
  <c r="J789" i="12"/>
  <c r="K789" i="12"/>
  <c r="L789" i="12"/>
  <c r="N789" i="12" s="1"/>
  <c r="A790" i="12"/>
  <c r="B790" i="12"/>
  <c r="C790" i="12"/>
  <c r="D790" i="12"/>
  <c r="E790" i="12"/>
  <c r="F790" i="12"/>
  <c r="G790" i="12"/>
  <c r="I790" i="12" s="1"/>
  <c r="M790" i="12" s="1"/>
  <c r="H790" i="12"/>
  <c r="J790" i="12"/>
  <c r="K790" i="12"/>
  <c r="A791" i="12"/>
  <c r="B791" i="12"/>
  <c r="C791" i="12"/>
  <c r="D791" i="12"/>
  <c r="E791" i="12"/>
  <c r="F791" i="12"/>
  <c r="G791" i="12"/>
  <c r="H791" i="12"/>
  <c r="I791" i="12" s="1"/>
  <c r="M791" i="12" s="1"/>
  <c r="J791" i="12"/>
  <c r="K791" i="12"/>
  <c r="L791" i="12"/>
  <c r="N791" i="12" s="1"/>
  <c r="A792" i="12"/>
  <c r="B792" i="12"/>
  <c r="C792" i="12"/>
  <c r="D792" i="12"/>
  <c r="E792" i="12"/>
  <c r="F792" i="12"/>
  <c r="G792" i="12"/>
  <c r="I792" i="12" s="1"/>
  <c r="M792" i="12" s="1"/>
  <c r="H792" i="12"/>
  <c r="J792" i="12"/>
  <c r="K792" i="12"/>
  <c r="A793" i="12"/>
  <c r="B793" i="12"/>
  <c r="C793" i="12"/>
  <c r="D793" i="12"/>
  <c r="E793" i="12"/>
  <c r="F793" i="12"/>
  <c r="G793" i="12"/>
  <c r="H793" i="12"/>
  <c r="I793" i="12" s="1"/>
  <c r="M793" i="12" s="1"/>
  <c r="J793" i="12"/>
  <c r="K793" i="12"/>
  <c r="L793" i="12"/>
  <c r="N793" i="12" s="1"/>
  <c r="A794" i="12"/>
  <c r="B794" i="12"/>
  <c r="C794" i="12"/>
  <c r="D794" i="12"/>
  <c r="E794" i="12"/>
  <c r="F794" i="12"/>
  <c r="G794" i="12"/>
  <c r="I794" i="12" s="1"/>
  <c r="M794" i="12" s="1"/>
  <c r="H794" i="12"/>
  <c r="J794" i="12"/>
  <c r="K794" i="12"/>
  <c r="A795" i="12"/>
  <c r="B795" i="12"/>
  <c r="C795" i="12"/>
  <c r="D795" i="12"/>
  <c r="E795" i="12"/>
  <c r="F795" i="12"/>
  <c r="G795" i="12"/>
  <c r="H795" i="12"/>
  <c r="I795" i="12" s="1"/>
  <c r="M795" i="12" s="1"/>
  <c r="J795" i="12"/>
  <c r="K795" i="12"/>
  <c r="L795" i="12"/>
  <c r="N795" i="12" s="1"/>
  <c r="A796" i="12"/>
  <c r="B796" i="12"/>
  <c r="C796" i="12"/>
  <c r="D796" i="12"/>
  <c r="E796" i="12"/>
  <c r="F796" i="12"/>
  <c r="G796" i="12"/>
  <c r="I796" i="12" s="1"/>
  <c r="M796" i="12" s="1"/>
  <c r="H796" i="12"/>
  <c r="J796" i="12"/>
  <c r="K796" i="12"/>
  <c r="A797" i="12"/>
  <c r="B797" i="12"/>
  <c r="C797" i="12"/>
  <c r="D797" i="12"/>
  <c r="E797" i="12"/>
  <c r="F797" i="12"/>
  <c r="G797" i="12"/>
  <c r="H797" i="12"/>
  <c r="I797" i="12" s="1"/>
  <c r="M797" i="12" s="1"/>
  <c r="J797" i="12"/>
  <c r="K797" i="12"/>
  <c r="L797" i="12"/>
  <c r="N797" i="12" s="1"/>
  <c r="A798" i="12"/>
  <c r="B798" i="12"/>
  <c r="C798" i="12"/>
  <c r="D798" i="12"/>
  <c r="E798" i="12"/>
  <c r="F798" i="12"/>
  <c r="G798" i="12"/>
  <c r="I798" i="12" s="1"/>
  <c r="M798" i="12" s="1"/>
  <c r="H798" i="12"/>
  <c r="J798" i="12"/>
  <c r="K798" i="12"/>
  <c r="A799" i="12"/>
  <c r="B799" i="12"/>
  <c r="C799" i="12"/>
  <c r="D799" i="12"/>
  <c r="E799" i="12"/>
  <c r="F799" i="12"/>
  <c r="G799" i="12"/>
  <c r="H799" i="12"/>
  <c r="I799" i="12" s="1"/>
  <c r="M799" i="12" s="1"/>
  <c r="J799" i="12"/>
  <c r="K799" i="12"/>
  <c r="L799" i="12"/>
  <c r="N799" i="12" s="1"/>
  <c r="A800" i="12"/>
  <c r="B800" i="12"/>
  <c r="C800" i="12"/>
  <c r="D800" i="12"/>
  <c r="E800" i="12"/>
  <c r="F800" i="12"/>
  <c r="G800" i="12"/>
  <c r="I800" i="12" s="1"/>
  <c r="M800" i="12" s="1"/>
  <c r="H800" i="12"/>
  <c r="J800" i="12"/>
  <c r="K800" i="12"/>
  <c r="A801" i="12"/>
  <c r="B801" i="12"/>
  <c r="C801" i="12"/>
  <c r="D801" i="12"/>
  <c r="E801" i="12"/>
  <c r="F801" i="12"/>
  <c r="G801" i="12"/>
  <c r="H801" i="12"/>
  <c r="I801" i="12" s="1"/>
  <c r="M801" i="12" s="1"/>
  <c r="J801" i="12"/>
  <c r="K801" i="12"/>
  <c r="L801" i="12"/>
  <c r="N801" i="12" s="1"/>
  <c r="A802" i="12"/>
  <c r="B802" i="12"/>
  <c r="C802" i="12"/>
  <c r="D802" i="12"/>
  <c r="E802" i="12"/>
  <c r="F802" i="12"/>
  <c r="G802" i="12"/>
  <c r="I802" i="12" s="1"/>
  <c r="M802" i="12" s="1"/>
  <c r="H802" i="12"/>
  <c r="J802" i="12"/>
  <c r="K802" i="12"/>
  <c r="A803" i="12"/>
  <c r="B803" i="12"/>
  <c r="C803" i="12"/>
  <c r="D803" i="12"/>
  <c r="E803" i="12"/>
  <c r="F803" i="12"/>
  <c r="G803" i="12"/>
  <c r="H803" i="12"/>
  <c r="I803" i="12" s="1"/>
  <c r="M803" i="12" s="1"/>
  <c r="J803" i="12"/>
  <c r="K803" i="12"/>
  <c r="L803" i="12"/>
  <c r="N803" i="12" s="1"/>
  <c r="A804" i="12"/>
  <c r="B804" i="12"/>
  <c r="C804" i="12"/>
  <c r="D804" i="12"/>
  <c r="E804" i="12"/>
  <c r="F804" i="12"/>
  <c r="G804" i="12"/>
  <c r="I804" i="12" s="1"/>
  <c r="M804" i="12" s="1"/>
  <c r="H804" i="12"/>
  <c r="J804" i="12"/>
  <c r="K804" i="12"/>
  <c r="A805" i="12"/>
  <c r="B805" i="12"/>
  <c r="C805" i="12"/>
  <c r="D805" i="12"/>
  <c r="E805" i="12"/>
  <c r="F805" i="12"/>
  <c r="G805" i="12"/>
  <c r="H805" i="12"/>
  <c r="I805" i="12" s="1"/>
  <c r="M805" i="12" s="1"/>
  <c r="J805" i="12"/>
  <c r="K805" i="12"/>
  <c r="L805" i="12"/>
  <c r="N805" i="12" s="1"/>
  <c r="A806" i="12"/>
  <c r="B806" i="12"/>
  <c r="C806" i="12"/>
  <c r="D806" i="12"/>
  <c r="E806" i="12"/>
  <c r="F806" i="12"/>
  <c r="G806" i="12"/>
  <c r="I806" i="12" s="1"/>
  <c r="M806" i="12" s="1"/>
  <c r="H806" i="12"/>
  <c r="J806" i="12"/>
  <c r="K806" i="12"/>
  <c r="A807" i="12"/>
  <c r="B807" i="12"/>
  <c r="C807" i="12"/>
  <c r="D807" i="12"/>
  <c r="E807" i="12"/>
  <c r="F807" i="12"/>
  <c r="G807" i="12"/>
  <c r="H807" i="12"/>
  <c r="I807" i="12" s="1"/>
  <c r="M807" i="12" s="1"/>
  <c r="J807" i="12"/>
  <c r="K807" i="12"/>
  <c r="L807" i="12"/>
  <c r="N807" i="12" s="1"/>
  <c r="A808" i="12"/>
  <c r="B808" i="12"/>
  <c r="C808" i="12"/>
  <c r="D808" i="12"/>
  <c r="E808" i="12"/>
  <c r="F808" i="12"/>
  <c r="G808" i="12"/>
  <c r="I808" i="12" s="1"/>
  <c r="M808" i="12" s="1"/>
  <c r="H808" i="12"/>
  <c r="J808" i="12"/>
  <c r="K808" i="12"/>
  <c r="A809" i="12"/>
  <c r="B809" i="12"/>
  <c r="C809" i="12"/>
  <c r="D809" i="12"/>
  <c r="E809" i="12"/>
  <c r="F809" i="12"/>
  <c r="G809" i="12"/>
  <c r="H809" i="12"/>
  <c r="I809" i="12" s="1"/>
  <c r="M809" i="12" s="1"/>
  <c r="J809" i="12"/>
  <c r="K809" i="12"/>
  <c r="L809" i="12"/>
  <c r="N809" i="12" s="1"/>
  <c r="A810" i="12"/>
  <c r="B810" i="12"/>
  <c r="C810" i="12"/>
  <c r="D810" i="12"/>
  <c r="E810" i="12"/>
  <c r="F810" i="12"/>
  <c r="G810" i="12"/>
  <c r="I810" i="12" s="1"/>
  <c r="M810" i="12" s="1"/>
  <c r="H810" i="12"/>
  <c r="J810" i="12"/>
  <c r="K810" i="12"/>
  <c r="A811" i="12"/>
  <c r="B811" i="12"/>
  <c r="C811" i="12"/>
  <c r="D811" i="12"/>
  <c r="E811" i="12"/>
  <c r="F811" i="12"/>
  <c r="G811" i="12"/>
  <c r="H811" i="12"/>
  <c r="I811" i="12" s="1"/>
  <c r="M811" i="12" s="1"/>
  <c r="J811" i="12"/>
  <c r="K811" i="12"/>
  <c r="L811" i="12"/>
  <c r="N811" i="12" s="1"/>
  <c r="A812" i="12"/>
  <c r="B812" i="12"/>
  <c r="C812" i="12"/>
  <c r="D812" i="12"/>
  <c r="E812" i="12"/>
  <c r="F812" i="12"/>
  <c r="G812" i="12"/>
  <c r="I812" i="12" s="1"/>
  <c r="M812" i="12" s="1"/>
  <c r="H812" i="12"/>
  <c r="J812" i="12"/>
  <c r="K812" i="12"/>
  <c r="A813" i="12"/>
  <c r="B813" i="12"/>
  <c r="C813" i="12"/>
  <c r="D813" i="12"/>
  <c r="E813" i="12"/>
  <c r="F813" i="12"/>
  <c r="G813" i="12"/>
  <c r="H813" i="12"/>
  <c r="I813" i="12" s="1"/>
  <c r="M813" i="12" s="1"/>
  <c r="J813" i="12"/>
  <c r="K813" i="12"/>
  <c r="L813" i="12"/>
  <c r="N813" i="12" s="1"/>
  <c r="A814" i="12"/>
  <c r="B814" i="12"/>
  <c r="C814" i="12"/>
  <c r="D814" i="12"/>
  <c r="E814" i="12"/>
  <c r="F814" i="12"/>
  <c r="G814" i="12"/>
  <c r="I814" i="12" s="1"/>
  <c r="M814" i="12" s="1"/>
  <c r="H814" i="12"/>
  <c r="J814" i="12"/>
  <c r="K814" i="12"/>
  <c r="A815" i="12"/>
  <c r="B815" i="12"/>
  <c r="C815" i="12"/>
  <c r="D815" i="12"/>
  <c r="E815" i="12"/>
  <c r="F815" i="12"/>
  <c r="G815" i="12"/>
  <c r="H815" i="12"/>
  <c r="I815" i="12" s="1"/>
  <c r="M815" i="12" s="1"/>
  <c r="J815" i="12"/>
  <c r="K815" i="12"/>
  <c r="L815" i="12"/>
  <c r="N815" i="12" s="1"/>
  <c r="A816" i="12"/>
  <c r="B816" i="12"/>
  <c r="C816" i="12"/>
  <c r="D816" i="12"/>
  <c r="E816" i="12"/>
  <c r="F816" i="12"/>
  <c r="G816" i="12"/>
  <c r="I816" i="12" s="1"/>
  <c r="M816" i="12" s="1"/>
  <c r="H816" i="12"/>
  <c r="J816" i="12"/>
  <c r="K816" i="12"/>
  <c r="A817" i="12"/>
  <c r="B817" i="12"/>
  <c r="C817" i="12"/>
  <c r="D817" i="12"/>
  <c r="E817" i="12"/>
  <c r="F817" i="12"/>
  <c r="G817" i="12"/>
  <c r="H817" i="12"/>
  <c r="I817" i="12" s="1"/>
  <c r="M817" i="12" s="1"/>
  <c r="J817" i="12"/>
  <c r="K817" i="12"/>
  <c r="L817" i="12"/>
  <c r="N817" i="12" s="1"/>
  <c r="A818" i="12"/>
  <c r="B818" i="12"/>
  <c r="C818" i="12"/>
  <c r="D818" i="12"/>
  <c r="E818" i="12"/>
  <c r="F818" i="12"/>
  <c r="G818" i="12"/>
  <c r="I818" i="12" s="1"/>
  <c r="M818" i="12" s="1"/>
  <c r="H818" i="12"/>
  <c r="J818" i="12"/>
  <c r="K818" i="12"/>
  <c r="A819" i="12"/>
  <c r="B819" i="12"/>
  <c r="C819" i="12"/>
  <c r="D819" i="12"/>
  <c r="E819" i="12"/>
  <c r="F819" i="12"/>
  <c r="G819" i="12"/>
  <c r="H819" i="12"/>
  <c r="I819" i="12" s="1"/>
  <c r="M819" i="12" s="1"/>
  <c r="J819" i="12"/>
  <c r="K819" i="12"/>
  <c r="L819" i="12"/>
  <c r="N819" i="12" s="1"/>
  <c r="A820" i="12"/>
  <c r="B820" i="12"/>
  <c r="C820" i="12"/>
  <c r="D820" i="12"/>
  <c r="E820" i="12"/>
  <c r="F820" i="12"/>
  <c r="G820" i="12"/>
  <c r="I820" i="12" s="1"/>
  <c r="M820" i="12" s="1"/>
  <c r="H820" i="12"/>
  <c r="J820" i="12"/>
  <c r="K820" i="12"/>
  <c r="A821" i="12"/>
  <c r="B821" i="12"/>
  <c r="C821" i="12"/>
  <c r="D821" i="12"/>
  <c r="E821" i="12"/>
  <c r="F821" i="12"/>
  <c r="G821" i="12"/>
  <c r="H821" i="12"/>
  <c r="I821" i="12" s="1"/>
  <c r="M821" i="12" s="1"/>
  <c r="J821" i="12"/>
  <c r="K821" i="12"/>
  <c r="L821" i="12"/>
  <c r="N821" i="12" s="1"/>
  <c r="A822" i="12"/>
  <c r="B822" i="12"/>
  <c r="C822" i="12"/>
  <c r="D822" i="12"/>
  <c r="E822" i="12"/>
  <c r="F822" i="12"/>
  <c r="G822" i="12"/>
  <c r="I822" i="12" s="1"/>
  <c r="M822" i="12" s="1"/>
  <c r="H822" i="12"/>
  <c r="J822" i="12"/>
  <c r="K822" i="12"/>
  <c r="A823" i="12"/>
  <c r="B823" i="12"/>
  <c r="C823" i="12"/>
  <c r="D823" i="12"/>
  <c r="E823" i="12"/>
  <c r="F823" i="12"/>
  <c r="G823" i="12"/>
  <c r="H823" i="12"/>
  <c r="I823" i="12" s="1"/>
  <c r="M823" i="12" s="1"/>
  <c r="J823" i="12"/>
  <c r="K823" i="12"/>
  <c r="L823" i="12"/>
  <c r="N823" i="12" s="1"/>
  <c r="A824" i="12"/>
  <c r="B824" i="12"/>
  <c r="C824" i="12"/>
  <c r="D824" i="12"/>
  <c r="E824" i="12"/>
  <c r="F824" i="12"/>
  <c r="G824" i="12"/>
  <c r="I824" i="12" s="1"/>
  <c r="M824" i="12" s="1"/>
  <c r="H824" i="12"/>
  <c r="J824" i="12"/>
  <c r="K824" i="12"/>
  <c r="A825" i="12"/>
  <c r="B825" i="12"/>
  <c r="C825" i="12"/>
  <c r="D825" i="12"/>
  <c r="E825" i="12"/>
  <c r="F825" i="12"/>
  <c r="G825" i="12"/>
  <c r="H825" i="12"/>
  <c r="I825" i="12" s="1"/>
  <c r="M825" i="12" s="1"/>
  <c r="J825" i="12"/>
  <c r="K825" i="12"/>
  <c r="L825" i="12"/>
  <c r="N825" i="12" s="1"/>
  <c r="A826" i="12"/>
  <c r="B826" i="12"/>
  <c r="C826" i="12"/>
  <c r="D826" i="12"/>
  <c r="E826" i="12"/>
  <c r="F826" i="12"/>
  <c r="G826" i="12"/>
  <c r="I826" i="12" s="1"/>
  <c r="M826" i="12" s="1"/>
  <c r="H826" i="12"/>
  <c r="J826" i="12"/>
  <c r="K826" i="12"/>
  <c r="A827" i="12"/>
  <c r="B827" i="12"/>
  <c r="C827" i="12"/>
  <c r="D827" i="12"/>
  <c r="E827" i="12"/>
  <c r="F827" i="12"/>
  <c r="G827" i="12"/>
  <c r="H827" i="12"/>
  <c r="I827" i="12" s="1"/>
  <c r="M827" i="12" s="1"/>
  <c r="J827" i="12"/>
  <c r="K827" i="12"/>
  <c r="L827" i="12"/>
  <c r="N827" i="12" s="1"/>
  <c r="A828" i="12"/>
  <c r="B828" i="12"/>
  <c r="C828" i="12"/>
  <c r="D828" i="12"/>
  <c r="E828" i="12"/>
  <c r="F828" i="12"/>
  <c r="G828" i="12"/>
  <c r="I828" i="12" s="1"/>
  <c r="M828" i="12" s="1"/>
  <c r="H828" i="12"/>
  <c r="J828" i="12"/>
  <c r="K828" i="12"/>
  <c r="A829" i="12"/>
  <c r="B829" i="12"/>
  <c r="C829" i="12"/>
  <c r="D829" i="12"/>
  <c r="E829" i="12"/>
  <c r="F829" i="12"/>
  <c r="G829" i="12"/>
  <c r="H829" i="12"/>
  <c r="I829" i="12" s="1"/>
  <c r="M829" i="12" s="1"/>
  <c r="J829" i="12"/>
  <c r="K829" i="12"/>
  <c r="L829" i="12"/>
  <c r="N829" i="12" s="1"/>
  <c r="A830" i="12"/>
  <c r="B830" i="12"/>
  <c r="C830" i="12"/>
  <c r="D830" i="12"/>
  <c r="E830" i="12"/>
  <c r="F830" i="12"/>
  <c r="G830" i="12"/>
  <c r="I830" i="12" s="1"/>
  <c r="M830" i="12" s="1"/>
  <c r="H830" i="12"/>
  <c r="J830" i="12"/>
  <c r="K830" i="12"/>
  <c r="A831" i="12"/>
  <c r="B831" i="12"/>
  <c r="C831" i="12"/>
  <c r="D831" i="12"/>
  <c r="E831" i="12"/>
  <c r="F831" i="12"/>
  <c r="G831" i="12"/>
  <c r="H831" i="12"/>
  <c r="I831" i="12" s="1"/>
  <c r="M831" i="12" s="1"/>
  <c r="J831" i="12"/>
  <c r="K831" i="12"/>
  <c r="L831" i="12"/>
  <c r="N831" i="12" s="1"/>
  <c r="A832" i="12"/>
  <c r="B832" i="12"/>
  <c r="C832" i="12"/>
  <c r="D832" i="12"/>
  <c r="E832" i="12"/>
  <c r="F832" i="12"/>
  <c r="G832" i="12"/>
  <c r="I832" i="12" s="1"/>
  <c r="M832" i="12" s="1"/>
  <c r="H832" i="12"/>
  <c r="J832" i="12"/>
  <c r="K832" i="12"/>
  <c r="A833" i="12"/>
  <c r="B833" i="12"/>
  <c r="C833" i="12"/>
  <c r="D833" i="12"/>
  <c r="E833" i="12"/>
  <c r="F833" i="12"/>
  <c r="G833" i="12"/>
  <c r="H833" i="12"/>
  <c r="I833" i="12" s="1"/>
  <c r="M833" i="12" s="1"/>
  <c r="J833" i="12"/>
  <c r="K833" i="12"/>
  <c r="L833" i="12"/>
  <c r="N833" i="12" s="1"/>
  <c r="A834" i="12"/>
  <c r="B834" i="12"/>
  <c r="C834" i="12"/>
  <c r="D834" i="12"/>
  <c r="E834" i="12"/>
  <c r="F834" i="12"/>
  <c r="G834" i="12"/>
  <c r="I834" i="12" s="1"/>
  <c r="M834" i="12" s="1"/>
  <c r="H834" i="12"/>
  <c r="J834" i="12"/>
  <c r="K834" i="12"/>
  <c r="A835" i="12"/>
  <c r="B835" i="12"/>
  <c r="C835" i="12"/>
  <c r="D835" i="12"/>
  <c r="E835" i="12"/>
  <c r="F835" i="12"/>
  <c r="G835" i="12"/>
  <c r="H835" i="12"/>
  <c r="I835" i="12" s="1"/>
  <c r="M835" i="12" s="1"/>
  <c r="J835" i="12"/>
  <c r="K835" i="12"/>
  <c r="L835" i="12"/>
  <c r="N835" i="12" s="1"/>
  <c r="A836" i="12"/>
  <c r="B836" i="12"/>
  <c r="C836" i="12"/>
  <c r="D836" i="12"/>
  <c r="E836" i="12"/>
  <c r="F836" i="12"/>
  <c r="G836" i="12"/>
  <c r="I836" i="12" s="1"/>
  <c r="M836" i="12" s="1"/>
  <c r="H836" i="12"/>
  <c r="J836" i="12"/>
  <c r="K836" i="12"/>
  <c r="A837" i="12"/>
  <c r="B837" i="12"/>
  <c r="C837" i="12"/>
  <c r="D837" i="12"/>
  <c r="E837" i="12"/>
  <c r="F837" i="12"/>
  <c r="G837" i="12"/>
  <c r="H837" i="12"/>
  <c r="I837" i="12" s="1"/>
  <c r="M837" i="12" s="1"/>
  <c r="J837" i="12"/>
  <c r="K837" i="12"/>
  <c r="L837" i="12"/>
  <c r="N837" i="12" s="1"/>
  <c r="A838" i="12"/>
  <c r="B838" i="12"/>
  <c r="C838" i="12"/>
  <c r="D838" i="12"/>
  <c r="E838" i="12"/>
  <c r="F838" i="12"/>
  <c r="G838" i="12"/>
  <c r="I838" i="12" s="1"/>
  <c r="M838" i="12" s="1"/>
  <c r="H838" i="12"/>
  <c r="J838" i="12"/>
  <c r="K838" i="12"/>
  <c r="A839" i="12"/>
  <c r="B839" i="12"/>
  <c r="C839" i="12"/>
  <c r="D839" i="12"/>
  <c r="E839" i="12"/>
  <c r="F839" i="12"/>
  <c r="G839" i="12"/>
  <c r="H839" i="12"/>
  <c r="I839" i="12" s="1"/>
  <c r="M839" i="12" s="1"/>
  <c r="J839" i="12"/>
  <c r="K839" i="12"/>
  <c r="L839" i="12"/>
  <c r="N839" i="12" s="1"/>
  <c r="A840" i="12"/>
  <c r="B840" i="12"/>
  <c r="C840" i="12"/>
  <c r="D840" i="12"/>
  <c r="E840" i="12"/>
  <c r="F840" i="12"/>
  <c r="G840" i="12"/>
  <c r="I840" i="12" s="1"/>
  <c r="M840" i="12" s="1"/>
  <c r="H840" i="12"/>
  <c r="J840" i="12"/>
  <c r="K840" i="12"/>
  <c r="A841" i="12"/>
  <c r="B841" i="12"/>
  <c r="C841" i="12"/>
  <c r="D841" i="12"/>
  <c r="E841" i="12"/>
  <c r="F841" i="12"/>
  <c r="G841" i="12"/>
  <c r="H841" i="12"/>
  <c r="I841" i="12" s="1"/>
  <c r="M841" i="12" s="1"/>
  <c r="J841" i="12"/>
  <c r="K841" i="12"/>
  <c r="L841" i="12"/>
  <c r="N841" i="12" s="1"/>
  <c r="A842" i="12"/>
  <c r="B842" i="12"/>
  <c r="C842" i="12"/>
  <c r="D842" i="12"/>
  <c r="E842" i="12"/>
  <c r="F842" i="12"/>
  <c r="G842" i="12"/>
  <c r="I842" i="12" s="1"/>
  <c r="M842" i="12" s="1"/>
  <c r="H842" i="12"/>
  <c r="J842" i="12"/>
  <c r="K842" i="12"/>
  <c r="A843" i="12"/>
  <c r="B843" i="12"/>
  <c r="C843" i="12"/>
  <c r="D843" i="12"/>
  <c r="E843" i="12"/>
  <c r="F843" i="12"/>
  <c r="G843" i="12"/>
  <c r="H843" i="12"/>
  <c r="I843" i="12" s="1"/>
  <c r="M843" i="12" s="1"/>
  <c r="J843" i="12"/>
  <c r="K843" i="12"/>
  <c r="L843" i="12"/>
  <c r="N843" i="12" s="1"/>
  <c r="A844" i="12"/>
  <c r="B844" i="12"/>
  <c r="C844" i="12"/>
  <c r="D844" i="12"/>
  <c r="E844" i="12"/>
  <c r="F844" i="12"/>
  <c r="G844" i="12"/>
  <c r="I844" i="12" s="1"/>
  <c r="M844" i="12" s="1"/>
  <c r="H844" i="12"/>
  <c r="J844" i="12"/>
  <c r="K844" i="12"/>
  <c r="A845" i="12"/>
  <c r="B845" i="12"/>
  <c r="C845" i="12"/>
  <c r="D845" i="12"/>
  <c r="E845" i="12"/>
  <c r="F845" i="12"/>
  <c r="G845" i="12"/>
  <c r="H845" i="12"/>
  <c r="I845" i="12" s="1"/>
  <c r="M845" i="12" s="1"/>
  <c r="J845" i="12"/>
  <c r="K845" i="12"/>
  <c r="L845" i="12"/>
  <c r="N845" i="12" s="1"/>
  <c r="A846" i="12"/>
  <c r="B846" i="12"/>
  <c r="C846" i="12"/>
  <c r="D846" i="12"/>
  <c r="E846" i="12"/>
  <c r="F846" i="12"/>
  <c r="G846" i="12"/>
  <c r="I846" i="12" s="1"/>
  <c r="M846" i="12" s="1"/>
  <c r="H846" i="12"/>
  <c r="J846" i="12"/>
  <c r="K846" i="12"/>
  <c r="A847" i="12"/>
  <c r="B847" i="12"/>
  <c r="C847" i="12"/>
  <c r="D847" i="12"/>
  <c r="E847" i="12"/>
  <c r="F847" i="12"/>
  <c r="G847" i="12"/>
  <c r="H847" i="12"/>
  <c r="I847" i="12" s="1"/>
  <c r="M847" i="12" s="1"/>
  <c r="J847" i="12"/>
  <c r="K847" i="12"/>
  <c r="L847" i="12"/>
  <c r="N847" i="12" s="1"/>
  <c r="A848" i="12"/>
  <c r="B848" i="12"/>
  <c r="C848" i="12"/>
  <c r="D848" i="12"/>
  <c r="E848" i="12"/>
  <c r="F848" i="12"/>
  <c r="G848" i="12"/>
  <c r="I848" i="12" s="1"/>
  <c r="M848" i="12" s="1"/>
  <c r="H848" i="12"/>
  <c r="J848" i="12"/>
  <c r="K848" i="12"/>
  <c r="A849" i="12"/>
  <c r="B849" i="12"/>
  <c r="C849" i="12"/>
  <c r="D849" i="12"/>
  <c r="E849" i="12"/>
  <c r="F849" i="12"/>
  <c r="G849" i="12"/>
  <c r="H849" i="12"/>
  <c r="I849" i="12" s="1"/>
  <c r="M849" i="12" s="1"/>
  <c r="J849" i="12"/>
  <c r="K849" i="12"/>
  <c r="L849" i="12"/>
  <c r="N849" i="12" s="1"/>
  <c r="A850" i="12"/>
  <c r="B850" i="12"/>
  <c r="C850" i="12"/>
  <c r="D850" i="12"/>
  <c r="E850" i="12"/>
  <c r="F850" i="12"/>
  <c r="G850" i="12"/>
  <c r="I850" i="12" s="1"/>
  <c r="M850" i="12" s="1"/>
  <c r="H850" i="12"/>
  <c r="J850" i="12"/>
  <c r="K850" i="12"/>
  <c r="A851" i="12"/>
  <c r="B851" i="12"/>
  <c r="C851" i="12"/>
  <c r="D851" i="12"/>
  <c r="E851" i="12"/>
  <c r="F851" i="12"/>
  <c r="G851" i="12"/>
  <c r="H851" i="12"/>
  <c r="I851" i="12" s="1"/>
  <c r="M851" i="12" s="1"/>
  <c r="J851" i="12"/>
  <c r="K851" i="12"/>
  <c r="L851" i="12"/>
  <c r="N851" i="12" s="1"/>
  <c r="A852" i="12"/>
  <c r="B852" i="12"/>
  <c r="C852" i="12"/>
  <c r="D852" i="12"/>
  <c r="E852" i="12"/>
  <c r="F852" i="12"/>
  <c r="G852" i="12"/>
  <c r="I852" i="12" s="1"/>
  <c r="M852" i="12" s="1"/>
  <c r="H852" i="12"/>
  <c r="J852" i="12"/>
  <c r="K852" i="12"/>
  <c r="A853" i="12"/>
  <c r="B853" i="12"/>
  <c r="C853" i="12"/>
  <c r="D853" i="12"/>
  <c r="E853" i="12"/>
  <c r="F853" i="12"/>
  <c r="G853" i="12"/>
  <c r="H853" i="12"/>
  <c r="I853" i="12" s="1"/>
  <c r="M853" i="12" s="1"/>
  <c r="J853" i="12"/>
  <c r="K853" i="12"/>
  <c r="L853" i="12"/>
  <c r="N853" i="12" s="1"/>
  <c r="A854" i="12"/>
  <c r="B854" i="12"/>
  <c r="C854" i="12"/>
  <c r="D854" i="12"/>
  <c r="E854" i="12"/>
  <c r="F854" i="12"/>
  <c r="G854" i="12"/>
  <c r="I854" i="12" s="1"/>
  <c r="M854" i="12" s="1"/>
  <c r="H854" i="12"/>
  <c r="J854" i="12"/>
  <c r="K854" i="12"/>
  <c r="A855" i="12"/>
  <c r="B855" i="12"/>
  <c r="C855" i="12"/>
  <c r="D855" i="12"/>
  <c r="E855" i="12"/>
  <c r="F855" i="12"/>
  <c r="G855" i="12"/>
  <c r="H855" i="12"/>
  <c r="I855" i="12" s="1"/>
  <c r="M855" i="12" s="1"/>
  <c r="J855" i="12"/>
  <c r="K855" i="12"/>
  <c r="L855" i="12"/>
  <c r="N855" i="12" s="1"/>
  <c r="A856" i="12"/>
  <c r="B856" i="12"/>
  <c r="C856" i="12"/>
  <c r="D856" i="12"/>
  <c r="E856" i="12"/>
  <c r="F856" i="12"/>
  <c r="G856" i="12"/>
  <c r="I856" i="12" s="1"/>
  <c r="M856" i="12" s="1"/>
  <c r="H856" i="12"/>
  <c r="J856" i="12"/>
  <c r="K856" i="12"/>
  <c r="A857" i="12"/>
  <c r="B857" i="12"/>
  <c r="C857" i="12"/>
  <c r="D857" i="12"/>
  <c r="E857" i="12"/>
  <c r="F857" i="12"/>
  <c r="G857" i="12"/>
  <c r="H857" i="12"/>
  <c r="I857" i="12" s="1"/>
  <c r="M857" i="12" s="1"/>
  <c r="J857" i="12"/>
  <c r="K857" i="12"/>
  <c r="L857" i="12"/>
  <c r="N857" i="12" s="1"/>
  <c r="A858" i="12"/>
  <c r="B858" i="12"/>
  <c r="C858" i="12"/>
  <c r="D858" i="12"/>
  <c r="E858" i="12"/>
  <c r="F858" i="12"/>
  <c r="G858" i="12"/>
  <c r="I858" i="12" s="1"/>
  <c r="M858" i="12" s="1"/>
  <c r="H858" i="12"/>
  <c r="J858" i="12"/>
  <c r="K858" i="12"/>
  <c r="A859" i="12"/>
  <c r="B859" i="12"/>
  <c r="C859" i="12"/>
  <c r="D859" i="12"/>
  <c r="E859" i="12"/>
  <c r="F859" i="12"/>
  <c r="G859" i="12"/>
  <c r="H859" i="12"/>
  <c r="I859" i="12" s="1"/>
  <c r="M859" i="12" s="1"/>
  <c r="J859" i="12"/>
  <c r="K859" i="12"/>
  <c r="L859" i="12"/>
  <c r="N859" i="12" s="1"/>
  <c r="A860" i="12"/>
  <c r="B860" i="12"/>
  <c r="C860" i="12"/>
  <c r="D860" i="12"/>
  <c r="E860" i="12"/>
  <c r="F860" i="12"/>
  <c r="G860" i="12"/>
  <c r="I860" i="12" s="1"/>
  <c r="M860" i="12" s="1"/>
  <c r="H860" i="12"/>
  <c r="J860" i="12"/>
  <c r="K860" i="12"/>
  <c r="A861" i="12"/>
  <c r="B861" i="12"/>
  <c r="C861" i="12"/>
  <c r="D861" i="12"/>
  <c r="E861" i="12"/>
  <c r="F861" i="12"/>
  <c r="G861" i="12"/>
  <c r="H861" i="12"/>
  <c r="I861" i="12" s="1"/>
  <c r="M861" i="12" s="1"/>
  <c r="J861" i="12"/>
  <c r="K861" i="12"/>
  <c r="L861" i="12"/>
  <c r="N861" i="12" s="1"/>
  <c r="A862" i="12"/>
  <c r="B862" i="12"/>
  <c r="C862" i="12"/>
  <c r="D862" i="12"/>
  <c r="E862" i="12"/>
  <c r="F862" i="12"/>
  <c r="G862" i="12"/>
  <c r="I862" i="12" s="1"/>
  <c r="M862" i="12" s="1"/>
  <c r="H862" i="12"/>
  <c r="J862" i="12"/>
  <c r="K862" i="12"/>
  <c r="A863" i="12"/>
  <c r="B863" i="12"/>
  <c r="C863" i="12"/>
  <c r="D863" i="12"/>
  <c r="E863" i="12"/>
  <c r="F863" i="12"/>
  <c r="G863" i="12"/>
  <c r="H863" i="12"/>
  <c r="I863" i="12" s="1"/>
  <c r="M863" i="12" s="1"/>
  <c r="J863" i="12"/>
  <c r="K863" i="12"/>
  <c r="L863" i="12"/>
  <c r="N863" i="12" s="1"/>
  <c r="A864" i="12"/>
  <c r="B864" i="12"/>
  <c r="C864" i="12"/>
  <c r="D864" i="12"/>
  <c r="E864" i="12"/>
  <c r="F864" i="12"/>
  <c r="G864" i="12"/>
  <c r="I864" i="12" s="1"/>
  <c r="M864" i="12" s="1"/>
  <c r="H864" i="12"/>
  <c r="J864" i="12"/>
  <c r="K864" i="12"/>
  <c r="A865" i="12"/>
  <c r="B865" i="12"/>
  <c r="C865" i="12"/>
  <c r="D865" i="12"/>
  <c r="E865" i="12"/>
  <c r="F865" i="12"/>
  <c r="G865" i="12"/>
  <c r="H865" i="12"/>
  <c r="I865" i="12" s="1"/>
  <c r="M865" i="12" s="1"/>
  <c r="J865" i="12"/>
  <c r="K865" i="12"/>
  <c r="L865" i="12"/>
  <c r="N865" i="12" s="1"/>
  <c r="A866" i="12"/>
  <c r="B866" i="12"/>
  <c r="C866" i="12"/>
  <c r="D866" i="12"/>
  <c r="E866" i="12"/>
  <c r="F866" i="12"/>
  <c r="G866" i="12"/>
  <c r="I866" i="12" s="1"/>
  <c r="M866" i="12" s="1"/>
  <c r="H866" i="12"/>
  <c r="J866" i="12"/>
  <c r="K866" i="12"/>
  <c r="A867" i="12"/>
  <c r="B867" i="12"/>
  <c r="C867" i="12"/>
  <c r="D867" i="12"/>
  <c r="E867" i="12"/>
  <c r="F867" i="12"/>
  <c r="G867" i="12"/>
  <c r="H867" i="12"/>
  <c r="I867" i="12" s="1"/>
  <c r="M867" i="12" s="1"/>
  <c r="J867" i="12"/>
  <c r="K867" i="12"/>
  <c r="L867" i="12"/>
  <c r="N867" i="12" s="1"/>
  <c r="A868" i="12"/>
  <c r="B868" i="12"/>
  <c r="C868" i="12"/>
  <c r="D868" i="12"/>
  <c r="E868" i="12"/>
  <c r="F868" i="12"/>
  <c r="G868" i="12"/>
  <c r="I868" i="12" s="1"/>
  <c r="M868" i="12" s="1"/>
  <c r="H868" i="12"/>
  <c r="J868" i="12"/>
  <c r="K868" i="12"/>
  <c r="A869" i="12"/>
  <c r="B869" i="12"/>
  <c r="C869" i="12"/>
  <c r="D869" i="12"/>
  <c r="E869" i="12"/>
  <c r="F869" i="12"/>
  <c r="G869" i="12"/>
  <c r="H869" i="12"/>
  <c r="I869" i="12" s="1"/>
  <c r="M869" i="12" s="1"/>
  <c r="J869" i="12"/>
  <c r="K869" i="12"/>
  <c r="L869" i="12"/>
  <c r="N869" i="12" s="1"/>
  <c r="A870" i="12"/>
  <c r="B870" i="12"/>
  <c r="C870" i="12"/>
  <c r="D870" i="12"/>
  <c r="E870" i="12"/>
  <c r="F870" i="12"/>
  <c r="G870" i="12"/>
  <c r="I870" i="12" s="1"/>
  <c r="M870" i="12" s="1"/>
  <c r="H870" i="12"/>
  <c r="J870" i="12"/>
  <c r="K870" i="12"/>
  <c r="A871" i="12"/>
  <c r="B871" i="12"/>
  <c r="C871" i="12"/>
  <c r="D871" i="12"/>
  <c r="E871" i="12"/>
  <c r="F871" i="12"/>
  <c r="G871" i="12"/>
  <c r="H871" i="12"/>
  <c r="I871" i="12" s="1"/>
  <c r="M871" i="12" s="1"/>
  <c r="J871" i="12"/>
  <c r="K871" i="12"/>
  <c r="L871" i="12"/>
  <c r="N871" i="12" s="1"/>
  <c r="A872" i="12"/>
  <c r="B872" i="12"/>
  <c r="C872" i="12"/>
  <c r="D872" i="12"/>
  <c r="E872" i="12"/>
  <c r="F872" i="12"/>
  <c r="G872" i="12"/>
  <c r="I872" i="12" s="1"/>
  <c r="M872" i="12" s="1"/>
  <c r="H872" i="12"/>
  <c r="J872" i="12"/>
  <c r="K872" i="12"/>
  <c r="A873" i="12"/>
  <c r="B873" i="12"/>
  <c r="C873" i="12"/>
  <c r="D873" i="12"/>
  <c r="E873" i="12"/>
  <c r="F873" i="12"/>
  <c r="G873" i="12"/>
  <c r="H873" i="12"/>
  <c r="I873" i="12" s="1"/>
  <c r="M873" i="12" s="1"/>
  <c r="J873" i="12"/>
  <c r="K873" i="12"/>
  <c r="L873" i="12"/>
  <c r="N873" i="12" s="1"/>
  <c r="A874" i="12"/>
  <c r="B874" i="12"/>
  <c r="C874" i="12"/>
  <c r="D874" i="12"/>
  <c r="E874" i="12"/>
  <c r="F874" i="12"/>
  <c r="G874" i="12"/>
  <c r="I874" i="12" s="1"/>
  <c r="M874" i="12" s="1"/>
  <c r="H874" i="12"/>
  <c r="J874" i="12"/>
  <c r="K874" i="12"/>
  <c r="A875" i="12"/>
  <c r="B875" i="12"/>
  <c r="C875" i="12"/>
  <c r="D875" i="12"/>
  <c r="E875" i="12"/>
  <c r="F875" i="12"/>
  <c r="G875" i="12"/>
  <c r="H875" i="12"/>
  <c r="I875" i="12" s="1"/>
  <c r="M875" i="12" s="1"/>
  <c r="J875" i="12"/>
  <c r="K875" i="12"/>
  <c r="L875" i="12"/>
  <c r="N875" i="12" s="1"/>
  <c r="A876" i="12"/>
  <c r="B876" i="12"/>
  <c r="C876" i="12"/>
  <c r="D876" i="12"/>
  <c r="E876" i="12"/>
  <c r="F876" i="12"/>
  <c r="G876" i="12"/>
  <c r="I876" i="12" s="1"/>
  <c r="M876" i="12" s="1"/>
  <c r="H876" i="12"/>
  <c r="J876" i="12"/>
  <c r="K876" i="12"/>
  <c r="A877" i="12"/>
  <c r="B877" i="12"/>
  <c r="C877" i="12"/>
  <c r="D877" i="12"/>
  <c r="E877" i="12"/>
  <c r="F877" i="12"/>
  <c r="G877" i="12"/>
  <c r="H877" i="12"/>
  <c r="I877" i="12" s="1"/>
  <c r="M877" i="12" s="1"/>
  <c r="J877" i="12"/>
  <c r="K877" i="12"/>
  <c r="L877" i="12"/>
  <c r="N877" i="12" s="1"/>
  <c r="A878" i="12"/>
  <c r="B878" i="12"/>
  <c r="C878" i="12"/>
  <c r="D878" i="12"/>
  <c r="E878" i="12"/>
  <c r="F878" i="12"/>
  <c r="G878" i="12"/>
  <c r="I878" i="12" s="1"/>
  <c r="M878" i="12" s="1"/>
  <c r="H878" i="12"/>
  <c r="J878" i="12"/>
  <c r="K878" i="12"/>
  <c r="A879" i="12"/>
  <c r="B879" i="12"/>
  <c r="C879" i="12"/>
  <c r="D879" i="12"/>
  <c r="E879" i="12"/>
  <c r="F879" i="12"/>
  <c r="G879" i="12"/>
  <c r="H879" i="12"/>
  <c r="I879" i="12" s="1"/>
  <c r="M879" i="12" s="1"/>
  <c r="J879" i="12"/>
  <c r="K879" i="12"/>
  <c r="L879" i="12"/>
  <c r="N879" i="12" s="1"/>
  <c r="A880" i="12"/>
  <c r="B880" i="12"/>
  <c r="C880" i="12"/>
  <c r="D880" i="12"/>
  <c r="E880" i="12"/>
  <c r="F880" i="12"/>
  <c r="G880" i="12"/>
  <c r="I880" i="12" s="1"/>
  <c r="M880" i="12" s="1"/>
  <c r="H880" i="12"/>
  <c r="J880" i="12"/>
  <c r="K880" i="12"/>
  <c r="A881" i="12"/>
  <c r="B881" i="12"/>
  <c r="C881" i="12"/>
  <c r="D881" i="12"/>
  <c r="E881" i="12"/>
  <c r="F881" i="12"/>
  <c r="G881" i="12"/>
  <c r="H881" i="12"/>
  <c r="I881" i="12" s="1"/>
  <c r="M881" i="12" s="1"/>
  <c r="J881" i="12"/>
  <c r="K881" i="12"/>
  <c r="L881" i="12"/>
  <c r="N881" i="12" s="1"/>
  <c r="A882" i="12"/>
  <c r="B882" i="12"/>
  <c r="C882" i="12"/>
  <c r="D882" i="12"/>
  <c r="E882" i="12"/>
  <c r="F882" i="12"/>
  <c r="G882" i="12"/>
  <c r="I882" i="12" s="1"/>
  <c r="M882" i="12" s="1"/>
  <c r="H882" i="12"/>
  <c r="J882" i="12"/>
  <c r="K882" i="12"/>
  <c r="A883" i="12"/>
  <c r="B883" i="12"/>
  <c r="C883" i="12"/>
  <c r="D883" i="12"/>
  <c r="E883" i="12"/>
  <c r="F883" i="12"/>
  <c r="G883" i="12"/>
  <c r="H883" i="12"/>
  <c r="I883" i="12" s="1"/>
  <c r="M883" i="12" s="1"/>
  <c r="J883" i="12"/>
  <c r="K883" i="12"/>
  <c r="L883" i="12"/>
  <c r="N883" i="12" s="1"/>
  <c r="A884" i="12"/>
  <c r="B884" i="12"/>
  <c r="C884" i="12"/>
  <c r="D884" i="12"/>
  <c r="E884" i="12"/>
  <c r="F884" i="12"/>
  <c r="G884" i="12"/>
  <c r="I884" i="12" s="1"/>
  <c r="M884" i="12" s="1"/>
  <c r="H884" i="12"/>
  <c r="J884" i="12"/>
  <c r="K884" i="12"/>
  <c r="A885" i="12"/>
  <c r="B885" i="12"/>
  <c r="C885" i="12"/>
  <c r="D885" i="12"/>
  <c r="E885" i="12"/>
  <c r="F885" i="12"/>
  <c r="G885" i="12"/>
  <c r="H885" i="12"/>
  <c r="I885" i="12" s="1"/>
  <c r="M885" i="12" s="1"/>
  <c r="J885" i="12"/>
  <c r="K885" i="12"/>
  <c r="L885" i="12"/>
  <c r="N885" i="12" s="1"/>
  <c r="A886" i="12"/>
  <c r="B886" i="12"/>
  <c r="C886" i="12"/>
  <c r="D886" i="12"/>
  <c r="E886" i="12"/>
  <c r="F886" i="12"/>
  <c r="G886" i="12"/>
  <c r="I886" i="12" s="1"/>
  <c r="M886" i="12" s="1"/>
  <c r="H886" i="12"/>
  <c r="J886" i="12"/>
  <c r="K886" i="12"/>
  <c r="A887" i="12"/>
  <c r="B887" i="12"/>
  <c r="C887" i="12"/>
  <c r="D887" i="12"/>
  <c r="E887" i="12"/>
  <c r="F887" i="12"/>
  <c r="G887" i="12"/>
  <c r="H887" i="12"/>
  <c r="I887" i="12" s="1"/>
  <c r="M887" i="12" s="1"/>
  <c r="J887" i="12"/>
  <c r="K887" i="12"/>
  <c r="L887" i="12"/>
  <c r="N887" i="12" s="1"/>
  <c r="A888" i="12"/>
  <c r="B888" i="12"/>
  <c r="C888" i="12"/>
  <c r="D888" i="12"/>
  <c r="E888" i="12"/>
  <c r="F888" i="12"/>
  <c r="G888" i="12"/>
  <c r="I888" i="12" s="1"/>
  <c r="M888" i="12" s="1"/>
  <c r="H888" i="12"/>
  <c r="J888" i="12"/>
  <c r="K888" i="12"/>
  <c r="A889" i="12"/>
  <c r="B889" i="12"/>
  <c r="C889" i="12"/>
  <c r="D889" i="12"/>
  <c r="E889" i="12"/>
  <c r="F889" i="12"/>
  <c r="G889" i="12"/>
  <c r="H889" i="12"/>
  <c r="I889" i="12" s="1"/>
  <c r="M889" i="12" s="1"/>
  <c r="J889" i="12"/>
  <c r="K889" i="12"/>
  <c r="L889" i="12"/>
  <c r="N889" i="12" s="1"/>
  <c r="A890" i="12"/>
  <c r="B890" i="12"/>
  <c r="C890" i="12"/>
  <c r="D890" i="12"/>
  <c r="E890" i="12"/>
  <c r="F890" i="12"/>
  <c r="G890" i="12"/>
  <c r="I890" i="12" s="1"/>
  <c r="M890" i="12" s="1"/>
  <c r="H890" i="12"/>
  <c r="J890" i="12"/>
  <c r="K890" i="12"/>
  <c r="A891" i="12"/>
  <c r="B891" i="12"/>
  <c r="C891" i="12"/>
  <c r="D891" i="12"/>
  <c r="E891" i="12"/>
  <c r="F891" i="12"/>
  <c r="G891" i="12"/>
  <c r="H891" i="12"/>
  <c r="I891" i="12" s="1"/>
  <c r="M891" i="12" s="1"/>
  <c r="J891" i="12"/>
  <c r="K891" i="12"/>
  <c r="L891" i="12"/>
  <c r="N891" i="12" s="1"/>
  <c r="A892" i="12"/>
  <c r="B892" i="12"/>
  <c r="C892" i="12"/>
  <c r="D892" i="12"/>
  <c r="E892" i="12"/>
  <c r="F892" i="12"/>
  <c r="G892" i="12"/>
  <c r="I892" i="12" s="1"/>
  <c r="M892" i="12" s="1"/>
  <c r="H892" i="12"/>
  <c r="J892" i="12"/>
  <c r="K892" i="12"/>
  <c r="A893" i="12"/>
  <c r="B893" i="12"/>
  <c r="C893" i="12"/>
  <c r="D893" i="12"/>
  <c r="E893" i="12"/>
  <c r="F893" i="12"/>
  <c r="G893" i="12"/>
  <c r="H893" i="12"/>
  <c r="I893" i="12" s="1"/>
  <c r="M893" i="12" s="1"/>
  <c r="J893" i="12"/>
  <c r="K893" i="12"/>
  <c r="L893" i="12"/>
  <c r="N893" i="12" s="1"/>
  <c r="A894" i="12"/>
  <c r="B894" i="12"/>
  <c r="C894" i="12"/>
  <c r="D894" i="12"/>
  <c r="E894" i="12"/>
  <c r="F894" i="12"/>
  <c r="G894" i="12"/>
  <c r="I894" i="12" s="1"/>
  <c r="M894" i="12" s="1"/>
  <c r="H894" i="12"/>
  <c r="J894" i="12"/>
  <c r="K894" i="12"/>
  <c r="A895" i="12"/>
  <c r="B895" i="12"/>
  <c r="C895" i="12"/>
  <c r="D895" i="12"/>
  <c r="E895" i="12"/>
  <c r="F895" i="12"/>
  <c r="G895" i="12"/>
  <c r="H895" i="12"/>
  <c r="I895" i="12" s="1"/>
  <c r="M895" i="12" s="1"/>
  <c r="J895" i="12"/>
  <c r="K895" i="12"/>
  <c r="L895" i="12"/>
  <c r="N895" i="12" s="1"/>
  <c r="A896" i="12"/>
  <c r="B896" i="12"/>
  <c r="C896" i="12"/>
  <c r="D896" i="12"/>
  <c r="E896" i="12"/>
  <c r="F896" i="12"/>
  <c r="G896" i="12"/>
  <c r="I896" i="12" s="1"/>
  <c r="M896" i="12" s="1"/>
  <c r="H896" i="12"/>
  <c r="J896" i="12"/>
  <c r="K896" i="12"/>
  <c r="A897" i="12"/>
  <c r="B897" i="12"/>
  <c r="C897" i="12"/>
  <c r="D897" i="12"/>
  <c r="E897" i="12"/>
  <c r="F897" i="12"/>
  <c r="G897" i="12"/>
  <c r="H897" i="12"/>
  <c r="I897" i="12" s="1"/>
  <c r="M897" i="12" s="1"/>
  <c r="J897" i="12"/>
  <c r="K897" i="12"/>
  <c r="L897" i="12"/>
  <c r="N897" i="12" s="1"/>
  <c r="A898" i="12"/>
  <c r="B898" i="12"/>
  <c r="C898" i="12"/>
  <c r="D898" i="12"/>
  <c r="E898" i="12"/>
  <c r="F898" i="12"/>
  <c r="G898" i="12"/>
  <c r="I898" i="12" s="1"/>
  <c r="M898" i="12" s="1"/>
  <c r="H898" i="12"/>
  <c r="J898" i="12"/>
  <c r="K898" i="12"/>
  <c r="A899" i="12"/>
  <c r="B899" i="12"/>
  <c r="C899" i="12"/>
  <c r="D899" i="12"/>
  <c r="E899" i="12"/>
  <c r="F899" i="12"/>
  <c r="G899" i="12"/>
  <c r="H899" i="12"/>
  <c r="I899" i="12" s="1"/>
  <c r="M899" i="12" s="1"/>
  <c r="J899" i="12"/>
  <c r="K899" i="12"/>
  <c r="L899" i="12"/>
  <c r="N899" i="12" s="1"/>
  <c r="A900" i="12"/>
  <c r="B900" i="12"/>
  <c r="C900" i="12"/>
  <c r="D900" i="12"/>
  <c r="E900" i="12"/>
  <c r="F900" i="12"/>
  <c r="G900" i="12"/>
  <c r="I900" i="12" s="1"/>
  <c r="M900" i="12" s="1"/>
  <c r="H900" i="12"/>
  <c r="J900" i="12"/>
  <c r="K900" i="12"/>
  <c r="A901" i="12"/>
  <c r="B901" i="12"/>
  <c r="C901" i="12"/>
  <c r="D901" i="12"/>
  <c r="E901" i="12"/>
  <c r="F901" i="12"/>
  <c r="G901" i="12"/>
  <c r="H901" i="12"/>
  <c r="I901" i="12" s="1"/>
  <c r="M901" i="12" s="1"/>
  <c r="J901" i="12"/>
  <c r="K901" i="12"/>
  <c r="L901" i="12"/>
  <c r="N901" i="12" s="1"/>
  <c r="A902" i="12"/>
  <c r="B902" i="12"/>
  <c r="C902" i="12"/>
  <c r="D902" i="12"/>
  <c r="E902" i="12"/>
  <c r="F902" i="12"/>
  <c r="G902" i="12"/>
  <c r="I902" i="12" s="1"/>
  <c r="M902" i="12" s="1"/>
  <c r="H902" i="12"/>
  <c r="J902" i="12"/>
  <c r="K902" i="12"/>
  <c r="A903" i="12"/>
  <c r="B903" i="12"/>
  <c r="C903" i="12"/>
  <c r="D903" i="12"/>
  <c r="E903" i="12"/>
  <c r="F903" i="12"/>
  <c r="G903" i="12"/>
  <c r="H903" i="12"/>
  <c r="I903" i="12" s="1"/>
  <c r="M903" i="12" s="1"/>
  <c r="J903" i="12"/>
  <c r="K903" i="12"/>
  <c r="L903" i="12"/>
  <c r="N903" i="12" s="1"/>
  <c r="A904" i="12"/>
  <c r="B904" i="12"/>
  <c r="C904" i="12"/>
  <c r="D904" i="12"/>
  <c r="E904" i="12"/>
  <c r="F904" i="12"/>
  <c r="G904" i="12"/>
  <c r="I904" i="12" s="1"/>
  <c r="M904" i="12" s="1"/>
  <c r="H904" i="12"/>
  <c r="J904" i="12"/>
  <c r="K904" i="12"/>
  <c r="A905" i="12"/>
  <c r="B905" i="12"/>
  <c r="C905" i="12"/>
  <c r="D905" i="12"/>
  <c r="E905" i="12"/>
  <c r="F905" i="12"/>
  <c r="G905" i="12"/>
  <c r="H905" i="12"/>
  <c r="I905" i="12" s="1"/>
  <c r="M905" i="12" s="1"/>
  <c r="J905" i="12"/>
  <c r="K905" i="12"/>
  <c r="L905" i="12"/>
  <c r="N905" i="12" s="1"/>
  <c r="A906" i="12"/>
  <c r="B906" i="12"/>
  <c r="C906" i="12"/>
  <c r="D906" i="12"/>
  <c r="E906" i="12"/>
  <c r="F906" i="12"/>
  <c r="G906" i="12"/>
  <c r="I906" i="12" s="1"/>
  <c r="M906" i="12" s="1"/>
  <c r="H906" i="12"/>
  <c r="J906" i="12"/>
  <c r="K906" i="12"/>
  <c r="A907" i="12"/>
  <c r="B907" i="12"/>
  <c r="C907" i="12"/>
  <c r="D907" i="12"/>
  <c r="E907" i="12"/>
  <c r="F907" i="12"/>
  <c r="G907" i="12"/>
  <c r="H907" i="12"/>
  <c r="I907" i="12" s="1"/>
  <c r="M907" i="12" s="1"/>
  <c r="J907" i="12"/>
  <c r="K907" i="12"/>
  <c r="L907" i="12"/>
  <c r="N907" i="12" s="1"/>
  <c r="A908" i="12"/>
  <c r="B908" i="12"/>
  <c r="C908" i="12"/>
  <c r="D908" i="12"/>
  <c r="E908" i="12"/>
  <c r="F908" i="12"/>
  <c r="G908" i="12"/>
  <c r="I908" i="12" s="1"/>
  <c r="M908" i="12" s="1"/>
  <c r="H908" i="12"/>
  <c r="J908" i="12"/>
  <c r="K908" i="12"/>
  <c r="A909" i="12"/>
  <c r="B909" i="12"/>
  <c r="C909" i="12"/>
  <c r="D909" i="12"/>
  <c r="E909" i="12"/>
  <c r="F909" i="12"/>
  <c r="G909" i="12"/>
  <c r="H909" i="12"/>
  <c r="I909" i="12" s="1"/>
  <c r="M909" i="12" s="1"/>
  <c r="J909" i="12"/>
  <c r="K909" i="12"/>
  <c r="L909" i="12"/>
  <c r="N909" i="12" s="1"/>
  <c r="A910" i="12"/>
  <c r="B910" i="12"/>
  <c r="C910" i="12"/>
  <c r="D910" i="12"/>
  <c r="E910" i="12"/>
  <c r="F910" i="12"/>
  <c r="G910" i="12"/>
  <c r="I910" i="12" s="1"/>
  <c r="M910" i="12" s="1"/>
  <c r="H910" i="12"/>
  <c r="J910" i="12"/>
  <c r="K910" i="12"/>
  <c r="A911" i="12"/>
  <c r="B911" i="12"/>
  <c r="C911" i="12"/>
  <c r="D911" i="12"/>
  <c r="E911" i="12"/>
  <c r="F911" i="12"/>
  <c r="G911" i="12"/>
  <c r="H911" i="12"/>
  <c r="I911" i="12" s="1"/>
  <c r="M911" i="12" s="1"/>
  <c r="J911" i="12"/>
  <c r="K911" i="12"/>
  <c r="L911" i="12"/>
  <c r="N911" i="12" s="1"/>
  <c r="A912" i="12"/>
  <c r="B912" i="12"/>
  <c r="C912" i="12"/>
  <c r="D912" i="12"/>
  <c r="E912" i="12"/>
  <c r="F912" i="12"/>
  <c r="G912" i="12"/>
  <c r="I912" i="12" s="1"/>
  <c r="M912" i="12" s="1"/>
  <c r="H912" i="12"/>
  <c r="J912" i="12"/>
  <c r="K912" i="12"/>
  <c r="A913" i="12"/>
  <c r="B913" i="12"/>
  <c r="C913" i="12"/>
  <c r="D913" i="12"/>
  <c r="E913" i="12"/>
  <c r="F913" i="12"/>
  <c r="G913" i="12"/>
  <c r="H913" i="12"/>
  <c r="I913" i="12" s="1"/>
  <c r="M913" i="12" s="1"/>
  <c r="J913" i="12"/>
  <c r="K913" i="12"/>
  <c r="L913" i="12"/>
  <c r="N913" i="12" s="1"/>
  <c r="A914" i="12"/>
  <c r="B914" i="12"/>
  <c r="C914" i="12"/>
  <c r="D914" i="12"/>
  <c r="E914" i="12"/>
  <c r="F914" i="12"/>
  <c r="G914" i="12"/>
  <c r="I914" i="12" s="1"/>
  <c r="M914" i="12" s="1"/>
  <c r="H914" i="12"/>
  <c r="J914" i="12"/>
  <c r="K914" i="12"/>
  <c r="A915" i="12"/>
  <c r="B915" i="12"/>
  <c r="C915" i="12"/>
  <c r="D915" i="12"/>
  <c r="E915" i="12"/>
  <c r="F915" i="12"/>
  <c r="G915" i="12"/>
  <c r="H915" i="12"/>
  <c r="I915" i="12"/>
  <c r="M915" i="12" s="1"/>
  <c r="J915" i="12"/>
  <c r="K915" i="12"/>
  <c r="L915" i="12" s="1"/>
  <c r="N915" i="12" s="1"/>
  <c r="A916" i="12"/>
  <c r="B916" i="12"/>
  <c r="C916" i="12"/>
  <c r="D916" i="12"/>
  <c r="E916" i="12"/>
  <c r="F916" i="12"/>
  <c r="G916" i="12"/>
  <c r="H916" i="12"/>
  <c r="I916" i="12"/>
  <c r="M916" i="12" s="1"/>
  <c r="J916" i="12"/>
  <c r="L916" i="12" s="1"/>
  <c r="K916" i="12"/>
  <c r="N916" i="12"/>
  <c r="A917" i="12"/>
  <c r="B917" i="12"/>
  <c r="C917" i="12"/>
  <c r="D917" i="12"/>
  <c r="E917" i="12"/>
  <c r="F917" i="12"/>
  <c r="G917" i="12"/>
  <c r="H917" i="12"/>
  <c r="J917" i="12"/>
  <c r="K917" i="12"/>
  <c r="L917" i="12"/>
  <c r="N917" i="12" s="1"/>
  <c r="A918" i="12"/>
  <c r="B918" i="12"/>
  <c r="C918" i="12"/>
  <c r="D918" i="12"/>
  <c r="E918" i="12"/>
  <c r="F918" i="12"/>
  <c r="G918" i="12"/>
  <c r="I918" i="12" s="1"/>
  <c r="M918" i="12" s="1"/>
  <c r="H918" i="12"/>
  <c r="J918" i="12"/>
  <c r="K918" i="12"/>
  <c r="A919" i="12"/>
  <c r="B919" i="12"/>
  <c r="C919" i="12"/>
  <c r="D919" i="12"/>
  <c r="E919" i="12"/>
  <c r="F919" i="12"/>
  <c r="G919" i="12"/>
  <c r="H919" i="12"/>
  <c r="I919" i="12"/>
  <c r="J919" i="12"/>
  <c r="K919" i="12"/>
  <c r="L919" i="12" s="1"/>
  <c r="N919" i="12" s="1"/>
  <c r="M919" i="12"/>
  <c r="A920" i="12"/>
  <c r="B920" i="12"/>
  <c r="C920" i="12"/>
  <c r="D920" i="12"/>
  <c r="E920" i="12"/>
  <c r="F920" i="12"/>
  <c r="G920" i="12"/>
  <c r="H920" i="12"/>
  <c r="I920" i="12"/>
  <c r="J920" i="12"/>
  <c r="L920" i="12" s="1"/>
  <c r="K920" i="12"/>
  <c r="M920" i="12"/>
  <c r="N920" i="12"/>
  <c r="A921" i="12"/>
  <c r="B921" i="12"/>
  <c r="C921" i="12"/>
  <c r="D921" i="12"/>
  <c r="E921" i="12"/>
  <c r="F921" i="12"/>
  <c r="G921" i="12"/>
  <c r="I921" i="12" s="1"/>
  <c r="M921" i="12" s="1"/>
  <c r="H921" i="12"/>
  <c r="J921" i="12"/>
  <c r="K921" i="12"/>
  <c r="L921" i="12"/>
  <c r="N921" i="12" s="1"/>
  <c r="A922" i="12"/>
  <c r="B922" i="12"/>
  <c r="C922" i="12"/>
  <c r="D922" i="12"/>
  <c r="E922" i="12"/>
  <c r="F922" i="12"/>
  <c r="G922" i="12"/>
  <c r="I922" i="12" s="1"/>
  <c r="M922" i="12" s="1"/>
  <c r="H922" i="12"/>
  <c r="J922" i="12"/>
  <c r="K922" i="12"/>
  <c r="A923" i="12"/>
  <c r="B923" i="12"/>
  <c r="C923" i="12"/>
  <c r="D923" i="12"/>
  <c r="E923" i="12"/>
  <c r="F923" i="12"/>
  <c r="G923" i="12"/>
  <c r="H923" i="12"/>
  <c r="I923" i="12"/>
  <c r="M923" i="12" s="1"/>
  <c r="J923" i="12"/>
  <c r="K923" i="12"/>
  <c r="L923" i="12" s="1"/>
  <c r="N923" i="12" s="1"/>
  <c r="A924" i="12"/>
  <c r="B924" i="12"/>
  <c r="C924" i="12"/>
  <c r="D924" i="12"/>
  <c r="E924" i="12"/>
  <c r="F924" i="12"/>
  <c r="G924" i="12"/>
  <c r="H924" i="12"/>
  <c r="I924" i="12"/>
  <c r="M924" i="12" s="1"/>
  <c r="J924" i="12"/>
  <c r="L924" i="12" s="1"/>
  <c r="K924" i="12"/>
  <c r="N924" i="12"/>
  <c r="A925" i="12"/>
  <c r="B925" i="12"/>
  <c r="C925" i="12"/>
  <c r="D925" i="12"/>
  <c r="E925" i="12"/>
  <c r="F925" i="12"/>
  <c r="G925" i="12"/>
  <c r="H925" i="12"/>
  <c r="J925" i="12"/>
  <c r="K925" i="12"/>
  <c r="L925" i="12"/>
  <c r="N925" i="12" s="1"/>
  <c r="A926" i="12"/>
  <c r="B926" i="12"/>
  <c r="C926" i="12"/>
  <c r="D926" i="12"/>
  <c r="E926" i="12"/>
  <c r="F926" i="12"/>
  <c r="G926" i="12"/>
  <c r="I926" i="12" s="1"/>
  <c r="M926" i="12" s="1"/>
  <c r="H926" i="12"/>
  <c r="J926" i="12"/>
  <c r="K926" i="12"/>
  <c r="A927" i="12"/>
  <c r="B927" i="12"/>
  <c r="C927" i="12"/>
  <c r="D927" i="12"/>
  <c r="E927" i="12"/>
  <c r="F927" i="12"/>
  <c r="G927" i="12"/>
  <c r="H927" i="12"/>
  <c r="I927" i="12"/>
  <c r="J927" i="12"/>
  <c r="K927" i="12"/>
  <c r="L927" i="12" s="1"/>
  <c r="N927" i="12" s="1"/>
  <c r="M927" i="12"/>
  <c r="A928" i="12"/>
  <c r="B928" i="12"/>
  <c r="C928" i="12"/>
  <c r="D928" i="12"/>
  <c r="E928" i="12"/>
  <c r="F928" i="12"/>
  <c r="G928" i="12"/>
  <c r="H928" i="12"/>
  <c r="I928" i="12"/>
  <c r="J928" i="12"/>
  <c r="L928" i="12" s="1"/>
  <c r="K928" i="12"/>
  <c r="M928" i="12"/>
  <c r="N928" i="12"/>
  <c r="A929" i="12"/>
  <c r="B929" i="12"/>
  <c r="C929" i="12"/>
  <c r="D929" i="12"/>
  <c r="E929" i="12"/>
  <c r="F929" i="12"/>
  <c r="G929" i="12"/>
  <c r="I929" i="12" s="1"/>
  <c r="M929" i="12" s="1"/>
  <c r="H929" i="12"/>
  <c r="J929" i="12"/>
  <c r="K929" i="12"/>
  <c r="L929" i="12"/>
  <c r="N929" i="12" s="1"/>
  <c r="A930" i="12"/>
  <c r="B930" i="12"/>
  <c r="C930" i="12"/>
  <c r="D930" i="12"/>
  <c r="E930" i="12"/>
  <c r="F930" i="12"/>
  <c r="G930" i="12"/>
  <c r="I930" i="12" s="1"/>
  <c r="M930" i="12" s="1"/>
  <c r="H930" i="12"/>
  <c r="J930" i="12"/>
  <c r="K930" i="12"/>
  <c r="A931" i="12"/>
  <c r="B931" i="12"/>
  <c r="C931" i="12"/>
  <c r="D931" i="12"/>
  <c r="E931" i="12"/>
  <c r="F931" i="12"/>
  <c r="G931" i="12"/>
  <c r="H931" i="12"/>
  <c r="I931" i="12"/>
  <c r="M931" i="12" s="1"/>
  <c r="J931" i="12"/>
  <c r="K931" i="12"/>
  <c r="L931" i="12" s="1"/>
  <c r="N931" i="12" s="1"/>
  <c r="A932" i="12"/>
  <c r="B932" i="12"/>
  <c r="C932" i="12"/>
  <c r="D932" i="12"/>
  <c r="E932" i="12"/>
  <c r="F932" i="12"/>
  <c r="G932" i="12"/>
  <c r="H932" i="12"/>
  <c r="I932" i="12"/>
  <c r="M932" i="12" s="1"/>
  <c r="J932" i="12"/>
  <c r="L932" i="12" s="1"/>
  <c r="K932" i="12"/>
  <c r="N932" i="12"/>
  <c r="A933" i="12"/>
  <c r="B933" i="12"/>
  <c r="C933" i="12"/>
  <c r="D933" i="12"/>
  <c r="E933" i="12"/>
  <c r="F933" i="12"/>
  <c r="G933" i="12"/>
  <c r="H933" i="12"/>
  <c r="J933" i="12"/>
  <c r="K933" i="12"/>
  <c r="L933" i="12"/>
  <c r="N933" i="12" s="1"/>
  <c r="A934" i="12"/>
  <c r="B934" i="12"/>
  <c r="C934" i="12"/>
  <c r="D934" i="12"/>
  <c r="E934" i="12"/>
  <c r="F934" i="12"/>
  <c r="G934" i="12"/>
  <c r="I934" i="12" s="1"/>
  <c r="M934" i="12" s="1"/>
  <c r="H934" i="12"/>
  <c r="J934" i="12"/>
  <c r="K934" i="12"/>
  <c r="A935" i="12"/>
  <c r="B935" i="12"/>
  <c r="C935" i="12"/>
  <c r="D935" i="12"/>
  <c r="E935" i="12"/>
  <c r="F935" i="12"/>
  <c r="G935" i="12"/>
  <c r="H935" i="12"/>
  <c r="I935" i="12"/>
  <c r="J935" i="12"/>
  <c r="K935" i="12"/>
  <c r="L935" i="12" s="1"/>
  <c r="N935" i="12" s="1"/>
  <c r="M935" i="12"/>
  <c r="A936" i="12"/>
  <c r="B936" i="12"/>
  <c r="C936" i="12"/>
  <c r="D936" i="12"/>
  <c r="E936" i="12"/>
  <c r="F936" i="12"/>
  <c r="G936" i="12"/>
  <c r="H936" i="12"/>
  <c r="I936" i="12"/>
  <c r="J936" i="12"/>
  <c r="L936" i="12" s="1"/>
  <c r="K936" i="12"/>
  <c r="M936" i="12"/>
  <c r="N936" i="12"/>
  <c r="A937" i="12"/>
  <c r="B937" i="12"/>
  <c r="C937" i="12"/>
  <c r="D937" i="12"/>
  <c r="E937" i="12"/>
  <c r="F937" i="12"/>
  <c r="G937" i="12"/>
  <c r="I937" i="12" s="1"/>
  <c r="M937" i="12" s="1"/>
  <c r="H937" i="12"/>
  <c r="J937" i="12"/>
  <c r="K937" i="12"/>
  <c r="L937" i="12"/>
  <c r="N937" i="12" s="1"/>
  <c r="A938" i="12"/>
  <c r="B938" i="12"/>
  <c r="C938" i="12"/>
  <c r="D938" i="12"/>
  <c r="E938" i="12"/>
  <c r="F938" i="12"/>
  <c r="G938" i="12"/>
  <c r="I938" i="12" s="1"/>
  <c r="M938" i="12" s="1"/>
  <c r="H938" i="12"/>
  <c r="J938" i="12"/>
  <c r="K938" i="12"/>
  <c r="A939" i="12"/>
  <c r="B939" i="12"/>
  <c r="C939" i="12"/>
  <c r="D939" i="12"/>
  <c r="E939" i="12"/>
  <c r="F939" i="12"/>
  <c r="G939" i="12"/>
  <c r="H939" i="12"/>
  <c r="I939" i="12"/>
  <c r="M939" i="12" s="1"/>
  <c r="J939" i="12"/>
  <c r="K939" i="12"/>
  <c r="L939" i="12" s="1"/>
  <c r="N939" i="12" s="1"/>
  <c r="A940" i="12"/>
  <c r="B940" i="12"/>
  <c r="C940" i="12"/>
  <c r="D940" i="12"/>
  <c r="E940" i="12"/>
  <c r="F940" i="12"/>
  <c r="G940" i="12"/>
  <c r="H940" i="12"/>
  <c r="I940" i="12"/>
  <c r="M940" i="12" s="1"/>
  <c r="J940" i="12"/>
  <c r="L940" i="12" s="1"/>
  <c r="K940" i="12"/>
  <c r="N940" i="12"/>
  <c r="A941" i="12"/>
  <c r="B941" i="12"/>
  <c r="C941" i="12"/>
  <c r="D941" i="12"/>
  <c r="E941" i="12"/>
  <c r="F941" i="12"/>
  <c r="G941" i="12"/>
  <c r="H941" i="12"/>
  <c r="J941" i="12"/>
  <c r="K941" i="12"/>
  <c r="L941" i="12"/>
  <c r="N941" i="12" s="1"/>
  <c r="A942" i="12"/>
  <c r="B942" i="12"/>
  <c r="C942" i="12"/>
  <c r="D942" i="12"/>
  <c r="E942" i="12"/>
  <c r="F942" i="12"/>
  <c r="G942" i="12"/>
  <c r="I942" i="12" s="1"/>
  <c r="M942" i="12" s="1"/>
  <c r="H942" i="12"/>
  <c r="J942" i="12"/>
  <c r="K942" i="12"/>
  <c r="A943" i="12"/>
  <c r="B943" i="12"/>
  <c r="C943" i="12"/>
  <c r="D943" i="12"/>
  <c r="E943" i="12"/>
  <c r="F943" i="12"/>
  <c r="G943" i="12"/>
  <c r="H943" i="12"/>
  <c r="I943" i="12"/>
  <c r="J943" i="12"/>
  <c r="K943" i="12"/>
  <c r="L943" i="12" s="1"/>
  <c r="N943" i="12" s="1"/>
  <c r="M943" i="12"/>
  <c r="A944" i="12"/>
  <c r="B944" i="12"/>
  <c r="C944" i="12"/>
  <c r="D944" i="12"/>
  <c r="E944" i="12"/>
  <c r="F944" i="12"/>
  <c r="G944" i="12"/>
  <c r="H944" i="12"/>
  <c r="I944" i="12"/>
  <c r="J944" i="12"/>
  <c r="L944" i="12" s="1"/>
  <c r="K944" i="12"/>
  <c r="M944" i="12"/>
  <c r="N944" i="12"/>
  <c r="A945" i="12"/>
  <c r="B945" i="12"/>
  <c r="C945" i="12"/>
  <c r="D945" i="12"/>
  <c r="E945" i="12"/>
  <c r="F945" i="12"/>
  <c r="G945" i="12"/>
  <c r="I945" i="12" s="1"/>
  <c r="M945" i="12" s="1"/>
  <c r="H945" i="12"/>
  <c r="J945" i="12"/>
  <c r="K945" i="12"/>
  <c r="L945" i="12"/>
  <c r="N945" i="12" s="1"/>
  <c r="A946" i="12"/>
  <c r="B946" i="12"/>
  <c r="C946" i="12"/>
  <c r="D946" i="12"/>
  <c r="E946" i="12"/>
  <c r="F946" i="12"/>
  <c r="G946" i="12"/>
  <c r="I946" i="12" s="1"/>
  <c r="M946" i="12" s="1"/>
  <c r="H946" i="12"/>
  <c r="J946" i="12"/>
  <c r="K946" i="12"/>
  <c r="A947" i="12"/>
  <c r="B947" i="12"/>
  <c r="C947" i="12"/>
  <c r="D947" i="12"/>
  <c r="E947" i="12"/>
  <c r="F947" i="12"/>
  <c r="G947" i="12"/>
  <c r="H947" i="12"/>
  <c r="I947" i="12"/>
  <c r="M947" i="12" s="1"/>
  <c r="J947" i="12"/>
  <c r="K947" i="12"/>
  <c r="L947" i="12" s="1"/>
  <c r="N947" i="12" s="1"/>
  <c r="A948" i="12"/>
  <c r="B948" i="12"/>
  <c r="C948" i="12"/>
  <c r="D948" i="12"/>
  <c r="E948" i="12"/>
  <c r="F948" i="12"/>
  <c r="G948" i="12"/>
  <c r="H948" i="12"/>
  <c r="I948" i="12"/>
  <c r="M948" i="12" s="1"/>
  <c r="J948" i="12"/>
  <c r="L948" i="12" s="1"/>
  <c r="K948" i="12"/>
  <c r="N948" i="12"/>
  <c r="A949" i="12"/>
  <c r="B949" i="12"/>
  <c r="C949" i="12"/>
  <c r="D949" i="12"/>
  <c r="E949" i="12"/>
  <c r="F949" i="12"/>
  <c r="G949" i="12"/>
  <c r="H949" i="12"/>
  <c r="J949" i="12"/>
  <c r="K949" i="12"/>
  <c r="L949" i="12"/>
  <c r="N949" i="12" s="1"/>
  <c r="A950" i="12"/>
  <c r="B950" i="12"/>
  <c r="C950" i="12"/>
  <c r="D950" i="12"/>
  <c r="E950" i="12"/>
  <c r="F950" i="12"/>
  <c r="G950" i="12"/>
  <c r="I950" i="12" s="1"/>
  <c r="M950" i="12" s="1"/>
  <c r="H950" i="12"/>
  <c r="J950" i="12"/>
  <c r="K950" i="12"/>
  <c r="A951" i="12"/>
  <c r="B951" i="12"/>
  <c r="C951" i="12"/>
  <c r="D951" i="12"/>
  <c r="E951" i="12"/>
  <c r="F951" i="12"/>
  <c r="G951" i="12"/>
  <c r="H951" i="12"/>
  <c r="I951" i="12"/>
  <c r="J951" i="12"/>
  <c r="K951" i="12"/>
  <c r="L951" i="12" s="1"/>
  <c r="N951" i="12" s="1"/>
  <c r="M951" i="12"/>
  <c r="A952" i="12"/>
  <c r="B952" i="12"/>
  <c r="C952" i="12"/>
  <c r="D952" i="12"/>
  <c r="E952" i="12"/>
  <c r="F952" i="12"/>
  <c r="G952" i="12"/>
  <c r="H952" i="12"/>
  <c r="I952" i="12"/>
  <c r="J952" i="12"/>
  <c r="L952" i="12" s="1"/>
  <c r="K952" i="12"/>
  <c r="M952" i="12"/>
  <c r="N952" i="12"/>
  <c r="A953" i="12"/>
  <c r="B953" i="12"/>
  <c r="C953" i="12"/>
  <c r="D953" i="12"/>
  <c r="E953" i="12"/>
  <c r="F953" i="12"/>
  <c r="G953" i="12"/>
  <c r="I953" i="12" s="1"/>
  <c r="M953" i="12" s="1"/>
  <c r="H953" i="12"/>
  <c r="J953" i="12"/>
  <c r="K953" i="12"/>
  <c r="L953" i="12"/>
  <c r="N953" i="12" s="1"/>
  <c r="A954" i="12"/>
  <c r="B954" i="12"/>
  <c r="C954" i="12"/>
  <c r="D954" i="12"/>
  <c r="E954" i="12"/>
  <c r="F954" i="12"/>
  <c r="G954" i="12"/>
  <c r="I954" i="12" s="1"/>
  <c r="M954" i="12" s="1"/>
  <c r="H954" i="12"/>
  <c r="J954" i="12"/>
  <c r="K954" i="12"/>
  <c r="A955" i="12"/>
  <c r="B955" i="12"/>
  <c r="C955" i="12"/>
  <c r="D955" i="12"/>
  <c r="E955" i="12"/>
  <c r="F955" i="12"/>
  <c r="G955" i="12"/>
  <c r="H955" i="12"/>
  <c r="I955" i="12"/>
  <c r="M955" i="12" s="1"/>
  <c r="J955" i="12"/>
  <c r="K955" i="12"/>
  <c r="L955" i="12" s="1"/>
  <c r="N955" i="12" s="1"/>
  <c r="A956" i="12"/>
  <c r="B956" i="12"/>
  <c r="C956" i="12"/>
  <c r="D956" i="12"/>
  <c r="E956" i="12"/>
  <c r="F956" i="12"/>
  <c r="G956" i="12"/>
  <c r="H956" i="12"/>
  <c r="I956" i="12"/>
  <c r="M956" i="12" s="1"/>
  <c r="J956" i="12"/>
  <c r="L956" i="12" s="1"/>
  <c r="K956" i="12"/>
  <c r="N956" i="12"/>
  <c r="A957" i="12"/>
  <c r="B957" i="12"/>
  <c r="C957" i="12"/>
  <c r="D957" i="12"/>
  <c r="E957" i="12"/>
  <c r="F957" i="12"/>
  <c r="G957" i="12"/>
  <c r="H957" i="12"/>
  <c r="J957" i="12"/>
  <c r="K957" i="12"/>
  <c r="L957" i="12"/>
  <c r="N957" i="12" s="1"/>
  <c r="A958" i="12"/>
  <c r="B958" i="12"/>
  <c r="C958" i="12"/>
  <c r="D958" i="12"/>
  <c r="E958" i="12"/>
  <c r="F958" i="12"/>
  <c r="G958" i="12"/>
  <c r="I958" i="12" s="1"/>
  <c r="M958" i="12" s="1"/>
  <c r="H958" i="12"/>
  <c r="J958" i="12"/>
  <c r="K958" i="12"/>
  <c r="A959" i="12"/>
  <c r="B959" i="12"/>
  <c r="C959" i="12"/>
  <c r="D959" i="12"/>
  <c r="E959" i="12"/>
  <c r="F959" i="12"/>
  <c r="G959" i="12"/>
  <c r="H959" i="12"/>
  <c r="I959" i="12"/>
  <c r="J959" i="12"/>
  <c r="K959" i="12"/>
  <c r="L959" i="12" s="1"/>
  <c r="N959" i="12" s="1"/>
  <c r="M959" i="12"/>
  <c r="A960" i="12"/>
  <c r="B960" i="12"/>
  <c r="C960" i="12"/>
  <c r="D960" i="12"/>
  <c r="E960" i="12"/>
  <c r="F960" i="12"/>
  <c r="G960" i="12"/>
  <c r="H960" i="12"/>
  <c r="I960" i="12"/>
  <c r="J960" i="12"/>
  <c r="L960" i="12" s="1"/>
  <c r="K960" i="12"/>
  <c r="M960" i="12"/>
  <c r="N960" i="12"/>
  <c r="A961" i="12"/>
  <c r="B961" i="12"/>
  <c r="C961" i="12"/>
  <c r="D961" i="12"/>
  <c r="E961" i="12"/>
  <c r="F961" i="12"/>
  <c r="G961" i="12"/>
  <c r="I961" i="12" s="1"/>
  <c r="M961" i="12" s="1"/>
  <c r="H961" i="12"/>
  <c r="J961" i="12"/>
  <c r="K961" i="12"/>
  <c r="L961" i="12"/>
  <c r="N961" i="12" s="1"/>
  <c r="A962" i="12"/>
  <c r="B962" i="12"/>
  <c r="C962" i="12"/>
  <c r="D962" i="12"/>
  <c r="E962" i="12"/>
  <c r="F962" i="12"/>
  <c r="G962" i="12"/>
  <c r="I962" i="12" s="1"/>
  <c r="M962" i="12" s="1"/>
  <c r="H962" i="12"/>
  <c r="J962" i="12"/>
  <c r="K962" i="12"/>
  <c r="A963" i="12"/>
  <c r="B963" i="12"/>
  <c r="C963" i="12"/>
  <c r="D963" i="12"/>
  <c r="E963" i="12"/>
  <c r="F963" i="12"/>
  <c r="G963" i="12"/>
  <c r="H963" i="12"/>
  <c r="I963" i="12"/>
  <c r="M963" i="12" s="1"/>
  <c r="J963" i="12"/>
  <c r="K963" i="12"/>
  <c r="L963" i="12" s="1"/>
  <c r="N963" i="12" s="1"/>
  <c r="A964" i="12"/>
  <c r="B964" i="12"/>
  <c r="C964" i="12"/>
  <c r="D964" i="12"/>
  <c r="E964" i="12"/>
  <c r="F964" i="12"/>
  <c r="G964" i="12"/>
  <c r="H964" i="12"/>
  <c r="I964" i="12"/>
  <c r="M964" i="12" s="1"/>
  <c r="J964" i="12"/>
  <c r="L964" i="12" s="1"/>
  <c r="K964" i="12"/>
  <c r="N964" i="12"/>
  <c r="A965" i="12"/>
  <c r="B965" i="12"/>
  <c r="C965" i="12"/>
  <c r="D965" i="12"/>
  <c r="E965" i="12"/>
  <c r="F965" i="12"/>
  <c r="G965" i="12"/>
  <c r="H965" i="12"/>
  <c r="J965" i="12"/>
  <c r="K965" i="12"/>
  <c r="L965" i="12"/>
  <c r="N965" i="12" s="1"/>
  <c r="A966" i="12"/>
  <c r="B966" i="12"/>
  <c r="C966" i="12"/>
  <c r="D966" i="12"/>
  <c r="E966" i="12"/>
  <c r="F966" i="12"/>
  <c r="G966" i="12"/>
  <c r="I966" i="12" s="1"/>
  <c r="M966" i="12" s="1"/>
  <c r="H966" i="12"/>
  <c r="J966" i="12"/>
  <c r="K966" i="12"/>
  <c r="A967" i="12"/>
  <c r="B967" i="12"/>
  <c r="C967" i="12"/>
  <c r="D967" i="12"/>
  <c r="E967" i="12"/>
  <c r="F967" i="12"/>
  <c r="G967" i="12"/>
  <c r="H967" i="12"/>
  <c r="I967" i="12"/>
  <c r="J967" i="12"/>
  <c r="K967" i="12"/>
  <c r="L967" i="12" s="1"/>
  <c r="N967" i="12" s="1"/>
  <c r="M967" i="12"/>
  <c r="A968" i="12"/>
  <c r="B968" i="12"/>
  <c r="C968" i="12"/>
  <c r="D968" i="12"/>
  <c r="E968" i="12"/>
  <c r="F968" i="12"/>
  <c r="G968" i="12"/>
  <c r="H968" i="12"/>
  <c r="I968" i="12"/>
  <c r="J968" i="12"/>
  <c r="L968" i="12" s="1"/>
  <c r="K968" i="12"/>
  <c r="M968" i="12"/>
  <c r="N968" i="12"/>
  <c r="A969" i="12"/>
  <c r="B969" i="12"/>
  <c r="C969" i="12"/>
  <c r="D969" i="12"/>
  <c r="E969" i="12"/>
  <c r="F969" i="12"/>
  <c r="G969" i="12"/>
  <c r="I969" i="12" s="1"/>
  <c r="M969" i="12" s="1"/>
  <c r="H969" i="12"/>
  <c r="J969" i="12"/>
  <c r="K969" i="12"/>
  <c r="L969" i="12"/>
  <c r="N969" i="12" s="1"/>
  <c r="A970" i="12"/>
  <c r="B970" i="12"/>
  <c r="C970" i="12"/>
  <c r="D970" i="12"/>
  <c r="E970" i="12"/>
  <c r="F970" i="12"/>
  <c r="G970" i="12"/>
  <c r="I970" i="12" s="1"/>
  <c r="M970" i="12" s="1"/>
  <c r="H970" i="12"/>
  <c r="J970" i="12"/>
  <c r="K970" i="12"/>
  <c r="A971" i="12"/>
  <c r="B971" i="12"/>
  <c r="C971" i="12"/>
  <c r="D971" i="12"/>
  <c r="E971" i="12"/>
  <c r="F971" i="12"/>
  <c r="G971" i="12"/>
  <c r="H971" i="12"/>
  <c r="I971" i="12"/>
  <c r="M971" i="12" s="1"/>
  <c r="J971" i="12"/>
  <c r="K971" i="12"/>
  <c r="L971" i="12" s="1"/>
  <c r="N971" i="12" s="1"/>
  <c r="A972" i="12"/>
  <c r="B972" i="12"/>
  <c r="C972" i="12"/>
  <c r="D972" i="12"/>
  <c r="E972" i="12"/>
  <c r="F972" i="12"/>
  <c r="G972" i="12"/>
  <c r="H972" i="12"/>
  <c r="I972" i="12"/>
  <c r="M972" i="12" s="1"/>
  <c r="J972" i="12"/>
  <c r="L972" i="12" s="1"/>
  <c r="K972" i="12"/>
  <c r="N972" i="12"/>
  <c r="A973" i="12"/>
  <c r="B973" i="12"/>
  <c r="C973" i="12"/>
  <c r="D973" i="12"/>
  <c r="E973" i="12"/>
  <c r="F973" i="12"/>
  <c r="G973" i="12"/>
  <c r="H973" i="12"/>
  <c r="J973" i="12"/>
  <c r="K973" i="12"/>
  <c r="L973" i="12"/>
  <c r="N973" i="12" s="1"/>
  <c r="A974" i="12"/>
  <c r="B974" i="12"/>
  <c r="C974" i="12"/>
  <c r="D974" i="12"/>
  <c r="E974" i="12"/>
  <c r="F974" i="12"/>
  <c r="G974" i="12"/>
  <c r="I974" i="12" s="1"/>
  <c r="M974" i="12" s="1"/>
  <c r="H974" i="12"/>
  <c r="J974" i="12"/>
  <c r="K974" i="12"/>
  <c r="A975" i="12"/>
  <c r="B975" i="12"/>
  <c r="C975" i="12"/>
  <c r="D975" i="12"/>
  <c r="E975" i="12"/>
  <c r="F975" i="12"/>
  <c r="G975" i="12"/>
  <c r="H975" i="12"/>
  <c r="I975" i="12"/>
  <c r="J975" i="12"/>
  <c r="K975" i="12"/>
  <c r="L975" i="12" s="1"/>
  <c r="N975" i="12" s="1"/>
  <c r="M975" i="12"/>
  <c r="A976" i="12"/>
  <c r="B976" i="12"/>
  <c r="C976" i="12"/>
  <c r="D976" i="12"/>
  <c r="E976" i="12"/>
  <c r="F976" i="12"/>
  <c r="G976" i="12"/>
  <c r="H976" i="12"/>
  <c r="I976" i="12"/>
  <c r="J976" i="12"/>
  <c r="L976" i="12" s="1"/>
  <c r="K976" i="12"/>
  <c r="M976" i="12"/>
  <c r="N976" i="12"/>
  <c r="A977" i="12"/>
  <c r="B977" i="12"/>
  <c r="C977" i="12"/>
  <c r="D977" i="12"/>
  <c r="E977" i="12"/>
  <c r="F977" i="12"/>
  <c r="G977" i="12"/>
  <c r="I977" i="12" s="1"/>
  <c r="M977" i="12" s="1"/>
  <c r="H977" i="12"/>
  <c r="J977" i="12"/>
  <c r="K977" i="12"/>
  <c r="L977" i="12"/>
  <c r="N977" i="12" s="1"/>
  <c r="A978" i="12"/>
  <c r="B978" i="12"/>
  <c r="C978" i="12"/>
  <c r="D978" i="12"/>
  <c r="E978" i="12"/>
  <c r="F978" i="12"/>
  <c r="G978" i="12"/>
  <c r="I978" i="12" s="1"/>
  <c r="M978" i="12" s="1"/>
  <c r="H978" i="12"/>
  <c r="J978" i="12"/>
  <c r="K978" i="12"/>
  <c r="A979" i="12"/>
  <c r="B979" i="12"/>
  <c r="C979" i="12"/>
  <c r="D979" i="12"/>
  <c r="E979" i="12"/>
  <c r="F979" i="12"/>
  <c r="G979" i="12"/>
  <c r="H979" i="12"/>
  <c r="I979" i="12"/>
  <c r="M979" i="12" s="1"/>
  <c r="J979" i="12"/>
  <c r="K979" i="12"/>
  <c r="L979" i="12" s="1"/>
  <c r="N979" i="12" s="1"/>
  <c r="A980" i="12"/>
  <c r="B980" i="12"/>
  <c r="C980" i="12"/>
  <c r="D980" i="12"/>
  <c r="E980" i="12"/>
  <c r="F980" i="12"/>
  <c r="G980" i="12"/>
  <c r="H980" i="12"/>
  <c r="I980" i="12"/>
  <c r="M980" i="12" s="1"/>
  <c r="J980" i="12"/>
  <c r="L980" i="12" s="1"/>
  <c r="K980" i="12"/>
  <c r="N980" i="12"/>
  <c r="A981" i="12"/>
  <c r="B981" i="12"/>
  <c r="C981" i="12"/>
  <c r="D981" i="12"/>
  <c r="E981" i="12"/>
  <c r="F981" i="12"/>
  <c r="G981" i="12"/>
  <c r="H981" i="12"/>
  <c r="J981" i="12"/>
  <c r="K981" i="12"/>
  <c r="L981" i="12"/>
  <c r="N981" i="12" s="1"/>
  <c r="A982" i="12"/>
  <c r="B982" i="12"/>
  <c r="C982" i="12"/>
  <c r="D982" i="12"/>
  <c r="E982" i="12"/>
  <c r="F982" i="12"/>
  <c r="G982" i="12"/>
  <c r="I982" i="12" s="1"/>
  <c r="M982" i="12" s="1"/>
  <c r="H982" i="12"/>
  <c r="J982" i="12"/>
  <c r="K982" i="12"/>
  <c r="A983" i="12"/>
  <c r="B983" i="12"/>
  <c r="C983" i="12"/>
  <c r="D983" i="12"/>
  <c r="E983" i="12"/>
  <c r="F983" i="12"/>
  <c r="G983" i="12"/>
  <c r="H983" i="12"/>
  <c r="I983" i="12"/>
  <c r="J983" i="12"/>
  <c r="K983" i="12"/>
  <c r="L983" i="12" s="1"/>
  <c r="N983" i="12" s="1"/>
  <c r="M983" i="12"/>
  <c r="A984" i="12"/>
  <c r="B984" i="12"/>
  <c r="C984" i="12"/>
  <c r="D984" i="12"/>
  <c r="E984" i="12"/>
  <c r="F984" i="12"/>
  <c r="G984" i="12"/>
  <c r="H984" i="12"/>
  <c r="I984" i="12"/>
  <c r="J984" i="12"/>
  <c r="L984" i="12" s="1"/>
  <c r="K984" i="12"/>
  <c r="M984" i="12"/>
  <c r="N984" i="12"/>
  <c r="A985" i="12"/>
  <c r="B985" i="12"/>
  <c r="C985" i="12"/>
  <c r="D985" i="12"/>
  <c r="E985" i="12"/>
  <c r="F985" i="12"/>
  <c r="G985" i="12"/>
  <c r="I985" i="12" s="1"/>
  <c r="M985" i="12" s="1"/>
  <c r="H985" i="12"/>
  <c r="J985" i="12"/>
  <c r="K985" i="12"/>
  <c r="L985" i="12"/>
  <c r="N985" i="12" s="1"/>
  <c r="A986" i="12"/>
  <c r="B986" i="12"/>
  <c r="C986" i="12"/>
  <c r="D986" i="12"/>
  <c r="E986" i="12"/>
  <c r="F986" i="12"/>
  <c r="G986" i="12"/>
  <c r="I986" i="12" s="1"/>
  <c r="M986" i="12" s="1"/>
  <c r="H986" i="12"/>
  <c r="J986" i="12"/>
  <c r="K986" i="12"/>
  <c r="A987" i="12"/>
  <c r="B987" i="12"/>
  <c r="C987" i="12"/>
  <c r="D987" i="12"/>
  <c r="E987" i="12"/>
  <c r="F987" i="12"/>
  <c r="G987" i="12"/>
  <c r="H987" i="12"/>
  <c r="I987" i="12"/>
  <c r="M987" i="12" s="1"/>
  <c r="J987" i="12"/>
  <c r="K987" i="12"/>
  <c r="L987" i="12" s="1"/>
  <c r="N987" i="12" s="1"/>
  <c r="A988" i="12"/>
  <c r="B988" i="12"/>
  <c r="C988" i="12"/>
  <c r="D988" i="12"/>
  <c r="E988" i="12"/>
  <c r="F988" i="12"/>
  <c r="G988" i="12"/>
  <c r="H988" i="12"/>
  <c r="I988" i="12"/>
  <c r="M988" i="12" s="1"/>
  <c r="J988" i="12"/>
  <c r="L988" i="12" s="1"/>
  <c r="K988" i="12"/>
  <c r="N988" i="12"/>
  <c r="A989" i="12"/>
  <c r="B989" i="12"/>
  <c r="C989" i="12"/>
  <c r="D989" i="12"/>
  <c r="E989" i="12"/>
  <c r="F989" i="12"/>
  <c r="G989" i="12"/>
  <c r="H989" i="12"/>
  <c r="J989" i="12"/>
  <c r="K989" i="12"/>
  <c r="L989" i="12"/>
  <c r="N989" i="12" s="1"/>
  <c r="A990" i="12"/>
  <c r="B990" i="12"/>
  <c r="C990" i="12"/>
  <c r="D990" i="12"/>
  <c r="E990" i="12"/>
  <c r="F990" i="12"/>
  <c r="G990" i="12"/>
  <c r="I990" i="12" s="1"/>
  <c r="M990" i="12" s="1"/>
  <c r="H990" i="12"/>
  <c r="J990" i="12"/>
  <c r="K990" i="12"/>
  <c r="A991" i="12"/>
  <c r="B991" i="12"/>
  <c r="C991" i="12"/>
  <c r="D991" i="12"/>
  <c r="E991" i="12"/>
  <c r="F991" i="12"/>
  <c r="G991" i="12"/>
  <c r="H991" i="12"/>
  <c r="I991" i="12"/>
  <c r="J991" i="12"/>
  <c r="K991" i="12"/>
  <c r="L991" i="12" s="1"/>
  <c r="N991" i="12" s="1"/>
  <c r="M991" i="12"/>
  <c r="A992" i="12"/>
  <c r="B992" i="12"/>
  <c r="C992" i="12"/>
  <c r="D992" i="12"/>
  <c r="E992" i="12"/>
  <c r="F992" i="12"/>
  <c r="G992" i="12"/>
  <c r="H992" i="12"/>
  <c r="I992" i="12"/>
  <c r="J992" i="12"/>
  <c r="L992" i="12" s="1"/>
  <c r="K992" i="12"/>
  <c r="M992" i="12"/>
  <c r="N992" i="12"/>
  <c r="A993" i="12"/>
  <c r="B993" i="12"/>
  <c r="C993" i="12"/>
  <c r="D993" i="12"/>
  <c r="E993" i="12"/>
  <c r="F993" i="12"/>
  <c r="G993" i="12"/>
  <c r="I993" i="12" s="1"/>
  <c r="M993" i="12" s="1"/>
  <c r="H993" i="12"/>
  <c r="J993" i="12"/>
  <c r="K993" i="12"/>
  <c r="L993" i="12"/>
  <c r="N993" i="12" s="1"/>
  <c r="A994" i="12"/>
  <c r="B994" i="12"/>
  <c r="C994" i="12"/>
  <c r="D994" i="12"/>
  <c r="E994" i="12"/>
  <c r="F994" i="12"/>
  <c r="G994" i="12"/>
  <c r="I994" i="12" s="1"/>
  <c r="M994" i="12" s="1"/>
  <c r="H994" i="12"/>
  <c r="J994" i="12"/>
  <c r="K994" i="12"/>
  <c r="A995" i="12"/>
  <c r="B995" i="12"/>
  <c r="C995" i="12"/>
  <c r="D995" i="12"/>
  <c r="E995" i="12"/>
  <c r="F995" i="12"/>
  <c r="G995" i="12"/>
  <c r="H995" i="12"/>
  <c r="I995" i="12"/>
  <c r="M995" i="12" s="1"/>
  <c r="J995" i="12"/>
  <c r="K995" i="12"/>
  <c r="L995" i="12" s="1"/>
  <c r="N995" i="12" s="1"/>
  <c r="A996" i="12"/>
  <c r="B996" i="12"/>
  <c r="C996" i="12"/>
  <c r="D996" i="12"/>
  <c r="E996" i="12"/>
  <c r="F996" i="12"/>
  <c r="G996" i="12"/>
  <c r="H996" i="12"/>
  <c r="I996" i="12"/>
  <c r="M996" i="12" s="1"/>
  <c r="J996" i="12"/>
  <c r="L996" i="12" s="1"/>
  <c r="K996" i="12"/>
  <c r="N996" i="12"/>
  <c r="A997" i="12"/>
  <c r="B997" i="12"/>
  <c r="C997" i="12"/>
  <c r="D997" i="12"/>
  <c r="E997" i="12"/>
  <c r="F997" i="12"/>
  <c r="G997" i="12"/>
  <c r="H997" i="12"/>
  <c r="J997" i="12"/>
  <c r="K997" i="12"/>
  <c r="L997" i="12"/>
  <c r="N997" i="12" s="1"/>
  <c r="A998" i="12"/>
  <c r="B998" i="12"/>
  <c r="C998" i="12"/>
  <c r="D998" i="12"/>
  <c r="E998" i="12"/>
  <c r="F998" i="12"/>
  <c r="G998" i="12"/>
  <c r="I998" i="12" s="1"/>
  <c r="M998" i="12" s="1"/>
  <c r="H998" i="12"/>
  <c r="J998" i="12"/>
  <c r="K998" i="12"/>
  <c r="A999" i="12"/>
  <c r="B999" i="12"/>
  <c r="C999" i="12"/>
  <c r="D999" i="12"/>
  <c r="E999" i="12"/>
  <c r="F999" i="12"/>
  <c r="G999" i="12"/>
  <c r="H999" i="12"/>
  <c r="I999" i="12"/>
  <c r="J999" i="12"/>
  <c r="K999" i="12"/>
  <c r="L999" i="12" s="1"/>
  <c r="N999" i="12" s="1"/>
  <c r="M999" i="12"/>
  <c r="A1000" i="12"/>
  <c r="B1000" i="12"/>
  <c r="C1000" i="12"/>
  <c r="D1000" i="12"/>
  <c r="E1000" i="12"/>
  <c r="F1000" i="12"/>
  <c r="G1000" i="12"/>
  <c r="H1000" i="12"/>
  <c r="I1000" i="12"/>
  <c r="J1000" i="12"/>
  <c r="L1000" i="12" s="1"/>
  <c r="K1000" i="12"/>
  <c r="M1000" i="12"/>
  <c r="N1000" i="12"/>
  <c r="A1001" i="12"/>
  <c r="B1001" i="12"/>
  <c r="C1001" i="12"/>
  <c r="D1001" i="12"/>
  <c r="E1001" i="12"/>
  <c r="F1001" i="12"/>
  <c r="G1001" i="12"/>
  <c r="I1001" i="12" s="1"/>
  <c r="M1001" i="12" s="1"/>
  <c r="H1001" i="12"/>
  <c r="J1001" i="12"/>
  <c r="K1001" i="12"/>
  <c r="L1001" i="12"/>
  <c r="N1001" i="12" s="1"/>
  <c r="A1002" i="12"/>
  <c r="B1002" i="12"/>
  <c r="C1002" i="12"/>
  <c r="D1002" i="12"/>
  <c r="E1002" i="12"/>
  <c r="F1002" i="12"/>
  <c r="G1002" i="12"/>
  <c r="I1002" i="12" s="1"/>
  <c r="M1002" i="12" s="1"/>
  <c r="H1002" i="12"/>
  <c r="J1002" i="12"/>
  <c r="K1002" i="12"/>
  <c r="A1003" i="12"/>
  <c r="B1003" i="12"/>
  <c r="C1003" i="12"/>
  <c r="D1003" i="12"/>
  <c r="E1003" i="12"/>
  <c r="F1003" i="12"/>
  <c r="G1003" i="12"/>
  <c r="H1003" i="12"/>
  <c r="I1003" i="12"/>
  <c r="M1003" i="12" s="1"/>
  <c r="J1003" i="12"/>
  <c r="K1003" i="12"/>
  <c r="L1003" i="12" s="1"/>
  <c r="N1003" i="12" s="1"/>
  <c r="A1004" i="12"/>
  <c r="B1004" i="12"/>
  <c r="C1004" i="12"/>
  <c r="D1004" i="12"/>
  <c r="E1004" i="12"/>
  <c r="F1004" i="12"/>
  <c r="G1004" i="12"/>
  <c r="H1004" i="12"/>
  <c r="I1004" i="12"/>
  <c r="M1004" i="12" s="1"/>
  <c r="J1004" i="12"/>
  <c r="L1004" i="12" s="1"/>
  <c r="K1004" i="12"/>
  <c r="N1004" i="12"/>
  <c r="A1005" i="12"/>
  <c r="B1005" i="12"/>
  <c r="C1005" i="12"/>
  <c r="D1005" i="12"/>
  <c r="E1005" i="12"/>
  <c r="F1005" i="12"/>
  <c r="G1005" i="12"/>
  <c r="H1005" i="12"/>
  <c r="J1005" i="12"/>
  <c r="K1005" i="12"/>
  <c r="L1005" i="12"/>
  <c r="N1005" i="12" s="1"/>
  <c r="A1006" i="12"/>
  <c r="B1006" i="12"/>
  <c r="C1006" i="12"/>
  <c r="D1006" i="12"/>
  <c r="E1006" i="12"/>
  <c r="F1006" i="12"/>
  <c r="G1006" i="12"/>
  <c r="I1006" i="12" s="1"/>
  <c r="M1006" i="12" s="1"/>
  <c r="H1006" i="12"/>
  <c r="J1006" i="12"/>
  <c r="K1006" i="12"/>
  <c r="A1007" i="12"/>
  <c r="B1007" i="12"/>
  <c r="C1007" i="12"/>
  <c r="D1007" i="12"/>
  <c r="E1007" i="12"/>
  <c r="F1007" i="12"/>
  <c r="G1007" i="12"/>
  <c r="H1007" i="12"/>
  <c r="I1007" i="12"/>
  <c r="J1007" i="12"/>
  <c r="K1007" i="12"/>
  <c r="L1007" i="12" s="1"/>
  <c r="N1007" i="12" s="1"/>
  <c r="M1007" i="12"/>
  <c r="A1008" i="12"/>
  <c r="B1008" i="12"/>
  <c r="C1008" i="12"/>
  <c r="D1008" i="12"/>
  <c r="E1008" i="12"/>
  <c r="F1008" i="12"/>
  <c r="G1008" i="12"/>
  <c r="H1008" i="12"/>
  <c r="I1008" i="12"/>
  <c r="J1008" i="12"/>
  <c r="L1008" i="12" s="1"/>
  <c r="K1008" i="12"/>
  <c r="M1008" i="12"/>
  <c r="N1008" i="12"/>
  <c r="A1009" i="12"/>
  <c r="B1009" i="12"/>
  <c r="C1009" i="12"/>
  <c r="D1009" i="12"/>
  <c r="E1009" i="12"/>
  <c r="F1009" i="12"/>
  <c r="G1009" i="12"/>
  <c r="I1009" i="12" s="1"/>
  <c r="M1009" i="12" s="1"/>
  <c r="H1009" i="12"/>
  <c r="J1009" i="12"/>
  <c r="K1009" i="12"/>
  <c r="L1009" i="12"/>
  <c r="N1009" i="12" s="1"/>
  <c r="A1010" i="12"/>
  <c r="B1010" i="12"/>
  <c r="C1010" i="12"/>
  <c r="D1010" i="12"/>
  <c r="E1010" i="12"/>
  <c r="F1010" i="12"/>
  <c r="G1010" i="12"/>
  <c r="I1010" i="12" s="1"/>
  <c r="M1010" i="12" s="1"/>
  <c r="H1010" i="12"/>
  <c r="J1010" i="12"/>
  <c r="K1010" i="12"/>
  <c r="A1011" i="12"/>
  <c r="B1011" i="12"/>
  <c r="C1011" i="12"/>
  <c r="D1011" i="12"/>
  <c r="E1011" i="12"/>
  <c r="F1011" i="12"/>
  <c r="G1011" i="12"/>
  <c r="H1011" i="12"/>
  <c r="I1011" i="12"/>
  <c r="M1011" i="12" s="1"/>
  <c r="J1011" i="12"/>
  <c r="K1011" i="12"/>
  <c r="L1011" i="12" s="1"/>
  <c r="N1011" i="12" s="1"/>
  <c r="A1012" i="12"/>
  <c r="B1012" i="12"/>
  <c r="C1012" i="12"/>
  <c r="D1012" i="12"/>
  <c r="E1012" i="12"/>
  <c r="F1012" i="12"/>
  <c r="G1012" i="12"/>
  <c r="H1012" i="12"/>
  <c r="I1012" i="12"/>
  <c r="M1012" i="12" s="1"/>
  <c r="J1012" i="12"/>
  <c r="L1012" i="12" s="1"/>
  <c r="K1012" i="12"/>
  <c r="N1012" i="12"/>
  <c r="A1013" i="12"/>
  <c r="B1013" i="12"/>
  <c r="C1013" i="12"/>
  <c r="D1013" i="12"/>
  <c r="E1013" i="12"/>
  <c r="F1013" i="12"/>
  <c r="G1013" i="12"/>
  <c r="H1013" i="12"/>
  <c r="J1013" i="12"/>
  <c r="K1013" i="12"/>
  <c r="L1013" i="12"/>
  <c r="N1013" i="12" s="1"/>
  <c r="A1014" i="12"/>
  <c r="B1014" i="12"/>
  <c r="C1014" i="12"/>
  <c r="D1014" i="12"/>
  <c r="E1014" i="12"/>
  <c r="F1014" i="12"/>
  <c r="G1014" i="12"/>
  <c r="I1014" i="12" s="1"/>
  <c r="M1014" i="12" s="1"/>
  <c r="H1014" i="12"/>
  <c r="J1014" i="12"/>
  <c r="K1014" i="12"/>
  <c r="A1015" i="12"/>
  <c r="B1015" i="12"/>
  <c r="C1015" i="12"/>
  <c r="D1015" i="12"/>
  <c r="E1015" i="12"/>
  <c r="F1015" i="12"/>
  <c r="G1015" i="12"/>
  <c r="H1015" i="12"/>
  <c r="I1015" i="12"/>
  <c r="J1015" i="12"/>
  <c r="K1015" i="12"/>
  <c r="L1015" i="12" s="1"/>
  <c r="N1015" i="12" s="1"/>
  <c r="M1015" i="12"/>
  <c r="A1016" i="12"/>
  <c r="B1016" i="12"/>
  <c r="C1016" i="12"/>
  <c r="D1016" i="12"/>
  <c r="E1016" i="12"/>
  <c r="F1016" i="12"/>
  <c r="G1016" i="12"/>
  <c r="H1016" i="12"/>
  <c r="I1016" i="12"/>
  <c r="J1016" i="12"/>
  <c r="L1016" i="12" s="1"/>
  <c r="K1016" i="12"/>
  <c r="M1016" i="12"/>
  <c r="N1016" i="12"/>
  <c r="A1017" i="12"/>
  <c r="B1017" i="12"/>
  <c r="C1017" i="12"/>
  <c r="D1017" i="12"/>
  <c r="E1017" i="12"/>
  <c r="F1017" i="12"/>
  <c r="G1017" i="12"/>
  <c r="I1017" i="12" s="1"/>
  <c r="M1017" i="12" s="1"/>
  <c r="H1017" i="12"/>
  <c r="J1017" i="12"/>
  <c r="K1017" i="12"/>
  <c r="L1017" i="12"/>
  <c r="N1017" i="12" s="1"/>
  <c r="A1018" i="12"/>
  <c r="B1018" i="12"/>
  <c r="C1018" i="12"/>
  <c r="D1018" i="12"/>
  <c r="E1018" i="12"/>
  <c r="F1018" i="12"/>
  <c r="G1018" i="12"/>
  <c r="I1018" i="12" s="1"/>
  <c r="M1018" i="12" s="1"/>
  <c r="H1018" i="12"/>
  <c r="J1018" i="12"/>
  <c r="K1018" i="12"/>
  <c r="A1019" i="12"/>
  <c r="B1019" i="12"/>
  <c r="C1019" i="12"/>
  <c r="D1019" i="12"/>
  <c r="E1019" i="12"/>
  <c r="F1019" i="12"/>
  <c r="G1019" i="12"/>
  <c r="H1019" i="12"/>
  <c r="I1019" i="12"/>
  <c r="M1019" i="12" s="1"/>
  <c r="J1019" i="12"/>
  <c r="K1019" i="12"/>
  <c r="L1019" i="12" s="1"/>
  <c r="N1019" i="12" s="1"/>
  <c r="A1020" i="12"/>
  <c r="B1020" i="12"/>
  <c r="C1020" i="12"/>
  <c r="D1020" i="12"/>
  <c r="E1020" i="12"/>
  <c r="F1020" i="12"/>
  <c r="G1020" i="12"/>
  <c r="H1020" i="12"/>
  <c r="I1020" i="12"/>
  <c r="M1020" i="12" s="1"/>
  <c r="J1020" i="12"/>
  <c r="L1020" i="12" s="1"/>
  <c r="K1020" i="12"/>
  <c r="N1020" i="12"/>
  <c r="A1021" i="12"/>
  <c r="B1021" i="12"/>
  <c r="C1021" i="12"/>
  <c r="D1021" i="12"/>
  <c r="E1021" i="12"/>
  <c r="F1021" i="12"/>
  <c r="G1021" i="12"/>
  <c r="H1021" i="12"/>
  <c r="J1021" i="12"/>
  <c r="K1021" i="12"/>
  <c r="L1021" i="12"/>
  <c r="N1021" i="12" s="1"/>
  <c r="A1022" i="12"/>
  <c r="B1022" i="12"/>
  <c r="C1022" i="12"/>
  <c r="D1022" i="12"/>
  <c r="E1022" i="12"/>
  <c r="F1022" i="12"/>
  <c r="G1022" i="12"/>
  <c r="I1022" i="12" s="1"/>
  <c r="M1022" i="12" s="1"/>
  <c r="H1022" i="12"/>
  <c r="J1022" i="12"/>
  <c r="K1022" i="12"/>
  <c r="A1023" i="12"/>
  <c r="B1023" i="12"/>
  <c r="C1023" i="12"/>
  <c r="D1023" i="12"/>
  <c r="E1023" i="12"/>
  <c r="F1023" i="12"/>
  <c r="G1023" i="12"/>
  <c r="H1023" i="12"/>
  <c r="I1023" i="12"/>
  <c r="J1023" i="12"/>
  <c r="K1023" i="12"/>
  <c r="L1023" i="12" s="1"/>
  <c r="N1023" i="12" s="1"/>
  <c r="M1023" i="12"/>
  <c r="A1024" i="12"/>
  <c r="B1024" i="12"/>
  <c r="C1024" i="12"/>
  <c r="D1024" i="12"/>
  <c r="E1024" i="12"/>
  <c r="F1024" i="12"/>
  <c r="G1024" i="12"/>
  <c r="H1024" i="12"/>
  <c r="I1024" i="12"/>
  <c r="J1024" i="12"/>
  <c r="L1024" i="12" s="1"/>
  <c r="K1024" i="12"/>
  <c r="M1024" i="12"/>
  <c r="N1024" i="12"/>
  <c r="A1025" i="12"/>
  <c r="B1025" i="12"/>
  <c r="C1025" i="12"/>
  <c r="D1025" i="12"/>
  <c r="E1025" i="12"/>
  <c r="F1025" i="12"/>
  <c r="G1025" i="12"/>
  <c r="I1025" i="12" s="1"/>
  <c r="M1025" i="12" s="1"/>
  <c r="H1025" i="12"/>
  <c r="J1025" i="12"/>
  <c r="K1025" i="12"/>
  <c r="L1025" i="12"/>
  <c r="N1025" i="12" s="1"/>
  <c r="A1026" i="12"/>
  <c r="B1026" i="12"/>
  <c r="C1026" i="12"/>
  <c r="D1026" i="12"/>
  <c r="E1026" i="12"/>
  <c r="F1026" i="12"/>
  <c r="G1026" i="12"/>
  <c r="I1026" i="12" s="1"/>
  <c r="M1026" i="12" s="1"/>
  <c r="H1026" i="12"/>
  <c r="J1026" i="12"/>
  <c r="K1026" i="12"/>
  <c r="A1027" i="12"/>
  <c r="B1027" i="12"/>
  <c r="C1027" i="12"/>
  <c r="D1027" i="12"/>
  <c r="E1027" i="12"/>
  <c r="F1027" i="12"/>
  <c r="G1027" i="12"/>
  <c r="H1027" i="12"/>
  <c r="I1027" i="12"/>
  <c r="M1027" i="12" s="1"/>
  <c r="J1027" i="12"/>
  <c r="K1027" i="12"/>
  <c r="L1027" i="12" s="1"/>
  <c r="N1027" i="12" s="1"/>
  <c r="A1028" i="12"/>
  <c r="B1028" i="12"/>
  <c r="C1028" i="12"/>
  <c r="D1028" i="12"/>
  <c r="E1028" i="12"/>
  <c r="F1028" i="12"/>
  <c r="G1028" i="12"/>
  <c r="H1028" i="12"/>
  <c r="I1028" i="12"/>
  <c r="M1028" i="12" s="1"/>
  <c r="J1028" i="12"/>
  <c r="L1028" i="12" s="1"/>
  <c r="K1028" i="12"/>
  <c r="N1028" i="12"/>
  <c r="A1029" i="12"/>
  <c r="B1029" i="12"/>
  <c r="C1029" i="12"/>
  <c r="D1029" i="12"/>
  <c r="E1029" i="12"/>
  <c r="F1029" i="12"/>
  <c r="G1029" i="12"/>
  <c r="H1029" i="12"/>
  <c r="J1029" i="12"/>
  <c r="K1029" i="12"/>
  <c r="L1029" i="12"/>
  <c r="N1029" i="12" s="1"/>
  <c r="A1030" i="12"/>
  <c r="B1030" i="12"/>
  <c r="C1030" i="12"/>
  <c r="D1030" i="12"/>
  <c r="E1030" i="12"/>
  <c r="F1030" i="12"/>
  <c r="G1030" i="12"/>
  <c r="I1030" i="12" s="1"/>
  <c r="M1030" i="12" s="1"/>
  <c r="H1030" i="12"/>
  <c r="J1030" i="12"/>
  <c r="K1030" i="12"/>
  <c r="A1031" i="12"/>
  <c r="B1031" i="12"/>
  <c r="C1031" i="12"/>
  <c r="D1031" i="12"/>
  <c r="E1031" i="12"/>
  <c r="F1031" i="12"/>
  <c r="G1031" i="12"/>
  <c r="H1031" i="12"/>
  <c r="I1031" i="12"/>
  <c r="J1031" i="12"/>
  <c r="K1031" i="12"/>
  <c r="L1031" i="12" s="1"/>
  <c r="N1031" i="12" s="1"/>
  <c r="M1031" i="12"/>
  <c r="A1032" i="12"/>
  <c r="B1032" i="12"/>
  <c r="C1032" i="12"/>
  <c r="D1032" i="12"/>
  <c r="E1032" i="12"/>
  <c r="F1032" i="12"/>
  <c r="G1032" i="12"/>
  <c r="H1032" i="12"/>
  <c r="I1032" i="12"/>
  <c r="J1032" i="12"/>
  <c r="L1032" i="12" s="1"/>
  <c r="K1032" i="12"/>
  <c r="M1032" i="12"/>
  <c r="N1032" i="12"/>
  <c r="A1033" i="12"/>
  <c r="B1033" i="12"/>
  <c r="C1033" i="12"/>
  <c r="D1033" i="12"/>
  <c r="E1033" i="12"/>
  <c r="F1033" i="12"/>
  <c r="G1033" i="12"/>
  <c r="I1033" i="12" s="1"/>
  <c r="M1033" i="12" s="1"/>
  <c r="H1033" i="12"/>
  <c r="J1033" i="12"/>
  <c r="K1033" i="12"/>
  <c r="L1033" i="12"/>
  <c r="N1033" i="12" s="1"/>
  <c r="A1034" i="12"/>
  <c r="B1034" i="12"/>
  <c r="C1034" i="12"/>
  <c r="D1034" i="12"/>
  <c r="E1034" i="12"/>
  <c r="F1034" i="12"/>
  <c r="G1034" i="12"/>
  <c r="I1034" i="12" s="1"/>
  <c r="M1034" i="12" s="1"/>
  <c r="H1034" i="12"/>
  <c r="J1034" i="12"/>
  <c r="K1034" i="12"/>
  <c r="A1035" i="12"/>
  <c r="B1035" i="12"/>
  <c r="C1035" i="12"/>
  <c r="D1035" i="12"/>
  <c r="E1035" i="12"/>
  <c r="F1035" i="12"/>
  <c r="G1035" i="12"/>
  <c r="H1035" i="12"/>
  <c r="I1035" i="12"/>
  <c r="M1035" i="12" s="1"/>
  <c r="J1035" i="12"/>
  <c r="K1035" i="12"/>
  <c r="L1035" i="12" s="1"/>
  <c r="N1035" i="12" s="1"/>
  <c r="A1036" i="12"/>
  <c r="B1036" i="12"/>
  <c r="C1036" i="12"/>
  <c r="D1036" i="12"/>
  <c r="E1036" i="12"/>
  <c r="F1036" i="12"/>
  <c r="G1036" i="12"/>
  <c r="H1036" i="12"/>
  <c r="I1036" i="12"/>
  <c r="M1036" i="12" s="1"/>
  <c r="J1036" i="12"/>
  <c r="L1036" i="12" s="1"/>
  <c r="K1036" i="12"/>
  <c r="N1036" i="12"/>
  <c r="A1037" i="12"/>
  <c r="B1037" i="12"/>
  <c r="C1037" i="12"/>
  <c r="D1037" i="12"/>
  <c r="E1037" i="12"/>
  <c r="F1037" i="12"/>
  <c r="G1037" i="12"/>
  <c r="H1037" i="12"/>
  <c r="I1037" i="12"/>
  <c r="J1037" i="12"/>
  <c r="K1037" i="12"/>
  <c r="L1037" i="12"/>
  <c r="N1037" i="12" s="1"/>
  <c r="M1037" i="12"/>
  <c r="A1038" i="12"/>
  <c r="B1038" i="12"/>
  <c r="C1038" i="12"/>
  <c r="D1038" i="12"/>
  <c r="E1038" i="12"/>
  <c r="F1038" i="12"/>
  <c r="G1038" i="12"/>
  <c r="I1038" i="12" s="1"/>
  <c r="H1038" i="12"/>
  <c r="J1038" i="12"/>
  <c r="K1038" i="12"/>
  <c r="M1038" i="12"/>
  <c r="A1039" i="12"/>
  <c r="B1039" i="12"/>
  <c r="C1039" i="12"/>
  <c r="D1039" i="12"/>
  <c r="E1039" i="12"/>
  <c r="F1039" i="12"/>
  <c r="G1039" i="12"/>
  <c r="H1039" i="12"/>
  <c r="I1039" i="12"/>
  <c r="M1039" i="12" s="1"/>
  <c r="J1039" i="12"/>
  <c r="K1039" i="12"/>
  <c r="L1039" i="12" s="1"/>
  <c r="N1039" i="12" s="1"/>
  <c r="A1040" i="12"/>
  <c r="B1040" i="12"/>
  <c r="C1040" i="12"/>
  <c r="D1040" i="12"/>
  <c r="E1040" i="12"/>
  <c r="F1040" i="12"/>
  <c r="G1040" i="12"/>
  <c r="H1040" i="12"/>
  <c r="I1040" i="12"/>
  <c r="M1040" i="12" s="1"/>
  <c r="J1040" i="12"/>
  <c r="L1040" i="12" s="1"/>
  <c r="K1040" i="12"/>
  <c r="N1040" i="12"/>
  <c r="A1041" i="12"/>
  <c r="B1041" i="12"/>
  <c r="C1041" i="12"/>
  <c r="D1041" i="12"/>
  <c r="E1041" i="12"/>
  <c r="F1041" i="12"/>
  <c r="G1041" i="12"/>
  <c r="H1041" i="12"/>
  <c r="J1041" i="12"/>
  <c r="K1041" i="12"/>
  <c r="L1041" i="12" s="1"/>
  <c r="N1041" i="12" s="1"/>
  <c r="A1042" i="12"/>
  <c r="B1042" i="12"/>
  <c r="C1042" i="12"/>
  <c r="D1042" i="12"/>
  <c r="E1042" i="12"/>
  <c r="F1042" i="12"/>
  <c r="G1042" i="12"/>
  <c r="I1042" i="12" s="1"/>
  <c r="H1042" i="12"/>
  <c r="J1042" i="12"/>
  <c r="K1042" i="12"/>
  <c r="M1042" i="12"/>
  <c r="A1043" i="12"/>
  <c r="B1043" i="12"/>
  <c r="C1043" i="12"/>
  <c r="D1043" i="12"/>
  <c r="E1043" i="12"/>
  <c r="F1043" i="12"/>
  <c r="G1043" i="12"/>
  <c r="I1043" i="12" s="1"/>
  <c r="H1043" i="12"/>
  <c r="J1043" i="12"/>
  <c r="K1043" i="12"/>
  <c r="L1043" i="12" s="1"/>
  <c r="N1043" i="12" s="1"/>
  <c r="M1043" i="12"/>
  <c r="A1044" i="12"/>
  <c r="B1044" i="12"/>
  <c r="C1044" i="12"/>
  <c r="D1044" i="12"/>
  <c r="E1044" i="12"/>
  <c r="F1044" i="12"/>
  <c r="G1044" i="12"/>
  <c r="H1044" i="12"/>
  <c r="I1044" i="12"/>
  <c r="J1044" i="12"/>
  <c r="L1044" i="12" s="1"/>
  <c r="N1044" i="12" s="1"/>
  <c r="K1044" i="12"/>
  <c r="M1044" i="12"/>
  <c r="A1045" i="12"/>
  <c r="B1045" i="12"/>
  <c r="C1045" i="12"/>
  <c r="D1045" i="12"/>
  <c r="E1045" i="12"/>
  <c r="F1045" i="12"/>
  <c r="G1045" i="12"/>
  <c r="I1045" i="12" s="1"/>
  <c r="M1045" i="12" s="1"/>
  <c r="H1045" i="12"/>
  <c r="J1045" i="12"/>
  <c r="K1045" i="12"/>
  <c r="L1045" i="12" s="1"/>
  <c r="N1045" i="12" s="1"/>
  <c r="A1046" i="12"/>
  <c r="B1046" i="12"/>
  <c r="C1046" i="12"/>
  <c r="D1046" i="12"/>
  <c r="E1046" i="12"/>
  <c r="F1046" i="12"/>
  <c r="G1046" i="12"/>
  <c r="I1046" i="12" s="1"/>
  <c r="H1046" i="12"/>
  <c r="J1046" i="12"/>
  <c r="L1046" i="12" s="1"/>
  <c r="N1046" i="12" s="1"/>
  <c r="K1046" i="12"/>
  <c r="M1046" i="12"/>
  <c r="A1047" i="12"/>
  <c r="B1047" i="12"/>
  <c r="C1047" i="12"/>
  <c r="D1047" i="12"/>
  <c r="E1047" i="12"/>
  <c r="F1047" i="12"/>
  <c r="G1047" i="12"/>
  <c r="I1047" i="12" s="1"/>
  <c r="M1047" i="12" s="1"/>
  <c r="H1047" i="12"/>
  <c r="J1047" i="12"/>
  <c r="K1047" i="12"/>
  <c r="L1047" i="12" s="1"/>
  <c r="N1047" i="12" s="1"/>
  <c r="A1048" i="12"/>
  <c r="B1048" i="12"/>
  <c r="C1048" i="12"/>
  <c r="D1048" i="12"/>
  <c r="E1048" i="12"/>
  <c r="F1048" i="12"/>
  <c r="G1048" i="12"/>
  <c r="H1048" i="12"/>
  <c r="I1048" i="12"/>
  <c r="M1048" i="12" s="1"/>
  <c r="J1048" i="12"/>
  <c r="L1048" i="12" s="1"/>
  <c r="N1048" i="12" s="1"/>
  <c r="K1048" i="12"/>
  <c r="A1049" i="12"/>
  <c r="B1049" i="12"/>
  <c r="C1049" i="12"/>
  <c r="D1049" i="12"/>
  <c r="E1049" i="12"/>
  <c r="F1049" i="12"/>
  <c r="G1049" i="12"/>
  <c r="H1049" i="12"/>
  <c r="I1049" i="12"/>
  <c r="J1049" i="12"/>
  <c r="K1049" i="12"/>
  <c r="L1049" i="12"/>
  <c r="N1049" i="12" s="1"/>
  <c r="M1049" i="12"/>
  <c r="A1050" i="12"/>
  <c r="B1050" i="12"/>
  <c r="C1050" i="12"/>
  <c r="D1050" i="12"/>
  <c r="E1050" i="12"/>
  <c r="F1050" i="12"/>
  <c r="G1050" i="12"/>
  <c r="I1050" i="12" s="1"/>
  <c r="H1050" i="12"/>
  <c r="J1050" i="12"/>
  <c r="L1050" i="12" s="1"/>
  <c r="N1050" i="12" s="1"/>
  <c r="K1050" i="12"/>
  <c r="M1050" i="12"/>
  <c r="A1051" i="12"/>
  <c r="B1051" i="12"/>
  <c r="C1051" i="12"/>
  <c r="D1051" i="12"/>
  <c r="E1051" i="12"/>
  <c r="F1051" i="12"/>
  <c r="G1051" i="12"/>
  <c r="H1051" i="12"/>
  <c r="I1051" i="12"/>
  <c r="M1051" i="12" s="1"/>
  <c r="J1051" i="12"/>
  <c r="K1051" i="12"/>
  <c r="L1051" i="12" s="1"/>
  <c r="N1051" i="12" s="1"/>
  <c r="A1052" i="12"/>
  <c r="B1052" i="12"/>
  <c r="C1052" i="12"/>
  <c r="D1052" i="12"/>
  <c r="E1052" i="12"/>
  <c r="F1052" i="12"/>
  <c r="G1052" i="12"/>
  <c r="H1052" i="12"/>
  <c r="I1052" i="12"/>
  <c r="M1052" i="12" s="1"/>
  <c r="J1052" i="12"/>
  <c r="L1052" i="12" s="1"/>
  <c r="N1052" i="12" s="1"/>
  <c r="K1052" i="12"/>
  <c r="A1053" i="12"/>
  <c r="B1053" i="12"/>
  <c r="C1053" i="12"/>
  <c r="D1053" i="12"/>
  <c r="E1053" i="12"/>
  <c r="F1053" i="12"/>
  <c r="G1053" i="12"/>
  <c r="H1053" i="12"/>
  <c r="I1053" i="12" s="1"/>
  <c r="M1053" i="12" s="1"/>
  <c r="J1053" i="12"/>
  <c r="K1053" i="12"/>
  <c r="L1053" i="12"/>
  <c r="N1053" i="12" s="1"/>
  <c r="A1054" i="12"/>
  <c r="B1054" i="12"/>
  <c r="C1054" i="12"/>
  <c r="D1054" i="12"/>
  <c r="E1054" i="12"/>
  <c r="F1054" i="12"/>
  <c r="G1054" i="12"/>
  <c r="I1054" i="12" s="1"/>
  <c r="H1054" i="12"/>
  <c r="J1054" i="12"/>
  <c r="K1054" i="12"/>
  <c r="M1054" i="12"/>
  <c r="A1055" i="12"/>
  <c r="B1055" i="12"/>
  <c r="C1055" i="12"/>
  <c r="D1055" i="12"/>
  <c r="E1055" i="12"/>
  <c r="F1055" i="12"/>
  <c r="G1055" i="12"/>
  <c r="H1055" i="12"/>
  <c r="I1055" i="12"/>
  <c r="J1055" i="12"/>
  <c r="K1055" i="12"/>
  <c r="L1055" i="12" s="1"/>
  <c r="N1055" i="12" s="1"/>
  <c r="M1055" i="12"/>
  <c r="A1056" i="12"/>
  <c r="B1056" i="12"/>
  <c r="C1056" i="12"/>
  <c r="D1056" i="12"/>
  <c r="E1056" i="12"/>
  <c r="F1056" i="12"/>
  <c r="G1056" i="12"/>
  <c r="H1056" i="12"/>
  <c r="I1056" i="12"/>
  <c r="J1056" i="12"/>
  <c r="L1056" i="12" s="1"/>
  <c r="K1056" i="12"/>
  <c r="M1056" i="12"/>
  <c r="N1056" i="12"/>
  <c r="A1057" i="12"/>
  <c r="B1057" i="12"/>
  <c r="C1057" i="12"/>
  <c r="D1057" i="12"/>
  <c r="E1057" i="12"/>
  <c r="F1057" i="12"/>
  <c r="G1057" i="12"/>
  <c r="I1057" i="12" s="1"/>
  <c r="M1057" i="12" s="1"/>
  <c r="H1057" i="12"/>
  <c r="J1057" i="12"/>
  <c r="K1057" i="12"/>
  <c r="L1057" i="12"/>
  <c r="N1057" i="12" s="1"/>
  <c r="A1058" i="12"/>
  <c r="B1058" i="12"/>
  <c r="C1058" i="12"/>
  <c r="D1058" i="12"/>
  <c r="E1058" i="12"/>
  <c r="F1058" i="12"/>
  <c r="G1058" i="12"/>
  <c r="I1058" i="12" s="1"/>
  <c r="H1058" i="12"/>
  <c r="J1058" i="12"/>
  <c r="K1058" i="12"/>
  <c r="M1058" i="12"/>
  <c r="A1059" i="12"/>
  <c r="B1059" i="12"/>
  <c r="C1059" i="12"/>
  <c r="D1059" i="12"/>
  <c r="E1059" i="12"/>
  <c r="F1059" i="12"/>
  <c r="G1059" i="12"/>
  <c r="I1059" i="12" s="1"/>
  <c r="H1059" i="12"/>
  <c r="J1059" i="12"/>
  <c r="K1059" i="12"/>
  <c r="L1059" i="12" s="1"/>
  <c r="N1059" i="12" s="1"/>
  <c r="M1059" i="12"/>
  <c r="A1060" i="12"/>
  <c r="B1060" i="12"/>
  <c r="C1060" i="12"/>
  <c r="D1060" i="12"/>
  <c r="E1060" i="12"/>
  <c r="F1060" i="12"/>
  <c r="G1060" i="12"/>
  <c r="H1060" i="12"/>
  <c r="I1060" i="12"/>
  <c r="J1060" i="12"/>
  <c r="L1060" i="12" s="1"/>
  <c r="N1060" i="12" s="1"/>
  <c r="K1060" i="12"/>
  <c r="M1060" i="12"/>
  <c r="A1061" i="12"/>
  <c r="B1061" i="12"/>
  <c r="C1061" i="12"/>
  <c r="D1061" i="12"/>
  <c r="E1061" i="12"/>
  <c r="F1061" i="12"/>
  <c r="G1061" i="12"/>
  <c r="I1061" i="12" s="1"/>
  <c r="M1061" i="12" s="1"/>
  <c r="H1061" i="12"/>
  <c r="J1061" i="12"/>
  <c r="K1061" i="12"/>
  <c r="L1061" i="12" s="1"/>
  <c r="N1061" i="12" s="1"/>
  <c r="A1062" i="12"/>
  <c r="B1062" i="12"/>
  <c r="C1062" i="12"/>
  <c r="D1062" i="12"/>
  <c r="E1062" i="12"/>
  <c r="F1062" i="12"/>
  <c r="G1062" i="12"/>
  <c r="I1062" i="12" s="1"/>
  <c r="H1062" i="12"/>
  <c r="J1062" i="12"/>
  <c r="K1062" i="12"/>
  <c r="M1062" i="12"/>
  <c r="A1063" i="12"/>
  <c r="B1063" i="12"/>
  <c r="C1063" i="12"/>
  <c r="D1063" i="12"/>
  <c r="E1063" i="12"/>
  <c r="F1063" i="12"/>
  <c r="G1063" i="12"/>
  <c r="I1063" i="12" s="1"/>
  <c r="M1063" i="12" s="1"/>
  <c r="H1063" i="12"/>
  <c r="J1063" i="12"/>
  <c r="K1063" i="12"/>
  <c r="L1063" i="12" s="1"/>
  <c r="N1063" i="12" s="1"/>
  <c r="A1064" i="12"/>
  <c r="B1064" i="12"/>
  <c r="C1064" i="12"/>
  <c r="D1064" i="12"/>
  <c r="E1064" i="12"/>
  <c r="F1064" i="12"/>
  <c r="G1064" i="12"/>
  <c r="H1064" i="12"/>
  <c r="I1064" i="12"/>
  <c r="M1064" i="12" s="1"/>
  <c r="J1064" i="12"/>
  <c r="L1064" i="12" s="1"/>
  <c r="N1064" i="12" s="1"/>
  <c r="K1064" i="12"/>
  <c r="A1065" i="12"/>
  <c r="B1065" i="12"/>
  <c r="C1065" i="12"/>
  <c r="D1065" i="12"/>
  <c r="E1065" i="12"/>
  <c r="F1065" i="12"/>
  <c r="G1065" i="12"/>
  <c r="H1065" i="12"/>
  <c r="I1065" i="12"/>
  <c r="J1065" i="12"/>
  <c r="K1065" i="12"/>
  <c r="L1065" i="12"/>
  <c r="N1065" i="12" s="1"/>
  <c r="M1065" i="12"/>
  <c r="A1066" i="12"/>
  <c r="B1066" i="12"/>
  <c r="C1066" i="12"/>
  <c r="D1066" i="12"/>
  <c r="E1066" i="12"/>
  <c r="F1066" i="12"/>
  <c r="G1066" i="12"/>
  <c r="I1066" i="12" s="1"/>
  <c r="H1066" i="12"/>
  <c r="J1066" i="12"/>
  <c r="L1066" i="12" s="1"/>
  <c r="N1066" i="12" s="1"/>
  <c r="K1066" i="12"/>
  <c r="M1066" i="12"/>
  <c r="A1067" i="12"/>
  <c r="B1067" i="12"/>
  <c r="C1067" i="12"/>
  <c r="D1067" i="12"/>
  <c r="E1067" i="12"/>
  <c r="F1067" i="12"/>
  <c r="G1067" i="12"/>
  <c r="H1067" i="12"/>
  <c r="I1067" i="12"/>
  <c r="M1067" i="12" s="1"/>
  <c r="J1067" i="12"/>
  <c r="K1067" i="12"/>
  <c r="L1067" i="12" s="1"/>
  <c r="N1067" i="12" s="1"/>
  <c r="A1068" i="12"/>
  <c r="B1068" i="12"/>
  <c r="C1068" i="12"/>
  <c r="D1068" i="12"/>
  <c r="E1068" i="12"/>
  <c r="F1068" i="12"/>
  <c r="G1068" i="12"/>
  <c r="H1068" i="12"/>
  <c r="I1068" i="12"/>
  <c r="M1068" i="12" s="1"/>
  <c r="J1068" i="12"/>
  <c r="L1068" i="12" s="1"/>
  <c r="K1068" i="12"/>
  <c r="N1068" i="12"/>
  <c r="A1069" i="12"/>
  <c r="B1069" i="12"/>
  <c r="C1069" i="12"/>
  <c r="D1069" i="12"/>
  <c r="E1069" i="12"/>
  <c r="F1069" i="12"/>
  <c r="G1069" i="12"/>
  <c r="H1069" i="12"/>
  <c r="I1069" i="12"/>
  <c r="J1069" i="12"/>
  <c r="K1069" i="12"/>
  <c r="L1069" i="12"/>
  <c r="N1069" i="12" s="1"/>
  <c r="M1069" i="12"/>
  <c r="A1070" i="12"/>
  <c r="B1070" i="12"/>
  <c r="C1070" i="12"/>
  <c r="D1070" i="12"/>
  <c r="E1070" i="12"/>
  <c r="F1070" i="12"/>
  <c r="G1070" i="12"/>
  <c r="I1070" i="12" s="1"/>
  <c r="H1070" i="12"/>
  <c r="J1070" i="12"/>
  <c r="K1070" i="12"/>
  <c r="M1070" i="12"/>
  <c r="A1071" i="12"/>
  <c r="B1071" i="12"/>
  <c r="C1071" i="12"/>
  <c r="D1071" i="12"/>
  <c r="E1071" i="12"/>
  <c r="F1071" i="12"/>
  <c r="G1071" i="12"/>
  <c r="H1071" i="12"/>
  <c r="I1071" i="12"/>
  <c r="M1071" i="12" s="1"/>
  <c r="J1071" i="12"/>
  <c r="K1071" i="12"/>
  <c r="L1071" i="12" s="1"/>
  <c r="N1071" i="12" s="1"/>
  <c r="A1072" i="12"/>
  <c r="B1072" i="12"/>
  <c r="C1072" i="12"/>
  <c r="D1072" i="12"/>
  <c r="E1072" i="12"/>
  <c r="F1072" i="12"/>
  <c r="G1072" i="12"/>
  <c r="H1072" i="12"/>
  <c r="I1072" i="12"/>
  <c r="M1072" i="12" s="1"/>
  <c r="J1072" i="12"/>
  <c r="L1072" i="12" s="1"/>
  <c r="K1072" i="12"/>
  <c r="N1072" i="12"/>
  <c r="A1073" i="12"/>
  <c r="B1073" i="12"/>
  <c r="C1073" i="12"/>
  <c r="D1073" i="12"/>
  <c r="E1073" i="12"/>
  <c r="F1073" i="12"/>
  <c r="G1073" i="12"/>
  <c r="H1073" i="12"/>
  <c r="J1073" i="12"/>
  <c r="K1073" i="12"/>
  <c r="L1073" i="12" s="1"/>
  <c r="N1073" i="12" s="1"/>
  <c r="A1074" i="12"/>
  <c r="B1074" i="12"/>
  <c r="C1074" i="12"/>
  <c r="D1074" i="12"/>
  <c r="E1074" i="12"/>
  <c r="F1074" i="12"/>
  <c r="G1074" i="12"/>
  <c r="I1074" i="12" s="1"/>
  <c r="H1074" i="12"/>
  <c r="J1074" i="12"/>
  <c r="K1074" i="12"/>
  <c r="M1074" i="12"/>
  <c r="A1075" i="12"/>
  <c r="B1075" i="12"/>
  <c r="C1075" i="12"/>
  <c r="D1075" i="12"/>
  <c r="E1075" i="12"/>
  <c r="F1075" i="12"/>
  <c r="G1075" i="12"/>
  <c r="I1075" i="12" s="1"/>
  <c r="H1075" i="12"/>
  <c r="J1075" i="12"/>
  <c r="K1075" i="12"/>
  <c r="L1075" i="12" s="1"/>
  <c r="N1075" i="12" s="1"/>
  <c r="M1075" i="12"/>
  <c r="A1076" i="12"/>
  <c r="B1076" i="12"/>
  <c r="C1076" i="12"/>
  <c r="D1076" i="12"/>
  <c r="E1076" i="12"/>
  <c r="F1076" i="12"/>
  <c r="G1076" i="12"/>
  <c r="H1076" i="12"/>
  <c r="I1076" i="12"/>
  <c r="J1076" i="12"/>
  <c r="L1076" i="12" s="1"/>
  <c r="N1076" i="12" s="1"/>
  <c r="K1076" i="12"/>
  <c r="M1076" i="12"/>
  <c r="A1077" i="12"/>
  <c r="B1077" i="12"/>
  <c r="C1077" i="12"/>
  <c r="D1077" i="12"/>
  <c r="E1077" i="12"/>
  <c r="F1077" i="12"/>
  <c r="G1077" i="12"/>
  <c r="I1077" i="12" s="1"/>
  <c r="M1077" i="12" s="1"/>
  <c r="H1077" i="12"/>
  <c r="J1077" i="12"/>
  <c r="K1077" i="12"/>
  <c r="L1077" i="12" s="1"/>
  <c r="N1077" i="12" s="1"/>
  <c r="A1078" i="12"/>
  <c r="B1078" i="12"/>
  <c r="C1078" i="12"/>
  <c r="D1078" i="12"/>
  <c r="E1078" i="12"/>
  <c r="F1078" i="12"/>
  <c r="G1078" i="12"/>
  <c r="I1078" i="12" s="1"/>
  <c r="H1078" i="12"/>
  <c r="J1078" i="12"/>
  <c r="L1078" i="12" s="1"/>
  <c r="N1078" i="12" s="1"/>
  <c r="K1078" i="12"/>
  <c r="M1078" i="12"/>
  <c r="A1079" i="12"/>
  <c r="B1079" i="12"/>
  <c r="C1079" i="12"/>
  <c r="D1079" i="12"/>
  <c r="E1079" i="12"/>
  <c r="F1079" i="12"/>
  <c r="G1079" i="12"/>
  <c r="I1079" i="12" s="1"/>
  <c r="M1079" i="12" s="1"/>
  <c r="H1079" i="12"/>
  <c r="J1079" i="12"/>
  <c r="K1079" i="12"/>
  <c r="L1079" i="12" s="1"/>
  <c r="N1079" i="12" s="1"/>
  <c r="A1080" i="12"/>
  <c r="B1080" i="12"/>
  <c r="C1080" i="12"/>
  <c r="D1080" i="12"/>
  <c r="E1080" i="12"/>
  <c r="F1080" i="12"/>
  <c r="G1080" i="12"/>
  <c r="H1080" i="12"/>
  <c r="I1080" i="12"/>
  <c r="M1080" i="12" s="1"/>
  <c r="J1080" i="12"/>
  <c r="L1080" i="12" s="1"/>
  <c r="N1080" i="12" s="1"/>
  <c r="K1080" i="12"/>
  <c r="A1081" i="12"/>
  <c r="B1081" i="12"/>
  <c r="C1081" i="12"/>
  <c r="D1081" i="12"/>
  <c r="E1081" i="12"/>
  <c r="F1081" i="12"/>
  <c r="G1081" i="12"/>
  <c r="H1081" i="12"/>
  <c r="I1081" i="12"/>
  <c r="J1081" i="12"/>
  <c r="K1081" i="12"/>
  <c r="L1081" i="12"/>
  <c r="N1081" i="12" s="1"/>
  <c r="M1081" i="12"/>
  <c r="A1082" i="12"/>
  <c r="B1082" i="12"/>
  <c r="C1082" i="12"/>
  <c r="D1082" i="12"/>
  <c r="E1082" i="12"/>
  <c r="F1082" i="12"/>
  <c r="G1082" i="12"/>
  <c r="I1082" i="12" s="1"/>
  <c r="H1082" i="12"/>
  <c r="J1082" i="12"/>
  <c r="L1082" i="12" s="1"/>
  <c r="N1082" i="12" s="1"/>
  <c r="K1082" i="12"/>
  <c r="M1082" i="12"/>
  <c r="A1083" i="12"/>
  <c r="B1083" i="12"/>
  <c r="C1083" i="12"/>
  <c r="D1083" i="12"/>
  <c r="E1083" i="12"/>
  <c r="F1083" i="12"/>
  <c r="G1083" i="12"/>
  <c r="H1083" i="12"/>
  <c r="I1083" i="12"/>
  <c r="M1083" i="12" s="1"/>
  <c r="J1083" i="12"/>
  <c r="K1083" i="12"/>
  <c r="L1083" i="12" s="1"/>
  <c r="N1083" i="12" s="1"/>
  <c r="A1084" i="12"/>
  <c r="B1084" i="12"/>
  <c r="C1084" i="12"/>
  <c r="D1084" i="12"/>
  <c r="E1084" i="12"/>
  <c r="F1084" i="12"/>
  <c r="G1084" i="12"/>
  <c r="H1084" i="12"/>
  <c r="I1084" i="12"/>
  <c r="M1084" i="12" s="1"/>
  <c r="J1084" i="12"/>
  <c r="L1084" i="12" s="1"/>
  <c r="K1084" i="12"/>
  <c r="N1084" i="12"/>
  <c r="A1085" i="12"/>
  <c r="B1085" i="12"/>
  <c r="C1085" i="12"/>
  <c r="D1085" i="12"/>
  <c r="E1085" i="12"/>
  <c r="F1085" i="12"/>
  <c r="G1085" i="12"/>
  <c r="H1085" i="12"/>
  <c r="I1085" i="12" s="1"/>
  <c r="M1085" i="12" s="1"/>
  <c r="J1085" i="12"/>
  <c r="K1085" i="12"/>
  <c r="L1085" i="12"/>
  <c r="N1085" i="12" s="1"/>
  <c r="A1086" i="12"/>
  <c r="B1086" i="12"/>
  <c r="C1086" i="12"/>
  <c r="D1086" i="12"/>
  <c r="E1086" i="12"/>
  <c r="F1086" i="12"/>
  <c r="G1086" i="12"/>
  <c r="I1086" i="12" s="1"/>
  <c r="H1086" i="12"/>
  <c r="J1086" i="12"/>
  <c r="K1086" i="12"/>
  <c r="M1086" i="12"/>
  <c r="A1087" i="12"/>
  <c r="B1087" i="12"/>
  <c r="C1087" i="12"/>
  <c r="D1087" i="12"/>
  <c r="E1087" i="12"/>
  <c r="F1087" i="12"/>
  <c r="G1087" i="12"/>
  <c r="H1087" i="12"/>
  <c r="I1087" i="12"/>
  <c r="J1087" i="12"/>
  <c r="K1087" i="12"/>
  <c r="L1087" i="12" s="1"/>
  <c r="N1087" i="12" s="1"/>
  <c r="M1087" i="12"/>
  <c r="A1088" i="12"/>
  <c r="B1088" i="12"/>
  <c r="C1088" i="12"/>
  <c r="D1088" i="12"/>
  <c r="E1088" i="12"/>
  <c r="F1088" i="12"/>
  <c r="G1088" i="12"/>
  <c r="H1088" i="12"/>
  <c r="I1088" i="12"/>
  <c r="J1088" i="12"/>
  <c r="L1088" i="12" s="1"/>
  <c r="K1088" i="12"/>
  <c r="M1088" i="12"/>
  <c r="N1088" i="12"/>
  <c r="A1089" i="12"/>
  <c r="B1089" i="12"/>
  <c r="C1089" i="12"/>
  <c r="D1089" i="12"/>
  <c r="E1089" i="12"/>
  <c r="F1089" i="12"/>
  <c r="G1089" i="12"/>
  <c r="I1089" i="12" s="1"/>
  <c r="M1089" i="12" s="1"/>
  <c r="H1089" i="12"/>
  <c r="J1089" i="12"/>
  <c r="K1089" i="12"/>
  <c r="L1089" i="12"/>
  <c r="N1089" i="12" s="1"/>
  <c r="A1090" i="12"/>
  <c r="B1090" i="12"/>
  <c r="C1090" i="12"/>
  <c r="D1090" i="12"/>
  <c r="E1090" i="12"/>
  <c r="F1090" i="12"/>
  <c r="G1090" i="12"/>
  <c r="I1090" i="12" s="1"/>
  <c r="H1090" i="12"/>
  <c r="J1090" i="12"/>
  <c r="K1090" i="12"/>
  <c r="M1090" i="12"/>
  <c r="A1091" i="12"/>
  <c r="B1091" i="12"/>
  <c r="C1091" i="12"/>
  <c r="D1091" i="12"/>
  <c r="E1091" i="12"/>
  <c r="F1091" i="12"/>
  <c r="G1091" i="12"/>
  <c r="I1091" i="12" s="1"/>
  <c r="H1091" i="12"/>
  <c r="J1091" i="12"/>
  <c r="K1091" i="12"/>
  <c r="L1091" i="12" s="1"/>
  <c r="N1091" i="12" s="1"/>
  <c r="M1091" i="12"/>
  <c r="A1092" i="12"/>
  <c r="B1092" i="12"/>
  <c r="C1092" i="12"/>
  <c r="D1092" i="12"/>
  <c r="E1092" i="12"/>
  <c r="F1092" i="12"/>
  <c r="G1092" i="12"/>
  <c r="H1092" i="12"/>
  <c r="I1092" i="12"/>
  <c r="J1092" i="12"/>
  <c r="L1092" i="12" s="1"/>
  <c r="N1092" i="12" s="1"/>
  <c r="K1092" i="12"/>
  <c r="M1092" i="12"/>
  <c r="A1093" i="12"/>
  <c r="B1093" i="12"/>
  <c r="C1093" i="12"/>
  <c r="D1093" i="12"/>
  <c r="E1093" i="12"/>
  <c r="F1093" i="12"/>
  <c r="G1093" i="12"/>
  <c r="I1093" i="12" s="1"/>
  <c r="M1093" i="12" s="1"/>
  <c r="H1093" i="12"/>
  <c r="J1093" i="12"/>
  <c r="K1093" i="12"/>
  <c r="L1093" i="12" s="1"/>
  <c r="N1093" i="12" s="1"/>
  <c r="A1094" i="12"/>
  <c r="B1094" i="12"/>
  <c r="C1094" i="12"/>
  <c r="D1094" i="12"/>
  <c r="E1094" i="12"/>
  <c r="F1094" i="12"/>
  <c r="G1094" i="12"/>
  <c r="I1094" i="12" s="1"/>
  <c r="H1094" i="12"/>
  <c r="J1094" i="12"/>
  <c r="K1094" i="12"/>
  <c r="M1094" i="12"/>
  <c r="A1095" i="12"/>
  <c r="B1095" i="12"/>
  <c r="C1095" i="12"/>
  <c r="D1095" i="12"/>
  <c r="E1095" i="12"/>
  <c r="F1095" i="12"/>
  <c r="G1095" i="12"/>
  <c r="I1095" i="12" s="1"/>
  <c r="M1095" i="12" s="1"/>
  <c r="H1095" i="12"/>
  <c r="J1095" i="12"/>
  <c r="K1095" i="12"/>
  <c r="L1095" i="12" s="1"/>
  <c r="N1095" i="12" s="1"/>
  <c r="A1096" i="12"/>
  <c r="B1096" i="12"/>
  <c r="C1096" i="12"/>
  <c r="D1096" i="12"/>
  <c r="E1096" i="12"/>
  <c r="F1096" i="12"/>
  <c r="G1096" i="12"/>
  <c r="H1096" i="12"/>
  <c r="I1096" i="12"/>
  <c r="M1096" i="12" s="1"/>
  <c r="J1096" i="12"/>
  <c r="L1096" i="12" s="1"/>
  <c r="N1096" i="12" s="1"/>
  <c r="K1096" i="12"/>
  <c r="A1097" i="12"/>
  <c r="B1097" i="12"/>
  <c r="C1097" i="12"/>
  <c r="D1097" i="12"/>
  <c r="E1097" i="12"/>
  <c r="F1097" i="12"/>
  <c r="G1097" i="12"/>
  <c r="H1097" i="12"/>
  <c r="I1097" i="12"/>
  <c r="J1097" i="12"/>
  <c r="K1097" i="12"/>
  <c r="L1097" i="12"/>
  <c r="N1097" i="12" s="1"/>
  <c r="M1097" i="12"/>
  <c r="A1098" i="12"/>
  <c r="B1098" i="12"/>
  <c r="C1098" i="12"/>
  <c r="D1098" i="12"/>
  <c r="E1098" i="12"/>
  <c r="F1098" i="12"/>
  <c r="G1098" i="12"/>
  <c r="I1098" i="12" s="1"/>
  <c r="H1098" i="12"/>
  <c r="J1098" i="12"/>
  <c r="L1098" i="12" s="1"/>
  <c r="N1098" i="12" s="1"/>
  <c r="K1098" i="12"/>
  <c r="M1098" i="12"/>
  <c r="A1099" i="12"/>
  <c r="B1099" i="12"/>
  <c r="C1099" i="12"/>
  <c r="D1099" i="12"/>
  <c r="E1099" i="12"/>
  <c r="F1099" i="12"/>
  <c r="G1099" i="12"/>
  <c r="H1099" i="12"/>
  <c r="I1099" i="12"/>
  <c r="M1099" i="12" s="1"/>
  <c r="J1099" i="12"/>
  <c r="K1099" i="12"/>
  <c r="L1099" i="12" s="1"/>
  <c r="N1099" i="12" s="1"/>
  <c r="A1100" i="12"/>
  <c r="B1100" i="12"/>
  <c r="C1100" i="12"/>
  <c r="D1100" i="12"/>
  <c r="E1100" i="12"/>
  <c r="F1100" i="12"/>
  <c r="G1100" i="12"/>
  <c r="H1100" i="12"/>
  <c r="I1100" i="12"/>
  <c r="M1100" i="12" s="1"/>
  <c r="J1100" i="12"/>
  <c r="L1100" i="12" s="1"/>
  <c r="N1100" i="12" s="1"/>
  <c r="K1100" i="12"/>
  <c r="A1101" i="12"/>
  <c r="B1101" i="12"/>
  <c r="C1101" i="12"/>
  <c r="D1101" i="12"/>
  <c r="E1101" i="12"/>
  <c r="F1101" i="12"/>
  <c r="G1101" i="12"/>
  <c r="H1101" i="12"/>
  <c r="I1101" i="12"/>
  <c r="J1101" i="12"/>
  <c r="K1101" i="12"/>
  <c r="L1101" i="12"/>
  <c r="N1101" i="12" s="1"/>
  <c r="M1101" i="12"/>
  <c r="A1102" i="12"/>
  <c r="B1102" i="12"/>
  <c r="C1102" i="12"/>
  <c r="D1102" i="12"/>
  <c r="E1102" i="12"/>
  <c r="F1102" i="12"/>
  <c r="G1102" i="12"/>
  <c r="I1102" i="12" s="1"/>
  <c r="H1102" i="12"/>
  <c r="J1102" i="12"/>
  <c r="K1102" i="12"/>
  <c r="M1102" i="12"/>
  <c r="A1103" i="12"/>
  <c r="B1103" i="12"/>
  <c r="C1103" i="12"/>
  <c r="D1103" i="12"/>
  <c r="E1103" i="12"/>
  <c r="F1103" i="12"/>
  <c r="G1103" i="12"/>
  <c r="H1103" i="12"/>
  <c r="I1103" i="12"/>
  <c r="M1103" i="12" s="1"/>
  <c r="J1103" i="12"/>
  <c r="K1103" i="12"/>
  <c r="L1103" i="12" s="1"/>
  <c r="N1103" i="12" s="1"/>
  <c r="A1104" i="12"/>
  <c r="B1104" i="12"/>
  <c r="C1104" i="12"/>
  <c r="D1104" i="12"/>
  <c r="E1104" i="12"/>
  <c r="F1104" i="12"/>
  <c r="G1104" i="12"/>
  <c r="H1104" i="12"/>
  <c r="I1104" i="12"/>
  <c r="M1104" i="12" s="1"/>
  <c r="J1104" i="12"/>
  <c r="L1104" i="12" s="1"/>
  <c r="K1104" i="12"/>
  <c r="N1104" i="12"/>
  <c r="A1105" i="12"/>
  <c r="B1105" i="12"/>
  <c r="C1105" i="12"/>
  <c r="D1105" i="12"/>
  <c r="E1105" i="12"/>
  <c r="F1105" i="12"/>
  <c r="G1105" i="12"/>
  <c r="H1105" i="12"/>
  <c r="J1105" i="12"/>
  <c r="K1105" i="12"/>
  <c r="L1105" i="12" s="1"/>
  <c r="N1105" i="12" s="1"/>
  <c r="A1106" i="12"/>
  <c r="B1106" i="12"/>
  <c r="C1106" i="12"/>
  <c r="D1106" i="12"/>
  <c r="E1106" i="12"/>
  <c r="F1106" i="12"/>
  <c r="G1106" i="12"/>
  <c r="I1106" i="12" s="1"/>
  <c r="H1106" i="12"/>
  <c r="J1106" i="12"/>
  <c r="K1106" i="12"/>
  <c r="M1106" i="12"/>
  <c r="A1107" i="12"/>
  <c r="B1107" i="12"/>
  <c r="C1107" i="12"/>
  <c r="D1107" i="12"/>
  <c r="E1107" i="12"/>
  <c r="F1107" i="12"/>
  <c r="G1107" i="12"/>
  <c r="I1107" i="12" s="1"/>
  <c r="H1107" i="12"/>
  <c r="J1107" i="12"/>
  <c r="K1107" i="12"/>
  <c r="L1107" i="12" s="1"/>
  <c r="N1107" i="12" s="1"/>
  <c r="M1107" i="12"/>
  <c r="A1108" i="12"/>
  <c r="B1108" i="12"/>
  <c r="C1108" i="12"/>
  <c r="D1108" i="12"/>
  <c r="E1108" i="12"/>
  <c r="F1108" i="12"/>
  <c r="G1108" i="12"/>
  <c r="H1108" i="12"/>
  <c r="I1108" i="12"/>
  <c r="J1108" i="12"/>
  <c r="L1108" i="12" s="1"/>
  <c r="N1108" i="12" s="1"/>
  <c r="K1108" i="12"/>
  <c r="M1108" i="12"/>
  <c r="A1109" i="12"/>
  <c r="B1109" i="12"/>
  <c r="C1109" i="12"/>
  <c r="D1109" i="12"/>
  <c r="E1109" i="12"/>
  <c r="F1109" i="12"/>
  <c r="G1109" i="12"/>
  <c r="I1109" i="12" s="1"/>
  <c r="M1109" i="12" s="1"/>
  <c r="H1109" i="12"/>
  <c r="J1109" i="12"/>
  <c r="K1109" i="12"/>
  <c r="L1109" i="12" s="1"/>
  <c r="N1109" i="12" s="1"/>
  <c r="A1110" i="12"/>
  <c r="B1110" i="12"/>
  <c r="C1110" i="12"/>
  <c r="D1110" i="12"/>
  <c r="E1110" i="12"/>
  <c r="F1110" i="12"/>
  <c r="G1110" i="12"/>
  <c r="I1110" i="12" s="1"/>
  <c r="H1110" i="12"/>
  <c r="J1110" i="12"/>
  <c r="L1110" i="12" s="1"/>
  <c r="N1110" i="12" s="1"/>
  <c r="K1110" i="12"/>
  <c r="M1110" i="12"/>
  <c r="A1111" i="12"/>
  <c r="B1111" i="12"/>
  <c r="C1111" i="12"/>
  <c r="D1111" i="12"/>
  <c r="E1111" i="12"/>
  <c r="F1111" i="12"/>
  <c r="G1111" i="12"/>
  <c r="I1111" i="12" s="1"/>
  <c r="M1111" i="12" s="1"/>
  <c r="H1111" i="12"/>
  <c r="J1111" i="12"/>
  <c r="K1111" i="12"/>
  <c r="L1111" i="12" s="1"/>
  <c r="N1111" i="12" s="1"/>
  <c r="A1112" i="12"/>
  <c r="B1112" i="12"/>
  <c r="C1112" i="12"/>
  <c r="D1112" i="12"/>
  <c r="E1112" i="12"/>
  <c r="F1112" i="12"/>
  <c r="G1112" i="12"/>
  <c r="H1112" i="12"/>
  <c r="I1112" i="12"/>
  <c r="M1112" i="12" s="1"/>
  <c r="J1112" i="12"/>
  <c r="L1112" i="12" s="1"/>
  <c r="N1112" i="12" s="1"/>
  <c r="K1112" i="12"/>
  <c r="A1113" i="12"/>
  <c r="B1113" i="12"/>
  <c r="C1113" i="12"/>
  <c r="D1113" i="12"/>
  <c r="E1113" i="12"/>
  <c r="F1113" i="12"/>
  <c r="G1113" i="12"/>
  <c r="H1113" i="12"/>
  <c r="I1113" i="12"/>
  <c r="J1113" i="12"/>
  <c r="K1113" i="12"/>
  <c r="L1113" i="12"/>
  <c r="N1113" i="12" s="1"/>
  <c r="M1113" i="12"/>
  <c r="A1114" i="12"/>
  <c r="B1114" i="12"/>
  <c r="C1114" i="12"/>
  <c r="D1114" i="12"/>
  <c r="E1114" i="12"/>
  <c r="F1114" i="12"/>
  <c r="G1114" i="12"/>
  <c r="I1114" i="12" s="1"/>
  <c r="H1114" i="12"/>
  <c r="J1114" i="12"/>
  <c r="L1114" i="12" s="1"/>
  <c r="N1114" i="12" s="1"/>
  <c r="K1114" i="12"/>
  <c r="M1114" i="12"/>
  <c r="A1115" i="12"/>
  <c r="B1115" i="12"/>
  <c r="C1115" i="12"/>
  <c r="D1115" i="12"/>
  <c r="E1115" i="12"/>
  <c r="F1115" i="12"/>
  <c r="G1115" i="12"/>
  <c r="H1115" i="12"/>
  <c r="I1115" i="12"/>
  <c r="M1115" i="12" s="1"/>
  <c r="J1115" i="12"/>
  <c r="K1115" i="12"/>
  <c r="L1115" i="12" s="1"/>
  <c r="N1115" i="12" s="1"/>
  <c r="A1116" i="12"/>
  <c r="B1116" i="12"/>
  <c r="C1116" i="12"/>
  <c r="D1116" i="12"/>
  <c r="E1116" i="12"/>
  <c r="F1116" i="12"/>
  <c r="G1116" i="12"/>
  <c r="H1116" i="12"/>
  <c r="I1116" i="12"/>
  <c r="M1116" i="12" s="1"/>
  <c r="J1116" i="12"/>
  <c r="L1116" i="12" s="1"/>
  <c r="K1116" i="12"/>
  <c r="N1116" i="12"/>
  <c r="A1117" i="12"/>
  <c r="B1117" i="12"/>
  <c r="C1117" i="12"/>
  <c r="D1117" i="12"/>
  <c r="E1117" i="12"/>
  <c r="F1117" i="12"/>
  <c r="G1117" i="12"/>
  <c r="H1117" i="12"/>
  <c r="I1117" i="12" s="1"/>
  <c r="M1117" i="12" s="1"/>
  <c r="J1117" i="12"/>
  <c r="K1117" i="12"/>
  <c r="L1117" i="12"/>
  <c r="N1117" i="12" s="1"/>
  <c r="A1118" i="12"/>
  <c r="B1118" i="12"/>
  <c r="C1118" i="12"/>
  <c r="D1118" i="12"/>
  <c r="E1118" i="12"/>
  <c r="F1118" i="12"/>
  <c r="G1118" i="12"/>
  <c r="I1118" i="12" s="1"/>
  <c r="H1118" i="12"/>
  <c r="J1118" i="12"/>
  <c r="K1118" i="12"/>
  <c r="M1118" i="12"/>
  <c r="A1119" i="12"/>
  <c r="B1119" i="12"/>
  <c r="C1119" i="12"/>
  <c r="D1119" i="12"/>
  <c r="E1119" i="12"/>
  <c r="F1119" i="12"/>
  <c r="G1119" i="12"/>
  <c r="H1119" i="12"/>
  <c r="I1119" i="12"/>
  <c r="J1119" i="12"/>
  <c r="K1119" i="12"/>
  <c r="L1119" i="12" s="1"/>
  <c r="N1119" i="12" s="1"/>
  <c r="M1119" i="12"/>
  <c r="A1120" i="12"/>
  <c r="B1120" i="12"/>
  <c r="C1120" i="12"/>
  <c r="D1120" i="12"/>
  <c r="E1120" i="12"/>
  <c r="F1120" i="12"/>
  <c r="G1120" i="12"/>
  <c r="H1120" i="12"/>
  <c r="I1120" i="12"/>
  <c r="J1120" i="12"/>
  <c r="L1120" i="12" s="1"/>
  <c r="K1120" i="12"/>
  <c r="M1120" i="12"/>
  <c r="N1120" i="12"/>
  <c r="A1121" i="12"/>
  <c r="B1121" i="12"/>
  <c r="C1121" i="12"/>
  <c r="D1121" i="12"/>
  <c r="E1121" i="12"/>
  <c r="F1121" i="12"/>
  <c r="G1121" i="12"/>
  <c r="I1121" i="12" s="1"/>
  <c r="M1121" i="12" s="1"/>
  <c r="H1121" i="12"/>
  <c r="J1121" i="12"/>
  <c r="K1121" i="12"/>
  <c r="L1121" i="12"/>
  <c r="N1121" i="12" s="1"/>
  <c r="A1122" i="12"/>
  <c r="B1122" i="12"/>
  <c r="C1122" i="12"/>
  <c r="D1122" i="12"/>
  <c r="E1122" i="12"/>
  <c r="F1122" i="12"/>
  <c r="G1122" i="12"/>
  <c r="I1122" i="12" s="1"/>
  <c r="H1122" i="12"/>
  <c r="J1122" i="12"/>
  <c r="K1122" i="12"/>
  <c r="M1122" i="12"/>
  <c r="A1123" i="12"/>
  <c r="B1123" i="12"/>
  <c r="C1123" i="12"/>
  <c r="D1123" i="12"/>
  <c r="E1123" i="12"/>
  <c r="F1123" i="12"/>
  <c r="G1123" i="12"/>
  <c r="I1123" i="12" s="1"/>
  <c r="H1123" i="12"/>
  <c r="J1123" i="12"/>
  <c r="K1123" i="12"/>
  <c r="L1123" i="12" s="1"/>
  <c r="N1123" i="12" s="1"/>
  <c r="M1123" i="12"/>
  <c r="A1124" i="12"/>
  <c r="B1124" i="12"/>
  <c r="C1124" i="12"/>
  <c r="D1124" i="12"/>
  <c r="E1124" i="12"/>
  <c r="F1124" i="12"/>
  <c r="G1124" i="12"/>
  <c r="H1124" i="12"/>
  <c r="I1124" i="12"/>
  <c r="J1124" i="12"/>
  <c r="L1124" i="12" s="1"/>
  <c r="N1124" i="12" s="1"/>
  <c r="K1124" i="12"/>
  <c r="M1124" i="12"/>
  <c r="A1125" i="12"/>
  <c r="B1125" i="12"/>
  <c r="C1125" i="12"/>
  <c r="D1125" i="12"/>
  <c r="E1125" i="12"/>
  <c r="F1125" i="12"/>
  <c r="G1125" i="12"/>
  <c r="I1125" i="12" s="1"/>
  <c r="M1125" i="12" s="1"/>
  <c r="H1125" i="12"/>
  <c r="J1125" i="12"/>
  <c r="K1125" i="12"/>
  <c r="L1125" i="12" s="1"/>
  <c r="N1125" i="12" s="1"/>
  <c r="A1126" i="12"/>
  <c r="B1126" i="12"/>
  <c r="C1126" i="12"/>
  <c r="D1126" i="12"/>
  <c r="E1126" i="12"/>
  <c r="F1126" i="12"/>
  <c r="G1126" i="12"/>
  <c r="I1126" i="12" s="1"/>
  <c r="H1126" i="12"/>
  <c r="J1126" i="12"/>
  <c r="K1126" i="12"/>
  <c r="M1126" i="12"/>
  <c r="A1127" i="12"/>
  <c r="B1127" i="12"/>
  <c r="C1127" i="12"/>
  <c r="D1127" i="12"/>
  <c r="E1127" i="12"/>
  <c r="F1127" i="12"/>
  <c r="G1127" i="12"/>
  <c r="I1127" i="12" s="1"/>
  <c r="M1127" i="12" s="1"/>
  <c r="H1127" i="12"/>
  <c r="J1127" i="12"/>
  <c r="K1127" i="12"/>
  <c r="L1127" i="12" s="1"/>
  <c r="N1127" i="12" s="1"/>
  <c r="A1128" i="12"/>
  <c r="B1128" i="12"/>
  <c r="C1128" i="12"/>
  <c r="D1128" i="12"/>
  <c r="E1128" i="12"/>
  <c r="F1128" i="12"/>
  <c r="G1128" i="12"/>
  <c r="H1128" i="12"/>
  <c r="I1128" i="12"/>
  <c r="M1128" i="12" s="1"/>
  <c r="J1128" i="12"/>
  <c r="L1128" i="12" s="1"/>
  <c r="N1128" i="12" s="1"/>
  <c r="K1128" i="12"/>
  <c r="A1129" i="12"/>
  <c r="B1129" i="12"/>
  <c r="C1129" i="12"/>
  <c r="D1129" i="12"/>
  <c r="E1129" i="12"/>
  <c r="F1129" i="12"/>
  <c r="G1129" i="12"/>
  <c r="H1129" i="12"/>
  <c r="I1129" i="12"/>
  <c r="J1129" i="12"/>
  <c r="K1129" i="12"/>
  <c r="L1129" i="12"/>
  <c r="N1129" i="12" s="1"/>
  <c r="M1129" i="12"/>
  <c r="A1130" i="12"/>
  <c r="B1130" i="12"/>
  <c r="C1130" i="12"/>
  <c r="D1130" i="12"/>
  <c r="E1130" i="12"/>
  <c r="F1130" i="12"/>
  <c r="G1130" i="12"/>
  <c r="I1130" i="12" s="1"/>
  <c r="H1130" i="12"/>
  <c r="J1130" i="12"/>
  <c r="L1130" i="12" s="1"/>
  <c r="N1130" i="12" s="1"/>
  <c r="K1130" i="12"/>
  <c r="M1130" i="12"/>
  <c r="A1131" i="12"/>
  <c r="B1131" i="12"/>
  <c r="C1131" i="12"/>
  <c r="D1131" i="12"/>
  <c r="E1131" i="12"/>
  <c r="F1131" i="12"/>
  <c r="G1131" i="12"/>
  <c r="H1131" i="12"/>
  <c r="I1131" i="12"/>
  <c r="M1131" i="12" s="1"/>
  <c r="J1131" i="12"/>
  <c r="K1131" i="12"/>
  <c r="L1131" i="12" s="1"/>
  <c r="N1131" i="12" s="1"/>
  <c r="A1132" i="12"/>
  <c r="B1132" i="12"/>
  <c r="C1132" i="12"/>
  <c r="D1132" i="12"/>
  <c r="E1132" i="12"/>
  <c r="F1132" i="12"/>
  <c r="G1132" i="12"/>
  <c r="H1132" i="12"/>
  <c r="I1132" i="12"/>
  <c r="M1132" i="12" s="1"/>
  <c r="J1132" i="12"/>
  <c r="L1132" i="12" s="1"/>
  <c r="K1132" i="12"/>
  <c r="N1132" i="12"/>
  <c r="A1133" i="12"/>
  <c r="B1133" i="12"/>
  <c r="C1133" i="12"/>
  <c r="D1133" i="12"/>
  <c r="E1133" i="12"/>
  <c r="F1133" i="12"/>
  <c r="G1133" i="12"/>
  <c r="H1133" i="12"/>
  <c r="I1133" i="12"/>
  <c r="J1133" i="12"/>
  <c r="K1133" i="12"/>
  <c r="L1133" i="12"/>
  <c r="N1133" i="12" s="1"/>
  <c r="M1133" i="12"/>
  <c r="A1134" i="12"/>
  <c r="B1134" i="12"/>
  <c r="C1134" i="12"/>
  <c r="D1134" i="12"/>
  <c r="E1134" i="12"/>
  <c r="F1134" i="12"/>
  <c r="G1134" i="12"/>
  <c r="I1134" i="12" s="1"/>
  <c r="H1134" i="12"/>
  <c r="J1134" i="12"/>
  <c r="K1134" i="12"/>
  <c r="M1134" i="12"/>
  <c r="A1135" i="12"/>
  <c r="B1135" i="12"/>
  <c r="C1135" i="12"/>
  <c r="D1135" i="12"/>
  <c r="E1135" i="12"/>
  <c r="F1135" i="12"/>
  <c r="G1135" i="12"/>
  <c r="H1135" i="12"/>
  <c r="I1135" i="12"/>
  <c r="M1135" i="12" s="1"/>
  <c r="J1135" i="12"/>
  <c r="K1135" i="12"/>
  <c r="L1135" i="12" s="1"/>
  <c r="N1135" i="12" s="1"/>
  <c r="A1136" i="12"/>
  <c r="B1136" i="12"/>
  <c r="C1136" i="12"/>
  <c r="D1136" i="12"/>
  <c r="E1136" i="12"/>
  <c r="F1136" i="12"/>
  <c r="G1136" i="12"/>
  <c r="H1136" i="12"/>
  <c r="I1136" i="12"/>
  <c r="M1136" i="12" s="1"/>
  <c r="J1136" i="12"/>
  <c r="L1136" i="12" s="1"/>
  <c r="K1136" i="12"/>
  <c r="N1136" i="12"/>
  <c r="A1137" i="12"/>
  <c r="B1137" i="12"/>
  <c r="C1137" i="12"/>
  <c r="D1137" i="12"/>
  <c r="E1137" i="12"/>
  <c r="F1137" i="12"/>
  <c r="G1137" i="12"/>
  <c r="H1137" i="12"/>
  <c r="J1137" i="12"/>
  <c r="K1137" i="12"/>
  <c r="L1137" i="12" s="1"/>
  <c r="N1137" i="12" s="1"/>
  <c r="A1138" i="12"/>
  <c r="B1138" i="12"/>
  <c r="C1138" i="12"/>
  <c r="D1138" i="12"/>
  <c r="E1138" i="12"/>
  <c r="F1138" i="12"/>
  <c r="G1138" i="12"/>
  <c r="I1138" i="12" s="1"/>
  <c r="H1138" i="12"/>
  <c r="J1138" i="12"/>
  <c r="K1138" i="12"/>
  <c r="M1138" i="12"/>
  <c r="A1139" i="12"/>
  <c r="B1139" i="12"/>
  <c r="C1139" i="12"/>
  <c r="D1139" i="12"/>
  <c r="E1139" i="12"/>
  <c r="F1139" i="12"/>
  <c r="G1139" i="12"/>
  <c r="I1139" i="12" s="1"/>
  <c r="H1139" i="12"/>
  <c r="J1139" i="12"/>
  <c r="K1139" i="12"/>
  <c r="L1139" i="12" s="1"/>
  <c r="N1139" i="12" s="1"/>
  <c r="M1139" i="12"/>
  <c r="A1140" i="12"/>
  <c r="B1140" i="12"/>
  <c r="C1140" i="12"/>
  <c r="D1140" i="12"/>
  <c r="E1140" i="12"/>
  <c r="F1140" i="12"/>
  <c r="G1140" i="12"/>
  <c r="H1140" i="12"/>
  <c r="I1140" i="12"/>
  <c r="J1140" i="12"/>
  <c r="L1140" i="12" s="1"/>
  <c r="N1140" i="12" s="1"/>
  <c r="K1140" i="12"/>
  <c r="M1140" i="12"/>
  <c r="A1141" i="12"/>
  <c r="B1141" i="12"/>
  <c r="C1141" i="12"/>
  <c r="D1141" i="12"/>
  <c r="E1141" i="12"/>
  <c r="F1141" i="12"/>
  <c r="G1141" i="12"/>
  <c r="I1141" i="12" s="1"/>
  <c r="M1141" i="12" s="1"/>
  <c r="H1141" i="12"/>
  <c r="J1141" i="12"/>
  <c r="K1141" i="12"/>
  <c r="L1141" i="12" s="1"/>
  <c r="N1141" i="12" s="1"/>
  <c r="A1142" i="12"/>
  <c r="B1142" i="12"/>
  <c r="C1142" i="12"/>
  <c r="D1142" i="12"/>
  <c r="E1142" i="12"/>
  <c r="F1142" i="12"/>
  <c r="G1142" i="12"/>
  <c r="I1142" i="12" s="1"/>
  <c r="H1142" i="12"/>
  <c r="J1142" i="12"/>
  <c r="L1142" i="12" s="1"/>
  <c r="N1142" i="12" s="1"/>
  <c r="K1142" i="12"/>
  <c r="M1142" i="12"/>
  <c r="A1143" i="12"/>
  <c r="B1143" i="12"/>
  <c r="C1143" i="12"/>
  <c r="D1143" i="12"/>
  <c r="E1143" i="12"/>
  <c r="F1143" i="12"/>
  <c r="G1143" i="12"/>
  <c r="I1143" i="12" s="1"/>
  <c r="M1143" i="12" s="1"/>
  <c r="H1143" i="12"/>
  <c r="J1143" i="12"/>
  <c r="K1143" i="12"/>
  <c r="L1143" i="12" s="1"/>
  <c r="N1143" i="12" s="1"/>
  <c r="A1144" i="12"/>
  <c r="B1144" i="12"/>
  <c r="C1144" i="12"/>
  <c r="D1144" i="12"/>
  <c r="E1144" i="12"/>
  <c r="F1144" i="12"/>
  <c r="G1144" i="12"/>
  <c r="H1144" i="12"/>
  <c r="I1144" i="12"/>
  <c r="M1144" i="12" s="1"/>
  <c r="J1144" i="12"/>
  <c r="L1144" i="12" s="1"/>
  <c r="N1144" i="12" s="1"/>
  <c r="K1144" i="12"/>
  <c r="A1145" i="12"/>
  <c r="B1145" i="12"/>
  <c r="C1145" i="12"/>
  <c r="D1145" i="12"/>
  <c r="E1145" i="12"/>
  <c r="F1145" i="12"/>
  <c r="G1145" i="12"/>
  <c r="H1145" i="12"/>
  <c r="I1145" i="12"/>
  <c r="J1145" i="12"/>
  <c r="K1145" i="12"/>
  <c r="L1145" i="12"/>
  <c r="N1145" i="12" s="1"/>
  <c r="M1145" i="12"/>
  <c r="A1146" i="12"/>
  <c r="B1146" i="12"/>
  <c r="C1146" i="12"/>
  <c r="D1146" i="12"/>
  <c r="E1146" i="12"/>
  <c r="F1146" i="12"/>
  <c r="G1146" i="12"/>
  <c r="I1146" i="12" s="1"/>
  <c r="H1146" i="12"/>
  <c r="J1146" i="12"/>
  <c r="L1146" i="12" s="1"/>
  <c r="N1146" i="12" s="1"/>
  <c r="K1146" i="12"/>
  <c r="M1146" i="12"/>
  <c r="A1147" i="12"/>
  <c r="B1147" i="12"/>
  <c r="C1147" i="12"/>
  <c r="D1147" i="12"/>
  <c r="E1147" i="12"/>
  <c r="F1147" i="12"/>
  <c r="G1147" i="12"/>
  <c r="H1147" i="12"/>
  <c r="I1147" i="12"/>
  <c r="M1147" i="12" s="1"/>
  <c r="J1147" i="12"/>
  <c r="K1147" i="12"/>
  <c r="L1147" i="12" s="1"/>
  <c r="N1147" i="12" s="1"/>
  <c r="A1148" i="12"/>
  <c r="B1148" i="12"/>
  <c r="C1148" i="12"/>
  <c r="D1148" i="12"/>
  <c r="E1148" i="12"/>
  <c r="F1148" i="12"/>
  <c r="G1148" i="12"/>
  <c r="H1148" i="12"/>
  <c r="I1148" i="12"/>
  <c r="M1148" i="12" s="1"/>
  <c r="J1148" i="12"/>
  <c r="L1148" i="12" s="1"/>
  <c r="K1148" i="12"/>
  <c r="N1148" i="12"/>
  <c r="A1149" i="12"/>
  <c r="B1149" i="12"/>
  <c r="C1149" i="12"/>
  <c r="D1149" i="12"/>
  <c r="E1149" i="12"/>
  <c r="F1149" i="12"/>
  <c r="G1149" i="12"/>
  <c r="H1149" i="12"/>
  <c r="I1149" i="12" s="1"/>
  <c r="M1149" i="12" s="1"/>
  <c r="J1149" i="12"/>
  <c r="K1149" i="12"/>
  <c r="L1149" i="12"/>
  <c r="N1149" i="12" s="1"/>
  <c r="A1150" i="12"/>
  <c r="B1150" i="12"/>
  <c r="C1150" i="12"/>
  <c r="D1150" i="12"/>
  <c r="E1150" i="12"/>
  <c r="F1150" i="12"/>
  <c r="G1150" i="12"/>
  <c r="I1150" i="12" s="1"/>
  <c r="H1150" i="12"/>
  <c r="J1150" i="12"/>
  <c r="K1150" i="12"/>
  <c r="M1150" i="12"/>
  <c r="A1151" i="12"/>
  <c r="B1151" i="12"/>
  <c r="C1151" i="12"/>
  <c r="D1151" i="12"/>
  <c r="E1151" i="12"/>
  <c r="F1151" i="12"/>
  <c r="G1151" i="12"/>
  <c r="H1151" i="12"/>
  <c r="I1151" i="12"/>
  <c r="J1151" i="12"/>
  <c r="K1151" i="12"/>
  <c r="L1151" i="12" s="1"/>
  <c r="N1151" i="12" s="1"/>
  <c r="M1151" i="12"/>
  <c r="A1152" i="12"/>
  <c r="B1152" i="12"/>
  <c r="C1152" i="12"/>
  <c r="D1152" i="12"/>
  <c r="E1152" i="12"/>
  <c r="F1152" i="12"/>
  <c r="G1152" i="12"/>
  <c r="H1152" i="12"/>
  <c r="I1152" i="12"/>
  <c r="J1152" i="12"/>
  <c r="L1152" i="12" s="1"/>
  <c r="K1152" i="12"/>
  <c r="M1152" i="12"/>
  <c r="N1152" i="12"/>
  <c r="A1153" i="12"/>
  <c r="B1153" i="12"/>
  <c r="C1153" i="12"/>
  <c r="D1153" i="12"/>
  <c r="E1153" i="12"/>
  <c r="F1153" i="12"/>
  <c r="G1153" i="12"/>
  <c r="I1153" i="12" s="1"/>
  <c r="M1153" i="12" s="1"/>
  <c r="H1153" i="12"/>
  <c r="J1153" i="12"/>
  <c r="K1153" i="12"/>
  <c r="L1153" i="12"/>
  <c r="N1153" i="12" s="1"/>
  <c r="A1154" i="12"/>
  <c r="B1154" i="12"/>
  <c r="C1154" i="12"/>
  <c r="D1154" i="12"/>
  <c r="E1154" i="12"/>
  <c r="F1154" i="12"/>
  <c r="G1154" i="12"/>
  <c r="I1154" i="12" s="1"/>
  <c r="H1154" i="12"/>
  <c r="J1154" i="12"/>
  <c r="K1154" i="12"/>
  <c r="M1154" i="12"/>
  <c r="A1155" i="12"/>
  <c r="B1155" i="12"/>
  <c r="C1155" i="12"/>
  <c r="D1155" i="12"/>
  <c r="E1155" i="12"/>
  <c r="F1155" i="12"/>
  <c r="G1155" i="12"/>
  <c r="I1155" i="12" s="1"/>
  <c r="H1155" i="12"/>
  <c r="J1155" i="12"/>
  <c r="K1155" i="12"/>
  <c r="L1155" i="12" s="1"/>
  <c r="N1155" i="12" s="1"/>
  <c r="M1155" i="12"/>
  <c r="A1156" i="12"/>
  <c r="B1156" i="12"/>
  <c r="C1156" i="12"/>
  <c r="D1156" i="12"/>
  <c r="E1156" i="12"/>
  <c r="F1156" i="12"/>
  <c r="G1156" i="12"/>
  <c r="H1156" i="12"/>
  <c r="I1156" i="12"/>
  <c r="J1156" i="12"/>
  <c r="L1156" i="12" s="1"/>
  <c r="N1156" i="12" s="1"/>
  <c r="K1156" i="12"/>
  <c r="M1156" i="12"/>
  <c r="A1157" i="12"/>
  <c r="B1157" i="12"/>
  <c r="C1157" i="12"/>
  <c r="D1157" i="12"/>
  <c r="E1157" i="12"/>
  <c r="F1157" i="12"/>
  <c r="G1157" i="12"/>
  <c r="I1157" i="12" s="1"/>
  <c r="M1157" i="12" s="1"/>
  <c r="H1157" i="12"/>
  <c r="J1157" i="12"/>
  <c r="K1157" i="12"/>
  <c r="L1157" i="12" s="1"/>
  <c r="N1157" i="12" s="1"/>
  <c r="A1158" i="12"/>
  <c r="B1158" i="12"/>
  <c r="C1158" i="12"/>
  <c r="D1158" i="12"/>
  <c r="E1158" i="12"/>
  <c r="F1158" i="12"/>
  <c r="G1158" i="12"/>
  <c r="I1158" i="12" s="1"/>
  <c r="H1158" i="12"/>
  <c r="J1158" i="12"/>
  <c r="K1158" i="12"/>
  <c r="M1158" i="12"/>
  <c r="A1159" i="12"/>
  <c r="B1159" i="12"/>
  <c r="C1159" i="12"/>
  <c r="D1159" i="12"/>
  <c r="E1159" i="12"/>
  <c r="F1159" i="12"/>
  <c r="G1159" i="12"/>
  <c r="I1159" i="12" s="1"/>
  <c r="M1159" i="12" s="1"/>
  <c r="H1159" i="12"/>
  <c r="J1159" i="12"/>
  <c r="K1159" i="12"/>
  <c r="L1159" i="12" s="1"/>
  <c r="N1159" i="12" s="1"/>
  <c r="A1160" i="12"/>
  <c r="B1160" i="12"/>
  <c r="C1160" i="12"/>
  <c r="D1160" i="12"/>
  <c r="E1160" i="12"/>
  <c r="F1160" i="12"/>
  <c r="G1160" i="12"/>
  <c r="H1160" i="12"/>
  <c r="I1160" i="12"/>
  <c r="M1160" i="12" s="1"/>
  <c r="J1160" i="12"/>
  <c r="L1160" i="12" s="1"/>
  <c r="N1160" i="12" s="1"/>
  <c r="K1160" i="12"/>
  <c r="A1161" i="12"/>
  <c r="B1161" i="12"/>
  <c r="C1161" i="12"/>
  <c r="D1161" i="12"/>
  <c r="E1161" i="12"/>
  <c r="F1161" i="12"/>
  <c r="G1161" i="12"/>
  <c r="H1161" i="12"/>
  <c r="I1161" i="12"/>
  <c r="J1161" i="12"/>
  <c r="K1161" i="12"/>
  <c r="L1161" i="12"/>
  <c r="N1161" i="12" s="1"/>
  <c r="M1161" i="12"/>
  <c r="A1162" i="12"/>
  <c r="B1162" i="12"/>
  <c r="C1162" i="12"/>
  <c r="D1162" i="12"/>
  <c r="E1162" i="12"/>
  <c r="F1162" i="12"/>
  <c r="G1162" i="12"/>
  <c r="I1162" i="12" s="1"/>
  <c r="H1162" i="12"/>
  <c r="J1162" i="12"/>
  <c r="L1162" i="12" s="1"/>
  <c r="N1162" i="12" s="1"/>
  <c r="K1162" i="12"/>
  <c r="M1162" i="12"/>
  <c r="A1163" i="12"/>
  <c r="B1163" i="12"/>
  <c r="C1163" i="12"/>
  <c r="D1163" i="12"/>
  <c r="E1163" i="12"/>
  <c r="F1163" i="12"/>
  <c r="G1163" i="12"/>
  <c r="H1163" i="12"/>
  <c r="I1163" i="12"/>
  <c r="M1163" i="12" s="1"/>
  <c r="J1163" i="12"/>
  <c r="K1163" i="12"/>
  <c r="L1163" i="12" s="1"/>
  <c r="N1163" i="12" s="1"/>
  <c r="A1164" i="12"/>
  <c r="B1164" i="12"/>
  <c r="C1164" i="12"/>
  <c r="D1164" i="12"/>
  <c r="E1164" i="12"/>
  <c r="F1164" i="12"/>
  <c r="G1164" i="12"/>
  <c r="H1164" i="12"/>
  <c r="I1164" i="12"/>
  <c r="M1164" i="12" s="1"/>
  <c r="J1164" i="12"/>
  <c r="L1164" i="12" s="1"/>
  <c r="N1164" i="12" s="1"/>
  <c r="K1164" i="12"/>
  <c r="A1165" i="12"/>
  <c r="B1165" i="12"/>
  <c r="C1165" i="12"/>
  <c r="D1165" i="12"/>
  <c r="E1165" i="12"/>
  <c r="F1165" i="12"/>
  <c r="G1165" i="12"/>
  <c r="H1165" i="12"/>
  <c r="I1165" i="12"/>
  <c r="J1165" i="12"/>
  <c r="K1165" i="12"/>
  <c r="L1165" i="12"/>
  <c r="N1165" i="12" s="1"/>
  <c r="M1165" i="12"/>
  <c r="A1166" i="12"/>
  <c r="B1166" i="12"/>
  <c r="C1166" i="12"/>
  <c r="D1166" i="12"/>
  <c r="E1166" i="12"/>
  <c r="F1166" i="12"/>
  <c r="G1166" i="12"/>
  <c r="I1166" i="12" s="1"/>
  <c r="H1166" i="12"/>
  <c r="J1166" i="12"/>
  <c r="K1166" i="12"/>
  <c r="M1166" i="12"/>
  <c r="A1167" i="12"/>
  <c r="B1167" i="12"/>
  <c r="C1167" i="12"/>
  <c r="D1167" i="12"/>
  <c r="E1167" i="12"/>
  <c r="F1167" i="12"/>
  <c r="G1167" i="12"/>
  <c r="H1167" i="12"/>
  <c r="I1167" i="12"/>
  <c r="M1167" i="12" s="1"/>
  <c r="J1167" i="12"/>
  <c r="K1167" i="12"/>
  <c r="L1167" i="12" s="1"/>
  <c r="N1167" i="12" s="1"/>
  <c r="A1168" i="12"/>
  <c r="B1168" i="12"/>
  <c r="C1168" i="12"/>
  <c r="D1168" i="12"/>
  <c r="E1168" i="12"/>
  <c r="F1168" i="12"/>
  <c r="G1168" i="12"/>
  <c r="H1168" i="12"/>
  <c r="I1168" i="12"/>
  <c r="M1168" i="12" s="1"/>
  <c r="J1168" i="12"/>
  <c r="L1168" i="12" s="1"/>
  <c r="K1168" i="12"/>
  <c r="N1168" i="12"/>
  <c r="A1169" i="12"/>
  <c r="B1169" i="12"/>
  <c r="C1169" i="12"/>
  <c r="D1169" i="12"/>
  <c r="E1169" i="12"/>
  <c r="F1169" i="12"/>
  <c r="G1169" i="12"/>
  <c r="H1169" i="12"/>
  <c r="J1169" i="12"/>
  <c r="K1169" i="12"/>
  <c r="L1169" i="12" s="1"/>
  <c r="N1169" i="12" s="1"/>
  <c r="A1170" i="12"/>
  <c r="B1170" i="12"/>
  <c r="C1170" i="12"/>
  <c r="D1170" i="12"/>
  <c r="E1170" i="12"/>
  <c r="F1170" i="12"/>
  <c r="G1170" i="12"/>
  <c r="I1170" i="12" s="1"/>
  <c r="H1170" i="12"/>
  <c r="J1170" i="12"/>
  <c r="K1170" i="12"/>
  <c r="M1170" i="12"/>
  <c r="A1171" i="12"/>
  <c r="B1171" i="12"/>
  <c r="C1171" i="12"/>
  <c r="D1171" i="12"/>
  <c r="E1171" i="12"/>
  <c r="F1171" i="12"/>
  <c r="G1171" i="12"/>
  <c r="I1171" i="12" s="1"/>
  <c r="H1171" i="12"/>
  <c r="J1171" i="12"/>
  <c r="K1171" i="12"/>
  <c r="L1171" i="12" s="1"/>
  <c r="N1171" i="12" s="1"/>
  <c r="M1171" i="12"/>
  <c r="A1172" i="12"/>
  <c r="B1172" i="12"/>
  <c r="C1172" i="12"/>
  <c r="D1172" i="12"/>
  <c r="E1172" i="12"/>
  <c r="F1172" i="12"/>
  <c r="G1172" i="12"/>
  <c r="H1172" i="12"/>
  <c r="I1172" i="12"/>
  <c r="J1172" i="12"/>
  <c r="L1172" i="12" s="1"/>
  <c r="N1172" i="12" s="1"/>
  <c r="K1172" i="12"/>
  <c r="M1172" i="12"/>
  <c r="A1173" i="12"/>
  <c r="B1173" i="12"/>
  <c r="C1173" i="12"/>
  <c r="D1173" i="12"/>
  <c r="E1173" i="12"/>
  <c r="F1173" i="12"/>
  <c r="G1173" i="12"/>
  <c r="I1173" i="12" s="1"/>
  <c r="M1173" i="12" s="1"/>
  <c r="H1173" i="12"/>
  <c r="J1173" i="12"/>
  <c r="K1173" i="12"/>
  <c r="L1173" i="12" s="1"/>
  <c r="N1173" i="12" s="1"/>
  <c r="A1174" i="12"/>
  <c r="B1174" i="12"/>
  <c r="C1174" i="12"/>
  <c r="D1174" i="12"/>
  <c r="E1174" i="12"/>
  <c r="F1174" i="12"/>
  <c r="G1174" i="12"/>
  <c r="I1174" i="12" s="1"/>
  <c r="H1174" i="12"/>
  <c r="J1174" i="12"/>
  <c r="L1174" i="12" s="1"/>
  <c r="N1174" i="12" s="1"/>
  <c r="K1174" i="12"/>
  <c r="M1174" i="12"/>
  <c r="A1175" i="12"/>
  <c r="B1175" i="12"/>
  <c r="C1175" i="12"/>
  <c r="D1175" i="12"/>
  <c r="E1175" i="12"/>
  <c r="F1175" i="12"/>
  <c r="G1175" i="12"/>
  <c r="I1175" i="12" s="1"/>
  <c r="M1175" i="12" s="1"/>
  <c r="H1175" i="12"/>
  <c r="J1175" i="12"/>
  <c r="K1175" i="12"/>
  <c r="L1175" i="12" s="1"/>
  <c r="N1175" i="12" s="1"/>
  <c r="A1176" i="12"/>
  <c r="B1176" i="12"/>
  <c r="C1176" i="12"/>
  <c r="D1176" i="12"/>
  <c r="E1176" i="12"/>
  <c r="F1176" i="12"/>
  <c r="G1176" i="12"/>
  <c r="H1176" i="12"/>
  <c r="I1176" i="12"/>
  <c r="M1176" i="12" s="1"/>
  <c r="J1176" i="12"/>
  <c r="L1176" i="12" s="1"/>
  <c r="N1176" i="12" s="1"/>
  <c r="K1176" i="12"/>
  <c r="A1177" i="12"/>
  <c r="B1177" i="12"/>
  <c r="C1177" i="12"/>
  <c r="D1177" i="12"/>
  <c r="E1177" i="12"/>
  <c r="F1177" i="12"/>
  <c r="G1177" i="12"/>
  <c r="H1177" i="12"/>
  <c r="I1177" i="12"/>
  <c r="J1177" i="12"/>
  <c r="K1177" i="12"/>
  <c r="L1177" i="12"/>
  <c r="N1177" i="12" s="1"/>
  <c r="M1177" i="12"/>
  <c r="A1178" i="12"/>
  <c r="B1178" i="12"/>
  <c r="C1178" i="12"/>
  <c r="D1178" i="12"/>
  <c r="E1178" i="12"/>
  <c r="F1178" i="12"/>
  <c r="G1178" i="12"/>
  <c r="I1178" i="12" s="1"/>
  <c r="H1178" i="12"/>
  <c r="J1178" i="12"/>
  <c r="L1178" i="12" s="1"/>
  <c r="N1178" i="12" s="1"/>
  <c r="K1178" i="12"/>
  <c r="M1178" i="12"/>
  <c r="A1179" i="12"/>
  <c r="B1179" i="12"/>
  <c r="C1179" i="12"/>
  <c r="D1179" i="12"/>
  <c r="E1179" i="12"/>
  <c r="F1179" i="12"/>
  <c r="G1179" i="12"/>
  <c r="H1179" i="12"/>
  <c r="I1179" i="12"/>
  <c r="M1179" i="12" s="1"/>
  <c r="J1179" i="12"/>
  <c r="K1179" i="12"/>
  <c r="L1179" i="12" s="1"/>
  <c r="N1179" i="12" s="1"/>
  <c r="A1180" i="12"/>
  <c r="B1180" i="12"/>
  <c r="C1180" i="12"/>
  <c r="D1180" i="12"/>
  <c r="E1180" i="12"/>
  <c r="F1180" i="12"/>
  <c r="G1180" i="12"/>
  <c r="H1180" i="12"/>
  <c r="I1180" i="12"/>
  <c r="M1180" i="12" s="1"/>
  <c r="J1180" i="12"/>
  <c r="L1180" i="12" s="1"/>
  <c r="K1180" i="12"/>
  <c r="N1180" i="12"/>
  <c r="A1181" i="12"/>
  <c r="B1181" i="12"/>
  <c r="C1181" i="12"/>
  <c r="D1181" i="12"/>
  <c r="E1181" i="12"/>
  <c r="F1181" i="12"/>
  <c r="G1181" i="12"/>
  <c r="H1181" i="12"/>
  <c r="I1181" i="12" s="1"/>
  <c r="M1181" i="12" s="1"/>
  <c r="J1181" i="12"/>
  <c r="K1181" i="12"/>
  <c r="L1181" i="12"/>
  <c r="N1181" i="12" s="1"/>
  <c r="A1182" i="12"/>
  <c r="B1182" i="12"/>
  <c r="C1182" i="12"/>
  <c r="D1182" i="12"/>
  <c r="E1182" i="12"/>
  <c r="F1182" i="12"/>
  <c r="G1182" i="12"/>
  <c r="I1182" i="12" s="1"/>
  <c r="H1182" i="12"/>
  <c r="J1182" i="12"/>
  <c r="K1182" i="12"/>
  <c r="M1182" i="12"/>
  <c r="A1183" i="12"/>
  <c r="B1183" i="12"/>
  <c r="C1183" i="12"/>
  <c r="D1183" i="12"/>
  <c r="E1183" i="12"/>
  <c r="F1183" i="12"/>
  <c r="G1183" i="12"/>
  <c r="H1183" i="12"/>
  <c r="I1183" i="12"/>
  <c r="J1183" i="12"/>
  <c r="K1183" i="12"/>
  <c r="L1183" i="12" s="1"/>
  <c r="N1183" i="12" s="1"/>
  <c r="M1183" i="12"/>
  <c r="A1184" i="12"/>
  <c r="B1184" i="12"/>
  <c r="C1184" i="12"/>
  <c r="D1184" i="12"/>
  <c r="E1184" i="12"/>
  <c r="F1184" i="12"/>
  <c r="G1184" i="12"/>
  <c r="H1184" i="12"/>
  <c r="I1184" i="12"/>
  <c r="J1184" i="12"/>
  <c r="L1184" i="12" s="1"/>
  <c r="K1184" i="12"/>
  <c r="M1184" i="12"/>
  <c r="N1184" i="12"/>
  <c r="A1185" i="12"/>
  <c r="B1185" i="12"/>
  <c r="C1185" i="12"/>
  <c r="D1185" i="12"/>
  <c r="E1185" i="12"/>
  <c r="F1185" i="12"/>
  <c r="G1185" i="12"/>
  <c r="I1185" i="12" s="1"/>
  <c r="M1185" i="12" s="1"/>
  <c r="H1185" i="12"/>
  <c r="J1185" i="12"/>
  <c r="K1185" i="12"/>
  <c r="L1185" i="12"/>
  <c r="N1185" i="12" s="1"/>
  <c r="A1186" i="12"/>
  <c r="B1186" i="12"/>
  <c r="C1186" i="12"/>
  <c r="D1186" i="12"/>
  <c r="E1186" i="12"/>
  <c r="F1186" i="12"/>
  <c r="G1186" i="12"/>
  <c r="I1186" i="12" s="1"/>
  <c r="H1186" i="12"/>
  <c r="J1186" i="12"/>
  <c r="K1186" i="12"/>
  <c r="M1186" i="12"/>
  <c r="A1187" i="12"/>
  <c r="B1187" i="12"/>
  <c r="C1187" i="12"/>
  <c r="D1187" i="12"/>
  <c r="E1187" i="12"/>
  <c r="F1187" i="12"/>
  <c r="G1187" i="12"/>
  <c r="I1187" i="12" s="1"/>
  <c r="H1187" i="12"/>
  <c r="J1187" i="12"/>
  <c r="K1187" i="12"/>
  <c r="L1187" i="12" s="1"/>
  <c r="N1187" i="12" s="1"/>
  <c r="M1187" i="12"/>
  <c r="A1188" i="12"/>
  <c r="B1188" i="12"/>
  <c r="C1188" i="12"/>
  <c r="D1188" i="12"/>
  <c r="E1188" i="12"/>
  <c r="F1188" i="12"/>
  <c r="G1188" i="12"/>
  <c r="H1188" i="12"/>
  <c r="I1188" i="12"/>
  <c r="J1188" i="12"/>
  <c r="L1188" i="12" s="1"/>
  <c r="N1188" i="12" s="1"/>
  <c r="K1188" i="12"/>
  <c r="M1188" i="12"/>
  <c r="A1189" i="12"/>
  <c r="B1189" i="12"/>
  <c r="C1189" i="12"/>
  <c r="D1189" i="12"/>
  <c r="E1189" i="12"/>
  <c r="F1189" i="12"/>
  <c r="G1189" i="12"/>
  <c r="I1189" i="12" s="1"/>
  <c r="M1189" i="12" s="1"/>
  <c r="H1189" i="12"/>
  <c r="J1189" i="12"/>
  <c r="K1189" i="12"/>
  <c r="L1189" i="12" s="1"/>
  <c r="N1189" i="12" s="1"/>
  <c r="A1190" i="12"/>
  <c r="B1190" i="12"/>
  <c r="C1190" i="12"/>
  <c r="D1190" i="12"/>
  <c r="E1190" i="12"/>
  <c r="F1190" i="12"/>
  <c r="G1190" i="12"/>
  <c r="I1190" i="12" s="1"/>
  <c r="H1190" i="12"/>
  <c r="J1190" i="12"/>
  <c r="K1190" i="12"/>
  <c r="M1190" i="12"/>
  <c r="A1191" i="12"/>
  <c r="B1191" i="12"/>
  <c r="C1191" i="12"/>
  <c r="D1191" i="12"/>
  <c r="E1191" i="12"/>
  <c r="F1191" i="12"/>
  <c r="G1191" i="12"/>
  <c r="I1191" i="12" s="1"/>
  <c r="M1191" i="12" s="1"/>
  <c r="H1191" i="12"/>
  <c r="J1191" i="12"/>
  <c r="K1191" i="12"/>
  <c r="L1191" i="12" s="1"/>
  <c r="N1191" i="12" s="1"/>
  <c r="A1192" i="12"/>
  <c r="B1192" i="12"/>
  <c r="C1192" i="12"/>
  <c r="D1192" i="12"/>
  <c r="E1192" i="12"/>
  <c r="F1192" i="12"/>
  <c r="G1192" i="12"/>
  <c r="H1192" i="12"/>
  <c r="I1192" i="12"/>
  <c r="M1192" i="12" s="1"/>
  <c r="J1192" i="12"/>
  <c r="L1192" i="12" s="1"/>
  <c r="N1192" i="12" s="1"/>
  <c r="K1192" i="12"/>
  <c r="A1193" i="12"/>
  <c r="B1193" i="12"/>
  <c r="C1193" i="12"/>
  <c r="D1193" i="12"/>
  <c r="E1193" i="12"/>
  <c r="F1193" i="12"/>
  <c r="G1193" i="12"/>
  <c r="H1193" i="12"/>
  <c r="I1193" i="12"/>
  <c r="J1193" i="12"/>
  <c r="K1193" i="12"/>
  <c r="L1193" i="12"/>
  <c r="N1193" i="12" s="1"/>
  <c r="M1193" i="12"/>
  <c r="A1194" i="12"/>
  <c r="B1194" i="12"/>
  <c r="C1194" i="12"/>
  <c r="D1194" i="12"/>
  <c r="E1194" i="12"/>
  <c r="F1194" i="12"/>
  <c r="G1194" i="12"/>
  <c r="I1194" i="12" s="1"/>
  <c r="H1194" i="12"/>
  <c r="J1194" i="12"/>
  <c r="L1194" i="12" s="1"/>
  <c r="N1194" i="12" s="1"/>
  <c r="K1194" i="12"/>
  <c r="M1194" i="12"/>
  <c r="A1195" i="12"/>
  <c r="B1195" i="12"/>
  <c r="C1195" i="12"/>
  <c r="D1195" i="12"/>
  <c r="E1195" i="12"/>
  <c r="F1195" i="12"/>
  <c r="G1195" i="12"/>
  <c r="H1195" i="12"/>
  <c r="I1195" i="12"/>
  <c r="M1195" i="12" s="1"/>
  <c r="J1195" i="12"/>
  <c r="K1195" i="12"/>
  <c r="L1195" i="12" s="1"/>
  <c r="N1195" i="12" s="1"/>
  <c r="A1196" i="12"/>
  <c r="B1196" i="12"/>
  <c r="C1196" i="12"/>
  <c r="D1196" i="12"/>
  <c r="E1196" i="12"/>
  <c r="F1196" i="12"/>
  <c r="G1196" i="12"/>
  <c r="H1196" i="12"/>
  <c r="I1196" i="12"/>
  <c r="M1196" i="12" s="1"/>
  <c r="J1196" i="12"/>
  <c r="L1196" i="12" s="1"/>
  <c r="K1196" i="12"/>
  <c r="N1196" i="12"/>
  <c r="A1197" i="12"/>
  <c r="B1197" i="12"/>
  <c r="C1197" i="12"/>
  <c r="D1197" i="12"/>
  <c r="E1197" i="12"/>
  <c r="F1197" i="12"/>
  <c r="G1197" i="12"/>
  <c r="H1197" i="12"/>
  <c r="I1197" i="12"/>
  <c r="J1197" i="12"/>
  <c r="K1197" i="12"/>
  <c r="L1197" i="12"/>
  <c r="N1197" i="12" s="1"/>
  <c r="M1197" i="12"/>
  <c r="A1198" i="12"/>
  <c r="B1198" i="12"/>
  <c r="C1198" i="12"/>
  <c r="D1198" i="12"/>
  <c r="E1198" i="12"/>
  <c r="F1198" i="12"/>
  <c r="G1198" i="12"/>
  <c r="I1198" i="12" s="1"/>
  <c r="H1198" i="12"/>
  <c r="J1198" i="12"/>
  <c r="K1198" i="12"/>
  <c r="M1198" i="12"/>
  <c r="A1199" i="12"/>
  <c r="B1199" i="12"/>
  <c r="C1199" i="12"/>
  <c r="D1199" i="12"/>
  <c r="E1199" i="12"/>
  <c r="F1199" i="12"/>
  <c r="G1199" i="12"/>
  <c r="H1199" i="12"/>
  <c r="I1199" i="12"/>
  <c r="M1199" i="12" s="1"/>
  <c r="J1199" i="12"/>
  <c r="K1199" i="12"/>
  <c r="L1199" i="12" s="1"/>
  <c r="N1199" i="12" s="1"/>
  <c r="A1200" i="12"/>
  <c r="B1200" i="12"/>
  <c r="C1200" i="12"/>
  <c r="D1200" i="12"/>
  <c r="E1200" i="12"/>
  <c r="F1200" i="12"/>
  <c r="G1200" i="12"/>
  <c r="H1200" i="12"/>
  <c r="I1200" i="12"/>
  <c r="M1200" i="12" s="1"/>
  <c r="J1200" i="12"/>
  <c r="L1200" i="12" s="1"/>
  <c r="K1200" i="12"/>
  <c r="N1200" i="12"/>
  <c r="A1201" i="12"/>
  <c r="B1201" i="12"/>
  <c r="C1201" i="12"/>
  <c r="D1201" i="12"/>
  <c r="E1201" i="12"/>
  <c r="F1201" i="12"/>
  <c r="G1201" i="12"/>
  <c r="H1201" i="12"/>
  <c r="J1201" i="12"/>
  <c r="K1201" i="12"/>
  <c r="L1201" i="12" s="1"/>
  <c r="N1201" i="12" s="1"/>
  <c r="A1202" i="12"/>
  <c r="B1202" i="12"/>
  <c r="C1202" i="12"/>
  <c r="D1202" i="12"/>
  <c r="E1202" i="12"/>
  <c r="F1202" i="12"/>
  <c r="G1202" i="12"/>
  <c r="I1202" i="12" s="1"/>
  <c r="H1202" i="12"/>
  <c r="J1202" i="12"/>
  <c r="K1202" i="12"/>
  <c r="M1202" i="12"/>
  <c r="A1203" i="12"/>
  <c r="B1203" i="12"/>
  <c r="C1203" i="12"/>
  <c r="D1203" i="12"/>
  <c r="E1203" i="12"/>
  <c r="F1203" i="12"/>
  <c r="G1203" i="12"/>
  <c r="I1203" i="12" s="1"/>
  <c r="H1203" i="12"/>
  <c r="J1203" i="12"/>
  <c r="K1203" i="12"/>
  <c r="L1203" i="12" s="1"/>
  <c r="N1203" i="12" s="1"/>
  <c r="M1203" i="12"/>
  <c r="A1204" i="12"/>
  <c r="B1204" i="12"/>
  <c r="C1204" i="12"/>
  <c r="D1204" i="12"/>
  <c r="E1204" i="12"/>
  <c r="F1204" i="12"/>
  <c r="G1204" i="12"/>
  <c r="H1204" i="12"/>
  <c r="I1204" i="12"/>
  <c r="J1204" i="12"/>
  <c r="L1204" i="12" s="1"/>
  <c r="N1204" i="12" s="1"/>
  <c r="K1204" i="12"/>
  <c r="M1204" i="12"/>
  <c r="A1205" i="12"/>
  <c r="B1205" i="12"/>
  <c r="C1205" i="12"/>
  <c r="D1205" i="12"/>
  <c r="E1205" i="12"/>
  <c r="F1205" i="12"/>
  <c r="G1205" i="12"/>
  <c r="I1205" i="12" s="1"/>
  <c r="M1205" i="12" s="1"/>
  <c r="H1205" i="12"/>
  <c r="J1205" i="12"/>
  <c r="K1205" i="12"/>
  <c r="L1205" i="12" s="1"/>
  <c r="N1205" i="12" s="1"/>
  <c r="A1206" i="12"/>
  <c r="B1206" i="12"/>
  <c r="C1206" i="12"/>
  <c r="D1206" i="12"/>
  <c r="E1206" i="12"/>
  <c r="F1206" i="12"/>
  <c r="G1206" i="12"/>
  <c r="I1206" i="12" s="1"/>
  <c r="H1206" i="12"/>
  <c r="J1206" i="12"/>
  <c r="L1206" i="12" s="1"/>
  <c r="N1206" i="12" s="1"/>
  <c r="K1206" i="12"/>
  <c r="M1206" i="12"/>
  <c r="A1207" i="12"/>
  <c r="B1207" i="12"/>
  <c r="C1207" i="12"/>
  <c r="D1207" i="12"/>
  <c r="E1207" i="12"/>
  <c r="F1207" i="12"/>
  <c r="G1207" i="12"/>
  <c r="I1207" i="12" s="1"/>
  <c r="M1207" i="12" s="1"/>
  <c r="H1207" i="12"/>
  <c r="J1207" i="12"/>
  <c r="K1207" i="12"/>
  <c r="L1207" i="12" s="1"/>
  <c r="N1207" i="12" s="1"/>
  <c r="A1208" i="12"/>
  <c r="B1208" i="12"/>
  <c r="C1208" i="12"/>
  <c r="D1208" i="12"/>
  <c r="E1208" i="12"/>
  <c r="F1208" i="12"/>
  <c r="G1208" i="12"/>
  <c r="H1208" i="12"/>
  <c r="I1208" i="12"/>
  <c r="M1208" i="12" s="1"/>
  <c r="J1208" i="12"/>
  <c r="L1208" i="12" s="1"/>
  <c r="N1208" i="12" s="1"/>
  <c r="K1208" i="12"/>
  <c r="A1209" i="12"/>
  <c r="B1209" i="12"/>
  <c r="C1209" i="12"/>
  <c r="D1209" i="12"/>
  <c r="E1209" i="12"/>
  <c r="F1209" i="12"/>
  <c r="G1209" i="12"/>
  <c r="H1209" i="12"/>
  <c r="I1209" i="12"/>
  <c r="J1209" i="12"/>
  <c r="K1209" i="12"/>
  <c r="L1209" i="12"/>
  <c r="N1209" i="12" s="1"/>
  <c r="M1209" i="12"/>
  <c r="A1210" i="12"/>
  <c r="B1210" i="12"/>
  <c r="C1210" i="12"/>
  <c r="D1210" i="12"/>
  <c r="E1210" i="12"/>
  <c r="F1210" i="12"/>
  <c r="G1210" i="12"/>
  <c r="I1210" i="12" s="1"/>
  <c r="H1210" i="12"/>
  <c r="J1210" i="12"/>
  <c r="L1210" i="12" s="1"/>
  <c r="N1210" i="12" s="1"/>
  <c r="K1210" i="12"/>
  <c r="M1210" i="12"/>
  <c r="A1211" i="12"/>
  <c r="B1211" i="12"/>
  <c r="C1211" i="12"/>
  <c r="D1211" i="12"/>
  <c r="E1211" i="12"/>
  <c r="F1211" i="12"/>
  <c r="G1211" i="12"/>
  <c r="H1211" i="12"/>
  <c r="I1211" i="12"/>
  <c r="M1211" i="12" s="1"/>
  <c r="J1211" i="12"/>
  <c r="K1211" i="12"/>
  <c r="L1211" i="12" s="1"/>
  <c r="N1211" i="12" s="1"/>
  <c r="A1212" i="12"/>
  <c r="B1212" i="12"/>
  <c r="C1212" i="12"/>
  <c r="D1212" i="12"/>
  <c r="E1212" i="12"/>
  <c r="F1212" i="12"/>
  <c r="G1212" i="12"/>
  <c r="H1212" i="12"/>
  <c r="I1212" i="12"/>
  <c r="M1212" i="12" s="1"/>
  <c r="J1212" i="12"/>
  <c r="L1212" i="12" s="1"/>
  <c r="N1212" i="12" s="1"/>
  <c r="K1212" i="12"/>
  <c r="A1213" i="12"/>
  <c r="B1213" i="12"/>
  <c r="C1213" i="12"/>
  <c r="D1213" i="12"/>
  <c r="E1213" i="12"/>
  <c r="F1213" i="12"/>
  <c r="G1213" i="12"/>
  <c r="H1213" i="12"/>
  <c r="I1213" i="12" s="1"/>
  <c r="M1213" i="12" s="1"/>
  <c r="J1213" i="12"/>
  <c r="K1213" i="12"/>
  <c r="L1213" i="12"/>
  <c r="N1213" i="12" s="1"/>
  <c r="A1214" i="12"/>
  <c r="B1214" i="12"/>
  <c r="C1214" i="12"/>
  <c r="D1214" i="12"/>
  <c r="E1214" i="12"/>
  <c r="F1214" i="12"/>
  <c r="G1214" i="12"/>
  <c r="I1214" i="12" s="1"/>
  <c r="H1214" i="12"/>
  <c r="J1214" i="12"/>
  <c r="K1214" i="12"/>
  <c r="M1214" i="12"/>
  <c r="A1215" i="12"/>
  <c r="B1215" i="12"/>
  <c r="C1215" i="12"/>
  <c r="D1215" i="12"/>
  <c r="E1215" i="12"/>
  <c r="F1215" i="12"/>
  <c r="G1215" i="12"/>
  <c r="H1215" i="12"/>
  <c r="I1215" i="12"/>
  <c r="J1215" i="12"/>
  <c r="K1215" i="12"/>
  <c r="L1215" i="12" s="1"/>
  <c r="N1215" i="12" s="1"/>
  <c r="M1215" i="12"/>
  <c r="A1216" i="12"/>
  <c r="B1216" i="12"/>
  <c r="C1216" i="12"/>
  <c r="D1216" i="12"/>
  <c r="E1216" i="12"/>
  <c r="F1216" i="12"/>
  <c r="G1216" i="12"/>
  <c r="H1216" i="12"/>
  <c r="I1216" i="12"/>
  <c r="J1216" i="12"/>
  <c r="L1216" i="12" s="1"/>
  <c r="K1216" i="12"/>
  <c r="M1216" i="12"/>
  <c r="N1216" i="12"/>
  <c r="A1217" i="12"/>
  <c r="B1217" i="12"/>
  <c r="C1217" i="12"/>
  <c r="D1217" i="12"/>
  <c r="E1217" i="12"/>
  <c r="F1217" i="12"/>
  <c r="G1217" i="12"/>
  <c r="I1217" i="12" s="1"/>
  <c r="M1217" i="12" s="1"/>
  <c r="H1217" i="12"/>
  <c r="J1217" i="12"/>
  <c r="K1217" i="12"/>
  <c r="L1217" i="12"/>
  <c r="N1217" i="12" s="1"/>
  <c r="A1218" i="12"/>
  <c r="B1218" i="12"/>
  <c r="C1218" i="12"/>
  <c r="D1218" i="12"/>
  <c r="E1218" i="12"/>
  <c r="F1218" i="12"/>
  <c r="G1218" i="12"/>
  <c r="I1218" i="12" s="1"/>
  <c r="H1218" i="12"/>
  <c r="J1218" i="12"/>
  <c r="K1218" i="12"/>
  <c r="M1218" i="12"/>
  <c r="A1219" i="12"/>
  <c r="B1219" i="12"/>
  <c r="C1219" i="12"/>
  <c r="D1219" i="12"/>
  <c r="E1219" i="12"/>
  <c r="F1219" i="12"/>
  <c r="G1219" i="12"/>
  <c r="I1219" i="12" s="1"/>
  <c r="H1219" i="12"/>
  <c r="J1219" i="12"/>
  <c r="K1219" i="12"/>
  <c r="L1219" i="12" s="1"/>
  <c r="N1219" i="12" s="1"/>
  <c r="M1219" i="12"/>
  <c r="A1220" i="12"/>
  <c r="B1220" i="12"/>
  <c r="C1220" i="12"/>
  <c r="D1220" i="12"/>
  <c r="E1220" i="12"/>
  <c r="F1220" i="12"/>
  <c r="G1220" i="12"/>
  <c r="H1220" i="12"/>
  <c r="I1220" i="12"/>
  <c r="J1220" i="12"/>
  <c r="L1220" i="12" s="1"/>
  <c r="N1220" i="12" s="1"/>
  <c r="K1220" i="12"/>
  <c r="M1220" i="12"/>
  <c r="A1221" i="12"/>
  <c r="B1221" i="12"/>
  <c r="C1221" i="12"/>
  <c r="D1221" i="12"/>
  <c r="E1221" i="12"/>
  <c r="F1221" i="12"/>
  <c r="G1221" i="12"/>
  <c r="I1221" i="12" s="1"/>
  <c r="M1221" i="12" s="1"/>
  <c r="H1221" i="12"/>
  <c r="J1221" i="12"/>
  <c r="K1221" i="12"/>
  <c r="L1221" i="12" s="1"/>
  <c r="N1221" i="12" s="1"/>
  <c r="A1222" i="12"/>
  <c r="B1222" i="12"/>
  <c r="C1222" i="12"/>
  <c r="D1222" i="12"/>
  <c r="E1222" i="12"/>
  <c r="F1222" i="12"/>
  <c r="G1222" i="12"/>
  <c r="I1222" i="12" s="1"/>
  <c r="H1222" i="12"/>
  <c r="J1222" i="12"/>
  <c r="K1222" i="12"/>
  <c r="M1222" i="12"/>
  <c r="A1223" i="12"/>
  <c r="B1223" i="12"/>
  <c r="C1223" i="12"/>
  <c r="D1223" i="12"/>
  <c r="E1223" i="12"/>
  <c r="F1223" i="12"/>
  <c r="G1223" i="12"/>
  <c r="I1223" i="12" s="1"/>
  <c r="M1223" i="12" s="1"/>
  <c r="H1223" i="12"/>
  <c r="J1223" i="12"/>
  <c r="K1223" i="12"/>
  <c r="L1223" i="12" s="1"/>
  <c r="N1223" i="12" s="1"/>
  <c r="A1224" i="12"/>
  <c r="B1224" i="12"/>
  <c r="C1224" i="12"/>
  <c r="D1224" i="12"/>
  <c r="E1224" i="12"/>
  <c r="F1224" i="12"/>
  <c r="G1224" i="12"/>
  <c r="H1224" i="12"/>
  <c r="I1224" i="12"/>
  <c r="M1224" i="12" s="1"/>
  <c r="J1224" i="12"/>
  <c r="L1224" i="12" s="1"/>
  <c r="N1224" i="12" s="1"/>
  <c r="K1224" i="12"/>
  <c r="A1225" i="12"/>
  <c r="B1225" i="12"/>
  <c r="C1225" i="12"/>
  <c r="D1225" i="12"/>
  <c r="E1225" i="12"/>
  <c r="F1225" i="12"/>
  <c r="G1225" i="12"/>
  <c r="H1225" i="12"/>
  <c r="I1225" i="12"/>
  <c r="J1225" i="12"/>
  <c r="K1225" i="12"/>
  <c r="L1225" i="12"/>
  <c r="N1225" i="12" s="1"/>
  <c r="M1225" i="12"/>
  <c r="A1226" i="12"/>
  <c r="B1226" i="12"/>
  <c r="C1226" i="12"/>
  <c r="D1226" i="12"/>
  <c r="E1226" i="12"/>
  <c r="F1226" i="12"/>
  <c r="G1226" i="12"/>
  <c r="I1226" i="12" s="1"/>
  <c r="H1226" i="12"/>
  <c r="J1226" i="12"/>
  <c r="L1226" i="12" s="1"/>
  <c r="N1226" i="12" s="1"/>
  <c r="K1226" i="12"/>
  <c r="M1226" i="12"/>
  <c r="A1227" i="12"/>
  <c r="B1227" i="12"/>
  <c r="C1227" i="12"/>
  <c r="D1227" i="12"/>
  <c r="E1227" i="12"/>
  <c r="F1227" i="12"/>
  <c r="G1227" i="12"/>
  <c r="H1227" i="12"/>
  <c r="I1227" i="12"/>
  <c r="M1227" i="12" s="1"/>
  <c r="J1227" i="12"/>
  <c r="K1227" i="12"/>
  <c r="L1227" i="12" s="1"/>
  <c r="N1227" i="12" s="1"/>
  <c r="A1228" i="12"/>
  <c r="B1228" i="12"/>
  <c r="C1228" i="12"/>
  <c r="D1228" i="12"/>
  <c r="E1228" i="12"/>
  <c r="F1228" i="12"/>
  <c r="G1228" i="12"/>
  <c r="H1228" i="12"/>
  <c r="I1228" i="12"/>
  <c r="M1228" i="12" s="1"/>
  <c r="J1228" i="12"/>
  <c r="L1228" i="12" s="1"/>
  <c r="N1228" i="12" s="1"/>
  <c r="K1228" i="12"/>
  <c r="A1229" i="12"/>
  <c r="B1229" i="12"/>
  <c r="C1229" i="12"/>
  <c r="D1229" i="12"/>
  <c r="E1229" i="12"/>
  <c r="F1229" i="12"/>
  <c r="G1229" i="12"/>
  <c r="H1229" i="12"/>
  <c r="I1229" i="12"/>
  <c r="J1229" i="12"/>
  <c r="K1229" i="12"/>
  <c r="L1229" i="12"/>
  <c r="N1229" i="12" s="1"/>
  <c r="M1229" i="12"/>
  <c r="A1230" i="12"/>
  <c r="B1230" i="12"/>
  <c r="C1230" i="12"/>
  <c r="D1230" i="12"/>
  <c r="E1230" i="12"/>
  <c r="F1230" i="12"/>
  <c r="G1230" i="12"/>
  <c r="I1230" i="12" s="1"/>
  <c r="H1230" i="12"/>
  <c r="J1230" i="12"/>
  <c r="K1230" i="12"/>
  <c r="M1230" i="12"/>
  <c r="A1231" i="12"/>
  <c r="B1231" i="12"/>
  <c r="C1231" i="12"/>
  <c r="D1231" i="12"/>
  <c r="E1231" i="12"/>
  <c r="F1231" i="12"/>
  <c r="G1231" i="12"/>
  <c r="H1231" i="12"/>
  <c r="I1231" i="12"/>
  <c r="M1231" i="12" s="1"/>
  <c r="J1231" i="12"/>
  <c r="K1231" i="12"/>
  <c r="L1231" i="12" s="1"/>
  <c r="N1231" i="12" s="1"/>
  <c r="A1232" i="12"/>
  <c r="B1232" i="12"/>
  <c r="C1232" i="12"/>
  <c r="D1232" i="12"/>
  <c r="E1232" i="12"/>
  <c r="F1232" i="12"/>
  <c r="G1232" i="12"/>
  <c r="H1232" i="12"/>
  <c r="I1232" i="12"/>
  <c r="M1232" i="12" s="1"/>
  <c r="J1232" i="12"/>
  <c r="L1232" i="12" s="1"/>
  <c r="K1232" i="12"/>
  <c r="N1232" i="12"/>
  <c r="A1233" i="12"/>
  <c r="B1233" i="12"/>
  <c r="C1233" i="12"/>
  <c r="D1233" i="12"/>
  <c r="E1233" i="12"/>
  <c r="F1233" i="12"/>
  <c r="G1233" i="12"/>
  <c r="H1233" i="12"/>
  <c r="J1233" i="12"/>
  <c r="K1233" i="12"/>
  <c r="L1233" i="12" s="1"/>
  <c r="N1233" i="12" s="1"/>
  <c r="A1234" i="12"/>
  <c r="B1234" i="12"/>
  <c r="C1234" i="12"/>
  <c r="D1234" i="12"/>
  <c r="E1234" i="12"/>
  <c r="F1234" i="12"/>
  <c r="G1234" i="12"/>
  <c r="I1234" i="12" s="1"/>
  <c r="H1234" i="12"/>
  <c r="J1234" i="12"/>
  <c r="K1234" i="12"/>
  <c r="M1234" i="12"/>
  <c r="A1235" i="12"/>
  <c r="B1235" i="12"/>
  <c r="C1235" i="12"/>
  <c r="D1235" i="12"/>
  <c r="E1235" i="12"/>
  <c r="F1235" i="12"/>
  <c r="G1235" i="12"/>
  <c r="I1235" i="12" s="1"/>
  <c r="H1235" i="12"/>
  <c r="J1235" i="12"/>
  <c r="K1235" i="12"/>
  <c r="L1235" i="12" s="1"/>
  <c r="N1235" i="12" s="1"/>
  <c r="M1235" i="12"/>
  <c r="A1236" i="12"/>
  <c r="B1236" i="12"/>
  <c r="C1236" i="12"/>
  <c r="D1236" i="12"/>
  <c r="E1236" i="12"/>
  <c r="F1236" i="12"/>
  <c r="G1236" i="12"/>
  <c r="H1236" i="12"/>
  <c r="I1236" i="12"/>
  <c r="J1236" i="12"/>
  <c r="L1236" i="12" s="1"/>
  <c r="N1236" i="12" s="1"/>
  <c r="K1236" i="12"/>
  <c r="M1236" i="12"/>
  <c r="A1237" i="12"/>
  <c r="B1237" i="12"/>
  <c r="C1237" i="12"/>
  <c r="D1237" i="12"/>
  <c r="E1237" i="12"/>
  <c r="F1237" i="12"/>
  <c r="G1237" i="12"/>
  <c r="I1237" i="12" s="1"/>
  <c r="M1237" i="12" s="1"/>
  <c r="H1237" i="12"/>
  <c r="J1237" i="12"/>
  <c r="K1237" i="12"/>
  <c r="L1237" i="12" s="1"/>
  <c r="N1237" i="12" s="1"/>
  <c r="A1238" i="12"/>
  <c r="B1238" i="12"/>
  <c r="C1238" i="12"/>
  <c r="D1238" i="12"/>
  <c r="E1238" i="12"/>
  <c r="F1238" i="12"/>
  <c r="G1238" i="12"/>
  <c r="I1238" i="12" s="1"/>
  <c r="H1238" i="12"/>
  <c r="J1238" i="12"/>
  <c r="L1238" i="12" s="1"/>
  <c r="N1238" i="12" s="1"/>
  <c r="K1238" i="12"/>
  <c r="M1238" i="12"/>
  <c r="A1239" i="12"/>
  <c r="B1239" i="12"/>
  <c r="C1239" i="12"/>
  <c r="D1239" i="12"/>
  <c r="E1239" i="12"/>
  <c r="F1239" i="12"/>
  <c r="G1239" i="12"/>
  <c r="I1239" i="12" s="1"/>
  <c r="M1239" i="12" s="1"/>
  <c r="H1239" i="12"/>
  <c r="J1239" i="12"/>
  <c r="K1239" i="12"/>
  <c r="L1239" i="12" s="1"/>
  <c r="N1239" i="12" s="1"/>
  <c r="A1240" i="12"/>
  <c r="B1240" i="12"/>
  <c r="C1240" i="12"/>
  <c r="D1240" i="12"/>
  <c r="E1240" i="12"/>
  <c r="F1240" i="12"/>
  <c r="G1240" i="12"/>
  <c r="H1240" i="12"/>
  <c r="I1240" i="12"/>
  <c r="M1240" i="12" s="1"/>
  <c r="J1240" i="12"/>
  <c r="L1240" i="12" s="1"/>
  <c r="N1240" i="12" s="1"/>
  <c r="K1240" i="12"/>
  <c r="A1241" i="12"/>
  <c r="B1241" i="12"/>
  <c r="C1241" i="12"/>
  <c r="D1241" i="12"/>
  <c r="E1241" i="12"/>
  <c r="F1241" i="12"/>
  <c r="G1241" i="12"/>
  <c r="H1241" i="12"/>
  <c r="I1241" i="12"/>
  <c r="J1241" i="12"/>
  <c r="K1241" i="12"/>
  <c r="L1241" i="12"/>
  <c r="N1241" i="12" s="1"/>
  <c r="M1241" i="12"/>
  <c r="A1242" i="12"/>
  <c r="B1242" i="12"/>
  <c r="C1242" i="12"/>
  <c r="D1242" i="12"/>
  <c r="E1242" i="12"/>
  <c r="F1242" i="12"/>
  <c r="G1242" i="12"/>
  <c r="I1242" i="12" s="1"/>
  <c r="H1242" i="12"/>
  <c r="J1242" i="12"/>
  <c r="L1242" i="12" s="1"/>
  <c r="N1242" i="12" s="1"/>
  <c r="K1242" i="12"/>
  <c r="M1242" i="12"/>
  <c r="A1243" i="12"/>
  <c r="B1243" i="12"/>
  <c r="C1243" i="12"/>
  <c r="D1243" i="12"/>
  <c r="E1243" i="12"/>
  <c r="F1243" i="12"/>
  <c r="G1243" i="12"/>
  <c r="H1243" i="12"/>
  <c r="I1243" i="12"/>
  <c r="M1243" i="12" s="1"/>
  <c r="J1243" i="12"/>
  <c r="K1243" i="12"/>
  <c r="L1243" i="12" s="1"/>
  <c r="N1243" i="12" s="1"/>
  <c r="A1244" i="12"/>
  <c r="B1244" i="12"/>
  <c r="C1244" i="12"/>
  <c r="D1244" i="12"/>
  <c r="E1244" i="12"/>
  <c r="F1244" i="12"/>
  <c r="G1244" i="12"/>
  <c r="H1244" i="12"/>
  <c r="I1244" i="12"/>
  <c r="M1244" i="12" s="1"/>
  <c r="J1244" i="12"/>
  <c r="L1244" i="12" s="1"/>
  <c r="N1244" i="12" s="1"/>
  <c r="K1244" i="12"/>
  <c r="A1245" i="12"/>
  <c r="B1245" i="12"/>
  <c r="C1245" i="12"/>
  <c r="D1245" i="12"/>
  <c r="E1245" i="12"/>
  <c r="F1245" i="12"/>
  <c r="G1245" i="12"/>
  <c r="H1245" i="12"/>
  <c r="I1245" i="12" s="1"/>
  <c r="M1245" i="12" s="1"/>
  <c r="J1245" i="12"/>
  <c r="K1245" i="12"/>
  <c r="L1245" i="12"/>
  <c r="N1245" i="12" s="1"/>
  <c r="A1246" i="12"/>
  <c r="B1246" i="12"/>
  <c r="C1246" i="12"/>
  <c r="D1246" i="12"/>
  <c r="E1246" i="12"/>
  <c r="F1246" i="12"/>
  <c r="G1246" i="12"/>
  <c r="I1246" i="12" s="1"/>
  <c r="H1246" i="12"/>
  <c r="J1246" i="12"/>
  <c r="K1246" i="12"/>
  <c r="M1246" i="12"/>
  <c r="A1247" i="12"/>
  <c r="B1247" i="12"/>
  <c r="C1247" i="12"/>
  <c r="D1247" i="12"/>
  <c r="E1247" i="12"/>
  <c r="F1247" i="12"/>
  <c r="G1247" i="12"/>
  <c r="H1247" i="12"/>
  <c r="I1247" i="12"/>
  <c r="J1247" i="12"/>
  <c r="K1247" i="12"/>
  <c r="L1247" i="12" s="1"/>
  <c r="N1247" i="12" s="1"/>
  <c r="M1247" i="12"/>
  <c r="A1248" i="12"/>
  <c r="B1248" i="12"/>
  <c r="C1248" i="12"/>
  <c r="D1248" i="12"/>
  <c r="E1248" i="12"/>
  <c r="F1248" i="12"/>
  <c r="G1248" i="12"/>
  <c r="H1248" i="12"/>
  <c r="I1248" i="12"/>
  <c r="J1248" i="12"/>
  <c r="L1248" i="12" s="1"/>
  <c r="K1248" i="12"/>
  <c r="M1248" i="12"/>
  <c r="N1248" i="12"/>
  <c r="A1249" i="12"/>
  <c r="B1249" i="12"/>
  <c r="C1249" i="12"/>
  <c r="D1249" i="12"/>
  <c r="E1249" i="12"/>
  <c r="F1249" i="12"/>
  <c r="G1249" i="12"/>
  <c r="I1249" i="12" s="1"/>
  <c r="M1249" i="12" s="1"/>
  <c r="H1249" i="12"/>
  <c r="J1249" i="12"/>
  <c r="K1249" i="12"/>
  <c r="L1249" i="12"/>
  <c r="N1249" i="12" s="1"/>
  <c r="A1250" i="12"/>
  <c r="B1250" i="12"/>
  <c r="C1250" i="12"/>
  <c r="D1250" i="12"/>
  <c r="E1250" i="12"/>
  <c r="F1250" i="12"/>
  <c r="G1250" i="12"/>
  <c r="I1250" i="12" s="1"/>
  <c r="M1250" i="12" s="1"/>
  <c r="H1250" i="12"/>
  <c r="J1250" i="12"/>
  <c r="K1250" i="12"/>
  <c r="A1251" i="12"/>
  <c r="B1251" i="12"/>
  <c r="C1251" i="12"/>
  <c r="D1251" i="12"/>
  <c r="E1251" i="12"/>
  <c r="F1251" i="12"/>
  <c r="G1251" i="12"/>
  <c r="H1251" i="12"/>
  <c r="I1251" i="12"/>
  <c r="J1251" i="12"/>
  <c r="K1251" i="12"/>
  <c r="L1251" i="12"/>
  <c r="N1251" i="12" s="1"/>
  <c r="M1251" i="12"/>
  <c r="A1252" i="12"/>
  <c r="B1252" i="12"/>
  <c r="C1252" i="12"/>
  <c r="D1252" i="12"/>
  <c r="E1252" i="12"/>
  <c r="F1252" i="12"/>
  <c r="G1252" i="12"/>
  <c r="H1252" i="12"/>
  <c r="I1252" i="12"/>
  <c r="M1252" i="12" s="1"/>
  <c r="J1252" i="12"/>
  <c r="K1252" i="12"/>
  <c r="A1253" i="12"/>
  <c r="B1253" i="12"/>
  <c r="C1253" i="12"/>
  <c r="D1253" i="12"/>
  <c r="E1253" i="12"/>
  <c r="F1253" i="12"/>
  <c r="G1253" i="12"/>
  <c r="H1253" i="12"/>
  <c r="J1253" i="12"/>
  <c r="K1253" i="12"/>
  <c r="L1253" i="12" s="1"/>
  <c r="N1253" i="12" s="1"/>
  <c r="A1254" i="12"/>
  <c r="B1254" i="12"/>
  <c r="C1254" i="12"/>
  <c r="D1254" i="12"/>
  <c r="E1254" i="12"/>
  <c r="F1254" i="12"/>
  <c r="G1254" i="12"/>
  <c r="I1254" i="12" s="1"/>
  <c r="M1254" i="12" s="1"/>
  <c r="H1254" i="12"/>
  <c r="J1254" i="12"/>
  <c r="L1254" i="12" s="1"/>
  <c r="N1254" i="12" s="1"/>
  <c r="K1254" i="12"/>
  <c r="A1255" i="12"/>
  <c r="B1255" i="12"/>
  <c r="C1255" i="12"/>
  <c r="D1255" i="12"/>
  <c r="E1255" i="12"/>
  <c r="F1255" i="12"/>
  <c r="G1255" i="12"/>
  <c r="H1255" i="12"/>
  <c r="I1255" i="12"/>
  <c r="J1255" i="12"/>
  <c r="K1255" i="12"/>
  <c r="L1255" i="12"/>
  <c r="N1255" i="12" s="1"/>
  <c r="M1255" i="12"/>
  <c r="A1256" i="12"/>
  <c r="B1256" i="12"/>
  <c r="C1256" i="12"/>
  <c r="D1256" i="12"/>
  <c r="E1256" i="12"/>
  <c r="F1256" i="12"/>
  <c r="G1256" i="12"/>
  <c r="H1256" i="12"/>
  <c r="I1256" i="12"/>
  <c r="J1256" i="12"/>
  <c r="K1256" i="12"/>
  <c r="M1256" i="12"/>
  <c r="A1257" i="12"/>
  <c r="B1257" i="12"/>
  <c r="C1257" i="12"/>
  <c r="D1257" i="12"/>
  <c r="E1257" i="12"/>
  <c r="F1257" i="12"/>
  <c r="G1257" i="12"/>
  <c r="I1257" i="12" s="1"/>
  <c r="M1257" i="12" s="1"/>
  <c r="H1257" i="12"/>
  <c r="J1257" i="12"/>
  <c r="K1257" i="12"/>
  <c r="L1257" i="12"/>
  <c r="N1257" i="12" s="1"/>
  <c r="A1258" i="12"/>
  <c r="B1258" i="12"/>
  <c r="C1258" i="12"/>
  <c r="D1258" i="12"/>
  <c r="E1258" i="12"/>
  <c r="F1258" i="12"/>
  <c r="G1258" i="12"/>
  <c r="I1258" i="12" s="1"/>
  <c r="M1258" i="12" s="1"/>
  <c r="H1258" i="12"/>
  <c r="J1258" i="12"/>
  <c r="K1258" i="12"/>
  <c r="A1259" i="12"/>
  <c r="B1259" i="12"/>
  <c r="C1259" i="12"/>
  <c r="D1259" i="12"/>
  <c r="E1259" i="12"/>
  <c r="F1259" i="12"/>
  <c r="G1259" i="12"/>
  <c r="H1259" i="12"/>
  <c r="I1259" i="12"/>
  <c r="J1259" i="12"/>
  <c r="K1259" i="12"/>
  <c r="L1259" i="12"/>
  <c r="N1259" i="12" s="1"/>
  <c r="M1259" i="12"/>
  <c r="A1260" i="12"/>
  <c r="B1260" i="12"/>
  <c r="C1260" i="12"/>
  <c r="D1260" i="12"/>
  <c r="E1260" i="12"/>
  <c r="F1260" i="12"/>
  <c r="G1260" i="12"/>
  <c r="H1260" i="12"/>
  <c r="I1260" i="12"/>
  <c r="M1260" i="12" s="1"/>
  <c r="J1260" i="12"/>
  <c r="K1260" i="12"/>
  <c r="A1261" i="12"/>
  <c r="B1261" i="12"/>
  <c r="C1261" i="12"/>
  <c r="D1261" i="12"/>
  <c r="E1261" i="12"/>
  <c r="F1261" i="12"/>
  <c r="G1261" i="12"/>
  <c r="H1261" i="12"/>
  <c r="J1261" i="12"/>
  <c r="K1261" i="12"/>
  <c r="L1261" i="12" s="1"/>
  <c r="N1261" i="12" s="1"/>
  <c r="A1262" i="12"/>
  <c r="B1262" i="12"/>
  <c r="C1262" i="12"/>
  <c r="D1262" i="12"/>
  <c r="E1262" i="12"/>
  <c r="F1262" i="12"/>
  <c r="G1262" i="12"/>
  <c r="I1262" i="12" s="1"/>
  <c r="M1262" i="12" s="1"/>
  <c r="H1262" i="12"/>
  <c r="J1262" i="12"/>
  <c r="L1262" i="12" s="1"/>
  <c r="N1262" i="12" s="1"/>
  <c r="K1262" i="12"/>
  <c r="A1263" i="12"/>
  <c r="B1263" i="12"/>
  <c r="C1263" i="12"/>
  <c r="D1263" i="12"/>
  <c r="E1263" i="12"/>
  <c r="F1263" i="12"/>
  <c r="G1263" i="12"/>
  <c r="H1263" i="12"/>
  <c r="I1263" i="12"/>
  <c r="J1263" i="12"/>
  <c r="K1263" i="12"/>
  <c r="L1263" i="12"/>
  <c r="N1263" i="12" s="1"/>
  <c r="M1263" i="12"/>
  <c r="A1264" i="12"/>
  <c r="B1264" i="12"/>
  <c r="C1264" i="12"/>
  <c r="D1264" i="12"/>
  <c r="E1264" i="12"/>
  <c r="F1264" i="12"/>
  <c r="G1264" i="12"/>
  <c r="H1264" i="12"/>
  <c r="I1264" i="12"/>
  <c r="J1264" i="12"/>
  <c r="K1264" i="12"/>
  <c r="M1264" i="12"/>
  <c r="A1265" i="12"/>
  <c r="B1265" i="12"/>
  <c r="C1265" i="12"/>
  <c r="D1265" i="12"/>
  <c r="E1265" i="12"/>
  <c r="F1265" i="12"/>
  <c r="G1265" i="12"/>
  <c r="I1265" i="12" s="1"/>
  <c r="M1265" i="12" s="1"/>
  <c r="H1265" i="12"/>
  <c r="J1265" i="12"/>
  <c r="K1265" i="12"/>
  <c r="L1265" i="12"/>
  <c r="N1265" i="12" s="1"/>
  <c r="A1266" i="12"/>
  <c r="B1266" i="12"/>
  <c r="C1266" i="12"/>
  <c r="D1266" i="12"/>
  <c r="E1266" i="12"/>
  <c r="F1266" i="12"/>
  <c r="G1266" i="12"/>
  <c r="I1266" i="12" s="1"/>
  <c r="M1266" i="12" s="1"/>
  <c r="H1266" i="12"/>
  <c r="J1266" i="12"/>
  <c r="K1266" i="12"/>
  <c r="A1267" i="12"/>
  <c r="B1267" i="12"/>
  <c r="C1267" i="12"/>
  <c r="D1267" i="12"/>
  <c r="E1267" i="12"/>
  <c r="F1267" i="12"/>
  <c r="G1267" i="12"/>
  <c r="H1267" i="12"/>
  <c r="I1267" i="12"/>
  <c r="J1267" i="12"/>
  <c r="K1267" i="12"/>
  <c r="L1267" i="12"/>
  <c r="N1267" i="12" s="1"/>
  <c r="M1267" i="12"/>
  <c r="A1268" i="12"/>
  <c r="B1268" i="12"/>
  <c r="C1268" i="12"/>
  <c r="D1268" i="12"/>
  <c r="E1268" i="12"/>
  <c r="F1268" i="12"/>
  <c r="G1268" i="12"/>
  <c r="H1268" i="12"/>
  <c r="I1268" i="12"/>
  <c r="M1268" i="12" s="1"/>
  <c r="J1268" i="12"/>
  <c r="K1268" i="12"/>
  <c r="A1269" i="12"/>
  <c r="B1269" i="12"/>
  <c r="C1269" i="12"/>
  <c r="D1269" i="12"/>
  <c r="E1269" i="12"/>
  <c r="F1269" i="12"/>
  <c r="G1269" i="12"/>
  <c r="H1269" i="12"/>
  <c r="J1269" i="12"/>
  <c r="K1269" i="12"/>
  <c r="L1269" i="12" s="1"/>
  <c r="N1269" i="12" s="1"/>
  <c r="A1270" i="12"/>
  <c r="B1270" i="12"/>
  <c r="C1270" i="12"/>
  <c r="D1270" i="12"/>
  <c r="E1270" i="12"/>
  <c r="F1270" i="12"/>
  <c r="G1270" i="12"/>
  <c r="I1270" i="12" s="1"/>
  <c r="M1270" i="12" s="1"/>
  <c r="H1270" i="12"/>
  <c r="J1270" i="12"/>
  <c r="L1270" i="12" s="1"/>
  <c r="N1270" i="12" s="1"/>
  <c r="K1270" i="12"/>
  <c r="A1271" i="12"/>
  <c r="B1271" i="12"/>
  <c r="C1271" i="12"/>
  <c r="D1271" i="12"/>
  <c r="E1271" i="12"/>
  <c r="F1271" i="12"/>
  <c r="G1271" i="12"/>
  <c r="H1271" i="12"/>
  <c r="I1271" i="12"/>
  <c r="J1271" i="12"/>
  <c r="K1271" i="12"/>
  <c r="L1271" i="12"/>
  <c r="N1271" i="12" s="1"/>
  <c r="M1271" i="12"/>
  <c r="A1272" i="12"/>
  <c r="B1272" i="12"/>
  <c r="C1272" i="12"/>
  <c r="D1272" i="12"/>
  <c r="E1272" i="12"/>
  <c r="F1272" i="12"/>
  <c r="G1272" i="12"/>
  <c r="H1272" i="12"/>
  <c r="I1272" i="12"/>
  <c r="J1272" i="12"/>
  <c r="K1272" i="12"/>
  <c r="M1272" i="12"/>
  <c r="A1273" i="12"/>
  <c r="B1273" i="12"/>
  <c r="C1273" i="12"/>
  <c r="D1273" i="12"/>
  <c r="E1273" i="12"/>
  <c r="F1273" i="12"/>
  <c r="G1273" i="12"/>
  <c r="I1273" i="12" s="1"/>
  <c r="M1273" i="12" s="1"/>
  <c r="H1273" i="12"/>
  <c r="J1273" i="12"/>
  <c r="K1273" i="12"/>
  <c r="L1273" i="12"/>
  <c r="N1273" i="12" s="1"/>
  <c r="A1274" i="12"/>
  <c r="B1274" i="12"/>
  <c r="C1274" i="12"/>
  <c r="D1274" i="12"/>
  <c r="E1274" i="12"/>
  <c r="F1274" i="12"/>
  <c r="G1274" i="12"/>
  <c r="I1274" i="12" s="1"/>
  <c r="M1274" i="12" s="1"/>
  <c r="H1274" i="12"/>
  <c r="J1274" i="12"/>
  <c r="K1274" i="12"/>
  <c r="A1275" i="12"/>
  <c r="B1275" i="12"/>
  <c r="C1275" i="12"/>
  <c r="D1275" i="12"/>
  <c r="E1275" i="12"/>
  <c r="F1275" i="12"/>
  <c r="G1275" i="12"/>
  <c r="H1275" i="12"/>
  <c r="I1275" i="12"/>
  <c r="J1275" i="12"/>
  <c r="K1275" i="12"/>
  <c r="L1275" i="12"/>
  <c r="N1275" i="12" s="1"/>
  <c r="M1275" i="12"/>
  <c r="A1276" i="12"/>
  <c r="B1276" i="12"/>
  <c r="C1276" i="12"/>
  <c r="D1276" i="12"/>
  <c r="E1276" i="12"/>
  <c r="F1276" i="12"/>
  <c r="G1276" i="12"/>
  <c r="H1276" i="12"/>
  <c r="I1276" i="12"/>
  <c r="J1276" i="12"/>
  <c r="K1276" i="12"/>
  <c r="M1276" i="12"/>
  <c r="A1277" i="12"/>
  <c r="B1277" i="12"/>
  <c r="C1277" i="12"/>
  <c r="D1277" i="12"/>
  <c r="E1277" i="12"/>
  <c r="F1277" i="12"/>
  <c r="G1277" i="12"/>
  <c r="I1277" i="12" s="1"/>
  <c r="M1277" i="12" s="1"/>
  <c r="H1277" i="12"/>
  <c r="J1277" i="12"/>
  <c r="K1277" i="12"/>
  <c r="L1277" i="12"/>
  <c r="N1277" i="12" s="1"/>
  <c r="A1278" i="12"/>
  <c r="B1278" i="12"/>
  <c r="C1278" i="12"/>
  <c r="D1278" i="12"/>
  <c r="E1278" i="12"/>
  <c r="F1278" i="12"/>
  <c r="G1278" i="12"/>
  <c r="I1278" i="12" s="1"/>
  <c r="M1278" i="12" s="1"/>
  <c r="H1278" i="12"/>
  <c r="J1278" i="12"/>
  <c r="L1278" i="12" s="1"/>
  <c r="N1278" i="12" s="1"/>
  <c r="K1278" i="12"/>
  <c r="A1279" i="12"/>
  <c r="B1279" i="12"/>
  <c r="C1279" i="12"/>
  <c r="D1279" i="12"/>
  <c r="E1279" i="12"/>
  <c r="F1279" i="12"/>
  <c r="G1279" i="12"/>
  <c r="H1279" i="12"/>
  <c r="I1279" i="12"/>
  <c r="J1279" i="12"/>
  <c r="K1279" i="12"/>
  <c r="L1279" i="12"/>
  <c r="N1279" i="12" s="1"/>
  <c r="M1279" i="12"/>
  <c r="A1280" i="12"/>
  <c r="B1280" i="12"/>
  <c r="C1280" i="12"/>
  <c r="D1280" i="12"/>
  <c r="E1280" i="12"/>
  <c r="F1280" i="12"/>
  <c r="G1280" i="12"/>
  <c r="H1280" i="12"/>
  <c r="I1280" i="12"/>
  <c r="M1280" i="12" s="1"/>
  <c r="J1280" i="12"/>
  <c r="K1280" i="12"/>
  <c r="A1281" i="12"/>
  <c r="B1281" i="12"/>
  <c r="C1281" i="12"/>
  <c r="D1281" i="12"/>
  <c r="E1281" i="12"/>
  <c r="F1281" i="12"/>
  <c r="G1281" i="12"/>
  <c r="H1281" i="12"/>
  <c r="J1281" i="12"/>
  <c r="K1281" i="12"/>
  <c r="L1281" i="12"/>
  <c r="N1281" i="12" s="1"/>
  <c r="A1282" i="12"/>
  <c r="B1282" i="12"/>
  <c r="C1282" i="12"/>
  <c r="D1282" i="12"/>
  <c r="E1282" i="12"/>
  <c r="F1282" i="12"/>
  <c r="G1282" i="12"/>
  <c r="I1282" i="12" s="1"/>
  <c r="M1282" i="12" s="1"/>
  <c r="H1282" i="12"/>
  <c r="J1282" i="12"/>
  <c r="L1282" i="12" s="1"/>
  <c r="N1282" i="12" s="1"/>
  <c r="K1282" i="12"/>
  <c r="A1283" i="12"/>
  <c r="B1283" i="12"/>
  <c r="C1283" i="12"/>
  <c r="D1283" i="12"/>
  <c r="E1283" i="12"/>
  <c r="F1283" i="12"/>
  <c r="G1283" i="12"/>
  <c r="H1283" i="12"/>
  <c r="I1283" i="12"/>
  <c r="J1283" i="12"/>
  <c r="K1283" i="12"/>
  <c r="L1283" i="12"/>
  <c r="N1283" i="12" s="1"/>
  <c r="M1283" i="12"/>
  <c r="A1284" i="12"/>
  <c r="B1284" i="12"/>
  <c r="C1284" i="12"/>
  <c r="D1284" i="12"/>
  <c r="E1284" i="12"/>
  <c r="F1284" i="12"/>
  <c r="G1284" i="12"/>
  <c r="H1284" i="12"/>
  <c r="I1284" i="12"/>
  <c r="M1284" i="12" s="1"/>
  <c r="J1284" i="12"/>
  <c r="K1284" i="12"/>
  <c r="A1285" i="12"/>
  <c r="B1285" i="12"/>
  <c r="C1285" i="12"/>
  <c r="D1285" i="12"/>
  <c r="E1285" i="12"/>
  <c r="F1285" i="12"/>
  <c r="G1285" i="12"/>
  <c r="H1285" i="12"/>
  <c r="J1285" i="12"/>
  <c r="K1285" i="12"/>
  <c r="L1285" i="12" s="1"/>
  <c r="N1285" i="12" s="1"/>
  <c r="A1286" i="12"/>
  <c r="B1286" i="12"/>
  <c r="C1286" i="12"/>
  <c r="D1286" i="12"/>
  <c r="E1286" i="12"/>
  <c r="F1286" i="12"/>
  <c r="G1286" i="12"/>
  <c r="I1286" i="12" s="1"/>
  <c r="M1286" i="12" s="1"/>
  <c r="H1286" i="12"/>
  <c r="J1286" i="12"/>
  <c r="K1286" i="12"/>
  <c r="A1287" i="12"/>
  <c r="B1287" i="12"/>
  <c r="C1287" i="12"/>
  <c r="D1287" i="12"/>
  <c r="E1287" i="12"/>
  <c r="F1287" i="12"/>
  <c r="G1287" i="12"/>
  <c r="H1287" i="12"/>
  <c r="I1287" i="12"/>
  <c r="J1287" i="12"/>
  <c r="K1287" i="12"/>
  <c r="L1287" i="12"/>
  <c r="N1287" i="12" s="1"/>
  <c r="M1287" i="12"/>
  <c r="A1288" i="12"/>
  <c r="B1288" i="12"/>
  <c r="C1288" i="12"/>
  <c r="D1288" i="12"/>
  <c r="E1288" i="12"/>
  <c r="F1288" i="12"/>
  <c r="G1288" i="12"/>
  <c r="H1288" i="12"/>
  <c r="I1288" i="12"/>
  <c r="J1288" i="12"/>
  <c r="K1288" i="12"/>
  <c r="M1288" i="12"/>
  <c r="A1289" i="12"/>
  <c r="B1289" i="12"/>
  <c r="C1289" i="12"/>
  <c r="D1289" i="12"/>
  <c r="E1289" i="12"/>
  <c r="F1289" i="12"/>
  <c r="G1289" i="12"/>
  <c r="I1289" i="12" s="1"/>
  <c r="M1289" i="12" s="1"/>
  <c r="H1289" i="12"/>
  <c r="J1289" i="12"/>
  <c r="K1289" i="12"/>
  <c r="L1289" i="12"/>
  <c r="N1289" i="12" s="1"/>
  <c r="A1290" i="12"/>
  <c r="B1290" i="12"/>
  <c r="C1290" i="12"/>
  <c r="D1290" i="12"/>
  <c r="E1290" i="12"/>
  <c r="F1290" i="12"/>
  <c r="G1290" i="12"/>
  <c r="I1290" i="12" s="1"/>
  <c r="M1290" i="12" s="1"/>
  <c r="H1290" i="12"/>
  <c r="J1290" i="12"/>
  <c r="K1290" i="12"/>
  <c r="A1291" i="12"/>
  <c r="B1291" i="12"/>
  <c r="C1291" i="12"/>
  <c r="D1291" i="12"/>
  <c r="E1291" i="12"/>
  <c r="F1291" i="12"/>
  <c r="G1291" i="12"/>
  <c r="H1291" i="12"/>
  <c r="I1291" i="12"/>
  <c r="J1291" i="12"/>
  <c r="K1291" i="12"/>
  <c r="L1291" i="12"/>
  <c r="N1291" i="12" s="1"/>
  <c r="M1291" i="12"/>
  <c r="A1292" i="12"/>
  <c r="B1292" i="12"/>
  <c r="C1292" i="12"/>
  <c r="D1292" i="12"/>
  <c r="E1292" i="12"/>
  <c r="F1292" i="12"/>
  <c r="G1292" i="12"/>
  <c r="H1292" i="12"/>
  <c r="I1292" i="12"/>
  <c r="M1292" i="12" s="1"/>
  <c r="J1292" i="12"/>
  <c r="K1292" i="12"/>
  <c r="A1293" i="12"/>
  <c r="B1293" i="12"/>
  <c r="C1293" i="12"/>
  <c r="D1293" i="12"/>
  <c r="E1293" i="12"/>
  <c r="F1293" i="12"/>
  <c r="G1293" i="12"/>
  <c r="H1293" i="12"/>
  <c r="J1293" i="12"/>
  <c r="K1293" i="12"/>
  <c r="L1293" i="12" s="1"/>
  <c r="N1293" i="12" s="1"/>
  <c r="A1294" i="12"/>
  <c r="B1294" i="12"/>
  <c r="C1294" i="12"/>
  <c r="D1294" i="12"/>
  <c r="E1294" i="12"/>
  <c r="F1294" i="12"/>
  <c r="G1294" i="12"/>
  <c r="I1294" i="12" s="1"/>
  <c r="M1294" i="12" s="1"/>
  <c r="H1294" i="12"/>
  <c r="J1294" i="12"/>
  <c r="L1294" i="12" s="1"/>
  <c r="N1294" i="12" s="1"/>
  <c r="K1294" i="12"/>
  <c r="A1295" i="12"/>
  <c r="B1295" i="12"/>
  <c r="C1295" i="12"/>
  <c r="D1295" i="12"/>
  <c r="E1295" i="12"/>
  <c r="F1295" i="12"/>
  <c r="G1295" i="12"/>
  <c r="H1295" i="12"/>
  <c r="I1295" i="12"/>
  <c r="J1295" i="12"/>
  <c r="K1295" i="12"/>
  <c r="L1295" i="12"/>
  <c r="N1295" i="12" s="1"/>
  <c r="M1295" i="12"/>
  <c r="A1296" i="12"/>
  <c r="B1296" i="12"/>
  <c r="C1296" i="12"/>
  <c r="D1296" i="12"/>
  <c r="E1296" i="12"/>
  <c r="F1296" i="12"/>
  <c r="G1296" i="12"/>
  <c r="H1296" i="12"/>
  <c r="I1296" i="12"/>
  <c r="J1296" i="12"/>
  <c r="K1296" i="12"/>
  <c r="M1296" i="12"/>
  <c r="A1297" i="12"/>
  <c r="B1297" i="12"/>
  <c r="C1297" i="12"/>
  <c r="D1297" i="12"/>
  <c r="E1297" i="12"/>
  <c r="F1297" i="12"/>
  <c r="G1297" i="12"/>
  <c r="I1297" i="12" s="1"/>
  <c r="M1297" i="12" s="1"/>
  <c r="H1297" i="12"/>
  <c r="J1297" i="12"/>
  <c r="K1297" i="12"/>
  <c r="L1297" i="12"/>
  <c r="N1297" i="12" s="1"/>
  <c r="A1298" i="12"/>
  <c r="B1298" i="12"/>
  <c r="C1298" i="12"/>
  <c r="D1298" i="12"/>
  <c r="E1298" i="12"/>
  <c r="F1298" i="12"/>
  <c r="G1298" i="12"/>
  <c r="I1298" i="12" s="1"/>
  <c r="M1298" i="12" s="1"/>
  <c r="H1298" i="12"/>
  <c r="J1298" i="12"/>
  <c r="K1298" i="12"/>
  <c r="A1299" i="12"/>
  <c r="B1299" i="12"/>
  <c r="C1299" i="12"/>
  <c r="D1299" i="12"/>
  <c r="E1299" i="12"/>
  <c r="F1299" i="12"/>
  <c r="G1299" i="12"/>
  <c r="H1299" i="12"/>
  <c r="I1299" i="12"/>
  <c r="J1299" i="12"/>
  <c r="K1299" i="12"/>
  <c r="L1299" i="12"/>
  <c r="N1299" i="12" s="1"/>
  <c r="M1299" i="12"/>
  <c r="A1300" i="12"/>
  <c r="B1300" i="12"/>
  <c r="C1300" i="12"/>
  <c r="D1300" i="12"/>
  <c r="E1300" i="12"/>
  <c r="F1300" i="12"/>
  <c r="G1300" i="12"/>
  <c r="H1300" i="12"/>
  <c r="I1300" i="12"/>
  <c r="M1300" i="12" s="1"/>
  <c r="J1300" i="12"/>
  <c r="K1300" i="12"/>
  <c r="A1301" i="12"/>
  <c r="B1301" i="12"/>
  <c r="C1301" i="12"/>
  <c r="D1301" i="12"/>
  <c r="E1301" i="12"/>
  <c r="F1301" i="12"/>
  <c r="G1301" i="12"/>
  <c r="H1301" i="12"/>
  <c r="J1301" i="12"/>
  <c r="K1301" i="12"/>
  <c r="L1301" i="12" s="1"/>
  <c r="N1301" i="12" s="1"/>
  <c r="A1302" i="12"/>
  <c r="B1302" i="12"/>
  <c r="C1302" i="12"/>
  <c r="D1302" i="12"/>
  <c r="E1302" i="12"/>
  <c r="F1302" i="12"/>
  <c r="G1302" i="12"/>
  <c r="I1302" i="12" s="1"/>
  <c r="M1302" i="12" s="1"/>
  <c r="H1302" i="12"/>
  <c r="J1302" i="12"/>
  <c r="L1302" i="12" s="1"/>
  <c r="N1302" i="12" s="1"/>
  <c r="K1302" i="12"/>
  <c r="A1303" i="12"/>
  <c r="B1303" i="12"/>
  <c r="C1303" i="12"/>
  <c r="D1303" i="12"/>
  <c r="E1303" i="12"/>
  <c r="F1303" i="12"/>
  <c r="G1303" i="12"/>
  <c r="H1303" i="12"/>
  <c r="I1303" i="12"/>
  <c r="J1303" i="12"/>
  <c r="K1303" i="12"/>
  <c r="L1303" i="12"/>
  <c r="N1303" i="12" s="1"/>
  <c r="M1303" i="12"/>
  <c r="A1304" i="12"/>
  <c r="B1304" i="12"/>
  <c r="C1304" i="12"/>
  <c r="D1304" i="12"/>
  <c r="E1304" i="12"/>
  <c r="F1304" i="12"/>
  <c r="G1304" i="12"/>
  <c r="H1304" i="12"/>
  <c r="I1304" i="12"/>
  <c r="J1304" i="12"/>
  <c r="K1304" i="12"/>
  <c r="M1304" i="12"/>
  <c r="A1305" i="12"/>
  <c r="B1305" i="12"/>
  <c r="C1305" i="12"/>
  <c r="D1305" i="12"/>
  <c r="E1305" i="12"/>
  <c r="F1305" i="12"/>
  <c r="G1305" i="12"/>
  <c r="I1305" i="12" s="1"/>
  <c r="M1305" i="12" s="1"/>
  <c r="H1305" i="12"/>
  <c r="J1305" i="12"/>
  <c r="K1305" i="12"/>
  <c r="L1305" i="12" s="1"/>
  <c r="N1305" i="12" s="1"/>
  <c r="A1306" i="12"/>
  <c r="B1306" i="12"/>
  <c r="C1306" i="12"/>
  <c r="D1306" i="12"/>
  <c r="E1306" i="12"/>
  <c r="F1306" i="12"/>
  <c r="G1306" i="12"/>
  <c r="I1306" i="12" s="1"/>
  <c r="M1306" i="12" s="1"/>
  <c r="H1306" i="12"/>
  <c r="J1306" i="12"/>
  <c r="K1306" i="12"/>
  <c r="A1307" i="12"/>
  <c r="B1307" i="12"/>
  <c r="C1307" i="12"/>
  <c r="D1307" i="12"/>
  <c r="E1307" i="12"/>
  <c r="F1307" i="12"/>
  <c r="G1307" i="12"/>
  <c r="H1307" i="12"/>
  <c r="I1307" i="12"/>
  <c r="J1307" i="12"/>
  <c r="K1307" i="12"/>
  <c r="L1307" i="12"/>
  <c r="N1307" i="12" s="1"/>
  <c r="M1307" i="12"/>
  <c r="A1308" i="12"/>
  <c r="B1308" i="12"/>
  <c r="C1308" i="12"/>
  <c r="D1308" i="12"/>
  <c r="E1308" i="12"/>
  <c r="F1308" i="12"/>
  <c r="G1308" i="12"/>
  <c r="H1308" i="12"/>
  <c r="I1308" i="12"/>
  <c r="J1308" i="12"/>
  <c r="K1308" i="12"/>
  <c r="M1308" i="12"/>
  <c r="A1309" i="12"/>
  <c r="B1309" i="12"/>
  <c r="C1309" i="12"/>
  <c r="D1309" i="12"/>
  <c r="E1309" i="12"/>
  <c r="F1309" i="12"/>
  <c r="G1309" i="12"/>
  <c r="I1309" i="12" s="1"/>
  <c r="M1309" i="12" s="1"/>
  <c r="H1309" i="12"/>
  <c r="J1309" i="12"/>
  <c r="K1309" i="12"/>
  <c r="L1309" i="12"/>
  <c r="N1309" i="12" s="1"/>
  <c r="A1310" i="12"/>
  <c r="B1310" i="12"/>
  <c r="C1310" i="12"/>
  <c r="D1310" i="12"/>
  <c r="E1310" i="12"/>
  <c r="F1310" i="12"/>
  <c r="G1310" i="12"/>
  <c r="I1310" i="12" s="1"/>
  <c r="M1310" i="12" s="1"/>
  <c r="H1310" i="12"/>
  <c r="J1310" i="12"/>
  <c r="L1310" i="12" s="1"/>
  <c r="N1310" i="12" s="1"/>
  <c r="K1310" i="12"/>
  <c r="A1311" i="12"/>
  <c r="B1311" i="12"/>
  <c r="C1311" i="12"/>
  <c r="D1311" i="12"/>
  <c r="E1311" i="12"/>
  <c r="F1311" i="12"/>
  <c r="G1311" i="12"/>
  <c r="H1311" i="12"/>
  <c r="I1311" i="12"/>
  <c r="J1311" i="12"/>
  <c r="K1311" i="12"/>
  <c r="L1311" i="12"/>
  <c r="N1311" i="12" s="1"/>
  <c r="M1311" i="12"/>
  <c r="A1312" i="12"/>
  <c r="B1312" i="12"/>
  <c r="C1312" i="12"/>
  <c r="D1312" i="12"/>
  <c r="E1312" i="12"/>
  <c r="F1312" i="12"/>
  <c r="G1312" i="12"/>
  <c r="H1312" i="12"/>
  <c r="I1312" i="12"/>
  <c r="M1312" i="12" s="1"/>
  <c r="J1312" i="12"/>
  <c r="K1312" i="12"/>
  <c r="A1313" i="12"/>
  <c r="B1313" i="12"/>
  <c r="C1313" i="12"/>
  <c r="D1313" i="12"/>
  <c r="E1313" i="12"/>
  <c r="F1313" i="12"/>
  <c r="G1313" i="12"/>
  <c r="H1313" i="12"/>
  <c r="J1313" i="12"/>
  <c r="K1313" i="12"/>
  <c r="L1313" i="12"/>
  <c r="N1313" i="12" s="1"/>
  <c r="A1314" i="12"/>
  <c r="B1314" i="12"/>
  <c r="C1314" i="12"/>
  <c r="D1314" i="12"/>
  <c r="E1314" i="12"/>
  <c r="F1314" i="12"/>
  <c r="G1314" i="12"/>
  <c r="I1314" i="12" s="1"/>
  <c r="M1314" i="12" s="1"/>
  <c r="H1314" i="12"/>
  <c r="J1314" i="12"/>
  <c r="L1314" i="12" s="1"/>
  <c r="N1314" i="12" s="1"/>
  <c r="K1314" i="12"/>
  <c r="A1315" i="12"/>
  <c r="B1315" i="12"/>
  <c r="C1315" i="12"/>
  <c r="D1315" i="12"/>
  <c r="E1315" i="12"/>
  <c r="F1315" i="12"/>
  <c r="G1315" i="12"/>
  <c r="H1315" i="12"/>
  <c r="I1315" i="12"/>
  <c r="J1315" i="12"/>
  <c r="K1315" i="12"/>
  <c r="L1315" i="12"/>
  <c r="N1315" i="12" s="1"/>
  <c r="M1315" i="12"/>
  <c r="A1316" i="12"/>
  <c r="B1316" i="12"/>
  <c r="C1316" i="12"/>
  <c r="D1316" i="12"/>
  <c r="E1316" i="12"/>
  <c r="F1316" i="12"/>
  <c r="G1316" i="12"/>
  <c r="H1316" i="12"/>
  <c r="I1316" i="12"/>
  <c r="M1316" i="12" s="1"/>
  <c r="J1316" i="12"/>
  <c r="K1316" i="12"/>
  <c r="A1317" i="12"/>
  <c r="B1317" i="12"/>
  <c r="C1317" i="12"/>
  <c r="D1317" i="12"/>
  <c r="E1317" i="12"/>
  <c r="F1317" i="12"/>
  <c r="G1317" i="12"/>
  <c r="H1317" i="12"/>
  <c r="J1317" i="12"/>
  <c r="K1317" i="12"/>
  <c r="L1317" i="12" s="1"/>
  <c r="N1317" i="12" s="1"/>
  <c r="A1318" i="12"/>
  <c r="B1318" i="12"/>
  <c r="C1318" i="12"/>
  <c r="D1318" i="12"/>
  <c r="E1318" i="12"/>
  <c r="F1318" i="12"/>
  <c r="G1318" i="12"/>
  <c r="I1318" i="12" s="1"/>
  <c r="M1318" i="12" s="1"/>
  <c r="H1318" i="12"/>
  <c r="J1318" i="12"/>
  <c r="K1318" i="12"/>
  <c r="A1319" i="12"/>
  <c r="B1319" i="12"/>
  <c r="C1319" i="12"/>
  <c r="D1319" i="12"/>
  <c r="E1319" i="12"/>
  <c r="F1319" i="12"/>
  <c r="G1319" i="12"/>
  <c r="H1319" i="12"/>
  <c r="I1319" i="12"/>
  <c r="J1319" i="12"/>
  <c r="K1319" i="12"/>
  <c r="L1319" i="12"/>
  <c r="N1319" i="12" s="1"/>
  <c r="M1319" i="12"/>
  <c r="A1320" i="12"/>
  <c r="B1320" i="12"/>
  <c r="C1320" i="12"/>
  <c r="D1320" i="12"/>
  <c r="E1320" i="12"/>
  <c r="F1320" i="12"/>
  <c r="G1320" i="12"/>
  <c r="H1320" i="12"/>
  <c r="I1320" i="12"/>
  <c r="J1320" i="12"/>
  <c r="K1320" i="12"/>
  <c r="M1320" i="12"/>
  <c r="A1321" i="12"/>
  <c r="B1321" i="12"/>
  <c r="C1321" i="12"/>
  <c r="D1321" i="12"/>
  <c r="E1321" i="12"/>
  <c r="F1321" i="12"/>
  <c r="G1321" i="12"/>
  <c r="I1321" i="12" s="1"/>
  <c r="M1321" i="12" s="1"/>
  <c r="H1321" i="12"/>
  <c r="J1321" i="12"/>
  <c r="K1321" i="12"/>
  <c r="L1321" i="12"/>
  <c r="N1321" i="12" s="1"/>
  <c r="A1322" i="12"/>
  <c r="B1322" i="12"/>
  <c r="C1322" i="12"/>
  <c r="D1322" i="12"/>
  <c r="E1322" i="12"/>
  <c r="F1322" i="12"/>
  <c r="G1322" i="12"/>
  <c r="I1322" i="12" s="1"/>
  <c r="M1322" i="12" s="1"/>
  <c r="H1322" i="12"/>
  <c r="J1322" i="12"/>
  <c r="K1322" i="12"/>
  <c r="A1323" i="12"/>
  <c r="B1323" i="12"/>
  <c r="C1323" i="12"/>
  <c r="D1323" i="12"/>
  <c r="E1323" i="12"/>
  <c r="F1323" i="12"/>
  <c r="G1323" i="12"/>
  <c r="H1323" i="12"/>
  <c r="I1323" i="12"/>
  <c r="J1323" i="12"/>
  <c r="K1323" i="12"/>
  <c r="L1323" i="12"/>
  <c r="N1323" i="12" s="1"/>
  <c r="M1323" i="12"/>
  <c r="A1324" i="12"/>
  <c r="B1324" i="12"/>
  <c r="C1324" i="12"/>
  <c r="D1324" i="12"/>
  <c r="E1324" i="12"/>
  <c r="F1324" i="12"/>
  <c r="G1324" i="12"/>
  <c r="H1324" i="12"/>
  <c r="I1324" i="12"/>
  <c r="M1324" i="12" s="1"/>
  <c r="J1324" i="12"/>
  <c r="K1324" i="12"/>
  <c r="A1325" i="12"/>
  <c r="B1325" i="12"/>
  <c r="C1325" i="12"/>
  <c r="D1325" i="12"/>
  <c r="E1325" i="12"/>
  <c r="F1325" i="12"/>
  <c r="G1325" i="12"/>
  <c r="H1325" i="12"/>
  <c r="J1325" i="12"/>
  <c r="K1325" i="12"/>
  <c r="L1325" i="12" s="1"/>
  <c r="N1325" i="12" s="1"/>
  <c r="A1326" i="12"/>
  <c r="B1326" i="12"/>
  <c r="C1326" i="12"/>
  <c r="D1326" i="12"/>
  <c r="E1326" i="12"/>
  <c r="F1326" i="12"/>
  <c r="G1326" i="12"/>
  <c r="I1326" i="12" s="1"/>
  <c r="M1326" i="12" s="1"/>
  <c r="H1326" i="12"/>
  <c r="J1326" i="12"/>
  <c r="L1326" i="12" s="1"/>
  <c r="N1326" i="12" s="1"/>
  <c r="K1326" i="12"/>
  <c r="A1327" i="12"/>
  <c r="B1327" i="12"/>
  <c r="C1327" i="12"/>
  <c r="D1327" i="12"/>
  <c r="E1327" i="12"/>
  <c r="F1327" i="12"/>
  <c r="G1327" i="12"/>
  <c r="H1327" i="12"/>
  <c r="I1327" i="12"/>
  <c r="J1327" i="12"/>
  <c r="K1327" i="12"/>
  <c r="L1327" i="12"/>
  <c r="N1327" i="12" s="1"/>
  <c r="M1327" i="12"/>
  <c r="A1328" i="12"/>
  <c r="B1328" i="12"/>
  <c r="C1328" i="12"/>
  <c r="D1328" i="12"/>
  <c r="E1328" i="12"/>
  <c r="F1328" i="12"/>
  <c r="G1328" i="12"/>
  <c r="H1328" i="12"/>
  <c r="I1328" i="12"/>
  <c r="J1328" i="12"/>
  <c r="K1328" i="12"/>
  <c r="M1328" i="12"/>
  <c r="A1329" i="12"/>
  <c r="B1329" i="12"/>
  <c r="C1329" i="12"/>
  <c r="D1329" i="12"/>
  <c r="E1329" i="12"/>
  <c r="F1329" i="12"/>
  <c r="G1329" i="12"/>
  <c r="I1329" i="12" s="1"/>
  <c r="M1329" i="12" s="1"/>
  <c r="H1329" i="12"/>
  <c r="J1329" i="12"/>
  <c r="K1329" i="12"/>
  <c r="L1329" i="12"/>
  <c r="N1329" i="12" s="1"/>
  <c r="A1330" i="12"/>
  <c r="B1330" i="12"/>
  <c r="C1330" i="12"/>
  <c r="D1330" i="12"/>
  <c r="E1330" i="12"/>
  <c r="F1330" i="12"/>
  <c r="G1330" i="12"/>
  <c r="I1330" i="12" s="1"/>
  <c r="M1330" i="12" s="1"/>
  <c r="H1330" i="12"/>
  <c r="J1330" i="12"/>
  <c r="K1330" i="12"/>
  <c r="A1331" i="12"/>
  <c r="B1331" i="12"/>
  <c r="C1331" i="12"/>
  <c r="D1331" i="12"/>
  <c r="E1331" i="12"/>
  <c r="F1331" i="12"/>
  <c r="G1331" i="12"/>
  <c r="H1331" i="12"/>
  <c r="I1331" i="12"/>
  <c r="J1331" i="12"/>
  <c r="K1331" i="12"/>
  <c r="L1331" i="12"/>
  <c r="N1331" i="12" s="1"/>
  <c r="M1331" i="12"/>
  <c r="A1332" i="12"/>
  <c r="B1332" i="12"/>
  <c r="C1332" i="12"/>
  <c r="D1332" i="12"/>
  <c r="E1332" i="12"/>
  <c r="F1332" i="12"/>
  <c r="G1332" i="12"/>
  <c r="H1332" i="12"/>
  <c r="I1332" i="12"/>
  <c r="M1332" i="12" s="1"/>
  <c r="J1332" i="12"/>
  <c r="K1332" i="12"/>
  <c r="A1333" i="12"/>
  <c r="B1333" i="12"/>
  <c r="C1333" i="12"/>
  <c r="D1333" i="12"/>
  <c r="E1333" i="12"/>
  <c r="F1333" i="12"/>
  <c r="G1333" i="12"/>
  <c r="H1333" i="12"/>
  <c r="J1333" i="12"/>
  <c r="K1333" i="12"/>
  <c r="L1333" i="12" s="1"/>
  <c r="N1333" i="12" s="1"/>
  <c r="A1334" i="12"/>
  <c r="B1334" i="12"/>
  <c r="C1334" i="12"/>
  <c r="D1334" i="12"/>
  <c r="E1334" i="12"/>
  <c r="F1334" i="12"/>
  <c r="G1334" i="12"/>
  <c r="I1334" i="12" s="1"/>
  <c r="M1334" i="12" s="1"/>
  <c r="H1334" i="12"/>
  <c r="J1334" i="12"/>
  <c r="L1334" i="12" s="1"/>
  <c r="N1334" i="12" s="1"/>
  <c r="K1334" i="12"/>
  <c r="A1335" i="12"/>
  <c r="B1335" i="12"/>
  <c r="C1335" i="12"/>
  <c r="D1335" i="12"/>
  <c r="E1335" i="12"/>
  <c r="F1335" i="12"/>
  <c r="G1335" i="12"/>
  <c r="H1335" i="12"/>
  <c r="I1335" i="12"/>
  <c r="J1335" i="12"/>
  <c r="K1335" i="12"/>
  <c r="L1335" i="12"/>
  <c r="N1335" i="12" s="1"/>
  <c r="M1335" i="12"/>
  <c r="A1336" i="12"/>
  <c r="B1336" i="12"/>
  <c r="C1336" i="12"/>
  <c r="D1336" i="12"/>
  <c r="E1336" i="12"/>
  <c r="F1336" i="12"/>
  <c r="G1336" i="12"/>
  <c r="H1336" i="12"/>
  <c r="I1336" i="12"/>
  <c r="J1336" i="12"/>
  <c r="K1336" i="12"/>
  <c r="M1336" i="12"/>
  <c r="A1337" i="12"/>
  <c r="B1337" i="12"/>
  <c r="C1337" i="12"/>
  <c r="D1337" i="12"/>
  <c r="E1337" i="12"/>
  <c r="F1337" i="12"/>
  <c r="G1337" i="12"/>
  <c r="I1337" i="12" s="1"/>
  <c r="M1337" i="12" s="1"/>
  <c r="H1337" i="12"/>
  <c r="J1337" i="12"/>
  <c r="K1337" i="12"/>
  <c r="L1337" i="12" s="1"/>
  <c r="N1337" i="12" s="1"/>
  <c r="A1338" i="12"/>
  <c r="B1338" i="12"/>
  <c r="C1338" i="12"/>
  <c r="D1338" i="12"/>
  <c r="E1338" i="12"/>
  <c r="F1338" i="12"/>
  <c r="G1338" i="12"/>
  <c r="I1338" i="12" s="1"/>
  <c r="M1338" i="12" s="1"/>
  <c r="H1338" i="12"/>
  <c r="J1338" i="12"/>
  <c r="K1338" i="12"/>
  <c r="A1339" i="12"/>
  <c r="B1339" i="12"/>
  <c r="C1339" i="12"/>
  <c r="D1339" i="12"/>
  <c r="E1339" i="12"/>
  <c r="F1339" i="12"/>
  <c r="G1339" i="12"/>
  <c r="H1339" i="12"/>
  <c r="I1339" i="12"/>
  <c r="J1339" i="12"/>
  <c r="K1339" i="12"/>
  <c r="L1339" i="12"/>
  <c r="N1339" i="12" s="1"/>
  <c r="M1339" i="12"/>
  <c r="A1340" i="12"/>
  <c r="B1340" i="12"/>
  <c r="C1340" i="12"/>
  <c r="D1340" i="12"/>
  <c r="E1340" i="12"/>
  <c r="F1340" i="12"/>
  <c r="G1340" i="12"/>
  <c r="H1340" i="12"/>
  <c r="I1340" i="12"/>
  <c r="J1340" i="12"/>
  <c r="K1340" i="12"/>
  <c r="M1340" i="12"/>
  <c r="A1341" i="12"/>
  <c r="B1341" i="12"/>
  <c r="C1341" i="12"/>
  <c r="D1341" i="12"/>
  <c r="E1341" i="12"/>
  <c r="F1341" i="12"/>
  <c r="G1341" i="12"/>
  <c r="I1341" i="12" s="1"/>
  <c r="M1341" i="12" s="1"/>
  <c r="H1341" i="12"/>
  <c r="J1341" i="12"/>
  <c r="K1341" i="12"/>
  <c r="L1341" i="12"/>
  <c r="N1341" i="12" s="1"/>
  <c r="A1342" i="12"/>
  <c r="B1342" i="12"/>
  <c r="C1342" i="12"/>
  <c r="D1342" i="12"/>
  <c r="E1342" i="12"/>
  <c r="F1342" i="12"/>
  <c r="G1342" i="12"/>
  <c r="I1342" i="12" s="1"/>
  <c r="M1342" i="12" s="1"/>
  <c r="H1342" i="12"/>
  <c r="J1342" i="12"/>
  <c r="L1342" i="12" s="1"/>
  <c r="N1342" i="12" s="1"/>
  <c r="K1342" i="12"/>
  <c r="A1343" i="12"/>
  <c r="B1343" i="12"/>
  <c r="C1343" i="12"/>
  <c r="D1343" i="12"/>
  <c r="E1343" i="12"/>
  <c r="F1343" i="12"/>
  <c r="G1343" i="12"/>
  <c r="H1343" i="12"/>
  <c r="I1343" i="12"/>
  <c r="J1343" i="12"/>
  <c r="K1343" i="12"/>
  <c r="L1343" i="12"/>
  <c r="N1343" i="12" s="1"/>
  <c r="M1343" i="12"/>
  <c r="A1344" i="12"/>
  <c r="B1344" i="12"/>
  <c r="C1344" i="12"/>
  <c r="D1344" i="12"/>
  <c r="E1344" i="12"/>
  <c r="F1344" i="12"/>
  <c r="G1344" i="12"/>
  <c r="H1344" i="12"/>
  <c r="I1344" i="12"/>
  <c r="M1344" i="12" s="1"/>
  <c r="J1344" i="12"/>
  <c r="K1344" i="12"/>
  <c r="A1345" i="12"/>
  <c r="B1345" i="12"/>
  <c r="C1345" i="12"/>
  <c r="D1345" i="12"/>
  <c r="E1345" i="12"/>
  <c r="F1345" i="12"/>
  <c r="G1345" i="12"/>
  <c r="H1345" i="12"/>
  <c r="J1345" i="12"/>
  <c r="K1345" i="12"/>
  <c r="L1345" i="12"/>
  <c r="N1345" i="12" s="1"/>
  <c r="A1346" i="12"/>
  <c r="B1346" i="12"/>
  <c r="C1346" i="12"/>
  <c r="D1346" i="12"/>
  <c r="E1346" i="12"/>
  <c r="F1346" i="12"/>
  <c r="G1346" i="12"/>
  <c r="I1346" i="12" s="1"/>
  <c r="M1346" i="12" s="1"/>
  <c r="H1346" i="12"/>
  <c r="J1346" i="12"/>
  <c r="L1346" i="12" s="1"/>
  <c r="N1346" i="12" s="1"/>
  <c r="K1346" i="12"/>
  <c r="A1347" i="12"/>
  <c r="B1347" i="12"/>
  <c r="C1347" i="12"/>
  <c r="D1347" i="12"/>
  <c r="E1347" i="12"/>
  <c r="F1347" i="12"/>
  <c r="G1347" i="12"/>
  <c r="H1347" i="12"/>
  <c r="I1347" i="12"/>
  <c r="J1347" i="12"/>
  <c r="K1347" i="12"/>
  <c r="L1347" i="12"/>
  <c r="N1347" i="12" s="1"/>
  <c r="M1347" i="12"/>
  <c r="A1348" i="12"/>
  <c r="B1348" i="12"/>
  <c r="C1348" i="12"/>
  <c r="D1348" i="12"/>
  <c r="E1348" i="12"/>
  <c r="F1348" i="12"/>
  <c r="G1348" i="12"/>
  <c r="H1348" i="12"/>
  <c r="I1348" i="12"/>
  <c r="M1348" i="12" s="1"/>
  <c r="J1348" i="12"/>
  <c r="K1348" i="12"/>
  <c r="A1349" i="12"/>
  <c r="B1349" i="12"/>
  <c r="C1349" i="12"/>
  <c r="D1349" i="12"/>
  <c r="E1349" i="12"/>
  <c r="F1349" i="12"/>
  <c r="G1349" i="12"/>
  <c r="H1349" i="12"/>
  <c r="J1349" i="12"/>
  <c r="K1349" i="12"/>
  <c r="L1349" i="12" s="1"/>
  <c r="N1349" i="12" s="1"/>
  <c r="A1350" i="12"/>
  <c r="B1350" i="12"/>
  <c r="C1350" i="12"/>
  <c r="D1350" i="12"/>
  <c r="E1350" i="12"/>
  <c r="F1350" i="12"/>
  <c r="G1350" i="12"/>
  <c r="I1350" i="12" s="1"/>
  <c r="M1350" i="12" s="1"/>
  <c r="H1350" i="12"/>
  <c r="J1350" i="12"/>
  <c r="K1350" i="12"/>
  <c r="A1351" i="12"/>
  <c r="B1351" i="12"/>
  <c r="C1351" i="12"/>
  <c r="D1351" i="12"/>
  <c r="E1351" i="12"/>
  <c r="F1351" i="12"/>
  <c r="G1351" i="12"/>
  <c r="H1351" i="12"/>
  <c r="I1351" i="12"/>
  <c r="J1351" i="12"/>
  <c r="K1351" i="12"/>
  <c r="L1351" i="12"/>
  <c r="N1351" i="12" s="1"/>
  <c r="M1351" i="12"/>
  <c r="A1352" i="12"/>
  <c r="B1352" i="12"/>
  <c r="C1352" i="12"/>
  <c r="D1352" i="12"/>
  <c r="E1352" i="12"/>
  <c r="F1352" i="12"/>
  <c r="G1352" i="12"/>
  <c r="H1352" i="12"/>
  <c r="I1352" i="12"/>
  <c r="J1352" i="12"/>
  <c r="K1352" i="12"/>
  <c r="M1352" i="12"/>
  <c r="A1353" i="12"/>
  <c r="B1353" i="12"/>
  <c r="C1353" i="12"/>
  <c r="D1353" i="12"/>
  <c r="E1353" i="12"/>
  <c r="F1353" i="12"/>
  <c r="G1353" i="12"/>
  <c r="I1353" i="12" s="1"/>
  <c r="M1353" i="12" s="1"/>
  <c r="H1353" i="12"/>
  <c r="J1353" i="12"/>
  <c r="K1353" i="12"/>
  <c r="L1353" i="12"/>
  <c r="N1353" i="12" s="1"/>
  <c r="A1354" i="12"/>
  <c r="B1354" i="12"/>
  <c r="C1354" i="12"/>
  <c r="D1354" i="12"/>
  <c r="E1354" i="12"/>
  <c r="F1354" i="12"/>
  <c r="G1354" i="12"/>
  <c r="I1354" i="12" s="1"/>
  <c r="M1354" i="12" s="1"/>
  <c r="H1354" i="12"/>
  <c r="J1354" i="12"/>
  <c r="K1354" i="12"/>
  <c r="A1355" i="12"/>
  <c r="B1355" i="12"/>
  <c r="C1355" i="12"/>
  <c r="D1355" i="12"/>
  <c r="E1355" i="12"/>
  <c r="F1355" i="12"/>
  <c r="G1355" i="12"/>
  <c r="H1355" i="12"/>
  <c r="I1355" i="12"/>
  <c r="J1355" i="12"/>
  <c r="K1355" i="12"/>
  <c r="L1355" i="12"/>
  <c r="N1355" i="12" s="1"/>
  <c r="M1355" i="12"/>
  <c r="A1356" i="12"/>
  <c r="B1356" i="12"/>
  <c r="C1356" i="12"/>
  <c r="D1356" i="12"/>
  <c r="E1356" i="12"/>
  <c r="F1356" i="12"/>
  <c r="G1356" i="12"/>
  <c r="H1356" i="12"/>
  <c r="I1356" i="12"/>
  <c r="M1356" i="12" s="1"/>
  <c r="J1356" i="12"/>
  <c r="K1356" i="12"/>
  <c r="A1357" i="12"/>
  <c r="B1357" i="12"/>
  <c r="C1357" i="12"/>
  <c r="D1357" i="12"/>
  <c r="E1357" i="12"/>
  <c r="F1357" i="12"/>
  <c r="G1357" i="12"/>
  <c r="H1357" i="12"/>
  <c r="J1357" i="12"/>
  <c r="K1357" i="12"/>
  <c r="L1357" i="12" s="1"/>
  <c r="N1357" i="12" s="1"/>
  <c r="A1358" i="12"/>
  <c r="B1358" i="12"/>
  <c r="C1358" i="12"/>
  <c r="D1358" i="12"/>
  <c r="E1358" i="12"/>
  <c r="F1358" i="12"/>
  <c r="G1358" i="12"/>
  <c r="I1358" i="12" s="1"/>
  <c r="M1358" i="12" s="1"/>
  <c r="H1358" i="12"/>
  <c r="J1358" i="12"/>
  <c r="L1358" i="12" s="1"/>
  <c r="N1358" i="12" s="1"/>
  <c r="K1358" i="12"/>
  <c r="A1359" i="12"/>
  <c r="B1359" i="12"/>
  <c r="C1359" i="12"/>
  <c r="D1359" i="12"/>
  <c r="E1359" i="12"/>
  <c r="F1359" i="12"/>
  <c r="G1359" i="12"/>
  <c r="H1359" i="12"/>
  <c r="I1359" i="12"/>
  <c r="J1359" i="12"/>
  <c r="K1359" i="12"/>
  <c r="L1359" i="12"/>
  <c r="N1359" i="12" s="1"/>
  <c r="M1359" i="12"/>
  <c r="A1360" i="12"/>
  <c r="B1360" i="12"/>
  <c r="C1360" i="12"/>
  <c r="D1360" i="12"/>
  <c r="E1360" i="12"/>
  <c r="F1360" i="12"/>
  <c r="G1360" i="12"/>
  <c r="H1360" i="12"/>
  <c r="I1360" i="12"/>
  <c r="J1360" i="12"/>
  <c r="K1360" i="12"/>
  <c r="M1360" i="12"/>
  <c r="A1361" i="12"/>
  <c r="B1361" i="12"/>
  <c r="C1361" i="12"/>
  <c r="D1361" i="12"/>
  <c r="E1361" i="12"/>
  <c r="F1361" i="12"/>
  <c r="G1361" i="12"/>
  <c r="I1361" i="12" s="1"/>
  <c r="M1361" i="12" s="1"/>
  <c r="H1361" i="12"/>
  <c r="J1361" i="12"/>
  <c r="K1361" i="12"/>
  <c r="L1361" i="12"/>
  <c r="N1361" i="12" s="1"/>
  <c r="A1362" i="12"/>
  <c r="B1362" i="12"/>
  <c r="C1362" i="12"/>
  <c r="D1362" i="12"/>
  <c r="E1362" i="12"/>
  <c r="F1362" i="12"/>
  <c r="G1362" i="12"/>
  <c r="I1362" i="12" s="1"/>
  <c r="M1362" i="12" s="1"/>
  <c r="H1362" i="12"/>
  <c r="J1362" i="12"/>
  <c r="K1362" i="12"/>
  <c r="A1363" i="12"/>
  <c r="B1363" i="12"/>
  <c r="C1363" i="12"/>
  <c r="D1363" i="12"/>
  <c r="E1363" i="12"/>
  <c r="F1363" i="12"/>
  <c r="G1363" i="12"/>
  <c r="H1363" i="12"/>
  <c r="I1363" i="12"/>
  <c r="J1363" i="12"/>
  <c r="K1363" i="12"/>
  <c r="L1363" i="12"/>
  <c r="N1363" i="12" s="1"/>
  <c r="M1363" i="12"/>
  <c r="A1364" i="12"/>
  <c r="B1364" i="12"/>
  <c r="C1364" i="12"/>
  <c r="D1364" i="12"/>
  <c r="E1364" i="12"/>
  <c r="F1364" i="12"/>
  <c r="G1364" i="12"/>
  <c r="H1364" i="12"/>
  <c r="I1364" i="12"/>
  <c r="M1364" i="12" s="1"/>
  <c r="J1364" i="12"/>
  <c r="K1364" i="12"/>
  <c r="A1365" i="12"/>
  <c r="B1365" i="12"/>
  <c r="C1365" i="12"/>
  <c r="D1365" i="12"/>
  <c r="E1365" i="12"/>
  <c r="F1365" i="12"/>
  <c r="G1365" i="12"/>
  <c r="H1365" i="12"/>
  <c r="J1365" i="12"/>
  <c r="K1365" i="12"/>
  <c r="L1365" i="12" s="1"/>
  <c r="N1365" i="12" s="1"/>
  <c r="A1366" i="12"/>
  <c r="B1366" i="12"/>
  <c r="C1366" i="12"/>
  <c r="D1366" i="12"/>
  <c r="E1366" i="12"/>
  <c r="F1366" i="12"/>
  <c r="G1366" i="12"/>
  <c r="I1366" i="12" s="1"/>
  <c r="M1366" i="12" s="1"/>
  <c r="H1366" i="12"/>
  <c r="J1366" i="12"/>
  <c r="L1366" i="12" s="1"/>
  <c r="N1366" i="12" s="1"/>
  <c r="K1366" i="12"/>
  <c r="A1367" i="12"/>
  <c r="B1367" i="12"/>
  <c r="C1367" i="12"/>
  <c r="D1367" i="12"/>
  <c r="E1367" i="12"/>
  <c r="F1367" i="12"/>
  <c r="G1367" i="12"/>
  <c r="H1367" i="12"/>
  <c r="I1367" i="12"/>
  <c r="J1367" i="12"/>
  <c r="K1367" i="12"/>
  <c r="L1367" i="12"/>
  <c r="N1367" i="12" s="1"/>
  <c r="M1367" i="12"/>
  <c r="A1368" i="12"/>
  <c r="B1368" i="12"/>
  <c r="C1368" i="12"/>
  <c r="D1368" i="12"/>
  <c r="E1368" i="12"/>
  <c r="F1368" i="12"/>
  <c r="G1368" i="12"/>
  <c r="H1368" i="12"/>
  <c r="I1368" i="12"/>
  <c r="J1368" i="12"/>
  <c r="K1368" i="12"/>
  <c r="M1368" i="12"/>
  <c r="A1369" i="12"/>
  <c r="B1369" i="12"/>
  <c r="C1369" i="12"/>
  <c r="D1369" i="12"/>
  <c r="E1369" i="12"/>
  <c r="F1369" i="12"/>
  <c r="G1369" i="12"/>
  <c r="I1369" i="12" s="1"/>
  <c r="M1369" i="12" s="1"/>
  <c r="H1369" i="12"/>
  <c r="J1369" i="12"/>
  <c r="K1369" i="12"/>
  <c r="L1369" i="12" s="1"/>
  <c r="N1369" i="12" s="1"/>
  <c r="A1370" i="12"/>
  <c r="B1370" i="12"/>
  <c r="C1370" i="12"/>
  <c r="D1370" i="12"/>
  <c r="E1370" i="12"/>
  <c r="F1370" i="12"/>
  <c r="G1370" i="12"/>
  <c r="I1370" i="12" s="1"/>
  <c r="M1370" i="12" s="1"/>
  <c r="H1370" i="12"/>
  <c r="J1370" i="12"/>
  <c r="K1370" i="12"/>
  <c r="A1371" i="12"/>
  <c r="B1371" i="12"/>
  <c r="C1371" i="12"/>
  <c r="D1371" i="12"/>
  <c r="E1371" i="12"/>
  <c r="F1371" i="12"/>
  <c r="G1371" i="12"/>
  <c r="H1371" i="12"/>
  <c r="I1371" i="12"/>
  <c r="J1371" i="12"/>
  <c r="K1371" i="12"/>
  <c r="L1371" i="12"/>
  <c r="N1371" i="12" s="1"/>
  <c r="M1371" i="12"/>
  <c r="A1372" i="12"/>
  <c r="B1372" i="12"/>
  <c r="C1372" i="12"/>
  <c r="D1372" i="12"/>
  <c r="E1372" i="12"/>
  <c r="F1372" i="12"/>
  <c r="G1372" i="12"/>
  <c r="H1372" i="12"/>
  <c r="I1372" i="12"/>
  <c r="J1372" i="12"/>
  <c r="K1372" i="12"/>
  <c r="M1372" i="12"/>
  <c r="A1373" i="12"/>
  <c r="B1373" i="12"/>
  <c r="C1373" i="12"/>
  <c r="D1373" i="12"/>
  <c r="E1373" i="12"/>
  <c r="F1373" i="12"/>
  <c r="G1373" i="12"/>
  <c r="I1373" i="12" s="1"/>
  <c r="M1373" i="12" s="1"/>
  <c r="H1373" i="12"/>
  <c r="J1373" i="12"/>
  <c r="K1373" i="12"/>
  <c r="L1373" i="12"/>
  <c r="N1373" i="12" s="1"/>
  <c r="A1374" i="12"/>
  <c r="B1374" i="12"/>
  <c r="C1374" i="12"/>
  <c r="D1374" i="12"/>
  <c r="E1374" i="12"/>
  <c r="F1374" i="12"/>
  <c r="G1374" i="12"/>
  <c r="I1374" i="12" s="1"/>
  <c r="M1374" i="12" s="1"/>
  <c r="H1374" i="12"/>
  <c r="J1374" i="12"/>
  <c r="L1374" i="12" s="1"/>
  <c r="N1374" i="12" s="1"/>
  <c r="K1374" i="12"/>
  <c r="A1375" i="12"/>
  <c r="B1375" i="12"/>
  <c r="C1375" i="12"/>
  <c r="D1375" i="12"/>
  <c r="E1375" i="12"/>
  <c r="F1375" i="12"/>
  <c r="G1375" i="12"/>
  <c r="H1375" i="12"/>
  <c r="I1375" i="12"/>
  <c r="J1375" i="12"/>
  <c r="K1375" i="12"/>
  <c r="L1375" i="12"/>
  <c r="N1375" i="12" s="1"/>
  <c r="M1375" i="12"/>
  <c r="A1376" i="12"/>
  <c r="B1376" i="12"/>
  <c r="C1376" i="12"/>
  <c r="D1376" i="12"/>
  <c r="E1376" i="12"/>
  <c r="F1376" i="12"/>
  <c r="G1376" i="12"/>
  <c r="H1376" i="12"/>
  <c r="I1376" i="12"/>
  <c r="M1376" i="12" s="1"/>
  <c r="J1376" i="12"/>
  <c r="K1376" i="12"/>
  <c r="A1377" i="12"/>
  <c r="B1377" i="12"/>
  <c r="C1377" i="12"/>
  <c r="D1377" i="12"/>
  <c r="E1377" i="12"/>
  <c r="F1377" i="12"/>
  <c r="G1377" i="12"/>
  <c r="H1377" i="12"/>
  <c r="J1377" i="12"/>
  <c r="K1377" i="12"/>
  <c r="L1377" i="12"/>
  <c r="N1377" i="12" s="1"/>
  <c r="A1378" i="12"/>
  <c r="B1378" i="12"/>
  <c r="C1378" i="12"/>
  <c r="D1378" i="12"/>
  <c r="E1378" i="12"/>
  <c r="F1378" i="12"/>
  <c r="G1378" i="12"/>
  <c r="I1378" i="12" s="1"/>
  <c r="M1378" i="12" s="1"/>
  <c r="H1378" i="12"/>
  <c r="J1378" i="12"/>
  <c r="L1378" i="12" s="1"/>
  <c r="N1378" i="12" s="1"/>
  <c r="K1378" i="12"/>
  <c r="A1379" i="12"/>
  <c r="B1379" i="12"/>
  <c r="C1379" i="12"/>
  <c r="D1379" i="12"/>
  <c r="E1379" i="12"/>
  <c r="F1379" i="12"/>
  <c r="G1379" i="12"/>
  <c r="H1379" i="12"/>
  <c r="I1379" i="12"/>
  <c r="J1379" i="12"/>
  <c r="K1379" i="12"/>
  <c r="L1379" i="12"/>
  <c r="N1379" i="12" s="1"/>
  <c r="M1379" i="12"/>
  <c r="A1380" i="12"/>
  <c r="B1380" i="12"/>
  <c r="C1380" i="12"/>
  <c r="D1380" i="12"/>
  <c r="E1380" i="12"/>
  <c r="F1380" i="12"/>
  <c r="G1380" i="12"/>
  <c r="H1380" i="12"/>
  <c r="I1380" i="12"/>
  <c r="M1380" i="12" s="1"/>
  <c r="J1380" i="12"/>
  <c r="K1380" i="12"/>
  <c r="A1381" i="12"/>
  <c r="B1381" i="12"/>
  <c r="C1381" i="12"/>
  <c r="D1381" i="12"/>
  <c r="E1381" i="12"/>
  <c r="F1381" i="12"/>
  <c r="G1381" i="12"/>
  <c r="H1381" i="12"/>
  <c r="J1381" i="12"/>
  <c r="K1381" i="12"/>
  <c r="L1381" i="12" s="1"/>
  <c r="N1381" i="12" s="1"/>
  <c r="A1382" i="12"/>
  <c r="B1382" i="12"/>
  <c r="C1382" i="12"/>
  <c r="D1382" i="12"/>
  <c r="E1382" i="12"/>
  <c r="F1382" i="12"/>
  <c r="G1382" i="12"/>
  <c r="I1382" i="12" s="1"/>
  <c r="M1382" i="12" s="1"/>
  <c r="H1382" i="12"/>
  <c r="J1382" i="12"/>
  <c r="K1382" i="12"/>
  <c r="A1383" i="12"/>
  <c r="B1383" i="12"/>
  <c r="C1383" i="12"/>
  <c r="D1383" i="12"/>
  <c r="E1383" i="12"/>
  <c r="F1383" i="12"/>
  <c r="G1383" i="12"/>
  <c r="H1383" i="12"/>
  <c r="I1383" i="12"/>
  <c r="J1383" i="12"/>
  <c r="K1383" i="12"/>
  <c r="L1383" i="12"/>
  <c r="N1383" i="12" s="1"/>
  <c r="M1383" i="12"/>
  <c r="A1384" i="12"/>
  <c r="B1384" i="12"/>
  <c r="C1384" i="12"/>
  <c r="D1384" i="12"/>
  <c r="E1384" i="12"/>
  <c r="F1384" i="12"/>
  <c r="G1384" i="12"/>
  <c r="H1384" i="12"/>
  <c r="I1384" i="12"/>
  <c r="J1384" i="12"/>
  <c r="K1384" i="12"/>
  <c r="M1384" i="12"/>
  <c r="A1385" i="12"/>
  <c r="B1385" i="12"/>
  <c r="C1385" i="12"/>
  <c r="D1385" i="12"/>
  <c r="E1385" i="12"/>
  <c r="F1385" i="12"/>
  <c r="G1385" i="12"/>
  <c r="I1385" i="12" s="1"/>
  <c r="M1385" i="12" s="1"/>
  <c r="H1385" i="12"/>
  <c r="J1385" i="12"/>
  <c r="K1385" i="12"/>
  <c r="L1385" i="12"/>
  <c r="N1385" i="12" s="1"/>
  <c r="A1386" i="12"/>
  <c r="B1386" i="12"/>
  <c r="C1386" i="12"/>
  <c r="D1386" i="12"/>
  <c r="E1386" i="12"/>
  <c r="F1386" i="12"/>
  <c r="G1386" i="12"/>
  <c r="I1386" i="12" s="1"/>
  <c r="M1386" i="12" s="1"/>
  <c r="H1386" i="12"/>
  <c r="J1386" i="12"/>
  <c r="K1386" i="12"/>
  <c r="A1387" i="12"/>
  <c r="B1387" i="12"/>
  <c r="C1387" i="12"/>
  <c r="D1387" i="12"/>
  <c r="E1387" i="12"/>
  <c r="F1387" i="12"/>
  <c r="G1387" i="12"/>
  <c r="H1387" i="12"/>
  <c r="I1387" i="12"/>
  <c r="J1387" i="12"/>
  <c r="K1387" i="12"/>
  <c r="L1387" i="12"/>
  <c r="N1387" i="12" s="1"/>
  <c r="M1387" i="12"/>
  <c r="A1388" i="12"/>
  <c r="B1388" i="12"/>
  <c r="C1388" i="12"/>
  <c r="D1388" i="12"/>
  <c r="E1388" i="12"/>
  <c r="F1388" i="12"/>
  <c r="G1388" i="12"/>
  <c r="H1388" i="12"/>
  <c r="I1388" i="12"/>
  <c r="M1388" i="12" s="1"/>
  <c r="J1388" i="12"/>
  <c r="K1388" i="12"/>
  <c r="A1389" i="12"/>
  <c r="B1389" i="12"/>
  <c r="C1389" i="12"/>
  <c r="D1389" i="12"/>
  <c r="E1389" i="12"/>
  <c r="F1389" i="12"/>
  <c r="G1389" i="12"/>
  <c r="H1389" i="12"/>
  <c r="J1389" i="12"/>
  <c r="K1389" i="12"/>
  <c r="L1389" i="12" s="1"/>
  <c r="N1389" i="12" s="1"/>
  <c r="A1390" i="12"/>
  <c r="B1390" i="12"/>
  <c r="C1390" i="12"/>
  <c r="D1390" i="12"/>
  <c r="E1390" i="12"/>
  <c r="F1390" i="12"/>
  <c r="G1390" i="12"/>
  <c r="I1390" i="12" s="1"/>
  <c r="M1390" i="12" s="1"/>
  <c r="H1390" i="12"/>
  <c r="J1390" i="12"/>
  <c r="L1390" i="12" s="1"/>
  <c r="N1390" i="12" s="1"/>
  <c r="K1390" i="12"/>
  <c r="A1391" i="12"/>
  <c r="B1391" i="12"/>
  <c r="C1391" i="12"/>
  <c r="D1391" i="12"/>
  <c r="E1391" i="12"/>
  <c r="F1391" i="12"/>
  <c r="G1391" i="12"/>
  <c r="H1391" i="12"/>
  <c r="I1391" i="12"/>
  <c r="J1391" i="12"/>
  <c r="K1391" i="12"/>
  <c r="L1391" i="12"/>
  <c r="N1391" i="12" s="1"/>
  <c r="M1391" i="12"/>
  <c r="A1392" i="12"/>
  <c r="B1392" i="12"/>
  <c r="C1392" i="12"/>
  <c r="D1392" i="12"/>
  <c r="E1392" i="12"/>
  <c r="F1392" i="12"/>
  <c r="G1392" i="12"/>
  <c r="H1392" i="12"/>
  <c r="I1392" i="12"/>
  <c r="J1392" i="12"/>
  <c r="K1392" i="12"/>
  <c r="M1392" i="12"/>
  <c r="A1393" i="12"/>
  <c r="B1393" i="12"/>
  <c r="C1393" i="12"/>
  <c r="D1393" i="12"/>
  <c r="E1393" i="12"/>
  <c r="F1393" i="12"/>
  <c r="G1393" i="12"/>
  <c r="I1393" i="12" s="1"/>
  <c r="M1393" i="12" s="1"/>
  <c r="H1393" i="12"/>
  <c r="J1393" i="12"/>
  <c r="K1393" i="12"/>
  <c r="L1393" i="12"/>
  <c r="N1393" i="12" s="1"/>
  <c r="A1394" i="12"/>
  <c r="B1394" i="12"/>
  <c r="C1394" i="12"/>
  <c r="D1394" i="12"/>
  <c r="E1394" i="12"/>
  <c r="F1394" i="12"/>
  <c r="G1394" i="12"/>
  <c r="I1394" i="12" s="1"/>
  <c r="M1394" i="12" s="1"/>
  <c r="H1394" i="12"/>
  <c r="J1394" i="12"/>
  <c r="K1394" i="12"/>
  <c r="A1395" i="12"/>
  <c r="B1395" i="12"/>
  <c r="C1395" i="12"/>
  <c r="D1395" i="12"/>
  <c r="E1395" i="12"/>
  <c r="F1395" i="12"/>
  <c r="G1395" i="12"/>
  <c r="H1395" i="12"/>
  <c r="I1395" i="12"/>
  <c r="J1395" i="12"/>
  <c r="K1395" i="12"/>
  <c r="L1395" i="12"/>
  <c r="N1395" i="12" s="1"/>
  <c r="M1395" i="12"/>
  <c r="A1396" i="12"/>
  <c r="B1396" i="12"/>
  <c r="C1396" i="12"/>
  <c r="D1396" i="12"/>
  <c r="E1396" i="12"/>
  <c r="F1396" i="12"/>
  <c r="G1396" i="12"/>
  <c r="H1396" i="12"/>
  <c r="I1396" i="12"/>
  <c r="M1396" i="12" s="1"/>
  <c r="J1396" i="12"/>
  <c r="K1396" i="12"/>
  <c r="A1397" i="12"/>
  <c r="B1397" i="12"/>
  <c r="C1397" i="12"/>
  <c r="D1397" i="12"/>
  <c r="E1397" i="12"/>
  <c r="F1397" i="12"/>
  <c r="G1397" i="12"/>
  <c r="I1397" i="12" s="1"/>
  <c r="M1397" i="12" s="1"/>
  <c r="H1397" i="12"/>
  <c r="J1397" i="12"/>
  <c r="K1397" i="12"/>
  <c r="L1397" i="12"/>
  <c r="N1397" i="12" s="1"/>
  <c r="A1398" i="12"/>
  <c r="B1398" i="12"/>
  <c r="C1398" i="12"/>
  <c r="D1398" i="12"/>
  <c r="E1398" i="12"/>
  <c r="F1398" i="12"/>
  <c r="G1398" i="12"/>
  <c r="I1398" i="12" s="1"/>
  <c r="M1398" i="12" s="1"/>
  <c r="H1398" i="12"/>
  <c r="J1398" i="12"/>
  <c r="K1398" i="12"/>
  <c r="A1399" i="12"/>
  <c r="B1399" i="12"/>
  <c r="C1399" i="12"/>
  <c r="D1399" i="12"/>
  <c r="E1399" i="12"/>
  <c r="F1399" i="12"/>
  <c r="G1399" i="12"/>
  <c r="H1399" i="12"/>
  <c r="I1399" i="12"/>
  <c r="J1399" i="12"/>
  <c r="K1399" i="12"/>
  <c r="L1399" i="12"/>
  <c r="N1399" i="12" s="1"/>
  <c r="M1399" i="12"/>
  <c r="A1400" i="12"/>
  <c r="B1400" i="12"/>
  <c r="C1400" i="12"/>
  <c r="D1400" i="12"/>
  <c r="E1400" i="12"/>
  <c r="F1400" i="12"/>
  <c r="G1400" i="12"/>
  <c r="H1400" i="12"/>
  <c r="I1400" i="12"/>
  <c r="M1400" i="12" s="1"/>
  <c r="J1400" i="12"/>
  <c r="K1400" i="12"/>
  <c r="A1401" i="12"/>
  <c r="B1401" i="12"/>
  <c r="C1401" i="12"/>
  <c r="D1401" i="12"/>
  <c r="E1401" i="12"/>
  <c r="F1401" i="12"/>
  <c r="G1401" i="12"/>
  <c r="H1401" i="12"/>
  <c r="J1401" i="12"/>
  <c r="K1401" i="12"/>
  <c r="L1401" i="12" s="1"/>
  <c r="N1401" i="12" s="1"/>
  <c r="A1402" i="12"/>
  <c r="B1402" i="12"/>
  <c r="C1402" i="12"/>
  <c r="D1402" i="12"/>
  <c r="E1402" i="12"/>
  <c r="F1402" i="12"/>
  <c r="G1402" i="12"/>
  <c r="I1402" i="12" s="1"/>
  <c r="M1402" i="12" s="1"/>
  <c r="H1402" i="12"/>
  <c r="J1402" i="12"/>
  <c r="L1402" i="12" s="1"/>
  <c r="N1402" i="12" s="1"/>
  <c r="K1402" i="12"/>
  <c r="A1403" i="12"/>
  <c r="B1403" i="12"/>
  <c r="C1403" i="12"/>
  <c r="D1403" i="12"/>
  <c r="E1403" i="12"/>
  <c r="F1403" i="12"/>
  <c r="G1403" i="12"/>
  <c r="H1403" i="12"/>
  <c r="I1403" i="12"/>
  <c r="J1403" i="12"/>
  <c r="K1403" i="12"/>
  <c r="L1403" i="12"/>
  <c r="N1403" i="12" s="1"/>
  <c r="M1403" i="12"/>
  <c r="A1404" i="12"/>
  <c r="B1404" i="12"/>
  <c r="C1404" i="12"/>
  <c r="D1404" i="12"/>
  <c r="E1404" i="12"/>
  <c r="F1404" i="12"/>
  <c r="G1404" i="12"/>
  <c r="H1404" i="12"/>
  <c r="I1404" i="12"/>
  <c r="J1404" i="12"/>
  <c r="K1404" i="12"/>
  <c r="M1404" i="12"/>
  <c r="A1405" i="12"/>
  <c r="B1405" i="12"/>
  <c r="C1405" i="12"/>
  <c r="D1405" i="12"/>
  <c r="E1405" i="12"/>
  <c r="F1405" i="12"/>
  <c r="G1405" i="12"/>
  <c r="I1405" i="12" s="1"/>
  <c r="M1405" i="12" s="1"/>
  <c r="H1405" i="12"/>
  <c r="J1405" i="12"/>
  <c r="K1405" i="12"/>
  <c r="L1405" i="12"/>
  <c r="N1405" i="12" s="1"/>
  <c r="A1406" i="12"/>
  <c r="B1406" i="12"/>
  <c r="C1406" i="12"/>
  <c r="D1406" i="12"/>
  <c r="E1406" i="12"/>
  <c r="F1406" i="12"/>
  <c r="G1406" i="12"/>
  <c r="I1406" i="12" s="1"/>
  <c r="M1406" i="12" s="1"/>
  <c r="H1406" i="12"/>
  <c r="J1406" i="12"/>
  <c r="K1406" i="12"/>
  <c r="A1407" i="12"/>
  <c r="B1407" i="12"/>
  <c r="C1407" i="12"/>
  <c r="D1407" i="12"/>
  <c r="E1407" i="12"/>
  <c r="F1407" i="12"/>
  <c r="G1407" i="12"/>
  <c r="H1407" i="12"/>
  <c r="I1407" i="12"/>
  <c r="J1407" i="12"/>
  <c r="K1407" i="12"/>
  <c r="L1407" i="12"/>
  <c r="N1407" i="12" s="1"/>
  <c r="M1407" i="12"/>
  <c r="A1408" i="12"/>
  <c r="B1408" i="12"/>
  <c r="C1408" i="12"/>
  <c r="D1408" i="12"/>
  <c r="E1408" i="12"/>
  <c r="F1408" i="12"/>
  <c r="G1408" i="12"/>
  <c r="H1408" i="12"/>
  <c r="I1408" i="12"/>
  <c r="M1408" i="12" s="1"/>
  <c r="J1408" i="12"/>
  <c r="K1408" i="12"/>
  <c r="A1409" i="12"/>
  <c r="B1409" i="12"/>
  <c r="C1409" i="12"/>
  <c r="D1409" i="12"/>
  <c r="E1409" i="12"/>
  <c r="F1409" i="12"/>
  <c r="G1409" i="12"/>
  <c r="H1409" i="12"/>
  <c r="J1409" i="12"/>
  <c r="K1409" i="12"/>
  <c r="L1409" i="12" s="1"/>
  <c r="N1409" i="12" s="1"/>
  <c r="A1410" i="12"/>
  <c r="B1410" i="12"/>
  <c r="C1410" i="12"/>
  <c r="D1410" i="12"/>
  <c r="E1410" i="12"/>
  <c r="F1410" i="12"/>
  <c r="G1410" i="12"/>
  <c r="I1410" i="12" s="1"/>
  <c r="M1410" i="12" s="1"/>
  <c r="H1410" i="12"/>
  <c r="J1410" i="12"/>
  <c r="L1410" i="12" s="1"/>
  <c r="N1410" i="12" s="1"/>
  <c r="K1410" i="12"/>
  <c r="A1411" i="12"/>
  <c r="B1411" i="12"/>
  <c r="C1411" i="12"/>
  <c r="D1411" i="12"/>
  <c r="E1411" i="12"/>
  <c r="F1411" i="12"/>
  <c r="G1411" i="12"/>
  <c r="H1411" i="12"/>
  <c r="I1411" i="12"/>
  <c r="J1411" i="12"/>
  <c r="K1411" i="12"/>
  <c r="L1411" i="12"/>
  <c r="N1411" i="12" s="1"/>
  <c r="M1411" i="12"/>
  <c r="A1412" i="12"/>
  <c r="B1412" i="12"/>
  <c r="C1412" i="12"/>
  <c r="D1412" i="12"/>
  <c r="E1412" i="12"/>
  <c r="F1412" i="12"/>
  <c r="G1412" i="12"/>
  <c r="H1412" i="12"/>
  <c r="I1412" i="12"/>
  <c r="J1412" i="12"/>
  <c r="K1412" i="12"/>
  <c r="M1412" i="12"/>
  <c r="A1413" i="12"/>
  <c r="B1413" i="12"/>
  <c r="C1413" i="12"/>
  <c r="D1413" i="12"/>
  <c r="E1413" i="12"/>
  <c r="F1413" i="12"/>
  <c r="G1413" i="12"/>
  <c r="I1413" i="12" s="1"/>
  <c r="M1413" i="12" s="1"/>
  <c r="H1413" i="12"/>
  <c r="J1413" i="12"/>
  <c r="K1413" i="12"/>
  <c r="L1413" i="12"/>
  <c r="N1413" i="12" s="1"/>
  <c r="A1414" i="12"/>
  <c r="B1414" i="12"/>
  <c r="C1414" i="12"/>
  <c r="D1414" i="12"/>
  <c r="E1414" i="12"/>
  <c r="F1414" i="12"/>
  <c r="G1414" i="12"/>
  <c r="I1414" i="12" s="1"/>
  <c r="M1414" i="12" s="1"/>
  <c r="H1414" i="12"/>
  <c r="J1414" i="12"/>
  <c r="K1414" i="12"/>
  <c r="A1415" i="12"/>
  <c r="B1415" i="12"/>
  <c r="C1415" i="12"/>
  <c r="D1415" i="12"/>
  <c r="E1415" i="12"/>
  <c r="F1415" i="12"/>
  <c r="G1415" i="12"/>
  <c r="H1415" i="12"/>
  <c r="I1415" i="12"/>
  <c r="J1415" i="12"/>
  <c r="K1415" i="12"/>
  <c r="L1415" i="12"/>
  <c r="N1415" i="12" s="1"/>
  <c r="M1415" i="12"/>
  <c r="A1416" i="12"/>
  <c r="B1416" i="12"/>
  <c r="C1416" i="12"/>
  <c r="D1416" i="12"/>
  <c r="E1416" i="12"/>
  <c r="F1416" i="12"/>
  <c r="G1416" i="12"/>
  <c r="H1416" i="12"/>
  <c r="I1416" i="12"/>
  <c r="M1416" i="12" s="1"/>
  <c r="J1416" i="12"/>
  <c r="K1416" i="12"/>
  <c r="A1417" i="12"/>
  <c r="B1417" i="12"/>
  <c r="C1417" i="12"/>
  <c r="D1417" i="12"/>
  <c r="E1417" i="12"/>
  <c r="F1417" i="12"/>
  <c r="G1417" i="12"/>
  <c r="H1417" i="12"/>
  <c r="J1417" i="12"/>
  <c r="K1417" i="12"/>
  <c r="L1417" i="12" s="1"/>
  <c r="N1417" i="12" s="1"/>
  <c r="A1418" i="12"/>
  <c r="B1418" i="12"/>
  <c r="C1418" i="12"/>
  <c r="D1418" i="12"/>
  <c r="E1418" i="12"/>
  <c r="F1418" i="12"/>
  <c r="G1418" i="12"/>
  <c r="I1418" i="12" s="1"/>
  <c r="M1418" i="12" s="1"/>
  <c r="H1418" i="12"/>
  <c r="J1418" i="12"/>
  <c r="L1418" i="12" s="1"/>
  <c r="N1418" i="12" s="1"/>
  <c r="K1418" i="12"/>
  <c r="A1419" i="12"/>
  <c r="B1419" i="12"/>
  <c r="C1419" i="12"/>
  <c r="D1419" i="12"/>
  <c r="E1419" i="12"/>
  <c r="F1419" i="12"/>
  <c r="G1419" i="12"/>
  <c r="H1419" i="12"/>
  <c r="I1419" i="12"/>
  <c r="J1419" i="12"/>
  <c r="K1419" i="12"/>
  <c r="L1419" i="12"/>
  <c r="N1419" i="12" s="1"/>
  <c r="M1419" i="12"/>
  <c r="A1420" i="12"/>
  <c r="B1420" i="12"/>
  <c r="C1420" i="12"/>
  <c r="D1420" i="12"/>
  <c r="E1420" i="12"/>
  <c r="F1420" i="12"/>
  <c r="G1420" i="12"/>
  <c r="H1420" i="12"/>
  <c r="I1420" i="12"/>
  <c r="J1420" i="12"/>
  <c r="K1420" i="12"/>
  <c r="M1420" i="12"/>
  <c r="A1421" i="12"/>
  <c r="B1421" i="12"/>
  <c r="C1421" i="12"/>
  <c r="D1421" i="12"/>
  <c r="E1421" i="12"/>
  <c r="F1421" i="12"/>
  <c r="G1421" i="12"/>
  <c r="I1421" i="12" s="1"/>
  <c r="M1421" i="12" s="1"/>
  <c r="H1421" i="12"/>
  <c r="J1421" i="12"/>
  <c r="K1421" i="12"/>
  <c r="L1421" i="12"/>
  <c r="N1421" i="12" s="1"/>
  <c r="A1422" i="12"/>
  <c r="B1422" i="12"/>
  <c r="C1422" i="12"/>
  <c r="D1422" i="12"/>
  <c r="E1422" i="12"/>
  <c r="F1422" i="12"/>
  <c r="G1422" i="12"/>
  <c r="I1422" i="12" s="1"/>
  <c r="M1422" i="12" s="1"/>
  <c r="H1422" i="12"/>
  <c r="J1422" i="12"/>
  <c r="K1422" i="12"/>
  <c r="A1423" i="12"/>
  <c r="B1423" i="12"/>
  <c r="C1423" i="12"/>
  <c r="D1423" i="12"/>
  <c r="E1423" i="12"/>
  <c r="F1423" i="12"/>
  <c r="G1423" i="12"/>
  <c r="H1423" i="12"/>
  <c r="I1423" i="12"/>
  <c r="J1423" i="12"/>
  <c r="K1423" i="12"/>
  <c r="L1423" i="12"/>
  <c r="N1423" i="12" s="1"/>
  <c r="M1423" i="12"/>
  <c r="A1424" i="12"/>
  <c r="B1424" i="12"/>
  <c r="C1424" i="12"/>
  <c r="D1424" i="12"/>
  <c r="E1424" i="12"/>
  <c r="F1424" i="12"/>
  <c r="G1424" i="12"/>
  <c r="H1424" i="12"/>
  <c r="I1424" i="12"/>
  <c r="M1424" i="12" s="1"/>
  <c r="J1424" i="12"/>
  <c r="K1424" i="12"/>
  <c r="A1425" i="12"/>
  <c r="B1425" i="12"/>
  <c r="C1425" i="12"/>
  <c r="D1425" i="12"/>
  <c r="E1425" i="12"/>
  <c r="F1425" i="12"/>
  <c r="G1425" i="12"/>
  <c r="H1425" i="12"/>
  <c r="J1425" i="12"/>
  <c r="K1425" i="12"/>
  <c r="L1425" i="12" s="1"/>
  <c r="N1425" i="12" s="1"/>
  <c r="A1426" i="12"/>
  <c r="B1426" i="12"/>
  <c r="C1426" i="12"/>
  <c r="D1426" i="12"/>
  <c r="E1426" i="12"/>
  <c r="F1426" i="12"/>
  <c r="G1426" i="12"/>
  <c r="I1426" i="12" s="1"/>
  <c r="M1426" i="12" s="1"/>
  <c r="H1426" i="12"/>
  <c r="J1426" i="12"/>
  <c r="L1426" i="12" s="1"/>
  <c r="N1426" i="12" s="1"/>
  <c r="K1426" i="12"/>
  <c r="A1427" i="12"/>
  <c r="B1427" i="12"/>
  <c r="C1427" i="12"/>
  <c r="D1427" i="12"/>
  <c r="E1427" i="12"/>
  <c r="F1427" i="12"/>
  <c r="G1427" i="12"/>
  <c r="H1427" i="12"/>
  <c r="I1427" i="12"/>
  <c r="J1427" i="12"/>
  <c r="K1427" i="12"/>
  <c r="L1427" i="12"/>
  <c r="N1427" i="12" s="1"/>
  <c r="M1427" i="12"/>
  <c r="A1428" i="12"/>
  <c r="B1428" i="12"/>
  <c r="C1428" i="12"/>
  <c r="D1428" i="12"/>
  <c r="E1428" i="12"/>
  <c r="F1428" i="12"/>
  <c r="G1428" i="12"/>
  <c r="H1428" i="12"/>
  <c r="I1428" i="12"/>
  <c r="J1428" i="12"/>
  <c r="K1428" i="12"/>
  <c r="M1428" i="12"/>
  <c r="A1429" i="12"/>
  <c r="B1429" i="12"/>
  <c r="C1429" i="12"/>
  <c r="D1429" i="12"/>
  <c r="E1429" i="12"/>
  <c r="F1429" i="12"/>
  <c r="G1429" i="12"/>
  <c r="I1429" i="12" s="1"/>
  <c r="M1429" i="12" s="1"/>
  <c r="H1429" i="12"/>
  <c r="J1429" i="12"/>
  <c r="K1429" i="12"/>
  <c r="L1429" i="12"/>
  <c r="N1429" i="12" s="1"/>
  <c r="A1430" i="12"/>
  <c r="B1430" i="12"/>
  <c r="C1430" i="12"/>
  <c r="D1430" i="12"/>
  <c r="E1430" i="12"/>
  <c r="F1430" i="12"/>
  <c r="G1430" i="12"/>
  <c r="I1430" i="12" s="1"/>
  <c r="M1430" i="12" s="1"/>
  <c r="H1430" i="12"/>
  <c r="J1430" i="12"/>
  <c r="K1430" i="12"/>
  <c r="A1431" i="12"/>
  <c r="B1431" i="12"/>
  <c r="C1431" i="12"/>
  <c r="D1431" i="12"/>
  <c r="E1431" i="12"/>
  <c r="F1431" i="12"/>
  <c r="G1431" i="12"/>
  <c r="H1431" i="12"/>
  <c r="I1431" i="12"/>
  <c r="J1431" i="12"/>
  <c r="K1431" i="12"/>
  <c r="L1431" i="12"/>
  <c r="N1431" i="12" s="1"/>
  <c r="M1431" i="12"/>
  <c r="A1432" i="12"/>
  <c r="B1432" i="12"/>
  <c r="C1432" i="12"/>
  <c r="D1432" i="12"/>
  <c r="E1432" i="12"/>
  <c r="F1432" i="12"/>
  <c r="G1432" i="12"/>
  <c r="H1432" i="12"/>
  <c r="I1432" i="12"/>
  <c r="M1432" i="12" s="1"/>
  <c r="J1432" i="12"/>
  <c r="K1432" i="12"/>
  <c r="A1433" i="12"/>
  <c r="B1433" i="12"/>
  <c r="C1433" i="12"/>
  <c r="D1433" i="12"/>
  <c r="E1433" i="12"/>
  <c r="F1433" i="12"/>
  <c r="G1433" i="12"/>
  <c r="H1433" i="12"/>
  <c r="J1433" i="12"/>
  <c r="K1433" i="12"/>
  <c r="L1433" i="12" s="1"/>
  <c r="N1433" i="12" s="1"/>
  <c r="A1434" i="12"/>
  <c r="B1434" i="12"/>
  <c r="C1434" i="12"/>
  <c r="D1434" i="12"/>
  <c r="E1434" i="12"/>
  <c r="F1434" i="12"/>
  <c r="G1434" i="12"/>
  <c r="I1434" i="12" s="1"/>
  <c r="M1434" i="12" s="1"/>
  <c r="H1434" i="12"/>
  <c r="J1434" i="12"/>
  <c r="L1434" i="12" s="1"/>
  <c r="N1434" i="12" s="1"/>
  <c r="K1434" i="12"/>
  <c r="A1435" i="12"/>
  <c r="B1435" i="12"/>
  <c r="C1435" i="12"/>
  <c r="D1435" i="12"/>
  <c r="E1435" i="12"/>
  <c r="F1435" i="12"/>
  <c r="G1435" i="12"/>
  <c r="H1435" i="12"/>
  <c r="I1435" i="12"/>
  <c r="J1435" i="12"/>
  <c r="K1435" i="12"/>
  <c r="L1435" i="12"/>
  <c r="N1435" i="12" s="1"/>
  <c r="M1435" i="12"/>
  <c r="A1436" i="12"/>
  <c r="B1436" i="12"/>
  <c r="C1436" i="12"/>
  <c r="D1436" i="12"/>
  <c r="E1436" i="12"/>
  <c r="F1436" i="12"/>
  <c r="G1436" i="12"/>
  <c r="H1436" i="12"/>
  <c r="I1436" i="12"/>
  <c r="J1436" i="12"/>
  <c r="K1436" i="12"/>
  <c r="M1436" i="12"/>
  <c r="A1437" i="12"/>
  <c r="B1437" i="12"/>
  <c r="C1437" i="12"/>
  <c r="D1437" i="12"/>
  <c r="E1437" i="12"/>
  <c r="F1437" i="12"/>
  <c r="G1437" i="12"/>
  <c r="I1437" i="12" s="1"/>
  <c r="M1437" i="12" s="1"/>
  <c r="H1437" i="12"/>
  <c r="J1437" i="12"/>
  <c r="K1437" i="12"/>
  <c r="L1437" i="12"/>
  <c r="N1437" i="12" s="1"/>
  <c r="A1438" i="12"/>
  <c r="B1438" i="12"/>
  <c r="C1438" i="12"/>
  <c r="D1438" i="12"/>
  <c r="E1438" i="12"/>
  <c r="F1438" i="12"/>
  <c r="G1438" i="12"/>
  <c r="I1438" i="12" s="1"/>
  <c r="M1438" i="12" s="1"/>
  <c r="H1438" i="12"/>
  <c r="J1438" i="12"/>
  <c r="K1438" i="12"/>
  <c r="A1439" i="12"/>
  <c r="B1439" i="12"/>
  <c r="C1439" i="12"/>
  <c r="D1439" i="12"/>
  <c r="E1439" i="12"/>
  <c r="F1439" i="12"/>
  <c r="G1439" i="12"/>
  <c r="H1439" i="12"/>
  <c r="I1439" i="12"/>
  <c r="J1439" i="12"/>
  <c r="K1439" i="12"/>
  <c r="L1439" i="12"/>
  <c r="N1439" i="12" s="1"/>
  <c r="M1439" i="12"/>
  <c r="A1440" i="12"/>
  <c r="B1440" i="12"/>
  <c r="C1440" i="12"/>
  <c r="D1440" i="12"/>
  <c r="E1440" i="12"/>
  <c r="F1440" i="12"/>
  <c r="G1440" i="12"/>
  <c r="H1440" i="12"/>
  <c r="I1440" i="12"/>
  <c r="M1440" i="12" s="1"/>
  <c r="J1440" i="12"/>
  <c r="K1440" i="12"/>
  <c r="A1441" i="12"/>
  <c r="B1441" i="12"/>
  <c r="C1441" i="12"/>
  <c r="D1441" i="12"/>
  <c r="E1441" i="12"/>
  <c r="F1441" i="12"/>
  <c r="G1441" i="12"/>
  <c r="H1441" i="12"/>
  <c r="J1441" i="12"/>
  <c r="K1441" i="12"/>
  <c r="L1441" i="12" s="1"/>
  <c r="N1441" i="12" s="1"/>
  <c r="A1442" i="12"/>
  <c r="B1442" i="12"/>
  <c r="C1442" i="12"/>
  <c r="D1442" i="12"/>
  <c r="E1442" i="12"/>
  <c r="F1442" i="12"/>
  <c r="G1442" i="12"/>
  <c r="I1442" i="12" s="1"/>
  <c r="M1442" i="12" s="1"/>
  <c r="H1442" i="12"/>
  <c r="J1442" i="12"/>
  <c r="L1442" i="12" s="1"/>
  <c r="N1442" i="12" s="1"/>
  <c r="K1442" i="12"/>
  <c r="A1443" i="12"/>
  <c r="B1443" i="12"/>
  <c r="C1443" i="12"/>
  <c r="D1443" i="12"/>
  <c r="E1443" i="12"/>
  <c r="F1443" i="12"/>
  <c r="G1443" i="12"/>
  <c r="H1443" i="12"/>
  <c r="I1443" i="12"/>
  <c r="J1443" i="12"/>
  <c r="K1443" i="12"/>
  <c r="L1443" i="12"/>
  <c r="N1443" i="12" s="1"/>
  <c r="M1443" i="12"/>
  <c r="A1444" i="12"/>
  <c r="B1444" i="12"/>
  <c r="C1444" i="12"/>
  <c r="D1444" i="12"/>
  <c r="E1444" i="12"/>
  <c r="F1444" i="12"/>
  <c r="G1444" i="12"/>
  <c r="H1444" i="12"/>
  <c r="I1444" i="12"/>
  <c r="J1444" i="12"/>
  <c r="K1444" i="12"/>
  <c r="M1444" i="12"/>
  <c r="A1445" i="12"/>
  <c r="B1445" i="12"/>
  <c r="C1445" i="12"/>
  <c r="D1445" i="12"/>
  <c r="E1445" i="12"/>
  <c r="F1445" i="12"/>
  <c r="G1445" i="12"/>
  <c r="I1445" i="12" s="1"/>
  <c r="M1445" i="12" s="1"/>
  <c r="H1445" i="12"/>
  <c r="J1445" i="12"/>
  <c r="K1445" i="12"/>
  <c r="L1445" i="12"/>
  <c r="N1445" i="12" s="1"/>
  <c r="A1446" i="12"/>
  <c r="B1446" i="12"/>
  <c r="C1446" i="12"/>
  <c r="D1446" i="12"/>
  <c r="E1446" i="12"/>
  <c r="F1446" i="12"/>
  <c r="G1446" i="12"/>
  <c r="I1446" i="12" s="1"/>
  <c r="M1446" i="12" s="1"/>
  <c r="H1446" i="12"/>
  <c r="J1446" i="12"/>
  <c r="K1446" i="12"/>
  <c r="A1447" i="12"/>
  <c r="B1447" i="12"/>
  <c r="C1447" i="12"/>
  <c r="D1447" i="12"/>
  <c r="E1447" i="12"/>
  <c r="F1447" i="12"/>
  <c r="G1447" i="12"/>
  <c r="H1447" i="12"/>
  <c r="I1447" i="12"/>
  <c r="J1447" i="12"/>
  <c r="K1447" i="12"/>
  <c r="L1447" i="12"/>
  <c r="N1447" i="12" s="1"/>
  <c r="M1447" i="12"/>
  <c r="A1448" i="12"/>
  <c r="B1448" i="12"/>
  <c r="C1448" i="12"/>
  <c r="D1448" i="12"/>
  <c r="E1448" i="12"/>
  <c r="F1448" i="12"/>
  <c r="G1448" i="12"/>
  <c r="H1448" i="12"/>
  <c r="I1448" i="12"/>
  <c r="M1448" i="12" s="1"/>
  <c r="J1448" i="12"/>
  <c r="K1448" i="12"/>
  <c r="A1449" i="12"/>
  <c r="B1449" i="12"/>
  <c r="C1449" i="12"/>
  <c r="D1449" i="12"/>
  <c r="E1449" i="12"/>
  <c r="F1449" i="12"/>
  <c r="G1449" i="12"/>
  <c r="H1449" i="12"/>
  <c r="J1449" i="12"/>
  <c r="K1449" i="12"/>
  <c r="L1449" i="12" s="1"/>
  <c r="N1449" i="12" s="1"/>
  <c r="A1450" i="12"/>
  <c r="B1450" i="12"/>
  <c r="C1450" i="12"/>
  <c r="D1450" i="12"/>
  <c r="E1450" i="12"/>
  <c r="F1450" i="12"/>
  <c r="G1450" i="12"/>
  <c r="I1450" i="12" s="1"/>
  <c r="M1450" i="12" s="1"/>
  <c r="H1450" i="12"/>
  <c r="J1450" i="12"/>
  <c r="L1450" i="12" s="1"/>
  <c r="N1450" i="12" s="1"/>
  <c r="K1450" i="12"/>
  <c r="A1451" i="12"/>
  <c r="B1451" i="12"/>
  <c r="C1451" i="12"/>
  <c r="D1451" i="12"/>
  <c r="E1451" i="12"/>
  <c r="F1451" i="12"/>
  <c r="G1451" i="12"/>
  <c r="H1451" i="12"/>
  <c r="I1451" i="12"/>
  <c r="J1451" i="12"/>
  <c r="K1451" i="12"/>
  <c r="L1451" i="12"/>
  <c r="N1451" i="12" s="1"/>
  <c r="M1451" i="12"/>
  <c r="A1452" i="12"/>
  <c r="B1452" i="12"/>
  <c r="C1452" i="12"/>
  <c r="D1452" i="12"/>
  <c r="E1452" i="12"/>
  <c r="F1452" i="12"/>
  <c r="G1452" i="12"/>
  <c r="H1452" i="12"/>
  <c r="I1452" i="12"/>
  <c r="J1452" i="12"/>
  <c r="K1452" i="12"/>
  <c r="M1452" i="12"/>
  <c r="A1453" i="12"/>
  <c r="B1453" i="12"/>
  <c r="C1453" i="12"/>
  <c r="D1453" i="12"/>
  <c r="E1453" i="12"/>
  <c r="F1453" i="12"/>
  <c r="G1453" i="12"/>
  <c r="I1453" i="12" s="1"/>
  <c r="M1453" i="12" s="1"/>
  <c r="H1453" i="12"/>
  <c r="J1453" i="12"/>
  <c r="K1453" i="12"/>
  <c r="L1453" i="12"/>
  <c r="N1453" i="12" s="1"/>
  <c r="A1454" i="12"/>
  <c r="B1454" i="12"/>
  <c r="C1454" i="12"/>
  <c r="D1454" i="12"/>
  <c r="E1454" i="12"/>
  <c r="F1454" i="12"/>
  <c r="G1454" i="12"/>
  <c r="I1454" i="12" s="1"/>
  <c r="M1454" i="12" s="1"/>
  <c r="H1454" i="12"/>
  <c r="J1454" i="12"/>
  <c r="K1454" i="12"/>
  <c r="A1455" i="12"/>
  <c r="B1455" i="12"/>
  <c r="C1455" i="12"/>
  <c r="D1455" i="12"/>
  <c r="E1455" i="12"/>
  <c r="F1455" i="12"/>
  <c r="G1455" i="12"/>
  <c r="H1455" i="12"/>
  <c r="I1455" i="12"/>
  <c r="J1455" i="12"/>
  <c r="K1455" i="12"/>
  <c r="L1455" i="12"/>
  <c r="N1455" i="12" s="1"/>
  <c r="M1455" i="12"/>
  <c r="A1456" i="12"/>
  <c r="B1456" i="12"/>
  <c r="C1456" i="12"/>
  <c r="D1456" i="12"/>
  <c r="E1456" i="12"/>
  <c r="F1456" i="12"/>
  <c r="G1456" i="12"/>
  <c r="H1456" i="12"/>
  <c r="I1456" i="12"/>
  <c r="M1456" i="12" s="1"/>
  <c r="J1456" i="12"/>
  <c r="K1456" i="12"/>
  <c r="A1457" i="12"/>
  <c r="B1457" i="12"/>
  <c r="C1457" i="12"/>
  <c r="D1457" i="12"/>
  <c r="E1457" i="12"/>
  <c r="F1457" i="12"/>
  <c r="G1457" i="12"/>
  <c r="H1457" i="12"/>
  <c r="J1457" i="12"/>
  <c r="K1457" i="12"/>
  <c r="L1457" i="12" s="1"/>
  <c r="N1457" i="12" s="1"/>
  <c r="A1458" i="12"/>
  <c r="B1458" i="12"/>
  <c r="C1458" i="12"/>
  <c r="D1458" i="12"/>
  <c r="E1458" i="12"/>
  <c r="F1458" i="12"/>
  <c r="G1458" i="12"/>
  <c r="I1458" i="12" s="1"/>
  <c r="M1458" i="12" s="1"/>
  <c r="H1458" i="12"/>
  <c r="J1458" i="12"/>
  <c r="L1458" i="12" s="1"/>
  <c r="N1458" i="12" s="1"/>
  <c r="K1458" i="12"/>
  <c r="A1459" i="12"/>
  <c r="B1459" i="12"/>
  <c r="C1459" i="12"/>
  <c r="D1459" i="12"/>
  <c r="E1459" i="12"/>
  <c r="F1459" i="12"/>
  <c r="G1459" i="12"/>
  <c r="H1459" i="12"/>
  <c r="I1459" i="12"/>
  <c r="J1459" i="12"/>
  <c r="K1459" i="12"/>
  <c r="L1459" i="12"/>
  <c r="N1459" i="12" s="1"/>
  <c r="M1459" i="12"/>
  <c r="A1460" i="12"/>
  <c r="B1460" i="12"/>
  <c r="C1460" i="12"/>
  <c r="D1460" i="12"/>
  <c r="E1460" i="12"/>
  <c r="F1460" i="12"/>
  <c r="G1460" i="12"/>
  <c r="H1460" i="12"/>
  <c r="I1460" i="12"/>
  <c r="J1460" i="12"/>
  <c r="K1460" i="12"/>
  <c r="M1460" i="12"/>
  <c r="A1461" i="12"/>
  <c r="B1461" i="12"/>
  <c r="C1461" i="12"/>
  <c r="D1461" i="12"/>
  <c r="E1461" i="12"/>
  <c r="F1461" i="12"/>
  <c r="G1461" i="12"/>
  <c r="I1461" i="12" s="1"/>
  <c r="M1461" i="12" s="1"/>
  <c r="H1461" i="12"/>
  <c r="J1461" i="12"/>
  <c r="K1461" i="12"/>
  <c r="L1461" i="12"/>
  <c r="N1461" i="12" s="1"/>
  <c r="A1462" i="12"/>
  <c r="B1462" i="12"/>
  <c r="C1462" i="12"/>
  <c r="D1462" i="12"/>
  <c r="E1462" i="12"/>
  <c r="F1462" i="12"/>
  <c r="G1462" i="12"/>
  <c r="I1462" i="12" s="1"/>
  <c r="M1462" i="12" s="1"/>
  <c r="H1462" i="12"/>
  <c r="J1462" i="12"/>
  <c r="K1462" i="12"/>
  <c r="A1463" i="12"/>
  <c r="B1463" i="12"/>
  <c r="C1463" i="12"/>
  <c r="D1463" i="12"/>
  <c r="E1463" i="12"/>
  <c r="F1463" i="12"/>
  <c r="G1463" i="12"/>
  <c r="H1463" i="12"/>
  <c r="I1463" i="12"/>
  <c r="J1463" i="12"/>
  <c r="K1463" i="12"/>
  <c r="L1463" i="12"/>
  <c r="N1463" i="12" s="1"/>
  <c r="M1463" i="12"/>
  <c r="A1464" i="12"/>
  <c r="B1464" i="12"/>
  <c r="C1464" i="12"/>
  <c r="D1464" i="12"/>
  <c r="E1464" i="12"/>
  <c r="F1464" i="12"/>
  <c r="G1464" i="12"/>
  <c r="H1464" i="12"/>
  <c r="I1464" i="12"/>
  <c r="M1464" i="12" s="1"/>
  <c r="J1464" i="12"/>
  <c r="K1464" i="12"/>
  <c r="A1465" i="12"/>
  <c r="B1465" i="12"/>
  <c r="C1465" i="12"/>
  <c r="D1465" i="12"/>
  <c r="E1465" i="12"/>
  <c r="F1465" i="12"/>
  <c r="G1465" i="12"/>
  <c r="H1465" i="12"/>
  <c r="J1465" i="12"/>
  <c r="K1465" i="12"/>
  <c r="L1465" i="12" s="1"/>
  <c r="N1465" i="12" s="1"/>
  <c r="A1466" i="12"/>
  <c r="B1466" i="12"/>
  <c r="C1466" i="12"/>
  <c r="D1466" i="12"/>
  <c r="E1466" i="12"/>
  <c r="F1466" i="12"/>
  <c r="G1466" i="12"/>
  <c r="I1466" i="12" s="1"/>
  <c r="M1466" i="12" s="1"/>
  <c r="H1466" i="12"/>
  <c r="J1466" i="12"/>
  <c r="L1466" i="12" s="1"/>
  <c r="N1466" i="12" s="1"/>
  <c r="K1466" i="12"/>
  <c r="A1467" i="12"/>
  <c r="B1467" i="12"/>
  <c r="C1467" i="12"/>
  <c r="D1467" i="12"/>
  <c r="E1467" i="12"/>
  <c r="F1467" i="12"/>
  <c r="G1467" i="12"/>
  <c r="H1467" i="12"/>
  <c r="I1467" i="12"/>
  <c r="J1467" i="12"/>
  <c r="K1467" i="12"/>
  <c r="L1467" i="12"/>
  <c r="N1467" i="12" s="1"/>
  <c r="M1467" i="12"/>
  <c r="A1468" i="12"/>
  <c r="B1468" i="12"/>
  <c r="C1468" i="12"/>
  <c r="D1468" i="12"/>
  <c r="E1468" i="12"/>
  <c r="F1468" i="12"/>
  <c r="G1468" i="12"/>
  <c r="H1468" i="12"/>
  <c r="I1468" i="12"/>
  <c r="J1468" i="12"/>
  <c r="K1468" i="12"/>
  <c r="M1468" i="12"/>
  <c r="A1469" i="12"/>
  <c r="B1469" i="12"/>
  <c r="C1469" i="12"/>
  <c r="D1469" i="12"/>
  <c r="E1469" i="12"/>
  <c r="F1469" i="12"/>
  <c r="G1469" i="12"/>
  <c r="I1469" i="12" s="1"/>
  <c r="M1469" i="12" s="1"/>
  <c r="H1469" i="12"/>
  <c r="J1469" i="12"/>
  <c r="K1469" i="12"/>
  <c r="L1469" i="12"/>
  <c r="N1469" i="12" s="1"/>
  <c r="A1470" i="12"/>
  <c r="B1470" i="12"/>
  <c r="C1470" i="12"/>
  <c r="D1470" i="12"/>
  <c r="E1470" i="12"/>
  <c r="F1470" i="12"/>
  <c r="G1470" i="12"/>
  <c r="I1470" i="12" s="1"/>
  <c r="M1470" i="12" s="1"/>
  <c r="H1470" i="12"/>
  <c r="J1470" i="12"/>
  <c r="K1470" i="12"/>
  <c r="A1471" i="12"/>
  <c r="B1471" i="12"/>
  <c r="C1471" i="12"/>
  <c r="D1471" i="12"/>
  <c r="E1471" i="12"/>
  <c r="F1471" i="12"/>
  <c r="G1471" i="12"/>
  <c r="H1471" i="12"/>
  <c r="I1471" i="12"/>
  <c r="J1471" i="12"/>
  <c r="K1471" i="12"/>
  <c r="L1471" i="12"/>
  <c r="N1471" i="12" s="1"/>
  <c r="M1471" i="12"/>
  <c r="A1472" i="12"/>
  <c r="B1472" i="12"/>
  <c r="C1472" i="12"/>
  <c r="D1472" i="12"/>
  <c r="E1472" i="12"/>
  <c r="F1472" i="12"/>
  <c r="G1472" i="12"/>
  <c r="H1472" i="12"/>
  <c r="I1472" i="12"/>
  <c r="M1472" i="12" s="1"/>
  <c r="J1472" i="12"/>
  <c r="K1472" i="12"/>
  <c r="A1473" i="12"/>
  <c r="B1473" i="12"/>
  <c r="C1473" i="12"/>
  <c r="D1473" i="12"/>
  <c r="E1473" i="12"/>
  <c r="F1473" i="12"/>
  <c r="G1473" i="12"/>
  <c r="H1473" i="12"/>
  <c r="J1473" i="12"/>
  <c r="K1473" i="12"/>
  <c r="L1473" i="12" s="1"/>
  <c r="N1473" i="12" s="1"/>
  <c r="A1474" i="12"/>
  <c r="B1474" i="12"/>
  <c r="C1474" i="12"/>
  <c r="D1474" i="12"/>
  <c r="E1474" i="12"/>
  <c r="F1474" i="12"/>
  <c r="G1474" i="12"/>
  <c r="I1474" i="12" s="1"/>
  <c r="M1474" i="12" s="1"/>
  <c r="H1474" i="12"/>
  <c r="J1474" i="12"/>
  <c r="L1474" i="12" s="1"/>
  <c r="N1474" i="12" s="1"/>
  <c r="K1474" i="12"/>
  <c r="A1475" i="12"/>
  <c r="B1475" i="12"/>
  <c r="C1475" i="12"/>
  <c r="D1475" i="12"/>
  <c r="E1475" i="12"/>
  <c r="F1475" i="12"/>
  <c r="G1475" i="12"/>
  <c r="H1475" i="12"/>
  <c r="I1475" i="12"/>
  <c r="J1475" i="12"/>
  <c r="K1475" i="12"/>
  <c r="L1475" i="12"/>
  <c r="N1475" i="12" s="1"/>
  <c r="M1475" i="12"/>
  <c r="A1476" i="12"/>
  <c r="B1476" i="12"/>
  <c r="C1476" i="12"/>
  <c r="D1476" i="12"/>
  <c r="E1476" i="12"/>
  <c r="F1476" i="12"/>
  <c r="G1476" i="12"/>
  <c r="H1476" i="12"/>
  <c r="I1476" i="12"/>
  <c r="J1476" i="12"/>
  <c r="K1476" i="12"/>
  <c r="M1476" i="12"/>
  <c r="A1477" i="12"/>
  <c r="B1477" i="12"/>
  <c r="C1477" i="12"/>
  <c r="D1477" i="12"/>
  <c r="E1477" i="12"/>
  <c r="F1477" i="12"/>
  <c r="G1477" i="12"/>
  <c r="I1477" i="12" s="1"/>
  <c r="M1477" i="12" s="1"/>
  <c r="H1477" i="12"/>
  <c r="J1477" i="12"/>
  <c r="K1477" i="12"/>
  <c r="L1477" i="12"/>
  <c r="N1477" i="12" s="1"/>
  <c r="A1478" i="12"/>
  <c r="B1478" i="12"/>
  <c r="C1478" i="12"/>
  <c r="D1478" i="12"/>
  <c r="E1478" i="12"/>
  <c r="F1478" i="12"/>
  <c r="G1478" i="12"/>
  <c r="I1478" i="12" s="1"/>
  <c r="M1478" i="12" s="1"/>
  <c r="H1478" i="12"/>
  <c r="J1478" i="12"/>
  <c r="K1478" i="12"/>
  <c r="A1479" i="12"/>
  <c r="B1479" i="12"/>
  <c r="C1479" i="12"/>
  <c r="D1479" i="12"/>
  <c r="E1479" i="12"/>
  <c r="F1479" i="12"/>
  <c r="G1479" i="12"/>
  <c r="H1479" i="12"/>
  <c r="I1479" i="12"/>
  <c r="J1479" i="12"/>
  <c r="K1479" i="12"/>
  <c r="L1479" i="12"/>
  <c r="N1479" i="12" s="1"/>
  <c r="M1479" i="12"/>
  <c r="A1480" i="12"/>
  <c r="B1480" i="12"/>
  <c r="C1480" i="12"/>
  <c r="D1480" i="12"/>
  <c r="E1480" i="12"/>
  <c r="F1480" i="12"/>
  <c r="G1480" i="12"/>
  <c r="H1480" i="12"/>
  <c r="I1480" i="12"/>
  <c r="M1480" i="12" s="1"/>
  <c r="J1480" i="12"/>
  <c r="K1480" i="12"/>
  <c r="A1481" i="12"/>
  <c r="B1481" i="12"/>
  <c r="C1481" i="12"/>
  <c r="D1481" i="12"/>
  <c r="E1481" i="12"/>
  <c r="F1481" i="12"/>
  <c r="G1481" i="12"/>
  <c r="H1481" i="12"/>
  <c r="J1481" i="12"/>
  <c r="K1481" i="12"/>
  <c r="L1481" i="12" s="1"/>
  <c r="N1481" i="12" s="1"/>
  <c r="A1482" i="12"/>
  <c r="B1482" i="12"/>
  <c r="C1482" i="12"/>
  <c r="D1482" i="12"/>
  <c r="E1482" i="12"/>
  <c r="F1482" i="12"/>
  <c r="G1482" i="12"/>
  <c r="I1482" i="12" s="1"/>
  <c r="M1482" i="12" s="1"/>
  <c r="H1482" i="12"/>
  <c r="J1482" i="12"/>
  <c r="L1482" i="12" s="1"/>
  <c r="N1482" i="12" s="1"/>
  <c r="K1482" i="12"/>
  <c r="A1483" i="12"/>
  <c r="B1483" i="12"/>
  <c r="C1483" i="12"/>
  <c r="D1483" i="12"/>
  <c r="E1483" i="12"/>
  <c r="F1483" i="12"/>
  <c r="G1483" i="12"/>
  <c r="H1483" i="12"/>
  <c r="I1483" i="12"/>
  <c r="J1483" i="12"/>
  <c r="K1483" i="12"/>
  <c r="L1483" i="12"/>
  <c r="N1483" i="12" s="1"/>
  <c r="M1483" i="12"/>
  <c r="A1484" i="12"/>
  <c r="B1484" i="12"/>
  <c r="C1484" i="12"/>
  <c r="D1484" i="12"/>
  <c r="E1484" i="12"/>
  <c r="F1484" i="12"/>
  <c r="G1484" i="12"/>
  <c r="H1484" i="12"/>
  <c r="I1484" i="12"/>
  <c r="J1484" i="12"/>
  <c r="K1484" i="12"/>
  <c r="M1484" i="12"/>
  <c r="A1485" i="12"/>
  <c r="B1485" i="12"/>
  <c r="C1485" i="12"/>
  <c r="D1485" i="12"/>
  <c r="E1485" i="12"/>
  <c r="F1485" i="12"/>
  <c r="G1485" i="12"/>
  <c r="I1485" i="12" s="1"/>
  <c r="M1485" i="12" s="1"/>
  <c r="H1485" i="12"/>
  <c r="J1485" i="12"/>
  <c r="K1485" i="12"/>
  <c r="L1485" i="12"/>
  <c r="N1485" i="12" s="1"/>
  <c r="A1486" i="12"/>
  <c r="B1486" i="12"/>
  <c r="C1486" i="12"/>
  <c r="D1486" i="12"/>
  <c r="E1486" i="12"/>
  <c r="F1486" i="12"/>
  <c r="G1486" i="12"/>
  <c r="I1486" i="12" s="1"/>
  <c r="M1486" i="12" s="1"/>
  <c r="H1486" i="12"/>
  <c r="J1486" i="12"/>
  <c r="K1486" i="12"/>
  <c r="A1487" i="12"/>
  <c r="B1487" i="12"/>
  <c r="C1487" i="12"/>
  <c r="D1487" i="12"/>
  <c r="E1487" i="12"/>
  <c r="F1487" i="12"/>
  <c r="G1487" i="12"/>
  <c r="H1487" i="12"/>
  <c r="I1487" i="12"/>
  <c r="J1487" i="12"/>
  <c r="K1487" i="12"/>
  <c r="L1487" i="12"/>
  <c r="N1487" i="12" s="1"/>
  <c r="M1487" i="12"/>
  <c r="A1488" i="12"/>
  <c r="B1488" i="12"/>
  <c r="C1488" i="12"/>
  <c r="D1488" i="12"/>
  <c r="E1488" i="12"/>
  <c r="F1488" i="12"/>
  <c r="G1488" i="12"/>
  <c r="H1488" i="12"/>
  <c r="I1488" i="12"/>
  <c r="M1488" i="12" s="1"/>
  <c r="J1488" i="12"/>
  <c r="K1488" i="12"/>
  <c r="A1489" i="12"/>
  <c r="B1489" i="12"/>
  <c r="C1489" i="12"/>
  <c r="D1489" i="12"/>
  <c r="E1489" i="12"/>
  <c r="F1489" i="12"/>
  <c r="G1489" i="12"/>
  <c r="H1489" i="12"/>
  <c r="J1489" i="12"/>
  <c r="K1489" i="12"/>
  <c r="L1489" i="12" s="1"/>
  <c r="N1489" i="12" s="1"/>
  <c r="A1490" i="12"/>
  <c r="B1490" i="12"/>
  <c r="C1490" i="12"/>
  <c r="D1490" i="12"/>
  <c r="E1490" i="12"/>
  <c r="F1490" i="12"/>
  <c r="G1490" i="12"/>
  <c r="I1490" i="12" s="1"/>
  <c r="M1490" i="12" s="1"/>
  <c r="H1490" i="12"/>
  <c r="J1490" i="12"/>
  <c r="L1490" i="12" s="1"/>
  <c r="N1490" i="12" s="1"/>
  <c r="K1490" i="12"/>
  <c r="A1491" i="12"/>
  <c r="B1491" i="12"/>
  <c r="C1491" i="12"/>
  <c r="D1491" i="12"/>
  <c r="E1491" i="12"/>
  <c r="F1491" i="12"/>
  <c r="G1491" i="12"/>
  <c r="H1491" i="12"/>
  <c r="I1491" i="12"/>
  <c r="J1491" i="12"/>
  <c r="K1491" i="12"/>
  <c r="L1491" i="12"/>
  <c r="N1491" i="12" s="1"/>
  <c r="M1491" i="12"/>
  <c r="A1492" i="12"/>
  <c r="B1492" i="12"/>
  <c r="C1492" i="12"/>
  <c r="D1492" i="12"/>
  <c r="E1492" i="12"/>
  <c r="F1492" i="12"/>
  <c r="G1492" i="12"/>
  <c r="H1492" i="12"/>
  <c r="I1492" i="12"/>
  <c r="J1492" i="12"/>
  <c r="K1492" i="12"/>
  <c r="M1492" i="12"/>
  <c r="A1493" i="12"/>
  <c r="B1493" i="12"/>
  <c r="C1493" i="12"/>
  <c r="D1493" i="12"/>
  <c r="E1493" i="12"/>
  <c r="F1493" i="12"/>
  <c r="G1493" i="12"/>
  <c r="I1493" i="12" s="1"/>
  <c r="M1493" i="12" s="1"/>
  <c r="H1493" i="12"/>
  <c r="J1493" i="12"/>
  <c r="K1493" i="12"/>
  <c r="L1493" i="12"/>
  <c r="N1493" i="12" s="1"/>
  <c r="A1494" i="12"/>
  <c r="B1494" i="12"/>
  <c r="C1494" i="12"/>
  <c r="D1494" i="12"/>
  <c r="E1494" i="12"/>
  <c r="F1494" i="12"/>
  <c r="G1494" i="12"/>
  <c r="I1494" i="12" s="1"/>
  <c r="M1494" i="12" s="1"/>
  <c r="H1494" i="12"/>
  <c r="J1494" i="12"/>
  <c r="K1494" i="12"/>
  <c r="A1495" i="12"/>
  <c r="B1495" i="12"/>
  <c r="C1495" i="12"/>
  <c r="D1495" i="12"/>
  <c r="E1495" i="12"/>
  <c r="F1495" i="12"/>
  <c r="G1495" i="12"/>
  <c r="H1495" i="12"/>
  <c r="I1495" i="12"/>
  <c r="J1495" i="12"/>
  <c r="K1495" i="12"/>
  <c r="L1495" i="12"/>
  <c r="N1495" i="12" s="1"/>
  <c r="M1495" i="12"/>
  <c r="A1496" i="12"/>
  <c r="B1496" i="12"/>
  <c r="C1496" i="12"/>
  <c r="D1496" i="12"/>
  <c r="E1496" i="12"/>
  <c r="F1496" i="12"/>
  <c r="G1496" i="12"/>
  <c r="H1496" i="12"/>
  <c r="I1496" i="12"/>
  <c r="M1496" i="12" s="1"/>
  <c r="J1496" i="12"/>
  <c r="K1496" i="12"/>
  <c r="A1497" i="12"/>
  <c r="B1497" i="12"/>
  <c r="C1497" i="12"/>
  <c r="D1497" i="12"/>
  <c r="E1497" i="12"/>
  <c r="F1497" i="12"/>
  <c r="G1497" i="12"/>
  <c r="H1497" i="12"/>
  <c r="J1497" i="12"/>
  <c r="K1497" i="12"/>
  <c r="L1497" i="12" s="1"/>
  <c r="N1497" i="12" s="1"/>
  <c r="A1498" i="12"/>
  <c r="B1498" i="12"/>
  <c r="C1498" i="12"/>
  <c r="D1498" i="12"/>
  <c r="E1498" i="12"/>
  <c r="F1498" i="12"/>
  <c r="G1498" i="12"/>
  <c r="I1498" i="12" s="1"/>
  <c r="M1498" i="12" s="1"/>
  <c r="H1498" i="12"/>
  <c r="J1498" i="12"/>
  <c r="L1498" i="12" s="1"/>
  <c r="N1498" i="12" s="1"/>
  <c r="K1498" i="12"/>
  <c r="A1499" i="12"/>
  <c r="B1499" i="12"/>
  <c r="C1499" i="12"/>
  <c r="D1499" i="12"/>
  <c r="E1499" i="12"/>
  <c r="F1499" i="12"/>
  <c r="G1499" i="12"/>
  <c r="H1499" i="12"/>
  <c r="I1499" i="12"/>
  <c r="J1499" i="12"/>
  <c r="K1499" i="12"/>
  <c r="L1499" i="12"/>
  <c r="N1499" i="12" s="1"/>
  <c r="M1499" i="12"/>
  <c r="A1500" i="12"/>
  <c r="B1500" i="12"/>
  <c r="C1500" i="12"/>
  <c r="D1500" i="12"/>
  <c r="E1500" i="12"/>
  <c r="F1500" i="12"/>
  <c r="G1500" i="12"/>
  <c r="H1500" i="12"/>
  <c r="I1500" i="12"/>
  <c r="J1500" i="12"/>
  <c r="K1500" i="12"/>
  <c r="M1500" i="12"/>
  <c r="A1501" i="12"/>
  <c r="B1501" i="12"/>
  <c r="C1501" i="12"/>
  <c r="D1501" i="12"/>
  <c r="E1501" i="12"/>
  <c r="F1501" i="12"/>
  <c r="G1501" i="12"/>
  <c r="I1501" i="12" s="1"/>
  <c r="M1501" i="12" s="1"/>
  <c r="H1501" i="12"/>
  <c r="J1501" i="12"/>
  <c r="K1501" i="12"/>
  <c r="L1501" i="12"/>
  <c r="N1501" i="12" s="1"/>
  <c r="A1502" i="12"/>
  <c r="B1502" i="12"/>
  <c r="C1502" i="12"/>
  <c r="D1502" i="12"/>
  <c r="E1502" i="12"/>
  <c r="F1502" i="12"/>
  <c r="G1502" i="12"/>
  <c r="I1502" i="12" s="1"/>
  <c r="M1502" i="12" s="1"/>
  <c r="H1502" i="12"/>
  <c r="J1502" i="12"/>
  <c r="K1502" i="12"/>
  <c r="A1503" i="12"/>
  <c r="B1503" i="12"/>
  <c r="C1503" i="12"/>
  <c r="D1503" i="12"/>
  <c r="E1503" i="12"/>
  <c r="F1503" i="12"/>
  <c r="G1503" i="12"/>
  <c r="H1503" i="12"/>
  <c r="I1503" i="12"/>
  <c r="J1503" i="12"/>
  <c r="K1503" i="12"/>
  <c r="L1503" i="12"/>
  <c r="N1503" i="12" s="1"/>
  <c r="M1503" i="12"/>
  <c r="A1504" i="12"/>
  <c r="B1504" i="12"/>
  <c r="C1504" i="12"/>
  <c r="D1504" i="12"/>
  <c r="E1504" i="12"/>
  <c r="F1504" i="12"/>
  <c r="G1504" i="12"/>
  <c r="H1504" i="12"/>
  <c r="I1504" i="12"/>
  <c r="M1504" i="12" s="1"/>
  <c r="J1504" i="12"/>
  <c r="K1504" i="12"/>
  <c r="A1505" i="12"/>
  <c r="B1505" i="12"/>
  <c r="C1505" i="12"/>
  <c r="D1505" i="12"/>
  <c r="E1505" i="12"/>
  <c r="F1505" i="12"/>
  <c r="G1505" i="12"/>
  <c r="H1505" i="12"/>
  <c r="J1505" i="12"/>
  <c r="K1505" i="12"/>
  <c r="L1505" i="12" s="1"/>
  <c r="N1505" i="12" s="1"/>
  <c r="A1506" i="12"/>
  <c r="B1506" i="12"/>
  <c r="C1506" i="12"/>
  <c r="D1506" i="12"/>
  <c r="E1506" i="12"/>
  <c r="F1506" i="12"/>
  <c r="G1506" i="12"/>
  <c r="I1506" i="12" s="1"/>
  <c r="M1506" i="12" s="1"/>
  <c r="H1506" i="12"/>
  <c r="J1506" i="12"/>
  <c r="L1506" i="12" s="1"/>
  <c r="N1506" i="12" s="1"/>
  <c r="K1506" i="12"/>
  <c r="A1507" i="12"/>
  <c r="B1507" i="12"/>
  <c r="C1507" i="12"/>
  <c r="D1507" i="12"/>
  <c r="E1507" i="12"/>
  <c r="F1507" i="12"/>
  <c r="G1507" i="12"/>
  <c r="H1507" i="12"/>
  <c r="I1507" i="12"/>
  <c r="J1507" i="12"/>
  <c r="K1507" i="12"/>
  <c r="L1507" i="12"/>
  <c r="N1507" i="12" s="1"/>
  <c r="M1507" i="12"/>
  <c r="A1508" i="12"/>
  <c r="B1508" i="12"/>
  <c r="C1508" i="12"/>
  <c r="D1508" i="12"/>
  <c r="E1508" i="12"/>
  <c r="F1508" i="12"/>
  <c r="G1508" i="12"/>
  <c r="H1508" i="12"/>
  <c r="I1508" i="12"/>
  <c r="J1508" i="12"/>
  <c r="K1508" i="12"/>
  <c r="M1508" i="12"/>
  <c r="A1509" i="12"/>
  <c r="B1509" i="12"/>
  <c r="C1509" i="12"/>
  <c r="D1509" i="12"/>
  <c r="E1509" i="12"/>
  <c r="F1509" i="12"/>
  <c r="G1509" i="12"/>
  <c r="I1509" i="12" s="1"/>
  <c r="M1509" i="12" s="1"/>
  <c r="H1509" i="12"/>
  <c r="J1509" i="12"/>
  <c r="K1509" i="12"/>
  <c r="L1509" i="12"/>
  <c r="N1509" i="12" s="1"/>
  <c r="A1510" i="12"/>
  <c r="B1510" i="12"/>
  <c r="C1510" i="12"/>
  <c r="D1510" i="12"/>
  <c r="E1510" i="12"/>
  <c r="F1510" i="12"/>
  <c r="G1510" i="12"/>
  <c r="I1510" i="12" s="1"/>
  <c r="M1510" i="12" s="1"/>
  <c r="H1510" i="12"/>
  <c r="J1510" i="12"/>
  <c r="K1510" i="12"/>
  <c r="A1511" i="12"/>
  <c r="B1511" i="12"/>
  <c r="C1511" i="12"/>
  <c r="D1511" i="12"/>
  <c r="E1511" i="12"/>
  <c r="F1511" i="12"/>
  <c r="G1511" i="12"/>
  <c r="H1511" i="12"/>
  <c r="I1511" i="12"/>
  <c r="J1511" i="12"/>
  <c r="K1511" i="12"/>
  <c r="L1511" i="12"/>
  <c r="N1511" i="12" s="1"/>
  <c r="M1511" i="12"/>
  <c r="A1512" i="12"/>
  <c r="B1512" i="12"/>
  <c r="C1512" i="12"/>
  <c r="D1512" i="12"/>
  <c r="E1512" i="12"/>
  <c r="F1512" i="12"/>
  <c r="G1512" i="12"/>
  <c r="H1512" i="12"/>
  <c r="I1512" i="12"/>
  <c r="M1512" i="12" s="1"/>
  <c r="J1512" i="12"/>
  <c r="K1512" i="12"/>
  <c r="A1513" i="12"/>
  <c r="B1513" i="12"/>
  <c r="C1513" i="12"/>
  <c r="D1513" i="12"/>
  <c r="E1513" i="12"/>
  <c r="F1513" i="12"/>
  <c r="G1513" i="12"/>
  <c r="H1513" i="12"/>
  <c r="J1513" i="12"/>
  <c r="K1513" i="12"/>
  <c r="L1513" i="12" s="1"/>
  <c r="N1513" i="12" s="1"/>
  <c r="A1514" i="12"/>
  <c r="B1514" i="12"/>
  <c r="C1514" i="12"/>
  <c r="D1514" i="12"/>
  <c r="E1514" i="12"/>
  <c r="F1514" i="12"/>
  <c r="G1514" i="12"/>
  <c r="I1514" i="12" s="1"/>
  <c r="M1514" i="12" s="1"/>
  <c r="H1514" i="12"/>
  <c r="J1514" i="12"/>
  <c r="L1514" i="12" s="1"/>
  <c r="N1514" i="12" s="1"/>
  <c r="K1514" i="12"/>
  <c r="A1515" i="12"/>
  <c r="B1515" i="12"/>
  <c r="C1515" i="12"/>
  <c r="D1515" i="12"/>
  <c r="E1515" i="12"/>
  <c r="F1515" i="12"/>
  <c r="G1515" i="12"/>
  <c r="H1515" i="12"/>
  <c r="I1515" i="12" s="1"/>
  <c r="M1515" i="12" s="1"/>
  <c r="J1515" i="12"/>
  <c r="K1515" i="12"/>
  <c r="L1515" i="12"/>
  <c r="N1515" i="12" s="1"/>
  <c r="A1516" i="12"/>
  <c r="B1516" i="12"/>
  <c r="C1516" i="12"/>
  <c r="D1516" i="12"/>
  <c r="E1516" i="12"/>
  <c r="F1516" i="12"/>
  <c r="G1516" i="12"/>
  <c r="I1516" i="12" s="1"/>
  <c r="M1516" i="12" s="1"/>
  <c r="H1516" i="12"/>
  <c r="J1516" i="12"/>
  <c r="L1516" i="12" s="1"/>
  <c r="N1516" i="12" s="1"/>
  <c r="K1516" i="12"/>
  <c r="A1517" i="12"/>
  <c r="B1517" i="12"/>
  <c r="C1517" i="12"/>
  <c r="D1517" i="12"/>
  <c r="E1517" i="12"/>
  <c r="F1517" i="12"/>
  <c r="G1517" i="12"/>
  <c r="H1517" i="12"/>
  <c r="I1517" i="12" s="1"/>
  <c r="M1517" i="12" s="1"/>
  <c r="J1517" i="12"/>
  <c r="K1517" i="12"/>
  <c r="L1517" i="12"/>
  <c r="N1517" i="12" s="1"/>
  <c r="A1518" i="12"/>
  <c r="B1518" i="12"/>
  <c r="C1518" i="12"/>
  <c r="D1518" i="12"/>
  <c r="E1518" i="12"/>
  <c r="F1518" i="12"/>
  <c r="G1518" i="12"/>
  <c r="I1518" i="12" s="1"/>
  <c r="M1518" i="12" s="1"/>
  <c r="H1518" i="12"/>
  <c r="J1518" i="12"/>
  <c r="L1518" i="12" s="1"/>
  <c r="N1518" i="12" s="1"/>
  <c r="K1518" i="12"/>
  <c r="A1519" i="12"/>
  <c r="B1519" i="12"/>
  <c r="C1519" i="12"/>
  <c r="D1519" i="12"/>
  <c r="E1519" i="12"/>
  <c r="F1519" i="12"/>
  <c r="G1519" i="12"/>
  <c r="H1519" i="12"/>
  <c r="I1519" i="12" s="1"/>
  <c r="M1519" i="12" s="1"/>
  <c r="J1519" i="12"/>
  <c r="K1519" i="12"/>
  <c r="L1519" i="12"/>
  <c r="N1519" i="12" s="1"/>
  <c r="A1520" i="12"/>
  <c r="B1520" i="12"/>
  <c r="C1520" i="12"/>
  <c r="D1520" i="12"/>
  <c r="E1520" i="12"/>
  <c r="F1520" i="12"/>
  <c r="G1520" i="12"/>
  <c r="I1520" i="12" s="1"/>
  <c r="M1520" i="12" s="1"/>
  <c r="H1520" i="12"/>
  <c r="J1520" i="12"/>
  <c r="L1520" i="12" s="1"/>
  <c r="N1520" i="12" s="1"/>
  <c r="K1520" i="12"/>
  <c r="A1521" i="12"/>
  <c r="B1521" i="12"/>
  <c r="C1521" i="12"/>
  <c r="D1521" i="12"/>
  <c r="E1521" i="12"/>
  <c r="F1521" i="12"/>
  <c r="G1521" i="12"/>
  <c r="H1521" i="12"/>
  <c r="I1521" i="12" s="1"/>
  <c r="M1521" i="12" s="1"/>
  <c r="J1521" i="12"/>
  <c r="K1521" i="12"/>
  <c r="L1521" i="12"/>
  <c r="N1521" i="12" s="1"/>
  <c r="A1522" i="12"/>
  <c r="B1522" i="12"/>
  <c r="C1522" i="12"/>
  <c r="D1522" i="12"/>
  <c r="E1522" i="12"/>
  <c r="F1522" i="12"/>
  <c r="G1522" i="12"/>
  <c r="I1522" i="12" s="1"/>
  <c r="M1522" i="12" s="1"/>
  <c r="H1522" i="12"/>
  <c r="J1522" i="12"/>
  <c r="L1522" i="12" s="1"/>
  <c r="N1522" i="12" s="1"/>
  <c r="K1522" i="12"/>
  <c r="A1523" i="12"/>
  <c r="B1523" i="12"/>
  <c r="C1523" i="12"/>
  <c r="D1523" i="12"/>
  <c r="E1523" i="12"/>
  <c r="F1523" i="12"/>
  <c r="G1523" i="12"/>
  <c r="H1523" i="12"/>
  <c r="I1523" i="12"/>
  <c r="J1523" i="12"/>
  <c r="K1523" i="12"/>
  <c r="L1523" i="12"/>
  <c r="N1523" i="12" s="1"/>
  <c r="M1523" i="12"/>
  <c r="A1524" i="12"/>
  <c r="B1524" i="12"/>
  <c r="C1524" i="12"/>
  <c r="D1524" i="12"/>
  <c r="E1524" i="12"/>
  <c r="F1524" i="12"/>
  <c r="G1524" i="12"/>
  <c r="I1524" i="12" s="1"/>
  <c r="M1524" i="12" s="1"/>
  <c r="H1524" i="12"/>
  <c r="J1524" i="12"/>
  <c r="L1524" i="12" s="1"/>
  <c r="N1524" i="12" s="1"/>
  <c r="K1524" i="12"/>
  <c r="A1525" i="12"/>
  <c r="B1525" i="12"/>
  <c r="C1525" i="12"/>
  <c r="D1525" i="12"/>
  <c r="E1525" i="12"/>
  <c r="F1525" i="12"/>
  <c r="G1525" i="12"/>
  <c r="H1525" i="12"/>
  <c r="I1525" i="12"/>
  <c r="J1525" i="12"/>
  <c r="K1525" i="12"/>
  <c r="L1525" i="12"/>
  <c r="N1525" i="12" s="1"/>
  <c r="M1525" i="12"/>
  <c r="A1526" i="12"/>
  <c r="B1526" i="12"/>
  <c r="C1526" i="12"/>
  <c r="D1526" i="12"/>
  <c r="E1526" i="12"/>
  <c r="F1526" i="12"/>
  <c r="G1526" i="12"/>
  <c r="I1526" i="12" s="1"/>
  <c r="M1526" i="12" s="1"/>
  <c r="H1526" i="12"/>
  <c r="J1526" i="12"/>
  <c r="L1526" i="12" s="1"/>
  <c r="N1526" i="12" s="1"/>
  <c r="K1526" i="12"/>
  <c r="A1527" i="12"/>
  <c r="B1527" i="12"/>
  <c r="C1527" i="12"/>
  <c r="D1527" i="12"/>
  <c r="E1527" i="12"/>
  <c r="F1527" i="12"/>
  <c r="G1527" i="12"/>
  <c r="H1527" i="12"/>
  <c r="I1527" i="12" s="1"/>
  <c r="M1527" i="12" s="1"/>
  <c r="J1527" i="12"/>
  <c r="K1527" i="12"/>
  <c r="L1527" i="12"/>
  <c r="N1527" i="12" s="1"/>
  <c r="A1528" i="12"/>
  <c r="B1528" i="12"/>
  <c r="C1528" i="12"/>
  <c r="D1528" i="12"/>
  <c r="E1528" i="12"/>
  <c r="F1528" i="12"/>
  <c r="G1528" i="12"/>
  <c r="I1528" i="12" s="1"/>
  <c r="M1528" i="12" s="1"/>
  <c r="H1528" i="12"/>
  <c r="J1528" i="12"/>
  <c r="L1528" i="12" s="1"/>
  <c r="N1528" i="12" s="1"/>
  <c r="K1528" i="12"/>
  <c r="A1529" i="12"/>
  <c r="B1529" i="12"/>
  <c r="C1529" i="12"/>
  <c r="D1529" i="12"/>
  <c r="E1529" i="12"/>
  <c r="F1529" i="12"/>
  <c r="G1529" i="12"/>
  <c r="H1529" i="12"/>
  <c r="I1529" i="12" s="1"/>
  <c r="M1529" i="12" s="1"/>
  <c r="J1529" i="12"/>
  <c r="K1529" i="12"/>
  <c r="L1529" i="12"/>
  <c r="N1529" i="12" s="1"/>
  <c r="A1530" i="12"/>
  <c r="B1530" i="12"/>
  <c r="C1530" i="12"/>
  <c r="D1530" i="12"/>
  <c r="E1530" i="12"/>
  <c r="F1530" i="12"/>
  <c r="G1530" i="12"/>
  <c r="I1530" i="12" s="1"/>
  <c r="M1530" i="12" s="1"/>
  <c r="H1530" i="12"/>
  <c r="J1530" i="12"/>
  <c r="L1530" i="12" s="1"/>
  <c r="N1530" i="12" s="1"/>
  <c r="K1530" i="12"/>
  <c r="A1531" i="12"/>
  <c r="B1531" i="12"/>
  <c r="C1531" i="12"/>
  <c r="D1531" i="12"/>
  <c r="E1531" i="12"/>
  <c r="F1531" i="12"/>
  <c r="G1531" i="12"/>
  <c r="H1531" i="12"/>
  <c r="I1531" i="12"/>
  <c r="J1531" i="12"/>
  <c r="K1531" i="12"/>
  <c r="L1531" i="12"/>
  <c r="N1531" i="12" s="1"/>
  <c r="M1531" i="12"/>
  <c r="A1532" i="12"/>
  <c r="B1532" i="12"/>
  <c r="C1532" i="12"/>
  <c r="D1532" i="12"/>
  <c r="E1532" i="12"/>
  <c r="F1532" i="12"/>
  <c r="G1532" i="12"/>
  <c r="I1532" i="12" s="1"/>
  <c r="M1532" i="12" s="1"/>
  <c r="H1532" i="12"/>
  <c r="J1532" i="12"/>
  <c r="L1532" i="12" s="1"/>
  <c r="N1532" i="12" s="1"/>
  <c r="K1532" i="12"/>
  <c r="A1533" i="12"/>
  <c r="B1533" i="12"/>
  <c r="C1533" i="12"/>
  <c r="D1533" i="12"/>
  <c r="E1533" i="12"/>
  <c r="F1533" i="12"/>
  <c r="G1533" i="12"/>
  <c r="H1533" i="12"/>
  <c r="I1533" i="12"/>
  <c r="J1533" i="12"/>
  <c r="K1533" i="12"/>
  <c r="L1533" i="12"/>
  <c r="N1533" i="12" s="1"/>
  <c r="M1533" i="12"/>
  <c r="A1534" i="12"/>
  <c r="B1534" i="12"/>
  <c r="C1534" i="12"/>
  <c r="D1534" i="12"/>
  <c r="E1534" i="12"/>
  <c r="F1534" i="12"/>
  <c r="G1534" i="12"/>
  <c r="I1534" i="12" s="1"/>
  <c r="M1534" i="12" s="1"/>
  <c r="H1534" i="12"/>
  <c r="J1534" i="12"/>
  <c r="L1534" i="12" s="1"/>
  <c r="N1534" i="12" s="1"/>
  <c r="K1534" i="12"/>
  <c r="A1535" i="12"/>
  <c r="B1535" i="12"/>
  <c r="C1535" i="12"/>
  <c r="D1535" i="12"/>
  <c r="E1535" i="12"/>
  <c r="F1535" i="12"/>
  <c r="G1535" i="12"/>
  <c r="H1535" i="12"/>
  <c r="I1535" i="12"/>
  <c r="J1535" i="12"/>
  <c r="K1535" i="12"/>
  <c r="L1535" i="12"/>
  <c r="N1535" i="12" s="1"/>
  <c r="M1535" i="12"/>
  <c r="A1536" i="12"/>
  <c r="B1536" i="12"/>
  <c r="C1536" i="12"/>
  <c r="D1536" i="12"/>
  <c r="E1536" i="12"/>
  <c r="F1536" i="12"/>
  <c r="G1536" i="12"/>
  <c r="I1536" i="12" s="1"/>
  <c r="M1536" i="12" s="1"/>
  <c r="H1536" i="12"/>
  <c r="J1536" i="12"/>
  <c r="L1536" i="12" s="1"/>
  <c r="N1536" i="12" s="1"/>
  <c r="K1536" i="12"/>
  <c r="A1537" i="12"/>
  <c r="B1537" i="12"/>
  <c r="C1537" i="12"/>
  <c r="D1537" i="12"/>
  <c r="E1537" i="12"/>
  <c r="F1537" i="12"/>
  <c r="G1537" i="12"/>
  <c r="H1537" i="12"/>
  <c r="I1537" i="12"/>
  <c r="J1537" i="12"/>
  <c r="K1537" i="12"/>
  <c r="L1537" i="12"/>
  <c r="N1537" i="12" s="1"/>
  <c r="M1537" i="12"/>
  <c r="A1538" i="12"/>
  <c r="B1538" i="12"/>
  <c r="C1538" i="12"/>
  <c r="D1538" i="12"/>
  <c r="E1538" i="12"/>
  <c r="F1538" i="12"/>
  <c r="G1538" i="12"/>
  <c r="I1538" i="12" s="1"/>
  <c r="M1538" i="12" s="1"/>
  <c r="H1538" i="12"/>
  <c r="J1538" i="12"/>
  <c r="L1538" i="12" s="1"/>
  <c r="N1538" i="12" s="1"/>
  <c r="K1538" i="12"/>
  <c r="A1539" i="12"/>
  <c r="B1539" i="12"/>
  <c r="C1539" i="12"/>
  <c r="D1539" i="12"/>
  <c r="E1539" i="12"/>
  <c r="F1539" i="12"/>
  <c r="G1539" i="12"/>
  <c r="H1539" i="12"/>
  <c r="I1539" i="12"/>
  <c r="J1539" i="12"/>
  <c r="K1539" i="12"/>
  <c r="L1539" i="12"/>
  <c r="N1539" i="12" s="1"/>
  <c r="M1539" i="12"/>
  <c r="A1540" i="12"/>
  <c r="B1540" i="12"/>
  <c r="C1540" i="12"/>
  <c r="D1540" i="12"/>
  <c r="E1540" i="12"/>
  <c r="F1540" i="12"/>
  <c r="G1540" i="12"/>
  <c r="I1540" i="12" s="1"/>
  <c r="M1540" i="12" s="1"/>
  <c r="H1540" i="12"/>
  <c r="J1540" i="12"/>
  <c r="L1540" i="12" s="1"/>
  <c r="N1540" i="12" s="1"/>
  <c r="K1540" i="12"/>
  <c r="A1541" i="12"/>
  <c r="B1541" i="12"/>
  <c r="C1541" i="12"/>
  <c r="D1541" i="12"/>
  <c r="E1541" i="12"/>
  <c r="F1541" i="12"/>
  <c r="G1541" i="12"/>
  <c r="H1541" i="12"/>
  <c r="I1541" i="12"/>
  <c r="J1541" i="12"/>
  <c r="K1541" i="12"/>
  <c r="L1541" i="12"/>
  <c r="N1541" i="12" s="1"/>
  <c r="M1541" i="12"/>
  <c r="A1542" i="12"/>
  <c r="B1542" i="12"/>
  <c r="C1542" i="12"/>
  <c r="D1542" i="12"/>
  <c r="E1542" i="12"/>
  <c r="F1542" i="12"/>
  <c r="G1542" i="12"/>
  <c r="I1542" i="12" s="1"/>
  <c r="M1542" i="12" s="1"/>
  <c r="H1542" i="12"/>
  <c r="J1542" i="12"/>
  <c r="L1542" i="12" s="1"/>
  <c r="N1542" i="12" s="1"/>
  <c r="K1542" i="12"/>
  <c r="A1543" i="12"/>
  <c r="B1543" i="12"/>
  <c r="C1543" i="12"/>
  <c r="D1543" i="12"/>
  <c r="E1543" i="12"/>
  <c r="F1543" i="12"/>
  <c r="G1543" i="12"/>
  <c r="H1543" i="12"/>
  <c r="I1543" i="12"/>
  <c r="J1543" i="12"/>
  <c r="K1543" i="12"/>
  <c r="L1543" i="12"/>
  <c r="N1543" i="12" s="1"/>
  <c r="M1543" i="12"/>
  <c r="A1544" i="12"/>
  <c r="B1544" i="12"/>
  <c r="C1544" i="12"/>
  <c r="D1544" i="12"/>
  <c r="E1544" i="12"/>
  <c r="F1544" i="12"/>
  <c r="G1544" i="12"/>
  <c r="I1544" i="12" s="1"/>
  <c r="M1544" i="12" s="1"/>
  <c r="H1544" i="12"/>
  <c r="J1544" i="12"/>
  <c r="L1544" i="12" s="1"/>
  <c r="N1544" i="12" s="1"/>
  <c r="K1544" i="12"/>
  <c r="A1545" i="12"/>
  <c r="B1545" i="12"/>
  <c r="C1545" i="12"/>
  <c r="D1545" i="12"/>
  <c r="E1545" i="12"/>
  <c r="F1545" i="12"/>
  <c r="G1545" i="12"/>
  <c r="H1545" i="12"/>
  <c r="I1545" i="12"/>
  <c r="J1545" i="12"/>
  <c r="K1545" i="12"/>
  <c r="L1545" i="12"/>
  <c r="N1545" i="12" s="1"/>
  <c r="M1545" i="12"/>
  <c r="A1546" i="12"/>
  <c r="B1546" i="12"/>
  <c r="C1546" i="12"/>
  <c r="D1546" i="12"/>
  <c r="E1546" i="12"/>
  <c r="F1546" i="12"/>
  <c r="G1546" i="12"/>
  <c r="I1546" i="12" s="1"/>
  <c r="M1546" i="12" s="1"/>
  <c r="H1546" i="12"/>
  <c r="J1546" i="12"/>
  <c r="L1546" i="12" s="1"/>
  <c r="N1546" i="12" s="1"/>
  <c r="K1546" i="12"/>
  <c r="A1547" i="12"/>
  <c r="B1547" i="12"/>
  <c r="C1547" i="12"/>
  <c r="D1547" i="12"/>
  <c r="E1547" i="12"/>
  <c r="F1547" i="12"/>
  <c r="G1547" i="12"/>
  <c r="H1547" i="12"/>
  <c r="I1547" i="12"/>
  <c r="J1547" i="12"/>
  <c r="K1547" i="12"/>
  <c r="L1547" i="12"/>
  <c r="N1547" i="12" s="1"/>
  <c r="M1547" i="12"/>
  <c r="A1548" i="12"/>
  <c r="B1548" i="12"/>
  <c r="C1548" i="12"/>
  <c r="D1548" i="12"/>
  <c r="E1548" i="12"/>
  <c r="F1548" i="12"/>
  <c r="G1548" i="12"/>
  <c r="I1548" i="12" s="1"/>
  <c r="M1548" i="12" s="1"/>
  <c r="H1548" i="12"/>
  <c r="J1548" i="12"/>
  <c r="L1548" i="12" s="1"/>
  <c r="N1548" i="12" s="1"/>
  <c r="K1548" i="12"/>
  <c r="A1549" i="12"/>
  <c r="B1549" i="12"/>
  <c r="C1549" i="12"/>
  <c r="D1549" i="12"/>
  <c r="E1549" i="12"/>
  <c r="F1549" i="12"/>
  <c r="G1549" i="12"/>
  <c r="H1549" i="12"/>
  <c r="I1549" i="12"/>
  <c r="J1549" i="12"/>
  <c r="K1549" i="12"/>
  <c r="L1549" i="12"/>
  <c r="N1549" i="12" s="1"/>
  <c r="M1549" i="12"/>
  <c r="A1550" i="12"/>
  <c r="B1550" i="12"/>
  <c r="C1550" i="12"/>
  <c r="D1550" i="12"/>
  <c r="E1550" i="12"/>
  <c r="F1550" i="12"/>
  <c r="G1550" i="12"/>
  <c r="I1550" i="12" s="1"/>
  <c r="M1550" i="12" s="1"/>
  <c r="H1550" i="12"/>
  <c r="J1550" i="12"/>
  <c r="L1550" i="12" s="1"/>
  <c r="N1550" i="12" s="1"/>
  <c r="K1550" i="12"/>
  <c r="A1551" i="12"/>
  <c r="B1551" i="12"/>
  <c r="C1551" i="12"/>
  <c r="D1551" i="12"/>
  <c r="E1551" i="12"/>
  <c r="F1551" i="12"/>
  <c r="G1551" i="12"/>
  <c r="H1551" i="12"/>
  <c r="I1551" i="12"/>
  <c r="J1551" i="12"/>
  <c r="K1551" i="12"/>
  <c r="L1551" i="12"/>
  <c r="N1551" i="12" s="1"/>
  <c r="M1551" i="12"/>
  <c r="A1552" i="12"/>
  <c r="B1552" i="12"/>
  <c r="C1552" i="12"/>
  <c r="D1552" i="12"/>
  <c r="E1552" i="12"/>
  <c r="F1552" i="12"/>
  <c r="G1552" i="12"/>
  <c r="I1552" i="12" s="1"/>
  <c r="M1552" i="12" s="1"/>
  <c r="H1552" i="12"/>
  <c r="J1552" i="12"/>
  <c r="L1552" i="12" s="1"/>
  <c r="N1552" i="12" s="1"/>
  <c r="K1552" i="12"/>
  <c r="A1553" i="12"/>
  <c r="B1553" i="12"/>
  <c r="C1553" i="12"/>
  <c r="D1553" i="12"/>
  <c r="E1553" i="12"/>
  <c r="F1553" i="12"/>
  <c r="G1553" i="12"/>
  <c r="H1553" i="12"/>
  <c r="I1553" i="12"/>
  <c r="J1553" i="12"/>
  <c r="K1553" i="12"/>
  <c r="L1553" i="12"/>
  <c r="N1553" i="12" s="1"/>
  <c r="M1553" i="12"/>
  <c r="A1554" i="12"/>
  <c r="B1554" i="12"/>
  <c r="C1554" i="12"/>
  <c r="D1554" i="12"/>
  <c r="E1554" i="12"/>
  <c r="F1554" i="12"/>
  <c r="G1554" i="12"/>
  <c r="I1554" i="12" s="1"/>
  <c r="M1554" i="12" s="1"/>
  <c r="H1554" i="12"/>
  <c r="J1554" i="12"/>
  <c r="L1554" i="12" s="1"/>
  <c r="N1554" i="12" s="1"/>
  <c r="K1554" i="12"/>
  <c r="A1555" i="12"/>
  <c r="B1555" i="12"/>
  <c r="C1555" i="12"/>
  <c r="D1555" i="12"/>
  <c r="E1555" i="12"/>
  <c r="F1555" i="12"/>
  <c r="G1555" i="12"/>
  <c r="H1555" i="12"/>
  <c r="I1555" i="12"/>
  <c r="J1555" i="12"/>
  <c r="K1555" i="12"/>
  <c r="L1555" i="12"/>
  <c r="N1555" i="12" s="1"/>
  <c r="M1555" i="12"/>
  <c r="A1556" i="12"/>
  <c r="B1556" i="12"/>
  <c r="C1556" i="12"/>
  <c r="D1556" i="12"/>
  <c r="E1556" i="12"/>
  <c r="F1556" i="12"/>
  <c r="G1556" i="12"/>
  <c r="I1556" i="12" s="1"/>
  <c r="M1556" i="12" s="1"/>
  <c r="H1556" i="12"/>
  <c r="J1556" i="12"/>
  <c r="L1556" i="12" s="1"/>
  <c r="N1556" i="12" s="1"/>
  <c r="K1556" i="12"/>
  <c r="A1557" i="12"/>
  <c r="B1557" i="12"/>
  <c r="C1557" i="12"/>
  <c r="D1557" i="12"/>
  <c r="E1557" i="12"/>
  <c r="F1557" i="12"/>
  <c r="G1557" i="12"/>
  <c r="H1557" i="12"/>
  <c r="I1557" i="12"/>
  <c r="J1557" i="12"/>
  <c r="K1557" i="12"/>
  <c r="L1557" i="12"/>
  <c r="N1557" i="12" s="1"/>
  <c r="M1557" i="12"/>
  <c r="A1558" i="12"/>
  <c r="B1558" i="12"/>
  <c r="C1558" i="12"/>
  <c r="D1558" i="12"/>
  <c r="E1558" i="12"/>
  <c r="F1558" i="12"/>
  <c r="G1558" i="12"/>
  <c r="I1558" i="12" s="1"/>
  <c r="M1558" i="12" s="1"/>
  <c r="H1558" i="12"/>
  <c r="J1558" i="12"/>
  <c r="L1558" i="12" s="1"/>
  <c r="N1558" i="12" s="1"/>
  <c r="K1558" i="12"/>
  <c r="A1559" i="12"/>
  <c r="B1559" i="12"/>
  <c r="C1559" i="12"/>
  <c r="D1559" i="12"/>
  <c r="E1559" i="12"/>
  <c r="F1559" i="12"/>
  <c r="G1559" i="12"/>
  <c r="H1559" i="12"/>
  <c r="I1559" i="12"/>
  <c r="J1559" i="12"/>
  <c r="K1559" i="12"/>
  <c r="L1559" i="12"/>
  <c r="N1559" i="12" s="1"/>
  <c r="M1559" i="12"/>
  <c r="A1560" i="12"/>
  <c r="B1560" i="12"/>
  <c r="C1560" i="12"/>
  <c r="D1560" i="12"/>
  <c r="E1560" i="12"/>
  <c r="F1560" i="12"/>
  <c r="G1560" i="12"/>
  <c r="I1560" i="12" s="1"/>
  <c r="M1560" i="12" s="1"/>
  <c r="H1560" i="12"/>
  <c r="J1560" i="12"/>
  <c r="L1560" i="12" s="1"/>
  <c r="N1560" i="12" s="1"/>
  <c r="K1560" i="12"/>
  <c r="A1561" i="12"/>
  <c r="B1561" i="12"/>
  <c r="C1561" i="12"/>
  <c r="D1561" i="12"/>
  <c r="E1561" i="12"/>
  <c r="F1561" i="12"/>
  <c r="G1561" i="12"/>
  <c r="H1561" i="12"/>
  <c r="I1561" i="12"/>
  <c r="J1561" i="12"/>
  <c r="K1561" i="12"/>
  <c r="L1561" i="12"/>
  <c r="N1561" i="12" s="1"/>
  <c r="M1561" i="12"/>
  <c r="A1562" i="12"/>
  <c r="B1562" i="12"/>
  <c r="C1562" i="12"/>
  <c r="D1562" i="12"/>
  <c r="E1562" i="12"/>
  <c r="F1562" i="12"/>
  <c r="G1562" i="12"/>
  <c r="I1562" i="12" s="1"/>
  <c r="M1562" i="12" s="1"/>
  <c r="H1562" i="12"/>
  <c r="J1562" i="12"/>
  <c r="L1562" i="12" s="1"/>
  <c r="N1562" i="12" s="1"/>
  <c r="K1562" i="12"/>
  <c r="A1563" i="12"/>
  <c r="B1563" i="12"/>
  <c r="C1563" i="12"/>
  <c r="D1563" i="12"/>
  <c r="E1563" i="12"/>
  <c r="F1563" i="12"/>
  <c r="G1563" i="12"/>
  <c r="H1563" i="12"/>
  <c r="I1563" i="12"/>
  <c r="J1563" i="12"/>
  <c r="K1563" i="12"/>
  <c r="L1563" i="12"/>
  <c r="N1563" i="12" s="1"/>
  <c r="M1563" i="12"/>
  <c r="A1564" i="12"/>
  <c r="B1564" i="12"/>
  <c r="C1564" i="12"/>
  <c r="D1564" i="12"/>
  <c r="E1564" i="12"/>
  <c r="F1564" i="12"/>
  <c r="G1564" i="12"/>
  <c r="I1564" i="12" s="1"/>
  <c r="M1564" i="12" s="1"/>
  <c r="H1564" i="12"/>
  <c r="J1564" i="12"/>
  <c r="L1564" i="12" s="1"/>
  <c r="N1564" i="12" s="1"/>
  <c r="K1564" i="12"/>
  <c r="A1565" i="12"/>
  <c r="B1565" i="12"/>
  <c r="C1565" i="12"/>
  <c r="D1565" i="12"/>
  <c r="E1565" i="12"/>
  <c r="F1565" i="12"/>
  <c r="G1565" i="12"/>
  <c r="H1565" i="12"/>
  <c r="I1565" i="12"/>
  <c r="J1565" i="12"/>
  <c r="K1565" i="12"/>
  <c r="L1565" i="12"/>
  <c r="N1565" i="12" s="1"/>
  <c r="M1565" i="12"/>
  <c r="A1566" i="12"/>
  <c r="B1566" i="12"/>
  <c r="C1566" i="12"/>
  <c r="D1566" i="12"/>
  <c r="E1566" i="12"/>
  <c r="F1566" i="12"/>
  <c r="G1566" i="12"/>
  <c r="I1566" i="12" s="1"/>
  <c r="M1566" i="12" s="1"/>
  <c r="H1566" i="12"/>
  <c r="J1566" i="12"/>
  <c r="L1566" i="12" s="1"/>
  <c r="K1566" i="12"/>
  <c r="N1566" i="12"/>
  <c r="A1567" i="12"/>
  <c r="B1567" i="12"/>
  <c r="C1567" i="12"/>
  <c r="D1567" i="12"/>
  <c r="E1567" i="12"/>
  <c r="F1567" i="12"/>
  <c r="G1567" i="12"/>
  <c r="H1567" i="12"/>
  <c r="I1567" i="12"/>
  <c r="J1567" i="12"/>
  <c r="K1567" i="12"/>
  <c r="L1567" i="12"/>
  <c r="N1567" i="12" s="1"/>
  <c r="M1567" i="12"/>
  <c r="A1568" i="12"/>
  <c r="B1568" i="12"/>
  <c r="C1568" i="12"/>
  <c r="D1568" i="12"/>
  <c r="E1568" i="12"/>
  <c r="F1568" i="12"/>
  <c r="G1568" i="12"/>
  <c r="I1568" i="12" s="1"/>
  <c r="M1568" i="12" s="1"/>
  <c r="H1568" i="12"/>
  <c r="J1568" i="12"/>
  <c r="L1568" i="12" s="1"/>
  <c r="K1568" i="12"/>
  <c r="N1568" i="12"/>
  <c r="A1569" i="12"/>
  <c r="B1569" i="12"/>
  <c r="C1569" i="12"/>
  <c r="D1569" i="12"/>
  <c r="E1569" i="12"/>
  <c r="F1569" i="12"/>
  <c r="G1569" i="12"/>
  <c r="H1569" i="12"/>
  <c r="I1569" i="12"/>
  <c r="J1569" i="12"/>
  <c r="K1569" i="12"/>
  <c r="L1569" i="12"/>
  <c r="N1569" i="12" s="1"/>
  <c r="M1569" i="12"/>
  <c r="A1570" i="12"/>
  <c r="B1570" i="12"/>
  <c r="C1570" i="12"/>
  <c r="D1570" i="12"/>
  <c r="E1570" i="12"/>
  <c r="F1570" i="12"/>
  <c r="G1570" i="12"/>
  <c r="I1570" i="12" s="1"/>
  <c r="M1570" i="12" s="1"/>
  <c r="H1570" i="12"/>
  <c r="J1570" i="12"/>
  <c r="L1570" i="12" s="1"/>
  <c r="K1570" i="12"/>
  <c r="N1570" i="12"/>
  <c r="A1571" i="12"/>
  <c r="B1571" i="12"/>
  <c r="C1571" i="12"/>
  <c r="D1571" i="12"/>
  <c r="E1571" i="12"/>
  <c r="F1571" i="12"/>
  <c r="G1571" i="12"/>
  <c r="H1571" i="12"/>
  <c r="I1571" i="12"/>
  <c r="J1571" i="12"/>
  <c r="K1571" i="12"/>
  <c r="L1571" i="12"/>
  <c r="N1571" i="12" s="1"/>
  <c r="M1571" i="12"/>
  <c r="A1572" i="12"/>
  <c r="B1572" i="12"/>
  <c r="C1572" i="12"/>
  <c r="D1572" i="12"/>
  <c r="E1572" i="12"/>
  <c r="F1572" i="12"/>
  <c r="G1572" i="12"/>
  <c r="I1572" i="12" s="1"/>
  <c r="M1572" i="12" s="1"/>
  <c r="H1572" i="12"/>
  <c r="J1572" i="12"/>
  <c r="L1572" i="12" s="1"/>
  <c r="K1572" i="12"/>
  <c r="N1572" i="12"/>
  <c r="A1573" i="12"/>
  <c r="B1573" i="12"/>
  <c r="C1573" i="12"/>
  <c r="D1573" i="12"/>
  <c r="E1573" i="12"/>
  <c r="F1573" i="12"/>
  <c r="G1573" i="12"/>
  <c r="H1573" i="12"/>
  <c r="I1573" i="12"/>
  <c r="J1573" i="12"/>
  <c r="K1573" i="12"/>
  <c r="L1573" i="12"/>
  <c r="N1573" i="12" s="1"/>
  <c r="M1573" i="12"/>
  <c r="A1574" i="12"/>
  <c r="B1574" i="12"/>
  <c r="C1574" i="12"/>
  <c r="D1574" i="12"/>
  <c r="E1574" i="12"/>
  <c r="F1574" i="12"/>
  <c r="G1574" i="12"/>
  <c r="I1574" i="12" s="1"/>
  <c r="M1574" i="12" s="1"/>
  <c r="H1574" i="12"/>
  <c r="J1574" i="12"/>
  <c r="L1574" i="12" s="1"/>
  <c r="K1574" i="12"/>
  <c r="N1574" i="12"/>
  <c r="A1575" i="12"/>
  <c r="B1575" i="12"/>
  <c r="C1575" i="12"/>
  <c r="D1575" i="12"/>
  <c r="E1575" i="12"/>
  <c r="F1575" i="12"/>
  <c r="G1575" i="12"/>
  <c r="H1575" i="12"/>
  <c r="I1575" i="12"/>
  <c r="J1575" i="12"/>
  <c r="K1575" i="12"/>
  <c r="L1575" i="12"/>
  <c r="N1575" i="12" s="1"/>
  <c r="M1575" i="12"/>
  <c r="A1576" i="12"/>
  <c r="B1576" i="12"/>
  <c r="C1576" i="12"/>
  <c r="D1576" i="12"/>
  <c r="E1576" i="12"/>
  <c r="F1576" i="12"/>
  <c r="G1576" i="12"/>
  <c r="I1576" i="12" s="1"/>
  <c r="M1576" i="12" s="1"/>
  <c r="H1576" i="12"/>
  <c r="J1576" i="12"/>
  <c r="L1576" i="12" s="1"/>
  <c r="K1576" i="12"/>
  <c r="N1576" i="12"/>
  <c r="A1577" i="12"/>
  <c r="B1577" i="12"/>
  <c r="C1577" i="12"/>
  <c r="D1577" i="12"/>
  <c r="E1577" i="12"/>
  <c r="F1577" i="12"/>
  <c r="G1577" i="12"/>
  <c r="H1577" i="12"/>
  <c r="I1577" i="12"/>
  <c r="J1577" i="12"/>
  <c r="K1577" i="12"/>
  <c r="L1577" i="12"/>
  <c r="N1577" i="12" s="1"/>
  <c r="M1577" i="12"/>
  <c r="A1578" i="12"/>
  <c r="B1578" i="12"/>
  <c r="C1578" i="12"/>
  <c r="D1578" i="12"/>
  <c r="E1578" i="12"/>
  <c r="F1578" i="12"/>
  <c r="G1578" i="12"/>
  <c r="I1578" i="12" s="1"/>
  <c r="M1578" i="12" s="1"/>
  <c r="H1578" i="12"/>
  <c r="J1578" i="12"/>
  <c r="L1578" i="12" s="1"/>
  <c r="K1578" i="12"/>
  <c r="N1578" i="12"/>
  <c r="A1579" i="12"/>
  <c r="B1579" i="12"/>
  <c r="C1579" i="12"/>
  <c r="D1579" i="12"/>
  <c r="E1579" i="12"/>
  <c r="F1579" i="12"/>
  <c r="G1579" i="12"/>
  <c r="H1579" i="12"/>
  <c r="I1579" i="12"/>
  <c r="J1579" i="12"/>
  <c r="K1579" i="12"/>
  <c r="L1579" i="12"/>
  <c r="N1579" i="12" s="1"/>
  <c r="M1579" i="12"/>
  <c r="A1580" i="12"/>
  <c r="B1580" i="12"/>
  <c r="C1580" i="12"/>
  <c r="D1580" i="12"/>
  <c r="E1580" i="12"/>
  <c r="F1580" i="12"/>
  <c r="G1580" i="12"/>
  <c r="I1580" i="12" s="1"/>
  <c r="M1580" i="12" s="1"/>
  <c r="H1580" i="12"/>
  <c r="J1580" i="12"/>
  <c r="L1580" i="12" s="1"/>
  <c r="K1580" i="12"/>
  <c r="N1580" i="12"/>
  <c r="A1581" i="12"/>
  <c r="B1581" i="12"/>
  <c r="C1581" i="12"/>
  <c r="D1581" i="12"/>
  <c r="E1581" i="12"/>
  <c r="F1581" i="12"/>
  <c r="G1581" i="12"/>
  <c r="H1581" i="12"/>
  <c r="I1581" i="12"/>
  <c r="J1581" i="12"/>
  <c r="K1581" i="12"/>
  <c r="L1581" i="12"/>
  <c r="N1581" i="12" s="1"/>
  <c r="M1581" i="12"/>
  <c r="A1582" i="12"/>
  <c r="B1582" i="12"/>
  <c r="C1582" i="12"/>
  <c r="D1582" i="12"/>
  <c r="E1582" i="12"/>
  <c r="F1582" i="12"/>
  <c r="G1582" i="12"/>
  <c r="I1582" i="12" s="1"/>
  <c r="M1582" i="12" s="1"/>
  <c r="H1582" i="12"/>
  <c r="J1582" i="12"/>
  <c r="L1582" i="12" s="1"/>
  <c r="K1582" i="12"/>
  <c r="N1582" i="12"/>
  <c r="A1583" i="12"/>
  <c r="B1583" i="12"/>
  <c r="C1583" i="12"/>
  <c r="D1583" i="12"/>
  <c r="E1583" i="12"/>
  <c r="F1583" i="12"/>
  <c r="G1583" i="12"/>
  <c r="H1583" i="12"/>
  <c r="I1583" i="12"/>
  <c r="J1583" i="12"/>
  <c r="K1583" i="12"/>
  <c r="L1583" i="12"/>
  <c r="N1583" i="12" s="1"/>
  <c r="M1583" i="12"/>
  <c r="A1584" i="12"/>
  <c r="B1584" i="12"/>
  <c r="C1584" i="12"/>
  <c r="D1584" i="12"/>
  <c r="E1584" i="12"/>
  <c r="F1584" i="12"/>
  <c r="G1584" i="12"/>
  <c r="I1584" i="12" s="1"/>
  <c r="M1584" i="12" s="1"/>
  <c r="H1584" i="12"/>
  <c r="J1584" i="12"/>
  <c r="L1584" i="12" s="1"/>
  <c r="K1584" i="12"/>
  <c r="N1584" i="12"/>
  <c r="A1585" i="12"/>
  <c r="B1585" i="12"/>
  <c r="C1585" i="12"/>
  <c r="D1585" i="12"/>
  <c r="E1585" i="12"/>
  <c r="F1585" i="12"/>
  <c r="G1585" i="12"/>
  <c r="H1585" i="12"/>
  <c r="I1585" i="12"/>
  <c r="J1585" i="12"/>
  <c r="K1585" i="12"/>
  <c r="L1585" i="12"/>
  <c r="N1585" i="12" s="1"/>
  <c r="M1585" i="12"/>
  <c r="A1586" i="12"/>
  <c r="B1586" i="12"/>
  <c r="C1586" i="12"/>
  <c r="D1586" i="12"/>
  <c r="E1586" i="12"/>
  <c r="F1586" i="12"/>
  <c r="G1586" i="12"/>
  <c r="I1586" i="12" s="1"/>
  <c r="M1586" i="12" s="1"/>
  <c r="H1586" i="12"/>
  <c r="J1586" i="12"/>
  <c r="L1586" i="12" s="1"/>
  <c r="K1586" i="12"/>
  <c r="N1586" i="12"/>
  <c r="A1587" i="12"/>
  <c r="B1587" i="12"/>
  <c r="C1587" i="12"/>
  <c r="D1587" i="12"/>
  <c r="E1587" i="12"/>
  <c r="F1587" i="12"/>
  <c r="G1587" i="12"/>
  <c r="H1587" i="12"/>
  <c r="I1587" i="12"/>
  <c r="J1587" i="12"/>
  <c r="K1587" i="12"/>
  <c r="L1587" i="12"/>
  <c r="N1587" i="12" s="1"/>
  <c r="M1587" i="12"/>
  <c r="A1588" i="12"/>
  <c r="B1588" i="12"/>
  <c r="C1588" i="12"/>
  <c r="D1588" i="12"/>
  <c r="E1588" i="12"/>
  <c r="F1588" i="12"/>
  <c r="G1588" i="12"/>
  <c r="I1588" i="12" s="1"/>
  <c r="M1588" i="12" s="1"/>
  <c r="H1588" i="12"/>
  <c r="J1588" i="12"/>
  <c r="L1588" i="12" s="1"/>
  <c r="K1588" i="12"/>
  <c r="N1588" i="12"/>
  <c r="A1589" i="12"/>
  <c r="B1589" i="12"/>
  <c r="C1589" i="12"/>
  <c r="D1589" i="12"/>
  <c r="E1589" i="12"/>
  <c r="F1589" i="12"/>
  <c r="G1589" i="12"/>
  <c r="H1589" i="12"/>
  <c r="I1589" i="12"/>
  <c r="J1589" i="12"/>
  <c r="K1589" i="12"/>
  <c r="L1589" i="12"/>
  <c r="N1589" i="12" s="1"/>
  <c r="M1589" i="12"/>
  <c r="A1590" i="12"/>
  <c r="B1590" i="12"/>
  <c r="C1590" i="12"/>
  <c r="D1590" i="12"/>
  <c r="E1590" i="12"/>
  <c r="F1590" i="12"/>
  <c r="G1590" i="12"/>
  <c r="I1590" i="12" s="1"/>
  <c r="M1590" i="12" s="1"/>
  <c r="H1590" i="12"/>
  <c r="J1590" i="12"/>
  <c r="L1590" i="12" s="1"/>
  <c r="K1590" i="12"/>
  <c r="N1590" i="12"/>
  <c r="A1591" i="12"/>
  <c r="B1591" i="12"/>
  <c r="C1591" i="12"/>
  <c r="D1591" i="12"/>
  <c r="E1591" i="12"/>
  <c r="F1591" i="12"/>
  <c r="G1591" i="12"/>
  <c r="H1591" i="12"/>
  <c r="I1591" i="12"/>
  <c r="J1591" i="12"/>
  <c r="K1591" i="12"/>
  <c r="L1591" i="12"/>
  <c r="N1591" i="12" s="1"/>
  <c r="M1591" i="12"/>
  <c r="A1592" i="12"/>
  <c r="B1592" i="12"/>
  <c r="C1592" i="12"/>
  <c r="D1592" i="12"/>
  <c r="E1592" i="12"/>
  <c r="F1592" i="12"/>
  <c r="G1592" i="12"/>
  <c r="I1592" i="12" s="1"/>
  <c r="M1592" i="12" s="1"/>
  <c r="H1592" i="12"/>
  <c r="J1592" i="12"/>
  <c r="L1592" i="12" s="1"/>
  <c r="K1592" i="12"/>
  <c r="N1592" i="12"/>
  <c r="A1593" i="12"/>
  <c r="B1593" i="12"/>
  <c r="C1593" i="12"/>
  <c r="D1593" i="12"/>
  <c r="E1593" i="12"/>
  <c r="F1593" i="12"/>
  <c r="G1593" i="12"/>
  <c r="H1593" i="12"/>
  <c r="I1593" i="12"/>
  <c r="J1593" i="12"/>
  <c r="K1593" i="12"/>
  <c r="L1593" i="12"/>
  <c r="N1593" i="12" s="1"/>
  <c r="M1593" i="12"/>
  <c r="A1594" i="12"/>
  <c r="B1594" i="12"/>
  <c r="C1594" i="12"/>
  <c r="D1594" i="12"/>
  <c r="E1594" i="12"/>
  <c r="F1594" i="12"/>
  <c r="G1594" i="12"/>
  <c r="I1594" i="12" s="1"/>
  <c r="M1594" i="12" s="1"/>
  <c r="H1594" i="12"/>
  <c r="J1594" i="12"/>
  <c r="L1594" i="12" s="1"/>
  <c r="K1594" i="12"/>
  <c r="N1594" i="12"/>
  <c r="A1595" i="12"/>
  <c r="B1595" i="12"/>
  <c r="C1595" i="12"/>
  <c r="D1595" i="12"/>
  <c r="E1595" i="12"/>
  <c r="F1595" i="12"/>
  <c r="G1595" i="12"/>
  <c r="H1595" i="12"/>
  <c r="I1595" i="12"/>
  <c r="J1595" i="12"/>
  <c r="K1595" i="12"/>
  <c r="L1595" i="12"/>
  <c r="N1595" i="12" s="1"/>
  <c r="M1595" i="12"/>
  <c r="A1596" i="12"/>
  <c r="B1596" i="12"/>
  <c r="C1596" i="12"/>
  <c r="D1596" i="12"/>
  <c r="E1596" i="12"/>
  <c r="F1596" i="12"/>
  <c r="G1596" i="12"/>
  <c r="I1596" i="12" s="1"/>
  <c r="M1596" i="12" s="1"/>
  <c r="H1596" i="12"/>
  <c r="J1596" i="12"/>
  <c r="L1596" i="12" s="1"/>
  <c r="K1596" i="12"/>
  <c r="N1596" i="12"/>
  <c r="A1597" i="12"/>
  <c r="B1597" i="12"/>
  <c r="C1597" i="12"/>
  <c r="D1597" i="12"/>
  <c r="E1597" i="12"/>
  <c r="F1597" i="12"/>
  <c r="G1597" i="12"/>
  <c r="H1597" i="12"/>
  <c r="I1597" i="12"/>
  <c r="J1597" i="12"/>
  <c r="K1597" i="12"/>
  <c r="L1597" i="12"/>
  <c r="N1597" i="12" s="1"/>
  <c r="M1597" i="12"/>
  <c r="A1598" i="12"/>
  <c r="B1598" i="12"/>
  <c r="C1598" i="12"/>
  <c r="D1598" i="12"/>
  <c r="E1598" i="12"/>
  <c r="F1598" i="12"/>
  <c r="G1598" i="12"/>
  <c r="I1598" i="12" s="1"/>
  <c r="M1598" i="12" s="1"/>
  <c r="H1598" i="12"/>
  <c r="J1598" i="12"/>
  <c r="L1598" i="12" s="1"/>
  <c r="K1598" i="12"/>
  <c r="N1598" i="12"/>
  <c r="A1599" i="12"/>
  <c r="B1599" i="12"/>
  <c r="C1599" i="12"/>
  <c r="D1599" i="12"/>
  <c r="E1599" i="12"/>
  <c r="F1599" i="12"/>
  <c r="G1599" i="12"/>
  <c r="H1599" i="12"/>
  <c r="I1599" i="12"/>
  <c r="J1599" i="12"/>
  <c r="K1599" i="12"/>
  <c r="L1599" i="12"/>
  <c r="N1599" i="12" s="1"/>
  <c r="M1599" i="12"/>
  <c r="A1600" i="12"/>
  <c r="B1600" i="12"/>
  <c r="C1600" i="12"/>
  <c r="D1600" i="12"/>
  <c r="E1600" i="12"/>
  <c r="F1600" i="12"/>
  <c r="G1600" i="12"/>
  <c r="I1600" i="12" s="1"/>
  <c r="M1600" i="12" s="1"/>
  <c r="H1600" i="12"/>
  <c r="J1600" i="12"/>
  <c r="L1600" i="12" s="1"/>
  <c r="K1600" i="12"/>
  <c r="N1600" i="12"/>
  <c r="A1601" i="12"/>
  <c r="B1601" i="12"/>
  <c r="C1601" i="12"/>
  <c r="D1601" i="12"/>
  <c r="E1601" i="12"/>
  <c r="F1601" i="12"/>
  <c r="G1601" i="12"/>
  <c r="H1601" i="12"/>
  <c r="I1601" i="12"/>
  <c r="J1601" i="12"/>
  <c r="K1601" i="12"/>
  <c r="L1601" i="12"/>
  <c r="N1601" i="12" s="1"/>
  <c r="M1601" i="12"/>
  <c r="A1602" i="12"/>
  <c r="B1602" i="12"/>
  <c r="C1602" i="12"/>
  <c r="D1602" i="12"/>
  <c r="E1602" i="12"/>
  <c r="F1602" i="12"/>
  <c r="G1602" i="12"/>
  <c r="I1602" i="12" s="1"/>
  <c r="M1602" i="12" s="1"/>
  <c r="H1602" i="12"/>
  <c r="J1602" i="12"/>
  <c r="L1602" i="12" s="1"/>
  <c r="K1602" i="12"/>
  <c r="N1602" i="12"/>
  <c r="A1603" i="12"/>
  <c r="B1603" i="12"/>
  <c r="C1603" i="12"/>
  <c r="D1603" i="12"/>
  <c r="E1603" i="12"/>
  <c r="F1603" i="12"/>
  <c r="G1603" i="12"/>
  <c r="H1603" i="12"/>
  <c r="I1603" i="12"/>
  <c r="J1603" i="12"/>
  <c r="K1603" i="12"/>
  <c r="L1603" i="12"/>
  <c r="N1603" i="12" s="1"/>
  <c r="M1603" i="12"/>
  <c r="A1604" i="12"/>
  <c r="B1604" i="12"/>
  <c r="C1604" i="12"/>
  <c r="D1604" i="12"/>
  <c r="E1604" i="12"/>
  <c r="F1604" i="12"/>
  <c r="G1604" i="12"/>
  <c r="I1604" i="12" s="1"/>
  <c r="M1604" i="12" s="1"/>
  <c r="H1604" i="12"/>
  <c r="J1604" i="12"/>
  <c r="L1604" i="12" s="1"/>
  <c r="K1604" i="12"/>
  <c r="N1604" i="12"/>
  <c r="A1605" i="12"/>
  <c r="B1605" i="12"/>
  <c r="C1605" i="12"/>
  <c r="D1605" i="12"/>
  <c r="E1605" i="12"/>
  <c r="F1605" i="12"/>
  <c r="G1605" i="12"/>
  <c r="H1605" i="12"/>
  <c r="I1605" i="12"/>
  <c r="J1605" i="12"/>
  <c r="K1605" i="12"/>
  <c r="L1605" i="12"/>
  <c r="N1605" i="12" s="1"/>
  <c r="M1605" i="12"/>
  <c r="A1606" i="12"/>
  <c r="B1606" i="12"/>
  <c r="C1606" i="12"/>
  <c r="D1606" i="12"/>
  <c r="E1606" i="12"/>
  <c r="F1606" i="12"/>
  <c r="G1606" i="12"/>
  <c r="I1606" i="12" s="1"/>
  <c r="M1606" i="12" s="1"/>
  <c r="H1606" i="12"/>
  <c r="J1606" i="12"/>
  <c r="L1606" i="12" s="1"/>
  <c r="K1606" i="12"/>
  <c r="N1606" i="12"/>
  <c r="A1607" i="12"/>
  <c r="B1607" i="12"/>
  <c r="C1607" i="12"/>
  <c r="D1607" i="12"/>
  <c r="E1607" i="12"/>
  <c r="F1607" i="12"/>
  <c r="G1607" i="12"/>
  <c r="H1607" i="12"/>
  <c r="I1607" i="12"/>
  <c r="J1607" i="12"/>
  <c r="K1607" i="12"/>
  <c r="L1607" i="12"/>
  <c r="N1607" i="12" s="1"/>
  <c r="M1607" i="12"/>
  <c r="A1608" i="12"/>
  <c r="B1608" i="12"/>
  <c r="C1608" i="12"/>
  <c r="D1608" i="12"/>
  <c r="E1608" i="12"/>
  <c r="F1608" i="12"/>
  <c r="G1608" i="12"/>
  <c r="I1608" i="12" s="1"/>
  <c r="M1608" i="12" s="1"/>
  <c r="H1608" i="12"/>
  <c r="J1608" i="12"/>
  <c r="L1608" i="12" s="1"/>
  <c r="K1608" i="12"/>
  <c r="N1608" i="12"/>
  <c r="A1609" i="12"/>
  <c r="B1609" i="12"/>
  <c r="C1609" i="12"/>
  <c r="D1609" i="12"/>
  <c r="E1609" i="12"/>
  <c r="F1609" i="12"/>
  <c r="G1609" i="12"/>
  <c r="H1609" i="12"/>
  <c r="I1609" i="12"/>
  <c r="J1609" i="12"/>
  <c r="K1609" i="12"/>
  <c r="L1609" i="12"/>
  <c r="N1609" i="12" s="1"/>
  <c r="M1609" i="12"/>
  <c r="A1610" i="12"/>
  <c r="B1610" i="12"/>
  <c r="C1610" i="12"/>
  <c r="D1610" i="12"/>
  <c r="E1610" i="12"/>
  <c r="F1610" i="12"/>
  <c r="G1610" i="12"/>
  <c r="I1610" i="12" s="1"/>
  <c r="M1610" i="12" s="1"/>
  <c r="H1610" i="12"/>
  <c r="J1610" i="12"/>
  <c r="L1610" i="12" s="1"/>
  <c r="K1610" i="12"/>
  <c r="N1610" i="12"/>
  <c r="A1611" i="12"/>
  <c r="B1611" i="12"/>
  <c r="C1611" i="12"/>
  <c r="D1611" i="12"/>
  <c r="E1611" i="12"/>
  <c r="F1611" i="12"/>
  <c r="G1611" i="12"/>
  <c r="H1611" i="12"/>
  <c r="I1611" i="12"/>
  <c r="J1611" i="12"/>
  <c r="K1611" i="12"/>
  <c r="L1611" i="12"/>
  <c r="N1611" i="12" s="1"/>
  <c r="M1611" i="12"/>
  <c r="A1612" i="12"/>
  <c r="B1612" i="12"/>
  <c r="C1612" i="12"/>
  <c r="D1612" i="12"/>
  <c r="E1612" i="12"/>
  <c r="F1612" i="12"/>
  <c r="G1612" i="12"/>
  <c r="I1612" i="12" s="1"/>
  <c r="M1612" i="12" s="1"/>
  <c r="H1612" i="12"/>
  <c r="J1612" i="12"/>
  <c r="L1612" i="12" s="1"/>
  <c r="K1612" i="12"/>
  <c r="N1612" i="12"/>
  <c r="A1613" i="12"/>
  <c r="B1613" i="12"/>
  <c r="C1613" i="12"/>
  <c r="D1613" i="12"/>
  <c r="E1613" i="12"/>
  <c r="F1613" i="12"/>
  <c r="G1613" i="12"/>
  <c r="H1613" i="12"/>
  <c r="I1613" i="12"/>
  <c r="J1613" i="12"/>
  <c r="K1613" i="12"/>
  <c r="L1613" i="12"/>
  <c r="N1613" i="12" s="1"/>
  <c r="M1613" i="12"/>
  <c r="A1614" i="12"/>
  <c r="B1614" i="12"/>
  <c r="C1614" i="12"/>
  <c r="D1614" i="12"/>
  <c r="E1614" i="12"/>
  <c r="F1614" i="12"/>
  <c r="G1614" i="12"/>
  <c r="I1614" i="12" s="1"/>
  <c r="M1614" i="12" s="1"/>
  <c r="H1614" i="12"/>
  <c r="J1614" i="12"/>
  <c r="L1614" i="12" s="1"/>
  <c r="K1614" i="12"/>
  <c r="N1614" i="12"/>
  <c r="A1615" i="12"/>
  <c r="B1615" i="12"/>
  <c r="C1615" i="12"/>
  <c r="D1615" i="12"/>
  <c r="E1615" i="12"/>
  <c r="F1615" i="12"/>
  <c r="G1615" i="12"/>
  <c r="H1615" i="12"/>
  <c r="I1615" i="12"/>
  <c r="J1615" i="12"/>
  <c r="K1615" i="12"/>
  <c r="L1615" i="12"/>
  <c r="N1615" i="12" s="1"/>
  <c r="M1615" i="12"/>
  <c r="A1616" i="12"/>
  <c r="B1616" i="12"/>
  <c r="C1616" i="12"/>
  <c r="D1616" i="12"/>
  <c r="E1616" i="12"/>
  <c r="F1616" i="12"/>
  <c r="G1616" i="12"/>
  <c r="I1616" i="12" s="1"/>
  <c r="M1616" i="12" s="1"/>
  <c r="H1616" i="12"/>
  <c r="J1616" i="12"/>
  <c r="L1616" i="12" s="1"/>
  <c r="K1616" i="12"/>
  <c r="N1616" i="12"/>
  <c r="A1617" i="12"/>
  <c r="B1617" i="12"/>
  <c r="C1617" i="12"/>
  <c r="D1617" i="12"/>
  <c r="E1617" i="12"/>
  <c r="F1617" i="12"/>
  <c r="G1617" i="12"/>
  <c r="H1617" i="12"/>
  <c r="I1617" i="12"/>
  <c r="J1617" i="12"/>
  <c r="K1617" i="12"/>
  <c r="L1617" i="12"/>
  <c r="N1617" i="12" s="1"/>
  <c r="M1617" i="12"/>
  <c r="A1618" i="12"/>
  <c r="B1618" i="12"/>
  <c r="C1618" i="12"/>
  <c r="D1618" i="12"/>
  <c r="E1618" i="12"/>
  <c r="F1618" i="12"/>
  <c r="G1618" i="12"/>
  <c r="I1618" i="12" s="1"/>
  <c r="M1618" i="12" s="1"/>
  <c r="H1618" i="12"/>
  <c r="J1618" i="12"/>
  <c r="L1618" i="12" s="1"/>
  <c r="K1618" i="12"/>
  <c r="N1618" i="12"/>
  <c r="A1619" i="12"/>
  <c r="B1619" i="12"/>
  <c r="C1619" i="12"/>
  <c r="D1619" i="12"/>
  <c r="E1619" i="12"/>
  <c r="F1619" i="12"/>
  <c r="G1619" i="12"/>
  <c r="H1619" i="12"/>
  <c r="I1619" i="12"/>
  <c r="J1619" i="12"/>
  <c r="K1619" i="12"/>
  <c r="L1619" i="12"/>
  <c r="N1619" i="12" s="1"/>
  <c r="M1619" i="12"/>
  <c r="A1620" i="12"/>
  <c r="B1620" i="12"/>
  <c r="C1620" i="12"/>
  <c r="D1620" i="12"/>
  <c r="E1620" i="12"/>
  <c r="F1620" i="12"/>
  <c r="G1620" i="12"/>
  <c r="I1620" i="12" s="1"/>
  <c r="M1620" i="12" s="1"/>
  <c r="H1620" i="12"/>
  <c r="J1620" i="12"/>
  <c r="L1620" i="12" s="1"/>
  <c r="K1620" i="12"/>
  <c r="N1620" i="12"/>
  <c r="A1621" i="12"/>
  <c r="B1621" i="12"/>
  <c r="C1621" i="12"/>
  <c r="D1621" i="12"/>
  <c r="E1621" i="12"/>
  <c r="F1621" i="12"/>
  <c r="G1621" i="12"/>
  <c r="H1621" i="12"/>
  <c r="I1621" i="12"/>
  <c r="J1621" i="12"/>
  <c r="K1621" i="12"/>
  <c r="L1621" i="12"/>
  <c r="N1621" i="12" s="1"/>
  <c r="M1621" i="12"/>
  <c r="A1622" i="12"/>
  <c r="B1622" i="12"/>
  <c r="C1622" i="12"/>
  <c r="D1622" i="12"/>
  <c r="E1622" i="12"/>
  <c r="F1622" i="12"/>
  <c r="G1622" i="12"/>
  <c r="I1622" i="12" s="1"/>
  <c r="M1622" i="12" s="1"/>
  <c r="H1622" i="12"/>
  <c r="J1622" i="12"/>
  <c r="L1622" i="12" s="1"/>
  <c r="K1622" i="12"/>
  <c r="N1622" i="12"/>
  <c r="A1623" i="12"/>
  <c r="B1623" i="12"/>
  <c r="C1623" i="12"/>
  <c r="D1623" i="12"/>
  <c r="E1623" i="12"/>
  <c r="F1623" i="12"/>
  <c r="G1623" i="12"/>
  <c r="H1623" i="12"/>
  <c r="I1623" i="12"/>
  <c r="J1623" i="12"/>
  <c r="K1623" i="12"/>
  <c r="L1623" i="12"/>
  <c r="N1623" i="12" s="1"/>
  <c r="M1623" i="12"/>
  <c r="A1624" i="12"/>
  <c r="B1624" i="12"/>
  <c r="C1624" i="12"/>
  <c r="D1624" i="12"/>
  <c r="E1624" i="12"/>
  <c r="F1624" i="12"/>
  <c r="G1624" i="12"/>
  <c r="I1624" i="12" s="1"/>
  <c r="M1624" i="12" s="1"/>
  <c r="H1624" i="12"/>
  <c r="J1624" i="12"/>
  <c r="L1624" i="12" s="1"/>
  <c r="K1624" i="12"/>
  <c r="N1624" i="12"/>
  <c r="A1625" i="12"/>
  <c r="B1625" i="12"/>
  <c r="C1625" i="12"/>
  <c r="D1625" i="12"/>
  <c r="E1625" i="12"/>
  <c r="F1625" i="12"/>
  <c r="G1625" i="12"/>
  <c r="H1625" i="12"/>
  <c r="I1625" i="12"/>
  <c r="J1625" i="12"/>
  <c r="K1625" i="12"/>
  <c r="L1625" i="12"/>
  <c r="N1625" i="12" s="1"/>
  <c r="M1625" i="12"/>
  <c r="A1626" i="12"/>
  <c r="B1626" i="12"/>
  <c r="C1626" i="12"/>
  <c r="D1626" i="12"/>
  <c r="E1626" i="12"/>
  <c r="F1626" i="12"/>
  <c r="G1626" i="12"/>
  <c r="I1626" i="12" s="1"/>
  <c r="M1626" i="12" s="1"/>
  <c r="H1626" i="12"/>
  <c r="J1626" i="12"/>
  <c r="L1626" i="12" s="1"/>
  <c r="K1626" i="12"/>
  <c r="N1626" i="12"/>
  <c r="A1627" i="12"/>
  <c r="B1627" i="12"/>
  <c r="C1627" i="12"/>
  <c r="D1627" i="12"/>
  <c r="E1627" i="12"/>
  <c r="F1627" i="12"/>
  <c r="G1627" i="12"/>
  <c r="H1627" i="12"/>
  <c r="I1627" i="12"/>
  <c r="J1627" i="12"/>
  <c r="K1627" i="12"/>
  <c r="L1627" i="12"/>
  <c r="N1627" i="12" s="1"/>
  <c r="M1627" i="12"/>
  <c r="A1628" i="12"/>
  <c r="B1628" i="12"/>
  <c r="C1628" i="12"/>
  <c r="D1628" i="12"/>
  <c r="E1628" i="12"/>
  <c r="F1628" i="12"/>
  <c r="G1628" i="12"/>
  <c r="I1628" i="12" s="1"/>
  <c r="M1628" i="12" s="1"/>
  <c r="H1628" i="12"/>
  <c r="J1628" i="12"/>
  <c r="L1628" i="12" s="1"/>
  <c r="K1628" i="12"/>
  <c r="N1628" i="12"/>
  <c r="A1629" i="12"/>
  <c r="B1629" i="12"/>
  <c r="C1629" i="12"/>
  <c r="D1629" i="12"/>
  <c r="E1629" i="12"/>
  <c r="F1629" i="12"/>
  <c r="G1629" i="12"/>
  <c r="H1629" i="12"/>
  <c r="I1629" i="12"/>
  <c r="J1629" i="12"/>
  <c r="K1629" i="12"/>
  <c r="L1629" i="12"/>
  <c r="N1629" i="12" s="1"/>
  <c r="M1629" i="12"/>
  <c r="A1630" i="12"/>
  <c r="B1630" i="12"/>
  <c r="C1630" i="12"/>
  <c r="D1630" i="12"/>
  <c r="E1630" i="12"/>
  <c r="F1630" i="12"/>
  <c r="G1630" i="12"/>
  <c r="I1630" i="12" s="1"/>
  <c r="M1630" i="12" s="1"/>
  <c r="H1630" i="12"/>
  <c r="J1630" i="12"/>
  <c r="L1630" i="12" s="1"/>
  <c r="K1630" i="12"/>
  <c r="N1630" i="12"/>
  <c r="A1631" i="12"/>
  <c r="B1631" i="12"/>
  <c r="C1631" i="12"/>
  <c r="D1631" i="12"/>
  <c r="E1631" i="12"/>
  <c r="F1631" i="12"/>
  <c r="G1631" i="12"/>
  <c r="H1631" i="12"/>
  <c r="I1631" i="12"/>
  <c r="J1631" i="12"/>
  <c r="K1631" i="12"/>
  <c r="L1631" i="12"/>
  <c r="N1631" i="12" s="1"/>
  <c r="M1631" i="12"/>
  <c r="A1632" i="12"/>
  <c r="B1632" i="12"/>
  <c r="C1632" i="12"/>
  <c r="D1632" i="12"/>
  <c r="E1632" i="12"/>
  <c r="F1632" i="12"/>
  <c r="G1632" i="12"/>
  <c r="I1632" i="12" s="1"/>
  <c r="M1632" i="12" s="1"/>
  <c r="H1632" i="12"/>
  <c r="J1632" i="12"/>
  <c r="L1632" i="12" s="1"/>
  <c r="K1632" i="12"/>
  <c r="N1632" i="12"/>
  <c r="A1633" i="12"/>
  <c r="B1633" i="12"/>
  <c r="C1633" i="12"/>
  <c r="D1633" i="12"/>
  <c r="E1633" i="12"/>
  <c r="F1633" i="12"/>
  <c r="G1633" i="12"/>
  <c r="H1633" i="12"/>
  <c r="I1633" i="12"/>
  <c r="J1633" i="12"/>
  <c r="K1633" i="12"/>
  <c r="L1633" i="12"/>
  <c r="N1633" i="12" s="1"/>
  <c r="M1633" i="12"/>
  <c r="A1634" i="12"/>
  <c r="B1634" i="12"/>
  <c r="C1634" i="12"/>
  <c r="D1634" i="12"/>
  <c r="E1634" i="12"/>
  <c r="F1634" i="12"/>
  <c r="G1634" i="12"/>
  <c r="I1634" i="12" s="1"/>
  <c r="M1634" i="12" s="1"/>
  <c r="H1634" i="12"/>
  <c r="J1634" i="12"/>
  <c r="L1634" i="12" s="1"/>
  <c r="K1634" i="12"/>
  <c r="N1634" i="12"/>
  <c r="A1635" i="12"/>
  <c r="B1635" i="12"/>
  <c r="C1635" i="12"/>
  <c r="D1635" i="12"/>
  <c r="E1635" i="12"/>
  <c r="F1635" i="12"/>
  <c r="G1635" i="12"/>
  <c r="H1635" i="12"/>
  <c r="I1635" i="12"/>
  <c r="J1635" i="12"/>
  <c r="K1635" i="12"/>
  <c r="L1635" i="12"/>
  <c r="N1635" i="12" s="1"/>
  <c r="M1635" i="12"/>
  <c r="A1636" i="12"/>
  <c r="B1636" i="12"/>
  <c r="C1636" i="12"/>
  <c r="D1636" i="12"/>
  <c r="E1636" i="12"/>
  <c r="F1636" i="12"/>
  <c r="G1636" i="12"/>
  <c r="I1636" i="12" s="1"/>
  <c r="M1636" i="12" s="1"/>
  <c r="H1636" i="12"/>
  <c r="J1636" i="12"/>
  <c r="L1636" i="12" s="1"/>
  <c r="K1636" i="12"/>
  <c r="N1636" i="12"/>
  <c r="A1637" i="12"/>
  <c r="B1637" i="12"/>
  <c r="C1637" i="12"/>
  <c r="D1637" i="12"/>
  <c r="E1637" i="12"/>
  <c r="F1637" i="12"/>
  <c r="G1637" i="12"/>
  <c r="H1637" i="12"/>
  <c r="I1637" i="12"/>
  <c r="J1637" i="12"/>
  <c r="K1637" i="12"/>
  <c r="L1637" i="12"/>
  <c r="N1637" i="12" s="1"/>
  <c r="M1637" i="12"/>
  <c r="A1638" i="12"/>
  <c r="B1638" i="12"/>
  <c r="C1638" i="12"/>
  <c r="D1638" i="12"/>
  <c r="E1638" i="12"/>
  <c r="F1638" i="12"/>
  <c r="G1638" i="12"/>
  <c r="I1638" i="12" s="1"/>
  <c r="M1638" i="12" s="1"/>
  <c r="H1638" i="12"/>
  <c r="J1638" i="12"/>
  <c r="L1638" i="12" s="1"/>
  <c r="K1638" i="12"/>
  <c r="N1638" i="12"/>
  <c r="A1639" i="12"/>
  <c r="B1639" i="12"/>
  <c r="C1639" i="12"/>
  <c r="D1639" i="12"/>
  <c r="E1639" i="12"/>
  <c r="F1639" i="12"/>
  <c r="G1639" i="12"/>
  <c r="H1639" i="12"/>
  <c r="I1639" i="12" s="1"/>
  <c r="M1639" i="12" s="1"/>
  <c r="J1639" i="12"/>
  <c r="K1639" i="12"/>
  <c r="L1639" i="12"/>
  <c r="N1639" i="12" s="1"/>
  <c r="A1640" i="12"/>
  <c r="B1640" i="12"/>
  <c r="C1640" i="12"/>
  <c r="D1640" i="12"/>
  <c r="E1640" i="12"/>
  <c r="F1640" i="12"/>
  <c r="G1640" i="12"/>
  <c r="I1640" i="12" s="1"/>
  <c r="M1640" i="12" s="1"/>
  <c r="H1640" i="12"/>
  <c r="J1640" i="12"/>
  <c r="L1640" i="12" s="1"/>
  <c r="K1640" i="12"/>
  <c r="N1640" i="12"/>
  <c r="A1641" i="12"/>
  <c r="B1641" i="12"/>
  <c r="C1641" i="12"/>
  <c r="D1641" i="12"/>
  <c r="E1641" i="12"/>
  <c r="F1641" i="12"/>
  <c r="G1641" i="12"/>
  <c r="H1641" i="12"/>
  <c r="I1641" i="12" s="1"/>
  <c r="M1641" i="12" s="1"/>
  <c r="J1641" i="12"/>
  <c r="K1641" i="12"/>
  <c r="L1641" i="12"/>
  <c r="N1641" i="12" s="1"/>
  <c r="A1642" i="12"/>
  <c r="B1642" i="12"/>
  <c r="C1642" i="12"/>
  <c r="D1642" i="12"/>
  <c r="E1642" i="12"/>
  <c r="F1642" i="12"/>
  <c r="G1642" i="12"/>
  <c r="I1642" i="12" s="1"/>
  <c r="M1642" i="12" s="1"/>
  <c r="H1642" i="12"/>
  <c r="J1642" i="12"/>
  <c r="L1642" i="12" s="1"/>
  <c r="K1642" i="12"/>
  <c r="N1642" i="12"/>
  <c r="A1643" i="12"/>
  <c r="B1643" i="12"/>
  <c r="C1643" i="12"/>
  <c r="D1643" i="12"/>
  <c r="E1643" i="12"/>
  <c r="F1643" i="12"/>
  <c r="G1643" i="12"/>
  <c r="H1643" i="12"/>
  <c r="I1643" i="12" s="1"/>
  <c r="M1643" i="12" s="1"/>
  <c r="J1643" i="12"/>
  <c r="K1643" i="12"/>
  <c r="L1643" i="12"/>
  <c r="N1643" i="12" s="1"/>
  <c r="A1644" i="12"/>
  <c r="B1644" i="12"/>
  <c r="C1644" i="12"/>
  <c r="D1644" i="12"/>
  <c r="E1644" i="12"/>
  <c r="F1644" i="12"/>
  <c r="G1644" i="12"/>
  <c r="I1644" i="12" s="1"/>
  <c r="M1644" i="12" s="1"/>
  <c r="H1644" i="12"/>
  <c r="J1644" i="12"/>
  <c r="L1644" i="12" s="1"/>
  <c r="K1644" i="12"/>
  <c r="N1644" i="12"/>
  <c r="A1645" i="12"/>
  <c r="B1645" i="12"/>
  <c r="C1645" i="12"/>
  <c r="D1645" i="12"/>
  <c r="E1645" i="12"/>
  <c r="F1645" i="12"/>
  <c r="G1645" i="12"/>
  <c r="H1645" i="12"/>
  <c r="I1645" i="12" s="1"/>
  <c r="M1645" i="12" s="1"/>
  <c r="J1645" i="12"/>
  <c r="K1645" i="12"/>
  <c r="L1645" i="12"/>
  <c r="N1645" i="12" s="1"/>
  <c r="A1646" i="12"/>
  <c r="B1646" i="12"/>
  <c r="C1646" i="12"/>
  <c r="D1646" i="12"/>
  <c r="E1646" i="12"/>
  <c r="F1646" i="12"/>
  <c r="G1646" i="12"/>
  <c r="I1646" i="12" s="1"/>
  <c r="M1646" i="12" s="1"/>
  <c r="H1646" i="12"/>
  <c r="J1646" i="12"/>
  <c r="L1646" i="12" s="1"/>
  <c r="K1646" i="12"/>
  <c r="N1646" i="12"/>
  <c r="A1647" i="12"/>
  <c r="B1647" i="12"/>
  <c r="C1647" i="12"/>
  <c r="D1647" i="12"/>
  <c r="E1647" i="12"/>
  <c r="F1647" i="12"/>
  <c r="G1647" i="12"/>
  <c r="H1647" i="12"/>
  <c r="I1647" i="12" s="1"/>
  <c r="M1647" i="12" s="1"/>
  <c r="J1647" i="12"/>
  <c r="K1647" i="12"/>
  <c r="L1647" i="12"/>
  <c r="N1647" i="12" s="1"/>
  <c r="A1648" i="12"/>
  <c r="B1648" i="12"/>
  <c r="C1648" i="12"/>
  <c r="D1648" i="12"/>
  <c r="E1648" i="12"/>
  <c r="F1648" i="12"/>
  <c r="G1648" i="12"/>
  <c r="I1648" i="12" s="1"/>
  <c r="M1648" i="12" s="1"/>
  <c r="H1648" i="12"/>
  <c r="J1648" i="12"/>
  <c r="L1648" i="12" s="1"/>
  <c r="K1648" i="12"/>
  <c r="N1648" i="12"/>
  <c r="A1649" i="12"/>
  <c r="B1649" i="12"/>
  <c r="C1649" i="12"/>
  <c r="D1649" i="12"/>
  <c r="E1649" i="12"/>
  <c r="F1649" i="12"/>
  <c r="G1649" i="12"/>
  <c r="H1649" i="12"/>
  <c r="I1649" i="12" s="1"/>
  <c r="M1649" i="12" s="1"/>
  <c r="J1649" i="12"/>
  <c r="K1649" i="12"/>
  <c r="L1649" i="12"/>
  <c r="N1649" i="12" s="1"/>
  <c r="A1650" i="12"/>
  <c r="B1650" i="12"/>
  <c r="C1650" i="12"/>
  <c r="D1650" i="12"/>
  <c r="E1650" i="12"/>
  <c r="F1650" i="12"/>
  <c r="G1650" i="12"/>
  <c r="I1650" i="12" s="1"/>
  <c r="M1650" i="12" s="1"/>
  <c r="H1650" i="12"/>
  <c r="J1650" i="12"/>
  <c r="L1650" i="12" s="1"/>
  <c r="K1650" i="12"/>
  <c r="N1650" i="12"/>
  <c r="A1651" i="12"/>
  <c r="B1651" i="12"/>
  <c r="C1651" i="12"/>
  <c r="D1651" i="12"/>
  <c r="E1651" i="12"/>
  <c r="F1651" i="12"/>
  <c r="G1651" i="12"/>
  <c r="H1651" i="12"/>
  <c r="I1651" i="12" s="1"/>
  <c r="M1651" i="12" s="1"/>
  <c r="J1651" i="12"/>
  <c r="K1651" i="12"/>
  <c r="L1651" i="12"/>
  <c r="N1651" i="12" s="1"/>
  <c r="A1652" i="12"/>
  <c r="B1652" i="12"/>
  <c r="C1652" i="12"/>
  <c r="D1652" i="12"/>
  <c r="E1652" i="12"/>
  <c r="F1652" i="12"/>
  <c r="G1652" i="12"/>
  <c r="I1652" i="12" s="1"/>
  <c r="M1652" i="12" s="1"/>
  <c r="H1652" i="12"/>
  <c r="J1652" i="12"/>
  <c r="L1652" i="12" s="1"/>
  <c r="K1652" i="12"/>
  <c r="N1652" i="12"/>
  <c r="A1653" i="12"/>
  <c r="B1653" i="12"/>
  <c r="C1653" i="12"/>
  <c r="D1653" i="12"/>
  <c r="E1653" i="12"/>
  <c r="F1653" i="12"/>
  <c r="G1653" i="12"/>
  <c r="H1653" i="12"/>
  <c r="I1653" i="12" s="1"/>
  <c r="M1653" i="12" s="1"/>
  <c r="J1653" i="12"/>
  <c r="K1653" i="12"/>
  <c r="L1653" i="12"/>
  <c r="N1653" i="12" s="1"/>
  <c r="A1654" i="12"/>
  <c r="B1654" i="12"/>
  <c r="C1654" i="12"/>
  <c r="D1654" i="12"/>
  <c r="E1654" i="12"/>
  <c r="F1654" i="12"/>
  <c r="G1654" i="12"/>
  <c r="I1654" i="12" s="1"/>
  <c r="M1654" i="12" s="1"/>
  <c r="H1654" i="12"/>
  <c r="J1654" i="12"/>
  <c r="L1654" i="12" s="1"/>
  <c r="K1654" i="12"/>
  <c r="N1654" i="12"/>
  <c r="A1655" i="12"/>
  <c r="B1655" i="12"/>
  <c r="C1655" i="12"/>
  <c r="D1655" i="12"/>
  <c r="E1655" i="12"/>
  <c r="F1655" i="12"/>
  <c r="G1655" i="12"/>
  <c r="H1655" i="12"/>
  <c r="I1655" i="12" s="1"/>
  <c r="M1655" i="12" s="1"/>
  <c r="J1655" i="12"/>
  <c r="K1655" i="12"/>
  <c r="L1655" i="12"/>
  <c r="N1655" i="12" s="1"/>
  <c r="A1656" i="12"/>
  <c r="B1656" i="12"/>
  <c r="C1656" i="12"/>
  <c r="D1656" i="12"/>
  <c r="E1656" i="12"/>
  <c r="F1656" i="12"/>
  <c r="G1656" i="12"/>
  <c r="I1656" i="12" s="1"/>
  <c r="M1656" i="12" s="1"/>
  <c r="H1656" i="12"/>
  <c r="J1656" i="12"/>
  <c r="L1656" i="12" s="1"/>
  <c r="K1656" i="12"/>
  <c r="N1656" i="12"/>
  <c r="A1657" i="12"/>
  <c r="B1657" i="12"/>
  <c r="C1657" i="12"/>
  <c r="D1657" i="12"/>
  <c r="E1657" i="12"/>
  <c r="F1657" i="12"/>
  <c r="G1657" i="12"/>
  <c r="H1657" i="12"/>
  <c r="I1657" i="12" s="1"/>
  <c r="M1657" i="12" s="1"/>
  <c r="J1657" i="12"/>
  <c r="K1657" i="12"/>
  <c r="L1657" i="12"/>
  <c r="N1657" i="12" s="1"/>
  <c r="A1658" i="12"/>
  <c r="B1658" i="12"/>
  <c r="C1658" i="12"/>
  <c r="D1658" i="12"/>
  <c r="E1658" i="12"/>
  <c r="F1658" i="12"/>
  <c r="G1658" i="12"/>
  <c r="I1658" i="12" s="1"/>
  <c r="M1658" i="12" s="1"/>
  <c r="H1658" i="12"/>
  <c r="J1658" i="12"/>
  <c r="L1658" i="12" s="1"/>
  <c r="K1658" i="12"/>
  <c r="N1658" i="12"/>
  <c r="A1659" i="12"/>
  <c r="B1659" i="12"/>
  <c r="C1659" i="12"/>
  <c r="D1659" i="12"/>
  <c r="E1659" i="12"/>
  <c r="F1659" i="12"/>
  <c r="G1659" i="12"/>
  <c r="H1659" i="12"/>
  <c r="I1659" i="12" s="1"/>
  <c r="M1659" i="12" s="1"/>
  <c r="J1659" i="12"/>
  <c r="K1659" i="12"/>
  <c r="L1659" i="12"/>
  <c r="N1659" i="12" s="1"/>
  <c r="A1660" i="12"/>
  <c r="B1660" i="12"/>
  <c r="C1660" i="12"/>
  <c r="D1660" i="12"/>
  <c r="E1660" i="12"/>
  <c r="F1660" i="12"/>
  <c r="G1660" i="12"/>
  <c r="I1660" i="12" s="1"/>
  <c r="M1660" i="12" s="1"/>
  <c r="H1660" i="12"/>
  <c r="J1660" i="12"/>
  <c r="L1660" i="12" s="1"/>
  <c r="K1660" i="12"/>
  <c r="N1660" i="12"/>
  <c r="A1661" i="12"/>
  <c r="B1661" i="12"/>
  <c r="C1661" i="12"/>
  <c r="D1661" i="12"/>
  <c r="E1661" i="12"/>
  <c r="F1661" i="12"/>
  <c r="G1661" i="12"/>
  <c r="H1661" i="12"/>
  <c r="I1661" i="12" s="1"/>
  <c r="M1661" i="12" s="1"/>
  <c r="J1661" i="12"/>
  <c r="K1661" i="12"/>
  <c r="L1661" i="12"/>
  <c r="N1661" i="12" s="1"/>
  <c r="A1662" i="12"/>
  <c r="B1662" i="12"/>
  <c r="C1662" i="12"/>
  <c r="D1662" i="12"/>
  <c r="E1662" i="12"/>
  <c r="F1662" i="12"/>
  <c r="G1662" i="12"/>
  <c r="I1662" i="12" s="1"/>
  <c r="M1662" i="12" s="1"/>
  <c r="H1662" i="12"/>
  <c r="J1662" i="12"/>
  <c r="L1662" i="12" s="1"/>
  <c r="K1662" i="12"/>
  <c r="N1662" i="12"/>
  <c r="A1663" i="12"/>
  <c r="B1663" i="12"/>
  <c r="C1663" i="12"/>
  <c r="D1663" i="12"/>
  <c r="E1663" i="12"/>
  <c r="F1663" i="12"/>
  <c r="G1663" i="12"/>
  <c r="H1663" i="12"/>
  <c r="I1663" i="12" s="1"/>
  <c r="M1663" i="12" s="1"/>
  <c r="J1663" i="12"/>
  <c r="K1663" i="12"/>
  <c r="L1663" i="12"/>
  <c r="N1663" i="12" s="1"/>
  <c r="A1664" i="12"/>
  <c r="B1664" i="12"/>
  <c r="C1664" i="12"/>
  <c r="D1664" i="12"/>
  <c r="E1664" i="12"/>
  <c r="F1664" i="12"/>
  <c r="G1664" i="12"/>
  <c r="I1664" i="12" s="1"/>
  <c r="M1664" i="12" s="1"/>
  <c r="H1664" i="12"/>
  <c r="J1664" i="12"/>
  <c r="L1664" i="12" s="1"/>
  <c r="K1664" i="12"/>
  <c r="N1664" i="12"/>
  <c r="A1665" i="12"/>
  <c r="B1665" i="12"/>
  <c r="C1665" i="12"/>
  <c r="D1665" i="12"/>
  <c r="E1665" i="12"/>
  <c r="F1665" i="12"/>
  <c r="G1665" i="12"/>
  <c r="H1665" i="12"/>
  <c r="I1665" i="12" s="1"/>
  <c r="M1665" i="12" s="1"/>
  <c r="J1665" i="12"/>
  <c r="K1665" i="12"/>
  <c r="L1665" i="12"/>
  <c r="N1665" i="12" s="1"/>
  <c r="A1666" i="12"/>
  <c r="B1666" i="12"/>
  <c r="C1666" i="12"/>
  <c r="D1666" i="12"/>
  <c r="E1666" i="12"/>
  <c r="F1666" i="12"/>
  <c r="G1666" i="12"/>
  <c r="I1666" i="12" s="1"/>
  <c r="M1666" i="12" s="1"/>
  <c r="H1666" i="12"/>
  <c r="J1666" i="12"/>
  <c r="L1666" i="12" s="1"/>
  <c r="K1666" i="12"/>
  <c r="N1666" i="12"/>
  <c r="A1667" i="12"/>
  <c r="B1667" i="12"/>
  <c r="C1667" i="12"/>
  <c r="D1667" i="12"/>
  <c r="E1667" i="12"/>
  <c r="F1667" i="12"/>
  <c r="G1667" i="12"/>
  <c r="H1667" i="12"/>
  <c r="I1667" i="12" s="1"/>
  <c r="M1667" i="12" s="1"/>
  <c r="J1667" i="12"/>
  <c r="K1667" i="12"/>
  <c r="L1667" i="12"/>
  <c r="N1667" i="12" s="1"/>
  <c r="A1668" i="12"/>
  <c r="B1668" i="12"/>
  <c r="C1668" i="12"/>
  <c r="D1668" i="12"/>
  <c r="E1668" i="12"/>
  <c r="F1668" i="12"/>
  <c r="G1668" i="12"/>
  <c r="I1668" i="12" s="1"/>
  <c r="M1668" i="12" s="1"/>
  <c r="H1668" i="12"/>
  <c r="J1668" i="12"/>
  <c r="L1668" i="12" s="1"/>
  <c r="K1668" i="12"/>
  <c r="N1668" i="12"/>
  <c r="A1669" i="12"/>
  <c r="B1669" i="12"/>
  <c r="C1669" i="12"/>
  <c r="D1669" i="12"/>
  <c r="E1669" i="12"/>
  <c r="F1669" i="12"/>
  <c r="G1669" i="12"/>
  <c r="H1669" i="12"/>
  <c r="I1669" i="12" s="1"/>
  <c r="M1669" i="12" s="1"/>
  <c r="J1669" i="12"/>
  <c r="K1669" i="12"/>
  <c r="L1669" i="12"/>
  <c r="N1669" i="12" s="1"/>
  <c r="A1670" i="12"/>
  <c r="B1670" i="12"/>
  <c r="C1670" i="12"/>
  <c r="D1670" i="12"/>
  <c r="E1670" i="12"/>
  <c r="F1670" i="12"/>
  <c r="G1670" i="12"/>
  <c r="I1670" i="12" s="1"/>
  <c r="M1670" i="12" s="1"/>
  <c r="H1670" i="12"/>
  <c r="J1670" i="12"/>
  <c r="L1670" i="12" s="1"/>
  <c r="K1670" i="12"/>
  <c r="N1670" i="12"/>
  <c r="A1671" i="12"/>
  <c r="B1671" i="12"/>
  <c r="C1671" i="12"/>
  <c r="D1671" i="12"/>
  <c r="E1671" i="12"/>
  <c r="F1671" i="12"/>
  <c r="G1671" i="12"/>
  <c r="H1671" i="12"/>
  <c r="I1671" i="12" s="1"/>
  <c r="M1671" i="12" s="1"/>
  <c r="J1671" i="12"/>
  <c r="K1671" i="12"/>
  <c r="L1671" i="12"/>
  <c r="N1671" i="12" s="1"/>
  <c r="A1672" i="12"/>
  <c r="B1672" i="12"/>
  <c r="C1672" i="12"/>
  <c r="D1672" i="12"/>
  <c r="E1672" i="12"/>
  <c r="F1672" i="12"/>
  <c r="G1672" i="12"/>
  <c r="I1672" i="12" s="1"/>
  <c r="M1672" i="12" s="1"/>
  <c r="H1672" i="12"/>
  <c r="J1672" i="12"/>
  <c r="L1672" i="12" s="1"/>
  <c r="K1672" i="12"/>
  <c r="N1672" i="12"/>
  <c r="A1673" i="12"/>
  <c r="B1673" i="12"/>
  <c r="C1673" i="12"/>
  <c r="D1673" i="12"/>
  <c r="E1673" i="12"/>
  <c r="F1673" i="12"/>
  <c r="G1673" i="12"/>
  <c r="H1673" i="12"/>
  <c r="I1673" i="12" s="1"/>
  <c r="M1673" i="12" s="1"/>
  <c r="J1673" i="12"/>
  <c r="K1673" i="12"/>
  <c r="L1673" i="12"/>
  <c r="N1673" i="12" s="1"/>
  <c r="A1674" i="12"/>
  <c r="B1674" i="12"/>
  <c r="C1674" i="12"/>
  <c r="D1674" i="12"/>
  <c r="E1674" i="12"/>
  <c r="F1674" i="12"/>
  <c r="G1674" i="12"/>
  <c r="I1674" i="12" s="1"/>
  <c r="M1674" i="12" s="1"/>
  <c r="H1674" i="12"/>
  <c r="J1674" i="12"/>
  <c r="L1674" i="12" s="1"/>
  <c r="K1674" i="12"/>
  <c r="N1674" i="12"/>
  <c r="A1675" i="12"/>
  <c r="B1675" i="12"/>
  <c r="C1675" i="12"/>
  <c r="D1675" i="12"/>
  <c r="E1675" i="12"/>
  <c r="F1675" i="12"/>
  <c r="G1675" i="12"/>
  <c r="H1675" i="12"/>
  <c r="I1675" i="12" s="1"/>
  <c r="M1675" i="12" s="1"/>
  <c r="J1675" i="12"/>
  <c r="K1675" i="12"/>
  <c r="L1675" i="12"/>
  <c r="N1675" i="12" s="1"/>
  <c r="A1676" i="12"/>
  <c r="B1676" i="12"/>
  <c r="C1676" i="12"/>
  <c r="D1676" i="12"/>
  <c r="E1676" i="12"/>
  <c r="F1676" i="12"/>
  <c r="G1676" i="12"/>
  <c r="I1676" i="12" s="1"/>
  <c r="M1676" i="12" s="1"/>
  <c r="H1676" i="12"/>
  <c r="J1676" i="12"/>
  <c r="L1676" i="12" s="1"/>
  <c r="K1676" i="12"/>
  <c r="N1676" i="12"/>
  <c r="A1677" i="12"/>
  <c r="B1677" i="12"/>
  <c r="C1677" i="12"/>
  <c r="D1677" i="12"/>
  <c r="E1677" i="12"/>
  <c r="F1677" i="12"/>
  <c r="G1677" i="12"/>
  <c r="H1677" i="12"/>
  <c r="I1677" i="12" s="1"/>
  <c r="M1677" i="12" s="1"/>
  <c r="J1677" i="12"/>
  <c r="K1677" i="12"/>
  <c r="L1677" i="12"/>
  <c r="N1677" i="12" s="1"/>
  <c r="A1678" i="12"/>
  <c r="B1678" i="12"/>
  <c r="C1678" i="12"/>
  <c r="D1678" i="12"/>
  <c r="E1678" i="12"/>
  <c r="F1678" i="12"/>
  <c r="G1678" i="12"/>
  <c r="I1678" i="12" s="1"/>
  <c r="M1678" i="12" s="1"/>
  <c r="H1678" i="12"/>
  <c r="J1678" i="12"/>
  <c r="L1678" i="12" s="1"/>
  <c r="K1678" i="12"/>
  <c r="N1678" i="12"/>
  <c r="A1679" i="12"/>
  <c r="B1679" i="12"/>
  <c r="C1679" i="12"/>
  <c r="D1679" i="12"/>
  <c r="E1679" i="12"/>
  <c r="F1679" i="12"/>
  <c r="G1679" i="12"/>
  <c r="H1679" i="12"/>
  <c r="I1679" i="12" s="1"/>
  <c r="M1679" i="12" s="1"/>
  <c r="J1679" i="12"/>
  <c r="K1679" i="12"/>
  <c r="L1679" i="12"/>
  <c r="N1679" i="12" s="1"/>
  <c r="A1680" i="12"/>
  <c r="B1680" i="12"/>
  <c r="C1680" i="12"/>
  <c r="D1680" i="12"/>
  <c r="E1680" i="12"/>
  <c r="F1680" i="12"/>
  <c r="G1680" i="12"/>
  <c r="I1680" i="12" s="1"/>
  <c r="M1680" i="12" s="1"/>
  <c r="H1680" i="12"/>
  <c r="J1680" i="12"/>
  <c r="L1680" i="12" s="1"/>
  <c r="K1680" i="12"/>
  <c r="N1680" i="12"/>
  <c r="A1681" i="12"/>
  <c r="B1681" i="12"/>
  <c r="C1681" i="12"/>
  <c r="D1681" i="12"/>
  <c r="E1681" i="12"/>
  <c r="F1681" i="12"/>
  <c r="G1681" i="12"/>
  <c r="H1681" i="12"/>
  <c r="I1681" i="12" s="1"/>
  <c r="M1681" i="12" s="1"/>
  <c r="J1681" i="12"/>
  <c r="K1681" i="12"/>
  <c r="L1681" i="12"/>
  <c r="N1681" i="12" s="1"/>
  <c r="A1682" i="12"/>
  <c r="B1682" i="12"/>
  <c r="C1682" i="12"/>
  <c r="D1682" i="12"/>
  <c r="E1682" i="12"/>
  <c r="F1682" i="12"/>
  <c r="G1682" i="12"/>
  <c r="I1682" i="12" s="1"/>
  <c r="M1682" i="12" s="1"/>
  <c r="H1682" i="12"/>
  <c r="J1682" i="12"/>
  <c r="L1682" i="12" s="1"/>
  <c r="K1682" i="12"/>
  <c r="N1682" i="12"/>
  <c r="A1683" i="12"/>
  <c r="B1683" i="12"/>
  <c r="C1683" i="12"/>
  <c r="D1683" i="12"/>
  <c r="E1683" i="12"/>
  <c r="F1683" i="12"/>
  <c r="G1683" i="12"/>
  <c r="H1683" i="12"/>
  <c r="I1683" i="12" s="1"/>
  <c r="M1683" i="12" s="1"/>
  <c r="J1683" i="12"/>
  <c r="K1683" i="12"/>
  <c r="L1683" i="12"/>
  <c r="N1683" i="12" s="1"/>
  <c r="A1684" i="12"/>
  <c r="B1684" i="12"/>
  <c r="C1684" i="12"/>
  <c r="D1684" i="12"/>
  <c r="E1684" i="12"/>
  <c r="F1684" i="12"/>
  <c r="G1684" i="12"/>
  <c r="I1684" i="12" s="1"/>
  <c r="M1684" i="12" s="1"/>
  <c r="H1684" i="12"/>
  <c r="J1684" i="12"/>
  <c r="L1684" i="12" s="1"/>
  <c r="K1684" i="12"/>
  <c r="N1684" i="12"/>
  <c r="A1685" i="12"/>
  <c r="B1685" i="12"/>
  <c r="C1685" i="12"/>
  <c r="D1685" i="12"/>
  <c r="E1685" i="12"/>
  <c r="F1685" i="12"/>
  <c r="G1685" i="12"/>
  <c r="H1685" i="12"/>
  <c r="I1685" i="12" s="1"/>
  <c r="M1685" i="12" s="1"/>
  <c r="J1685" i="12"/>
  <c r="K1685" i="12"/>
  <c r="L1685" i="12"/>
  <c r="N1685" i="12" s="1"/>
  <c r="A1686" i="12"/>
  <c r="B1686" i="12"/>
  <c r="C1686" i="12"/>
  <c r="D1686" i="12"/>
  <c r="E1686" i="12"/>
  <c r="F1686" i="12"/>
  <c r="G1686" i="12"/>
  <c r="I1686" i="12" s="1"/>
  <c r="M1686" i="12" s="1"/>
  <c r="H1686" i="12"/>
  <c r="J1686" i="12"/>
  <c r="L1686" i="12" s="1"/>
  <c r="K1686" i="12"/>
  <c r="N1686" i="12"/>
  <c r="A1687" i="12"/>
  <c r="B1687" i="12"/>
  <c r="C1687" i="12"/>
  <c r="D1687" i="12"/>
  <c r="E1687" i="12"/>
  <c r="F1687" i="12"/>
  <c r="G1687" i="12"/>
  <c r="H1687" i="12"/>
  <c r="I1687" i="12" s="1"/>
  <c r="M1687" i="12" s="1"/>
  <c r="J1687" i="12"/>
  <c r="K1687" i="12"/>
  <c r="L1687" i="12"/>
  <c r="N1687" i="12" s="1"/>
  <c r="A1688" i="12"/>
  <c r="B1688" i="12"/>
  <c r="C1688" i="12"/>
  <c r="D1688" i="12"/>
  <c r="E1688" i="12"/>
  <c r="F1688" i="12"/>
  <c r="G1688" i="12"/>
  <c r="I1688" i="12" s="1"/>
  <c r="M1688" i="12" s="1"/>
  <c r="H1688" i="12"/>
  <c r="J1688" i="12"/>
  <c r="L1688" i="12" s="1"/>
  <c r="K1688" i="12"/>
  <c r="N1688" i="12"/>
  <c r="A1689" i="12"/>
  <c r="B1689" i="12"/>
  <c r="C1689" i="12"/>
  <c r="D1689" i="12"/>
  <c r="E1689" i="12"/>
  <c r="F1689" i="12"/>
  <c r="G1689" i="12"/>
  <c r="H1689" i="12"/>
  <c r="I1689" i="12" s="1"/>
  <c r="M1689" i="12" s="1"/>
  <c r="J1689" i="12"/>
  <c r="K1689" i="12"/>
  <c r="L1689" i="12"/>
  <c r="N1689" i="12" s="1"/>
  <c r="A1690" i="12"/>
  <c r="B1690" i="12"/>
  <c r="C1690" i="12"/>
  <c r="D1690" i="12"/>
  <c r="E1690" i="12"/>
  <c r="F1690" i="12"/>
  <c r="G1690" i="12"/>
  <c r="I1690" i="12" s="1"/>
  <c r="M1690" i="12" s="1"/>
  <c r="H1690" i="12"/>
  <c r="J1690" i="12"/>
  <c r="L1690" i="12" s="1"/>
  <c r="K1690" i="12"/>
  <c r="N1690" i="12"/>
  <c r="A1691" i="12"/>
  <c r="B1691" i="12"/>
  <c r="C1691" i="12"/>
  <c r="D1691" i="12"/>
  <c r="E1691" i="12"/>
  <c r="F1691" i="12"/>
  <c r="G1691" i="12"/>
  <c r="H1691" i="12"/>
  <c r="I1691" i="12" s="1"/>
  <c r="M1691" i="12" s="1"/>
  <c r="J1691" i="12"/>
  <c r="K1691" i="12"/>
  <c r="L1691" i="12"/>
  <c r="N1691" i="12" s="1"/>
  <c r="A1692" i="12"/>
  <c r="B1692" i="12"/>
  <c r="C1692" i="12"/>
  <c r="D1692" i="12"/>
  <c r="E1692" i="12"/>
  <c r="F1692" i="12"/>
  <c r="G1692" i="12"/>
  <c r="I1692" i="12" s="1"/>
  <c r="M1692" i="12" s="1"/>
  <c r="H1692" i="12"/>
  <c r="J1692" i="12"/>
  <c r="L1692" i="12" s="1"/>
  <c r="K1692" i="12"/>
  <c r="N1692" i="12"/>
  <c r="A1693" i="12"/>
  <c r="B1693" i="12"/>
  <c r="C1693" i="12"/>
  <c r="D1693" i="12"/>
  <c r="E1693" i="12"/>
  <c r="F1693" i="12"/>
  <c r="G1693" i="12"/>
  <c r="H1693" i="12"/>
  <c r="I1693" i="12" s="1"/>
  <c r="M1693" i="12" s="1"/>
  <c r="J1693" i="12"/>
  <c r="K1693" i="12"/>
  <c r="L1693" i="12"/>
  <c r="N1693" i="12" s="1"/>
  <c r="A1694" i="12"/>
  <c r="B1694" i="12"/>
  <c r="C1694" i="12"/>
  <c r="D1694" i="12"/>
  <c r="E1694" i="12"/>
  <c r="F1694" i="12"/>
  <c r="G1694" i="12"/>
  <c r="I1694" i="12" s="1"/>
  <c r="M1694" i="12" s="1"/>
  <c r="H1694" i="12"/>
  <c r="J1694" i="12"/>
  <c r="L1694" i="12" s="1"/>
  <c r="K1694" i="12"/>
  <c r="N1694" i="12"/>
  <c r="A1695" i="12"/>
  <c r="B1695" i="12"/>
  <c r="C1695" i="12"/>
  <c r="D1695" i="12"/>
  <c r="E1695" i="12"/>
  <c r="F1695" i="12"/>
  <c r="G1695" i="12"/>
  <c r="H1695" i="12"/>
  <c r="I1695" i="12" s="1"/>
  <c r="M1695" i="12" s="1"/>
  <c r="J1695" i="12"/>
  <c r="K1695" i="12"/>
  <c r="L1695" i="12"/>
  <c r="N1695" i="12" s="1"/>
  <c r="A1696" i="12"/>
  <c r="B1696" i="12"/>
  <c r="C1696" i="12"/>
  <c r="D1696" i="12"/>
  <c r="E1696" i="12"/>
  <c r="F1696" i="12"/>
  <c r="G1696" i="12"/>
  <c r="I1696" i="12" s="1"/>
  <c r="M1696" i="12" s="1"/>
  <c r="H1696" i="12"/>
  <c r="J1696" i="12"/>
  <c r="L1696" i="12" s="1"/>
  <c r="K1696" i="12"/>
  <c r="N1696" i="12"/>
  <c r="A1697" i="12"/>
  <c r="B1697" i="12"/>
  <c r="C1697" i="12"/>
  <c r="D1697" i="12"/>
  <c r="E1697" i="12"/>
  <c r="F1697" i="12"/>
  <c r="G1697" i="12"/>
  <c r="H1697" i="12"/>
  <c r="I1697" i="12" s="1"/>
  <c r="M1697" i="12" s="1"/>
  <c r="J1697" i="12"/>
  <c r="K1697" i="12"/>
  <c r="L1697" i="12"/>
  <c r="N1697" i="12" s="1"/>
  <c r="A1698" i="12"/>
  <c r="B1698" i="12"/>
  <c r="C1698" i="12"/>
  <c r="D1698" i="12"/>
  <c r="E1698" i="12"/>
  <c r="F1698" i="12"/>
  <c r="G1698" i="12"/>
  <c r="I1698" i="12" s="1"/>
  <c r="M1698" i="12" s="1"/>
  <c r="H1698" i="12"/>
  <c r="J1698" i="12"/>
  <c r="L1698" i="12" s="1"/>
  <c r="K1698" i="12"/>
  <c r="N1698" i="12"/>
  <c r="A1699" i="12"/>
  <c r="B1699" i="12"/>
  <c r="C1699" i="12"/>
  <c r="D1699" i="12"/>
  <c r="E1699" i="12"/>
  <c r="F1699" i="12"/>
  <c r="G1699" i="12"/>
  <c r="H1699" i="12"/>
  <c r="I1699" i="12" s="1"/>
  <c r="M1699" i="12" s="1"/>
  <c r="J1699" i="12"/>
  <c r="K1699" i="12"/>
  <c r="L1699" i="12"/>
  <c r="N1699" i="12" s="1"/>
  <c r="A1700" i="12"/>
  <c r="B1700" i="12"/>
  <c r="C1700" i="12"/>
  <c r="D1700" i="12"/>
  <c r="E1700" i="12"/>
  <c r="F1700" i="12"/>
  <c r="G1700" i="12"/>
  <c r="I1700" i="12" s="1"/>
  <c r="M1700" i="12" s="1"/>
  <c r="H1700" i="12"/>
  <c r="J1700" i="12"/>
  <c r="L1700" i="12" s="1"/>
  <c r="K1700" i="12"/>
  <c r="N1700" i="12"/>
  <c r="A1701" i="12"/>
  <c r="B1701" i="12"/>
  <c r="C1701" i="12"/>
  <c r="D1701" i="12"/>
  <c r="E1701" i="12"/>
  <c r="F1701" i="12"/>
  <c r="G1701" i="12"/>
  <c r="H1701" i="12"/>
  <c r="I1701" i="12" s="1"/>
  <c r="M1701" i="12" s="1"/>
  <c r="J1701" i="12"/>
  <c r="K1701" i="12"/>
  <c r="L1701" i="12"/>
  <c r="N1701" i="12" s="1"/>
  <c r="A1702" i="12"/>
  <c r="B1702" i="12"/>
  <c r="C1702" i="12"/>
  <c r="D1702" i="12"/>
  <c r="E1702" i="12"/>
  <c r="F1702" i="12"/>
  <c r="G1702" i="12"/>
  <c r="I1702" i="12" s="1"/>
  <c r="M1702" i="12" s="1"/>
  <c r="H1702" i="12"/>
  <c r="J1702" i="12"/>
  <c r="L1702" i="12" s="1"/>
  <c r="K1702" i="12"/>
  <c r="N1702" i="12"/>
  <c r="A1703" i="12"/>
  <c r="B1703" i="12"/>
  <c r="C1703" i="12"/>
  <c r="D1703" i="12"/>
  <c r="E1703" i="12"/>
  <c r="F1703" i="12"/>
  <c r="G1703" i="12"/>
  <c r="H1703" i="12"/>
  <c r="I1703" i="12" s="1"/>
  <c r="M1703" i="12" s="1"/>
  <c r="J1703" i="12"/>
  <c r="K1703" i="12"/>
  <c r="L1703" i="12"/>
  <c r="N1703" i="12" s="1"/>
  <c r="A1704" i="12"/>
  <c r="B1704" i="12"/>
  <c r="C1704" i="12"/>
  <c r="D1704" i="12"/>
  <c r="E1704" i="12"/>
  <c r="F1704" i="12"/>
  <c r="G1704" i="12"/>
  <c r="I1704" i="12" s="1"/>
  <c r="M1704" i="12" s="1"/>
  <c r="H1704" i="12"/>
  <c r="J1704" i="12"/>
  <c r="L1704" i="12" s="1"/>
  <c r="K1704" i="12"/>
  <c r="N1704" i="12"/>
  <c r="A1705" i="12"/>
  <c r="B1705" i="12"/>
  <c r="C1705" i="12"/>
  <c r="D1705" i="12"/>
  <c r="E1705" i="12"/>
  <c r="F1705" i="12"/>
  <c r="G1705" i="12"/>
  <c r="H1705" i="12"/>
  <c r="I1705" i="12" s="1"/>
  <c r="M1705" i="12" s="1"/>
  <c r="J1705" i="12"/>
  <c r="K1705" i="12"/>
  <c r="L1705" i="12"/>
  <c r="N1705" i="12" s="1"/>
  <c r="A1706" i="12"/>
  <c r="B1706" i="12"/>
  <c r="C1706" i="12"/>
  <c r="D1706" i="12"/>
  <c r="E1706" i="12"/>
  <c r="F1706" i="12"/>
  <c r="G1706" i="12"/>
  <c r="I1706" i="12" s="1"/>
  <c r="M1706" i="12" s="1"/>
  <c r="H1706" i="12"/>
  <c r="J1706" i="12"/>
  <c r="L1706" i="12" s="1"/>
  <c r="K1706" i="12"/>
  <c r="N1706" i="12"/>
  <c r="A1707" i="12"/>
  <c r="B1707" i="12"/>
  <c r="C1707" i="12"/>
  <c r="D1707" i="12"/>
  <c r="E1707" i="12"/>
  <c r="F1707" i="12"/>
  <c r="G1707" i="12"/>
  <c r="H1707" i="12"/>
  <c r="I1707" i="12" s="1"/>
  <c r="M1707" i="12" s="1"/>
  <c r="J1707" i="12"/>
  <c r="K1707" i="12"/>
  <c r="L1707" i="12"/>
  <c r="N1707" i="12" s="1"/>
  <c r="A1708" i="12"/>
  <c r="B1708" i="12"/>
  <c r="C1708" i="12"/>
  <c r="D1708" i="12"/>
  <c r="E1708" i="12"/>
  <c r="F1708" i="12"/>
  <c r="G1708" i="12"/>
  <c r="I1708" i="12" s="1"/>
  <c r="M1708" i="12" s="1"/>
  <c r="H1708" i="12"/>
  <c r="J1708" i="12"/>
  <c r="L1708" i="12" s="1"/>
  <c r="K1708" i="12"/>
  <c r="N1708" i="12"/>
  <c r="A1709" i="12"/>
  <c r="B1709" i="12"/>
  <c r="C1709" i="12"/>
  <c r="D1709" i="12"/>
  <c r="E1709" i="12"/>
  <c r="F1709" i="12"/>
  <c r="G1709" i="12"/>
  <c r="H1709" i="12"/>
  <c r="I1709" i="12" s="1"/>
  <c r="M1709" i="12" s="1"/>
  <c r="J1709" i="12"/>
  <c r="K1709" i="12"/>
  <c r="L1709" i="12"/>
  <c r="N1709" i="12" s="1"/>
  <c r="A1710" i="12"/>
  <c r="B1710" i="12"/>
  <c r="C1710" i="12"/>
  <c r="D1710" i="12"/>
  <c r="E1710" i="12"/>
  <c r="F1710" i="12"/>
  <c r="G1710" i="12"/>
  <c r="I1710" i="12" s="1"/>
  <c r="M1710" i="12" s="1"/>
  <c r="H1710" i="12"/>
  <c r="J1710" i="12"/>
  <c r="L1710" i="12" s="1"/>
  <c r="K1710" i="12"/>
  <c r="N1710" i="12"/>
  <c r="A1711" i="12"/>
  <c r="B1711" i="12"/>
  <c r="C1711" i="12"/>
  <c r="D1711" i="12"/>
  <c r="E1711" i="12"/>
  <c r="F1711" i="12"/>
  <c r="G1711" i="12"/>
  <c r="H1711" i="12"/>
  <c r="I1711" i="12" s="1"/>
  <c r="M1711" i="12" s="1"/>
  <c r="J1711" i="12"/>
  <c r="K1711" i="12"/>
  <c r="L1711" i="12"/>
  <c r="N1711" i="12" s="1"/>
  <c r="A1712" i="12"/>
  <c r="B1712" i="12"/>
  <c r="C1712" i="12"/>
  <c r="D1712" i="12"/>
  <c r="E1712" i="12"/>
  <c r="F1712" i="12"/>
  <c r="G1712" i="12"/>
  <c r="I1712" i="12" s="1"/>
  <c r="M1712" i="12" s="1"/>
  <c r="H1712" i="12"/>
  <c r="J1712" i="12"/>
  <c r="L1712" i="12" s="1"/>
  <c r="K1712" i="12"/>
  <c r="N1712" i="12"/>
  <c r="A1713" i="12"/>
  <c r="B1713" i="12"/>
  <c r="C1713" i="12"/>
  <c r="D1713" i="12"/>
  <c r="E1713" i="12"/>
  <c r="F1713" i="12"/>
  <c r="G1713" i="12"/>
  <c r="H1713" i="12"/>
  <c r="I1713" i="12" s="1"/>
  <c r="M1713" i="12" s="1"/>
  <c r="J1713" i="12"/>
  <c r="K1713" i="12"/>
  <c r="L1713" i="12"/>
  <c r="N1713" i="12" s="1"/>
  <c r="A1714" i="12"/>
  <c r="B1714" i="12"/>
  <c r="C1714" i="12"/>
  <c r="D1714" i="12"/>
  <c r="E1714" i="12"/>
  <c r="F1714" i="12"/>
  <c r="G1714" i="12"/>
  <c r="I1714" i="12" s="1"/>
  <c r="M1714" i="12" s="1"/>
  <c r="H1714" i="12"/>
  <c r="J1714" i="12"/>
  <c r="L1714" i="12" s="1"/>
  <c r="K1714" i="12"/>
  <c r="N1714" i="12"/>
  <c r="A1715" i="12"/>
  <c r="B1715" i="12"/>
  <c r="C1715" i="12"/>
  <c r="D1715" i="12"/>
  <c r="E1715" i="12"/>
  <c r="F1715" i="12"/>
  <c r="G1715" i="12"/>
  <c r="H1715" i="12"/>
  <c r="I1715" i="12" s="1"/>
  <c r="M1715" i="12" s="1"/>
  <c r="J1715" i="12"/>
  <c r="K1715" i="12"/>
  <c r="L1715" i="12"/>
  <c r="N1715" i="12" s="1"/>
  <c r="A1716" i="12"/>
  <c r="B1716" i="12"/>
  <c r="C1716" i="12"/>
  <c r="D1716" i="12"/>
  <c r="E1716" i="12"/>
  <c r="F1716" i="12"/>
  <c r="G1716" i="12"/>
  <c r="I1716" i="12" s="1"/>
  <c r="M1716" i="12" s="1"/>
  <c r="H1716" i="12"/>
  <c r="J1716" i="12"/>
  <c r="L1716" i="12" s="1"/>
  <c r="K1716" i="12"/>
  <c r="N1716" i="12"/>
  <c r="A1717" i="12"/>
  <c r="B1717" i="12"/>
  <c r="C1717" i="12"/>
  <c r="D1717" i="12"/>
  <c r="E1717" i="12"/>
  <c r="F1717" i="12"/>
  <c r="G1717" i="12"/>
  <c r="H1717" i="12"/>
  <c r="I1717" i="12" s="1"/>
  <c r="M1717" i="12" s="1"/>
  <c r="J1717" i="12"/>
  <c r="K1717" i="12"/>
  <c r="L1717" i="12"/>
  <c r="N1717" i="12" s="1"/>
  <c r="A1718" i="12"/>
  <c r="B1718" i="12"/>
  <c r="C1718" i="12"/>
  <c r="D1718" i="12"/>
  <c r="E1718" i="12"/>
  <c r="F1718" i="12"/>
  <c r="G1718" i="12"/>
  <c r="I1718" i="12" s="1"/>
  <c r="M1718" i="12" s="1"/>
  <c r="H1718" i="12"/>
  <c r="J1718" i="12"/>
  <c r="L1718" i="12" s="1"/>
  <c r="K1718" i="12"/>
  <c r="N1718" i="12"/>
  <c r="A1719" i="12"/>
  <c r="B1719" i="12"/>
  <c r="C1719" i="12"/>
  <c r="D1719" i="12"/>
  <c r="E1719" i="12"/>
  <c r="F1719" i="12"/>
  <c r="G1719" i="12"/>
  <c r="H1719" i="12"/>
  <c r="I1719" i="12" s="1"/>
  <c r="M1719" i="12" s="1"/>
  <c r="J1719" i="12"/>
  <c r="K1719" i="12"/>
  <c r="L1719" i="12"/>
  <c r="N1719" i="12" s="1"/>
  <c r="A1720" i="12"/>
  <c r="B1720" i="12"/>
  <c r="C1720" i="12"/>
  <c r="D1720" i="12"/>
  <c r="E1720" i="12"/>
  <c r="F1720" i="12"/>
  <c r="G1720" i="12"/>
  <c r="I1720" i="12" s="1"/>
  <c r="M1720" i="12" s="1"/>
  <c r="H1720" i="12"/>
  <c r="J1720" i="12"/>
  <c r="L1720" i="12" s="1"/>
  <c r="K1720" i="12"/>
  <c r="N1720" i="12"/>
  <c r="A1721" i="12"/>
  <c r="B1721" i="12"/>
  <c r="C1721" i="12"/>
  <c r="D1721" i="12"/>
  <c r="E1721" i="12"/>
  <c r="F1721" i="12"/>
  <c r="G1721" i="12"/>
  <c r="H1721" i="12"/>
  <c r="I1721" i="12" s="1"/>
  <c r="M1721" i="12" s="1"/>
  <c r="J1721" i="12"/>
  <c r="K1721" i="12"/>
  <c r="L1721" i="12"/>
  <c r="N1721" i="12" s="1"/>
  <c r="A1722" i="12"/>
  <c r="B1722" i="12"/>
  <c r="C1722" i="12"/>
  <c r="D1722" i="12"/>
  <c r="E1722" i="12"/>
  <c r="F1722" i="12"/>
  <c r="G1722" i="12"/>
  <c r="I1722" i="12" s="1"/>
  <c r="M1722" i="12" s="1"/>
  <c r="H1722" i="12"/>
  <c r="J1722" i="12"/>
  <c r="L1722" i="12" s="1"/>
  <c r="K1722" i="12"/>
  <c r="N1722" i="12"/>
  <c r="A1723" i="12"/>
  <c r="B1723" i="12"/>
  <c r="C1723" i="12"/>
  <c r="D1723" i="12"/>
  <c r="E1723" i="12"/>
  <c r="F1723" i="12"/>
  <c r="G1723" i="12"/>
  <c r="H1723" i="12"/>
  <c r="I1723" i="12" s="1"/>
  <c r="M1723" i="12" s="1"/>
  <c r="J1723" i="12"/>
  <c r="K1723" i="12"/>
  <c r="L1723" i="12"/>
  <c r="N1723" i="12" s="1"/>
  <c r="A1724" i="12"/>
  <c r="B1724" i="12"/>
  <c r="C1724" i="12"/>
  <c r="D1724" i="12"/>
  <c r="E1724" i="12"/>
  <c r="F1724" i="12"/>
  <c r="G1724" i="12"/>
  <c r="I1724" i="12" s="1"/>
  <c r="M1724" i="12" s="1"/>
  <c r="H1724" i="12"/>
  <c r="J1724" i="12"/>
  <c r="L1724" i="12" s="1"/>
  <c r="K1724" i="12"/>
  <c r="N1724" i="12"/>
  <c r="A1725" i="12"/>
  <c r="B1725" i="12"/>
  <c r="C1725" i="12"/>
  <c r="D1725" i="12"/>
  <c r="E1725" i="12"/>
  <c r="F1725" i="12"/>
  <c r="G1725" i="12"/>
  <c r="H1725" i="12"/>
  <c r="I1725" i="12" s="1"/>
  <c r="M1725" i="12" s="1"/>
  <c r="J1725" i="12"/>
  <c r="K1725" i="12"/>
  <c r="L1725" i="12"/>
  <c r="N1725" i="12" s="1"/>
  <c r="A1726" i="12"/>
  <c r="B1726" i="12"/>
  <c r="C1726" i="12"/>
  <c r="D1726" i="12"/>
  <c r="E1726" i="12"/>
  <c r="F1726" i="12"/>
  <c r="G1726" i="12"/>
  <c r="I1726" i="12" s="1"/>
  <c r="M1726" i="12" s="1"/>
  <c r="H1726" i="12"/>
  <c r="J1726" i="12"/>
  <c r="L1726" i="12" s="1"/>
  <c r="K1726" i="12"/>
  <c r="N1726" i="12"/>
  <c r="A1727" i="12"/>
  <c r="B1727" i="12"/>
  <c r="C1727" i="12"/>
  <c r="D1727" i="12"/>
  <c r="E1727" i="12"/>
  <c r="F1727" i="12"/>
  <c r="G1727" i="12"/>
  <c r="H1727" i="12"/>
  <c r="I1727" i="12" s="1"/>
  <c r="M1727" i="12" s="1"/>
  <c r="J1727" i="12"/>
  <c r="K1727" i="12"/>
  <c r="L1727" i="12"/>
  <c r="N1727" i="12" s="1"/>
  <c r="A1728" i="12"/>
  <c r="B1728" i="12"/>
  <c r="C1728" i="12"/>
  <c r="D1728" i="12"/>
  <c r="E1728" i="12"/>
  <c r="F1728" i="12"/>
  <c r="G1728" i="12"/>
  <c r="I1728" i="12" s="1"/>
  <c r="M1728" i="12" s="1"/>
  <c r="H1728" i="12"/>
  <c r="J1728" i="12"/>
  <c r="L1728" i="12" s="1"/>
  <c r="K1728" i="12"/>
  <c r="N1728" i="12"/>
  <c r="A1729" i="12"/>
  <c r="B1729" i="12"/>
  <c r="C1729" i="12"/>
  <c r="D1729" i="12"/>
  <c r="E1729" i="12"/>
  <c r="F1729" i="12"/>
  <c r="G1729" i="12"/>
  <c r="H1729" i="12"/>
  <c r="I1729" i="12" s="1"/>
  <c r="M1729" i="12" s="1"/>
  <c r="J1729" i="12"/>
  <c r="K1729" i="12"/>
  <c r="L1729" i="12"/>
  <c r="N1729" i="12" s="1"/>
  <c r="A1730" i="12"/>
  <c r="B1730" i="12"/>
  <c r="C1730" i="12"/>
  <c r="D1730" i="12"/>
  <c r="E1730" i="12"/>
  <c r="F1730" i="12"/>
  <c r="G1730" i="12"/>
  <c r="I1730" i="12" s="1"/>
  <c r="M1730" i="12" s="1"/>
  <c r="H1730" i="12"/>
  <c r="J1730" i="12"/>
  <c r="L1730" i="12" s="1"/>
  <c r="K1730" i="12"/>
  <c r="N1730" i="12"/>
  <c r="A1731" i="12"/>
  <c r="B1731" i="12"/>
  <c r="C1731" i="12"/>
  <c r="D1731" i="12"/>
  <c r="E1731" i="12"/>
  <c r="F1731" i="12"/>
  <c r="G1731" i="12"/>
  <c r="H1731" i="12"/>
  <c r="I1731" i="12" s="1"/>
  <c r="M1731" i="12" s="1"/>
  <c r="J1731" i="12"/>
  <c r="K1731" i="12"/>
  <c r="L1731" i="12"/>
  <c r="N1731" i="12" s="1"/>
  <c r="A1732" i="12"/>
  <c r="B1732" i="12"/>
  <c r="C1732" i="12"/>
  <c r="D1732" i="12"/>
  <c r="E1732" i="12"/>
  <c r="F1732" i="12"/>
  <c r="G1732" i="12"/>
  <c r="I1732" i="12" s="1"/>
  <c r="M1732" i="12" s="1"/>
  <c r="H1732" i="12"/>
  <c r="J1732" i="12"/>
  <c r="L1732" i="12" s="1"/>
  <c r="K1732" i="12"/>
  <c r="N1732" i="12"/>
  <c r="A1733" i="12"/>
  <c r="B1733" i="12"/>
  <c r="C1733" i="12"/>
  <c r="D1733" i="12"/>
  <c r="E1733" i="12"/>
  <c r="F1733" i="12"/>
  <c r="G1733" i="12"/>
  <c r="H1733" i="12"/>
  <c r="I1733" i="12" s="1"/>
  <c r="M1733" i="12" s="1"/>
  <c r="J1733" i="12"/>
  <c r="K1733" i="12"/>
  <c r="L1733" i="12"/>
  <c r="N1733" i="12" s="1"/>
  <c r="A1734" i="12"/>
  <c r="B1734" i="12"/>
  <c r="C1734" i="12"/>
  <c r="D1734" i="12"/>
  <c r="E1734" i="12"/>
  <c r="F1734" i="12"/>
  <c r="G1734" i="12"/>
  <c r="I1734" i="12" s="1"/>
  <c r="M1734" i="12" s="1"/>
  <c r="H1734" i="12"/>
  <c r="J1734" i="12"/>
  <c r="L1734" i="12" s="1"/>
  <c r="K1734" i="12"/>
  <c r="N1734" i="12"/>
  <c r="A1735" i="12"/>
  <c r="B1735" i="12"/>
  <c r="C1735" i="12"/>
  <c r="D1735" i="12"/>
  <c r="E1735" i="12"/>
  <c r="F1735" i="12"/>
  <c r="G1735" i="12"/>
  <c r="H1735" i="12"/>
  <c r="I1735" i="12" s="1"/>
  <c r="M1735" i="12" s="1"/>
  <c r="J1735" i="12"/>
  <c r="K1735" i="12"/>
  <c r="L1735" i="12"/>
  <c r="N1735" i="12" s="1"/>
  <c r="A1736" i="12"/>
  <c r="B1736" i="12"/>
  <c r="C1736" i="12"/>
  <c r="D1736" i="12"/>
  <c r="E1736" i="12"/>
  <c r="F1736" i="12"/>
  <c r="G1736" i="12"/>
  <c r="I1736" i="12" s="1"/>
  <c r="M1736" i="12" s="1"/>
  <c r="H1736" i="12"/>
  <c r="J1736" i="12"/>
  <c r="L1736" i="12" s="1"/>
  <c r="K1736" i="12"/>
  <c r="N1736" i="12"/>
  <c r="A1737" i="12"/>
  <c r="B1737" i="12"/>
  <c r="C1737" i="12"/>
  <c r="D1737" i="12"/>
  <c r="E1737" i="12"/>
  <c r="F1737" i="12"/>
  <c r="G1737" i="12"/>
  <c r="H1737" i="12"/>
  <c r="I1737" i="12" s="1"/>
  <c r="M1737" i="12" s="1"/>
  <c r="J1737" i="12"/>
  <c r="K1737" i="12"/>
  <c r="L1737" i="12"/>
  <c r="N1737" i="12" s="1"/>
  <c r="A1738" i="12"/>
  <c r="B1738" i="12"/>
  <c r="C1738" i="12"/>
  <c r="D1738" i="12"/>
  <c r="E1738" i="12"/>
  <c r="F1738" i="12"/>
  <c r="G1738" i="12"/>
  <c r="I1738" i="12" s="1"/>
  <c r="M1738" i="12" s="1"/>
  <c r="H1738" i="12"/>
  <c r="J1738" i="12"/>
  <c r="L1738" i="12" s="1"/>
  <c r="K1738" i="12"/>
  <c r="N1738" i="12"/>
  <c r="A1739" i="12"/>
  <c r="B1739" i="12"/>
  <c r="C1739" i="12"/>
  <c r="D1739" i="12"/>
  <c r="E1739" i="12"/>
  <c r="F1739" i="12"/>
  <c r="G1739" i="12"/>
  <c r="H1739" i="12"/>
  <c r="I1739" i="12" s="1"/>
  <c r="M1739" i="12" s="1"/>
  <c r="J1739" i="12"/>
  <c r="K1739" i="12"/>
  <c r="L1739" i="12"/>
  <c r="N1739" i="12" s="1"/>
  <c r="A1740" i="12"/>
  <c r="B1740" i="12"/>
  <c r="C1740" i="12"/>
  <c r="D1740" i="12"/>
  <c r="E1740" i="12"/>
  <c r="F1740" i="12"/>
  <c r="G1740" i="12"/>
  <c r="I1740" i="12" s="1"/>
  <c r="M1740" i="12" s="1"/>
  <c r="H1740" i="12"/>
  <c r="J1740" i="12"/>
  <c r="L1740" i="12" s="1"/>
  <c r="K1740" i="12"/>
  <c r="N1740" i="12"/>
  <c r="A1741" i="12"/>
  <c r="B1741" i="12"/>
  <c r="C1741" i="12"/>
  <c r="D1741" i="12"/>
  <c r="E1741" i="12"/>
  <c r="F1741" i="12"/>
  <c r="G1741" i="12"/>
  <c r="H1741" i="12"/>
  <c r="I1741" i="12" s="1"/>
  <c r="M1741" i="12" s="1"/>
  <c r="J1741" i="12"/>
  <c r="K1741" i="12"/>
  <c r="L1741" i="12"/>
  <c r="N1741" i="12" s="1"/>
  <c r="A1742" i="12"/>
  <c r="B1742" i="12"/>
  <c r="C1742" i="12"/>
  <c r="D1742" i="12"/>
  <c r="E1742" i="12"/>
  <c r="F1742" i="12"/>
  <c r="G1742" i="12"/>
  <c r="I1742" i="12" s="1"/>
  <c r="M1742" i="12" s="1"/>
  <c r="H1742" i="12"/>
  <c r="J1742" i="12"/>
  <c r="L1742" i="12" s="1"/>
  <c r="K1742" i="12"/>
  <c r="N1742" i="12"/>
  <c r="A1743" i="12"/>
  <c r="B1743" i="12"/>
  <c r="C1743" i="12"/>
  <c r="D1743" i="12"/>
  <c r="E1743" i="12"/>
  <c r="F1743" i="12"/>
  <c r="G1743" i="12"/>
  <c r="H1743" i="12"/>
  <c r="I1743" i="12" s="1"/>
  <c r="M1743" i="12" s="1"/>
  <c r="J1743" i="12"/>
  <c r="K1743" i="12"/>
  <c r="L1743" i="12"/>
  <c r="N1743" i="12" s="1"/>
  <c r="A1744" i="12"/>
  <c r="B1744" i="12"/>
  <c r="C1744" i="12"/>
  <c r="D1744" i="12"/>
  <c r="E1744" i="12"/>
  <c r="F1744" i="12"/>
  <c r="G1744" i="12"/>
  <c r="I1744" i="12" s="1"/>
  <c r="M1744" i="12" s="1"/>
  <c r="H1744" i="12"/>
  <c r="J1744" i="12"/>
  <c r="L1744" i="12" s="1"/>
  <c r="K1744" i="12"/>
  <c r="N1744" i="12"/>
  <c r="A1745" i="12"/>
  <c r="B1745" i="12"/>
  <c r="C1745" i="12"/>
  <c r="D1745" i="12"/>
  <c r="E1745" i="12"/>
  <c r="F1745" i="12"/>
  <c r="G1745" i="12"/>
  <c r="H1745" i="12"/>
  <c r="I1745" i="12" s="1"/>
  <c r="M1745" i="12" s="1"/>
  <c r="J1745" i="12"/>
  <c r="K1745" i="12"/>
  <c r="L1745" i="12"/>
  <c r="N1745" i="12" s="1"/>
  <c r="A1746" i="12"/>
  <c r="B1746" i="12"/>
  <c r="C1746" i="12"/>
  <c r="D1746" i="12"/>
  <c r="E1746" i="12"/>
  <c r="F1746" i="12"/>
  <c r="G1746" i="12"/>
  <c r="I1746" i="12" s="1"/>
  <c r="M1746" i="12" s="1"/>
  <c r="H1746" i="12"/>
  <c r="J1746" i="12"/>
  <c r="L1746" i="12" s="1"/>
  <c r="K1746" i="12"/>
  <c r="N1746" i="12"/>
  <c r="A1747" i="12"/>
  <c r="B1747" i="12"/>
  <c r="C1747" i="12"/>
  <c r="D1747" i="12"/>
  <c r="E1747" i="12"/>
  <c r="F1747" i="12"/>
  <c r="G1747" i="12"/>
  <c r="H1747" i="12"/>
  <c r="I1747" i="12" s="1"/>
  <c r="M1747" i="12" s="1"/>
  <c r="J1747" i="12"/>
  <c r="K1747" i="12"/>
  <c r="L1747" i="12"/>
  <c r="N1747" i="12" s="1"/>
  <c r="A1748" i="12"/>
  <c r="B1748" i="12"/>
  <c r="C1748" i="12"/>
  <c r="D1748" i="12"/>
  <c r="E1748" i="12"/>
  <c r="F1748" i="12"/>
  <c r="G1748" i="12"/>
  <c r="I1748" i="12" s="1"/>
  <c r="M1748" i="12" s="1"/>
  <c r="H1748" i="12"/>
  <c r="J1748" i="12"/>
  <c r="L1748" i="12" s="1"/>
  <c r="K1748" i="12"/>
  <c r="N1748" i="12"/>
  <c r="A1749" i="12"/>
  <c r="B1749" i="12"/>
  <c r="C1749" i="12"/>
  <c r="D1749" i="12"/>
  <c r="E1749" i="12"/>
  <c r="F1749" i="12"/>
  <c r="G1749" i="12"/>
  <c r="H1749" i="12"/>
  <c r="I1749" i="12" s="1"/>
  <c r="M1749" i="12" s="1"/>
  <c r="J1749" i="12"/>
  <c r="K1749" i="12"/>
  <c r="L1749" i="12"/>
  <c r="N1749" i="12" s="1"/>
  <c r="A1750" i="12"/>
  <c r="B1750" i="12"/>
  <c r="C1750" i="12"/>
  <c r="D1750" i="12"/>
  <c r="E1750" i="12"/>
  <c r="F1750" i="12"/>
  <c r="G1750" i="12"/>
  <c r="I1750" i="12" s="1"/>
  <c r="M1750" i="12" s="1"/>
  <c r="H1750" i="12"/>
  <c r="J1750" i="12"/>
  <c r="L1750" i="12" s="1"/>
  <c r="K1750" i="12"/>
  <c r="N1750" i="12"/>
  <c r="A1751" i="12"/>
  <c r="B1751" i="12"/>
  <c r="C1751" i="12"/>
  <c r="D1751" i="12"/>
  <c r="E1751" i="12"/>
  <c r="F1751" i="12"/>
  <c r="G1751" i="12"/>
  <c r="H1751" i="12"/>
  <c r="I1751" i="12" s="1"/>
  <c r="M1751" i="12" s="1"/>
  <c r="J1751" i="12"/>
  <c r="K1751" i="12"/>
  <c r="L1751" i="12"/>
  <c r="N1751" i="12" s="1"/>
  <c r="A1752" i="12"/>
  <c r="B1752" i="12"/>
  <c r="C1752" i="12"/>
  <c r="D1752" i="12"/>
  <c r="E1752" i="12"/>
  <c r="F1752" i="12"/>
  <c r="G1752" i="12"/>
  <c r="I1752" i="12" s="1"/>
  <c r="M1752" i="12" s="1"/>
  <c r="H1752" i="12"/>
  <c r="J1752" i="12"/>
  <c r="L1752" i="12" s="1"/>
  <c r="K1752" i="12"/>
  <c r="N1752" i="12"/>
  <c r="A1753" i="12"/>
  <c r="B1753" i="12"/>
  <c r="C1753" i="12"/>
  <c r="D1753" i="12"/>
  <c r="E1753" i="12"/>
  <c r="F1753" i="12"/>
  <c r="G1753" i="12"/>
  <c r="H1753" i="12"/>
  <c r="I1753" i="12" s="1"/>
  <c r="M1753" i="12" s="1"/>
  <c r="J1753" i="12"/>
  <c r="K1753" i="12"/>
  <c r="L1753" i="12"/>
  <c r="N1753" i="12" s="1"/>
  <c r="A1754" i="12"/>
  <c r="B1754" i="12"/>
  <c r="C1754" i="12"/>
  <c r="D1754" i="12"/>
  <c r="E1754" i="12"/>
  <c r="F1754" i="12"/>
  <c r="G1754" i="12"/>
  <c r="I1754" i="12" s="1"/>
  <c r="M1754" i="12" s="1"/>
  <c r="H1754" i="12"/>
  <c r="J1754" i="12"/>
  <c r="L1754" i="12" s="1"/>
  <c r="K1754" i="12"/>
  <c r="N1754" i="12"/>
  <c r="A1755" i="12"/>
  <c r="B1755" i="12"/>
  <c r="C1755" i="12"/>
  <c r="D1755" i="12"/>
  <c r="E1755" i="12"/>
  <c r="F1755" i="12"/>
  <c r="G1755" i="12"/>
  <c r="H1755" i="12"/>
  <c r="I1755" i="12" s="1"/>
  <c r="M1755" i="12" s="1"/>
  <c r="J1755" i="12"/>
  <c r="K1755" i="12"/>
  <c r="L1755" i="12"/>
  <c r="N1755" i="12" s="1"/>
  <c r="A1756" i="12"/>
  <c r="B1756" i="12"/>
  <c r="C1756" i="12"/>
  <c r="D1756" i="12"/>
  <c r="E1756" i="12"/>
  <c r="F1756" i="12"/>
  <c r="G1756" i="12"/>
  <c r="I1756" i="12" s="1"/>
  <c r="M1756" i="12" s="1"/>
  <c r="H1756" i="12"/>
  <c r="J1756" i="12"/>
  <c r="L1756" i="12" s="1"/>
  <c r="K1756" i="12"/>
  <c r="N1756" i="12"/>
  <c r="A1757" i="12"/>
  <c r="B1757" i="12"/>
  <c r="C1757" i="12"/>
  <c r="D1757" i="12"/>
  <c r="E1757" i="12"/>
  <c r="F1757" i="12"/>
  <c r="G1757" i="12"/>
  <c r="H1757" i="12"/>
  <c r="I1757" i="12" s="1"/>
  <c r="M1757" i="12" s="1"/>
  <c r="J1757" i="12"/>
  <c r="K1757" i="12"/>
  <c r="L1757" i="12"/>
  <c r="N1757" i="12" s="1"/>
  <c r="A1758" i="12"/>
  <c r="B1758" i="12"/>
  <c r="C1758" i="12"/>
  <c r="D1758" i="12"/>
  <c r="E1758" i="12"/>
  <c r="F1758" i="12"/>
  <c r="G1758" i="12"/>
  <c r="I1758" i="12" s="1"/>
  <c r="M1758" i="12" s="1"/>
  <c r="H1758" i="12"/>
  <c r="J1758" i="12"/>
  <c r="L1758" i="12" s="1"/>
  <c r="K1758" i="12"/>
  <c r="N1758" i="12"/>
  <c r="A1759" i="12"/>
  <c r="B1759" i="12"/>
  <c r="C1759" i="12"/>
  <c r="D1759" i="12"/>
  <c r="E1759" i="12"/>
  <c r="F1759" i="12"/>
  <c r="G1759" i="12"/>
  <c r="H1759" i="12"/>
  <c r="I1759" i="12" s="1"/>
  <c r="M1759" i="12" s="1"/>
  <c r="J1759" i="12"/>
  <c r="K1759" i="12"/>
  <c r="L1759" i="12"/>
  <c r="N1759" i="12" s="1"/>
  <c r="A1760" i="12"/>
  <c r="B1760" i="12"/>
  <c r="C1760" i="12"/>
  <c r="D1760" i="12"/>
  <c r="E1760" i="12"/>
  <c r="F1760" i="12"/>
  <c r="G1760" i="12"/>
  <c r="I1760" i="12" s="1"/>
  <c r="M1760" i="12" s="1"/>
  <c r="H1760" i="12"/>
  <c r="J1760" i="12"/>
  <c r="L1760" i="12" s="1"/>
  <c r="K1760" i="12"/>
  <c r="N1760" i="12"/>
  <c r="A1761" i="12"/>
  <c r="B1761" i="12"/>
  <c r="C1761" i="12"/>
  <c r="D1761" i="12"/>
  <c r="E1761" i="12"/>
  <c r="F1761" i="12"/>
  <c r="G1761" i="12"/>
  <c r="H1761" i="12"/>
  <c r="I1761" i="12" s="1"/>
  <c r="M1761" i="12" s="1"/>
  <c r="J1761" i="12"/>
  <c r="K1761" i="12"/>
  <c r="L1761" i="12"/>
  <c r="N1761" i="12" s="1"/>
  <c r="A1762" i="12"/>
  <c r="B1762" i="12"/>
  <c r="C1762" i="12"/>
  <c r="D1762" i="12"/>
  <c r="E1762" i="12"/>
  <c r="F1762" i="12"/>
  <c r="G1762" i="12"/>
  <c r="I1762" i="12" s="1"/>
  <c r="M1762" i="12" s="1"/>
  <c r="H1762" i="12"/>
  <c r="J1762" i="12"/>
  <c r="L1762" i="12" s="1"/>
  <c r="K1762" i="12"/>
  <c r="N1762" i="12"/>
  <c r="A1763" i="12"/>
  <c r="B1763" i="12"/>
  <c r="C1763" i="12"/>
  <c r="D1763" i="12"/>
  <c r="E1763" i="12"/>
  <c r="F1763" i="12"/>
  <c r="G1763" i="12"/>
  <c r="H1763" i="12"/>
  <c r="I1763" i="12" s="1"/>
  <c r="M1763" i="12" s="1"/>
  <c r="J1763" i="12"/>
  <c r="K1763" i="12"/>
  <c r="L1763" i="12"/>
  <c r="N1763" i="12" s="1"/>
  <c r="A1764" i="12"/>
  <c r="B1764" i="12"/>
  <c r="C1764" i="12"/>
  <c r="D1764" i="12"/>
  <c r="E1764" i="12"/>
  <c r="F1764" i="12"/>
  <c r="G1764" i="12"/>
  <c r="I1764" i="12" s="1"/>
  <c r="M1764" i="12" s="1"/>
  <c r="H1764" i="12"/>
  <c r="J1764" i="12"/>
  <c r="L1764" i="12" s="1"/>
  <c r="K1764" i="12"/>
  <c r="N1764" i="12"/>
  <c r="A1765" i="12"/>
  <c r="B1765" i="12"/>
  <c r="C1765" i="12"/>
  <c r="D1765" i="12"/>
  <c r="E1765" i="12"/>
  <c r="F1765" i="12"/>
  <c r="G1765" i="12"/>
  <c r="H1765" i="12"/>
  <c r="I1765" i="12" s="1"/>
  <c r="M1765" i="12" s="1"/>
  <c r="J1765" i="12"/>
  <c r="K1765" i="12"/>
  <c r="L1765" i="12"/>
  <c r="N1765" i="12" s="1"/>
  <c r="A1766" i="12"/>
  <c r="B1766" i="12"/>
  <c r="C1766" i="12"/>
  <c r="D1766" i="12"/>
  <c r="E1766" i="12"/>
  <c r="F1766" i="12"/>
  <c r="G1766" i="12"/>
  <c r="I1766" i="12" s="1"/>
  <c r="M1766" i="12" s="1"/>
  <c r="H1766" i="12"/>
  <c r="J1766" i="12"/>
  <c r="L1766" i="12" s="1"/>
  <c r="K1766" i="12"/>
  <c r="N1766" i="12"/>
  <c r="A1767" i="12"/>
  <c r="B1767" i="12"/>
  <c r="C1767" i="12"/>
  <c r="D1767" i="12"/>
  <c r="E1767" i="12"/>
  <c r="F1767" i="12"/>
  <c r="G1767" i="12"/>
  <c r="H1767" i="12"/>
  <c r="I1767" i="12" s="1"/>
  <c r="M1767" i="12" s="1"/>
  <c r="J1767" i="12"/>
  <c r="K1767" i="12"/>
  <c r="L1767" i="12"/>
  <c r="N1767" i="12" s="1"/>
  <c r="A1768" i="12"/>
  <c r="B1768" i="12"/>
  <c r="C1768" i="12"/>
  <c r="D1768" i="12"/>
  <c r="E1768" i="12"/>
  <c r="F1768" i="12"/>
  <c r="G1768" i="12"/>
  <c r="I1768" i="12" s="1"/>
  <c r="M1768" i="12" s="1"/>
  <c r="H1768" i="12"/>
  <c r="J1768" i="12"/>
  <c r="L1768" i="12" s="1"/>
  <c r="K1768" i="12"/>
  <c r="N1768" i="12"/>
  <c r="A1769" i="12"/>
  <c r="B1769" i="12"/>
  <c r="C1769" i="12"/>
  <c r="D1769" i="12"/>
  <c r="E1769" i="12"/>
  <c r="F1769" i="12"/>
  <c r="G1769" i="12"/>
  <c r="H1769" i="12"/>
  <c r="I1769" i="12" s="1"/>
  <c r="M1769" i="12" s="1"/>
  <c r="J1769" i="12"/>
  <c r="K1769" i="12"/>
  <c r="L1769" i="12"/>
  <c r="N1769" i="12" s="1"/>
  <c r="A1770" i="12"/>
  <c r="B1770" i="12"/>
  <c r="C1770" i="12"/>
  <c r="D1770" i="12"/>
  <c r="E1770" i="12"/>
  <c r="F1770" i="12"/>
  <c r="G1770" i="12"/>
  <c r="I1770" i="12" s="1"/>
  <c r="M1770" i="12" s="1"/>
  <c r="H1770" i="12"/>
  <c r="J1770" i="12"/>
  <c r="L1770" i="12" s="1"/>
  <c r="K1770" i="12"/>
  <c r="N1770" i="12"/>
  <c r="A1771" i="12"/>
  <c r="B1771" i="12"/>
  <c r="C1771" i="12"/>
  <c r="D1771" i="12"/>
  <c r="E1771" i="12"/>
  <c r="F1771" i="12"/>
  <c r="G1771" i="12"/>
  <c r="H1771" i="12"/>
  <c r="I1771" i="12" s="1"/>
  <c r="M1771" i="12" s="1"/>
  <c r="J1771" i="12"/>
  <c r="K1771" i="12"/>
  <c r="L1771" i="12"/>
  <c r="N1771" i="12" s="1"/>
  <c r="A1772" i="12"/>
  <c r="B1772" i="12"/>
  <c r="C1772" i="12"/>
  <c r="D1772" i="12"/>
  <c r="E1772" i="12"/>
  <c r="F1772" i="12"/>
  <c r="G1772" i="12"/>
  <c r="I1772" i="12" s="1"/>
  <c r="M1772" i="12" s="1"/>
  <c r="H1772" i="12"/>
  <c r="J1772" i="12"/>
  <c r="L1772" i="12" s="1"/>
  <c r="K1772" i="12"/>
  <c r="N1772" i="12"/>
  <c r="A1773" i="12"/>
  <c r="B1773" i="12"/>
  <c r="C1773" i="12"/>
  <c r="D1773" i="12"/>
  <c r="E1773" i="12"/>
  <c r="F1773" i="12"/>
  <c r="G1773" i="12"/>
  <c r="H1773" i="12"/>
  <c r="I1773" i="12" s="1"/>
  <c r="M1773" i="12" s="1"/>
  <c r="J1773" i="12"/>
  <c r="K1773" i="12"/>
  <c r="L1773" i="12"/>
  <c r="N1773" i="12" s="1"/>
  <c r="A1774" i="12"/>
  <c r="B1774" i="12"/>
  <c r="C1774" i="12"/>
  <c r="D1774" i="12"/>
  <c r="E1774" i="12"/>
  <c r="F1774" i="12"/>
  <c r="G1774" i="12"/>
  <c r="I1774" i="12" s="1"/>
  <c r="M1774" i="12" s="1"/>
  <c r="H1774" i="12"/>
  <c r="J1774" i="12"/>
  <c r="L1774" i="12" s="1"/>
  <c r="K1774" i="12"/>
  <c r="N1774" i="12"/>
  <c r="A1775" i="12"/>
  <c r="B1775" i="12"/>
  <c r="C1775" i="12"/>
  <c r="D1775" i="12"/>
  <c r="E1775" i="12"/>
  <c r="F1775" i="12"/>
  <c r="G1775" i="12"/>
  <c r="H1775" i="12"/>
  <c r="I1775" i="12" s="1"/>
  <c r="M1775" i="12" s="1"/>
  <c r="J1775" i="12"/>
  <c r="K1775" i="12"/>
  <c r="L1775" i="12"/>
  <c r="N1775" i="12" s="1"/>
  <c r="A1776" i="12"/>
  <c r="B1776" i="12"/>
  <c r="C1776" i="12"/>
  <c r="D1776" i="12"/>
  <c r="E1776" i="12"/>
  <c r="F1776" i="12"/>
  <c r="G1776" i="12"/>
  <c r="I1776" i="12" s="1"/>
  <c r="M1776" i="12" s="1"/>
  <c r="H1776" i="12"/>
  <c r="J1776" i="12"/>
  <c r="L1776" i="12" s="1"/>
  <c r="K1776" i="12"/>
  <c r="N1776" i="12"/>
  <c r="A1777" i="12"/>
  <c r="B1777" i="12"/>
  <c r="C1777" i="12"/>
  <c r="D1777" i="12"/>
  <c r="E1777" i="12"/>
  <c r="F1777" i="12"/>
  <c r="G1777" i="12"/>
  <c r="H1777" i="12"/>
  <c r="I1777" i="12" s="1"/>
  <c r="M1777" i="12" s="1"/>
  <c r="J1777" i="12"/>
  <c r="K1777" i="12"/>
  <c r="L1777" i="12"/>
  <c r="N1777" i="12" s="1"/>
  <c r="A1778" i="12"/>
  <c r="B1778" i="12"/>
  <c r="C1778" i="12"/>
  <c r="D1778" i="12"/>
  <c r="E1778" i="12"/>
  <c r="F1778" i="12"/>
  <c r="G1778" i="12"/>
  <c r="I1778" i="12" s="1"/>
  <c r="M1778" i="12" s="1"/>
  <c r="H1778" i="12"/>
  <c r="J1778" i="12"/>
  <c r="L1778" i="12" s="1"/>
  <c r="K1778" i="12"/>
  <c r="N1778" i="12"/>
  <c r="A1779" i="12"/>
  <c r="B1779" i="12"/>
  <c r="C1779" i="12"/>
  <c r="D1779" i="12"/>
  <c r="E1779" i="12"/>
  <c r="F1779" i="12"/>
  <c r="G1779" i="12"/>
  <c r="H1779" i="12"/>
  <c r="I1779" i="12" s="1"/>
  <c r="M1779" i="12" s="1"/>
  <c r="J1779" i="12"/>
  <c r="K1779" i="12"/>
  <c r="L1779" i="12"/>
  <c r="N1779" i="12" s="1"/>
  <c r="A1780" i="12"/>
  <c r="B1780" i="12"/>
  <c r="C1780" i="12"/>
  <c r="D1780" i="12"/>
  <c r="E1780" i="12"/>
  <c r="F1780" i="12"/>
  <c r="G1780" i="12"/>
  <c r="I1780" i="12" s="1"/>
  <c r="M1780" i="12" s="1"/>
  <c r="H1780" i="12"/>
  <c r="J1780" i="12"/>
  <c r="L1780" i="12" s="1"/>
  <c r="K1780" i="12"/>
  <c r="N1780" i="12"/>
  <c r="A1781" i="12"/>
  <c r="B1781" i="12"/>
  <c r="C1781" i="12"/>
  <c r="D1781" i="12"/>
  <c r="E1781" i="12"/>
  <c r="F1781" i="12"/>
  <c r="G1781" i="12"/>
  <c r="H1781" i="12"/>
  <c r="I1781" i="12" s="1"/>
  <c r="M1781" i="12" s="1"/>
  <c r="J1781" i="12"/>
  <c r="K1781" i="12"/>
  <c r="L1781" i="12"/>
  <c r="N1781" i="12" s="1"/>
  <c r="A1782" i="12"/>
  <c r="B1782" i="12"/>
  <c r="C1782" i="12"/>
  <c r="D1782" i="12"/>
  <c r="E1782" i="12"/>
  <c r="F1782" i="12"/>
  <c r="G1782" i="12"/>
  <c r="I1782" i="12" s="1"/>
  <c r="M1782" i="12" s="1"/>
  <c r="H1782" i="12"/>
  <c r="J1782" i="12"/>
  <c r="L1782" i="12" s="1"/>
  <c r="K1782" i="12"/>
  <c r="N1782" i="12"/>
  <c r="A1783" i="12"/>
  <c r="B1783" i="12"/>
  <c r="C1783" i="12"/>
  <c r="D1783" i="12"/>
  <c r="E1783" i="12"/>
  <c r="F1783" i="12"/>
  <c r="G1783" i="12"/>
  <c r="H1783" i="12"/>
  <c r="I1783" i="12" s="1"/>
  <c r="M1783" i="12" s="1"/>
  <c r="J1783" i="12"/>
  <c r="K1783" i="12"/>
  <c r="L1783" i="12"/>
  <c r="N1783" i="12" s="1"/>
  <c r="A1784" i="12"/>
  <c r="B1784" i="12"/>
  <c r="C1784" i="12"/>
  <c r="D1784" i="12"/>
  <c r="E1784" i="12"/>
  <c r="F1784" i="12"/>
  <c r="G1784" i="12"/>
  <c r="I1784" i="12" s="1"/>
  <c r="M1784" i="12" s="1"/>
  <c r="H1784" i="12"/>
  <c r="J1784" i="12"/>
  <c r="L1784" i="12" s="1"/>
  <c r="K1784" i="12"/>
  <c r="N1784" i="12"/>
  <c r="A1785" i="12"/>
  <c r="B1785" i="12"/>
  <c r="C1785" i="12"/>
  <c r="D1785" i="12"/>
  <c r="E1785" i="12"/>
  <c r="F1785" i="12"/>
  <c r="G1785" i="12"/>
  <c r="H1785" i="12"/>
  <c r="I1785" i="12" s="1"/>
  <c r="M1785" i="12" s="1"/>
  <c r="J1785" i="12"/>
  <c r="K1785" i="12"/>
  <c r="L1785" i="12"/>
  <c r="N1785" i="12" s="1"/>
  <c r="A1786" i="12"/>
  <c r="B1786" i="12"/>
  <c r="C1786" i="12"/>
  <c r="D1786" i="12"/>
  <c r="E1786" i="12"/>
  <c r="F1786" i="12"/>
  <c r="G1786" i="12"/>
  <c r="I1786" i="12" s="1"/>
  <c r="M1786" i="12" s="1"/>
  <c r="H1786" i="12"/>
  <c r="J1786" i="12"/>
  <c r="L1786" i="12" s="1"/>
  <c r="K1786" i="12"/>
  <c r="N1786" i="12"/>
  <c r="A1787" i="12"/>
  <c r="B1787" i="12"/>
  <c r="C1787" i="12"/>
  <c r="D1787" i="12"/>
  <c r="E1787" i="12"/>
  <c r="F1787" i="12"/>
  <c r="G1787" i="12"/>
  <c r="H1787" i="12"/>
  <c r="I1787" i="12" s="1"/>
  <c r="M1787" i="12" s="1"/>
  <c r="J1787" i="12"/>
  <c r="K1787" i="12"/>
  <c r="L1787" i="12"/>
  <c r="N1787" i="12" s="1"/>
  <c r="A1788" i="12"/>
  <c r="B1788" i="12"/>
  <c r="C1788" i="12"/>
  <c r="D1788" i="12"/>
  <c r="E1788" i="12"/>
  <c r="F1788" i="12"/>
  <c r="G1788" i="12"/>
  <c r="I1788" i="12" s="1"/>
  <c r="M1788" i="12" s="1"/>
  <c r="H1788" i="12"/>
  <c r="J1788" i="12"/>
  <c r="L1788" i="12" s="1"/>
  <c r="K1788" i="12"/>
  <c r="N1788" i="12"/>
  <c r="A1789" i="12"/>
  <c r="B1789" i="12"/>
  <c r="C1789" i="12"/>
  <c r="D1789" i="12"/>
  <c r="E1789" i="12"/>
  <c r="F1789" i="12"/>
  <c r="G1789" i="12"/>
  <c r="H1789" i="12"/>
  <c r="I1789" i="12" s="1"/>
  <c r="M1789" i="12" s="1"/>
  <c r="J1789" i="12"/>
  <c r="K1789" i="12"/>
  <c r="L1789" i="12"/>
  <c r="N1789" i="12" s="1"/>
  <c r="A1790" i="12"/>
  <c r="B1790" i="12"/>
  <c r="C1790" i="12"/>
  <c r="D1790" i="12"/>
  <c r="E1790" i="12"/>
  <c r="F1790" i="12"/>
  <c r="G1790" i="12"/>
  <c r="I1790" i="12" s="1"/>
  <c r="M1790" i="12" s="1"/>
  <c r="H1790" i="12"/>
  <c r="J1790" i="12"/>
  <c r="L1790" i="12" s="1"/>
  <c r="K1790" i="12"/>
  <c r="N1790" i="12"/>
  <c r="A1791" i="12"/>
  <c r="B1791" i="12"/>
  <c r="C1791" i="12"/>
  <c r="D1791" i="12"/>
  <c r="E1791" i="12"/>
  <c r="F1791" i="12"/>
  <c r="G1791" i="12"/>
  <c r="H1791" i="12"/>
  <c r="I1791" i="12" s="1"/>
  <c r="M1791" i="12" s="1"/>
  <c r="J1791" i="12"/>
  <c r="K1791" i="12"/>
  <c r="L1791" i="12"/>
  <c r="N1791" i="12" s="1"/>
  <c r="A1792" i="12"/>
  <c r="B1792" i="12"/>
  <c r="C1792" i="12"/>
  <c r="D1792" i="12"/>
  <c r="E1792" i="12"/>
  <c r="F1792" i="12"/>
  <c r="G1792" i="12"/>
  <c r="I1792" i="12" s="1"/>
  <c r="M1792" i="12" s="1"/>
  <c r="H1792" i="12"/>
  <c r="J1792" i="12"/>
  <c r="L1792" i="12" s="1"/>
  <c r="K1792" i="12"/>
  <c r="N1792" i="12"/>
  <c r="A1793" i="12"/>
  <c r="B1793" i="12"/>
  <c r="C1793" i="12"/>
  <c r="D1793" i="12"/>
  <c r="E1793" i="12"/>
  <c r="F1793" i="12"/>
  <c r="G1793" i="12"/>
  <c r="H1793" i="12"/>
  <c r="I1793" i="12" s="1"/>
  <c r="M1793" i="12" s="1"/>
  <c r="J1793" i="12"/>
  <c r="K1793" i="12"/>
  <c r="L1793" i="12"/>
  <c r="N1793" i="12" s="1"/>
  <c r="A1794" i="12"/>
  <c r="B1794" i="12"/>
  <c r="C1794" i="12"/>
  <c r="D1794" i="12"/>
  <c r="E1794" i="12"/>
  <c r="F1794" i="12"/>
  <c r="G1794" i="12"/>
  <c r="I1794" i="12" s="1"/>
  <c r="M1794" i="12" s="1"/>
  <c r="H1794" i="12"/>
  <c r="J1794" i="12"/>
  <c r="L1794" i="12" s="1"/>
  <c r="K1794" i="12"/>
  <c r="N1794" i="12"/>
  <c r="A1795" i="12"/>
  <c r="B1795" i="12"/>
  <c r="C1795" i="12"/>
  <c r="D1795" i="12"/>
  <c r="E1795" i="12"/>
  <c r="F1795" i="12"/>
  <c r="G1795" i="12"/>
  <c r="H1795" i="12"/>
  <c r="I1795" i="12" s="1"/>
  <c r="M1795" i="12" s="1"/>
  <c r="J1795" i="12"/>
  <c r="K1795" i="12"/>
  <c r="L1795" i="12"/>
  <c r="N1795" i="12" s="1"/>
  <c r="A1796" i="12"/>
  <c r="B1796" i="12"/>
  <c r="C1796" i="12"/>
  <c r="D1796" i="12"/>
  <c r="E1796" i="12"/>
  <c r="F1796" i="12"/>
  <c r="G1796" i="12"/>
  <c r="I1796" i="12" s="1"/>
  <c r="M1796" i="12" s="1"/>
  <c r="H1796" i="12"/>
  <c r="J1796" i="12"/>
  <c r="L1796" i="12" s="1"/>
  <c r="K1796" i="12"/>
  <c r="N1796" i="12"/>
  <c r="A1797" i="12"/>
  <c r="B1797" i="12"/>
  <c r="C1797" i="12"/>
  <c r="D1797" i="12"/>
  <c r="E1797" i="12"/>
  <c r="F1797" i="12"/>
  <c r="G1797" i="12"/>
  <c r="H1797" i="12"/>
  <c r="I1797" i="12" s="1"/>
  <c r="M1797" i="12" s="1"/>
  <c r="J1797" i="12"/>
  <c r="K1797" i="12"/>
  <c r="L1797" i="12"/>
  <c r="N1797" i="12" s="1"/>
  <c r="A1798" i="12"/>
  <c r="B1798" i="12"/>
  <c r="C1798" i="12"/>
  <c r="D1798" i="12"/>
  <c r="E1798" i="12"/>
  <c r="F1798" i="12"/>
  <c r="G1798" i="12"/>
  <c r="I1798" i="12" s="1"/>
  <c r="M1798" i="12" s="1"/>
  <c r="H1798" i="12"/>
  <c r="J1798" i="12"/>
  <c r="L1798" i="12" s="1"/>
  <c r="K1798" i="12"/>
  <c r="N1798" i="12"/>
  <c r="A1799" i="12"/>
  <c r="B1799" i="12"/>
  <c r="C1799" i="12"/>
  <c r="D1799" i="12"/>
  <c r="E1799" i="12"/>
  <c r="F1799" i="12"/>
  <c r="G1799" i="12"/>
  <c r="H1799" i="12"/>
  <c r="I1799" i="12" s="1"/>
  <c r="M1799" i="12" s="1"/>
  <c r="J1799" i="12"/>
  <c r="K1799" i="12"/>
  <c r="L1799" i="12"/>
  <c r="N1799" i="12" s="1"/>
  <c r="A1800" i="12"/>
  <c r="B1800" i="12"/>
  <c r="C1800" i="12"/>
  <c r="D1800" i="12"/>
  <c r="E1800" i="12"/>
  <c r="F1800" i="12"/>
  <c r="G1800" i="12"/>
  <c r="I1800" i="12" s="1"/>
  <c r="M1800" i="12" s="1"/>
  <c r="H1800" i="12"/>
  <c r="J1800" i="12"/>
  <c r="L1800" i="12" s="1"/>
  <c r="K1800" i="12"/>
  <c r="N1800" i="12"/>
  <c r="A1801" i="12"/>
  <c r="B1801" i="12"/>
  <c r="C1801" i="12"/>
  <c r="D1801" i="12"/>
  <c r="E1801" i="12"/>
  <c r="F1801" i="12"/>
  <c r="G1801" i="12"/>
  <c r="H1801" i="12"/>
  <c r="I1801" i="12" s="1"/>
  <c r="M1801" i="12" s="1"/>
  <c r="J1801" i="12"/>
  <c r="K1801" i="12"/>
  <c r="L1801" i="12"/>
  <c r="N1801" i="12" s="1"/>
  <c r="A1802" i="12"/>
  <c r="B1802" i="12"/>
  <c r="C1802" i="12"/>
  <c r="D1802" i="12"/>
  <c r="E1802" i="12"/>
  <c r="F1802" i="12"/>
  <c r="G1802" i="12"/>
  <c r="I1802" i="12" s="1"/>
  <c r="M1802" i="12" s="1"/>
  <c r="H1802" i="12"/>
  <c r="J1802" i="12"/>
  <c r="L1802" i="12" s="1"/>
  <c r="K1802" i="12"/>
  <c r="N1802" i="12"/>
  <c r="A1803" i="12"/>
  <c r="B1803" i="12"/>
  <c r="C1803" i="12"/>
  <c r="D1803" i="12"/>
  <c r="E1803" i="12"/>
  <c r="F1803" i="12"/>
  <c r="G1803" i="12"/>
  <c r="H1803" i="12"/>
  <c r="I1803" i="12" s="1"/>
  <c r="M1803" i="12" s="1"/>
  <c r="J1803" i="12"/>
  <c r="K1803" i="12"/>
  <c r="L1803" i="12"/>
  <c r="N1803" i="12" s="1"/>
  <c r="A1804" i="12"/>
  <c r="B1804" i="12"/>
  <c r="C1804" i="12"/>
  <c r="D1804" i="12"/>
  <c r="E1804" i="12"/>
  <c r="F1804" i="12"/>
  <c r="G1804" i="12"/>
  <c r="I1804" i="12" s="1"/>
  <c r="M1804" i="12" s="1"/>
  <c r="H1804" i="12"/>
  <c r="J1804" i="12"/>
  <c r="L1804" i="12" s="1"/>
  <c r="K1804" i="12"/>
  <c r="N1804" i="12"/>
  <c r="A1805" i="12"/>
  <c r="B1805" i="12"/>
  <c r="C1805" i="12"/>
  <c r="D1805" i="12"/>
  <c r="E1805" i="12"/>
  <c r="F1805" i="12"/>
  <c r="G1805" i="12"/>
  <c r="H1805" i="12"/>
  <c r="I1805" i="12" s="1"/>
  <c r="M1805" i="12" s="1"/>
  <c r="J1805" i="12"/>
  <c r="K1805" i="12"/>
  <c r="L1805" i="12"/>
  <c r="N1805" i="12" s="1"/>
  <c r="A1806" i="12"/>
  <c r="B1806" i="12"/>
  <c r="C1806" i="12"/>
  <c r="D1806" i="12"/>
  <c r="E1806" i="12"/>
  <c r="F1806" i="12"/>
  <c r="G1806" i="12"/>
  <c r="I1806" i="12" s="1"/>
  <c r="M1806" i="12" s="1"/>
  <c r="H1806" i="12"/>
  <c r="J1806" i="12"/>
  <c r="L1806" i="12" s="1"/>
  <c r="K1806" i="12"/>
  <c r="N1806" i="12"/>
  <c r="A1807" i="12"/>
  <c r="B1807" i="12"/>
  <c r="C1807" i="12"/>
  <c r="D1807" i="12"/>
  <c r="E1807" i="12"/>
  <c r="F1807" i="12"/>
  <c r="G1807" i="12"/>
  <c r="H1807" i="12"/>
  <c r="I1807" i="12" s="1"/>
  <c r="M1807" i="12" s="1"/>
  <c r="J1807" i="12"/>
  <c r="K1807" i="12"/>
  <c r="L1807" i="12"/>
  <c r="N1807" i="12" s="1"/>
  <c r="A1808" i="12"/>
  <c r="B1808" i="12"/>
  <c r="C1808" i="12"/>
  <c r="D1808" i="12"/>
  <c r="E1808" i="12"/>
  <c r="F1808" i="12"/>
  <c r="G1808" i="12"/>
  <c r="I1808" i="12" s="1"/>
  <c r="M1808" i="12" s="1"/>
  <c r="H1808" i="12"/>
  <c r="J1808" i="12"/>
  <c r="L1808" i="12" s="1"/>
  <c r="K1808" i="12"/>
  <c r="N1808" i="12"/>
  <c r="A1809" i="12"/>
  <c r="B1809" i="12"/>
  <c r="C1809" i="12"/>
  <c r="D1809" i="12"/>
  <c r="E1809" i="12"/>
  <c r="F1809" i="12"/>
  <c r="G1809" i="12"/>
  <c r="H1809" i="12"/>
  <c r="I1809" i="12" s="1"/>
  <c r="M1809" i="12" s="1"/>
  <c r="J1809" i="12"/>
  <c r="K1809" i="12"/>
  <c r="L1809" i="12"/>
  <c r="N1809" i="12" s="1"/>
  <c r="A1810" i="12"/>
  <c r="B1810" i="12"/>
  <c r="C1810" i="12"/>
  <c r="D1810" i="12"/>
  <c r="E1810" i="12"/>
  <c r="F1810" i="12"/>
  <c r="G1810" i="12"/>
  <c r="I1810" i="12" s="1"/>
  <c r="M1810" i="12" s="1"/>
  <c r="H1810" i="12"/>
  <c r="J1810" i="12"/>
  <c r="L1810" i="12" s="1"/>
  <c r="K1810" i="12"/>
  <c r="N1810" i="12"/>
  <c r="A1811" i="12"/>
  <c r="B1811" i="12"/>
  <c r="C1811" i="12"/>
  <c r="D1811" i="12"/>
  <c r="E1811" i="12"/>
  <c r="F1811" i="12"/>
  <c r="G1811" i="12"/>
  <c r="H1811" i="12"/>
  <c r="I1811" i="12" s="1"/>
  <c r="M1811" i="12" s="1"/>
  <c r="J1811" i="12"/>
  <c r="K1811" i="12"/>
  <c r="L1811" i="12"/>
  <c r="N1811" i="12" s="1"/>
  <c r="A1812" i="12"/>
  <c r="B1812" i="12"/>
  <c r="C1812" i="12"/>
  <c r="D1812" i="12"/>
  <c r="E1812" i="12"/>
  <c r="F1812" i="12"/>
  <c r="G1812" i="12"/>
  <c r="I1812" i="12" s="1"/>
  <c r="M1812" i="12" s="1"/>
  <c r="H1812" i="12"/>
  <c r="J1812" i="12"/>
  <c r="L1812" i="12" s="1"/>
  <c r="K1812" i="12"/>
  <c r="N1812" i="12"/>
  <c r="A1813" i="12"/>
  <c r="B1813" i="12"/>
  <c r="C1813" i="12"/>
  <c r="D1813" i="12"/>
  <c r="E1813" i="12"/>
  <c r="F1813" i="12"/>
  <c r="G1813" i="12"/>
  <c r="H1813" i="12"/>
  <c r="I1813" i="12" s="1"/>
  <c r="M1813" i="12" s="1"/>
  <c r="J1813" i="12"/>
  <c r="K1813" i="12"/>
  <c r="L1813" i="12"/>
  <c r="N1813" i="12" s="1"/>
  <c r="A1814" i="12"/>
  <c r="B1814" i="12"/>
  <c r="C1814" i="12"/>
  <c r="D1814" i="12"/>
  <c r="E1814" i="12"/>
  <c r="F1814" i="12"/>
  <c r="G1814" i="12"/>
  <c r="I1814" i="12" s="1"/>
  <c r="M1814" i="12" s="1"/>
  <c r="H1814" i="12"/>
  <c r="J1814" i="12"/>
  <c r="L1814" i="12" s="1"/>
  <c r="K1814" i="12"/>
  <c r="N1814" i="12"/>
  <c r="A1815" i="12"/>
  <c r="B1815" i="12"/>
  <c r="C1815" i="12"/>
  <c r="D1815" i="12"/>
  <c r="E1815" i="12"/>
  <c r="F1815" i="12"/>
  <c r="G1815" i="12"/>
  <c r="H1815" i="12"/>
  <c r="I1815" i="12" s="1"/>
  <c r="M1815" i="12" s="1"/>
  <c r="J1815" i="12"/>
  <c r="K1815" i="12"/>
  <c r="L1815" i="12"/>
  <c r="N1815" i="12" s="1"/>
  <c r="A1816" i="12"/>
  <c r="B1816" i="12"/>
  <c r="C1816" i="12"/>
  <c r="D1816" i="12"/>
  <c r="E1816" i="12"/>
  <c r="F1816" i="12"/>
  <c r="G1816" i="12"/>
  <c r="I1816" i="12" s="1"/>
  <c r="M1816" i="12" s="1"/>
  <c r="H1816" i="12"/>
  <c r="J1816" i="12"/>
  <c r="L1816" i="12" s="1"/>
  <c r="K1816" i="12"/>
  <c r="N1816" i="12"/>
  <c r="A1817" i="12"/>
  <c r="B1817" i="12"/>
  <c r="C1817" i="12"/>
  <c r="D1817" i="12"/>
  <c r="E1817" i="12"/>
  <c r="F1817" i="12"/>
  <c r="G1817" i="12"/>
  <c r="H1817" i="12"/>
  <c r="I1817" i="12" s="1"/>
  <c r="M1817" i="12" s="1"/>
  <c r="J1817" i="12"/>
  <c r="K1817" i="12"/>
  <c r="L1817" i="12"/>
  <c r="N1817" i="12" s="1"/>
  <c r="A1818" i="12"/>
  <c r="B1818" i="12"/>
  <c r="C1818" i="12"/>
  <c r="D1818" i="12"/>
  <c r="E1818" i="12"/>
  <c r="F1818" i="12"/>
  <c r="G1818" i="12"/>
  <c r="I1818" i="12" s="1"/>
  <c r="M1818" i="12" s="1"/>
  <c r="H1818" i="12"/>
  <c r="J1818" i="12"/>
  <c r="L1818" i="12" s="1"/>
  <c r="K1818" i="12"/>
  <c r="N1818" i="12"/>
  <c r="A1819" i="12"/>
  <c r="B1819" i="12"/>
  <c r="C1819" i="12"/>
  <c r="D1819" i="12"/>
  <c r="E1819" i="12"/>
  <c r="F1819" i="12"/>
  <c r="G1819" i="12"/>
  <c r="H1819" i="12"/>
  <c r="I1819" i="12" s="1"/>
  <c r="M1819" i="12" s="1"/>
  <c r="J1819" i="12"/>
  <c r="K1819" i="12"/>
  <c r="L1819" i="12"/>
  <c r="N1819" i="12" s="1"/>
  <c r="A1820" i="12"/>
  <c r="B1820" i="12"/>
  <c r="C1820" i="12"/>
  <c r="D1820" i="12"/>
  <c r="E1820" i="12"/>
  <c r="F1820" i="12"/>
  <c r="G1820" i="12"/>
  <c r="I1820" i="12" s="1"/>
  <c r="M1820" i="12" s="1"/>
  <c r="H1820" i="12"/>
  <c r="J1820" i="12"/>
  <c r="L1820" i="12" s="1"/>
  <c r="K1820" i="12"/>
  <c r="N1820" i="12"/>
  <c r="A1821" i="12"/>
  <c r="B1821" i="12"/>
  <c r="C1821" i="12"/>
  <c r="D1821" i="12"/>
  <c r="E1821" i="12"/>
  <c r="F1821" i="12"/>
  <c r="G1821" i="12"/>
  <c r="H1821" i="12"/>
  <c r="I1821" i="12" s="1"/>
  <c r="M1821" i="12" s="1"/>
  <c r="J1821" i="12"/>
  <c r="K1821" i="12"/>
  <c r="L1821" i="12"/>
  <c r="N1821" i="12" s="1"/>
  <c r="A1822" i="12"/>
  <c r="B1822" i="12"/>
  <c r="C1822" i="12"/>
  <c r="D1822" i="12"/>
  <c r="E1822" i="12"/>
  <c r="F1822" i="12"/>
  <c r="G1822" i="12"/>
  <c r="I1822" i="12" s="1"/>
  <c r="M1822" i="12" s="1"/>
  <c r="H1822" i="12"/>
  <c r="J1822" i="12"/>
  <c r="L1822" i="12" s="1"/>
  <c r="K1822" i="12"/>
  <c r="N1822" i="12"/>
  <c r="A1823" i="12"/>
  <c r="B1823" i="12"/>
  <c r="C1823" i="12"/>
  <c r="D1823" i="12"/>
  <c r="E1823" i="12"/>
  <c r="F1823" i="12"/>
  <c r="G1823" i="12"/>
  <c r="H1823" i="12"/>
  <c r="I1823" i="12" s="1"/>
  <c r="M1823" i="12" s="1"/>
  <c r="J1823" i="12"/>
  <c r="K1823" i="12"/>
  <c r="L1823" i="12"/>
  <c r="N1823" i="12" s="1"/>
  <c r="A1824" i="12"/>
  <c r="B1824" i="12"/>
  <c r="C1824" i="12"/>
  <c r="D1824" i="12"/>
  <c r="E1824" i="12"/>
  <c r="F1824" i="12"/>
  <c r="G1824" i="12"/>
  <c r="I1824" i="12" s="1"/>
  <c r="M1824" i="12" s="1"/>
  <c r="H1824" i="12"/>
  <c r="J1824" i="12"/>
  <c r="L1824" i="12" s="1"/>
  <c r="K1824" i="12"/>
  <c r="N1824" i="12"/>
  <c r="A1825" i="12"/>
  <c r="B1825" i="12"/>
  <c r="C1825" i="12"/>
  <c r="D1825" i="12"/>
  <c r="E1825" i="12"/>
  <c r="F1825" i="12"/>
  <c r="G1825" i="12"/>
  <c r="H1825" i="12"/>
  <c r="I1825" i="12" s="1"/>
  <c r="M1825" i="12" s="1"/>
  <c r="J1825" i="12"/>
  <c r="K1825" i="12"/>
  <c r="L1825" i="12"/>
  <c r="N1825" i="12" s="1"/>
  <c r="A1826" i="12"/>
  <c r="B1826" i="12"/>
  <c r="C1826" i="12"/>
  <c r="D1826" i="12"/>
  <c r="E1826" i="12"/>
  <c r="F1826" i="12"/>
  <c r="G1826" i="12"/>
  <c r="I1826" i="12" s="1"/>
  <c r="M1826" i="12" s="1"/>
  <c r="H1826" i="12"/>
  <c r="J1826" i="12"/>
  <c r="L1826" i="12" s="1"/>
  <c r="K1826" i="12"/>
  <c r="N1826" i="12"/>
  <c r="A1827" i="12"/>
  <c r="B1827" i="12"/>
  <c r="C1827" i="12"/>
  <c r="D1827" i="12"/>
  <c r="E1827" i="12"/>
  <c r="F1827" i="12"/>
  <c r="G1827" i="12"/>
  <c r="H1827" i="12"/>
  <c r="I1827" i="12" s="1"/>
  <c r="M1827" i="12" s="1"/>
  <c r="J1827" i="12"/>
  <c r="K1827" i="12"/>
  <c r="L1827" i="12"/>
  <c r="N1827" i="12" s="1"/>
  <c r="A1828" i="12"/>
  <c r="B1828" i="12"/>
  <c r="C1828" i="12"/>
  <c r="D1828" i="12"/>
  <c r="E1828" i="12"/>
  <c r="F1828" i="12"/>
  <c r="G1828" i="12"/>
  <c r="I1828" i="12" s="1"/>
  <c r="M1828" i="12" s="1"/>
  <c r="H1828" i="12"/>
  <c r="J1828" i="12"/>
  <c r="L1828" i="12" s="1"/>
  <c r="K1828" i="12"/>
  <c r="N1828" i="12"/>
  <c r="A1829" i="12"/>
  <c r="B1829" i="12"/>
  <c r="C1829" i="12"/>
  <c r="D1829" i="12"/>
  <c r="E1829" i="12"/>
  <c r="F1829" i="12"/>
  <c r="G1829" i="12"/>
  <c r="H1829" i="12"/>
  <c r="I1829" i="12" s="1"/>
  <c r="M1829" i="12" s="1"/>
  <c r="J1829" i="12"/>
  <c r="K1829" i="12"/>
  <c r="L1829" i="12"/>
  <c r="N1829" i="12" s="1"/>
  <c r="A1830" i="12"/>
  <c r="B1830" i="12"/>
  <c r="C1830" i="12"/>
  <c r="D1830" i="12"/>
  <c r="E1830" i="12"/>
  <c r="F1830" i="12"/>
  <c r="G1830" i="12"/>
  <c r="I1830" i="12" s="1"/>
  <c r="H1830" i="12"/>
  <c r="J1830" i="12"/>
  <c r="K1830" i="12"/>
  <c r="M1830" i="12"/>
  <c r="A1831" i="12"/>
  <c r="B1831" i="12"/>
  <c r="C1831" i="12"/>
  <c r="D1831" i="12"/>
  <c r="E1831" i="12"/>
  <c r="F1831" i="12"/>
  <c r="G1831" i="12"/>
  <c r="I1831" i="12" s="1"/>
  <c r="M1831" i="12" s="1"/>
  <c r="H1831" i="12"/>
  <c r="J1831" i="12"/>
  <c r="K1831" i="12"/>
  <c r="L1831" i="12" s="1"/>
  <c r="N1831" i="12" s="1"/>
  <c r="A1832" i="12"/>
  <c r="B1832" i="12"/>
  <c r="C1832" i="12"/>
  <c r="D1832" i="12"/>
  <c r="E1832" i="12"/>
  <c r="F1832" i="12"/>
  <c r="G1832" i="12"/>
  <c r="H1832" i="12"/>
  <c r="I1832" i="12"/>
  <c r="M1832" i="12" s="1"/>
  <c r="J1832" i="12"/>
  <c r="L1832" i="12" s="1"/>
  <c r="N1832" i="12" s="1"/>
  <c r="K1832" i="12"/>
  <c r="A1833" i="12"/>
  <c r="B1833" i="12"/>
  <c r="C1833" i="12"/>
  <c r="D1833" i="12"/>
  <c r="E1833" i="12"/>
  <c r="F1833" i="12"/>
  <c r="G1833" i="12"/>
  <c r="H1833" i="12"/>
  <c r="I1833" i="12" s="1"/>
  <c r="M1833" i="12" s="1"/>
  <c r="J1833" i="12"/>
  <c r="K1833" i="12"/>
  <c r="L1833" i="12"/>
  <c r="N1833" i="12" s="1"/>
  <c r="A1834" i="12"/>
  <c r="B1834" i="12"/>
  <c r="C1834" i="12"/>
  <c r="D1834" i="12"/>
  <c r="E1834" i="12"/>
  <c r="F1834" i="12"/>
  <c r="G1834" i="12"/>
  <c r="I1834" i="12" s="1"/>
  <c r="H1834" i="12"/>
  <c r="J1834" i="12"/>
  <c r="K1834" i="12"/>
  <c r="M1834" i="12"/>
  <c r="A1835" i="12"/>
  <c r="B1835" i="12"/>
  <c r="C1835" i="12"/>
  <c r="D1835" i="12"/>
  <c r="E1835" i="12"/>
  <c r="F1835" i="12"/>
  <c r="G1835" i="12"/>
  <c r="I1835" i="12" s="1"/>
  <c r="M1835" i="12" s="1"/>
  <c r="H1835" i="12"/>
  <c r="J1835" i="12"/>
  <c r="K1835" i="12"/>
  <c r="L1835" i="12" s="1"/>
  <c r="N1835" i="12" s="1"/>
  <c r="A1836" i="12"/>
  <c r="B1836" i="12"/>
  <c r="C1836" i="12"/>
  <c r="D1836" i="12"/>
  <c r="E1836" i="12"/>
  <c r="F1836" i="12"/>
  <c r="G1836" i="12"/>
  <c r="H1836" i="12"/>
  <c r="I1836" i="12"/>
  <c r="M1836" i="12" s="1"/>
  <c r="J1836" i="12"/>
  <c r="L1836" i="12" s="1"/>
  <c r="N1836" i="12" s="1"/>
  <c r="K1836" i="12"/>
  <c r="A1837" i="12"/>
  <c r="B1837" i="12"/>
  <c r="C1837" i="12"/>
  <c r="D1837" i="12"/>
  <c r="E1837" i="12"/>
  <c r="F1837" i="12"/>
  <c r="G1837" i="12"/>
  <c r="H1837" i="12"/>
  <c r="I1837" i="12" s="1"/>
  <c r="M1837" i="12" s="1"/>
  <c r="J1837" i="12"/>
  <c r="K1837" i="12"/>
  <c r="L1837" i="12"/>
  <c r="N1837" i="12" s="1"/>
  <c r="A1838" i="12"/>
  <c r="B1838" i="12"/>
  <c r="C1838" i="12"/>
  <c r="D1838" i="12"/>
  <c r="E1838" i="12"/>
  <c r="F1838" i="12"/>
  <c r="G1838" i="12"/>
  <c r="I1838" i="12" s="1"/>
  <c r="H1838" i="12"/>
  <c r="J1838" i="12"/>
  <c r="K1838" i="12"/>
  <c r="M1838" i="12"/>
  <c r="A1839" i="12"/>
  <c r="B1839" i="12"/>
  <c r="C1839" i="12"/>
  <c r="D1839" i="12"/>
  <c r="E1839" i="12"/>
  <c r="F1839" i="12"/>
  <c r="G1839" i="12"/>
  <c r="I1839" i="12" s="1"/>
  <c r="M1839" i="12" s="1"/>
  <c r="H1839" i="12"/>
  <c r="J1839" i="12"/>
  <c r="K1839" i="12"/>
  <c r="L1839" i="12" s="1"/>
  <c r="N1839" i="12" s="1"/>
  <c r="A1840" i="12"/>
  <c r="B1840" i="12"/>
  <c r="C1840" i="12"/>
  <c r="D1840" i="12"/>
  <c r="E1840" i="12"/>
  <c r="F1840" i="12"/>
  <c r="G1840" i="12"/>
  <c r="H1840" i="12"/>
  <c r="I1840" i="12"/>
  <c r="M1840" i="12" s="1"/>
  <c r="J1840" i="12"/>
  <c r="L1840" i="12" s="1"/>
  <c r="K1840" i="12"/>
  <c r="N1840" i="12"/>
  <c r="A1841" i="12"/>
  <c r="B1841" i="12"/>
  <c r="C1841" i="12"/>
  <c r="D1841" i="12"/>
  <c r="E1841" i="12"/>
  <c r="F1841" i="12"/>
  <c r="G1841" i="12"/>
  <c r="H1841" i="12"/>
  <c r="I1841" i="12" s="1"/>
  <c r="M1841" i="12" s="1"/>
  <c r="J1841" i="12"/>
  <c r="K1841" i="12"/>
  <c r="L1841" i="12"/>
  <c r="N1841" i="12" s="1"/>
  <c r="A1842" i="12"/>
  <c r="B1842" i="12"/>
  <c r="C1842" i="12"/>
  <c r="D1842" i="12"/>
  <c r="E1842" i="12"/>
  <c r="F1842" i="12"/>
  <c r="G1842" i="12"/>
  <c r="I1842" i="12" s="1"/>
  <c r="H1842" i="12"/>
  <c r="J1842" i="12"/>
  <c r="K1842" i="12"/>
  <c r="M1842" i="12"/>
  <c r="A1843" i="12"/>
  <c r="B1843" i="12"/>
  <c r="C1843" i="12"/>
  <c r="D1843" i="12"/>
  <c r="E1843" i="12"/>
  <c r="F1843" i="12"/>
  <c r="G1843" i="12"/>
  <c r="I1843" i="12" s="1"/>
  <c r="M1843" i="12" s="1"/>
  <c r="H1843" i="12"/>
  <c r="J1843" i="12"/>
  <c r="K1843" i="12"/>
  <c r="L1843" i="12" s="1"/>
  <c r="N1843" i="12" s="1"/>
  <c r="A1844" i="12"/>
  <c r="B1844" i="12"/>
  <c r="C1844" i="12"/>
  <c r="D1844" i="12"/>
  <c r="E1844" i="12"/>
  <c r="F1844" i="12"/>
  <c r="G1844" i="12"/>
  <c r="H1844" i="12"/>
  <c r="I1844" i="12"/>
  <c r="M1844" i="12" s="1"/>
  <c r="J1844" i="12"/>
  <c r="L1844" i="12" s="1"/>
  <c r="K1844" i="12"/>
  <c r="N1844" i="12"/>
  <c r="A1845" i="12"/>
  <c r="B1845" i="12"/>
  <c r="C1845" i="12"/>
  <c r="D1845" i="12"/>
  <c r="E1845" i="12"/>
  <c r="F1845" i="12"/>
  <c r="G1845" i="12"/>
  <c r="H1845" i="12"/>
  <c r="I1845" i="12" s="1"/>
  <c r="M1845" i="12" s="1"/>
  <c r="J1845" i="12"/>
  <c r="K1845" i="12"/>
  <c r="L1845" i="12"/>
  <c r="N1845" i="12" s="1"/>
  <c r="A1846" i="12"/>
  <c r="B1846" i="12"/>
  <c r="C1846" i="12"/>
  <c r="D1846" i="12"/>
  <c r="E1846" i="12"/>
  <c r="F1846" i="12"/>
  <c r="G1846" i="12"/>
  <c r="I1846" i="12" s="1"/>
  <c r="M1846" i="12" s="1"/>
  <c r="H1846" i="12"/>
  <c r="J1846" i="12"/>
  <c r="K1846" i="12"/>
  <c r="A1847" i="12"/>
  <c r="B1847" i="12"/>
  <c r="C1847" i="12"/>
  <c r="D1847" i="12"/>
  <c r="E1847" i="12"/>
  <c r="F1847" i="12"/>
  <c r="G1847" i="12"/>
  <c r="I1847" i="12" s="1"/>
  <c r="M1847" i="12" s="1"/>
  <c r="H1847" i="12"/>
  <c r="J1847" i="12"/>
  <c r="K1847" i="12"/>
  <c r="L1847" i="12" s="1"/>
  <c r="N1847" i="12" s="1"/>
  <c r="A1848" i="12"/>
  <c r="B1848" i="12"/>
  <c r="C1848" i="12"/>
  <c r="D1848" i="12"/>
  <c r="E1848" i="12"/>
  <c r="F1848" i="12"/>
  <c r="G1848" i="12"/>
  <c r="I1848" i="12" s="1"/>
  <c r="M1848" i="12" s="1"/>
  <c r="H1848" i="12"/>
  <c r="J1848" i="12"/>
  <c r="K1848" i="12"/>
  <c r="A1849" i="12"/>
  <c r="B1849" i="12"/>
  <c r="C1849" i="12"/>
  <c r="D1849" i="12"/>
  <c r="E1849" i="12"/>
  <c r="F1849" i="12"/>
  <c r="G1849" i="12"/>
  <c r="H1849" i="12"/>
  <c r="I1849" i="12"/>
  <c r="J1849" i="12"/>
  <c r="K1849" i="12"/>
  <c r="L1849" i="12"/>
  <c r="N1849" i="12" s="1"/>
  <c r="M1849" i="12"/>
  <c r="A1850" i="12"/>
  <c r="B1850" i="12"/>
  <c r="C1850" i="12"/>
  <c r="D1850" i="12"/>
  <c r="E1850" i="12"/>
  <c r="F1850" i="12"/>
  <c r="G1850" i="12"/>
  <c r="I1850" i="12" s="1"/>
  <c r="H1850" i="12"/>
  <c r="J1850" i="12"/>
  <c r="K1850" i="12"/>
  <c r="M1850" i="12"/>
  <c r="A1851" i="12"/>
  <c r="B1851" i="12"/>
  <c r="C1851" i="12"/>
  <c r="D1851" i="12"/>
  <c r="E1851" i="12"/>
  <c r="F1851" i="12"/>
  <c r="G1851" i="12"/>
  <c r="I1851" i="12" s="1"/>
  <c r="M1851" i="12" s="1"/>
  <c r="H1851" i="12"/>
  <c r="J1851" i="12"/>
  <c r="K1851" i="12"/>
  <c r="L1851" i="12"/>
  <c r="N1851" i="12" s="1"/>
  <c r="A1852" i="12"/>
  <c r="B1852" i="12"/>
  <c r="C1852" i="12"/>
  <c r="D1852" i="12"/>
  <c r="E1852" i="12"/>
  <c r="F1852" i="12"/>
  <c r="G1852" i="12"/>
  <c r="I1852" i="12" s="1"/>
  <c r="M1852" i="12" s="1"/>
  <c r="H1852" i="12"/>
  <c r="J1852" i="12"/>
  <c r="K1852" i="12"/>
  <c r="A1853" i="12"/>
  <c r="B1853" i="12"/>
  <c r="C1853" i="12"/>
  <c r="D1853" i="12"/>
  <c r="E1853" i="12"/>
  <c r="F1853" i="12"/>
  <c r="G1853" i="12"/>
  <c r="H1853" i="12"/>
  <c r="I1853" i="12" s="1"/>
  <c r="M1853" i="12" s="1"/>
  <c r="J1853" i="12"/>
  <c r="K1853" i="12"/>
  <c r="L1853" i="12"/>
  <c r="N1853" i="12" s="1"/>
  <c r="A1854" i="12"/>
  <c r="B1854" i="12"/>
  <c r="C1854" i="12"/>
  <c r="D1854" i="12"/>
  <c r="E1854" i="12"/>
  <c r="F1854" i="12"/>
  <c r="G1854" i="12"/>
  <c r="I1854" i="12" s="1"/>
  <c r="M1854" i="12" s="1"/>
  <c r="H1854" i="12"/>
  <c r="J1854" i="12"/>
  <c r="K1854" i="12"/>
  <c r="A1855" i="12"/>
  <c r="B1855" i="12"/>
  <c r="C1855" i="12"/>
  <c r="D1855" i="12"/>
  <c r="E1855" i="12"/>
  <c r="F1855" i="12"/>
  <c r="G1855" i="12"/>
  <c r="H1855" i="12"/>
  <c r="I1855" i="12" s="1"/>
  <c r="M1855" i="12" s="1"/>
  <c r="J1855" i="12"/>
  <c r="K1855" i="12"/>
  <c r="L1855" i="12"/>
  <c r="N1855" i="12" s="1"/>
  <c r="A1856" i="12"/>
  <c r="B1856" i="12"/>
  <c r="C1856" i="12"/>
  <c r="D1856" i="12"/>
  <c r="E1856" i="12"/>
  <c r="F1856" i="12"/>
  <c r="G1856" i="12"/>
  <c r="H1856" i="12"/>
  <c r="I1856" i="12"/>
  <c r="M1856" i="12" s="1"/>
  <c r="J1856" i="12"/>
  <c r="K1856" i="12"/>
  <c r="A1857" i="12"/>
  <c r="B1857" i="12"/>
  <c r="C1857" i="12"/>
  <c r="D1857" i="12"/>
  <c r="E1857" i="12"/>
  <c r="F1857" i="12"/>
  <c r="G1857" i="12"/>
  <c r="H1857" i="12"/>
  <c r="J1857" i="12"/>
  <c r="K1857" i="12"/>
  <c r="L1857" i="12" s="1"/>
  <c r="N1857" i="12" s="1"/>
  <c r="A1858" i="12"/>
  <c r="B1858" i="12"/>
  <c r="C1858" i="12"/>
  <c r="D1858" i="12"/>
  <c r="E1858" i="12"/>
  <c r="F1858" i="12"/>
  <c r="G1858" i="12"/>
  <c r="H1858" i="12"/>
  <c r="I1858" i="12"/>
  <c r="M1858" i="12" s="1"/>
  <c r="J1858" i="12"/>
  <c r="K1858" i="12"/>
  <c r="A1859" i="12"/>
  <c r="B1859" i="12"/>
  <c r="C1859" i="12"/>
  <c r="D1859" i="12"/>
  <c r="E1859" i="12"/>
  <c r="F1859" i="12"/>
  <c r="G1859" i="12"/>
  <c r="H1859" i="12"/>
  <c r="I1859" i="12"/>
  <c r="J1859" i="12"/>
  <c r="K1859" i="12"/>
  <c r="L1859" i="12"/>
  <c r="N1859" i="12" s="1"/>
  <c r="M1859" i="12"/>
  <c r="A1860" i="12"/>
  <c r="B1860" i="12"/>
  <c r="C1860" i="12"/>
  <c r="D1860" i="12"/>
  <c r="E1860" i="12"/>
  <c r="F1860" i="12"/>
  <c r="G1860" i="12"/>
  <c r="H1860" i="12"/>
  <c r="I1860" i="12"/>
  <c r="J1860" i="12"/>
  <c r="K1860" i="12"/>
  <c r="M1860" i="12"/>
  <c r="A1861" i="12"/>
  <c r="B1861" i="12"/>
  <c r="C1861" i="12"/>
  <c r="D1861" i="12"/>
  <c r="E1861" i="12"/>
  <c r="F1861" i="12"/>
  <c r="G1861" i="12"/>
  <c r="I1861" i="12" s="1"/>
  <c r="M1861" i="12" s="1"/>
  <c r="H1861" i="12"/>
  <c r="J1861" i="12"/>
  <c r="K1861" i="12"/>
  <c r="L1861" i="12"/>
  <c r="N1861" i="12" s="1"/>
  <c r="A1862" i="12"/>
  <c r="B1862" i="12"/>
  <c r="C1862" i="12"/>
  <c r="D1862" i="12"/>
  <c r="E1862" i="12"/>
  <c r="F1862" i="12"/>
  <c r="G1862" i="12"/>
  <c r="H1862" i="12"/>
  <c r="I1862" i="12"/>
  <c r="M1862" i="12" s="1"/>
  <c r="J1862" i="12"/>
  <c r="L1862" i="12" s="1"/>
  <c r="K1862" i="12"/>
  <c r="N1862" i="12"/>
  <c r="A1863" i="12"/>
  <c r="B1863" i="12"/>
  <c r="C1863" i="12"/>
  <c r="D1863" i="12"/>
  <c r="E1863" i="12"/>
  <c r="F1863" i="12"/>
  <c r="G1863" i="12"/>
  <c r="H1863" i="12"/>
  <c r="I1863" i="12" s="1"/>
  <c r="M1863" i="12" s="1"/>
  <c r="J1863" i="12"/>
  <c r="K1863" i="12"/>
  <c r="L1863" i="12"/>
  <c r="N1863" i="12" s="1"/>
  <c r="A1864" i="12"/>
  <c r="B1864" i="12"/>
  <c r="C1864" i="12"/>
  <c r="D1864" i="12"/>
  <c r="E1864" i="12"/>
  <c r="F1864" i="12"/>
  <c r="G1864" i="12"/>
  <c r="I1864" i="12" s="1"/>
  <c r="M1864" i="12" s="1"/>
  <c r="H1864" i="12"/>
  <c r="J1864" i="12"/>
  <c r="K1864" i="12"/>
  <c r="A1865" i="12"/>
  <c r="B1865" i="12"/>
  <c r="C1865" i="12"/>
  <c r="D1865" i="12"/>
  <c r="E1865" i="12"/>
  <c r="F1865" i="12"/>
  <c r="G1865" i="12"/>
  <c r="I1865" i="12" s="1"/>
  <c r="M1865" i="12" s="1"/>
  <c r="H1865" i="12"/>
  <c r="J1865" i="12"/>
  <c r="K1865" i="12"/>
  <c r="L1865" i="12" s="1"/>
  <c r="N1865" i="12" s="1"/>
  <c r="A1866" i="12"/>
  <c r="B1866" i="12"/>
  <c r="C1866" i="12"/>
  <c r="D1866" i="12"/>
  <c r="E1866" i="12"/>
  <c r="F1866" i="12"/>
  <c r="G1866" i="12"/>
  <c r="I1866" i="12" s="1"/>
  <c r="M1866" i="12" s="1"/>
  <c r="H1866" i="12"/>
  <c r="J1866" i="12"/>
  <c r="K1866" i="12"/>
  <c r="A1867" i="12"/>
  <c r="B1867" i="12"/>
  <c r="C1867" i="12"/>
  <c r="D1867" i="12"/>
  <c r="E1867" i="12"/>
  <c r="F1867" i="12"/>
  <c r="G1867" i="12"/>
  <c r="H1867" i="12"/>
  <c r="I1867" i="12"/>
  <c r="J1867" i="12"/>
  <c r="K1867" i="12"/>
  <c r="L1867" i="12"/>
  <c r="N1867" i="12" s="1"/>
  <c r="M1867" i="12"/>
  <c r="A1868" i="12"/>
  <c r="B1868" i="12"/>
  <c r="C1868" i="12"/>
  <c r="D1868" i="12"/>
  <c r="E1868" i="12"/>
  <c r="F1868" i="12"/>
  <c r="G1868" i="12"/>
  <c r="I1868" i="12" s="1"/>
  <c r="M1868" i="12" s="1"/>
  <c r="H1868" i="12"/>
  <c r="J1868" i="12"/>
  <c r="K1868" i="12"/>
  <c r="A1869" i="12"/>
  <c r="B1869" i="12"/>
  <c r="C1869" i="12"/>
  <c r="D1869" i="12"/>
  <c r="E1869" i="12"/>
  <c r="F1869" i="12"/>
  <c r="G1869" i="12"/>
  <c r="I1869" i="12" s="1"/>
  <c r="M1869" i="12" s="1"/>
  <c r="H1869" i="12"/>
  <c r="J1869" i="12"/>
  <c r="K1869" i="12"/>
  <c r="L1869" i="12"/>
  <c r="N1869" i="12" s="1"/>
  <c r="A1870" i="12"/>
  <c r="B1870" i="12"/>
  <c r="C1870" i="12"/>
  <c r="D1870" i="12"/>
  <c r="E1870" i="12"/>
  <c r="F1870" i="12"/>
  <c r="G1870" i="12"/>
  <c r="I1870" i="12" s="1"/>
  <c r="M1870" i="12" s="1"/>
  <c r="H1870" i="12"/>
  <c r="J1870" i="12"/>
  <c r="L1870" i="12" s="1"/>
  <c r="N1870" i="12" s="1"/>
  <c r="K1870" i="12"/>
  <c r="A1871" i="12"/>
  <c r="B1871" i="12"/>
  <c r="C1871" i="12"/>
  <c r="D1871" i="12"/>
  <c r="E1871" i="12"/>
  <c r="F1871" i="12"/>
  <c r="G1871" i="12"/>
  <c r="H1871" i="12"/>
  <c r="I1871" i="12" s="1"/>
  <c r="M1871" i="12" s="1"/>
  <c r="J1871" i="12"/>
  <c r="K1871" i="12"/>
  <c r="L1871" i="12"/>
  <c r="N1871" i="12" s="1"/>
  <c r="A1872" i="12"/>
  <c r="B1872" i="12"/>
  <c r="C1872" i="12"/>
  <c r="D1872" i="12"/>
  <c r="E1872" i="12"/>
  <c r="F1872" i="12"/>
  <c r="G1872" i="12"/>
  <c r="H1872" i="12"/>
  <c r="I1872" i="12"/>
  <c r="M1872" i="12" s="1"/>
  <c r="J1872" i="12"/>
  <c r="K1872" i="12"/>
  <c r="A1873" i="12"/>
  <c r="B1873" i="12"/>
  <c r="C1873" i="12"/>
  <c r="D1873" i="12"/>
  <c r="E1873" i="12"/>
  <c r="F1873" i="12"/>
  <c r="G1873" i="12"/>
  <c r="H1873" i="12"/>
  <c r="J1873" i="12"/>
  <c r="K1873" i="12"/>
  <c r="L1873" i="12" s="1"/>
  <c r="N1873" i="12" s="1"/>
  <c r="A1874" i="12"/>
  <c r="B1874" i="12"/>
  <c r="C1874" i="12"/>
  <c r="D1874" i="12"/>
  <c r="E1874" i="12"/>
  <c r="F1874" i="12"/>
  <c r="G1874" i="12"/>
  <c r="H1874" i="12"/>
  <c r="I1874" i="12"/>
  <c r="M1874" i="12" s="1"/>
  <c r="J1874" i="12"/>
  <c r="K1874" i="12"/>
  <c r="A1875" i="12"/>
  <c r="B1875" i="12"/>
  <c r="C1875" i="12"/>
  <c r="D1875" i="12"/>
  <c r="E1875" i="12"/>
  <c r="F1875" i="12"/>
  <c r="G1875" i="12"/>
  <c r="H1875" i="12"/>
  <c r="I1875" i="12"/>
  <c r="J1875" i="12"/>
  <c r="K1875" i="12"/>
  <c r="L1875" i="12"/>
  <c r="N1875" i="12" s="1"/>
  <c r="M1875" i="12"/>
  <c r="A1876" i="12"/>
  <c r="B1876" i="12"/>
  <c r="C1876" i="12"/>
  <c r="D1876" i="12"/>
  <c r="E1876" i="12"/>
  <c r="F1876" i="12"/>
  <c r="G1876" i="12"/>
  <c r="H1876" i="12"/>
  <c r="I1876" i="12"/>
  <c r="J1876" i="12"/>
  <c r="K1876" i="12"/>
  <c r="M1876" i="12"/>
  <c r="A1877" i="12"/>
  <c r="B1877" i="12"/>
  <c r="C1877" i="12"/>
  <c r="D1877" i="12"/>
  <c r="E1877" i="12"/>
  <c r="F1877" i="12"/>
  <c r="G1877" i="12"/>
  <c r="I1877" i="12" s="1"/>
  <c r="M1877" i="12" s="1"/>
  <c r="H1877" i="12"/>
  <c r="J1877" i="12"/>
  <c r="K1877" i="12"/>
  <c r="L1877" i="12"/>
  <c r="N1877" i="12" s="1"/>
  <c r="A1878" i="12"/>
  <c r="B1878" i="12"/>
  <c r="C1878" i="12"/>
  <c r="D1878" i="12"/>
  <c r="E1878" i="12"/>
  <c r="F1878" i="12"/>
  <c r="G1878" i="12"/>
  <c r="H1878" i="12"/>
  <c r="I1878" i="12"/>
  <c r="M1878" i="12" s="1"/>
  <c r="J1878" i="12"/>
  <c r="L1878" i="12" s="1"/>
  <c r="K1878" i="12"/>
  <c r="N1878" i="12"/>
  <c r="A1879" i="12"/>
  <c r="B1879" i="12"/>
  <c r="C1879" i="12"/>
  <c r="D1879" i="12"/>
  <c r="E1879" i="12"/>
  <c r="F1879" i="12"/>
  <c r="G1879" i="12"/>
  <c r="H1879" i="12"/>
  <c r="I1879" i="12" s="1"/>
  <c r="M1879" i="12" s="1"/>
  <c r="J1879" i="12"/>
  <c r="K1879" i="12"/>
  <c r="L1879" i="12"/>
  <c r="N1879" i="12" s="1"/>
  <c r="A1880" i="12"/>
  <c r="B1880" i="12"/>
  <c r="C1880" i="12"/>
  <c r="D1880" i="12"/>
  <c r="E1880" i="12"/>
  <c r="F1880" i="12"/>
  <c r="G1880" i="12"/>
  <c r="I1880" i="12" s="1"/>
  <c r="M1880" i="12" s="1"/>
  <c r="H1880" i="12"/>
  <c r="J1880" i="12"/>
  <c r="K1880" i="12"/>
  <c r="A1881" i="12"/>
  <c r="B1881" i="12"/>
  <c r="C1881" i="12"/>
  <c r="D1881" i="12"/>
  <c r="E1881" i="12"/>
  <c r="F1881" i="12"/>
  <c r="G1881" i="12"/>
  <c r="I1881" i="12" s="1"/>
  <c r="M1881" i="12" s="1"/>
  <c r="H1881" i="12"/>
  <c r="J1881" i="12"/>
  <c r="K1881" i="12"/>
  <c r="L1881" i="12" s="1"/>
  <c r="N1881" i="12" s="1"/>
  <c r="A1882" i="12"/>
  <c r="B1882" i="12"/>
  <c r="C1882" i="12"/>
  <c r="D1882" i="12"/>
  <c r="E1882" i="12"/>
  <c r="F1882" i="12"/>
  <c r="G1882" i="12"/>
  <c r="I1882" i="12" s="1"/>
  <c r="M1882" i="12" s="1"/>
  <c r="H1882" i="12"/>
  <c r="J1882" i="12"/>
  <c r="K1882" i="12"/>
  <c r="A1883" i="12"/>
  <c r="B1883" i="12"/>
  <c r="C1883" i="12"/>
  <c r="D1883" i="12"/>
  <c r="E1883" i="12"/>
  <c r="F1883" i="12"/>
  <c r="G1883" i="12"/>
  <c r="H1883" i="12"/>
  <c r="I1883" i="12"/>
  <c r="J1883" i="12"/>
  <c r="K1883" i="12"/>
  <c r="L1883" i="12"/>
  <c r="N1883" i="12" s="1"/>
  <c r="M1883" i="12"/>
  <c r="A1884" i="12"/>
  <c r="B1884" i="12"/>
  <c r="C1884" i="12"/>
  <c r="D1884" i="12"/>
  <c r="E1884" i="12"/>
  <c r="F1884" i="12"/>
  <c r="G1884" i="12"/>
  <c r="I1884" i="12" s="1"/>
  <c r="M1884" i="12" s="1"/>
  <c r="H1884" i="12"/>
  <c r="J1884" i="12"/>
  <c r="K1884" i="12"/>
  <c r="A1885" i="12"/>
  <c r="B1885" i="12"/>
  <c r="C1885" i="12"/>
  <c r="D1885" i="12"/>
  <c r="E1885" i="12"/>
  <c r="F1885" i="12"/>
  <c r="G1885" i="12"/>
  <c r="I1885" i="12" s="1"/>
  <c r="M1885" i="12" s="1"/>
  <c r="H1885" i="12"/>
  <c r="J1885" i="12"/>
  <c r="K1885" i="12"/>
  <c r="L1885" i="12"/>
  <c r="N1885" i="12" s="1"/>
  <c r="A1886" i="12"/>
  <c r="B1886" i="12"/>
  <c r="C1886" i="12"/>
  <c r="D1886" i="12"/>
  <c r="E1886" i="12"/>
  <c r="F1886" i="12"/>
  <c r="G1886" i="12"/>
  <c r="I1886" i="12" s="1"/>
  <c r="M1886" i="12" s="1"/>
  <c r="H1886" i="12"/>
  <c r="J1886" i="12"/>
  <c r="L1886" i="12" s="1"/>
  <c r="N1886" i="12" s="1"/>
  <c r="K1886" i="12"/>
  <c r="A1887" i="12"/>
  <c r="B1887" i="12"/>
  <c r="C1887" i="12"/>
  <c r="D1887" i="12"/>
  <c r="E1887" i="12"/>
  <c r="F1887" i="12"/>
  <c r="G1887" i="12"/>
  <c r="H1887" i="12"/>
  <c r="I1887" i="12" s="1"/>
  <c r="M1887" i="12" s="1"/>
  <c r="J1887" i="12"/>
  <c r="K1887" i="12"/>
  <c r="L1887" i="12"/>
  <c r="N1887" i="12" s="1"/>
  <c r="A1888" i="12"/>
  <c r="B1888" i="12"/>
  <c r="C1888" i="12"/>
  <c r="D1888" i="12"/>
  <c r="E1888" i="12"/>
  <c r="F1888" i="12"/>
  <c r="G1888" i="12"/>
  <c r="H1888" i="12"/>
  <c r="I1888" i="12"/>
  <c r="M1888" i="12" s="1"/>
  <c r="J1888" i="12"/>
  <c r="K1888" i="12"/>
  <c r="A1889" i="12"/>
  <c r="B1889" i="12"/>
  <c r="C1889" i="12"/>
  <c r="D1889" i="12"/>
  <c r="E1889" i="12"/>
  <c r="F1889" i="12"/>
  <c r="G1889" i="12"/>
  <c r="H1889" i="12"/>
  <c r="J1889" i="12"/>
  <c r="K1889" i="12"/>
  <c r="L1889" i="12" s="1"/>
  <c r="N1889" i="12" s="1"/>
  <c r="A1890" i="12"/>
  <c r="B1890" i="12"/>
  <c r="C1890" i="12"/>
  <c r="D1890" i="12"/>
  <c r="E1890" i="12"/>
  <c r="F1890" i="12"/>
  <c r="G1890" i="12"/>
  <c r="H1890" i="12"/>
  <c r="I1890" i="12"/>
  <c r="M1890" i="12" s="1"/>
  <c r="J1890" i="12"/>
  <c r="K1890" i="12"/>
  <c r="A1891" i="12"/>
  <c r="B1891" i="12"/>
  <c r="C1891" i="12"/>
  <c r="D1891" i="12"/>
  <c r="E1891" i="12"/>
  <c r="F1891" i="12"/>
  <c r="G1891" i="12"/>
  <c r="H1891" i="12"/>
  <c r="I1891" i="12"/>
  <c r="J1891" i="12"/>
  <c r="K1891" i="12"/>
  <c r="L1891" i="12"/>
  <c r="N1891" i="12" s="1"/>
  <c r="M1891" i="12"/>
  <c r="A1892" i="12"/>
  <c r="B1892" i="12"/>
  <c r="C1892" i="12"/>
  <c r="D1892" i="12"/>
  <c r="E1892" i="12"/>
  <c r="F1892" i="12"/>
  <c r="G1892" i="12"/>
  <c r="H1892" i="12"/>
  <c r="I1892" i="12"/>
  <c r="J1892" i="12"/>
  <c r="K1892" i="12"/>
  <c r="M1892" i="12"/>
  <c r="A1893" i="12"/>
  <c r="B1893" i="12"/>
  <c r="C1893" i="12"/>
  <c r="D1893" i="12"/>
  <c r="E1893" i="12"/>
  <c r="F1893" i="12"/>
  <c r="G1893" i="12"/>
  <c r="I1893" i="12" s="1"/>
  <c r="M1893" i="12" s="1"/>
  <c r="H1893" i="12"/>
  <c r="J1893" i="12"/>
  <c r="K1893" i="12"/>
  <c r="L1893" i="12"/>
  <c r="N1893" i="12" s="1"/>
  <c r="A1894" i="12"/>
  <c r="B1894" i="12"/>
  <c r="C1894" i="12"/>
  <c r="D1894" i="12"/>
  <c r="E1894" i="12"/>
  <c r="F1894" i="12"/>
  <c r="G1894" i="12"/>
  <c r="H1894" i="12"/>
  <c r="I1894" i="12"/>
  <c r="M1894" i="12" s="1"/>
  <c r="J1894" i="12"/>
  <c r="L1894" i="12" s="1"/>
  <c r="K1894" i="12"/>
  <c r="N1894" i="12"/>
  <c r="A1895" i="12"/>
  <c r="B1895" i="12"/>
  <c r="C1895" i="12"/>
  <c r="D1895" i="12"/>
  <c r="E1895" i="12"/>
  <c r="F1895" i="12"/>
  <c r="G1895" i="12"/>
  <c r="H1895" i="12"/>
  <c r="I1895" i="12" s="1"/>
  <c r="M1895" i="12" s="1"/>
  <c r="J1895" i="12"/>
  <c r="K1895" i="12"/>
  <c r="L1895" i="12"/>
  <c r="N1895" i="12" s="1"/>
  <c r="A1896" i="12"/>
  <c r="B1896" i="12"/>
  <c r="C1896" i="12"/>
  <c r="D1896" i="12"/>
  <c r="E1896" i="12"/>
  <c r="F1896" i="12"/>
  <c r="G1896" i="12"/>
  <c r="I1896" i="12" s="1"/>
  <c r="M1896" i="12" s="1"/>
  <c r="H1896" i="12"/>
  <c r="J1896" i="12"/>
  <c r="K1896" i="12"/>
  <c r="A1897" i="12"/>
  <c r="B1897" i="12"/>
  <c r="C1897" i="12"/>
  <c r="D1897" i="12"/>
  <c r="E1897" i="12"/>
  <c r="F1897" i="12"/>
  <c r="G1897" i="12"/>
  <c r="I1897" i="12" s="1"/>
  <c r="M1897" i="12" s="1"/>
  <c r="H1897" i="12"/>
  <c r="J1897" i="12"/>
  <c r="K1897" i="12"/>
  <c r="L1897" i="12" s="1"/>
  <c r="N1897" i="12" s="1"/>
  <c r="A1898" i="12"/>
  <c r="B1898" i="12"/>
  <c r="C1898" i="12"/>
  <c r="D1898" i="12"/>
  <c r="E1898" i="12"/>
  <c r="F1898" i="12"/>
  <c r="G1898" i="12"/>
  <c r="I1898" i="12" s="1"/>
  <c r="M1898" i="12" s="1"/>
  <c r="H1898" i="12"/>
  <c r="J1898" i="12"/>
  <c r="K1898" i="12"/>
  <c r="A1899" i="12"/>
  <c r="B1899" i="12"/>
  <c r="C1899" i="12"/>
  <c r="D1899" i="12"/>
  <c r="E1899" i="12"/>
  <c r="F1899" i="12"/>
  <c r="G1899" i="12"/>
  <c r="H1899" i="12"/>
  <c r="I1899" i="12"/>
  <c r="J1899" i="12"/>
  <c r="K1899" i="12"/>
  <c r="L1899" i="12"/>
  <c r="N1899" i="12" s="1"/>
  <c r="M1899" i="12"/>
  <c r="A1900" i="12"/>
  <c r="B1900" i="12"/>
  <c r="C1900" i="12"/>
  <c r="D1900" i="12"/>
  <c r="E1900" i="12"/>
  <c r="F1900" i="12"/>
  <c r="G1900" i="12"/>
  <c r="I1900" i="12" s="1"/>
  <c r="M1900" i="12" s="1"/>
  <c r="H1900" i="12"/>
  <c r="J1900" i="12"/>
  <c r="K1900" i="12"/>
  <c r="A1901" i="12"/>
  <c r="B1901" i="12"/>
  <c r="C1901" i="12"/>
  <c r="D1901" i="12"/>
  <c r="E1901" i="12"/>
  <c r="F1901" i="12"/>
  <c r="G1901" i="12"/>
  <c r="I1901" i="12" s="1"/>
  <c r="M1901" i="12" s="1"/>
  <c r="H1901" i="12"/>
  <c r="J1901" i="12"/>
  <c r="K1901" i="12"/>
  <c r="L1901" i="12"/>
  <c r="N1901" i="12" s="1"/>
  <c r="A1902" i="12"/>
  <c r="B1902" i="12"/>
  <c r="C1902" i="12"/>
  <c r="D1902" i="12"/>
  <c r="E1902" i="12"/>
  <c r="F1902" i="12"/>
  <c r="G1902" i="12"/>
  <c r="I1902" i="12" s="1"/>
  <c r="M1902" i="12" s="1"/>
  <c r="H1902" i="12"/>
  <c r="J1902" i="12"/>
  <c r="L1902" i="12" s="1"/>
  <c r="N1902" i="12" s="1"/>
  <c r="K1902" i="12"/>
  <c r="A1903" i="12"/>
  <c r="B1903" i="12"/>
  <c r="C1903" i="12"/>
  <c r="D1903" i="12"/>
  <c r="E1903" i="12"/>
  <c r="F1903" i="12"/>
  <c r="G1903" i="12"/>
  <c r="H1903" i="12"/>
  <c r="I1903" i="12" s="1"/>
  <c r="M1903" i="12" s="1"/>
  <c r="J1903" i="12"/>
  <c r="K1903" i="12"/>
  <c r="L1903" i="12"/>
  <c r="N1903" i="12" s="1"/>
  <c r="A1904" i="12"/>
  <c r="B1904" i="12"/>
  <c r="C1904" i="12"/>
  <c r="D1904" i="12"/>
  <c r="E1904" i="12"/>
  <c r="F1904" i="12"/>
  <c r="G1904" i="12"/>
  <c r="H1904" i="12"/>
  <c r="I1904" i="12"/>
  <c r="M1904" i="12" s="1"/>
  <c r="J1904" i="12"/>
  <c r="K1904" i="12"/>
  <c r="A1905" i="12"/>
  <c r="B1905" i="12"/>
  <c r="C1905" i="12"/>
  <c r="D1905" i="12"/>
  <c r="E1905" i="12"/>
  <c r="F1905" i="12"/>
  <c r="G1905" i="12"/>
  <c r="H1905" i="12"/>
  <c r="J1905" i="12"/>
  <c r="K1905" i="12"/>
  <c r="L1905" i="12" s="1"/>
  <c r="N1905" i="12" s="1"/>
  <c r="A1906" i="12"/>
  <c r="B1906" i="12"/>
  <c r="C1906" i="12"/>
  <c r="D1906" i="12"/>
  <c r="E1906" i="12"/>
  <c r="F1906" i="12"/>
  <c r="G1906" i="12"/>
  <c r="H1906" i="12"/>
  <c r="I1906" i="12"/>
  <c r="M1906" i="12" s="1"/>
  <c r="J1906" i="12"/>
  <c r="K1906" i="12"/>
  <c r="A1907" i="12"/>
  <c r="B1907" i="12"/>
  <c r="C1907" i="12"/>
  <c r="D1907" i="12"/>
  <c r="E1907" i="12"/>
  <c r="F1907" i="12"/>
  <c r="G1907" i="12"/>
  <c r="H1907" i="12"/>
  <c r="I1907" i="12"/>
  <c r="J1907" i="12"/>
  <c r="K1907" i="12"/>
  <c r="L1907" i="12"/>
  <c r="N1907" i="12" s="1"/>
  <c r="M1907" i="12"/>
  <c r="A1908" i="12"/>
  <c r="B1908" i="12"/>
  <c r="C1908" i="12"/>
  <c r="D1908" i="12"/>
  <c r="E1908" i="12"/>
  <c r="F1908" i="12"/>
  <c r="G1908" i="12"/>
  <c r="H1908" i="12"/>
  <c r="I1908" i="12"/>
  <c r="J1908" i="12"/>
  <c r="K1908" i="12"/>
  <c r="M1908" i="12"/>
  <c r="A1909" i="12"/>
  <c r="B1909" i="12"/>
  <c r="C1909" i="12"/>
  <c r="D1909" i="12"/>
  <c r="E1909" i="12"/>
  <c r="F1909" i="12"/>
  <c r="G1909" i="12"/>
  <c r="I1909" i="12" s="1"/>
  <c r="M1909" i="12" s="1"/>
  <c r="H1909" i="12"/>
  <c r="J1909" i="12"/>
  <c r="K1909" i="12"/>
  <c r="L1909" i="12"/>
  <c r="N1909" i="12" s="1"/>
  <c r="A1910" i="12"/>
  <c r="B1910" i="12"/>
  <c r="C1910" i="12"/>
  <c r="D1910" i="12"/>
  <c r="E1910" i="12"/>
  <c r="F1910" i="12"/>
  <c r="G1910" i="12"/>
  <c r="H1910" i="12"/>
  <c r="I1910" i="12"/>
  <c r="M1910" i="12" s="1"/>
  <c r="J1910" i="12"/>
  <c r="L1910" i="12" s="1"/>
  <c r="K1910" i="12"/>
  <c r="N1910" i="12"/>
  <c r="A1911" i="12"/>
  <c r="B1911" i="12"/>
  <c r="C1911" i="12"/>
  <c r="D1911" i="12"/>
  <c r="E1911" i="12"/>
  <c r="F1911" i="12"/>
  <c r="G1911" i="12"/>
  <c r="H1911" i="12"/>
  <c r="I1911" i="12" s="1"/>
  <c r="M1911" i="12" s="1"/>
  <c r="J1911" i="12"/>
  <c r="K1911" i="12"/>
  <c r="L1911" i="12"/>
  <c r="N1911" i="12" s="1"/>
  <c r="A1912" i="12"/>
  <c r="B1912" i="12"/>
  <c r="C1912" i="12"/>
  <c r="D1912" i="12"/>
  <c r="E1912" i="12"/>
  <c r="F1912" i="12"/>
  <c r="G1912" i="12"/>
  <c r="I1912" i="12" s="1"/>
  <c r="M1912" i="12" s="1"/>
  <c r="H1912" i="12"/>
  <c r="J1912" i="12"/>
  <c r="K1912" i="12"/>
  <c r="A1913" i="12"/>
  <c r="B1913" i="12"/>
  <c r="C1913" i="12"/>
  <c r="D1913" i="12"/>
  <c r="E1913" i="12"/>
  <c r="F1913" i="12"/>
  <c r="G1913" i="12"/>
  <c r="H1913" i="12"/>
  <c r="J1913" i="12"/>
  <c r="K1913" i="12"/>
  <c r="L1913" i="12" s="1"/>
  <c r="N1913" i="12" s="1"/>
  <c r="A1914" i="12"/>
  <c r="B1914" i="12"/>
  <c r="C1914" i="12"/>
  <c r="D1914" i="12"/>
  <c r="E1914" i="12"/>
  <c r="F1914" i="12"/>
  <c r="G1914" i="12"/>
  <c r="I1914" i="12" s="1"/>
  <c r="M1914" i="12" s="1"/>
  <c r="H1914" i="12"/>
  <c r="J1914" i="12"/>
  <c r="K1914" i="12"/>
  <c r="A1915" i="12"/>
  <c r="B1915" i="12"/>
  <c r="C1915" i="12"/>
  <c r="D1915" i="12"/>
  <c r="E1915" i="12"/>
  <c r="F1915" i="12"/>
  <c r="G1915" i="12"/>
  <c r="H1915" i="12"/>
  <c r="I1915" i="12"/>
  <c r="J1915" i="12"/>
  <c r="K1915" i="12"/>
  <c r="L1915" i="12"/>
  <c r="N1915" i="12" s="1"/>
  <c r="M1915" i="12"/>
  <c r="A1916" i="12"/>
  <c r="B1916" i="12"/>
  <c r="C1916" i="12"/>
  <c r="D1916" i="12"/>
  <c r="E1916" i="12"/>
  <c r="F1916" i="12"/>
  <c r="G1916" i="12"/>
  <c r="I1916" i="12" s="1"/>
  <c r="M1916" i="12" s="1"/>
  <c r="H1916" i="12"/>
  <c r="J1916" i="12"/>
  <c r="K1916" i="12"/>
  <c r="A1917" i="12"/>
  <c r="B1917" i="12"/>
  <c r="C1917" i="12"/>
  <c r="D1917" i="12"/>
  <c r="E1917" i="12"/>
  <c r="F1917" i="12"/>
  <c r="G1917" i="12"/>
  <c r="I1917" i="12" s="1"/>
  <c r="M1917" i="12" s="1"/>
  <c r="H1917" i="12"/>
  <c r="J1917" i="12"/>
  <c r="K1917" i="12"/>
  <c r="L1917" i="12"/>
  <c r="N1917" i="12" s="1"/>
  <c r="A1918" i="12"/>
  <c r="B1918" i="12"/>
  <c r="C1918" i="12"/>
  <c r="D1918" i="12"/>
  <c r="E1918" i="12"/>
  <c r="F1918" i="12"/>
  <c r="G1918" i="12"/>
  <c r="I1918" i="12" s="1"/>
  <c r="M1918" i="12" s="1"/>
  <c r="H1918" i="12"/>
  <c r="J1918" i="12"/>
  <c r="L1918" i="12" s="1"/>
  <c r="N1918" i="12" s="1"/>
  <c r="K1918" i="12"/>
  <c r="A1919" i="12"/>
  <c r="B1919" i="12"/>
  <c r="C1919" i="12"/>
  <c r="D1919" i="12"/>
  <c r="E1919" i="12"/>
  <c r="F1919" i="12"/>
  <c r="G1919" i="12"/>
  <c r="H1919" i="12"/>
  <c r="I1919" i="12" s="1"/>
  <c r="M1919" i="12" s="1"/>
  <c r="J1919" i="12"/>
  <c r="K1919" i="12"/>
  <c r="L1919" i="12"/>
  <c r="N1919" i="12" s="1"/>
  <c r="A1920" i="12"/>
  <c r="B1920" i="12"/>
  <c r="C1920" i="12"/>
  <c r="D1920" i="12"/>
  <c r="E1920" i="12"/>
  <c r="F1920" i="12"/>
  <c r="G1920" i="12"/>
  <c r="H1920" i="12"/>
  <c r="I1920" i="12"/>
  <c r="M1920" i="12" s="1"/>
  <c r="J1920" i="12"/>
  <c r="K1920" i="12"/>
  <c r="A1921" i="12"/>
  <c r="B1921" i="12"/>
  <c r="C1921" i="12"/>
  <c r="D1921" i="12"/>
  <c r="E1921" i="12"/>
  <c r="F1921" i="12"/>
  <c r="G1921" i="12"/>
  <c r="H1921" i="12"/>
  <c r="J1921" i="12"/>
  <c r="K1921" i="12"/>
  <c r="L1921" i="12" s="1"/>
  <c r="N1921" i="12" s="1"/>
  <c r="A1922" i="12"/>
  <c r="B1922" i="12"/>
  <c r="C1922" i="12"/>
  <c r="D1922" i="12"/>
  <c r="E1922" i="12"/>
  <c r="F1922" i="12"/>
  <c r="G1922" i="12"/>
  <c r="H1922" i="12"/>
  <c r="I1922" i="12"/>
  <c r="M1922" i="12" s="1"/>
  <c r="J1922" i="12"/>
  <c r="K1922" i="12"/>
  <c r="A1923" i="12"/>
  <c r="B1923" i="12"/>
  <c r="C1923" i="12"/>
  <c r="D1923" i="12"/>
  <c r="E1923" i="12"/>
  <c r="F1923" i="12"/>
  <c r="G1923" i="12"/>
  <c r="H1923" i="12"/>
  <c r="I1923" i="12"/>
  <c r="J1923" i="12"/>
  <c r="K1923" i="12"/>
  <c r="L1923" i="12"/>
  <c r="N1923" i="12" s="1"/>
  <c r="M1923" i="12"/>
  <c r="A1924" i="12"/>
  <c r="B1924" i="12"/>
  <c r="C1924" i="12"/>
  <c r="D1924" i="12"/>
  <c r="E1924" i="12"/>
  <c r="F1924" i="12"/>
  <c r="G1924" i="12"/>
  <c r="H1924" i="12"/>
  <c r="I1924" i="12"/>
  <c r="J1924" i="12"/>
  <c r="K1924" i="12"/>
  <c r="M1924" i="12"/>
  <c r="A1925" i="12"/>
  <c r="B1925" i="12"/>
  <c r="C1925" i="12"/>
  <c r="D1925" i="12"/>
  <c r="E1925" i="12"/>
  <c r="F1925" i="12"/>
  <c r="G1925" i="12"/>
  <c r="I1925" i="12" s="1"/>
  <c r="M1925" i="12" s="1"/>
  <c r="H1925" i="12"/>
  <c r="J1925" i="12"/>
  <c r="K1925" i="12"/>
  <c r="L1925" i="12"/>
  <c r="N1925" i="12" s="1"/>
  <c r="A1926" i="12"/>
  <c r="B1926" i="12"/>
  <c r="C1926" i="12"/>
  <c r="D1926" i="12"/>
  <c r="E1926" i="12"/>
  <c r="F1926" i="12"/>
  <c r="G1926" i="12"/>
  <c r="H1926" i="12"/>
  <c r="I1926" i="12"/>
  <c r="M1926" i="12" s="1"/>
  <c r="J1926" i="12"/>
  <c r="L1926" i="12" s="1"/>
  <c r="K1926" i="12"/>
  <c r="N1926" i="12"/>
  <c r="A1927" i="12"/>
  <c r="B1927" i="12"/>
  <c r="C1927" i="12"/>
  <c r="D1927" i="12"/>
  <c r="E1927" i="12"/>
  <c r="F1927" i="12"/>
  <c r="G1927" i="12"/>
  <c r="H1927" i="12"/>
  <c r="I1927" i="12" s="1"/>
  <c r="M1927" i="12" s="1"/>
  <c r="J1927" i="12"/>
  <c r="K1927" i="12"/>
  <c r="L1927" i="12"/>
  <c r="N1927" i="12" s="1"/>
  <c r="A1928" i="12"/>
  <c r="B1928" i="12"/>
  <c r="C1928" i="12"/>
  <c r="D1928" i="12"/>
  <c r="E1928" i="12"/>
  <c r="F1928" i="12"/>
  <c r="G1928" i="12"/>
  <c r="I1928" i="12" s="1"/>
  <c r="M1928" i="12" s="1"/>
  <c r="H1928" i="12"/>
  <c r="J1928" i="12"/>
  <c r="K1928" i="12"/>
  <c r="A1929" i="12"/>
  <c r="B1929" i="12"/>
  <c r="C1929" i="12"/>
  <c r="D1929" i="12"/>
  <c r="E1929" i="12"/>
  <c r="F1929" i="12"/>
  <c r="G1929" i="12"/>
  <c r="H1929" i="12"/>
  <c r="J1929" i="12"/>
  <c r="K1929" i="12"/>
  <c r="L1929" i="12" s="1"/>
  <c r="N1929" i="12" s="1"/>
  <c r="A1930" i="12"/>
  <c r="B1930" i="12"/>
  <c r="C1930" i="12"/>
  <c r="D1930" i="12"/>
  <c r="E1930" i="12"/>
  <c r="F1930" i="12"/>
  <c r="G1930" i="12"/>
  <c r="I1930" i="12" s="1"/>
  <c r="M1930" i="12" s="1"/>
  <c r="H1930" i="12"/>
  <c r="J1930" i="12"/>
  <c r="K1930" i="12"/>
  <c r="A1931" i="12"/>
  <c r="B1931" i="12"/>
  <c r="C1931" i="12"/>
  <c r="D1931" i="12"/>
  <c r="E1931" i="12"/>
  <c r="F1931" i="12"/>
  <c r="G1931" i="12"/>
  <c r="H1931" i="12"/>
  <c r="I1931" i="12"/>
  <c r="J1931" i="12"/>
  <c r="K1931" i="12"/>
  <c r="L1931" i="12"/>
  <c r="N1931" i="12" s="1"/>
  <c r="M1931" i="12"/>
  <c r="A1932" i="12"/>
  <c r="B1932" i="12"/>
  <c r="C1932" i="12"/>
  <c r="D1932" i="12"/>
  <c r="E1932" i="12"/>
  <c r="F1932" i="12"/>
  <c r="G1932" i="12"/>
  <c r="I1932" i="12" s="1"/>
  <c r="M1932" i="12" s="1"/>
  <c r="H1932" i="12"/>
  <c r="J1932" i="12"/>
  <c r="K1932" i="12"/>
  <c r="A1933" i="12"/>
  <c r="B1933" i="12"/>
  <c r="C1933" i="12"/>
  <c r="D1933" i="12"/>
  <c r="E1933" i="12"/>
  <c r="F1933" i="12"/>
  <c r="G1933" i="12"/>
  <c r="I1933" i="12" s="1"/>
  <c r="M1933" i="12" s="1"/>
  <c r="H1933" i="12"/>
  <c r="J1933" i="12"/>
  <c r="K1933" i="12"/>
  <c r="L1933" i="12"/>
  <c r="N1933" i="12" s="1"/>
  <c r="A1934" i="12"/>
  <c r="B1934" i="12"/>
  <c r="C1934" i="12"/>
  <c r="D1934" i="12"/>
  <c r="E1934" i="12"/>
  <c r="F1934" i="12"/>
  <c r="G1934" i="12"/>
  <c r="I1934" i="12" s="1"/>
  <c r="M1934" i="12" s="1"/>
  <c r="H1934" i="12"/>
  <c r="J1934" i="12"/>
  <c r="L1934" i="12" s="1"/>
  <c r="N1934" i="12" s="1"/>
  <c r="K1934" i="12"/>
  <c r="A1935" i="12"/>
  <c r="B1935" i="12"/>
  <c r="C1935" i="12"/>
  <c r="D1935" i="12"/>
  <c r="E1935" i="12"/>
  <c r="F1935" i="12"/>
  <c r="G1935" i="12"/>
  <c r="H1935" i="12"/>
  <c r="I1935" i="12" s="1"/>
  <c r="M1935" i="12" s="1"/>
  <c r="J1935" i="12"/>
  <c r="K1935" i="12"/>
  <c r="L1935" i="12"/>
  <c r="N1935" i="12" s="1"/>
  <c r="A1936" i="12"/>
  <c r="B1936" i="12"/>
  <c r="C1936" i="12"/>
  <c r="D1936" i="12"/>
  <c r="E1936" i="12"/>
  <c r="F1936" i="12"/>
  <c r="G1936" i="12"/>
  <c r="H1936" i="12"/>
  <c r="I1936" i="12"/>
  <c r="M1936" i="12" s="1"/>
  <c r="J1936" i="12"/>
  <c r="K1936" i="12"/>
  <c r="A1937" i="12"/>
  <c r="B1937" i="12"/>
  <c r="C1937" i="12"/>
  <c r="D1937" i="12"/>
  <c r="E1937" i="12"/>
  <c r="F1937" i="12"/>
  <c r="G1937" i="12"/>
  <c r="H1937" i="12"/>
  <c r="J1937" i="12"/>
  <c r="K1937" i="12"/>
  <c r="L1937" i="12" s="1"/>
  <c r="N1937" i="12" s="1"/>
  <c r="A1938" i="12"/>
  <c r="B1938" i="12"/>
  <c r="C1938" i="12"/>
  <c r="D1938" i="12"/>
  <c r="E1938" i="12"/>
  <c r="F1938" i="12"/>
  <c r="G1938" i="12"/>
  <c r="H1938" i="12"/>
  <c r="I1938" i="12"/>
  <c r="M1938" i="12" s="1"/>
  <c r="J1938" i="12"/>
  <c r="K1938" i="12"/>
  <c r="A1939" i="12"/>
  <c r="B1939" i="12"/>
  <c r="C1939" i="12"/>
  <c r="D1939" i="12"/>
  <c r="E1939" i="12"/>
  <c r="F1939" i="12"/>
  <c r="G1939" i="12"/>
  <c r="H1939" i="12"/>
  <c r="I1939" i="12"/>
  <c r="J1939" i="12"/>
  <c r="K1939" i="12"/>
  <c r="L1939" i="12"/>
  <c r="N1939" i="12" s="1"/>
  <c r="M1939" i="12"/>
  <c r="A1940" i="12"/>
  <c r="B1940" i="12"/>
  <c r="C1940" i="12"/>
  <c r="D1940" i="12"/>
  <c r="E1940" i="12"/>
  <c r="F1940" i="12"/>
  <c r="G1940" i="12"/>
  <c r="H1940" i="12"/>
  <c r="I1940" i="12"/>
  <c r="J1940" i="12"/>
  <c r="K1940" i="12"/>
  <c r="M1940" i="12"/>
  <c r="A1941" i="12"/>
  <c r="B1941" i="12"/>
  <c r="C1941" i="12"/>
  <c r="D1941" i="12"/>
  <c r="E1941" i="12"/>
  <c r="F1941" i="12"/>
  <c r="G1941" i="12"/>
  <c r="I1941" i="12" s="1"/>
  <c r="M1941" i="12" s="1"/>
  <c r="H1941" i="12"/>
  <c r="J1941" i="12"/>
  <c r="K1941" i="12"/>
  <c r="L1941" i="12"/>
  <c r="N1941" i="12" s="1"/>
  <c r="A1942" i="12"/>
  <c r="B1942" i="12"/>
  <c r="C1942" i="12"/>
  <c r="D1942" i="12"/>
  <c r="E1942" i="12"/>
  <c r="F1942" i="12"/>
  <c r="G1942" i="12"/>
  <c r="H1942" i="12"/>
  <c r="I1942" i="12"/>
  <c r="M1942" i="12" s="1"/>
  <c r="J1942" i="12"/>
  <c r="L1942" i="12" s="1"/>
  <c r="K1942" i="12"/>
  <c r="N1942" i="12"/>
  <c r="A1943" i="12"/>
  <c r="B1943" i="12"/>
  <c r="C1943" i="12"/>
  <c r="D1943" i="12"/>
  <c r="E1943" i="12"/>
  <c r="F1943" i="12"/>
  <c r="G1943" i="12"/>
  <c r="H1943" i="12"/>
  <c r="I1943" i="12" s="1"/>
  <c r="M1943" i="12" s="1"/>
  <c r="J1943" i="12"/>
  <c r="K1943" i="12"/>
  <c r="L1943" i="12"/>
  <c r="N1943" i="12" s="1"/>
  <c r="A1944" i="12"/>
  <c r="B1944" i="12"/>
  <c r="C1944" i="12"/>
  <c r="D1944" i="12"/>
  <c r="E1944" i="12"/>
  <c r="F1944" i="12"/>
  <c r="G1944" i="12"/>
  <c r="I1944" i="12" s="1"/>
  <c r="M1944" i="12" s="1"/>
  <c r="H1944" i="12"/>
  <c r="J1944" i="12"/>
  <c r="K1944" i="12"/>
  <c r="A1945" i="12"/>
  <c r="B1945" i="12"/>
  <c r="C1945" i="12"/>
  <c r="D1945" i="12"/>
  <c r="E1945" i="12"/>
  <c r="F1945" i="12"/>
  <c r="G1945" i="12"/>
  <c r="H1945" i="12"/>
  <c r="J1945" i="12"/>
  <c r="K1945" i="12"/>
  <c r="L1945" i="12" s="1"/>
  <c r="N1945" i="12" s="1"/>
  <c r="A1946" i="12"/>
  <c r="B1946" i="12"/>
  <c r="C1946" i="12"/>
  <c r="D1946" i="12"/>
  <c r="E1946" i="12"/>
  <c r="F1946" i="12"/>
  <c r="G1946" i="12"/>
  <c r="I1946" i="12" s="1"/>
  <c r="M1946" i="12" s="1"/>
  <c r="H1946" i="12"/>
  <c r="J1946" i="12"/>
  <c r="K1946" i="12"/>
  <c r="A1947" i="12"/>
  <c r="B1947" i="12"/>
  <c r="C1947" i="12"/>
  <c r="D1947" i="12"/>
  <c r="E1947" i="12"/>
  <c r="F1947" i="12"/>
  <c r="G1947" i="12"/>
  <c r="H1947" i="12"/>
  <c r="I1947" i="12"/>
  <c r="J1947" i="12"/>
  <c r="K1947" i="12"/>
  <c r="L1947" i="12"/>
  <c r="N1947" i="12" s="1"/>
  <c r="M1947" i="12"/>
  <c r="A1948" i="12"/>
  <c r="B1948" i="12"/>
  <c r="C1948" i="12"/>
  <c r="D1948" i="12"/>
  <c r="E1948" i="12"/>
  <c r="F1948" i="12"/>
  <c r="G1948" i="12"/>
  <c r="I1948" i="12" s="1"/>
  <c r="M1948" i="12" s="1"/>
  <c r="H1948" i="12"/>
  <c r="J1948" i="12"/>
  <c r="K1948" i="12"/>
  <c r="A1949" i="12"/>
  <c r="B1949" i="12"/>
  <c r="C1949" i="12"/>
  <c r="D1949" i="12"/>
  <c r="E1949" i="12"/>
  <c r="F1949" i="12"/>
  <c r="G1949" i="12"/>
  <c r="I1949" i="12" s="1"/>
  <c r="M1949" i="12" s="1"/>
  <c r="H1949" i="12"/>
  <c r="J1949" i="12"/>
  <c r="K1949" i="12"/>
  <c r="L1949" i="12"/>
  <c r="N1949" i="12" s="1"/>
  <c r="A1950" i="12"/>
  <c r="B1950" i="12"/>
  <c r="C1950" i="12"/>
  <c r="D1950" i="12"/>
  <c r="E1950" i="12"/>
  <c r="F1950" i="12"/>
  <c r="G1950" i="12"/>
  <c r="I1950" i="12" s="1"/>
  <c r="M1950" i="12" s="1"/>
  <c r="H1950" i="12"/>
  <c r="J1950" i="12"/>
  <c r="L1950" i="12" s="1"/>
  <c r="N1950" i="12" s="1"/>
  <c r="K1950" i="12"/>
  <c r="A1951" i="12"/>
  <c r="B1951" i="12"/>
  <c r="C1951" i="12"/>
  <c r="D1951" i="12"/>
  <c r="E1951" i="12"/>
  <c r="F1951" i="12"/>
  <c r="G1951" i="12"/>
  <c r="H1951" i="12"/>
  <c r="I1951" i="12" s="1"/>
  <c r="M1951" i="12" s="1"/>
  <c r="J1951" i="12"/>
  <c r="K1951" i="12"/>
  <c r="L1951" i="12"/>
  <c r="N1951" i="12" s="1"/>
  <c r="A1952" i="12"/>
  <c r="B1952" i="12"/>
  <c r="C1952" i="12"/>
  <c r="D1952" i="12"/>
  <c r="E1952" i="12"/>
  <c r="F1952" i="12"/>
  <c r="G1952" i="12"/>
  <c r="H1952" i="12"/>
  <c r="I1952" i="12"/>
  <c r="M1952" i="12" s="1"/>
  <c r="J1952" i="12"/>
  <c r="K1952" i="12"/>
  <c r="A1953" i="12"/>
  <c r="B1953" i="12"/>
  <c r="C1953" i="12"/>
  <c r="D1953" i="12"/>
  <c r="E1953" i="12"/>
  <c r="F1953" i="12"/>
  <c r="G1953" i="12"/>
  <c r="H1953" i="12"/>
  <c r="J1953" i="12"/>
  <c r="K1953" i="12"/>
  <c r="L1953" i="12" s="1"/>
  <c r="N1953" i="12" s="1"/>
  <c r="A1954" i="12"/>
  <c r="B1954" i="12"/>
  <c r="C1954" i="12"/>
  <c r="D1954" i="12"/>
  <c r="E1954" i="12"/>
  <c r="F1954" i="12"/>
  <c r="G1954" i="12"/>
  <c r="H1954" i="12"/>
  <c r="I1954" i="12"/>
  <c r="M1954" i="12" s="1"/>
  <c r="J1954" i="12"/>
  <c r="K1954" i="12"/>
  <c r="A1955" i="12"/>
  <c r="B1955" i="12"/>
  <c r="C1955" i="12"/>
  <c r="D1955" i="12"/>
  <c r="E1955" i="12"/>
  <c r="F1955" i="12"/>
  <c r="G1955" i="12"/>
  <c r="H1955" i="12"/>
  <c r="I1955" i="12"/>
  <c r="J1955" i="12"/>
  <c r="K1955" i="12"/>
  <c r="L1955" i="12"/>
  <c r="N1955" i="12" s="1"/>
  <c r="M1955" i="12"/>
  <c r="A1956" i="12"/>
  <c r="B1956" i="12"/>
  <c r="C1956" i="12"/>
  <c r="D1956" i="12"/>
  <c r="E1956" i="12"/>
  <c r="F1956" i="12"/>
  <c r="G1956" i="12"/>
  <c r="H1956" i="12"/>
  <c r="I1956" i="12"/>
  <c r="J1956" i="12"/>
  <c r="K1956" i="12"/>
  <c r="M1956" i="12"/>
  <c r="A1957" i="12"/>
  <c r="B1957" i="12"/>
  <c r="C1957" i="12"/>
  <c r="D1957" i="12"/>
  <c r="E1957" i="12"/>
  <c r="F1957" i="12"/>
  <c r="G1957" i="12"/>
  <c r="I1957" i="12" s="1"/>
  <c r="M1957" i="12" s="1"/>
  <c r="H1957" i="12"/>
  <c r="J1957" i="12"/>
  <c r="K1957" i="12"/>
  <c r="L1957" i="12"/>
  <c r="N1957" i="12" s="1"/>
  <c r="A1958" i="12"/>
  <c r="B1958" i="12"/>
  <c r="C1958" i="12"/>
  <c r="D1958" i="12"/>
  <c r="E1958" i="12"/>
  <c r="F1958" i="12"/>
  <c r="G1958" i="12"/>
  <c r="H1958" i="12"/>
  <c r="I1958" i="12"/>
  <c r="M1958" i="12" s="1"/>
  <c r="J1958" i="12"/>
  <c r="L1958" i="12" s="1"/>
  <c r="K1958" i="12"/>
  <c r="N1958" i="12"/>
  <c r="A1959" i="12"/>
  <c r="B1959" i="12"/>
  <c r="C1959" i="12"/>
  <c r="D1959" i="12"/>
  <c r="E1959" i="12"/>
  <c r="F1959" i="12"/>
  <c r="G1959" i="12"/>
  <c r="H1959" i="12"/>
  <c r="I1959" i="12" s="1"/>
  <c r="M1959" i="12" s="1"/>
  <c r="J1959" i="12"/>
  <c r="K1959" i="12"/>
  <c r="L1959" i="12"/>
  <c r="N1959" i="12" s="1"/>
  <c r="A1960" i="12"/>
  <c r="B1960" i="12"/>
  <c r="C1960" i="12"/>
  <c r="D1960" i="12"/>
  <c r="E1960" i="12"/>
  <c r="F1960" i="12"/>
  <c r="G1960" i="12"/>
  <c r="I1960" i="12" s="1"/>
  <c r="M1960" i="12" s="1"/>
  <c r="H1960" i="12"/>
  <c r="J1960" i="12"/>
  <c r="K1960" i="12"/>
  <c r="A1961" i="12"/>
  <c r="B1961" i="12"/>
  <c r="C1961" i="12"/>
  <c r="D1961" i="12"/>
  <c r="E1961" i="12"/>
  <c r="F1961" i="12"/>
  <c r="G1961" i="12"/>
  <c r="H1961" i="12"/>
  <c r="J1961" i="12"/>
  <c r="K1961" i="12"/>
  <c r="L1961" i="12" s="1"/>
  <c r="N1961" i="12" s="1"/>
  <c r="A1962" i="12"/>
  <c r="B1962" i="12"/>
  <c r="C1962" i="12"/>
  <c r="D1962" i="12"/>
  <c r="E1962" i="12"/>
  <c r="F1962" i="12"/>
  <c r="G1962" i="12"/>
  <c r="I1962" i="12" s="1"/>
  <c r="M1962" i="12" s="1"/>
  <c r="H1962" i="12"/>
  <c r="J1962" i="12"/>
  <c r="K1962" i="12"/>
  <c r="A1963" i="12"/>
  <c r="B1963" i="12"/>
  <c r="C1963" i="12"/>
  <c r="D1963" i="12"/>
  <c r="E1963" i="12"/>
  <c r="F1963" i="12"/>
  <c r="G1963" i="12"/>
  <c r="H1963" i="12"/>
  <c r="I1963" i="12"/>
  <c r="J1963" i="12"/>
  <c r="K1963" i="12"/>
  <c r="L1963" i="12"/>
  <c r="N1963" i="12" s="1"/>
  <c r="M1963" i="12"/>
  <c r="A1964" i="12"/>
  <c r="B1964" i="12"/>
  <c r="C1964" i="12"/>
  <c r="D1964" i="12"/>
  <c r="E1964" i="12"/>
  <c r="F1964" i="12"/>
  <c r="G1964" i="12"/>
  <c r="I1964" i="12" s="1"/>
  <c r="M1964" i="12" s="1"/>
  <c r="H1964" i="12"/>
  <c r="J1964" i="12"/>
  <c r="K1964" i="12"/>
  <c r="A1965" i="12"/>
  <c r="B1965" i="12"/>
  <c r="C1965" i="12"/>
  <c r="D1965" i="12"/>
  <c r="E1965" i="12"/>
  <c r="F1965" i="12"/>
  <c r="G1965" i="12"/>
  <c r="I1965" i="12" s="1"/>
  <c r="M1965" i="12" s="1"/>
  <c r="H1965" i="12"/>
  <c r="J1965" i="12"/>
  <c r="K1965" i="12"/>
  <c r="L1965" i="12"/>
  <c r="N1965" i="12" s="1"/>
  <c r="A1966" i="12"/>
  <c r="B1966" i="12"/>
  <c r="C1966" i="12"/>
  <c r="D1966" i="12"/>
  <c r="E1966" i="12"/>
  <c r="F1966" i="12"/>
  <c r="G1966" i="12"/>
  <c r="I1966" i="12" s="1"/>
  <c r="M1966" i="12" s="1"/>
  <c r="H1966" i="12"/>
  <c r="J1966" i="12"/>
  <c r="L1966" i="12" s="1"/>
  <c r="N1966" i="12" s="1"/>
  <c r="K1966" i="12"/>
  <c r="A1967" i="12"/>
  <c r="B1967" i="12"/>
  <c r="C1967" i="12"/>
  <c r="D1967" i="12"/>
  <c r="E1967" i="12"/>
  <c r="F1967" i="12"/>
  <c r="G1967" i="12"/>
  <c r="H1967" i="12"/>
  <c r="I1967" i="12" s="1"/>
  <c r="M1967" i="12" s="1"/>
  <c r="J1967" i="12"/>
  <c r="K1967" i="12"/>
  <c r="L1967" i="12"/>
  <c r="N1967" i="12" s="1"/>
  <c r="A1968" i="12"/>
  <c r="B1968" i="12"/>
  <c r="C1968" i="12"/>
  <c r="D1968" i="12"/>
  <c r="E1968" i="12"/>
  <c r="F1968" i="12"/>
  <c r="G1968" i="12"/>
  <c r="H1968" i="12"/>
  <c r="I1968" i="12"/>
  <c r="M1968" i="12" s="1"/>
  <c r="J1968" i="12"/>
  <c r="K1968" i="12"/>
  <c r="A1969" i="12"/>
  <c r="B1969" i="12"/>
  <c r="C1969" i="12"/>
  <c r="D1969" i="12"/>
  <c r="E1969" i="12"/>
  <c r="F1969" i="12"/>
  <c r="G1969" i="12"/>
  <c r="H1969" i="12"/>
  <c r="J1969" i="12"/>
  <c r="K1969" i="12"/>
  <c r="L1969" i="12" s="1"/>
  <c r="N1969" i="12" s="1"/>
  <c r="A1970" i="12"/>
  <c r="B1970" i="12"/>
  <c r="C1970" i="12"/>
  <c r="D1970" i="12"/>
  <c r="E1970" i="12"/>
  <c r="F1970" i="12"/>
  <c r="G1970" i="12"/>
  <c r="H1970" i="12"/>
  <c r="I1970" i="12"/>
  <c r="M1970" i="12" s="1"/>
  <c r="J1970" i="12"/>
  <c r="K1970" i="12"/>
  <c r="A1971" i="12"/>
  <c r="B1971" i="12"/>
  <c r="C1971" i="12"/>
  <c r="D1971" i="12"/>
  <c r="E1971" i="12"/>
  <c r="F1971" i="12"/>
  <c r="G1971" i="12"/>
  <c r="H1971" i="12"/>
  <c r="I1971" i="12"/>
  <c r="J1971" i="12"/>
  <c r="K1971" i="12"/>
  <c r="L1971" i="12"/>
  <c r="N1971" i="12" s="1"/>
  <c r="M1971" i="12"/>
  <c r="A1972" i="12"/>
  <c r="B1972" i="12"/>
  <c r="C1972" i="12"/>
  <c r="D1972" i="12"/>
  <c r="E1972" i="12"/>
  <c r="F1972" i="12"/>
  <c r="G1972" i="12"/>
  <c r="H1972" i="12"/>
  <c r="I1972" i="12"/>
  <c r="J1972" i="12"/>
  <c r="K1972" i="12"/>
  <c r="M1972" i="12"/>
  <c r="A1973" i="12"/>
  <c r="B1973" i="12"/>
  <c r="C1973" i="12"/>
  <c r="D1973" i="12"/>
  <c r="E1973" i="12"/>
  <c r="F1973" i="12"/>
  <c r="G1973" i="12"/>
  <c r="I1973" i="12" s="1"/>
  <c r="M1973" i="12" s="1"/>
  <c r="H1973" i="12"/>
  <c r="J1973" i="12"/>
  <c r="K1973" i="12"/>
  <c r="L1973" i="12"/>
  <c r="N1973" i="12" s="1"/>
  <c r="A1974" i="12"/>
  <c r="B1974" i="12"/>
  <c r="C1974" i="12"/>
  <c r="D1974" i="12"/>
  <c r="E1974" i="12"/>
  <c r="F1974" i="12"/>
  <c r="G1974" i="12"/>
  <c r="H1974" i="12"/>
  <c r="I1974" i="12"/>
  <c r="M1974" i="12" s="1"/>
  <c r="J1974" i="12"/>
  <c r="L1974" i="12" s="1"/>
  <c r="K1974" i="12"/>
  <c r="N1974" i="12"/>
  <c r="A1975" i="12"/>
  <c r="B1975" i="12"/>
  <c r="C1975" i="12"/>
  <c r="D1975" i="12"/>
  <c r="E1975" i="12"/>
  <c r="F1975" i="12"/>
  <c r="G1975" i="12"/>
  <c r="H1975" i="12"/>
  <c r="I1975" i="12" s="1"/>
  <c r="M1975" i="12" s="1"/>
  <c r="J1975" i="12"/>
  <c r="K1975" i="12"/>
  <c r="L1975" i="12"/>
  <c r="N1975" i="12" s="1"/>
  <c r="A1976" i="12"/>
  <c r="B1976" i="12"/>
  <c r="C1976" i="12"/>
  <c r="D1976" i="12"/>
  <c r="E1976" i="12"/>
  <c r="F1976" i="12"/>
  <c r="G1976" i="12"/>
  <c r="I1976" i="12" s="1"/>
  <c r="M1976" i="12" s="1"/>
  <c r="H1976" i="12"/>
  <c r="J1976" i="12"/>
  <c r="K1976" i="12"/>
  <c r="A1977" i="12"/>
  <c r="B1977" i="12"/>
  <c r="C1977" i="12"/>
  <c r="D1977" i="12"/>
  <c r="E1977" i="12"/>
  <c r="F1977" i="12"/>
  <c r="G1977" i="12"/>
  <c r="I1977" i="12" s="1"/>
  <c r="M1977" i="12" s="1"/>
  <c r="H1977" i="12"/>
  <c r="J1977" i="12"/>
  <c r="K1977" i="12"/>
  <c r="L1977" i="12" s="1"/>
  <c r="N1977" i="12" s="1"/>
  <c r="A1978" i="12"/>
  <c r="B1978" i="12"/>
  <c r="C1978" i="12"/>
  <c r="D1978" i="12"/>
  <c r="E1978" i="12"/>
  <c r="F1978" i="12"/>
  <c r="G1978" i="12"/>
  <c r="I1978" i="12" s="1"/>
  <c r="M1978" i="12" s="1"/>
  <c r="H1978" i="12"/>
  <c r="J1978" i="12"/>
  <c r="K1978" i="12"/>
  <c r="A1979" i="12"/>
  <c r="B1979" i="12"/>
  <c r="C1979" i="12"/>
  <c r="D1979" i="12"/>
  <c r="E1979" i="12"/>
  <c r="F1979" i="12"/>
  <c r="G1979" i="12"/>
  <c r="H1979" i="12"/>
  <c r="I1979" i="12"/>
  <c r="J1979" i="12"/>
  <c r="K1979" i="12"/>
  <c r="L1979" i="12"/>
  <c r="N1979" i="12" s="1"/>
  <c r="M1979" i="12"/>
  <c r="A1980" i="12"/>
  <c r="B1980" i="12"/>
  <c r="C1980" i="12"/>
  <c r="D1980" i="12"/>
  <c r="E1980" i="12"/>
  <c r="F1980" i="12"/>
  <c r="G1980" i="12"/>
  <c r="I1980" i="12" s="1"/>
  <c r="M1980" i="12" s="1"/>
  <c r="H1980" i="12"/>
  <c r="J1980" i="12"/>
  <c r="K1980" i="12"/>
  <c r="A1981" i="12"/>
  <c r="B1981" i="12"/>
  <c r="C1981" i="12"/>
  <c r="D1981" i="12"/>
  <c r="E1981" i="12"/>
  <c r="F1981" i="12"/>
  <c r="G1981" i="12"/>
  <c r="I1981" i="12" s="1"/>
  <c r="M1981" i="12" s="1"/>
  <c r="H1981" i="12"/>
  <c r="J1981" i="12"/>
  <c r="K1981" i="12"/>
  <c r="L1981" i="12"/>
  <c r="N1981" i="12" s="1"/>
  <c r="A1982" i="12"/>
  <c r="B1982" i="12"/>
  <c r="C1982" i="12"/>
  <c r="D1982" i="12"/>
  <c r="E1982" i="12"/>
  <c r="F1982" i="12"/>
  <c r="G1982" i="12"/>
  <c r="I1982" i="12" s="1"/>
  <c r="M1982" i="12" s="1"/>
  <c r="H1982" i="12"/>
  <c r="J1982" i="12"/>
  <c r="L1982" i="12" s="1"/>
  <c r="N1982" i="12" s="1"/>
  <c r="K1982" i="12"/>
  <c r="A1983" i="12"/>
  <c r="B1983" i="12"/>
  <c r="C1983" i="12"/>
  <c r="D1983" i="12"/>
  <c r="E1983" i="12"/>
  <c r="F1983" i="12"/>
  <c r="G1983" i="12"/>
  <c r="H1983" i="12"/>
  <c r="I1983" i="12" s="1"/>
  <c r="M1983" i="12" s="1"/>
  <c r="J1983" i="12"/>
  <c r="K1983" i="12"/>
  <c r="L1983" i="12"/>
  <c r="N1983" i="12" s="1"/>
  <c r="A1984" i="12"/>
  <c r="B1984" i="12"/>
  <c r="C1984" i="12"/>
  <c r="D1984" i="12"/>
  <c r="E1984" i="12"/>
  <c r="F1984" i="12"/>
  <c r="G1984" i="12"/>
  <c r="H1984" i="12"/>
  <c r="I1984" i="12"/>
  <c r="M1984" i="12" s="1"/>
  <c r="J1984" i="12"/>
  <c r="K1984" i="12"/>
  <c r="A1985" i="12"/>
  <c r="B1985" i="12"/>
  <c r="C1985" i="12"/>
  <c r="D1985" i="12"/>
  <c r="E1985" i="12"/>
  <c r="F1985" i="12"/>
  <c r="G1985" i="12"/>
  <c r="H1985" i="12"/>
  <c r="J1985" i="12"/>
  <c r="K1985" i="12"/>
  <c r="L1985" i="12" s="1"/>
  <c r="N1985" i="12" s="1"/>
  <c r="A1986" i="12"/>
  <c r="B1986" i="12"/>
  <c r="C1986" i="12"/>
  <c r="D1986" i="12"/>
  <c r="E1986" i="12"/>
  <c r="F1986" i="12"/>
  <c r="G1986" i="12"/>
  <c r="H1986" i="12"/>
  <c r="I1986" i="12"/>
  <c r="M1986" i="12" s="1"/>
  <c r="J1986" i="12"/>
  <c r="K1986" i="12"/>
  <c r="A1987" i="12"/>
  <c r="B1987" i="12"/>
  <c r="C1987" i="12"/>
  <c r="D1987" i="12"/>
  <c r="E1987" i="12"/>
  <c r="F1987" i="12"/>
  <c r="G1987" i="12"/>
  <c r="H1987" i="12"/>
  <c r="I1987" i="12"/>
  <c r="J1987" i="12"/>
  <c r="K1987" i="12"/>
  <c r="L1987" i="12"/>
  <c r="N1987" i="12" s="1"/>
  <c r="M1987" i="12"/>
  <c r="A1988" i="12"/>
  <c r="B1988" i="12"/>
  <c r="C1988" i="12"/>
  <c r="D1988" i="12"/>
  <c r="E1988" i="12"/>
  <c r="F1988" i="12"/>
  <c r="G1988" i="12"/>
  <c r="H1988" i="12"/>
  <c r="I1988" i="12"/>
  <c r="J1988" i="12"/>
  <c r="K1988" i="12"/>
  <c r="M1988" i="12"/>
  <c r="A1989" i="12"/>
  <c r="B1989" i="12"/>
  <c r="C1989" i="12"/>
  <c r="D1989" i="12"/>
  <c r="E1989" i="12"/>
  <c r="F1989" i="12"/>
  <c r="G1989" i="12"/>
  <c r="I1989" i="12" s="1"/>
  <c r="M1989" i="12" s="1"/>
  <c r="H1989" i="12"/>
  <c r="J1989" i="12"/>
  <c r="K1989" i="12"/>
  <c r="L1989" i="12"/>
  <c r="N1989" i="12" s="1"/>
  <c r="A1990" i="12"/>
  <c r="B1990" i="12"/>
  <c r="C1990" i="12"/>
  <c r="D1990" i="12"/>
  <c r="E1990" i="12"/>
  <c r="F1990" i="12"/>
  <c r="G1990" i="12"/>
  <c r="H1990" i="12"/>
  <c r="I1990" i="12"/>
  <c r="M1990" i="12" s="1"/>
  <c r="J1990" i="12"/>
  <c r="L1990" i="12" s="1"/>
  <c r="K1990" i="12"/>
  <c r="N1990" i="12"/>
  <c r="A1991" i="12"/>
  <c r="B1991" i="12"/>
  <c r="C1991" i="12"/>
  <c r="D1991" i="12"/>
  <c r="E1991" i="12"/>
  <c r="F1991" i="12"/>
  <c r="G1991" i="12"/>
  <c r="H1991" i="12"/>
  <c r="I1991" i="12" s="1"/>
  <c r="M1991" i="12" s="1"/>
  <c r="J1991" i="12"/>
  <c r="K1991" i="12"/>
  <c r="L1991" i="12"/>
  <c r="N1991" i="12" s="1"/>
  <c r="A1992" i="12"/>
  <c r="B1992" i="12"/>
  <c r="C1992" i="12"/>
  <c r="D1992" i="12"/>
  <c r="E1992" i="12"/>
  <c r="F1992" i="12"/>
  <c r="G1992" i="12"/>
  <c r="I1992" i="12" s="1"/>
  <c r="M1992" i="12" s="1"/>
  <c r="H1992" i="12"/>
  <c r="J1992" i="12"/>
  <c r="K1992" i="12"/>
  <c r="A1993" i="12"/>
  <c r="B1993" i="12"/>
  <c r="C1993" i="12"/>
  <c r="D1993" i="12"/>
  <c r="E1993" i="12"/>
  <c r="F1993" i="12"/>
  <c r="G1993" i="12"/>
  <c r="I1993" i="12" s="1"/>
  <c r="M1993" i="12" s="1"/>
  <c r="H1993" i="12"/>
  <c r="J1993" i="12"/>
  <c r="K1993" i="12"/>
  <c r="L1993" i="12" s="1"/>
  <c r="N1993" i="12" s="1"/>
  <c r="A1994" i="12"/>
  <c r="B1994" i="12"/>
  <c r="C1994" i="12"/>
  <c r="D1994" i="12"/>
  <c r="E1994" i="12"/>
  <c r="F1994" i="12"/>
  <c r="G1994" i="12"/>
  <c r="I1994" i="12" s="1"/>
  <c r="M1994" i="12" s="1"/>
  <c r="H1994" i="12"/>
  <c r="J1994" i="12"/>
  <c r="K1994" i="12"/>
  <c r="A1995" i="12"/>
  <c r="B1995" i="12"/>
  <c r="C1995" i="12"/>
  <c r="D1995" i="12"/>
  <c r="E1995" i="12"/>
  <c r="F1995" i="12"/>
  <c r="G1995" i="12"/>
  <c r="H1995" i="12"/>
  <c r="I1995" i="12"/>
  <c r="J1995" i="12"/>
  <c r="K1995" i="12"/>
  <c r="L1995" i="12"/>
  <c r="N1995" i="12" s="1"/>
  <c r="M1995" i="12"/>
  <c r="A1996" i="12"/>
  <c r="B1996" i="12"/>
  <c r="C1996" i="12"/>
  <c r="D1996" i="12"/>
  <c r="E1996" i="12"/>
  <c r="F1996" i="12"/>
  <c r="G1996" i="12"/>
  <c r="I1996" i="12" s="1"/>
  <c r="M1996" i="12" s="1"/>
  <c r="H1996" i="12"/>
  <c r="J1996" i="12"/>
  <c r="K1996" i="12"/>
  <c r="A1997" i="12"/>
  <c r="B1997" i="12"/>
  <c r="C1997" i="12"/>
  <c r="D1997" i="12"/>
  <c r="E1997" i="12"/>
  <c r="F1997" i="12"/>
  <c r="G1997" i="12"/>
  <c r="I1997" i="12" s="1"/>
  <c r="M1997" i="12" s="1"/>
  <c r="H1997" i="12"/>
  <c r="J1997" i="12"/>
  <c r="K1997" i="12"/>
  <c r="L1997" i="12"/>
  <c r="N1997" i="12" s="1"/>
  <c r="A1998" i="12"/>
  <c r="B1998" i="12"/>
  <c r="C1998" i="12"/>
  <c r="D1998" i="12"/>
  <c r="E1998" i="12"/>
  <c r="F1998" i="12"/>
  <c r="G1998" i="12"/>
  <c r="I1998" i="12" s="1"/>
  <c r="M1998" i="12" s="1"/>
  <c r="H1998" i="12"/>
  <c r="J1998" i="12"/>
  <c r="L1998" i="12" s="1"/>
  <c r="N1998" i="12" s="1"/>
  <c r="K1998" i="12"/>
  <c r="A1999" i="12"/>
  <c r="B1999" i="12"/>
  <c r="C1999" i="12"/>
  <c r="D1999" i="12"/>
  <c r="E1999" i="12"/>
  <c r="F1999" i="12"/>
  <c r="G1999" i="12"/>
  <c r="H1999" i="12"/>
  <c r="I1999" i="12" s="1"/>
  <c r="M1999" i="12" s="1"/>
  <c r="J1999" i="12"/>
  <c r="K1999" i="12"/>
  <c r="L1999" i="12"/>
  <c r="N1999" i="12" s="1"/>
  <c r="A2000" i="12"/>
  <c r="B2000" i="12"/>
  <c r="C2000" i="12"/>
  <c r="D2000" i="12"/>
  <c r="E2000" i="12"/>
  <c r="F2000" i="12"/>
  <c r="G2000" i="12"/>
  <c r="H2000" i="12"/>
  <c r="I2000" i="12"/>
  <c r="M2000" i="12" s="1"/>
  <c r="J2000" i="12"/>
  <c r="K2000" i="12"/>
  <c r="A2001" i="12"/>
  <c r="B2001" i="12"/>
  <c r="C2001" i="12"/>
  <c r="D2001" i="12"/>
  <c r="E2001" i="12"/>
  <c r="F2001" i="12"/>
  <c r="G2001" i="12"/>
  <c r="H2001" i="12"/>
  <c r="J2001" i="12"/>
  <c r="K2001" i="12"/>
  <c r="L2001" i="12" s="1"/>
  <c r="N2001" i="12" s="1"/>
  <c r="A2002" i="12"/>
  <c r="B2002" i="12"/>
  <c r="C2002" i="12"/>
  <c r="D2002" i="12"/>
  <c r="E2002" i="12"/>
  <c r="F2002" i="12"/>
  <c r="G2002" i="12"/>
  <c r="H2002" i="12"/>
  <c r="I2002" i="12"/>
  <c r="M2002" i="12" s="1"/>
  <c r="J2002" i="12"/>
  <c r="K2002" i="12"/>
  <c r="A2003" i="12"/>
  <c r="B2003" i="12"/>
  <c r="C2003" i="12"/>
  <c r="D2003" i="12"/>
  <c r="E2003" i="12"/>
  <c r="F2003" i="12"/>
  <c r="G2003" i="12"/>
  <c r="H2003" i="12"/>
  <c r="I2003" i="12"/>
  <c r="J2003" i="12"/>
  <c r="K2003" i="12"/>
  <c r="L2003" i="12"/>
  <c r="N2003" i="12" s="1"/>
  <c r="M2003" i="12"/>
  <c r="A2004" i="12"/>
  <c r="B2004" i="12"/>
  <c r="C2004" i="12"/>
  <c r="D2004" i="12"/>
  <c r="E2004" i="12"/>
  <c r="F2004" i="12"/>
  <c r="G2004" i="12"/>
  <c r="H2004" i="12"/>
  <c r="I2004" i="12"/>
  <c r="J2004" i="12"/>
  <c r="K2004" i="12"/>
  <c r="M2004" i="12"/>
  <c r="A2005" i="12"/>
  <c r="B2005" i="12"/>
  <c r="C2005" i="12"/>
  <c r="D2005" i="12"/>
  <c r="E2005" i="12"/>
  <c r="F2005" i="12"/>
  <c r="G2005" i="12"/>
  <c r="I2005" i="12" s="1"/>
  <c r="M2005" i="12" s="1"/>
  <c r="H2005" i="12"/>
  <c r="J2005" i="12"/>
  <c r="K2005" i="12"/>
  <c r="L2005" i="12"/>
  <c r="N2005" i="12" s="1"/>
  <c r="A2006" i="12"/>
  <c r="B2006" i="12"/>
  <c r="C2006" i="12"/>
  <c r="D2006" i="12"/>
  <c r="E2006" i="12"/>
  <c r="F2006" i="12"/>
  <c r="G2006" i="12"/>
  <c r="H2006" i="12"/>
  <c r="I2006" i="12"/>
  <c r="M2006" i="12" s="1"/>
  <c r="J2006" i="12"/>
  <c r="L2006" i="12" s="1"/>
  <c r="K2006" i="12"/>
  <c r="N2006" i="12"/>
  <c r="A2007" i="12"/>
  <c r="B2007" i="12"/>
  <c r="C2007" i="12"/>
  <c r="D2007" i="12"/>
  <c r="E2007" i="12"/>
  <c r="F2007" i="12"/>
  <c r="G2007" i="12"/>
  <c r="H2007" i="12"/>
  <c r="I2007" i="12" s="1"/>
  <c r="M2007" i="12" s="1"/>
  <c r="J2007" i="12"/>
  <c r="K2007" i="12"/>
  <c r="L2007" i="12"/>
  <c r="N2007" i="12" s="1"/>
  <c r="A2008" i="12"/>
  <c r="B2008" i="12"/>
  <c r="C2008" i="12"/>
  <c r="D2008" i="12"/>
  <c r="E2008" i="12"/>
  <c r="F2008" i="12"/>
  <c r="G2008" i="12"/>
  <c r="I2008" i="12" s="1"/>
  <c r="M2008" i="12" s="1"/>
  <c r="H2008" i="12"/>
  <c r="J2008" i="12"/>
  <c r="K2008" i="12"/>
  <c r="A2009" i="12"/>
  <c r="B2009" i="12"/>
  <c r="C2009" i="12"/>
  <c r="D2009" i="12"/>
  <c r="E2009" i="12"/>
  <c r="F2009" i="12"/>
  <c r="G2009" i="12"/>
  <c r="I2009" i="12" s="1"/>
  <c r="M2009" i="12" s="1"/>
  <c r="H2009" i="12"/>
  <c r="J2009" i="12"/>
  <c r="K2009" i="12"/>
  <c r="L2009" i="12" s="1"/>
  <c r="N2009" i="12" s="1"/>
  <c r="A2010" i="12"/>
  <c r="B2010" i="12"/>
  <c r="C2010" i="12"/>
  <c r="D2010" i="12"/>
  <c r="E2010" i="12"/>
  <c r="F2010" i="12"/>
  <c r="G2010" i="12"/>
  <c r="I2010" i="12" s="1"/>
  <c r="M2010" i="12" s="1"/>
  <c r="H2010" i="12"/>
  <c r="J2010" i="12"/>
  <c r="K2010" i="12"/>
  <c r="A2011" i="12"/>
  <c r="B2011" i="12"/>
  <c r="C2011" i="12"/>
  <c r="D2011" i="12"/>
  <c r="E2011" i="12"/>
  <c r="F2011" i="12"/>
  <c r="G2011" i="12"/>
  <c r="H2011" i="12"/>
  <c r="I2011" i="12"/>
  <c r="J2011" i="12"/>
  <c r="K2011" i="12"/>
  <c r="L2011" i="12"/>
  <c r="N2011" i="12" s="1"/>
  <c r="M2011" i="12"/>
  <c r="A2012" i="12"/>
  <c r="B2012" i="12"/>
  <c r="C2012" i="12"/>
  <c r="D2012" i="12"/>
  <c r="E2012" i="12"/>
  <c r="F2012" i="12"/>
  <c r="G2012" i="12"/>
  <c r="I2012" i="12" s="1"/>
  <c r="M2012" i="12" s="1"/>
  <c r="H2012" i="12"/>
  <c r="J2012" i="12"/>
  <c r="K2012" i="12"/>
  <c r="A2013" i="12"/>
  <c r="B2013" i="12"/>
  <c r="C2013" i="12"/>
  <c r="D2013" i="12"/>
  <c r="E2013" i="12"/>
  <c r="F2013" i="12"/>
  <c r="G2013" i="12"/>
  <c r="I2013" i="12" s="1"/>
  <c r="M2013" i="12" s="1"/>
  <c r="H2013" i="12"/>
  <c r="J2013" i="12"/>
  <c r="K2013" i="12"/>
  <c r="L2013" i="12"/>
  <c r="N2013" i="12" s="1"/>
  <c r="A2014" i="12"/>
  <c r="B2014" i="12"/>
  <c r="C2014" i="12"/>
  <c r="D2014" i="12"/>
  <c r="E2014" i="12"/>
  <c r="F2014" i="12"/>
  <c r="G2014" i="12"/>
  <c r="I2014" i="12" s="1"/>
  <c r="M2014" i="12" s="1"/>
  <c r="H2014" i="12"/>
  <c r="J2014" i="12"/>
  <c r="L2014" i="12" s="1"/>
  <c r="N2014" i="12" s="1"/>
  <c r="K2014" i="12"/>
  <c r="A2015" i="12"/>
  <c r="B2015" i="12"/>
  <c r="C2015" i="12"/>
  <c r="D2015" i="12"/>
  <c r="E2015" i="12"/>
  <c r="F2015" i="12"/>
  <c r="G2015" i="12"/>
  <c r="H2015" i="12"/>
  <c r="I2015" i="12" s="1"/>
  <c r="M2015" i="12" s="1"/>
  <c r="J2015" i="12"/>
  <c r="K2015" i="12"/>
  <c r="L2015" i="12"/>
  <c r="N2015" i="12" s="1"/>
  <c r="A2016" i="12"/>
  <c r="B2016" i="12"/>
  <c r="C2016" i="12"/>
  <c r="D2016" i="12"/>
  <c r="E2016" i="12"/>
  <c r="F2016" i="12"/>
  <c r="G2016" i="12"/>
  <c r="H2016" i="12"/>
  <c r="I2016" i="12"/>
  <c r="M2016" i="12" s="1"/>
  <c r="J2016" i="12"/>
  <c r="K2016" i="12"/>
  <c r="A2017" i="12"/>
  <c r="B2017" i="12"/>
  <c r="C2017" i="12"/>
  <c r="D2017" i="12"/>
  <c r="E2017" i="12"/>
  <c r="F2017" i="12"/>
  <c r="G2017" i="12"/>
  <c r="H2017" i="12"/>
  <c r="J2017" i="12"/>
  <c r="K2017" i="12"/>
  <c r="L2017" i="12" s="1"/>
  <c r="N2017" i="12" s="1"/>
  <c r="A2018" i="12"/>
  <c r="B2018" i="12"/>
  <c r="C2018" i="12"/>
  <c r="D2018" i="12"/>
  <c r="E2018" i="12"/>
  <c r="F2018" i="12"/>
  <c r="G2018" i="12"/>
  <c r="H2018" i="12"/>
  <c r="I2018" i="12"/>
  <c r="M2018" i="12" s="1"/>
  <c r="J2018" i="12"/>
  <c r="K2018" i="12"/>
  <c r="A2019" i="12"/>
  <c r="B2019" i="12"/>
  <c r="C2019" i="12"/>
  <c r="D2019" i="12"/>
  <c r="E2019" i="12"/>
  <c r="F2019" i="12"/>
  <c r="G2019" i="12"/>
  <c r="H2019" i="12"/>
  <c r="I2019" i="12"/>
  <c r="J2019" i="12"/>
  <c r="K2019" i="12"/>
  <c r="L2019" i="12"/>
  <c r="N2019" i="12" s="1"/>
  <c r="M2019" i="12"/>
  <c r="A2020" i="12"/>
  <c r="B2020" i="12"/>
  <c r="C2020" i="12"/>
  <c r="D2020" i="12"/>
  <c r="E2020" i="12"/>
  <c r="F2020" i="12"/>
  <c r="G2020" i="12"/>
  <c r="H2020" i="12"/>
  <c r="I2020" i="12"/>
  <c r="J2020" i="12"/>
  <c r="K2020" i="12"/>
  <c r="M2020" i="12"/>
  <c r="A2021" i="12"/>
  <c r="B2021" i="12"/>
  <c r="C2021" i="12"/>
  <c r="D2021" i="12"/>
  <c r="E2021" i="12"/>
  <c r="F2021" i="12"/>
  <c r="G2021" i="12"/>
  <c r="I2021" i="12" s="1"/>
  <c r="M2021" i="12" s="1"/>
  <c r="H2021" i="12"/>
  <c r="J2021" i="12"/>
  <c r="K2021" i="12"/>
  <c r="L2021" i="12"/>
  <c r="N2021" i="12" s="1"/>
  <c r="A2022" i="12"/>
  <c r="B2022" i="12"/>
  <c r="C2022" i="12"/>
  <c r="D2022" i="12"/>
  <c r="E2022" i="12"/>
  <c r="F2022" i="12"/>
  <c r="G2022" i="12"/>
  <c r="H2022" i="12"/>
  <c r="I2022" i="12"/>
  <c r="M2022" i="12" s="1"/>
  <c r="J2022" i="12"/>
  <c r="L2022" i="12" s="1"/>
  <c r="K2022" i="12"/>
  <c r="N2022" i="12"/>
  <c r="A2023" i="12"/>
  <c r="B2023" i="12"/>
  <c r="C2023" i="12"/>
  <c r="D2023" i="12"/>
  <c r="E2023" i="12"/>
  <c r="F2023" i="12"/>
  <c r="G2023" i="12"/>
  <c r="H2023" i="12"/>
  <c r="I2023" i="12" s="1"/>
  <c r="M2023" i="12" s="1"/>
  <c r="J2023" i="12"/>
  <c r="K2023" i="12"/>
  <c r="L2023" i="12"/>
  <c r="N2023" i="12" s="1"/>
  <c r="A2024" i="12"/>
  <c r="B2024" i="12"/>
  <c r="C2024" i="12"/>
  <c r="D2024" i="12"/>
  <c r="E2024" i="12"/>
  <c r="F2024" i="12"/>
  <c r="G2024" i="12"/>
  <c r="I2024" i="12" s="1"/>
  <c r="M2024" i="12" s="1"/>
  <c r="H2024" i="12"/>
  <c r="J2024" i="12"/>
  <c r="K2024" i="12"/>
  <c r="A2025" i="12"/>
  <c r="B2025" i="12"/>
  <c r="C2025" i="12"/>
  <c r="D2025" i="12"/>
  <c r="E2025" i="12"/>
  <c r="F2025" i="12"/>
  <c r="G2025" i="12"/>
  <c r="I2025" i="12" s="1"/>
  <c r="M2025" i="12" s="1"/>
  <c r="H2025" i="12"/>
  <c r="J2025" i="12"/>
  <c r="K2025" i="12"/>
  <c r="L2025" i="12" s="1"/>
  <c r="N2025" i="12" s="1"/>
  <c r="A2026" i="12"/>
  <c r="B2026" i="12"/>
  <c r="C2026" i="12"/>
  <c r="D2026" i="12"/>
  <c r="E2026" i="12"/>
  <c r="F2026" i="12"/>
  <c r="G2026" i="12"/>
  <c r="I2026" i="12" s="1"/>
  <c r="M2026" i="12" s="1"/>
  <c r="H2026" i="12"/>
  <c r="J2026" i="12"/>
  <c r="K2026" i="12"/>
  <c r="A2027" i="12"/>
  <c r="B2027" i="12"/>
  <c r="C2027" i="12"/>
  <c r="D2027" i="12"/>
  <c r="E2027" i="12"/>
  <c r="F2027" i="12"/>
  <c r="G2027" i="12"/>
  <c r="H2027" i="12"/>
  <c r="I2027" i="12"/>
  <c r="J2027" i="12"/>
  <c r="K2027" i="12"/>
  <c r="L2027" i="12"/>
  <c r="N2027" i="12" s="1"/>
  <c r="M2027" i="12"/>
  <c r="A2028" i="12"/>
  <c r="B2028" i="12"/>
  <c r="C2028" i="12"/>
  <c r="D2028" i="12"/>
  <c r="E2028" i="12"/>
  <c r="F2028" i="12"/>
  <c r="G2028" i="12"/>
  <c r="I2028" i="12" s="1"/>
  <c r="M2028" i="12" s="1"/>
  <c r="H2028" i="12"/>
  <c r="J2028" i="12"/>
  <c r="K2028" i="12"/>
  <c r="A2029" i="12"/>
  <c r="B2029" i="12"/>
  <c r="C2029" i="12"/>
  <c r="D2029" i="12"/>
  <c r="E2029" i="12"/>
  <c r="F2029" i="12"/>
  <c r="G2029" i="12"/>
  <c r="I2029" i="12" s="1"/>
  <c r="M2029" i="12" s="1"/>
  <c r="H2029" i="12"/>
  <c r="J2029" i="12"/>
  <c r="K2029" i="12"/>
  <c r="L2029" i="12"/>
  <c r="N2029" i="12" s="1"/>
  <c r="A2030" i="12"/>
  <c r="B2030" i="12"/>
  <c r="C2030" i="12"/>
  <c r="D2030" i="12"/>
  <c r="E2030" i="12"/>
  <c r="F2030" i="12"/>
  <c r="G2030" i="12"/>
  <c r="I2030" i="12" s="1"/>
  <c r="M2030" i="12" s="1"/>
  <c r="H2030" i="12"/>
  <c r="J2030" i="12"/>
  <c r="L2030" i="12" s="1"/>
  <c r="N2030" i="12" s="1"/>
  <c r="K2030" i="12"/>
  <c r="A2031" i="12"/>
  <c r="B2031" i="12"/>
  <c r="C2031" i="12"/>
  <c r="D2031" i="12"/>
  <c r="E2031" i="12"/>
  <c r="F2031" i="12"/>
  <c r="G2031" i="12"/>
  <c r="H2031" i="12"/>
  <c r="I2031" i="12" s="1"/>
  <c r="M2031" i="12" s="1"/>
  <c r="J2031" i="12"/>
  <c r="K2031" i="12"/>
  <c r="L2031" i="12"/>
  <c r="N2031" i="12" s="1"/>
  <c r="A2032" i="12"/>
  <c r="B2032" i="12"/>
  <c r="C2032" i="12"/>
  <c r="D2032" i="12"/>
  <c r="E2032" i="12"/>
  <c r="F2032" i="12"/>
  <c r="G2032" i="12"/>
  <c r="H2032" i="12"/>
  <c r="I2032" i="12"/>
  <c r="M2032" i="12" s="1"/>
  <c r="J2032" i="12"/>
  <c r="K2032" i="12"/>
  <c r="A2033" i="12"/>
  <c r="B2033" i="12"/>
  <c r="C2033" i="12"/>
  <c r="D2033" i="12"/>
  <c r="E2033" i="12"/>
  <c r="F2033" i="12"/>
  <c r="G2033" i="12"/>
  <c r="H2033" i="12"/>
  <c r="J2033" i="12"/>
  <c r="K2033" i="12"/>
  <c r="L2033" i="12" s="1"/>
  <c r="N2033" i="12" s="1"/>
  <c r="A2034" i="12"/>
  <c r="B2034" i="12"/>
  <c r="C2034" i="12"/>
  <c r="D2034" i="12"/>
  <c r="E2034" i="12"/>
  <c r="F2034" i="12"/>
  <c r="G2034" i="12"/>
  <c r="H2034" i="12"/>
  <c r="I2034" i="12"/>
  <c r="M2034" i="12" s="1"/>
  <c r="J2034" i="12"/>
  <c r="K2034" i="12"/>
  <c r="A2035" i="12"/>
  <c r="B2035" i="12"/>
  <c r="C2035" i="12"/>
  <c r="D2035" i="12"/>
  <c r="E2035" i="12"/>
  <c r="F2035" i="12"/>
  <c r="G2035" i="12"/>
  <c r="H2035" i="12"/>
  <c r="I2035" i="12"/>
  <c r="J2035" i="12"/>
  <c r="K2035" i="12"/>
  <c r="L2035" i="12"/>
  <c r="N2035" i="12" s="1"/>
  <c r="M2035" i="12"/>
  <c r="A2036" i="12"/>
  <c r="B2036" i="12"/>
  <c r="C2036" i="12"/>
  <c r="D2036" i="12"/>
  <c r="E2036" i="12"/>
  <c r="F2036" i="12"/>
  <c r="G2036" i="12"/>
  <c r="H2036" i="12"/>
  <c r="I2036" i="12"/>
  <c r="J2036" i="12"/>
  <c r="K2036" i="12"/>
  <c r="M2036" i="12"/>
  <c r="A2037" i="12"/>
  <c r="B2037" i="12"/>
  <c r="C2037" i="12"/>
  <c r="D2037" i="12"/>
  <c r="E2037" i="12"/>
  <c r="F2037" i="12"/>
  <c r="G2037" i="12"/>
  <c r="I2037" i="12" s="1"/>
  <c r="M2037" i="12" s="1"/>
  <c r="H2037" i="12"/>
  <c r="J2037" i="12"/>
  <c r="K2037" i="12"/>
  <c r="L2037" i="12"/>
  <c r="N2037" i="12" s="1"/>
  <c r="A2038" i="12"/>
  <c r="B2038" i="12"/>
  <c r="C2038" i="12"/>
  <c r="D2038" i="12"/>
  <c r="E2038" i="12"/>
  <c r="F2038" i="12"/>
  <c r="G2038" i="12"/>
  <c r="H2038" i="12"/>
  <c r="I2038" i="12"/>
  <c r="M2038" i="12" s="1"/>
  <c r="J2038" i="12"/>
  <c r="L2038" i="12" s="1"/>
  <c r="K2038" i="12"/>
  <c r="N2038" i="12"/>
  <c r="A2039" i="12"/>
  <c r="B2039" i="12"/>
  <c r="C2039" i="12"/>
  <c r="D2039" i="12"/>
  <c r="E2039" i="12"/>
  <c r="F2039" i="12"/>
  <c r="G2039" i="12"/>
  <c r="H2039" i="12"/>
  <c r="I2039" i="12" s="1"/>
  <c r="M2039" i="12" s="1"/>
  <c r="J2039" i="12"/>
  <c r="K2039" i="12"/>
  <c r="L2039" i="12"/>
  <c r="N2039" i="12" s="1"/>
  <c r="A2040" i="12"/>
  <c r="B2040" i="12"/>
  <c r="C2040" i="12"/>
  <c r="D2040" i="12"/>
  <c r="E2040" i="12"/>
  <c r="F2040" i="12"/>
  <c r="G2040" i="12"/>
  <c r="I2040" i="12" s="1"/>
  <c r="M2040" i="12" s="1"/>
  <c r="H2040" i="12"/>
  <c r="J2040" i="12"/>
  <c r="K2040" i="12"/>
  <c r="A2041" i="12"/>
  <c r="B2041" i="12"/>
  <c r="C2041" i="12"/>
  <c r="D2041" i="12"/>
  <c r="E2041" i="12"/>
  <c r="F2041" i="12"/>
  <c r="G2041" i="12"/>
  <c r="I2041" i="12" s="1"/>
  <c r="M2041" i="12" s="1"/>
  <c r="H2041" i="12"/>
  <c r="J2041" i="12"/>
  <c r="K2041" i="12"/>
  <c r="L2041" i="12" s="1"/>
  <c r="N2041" i="12" s="1"/>
  <c r="A2042" i="12"/>
  <c r="B2042" i="12"/>
  <c r="C2042" i="12"/>
  <c r="D2042" i="12"/>
  <c r="E2042" i="12"/>
  <c r="F2042" i="12"/>
  <c r="G2042" i="12"/>
  <c r="I2042" i="12" s="1"/>
  <c r="M2042" i="12" s="1"/>
  <c r="H2042" i="12"/>
  <c r="J2042" i="12"/>
  <c r="K2042" i="12"/>
  <c r="A2043" i="12"/>
  <c r="B2043" i="12"/>
  <c r="C2043" i="12"/>
  <c r="D2043" i="12"/>
  <c r="E2043" i="12"/>
  <c r="F2043" i="12"/>
  <c r="G2043" i="12"/>
  <c r="H2043" i="12"/>
  <c r="I2043" i="12"/>
  <c r="J2043" i="12"/>
  <c r="K2043" i="12"/>
  <c r="L2043" i="12"/>
  <c r="N2043" i="12" s="1"/>
  <c r="M2043" i="12"/>
  <c r="A2044" i="12"/>
  <c r="B2044" i="12"/>
  <c r="C2044" i="12"/>
  <c r="D2044" i="12"/>
  <c r="E2044" i="12"/>
  <c r="F2044" i="12"/>
  <c r="G2044" i="12"/>
  <c r="I2044" i="12" s="1"/>
  <c r="M2044" i="12" s="1"/>
  <c r="H2044" i="12"/>
  <c r="J2044" i="12"/>
  <c r="K2044" i="12"/>
  <c r="A2045" i="12"/>
  <c r="B2045" i="12"/>
  <c r="C2045" i="12"/>
  <c r="D2045" i="12"/>
  <c r="E2045" i="12"/>
  <c r="F2045" i="12"/>
  <c r="G2045" i="12"/>
  <c r="I2045" i="12" s="1"/>
  <c r="M2045" i="12" s="1"/>
  <c r="H2045" i="12"/>
  <c r="J2045" i="12"/>
  <c r="K2045" i="12"/>
  <c r="L2045" i="12"/>
  <c r="N2045" i="12" s="1"/>
  <c r="A2046" i="12"/>
  <c r="B2046" i="12"/>
  <c r="C2046" i="12"/>
  <c r="D2046" i="12"/>
  <c r="E2046" i="12"/>
  <c r="F2046" i="12"/>
  <c r="G2046" i="12"/>
  <c r="I2046" i="12" s="1"/>
  <c r="M2046" i="12" s="1"/>
  <c r="H2046" i="12"/>
  <c r="J2046" i="12"/>
  <c r="L2046" i="12" s="1"/>
  <c r="N2046" i="12" s="1"/>
  <c r="K2046" i="12"/>
  <c r="A2047" i="12"/>
  <c r="B2047" i="12"/>
  <c r="C2047" i="12"/>
  <c r="D2047" i="12"/>
  <c r="E2047" i="12"/>
  <c r="F2047" i="12"/>
  <c r="G2047" i="12"/>
  <c r="H2047" i="12"/>
  <c r="I2047" i="12" s="1"/>
  <c r="M2047" i="12" s="1"/>
  <c r="J2047" i="12"/>
  <c r="K2047" i="12"/>
  <c r="L2047" i="12"/>
  <c r="N2047" i="12" s="1"/>
  <c r="A2048" i="12"/>
  <c r="B2048" i="12"/>
  <c r="C2048" i="12"/>
  <c r="D2048" i="12"/>
  <c r="E2048" i="12"/>
  <c r="F2048" i="12"/>
  <c r="G2048" i="12"/>
  <c r="H2048" i="12"/>
  <c r="I2048" i="12"/>
  <c r="M2048" i="12" s="1"/>
  <c r="J2048" i="12"/>
  <c r="K2048" i="12"/>
  <c r="A2049" i="12"/>
  <c r="B2049" i="12"/>
  <c r="C2049" i="12"/>
  <c r="D2049" i="12"/>
  <c r="E2049" i="12"/>
  <c r="F2049" i="12"/>
  <c r="G2049" i="12"/>
  <c r="H2049" i="12"/>
  <c r="J2049" i="12"/>
  <c r="K2049" i="12"/>
  <c r="L2049" i="12" s="1"/>
  <c r="N2049" i="12" s="1"/>
  <c r="A2050" i="12"/>
  <c r="B2050" i="12"/>
  <c r="C2050" i="12"/>
  <c r="D2050" i="12"/>
  <c r="E2050" i="12"/>
  <c r="F2050" i="12"/>
  <c r="G2050" i="12"/>
  <c r="H2050" i="12"/>
  <c r="I2050" i="12"/>
  <c r="M2050" i="12" s="1"/>
  <c r="J2050" i="12"/>
  <c r="K2050" i="12"/>
  <c r="A2051" i="12"/>
  <c r="B2051" i="12"/>
  <c r="C2051" i="12"/>
  <c r="D2051" i="12"/>
  <c r="E2051" i="12"/>
  <c r="F2051" i="12"/>
  <c r="G2051" i="12"/>
  <c r="H2051" i="12"/>
  <c r="I2051" i="12"/>
  <c r="J2051" i="12"/>
  <c r="K2051" i="12"/>
  <c r="L2051" i="12"/>
  <c r="N2051" i="12" s="1"/>
  <c r="M2051" i="12"/>
  <c r="A2052" i="12"/>
  <c r="B2052" i="12"/>
  <c r="C2052" i="12"/>
  <c r="D2052" i="12"/>
  <c r="E2052" i="12"/>
  <c r="F2052" i="12"/>
  <c r="G2052" i="12"/>
  <c r="H2052" i="12"/>
  <c r="I2052" i="12"/>
  <c r="J2052" i="12"/>
  <c r="K2052" i="12"/>
  <c r="M2052" i="12"/>
  <c r="A2053" i="12"/>
  <c r="B2053" i="12"/>
  <c r="C2053" i="12"/>
  <c r="D2053" i="12"/>
  <c r="E2053" i="12"/>
  <c r="F2053" i="12"/>
  <c r="G2053" i="12"/>
  <c r="I2053" i="12" s="1"/>
  <c r="M2053" i="12" s="1"/>
  <c r="H2053" i="12"/>
  <c r="J2053" i="12"/>
  <c r="K2053" i="12"/>
  <c r="L2053" i="12"/>
  <c r="N2053" i="12" s="1"/>
  <c r="A2054" i="12"/>
  <c r="B2054" i="12"/>
  <c r="C2054" i="12"/>
  <c r="D2054" i="12"/>
  <c r="E2054" i="12"/>
  <c r="F2054" i="12"/>
  <c r="G2054" i="12"/>
  <c r="H2054" i="12"/>
  <c r="I2054" i="12"/>
  <c r="M2054" i="12" s="1"/>
  <c r="J2054" i="12"/>
  <c r="L2054" i="12" s="1"/>
  <c r="K2054" i="12"/>
  <c r="N2054" i="12"/>
  <c r="A2055" i="12"/>
  <c r="B2055" i="12"/>
  <c r="C2055" i="12"/>
  <c r="D2055" i="12"/>
  <c r="E2055" i="12"/>
  <c r="F2055" i="12"/>
  <c r="G2055" i="12"/>
  <c r="H2055" i="12"/>
  <c r="I2055" i="12" s="1"/>
  <c r="M2055" i="12" s="1"/>
  <c r="J2055" i="12"/>
  <c r="K2055" i="12"/>
  <c r="L2055" i="12"/>
  <c r="N2055" i="12" s="1"/>
  <c r="A2056" i="12"/>
  <c r="B2056" i="12"/>
  <c r="C2056" i="12"/>
  <c r="D2056" i="12"/>
  <c r="E2056" i="12"/>
  <c r="F2056" i="12"/>
  <c r="G2056" i="12"/>
  <c r="I2056" i="12" s="1"/>
  <c r="M2056" i="12" s="1"/>
  <c r="H2056" i="12"/>
  <c r="J2056" i="12"/>
  <c r="K2056" i="12"/>
  <c r="A2057" i="12"/>
  <c r="B2057" i="12"/>
  <c r="C2057" i="12"/>
  <c r="D2057" i="12"/>
  <c r="E2057" i="12"/>
  <c r="F2057" i="12"/>
  <c r="G2057" i="12"/>
  <c r="I2057" i="12" s="1"/>
  <c r="M2057" i="12" s="1"/>
  <c r="H2057" i="12"/>
  <c r="J2057" i="12"/>
  <c r="K2057" i="12"/>
  <c r="L2057" i="12" s="1"/>
  <c r="N2057" i="12" s="1"/>
  <c r="A2058" i="12"/>
  <c r="B2058" i="12"/>
  <c r="C2058" i="12"/>
  <c r="D2058" i="12"/>
  <c r="E2058" i="12"/>
  <c r="F2058" i="12"/>
  <c r="G2058" i="12"/>
  <c r="I2058" i="12" s="1"/>
  <c r="M2058" i="12" s="1"/>
  <c r="H2058" i="12"/>
  <c r="J2058" i="12"/>
  <c r="K2058" i="12"/>
  <c r="A2059" i="12"/>
  <c r="B2059" i="12"/>
  <c r="C2059" i="12"/>
  <c r="D2059" i="12"/>
  <c r="E2059" i="12"/>
  <c r="F2059" i="12"/>
  <c r="G2059" i="12"/>
  <c r="H2059" i="12"/>
  <c r="I2059" i="12"/>
  <c r="J2059" i="12"/>
  <c r="K2059" i="12"/>
  <c r="L2059" i="12"/>
  <c r="N2059" i="12" s="1"/>
  <c r="M2059" i="12"/>
  <c r="A2060" i="12"/>
  <c r="B2060" i="12"/>
  <c r="C2060" i="12"/>
  <c r="D2060" i="12"/>
  <c r="E2060" i="12"/>
  <c r="F2060" i="12"/>
  <c r="G2060" i="12"/>
  <c r="I2060" i="12" s="1"/>
  <c r="M2060" i="12" s="1"/>
  <c r="H2060" i="12"/>
  <c r="J2060" i="12"/>
  <c r="K2060" i="12"/>
  <c r="A2061" i="12"/>
  <c r="B2061" i="12"/>
  <c r="C2061" i="12"/>
  <c r="D2061" i="12"/>
  <c r="E2061" i="12"/>
  <c r="F2061" i="12"/>
  <c r="G2061" i="12"/>
  <c r="I2061" i="12" s="1"/>
  <c r="M2061" i="12" s="1"/>
  <c r="H2061" i="12"/>
  <c r="J2061" i="12"/>
  <c r="K2061" i="12"/>
  <c r="L2061" i="12"/>
  <c r="N2061" i="12" s="1"/>
  <c r="A2062" i="12"/>
  <c r="B2062" i="12"/>
  <c r="C2062" i="12"/>
  <c r="D2062" i="12"/>
  <c r="E2062" i="12"/>
  <c r="F2062" i="12"/>
  <c r="G2062" i="12"/>
  <c r="I2062" i="12" s="1"/>
  <c r="M2062" i="12" s="1"/>
  <c r="H2062" i="12"/>
  <c r="J2062" i="12"/>
  <c r="L2062" i="12" s="1"/>
  <c r="N2062" i="12" s="1"/>
  <c r="K2062" i="12"/>
  <c r="A2063" i="12"/>
  <c r="B2063" i="12"/>
  <c r="C2063" i="12"/>
  <c r="D2063" i="12"/>
  <c r="E2063" i="12"/>
  <c r="F2063" i="12"/>
  <c r="G2063" i="12"/>
  <c r="H2063" i="12"/>
  <c r="I2063" i="12" s="1"/>
  <c r="M2063" i="12" s="1"/>
  <c r="J2063" i="12"/>
  <c r="K2063" i="12"/>
  <c r="L2063" i="12"/>
  <c r="N2063" i="12" s="1"/>
  <c r="A2064" i="12"/>
  <c r="B2064" i="12"/>
  <c r="C2064" i="12"/>
  <c r="D2064" i="12"/>
  <c r="E2064" i="12"/>
  <c r="F2064" i="12"/>
  <c r="G2064" i="12"/>
  <c r="H2064" i="12"/>
  <c r="I2064" i="12"/>
  <c r="M2064" i="12" s="1"/>
  <c r="J2064" i="12"/>
  <c r="K2064" i="12"/>
  <c r="A2065" i="12"/>
  <c r="B2065" i="12"/>
  <c r="C2065" i="12"/>
  <c r="D2065" i="12"/>
  <c r="E2065" i="12"/>
  <c r="F2065" i="12"/>
  <c r="G2065" i="12"/>
  <c r="H2065" i="12"/>
  <c r="J2065" i="12"/>
  <c r="K2065" i="12"/>
  <c r="L2065" i="12" s="1"/>
  <c r="N2065" i="12" s="1"/>
  <c r="A2066" i="12"/>
  <c r="B2066" i="12"/>
  <c r="C2066" i="12"/>
  <c r="D2066" i="12"/>
  <c r="E2066" i="12"/>
  <c r="F2066" i="12"/>
  <c r="G2066" i="12"/>
  <c r="H2066" i="12"/>
  <c r="I2066" i="12"/>
  <c r="M2066" i="12" s="1"/>
  <c r="J2066" i="12"/>
  <c r="K2066" i="12"/>
  <c r="A2067" i="12"/>
  <c r="B2067" i="12"/>
  <c r="C2067" i="12"/>
  <c r="D2067" i="12"/>
  <c r="E2067" i="12"/>
  <c r="F2067" i="12"/>
  <c r="G2067" i="12"/>
  <c r="H2067" i="12"/>
  <c r="I2067" i="12"/>
  <c r="J2067" i="12"/>
  <c r="K2067" i="12"/>
  <c r="L2067" i="12"/>
  <c r="N2067" i="12" s="1"/>
  <c r="M2067" i="12"/>
  <c r="A2068" i="12"/>
  <c r="B2068" i="12"/>
  <c r="C2068" i="12"/>
  <c r="D2068" i="12"/>
  <c r="E2068" i="12"/>
  <c r="F2068" i="12"/>
  <c r="G2068" i="12"/>
  <c r="H2068" i="12"/>
  <c r="I2068" i="12"/>
  <c r="J2068" i="12"/>
  <c r="K2068" i="12"/>
  <c r="M2068" i="12"/>
  <c r="A2069" i="12"/>
  <c r="B2069" i="12"/>
  <c r="C2069" i="12"/>
  <c r="D2069" i="12"/>
  <c r="E2069" i="12"/>
  <c r="F2069" i="12"/>
  <c r="G2069" i="12"/>
  <c r="I2069" i="12" s="1"/>
  <c r="M2069" i="12" s="1"/>
  <c r="H2069" i="12"/>
  <c r="J2069" i="12"/>
  <c r="K2069" i="12"/>
  <c r="L2069" i="12"/>
  <c r="N2069" i="12" s="1"/>
  <c r="A2070" i="12"/>
  <c r="B2070" i="12"/>
  <c r="C2070" i="12"/>
  <c r="D2070" i="12"/>
  <c r="E2070" i="12"/>
  <c r="F2070" i="12"/>
  <c r="G2070" i="12"/>
  <c r="H2070" i="12"/>
  <c r="I2070" i="12"/>
  <c r="M2070" i="12" s="1"/>
  <c r="J2070" i="12"/>
  <c r="L2070" i="12" s="1"/>
  <c r="K2070" i="12"/>
  <c r="N2070" i="12"/>
  <c r="A2071" i="12"/>
  <c r="B2071" i="12"/>
  <c r="C2071" i="12"/>
  <c r="D2071" i="12"/>
  <c r="E2071" i="12"/>
  <c r="F2071" i="12"/>
  <c r="G2071" i="12"/>
  <c r="H2071" i="12"/>
  <c r="I2071" i="12" s="1"/>
  <c r="M2071" i="12" s="1"/>
  <c r="J2071" i="12"/>
  <c r="K2071" i="12"/>
  <c r="L2071" i="12"/>
  <c r="N2071" i="12" s="1"/>
  <c r="A2072" i="12"/>
  <c r="B2072" i="12"/>
  <c r="C2072" i="12"/>
  <c r="D2072" i="12"/>
  <c r="E2072" i="12"/>
  <c r="F2072" i="12"/>
  <c r="G2072" i="12"/>
  <c r="I2072" i="12" s="1"/>
  <c r="M2072" i="12" s="1"/>
  <c r="H2072" i="12"/>
  <c r="J2072" i="12"/>
  <c r="K2072" i="12"/>
  <c r="A2073" i="12"/>
  <c r="B2073" i="12"/>
  <c r="C2073" i="12"/>
  <c r="D2073" i="12"/>
  <c r="E2073" i="12"/>
  <c r="F2073" i="12"/>
  <c r="G2073" i="12"/>
  <c r="I2073" i="12" s="1"/>
  <c r="M2073" i="12" s="1"/>
  <c r="H2073" i="12"/>
  <c r="J2073" i="12"/>
  <c r="K2073" i="12"/>
  <c r="L2073" i="12" s="1"/>
  <c r="N2073" i="12" s="1"/>
  <c r="A2074" i="12"/>
  <c r="B2074" i="12"/>
  <c r="C2074" i="12"/>
  <c r="D2074" i="12"/>
  <c r="E2074" i="12"/>
  <c r="F2074" i="12"/>
  <c r="G2074" i="12"/>
  <c r="I2074" i="12" s="1"/>
  <c r="M2074" i="12" s="1"/>
  <c r="H2074" i="12"/>
  <c r="J2074" i="12"/>
  <c r="K2074" i="12"/>
  <c r="A2075" i="12"/>
  <c r="B2075" i="12"/>
  <c r="C2075" i="12"/>
  <c r="D2075" i="12"/>
  <c r="E2075" i="12"/>
  <c r="F2075" i="12"/>
  <c r="G2075" i="12"/>
  <c r="H2075" i="12"/>
  <c r="I2075" i="12"/>
  <c r="J2075" i="12"/>
  <c r="K2075" i="12"/>
  <c r="L2075" i="12"/>
  <c r="N2075" i="12" s="1"/>
  <c r="M2075" i="12"/>
  <c r="A2076" i="12"/>
  <c r="B2076" i="12"/>
  <c r="C2076" i="12"/>
  <c r="D2076" i="12"/>
  <c r="E2076" i="12"/>
  <c r="F2076" i="12"/>
  <c r="G2076" i="12"/>
  <c r="I2076" i="12" s="1"/>
  <c r="M2076" i="12" s="1"/>
  <c r="H2076" i="12"/>
  <c r="J2076" i="12"/>
  <c r="K2076" i="12"/>
  <c r="A2077" i="12"/>
  <c r="B2077" i="12"/>
  <c r="C2077" i="12"/>
  <c r="D2077" i="12"/>
  <c r="E2077" i="12"/>
  <c r="F2077" i="12"/>
  <c r="G2077" i="12"/>
  <c r="I2077" i="12" s="1"/>
  <c r="M2077" i="12" s="1"/>
  <c r="H2077" i="12"/>
  <c r="J2077" i="12"/>
  <c r="K2077" i="12"/>
  <c r="L2077" i="12"/>
  <c r="N2077" i="12" s="1"/>
  <c r="A2078" i="12"/>
  <c r="B2078" i="12"/>
  <c r="C2078" i="12"/>
  <c r="D2078" i="12"/>
  <c r="E2078" i="12"/>
  <c r="F2078" i="12"/>
  <c r="G2078" i="12"/>
  <c r="I2078" i="12" s="1"/>
  <c r="M2078" i="12" s="1"/>
  <c r="H2078" i="12"/>
  <c r="J2078" i="12"/>
  <c r="L2078" i="12" s="1"/>
  <c r="N2078" i="12" s="1"/>
  <c r="K2078" i="12"/>
  <c r="A2079" i="12"/>
  <c r="B2079" i="12"/>
  <c r="C2079" i="12"/>
  <c r="D2079" i="12"/>
  <c r="E2079" i="12"/>
  <c r="F2079" i="12"/>
  <c r="G2079" i="12"/>
  <c r="H2079" i="12"/>
  <c r="I2079" i="12" s="1"/>
  <c r="M2079" i="12" s="1"/>
  <c r="J2079" i="12"/>
  <c r="K2079" i="12"/>
  <c r="L2079" i="12"/>
  <c r="N2079" i="12" s="1"/>
  <c r="A2080" i="12"/>
  <c r="B2080" i="12"/>
  <c r="C2080" i="12"/>
  <c r="D2080" i="12"/>
  <c r="E2080" i="12"/>
  <c r="F2080" i="12"/>
  <c r="G2080" i="12"/>
  <c r="H2080" i="12"/>
  <c r="I2080" i="12"/>
  <c r="M2080" i="12" s="1"/>
  <c r="J2080" i="12"/>
  <c r="K2080" i="12"/>
  <c r="A2081" i="12"/>
  <c r="B2081" i="12"/>
  <c r="C2081" i="12"/>
  <c r="D2081" i="12"/>
  <c r="E2081" i="12"/>
  <c r="F2081" i="12"/>
  <c r="G2081" i="12"/>
  <c r="H2081" i="12"/>
  <c r="J2081" i="12"/>
  <c r="K2081" i="12"/>
  <c r="L2081" i="12" s="1"/>
  <c r="N2081" i="12" s="1"/>
  <c r="A2082" i="12"/>
  <c r="B2082" i="12"/>
  <c r="C2082" i="12"/>
  <c r="D2082" i="12"/>
  <c r="E2082" i="12"/>
  <c r="F2082" i="12"/>
  <c r="G2082" i="12"/>
  <c r="H2082" i="12"/>
  <c r="I2082" i="12"/>
  <c r="M2082" i="12" s="1"/>
  <c r="J2082" i="12"/>
  <c r="K2082" i="12"/>
  <c r="A2083" i="12"/>
  <c r="B2083" i="12"/>
  <c r="C2083" i="12"/>
  <c r="D2083" i="12"/>
  <c r="E2083" i="12"/>
  <c r="F2083" i="12"/>
  <c r="G2083" i="12"/>
  <c r="H2083" i="12"/>
  <c r="I2083" i="12"/>
  <c r="J2083" i="12"/>
  <c r="K2083" i="12"/>
  <c r="L2083" i="12"/>
  <c r="N2083" i="12" s="1"/>
  <c r="M2083" i="12"/>
  <c r="A2084" i="12"/>
  <c r="B2084" i="12"/>
  <c r="C2084" i="12"/>
  <c r="D2084" i="12"/>
  <c r="E2084" i="12"/>
  <c r="F2084" i="12"/>
  <c r="G2084" i="12"/>
  <c r="H2084" i="12"/>
  <c r="I2084" i="12"/>
  <c r="J2084" i="12"/>
  <c r="K2084" i="12"/>
  <c r="M2084" i="12"/>
  <c r="A2085" i="12"/>
  <c r="B2085" i="12"/>
  <c r="C2085" i="12"/>
  <c r="D2085" i="12"/>
  <c r="E2085" i="12"/>
  <c r="F2085" i="12"/>
  <c r="G2085" i="12"/>
  <c r="I2085" i="12" s="1"/>
  <c r="M2085" i="12" s="1"/>
  <c r="H2085" i="12"/>
  <c r="J2085" i="12"/>
  <c r="K2085" i="12"/>
  <c r="L2085" i="12"/>
  <c r="N2085" i="12" s="1"/>
  <c r="A2086" i="12"/>
  <c r="B2086" i="12"/>
  <c r="C2086" i="12"/>
  <c r="D2086" i="12"/>
  <c r="E2086" i="12"/>
  <c r="F2086" i="12"/>
  <c r="G2086" i="12"/>
  <c r="H2086" i="12"/>
  <c r="I2086" i="12"/>
  <c r="M2086" i="12" s="1"/>
  <c r="J2086" i="12"/>
  <c r="L2086" i="12" s="1"/>
  <c r="K2086" i="12"/>
  <c r="N2086" i="12"/>
  <c r="A2087" i="12"/>
  <c r="B2087" i="12"/>
  <c r="C2087" i="12"/>
  <c r="D2087" i="12"/>
  <c r="E2087" i="12"/>
  <c r="F2087" i="12"/>
  <c r="G2087" i="12"/>
  <c r="H2087" i="12"/>
  <c r="I2087" i="12" s="1"/>
  <c r="M2087" i="12" s="1"/>
  <c r="J2087" i="12"/>
  <c r="K2087" i="12"/>
  <c r="L2087" i="12"/>
  <c r="N2087" i="12" s="1"/>
  <c r="A2088" i="12"/>
  <c r="B2088" i="12"/>
  <c r="C2088" i="12"/>
  <c r="D2088" i="12"/>
  <c r="E2088" i="12"/>
  <c r="F2088" i="12"/>
  <c r="G2088" i="12"/>
  <c r="I2088" i="12" s="1"/>
  <c r="M2088" i="12" s="1"/>
  <c r="H2088" i="12"/>
  <c r="J2088" i="12"/>
  <c r="K2088" i="12"/>
  <c r="A2089" i="12"/>
  <c r="B2089" i="12"/>
  <c r="C2089" i="12"/>
  <c r="D2089" i="12"/>
  <c r="E2089" i="12"/>
  <c r="F2089" i="12"/>
  <c r="G2089" i="12"/>
  <c r="I2089" i="12" s="1"/>
  <c r="M2089" i="12" s="1"/>
  <c r="H2089" i="12"/>
  <c r="J2089" i="12"/>
  <c r="K2089" i="12"/>
  <c r="L2089" i="12" s="1"/>
  <c r="N2089" i="12" s="1"/>
  <c r="A2090" i="12"/>
  <c r="B2090" i="12"/>
  <c r="C2090" i="12"/>
  <c r="D2090" i="12"/>
  <c r="E2090" i="12"/>
  <c r="F2090" i="12"/>
  <c r="G2090" i="12"/>
  <c r="I2090" i="12" s="1"/>
  <c r="M2090" i="12" s="1"/>
  <c r="H2090" i="12"/>
  <c r="J2090" i="12"/>
  <c r="K2090" i="12"/>
  <c r="A2091" i="12"/>
  <c r="B2091" i="12"/>
  <c r="C2091" i="12"/>
  <c r="D2091" i="12"/>
  <c r="E2091" i="12"/>
  <c r="F2091" i="12"/>
  <c r="G2091" i="12"/>
  <c r="H2091" i="12"/>
  <c r="I2091" i="12"/>
  <c r="J2091" i="12"/>
  <c r="K2091" i="12"/>
  <c r="L2091" i="12"/>
  <c r="N2091" i="12" s="1"/>
  <c r="M2091" i="12"/>
  <c r="A2092" i="12"/>
  <c r="B2092" i="12"/>
  <c r="C2092" i="12"/>
  <c r="D2092" i="12"/>
  <c r="E2092" i="12"/>
  <c r="F2092" i="12"/>
  <c r="G2092" i="12"/>
  <c r="I2092" i="12" s="1"/>
  <c r="M2092" i="12" s="1"/>
  <c r="H2092" i="12"/>
  <c r="J2092" i="12"/>
  <c r="K2092" i="12"/>
  <c r="A2093" i="12"/>
  <c r="B2093" i="12"/>
  <c r="C2093" i="12"/>
  <c r="D2093" i="12"/>
  <c r="E2093" i="12"/>
  <c r="F2093" i="12"/>
  <c r="G2093" i="12"/>
  <c r="I2093" i="12" s="1"/>
  <c r="M2093" i="12" s="1"/>
  <c r="H2093" i="12"/>
  <c r="J2093" i="12"/>
  <c r="K2093" i="12"/>
  <c r="L2093" i="12"/>
  <c r="N2093" i="12" s="1"/>
  <c r="A2094" i="12"/>
  <c r="B2094" i="12"/>
  <c r="C2094" i="12"/>
  <c r="D2094" i="12"/>
  <c r="E2094" i="12"/>
  <c r="F2094" i="12"/>
  <c r="G2094" i="12"/>
  <c r="I2094" i="12" s="1"/>
  <c r="M2094" i="12" s="1"/>
  <c r="H2094" i="12"/>
  <c r="J2094" i="12"/>
  <c r="L2094" i="12" s="1"/>
  <c r="N2094" i="12" s="1"/>
  <c r="K2094" i="12"/>
  <c r="A2095" i="12"/>
  <c r="B2095" i="12"/>
  <c r="C2095" i="12"/>
  <c r="D2095" i="12"/>
  <c r="E2095" i="12"/>
  <c r="F2095" i="12"/>
  <c r="G2095" i="12"/>
  <c r="H2095" i="12"/>
  <c r="I2095" i="12" s="1"/>
  <c r="M2095" i="12" s="1"/>
  <c r="J2095" i="12"/>
  <c r="K2095" i="12"/>
  <c r="L2095" i="12"/>
  <c r="N2095" i="12" s="1"/>
  <c r="A2096" i="12"/>
  <c r="B2096" i="12"/>
  <c r="C2096" i="12"/>
  <c r="D2096" i="12"/>
  <c r="E2096" i="12"/>
  <c r="F2096" i="12"/>
  <c r="G2096" i="12"/>
  <c r="H2096" i="12"/>
  <c r="I2096" i="12"/>
  <c r="M2096" i="12" s="1"/>
  <c r="J2096" i="12"/>
  <c r="K2096" i="12"/>
  <c r="A2097" i="12"/>
  <c r="B2097" i="12"/>
  <c r="C2097" i="12"/>
  <c r="D2097" i="12"/>
  <c r="E2097" i="12"/>
  <c r="F2097" i="12"/>
  <c r="G2097" i="12"/>
  <c r="H2097" i="12"/>
  <c r="J2097" i="12"/>
  <c r="K2097" i="12"/>
  <c r="L2097" i="12" s="1"/>
  <c r="N2097" i="12" s="1"/>
  <c r="A2098" i="12"/>
  <c r="B2098" i="12"/>
  <c r="C2098" i="12"/>
  <c r="D2098" i="12"/>
  <c r="E2098" i="12"/>
  <c r="F2098" i="12"/>
  <c r="G2098" i="12"/>
  <c r="H2098" i="12"/>
  <c r="I2098" i="12"/>
  <c r="M2098" i="12" s="1"/>
  <c r="J2098" i="12"/>
  <c r="K2098" i="12"/>
  <c r="A2099" i="12"/>
  <c r="B2099" i="12"/>
  <c r="C2099" i="12"/>
  <c r="D2099" i="12"/>
  <c r="E2099" i="12"/>
  <c r="F2099" i="12"/>
  <c r="G2099" i="12"/>
  <c r="H2099" i="12"/>
  <c r="I2099" i="12"/>
  <c r="J2099" i="12"/>
  <c r="K2099" i="12"/>
  <c r="L2099" i="12"/>
  <c r="N2099" i="12" s="1"/>
  <c r="M2099" i="12"/>
  <c r="A2100" i="12"/>
  <c r="B2100" i="12"/>
  <c r="C2100" i="12"/>
  <c r="D2100" i="12"/>
  <c r="E2100" i="12"/>
  <c r="F2100" i="12"/>
  <c r="G2100" i="12"/>
  <c r="H2100" i="12"/>
  <c r="I2100" i="12"/>
  <c r="J2100" i="12"/>
  <c r="K2100" i="12"/>
  <c r="M2100" i="12"/>
  <c r="A2101" i="12"/>
  <c r="B2101" i="12"/>
  <c r="C2101" i="12"/>
  <c r="D2101" i="12"/>
  <c r="E2101" i="12"/>
  <c r="F2101" i="12"/>
  <c r="G2101" i="12"/>
  <c r="I2101" i="12" s="1"/>
  <c r="M2101" i="12" s="1"/>
  <c r="H2101" i="12"/>
  <c r="J2101" i="12"/>
  <c r="K2101" i="12"/>
  <c r="L2101" i="12"/>
  <c r="N2101" i="12" s="1"/>
  <c r="A2102" i="12"/>
  <c r="B2102" i="12"/>
  <c r="C2102" i="12"/>
  <c r="D2102" i="12"/>
  <c r="E2102" i="12"/>
  <c r="F2102" i="12"/>
  <c r="G2102" i="12"/>
  <c r="H2102" i="12"/>
  <c r="I2102" i="12"/>
  <c r="M2102" i="12" s="1"/>
  <c r="J2102" i="12"/>
  <c r="L2102" i="12" s="1"/>
  <c r="K2102" i="12"/>
  <c r="N2102" i="12"/>
  <c r="A2103" i="12"/>
  <c r="B2103" i="12"/>
  <c r="C2103" i="12"/>
  <c r="D2103" i="12"/>
  <c r="E2103" i="12"/>
  <c r="F2103" i="12"/>
  <c r="G2103" i="12"/>
  <c r="H2103" i="12"/>
  <c r="I2103" i="12" s="1"/>
  <c r="M2103" i="12" s="1"/>
  <c r="J2103" i="12"/>
  <c r="K2103" i="12"/>
  <c r="L2103" i="12"/>
  <c r="N2103" i="12" s="1"/>
  <c r="A2104" i="12"/>
  <c r="B2104" i="12"/>
  <c r="C2104" i="12"/>
  <c r="D2104" i="12"/>
  <c r="E2104" i="12"/>
  <c r="F2104" i="12"/>
  <c r="G2104" i="12"/>
  <c r="I2104" i="12" s="1"/>
  <c r="M2104" i="12" s="1"/>
  <c r="H2104" i="12"/>
  <c r="J2104" i="12"/>
  <c r="K2104" i="12"/>
  <c r="A2105" i="12"/>
  <c r="B2105" i="12"/>
  <c r="C2105" i="12"/>
  <c r="D2105" i="12"/>
  <c r="E2105" i="12"/>
  <c r="F2105" i="12"/>
  <c r="G2105" i="12"/>
  <c r="I2105" i="12" s="1"/>
  <c r="M2105" i="12" s="1"/>
  <c r="H2105" i="12"/>
  <c r="J2105" i="12"/>
  <c r="K2105" i="12"/>
  <c r="L2105" i="12" s="1"/>
  <c r="N2105" i="12" s="1"/>
  <c r="A2106" i="12"/>
  <c r="B2106" i="12"/>
  <c r="C2106" i="12"/>
  <c r="D2106" i="12"/>
  <c r="E2106" i="12"/>
  <c r="F2106" i="12"/>
  <c r="G2106" i="12"/>
  <c r="I2106" i="12" s="1"/>
  <c r="M2106" i="12" s="1"/>
  <c r="H2106" i="12"/>
  <c r="J2106" i="12"/>
  <c r="K2106" i="12"/>
  <c r="A2107" i="12"/>
  <c r="B2107" i="12"/>
  <c r="C2107" i="12"/>
  <c r="D2107" i="12"/>
  <c r="E2107" i="12"/>
  <c r="F2107" i="12"/>
  <c r="G2107" i="12"/>
  <c r="H2107" i="12"/>
  <c r="I2107" i="12"/>
  <c r="J2107" i="12"/>
  <c r="K2107" i="12"/>
  <c r="L2107" i="12"/>
  <c r="N2107" i="12" s="1"/>
  <c r="M2107" i="12"/>
  <c r="A2108" i="12"/>
  <c r="B2108" i="12"/>
  <c r="C2108" i="12"/>
  <c r="D2108" i="12"/>
  <c r="E2108" i="12"/>
  <c r="F2108" i="12"/>
  <c r="G2108" i="12"/>
  <c r="I2108" i="12" s="1"/>
  <c r="M2108" i="12" s="1"/>
  <c r="H2108" i="12"/>
  <c r="J2108" i="12"/>
  <c r="K2108" i="12"/>
  <c r="A2109" i="12"/>
  <c r="B2109" i="12"/>
  <c r="C2109" i="12"/>
  <c r="D2109" i="12"/>
  <c r="E2109" i="12"/>
  <c r="F2109" i="12"/>
  <c r="G2109" i="12"/>
  <c r="I2109" i="12" s="1"/>
  <c r="M2109" i="12" s="1"/>
  <c r="H2109" i="12"/>
  <c r="J2109" i="12"/>
  <c r="K2109" i="12"/>
  <c r="L2109" i="12"/>
  <c r="N2109" i="12" s="1"/>
  <c r="A2110" i="12"/>
  <c r="B2110" i="12"/>
  <c r="C2110" i="12"/>
  <c r="D2110" i="12"/>
  <c r="E2110" i="12"/>
  <c r="F2110" i="12"/>
  <c r="G2110" i="12"/>
  <c r="I2110" i="12" s="1"/>
  <c r="M2110" i="12" s="1"/>
  <c r="H2110" i="12"/>
  <c r="J2110" i="12"/>
  <c r="L2110" i="12" s="1"/>
  <c r="N2110" i="12" s="1"/>
  <c r="K2110" i="12"/>
  <c r="A2111" i="12"/>
  <c r="B2111" i="12"/>
  <c r="C2111" i="12"/>
  <c r="D2111" i="12"/>
  <c r="E2111" i="12"/>
  <c r="F2111" i="12"/>
  <c r="G2111" i="12"/>
  <c r="H2111" i="12"/>
  <c r="I2111" i="12" s="1"/>
  <c r="M2111" i="12" s="1"/>
  <c r="J2111" i="12"/>
  <c r="K2111" i="12"/>
  <c r="L2111" i="12"/>
  <c r="N2111" i="12" s="1"/>
  <c r="A2112" i="12"/>
  <c r="B2112" i="12"/>
  <c r="C2112" i="12"/>
  <c r="D2112" i="12"/>
  <c r="E2112" i="12"/>
  <c r="F2112" i="12"/>
  <c r="G2112" i="12"/>
  <c r="H2112" i="12"/>
  <c r="I2112" i="12"/>
  <c r="M2112" i="12" s="1"/>
  <c r="J2112" i="12"/>
  <c r="K2112" i="12"/>
  <c r="A2113" i="12"/>
  <c r="B2113" i="12"/>
  <c r="C2113" i="12"/>
  <c r="D2113" i="12"/>
  <c r="E2113" i="12"/>
  <c r="F2113" i="12"/>
  <c r="G2113" i="12"/>
  <c r="H2113" i="12"/>
  <c r="J2113" i="12"/>
  <c r="K2113" i="12"/>
  <c r="L2113" i="12" s="1"/>
  <c r="N2113" i="12" s="1"/>
  <c r="A2114" i="12"/>
  <c r="B2114" i="12"/>
  <c r="C2114" i="12"/>
  <c r="D2114" i="12"/>
  <c r="E2114" i="12"/>
  <c r="F2114" i="12"/>
  <c r="G2114" i="12"/>
  <c r="H2114" i="12"/>
  <c r="I2114" i="12"/>
  <c r="M2114" i="12" s="1"/>
  <c r="J2114" i="12"/>
  <c r="K2114" i="12"/>
  <c r="A2115" i="12"/>
  <c r="B2115" i="12"/>
  <c r="C2115" i="12"/>
  <c r="D2115" i="12"/>
  <c r="E2115" i="12"/>
  <c r="F2115" i="12"/>
  <c r="G2115" i="12"/>
  <c r="H2115" i="12"/>
  <c r="I2115" i="12"/>
  <c r="J2115" i="12"/>
  <c r="K2115" i="12"/>
  <c r="L2115" i="12"/>
  <c r="N2115" i="12" s="1"/>
  <c r="M2115" i="12"/>
  <c r="A2116" i="12"/>
  <c r="B2116" i="12"/>
  <c r="C2116" i="12"/>
  <c r="D2116" i="12"/>
  <c r="E2116" i="12"/>
  <c r="F2116" i="12"/>
  <c r="G2116" i="12"/>
  <c r="H2116" i="12"/>
  <c r="I2116" i="12"/>
  <c r="J2116" i="12"/>
  <c r="K2116" i="12"/>
  <c r="M2116" i="12"/>
  <c r="A2117" i="12"/>
  <c r="B2117" i="12"/>
  <c r="C2117" i="12"/>
  <c r="D2117" i="12"/>
  <c r="E2117" i="12"/>
  <c r="F2117" i="12"/>
  <c r="G2117" i="12"/>
  <c r="I2117" i="12" s="1"/>
  <c r="M2117" i="12" s="1"/>
  <c r="H2117" i="12"/>
  <c r="J2117" i="12"/>
  <c r="K2117" i="12"/>
  <c r="L2117" i="12"/>
  <c r="N2117" i="12" s="1"/>
  <c r="A2118" i="12"/>
  <c r="B2118" i="12"/>
  <c r="C2118" i="12"/>
  <c r="D2118" i="12"/>
  <c r="E2118" i="12"/>
  <c r="F2118" i="12"/>
  <c r="G2118" i="12"/>
  <c r="H2118" i="12"/>
  <c r="I2118" i="12"/>
  <c r="M2118" i="12" s="1"/>
  <c r="J2118" i="12"/>
  <c r="L2118" i="12" s="1"/>
  <c r="K2118" i="12"/>
  <c r="N2118" i="12"/>
  <c r="A2119" i="12"/>
  <c r="B2119" i="12"/>
  <c r="C2119" i="12"/>
  <c r="D2119" i="12"/>
  <c r="E2119" i="12"/>
  <c r="F2119" i="12"/>
  <c r="G2119" i="12"/>
  <c r="H2119" i="12"/>
  <c r="I2119" i="12" s="1"/>
  <c r="M2119" i="12" s="1"/>
  <c r="J2119" i="12"/>
  <c r="K2119" i="12"/>
  <c r="L2119" i="12"/>
  <c r="N2119" i="12" s="1"/>
  <c r="A2120" i="12"/>
  <c r="B2120" i="12"/>
  <c r="C2120" i="12"/>
  <c r="D2120" i="12"/>
  <c r="E2120" i="12"/>
  <c r="F2120" i="12"/>
  <c r="G2120" i="12"/>
  <c r="I2120" i="12" s="1"/>
  <c r="M2120" i="12" s="1"/>
  <c r="H2120" i="12"/>
  <c r="J2120" i="12"/>
  <c r="K2120" i="12"/>
  <c r="A2121" i="12"/>
  <c r="B2121" i="12"/>
  <c r="C2121" i="12"/>
  <c r="D2121" i="12"/>
  <c r="E2121" i="12"/>
  <c r="F2121" i="12"/>
  <c r="G2121" i="12"/>
  <c r="I2121" i="12" s="1"/>
  <c r="M2121" i="12" s="1"/>
  <c r="H2121" i="12"/>
  <c r="J2121" i="12"/>
  <c r="K2121" i="12"/>
  <c r="L2121" i="12" s="1"/>
  <c r="N2121" i="12" s="1"/>
  <c r="A2122" i="12"/>
  <c r="B2122" i="12"/>
  <c r="C2122" i="12"/>
  <c r="D2122" i="12"/>
  <c r="E2122" i="12"/>
  <c r="F2122" i="12"/>
  <c r="G2122" i="12"/>
  <c r="I2122" i="12" s="1"/>
  <c r="M2122" i="12" s="1"/>
  <c r="H2122" i="12"/>
  <c r="J2122" i="12"/>
  <c r="K2122" i="12"/>
  <c r="A2123" i="12"/>
  <c r="B2123" i="12"/>
  <c r="C2123" i="12"/>
  <c r="D2123" i="12"/>
  <c r="E2123" i="12"/>
  <c r="F2123" i="12"/>
  <c r="G2123" i="12"/>
  <c r="H2123" i="12"/>
  <c r="I2123" i="12" s="1"/>
  <c r="M2123" i="12" s="1"/>
  <c r="J2123" i="12"/>
  <c r="K2123" i="12"/>
  <c r="L2123" i="12"/>
  <c r="N2123" i="12" s="1"/>
  <c r="A2124" i="12"/>
  <c r="B2124" i="12"/>
  <c r="C2124" i="12"/>
  <c r="D2124" i="12"/>
  <c r="E2124" i="12"/>
  <c r="F2124" i="12"/>
  <c r="G2124" i="12"/>
  <c r="I2124" i="12" s="1"/>
  <c r="M2124" i="12" s="1"/>
  <c r="H2124" i="12"/>
  <c r="J2124" i="12"/>
  <c r="K2124" i="12"/>
  <c r="A2125" i="12"/>
  <c r="B2125" i="12"/>
  <c r="C2125" i="12"/>
  <c r="D2125" i="12"/>
  <c r="E2125" i="12"/>
  <c r="F2125" i="12"/>
  <c r="G2125" i="12"/>
  <c r="H2125" i="12"/>
  <c r="I2125" i="12"/>
  <c r="J2125" i="12"/>
  <c r="K2125" i="12"/>
  <c r="L2125" i="12" s="1"/>
  <c r="N2125" i="12" s="1"/>
  <c r="M2125" i="12"/>
  <c r="A2126" i="12"/>
  <c r="B2126" i="12"/>
  <c r="C2126" i="12"/>
  <c r="D2126" i="12"/>
  <c r="E2126" i="12"/>
  <c r="F2126" i="12"/>
  <c r="G2126" i="12"/>
  <c r="H2126" i="12"/>
  <c r="I2126" i="12"/>
  <c r="J2126" i="12"/>
  <c r="L2126" i="12" s="1"/>
  <c r="K2126" i="12"/>
  <c r="M2126" i="12"/>
  <c r="N2126" i="12"/>
  <c r="A2127" i="12"/>
  <c r="B2127" i="12"/>
  <c r="C2127" i="12"/>
  <c r="D2127" i="12"/>
  <c r="E2127" i="12"/>
  <c r="F2127" i="12"/>
  <c r="G2127" i="12"/>
  <c r="I2127" i="12" s="1"/>
  <c r="M2127" i="12" s="1"/>
  <c r="H2127" i="12"/>
  <c r="J2127" i="12"/>
  <c r="K2127" i="12"/>
  <c r="L2127" i="12" s="1"/>
  <c r="N2127" i="12" s="1"/>
  <c r="A2128" i="12"/>
  <c r="B2128" i="12"/>
  <c r="C2128" i="12"/>
  <c r="D2128" i="12"/>
  <c r="E2128" i="12"/>
  <c r="F2128" i="12"/>
  <c r="G2128" i="12"/>
  <c r="I2128" i="12" s="1"/>
  <c r="M2128" i="12" s="1"/>
  <c r="H2128" i="12"/>
  <c r="J2128" i="12"/>
  <c r="L2128" i="12" s="1"/>
  <c r="N2128" i="12" s="1"/>
  <c r="K2128" i="12"/>
  <c r="A2129" i="12"/>
  <c r="B2129" i="12"/>
  <c r="C2129" i="12"/>
  <c r="D2129" i="12"/>
  <c r="E2129" i="12"/>
  <c r="F2129" i="12"/>
  <c r="G2129" i="12"/>
  <c r="H2129" i="12"/>
  <c r="I2129" i="12"/>
  <c r="J2129" i="12"/>
  <c r="K2129" i="12"/>
  <c r="L2129" i="12" s="1"/>
  <c r="N2129" i="12" s="1"/>
  <c r="M2129" i="12"/>
  <c r="A2130" i="12"/>
  <c r="B2130" i="12"/>
  <c r="C2130" i="12"/>
  <c r="D2130" i="12"/>
  <c r="E2130" i="12"/>
  <c r="F2130" i="12"/>
  <c r="G2130" i="12"/>
  <c r="H2130" i="12"/>
  <c r="I2130" i="12"/>
  <c r="J2130" i="12"/>
  <c r="L2130" i="12" s="1"/>
  <c r="K2130" i="12"/>
  <c r="M2130" i="12"/>
  <c r="N2130" i="12"/>
  <c r="A2131" i="12"/>
  <c r="B2131" i="12"/>
  <c r="C2131" i="12"/>
  <c r="D2131" i="12"/>
  <c r="E2131" i="12"/>
  <c r="F2131" i="12"/>
  <c r="G2131" i="12"/>
  <c r="I2131" i="12" s="1"/>
  <c r="M2131" i="12" s="1"/>
  <c r="H2131" i="12"/>
  <c r="J2131" i="12"/>
  <c r="K2131" i="12"/>
  <c r="L2131" i="12" s="1"/>
  <c r="N2131" i="12" s="1"/>
  <c r="A2132" i="12"/>
  <c r="B2132" i="12"/>
  <c r="C2132" i="12"/>
  <c r="D2132" i="12"/>
  <c r="E2132" i="12"/>
  <c r="F2132" i="12"/>
  <c r="G2132" i="12"/>
  <c r="I2132" i="12" s="1"/>
  <c r="M2132" i="12" s="1"/>
  <c r="H2132" i="12"/>
  <c r="J2132" i="12"/>
  <c r="L2132" i="12" s="1"/>
  <c r="N2132" i="12" s="1"/>
  <c r="K2132" i="12"/>
  <c r="A2133" i="12"/>
  <c r="B2133" i="12"/>
  <c r="C2133" i="12"/>
  <c r="D2133" i="12"/>
  <c r="E2133" i="12"/>
  <c r="F2133" i="12"/>
  <c r="G2133" i="12"/>
  <c r="H2133" i="12"/>
  <c r="I2133" i="12"/>
  <c r="J2133" i="12"/>
  <c r="K2133" i="12"/>
  <c r="L2133" i="12" s="1"/>
  <c r="N2133" i="12" s="1"/>
  <c r="M2133" i="12"/>
  <c r="A2134" i="12"/>
  <c r="B2134" i="12"/>
  <c r="C2134" i="12"/>
  <c r="D2134" i="12"/>
  <c r="E2134" i="12"/>
  <c r="F2134" i="12"/>
  <c r="G2134" i="12"/>
  <c r="H2134" i="12"/>
  <c r="I2134" i="12"/>
  <c r="J2134" i="12"/>
  <c r="L2134" i="12" s="1"/>
  <c r="K2134" i="12"/>
  <c r="M2134" i="12"/>
  <c r="N2134" i="12"/>
  <c r="A2135" i="12"/>
  <c r="B2135" i="12"/>
  <c r="C2135" i="12"/>
  <c r="D2135" i="12"/>
  <c r="E2135" i="12"/>
  <c r="F2135" i="12"/>
  <c r="G2135" i="12"/>
  <c r="I2135" i="12" s="1"/>
  <c r="M2135" i="12" s="1"/>
  <c r="H2135" i="12"/>
  <c r="J2135" i="12"/>
  <c r="K2135" i="12"/>
  <c r="L2135" i="12" s="1"/>
  <c r="N2135" i="12" s="1"/>
  <c r="A2136" i="12"/>
  <c r="B2136" i="12"/>
  <c r="C2136" i="12"/>
  <c r="D2136" i="12"/>
  <c r="E2136" i="12"/>
  <c r="F2136" i="12"/>
  <c r="G2136" i="12"/>
  <c r="I2136" i="12" s="1"/>
  <c r="M2136" i="12" s="1"/>
  <c r="H2136" i="12"/>
  <c r="J2136" i="12"/>
  <c r="L2136" i="12" s="1"/>
  <c r="N2136" i="12" s="1"/>
  <c r="K2136" i="12"/>
  <c r="A2137" i="12"/>
  <c r="B2137" i="12"/>
  <c r="C2137" i="12"/>
  <c r="D2137" i="12"/>
  <c r="E2137" i="12"/>
  <c r="F2137" i="12"/>
  <c r="G2137" i="12"/>
  <c r="H2137" i="12"/>
  <c r="I2137" i="12"/>
  <c r="J2137" i="12"/>
  <c r="K2137" i="12"/>
  <c r="L2137" i="12" s="1"/>
  <c r="N2137" i="12" s="1"/>
  <c r="M2137" i="12"/>
  <c r="A2138" i="12"/>
  <c r="B2138" i="12"/>
  <c r="C2138" i="12"/>
  <c r="D2138" i="12"/>
  <c r="E2138" i="12"/>
  <c r="F2138" i="12"/>
  <c r="G2138" i="12"/>
  <c r="H2138" i="12"/>
  <c r="I2138" i="12"/>
  <c r="J2138" i="12"/>
  <c r="L2138" i="12" s="1"/>
  <c r="K2138" i="12"/>
  <c r="M2138" i="12"/>
  <c r="N2138" i="12"/>
  <c r="A2139" i="12"/>
  <c r="B2139" i="12"/>
  <c r="C2139" i="12"/>
  <c r="D2139" i="12"/>
  <c r="E2139" i="12"/>
  <c r="F2139" i="12"/>
  <c r="G2139" i="12"/>
  <c r="I2139" i="12" s="1"/>
  <c r="M2139" i="12" s="1"/>
  <c r="H2139" i="12"/>
  <c r="J2139" i="12"/>
  <c r="K2139" i="12"/>
  <c r="L2139" i="12" s="1"/>
  <c r="N2139" i="12" s="1"/>
  <c r="A2140" i="12"/>
  <c r="B2140" i="12"/>
  <c r="C2140" i="12"/>
  <c r="D2140" i="12"/>
  <c r="E2140" i="12"/>
  <c r="F2140" i="12"/>
  <c r="G2140" i="12"/>
  <c r="I2140" i="12" s="1"/>
  <c r="M2140" i="12" s="1"/>
  <c r="H2140" i="12"/>
  <c r="J2140" i="12"/>
  <c r="L2140" i="12" s="1"/>
  <c r="N2140" i="12" s="1"/>
  <c r="K2140" i="12"/>
  <c r="A2141" i="12"/>
  <c r="B2141" i="12"/>
  <c r="C2141" i="12"/>
  <c r="D2141" i="12"/>
  <c r="E2141" i="12"/>
  <c r="F2141" i="12"/>
  <c r="G2141" i="12"/>
  <c r="H2141" i="12"/>
  <c r="I2141" i="12"/>
  <c r="J2141" i="12"/>
  <c r="K2141" i="12"/>
  <c r="L2141" i="12" s="1"/>
  <c r="N2141" i="12" s="1"/>
  <c r="M2141" i="12"/>
  <c r="A2142" i="12"/>
  <c r="B2142" i="12"/>
  <c r="C2142" i="12"/>
  <c r="D2142" i="12"/>
  <c r="E2142" i="12"/>
  <c r="F2142" i="12"/>
  <c r="G2142" i="12"/>
  <c r="H2142" i="12"/>
  <c r="I2142" i="12"/>
  <c r="J2142" i="12"/>
  <c r="L2142" i="12" s="1"/>
  <c r="K2142" i="12"/>
  <c r="M2142" i="12"/>
  <c r="N2142" i="12"/>
  <c r="A2143" i="12"/>
  <c r="B2143" i="12"/>
  <c r="C2143" i="12"/>
  <c r="D2143" i="12"/>
  <c r="E2143" i="12"/>
  <c r="F2143" i="12"/>
  <c r="G2143" i="12"/>
  <c r="I2143" i="12" s="1"/>
  <c r="M2143" i="12" s="1"/>
  <c r="H2143" i="12"/>
  <c r="J2143" i="12"/>
  <c r="K2143" i="12"/>
  <c r="L2143" i="12" s="1"/>
  <c r="N2143" i="12" s="1"/>
  <c r="A2144" i="12"/>
  <c r="B2144" i="12"/>
  <c r="C2144" i="12"/>
  <c r="D2144" i="12"/>
  <c r="E2144" i="12"/>
  <c r="F2144" i="12"/>
  <c r="G2144" i="12"/>
  <c r="I2144" i="12" s="1"/>
  <c r="M2144" i="12" s="1"/>
  <c r="H2144" i="12"/>
  <c r="J2144" i="12"/>
  <c r="L2144" i="12" s="1"/>
  <c r="N2144" i="12" s="1"/>
  <c r="K2144" i="12"/>
  <c r="A2145" i="12"/>
  <c r="B2145" i="12"/>
  <c r="C2145" i="12"/>
  <c r="D2145" i="12"/>
  <c r="E2145" i="12"/>
  <c r="F2145" i="12"/>
  <c r="G2145" i="12"/>
  <c r="H2145" i="12"/>
  <c r="I2145" i="12"/>
  <c r="J2145" i="12"/>
  <c r="K2145" i="12"/>
  <c r="L2145" i="12" s="1"/>
  <c r="N2145" i="12" s="1"/>
  <c r="M2145" i="12"/>
  <c r="A2146" i="12"/>
  <c r="B2146" i="12"/>
  <c r="C2146" i="12"/>
  <c r="D2146" i="12"/>
  <c r="E2146" i="12"/>
  <c r="F2146" i="12"/>
  <c r="G2146" i="12"/>
  <c r="H2146" i="12"/>
  <c r="I2146" i="12"/>
  <c r="J2146" i="12"/>
  <c r="L2146" i="12" s="1"/>
  <c r="K2146" i="12"/>
  <c r="M2146" i="12"/>
  <c r="N2146" i="12"/>
  <c r="A2147" i="12"/>
  <c r="B2147" i="12"/>
  <c r="C2147" i="12"/>
  <c r="D2147" i="12"/>
  <c r="E2147" i="12"/>
  <c r="F2147" i="12"/>
  <c r="G2147" i="12"/>
  <c r="I2147" i="12" s="1"/>
  <c r="M2147" i="12" s="1"/>
  <c r="H2147" i="12"/>
  <c r="J2147" i="12"/>
  <c r="K2147" i="12"/>
  <c r="L2147" i="12" s="1"/>
  <c r="N2147" i="12" s="1"/>
  <c r="A2148" i="12"/>
  <c r="B2148" i="12"/>
  <c r="C2148" i="12"/>
  <c r="D2148" i="12"/>
  <c r="E2148" i="12"/>
  <c r="F2148" i="12"/>
  <c r="G2148" i="12"/>
  <c r="I2148" i="12" s="1"/>
  <c r="M2148" i="12" s="1"/>
  <c r="H2148" i="12"/>
  <c r="J2148" i="12"/>
  <c r="L2148" i="12" s="1"/>
  <c r="N2148" i="12" s="1"/>
  <c r="K2148" i="12"/>
  <c r="A2149" i="12"/>
  <c r="B2149" i="12"/>
  <c r="C2149" i="12"/>
  <c r="D2149" i="12"/>
  <c r="E2149" i="12"/>
  <c r="F2149" i="12"/>
  <c r="G2149" i="12"/>
  <c r="H2149" i="12"/>
  <c r="I2149" i="12"/>
  <c r="J2149" i="12"/>
  <c r="K2149" i="12"/>
  <c r="L2149" i="12" s="1"/>
  <c r="N2149" i="12" s="1"/>
  <c r="M2149" i="12"/>
  <c r="A2150" i="12"/>
  <c r="B2150" i="12"/>
  <c r="C2150" i="12"/>
  <c r="D2150" i="12"/>
  <c r="E2150" i="12"/>
  <c r="F2150" i="12"/>
  <c r="G2150" i="12"/>
  <c r="H2150" i="12"/>
  <c r="I2150" i="12"/>
  <c r="J2150" i="12"/>
  <c r="L2150" i="12" s="1"/>
  <c r="K2150" i="12"/>
  <c r="M2150" i="12"/>
  <c r="N2150" i="12"/>
  <c r="A2151" i="12"/>
  <c r="B2151" i="12"/>
  <c r="C2151" i="12"/>
  <c r="D2151" i="12"/>
  <c r="E2151" i="12"/>
  <c r="F2151" i="12"/>
  <c r="G2151" i="12"/>
  <c r="I2151" i="12" s="1"/>
  <c r="M2151" i="12" s="1"/>
  <c r="H2151" i="12"/>
  <c r="J2151" i="12"/>
  <c r="K2151" i="12"/>
  <c r="L2151" i="12" s="1"/>
  <c r="N2151" i="12" s="1"/>
  <c r="A2152" i="12"/>
  <c r="B2152" i="12"/>
  <c r="C2152" i="12"/>
  <c r="D2152" i="12"/>
  <c r="E2152" i="12"/>
  <c r="F2152" i="12"/>
  <c r="G2152" i="12"/>
  <c r="I2152" i="12" s="1"/>
  <c r="M2152" i="12" s="1"/>
  <c r="H2152" i="12"/>
  <c r="J2152" i="12"/>
  <c r="L2152" i="12" s="1"/>
  <c r="N2152" i="12" s="1"/>
  <c r="K2152" i="12"/>
  <c r="A2153" i="12"/>
  <c r="B2153" i="12"/>
  <c r="C2153" i="12"/>
  <c r="D2153" i="12"/>
  <c r="E2153" i="12"/>
  <c r="F2153" i="12"/>
  <c r="G2153" i="12"/>
  <c r="H2153" i="12"/>
  <c r="I2153" i="12"/>
  <c r="J2153" i="12"/>
  <c r="K2153" i="12"/>
  <c r="L2153" i="12" s="1"/>
  <c r="N2153" i="12" s="1"/>
  <c r="M2153" i="12"/>
  <c r="A2154" i="12"/>
  <c r="B2154" i="12"/>
  <c r="C2154" i="12"/>
  <c r="D2154" i="12"/>
  <c r="E2154" i="12"/>
  <c r="F2154" i="12"/>
  <c r="G2154" i="12"/>
  <c r="H2154" i="12"/>
  <c r="I2154" i="12"/>
  <c r="J2154" i="12"/>
  <c r="L2154" i="12" s="1"/>
  <c r="K2154" i="12"/>
  <c r="M2154" i="12"/>
  <c r="N2154" i="12"/>
  <c r="A2155" i="12"/>
  <c r="B2155" i="12"/>
  <c r="C2155" i="12"/>
  <c r="D2155" i="12"/>
  <c r="E2155" i="12"/>
  <c r="F2155" i="12"/>
  <c r="G2155" i="12"/>
  <c r="I2155" i="12" s="1"/>
  <c r="M2155" i="12" s="1"/>
  <c r="H2155" i="12"/>
  <c r="J2155" i="12"/>
  <c r="K2155" i="12"/>
  <c r="L2155" i="12" s="1"/>
  <c r="N2155" i="12" s="1"/>
  <c r="A2156" i="12"/>
  <c r="B2156" i="12"/>
  <c r="C2156" i="12"/>
  <c r="D2156" i="12"/>
  <c r="E2156" i="12"/>
  <c r="F2156" i="12"/>
  <c r="G2156" i="12"/>
  <c r="I2156" i="12" s="1"/>
  <c r="M2156" i="12" s="1"/>
  <c r="H2156" i="12"/>
  <c r="J2156" i="12"/>
  <c r="L2156" i="12" s="1"/>
  <c r="N2156" i="12" s="1"/>
  <c r="K2156" i="12"/>
  <c r="A2157" i="12"/>
  <c r="B2157" i="12"/>
  <c r="C2157" i="12"/>
  <c r="D2157" i="12"/>
  <c r="E2157" i="12"/>
  <c r="F2157" i="12"/>
  <c r="G2157" i="12"/>
  <c r="H2157" i="12"/>
  <c r="I2157" i="12"/>
  <c r="J2157" i="12"/>
  <c r="K2157" i="12"/>
  <c r="L2157" i="12" s="1"/>
  <c r="N2157" i="12" s="1"/>
  <c r="M2157" i="12"/>
  <c r="A2158" i="12"/>
  <c r="B2158" i="12"/>
  <c r="C2158" i="12"/>
  <c r="D2158" i="12"/>
  <c r="E2158" i="12"/>
  <c r="F2158" i="12"/>
  <c r="G2158" i="12"/>
  <c r="H2158" i="12"/>
  <c r="I2158" i="12"/>
  <c r="J2158" i="12"/>
  <c r="L2158" i="12" s="1"/>
  <c r="K2158" i="12"/>
  <c r="M2158" i="12"/>
  <c r="N2158" i="12"/>
  <c r="A2159" i="12"/>
  <c r="B2159" i="12"/>
  <c r="C2159" i="12"/>
  <c r="D2159" i="12"/>
  <c r="E2159" i="12"/>
  <c r="F2159" i="12"/>
  <c r="G2159" i="12"/>
  <c r="I2159" i="12" s="1"/>
  <c r="M2159" i="12" s="1"/>
  <c r="H2159" i="12"/>
  <c r="J2159" i="12"/>
  <c r="K2159" i="12"/>
  <c r="L2159" i="12" s="1"/>
  <c r="N2159" i="12" s="1"/>
  <c r="A2160" i="12"/>
  <c r="B2160" i="12"/>
  <c r="C2160" i="12"/>
  <c r="D2160" i="12"/>
  <c r="E2160" i="12"/>
  <c r="F2160" i="12"/>
  <c r="G2160" i="12"/>
  <c r="I2160" i="12" s="1"/>
  <c r="M2160" i="12" s="1"/>
  <c r="H2160" i="12"/>
  <c r="J2160" i="12"/>
  <c r="L2160" i="12" s="1"/>
  <c r="N2160" i="12" s="1"/>
  <c r="K2160" i="12"/>
  <c r="A2161" i="12"/>
  <c r="B2161" i="12"/>
  <c r="C2161" i="12"/>
  <c r="D2161" i="12"/>
  <c r="E2161" i="12"/>
  <c r="F2161" i="12"/>
  <c r="G2161" i="12"/>
  <c r="H2161" i="12"/>
  <c r="I2161" i="12"/>
  <c r="J2161" i="12"/>
  <c r="K2161" i="12"/>
  <c r="L2161" i="12" s="1"/>
  <c r="N2161" i="12" s="1"/>
  <c r="M2161" i="12"/>
  <c r="A2162" i="12"/>
  <c r="B2162" i="12"/>
  <c r="C2162" i="12"/>
  <c r="D2162" i="12"/>
  <c r="E2162" i="12"/>
  <c r="F2162" i="12"/>
  <c r="G2162" i="12"/>
  <c r="H2162" i="12"/>
  <c r="I2162" i="12"/>
  <c r="J2162" i="12"/>
  <c r="L2162" i="12" s="1"/>
  <c r="K2162" i="12"/>
  <c r="M2162" i="12"/>
  <c r="N2162" i="12"/>
  <c r="A2163" i="12"/>
  <c r="B2163" i="12"/>
  <c r="C2163" i="12"/>
  <c r="D2163" i="12"/>
  <c r="E2163" i="12"/>
  <c r="F2163" i="12"/>
  <c r="G2163" i="12"/>
  <c r="I2163" i="12" s="1"/>
  <c r="M2163" i="12" s="1"/>
  <c r="H2163" i="12"/>
  <c r="J2163" i="12"/>
  <c r="K2163" i="12"/>
  <c r="L2163" i="12" s="1"/>
  <c r="N2163" i="12" s="1"/>
  <c r="A2164" i="12"/>
  <c r="B2164" i="12"/>
  <c r="C2164" i="12"/>
  <c r="D2164" i="12"/>
  <c r="E2164" i="12"/>
  <c r="F2164" i="12"/>
  <c r="G2164" i="12"/>
  <c r="I2164" i="12" s="1"/>
  <c r="M2164" i="12" s="1"/>
  <c r="H2164" i="12"/>
  <c r="J2164" i="12"/>
  <c r="L2164" i="12" s="1"/>
  <c r="N2164" i="12" s="1"/>
  <c r="K2164" i="12"/>
  <c r="A2165" i="12"/>
  <c r="B2165" i="12"/>
  <c r="C2165" i="12"/>
  <c r="D2165" i="12"/>
  <c r="E2165" i="12"/>
  <c r="F2165" i="12"/>
  <c r="G2165" i="12"/>
  <c r="H2165" i="12"/>
  <c r="I2165" i="12"/>
  <c r="J2165" i="12"/>
  <c r="K2165" i="12"/>
  <c r="L2165" i="12" s="1"/>
  <c r="N2165" i="12" s="1"/>
  <c r="M2165" i="12"/>
  <c r="A2166" i="12"/>
  <c r="B2166" i="12"/>
  <c r="C2166" i="12"/>
  <c r="D2166" i="12"/>
  <c r="E2166" i="12"/>
  <c r="F2166" i="12"/>
  <c r="G2166" i="12"/>
  <c r="H2166" i="12"/>
  <c r="I2166" i="12"/>
  <c r="J2166" i="12"/>
  <c r="L2166" i="12" s="1"/>
  <c r="K2166" i="12"/>
  <c r="M2166" i="12"/>
  <c r="N2166" i="12"/>
  <c r="A2167" i="12"/>
  <c r="B2167" i="12"/>
  <c r="C2167" i="12"/>
  <c r="D2167" i="12"/>
  <c r="E2167" i="12"/>
  <c r="F2167" i="12"/>
  <c r="G2167" i="12"/>
  <c r="I2167" i="12" s="1"/>
  <c r="M2167" i="12" s="1"/>
  <c r="H2167" i="12"/>
  <c r="J2167" i="12"/>
  <c r="K2167" i="12"/>
  <c r="L2167" i="12" s="1"/>
  <c r="N2167" i="12" s="1"/>
  <c r="A2168" i="12"/>
  <c r="B2168" i="12"/>
  <c r="C2168" i="12"/>
  <c r="D2168" i="12"/>
  <c r="E2168" i="12"/>
  <c r="F2168" i="12"/>
  <c r="G2168" i="12"/>
  <c r="I2168" i="12" s="1"/>
  <c r="M2168" i="12" s="1"/>
  <c r="H2168" i="12"/>
  <c r="J2168" i="12"/>
  <c r="L2168" i="12" s="1"/>
  <c r="N2168" i="12" s="1"/>
  <c r="K2168" i="12"/>
  <c r="A2169" i="12"/>
  <c r="B2169" i="12"/>
  <c r="C2169" i="12"/>
  <c r="D2169" i="12"/>
  <c r="E2169" i="12"/>
  <c r="F2169" i="12"/>
  <c r="G2169" i="12"/>
  <c r="H2169" i="12"/>
  <c r="I2169" i="12"/>
  <c r="J2169" i="12"/>
  <c r="K2169" i="12"/>
  <c r="L2169" i="12" s="1"/>
  <c r="N2169" i="12" s="1"/>
  <c r="M2169" i="12"/>
  <c r="A2170" i="12"/>
  <c r="B2170" i="12"/>
  <c r="C2170" i="12"/>
  <c r="D2170" i="12"/>
  <c r="E2170" i="12"/>
  <c r="F2170" i="12"/>
  <c r="G2170" i="12"/>
  <c r="H2170" i="12"/>
  <c r="I2170" i="12"/>
  <c r="J2170" i="12"/>
  <c r="L2170" i="12" s="1"/>
  <c r="K2170" i="12"/>
  <c r="M2170" i="12"/>
  <c r="N2170" i="12"/>
  <c r="A2171" i="12"/>
  <c r="B2171" i="12"/>
  <c r="C2171" i="12"/>
  <c r="D2171" i="12"/>
  <c r="E2171" i="12"/>
  <c r="F2171" i="12"/>
  <c r="G2171" i="12"/>
  <c r="I2171" i="12" s="1"/>
  <c r="M2171" i="12" s="1"/>
  <c r="H2171" i="12"/>
  <c r="J2171" i="12"/>
  <c r="K2171" i="12"/>
  <c r="L2171" i="12" s="1"/>
  <c r="N2171" i="12" s="1"/>
  <c r="A2172" i="12"/>
  <c r="B2172" i="12"/>
  <c r="C2172" i="12"/>
  <c r="D2172" i="12"/>
  <c r="E2172" i="12"/>
  <c r="F2172" i="12"/>
  <c r="G2172" i="12"/>
  <c r="I2172" i="12" s="1"/>
  <c r="M2172" i="12" s="1"/>
  <c r="H2172" i="12"/>
  <c r="J2172" i="12"/>
  <c r="L2172" i="12" s="1"/>
  <c r="N2172" i="12" s="1"/>
  <c r="K2172" i="12"/>
  <c r="A2173" i="12"/>
  <c r="B2173" i="12"/>
  <c r="C2173" i="12"/>
  <c r="D2173" i="12"/>
  <c r="E2173" i="12"/>
  <c r="F2173" i="12"/>
  <c r="G2173" i="12"/>
  <c r="H2173" i="12"/>
  <c r="I2173" i="12"/>
  <c r="J2173" i="12"/>
  <c r="K2173" i="12"/>
  <c r="L2173" i="12" s="1"/>
  <c r="N2173" i="12" s="1"/>
  <c r="M2173" i="12"/>
  <c r="A2174" i="12"/>
  <c r="B2174" i="12"/>
  <c r="C2174" i="12"/>
  <c r="D2174" i="12"/>
  <c r="E2174" i="12"/>
  <c r="F2174" i="12"/>
  <c r="G2174" i="12"/>
  <c r="H2174" i="12"/>
  <c r="I2174" i="12"/>
  <c r="J2174" i="12"/>
  <c r="L2174" i="12" s="1"/>
  <c r="K2174" i="12"/>
  <c r="M2174" i="12"/>
  <c r="N2174" i="12"/>
  <c r="A2175" i="12"/>
  <c r="B2175" i="12"/>
  <c r="C2175" i="12"/>
  <c r="D2175" i="12"/>
  <c r="E2175" i="12"/>
  <c r="F2175" i="12"/>
  <c r="G2175" i="12"/>
  <c r="I2175" i="12" s="1"/>
  <c r="M2175" i="12" s="1"/>
  <c r="H2175" i="12"/>
  <c r="J2175" i="12"/>
  <c r="K2175" i="12"/>
  <c r="L2175" i="12" s="1"/>
  <c r="N2175" i="12" s="1"/>
  <c r="A2176" i="12"/>
  <c r="B2176" i="12"/>
  <c r="C2176" i="12"/>
  <c r="D2176" i="12"/>
  <c r="E2176" i="12"/>
  <c r="F2176" i="12"/>
  <c r="G2176" i="12"/>
  <c r="I2176" i="12" s="1"/>
  <c r="M2176" i="12" s="1"/>
  <c r="H2176" i="12"/>
  <c r="J2176" i="12"/>
  <c r="L2176" i="12" s="1"/>
  <c r="N2176" i="12" s="1"/>
  <c r="K2176" i="12"/>
  <c r="A2177" i="12"/>
  <c r="B2177" i="12"/>
  <c r="C2177" i="12"/>
  <c r="D2177" i="12"/>
  <c r="E2177" i="12"/>
  <c r="F2177" i="12"/>
  <c r="G2177" i="12"/>
  <c r="H2177" i="12"/>
  <c r="I2177" i="12"/>
  <c r="J2177" i="12"/>
  <c r="K2177" i="12"/>
  <c r="L2177" i="12" s="1"/>
  <c r="N2177" i="12" s="1"/>
  <c r="M2177" i="12"/>
  <c r="A2178" i="12"/>
  <c r="B2178" i="12"/>
  <c r="C2178" i="12"/>
  <c r="D2178" i="12"/>
  <c r="E2178" i="12"/>
  <c r="F2178" i="12"/>
  <c r="G2178" i="12"/>
  <c r="H2178" i="12"/>
  <c r="I2178" i="12"/>
  <c r="J2178" i="12"/>
  <c r="L2178" i="12" s="1"/>
  <c r="K2178" i="12"/>
  <c r="M2178" i="12"/>
  <c r="N2178" i="12"/>
  <c r="A2179" i="12"/>
  <c r="B2179" i="12"/>
  <c r="C2179" i="12"/>
  <c r="D2179" i="12"/>
  <c r="E2179" i="12"/>
  <c r="F2179" i="12"/>
  <c r="G2179" i="12"/>
  <c r="I2179" i="12" s="1"/>
  <c r="M2179" i="12" s="1"/>
  <c r="H2179" i="12"/>
  <c r="J2179" i="12"/>
  <c r="K2179" i="12"/>
  <c r="L2179" i="12" s="1"/>
  <c r="N2179" i="12" s="1"/>
  <c r="A2180" i="12"/>
  <c r="B2180" i="12"/>
  <c r="C2180" i="12"/>
  <c r="D2180" i="12"/>
  <c r="E2180" i="12"/>
  <c r="F2180" i="12"/>
  <c r="G2180" i="12"/>
  <c r="I2180" i="12" s="1"/>
  <c r="M2180" i="12" s="1"/>
  <c r="H2180" i="12"/>
  <c r="J2180" i="12"/>
  <c r="L2180" i="12" s="1"/>
  <c r="N2180" i="12" s="1"/>
  <c r="K2180" i="12"/>
  <c r="A2181" i="12"/>
  <c r="B2181" i="12"/>
  <c r="C2181" i="12"/>
  <c r="D2181" i="12"/>
  <c r="E2181" i="12"/>
  <c r="F2181" i="12"/>
  <c r="G2181" i="12"/>
  <c r="H2181" i="12"/>
  <c r="I2181" i="12"/>
  <c r="J2181" i="12"/>
  <c r="K2181" i="12"/>
  <c r="L2181" i="12" s="1"/>
  <c r="N2181" i="12" s="1"/>
  <c r="M2181" i="12"/>
  <c r="A2182" i="12"/>
  <c r="B2182" i="12"/>
  <c r="C2182" i="12"/>
  <c r="D2182" i="12"/>
  <c r="E2182" i="12"/>
  <c r="F2182" i="12"/>
  <c r="G2182" i="12"/>
  <c r="H2182" i="12"/>
  <c r="I2182" i="12"/>
  <c r="J2182" i="12"/>
  <c r="L2182" i="12" s="1"/>
  <c r="K2182" i="12"/>
  <c r="M2182" i="12"/>
  <c r="N2182" i="12"/>
  <c r="A2183" i="12"/>
  <c r="B2183" i="12"/>
  <c r="C2183" i="12"/>
  <c r="D2183" i="12"/>
  <c r="E2183" i="12"/>
  <c r="F2183" i="12"/>
  <c r="G2183" i="12"/>
  <c r="I2183" i="12" s="1"/>
  <c r="M2183" i="12" s="1"/>
  <c r="H2183" i="12"/>
  <c r="J2183" i="12"/>
  <c r="K2183" i="12"/>
  <c r="L2183" i="12" s="1"/>
  <c r="N2183" i="12" s="1"/>
  <c r="A2184" i="12"/>
  <c r="B2184" i="12"/>
  <c r="C2184" i="12"/>
  <c r="D2184" i="12"/>
  <c r="E2184" i="12"/>
  <c r="F2184" i="12"/>
  <c r="G2184" i="12"/>
  <c r="I2184" i="12" s="1"/>
  <c r="M2184" i="12" s="1"/>
  <c r="H2184" i="12"/>
  <c r="J2184" i="12"/>
  <c r="L2184" i="12" s="1"/>
  <c r="N2184" i="12" s="1"/>
  <c r="K2184" i="12"/>
  <c r="A2185" i="12"/>
  <c r="B2185" i="12"/>
  <c r="C2185" i="12"/>
  <c r="D2185" i="12"/>
  <c r="E2185" i="12"/>
  <c r="F2185" i="12"/>
  <c r="G2185" i="12"/>
  <c r="H2185" i="12"/>
  <c r="I2185" i="12"/>
  <c r="J2185" i="12"/>
  <c r="K2185" i="12"/>
  <c r="L2185" i="12" s="1"/>
  <c r="N2185" i="12" s="1"/>
  <c r="M2185" i="12"/>
  <c r="A2186" i="12"/>
  <c r="B2186" i="12"/>
  <c r="C2186" i="12"/>
  <c r="D2186" i="12"/>
  <c r="E2186" i="12"/>
  <c r="F2186" i="12"/>
  <c r="G2186" i="12"/>
  <c r="H2186" i="12"/>
  <c r="I2186" i="12"/>
  <c r="J2186" i="12"/>
  <c r="L2186" i="12" s="1"/>
  <c r="K2186" i="12"/>
  <c r="M2186" i="12"/>
  <c r="N2186" i="12"/>
  <c r="A2187" i="12"/>
  <c r="B2187" i="12"/>
  <c r="C2187" i="12"/>
  <c r="D2187" i="12"/>
  <c r="E2187" i="12"/>
  <c r="F2187" i="12"/>
  <c r="G2187" i="12"/>
  <c r="I2187" i="12" s="1"/>
  <c r="M2187" i="12" s="1"/>
  <c r="H2187" i="12"/>
  <c r="J2187" i="12"/>
  <c r="K2187" i="12"/>
  <c r="L2187" i="12" s="1"/>
  <c r="N2187" i="12" s="1"/>
  <c r="A2188" i="12"/>
  <c r="B2188" i="12"/>
  <c r="C2188" i="12"/>
  <c r="D2188" i="12"/>
  <c r="E2188" i="12"/>
  <c r="F2188" i="12"/>
  <c r="G2188" i="12"/>
  <c r="I2188" i="12" s="1"/>
  <c r="M2188" i="12" s="1"/>
  <c r="H2188" i="12"/>
  <c r="J2188" i="12"/>
  <c r="L2188" i="12" s="1"/>
  <c r="N2188" i="12" s="1"/>
  <c r="K2188" i="12"/>
  <c r="A2189" i="12"/>
  <c r="B2189" i="12"/>
  <c r="C2189" i="12"/>
  <c r="D2189" i="12"/>
  <c r="E2189" i="12"/>
  <c r="F2189" i="12"/>
  <c r="G2189" i="12"/>
  <c r="H2189" i="12"/>
  <c r="I2189" i="12"/>
  <c r="J2189" i="12"/>
  <c r="K2189" i="12"/>
  <c r="L2189" i="12" s="1"/>
  <c r="N2189" i="12" s="1"/>
  <c r="M2189" i="12"/>
  <c r="A2190" i="12"/>
  <c r="B2190" i="12"/>
  <c r="C2190" i="12"/>
  <c r="D2190" i="12"/>
  <c r="E2190" i="12"/>
  <c r="F2190" i="12"/>
  <c r="G2190" i="12"/>
  <c r="H2190" i="12"/>
  <c r="I2190" i="12"/>
  <c r="J2190" i="12"/>
  <c r="L2190" i="12" s="1"/>
  <c r="K2190" i="12"/>
  <c r="M2190" i="12"/>
  <c r="N2190" i="12"/>
  <c r="A2191" i="12"/>
  <c r="B2191" i="12"/>
  <c r="C2191" i="12"/>
  <c r="D2191" i="12"/>
  <c r="E2191" i="12"/>
  <c r="F2191" i="12"/>
  <c r="G2191" i="12"/>
  <c r="I2191" i="12" s="1"/>
  <c r="M2191" i="12" s="1"/>
  <c r="H2191" i="12"/>
  <c r="J2191" i="12"/>
  <c r="K2191" i="12"/>
  <c r="L2191" i="12" s="1"/>
  <c r="N2191" i="12" s="1"/>
  <c r="A2192" i="12"/>
  <c r="B2192" i="12"/>
  <c r="C2192" i="12"/>
  <c r="D2192" i="12"/>
  <c r="E2192" i="12"/>
  <c r="F2192" i="12"/>
  <c r="G2192" i="12"/>
  <c r="I2192" i="12" s="1"/>
  <c r="M2192" i="12" s="1"/>
  <c r="H2192" i="12"/>
  <c r="J2192" i="12"/>
  <c r="L2192" i="12" s="1"/>
  <c r="N2192" i="12" s="1"/>
  <c r="K2192" i="12"/>
  <c r="A2193" i="12"/>
  <c r="B2193" i="12"/>
  <c r="C2193" i="12"/>
  <c r="D2193" i="12"/>
  <c r="E2193" i="12"/>
  <c r="F2193" i="12"/>
  <c r="G2193" i="12"/>
  <c r="H2193" i="12"/>
  <c r="I2193" i="12"/>
  <c r="M2193" i="12" s="1"/>
  <c r="J2193" i="12"/>
  <c r="K2193" i="12"/>
  <c r="L2193" i="12" s="1"/>
  <c r="N2193" i="12" s="1"/>
  <c r="A2194" i="12"/>
  <c r="B2194" i="12"/>
  <c r="C2194" i="12"/>
  <c r="D2194" i="12"/>
  <c r="E2194" i="12"/>
  <c r="F2194" i="12"/>
  <c r="G2194" i="12"/>
  <c r="H2194" i="12"/>
  <c r="I2194" i="12"/>
  <c r="J2194" i="12"/>
  <c r="L2194" i="12" s="1"/>
  <c r="K2194" i="12"/>
  <c r="M2194" i="12"/>
  <c r="N2194" i="12"/>
  <c r="A2195" i="12"/>
  <c r="B2195" i="12"/>
  <c r="C2195" i="12"/>
  <c r="D2195" i="12"/>
  <c r="E2195" i="12"/>
  <c r="F2195" i="12"/>
  <c r="G2195" i="12"/>
  <c r="I2195" i="12" s="1"/>
  <c r="M2195" i="12" s="1"/>
  <c r="H2195" i="12"/>
  <c r="J2195" i="12"/>
  <c r="K2195" i="12"/>
  <c r="L2195" i="12" s="1"/>
  <c r="N2195" i="12" s="1"/>
  <c r="A2196" i="12"/>
  <c r="B2196" i="12"/>
  <c r="C2196" i="12"/>
  <c r="D2196" i="12"/>
  <c r="E2196" i="12"/>
  <c r="F2196" i="12"/>
  <c r="G2196" i="12"/>
  <c r="I2196" i="12" s="1"/>
  <c r="M2196" i="12" s="1"/>
  <c r="H2196" i="12"/>
  <c r="J2196" i="12"/>
  <c r="L2196" i="12" s="1"/>
  <c r="N2196" i="12" s="1"/>
  <c r="K2196" i="12"/>
  <c r="A2197" i="12"/>
  <c r="B2197" i="12"/>
  <c r="C2197" i="12"/>
  <c r="D2197" i="12"/>
  <c r="E2197" i="12"/>
  <c r="F2197" i="12"/>
  <c r="G2197" i="12"/>
  <c r="H2197" i="12"/>
  <c r="I2197" i="12"/>
  <c r="M2197" i="12" s="1"/>
  <c r="J2197" i="12"/>
  <c r="K2197" i="12"/>
  <c r="L2197" i="12" s="1"/>
  <c r="N2197" i="12" s="1"/>
  <c r="A2198" i="12"/>
  <c r="B2198" i="12"/>
  <c r="C2198" i="12"/>
  <c r="D2198" i="12"/>
  <c r="E2198" i="12"/>
  <c r="F2198" i="12"/>
  <c r="G2198" i="12"/>
  <c r="H2198" i="12"/>
  <c r="I2198" i="12"/>
  <c r="J2198" i="12"/>
  <c r="L2198" i="12" s="1"/>
  <c r="K2198" i="12"/>
  <c r="M2198" i="12"/>
  <c r="N2198" i="12"/>
  <c r="A2199" i="12"/>
  <c r="B2199" i="12"/>
  <c r="C2199" i="12"/>
  <c r="D2199" i="12"/>
  <c r="E2199" i="12"/>
  <c r="F2199" i="12"/>
  <c r="G2199" i="12"/>
  <c r="I2199" i="12" s="1"/>
  <c r="M2199" i="12" s="1"/>
  <c r="H2199" i="12"/>
  <c r="J2199" i="12"/>
  <c r="K2199" i="12"/>
  <c r="L2199" i="12" s="1"/>
  <c r="N2199" i="12" s="1"/>
  <c r="A2200" i="12"/>
  <c r="B2200" i="12"/>
  <c r="C2200" i="12"/>
  <c r="D2200" i="12"/>
  <c r="E2200" i="12"/>
  <c r="F2200" i="12"/>
  <c r="G2200" i="12"/>
  <c r="I2200" i="12" s="1"/>
  <c r="M2200" i="12" s="1"/>
  <c r="H2200" i="12"/>
  <c r="J2200" i="12"/>
  <c r="L2200" i="12" s="1"/>
  <c r="N2200" i="12" s="1"/>
  <c r="K2200" i="12"/>
  <c r="A2201" i="12"/>
  <c r="B2201" i="12"/>
  <c r="C2201" i="12"/>
  <c r="D2201" i="12"/>
  <c r="E2201" i="12"/>
  <c r="F2201" i="12"/>
  <c r="G2201" i="12"/>
  <c r="H2201" i="12"/>
  <c r="I2201" i="12"/>
  <c r="J2201" i="12"/>
  <c r="K2201" i="12"/>
  <c r="L2201" i="12" s="1"/>
  <c r="N2201" i="12" s="1"/>
  <c r="M2201" i="12"/>
  <c r="A2202" i="12"/>
  <c r="B2202" i="12"/>
  <c r="C2202" i="12"/>
  <c r="D2202" i="12"/>
  <c r="E2202" i="12"/>
  <c r="F2202" i="12"/>
  <c r="G2202" i="12"/>
  <c r="H2202" i="12"/>
  <c r="I2202" i="12"/>
  <c r="J2202" i="12"/>
  <c r="L2202" i="12" s="1"/>
  <c r="K2202" i="12"/>
  <c r="M2202" i="12"/>
  <c r="N2202" i="12"/>
  <c r="A2203" i="12"/>
  <c r="B2203" i="12"/>
  <c r="C2203" i="12"/>
  <c r="D2203" i="12"/>
  <c r="E2203" i="12"/>
  <c r="F2203" i="12"/>
  <c r="G2203" i="12"/>
  <c r="I2203" i="12" s="1"/>
  <c r="M2203" i="12" s="1"/>
  <c r="H2203" i="12"/>
  <c r="J2203" i="12"/>
  <c r="K2203" i="12"/>
  <c r="L2203" i="12" s="1"/>
  <c r="N2203" i="12" s="1"/>
  <c r="A2204" i="12"/>
  <c r="B2204" i="12"/>
  <c r="C2204" i="12"/>
  <c r="D2204" i="12"/>
  <c r="E2204" i="12"/>
  <c r="F2204" i="12"/>
  <c r="G2204" i="12"/>
  <c r="I2204" i="12" s="1"/>
  <c r="M2204" i="12" s="1"/>
  <c r="H2204" i="12"/>
  <c r="J2204" i="12"/>
  <c r="L2204" i="12" s="1"/>
  <c r="N2204" i="12" s="1"/>
  <c r="K2204" i="12"/>
  <c r="A2205" i="12"/>
  <c r="B2205" i="12"/>
  <c r="C2205" i="12"/>
  <c r="D2205" i="12"/>
  <c r="E2205" i="12"/>
  <c r="F2205" i="12"/>
  <c r="G2205" i="12"/>
  <c r="H2205" i="12"/>
  <c r="I2205" i="12"/>
  <c r="J2205" i="12"/>
  <c r="K2205" i="12"/>
  <c r="L2205" i="12" s="1"/>
  <c r="N2205" i="12" s="1"/>
  <c r="M2205" i="12"/>
  <c r="A2206" i="12"/>
  <c r="B2206" i="12"/>
  <c r="C2206" i="12"/>
  <c r="D2206" i="12"/>
  <c r="E2206" i="12"/>
  <c r="F2206" i="12"/>
  <c r="G2206" i="12"/>
  <c r="H2206" i="12"/>
  <c r="I2206" i="12"/>
  <c r="J2206" i="12"/>
  <c r="L2206" i="12" s="1"/>
  <c r="K2206" i="12"/>
  <c r="M2206" i="12"/>
  <c r="N2206" i="12"/>
  <c r="A2207" i="12"/>
  <c r="B2207" i="12"/>
  <c r="C2207" i="12"/>
  <c r="D2207" i="12"/>
  <c r="E2207" i="12"/>
  <c r="F2207" i="12"/>
  <c r="G2207" i="12"/>
  <c r="I2207" i="12" s="1"/>
  <c r="M2207" i="12" s="1"/>
  <c r="H2207" i="12"/>
  <c r="J2207" i="12"/>
  <c r="K2207" i="12"/>
  <c r="L2207" i="12" s="1"/>
  <c r="N2207" i="12" s="1"/>
  <c r="A2208" i="12"/>
  <c r="B2208" i="12"/>
  <c r="C2208" i="12"/>
  <c r="D2208" i="12"/>
  <c r="E2208" i="12"/>
  <c r="F2208" i="12"/>
  <c r="G2208" i="12"/>
  <c r="I2208" i="12" s="1"/>
  <c r="M2208" i="12" s="1"/>
  <c r="H2208" i="12"/>
  <c r="J2208" i="12"/>
  <c r="L2208" i="12" s="1"/>
  <c r="N2208" i="12" s="1"/>
  <c r="K2208" i="12"/>
  <c r="A2209" i="12"/>
  <c r="B2209" i="12"/>
  <c r="C2209" i="12"/>
  <c r="D2209" i="12"/>
  <c r="E2209" i="12"/>
  <c r="F2209" i="12"/>
  <c r="G2209" i="12"/>
  <c r="H2209" i="12"/>
  <c r="I2209" i="12"/>
  <c r="M2209" i="12" s="1"/>
  <c r="J2209" i="12"/>
  <c r="K2209" i="12"/>
  <c r="L2209" i="12" s="1"/>
  <c r="N2209" i="12" s="1"/>
  <c r="A2210" i="12"/>
  <c r="B2210" i="12"/>
  <c r="C2210" i="12"/>
  <c r="D2210" i="12"/>
  <c r="E2210" i="12"/>
  <c r="F2210" i="12"/>
  <c r="G2210" i="12"/>
  <c r="H2210" i="12"/>
  <c r="I2210" i="12"/>
  <c r="J2210" i="12"/>
  <c r="L2210" i="12" s="1"/>
  <c r="K2210" i="12"/>
  <c r="M2210" i="12"/>
  <c r="N2210" i="12"/>
  <c r="A2211" i="12"/>
  <c r="B2211" i="12"/>
  <c r="C2211" i="12"/>
  <c r="D2211" i="12"/>
  <c r="E2211" i="12"/>
  <c r="F2211" i="12"/>
  <c r="G2211" i="12"/>
  <c r="I2211" i="12" s="1"/>
  <c r="M2211" i="12" s="1"/>
  <c r="H2211" i="12"/>
  <c r="J2211" i="12"/>
  <c r="K2211" i="12"/>
  <c r="L2211" i="12" s="1"/>
  <c r="N2211" i="12" s="1"/>
  <c r="A2212" i="12"/>
  <c r="B2212" i="12"/>
  <c r="C2212" i="12"/>
  <c r="D2212" i="12"/>
  <c r="E2212" i="12"/>
  <c r="F2212" i="12"/>
  <c r="G2212" i="12"/>
  <c r="I2212" i="12" s="1"/>
  <c r="M2212" i="12" s="1"/>
  <c r="H2212" i="12"/>
  <c r="J2212" i="12"/>
  <c r="L2212" i="12" s="1"/>
  <c r="N2212" i="12" s="1"/>
  <c r="K2212" i="12"/>
  <c r="A2213" i="12"/>
  <c r="B2213" i="12"/>
  <c r="C2213" i="12"/>
  <c r="D2213" i="12"/>
  <c r="E2213" i="12"/>
  <c r="F2213" i="12"/>
  <c r="G2213" i="12"/>
  <c r="H2213" i="12"/>
  <c r="I2213" i="12"/>
  <c r="M2213" i="12" s="1"/>
  <c r="J2213" i="12"/>
  <c r="K2213" i="12"/>
  <c r="L2213" i="12" s="1"/>
  <c r="N2213" i="12" s="1"/>
  <c r="A2214" i="12"/>
  <c r="B2214" i="12"/>
  <c r="C2214" i="12"/>
  <c r="D2214" i="12"/>
  <c r="E2214" i="12"/>
  <c r="F2214" i="12"/>
  <c r="G2214" i="12"/>
  <c r="H2214" i="12"/>
  <c r="I2214" i="12"/>
  <c r="J2214" i="12"/>
  <c r="L2214" i="12" s="1"/>
  <c r="K2214" i="12"/>
  <c r="M2214" i="12"/>
  <c r="N2214" i="12"/>
  <c r="A2215" i="12"/>
  <c r="B2215" i="12"/>
  <c r="C2215" i="12"/>
  <c r="D2215" i="12"/>
  <c r="E2215" i="12"/>
  <c r="F2215" i="12"/>
  <c r="G2215" i="12"/>
  <c r="I2215" i="12" s="1"/>
  <c r="M2215" i="12" s="1"/>
  <c r="H2215" i="12"/>
  <c r="J2215" i="12"/>
  <c r="K2215" i="12"/>
  <c r="L2215" i="12" s="1"/>
  <c r="N2215" i="12" s="1"/>
  <c r="A2216" i="12"/>
  <c r="B2216" i="12"/>
  <c r="C2216" i="12"/>
  <c r="D2216" i="12"/>
  <c r="E2216" i="12"/>
  <c r="F2216" i="12"/>
  <c r="G2216" i="12"/>
  <c r="I2216" i="12" s="1"/>
  <c r="M2216" i="12" s="1"/>
  <c r="H2216" i="12"/>
  <c r="J2216" i="12"/>
  <c r="L2216" i="12" s="1"/>
  <c r="N2216" i="12" s="1"/>
  <c r="K2216" i="12"/>
  <c r="A2217" i="12"/>
  <c r="B2217" i="12"/>
  <c r="C2217" i="12"/>
  <c r="D2217" i="12"/>
  <c r="E2217" i="12"/>
  <c r="F2217" i="12"/>
  <c r="G2217" i="12"/>
  <c r="H2217" i="12"/>
  <c r="I2217" i="12"/>
  <c r="J2217" i="12"/>
  <c r="K2217" i="12"/>
  <c r="L2217" i="12" s="1"/>
  <c r="N2217" i="12" s="1"/>
  <c r="M2217" i="12"/>
  <c r="A2218" i="12"/>
  <c r="B2218" i="12"/>
  <c r="C2218" i="12"/>
  <c r="D2218" i="12"/>
  <c r="E2218" i="12"/>
  <c r="F2218" i="12"/>
  <c r="G2218" i="12"/>
  <c r="H2218" i="12"/>
  <c r="I2218" i="12"/>
  <c r="J2218" i="12"/>
  <c r="L2218" i="12" s="1"/>
  <c r="K2218" i="12"/>
  <c r="M2218" i="12"/>
  <c r="N2218" i="12"/>
  <c r="A2219" i="12"/>
  <c r="B2219" i="12"/>
  <c r="C2219" i="12"/>
  <c r="D2219" i="12"/>
  <c r="E2219" i="12"/>
  <c r="F2219" i="12"/>
  <c r="G2219" i="12"/>
  <c r="I2219" i="12" s="1"/>
  <c r="M2219" i="12" s="1"/>
  <c r="H2219" i="12"/>
  <c r="J2219" i="12"/>
  <c r="K2219" i="12"/>
  <c r="L2219" i="12" s="1"/>
  <c r="N2219" i="12" s="1"/>
  <c r="A2220" i="12"/>
  <c r="B2220" i="12"/>
  <c r="C2220" i="12"/>
  <c r="D2220" i="12"/>
  <c r="E2220" i="12"/>
  <c r="F2220" i="12"/>
  <c r="G2220" i="12"/>
  <c r="I2220" i="12" s="1"/>
  <c r="M2220" i="12" s="1"/>
  <c r="H2220" i="12"/>
  <c r="J2220" i="12"/>
  <c r="L2220" i="12" s="1"/>
  <c r="N2220" i="12" s="1"/>
  <c r="K2220" i="12"/>
  <c r="A2221" i="12"/>
  <c r="B2221" i="12"/>
  <c r="C2221" i="12"/>
  <c r="D2221" i="12"/>
  <c r="E2221" i="12"/>
  <c r="F2221" i="12"/>
  <c r="G2221" i="12"/>
  <c r="H2221" i="12"/>
  <c r="I2221" i="12"/>
  <c r="J2221" i="12"/>
  <c r="K2221" i="12"/>
  <c r="L2221" i="12" s="1"/>
  <c r="N2221" i="12" s="1"/>
  <c r="M2221" i="12"/>
  <c r="A2222" i="12"/>
  <c r="B2222" i="12"/>
  <c r="C2222" i="12"/>
  <c r="D2222" i="12"/>
  <c r="E2222" i="12"/>
  <c r="F2222" i="12"/>
  <c r="G2222" i="12"/>
  <c r="H2222" i="12"/>
  <c r="I2222" i="12"/>
  <c r="J2222" i="12"/>
  <c r="L2222" i="12" s="1"/>
  <c r="K2222" i="12"/>
  <c r="M2222" i="12"/>
  <c r="N2222" i="12"/>
  <c r="A2223" i="12"/>
  <c r="B2223" i="12"/>
  <c r="C2223" i="12"/>
  <c r="D2223" i="12"/>
  <c r="E2223" i="12"/>
  <c r="F2223" i="12"/>
  <c r="G2223" i="12"/>
  <c r="I2223" i="12" s="1"/>
  <c r="M2223" i="12" s="1"/>
  <c r="H2223" i="12"/>
  <c r="J2223" i="12"/>
  <c r="K2223" i="12"/>
  <c r="L2223" i="12" s="1"/>
  <c r="N2223" i="12" s="1"/>
  <c r="A2224" i="12"/>
  <c r="B2224" i="12"/>
  <c r="C2224" i="12"/>
  <c r="D2224" i="12"/>
  <c r="E2224" i="12"/>
  <c r="F2224" i="12"/>
  <c r="G2224" i="12"/>
  <c r="I2224" i="12" s="1"/>
  <c r="M2224" i="12" s="1"/>
  <c r="H2224" i="12"/>
  <c r="J2224" i="12"/>
  <c r="K2224" i="12"/>
  <c r="A2225" i="12"/>
  <c r="B2225" i="12"/>
  <c r="C2225" i="12"/>
  <c r="D2225" i="12"/>
  <c r="E2225" i="12"/>
  <c r="F2225" i="12"/>
  <c r="G2225" i="12"/>
  <c r="H2225" i="12"/>
  <c r="I2225" i="12"/>
  <c r="M2225" i="12" s="1"/>
  <c r="J2225" i="12"/>
  <c r="K2225" i="12"/>
  <c r="L2225" i="12" s="1"/>
  <c r="N2225" i="12" s="1"/>
  <c r="A2226" i="12"/>
  <c r="B2226" i="12"/>
  <c r="C2226" i="12"/>
  <c r="D2226" i="12"/>
  <c r="E2226" i="12"/>
  <c r="F2226" i="12"/>
  <c r="G2226" i="12"/>
  <c r="H2226" i="12"/>
  <c r="I2226" i="12"/>
  <c r="M2226" i="12" s="1"/>
  <c r="J2226" i="12"/>
  <c r="L2226" i="12" s="1"/>
  <c r="K2226" i="12"/>
  <c r="N2226" i="12"/>
  <c r="A2227" i="12"/>
  <c r="B2227" i="12"/>
  <c r="C2227" i="12"/>
  <c r="D2227" i="12"/>
  <c r="E2227" i="12"/>
  <c r="F2227" i="12"/>
  <c r="G2227" i="12"/>
  <c r="H2227" i="12"/>
  <c r="J2227" i="12"/>
  <c r="K2227" i="12"/>
  <c r="L2227" i="12"/>
  <c r="N2227" i="12" s="1"/>
  <c r="A2228" i="12"/>
  <c r="B2228" i="12"/>
  <c r="C2228" i="12"/>
  <c r="D2228" i="12"/>
  <c r="E2228" i="12"/>
  <c r="F2228" i="12"/>
  <c r="G2228" i="12"/>
  <c r="I2228" i="12" s="1"/>
  <c r="M2228" i="12" s="1"/>
  <c r="H2228" i="12"/>
  <c r="J2228" i="12"/>
  <c r="L2228" i="12" s="1"/>
  <c r="N2228" i="12" s="1"/>
  <c r="K2228" i="12"/>
  <c r="A2229" i="12"/>
  <c r="B2229" i="12"/>
  <c r="C2229" i="12"/>
  <c r="D2229" i="12"/>
  <c r="E2229" i="12"/>
  <c r="F2229" i="12"/>
  <c r="G2229" i="12"/>
  <c r="I2229" i="12" s="1"/>
  <c r="M2229" i="12" s="1"/>
  <c r="H2229" i="12"/>
  <c r="J2229" i="12"/>
  <c r="K2229" i="12"/>
  <c r="L2229" i="12" s="1"/>
  <c r="N2229" i="12" s="1"/>
  <c r="A2230" i="12"/>
  <c r="B2230" i="12"/>
  <c r="C2230" i="12"/>
  <c r="D2230" i="12"/>
  <c r="E2230" i="12"/>
  <c r="F2230" i="12"/>
  <c r="G2230" i="12"/>
  <c r="H2230" i="12"/>
  <c r="I2230" i="12"/>
  <c r="J2230" i="12"/>
  <c r="L2230" i="12" s="1"/>
  <c r="N2230" i="12" s="1"/>
  <c r="K2230" i="12"/>
  <c r="M2230" i="12"/>
  <c r="A2231" i="12"/>
  <c r="B2231" i="12"/>
  <c r="C2231" i="12"/>
  <c r="D2231" i="12"/>
  <c r="E2231" i="12"/>
  <c r="F2231" i="12"/>
  <c r="G2231" i="12"/>
  <c r="H2231" i="12"/>
  <c r="I2231" i="12"/>
  <c r="J2231" i="12"/>
  <c r="K2231" i="12"/>
  <c r="L2231" i="12" s="1"/>
  <c r="N2231" i="12" s="1"/>
  <c r="M2231" i="12"/>
  <c r="A2232" i="12"/>
  <c r="B2232" i="12"/>
  <c r="C2232" i="12"/>
  <c r="D2232" i="12"/>
  <c r="E2232" i="12"/>
  <c r="F2232" i="12"/>
  <c r="G2232" i="12"/>
  <c r="H2232" i="12"/>
  <c r="I2232" i="12"/>
  <c r="M2232" i="12" s="1"/>
  <c r="J2232" i="12"/>
  <c r="L2232" i="12" s="1"/>
  <c r="K2232" i="12"/>
  <c r="N2232" i="12"/>
  <c r="A2233" i="12"/>
  <c r="B2233" i="12"/>
  <c r="C2233" i="12"/>
  <c r="D2233" i="12"/>
  <c r="E2233" i="12"/>
  <c r="F2233" i="12"/>
  <c r="G2233" i="12"/>
  <c r="H2233" i="12"/>
  <c r="I2233" i="12" s="1"/>
  <c r="M2233" i="12" s="1"/>
  <c r="J2233" i="12"/>
  <c r="K2233" i="12"/>
  <c r="L2233" i="12"/>
  <c r="N2233" i="12" s="1"/>
  <c r="A2234" i="12"/>
  <c r="B2234" i="12"/>
  <c r="C2234" i="12"/>
  <c r="D2234" i="12"/>
  <c r="E2234" i="12"/>
  <c r="F2234" i="12"/>
  <c r="G2234" i="12"/>
  <c r="I2234" i="12" s="1"/>
  <c r="M2234" i="12" s="1"/>
  <c r="H2234" i="12"/>
  <c r="J2234" i="12"/>
  <c r="K2234" i="12"/>
  <c r="A2235" i="12"/>
  <c r="B2235" i="12"/>
  <c r="C2235" i="12"/>
  <c r="D2235" i="12"/>
  <c r="E2235" i="12"/>
  <c r="F2235" i="12"/>
  <c r="G2235" i="12"/>
  <c r="H2235" i="12"/>
  <c r="I2235" i="12"/>
  <c r="J2235" i="12"/>
  <c r="K2235" i="12"/>
  <c r="L2235" i="12" s="1"/>
  <c r="N2235" i="12" s="1"/>
  <c r="M2235" i="12"/>
  <c r="A2236" i="12"/>
  <c r="B2236" i="12"/>
  <c r="C2236" i="12"/>
  <c r="D2236" i="12"/>
  <c r="E2236" i="12"/>
  <c r="F2236" i="12"/>
  <c r="G2236" i="12"/>
  <c r="H2236" i="12"/>
  <c r="I2236" i="12"/>
  <c r="M2236" i="12" s="1"/>
  <c r="J2236" i="12"/>
  <c r="L2236" i="12" s="1"/>
  <c r="K2236" i="12"/>
  <c r="N2236" i="12"/>
  <c r="A2237" i="12"/>
  <c r="B2237" i="12"/>
  <c r="C2237" i="12"/>
  <c r="D2237" i="12"/>
  <c r="E2237" i="12"/>
  <c r="F2237" i="12"/>
  <c r="G2237" i="12"/>
  <c r="H2237" i="12"/>
  <c r="I2237" i="12" s="1"/>
  <c r="M2237" i="12" s="1"/>
  <c r="J2237" i="12"/>
  <c r="K2237" i="12"/>
  <c r="L2237" i="12"/>
  <c r="N2237" i="12" s="1"/>
  <c r="A2238" i="12"/>
  <c r="B2238" i="12"/>
  <c r="C2238" i="12"/>
  <c r="D2238" i="12"/>
  <c r="E2238" i="12"/>
  <c r="F2238" i="12"/>
  <c r="G2238" i="12"/>
  <c r="I2238" i="12" s="1"/>
  <c r="M2238" i="12" s="1"/>
  <c r="H2238" i="12"/>
  <c r="J2238" i="12"/>
  <c r="K2238" i="12"/>
  <c r="A2239" i="12"/>
  <c r="B2239" i="12"/>
  <c r="C2239" i="12"/>
  <c r="D2239" i="12"/>
  <c r="E2239" i="12"/>
  <c r="F2239" i="12"/>
  <c r="G2239" i="12"/>
  <c r="H2239" i="12"/>
  <c r="I2239" i="12"/>
  <c r="J2239" i="12"/>
  <c r="K2239" i="12"/>
  <c r="L2239" i="12" s="1"/>
  <c r="N2239" i="12" s="1"/>
  <c r="M2239" i="12"/>
  <c r="A2240" i="12"/>
  <c r="B2240" i="12"/>
  <c r="C2240" i="12"/>
  <c r="D2240" i="12"/>
  <c r="E2240" i="12"/>
  <c r="F2240" i="12"/>
  <c r="G2240" i="12"/>
  <c r="H2240" i="12"/>
  <c r="I2240" i="12"/>
  <c r="M2240" i="12" s="1"/>
  <c r="J2240" i="12"/>
  <c r="L2240" i="12" s="1"/>
  <c r="K2240" i="12"/>
  <c r="N2240" i="12"/>
  <c r="A2241" i="12"/>
  <c r="B2241" i="12"/>
  <c r="C2241" i="12"/>
  <c r="D2241" i="12"/>
  <c r="E2241" i="12"/>
  <c r="F2241" i="12"/>
  <c r="G2241" i="12"/>
  <c r="H2241" i="12"/>
  <c r="I2241" i="12" s="1"/>
  <c r="M2241" i="12" s="1"/>
  <c r="J2241" i="12"/>
  <c r="K2241" i="12"/>
  <c r="L2241" i="12"/>
  <c r="N2241" i="12" s="1"/>
  <c r="A2242" i="12"/>
  <c r="B2242" i="12"/>
  <c r="C2242" i="12"/>
  <c r="D2242" i="12"/>
  <c r="E2242" i="12"/>
  <c r="F2242" i="12"/>
  <c r="G2242" i="12"/>
  <c r="I2242" i="12" s="1"/>
  <c r="M2242" i="12" s="1"/>
  <c r="H2242" i="12"/>
  <c r="J2242" i="12"/>
  <c r="K2242" i="12"/>
  <c r="A2243" i="12"/>
  <c r="B2243" i="12"/>
  <c r="C2243" i="12"/>
  <c r="D2243" i="12"/>
  <c r="E2243" i="12"/>
  <c r="F2243" i="12"/>
  <c r="G2243" i="12"/>
  <c r="H2243" i="12"/>
  <c r="I2243" i="12"/>
  <c r="J2243" i="12"/>
  <c r="K2243" i="12"/>
  <c r="L2243" i="12" s="1"/>
  <c r="N2243" i="12" s="1"/>
  <c r="M2243" i="12"/>
  <c r="A2244" i="12"/>
  <c r="B2244" i="12"/>
  <c r="C2244" i="12"/>
  <c r="D2244" i="12"/>
  <c r="E2244" i="12"/>
  <c r="F2244" i="12"/>
  <c r="G2244" i="12"/>
  <c r="H2244" i="12"/>
  <c r="I2244" i="12"/>
  <c r="M2244" i="12" s="1"/>
  <c r="J2244" i="12"/>
  <c r="L2244" i="12" s="1"/>
  <c r="K2244" i="12"/>
  <c r="N2244" i="12"/>
  <c r="A2245" i="12"/>
  <c r="B2245" i="12"/>
  <c r="C2245" i="12"/>
  <c r="D2245" i="12"/>
  <c r="E2245" i="12"/>
  <c r="F2245" i="12"/>
  <c r="G2245" i="12"/>
  <c r="H2245" i="12"/>
  <c r="I2245" i="12" s="1"/>
  <c r="M2245" i="12" s="1"/>
  <c r="J2245" i="12"/>
  <c r="K2245" i="12"/>
  <c r="L2245" i="12"/>
  <c r="N2245" i="12" s="1"/>
  <c r="A2246" i="12"/>
  <c r="B2246" i="12"/>
  <c r="C2246" i="12"/>
  <c r="D2246" i="12"/>
  <c r="E2246" i="12"/>
  <c r="F2246" i="12"/>
  <c r="G2246" i="12"/>
  <c r="I2246" i="12" s="1"/>
  <c r="M2246" i="12" s="1"/>
  <c r="H2246" i="12"/>
  <c r="J2246" i="12"/>
  <c r="K2246" i="12"/>
  <c r="A2247" i="12"/>
  <c r="B2247" i="12"/>
  <c r="C2247" i="12"/>
  <c r="D2247" i="12"/>
  <c r="E2247" i="12"/>
  <c r="F2247" i="12"/>
  <c r="G2247" i="12"/>
  <c r="H2247" i="12"/>
  <c r="I2247" i="12"/>
  <c r="J2247" i="12"/>
  <c r="K2247" i="12"/>
  <c r="L2247" i="12" s="1"/>
  <c r="N2247" i="12" s="1"/>
  <c r="M2247" i="12"/>
  <c r="A2248" i="12"/>
  <c r="B2248" i="12"/>
  <c r="C2248" i="12"/>
  <c r="D2248" i="12"/>
  <c r="E2248" i="12"/>
  <c r="F2248" i="12"/>
  <c r="G2248" i="12"/>
  <c r="H2248" i="12"/>
  <c r="I2248" i="12"/>
  <c r="M2248" i="12" s="1"/>
  <c r="J2248" i="12"/>
  <c r="L2248" i="12" s="1"/>
  <c r="K2248" i="12"/>
  <c r="N2248" i="12"/>
  <c r="A2249" i="12"/>
  <c r="B2249" i="12"/>
  <c r="C2249" i="12"/>
  <c r="D2249" i="12"/>
  <c r="E2249" i="12"/>
  <c r="F2249" i="12"/>
  <c r="G2249" i="12"/>
  <c r="H2249" i="12"/>
  <c r="I2249" i="12" s="1"/>
  <c r="M2249" i="12" s="1"/>
  <c r="J2249" i="12"/>
  <c r="K2249" i="12"/>
  <c r="L2249" i="12"/>
  <c r="N2249" i="12" s="1"/>
  <c r="A2250" i="12"/>
  <c r="B2250" i="12"/>
  <c r="C2250" i="12"/>
  <c r="D2250" i="12"/>
  <c r="E2250" i="12"/>
  <c r="F2250" i="12"/>
  <c r="G2250" i="12"/>
  <c r="I2250" i="12" s="1"/>
  <c r="M2250" i="12" s="1"/>
  <c r="H2250" i="12"/>
  <c r="J2250" i="12"/>
  <c r="K2250" i="12"/>
  <c r="A2251" i="12"/>
  <c r="B2251" i="12"/>
  <c r="C2251" i="12"/>
  <c r="D2251" i="12"/>
  <c r="E2251" i="12"/>
  <c r="F2251" i="12"/>
  <c r="G2251" i="12"/>
  <c r="H2251" i="12"/>
  <c r="I2251" i="12"/>
  <c r="J2251" i="12"/>
  <c r="K2251" i="12"/>
  <c r="L2251" i="12" s="1"/>
  <c r="N2251" i="12" s="1"/>
  <c r="M2251" i="12"/>
  <c r="A2252" i="12"/>
  <c r="B2252" i="12"/>
  <c r="C2252" i="12"/>
  <c r="D2252" i="12"/>
  <c r="E2252" i="12"/>
  <c r="F2252" i="12"/>
  <c r="G2252" i="12"/>
  <c r="H2252" i="12"/>
  <c r="I2252" i="12"/>
  <c r="M2252" i="12" s="1"/>
  <c r="J2252" i="12"/>
  <c r="L2252" i="12" s="1"/>
  <c r="K2252" i="12"/>
  <c r="N2252" i="12"/>
  <c r="A2253" i="12"/>
  <c r="B2253" i="12"/>
  <c r="C2253" i="12"/>
  <c r="D2253" i="12"/>
  <c r="E2253" i="12"/>
  <c r="F2253" i="12"/>
  <c r="G2253" i="12"/>
  <c r="H2253" i="12"/>
  <c r="I2253" i="12" s="1"/>
  <c r="M2253" i="12" s="1"/>
  <c r="J2253" i="12"/>
  <c r="K2253" i="12"/>
  <c r="L2253" i="12"/>
  <c r="N2253" i="12" s="1"/>
  <c r="A2254" i="12"/>
  <c r="B2254" i="12"/>
  <c r="C2254" i="12"/>
  <c r="D2254" i="12"/>
  <c r="E2254" i="12"/>
  <c r="F2254" i="12"/>
  <c r="G2254" i="12"/>
  <c r="I2254" i="12" s="1"/>
  <c r="M2254" i="12" s="1"/>
  <c r="H2254" i="12"/>
  <c r="J2254" i="12"/>
  <c r="K2254" i="12"/>
  <c r="A2255" i="12"/>
  <c r="B2255" i="12"/>
  <c r="C2255" i="12"/>
  <c r="D2255" i="12"/>
  <c r="E2255" i="12"/>
  <c r="F2255" i="12"/>
  <c r="G2255" i="12"/>
  <c r="H2255" i="12"/>
  <c r="I2255" i="12"/>
  <c r="J2255" i="12"/>
  <c r="K2255" i="12"/>
  <c r="L2255" i="12" s="1"/>
  <c r="N2255" i="12" s="1"/>
  <c r="M2255" i="12"/>
  <c r="A2256" i="12"/>
  <c r="B2256" i="12"/>
  <c r="C2256" i="12"/>
  <c r="D2256" i="12"/>
  <c r="E2256" i="12"/>
  <c r="F2256" i="12"/>
  <c r="G2256" i="12"/>
  <c r="H2256" i="12"/>
  <c r="I2256" i="12"/>
  <c r="M2256" i="12" s="1"/>
  <c r="J2256" i="12"/>
  <c r="L2256" i="12" s="1"/>
  <c r="K2256" i="12"/>
  <c r="N2256" i="12"/>
  <c r="A2257" i="12"/>
  <c r="B2257" i="12"/>
  <c r="C2257" i="12"/>
  <c r="D2257" i="12"/>
  <c r="E2257" i="12"/>
  <c r="F2257" i="12"/>
  <c r="G2257" i="12"/>
  <c r="I2257" i="12" s="1"/>
  <c r="M2257" i="12" s="1"/>
  <c r="H2257" i="12"/>
  <c r="J2257" i="12"/>
  <c r="K2257" i="12"/>
  <c r="L2257" i="12"/>
  <c r="N2257" i="12" s="1"/>
  <c r="A2258" i="12"/>
  <c r="B2258" i="12"/>
  <c r="C2258" i="12"/>
  <c r="D2258" i="12"/>
  <c r="E2258" i="12"/>
  <c r="F2258" i="12"/>
  <c r="G2258" i="12"/>
  <c r="I2258" i="12" s="1"/>
  <c r="M2258" i="12" s="1"/>
  <c r="H2258" i="12"/>
  <c r="J2258" i="12"/>
  <c r="K2258" i="12"/>
  <c r="A2259" i="12"/>
  <c r="B2259" i="12"/>
  <c r="C2259" i="12"/>
  <c r="D2259" i="12"/>
  <c r="E2259" i="12"/>
  <c r="F2259" i="12"/>
  <c r="G2259" i="12"/>
  <c r="H2259" i="12"/>
  <c r="I2259" i="12"/>
  <c r="J2259" i="12"/>
  <c r="K2259" i="12"/>
  <c r="L2259" i="12" s="1"/>
  <c r="N2259" i="12" s="1"/>
  <c r="M2259" i="12"/>
  <c r="A2260" i="12"/>
  <c r="B2260" i="12"/>
  <c r="C2260" i="12"/>
  <c r="D2260" i="12"/>
  <c r="E2260" i="12"/>
  <c r="F2260" i="12"/>
  <c r="G2260" i="12"/>
  <c r="H2260" i="12"/>
  <c r="I2260" i="12"/>
  <c r="M2260" i="12" s="1"/>
  <c r="J2260" i="12"/>
  <c r="L2260" i="12" s="1"/>
  <c r="K2260" i="12"/>
  <c r="N2260" i="12"/>
  <c r="A2261" i="12"/>
  <c r="B2261" i="12"/>
  <c r="C2261" i="12"/>
  <c r="D2261" i="12"/>
  <c r="E2261" i="12"/>
  <c r="F2261" i="12"/>
  <c r="G2261" i="12"/>
  <c r="I2261" i="12" s="1"/>
  <c r="M2261" i="12" s="1"/>
  <c r="H2261" i="12"/>
  <c r="J2261" i="12"/>
  <c r="K2261" i="12"/>
  <c r="L2261" i="12"/>
  <c r="N2261" i="12" s="1"/>
  <c r="A2262" i="12"/>
  <c r="B2262" i="12"/>
  <c r="C2262" i="12"/>
  <c r="D2262" i="12"/>
  <c r="E2262" i="12"/>
  <c r="F2262" i="12"/>
  <c r="G2262" i="12"/>
  <c r="I2262" i="12" s="1"/>
  <c r="M2262" i="12" s="1"/>
  <c r="H2262" i="12"/>
  <c r="J2262" i="12"/>
  <c r="K2262" i="12"/>
  <c r="A2263" i="12"/>
  <c r="B2263" i="12"/>
  <c r="C2263" i="12"/>
  <c r="D2263" i="12"/>
  <c r="E2263" i="12"/>
  <c r="F2263" i="12"/>
  <c r="G2263" i="12"/>
  <c r="H2263" i="12"/>
  <c r="I2263" i="12"/>
  <c r="J2263" i="12"/>
  <c r="K2263" i="12"/>
  <c r="L2263" i="12" s="1"/>
  <c r="N2263" i="12" s="1"/>
  <c r="M2263" i="12"/>
  <c r="A2264" i="12"/>
  <c r="B2264" i="12"/>
  <c r="C2264" i="12"/>
  <c r="D2264" i="12"/>
  <c r="E2264" i="12"/>
  <c r="F2264" i="12"/>
  <c r="G2264" i="12"/>
  <c r="H2264" i="12"/>
  <c r="I2264" i="12"/>
  <c r="M2264" i="12" s="1"/>
  <c r="J2264" i="12"/>
  <c r="L2264" i="12" s="1"/>
  <c r="K2264" i="12"/>
  <c r="N2264" i="12"/>
  <c r="A2265" i="12"/>
  <c r="B2265" i="12"/>
  <c r="C2265" i="12"/>
  <c r="D2265" i="12"/>
  <c r="E2265" i="12"/>
  <c r="F2265" i="12"/>
  <c r="G2265" i="12"/>
  <c r="I2265" i="12" s="1"/>
  <c r="M2265" i="12" s="1"/>
  <c r="H2265" i="12"/>
  <c r="J2265" i="12"/>
  <c r="K2265" i="12"/>
  <c r="L2265" i="12"/>
  <c r="N2265" i="12" s="1"/>
  <c r="A2266" i="12"/>
  <c r="B2266" i="12"/>
  <c r="C2266" i="12"/>
  <c r="D2266" i="12"/>
  <c r="E2266" i="12"/>
  <c r="F2266" i="12"/>
  <c r="G2266" i="12"/>
  <c r="I2266" i="12" s="1"/>
  <c r="M2266" i="12" s="1"/>
  <c r="H2266" i="12"/>
  <c r="J2266" i="12"/>
  <c r="K2266" i="12"/>
  <c r="A2267" i="12"/>
  <c r="B2267" i="12"/>
  <c r="C2267" i="12"/>
  <c r="D2267" i="12"/>
  <c r="E2267" i="12"/>
  <c r="F2267" i="12"/>
  <c r="G2267" i="12"/>
  <c r="H2267" i="12"/>
  <c r="I2267" i="12"/>
  <c r="J2267" i="12"/>
  <c r="K2267" i="12"/>
  <c r="L2267" i="12" s="1"/>
  <c r="N2267" i="12" s="1"/>
  <c r="M2267" i="12"/>
  <c r="A2268" i="12"/>
  <c r="B2268" i="12"/>
  <c r="C2268" i="12"/>
  <c r="D2268" i="12"/>
  <c r="E2268" i="12"/>
  <c r="F2268" i="12"/>
  <c r="G2268" i="12"/>
  <c r="H2268" i="12"/>
  <c r="I2268" i="12"/>
  <c r="M2268" i="12" s="1"/>
  <c r="J2268" i="12"/>
  <c r="L2268" i="12" s="1"/>
  <c r="K2268" i="12"/>
  <c r="N2268" i="12"/>
  <c r="A2269" i="12"/>
  <c r="B2269" i="12"/>
  <c r="C2269" i="12"/>
  <c r="D2269" i="12"/>
  <c r="E2269" i="12"/>
  <c r="F2269" i="12"/>
  <c r="G2269" i="12"/>
  <c r="I2269" i="12" s="1"/>
  <c r="M2269" i="12" s="1"/>
  <c r="H2269" i="12"/>
  <c r="J2269" i="12"/>
  <c r="K2269" i="12"/>
  <c r="L2269" i="12"/>
  <c r="N2269" i="12" s="1"/>
  <c r="A2270" i="12"/>
  <c r="B2270" i="12"/>
  <c r="C2270" i="12"/>
  <c r="D2270" i="12"/>
  <c r="E2270" i="12"/>
  <c r="F2270" i="12"/>
  <c r="G2270" i="12"/>
  <c r="I2270" i="12" s="1"/>
  <c r="M2270" i="12" s="1"/>
  <c r="H2270" i="12"/>
  <c r="J2270" i="12"/>
  <c r="K2270" i="12"/>
  <c r="A2271" i="12"/>
  <c r="B2271" i="12"/>
  <c r="C2271" i="12"/>
  <c r="D2271" i="12"/>
  <c r="E2271" i="12"/>
  <c r="F2271" i="12"/>
  <c r="G2271" i="12"/>
  <c r="H2271" i="12"/>
  <c r="I2271" i="12"/>
  <c r="J2271" i="12"/>
  <c r="K2271" i="12"/>
  <c r="L2271" i="12" s="1"/>
  <c r="N2271" i="12" s="1"/>
  <c r="M2271" i="12"/>
  <c r="A2272" i="12"/>
  <c r="B2272" i="12"/>
  <c r="C2272" i="12"/>
  <c r="D2272" i="12"/>
  <c r="E2272" i="12"/>
  <c r="F2272" i="12"/>
  <c r="G2272" i="12"/>
  <c r="H2272" i="12"/>
  <c r="I2272" i="12"/>
  <c r="M2272" i="12" s="1"/>
  <c r="J2272" i="12"/>
  <c r="L2272" i="12" s="1"/>
  <c r="K2272" i="12"/>
  <c r="N2272" i="12"/>
  <c r="A2273" i="12"/>
  <c r="B2273" i="12"/>
  <c r="C2273" i="12"/>
  <c r="D2273" i="12"/>
  <c r="E2273" i="12"/>
  <c r="F2273" i="12"/>
  <c r="G2273" i="12"/>
  <c r="I2273" i="12" s="1"/>
  <c r="M2273" i="12" s="1"/>
  <c r="H2273" i="12"/>
  <c r="J2273" i="12"/>
  <c r="K2273" i="12"/>
  <c r="L2273" i="12"/>
  <c r="N2273" i="12" s="1"/>
  <c r="A2274" i="12"/>
  <c r="B2274" i="12"/>
  <c r="C2274" i="12"/>
  <c r="D2274" i="12"/>
  <c r="E2274" i="12"/>
  <c r="F2274" i="12"/>
  <c r="G2274" i="12"/>
  <c r="I2274" i="12" s="1"/>
  <c r="M2274" i="12" s="1"/>
  <c r="H2274" i="12"/>
  <c r="J2274" i="12"/>
  <c r="K2274" i="12"/>
  <c r="A2275" i="12"/>
  <c r="B2275" i="12"/>
  <c r="C2275" i="12"/>
  <c r="D2275" i="12"/>
  <c r="E2275" i="12"/>
  <c r="F2275" i="12"/>
  <c r="G2275" i="12"/>
  <c r="H2275" i="12"/>
  <c r="I2275" i="12"/>
  <c r="J2275" i="12"/>
  <c r="K2275" i="12"/>
  <c r="L2275" i="12" s="1"/>
  <c r="N2275" i="12" s="1"/>
  <c r="M2275" i="12"/>
  <c r="A2276" i="12"/>
  <c r="B2276" i="12"/>
  <c r="C2276" i="12"/>
  <c r="D2276" i="12"/>
  <c r="E2276" i="12"/>
  <c r="F2276" i="12"/>
  <c r="G2276" i="12"/>
  <c r="H2276" i="12"/>
  <c r="I2276" i="12"/>
  <c r="M2276" i="12" s="1"/>
  <c r="J2276" i="12"/>
  <c r="L2276" i="12" s="1"/>
  <c r="K2276" i="12"/>
  <c r="N2276" i="12"/>
  <c r="A2277" i="12"/>
  <c r="B2277" i="12"/>
  <c r="C2277" i="12"/>
  <c r="D2277" i="12"/>
  <c r="E2277" i="12"/>
  <c r="F2277" i="12"/>
  <c r="G2277" i="12"/>
  <c r="I2277" i="12" s="1"/>
  <c r="M2277" i="12" s="1"/>
  <c r="H2277" i="12"/>
  <c r="J2277" i="12"/>
  <c r="K2277" i="12"/>
  <c r="L2277" i="12"/>
  <c r="N2277" i="12" s="1"/>
  <c r="A2278" i="12"/>
  <c r="B2278" i="12"/>
  <c r="C2278" i="12"/>
  <c r="D2278" i="12"/>
  <c r="E2278" i="12"/>
  <c r="F2278" i="12"/>
  <c r="G2278" i="12"/>
  <c r="I2278" i="12" s="1"/>
  <c r="M2278" i="12" s="1"/>
  <c r="H2278" i="12"/>
  <c r="J2278" i="12"/>
  <c r="K2278" i="12"/>
  <c r="A2279" i="12"/>
  <c r="B2279" i="12"/>
  <c r="C2279" i="12"/>
  <c r="D2279" i="12"/>
  <c r="E2279" i="12"/>
  <c r="F2279" i="12"/>
  <c r="G2279" i="12"/>
  <c r="H2279" i="12"/>
  <c r="I2279" i="12"/>
  <c r="J2279" i="12"/>
  <c r="K2279" i="12"/>
  <c r="L2279" i="12" s="1"/>
  <c r="N2279" i="12" s="1"/>
  <c r="M2279" i="12"/>
  <c r="A2280" i="12"/>
  <c r="B2280" i="12"/>
  <c r="C2280" i="12"/>
  <c r="D2280" i="12"/>
  <c r="E2280" i="12"/>
  <c r="F2280" i="12"/>
  <c r="G2280" i="12"/>
  <c r="H2280" i="12"/>
  <c r="I2280" i="12"/>
  <c r="M2280" i="12" s="1"/>
  <c r="J2280" i="12"/>
  <c r="L2280" i="12" s="1"/>
  <c r="K2280" i="12"/>
  <c r="N2280" i="12"/>
  <c r="A2281" i="12"/>
  <c r="B2281" i="12"/>
  <c r="C2281" i="12"/>
  <c r="D2281" i="12"/>
  <c r="E2281" i="12"/>
  <c r="F2281" i="12"/>
  <c r="G2281" i="12"/>
  <c r="I2281" i="12" s="1"/>
  <c r="M2281" i="12" s="1"/>
  <c r="H2281" i="12"/>
  <c r="J2281" i="12"/>
  <c r="K2281" i="12"/>
  <c r="L2281" i="12"/>
  <c r="N2281" i="12" s="1"/>
  <c r="A2282" i="12"/>
  <c r="B2282" i="12"/>
  <c r="C2282" i="12"/>
  <c r="D2282" i="12"/>
  <c r="E2282" i="12"/>
  <c r="F2282" i="12"/>
  <c r="G2282" i="12"/>
  <c r="I2282" i="12" s="1"/>
  <c r="M2282" i="12" s="1"/>
  <c r="H2282" i="12"/>
  <c r="J2282" i="12"/>
  <c r="K2282" i="12"/>
  <c r="A2283" i="12"/>
  <c r="B2283" i="12"/>
  <c r="C2283" i="12"/>
  <c r="D2283" i="12"/>
  <c r="E2283" i="12"/>
  <c r="F2283" i="12"/>
  <c r="G2283" i="12"/>
  <c r="H2283" i="12"/>
  <c r="I2283" i="12"/>
  <c r="J2283" i="12"/>
  <c r="K2283" i="12"/>
  <c r="L2283" i="12" s="1"/>
  <c r="N2283" i="12" s="1"/>
  <c r="M2283" i="12"/>
  <c r="A2284" i="12"/>
  <c r="B2284" i="12"/>
  <c r="C2284" i="12"/>
  <c r="D2284" i="12"/>
  <c r="E2284" i="12"/>
  <c r="F2284" i="12"/>
  <c r="G2284" i="12"/>
  <c r="H2284" i="12"/>
  <c r="I2284" i="12"/>
  <c r="M2284" i="12" s="1"/>
  <c r="J2284" i="12"/>
  <c r="L2284" i="12" s="1"/>
  <c r="K2284" i="12"/>
  <c r="N2284" i="12"/>
  <c r="A2285" i="12"/>
  <c r="B2285" i="12"/>
  <c r="C2285" i="12"/>
  <c r="D2285" i="12"/>
  <c r="E2285" i="12"/>
  <c r="F2285" i="12"/>
  <c r="G2285" i="12"/>
  <c r="I2285" i="12" s="1"/>
  <c r="M2285" i="12" s="1"/>
  <c r="H2285" i="12"/>
  <c r="J2285" i="12"/>
  <c r="K2285" i="12"/>
  <c r="L2285" i="12"/>
  <c r="N2285" i="12" s="1"/>
  <c r="A2286" i="12"/>
  <c r="B2286" i="12"/>
  <c r="C2286" i="12"/>
  <c r="D2286" i="12"/>
  <c r="E2286" i="12"/>
  <c r="F2286" i="12"/>
  <c r="G2286" i="12"/>
  <c r="I2286" i="12" s="1"/>
  <c r="M2286" i="12" s="1"/>
  <c r="H2286" i="12"/>
  <c r="J2286" i="12"/>
  <c r="K2286" i="12"/>
  <c r="A2287" i="12"/>
  <c r="B2287" i="12"/>
  <c r="C2287" i="12"/>
  <c r="D2287" i="12"/>
  <c r="E2287" i="12"/>
  <c r="F2287" i="12"/>
  <c r="G2287" i="12"/>
  <c r="H2287" i="12"/>
  <c r="I2287" i="12"/>
  <c r="J2287" i="12"/>
  <c r="K2287" i="12"/>
  <c r="L2287" i="12" s="1"/>
  <c r="N2287" i="12" s="1"/>
  <c r="M2287" i="12"/>
  <c r="A2288" i="12"/>
  <c r="B2288" i="12"/>
  <c r="C2288" i="12"/>
  <c r="D2288" i="12"/>
  <c r="E2288" i="12"/>
  <c r="F2288" i="12"/>
  <c r="G2288" i="12"/>
  <c r="H2288" i="12"/>
  <c r="I2288" i="12"/>
  <c r="M2288" i="12" s="1"/>
  <c r="J2288" i="12"/>
  <c r="L2288" i="12" s="1"/>
  <c r="K2288" i="12"/>
  <c r="N2288" i="12"/>
  <c r="A2289" i="12"/>
  <c r="B2289" i="12"/>
  <c r="C2289" i="12"/>
  <c r="D2289" i="12"/>
  <c r="E2289" i="12"/>
  <c r="F2289" i="12"/>
  <c r="G2289" i="12"/>
  <c r="I2289" i="12" s="1"/>
  <c r="M2289" i="12" s="1"/>
  <c r="H2289" i="12"/>
  <c r="J2289" i="12"/>
  <c r="K2289" i="12"/>
  <c r="L2289" i="12"/>
  <c r="N2289" i="12" s="1"/>
  <c r="A2290" i="12"/>
  <c r="B2290" i="12"/>
  <c r="C2290" i="12"/>
  <c r="D2290" i="12"/>
  <c r="E2290" i="12"/>
  <c r="F2290" i="12"/>
  <c r="G2290" i="12"/>
  <c r="I2290" i="12" s="1"/>
  <c r="M2290" i="12" s="1"/>
  <c r="H2290" i="12"/>
  <c r="J2290" i="12"/>
  <c r="K2290" i="12"/>
  <c r="A2291" i="12"/>
  <c r="B2291" i="12"/>
  <c r="C2291" i="12"/>
  <c r="D2291" i="12"/>
  <c r="E2291" i="12"/>
  <c r="F2291" i="12"/>
  <c r="G2291" i="12"/>
  <c r="H2291" i="12"/>
  <c r="I2291" i="12"/>
  <c r="J2291" i="12"/>
  <c r="K2291" i="12"/>
  <c r="L2291" i="12"/>
  <c r="N2291" i="12" s="1"/>
  <c r="M2291" i="12"/>
  <c r="A2292" i="12"/>
  <c r="B2292" i="12"/>
  <c r="C2292" i="12"/>
  <c r="D2292" i="12"/>
  <c r="E2292" i="12"/>
  <c r="F2292" i="12"/>
  <c r="G2292" i="12"/>
  <c r="H2292" i="12"/>
  <c r="I2292" i="12"/>
  <c r="M2292" i="12" s="1"/>
  <c r="J2292" i="12"/>
  <c r="K2292" i="12"/>
  <c r="A2293" i="12"/>
  <c r="B2293" i="12"/>
  <c r="C2293" i="12"/>
  <c r="D2293" i="12"/>
  <c r="E2293" i="12"/>
  <c r="F2293" i="12"/>
  <c r="G2293" i="12"/>
  <c r="I2293" i="12" s="1"/>
  <c r="M2293" i="12" s="1"/>
  <c r="H2293" i="12"/>
  <c r="J2293" i="12"/>
  <c r="K2293" i="12"/>
  <c r="L2293" i="12"/>
  <c r="N2293" i="12" s="1"/>
  <c r="A2294" i="12"/>
  <c r="B2294" i="12"/>
  <c r="C2294" i="12"/>
  <c r="D2294" i="12"/>
  <c r="E2294" i="12"/>
  <c r="F2294" i="12"/>
  <c r="G2294" i="12"/>
  <c r="I2294" i="12" s="1"/>
  <c r="M2294" i="12" s="1"/>
  <c r="H2294" i="12"/>
  <c r="J2294" i="12"/>
  <c r="K2294" i="12"/>
  <c r="A2295" i="12"/>
  <c r="B2295" i="12"/>
  <c r="C2295" i="12"/>
  <c r="D2295" i="12"/>
  <c r="E2295" i="12"/>
  <c r="F2295" i="12"/>
  <c r="G2295" i="12"/>
  <c r="H2295" i="12"/>
  <c r="I2295" i="12"/>
  <c r="J2295" i="12"/>
  <c r="K2295" i="12"/>
  <c r="L2295" i="12"/>
  <c r="N2295" i="12" s="1"/>
  <c r="M2295" i="12"/>
  <c r="A2296" i="12"/>
  <c r="B2296" i="12"/>
  <c r="C2296" i="12"/>
  <c r="D2296" i="12"/>
  <c r="E2296" i="12"/>
  <c r="F2296" i="12"/>
  <c r="G2296" i="12"/>
  <c r="H2296" i="12"/>
  <c r="I2296" i="12"/>
  <c r="M2296" i="12" s="1"/>
  <c r="J2296" i="12"/>
  <c r="K2296" i="12"/>
  <c r="A2297" i="12"/>
  <c r="B2297" i="12"/>
  <c r="C2297" i="12"/>
  <c r="D2297" i="12"/>
  <c r="E2297" i="12"/>
  <c r="F2297" i="12"/>
  <c r="G2297" i="12"/>
  <c r="I2297" i="12" s="1"/>
  <c r="M2297" i="12" s="1"/>
  <c r="H2297" i="12"/>
  <c r="J2297" i="12"/>
  <c r="K2297" i="12"/>
  <c r="L2297" i="12"/>
  <c r="N2297" i="12" s="1"/>
  <c r="A2298" i="12"/>
  <c r="B2298" i="12"/>
  <c r="C2298" i="12"/>
  <c r="D2298" i="12"/>
  <c r="E2298" i="12"/>
  <c r="F2298" i="12"/>
  <c r="G2298" i="12"/>
  <c r="I2298" i="12" s="1"/>
  <c r="M2298" i="12" s="1"/>
  <c r="H2298" i="12"/>
  <c r="J2298" i="12"/>
  <c r="K2298" i="12"/>
  <c r="A2299" i="12"/>
  <c r="B2299" i="12"/>
  <c r="C2299" i="12"/>
  <c r="D2299" i="12"/>
  <c r="E2299" i="12"/>
  <c r="F2299" i="12"/>
  <c r="G2299" i="12"/>
  <c r="H2299" i="12"/>
  <c r="I2299" i="12"/>
  <c r="J2299" i="12"/>
  <c r="K2299" i="12"/>
  <c r="L2299" i="12"/>
  <c r="N2299" i="12" s="1"/>
  <c r="M2299" i="12"/>
  <c r="A2300" i="12"/>
  <c r="B2300" i="12"/>
  <c r="C2300" i="12"/>
  <c r="D2300" i="12"/>
  <c r="E2300" i="12"/>
  <c r="F2300" i="12"/>
  <c r="G2300" i="12"/>
  <c r="H2300" i="12"/>
  <c r="I2300" i="12"/>
  <c r="M2300" i="12" s="1"/>
  <c r="J2300" i="12"/>
  <c r="K2300" i="12"/>
  <c r="A2301" i="12"/>
  <c r="B2301" i="12"/>
  <c r="C2301" i="12"/>
  <c r="D2301" i="12"/>
  <c r="E2301" i="12"/>
  <c r="F2301" i="12"/>
  <c r="G2301" i="12"/>
  <c r="I2301" i="12" s="1"/>
  <c r="M2301" i="12" s="1"/>
  <c r="H2301" i="12"/>
  <c r="J2301" i="12"/>
  <c r="K2301" i="12"/>
  <c r="L2301" i="12"/>
  <c r="N2301" i="12" s="1"/>
  <c r="A2302" i="12"/>
  <c r="B2302" i="12"/>
  <c r="C2302" i="12"/>
  <c r="D2302" i="12"/>
  <c r="E2302" i="12"/>
  <c r="F2302" i="12"/>
  <c r="G2302" i="12"/>
  <c r="I2302" i="12" s="1"/>
  <c r="M2302" i="12" s="1"/>
  <c r="H2302" i="12"/>
  <c r="J2302" i="12"/>
  <c r="K2302" i="12"/>
  <c r="A2303" i="12"/>
  <c r="B2303" i="12"/>
  <c r="C2303" i="12"/>
  <c r="D2303" i="12"/>
  <c r="E2303" i="12"/>
  <c r="F2303" i="12"/>
  <c r="G2303" i="12"/>
  <c r="H2303" i="12"/>
  <c r="I2303" i="12"/>
  <c r="J2303" i="12"/>
  <c r="K2303" i="12"/>
  <c r="L2303" i="12"/>
  <c r="N2303" i="12" s="1"/>
  <c r="M2303" i="12"/>
  <c r="A2304" i="12"/>
  <c r="B2304" i="12"/>
  <c r="C2304" i="12"/>
  <c r="D2304" i="12"/>
  <c r="E2304" i="12"/>
  <c r="F2304" i="12"/>
  <c r="G2304" i="12"/>
  <c r="H2304" i="12"/>
  <c r="I2304" i="12"/>
  <c r="M2304" i="12" s="1"/>
  <c r="J2304" i="12"/>
  <c r="K2304" i="12"/>
  <c r="A2305" i="12"/>
  <c r="B2305" i="12"/>
  <c r="C2305" i="12"/>
  <c r="D2305" i="12"/>
  <c r="E2305" i="12"/>
  <c r="F2305" i="12"/>
  <c r="G2305" i="12"/>
  <c r="I2305" i="12" s="1"/>
  <c r="M2305" i="12" s="1"/>
  <c r="H2305" i="12"/>
  <c r="J2305" i="12"/>
  <c r="K2305" i="12"/>
  <c r="L2305" i="12"/>
  <c r="N2305" i="12" s="1"/>
  <c r="A2306" i="12"/>
  <c r="B2306" i="12"/>
  <c r="C2306" i="12"/>
  <c r="D2306" i="12"/>
  <c r="E2306" i="12"/>
  <c r="F2306" i="12"/>
  <c r="G2306" i="12"/>
  <c r="I2306" i="12" s="1"/>
  <c r="M2306" i="12" s="1"/>
  <c r="H2306" i="12"/>
  <c r="J2306" i="12"/>
  <c r="K2306" i="12"/>
  <c r="A2307" i="12"/>
  <c r="B2307" i="12"/>
  <c r="C2307" i="12"/>
  <c r="D2307" i="12"/>
  <c r="E2307" i="12"/>
  <c r="F2307" i="12"/>
  <c r="G2307" i="12"/>
  <c r="H2307" i="12"/>
  <c r="I2307" i="12"/>
  <c r="J2307" i="12"/>
  <c r="K2307" i="12"/>
  <c r="L2307" i="12"/>
  <c r="N2307" i="12" s="1"/>
  <c r="M2307" i="12"/>
  <c r="A2308" i="12"/>
  <c r="B2308" i="12"/>
  <c r="C2308" i="12"/>
  <c r="D2308" i="12"/>
  <c r="E2308" i="12"/>
  <c r="F2308" i="12"/>
  <c r="G2308" i="12"/>
  <c r="H2308" i="12"/>
  <c r="I2308" i="12"/>
  <c r="M2308" i="12" s="1"/>
  <c r="J2308" i="12"/>
  <c r="K2308" i="12"/>
  <c r="A2309" i="12"/>
  <c r="B2309" i="12"/>
  <c r="C2309" i="12"/>
  <c r="D2309" i="12"/>
  <c r="E2309" i="12"/>
  <c r="F2309" i="12"/>
  <c r="G2309" i="12"/>
  <c r="I2309" i="12" s="1"/>
  <c r="M2309" i="12" s="1"/>
  <c r="H2309" i="12"/>
  <c r="J2309" i="12"/>
  <c r="K2309" i="12"/>
  <c r="L2309" i="12"/>
  <c r="N2309" i="12" s="1"/>
  <c r="A2310" i="12"/>
  <c r="B2310" i="12"/>
  <c r="C2310" i="12"/>
  <c r="D2310" i="12"/>
  <c r="E2310" i="12"/>
  <c r="F2310" i="12"/>
  <c r="G2310" i="12"/>
  <c r="I2310" i="12" s="1"/>
  <c r="M2310" i="12" s="1"/>
  <c r="H2310" i="12"/>
  <c r="J2310" i="12"/>
  <c r="K2310" i="12"/>
  <c r="A2311" i="12"/>
  <c r="B2311" i="12"/>
  <c r="C2311" i="12"/>
  <c r="D2311" i="12"/>
  <c r="E2311" i="12"/>
  <c r="F2311" i="12"/>
  <c r="G2311" i="12"/>
  <c r="H2311" i="12"/>
  <c r="I2311" i="12"/>
  <c r="J2311" i="12"/>
  <c r="K2311" i="12"/>
  <c r="L2311" i="12"/>
  <c r="N2311" i="12" s="1"/>
  <c r="M2311" i="12"/>
  <c r="A2312" i="12"/>
  <c r="B2312" i="12"/>
  <c r="C2312" i="12"/>
  <c r="D2312" i="12"/>
  <c r="E2312" i="12"/>
  <c r="F2312" i="12"/>
  <c r="G2312" i="12"/>
  <c r="H2312" i="12"/>
  <c r="I2312" i="12"/>
  <c r="M2312" i="12" s="1"/>
  <c r="J2312" i="12"/>
  <c r="K2312" i="12"/>
  <c r="A2313" i="12"/>
  <c r="B2313" i="12"/>
  <c r="C2313" i="12"/>
  <c r="D2313" i="12"/>
  <c r="E2313" i="12"/>
  <c r="F2313" i="12"/>
  <c r="G2313" i="12"/>
  <c r="I2313" i="12" s="1"/>
  <c r="M2313" i="12" s="1"/>
  <c r="H2313" i="12"/>
  <c r="J2313" i="12"/>
  <c r="K2313" i="12"/>
  <c r="L2313" i="12"/>
  <c r="N2313" i="12" s="1"/>
  <c r="A2314" i="12"/>
  <c r="B2314" i="12"/>
  <c r="C2314" i="12"/>
  <c r="D2314" i="12"/>
  <c r="E2314" i="12"/>
  <c r="F2314" i="12"/>
  <c r="G2314" i="12"/>
  <c r="I2314" i="12" s="1"/>
  <c r="M2314" i="12" s="1"/>
  <c r="H2314" i="12"/>
  <c r="J2314" i="12"/>
  <c r="K2314" i="12"/>
  <c r="A2315" i="12"/>
  <c r="B2315" i="12"/>
  <c r="C2315" i="12"/>
  <c r="D2315" i="12"/>
  <c r="E2315" i="12"/>
  <c r="F2315" i="12"/>
  <c r="G2315" i="12"/>
  <c r="H2315" i="12"/>
  <c r="I2315" i="12"/>
  <c r="J2315" i="12"/>
  <c r="K2315" i="12"/>
  <c r="L2315" i="12"/>
  <c r="N2315" i="12" s="1"/>
  <c r="M2315" i="12"/>
  <c r="A2316" i="12"/>
  <c r="B2316" i="12"/>
  <c r="C2316" i="12"/>
  <c r="D2316" i="12"/>
  <c r="E2316" i="12"/>
  <c r="F2316" i="12"/>
  <c r="G2316" i="12"/>
  <c r="H2316" i="12"/>
  <c r="I2316" i="12"/>
  <c r="M2316" i="12" s="1"/>
  <c r="J2316" i="12"/>
  <c r="K2316" i="12"/>
  <c r="A2317" i="12"/>
  <c r="B2317" i="12"/>
  <c r="C2317" i="12"/>
  <c r="D2317" i="12"/>
  <c r="E2317" i="12"/>
  <c r="F2317" i="12"/>
  <c r="G2317" i="12"/>
  <c r="I2317" i="12" s="1"/>
  <c r="M2317" i="12" s="1"/>
  <c r="H2317" i="12"/>
  <c r="J2317" i="12"/>
  <c r="K2317" i="12"/>
  <c r="L2317" i="12"/>
  <c r="N2317" i="12" s="1"/>
  <c r="A2318" i="12"/>
  <c r="B2318" i="12"/>
  <c r="C2318" i="12"/>
  <c r="D2318" i="12"/>
  <c r="E2318" i="12"/>
  <c r="F2318" i="12"/>
  <c r="G2318" i="12"/>
  <c r="I2318" i="12" s="1"/>
  <c r="M2318" i="12" s="1"/>
  <c r="H2318" i="12"/>
  <c r="J2318" i="12"/>
  <c r="K2318" i="12"/>
  <c r="A2319" i="12"/>
  <c r="B2319" i="12"/>
  <c r="C2319" i="12"/>
  <c r="D2319" i="12"/>
  <c r="E2319" i="12"/>
  <c r="F2319" i="12"/>
  <c r="G2319" i="12"/>
  <c r="H2319" i="12"/>
  <c r="I2319" i="12"/>
  <c r="J2319" i="12"/>
  <c r="K2319" i="12"/>
  <c r="L2319" i="12"/>
  <c r="N2319" i="12" s="1"/>
  <c r="M2319" i="12"/>
  <c r="A2320" i="12"/>
  <c r="B2320" i="12"/>
  <c r="C2320" i="12"/>
  <c r="D2320" i="12"/>
  <c r="E2320" i="12"/>
  <c r="F2320" i="12"/>
  <c r="G2320" i="12"/>
  <c r="H2320" i="12"/>
  <c r="I2320" i="12"/>
  <c r="M2320" i="12" s="1"/>
  <c r="J2320" i="12"/>
  <c r="K2320" i="12"/>
  <c r="A2321" i="12"/>
  <c r="B2321" i="12"/>
  <c r="C2321" i="12"/>
  <c r="D2321" i="12"/>
  <c r="E2321" i="12"/>
  <c r="F2321" i="12"/>
  <c r="G2321" i="12"/>
  <c r="I2321" i="12" s="1"/>
  <c r="M2321" i="12" s="1"/>
  <c r="H2321" i="12"/>
  <c r="J2321" i="12"/>
  <c r="K2321" i="12"/>
  <c r="L2321" i="12"/>
  <c r="N2321" i="12" s="1"/>
  <c r="A2322" i="12"/>
  <c r="B2322" i="12"/>
  <c r="C2322" i="12"/>
  <c r="D2322" i="12"/>
  <c r="E2322" i="12"/>
  <c r="F2322" i="12"/>
  <c r="G2322" i="12"/>
  <c r="I2322" i="12" s="1"/>
  <c r="M2322" i="12" s="1"/>
  <c r="H2322" i="12"/>
  <c r="J2322" i="12"/>
  <c r="K2322" i="12"/>
  <c r="A2323" i="12"/>
  <c r="B2323" i="12"/>
  <c r="C2323" i="12"/>
  <c r="D2323" i="12"/>
  <c r="E2323" i="12"/>
  <c r="F2323" i="12"/>
  <c r="G2323" i="12"/>
  <c r="H2323" i="12"/>
  <c r="I2323" i="12"/>
  <c r="J2323" i="12"/>
  <c r="K2323" i="12"/>
  <c r="L2323" i="12"/>
  <c r="N2323" i="12" s="1"/>
  <c r="M2323" i="12"/>
  <c r="A2324" i="12"/>
  <c r="B2324" i="12"/>
  <c r="C2324" i="12"/>
  <c r="D2324" i="12"/>
  <c r="E2324" i="12"/>
  <c r="F2324" i="12"/>
  <c r="G2324" i="12"/>
  <c r="H2324" i="12"/>
  <c r="I2324" i="12"/>
  <c r="M2324" i="12" s="1"/>
  <c r="J2324" i="12"/>
  <c r="K2324" i="12"/>
  <c r="A2325" i="12"/>
  <c r="B2325" i="12"/>
  <c r="C2325" i="12"/>
  <c r="D2325" i="12"/>
  <c r="E2325" i="12"/>
  <c r="F2325" i="12"/>
  <c r="G2325" i="12"/>
  <c r="I2325" i="12" s="1"/>
  <c r="M2325" i="12" s="1"/>
  <c r="H2325" i="12"/>
  <c r="J2325" i="12"/>
  <c r="K2325" i="12"/>
  <c r="L2325" i="12"/>
  <c r="N2325" i="12" s="1"/>
  <c r="A2326" i="12"/>
  <c r="B2326" i="12"/>
  <c r="C2326" i="12"/>
  <c r="D2326" i="12"/>
  <c r="E2326" i="12"/>
  <c r="F2326" i="12"/>
  <c r="G2326" i="12"/>
  <c r="I2326" i="12" s="1"/>
  <c r="M2326" i="12" s="1"/>
  <c r="H2326" i="12"/>
  <c r="J2326" i="12"/>
  <c r="K2326" i="12"/>
  <c r="A2327" i="12"/>
  <c r="B2327" i="12"/>
  <c r="C2327" i="12"/>
  <c r="D2327" i="12"/>
  <c r="E2327" i="12"/>
  <c r="F2327" i="12"/>
  <c r="G2327" i="12"/>
  <c r="H2327" i="12"/>
  <c r="I2327" i="12"/>
  <c r="J2327" i="12"/>
  <c r="K2327" i="12"/>
  <c r="L2327" i="12"/>
  <c r="N2327" i="12" s="1"/>
  <c r="M2327" i="12"/>
  <c r="A2328" i="12"/>
  <c r="B2328" i="12"/>
  <c r="C2328" i="12"/>
  <c r="D2328" i="12"/>
  <c r="E2328" i="12"/>
  <c r="F2328" i="12"/>
  <c r="G2328" i="12"/>
  <c r="H2328" i="12"/>
  <c r="I2328" i="12"/>
  <c r="M2328" i="12" s="1"/>
  <c r="J2328" i="12"/>
  <c r="K2328" i="12"/>
  <c r="A2329" i="12"/>
  <c r="B2329" i="12"/>
  <c r="C2329" i="12"/>
  <c r="D2329" i="12"/>
  <c r="E2329" i="12"/>
  <c r="F2329" i="12"/>
  <c r="G2329" i="12"/>
  <c r="I2329" i="12" s="1"/>
  <c r="M2329" i="12" s="1"/>
  <c r="H2329" i="12"/>
  <c r="J2329" i="12"/>
  <c r="K2329" i="12"/>
  <c r="L2329" i="12"/>
  <c r="N2329" i="12" s="1"/>
  <c r="A2330" i="12"/>
  <c r="B2330" i="12"/>
  <c r="C2330" i="12"/>
  <c r="D2330" i="12"/>
  <c r="E2330" i="12"/>
  <c r="F2330" i="12"/>
  <c r="G2330" i="12"/>
  <c r="I2330" i="12" s="1"/>
  <c r="M2330" i="12" s="1"/>
  <c r="H2330" i="12"/>
  <c r="J2330" i="12"/>
  <c r="K2330" i="12"/>
  <c r="A2331" i="12"/>
  <c r="B2331" i="12"/>
  <c r="C2331" i="12"/>
  <c r="D2331" i="12"/>
  <c r="E2331" i="12"/>
  <c r="F2331" i="12"/>
  <c r="G2331" i="12"/>
  <c r="H2331" i="12"/>
  <c r="I2331" i="12"/>
  <c r="J2331" i="12"/>
  <c r="K2331" i="12"/>
  <c r="L2331" i="12"/>
  <c r="N2331" i="12" s="1"/>
  <c r="M2331" i="12"/>
  <c r="A2332" i="12"/>
  <c r="B2332" i="12"/>
  <c r="C2332" i="12"/>
  <c r="D2332" i="12"/>
  <c r="E2332" i="12"/>
  <c r="F2332" i="12"/>
  <c r="G2332" i="12"/>
  <c r="H2332" i="12"/>
  <c r="I2332" i="12"/>
  <c r="M2332" i="12" s="1"/>
  <c r="J2332" i="12"/>
  <c r="K2332" i="12"/>
  <c r="A2333" i="12"/>
  <c r="B2333" i="12"/>
  <c r="C2333" i="12"/>
  <c r="D2333" i="12"/>
  <c r="E2333" i="12"/>
  <c r="F2333" i="12"/>
  <c r="G2333" i="12"/>
  <c r="I2333" i="12" s="1"/>
  <c r="M2333" i="12" s="1"/>
  <c r="H2333" i="12"/>
  <c r="J2333" i="12"/>
  <c r="K2333" i="12"/>
  <c r="L2333" i="12"/>
  <c r="N2333" i="12" s="1"/>
  <c r="A2334" i="12"/>
  <c r="B2334" i="12"/>
  <c r="C2334" i="12"/>
  <c r="D2334" i="12"/>
  <c r="E2334" i="12"/>
  <c r="F2334" i="12"/>
  <c r="G2334" i="12"/>
  <c r="I2334" i="12" s="1"/>
  <c r="M2334" i="12" s="1"/>
  <c r="H2334" i="12"/>
  <c r="J2334" i="12"/>
  <c r="K2334" i="12"/>
  <c r="A2335" i="12"/>
  <c r="B2335" i="12"/>
  <c r="C2335" i="12"/>
  <c r="D2335" i="12"/>
  <c r="E2335" i="12"/>
  <c r="F2335" i="12"/>
  <c r="G2335" i="12"/>
  <c r="H2335" i="12"/>
  <c r="I2335" i="12"/>
  <c r="J2335" i="12"/>
  <c r="K2335" i="12"/>
  <c r="L2335" i="12"/>
  <c r="N2335" i="12" s="1"/>
  <c r="M2335" i="12"/>
  <c r="A2336" i="12"/>
  <c r="B2336" i="12"/>
  <c r="C2336" i="12"/>
  <c r="D2336" i="12"/>
  <c r="E2336" i="12"/>
  <c r="F2336" i="12"/>
  <c r="G2336" i="12"/>
  <c r="H2336" i="12"/>
  <c r="I2336" i="12"/>
  <c r="M2336" i="12" s="1"/>
  <c r="J2336" i="12"/>
  <c r="K2336" i="12"/>
  <c r="A2337" i="12"/>
  <c r="B2337" i="12"/>
  <c r="C2337" i="12"/>
  <c r="D2337" i="12"/>
  <c r="E2337" i="12"/>
  <c r="F2337" i="12"/>
  <c r="G2337" i="12"/>
  <c r="I2337" i="12" s="1"/>
  <c r="M2337" i="12" s="1"/>
  <c r="H2337" i="12"/>
  <c r="J2337" i="12"/>
  <c r="K2337" i="12"/>
  <c r="L2337" i="12"/>
  <c r="N2337" i="12" s="1"/>
  <c r="A2338" i="12"/>
  <c r="B2338" i="12"/>
  <c r="C2338" i="12"/>
  <c r="D2338" i="12"/>
  <c r="E2338" i="12"/>
  <c r="F2338" i="12"/>
  <c r="G2338" i="12"/>
  <c r="I2338" i="12" s="1"/>
  <c r="M2338" i="12" s="1"/>
  <c r="H2338" i="12"/>
  <c r="J2338" i="12"/>
  <c r="K2338" i="12"/>
  <c r="A2339" i="12"/>
  <c r="B2339" i="12"/>
  <c r="C2339" i="12"/>
  <c r="D2339" i="12"/>
  <c r="E2339" i="12"/>
  <c r="F2339" i="12"/>
  <c r="G2339" i="12"/>
  <c r="H2339" i="12"/>
  <c r="I2339" i="12"/>
  <c r="J2339" i="12"/>
  <c r="K2339" i="12"/>
  <c r="L2339" i="12"/>
  <c r="N2339" i="12" s="1"/>
  <c r="M2339" i="12"/>
  <c r="A2340" i="12"/>
  <c r="B2340" i="12"/>
  <c r="C2340" i="12"/>
  <c r="D2340" i="12"/>
  <c r="E2340" i="12"/>
  <c r="F2340" i="12"/>
  <c r="G2340" i="12"/>
  <c r="H2340" i="12"/>
  <c r="I2340" i="12"/>
  <c r="M2340" i="12" s="1"/>
  <c r="J2340" i="12"/>
  <c r="K2340" i="12"/>
  <c r="A2341" i="12"/>
  <c r="B2341" i="12"/>
  <c r="C2341" i="12"/>
  <c r="D2341" i="12"/>
  <c r="E2341" i="12"/>
  <c r="F2341" i="12"/>
  <c r="G2341" i="12"/>
  <c r="I2341" i="12" s="1"/>
  <c r="M2341" i="12" s="1"/>
  <c r="H2341" i="12"/>
  <c r="J2341" i="12"/>
  <c r="K2341" i="12"/>
  <c r="L2341" i="12"/>
  <c r="N2341" i="12" s="1"/>
  <c r="A2342" i="12"/>
  <c r="B2342" i="12"/>
  <c r="C2342" i="12"/>
  <c r="D2342" i="12"/>
  <c r="E2342" i="12"/>
  <c r="F2342" i="12"/>
  <c r="G2342" i="12"/>
  <c r="I2342" i="12" s="1"/>
  <c r="M2342" i="12" s="1"/>
  <c r="H2342" i="12"/>
  <c r="J2342" i="12"/>
  <c r="K2342" i="12"/>
  <c r="A2343" i="12"/>
  <c r="B2343" i="12"/>
  <c r="C2343" i="12"/>
  <c r="D2343" i="12"/>
  <c r="E2343" i="12"/>
  <c r="F2343" i="12"/>
  <c r="G2343" i="12"/>
  <c r="H2343" i="12"/>
  <c r="I2343" i="12"/>
  <c r="J2343" i="12"/>
  <c r="K2343" i="12"/>
  <c r="L2343" i="12"/>
  <c r="N2343" i="12" s="1"/>
  <c r="M2343" i="12"/>
  <c r="A2344" i="12"/>
  <c r="B2344" i="12"/>
  <c r="C2344" i="12"/>
  <c r="D2344" i="12"/>
  <c r="E2344" i="12"/>
  <c r="F2344" i="12"/>
  <c r="G2344" i="12"/>
  <c r="H2344" i="12"/>
  <c r="I2344" i="12"/>
  <c r="M2344" i="12" s="1"/>
  <c r="J2344" i="12"/>
  <c r="K2344" i="12"/>
  <c r="A2345" i="12"/>
  <c r="B2345" i="12"/>
  <c r="C2345" i="12"/>
  <c r="D2345" i="12"/>
  <c r="E2345" i="12"/>
  <c r="F2345" i="12"/>
  <c r="G2345" i="12"/>
  <c r="I2345" i="12" s="1"/>
  <c r="M2345" i="12" s="1"/>
  <c r="H2345" i="12"/>
  <c r="J2345" i="12"/>
  <c r="K2345" i="12"/>
  <c r="L2345" i="12"/>
  <c r="N2345" i="12" s="1"/>
  <c r="A2346" i="12"/>
  <c r="B2346" i="12"/>
  <c r="C2346" i="12"/>
  <c r="D2346" i="12"/>
  <c r="E2346" i="12"/>
  <c r="F2346" i="12"/>
  <c r="G2346" i="12"/>
  <c r="I2346" i="12" s="1"/>
  <c r="M2346" i="12" s="1"/>
  <c r="H2346" i="12"/>
  <c r="J2346" i="12"/>
  <c r="K2346" i="12"/>
  <c r="A2347" i="12"/>
  <c r="B2347" i="12"/>
  <c r="C2347" i="12"/>
  <c r="D2347" i="12"/>
  <c r="E2347" i="12"/>
  <c r="F2347" i="12"/>
  <c r="G2347" i="12"/>
  <c r="H2347" i="12"/>
  <c r="I2347" i="12"/>
  <c r="J2347" i="12"/>
  <c r="K2347" i="12"/>
  <c r="L2347" i="12"/>
  <c r="N2347" i="12" s="1"/>
  <c r="M2347" i="12"/>
  <c r="A2348" i="12"/>
  <c r="B2348" i="12"/>
  <c r="C2348" i="12"/>
  <c r="D2348" i="12"/>
  <c r="E2348" i="12"/>
  <c r="F2348" i="12"/>
  <c r="G2348" i="12"/>
  <c r="H2348" i="12"/>
  <c r="I2348" i="12"/>
  <c r="M2348" i="12" s="1"/>
  <c r="J2348" i="12"/>
  <c r="K2348" i="12"/>
  <c r="A2349" i="12"/>
  <c r="B2349" i="12"/>
  <c r="C2349" i="12"/>
  <c r="D2349" i="12"/>
  <c r="E2349" i="12"/>
  <c r="F2349" i="12"/>
  <c r="G2349" i="12"/>
  <c r="I2349" i="12" s="1"/>
  <c r="M2349" i="12" s="1"/>
  <c r="H2349" i="12"/>
  <c r="J2349" i="12"/>
  <c r="K2349" i="12"/>
  <c r="L2349" i="12"/>
  <c r="N2349" i="12" s="1"/>
  <c r="A2350" i="12"/>
  <c r="B2350" i="12"/>
  <c r="C2350" i="12"/>
  <c r="D2350" i="12"/>
  <c r="E2350" i="12"/>
  <c r="F2350" i="12"/>
  <c r="G2350" i="12"/>
  <c r="I2350" i="12" s="1"/>
  <c r="M2350" i="12" s="1"/>
  <c r="H2350" i="12"/>
  <c r="J2350" i="12"/>
  <c r="K2350" i="12"/>
  <c r="A2351" i="12"/>
  <c r="B2351" i="12"/>
  <c r="C2351" i="12"/>
  <c r="D2351" i="12"/>
  <c r="E2351" i="12"/>
  <c r="F2351" i="12"/>
  <c r="G2351" i="12"/>
  <c r="H2351" i="12"/>
  <c r="I2351" i="12"/>
  <c r="J2351" i="12"/>
  <c r="K2351" i="12"/>
  <c r="L2351" i="12"/>
  <c r="N2351" i="12" s="1"/>
  <c r="M2351" i="12"/>
  <c r="A2352" i="12"/>
  <c r="B2352" i="12"/>
  <c r="C2352" i="12"/>
  <c r="D2352" i="12"/>
  <c r="E2352" i="12"/>
  <c r="F2352" i="12"/>
  <c r="G2352" i="12"/>
  <c r="H2352" i="12"/>
  <c r="I2352" i="12"/>
  <c r="M2352" i="12" s="1"/>
  <c r="J2352" i="12"/>
  <c r="K2352" i="12"/>
  <c r="A2353" i="12"/>
  <c r="B2353" i="12"/>
  <c r="C2353" i="12"/>
  <c r="D2353" i="12"/>
  <c r="E2353" i="12"/>
  <c r="F2353" i="12"/>
  <c r="G2353" i="12"/>
  <c r="I2353" i="12" s="1"/>
  <c r="M2353" i="12" s="1"/>
  <c r="H2353" i="12"/>
  <c r="J2353" i="12"/>
  <c r="K2353" i="12"/>
  <c r="L2353" i="12"/>
  <c r="N2353" i="12" s="1"/>
  <c r="A2354" i="12"/>
  <c r="B2354" i="12"/>
  <c r="C2354" i="12"/>
  <c r="D2354" i="12"/>
  <c r="E2354" i="12"/>
  <c r="F2354" i="12"/>
  <c r="G2354" i="12"/>
  <c r="I2354" i="12" s="1"/>
  <c r="M2354" i="12" s="1"/>
  <c r="H2354" i="12"/>
  <c r="J2354" i="12"/>
  <c r="K2354" i="12"/>
  <c r="A2355" i="12"/>
  <c r="B2355" i="12"/>
  <c r="C2355" i="12"/>
  <c r="D2355" i="12"/>
  <c r="E2355" i="12"/>
  <c r="F2355" i="12"/>
  <c r="G2355" i="12"/>
  <c r="H2355" i="12"/>
  <c r="I2355" i="12"/>
  <c r="J2355" i="12"/>
  <c r="K2355" i="12"/>
  <c r="L2355" i="12"/>
  <c r="N2355" i="12" s="1"/>
  <c r="M2355" i="12"/>
  <c r="A2356" i="12"/>
  <c r="B2356" i="12"/>
  <c r="C2356" i="12"/>
  <c r="D2356" i="12"/>
  <c r="E2356" i="12"/>
  <c r="F2356" i="12"/>
  <c r="G2356" i="12"/>
  <c r="H2356" i="12"/>
  <c r="I2356" i="12"/>
  <c r="M2356" i="12" s="1"/>
  <c r="J2356" i="12"/>
  <c r="K2356" i="12"/>
  <c r="A2357" i="12"/>
  <c r="B2357" i="12"/>
  <c r="C2357" i="12"/>
  <c r="D2357" i="12"/>
  <c r="E2357" i="12"/>
  <c r="F2357" i="12"/>
  <c r="G2357" i="12"/>
  <c r="I2357" i="12" s="1"/>
  <c r="M2357" i="12" s="1"/>
  <c r="H2357" i="12"/>
  <c r="J2357" i="12"/>
  <c r="K2357" i="12"/>
  <c r="L2357" i="12"/>
  <c r="N2357" i="12" s="1"/>
  <c r="A2358" i="12"/>
  <c r="B2358" i="12"/>
  <c r="C2358" i="12"/>
  <c r="D2358" i="12"/>
  <c r="E2358" i="12"/>
  <c r="F2358" i="12"/>
  <c r="G2358" i="12"/>
  <c r="I2358" i="12" s="1"/>
  <c r="M2358" i="12" s="1"/>
  <c r="H2358" i="12"/>
  <c r="J2358" i="12"/>
  <c r="K2358" i="12"/>
  <c r="A2359" i="12"/>
  <c r="B2359" i="12"/>
  <c r="C2359" i="12"/>
  <c r="D2359" i="12"/>
  <c r="E2359" i="12"/>
  <c r="F2359" i="12"/>
  <c r="G2359" i="12"/>
  <c r="H2359" i="12"/>
  <c r="I2359" i="12"/>
  <c r="J2359" i="12"/>
  <c r="K2359" i="12"/>
  <c r="L2359" i="12"/>
  <c r="N2359" i="12" s="1"/>
  <c r="M2359" i="12"/>
  <c r="A2360" i="12"/>
  <c r="B2360" i="12"/>
  <c r="C2360" i="12"/>
  <c r="D2360" i="12"/>
  <c r="E2360" i="12"/>
  <c r="F2360" i="12"/>
  <c r="G2360" i="12"/>
  <c r="H2360" i="12"/>
  <c r="I2360" i="12"/>
  <c r="M2360" i="12" s="1"/>
  <c r="J2360" i="12"/>
  <c r="K2360" i="12"/>
  <c r="A2361" i="12"/>
  <c r="B2361" i="12"/>
  <c r="C2361" i="12"/>
  <c r="D2361" i="12"/>
  <c r="E2361" i="12"/>
  <c r="F2361" i="12"/>
  <c r="G2361" i="12"/>
  <c r="I2361" i="12" s="1"/>
  <c r="M2361" i="12" s="1"/>
  <c r="H2361" i="12"/>
  <c r="J2361" i="12"/>
  <c r="K2361" i="12"/>
  <c r="L2361" i="12"/>
  <c r="N2361" i="12" s="1"/>
  <c r="A2362" i="12"/>
  <c r="B2362" i="12"/>
  <c r="C2362" i="12"/>
  <c r="D2362" i="12"/>
  <c r="E2362" i="12"/>
  <c r="F2362" i="12"/>
  <c r="G2362" i="12"/>
  <c r="I2362" i="12" s="1"/>
  <c r="M2362" i="12" s="1"/>
  <c r="H2362" i="12"/>
  <c r="J2362" i="12"/>
  <c r="K2362" i="12"/>
  <c r="A2363" i="12"/>
  <c r="B2363" i="12"/>
  <c r="C2363" i="12"/>
  <c r="D2363" i="12"/>
  <c r="E2363" i="12"/>
  <c r="F2363" i="12"/>
  <c r="G2363" i="12"/>
  <c r="H2363" i="12"/>
  <c r="I2363" i="12"/>
  <c r="J2363" i="12"/>
  <c r="K2363" i="12"/>
  <c r="L2363" i="12"/>
  <c r="N2363" i="12" s="1"/>
  <c r="M2363" i="12"/>
  <c r="A2364" i="12"/>
  <c r="B2364" i="12"/>
  <c r="C2364" i="12"/>
  <c r="D2364" i="12"/>
  <c r="E2364" i="12"/>
  <c r="F2364" i="12"/>
  <c r="G2364" i="12"/>
  <c r="H2364" i="12"/>
  <c r="I2364" i="12"/>
  <c r="M2364" i="12" s="1"/>
  <c r="J2364" i="12"/>
  <c r="K2364" i="12"/>
  <c r="A2365" i="12"/>
  <c r="B2365" i="12"/>
  <c r="C2365" i="12"/>
  <c r="D2365" i="12"/>
  <c r="E2365" i="12"/>
  <c r="F2365" i="12"/>
  <c r="G2365" i="12"/>
  <c r="I2365" i="12" s="1"/>
  <c r="M2365" i="12" s="1"/>
  <c r="H2365" i="12"/>
  <c r="J2365" i="12"/>
  <c r="K2365" i="12"/>
  <c r="L2365" i="12"/>
  <c r="N2365" i="12" s="1"/>
  <c r="A2366" i="12"/>
  <c r="B2366" i="12"/>
  <c r="C2366" i="12"/>
  <c r="D2366" i="12"/>
  <c r="E2366" i="12"/>
  <c r="F2366" i="12"/>
  <c r="G2366" i="12"/>
  <c r="I2366" i="12" s="1"/>
  <c r="M2366" i="12" s="1"/>
  <c r="H2366" i="12"/>
  <c r="J2366" i="12"/>
  <c r="K2366" i="12"/>
  <c r="A2367" i="12"/>
  <c r="B2367" i="12"/>
  <c r="C2367" i="12"/>
  <c r="D2367" i="12"/>
  <c r="E2367" i="12"/>
  <c r="F2367" i="12"/>
  <c r="G2367" i="12"/>
  <c r="H2367" i="12"/>
  <c r="I2367" i="12"/>
  <c r="J2367" i="12"/>
  <c r="K2367" i="12"/>
  <c r="L2367" i="12"/>
  <c r="N2367" i="12" s="1"/>
  <c r="M2367" i="12"/>
  <c r="A2368" i="12"/>
  <c r="B2368" i="12"/>
  <c r="C2368" i="12"/>
  <c r="D2368" i="12"/>
  <c r="E2368" i="12"/>
  <c r="F2368" i="12"/>
  <c r="G2368" i="12"/>
  <c r="H2368" i="12"/>
  <c r="I2368" i="12"/>
  <c r="M2368" i="12" s="1"/>
  <c r="J2368" i="12"/>
  <c r="K2368" i="12"/>
  <c r="A2369" i="12"/>
  <c r="B2369" i="12"/>
  <c r="C2369" i="12"/>
  <c r="D2369" i="12"/>
  <c r="E2369" i="12"/>
  <c r="F2369" i="12"/>
  <c r="G2369" i="12"/>
  <c r="I2369" i="12" s="1"/>
  <c r="M2369" i="12" s="1"/>
  <c r="H2369" i="12"/>
  <c r="J2369" i="12"/>
  <c r="K2369" i="12"/>
  <c r="L2369" i="12"/>
  <c r="N2369" i="12" s="1"/>
  <c r="A2370" i="12"/>
  <c r="B2370" i="12"/>
  <c r="C2370" i="12"/>
  <c r="D2370" i="12"/>
  <c r="E2370" i="12"/>
  <c r="F2370" i="12"/>
  <c r="G2370" i="12"/>
  <c r="I2370" i="12" s="1"/>
  <c r="M2370" i="12" s="1"/>
  <c r="H2370" i="12"/>
  <c r="J2370" i="12"/>
  <c r="K2370" i="12"/>
  <c r="A2371" i="12"/>
  <c r="B2371" i="12"/>
  <c r="C2371" i="12"/>
  <c r="D2371" i="12"/>
  <c r="E2371" i="12"/>
  <c r="F2371" i="12"/>
  <c r="G2371" i="12"/>
  <c r="H2371" i="12"/>
  <c r="I2371" i="12"/>
  <c r="J2371" i="12"/>
  <c r="K2371" i="12"/>
  <c r="L2371" i="12"/>
  <c r="N2371" i="12" s="1"/>
  <c r="M2371" i="12"/>
  <c r="A2372" i="12"/>
  <c r="B2372" i="12"/>
  <c r="C2372" i="12"/>
  <c r="D2372" i="12"/>
  <c r="E2372" i="12"/>
  <c r="F2372" i="12"/>
  <c r="G2372" i="12"/>
  <c r="H2372" i="12"/>
  <c r="I2372" i="12"/>
  <c r="M2372" i="12" s="1"/>
  <c r="J2372" i="12"/>
  <c r="K2372" i="12"/>
  <c r="A2373" i="12"/>
  <c r="B2373" i="12"/>
  <c r="C2373" i="12"/>
  <c r="D2373" i="12"/>
  <c r="E2373" i="12"/>
  <c r="F2373" i="12"/>
  <c r="G2373" i="12"/>
  <c r="I2373" i="12" s="1"/>
  <c r="M2373" i="12" s="1"/>
  <c r="H2373" i="12"/>
  <c r="J2373" i="12"/>
  <c r="K2373" i="12"/>
  <c r="L2373" i="12"/>
  <c r="N2373" i="12" s="1"/>
  <c r="A2374" i="12"/>
  <c r="B2374" i="12"/>
  <c r="C2374" i="12"/>
  <c r="D2374" i="12"/>
  <c r="E2374" i="12"/>
  <c r="F2374" i="12"/>
  <c r="G2374" i="12"/>
  <c r="I2374" i="12" s="1"/>
  <c r="M2374" i="12" s="1"/>
  <c r="H2374" i="12"/>
  <c r="J2374" i="12"/>
  <c r="K2374" i="12"/>
  <c r="A2375" i="12"/>
  <c r="B2375" i="12"/>
  <c r="C2375" i="12"/>
  <c r="D2375" i="12"/>
  <c r="E2375" i="12"/>
  <c r="F2375" i="12"/>
  <c r="G2375" i="12"/>
  <c r="H2375" i="12"/>
  <c r="I2375" i="12"/>
  <c r="J2375" i="12"/>
  <c r="K2375" i="12"/>
  <c r="L2375" i="12"/>
  <c r="N2375" i="12" s="1"/>
  <c r="M2375" i="12"/>
  <c r="A2376" i="12"/>
  <c r="B2376" i="12"/>
  <c r="C2376" i="12"/>
  <c r="D2376" i="12"/>
  <c r="E2376" i="12"/>
  <c r="F2376" i="12"/>
  <c r="G2376" i="12"/>
  <c r="H2376" i="12"/>
  <c r="I2376" i="12"/>
  <c r="M2376" i="12" s="1"/>
  <c r="J2376" i="12"/>
  <c r="K2376" i="12"/>
  <c r="A2377" i="12"/>
  <c r="B2377" i="12"/>
  <c r="C2377" i="12"/>
  <c r="D2377" i="12"/>
  <c r="E2377" i="12"/>
  <c r="F2377" i="12"/>
  <c r="G2377" i="12"/>
  <c r="I2377" i="12" s="1"/>
  <c r="M2377" i="12" s="1"/>
  <c r="H2377" i="12"/>
  <c r="J2377" i="12"/>
  <c r="K2377" i="12"/>
  <c r="L2377" i="12"/>
  <c r="N2377" i="12" s="1"/>
  <c r="A2378" i="12"/>
  <c r="B2378" i="12"/>
  <c r="C2378" i="12"/>
  <c r="D2378" i="12"/>
  <c r="E2378" i="12"/>
  <c r="F2378" i="12"/>
  <c r="G2378" i="12"/>
  <c r="I2378" i="12" s="1"/>
  <c r="M2378" i="12" s="1"/>
  <c r="H2378" i="12"/>
  <c r="J2378" i="12"/>
  <c r="K2378" i="12"/>
  <c r="A2379" i="12"/>
  <c r="B2379" i="12"/>
  <c r="C2379" i="12"/>
  <c r="D2379" i="12"/>
  <c r="E2379" i="12"/>
  <c r="F2379" i="12"/>
  <c r="G2379" i="12"/>
  <c r="H2379" i="12"/>
  <c r="I2379" i="12"/>
  <c r="J2379" i="12"/>
  <c r="K2379" i="12"/>
  <c r="L2379" i="12"/>
  <c r="N2379" i="12" s="1"/>
  <c r="M2379" i="12"/>
  <c r="A2380" i="12"/>
  <c r="B2380" i="12"/>
  <c r="C2380" i="12"/>
  <c r="D2380" i="12"/>
  <c r="E2380" i="12"/>
  <c r="F2380" i="12"/>
  <c r="G2380" i="12"/>
  <c r="H2380" i="12"/>
  <c r="I2380" i="12"/>
  <c r="M2380" i="12" s="1"/>
  <c r="J2380" i="12"/>
  <c r="K2380" i="12"/>
  <c r="A2381" i="12"/>
  <c r="B2381" i="12"/>
  <c r="C2381" i="12"/>
  <c r="D2381" i="12"/>
  <c r="E2381" i="12"/>
  <c r="F2381" i="12"/>
  <c r="G2381" i="12"/>
  <c r="I2381" i="12" s="1"/>
  <c r="M2381" i="12" s="1"/>
  <c r="H2381" i="12"/>
  <c r="J2381" i="12"/>
  <c r="K2381" i="12"/>
  <c r="L2381" i="12"/>
  <c r="N2381" i="12" s="1"/>
  <c r="A2382" i="12"/>
  <c r="B2382" i="12"/>
  <c r="C2382" i="12"/>
  <c r="D2382" i="12"/>
  <c r="E2382" i="12"/>
  <c r="F2382" i="12"/>
  <c r="G2382" i="12"/>
  <c r="I2382" i="12" s="1"/>
  <c r="M2382" i="12" s="1"/>
  <c r="H2382" i="12"/>
  <c r="J2382" i="12"/>
  <c r="K2382" i="12"/>
  <c r="A2383" i="12"/>
  <c r="B2383" i="12"/>
  <c r="C2383" i="12"/>
  <c r="D2383" i="12"/>
  <c r="E2383" i="12"/>
  <c r="F2383" i="12"/>
  <c r="G2383" i="12"/>
  <c r="H2383" i="12"/>
  <c r="I2383" i="12"/>
  <c r="J2383" i="12"/>
  <c r="K2383" i="12"/>
  <c r="L2383" i="12"/>
  <c r="N2383" i="12" s="1"/>
  <c r="M2383" i="12"/>
  <c r="A2384" i="12"/>
  <c r="B2384" i="12"/>
  <c r="C2384" i="12"/>
  <c r="D2384" i="12"/>
  <c r="E2384" i="12"/>
  <c r="F2384" i="12"/>
  <c r="G2384" i="12"/>
  <c r="H2384" i="12"/>
  <c r="I2384" i="12"/>
  <c r="M2384" i="12" s="1"/>
  <c r="J2384" i="12"/>
  <c r="K2384" i="12"/>
  <c r="A2385" i="12"/>
  <c r="B2385" i="12"/>
  <c r="C2385" i="12"/>
  <c r="D2385" i="12"/>
  <c r="E2385" i="12"/>
  <c r="F2385" i="12"/>
  <c r="G2385" i="12"/>
  <c r="I2385" i="12" s="1"/>
  <c r="M2385" i="12" s="1"/>
  <c r="H2385" i="12"/>
  <c r="J2385" i="12"/>
  <c r="K2385" i="12"/>
  <c r="L2385" i="12"/>
  <c r="N2385" i="12" s="1"/>
  <c r="A2386" i="12"/>
  <c r="B2386" i="12"/>
  <c r="C2386" i="12"/>
  <c r="D2386" i="12"/>
  <c r="E2386" i="12"/>
  <c r="F2386" i="12"/>
  <c r="G2386" i="12"/>
  <c r="I2386" i="12" s="1"/>
  <c r="M2386" i="12" s="1"/>
  <c r="H2386" i="12"/>
  <c r="J2386" i="12"/>
  <c r="K2386" i="12"/>
  <c r="A2387" i="12"/>
  <c r="B2387" i="12"/>
  <c r="C2387" i="12"/>
  <c r="D2387" i="12"/>
  <c r="E2387" i="12"/>
  <c r="F2387" i="12"/>
  <c r="G2387" i="12"/>
  <c r="H2387" i="12"/>
  <c r="I2387" i="12"/>
  <c r="J2387" i="12"/>
  <c r="K2387" i="12"/>
  <c r="L2387" i="12"/>
  <c r="N2387" i="12" s="1"/>
  <c r="M2387" i="12"/>
  <c r="A2388" i="12"/>
  <c r="B2388" i="12"/>
  <c r="C2388" i="12"/>
  <c r="D2388" i="12"/>
  <c r="E2388" i="12"/>
  <c r="F2388" i="12"/>
  <c r="G2388" i="12"/>
  <c r="H2388" i="12"/>
  <c r="I2388" i="12"/>
  <c r="M2388" i="12" s="1"/>
  <c r="J2388" i="12"/>
  <c r="K2388" i="12"/>
  <c r="A2389" i="12"/>
  <c r="B2389" i="12"/>
  <c r="C2389" i="12"/>
  <c r="D2389" i="12"/>
  <c r="E2389" i="12"/>
  <c r="F2389" i="12"/>
  <c r="G2389" i="12"/>
  <c r="I2389" i="12" s="1"/>
  <c r="M2389" i="12" s="1"/>
  <c r="H2389" i="12"/>
  <c r="J2389" i="12"/>
  <c r="K2389" i="12"/>
  <c r="L2389" i="12"/>
  <c r="N2389" i="12" s="1"/>
  <c r="A2390" i="12"/>
  <c r="B2390" i="12"/>
  <c r="C2390" i="12"/>
  <c r="D2390" i="12"/>
  <c r="E2390" i="12"/>
  <c r="F2390" i="12"/>
  <c r="G2390" i="12"/>
  <c r="I2390" i="12" s="1"/>
  <c r="M2390" i="12" s="1"/>
  <c r="H2390" i="12"/>
  <c r="J2390" i="12"/>
  <c r="K2390" i="12"/>
  <c r="A2391" i="12"/>
  <c r="B2391" i="12"/>
  <c r="C2391" i="12"/>
  <c r="D2391" i="12"/>
  <c r="E2391" i="12"/>
  <c r="F2391" i="12"/>
  <c r="G2391" i="12"/>
  <c r="H2391" i="12"/>
  <c r="I2391" i="12"/>
  <c r="J2391" i="12"/>
  <c r="K2391" i="12"/>
  <c r="L2391" i="12"/>
  <c r="N2391" i="12" s="1"/>
  <c r="M2391" i="12"/>
  <c r="A2392" i="12"/>
  <c r="B2392" i="12"/>
  <c r="C2392" i="12"/>
  <c r="D2392" i="12"/>
  <c r="E2392" i="12"/>
  <c r="F2392" i="12"/>
  <c r="G2392" i="12"/>
  <c r="H2392" i="12"/>
  <c r="I2392" i="12"/>
  <c r="M2392" i="12" s="1"/>
  <c r="J2392" i="12"/>
  <c r="K2392" i="12"/>
  <c r="A2393" i="12"/>
  <c r="B2393" i="12"/>
  <c r="C2393" i="12"/>
  <c r="D2393" i="12"/>
  <c r="E2393" i="12"/>
  <c r="F2393" i="12"/>
  <c r="G2393" i="12"/>
  <c r="I2393" i="12" s="1"/>
  <c r="M2393" i="12" s="1"/>
  <c r="H2393" i="12"/>
  <c r="J2393" i="12"/>
  <c r="K2393" i="12"/>
  <c r="L2393" i="12"/>
  <c r="N2393" i="12" s="1"/>
  <c r="A2394" i="12"/>
  <c r="B2394" i="12"/>
  <c r="C2394" i="12"/>
  <c r="D2394" i="12"/>
  <c r="E2394" i="12"/>
  <c r="F2394" i="12"/>
  <c r="G2394" i="12"/>
  <c r="I2394" i="12" s="1"/>
  <c r="M2394" i="12" s="1"/>
  <c r="H2394" i="12"/>
  <c r="J2394" i="12"/>
  <c r="K2394" i="12"/>
  <c r="A2395" i="12"/>
  <c r="B2395" i="12"/>
  <c r="C2395" i="12"/>
  <c r="D2395" i="12"/>
  <c r="E2395" i="12"/>
  <c r="F2395" i="12"/>
  <c r="G2395" i="12"/>
  <c r="H2395" i="12"/>
  <c r="I2395" i="12"/>
  <c r="J2395" i="12"/>
  <c r="K2395" i="12"/>
  <c r="L2395" i="12"/>
  <c r="N2395" i="12" s="1"/>
  <c r="M2395" i="12"/>
  <c r="A2396" i="12"/>
  <c r="B2396" i="12"/>
  <c r="C2396" i="12"/>
  <c r="D2396" i="12"/>
  <c r="E2396" i="12"/>
  <c r="F2396" i="12"/>
  <c r="G2396" i="12"/>
  <c r="H2396" i="12"/>
  <c r="I2396" i="12"/>
  <c r="M2396" i="12" s="1"/>
  <c r="J2396" i="12"/>
  <c r="K2396" i="12"/>
  <c r="A2397" i="12"/>
  <c r="B2397" i="12"/>
  <c r="C2397" i="12"/>
  <c r="D2397" i="12"/>
  <c r="E2397" i="12"/>
  <c r="F2397" i="12"/>
  <c r="G2397" i="12"/>
  <c r="I2397" i="12" s="1"/>
  <c r="M2397" i="12" s="1"/>
  <c r="H2397" i="12"/>
  <c r="J2397" i="12"/>
  <c r="K2397" i="12"/>
  <c r="L2397" i="12"/>
  <c r="N2397" i="12" s="1"/>
  <c r="A2398" i="12"/>
  <c r="B2398" i="12"/>
  <c r="C2398" i="12"/>
  <c r="D2398" i="12"/>
  <c r="E2398" i="12"/>
  <c r="F2398" i="12"/>
  <c r="G2398" i="12"/>
  <c r="I2398" i="12" s="1"/>
  <c r="M2398" i="12" s="1"/>
  <c r="H2398" i="12"/>
  <c r="J2398" i="12"/>
  <c r="K2398" i="12"/>
  <c r="A2399" i="12"/>
  <c r="B2399" i="12"/>
  <c r="C2399" i="12"/>
  <c r="D2399" i="12"/>
  <c r="E2399" i="12"/>
  <c r="F2399" i="12"/>
  <c r="G2399" i="12"/>
  <c r="H2399" i="12"/>
  <c r="I2399" i="12"/>
  <c r="J2399" i="12"/>
  <c r="K2399" i="12"/>
  <c r="L2399" i="12"/>
  <c r="N2399" i="12" s="1"/>
  <c r="M2399" i="12"/>
  <c r="A2400" i="12"/>
  <c r="B2400" i="12"/>
  <c r="C2400" i="12"/>
  <c r="D2400" i="12"/>
  <c r="E2400" i="12"/>
  <c r="F2400" i="12"/>
  <c r="G2400" i="12"/>
  <c r="H2400" i="12"/>
  <c r="I2400" i="12"/>
  <c r="M2400" i="12" s="1"/>
  <c r="J2400" i="12"/>
  <c r="K2400" i="12"/>
  <c r="A2401" i="12"/>
  <c r="B2401" i="12"/>
  <c r="C2401" i="12"/>
  <c r="D2401" i="12"/>
  <c r="E2401" i="12"/>
  <c r="F2401" i="12"/>
  <c r="G2401" i="12"/>
  <c r="I2401" i="12" s="1"/>
  <c r="M2401" i="12" s="1"/>
  <c r="H2401" i="12"/>
  <c r="J2401" i="12"/>
  <c r="K2401" i="12"/>
  <c r="L2401" i="12"/>
  <c r="N2401" i="12" s="1"/>
  <c r="A2402" i="12"/>
  <c r="B2402" i="12"/>
  <c r="C2402" i="12"/>
  <c r="D2402" i="12"/>
  <c r="E2402" i="12"/>
  <c r="F2402" i="12"/>
  <c r="G2402" i="12"/>
  <c r="I2402" i="12" s="1"/>
  <c r="M2402" i="12" s="1"/>
  <c r="H2402" i="12"/>
  <c r="J2402" i="12"/>
  <c r="K2402" i="12"/>
  <c r="A2403" i="12"/>
  <c r="B2403" i="12"/>
  <c r="C2403" i="12"/>
  <c r="D2403" i="12"/>
  <c r="E2403" i="12"/>
  <c r="F2403" i="12"/>
  <c r="G2403" i="12"/>
  <c r="H2403" i="12"/>
  <c r="I2403" i="12"/>
  <c r="J2403" i="12"/>
  <c r="K2403" i="12"/>
  <c r="L2403" i="12"/>
  <c r="N2403" i="12" s="1"/>
  <c r="M2403" i="12"/>
  <c r="A2404" i="12"/>
  <c r="B2404" i="12"/>
  <c r="C2404" i="12"/>
  <c r="D2404" i="12"/>
  <c r="E2404" i="12"/>
  <c r="F2404" i="12"/>
  <c r="G2404" i="12"/>
  <c r="H2404" i="12"/>
  <c r="I2404" i="12"/>
  <c r="M2404" i="12" s="1"/>
  <c r="J2404" i="12"/>
  <c r="K2404" i="12"/>
  <c r="A2405" i="12"/>
  <c r="B2405" i="12"/>
  <c r="C2405" i="12"/>
  <c r="D2405" i="12"/>
  <c r="E2405" i="12"/>
  <c r="F2405" i="12"/>
  <c r="G2405" i="12"/>
  <c r="I2405" i="12" s="1"/>
  <c r="M2405" i="12" s="1"/>
  <c r="H2405" i="12"/>
  <c r="J2405" i="12"/>
  <c r="K2405" i="12"/>
  <c r="L2405" i="12"/>
  <c r="N2405" i="12" s="1"/>
  <c r="A2406" i="12"/>
  <c r="B2406" i="12"/>
  <c r="C2406" i="12"/>
  <c r="D2406" i="12"/>
  <c r="E2406" i="12"/>
  <c r="F2406" i="12"/>
  <c r="G2406" i="12"/>
  <c r="I2406" i="12" s="1"/>
  <c r="M2406" i="12" s="1"/>
  <c r="H2406" i="12"/>
  <c r="J2406" i="12"/>
  <c r="K2406" i="12"/>
  <c r="A2407" i="12"/>
  <c r="B2407" i="12"/>
  <c r="C2407" i="12"/>
  <c r="D2407" i="12"/>
  <c r="E2407" i="12"/>
  <c r="F2407" i="12"/>
  <c r="G2407" i="12"/>
  <c r="H2407" i="12"/>
  <c r="I2407" i="12"/>
  <c r="J2407" i="12"/>
  <c r="K2407" i="12"/>
  <c r="L2407" i="12"/>
  <c r="N2407" i="12" s="1"/>
  <c r="M2407" i="12"/>
  <c r="A2408" i="12"/>
  <c r="B2408" i="12"/>
  <c r="C2408" i="12"/>
  <c r="D2408" i="12"/>
  <c r="E2408" i="12"/>
  <c r="F2408" i="12"/>
  <c r="G2408" i="12"/>
  <c r="H2408" i="12"/>
  <c r="I2408" i="12"/>
  <c r="M2408" i="12" s="1"/>
  <c r="J2408" i="12"/>
  <c r="K2408" i="12"/>
  <c r="A2409" i="12"/>
  <c r="B2409" i="12"/>
  <c r="C2409" i="12"/>
  <c r="D2409" i="12"/>
  <c r="E2409" i="12"/>
  <c r="F2409" i="12"/>
  <c r="G2409" i="12"/>
  <c r="I2409" i="12" s="1"/>
  <c r="M2409" i="12" s="1"/>
  <c r="H2409" i="12"/>
  <c r="J2409" i="12"/>
  <c r="K2409" i="12"/>
  <c r="L2409" i="12"/>
  <c r="N2409" i="12" s="1"/>
  <c r="A2410" i="12"/>
  <c r="B2410" i="12"/>
  <c r="C2410" i="12"/>
  <c r="D2410" i="12"/>
  <c r="E2410" i="12"/>
  <c r="F2410" i="12"/>
  <c r="G2410" i="12"/>
  <c r="H2410" i="12"/>
  <c r="I2410" i="12"/>
  <c r="J2410" i="12"/>
  <c r="L2410" i="12" s="1"/>
  <c r="N2410" i="12" s="1"/>
  <c r="K2410" i="12"/>
  <c r="M2410" i="12"/>
  <c r="A2411" i="12"/>
  <c r="B2411" i="12"/>
  <c r="C2411" i="12"/>
  <c r="D2411" i="12"/>
  <c r="E2411" i="12"/>
  <c r="F2411" i="12"/>
  <c r="G2411" i="12"/>
  <c r="I2411" i="12" s="1"/>
  <c r="M2411" i="12" s="1"/>
  <c r="H2411" i="12"/>
  <c r="J2411" i="12"/>
  <c r="K2411" i="12"/>
  <c r="L2411" i="12"/>
  <c r="N2411" i="12" s="1"/>
  <c r="A2412" i="12"/>
  <c r="B2412" i="12"/>
  <c r="C2412" i="12"/>
  <c r="D2412" i="12"/>
  <c r="E2412" i="12"/>
  <c r="F2412" i="12"/>
  <c r="G2412" i="12"/>
  <c r="H2412" i="12"/>
  <c r="I2412" i="12"/>
  <c r="J2412" i="12"/>
  <c r="L2412" i="12" s="1"/>
  <c r="N2412" i="12" s="1"/>
  <c r="K2412" i="12"/>
  <c r="M2412" i="12"/>
  <c r="A2413" i="12"/>
  <c r="B2413" i="12"/>
  <c r="C2413" i="12"/>
  <c r="D2413" i="12"/>
  <c r="E2413" i="12"/>
  <c r="F2413" i="12"/>
  <c r="G2413" i="12"/>
  <c r="I2413" i="12" s="1"/>
  <c r="M2413" i="12" s="1"/>
  <c r="H2413" i="12"/>
  <c r="J2413" i="12"/>
  <c r="K2413" i="12"/>
  <c r="L2413" i="12" s="1"/>
  <c r="N2413" i="12" s="1"/>
  <c r="A2414" i="12"/>
  <c r="B2414" i="12"/>
  <c r="C2414" i="12"/>
  <c r="D2414" i="12"/>
  <c r="E2414" i="12"/>
  <c r="F2414" i="12"/>
  <c r="G2414" i="12"/>
  <c r="H2414" i="12"/>
  <c r="I2414" i="12"/>
  <c r="J2414" i="12"/>
  <c r="L2414" i="12" s="1"/>
  <c r="N2414" i="12" s="1"/>
  <c r="K2414" i="12"/>
  <c r="M2414" i="12"/>
  <c r="A2415" i="12"/>
  <c r="B2415" i="12"/>
  <c r="C2415" i="12"/>
  <c r="D2415" i="12"/>
  <c r="E2415" i="12"/>
  <c r="F2415" i="12"/>
  <c r="G2415" i="12"/>
  <c r="I2415" i="12" s="1"/>
  <c r="M2415" i="12" s="1"/>
  <c r="H2415" i="12"/>
  <c r="J2415" i="12"/>
  <c r="K2415" i="12"/>
  <c r="L2415" i="12" s="1"/>
  <c r="N2415" i="12" s="1"/>
  <c r="A2416" i="12"/>
  <c r="B2416" i="12"/>
  <c r="C2416" i="12"/>
  <c r="D2416" i="12"/>
  <c r="E2416" i="12"/>
  <c r="F2416" i="12"/>
  <c r="G2416" i="12"/>
  <c r="H2416" i="12"/>
  <c r="I2416" i="12"/>
  <c r="J2416" i="12"/>
  <c r="L2416" i="12" s="1"/>
  <c r="N2416" i="12" s="1"/>
  <c r="K2416" i="12"/>
  <c r="M2416" i="12"/>
  <c r="A2417" i="12"/>
  <c r="B2417" i="12"/>
  <c r="C2417" i="12"/>
  <c r="D2417" i="12"/>
  <c r="E2417" i="12"/>
  <c r="F2417" i="12"/>
  <c r="G2417" i="12"/>
  <c r="I2417" i="12" s="1"/>
  <c r="M2417" i="12" s="1"/>
  <c r="H2417" i="12"/>
  <c r="J2417" i="12"/>
  <c r="K2417" i="12"/>
  <c r="L2417" i="12" s="1"/>
  <c r="N2417" i="12" s="1"/>
  <c r="A2418" i="12"/>
  <c r="B2418" i="12"/>
  <c r="C2418" i="12"/>
  <c r="D2418" i="12"/>
  <c r="E2418" i="12"/>
  <c r="F2418" i="12"/>
  <c r="G2418" i="12"/>
  <c r="H2418" i="12"/>
  <c r="I2418" i="12"/>
  <c r="J2418" i="12"/>
  <c r="L2418" i="12" s="1"/>
  <c r="N2418" i="12" s="1"/>
  <c r="K2418" i="12"/>
  <c r="M2418" i="12"/>
  <c r="A2419" i="12"/>
  <c r="B2419" i="12"/>
  <c r="C2419" i="12"/>
  <c r="D2419" i="12"/>
  <c r="E2419" i="12"/>
  <c r="F2419" i="12"/>
  <c r="G2419" i="12"/>
  <c r="I2419" i="12" s="1"/>
  <c r="M2419" i="12" s="1"/>
  <c r="H2419" i="12"/>
  <c r="J2419" i="12"/>
  <c r="K2419" i="12"/>
  <c r="L2419" i="12" s="1"/>
  <c r="N2419" i="12" s="1"/>
  <c r="A2420" i="12"/>
  <c r="B2420" i="12"/>
  <c r="C2420" i="12"/>
  <c r="D2420" i="12"/>
  <c r="E2420" i="12"/>
  <c r="F2420" i="12"/>
  <c r="G2420" i="12"/>
  <c r="H2420" i="12"/>
  <c r="I2420" i="12"/>
  <c r="J2420" i="12"/>
  <c r="L2420" i="12" s="1"/>
  <c r="N2420" i="12" s="1"/>
  <c r="K2420" i="12"/>
  <c r="M2420" i="12"/>
  <c r="A2421" i="12"/>
  <c r="B2421" i="12"/>
  <c r="C2421" i="12"/>
  <c r="D2421" i="12"/>
  <c r="E2421" i="12"/>
  <c r="F2421" i="12"/>
  <c r="G2421" i="12"/>
  <c r="I2421" i="12" s="1"/>
  <c r="M2421" i="12" s="1"/>
  <c r="H2421" i="12"/>
  <c r="J2421" i="12"/>
  <c r="K2421" i="12"/>
  <c r="L2421" i="12" s="1"/>
  <c r="N2421" i="12" s="1"/>
  <c r="A2422" i="12"/>
  <c r="B2422" i="12"/>
  <c r="C2422" i="12"/>
  <c r="D2422" i="12"/>
  <c r="E2422" i="12"/>
  <c r="F2422" i="12"/>
  <c r="G2422" i="12"/>
  <c r="H2422" i="12"/>
  <c r="I2422" i="12"/>
  <c r="J2422" i="12"/>
  <c r="L2422" i="12" s="1"/>
  <c r="N2422" i="12" s="1"/>
  <c r="K2422" i="12"/>
  <c r="M2422" i="12"/>
  <c r="A2423" i="12"/>
  <c r="B2423" i="12"/>
  <c r="C2423" i="12"/>
  <c r="D2423" i="12"/>
  <c r="E2423" i="12"/>
  <c r="F2423" i="12"/>
  <c r="G2423" i="12"/>
  <c r="I2423" i="12" s="1"/>
  <c r="M2423" i="12" s="1"/>
  <c r="H2423" i="12"/>
  <c r="J2423" i="12"/>
  <c r="K2423" i="12"/>
  <c r="L2423" i="12" s="1"/>
  <c r="N2423" i="12" s="1"/>
  <c r="A2424" i="12"/>
  <c r="B2424" i="12"/>
  <c r="C2424" i="12"/>
  <c r="D2424" i="12"/>
  <c r="E2424" i="12"/>
  <c r="F2424" i="12"/>
  <c r="G2424" i="12"/>
  <c r="H2424" i="12"/>
  <c r="I2424" i="12"/>
  <c r="J2424" i="12"/>
  <c r="L2424" i="12" s="1"/>
  <c r="N2424" i="12" s="1"/>
  <c r="K2424" i="12"/>
  <c r="M2424" i="12"/>
  <c r="A2425" i="12"/>
  <c r="B2425" i="12"/>
  <c r="C2425" i="12"/>
  <c r="D2425" i="12"/>
  <c r="E2425" i="12"/>
  <c r="F2425" i="12"/>
  <c r="G2425" i="12"/>
  <c r="I2425" i="12" s="1"/>
  <c r="M2425" i="12" s="1"/>
  <c r="H2425" i="12"/>
  <c r="J2425" i="12"/>
  <c r="K2425" i="12"/>
  <c r="L2425" i="12" s="1"/>
  <c r="N2425" i="12" s="1"/>
  <c r="A2426" i="12"/>
  <c r="B2426" i="12"/>
  <c r="C2426" i="12"/>
  <c r="D2426" i="12"/>
  <c r="E2426" i="12"/>
  <c r="F2426" i="12"/>
  <c r="G2426" i="12"/>
  <c r="H2426" i="12"/>
  <c r="I2426" i="12"/>
  <c r="J2426" i="12"/>
  <c r="L2426" i="12" s="1"/>
  <c r="N2426" i="12" s="1"/>
  <c r="K2426" i="12"/>
  <c r="M2426" i="12"/>
  <c r="A2427" i="12"/>
  <c r="B2427" i="12"/>
  <c r="C2427" i="12"/>
  <c r="D2427" i="12"/>
  <c r="E2427" i="12"/>
  <c r="F2427" i="12"/>
  <c r="G2427" i="12"/>
  <c r="I2427" i="12" s="1"/>
  <c r="M2427" i="12" s="1"/>
  <c r="H2427" i="12"/>
  <c r="J2427" i="12"/>
  <c r="K2427" i="12"/>
  <c r="L2427" i="12" s="1"/>
  <c r="N2427" i="12" s="1"/>
  <c r="A2428" i="12"/>
  <c r="B2428" i="12"/>
  <c r="C2428" i="12"/>
  <c r="D2428" i="12"/>
  <c r="E2428" i="12"/>
  <c r="F2428" i="12"/>
  <c r="G2428" i="12"/>
  <c r="H2428" i="12"/>
  <c r="I2428" i="12"/>
  <c r="J2428" i="12"/>
  <c r="L2428" i="12" s="1"/>
  <c r="N2428" i="12" s="1"/>
  <c r="K2428" i="12"/>
  <c r="M2428" i="12"/>
  <c r="A2429" i="12"/>
  <c r="B2429" i="12"/>
  <c r="C2429" i="12"/>
  <c r="D2429" i="12"/>
  <c r="E2429" i="12"/>
  <c r="F2429" i="12"/>
  <c r="G2429" i="12"/>
  <c r="I2429" i="12" s="1"/>
  <c r="M2429" i="12" s="1"/>
  <c r="H2429" i="12"/>
  <c r="J2429" i="12"/>
  <c r="K2429" i="12"/>
  <c r="L2429" i="12" s="1"/>
  <c r="N2429" i="12" s="1"/>
  <c r="A2430" i="12"/>
  <c r="B2430" i="12"/>
  <c r="C2430" i="12"/>
  <c r="D2430" i="12"/>
  <c r="E2430" i="12"/>
  <c r="F2430" i="12"/>
  <c r="G2430" i="12"/>
  <c r="H2430" i="12"/>
  <c r="I2430" i="12"/>
  <c r="J2430" i="12"/>
  <c r="L2430" i="12" s="1"/>
  <c r="N2430" i="12" s="1"/>
  <c r="K2430" i="12"/>
  <c r="M2430" i="12"/>
  <c r="A2431" i="12"/>
  <c r="B2431" i="12"/>
  <c r="C2431" i="12"/>
  <c r="D2431" i="12"/>
  <c r="E2431" i="12"/>
  <c r="F2431" i="12"/>
  <c r="G2431" i="12"/>
  <c r="I2431" i="12" s="1"/>
  <c r="M2431" i="12" s="1"/>
  <c r="H2431" i="12"/>
  <c r="J2431" i="12"/>
  <c r="K2431" i="12"/>
  <c r="L2431" i="12" s="1"/>
  <c r="N2431" i="12" s="1"/>
  <c r="A2432" i="12"/>
  <c r="B2432" i="12"/>
  <c r="C2432" i="12"/>
  <c r="D2432" i="12"/>
  <c r="E2432" i="12"/>
  <c r="F2432" i="12"/>
  <c r="G2432" i="12"/>
  <c r="H2432" i="12"/>
  <c r="I2432" i="12"/>
  <c r="J2432" i="12"/>
  <c r="L2432" i="12" s="1"/>
  <c r="N2432" i="12" s="1"/>
  <c r="K2432" i="12"/>
  <c r="M2432" i="12"/>
  <c r="A2433" i="12"/>
  <c r="B2433" i="12"/>
  <c r="C2433" i="12"/>
  <c r="D2433" i="12"/>
  <c r="E2433" i="12"/>
  <c r="F2433" i="12"/>
  <c r="G2433" i="12"/>
  <c r="I2433" i="12" s="1"/>
  <c r="M2433" i="12" s="1"/>
  <c r="H2433" i="12"/>
  <c r="J2433" i="12"/>
  <c r="K2433" i="12"/>
  <c r="L2433" i="12" s="1"/>
  <c r="N2433" i="12" s="1"/>
  <c r="A2434" i="12"/>
  <c r="B2434" i="12"/>
  <c r="C2434" i="12"/>
  <c r="D2434" i="12"/>
  <c r="E2434" i="12"/>
  <c r="F2434" i="12"/>
  <c r="G2434" i="12"/>
  <c r="H2434" i="12"/>
  <c r="I2434" i="12"/>
  <c r="J2434" i="12"/>
  <c r="L2434" i="12" s="1"/>
  <c r="N2434" i="12" s="1"/>
  <c r="K2434" i="12"/>
  <c r="M2434" i="12"/>
  <c r="A2435" i="12"/>
  <c r="B2435" i="12"/>
  <c r="C2435" i="12"/>
  <c r="D2435" i="12"/>
  <c r="E2435" i="12"/>
  <c r="F2435" i="12"/>
  <c r="G2435" i="12"/>
  <c r="I2435" i="12" s="1"/>
  <c r="M2435" i="12" s="1"/>
  <c r="H2435" i="12"/>
  <c r="J2435" i="12"/>
  <c r="K2435" i="12"/>
  <c r="L2435" i="12" s="1"/>
  <c r="N2435" i="12" s="1"/>
  <c r="A2436" i="12"/>
  <c r="B2436" i="12"/>
  <c r="C2436" i="12"/>
  <c r="D2436" i="12"/>
  <c r="E2436" i="12"/>
  <c r="F2436" i="12"/>
  <c r="G2436" i="12"/>
  <c r="H2436" i="12"/>
  <c r="I2436" i="12"/>
  <c r="J2436" i="12"/>
  <c r="L2436" i="12" s="1"/>
  <c r="N2436" i="12" s="1"/>
  <c r="K2436" i="12"/>
  <c r="M2436" i="12"/>
  <c r="A2437" i="12"/>
  <c r="B2437" i="12"/>
  <c r="C2437" i="12"/>
  <c r="D2437" i="12"/>
  <c r="E2437" i="12"/>
  <c r="F2437" i="12"/>
  <c r="G2437" i="12"/>
  <c r="I2437" i="12" s="1"/>
  <c r="M2437" i="12" s="1"/>
  <c r="H2437" i="12"/>
  <c r="J2437" i="12"/>
  <c r="K2437" i="12"/>
  <c r="L2437" i="12" s="1"/>
  <c r="N2437" i="12" s="1"/>
  <c r="A2438" i="12"/>
  <c r="B2438" i="12"/>
  <c r="C2438" i="12"/>
  <c r="D2438" i="12"/>
  <c r="E2438" i="12"/>
  <c r="F2438" i="12"/>
  <c r="G2438" i="12"/>
  <c r="H2438" i="12"/>
  <c r="I2438" i="12"/>
  <c r="J2438" i="12"/>
  <c r="L2438" i="12" s="1"/>
  <c r="N2438" i="12" s="1"/>
  <c r="K2438" i="12"/>
  <c r="M2438" i="12"/>
  <c r="A2439" i="12"/>
  <c r="B2439" i="12"/>
  <c r="C2439" i="12"/>
  <c r="D2439" i="12"/>
  <c r="E2439" i="12"/>
  <c r="F2439" i="12"/>
  <c r="G2439" i="12"/>
  <c r="I2439" i="12" s="1"/>
  <c r="M2439" i="12" s="1"/>
  <c r="H2439" i="12"/>
  <c r="J2439" i="12"/>
  <c r="K2439" i="12"/>
  <c r="L2439" i="12" s="1"/>
  <c r="N2439" i="12" s="1"/>
  <c r="A2440" i="12"/>
  <c r="B2440" i="12"/>
  <c r="C2440" i="12"/>
  <c r="D2440" i="12"/>
  <c r="E2440" i="12"/>
  <c r="F2440" i="12"/>
  <c r="G2440" i="12"/>
  <c r="H2440" i="12"/>
  <c r="I2440" i="12"/>
  <c r="J2440" i="12"/>
  <c r="L2440" i="12" s="1"/>
  <c r="N2440" i="12" s="1"/>
  <c r="K2440" i="12"/>
  <c r="M2440" i="12"/>
  <c r="A2441" i="12"/>
  <c r="B2441" i="12"/>
  <c r="C2441" i="12"/>
  <c r="D2441" i="12"/>
  <c r="E2441" i="12"/>
  <c r="F2441" i="12"/>
  <c r="G2441" i="12"/>
  <c r="I2441" i="12" s="1"/>
  <c r="M2441" i="12" s="1"/>
  <c r="H2441" i="12"/>
  <c r="J2441" i="12"/>
  <c r="K2441" i="12"/>
  <c r="L2441" i="12" s="1"/>
  <c r="N2441" i="12" s="1"/>
  <c r="A2442" i="12"/>
  <c r="B2442" i="12"/>
  <c r="C2442" i="12"/>
  <c r="D2442" i="12"/>
  <c r="E2442" i="12"/>
  <c r="F2442" i="12"/>
  <c r="G2442" i="12"/>
  <c r="H2442" i="12"/>
  <c r="I2442" i="12"/>
  <c r="J2442" i="12"/>
  <c r="L2442" i="12" s="1"/>
  <c r="N2442" i="12" s="1"/>
  <c r="K2442" i="12"/>
  <c r="M2442" i="12"/>
  <c r="A2443" i="12"/>
  <c r="B2443" i="12"/>
  <c r="C2443" i="12"/>
  <c r="D2443" i="12"/>
  <c r="E2443" i="12"/>
  <c r="F2443" i="12"/>
  <c r="G2443" i="12"/>
  <c r="I2443" i="12" s="1"/>
  <c r="M2443" i="12" s="1"/>
  <c r="H2443" i="12"/>
  <c r="J2443" i="12"/>
  <c r="K2443" i="12"/>
  <c r="L2443" i="12" s="1"/>
  <c r="N2443" i="12" s="1"/>
  <c r="A2444" i="12"/>
  <c r="B2444" i="12"/>
  <c r="C2444" i="12"/>
  <c r="D2444" i="12"/>
  <c r="E2444" i="12"/>
  <c r="F2444" i="12"/>
  <c r="G2444" i="12"/>
  <c r="H2444" i="12"/>
  <c r="I2444" i="12"/>
  <c r="J2444" i="12"/>
  <c r="L2444" i="12" s="1"/>
  <c r="N2444" i="12" s="1"/>
  <c r="K2444" i="12"/>
  <c r="M2444" i="12"/>
  <c r="A2445" i="12"/>
  <c r="B2445" i="12"/>
  <c r="C2445" i="12"/>
  <c r="D2445" i="12"/>
  <c r="E2445" i="12"/>
  <c r="F2445" i="12"/>
  <c r="G2445" i="12"/>
  <c r="I2445" i="12" s="1"/>
  <c r="M2445" i="12" s="1"/>
  <c r="H2445" i="12"/>
  <c r="J2445" i="12"/>
  <c r="K2445" i="12"/>
  <c r="L2445" i="12" s="1"/>
  <c r="N2445" i="12" s="1"/>
  <c r="A2446" i="12"/>
  <c r="B2446" i="12"/>
  <c r="C2446" i="12"/>
  <c r="D2446" i="12"/>
  <c r="E2446" i="12"/>
  <c r="F2446" i="12"/>
  <c r="G2446" i="12"/>
  <c r="H2446" i="12"/>
  <c r="I2446" i="12"/>
  <c r="J2446" i="12"/>
  <c r="L2446" i="12" s="1"/>
  <c r="N2446" i="12" s="1"/>
  <c r="K2446" i="12"/>
  <c r="M2446" i="12"/>
  <c r="A2447" i="12"/>
  <c r="B2447" i="12"/>
  <c r="C2447" i="12"/>
  <c r="D2447" i="12"/>
  <c r="E2447" i="12"/>
  <c r="F2447" i="12"/>
  <c r="G2447" i="12"/>
  <c r="I2447" i="12" s="1"/>
  <c r="M2447" i="12" s="1"/>
  <c r="H2447" i="12"/>
  <c r="J2447" i="12"/>
  <c r="K2447" i="12"/>
  <c r="L2447" i="12" s="1"/>
  <c r="N2447" i="12" s="1"/>
  <c r="A2448" i="12"/>
  <c r="B2448" i="12"/>
  <c r="C2448" i="12"/>
  <c r="D2448" i="12"/>
  <c r="E2448" i="12"/>
  <c r="F2448" i="12"/>
  <c r="G2448" i="12"/>
  <c r="H2448" i="12"/>
  <c r="I2448" i="12"/>
  <c r="J2448" i="12"/>
  <c r="L2448" i="12" s="1"/>
  <c r="N2448" i="12" s="1"/>
  <c r="K2448" i="12"/>
  <c r="M2448" i="12"/>
  <c r="A2449" i="12"/>
  <c r="B2449" i="12"/>
  <c r="C2449" i="12"/>
  <c r="D2449" i="12"/>
  <c r="E2449" i="12"/>
  <c r="F2449" i="12"/>
  <c r="G2449" i="12"/>
  <c r="I2449" i="12" s="1"/>
  <c r="M2449" i="12" s="1"/>
  <c r="H2449" i="12"/>
  <c r="J2449" i="12"/>
  <c r="K2449" i="12"/>
  <c r="L2449" i="12" s="1"/>
  <c r="N2449" i="12" s="1"/>
  <c r="A2450" i="12"/>
  <c r="B2450" i="12"/>
  <c r="C2450" i="12"/>
  <c r="D2450" i="12"/>
  <c r="E2450" i="12"/>
  <c r="F2450" i="12"/>
  <c r="G2450" i="12"/>
  <c r="H2450" i="12"/>
  <c r="I2450" i="12"/>
  <c r="J2450" i="12"/>
  <c r="L2450" i="12" s="1"/>
  <c r="N2450" i="12" s="1"/>
  <c r="K2450" i="12"/>
  <c r="M2450" i="12"/>
  <c r="A2451" i="12"/>
  <c r="B2451" i="12"/>
  <c r="C2451" i="12"/>
  <c r="D2451" i="12"/>
  <c r="E2451" i="12"/>
  <c r="F2451" i="12"/>
  <c r="G2451" i="12"/>
  <c r="I2451" i="12" s="1"/>
  <c r="M2451" i="12" s="1"/>
  <c r="H2451" i="12"/>
  <c r="J2451" i="12"/>
  <c r="K2451" i="12"/>
  <c r="L2451" i="12" s="1"/>
  <c r="N2451" i="12" s="1"/>
  <c r="A2452" i="12"/>
  <c r="B2452" i="12"/>
  <c r="C2452" i="12"/>
  <c r="D2452" i="12"/>
  <c r="E2452" i="12"/>
  <c r="F2452" i="12"/>
  <c r="G2452" i="12"/>
  <c r="H2452" i="12"/>
  <c r="I2452" i="12"/>
  <c r="J2452" i="12"/>
  <c r="L2452" i="12" s="1"/>
  <c r="N2452" i="12" s="1"/>
  <c r="K2452" i="12"/>
  <c r="M2452" i="12"/>
  <c r="A2453" i="12"/>
  <c r="B2453" i="12"/>
  <c r="C2453" i="12"/>
  <c r="D2453" i="12"/>
  <c r="E2453" i="12"/>
  <c r="F2453" i="12"/>
  <c r="G2453" i="12"/>
  <c r="I2453" i="12" s="1"/>
  <c r="M2453" i="12" s="1"/>
  <c r="H2453" i="12"/>
  <c r="J2453" i="12"/>
  <c r="K2453" i="12"/>
  <c r="L2453" i="12" s="1"/>
  <c r="N2453" i="12" s="1"/>
  <c r="A2454" i="12"/>
  <c r="B2454" i="12"/>
  <c r="C2454" i="12"/>
  <c r="D2454" i="12"/>
  <c r="E2454" i="12"/>
  <c r="F2454" i="12"/>
  <c r="G2454" i="12"/>
  <c r="H2454" i="12"/>
  <c r="I2454" i="12"/>
  <c r="J2454" i="12"/>
  <c r="L2454" i="12" s="1"/>
  <c r="N2454" i="12" s="1"/>
  <c r="K2454" i="12"/>
  <c r="M2454" i="12"/>
  <c r="A2455" i="12"/>
  <c r="B2455" i="12"/>
  <c r="C2455" i="12"/>
  <c r="D2455" i="12"/>
  <c r="E2455" i="12"/>
  <c r="F2455" i="12"/>
  <c r="G2455" i="12"/>
  <c r="I2455" i="12" s="1"/>
  <c r="M2455" i="12" s="1"/>
  <c r="H2455" i="12"/>
  <c r="J2455" i="12"/>
  <c r="K2455" i="12"/>
  <c r="L2455" i="12" s="1"/>
  <c r="N2455" i="12" s="1"/>
  <c r="A2456" i="12"/>
  <c r="B2456" i="12"/>
  <c r="C2456" i="12"/>
  <c r="D2456" i="12"/>
  <c r="E2456" i="12"/>
  <c r="F2456" i="12"/>
  <c r="G2456" i="12"/>
  <c r="H2456" i="12"/>
  <c r="I2456" i="12"/>
  <c r="J2456" i="12"/>
  <c r="L2456" i="12" s="1"/>
  <c r="N2456" i="12" s="1"/>
  <c r="K2456" i="12"/>
  <c r="M2456" i="12"/>
  <c r="A2457" i="12"/>
  <c r="B2457" i="12"/>
  <c r="C2457" i="12"/>
  <c r="D2457" i="12"/>
  <c r="E2457" i="12"/>
  <c r="F2457" i="12"/>
  <c r="G2457" i="12"/>
  <c r="I2457" i="12" s="1"/>
  <c r="M2457" i="12" s="1"/>
  <c r="H2457" i="12"/>
  <c r="J2457" i="12"/>
  <c r="K2457" i="12"/>
  <c r="L2457" i="12" s="1"/>
  <c r="N2457" i="12" s="1"/>
  <c r="A2458" i="12"/>
  <c r="B2458" i="12"/>
  <c r="C2458" i="12"/>
  <c r="D2458" i="12"/>
  <c r="E2458" i="12"/>
  <c r="F2458" i="12"/>
  <c r="G2458" i="12"/>
  <c r="H2458" i="12"/>
  <c r="I2458" i="12"/>
  <c r="J2458" i="12"/>
  <c r="L2458" i="12" s="1"/>
  <c r="N2458" i="12" s="1"/>
  <c r="K2458" i="12"/>
  <c r="M2458" i="12"/>
  <c r="A2459" i="12"/>
  <c r="B2459" i="12"/>
  <c r="C2459" i="12"/>
  <c r="D2459" i="12"/>
  <c r="E2459" i="12"/>
  <c r="F2459" i="12"/>
  <c r="G2459" i="12"/>
  <c r="I2459" i="12" s="1"/>
  <c r="M2459" i="12" s="1"/>
  <c r="H2459" i="12"/>
  <c r="J2459" i="12"/>
  <c r="K2459" i="12"/>
  <c r="L2459" i="12" s="1"/>
  <c r="N2459" i="12" s="1"/>
  <c r="A2460" i="12"/>
  <c r="B2460" i="12"/>
  <c r="C2460" i="12"/>
  <c r="D2460" i="12"/>
  <c r="E2460" i="12"/>
  <c r="F2460" i="12"/>
  <c r="G2460" i="12"/>
  <c r="H2460" i="12"/>
  <c r="I2460" i="12"/>
  <c r="J2460" i="12"/>
  <c r="L2460" i="12" s="1"/>
  <c r="N2460" i="12" s="1"/>
  <c r="K2460" i="12"/>
  <c r="M2460" i="12"/>
  <c r="A2461" i="12"/>
  <c r="B2461" i="12"/>
  <c r="C2461" i="12"/>
  <c r="D2461" i="12"/>
  <c r="E2461" i="12"/>
  <c r="F2461" i="12"/>
  <c r="G2461" i="12"/>
  <c r="I2461" i="12" s="1"/>
  <c r="M2461" i="12" s="1"/>
  <c r="H2461" i="12"/>
  <c r="J2461" i="12"/>
  <c r="K2461" i="12"/>
  <c r="L2461" i="12" s="1"/>
  <c r="N2461" i="12" s="1"/>
  <c r="A2462" i="12"/>
  <c r="B2462" i="12"/>
  <c r="C2462" i="12"/>
  <c r="D2462" i="12"/>
  <c r="E2462" i="12"/>
  <c r="F2462" i="12"/>
  <c r="G2462" i="12"/>
  <c r="H2462" i="12"/>
  <c r="I2462" i="12"/>
  <c r="J2462" i="12"/>
  <c r="L2462" i="12" s="1"/>
  <c r="N2462" i="12" s="1"/>
  <c r="K2462" i="12"/>
  <c r="M2462" i="12"/>
  <c r="A2463" i="12"/>
  <c r="B2463" i="12"/>
  <c r="C2463" i="12"/>
  <c r="D2463" i="12"/>
  <c r="E2463" i="12"/>
  <c r="F2463" i="12"/>
  <c r="G2463" i="12"/>
  <c r="I2463" i="12" s="1"/>
  <c r="M2463" i="12" s="1"/>
  <c r="H2463" i="12"/>
  <c r="J2463" i="12"/>
  <c r="K2463" i="12"/>
  <c r="L2463" i="12" s="1"/>
  <c r="N2463" i="12" s="1"/>
  <c r="A2464" i="12"/>
  <c r="B2464" i="12"/>
  <c r="C2464" i="12"/>
  <c r="D2464" i="12"/>
  <c r="E2464" i="12"/>
  <c r="F2464" i="12"/>
  <c r="G2464" i="12"/>
  <c r="H2464" i="12"/>
  <c r="I2464" i="12"/>
  <c r="J2464" i="12"/>
  <c r="L2464" i="12" s="1"/>
  <c r="N2464" i="12" s="1"/>
  <c r="K2464" i="12"/>
  <c r="M2464" i="12"/>
  <c r="A2465" i="12"/>
  <c r="B2465" i="12"/>
  <c r="C2465" i="12"/>
  <c r="D2465" i="12"/>
  <c r="E2465" i="12"/>
  <c r="F2465" i="12"/>
  <c r="G2465" i="12"/>
  <c r="I2465" i="12" s="1"/>
  <c r="M2465" i="12" s="1"/>
  <c r="H2465" i="12"/>
  <c r="J2465" i="12"/>
  <c r="K2465" i="12"/>
  <c r="L2465" i="12" s="1"/>
  <c r="N2465" i="12" s="1"/>
  <c r="A2466" i="12"/>
  <c r="B2466" i="12"/>
  <c r="C2466" i="12"/>
  <c r="D2466" i="12"/>
  <c r="E2466" i="12"/>
  <c r="F2466" i="12"/>
  <c r="G2466" i="12"/>
  <c r="H2466" i="12"/>
  <c r="I2466" i="12"/>
  <c r="J2466" i="12"/>
  <c r="L2466" i="12" s="1"/>
  <c r="N2466" i="12" s="1"/>
  <c r="K2466" i="12"/>
  <c r="M2466" i="12"/>
  <c r="A2467" i="12"/>
  <c r="B2467" i="12"/>
  <c r="C2467" i="12"/>
  <c r="D2467" i="12"/>
  <c r="E2467" i="12"/>
  <c r="F2467" i="12"/>
  <c r="G2467" i="12"/>
  <c r="I2467" i="12" s="1"/>
  <c r="M2467" i="12" s="1"/>
  <c r="H2467" i="12"/>
  <c r="J2467" i="12"/>
  <c r="K2467" i="12"/>
  <c r="L2467" i="12" s="1"/>
  <c r="N2467" i="12" s="1"/>
  <c r="A2468" i="12"/>
  <c r="B2468" i="12"/>
  <c r="C2468" i="12"/>
  <c r="D2468" i="12"/>
  <c r="E2468" i="12"/>
  <c r="F2468" i="12"/>
  <c r="G2468" i="12"/>
  <c r="H2468" i="12"/>
  <c r="I2468" i="12"/>
  <c r="J2468" i="12"/>
  <c r="L2468" i="12" s="1"/>
  <c r="N2468" i="12" s="1"/>
  <c r="K2468" i="12"/>
  <c r="M2468" i="12"/>
  <c r="A2469" i="12"/>
  <c r="B2469" i="12"/>
  <c r="C2469" i="12"/>
  <c r="D2469" i="12"/>
  <c r="E2469" i="12"/>
  <c r="F2469" i="12"/>
  <c r="G2469" i="12"/>
  <c r="I2469" i="12" s="1"/>
  <c r="M2469" i="12" s="1"/>
  <c r="H2469" i="12"/>
  <c r="J2469" i="12"/>
  <c r="K2469" i="12"/>
  <c r="L2469" i="12" s="1"/>
  <c r="N2469" i="12" s="1"/>
  <c r="A2470" i="12"/>
  <c r="B2470" i="12"/>
  <c r="C2470" i="12"/>
  <c r="D2470" i="12"/>
  <c r="E2470" i="12"/>
  <c r="F2470" i="12"/>
  <c r="G2470" i="12"/>
  <c r="H2470" i="12"/>
  <c r="I2470" i="12"/>
  <c r="J2470" i="12"/>
  <c r="L2470" i="12" s="1"/>
  <c r="N2470" i="12" s="1"/>
  <c r="K2470" i="12"/>
  <c r="M2470" i="12"/>
  <c r="A2471" i="12"/>
  <c r="B2471" i="12"/>
  <c r="C2471" i="12"/>
  <c r="D2471" i="12"/>
  <c r="E2471" i="12"/>
  <c r="F2471" i="12"/>
  <c r="G2471" i="12"/>
  <c r="I2471" i="12" s="1"/>
  <c r="M2471" i="12" s="1"/>
  <c r="H2471" i="12"/>
  <c r="J2471" i="12"/>
  <c r="K2471" i="12"/>
  <c r="L2471" i="12" s="1"/>
  <c r="N2471" i="12" s="1"/>
  <c r="A2472" i="12"/>
  <c r="B2472" i="12"/>
  <c r="C2472" i="12"/>
  <c r="D2472" i="12"/>
  <c r="E2472" i="12"/>
  <c r="F2472" i="12"/>
  <c r="G2472" i="12"/>
  <c r="H2472" i="12"/>
  <c r="I2472" i="12"/>
  <c r="J2472" i="12"/>
  <c r="L2472" i="12" s="1"/>
  <c r="N2472" i="12" s="1"/>
  <c r="K2472" i="12"/>
  <c r="M2472" i="12"/>
  <c r="A2473" i="12"/>
  <c r="B2473" i="12"/>
  <c r="C2473" i="12"/>
  <c r="D2473" i="12"/>
  <c r="E2473" i="12"/>
  <c r="F2473" i="12"/>
  <c r="G2473" i="12"/>
  <c r="I2473" i="12" s="1"/>
  <c r="M2473" i="12" s="1"/>
  <c r="H2473" i="12"/>
  <c r="J2473" i="12"/>
  <c r="K2473" i="12"/>
  <c r="L2473" i="12" s="1"/>
  <c r="N2473" i="12" s="1"/>
  <c r="A2474" i="12"/>
  <c r="B2474" i="12"/>
  <c r="C2474" i="12"/>
  <c r="D2474" i="12"/>
  <c r="E2474" i="12"/>
  <c r="F2474" i="12"/>
  <c r="G2474" i="12"/>
  <c r="H2474" i="12"/>
  <c r="I2474" i="12"/>
  <c r="J2474" i="12"/>
  <c r="L2474" i="12" s="1"/>
  <c r="N2474" i="12" s="1"/>
  <c r="K2474" i="12"/>
  <c r="M2474" i="12"/>
  <c r="A2475" i="12"/>
  <c r="B2475" i="12"/>
  <c r="C2475" i="12"/>
  <c r="D2475" i="12"/>
  <c r="E2475" i="12"/>
  <c r="F2475" i="12"/>
  <c r="G2475" i="12"/>
  <c r="I2475" i="12" s="1"/>
  <c r="M2475" i="12" s="1"/>
  <c r="H2475" i="12"/>
  <c r="J2475" i="12"/>
  <c r="K2475" i="12"/>
  <c r="L2475" i="12" s="1"/>
  <c r="N2475" i="12" s="1"/>
  <c r="A2476" i="12"/>
  <c r="B2476" i="12"/>
  <c r="C2476" i="12"/>
  <c r="D2476" i="12"/>
  <c r="E2476" i="12"/>
  <c r="F2476" i="12"/>
  <c r="G2476" i="12"/>
  <c r="H2476" i="12"/>
  <c r="I2476" i="12"/>
  <c r="J2476" i="12"/>
  <c r="L2476" i="12" s="1"/>
  <c r="N2476" i="12" s="1"/>
  <c r="K2476" i="12"/>
  <c r="M2476" i="12"/>
  <c r="A2477" i="12"/>
  <c r="B2477" i="12"/>
  <c r="C2477" i="12"/>
  <c r="D2477" i="12"/>
  <c r="E2477" i="12"/>
  <c r="F2477" i="12"/>
  <c r="G2477" i="12"/>
  <c r="I2477" i="12" s="1"/>
  <c r="M2477" i="12" s="1"/>
  <c r="H2477" i="12"/>
  <c r="J2477" i="12"/>
  <c r="K2477" i="12"/>
  <c r="L2477" i="12" s="1"/>
  <c r="N2477" i="12" s="1"/>
  <c r="A2478" i="12"/>
  <c r="B2478" i="12"/>
  <c r="C2478" i="12"/>
  <c r="D2478" i="12"/>
  <c r="E2478" i="12"/>
  <c r="F2478" i="12"/>
  <c r="G2478" i="12"/>
  <c r="H2478" i="12"/>
  <c r="I2478" i="12"/>
  <c r="J2478" i="12"/>
  <c r="L2478" i="12" s="1"/>
  <c r="N2478" i="12" s="1"/>
  <c r="K2478" i="12"/>
  <c r="M2478" i="12"/>
  <c r="A2479" i="12"/>
  <c r="B2479" i="12"/>
  <c r="C2479" i="12"/>
  <c r="D2479" i="12"/>
  <c r="E2479" i="12"/>
  <c r="F2479" i="12"/>
  <c r="G2479" i="12"/>
  <c r="I2479" i="12" s="1"/>
  <c r="M2479" i="12" s="1"/>
  <c r="H2479" i="12"/>
  <c r="J2479" i="12"/>
  <c r="K2479" i="12"/>
  <c r="L2479" i="12" s="1"/>
  <c r="N2479" i="12" s="1"/>
  <c r="A2480" i="12"/>
  <c r="B2480" i="12"/>
  <c r="C2480" i="12"/>
  <c r="D2480" i="12"/>
  <c r="E2480" i="12"/>
  <c r="F2480" i="12"/>
  <c r="G2480" i="12"/>
  <c r="H2480" i="12"/>
  <c r="I2480" i="12"/>
  <c r="J2480" i="12"/>
  <c r="L2480" i="12" s="1"/>
  <c r="N2480" i="12" s="1"/>
  <c r="K2480" i="12"/>
  <c r="M2480" i="12"/>
  <c r="A2481" i="12"/>
  <c r="B2481" i="12"/>
  <c r="C2481" i="12"/>
  <c r="D2481" i="12"/>
  <c r="E2481" i="12"/>
  <c r="F2481" i="12"/>
  <c r="G2481" i="12"/>
  <c r="I2481" i="12" s="1"/>
  <c r="M2481" i="12" s="1"/>
  <c r="H2481" i="12"/>
  <c r="J2481" i="12"/>
  <c r="K2481" i="12"/>
  <c r="L2481" i="12" s="1"/>
  <c r="N2481" i="12" s="1"/>
  <c r="A2482" i="12"/>
  <c r="B2482" i="12"/>
  <c r="C2482" i="12"/>
  <c r="D2482" i="12"/>
  <c r="E2482" i="12"/>
  <c r="F2482" i="12"/>
  <c r="G2482" i="12"/>
  <c r="H2482" i="12"/>
  <c r="I2482" i="12"/>
  <c r="J2482" i="12"/>
  <c r="L2482" i="12" s="1"/>
  <c r="N2482" i="12" s="1"/>
  <c r="K2482" i="12"/>
  <c r="M2482" i="12"/>
  <c r="A2483" i="12"/>
  <c r="B2483" i="12"/>
  <c r="C2483" i="12"/>
  <c r="D2483" i="12"/>
  <c r="E2483" i="12"/>
  <c r="F2483" i="12"/>
  <c r="G2483" i="12"/>
  <c r="I2483" i="12" s="1"/>
  <c r="M2483" i="12" s="1"/>
  <c r="H2483" i="12"/>
  <c r="J2483" i="12"/>
  <c r="K2483" i="12"/>
  <c r="L2483" i="12" s="1"/>
  <c r="N2483" i="12" s="1"/>
  <c r="A2484" i="12"/>
  <c r="B2484" i="12"/>
  <c r="C2484" i="12"/>
  <c r="D2484" i="12"/>
  <c r="E2484" i="12"/>
  <c r="F2484" i="12"/>
  <c r="G2484" i="12"/>
  <c r="H2484" i="12"/>
  <c r="I2484" i="12"/>
  <c r="J2484" i="12"/>
  <c r="L2484" i="12" s="1"/>
  <c r="N2484" i="12" s="1"/>
  <c r="K2484" i="12"/>
  <c r="M2484" i="12"/>
  <c r="A2485" i="12"/>
  <c r="B2485" i="12"/>
  <c r="C2485" i="12"/>
  <c r="D2485" i="12"/>
  <c r="E2485" i="12"/>
  <c r="F2485" i="12"/>
  <c r="G2485" i="12"/>
  <c r="I2485" i="12" s="1"/>
  <c r="M2485" i="12" s="1"/>
  <c r="H2485" i="12"/>
  <c r="J2485" i="12"/>
  <c r="K2485" i="12"/>
  <c r="L2485" i="12" s="1"/>
  <c r="N2485" i="12" s="1"/>
  <c r="A2486" i="12"/>
  <c r="B2486" i="12"/>
  <c r="C2486" i="12"/>
  <c r="D2486" i="12"/>
  <c r="E2486" i="12"/>
  <c r="F2486" i="12"/>
  <c r="G2486" i="12"/>
  <c r="H2486" i="12"/>
  <c r="I2486" i="12"/>
  <c r="J2486" i="12"/>
  <c r="L2486" i="12" s="1"/>
  <c r="N2486" i="12" s="1"/>
  <c r="K2486" i="12"/>
  <c r="M2486" i="12"/>
  <c r="A2487" i="12"/>
  <c r="B2487" i="12"/>
  <c r="C2487" i="12"/>
  <c r="D2487" i="12"/>
  <c r="E2487" i="12"/>
  <c r="F2487" i="12"/>
  <c r="G2487" i="12"/>
  <c r="I2487" i="12" s="1"/>
  <c r="M2487" i="12" s="1"/>
  <c r="H2487" i="12"/>
  <c r="J2487" i="12"/>
  <c r="K2487" i="12"/>
  <c r="L2487" i="12" s="1"/>
  <c r="N2487" i="12" s="1"/>
  <c r="A2488" i="12"/>
  <c r="B2488" i="12"/>
  <c r="C2488" i="12"/>
  <c r="D2488" i="12"/>
  <c r="E2488" i="12"/>
  <c r="F2488" i="12"/>
  <c r="G2488" i="12"/>
  <c r="H2488" i="12"/>
  <c r="I2488" i="12"/>
  <c r="J2488" i="12"/>
  <c r="L2488" i="12" s="1"/>
  <c r="N2488" i="12" s="1"/>
  <c r="K2488" i="12"/>
  <c r="M2488" i="12"/>
  <c r="A2489" i="12"/>
  <c r="B2489" i="12"/>
  <c r="C2489" i="12"/>
  <c r="D2489" i="12"/>
  <c r="E2489" i="12"/>
  <c r="F2489" i="12"/>
  <c r="G2489" i="12"/>
  <c r="I2489" i="12" s="1"/>
  <c r="M2489" i="12" s="1"/>
  <c r="H2489" i="12"/>
  <c r="J2489" i="12"/>
  <c r="K2489" i="12"/>
  <c r="L2489" i="12" s="1"/>
  <c r="N2489" i="12" s="1"/>
  <c r="A2490" i="12"/>
  <c r="B2490" i="12"/>
  <c r="C2490" i="12"/>
  <c r="D2490" i="12"/>
  <c r="E2490" i="12"/>
  <c r="F2490" i="12"/>
  <c r="G2490" i="12"/>
  <c r="H2490" i="12"/>
  <c r="I2490" i="12"/>
  <c r="J2490" i="12"/>
  <c r="L2490" i="12" s="1"/>
  <c r="N2490" i="12" s="1"/>
  <c r="K2490" i="12"/>
  <c r="M2490" i="12"/>
  <c r="A2491" i="12"/>
  <c r="B2491" i="12"/>
  <c r="C2491" i="12"/>
  <c r="D2491" i="12"/>
  <c r="E2491" i="12"/>
  <c r="F2491" i="12"/>
  <c r="G2491" i="12"/>
  <c r="I2491" i="12" s="1"/>
  <c r="M2491" i="12" s="1"/>
  <c r="H2491" i="12"/>
  <c r="J2491" i="12"/>
  <c r="K2491" i="12"/>
  <c r="L2491" i="12" s="1"/>
  <c r="N2491" i="12" s="1"/>
  <c r="A2492" i="12"/>
  <c r="B2492" i="12"/>
  <c r="C2492" i="12"/>
  <c r="D2492" i="12"/>
  <c r="E2492" i="12"/>
  <c r="F2492" i="12"/>
  <c r="G2492" i="12"/>
  <c r="H2492" i="12"/>
  <c r="I2492" i="12"/>
  <c r="J2492" i="12"/>
  <c r="L2492" i="12" s="1"/>
  <c r="N2492" i="12" s="1"/>
  <c r="K2492" i="12"/>
  <c r="M2492" i="12"/>
  <c r="A2493" i="12"/>
  <c r="B2493" i="12"/>
  <c r="C2493" i="12"/>
  <c r="D2493" i="12"/>
  <c r="E2493" i="12"/>
  <c r="F2493" i="12"/>
  <c r="G2493" i="12"/>
  <c r="I2493" i="12" s="1"/>
  <c r="M2493" i="12" s="1"/>
  <c r="H2493" i="12"/>
  <c r="J2493" i="12"/>
  <c r="K2493" i="12"/>
  <c r="L2493" i="12" s="1"/>
  <c r="N2493" i="12" s="1"/>
  <c r="A2494" i="12"/>
  <c r="B2494" i="12"/>
  <c r="C2494" i="12"/>
  <c r="D2494" i="12"/>
  <c r="E2494" i="12"/>
  <c r="F2494" i="12"/>
  <c r="G2494" i="12"/>
  <c r="H2494" i="12"/>
  <c r="I2494" i="12"/>
  <c r="M2494" i="12" s="1"/>
  <c r="J2494" i="12"/>
  <c r="L2494" i="12" s="1"/>
  <c r="N2494" i="12" s="1"/>
  <c r="K2494" i="12"/>
  <c r="A2495" i="12"/>
  <c r="B2495" i="12"/>
  <c r="C2495" i="12"/>
  <c r="D2495" i="12"/>
  <c r="E2495" i="12"/>
  <c r="F2495" i="12"/>
  <c r="G2495" i="12"/>
  <c r="I2495" i="12" s="1"/>
  <c r="M2495" i="12" s="1"/>
  <c r="H2495" i="12"/>
  <c r="J2495" i="12"/>
  <c r="K2495" i="12"/>
  <c r="L2495" i="12" s="1"/>
  <c r="N2495" i="12" s="1"/>
  <c r="A2496" i="12"/>
  <c r="B2496" i="12"/>
  <c r="C2496" i="12"/>
  <c r="D2496" i="12"/>
  <c r="E2496" i="12"/>
  <c r="F2496" i="12"/>
  <c r="G2496" i="12"/>
  <c r="H2496" i="12"/>
  <c r="I2496" i="12"/>
  <c r="M2496" i="12" s="1"/>
  <c r="J2496" i="12"/>
  <c r="L2496" i="12" s="1"/>
  <c r="N2496" i="12" s="1"/>
  <c r="K2496" i="12"/>
  <c r="A2497" i="12"/>
  <c r="B2497" i="12"/>
  <c r="C2497" i="12"/>
  <c r="D2497" i="12"/>
  <c r="E2497" i="12"/>
  <c r="F2497" i="12"/>
  <c r="G2497" i="12"/>
  <c r="I2497" i="12" s="1"/>
  <c r="M2497" i="12" s="1"/>
  <c r="H2497" i="12"/>
  <c r="J2497" i="12"/>
  <c r="K2497" i="12"/>
  <c r="L2497" i="12" s="1"/>
  <c r="N2497" i="12" s="1"/>
  <c r="A2498" i="12"/>
  <c r="B2498" i="12"/>
  <c r="C2498" i="12"/>
  <c r="D2498" i="12"/>
  <c r="E2498" i="12"/>
  <c r="F2498" i="12"/>
  <c r="G2498" i="12"/>
  <c r="H2498" i="12"/>
  <c r="I2498" i="12"/>
  <c r="M2498" i="12" s="1"/>
  <c r="J2498" i="12"/>
  <c r="L2498" i="12" s="1"/>
  <c r="N2498" i="12" s="1"/>
  <c r="K2498" i="12"/>
  <c r="A2499" i="12"/>
  <c r="B2499" i="12"/>
  <c r="C2499" i="12"/>
  <c r="D2499" i="12"/>
  <c r="E2499" i="12"/>
  <c r="F2499" i="12"/>
  <c r="G2499" i="12"/>
  <c r="I2499" i="12" s="1"/>
  <c r="M2499" i="12" s="1"/>
  <c r="H2499" i="12"/>
  <c r="J2499" i="12"/>
  <c r="K2499" i="12"/>
  <c r="L2499" i="12" s="1"/>
  <c r="N2499" i="12" s="1"/>
  <c r="A2500" i="12"/>
  <c r="B2500" i="12"/>
  <c r="C2500" i="12"/>
  <c r="D2500" i="12"/>
  <c r="E2500" i="12"/>
  <c r="F2500" i="12"/>
  <c r="G2500" i="12"/>
  <c r="H2500" i="12"/>
  <c r="I2500" i="12"/>
  <c r="M2500" i="12" s="1"/>
  <c r="J2500" i="12"/>
  <c r="L2500" i="12" s="1"/>
  <c r="N2500" i="12" s="1"/>
  <c r="K2500" i="12"/>
  <c r="A2501" i="12"/>
  <c r="B2501" i="12"/>
  <c r="C2501" i="12"/>
  <c r="D2501" i="12"/>
  <c r="E2501" i="12"/>
  <c r="F2501" i="12"/>
  <c r="G2501" i="12"/>
  <c r="I2501" i="12" s="1"/>
  <c r="M2501" i="12" s="1"/>
  <c r="H2501" i="12"/>
  <c r="J2501" i="12"/>
  <c r="K2501" i="12"/>
  <c r="L2501" i="12" s="1"/>
  <c r="N2501" i="12" s="1"/>
  <c r="A2502" i="12"/>
  <c r="B2502" i="12"/>
  <c r="C2502" i="12"/>
  <c r="D2502" i="12"/>
  <c r="E2502" i="12"/>
  <c r="F2502" i="12"/>
  <c r="G2502" i="12"/>
  <c r="H2502" i="12"/>
  <c r="I2502" i="12"/>
  <c r="M2502" i="12" s="1"/>
  <c r="J2502" i="12"/>
  <c r="L2502" i="12" s="1"/>
  <c r="N2502" i="12" s="1"/>
  <c r="K2502" i="12"/>
  <c r="A2503" i="12"/>
  <c r="B2503" i="12"/>
  <c r="C2503" i="12"/>
  <c r="D2503" i="12"/>
  <c r="E2503" i="12"/>
  <c r="F2503" i="12"/>
  <c r="G2503" i="12"/>
  <c r="H2503" i="12"/>
  <c r="I2503" i="12"/>
  <c r="M2503" i="12" s="1"/>
  <c r="J2503" i="12"/>
  <c r="K2503" i="12"/>
  <c r="L2503" i="12" s="1"/>
  <c r="N2503" i="12" s="1"/>
  <c r="A2504" i="12"/>
  <c r="B2504" i="12"/>
  <c r="C2504" i="12"/>
  <c r="D2504" i="12"/>
  <c r="E2504" i="12"/>
  <c r="F2504" i="12"/>
  <c r="G2504" i="12"/>
  <c r="H2504" i="12"/>
  <c r="I2504" i="12"/>
  <c r="M2504" i="12" s="1"/>
  <c r="J2504" i="12"/>
  <c r="K2504" i="12"/>
  <c r="A2505" i="12"/>
  <c r="B2505" i="12"/>
  <c r="C2505" i="12"/>
  <c r="D2505" i="12"/>
  <c r="E2505" i="12"/>
  <c r="F2505" i="12"/>
  <c r="G2505" i="12"/>
  <c r="H2505" i="12"/>
  <c r="I2505" i="12"/>
  <c r="M2505" i="12" s="1"/>
  <c r="J2505" i="12"/>
  <c r="K2505" i="12"/>
  <c r="L2505" i="12" s="1"/>
  <c r="N2505" i="12" s="1"/>
  <c r="A2506" i="12"/>
  <c r="B2506" i="12"/>
  <c r="C2506" i="12"/>
  <c r="D2506" i="12"/>
  <c r="E2506" i="12"/>
  <c r="F2506" i="12"/>
  <c r="G2506" i="12"/>
  <c r="H2506" i="12"/>
  <c r="I2506" i="12"/>
  <c r="M2506" i="12" s="1"/>
  <c r="J2506" i="12"/>
  <c r="K2506" i="12"/>
  <c r="A2507" i="12"/>
  <c r="B2507" i="12"/>
  <c r="C2507" i="12"/>
  <c r="D2507" i="12"/>
  <c r="E2507" i="12"/>
  <c r="F2507" i="12"/>
  <c r="G2507" i="12"/>
  <c r="H2507" i="12"/>
  <c r="I2507" i="12"/>
  <c r="M2507" i="12" s="1"/>
  <c r="J2507" i="12"/>
  <c r="K2507" i="12"/>
  <c r="L2507" i="12" s="1"/>
  <c r="N2507" i="12" s="1"/>
  <c r="A2508" i="12"/>
  <c r="B2508" i="12"/>
  <c r="C2508" i="12"/>
  <c r="D2508" i="12"/>
  <c r="E2508" i="12"/>
  <c r="F2508" i="12"/>
  <c r="G2508" i="12"/>
  <c r="H2508" i="12"/>
  <c r="I2508" i="12"/>
  <c r="M2508" i="12" s="1"/>
  <c r="J2508" i="12"/>
  <c r="K2508" i="12"/>
  <c r="A2509" i="12"/>
  <c r="B2509" i="12"/>
  <c r="C2509" i="12"/>
  <c r="D2509" i="12"/>
  <c r="E2509" i="12"/>
  <c r="F2509" i="12"/>
  <c r="G2509" i="12"/>
  <c r="H2509" i="12"/>
  <c r="I2509" i="12"/>
  <c r="M2509" i="12" s="1"/>
  <c r="J2509" i="12"/>
  <c r="K2509" i="12"/>
  <c r="L2509" i="12" s="1"/>
  <c r="N2509" i="12" s="1"/>
  <c r="A2510" i="12"/>
  <c r="B2510" i="12"/>
  <c r="C2510" i="12"/>
  <c r="D2510" i="12"/>
  <c r="E2510" i="12"/>
  <c r="F2510" i="12"/>
  <c r="G2510" i="12"/>
  <c r="H2510" i="12"/>
  <c r="I2510" i="12"/>
  <c r="M2510" i="12" s="1"/>
  <c r="J2510" i="12"/>
  <c r="K2510" i="12"/>
  <c r="A2511" i="12"/>
  <c r="B2511" i="12"/>
  <c r="C2511" i="12"/>
  <c r="D2511" i="12"/>
  <c r="E2511" i="12"/>
  <c r="F2511" i="12"/>
  <c r="G2511" i="12"/>
  <c r="H2511" i="12"/>
  <c r="I2511" i="12"/>
  <c r="M2511" i="12" s="1"/>
  <c r="J2511" i="12"/>
  <c r="K2511" i="12"/>
  <c r="L2511" i="12" s="1"/>
  <c r="N2511" i="12" s="1"/>
  <c r="A2512" i="12"/>
  <c r="B2512" i="12"/>
  <c r="C2512" i="12"/>
  <c r="D2512" i="12"/>
  <c r="E2512" i="12"/>
  <c r="F2512" i="12"/>
  <c r="G2512" i="12"/>
  <c r="H2512" i="12"/>
  <c r="I2512" i="12"/>
  <c r="M2512" i="12" s="1"/>
  <c r="J2512" i="12"/>
  <c r="K2512" i="12"/>
  <c r="A2513" i="12"/>
  <c r="B2513" i="12"/>
  <c r="C2513" i="12"/>
  <c r="D2513" i="12"/>
  <c r="E2513" i="12"/>
  <c r="F2513" i="12"/>
  <c r="G2513" i="12"/>
  <c r="H2513" i="12"/>
  <c r="I2513" i="12"/>
  <c r="M2513" i="12" s="1"/>
  <c r="J2513" i="12"/>
  <c r="K2513" i="12"/>
  <c r="L2513" i="12" s="1"/>
  <c r="N2513" i="12" s="1"/>
  <c r="A2514" i="12"/>
  <c r="B2514" i="12"/>
  <c r="C2514" i="12"/>
  <c r="D2514" i="12"/>
  <c r="E2514" i="12"/>
  <c r="F2514" i="12"/>
  <c r="G2514" i="12"/>
  <c r="H2514" i="12"/>
  <c r="I2514" i="12"/>
  <c r="M2514" i="12" s="1"/>
  <c r="J2514" i="12"/>
  <c r="K2514" i="12"/>
  <c r="A2515" i="12"/>
  <c r="B2515" i="12"/>
  <c r="C2515" i="12"/>
  <c r="D2515" i="12"/>
  <c r="E2515" i="12"/>
  <c r="F2515" i="12"/>
  <c r="G2515" i="12"/>
  <c r="H2515" i="12"/>
  <c r="I2515" i="12"/>
  <c r="M2515" i="12" s="1"/>
  <c r="J2515" i="12"/>
  <c r="K2515" i="12"/>
  <c r="L2515" i="12" s="1"/>
  <c r="N2515" i="12" s="1"/>
  <c r="A2516" i="12"/>
  <c r="B2516" i="12"/>
  <c r="C2516" i="12"/>
  <c r="D2516" i="12"/>
  <c r="E2516" i="12"/>
  <c r="F2516" i="12"/>
  <c r="G2516" i="12"/>
  <c r="H2516" i="12"/>
  <c r="I2516" i="12"/>
  <c r="M2516" i="12" s="1"/>
  <c r="J2516" i="12"/>
  <c r="K2516" i="12"/>
  <c r="A2517" i="12"/>
  <c r="B2517" i="12"/>
  <c r="C2517" i="12"/>
  <c r="D2517" i="12"/>
  <c r="E2517" i="12"/>
  <c r="F2517" i="12"/>
  <c r="G2517" i="12"/>
  <c r="H2517" i="12"/>
  <c r="I2517" i="12"/>
  <c r="M2517" i="12" s="1"/>
  <c r="J2517" i="12"/>
  <c r="K2517" i="12"/>
  <c r="L2517" i="12" s="1"/>
  <c r="N2517" i="12" s="1"/>
  <c r="A2518" i="12"/>
  <c r="B2518" i="12"/>
  <c r="C2518" i="12"/>
  <c r="D2518" i="12"/>
  <c r="E2518" i="12"/>
  <c r="F2518" i="12"/>
  <c r="G2518" i="12"/>
  <c r="H2518" i="12"/>
  <c r="I2518" i="12"/>
  <c r="M2518" i="12" s="1"/>
  <c r="J2518" i="12"/>
  <c r="K2518" i="12"/>
  <c r="A2519" i="12"/>
  <c r="B2519" i="12"/>
  <c r="C2519" i="12"/>
  <c r="D2519" i="12"/>
  <c r="E2519" i="12"/>
  <c r="F2519" i="12"/>
  <c r="G2519" i="12"/>
  <c r="H2519" i="12"/>
  <c r="I2519" i="12"/>
  <c r="M2519" i="12" s="1"/>
  <c r="J2519" i="12"/>
  <c r="K2519" i="12"/>
  <c r="L2519" i="12" s="1"/>
  <c r="N2519" i="12" s="1"/>
  <c r="A2520" i="12"/>
  <c r="B2520" i="12"/>
  <c r="C2520" i="12"/>
  <c r="D2520" i="12"/>
  <c r="E2520" i="12"/>
  <c r="F2520" i="12"/>
  <c r="G2520" i="12"/>
  <c r="H2520" i="12"/>
  <c r="I2520" i="12"/>
  <c r="M2520" i="12" s="1"/>
  <c r="J2520" i="12"/>
  <c r="K2520" i="12"/>
  <c r="A2521" i="12"/>
  <c r="B2521" i="12"/>
  <c r="C2521" i="12"/>
  <c r="D2521" i="12"/>
  <c r="E2521" i="12"/>
  <c r="F2521" i="12"/>
  <c r="G2521" i="12"/>
  <c r="H2521" i="12"/>
  <c r="I2521" i="12"/>
  <c r="M2521" i="12" s="1"/>
  <c r="J2521" i="12"/>
  <c r="K2521" i="12"/>
  <c r="L2521" i="12" s="1"/>
  <c r="N2521" i="12" s="1"/>
  <c r="A2522" i="12"/>
  <c r="B2522" i="12"/>
  <c r="C2522" i="12"/>
  <c r="D2522" i="12"/>
  <c r="E2522" i="12"/>
  <c r="F2522" i="12"/>
  <c r="G2522" i="12"/>
  <c r="H2522" i="12"/>
  <c r="I2522" i="12"/>
  <c r="M2522" i="12" s="1"/>
  <c r="J2522" i="12"/>
  <c r="K2522" i="12"/>
  <c r="A2523" i="12"/>
  <c r="B2523" i="12"/>
  <c r="C2523" i="12"/>
  <c r="D2523" i="12"/>
  <c r="E2523" i="12"/>
  <c r="F2523" i="12"/>
  <c r="G2523" i="12"/>
  <c r="H2523" i="12"/>
  <c r="I2523" i="12"/>
  <c r="M2523" i="12" s="1"/>
  <c r="J2523" i="12"/>
  <c r="K2523" i="12"/>
  <c r="L2523" i="12" s="1"/>
  <c r="N2523" i="12" s="1"/>
  <c r="A2524" i="12"/>
  <c r="B2524" i="12"/>
  <c r="C2524" i="12"/>
  <c r="D2524" i="12"/>
  <c r="E2524" i="12"/>
  <c r="F2524" i="12"/>
  <c r="G2524" i="12"/>
  <c r="H2524" i="12"/>
  <c r="I2524" i="12"/>
  <c r="M2524" i="12" s="1"/>
  <c r="J2524" i="12"/>
  <c r="K2524" i="12"/>
  <c r="A2525" i="12"/>
  <c r="B2525" i="12"/>
  <c r="C2525" i="12"/>
  <c r="D2525" i="12"/>
  <c r="E2525" i="12"/>
  <c r="F2525" i="12"/>
  <c r="G2525" i="12"/>
  <c r="H2525" i="12"/>
  <c r="I2525" i="12"/>
  <c r="M2525" i="12" s="1"/>
  <c r="J2525" i="12"/>
  <c r="K2525" i="12"/>
  <c r="L2525" i="12" s="1"/>
  <c r="N2525" i="12" s="1"/>
  <c r="A2526" i="12"/>
  <c r="B2526" i="12"/>
  <c r="C2526" i="12"/>
  <c r="D2526" i="12"/>
  <c r="E2526" i="12"/>
  <c r="F2526" i="12"/>
  <c r="G2526" i="12"/>
  <c r="H2526" i="12"/>
  <c r="I2526" i="12"/>
  <c r="M2526" i="12" s="1"/>
  <c r="J2526" i="12"/>
  <c r="K2526" i="12"/>
  <c r="A2527" i="12"/>
  <c r="B2527" i="12"/>
  <c r="C2527" i="12"/>
  <c r="D2527" i="12"/>
  <c r="E2527" i="12"/>
  <c r="F2527" i="12"/>
  <c r="G2527" i="12"/>
  <c r="H2527" i="12"/>
  <c r="I2527" i="12"/>
  <c r="M2527" i="12" s="1"/>
  <c r="J2527" i="12"/>
  <c r="K2527" i="12"/>
  <c r="L2527" i="12" s="1"/>
  <c r="N2527" i="12" s="1"/>
  <c r="A2528" i="12"/>
  <c r="B2528" i="12"/>
  <c r="C2528" i="12"/>
  <c r="D2528" i="12"/>
  <c r="E2528" i="12"/>
  <c r="F2528" i="12"/>
  <c r="G2528" i="12"/>
  <c r="H2528" i="12"/>
  <c r="I2528" i="12"/>
  <c r="M2528" i="12" s="1"/>
  <c r="J2528" i="12"/>
  <c r="K2528" i="12"/>
  <c r="A2529" i="12"/>
  <c r="B2529" i="12"/>
  <c r="C2529" i="12"/>
  <c r="D2529" i="12"/>
  <c r="E2529" i="12"/>
  <c r="F2529" i="12"/>
  <c r="G2529" i="12"/>
  <c r="H2529" i="12"/>
  <c r="I2529" i="12"/>
  <c r="M2529" i="12" s="1"/>
  <c r="J2529" i="12"/>
  <c r="K2529" i="12"/>
  <c r="L2529" i="12" s="1"/>
  <c r="N2529" i="12" s="1"/>
  <c r="A2530" i="12"/>
  <c r="B2530" i="12"/>
  <c r="C2530" i="12"/>
  <c r="D2530" i="12"/>
  <c r="E2530" i="12"/>
  <c r="F2530" i="12"/>
  <c r="G2530" i="12"/>
  <c r="H2530" i="12"/>
  <c r="I2530" i="12"/>
  <c r="M2530" i="12" s="1"/>
  <c r="J2530" i="12"/>
  <c r="K2530" i="12"/>
  <c r="A2531" i="12"/>
  <c r="B2531" i="12"/>
  <c r="C2531" i="12"/>
  <c r="D2531" i="12"/>
  <c r="E2531" i="12"/>
  <c r="F2531" i="12"/>
  <c r="G2531" i="12"/>
  <c r="H2531" i="12"/>
  <c r="I2531" i="12"/>
  <c r="M2531" i="12" s="1"/>
  <c r="J2531" i="12"/>
  <c r="K2531" i="12"/>
  <c r="L2531" i="12" s="1"/>
  <c r="N2531" i="12" s="1"/>
  <c r="A2532" i="12"/>
  <c r="B2532" i="12"/>
  <c r="C2532" i="12"/>
  <c r="D2532" i="12"/>
  <c r="E2532" i="12"/>
  <c r="F2532" i="12"/>
  <c r="G2532" i="12"/>
  <c r="H2532" i="12"/>
  <c r="I2532" i="12"/>
  <c r="M2532" i="12" s="1"/>
  <c r="J2532" i="12"/>
  <c r="K2532" i="12"/>
  <c r="A2533" i="12"/>
  <c r="B2533" i="12"/>
  <c r="C2533" i="12"/>
  <c r="D2533" i="12"/>
  <c r="E2533" i="12"/>
  <c r="F2533" i="12"/>
  <c r="G2533" i="12"/>
  <c r="H2533" i="12"/>
  <c r="I2533" i="12"/>
  <c r="M2533" i="12" s="1"/>
  <c r="J2533" i="12"/>
  <c r="K2533" i="12"/>
  <c r="L2533" i="12" s="1"/>
  <c r="N2533" i="12" s="1"/>
  <c r="A2534" i="12"/>
  <c r="B2534" i="12"/>
  <c r="C2534" i="12"/>
  <c r="D2534" i="12"/>
  <c r="E2534" i="12"/>
  <c r="F2534" i="12"/>
  <c r="G2534" i="12"/>
  <c r="H2534" i="12"/>
  <c r="I2534" i="12"/>
  <c r="M2534" i="12" s="1"/>
  <c r="J2534" i="12"/>
  <c r="K2534" i="12"/>
  <c r="A2535" i="12"/>
  <c r="B2535" i="12"/>
  <c r="C2535" i="12"/>
  <c r="D2535" i="12"/>
  <c r="E2535" i="12"/>
  <c r="F2535" i="12"/>
  <c r="G2535" i="12"/>
  <c r="H2535" i="12"/>
  <c r="I2535" i="12"/>
  <c r="M2535" i="12" s="1"/>
  <c r="J2535" i="12"/>
  <c r="K2535" i="12"/>
  <c r="L2535" i="12" s="1"/>
  <c r="N2535" i="12" s="1"/>
  <c r="A2536" i="12"/>
  <c r="B2536" i="12"/>
  <c r="C2536" i="12"/>
  <c r="D2536" i="12"/>
  <c r="E2536" i="12"/>
  <c r="F2536" i="12"/>
  <c r="G2536" i="12"/>
  <c r="H2536" i="12"/>
  <c r="I2536" i="12"/>
  <c r="M2536" i="12" s="1"/>
  <c r="J2536" i="12"/>
  <c r="K2536" i="12"/>
  <c r="A2537" i="12"/>
  <c r="B2537" i="12"/>
  <c r="C2537" i="12"/>
  <c r="D2537" i="12"/>
  <c r="E2537" i="12"/>
  <c r="F2537" i="12"/>
  <c r="G2537" i="12"/>
  <c r="H2537" i="12"/>
  <c r="I2537" i="12"/>
  <c r="M2537" i="12" s="1"/>
  <c r="J2537" i="12"/>
  <c r="K2537" i="12"/>
  <c r="L2537" i="12" s="1"/>
  <c r="N2537" i="12" s="1"/>
  <c r="A2538" i="12"/>
  <c r="B2538" i="12"/>
  <c r="C2538" i="12"/>
  <c r="D2538" i="12"/>
  <c r="E2538" i="12"/>
  <c r="F2538" i="12"/>
  <c r="G2538" i="12"/>
  <c r="H2538" i="12"/>
  <c r="I2538" i="12"/>
  <c r="M2538" i="12" s="1"/>
  <c r="J2538" i="12"/>
  <c r="K2538" i="12"/>
  <c r="A2539" i="12"/>
  <c r="B2539" i="12"/>
  <c r="C2539" i="12"/>
  <c r="D2539" i="12"/>
  <c r="E2539" i="12"/>
  <c r="F2539" i="12"/>
  <c r="G2539" i="12"/>
  <c r="H2539" i="12"/>
  <c r="I2539" i="12"/>
  <c r="M2539" i="12" s="1"/>
  <c r="J2539" i="12"/>
  <c r="K2539" i="12"/>
  <c r="L2539" i="12" s="1"/>
  <c r="N2539" i="12" s="1"/>
  <c r="A2540" i="12"/>
  <c r="B2540" i="12"/>
  <c r="C2540" i="12"/>
  <c r="D2540" i="12"/>
  <c r="E2540" i="12"/>
  <c r="F2540" i="12"/>
  <c r="G2540" i="12"/>
  <c r="H2540" i="12"/>
  <c r="I2540" i="12"/>
  <c r="M2540" i="12" s="1"/>
  <c r="J2540" i="12"/>
  <c r="K2540" i="12"/>
  <c r="A2541" i="12"/>
  <c r="B2541" i="12"/>
  <c r="C2541" i="12"/>
  <c r="D2541" i="12"/>
  <c r="E2541" i="12"/>
  <c r="F2541" i="12"/>
  <c r="G2541" i="12"/>
  <c r="H2541" i="12"/>
  <c r="I2541" i="12"/>
  <c r="M2541" i="12" s="1"/>
  <c r="J2541" i="12"/>
  <c r="K2541" i="12"/>
  <c r="L2541" i="12" s="1"/>
  <c r="N2541" i="12" s="1"/>
  <c r="A2542" i="12"/>
  <c r="B2542" i="12"/>
  <c r="C2542" i="12"/>
  <c r="D2542" i="12"/>
  <c r="E2542" i="12"/>
  <c r="F2542" i="12"/>
  <c r="G2542" i="12"/>
  <c r="H2542" i="12"/>
  <c r="I2542" i="12"/>
  <c r="M2542" i="12" s="1"/>
  <c r="J2542" i="12"/>
  <c r="K2542" i="12"/>
  <c r="A2543" i="12"/>
  <c r="B2543" i="12"/>
  <c r="C2543" i="12"/>
  <c r="D2543" i="12"/>
  <c r="E2543" i="12"/>
  <c r="F2543" i="12"/>
  <c r="G2543" i="12"/>
  <c r="H2543" i="12"/>
  <c r="I2543" i="12"/>
  <c r="M2543" i="12" s="1"/>
  <c r="J2543" i="12"/>
  <c r="K2543" i="12"/>
  <c r="A2544" i="12"/>
  <c r="B2544" i="12"/>
  <c r="C2544" i="12"/>
  <c r="D2544" i="12"/>
  <c r="E2544" i="12"/>
  <c r="F2544" i="12"/>
  <c r="G2544" i="12"/>
  <c r="H2544" i="12"/>
  <c r="I2544" i="12"/>
  <c r="M2544" i="12" s="1"/>
  <c r="J2544" i="12"/>
  <c r="K2544" i="12"/>
  <c r="A2545" i="12"/>
  <c r="B2545" i="12"/>
  <c r="C2545" i="12"/>
  <c r="D2545" i="12"/>
  <c r="E2545" i="12"/>
  <c r="F2545" i="12"/>
  <c r="G2545" i="12"/>
  <c r="H2545" i="12"/>
  <c r="I2545" i="12"/>
  <c r="M2545" i="12" s="1"/>
  <c r="J2545" i="12"/>
  <c r="K2545" i="12"/>
  <c r="L2545" i="12" s="1"/>
  <c r="N2545" i="12" s="1"/>
  <c r="A2546" i="12"/>
  <c r="B2546" i="12"/>
  <c r="C2546" i="12"/>
  <c r="D2546" i="12"/>
  <c r="E2546" i="12"/>
  <c r="F2546" i="12"/>
  <c r="G2546" i="12"/>
  <c r="H2546" i="12"/>
  <c r="I2546" i="12"/>
  <c r="M2546" i="12" s="1"/>
  <c r="J2546" i="12"/>
  <c r="K2546" i="12"/>
  <c r="A2547" i="12"/>
  <c r="B2547" i="12"/>
  <c r="C2547" i="12"/>
  <c r="D2547" i="12"/>
  <c r="E2547" i="12"/>
  <c r="F2547" i="12"/>
  <c r="G2547" i="12"/>
  <c r="H2547" i="12"/>
  <c r="I2547" i="12"/>
  <c r="M2547" i="12" s="1"/>
  <c r="J2547" i="12"/>
  <c r="K2547" i="12"/>
  <c r="L2547" i="12" s="1"/>
  <c r="N2547" i="12" s="1"/>
  <c r="A2548" i="12"/>
  <c r="B2548" i="12"/>
  <c r="C2548" i="12"/>
  <c r="D2548" i="12"/>
  <c r="E2548" i="12"/>
  <c r="F2548" i="12"/>
  <c r="G2548" i="12"/>
  <c r="H2548" i="12"/>
  <c r="I2548" i="12"/>
  <c r="M2548" i="12" s="1"/>
  <c r="J2548" i="12"/>
  <c r="K2548" i="12"/>
  <c r="A2549" i="12"/>
  <c r="B2549" i="12"/>
  <c r="C2549" i="12"/>
  <c r="D2549" i="12"/>
  <c r="E2549" i="12"/>
  <c r="F2549" i="12"/>
  <c r="G2549" i="12"/>
  <c r="H2549" i="12"/>
  <c r="I2549" i="12"/>
  <c r="M2549" i="12" s="1"/>
  <c r="J2549" i="12"/>
  <c r="K2549" i="12"/>
  <c r="L2549" i="12" s="1"/>
  <c r="N2549" i="12" s="1"/>
  <c r="A2550" i="12"/>
  <c r="B2550" i="12"/>
  <c r="C2550" i="12"/>
  <c r="D2550" i="12"/>
  <c r="E2550" i="12"/>
  <c r="F2550" i="12"/>
  <c r="G2550" i="12"/>
  <c r="H2550" i="12"/>
  <c r="I2550" i="12"/>
  <c r="M2550" i="12" s="1"/>
  <c r="J2550" i="12"/>
  <c r="K2550" i="12"/>
  <c r="A2551" i="12"/>
  <c r="B2551" i="12"/>
  <c r="C2551" i="12"/>
  <c r="D2551" i="12"/>
  <c r="E2551" i="12"/>
  <c r="F2551" i="12"/>
  <c r="G2551" i="12"/>
  <c r="H2551" i="12"/>
  <c r="I2551" i="12"/>
  <c r="M2551" i="12" s="1"/>
  <c r="J2551" i="12"/>
  <c r="K2551" i="12"/>
  <c r="L2551" i="12" s="1"/>
  <c r="N2551" i="12" s="1"/>
  <c r="A2552" i="12"/>
  <c r="B2552" i="12"/>
  <c r="C2552" i="12"/>
  <c r="D2552" i="12"/>
  <c r="E2552" i="12"/>
  <c r="F2552" i="12"/>
  <c r="G2552" i="12"/>
  <c r="H2552" i="12"/>
  <c r="I2552" i="12"/>
  <c r="M2552" i="12" s="1"/>
  <c r="J2552" i="12"/>
  <c r="K2552" i="12"/>
  <c r="A2553" i="12"/>
  <c r="B2553" i="12"/>
  <c r="C2553" i="12"/>
  <c r="D2553" i="12"/>
  <c r="E2553" i="12"/>
  <c r="F2553" i="12"/>
  <c r="G2553" i="12"/>
  <c r="H2553" i="12"/>
  <c r="I2553" i="12"/>
  <c r="M2553" i="12" s="1"/>
  <c r="J2553" i="12"/>
  <c r="K2553" i="12"/>
  <c r="L2553" i="12" s="1"/>
  <c r="N2553" i="12" s="1"/>
  <c r="A2554" i="12"/>
  <c r="B2554" i="12"/>
  <c r="C2554" i="12"/>
  <c r="D2554" i="12"/>
  <c r="E2554" i="12"/>
  <c r="F2554" i="12"/>
  <c r="G2554" i="12"/>
  <c r="H2554" i="12"/>
  <c r="I2554" i="12"/>
  <c r="M2554" i="12" s="1"/>
  <c r="J2554" i="12"/>
  <c r="K2554" i="12"/>
  <c r="A2555" i="12"/>
  <c r="B2555" i="12"/>
  <c r="C2555" i="12"/>
  <c r="D2555" i="12"/>
  <c r="E2555" i="12"/>
  <c r="F2555" i="12"/>
  <c r="G2555" i="12"/>
  <c r="H2555" i="12"/>
  <c r="I2555" i="12"/>
  <c r="M2555" i="12" s="1"/>
  <c r="J2555" i="12"/>
  <c r="K2555" i="12"/>
  <c r="L2555" i="12" s="1"/>
  <c r="N2555" i="12" s="1"/>
  <c r="A2556" i="12"/>
  <c r="B2556" i="12"/>
  <c r="C2556" i="12"/>
  <c r="D2556" i="12"/>
  <c r="E2556" i="12"/>
  <c r="F2556" i="12"/>
  <c r="G2556" i="12"/>
  <c r="H2556" i="12"/>
  <c r="I2556" i="12"/>
  <c r="M2556" i="12" s="1"/>
  <c r="J2556" i="12"/>
  <c r="K2556" i="12"/>
  <c r="A2557" i="12"/>
  <c r="B2557" i="12"/>
  <c r="C2557" i="12"/>
  <c r="D2557" i="12"/>
  <c r="E2557" i="12"/>
  <c r="F2557" i="12"/>
  <c r="G2557" i="12"/>
  <c r="H2557" i="12"/>
  <c r="I2557" i="12"/>
  <c r="M2557" i="12" s="1"/>
  <c r="J2557" i="12"/>
  <c r="K2557" i="12"/>
  <c r="L2557" i="12" s="1"/>
  <c r="N2557" i="12" s="1"/>
  <c r="A2558" i="12"/>
  <c r="B2558" i="12"/>
  <c r="C2558" i="12"/>
  <c r="D2558" i="12"/>
  <c r="E2558" i="12"/>
  <c r="F2558" i="12"/>
  <c r="G2558" i="12"/>
  <c r="H2558" i="12"/>
  <c r="I2558" i="12"/>
  <c r="M2558" i="12" s="1"/>
  <c r="J2558" i="12"/>
  <c r="K2558" i="12"/>
  <c r="A2559" i="12"/>
  <c r="B2559" i="12"/>
  <c r="C2559" i="12"/>
  <c r="D2559" i="12"/>
  <c r="E2559" i="12"/>
  <c r="F2559" i="12"/>
  <c r="G2559" i="12"/>
  <c r="H2559" i="12"/>
  <c r="I2559" i="12"/>
  <c r="M2559" i="12" s="1"/>
  <c r="J2559" i="12"/>
  <c r="K2559" i="12"/>
  <c r="L2559" i="12" s="1"/>
  <c r="N2559" i="12" s="1"/>
  <c r="A2560" i="12"/>
  <c r="B2560" i="12"/>
  <c r="C2560" i="12"/>
  <c r="D2560" i="12"/>
  <c r="E2560" i="12"/>
  <c r="F2560" i="12"/>
  <c r="G2560" i="12"/>
  <c r="H2560" i="12"/>
  <c r="I2560" i="12"/>
  <c r="M2560" i="12" s="1"/>
  <c r="J2560" i="12"/>
  <c r="K2560" i="12"/>
  <c r="A2561" i="12"/>
  <c r="B2561" i="12"/>
  <c r="C2561" i="12"/>
  <c r="D2561" i="12"/>
  <c r="E2561" i="12"/>
  <c r="F2561" i="12"/>
  <c r="G2561" i="12"/>
  <c r="H2561" i="12"/>
  <c r="I2561" i="12"/>
  <c r="M2561" i="12" s="1"/>
  <c r="J2561" i="12"/>
  <c r="K2561" i="12"/>
  <c r="L2561" i="12" s="1"/>
  <c r="N2561" i="12" s="1"/>
  <c r="A2562" i="12"/>
  <c r="B2562" i="12"/>
  <c r="C2562" i="12"/>
  <c r="D2562" i="12"/>
  <c r="E2562" i="12"/>
  <c r="F2562" i="12"/>
  <c r="G2562" i="12"/>
  <c r="H2562" i="12"/>
  <c r="I2562" i="12"/>
  <c r="M2562" i="12" s="1"/>
  <c r="J2562" i="12"/>
  <c r="K2562" i="12"/>
  <c r="A2563" i="12"/>
  <c r="B2563" i="12"/>
  <c r="C2563" i="12"/>
  <c r="D2563" i="12"/>
  <c r="E2563" i="12"/>
  <c r="F2563" i="12"/>
  <c r="G2563" i="12"/>
  <c r="H2563" i="12"/>
  <c r="I2563" i="12"/>
  <c r="M2563" i="12" s="1"/>
  <c r="J2563" i="12"/>
  <c r="K2563" i="12"/>
  <c r="L2563" i="12" s="1"/>
  <c r="N2563" i="12" s="1"/>
  <c r="A2564" i="12"/>
  <c r="B2564" i="12"/>
  <c r="C2564" i="12"/>
  <c r="D2564" i="12"/>
  <c r="E2564" i="12"/>
  <c r="F2564" i="12"/>
  <c r="G2564" i="12"/>
  <c r="H2564" i="12"/>
  <c r="I2564" i="12"/>
  <c r="M2564" i="12" s="1"/>
  <c r="J2564" i="12"/>
  <c r="K2564" i="12"/>
  <c r="A2565" i="12"/>
  <c r="B2565" i="12"/>
  <c r="C2565" i="12"/>
  <c r="D2565" i="12"/>
  <c r="E2565" i="12"/>
  <c r="F2565" i="12"/>
  <c r="G2565" i="12"/>
  <c r="H2565" i="12"/>
  <c r="I2565" i="12"/>
  <c r="M2565" i="12" s="1"/>
  <c r="J2565" i="12"/>
  <c r="K2565" i="12"/>
  <c r="L2565" i="12" s="1"/>
  <c r="N2565" i="12" s="1"/>
  <c r="A2566" i="12"/>
  <c r="B2566" i="12"/>
  <c r="C2566" i="12"/>
  <c r="D2566" i="12"/>
  <c r="E2566" i="12"/>
  <c r="F2566" i="12"/>
  <c r="G2566" i="12"/>
  <c r="H2566" i="12"/>
  <c r="I2566" i="12"/>
  <c r="M2566" i="12" s="1"/>
  <c r="J2566" i="12"/>
  <c r="K2566" i="12"/>
  <c r="A2567" i="12"/>
  <c r="B2567" i="12"/>
  <c r="C2567" i="12"/>
  <c r="D2567" i="12"/>
  <c r="E2567" i="12"/>
  <c r="F2567" i="12"/>
  <c r="G2567" i="12"/>
  <c r="H2567" i="12"/>
  <c r="I2567" i="12"/>
  <c r="M2567" i="12" s="1"/>
  <c r="J2567" i="12"/>
  <c r="K2567" i="12"/>
  <c r="L2567" i="12" s="1"/>
  <c r="N2567" i="12" s="1"/>
  <c r="A2568" i="12"/>
  <c r="B2568" i="12"/>
  <c r="C2568" i="12"/>
  <c r="D2568" i="12"/>
  <c r="E2568" i="12"/>
  <c r="F2568" i="12"/>
  <c r="G2568" i="12"/>
  <c r="H2568" i="12"/>
  <c r="I2568" i="12"/>
  <c r="M2568" i="12" s="1"/>
  <c r="J2568" i="12"/>
  <c r="K2568" i="12"/>
  <c r="A2569" i="12"/>
  <c r="B2569" i="12"/>
  <c r="C2569" i="12"/>
  <c r="D2569" i="12"/>
  <c r="E2569" i="12"/>
  <c r="F2569" i="12"/>
  <c r="G2569" i="12"/>
  <c r="H2569" i="12"/>
  <c r="I2569" i="12"/>
  <c r="M2569" i="12" s="1"/>
  <c r="J2569" i="12"/>
  <c r="K2569" i="12"/>
  <c r="L2569" i="12" s="1"/>
  <c r="N2569" i="12" s="1"/>
  <c r="A2570" i="12"/>
  <c r="B2570" i="12"/>
  <c r="C2570" i="12"/>
  <c r="D2570" i="12"/>
  <c r="E2570" i="12"/>
  <c r="F2570" i="12"/>
  <c r="G2570" i="12"/>
  <c r="H2570" i="12"/>
  <c r="I2570" i="12"/>
  <c r="M2570" i="12" s="1"/>
  <c r="J2570" i="12"/>
  <c r="K2570" i="12"/>
  <c r="A2571" i="12"/>
  <c r="B2571" i="12"/>
  <c r="C2571" i="12"/>
  <c r="D2571" i="12"/>
  <c r="E2571" i="12"/>
  <c r="F2571" i="12"/>
  <c r="G2571" i="12"/>
  <c r="H2571" i="12"/>
  <c r="I2571" i="12"/>
  <c r="M2571" i="12" s="1"/>
  <c r="J2571" i="12"/>
  <c r="K2571" i="12"/>
  <c r="L2571" i="12" s="1"/>
  <c r="N2571" i="12" s="1"/>
  <c r="A2572" i="12"/>
  <c r="B2572" i="12"/>
  <c r="C2572" i="12"/>
  <c r="D2572" i="12"/>
  <c r="E2572" i="12"/>
  <c r="F2572" i="12"/>
  <c r="G2572" i="12"/>
  <c r="H2572" i="12"/>
  <c r="I2572" i="12"/>
  <c r="M2572" i="12" s="1"/>
  <c r="J2572" i="12"/>
  <c r="K2572" i="12"/>
  <c r="A2573" i="12"/>
  <c r="B2573" i="12"/>
  <c r="C2573" i="12"/>
  <c r="D2573" i="12"/>
  <c r="E2573" i="12"/>
  <c r="F2573" i="12"/>
  <c r="G2573" i="12"/>
  <c r="H2573" i="12"/>
  <c r="I2573" i="12"/>
  <c r="M2573" i="12" s="1"/>
  <c r="J2573" i="12"/>
  <c r="K2573" i="12"/>
  <c r="L2573" i="12" s="1"/>
  <c r="N2573" i="12" s="1"/>
  <c r="A2574" i="12"/>
  <c r="B2574" i="12"/>
  <c r="C2574" i="12"/>
  <c r="D2574" i="12"/>
  <c r="E2574" i="12"/>
  <c r="F2574" i="12"/>
  <c r="G2574" i="12"/>
  <c r="H2574" i="12"/>
  <c r="I2574" i="12"/>
  <c r="M2574" i="12" s="1"/>
  <c r="J2574" i="12"/>
  <c r="K2574" i="12"/>
  <c r="A2575" i="12"/>
  <c r="B2575" i="12"/>
  <c r="C2575" i="12"/>
  <c r="D2575" i="12"/>
  <c r="E2575" i="12"/>
  <c r="F2575" i="12"/>
  <c r="G2575" i="12"/>
  <c r="H2575" i="12"/>
  <c r="I2575" i="12"/>
  <c r="M2575" i="12" s="1"/>
  <c r="J2575" i="12"/>
  <c r="K2575" i="12"/>
  <c r="L2575" i="12" s="1"/>
  <c r="N2575" i="12" s="1"/>
  <c r="A2576" i="12"/>
  <c r="B2576" i="12"/>
  <c r="C2576" i="12"/>
  <c r="D2576" i="12"/>
  <c r="E2576" i="12"/>
  <c r="F2576" i="12"/>
  <c r="G2576" i="12"/>
  <c r="H2576" i="12"/>
  <c r="I2576" i="12"/>
  <c r="M2576" i="12" s="1"/>
  <c r="J2576" i="12"/>
  <c r="K2576" i="12"/>
  <c r="A2577" i="12"/>
  <c r="B2577" i="12"/>
  <c r="C2577" i="12"/>
  <c r="D2577" i="12"/>
  <c r="E2577" i="12"/>
  <c r="F2577" i="12"/>
  <c r="G2577" i="12"/>
  <c r="H2577" i="12"/>
  <c r="I2577" i="12"/>
  <c r="M2577" i="12" s="1"/>
  <c r="J2577" i="12"/>
  <c r="K2577" i="12"/>
  <c r="L2577" i="12" s="1"/>
  <c r="N2577" i="12" s="1"/>
  <c r="A2578" i="12"/>
  <c r="B2578" i="12"/>
  <c r="C2578" i="12"/>
  <c r="D2578" i="12"/>
  <c r="E2578" i="12"/>
  <c r="F2578" i="12"/>
  <c r="G2578" i="12"/>
  <c r="H2578" i="12"/>
  <c r="I2578" i="12"/>
  <c r="M2578" i="12" s="1"/>
  <c r="J2578" i="12"/>
  <c r="K2578" i="12"/>
  <c r="A2579" i="12"/>
  <c r="B2579" i="12"/>
  <c r="C2579" i="12"/>
  <c r="D2579" i="12"/>
  <c r="E2579" i="12"/>
  <c r="F2579" i="12"/>
  <c r="G2579" i="12"/>
  <c r="H2579" i="12"/>
  <c r="I2579" i="12"/>
  <c r="M2579" i="12" s="1"/>
  <c r="J2579" i="12"/>
  <c r="K2579" i="12"/>
  <c r="L2579" i="12" s="1"/>
  <c r="N2579" i="12" s="1"/>
  <c r="A2580" i="12"/>
  <c r="B2580" i="12"/>
  <c r="C2580" i="12"/>
  <c r="D2580" i="12"/>
  <c r="E2580" i="12"/>
  <c r="F2580" i="12"/>
  <c r="G2580" i="12"/>
  <c r="H2580" i="12"/>
  <c r="I2580" i="12"/>
  <c r="M2580" i="12" s="1"/>
  <c r="J2580" i="12"/>
  <c r="K2580" i="12"/>
  <c r="A2581" i="12"/>
  <c r="B2581" i="12"/>
  <c r="C2581" i="12"/>
  <c r="D2581" i="12"/>
  <c r="E2581" i="12"/>
  <c r="F2581" i="12"/>
  <c r="G2581" i="12"/>
  <c r="H2581" i="12"/>
  <c r="I2581" i="12"/>
  <c r="M2581" i="12" s="1"/>
  <c r="J2581" i="12"/>
  <c r="K2581" i="12"/>
  <c r="L2581" i="12" s="1"/>
  <c r="N2581" i="12" s="1"/>
  <c r="A2582" i="12"/>
  <c r="B2582" i="12"/>
  <c r="C2582" i="12"/>
  <c r="D2582" i="12"/>
  <c r="E2582" i="12"/>
  <c r="F2582" i="12"/>
  <c r="G2582" i="12"/>
  <c r="H2582" i="12"/>
  <c r="I2582" i="12"/>
  <c r="M2582" i="12" s="1"/>
  <c r="J2582" i="12"/>
  <c r="K2582" i="12"/>
  <c r="A2583" i="12"/>
  <c r="B2583" i="12"/>
  <c r="C2583" i="12"/>
  <c r="D2583" i="12"/>
  <c r="E2583" i="12"/>
  <c r="F2583" i="12"/>
  <c r="G2583" i="12"/>
  <c r="H2583" i="12"/>
  <c r="I2583" i="12"/>
  <c r="M2583" i="12" s="1"/>
  <c r="J2583" i="12"/>
  <c r="K2583" i="12"/>
  <c r="L2583" i="12" s="1"/>
  <c r="N2583" i="12" s="1"/>
  <c r="A2584" i="12"/>
  <c r="B2584" i="12"/>
  <c r="C2584" i="12"/>
  <c r="D2584" i="12"/>
  <c r="E2584" i="12"/>
  <c r="F2584" i="12"/>
  <c r="G2584" i="12"/>
  <c r="H2584" i="12"/>
  <c r="I2584" i="12"/>
  <c r="M2584" i="12" s="1"/>
  <c r="J2584" i="12"/>
  <c r="K2584" i="12"/>
  <c r="A2585" i="12"/>
  <c r="B2585" i="12"/>
  <c r="C2585" i="12"/>
  <c r="D2585" i="12"/>
  <c r="E2585" i="12"/>
  <c r="F2585" i="12"/>
  <c r="G2585" i="12"/>
  <c r="H2585" i="12"/>
  <c r="I2585" i="12"/>
  <c r="M2585" i="12" s="1"/>
  <c r="J2585" i="12"/>
  <c r="K2585" i="12"/>
  <c r="L2585" i="12" s="1"/>
  <c r="N2585" i="12" s="1"/>
  <c r="A2586" i="12"/>
  <c r="B2586" i="12"/>
  <c r="C2586" i="12"/>
  <c r="D2586" i="12"/>
  <c r="E2586" i="12"/>
  <c r="F2586" i="12"/>
  <c r="G2586" i="12"/>
  <c r="H2586" i="12"/>
  <c r="I2586" i="12"/>
  <c r="M2586" i="12" s="1"/>
  <c r="J2586" i="12"/>
  <c r="K2586" i="12"/>
  <c r="A2587" i="12"/>
  <c r="B2587" i="12"/>
  <c r="C2587" i="12"/>
  <c r="D2587" i="12"/>
  <c r="E2587" i="12"/>
  <c r="F2587" i="12"/>
  <c r="G2587" i="12"/>
  <c r="H2587" i="12"/>
  <c r="I2587" i="12"/>
  <c r="M2587" i="12" s="1"/>
  <c r="J2587" i="12"/>
  <c r="K2587" i="12"/>
  <c r="L2587" i="12" s="1"/>
  <c r="N2587" i="12" s="1"/>
  <c r="A2588" i="12"/>
  <c r="B2588" i="12"/>
  <c r="C2588" i="12"/>
  <c r="D2588" i="12"/>
  <c r="E2588" i="12"/>
  <c r="F2588" i="12"/>
  <c r="G2588" i="12"/>
  <c r="H2588" i="12"/>
  <c r="I2588" i="12"/>
  <c r="M2588" i="12" s="1"/>
  <c r="J2588" i="12"/>
  <c r="K2588" i="12"/>
  <c r="A2589" i="12"/>
  <c r="B2589" i="12"/>
  <c r="C2589" i="12"/>
  <c r="D2589" i="12"/>
  <c r="E2589" i="12"/>
  <c r="F2589" i="12"/>
  <c r="G2589" i="12"/>
  <c r="H2589" i="12"/>
  <c r="I2589" i="12"/>
  <c r="M2589" i="12" s="1"/>
  <c r="J2589" i="12"/>
  <c r="K2589" i="12"/>
  <c r="L2589" i="12" s="1"/>
  <c r="N2589" i="12" s="1"/>
  <c r="A2590" i="12"/>
  <c r="B2590" i="12"/>
  <c r="C2590" i="12"/>
  <c r="D2590" i="12"/>
  <c r="E2590" i="12"/>
  <c r="F2590" i="12"/>
  <c r="G2590" i="12"/>
  <c r="H2590" i="12"/>
  <c r="I2590" i="12"/>
  <c r="M2590" i="12" s="1"/>
  <c r="J2590" i="12"/>
  <c r="K2590" i="12"/>
  <c r="A2591" i="12"/>
  <c r="B2591" i="12"/>
  <c r="C2591" i="12"/>
  <c r="D2591" i="12"/>
  <c r="E2591" i="12"/>
  <c r="F2591" i="12"/>
  <c r="G2591" i="12"/>
  <c r="H2591" i="12"/>
  <c r="I2591" i="12"/>
  <c r="M2591" i="12" s="1"/>
  <c r="J2591" i="12"/>
  <c r="K2591" i="12"/>
  <c r="L2591" i="12" s="1"/>
  <c r="N2591" i="12" s="1"/>
  <c r="A2592" i="12"/>
  <c r="B2592" i="12"/>
  <c r="C2592" i="12"/>
  <c r="D2592" i="12"/>
  <c r="E2592" i="12"/>
  <c r="F2592" i="12"/>
  <c r="G2592" i="12"/>
  <c r="H2592" i="12"/>
  <c r="I2592" i="12"/>
  <c r="M2592" i="12" s="1"/>
  <c r="J2592" i="12"/>
  <c r="K2592" i="12"/>
  <c r="A2593" i="12"/>
  <c r="B2593" i="12"/>
  <c r="C2593" i="12"/>
  <c r="D2593" i="12"/>
  <c r="E2593" i="12"/>
  <c r="F2593" i="12"/>
  <c r="G2593" i="12"/>
  <c r="H2593" i="12"/>
  <c r="I2593" i="12"/>
  <c r="M2593" i="12" s="1"/>
  <c r="J2593" i="12"/>
  <c r="K2593" i="12"/>
  <c r="L2593" i="12" s="1"/>
  <c r="N2593" i="12" s="1"/>
  <c r="A2594" i="12"/>
  <c r="B2594" i="12"/>
  <c r="C2594" i="12"/>
  <c r="D2594" i="12"/>
  <c r="E2594" i="12"/>
  <c r="F2594" i="12"/>
  <c r="G2594" i="12"/>
  <c r="H2594" i="12"/>
  <c r="I2594" i="12"/>
  <c r="M2594" i="12" s="1"/>
  <c r="J2594" i="12"/>
  <c r="K2594" i="12"/>
  <c r="A2595" i="12"/>
  <c r="B2595" i="12"/>
  <c r="C2595" i="12"/>
  <c r="D2595" i="12"/>
  <c r="E2595" i="12"/>
  <c r="F2595" i="12"/>
  <c r="G2595" i="12"/>
  <c r="H2595" i="12"/>
  <c r="I2595" i="12"/>
  <c r="M2595" i="12" s="1"/>
  <c r="J2595" i="12"/>
  <c r="K2595" i="12"/>
  <c r="L2595" i="12" s="1"/>
  <c r="N2595" i="12" s="1"/>
  <c r="A2596" i="12"/>
  <c r="B2596" i="12"/>
  <c r="C2596" i="12"/>
  <c r="D2596" i="12"/>
  <c r="E2596" i="12"/>
  <c r="F2596" i="12"/>
  <c r="G2596" i="12"/>
  <c r="H2596" i="12"/>
  <c r="I2596" i="12"/>
  <c r="M2596" i="12" s="1"/>
  <c r="J2596" i="12"/>
  <c r="K2596" i="12"/>
  <c r="A2597" i="12"/>
  <c r="B2597" i="12"/>
  <c r="C2597" i="12"/>
  <c r="D2597" i="12"/>
  <c r="E2597" i="12"/>
  <c r="F2597" i="12"/>
  <c r="G2597" i="12"/>
  <c r="H2597" i="12"/>
  <c r="I2597" i="12"/>
  <c r="M2597" i="12" s="1"/>
  <c r="J2597" i="12"/>
  <c r="K2597" i="12"/>
  <c r="L2597" i="12" s="1"/>
  <c r="N2597" i="12" s="1"/>
  <c r="A2598" i="12"/>
  <c r="B2598" i="12"/>
  <c r="C2598" i="12"/>
  <c r="D2598" i="12"/>
  <c r="E2598" i="12"/>
  <c r="F2598" i="12"/>
  <c r="G2598" i="12"/>
  <c r="H2598" i="12"/>
  <c r="I2598" i="12"/>
  <c r="M2598" i="12" s="1"/>
  <c r="J2598" i="12"/>
  <c r="K2598" i="12"/>
  <c r="A2599" i="12"/>
  <c r="B2599" i="12"/>
  <c r="C2599" i="12"/>
  <c r="D2599" i="12"/>
  <c r="E2599" i="12"/>
  <c r="F2599" i="12"/>
  <c r="G2599" i="12"/>
  <c r="H2599" i="12"/>
  <c r="I2599" i="12"/>
  <c r="M2599" i="12" s="1"/>
  <c r="J2599" i="12"/>
  <c r="K2599" i="12"/>
  <c r="L2599" i="12" s="1"/>
  <c r="N2599" i="12" s="1"/>
  <c r="A2600" i="12"/>
  <c r="B2600" i="12"/>
  <c r="C2600" i="12"/>
  <c r="D2600" i="12"/>
  <c r="E2600" i="12"/>
  <c r="F2600" i="12"/>
  <c r="G2600" i="12"/>
  <c r="H2600" i="12"/>
  <c r="I2600" i="12"/>
  <c r="M2600" i="12" s="1"/>
  <c r="J2600" i="12"/>
  <c r="K2600" i="12"/>
  <c r="A2601" i="12"/>
  <c r="B2601" i="12"/>
  <c r="C2601" i="12"/>
  <c r="D2601" i="12"/>
  <c r="E2601" i="12"/>
  <c r="F2601" i="12"/>
  <c r="G2601" i="12"/>
  <c r="H2601" i="12"/>
  <c r="I2601" i="12"/>
  <c r="M2601" i="12" s="1"/>
  <c r="J2601" i="12"/>
  <c r="K2601" i="12"/>
  <c r="L2601" i="12" s="1"/>
  <c r="N2601" i="12" s="1"/>
  <c r="A2602" i="12"/>
  <c r="B2602" i="12"/>
  <c r="C2602" i="12"/>
  <c r="D2602" i="12"/>
  <c r="E2602" i="12"/>
  <c r="F2602" i="12"/>
  <c r="G2602" i="12"/>
  <c r="H2602" i="12"/>
  <c r="I2602" i="12"/>
  <c r="M2602" i="12" s="1"/>
  <c r="J2602" i="12"/>
  <c r="K2602" i="12"/>
  <c r="A2603" i="12"/>
  <c r="B2603" i="12"/>
  <c r="C2603" i="12"/>
  <c r="D2603" i="12"/>
  <c r="E2603" i="12"/>
  <c r="F2603" i="12"/>
  <c r="G2603" i="12"/>
  <c r="H2603" i="12"/>
  <c r="I2603" i="12"/>
  <c r="M2603" i="12" s="1"/>
  <c r="J2603" i="12"/>
  <c r="K2603" i="12"/>
  <c r="L2603" i="12" s="1"/>
  <c r="N2603" i="12" s="1"/>
  <c r="A2604" i="12"/>
  <c r="B2604" i="12"/>
  <c r="C2604" i="12"/>
  <c r="D2604" i="12"/>
  <c r="E2604" i="12"/>
  <c r="F2604" i="12"/>
  <c r="G2604" i="12"/>
  <c r="H2604" i="12"/>
  <c r="I2604" i="12"/>
  <c r="M2604" i="12" s="1"/>
  <c r="J2604" i="12"/>
  <c r="K2604" i="12"/>
  <c r="A2605" i="12"/>
  <c r="B2605" i="12"/>
  <c r="C2605" i="12"/>
  <c r="D2605" i="12"/>
  <c r="E2605" i="12"/>
  <c r="F2605" i="12"/>
  <c r="G2605" i="12"/>
  <c r="H2605" i="12"/>
  <c r="I2605" i="12"/>
  <c r="M2605" i="12" s="1"/>
  <c r="J2605" i="12"/>
  <c r="K2605" i="12"/>
  <c r="L2605" i="12" s="1"/>
  <c r="N2605" i="12" s="1"/>
  <c r="A2606" i="12"/>
  <c r="B2606" i="12"/>
  <c r="C2606" i="12"/>
  <c r="D2606" i="12"/>
  <c r="E2606" i="12"/>
  <c r="F2606" i="12"/>
  <c r="G2606" i="12"/>
  <c r="H2606" i="12"/>
  <c r="I2606" i="12"/>
  <c r="M2606" i="12" s="1"/>
  <c r="J2606" i="12"/>
  <c r="K2606" i="12"/>
  <c r="A2607" i="12"/>
  <c r="B2607" i="12"/>
  <c r="C2607" i="12"/>
  <c r="D2607" i="12"/>
  <c r="E2607" i="12"/>
  <c r="F2607" i="12"/>
  <c r="G2607" i="12"/>
  <c r="H2607" i="12"/>
  <c r="I2607" i="12"/>
  <c r="M2607" i="12" s="1"/>
  <c r="J2607" i="12"/>
  <c r="K2607" i="12"/>
  <c r="L2607" i="12" s="1"/>
  <c r="N2607" i="12" s="1"/>
  <c r="A2608" i="12"/>
  <c r="B2608" i="12"/>
  <c r="C2608" i="12"/>
  <c r="D2608" i="12"/>
  <c r="E2608" i="12"/>
  <c r="F2608" i="12"/>
  <c r="G2608" i="12"/>
  <c r="H2608" i="12"/>
  <c r="I2608" i="12"/>
  <c r="M2608" i="12" s="1"/>
  <c r="J2608" i="12"/>
  <c r="K2608" i="12"/>
  <c r="A2609" i="12"/>
  <c r="B2609" i="12"/>
  <c r="C2609" i="12"/>
  <c r="D2609" i="12"/>
  <c r="E2609" i="12"/>
  <c r="F2609" i="12"/>
  <c r="G2609" i="12"/>
  <c r="H2609" i="12"/>
  <c r="I2609" i="12"/>
  <c r="M2609" i="12" s="1"/>
  <c r="J2609" i="12"/>
  <c r="K2609" i="12"/>
  <c r="L2609" i="12" s="1"/>
  <c r="N2609" i="12" s="1"/>
  <c r="A2610" i="12"/>
  <c r="B2610" i="12"/>
  <c r="C2610" i="12"/>
  <c r="D2610" i="12"/>
  <c r="E2610" i="12"/>
  <c r="F2610" i="12"/>
  <c r="G2610" i="12"/>
  <c r="H2610" i="12"/>
  <c r="I2610" i="12"/>
  <c r="M2610" i="12" s="1"/>
  <c r="J2610" i="12"/>
  <c r="K2610" i="12"/>
  <c r="A2611" i="12"/>
  <c r="B2611" i="12"/>
  <c r="C2611" i="12"/>
  <c r="D2611" i="12"/>
  <c r="E2611" i="12"/>
  <c r="F2611" i="12"/>
  <c r="G2611" i="12"/>
  <c r="H2611" i="12"/>
  <c r="I2611" i="12"/>
  <c r="M2611" i="12" s="1"/>
  <c r="J2611" i="12"/>
  <c r="K2611" i="12"/>
  <c r="L2611" i="12" s="1"/>
  <c r="N2611" i="12" s="1"/>
  <c r="A2612" i="12"/>
  <c r="B2612" i="12"/>
  <c r="C2612" i="12"/>
  <c r="D2612" i="12"/>
  <c r="E2612" i="12"/>
  <c r="F2612" i="12"/>
  <c r="G2612" i="12"/>
  <c r="H2612" i="12"/>
  <c r="I2612" i="12"/>
  <c r="M2612" i="12" s="1"/>
  <c r="J2612" i="12"/>
  <c r="K2612" i="12"/>
  <c r="A2613" i="12"/>
  <c r="B2613" i="12"/>
  <c r="C2613" i="12"/>
  <c r="D2613" i="12"/>
  <c r="E2613" i="12"/>
  <c r="F2613" i="12"/>
  <c r="G2613" i="12"/>
  <c r="H2613" i="12"/>
  <c r="I2613" i="12"/>
  <c r="M2613" i="12" s="1"/>
  <c r="J2613" i="12"/>
  <c r="K2613" i="12"/>
  <c r="L2613" i="12" s="1"/>
  <c r="N2613" i="12" s="1"/>
  <c r="A2614" i="12"/>
  <c r="B2614" i="12"/>
  <c r="C2614" i="12"/>
  <c r="D2614" i="12"/>
  <c r="E2614" i="12"/>
  <c r="F2614" i="12"/>
  <c r="G2614" i="12"/>
  <c r="H2614" i="12"/>
  <c r="I2614" i="12"/>
  <c r="M2614" i="12" s="1"/>
  <c r="J2614" i="12"/>
  <c r="K2614" i="12"/>
  <c r="A2615" i="12"/>
  <c r="B2615" i="12"/>
  <c r="C2615" i="12"/>
  <c r="D2615" i="12"/>
  <c r="E2615" i="12"/>
  <c r="F2615" i="12"/>
  <c r="G2615" i="12"/>
  <c r="H2615" i="12"/>
  <c r="I2615" i="12"/>
  <c r="M2615" i="12" s="1"/>
  <c r="J2615" i="12"/>
  <c r="K2615" i="12"/>
  <c r="L2615" i="12" s="1"/>
  <c r="N2615" i="12" s="1"/>
  <c r="A2616" i="12"/>
  <c r="B2616" i="12"/>
  <c r="C2616" i="12"/>
  <c r="D2616" i="12"/>
  <c r="E2616" i="12"/>
  <c r="F2616" i="12"/>
  <c r="G2616" i="12"/>
  <c r="H2616" i="12"/>
  <c r="I2616" i="12"/>
  <c r="M2616" i="12" s="1"/>
  <c r="J2616" i="12"/>
  <c r="K2616" i="12"/>
  <c r="A2617" i="12"/>
  <c r="B2617" i="12"/>
  <c r="C2617" i="12"/>
  <c r="D2617" i="12"/>
  <c r="E2617" i="12"/>
  <c r="F2617" i="12"/>
  <c r="G2617" i="12"/>
  <c r="H2617" i="12"/>
  <c r="I2617" i="12"/>
  <c r="M2617" i="12" s="1"/>
  <c r="J2617" i="12"/>
  <c r="K2617" i="12"/>
  <c r="L2617" i="12" s="1"/>
  <c r="N2617" i="12" s="1"/>
  <c r="A2618" i="12"/>
  <c r="B2618" i="12"/>
  <c r="C2618" i="12"/>
  <c r="D2618" i="12"/>
  <c r="E2618" i="12"/>
  <c r="F2618" i="12"/>
  <c r="G2618" i="12"/>
  <c r="H2618" i="12"/>
  <c r="I2618" i="12"/>
  <c r="M2618" i="12" s="1"/>
  <c r="J2618" i="12"/>
  <c r="K2618" i="12"/>
  <c r="A2619" i="12"/>
  <c r="B2619" i="12"/>
  <c r="C2619" i="12"/>
  <c r="D2619" i="12"/>
  <c r="E2619" i="12"/>
  <c r="F2619" i="12"/>
  <c r="G2619" i="12"/>
  <c r="H2619" i="12"/>
  <c r="I2619" i="12"/>
  <c r="M2619" i="12" s="1"/>
  <c r="J2619" i="12"/>
  <c r="K2619" i="12"/>
  <c r="L2619" i="12" s="1"/>
  <c r="N2619" i="12" s="1"/>
  <c r="A2620" i="12"/>
  <c r="B2620" i="12"/>
  <c r="C2620" i="12"/>
  <c r="D2620" i="12"/>
  <c r="E2620" i="12"/>
  <c r="F2620" i="12"/>
  <c r="G2620" i="12"/>
  <c r="H2620" i="12"/>
  <c r="I2620" i="12"/>
  <c r="M2620" i="12" s="1"/>
  <c r="J2620" i="12"/>
  <c r="K2620" i="12"/>
  <c r="A2621" i="12"/>
  <c r="B2621" i="12"/>
  <c r="C2621" i="12"/>
  <c r="D2621" i="12"/>
  <c r="E2621" i="12"/>
  <c r="F2621" i="12"/>
  <c r="G2621" i="12"/>
  <c r="H2621" i="12"/>
  <c r="I2621" i="12"/>
  <c r="M2621" i="12" s="1"/>
  <c r="J2621" i="12"/>
  <c r="K2621" i="12"/>
  <c r="L2621" i="12" s="1"/>
  <c r="N2621" i="12" s="1"/>
  <c r="A2622" i="12"/>
  <c r="B2622" i="12"/>
  <c r="C2622" i="12"/>
  <c r="D2622" i="12"/>
  <c r="E2622" i="12"/>
  <c r="F2622" i="12"/>
  <c r="G2622" i="12"/>
  <c r="H2622" i="12"/>
  <c r="I2622" i="12"/>
  <c r="M2622" i="12" s="1"/>
  <c r="J2622" i="12"/>
  <c r="K2622" i="12"/>
  <c r="A2623" i="12"/>
  <c r="B2623" i="12"/>
  <c r="C2623" i="12"/>
  <c r="D2623" i="12"/>
  <c r="E2623" i="12"/>
  <c r="F2623" i="12"/>
  <c r="G2623" i="12"/>
  <c r="H2623" i="12"/>
  <c r="I2623" i="12"/>
  <c r="M2623" i="12" s="1"/>
  <c r="J2623" i="12"/>
  <c r="K2623" i="12"/>
  <c r="L2623" i="12" s="1"/>
  <c r="N2623" i="12" s="1"/>
  <c r="A2624" i="12"/>
  <c r="B2624" i="12"/>
  <c r="C2624" i="12"/>
  <c r="D2624" i="12"/>
  <c r="E2624" i="12"/>
  <c r="F2624" i="12"/>
  <c r="G2624" i="12"/>
  <c r="H2624" i="12"/>
  <c r="I2624" i="12"/>
  <c r="M2624" i="12" s="1"/>
  <c r="J2624" i="12"/>
  <c r="K2624" i="12"/>
  <c r="A2625" i="12"/>
  <c r="B2625" i="12"/>
  <c r="C2625" i="12"/>
  <c r="D2625" i="12"/>
  <c r="E2625" i="12"/>
  <c r="F2625" i="12"/>
  <c r="G2625" i="12"/>
  <c r="H2625" i="12"/>
  <c r="I2625" i="12"/>
  <c r="M2625" i="12" s="1"/>
  <c r="J2625" i="12"/>
  <c r="K2625" i="12"/>
  <c r="L2625" i="12" s="1"/>
  <c r="N2625" i="12" s="1"/>
  <c r="A2626" i="12"/>
  <c r="B2626" i="12"/>
  <c r="C2626" i="12"/>
  <c r="D2626" i="12"/>
  <c r="E2626" i="12"/>
  <c r="F2626" i="12"/>
  <c r="G2626" i="12"/>
  <c r="H2626" i="12"/>
  <c r="I2626" i="12"/>
  <c r="M2626" i="12" s="1"/>
  <c r="J2626" i="12"/>
  <c r="K2626" i="12"/>
  <c r="A2627" i="12"/>
  <c r="B2627" i="12"/>
  <c r="C2627" i="12"/>
  <c r="D2627" i="12"/>
  <c r="E2627" i="12"/>
  <c r="F2627" i="12"/>
  <c r="G2627" i="12"/>
  <c r="H2627" i="12"/>
  <c r="I2627" i="12"/>
  <c r="M2627" i="12" s="1"/>
  <c r="J2627" i="12"/>
  <c r="K2627" i="12"/>
  <c r="L2627" i="12" s="1"/>
  <c r="N2627" i="12" s="1"/>
  <c r="A2628" i="12"/>
  <c r="B2628" i="12"/>
  <c r="C2628" i="12"/>
  <c r="D2628" i="12"/>
  <c r="E2628" i="12"/>
  <c r="F2628" i="12"/>
  <c r="G2628" i="12"/>
  <c r="H2628" i="12"/>
  <c r="I2628" i="12"/>
  <c r="M2628" i="12" s="1"/>
  <c r="J2628" i="12"/>
  <c r="K2628" i="12"/>
  <c r="A2629" i="12"/>
  <c r="B2629" i="12"/>
  <c r="C2629" i="12"/>
  <c r="D2629" i="12"/>
  <c r="E2629" i="12"/>
  <c r="F2629" i="12"/>
  <c r="G2629" i="12"/>
  <c r="H2629" i="12"/>
  <c r="I2629" i="12"/>
  <c r="M2629" i="12" s="1"/>
  <c r="J2629" i="12"/>
  <c r="K2629" i="12"/>
  <c r="L2629" i="12" s="1"/>
  <c r="N2629" i="12" s="1"/>
  <c r="A2630" i="12"/>
  <c r="B2630" i="12"/>
  <c r="C2630" i="12"/>
  <c r="D2630" i="12"/>
  <c r="E2630" i="12"/>
  <c r="F2630" i="12"/>
  <c r="G2630" i="12"/>
  <c r="H2630" i="12"/>
  <c r="I2630" i="12"/>
  <c r="M2630" i="12" s="1"/>
  <c r="J2630" i="12"/>
  <c r="K2630" i="12"/>
  <c r="A2631" i="12"/>
  <c r="B2631" i="12"/>
  <c r="C2631" i="12"/>
  <c r="D2631" i="12"/>
  <c r="E2631" i="12"/>
  <c r="F2631" i="12"/>
  <c r="G2631" i="12"/>
  <c r="H2631" i="12"/>
  <c r="I2631" i="12"/>
  <c r="M2631" i="12" s="1"/>
  <c r="J2631" i="12"/>
  <c r="K2631" i="12"/>
  <c r="L2631" i="12" s="1"/>
  <c r="N2631" i="12" s="1"/>
  <c r="A2632" i="12"/>
  <c r="B2632" i="12"/>
  <c r="C2632" i="12"/>
  <c r="D2632" i="12"/>
  <c r="E2632" i="12"/>
  <c r="F2632" i="12"/>
  <c r="G2632" i="12"/>
  <c r="H2632" i="12"/>
  <c r="I2632" i="12"/>
  <c r="M2632" i="12" s="1"/>
  <c r="J2632" i="12"/>
  <c r="K2632" i="12"/>
  <c r="A2633" i="12"/>
  <c r="B2633" i="12"/>
  <c r="C2633" i="12"/>
  <c r="D2633" i="12"/>
  <c r="E2633" i="12"/>
  <c r="F2633" i="12"/>
  <c r="G2633" i="12"/>
  <c r="H2633" i="12"/>
  <c r="I2633" i="12"/>
  <c r="M2633" i="12" s="1"/>
  <c r="J2633" i="12"/>
  <c r="K2633" i="12"/>
  <c r="L2633" i="12" s="1"/>
  <c r="N2633" i="12" s="1"/>
  <c r="A2634" i="12"/>
  <c r="B2634" i="12"/>
  <c r="C2634" i="12"/>
  <c r="D2634" i="12"/>
  <c r="E2634" i="12"/>
  <c r="F2634" i="12"/>
  <c r="G2634" i="12"/>
  <c r="H2634" i="12"/>
  <c r="I2634" i="12"/>
  <c r="M2634" i="12" s="1"/>
  <c r="J2634" i="12"/>
  <c r="K2634" i="12"/>
  <c r="A2635" i="12"/>
  <c r="B2635" i="12"/>
  <c r="C2635" i="12"/>
  <c r="D2635" i="12"/>
  <c r="E2635" i="12"/>
  <c r="F2635" i="12"/>
  <c r="G2635" i="12"/>
  <c r="H2635" i="12"/>
  <c r="I2635" i="12"/>
  <c r="M2635" i="12" s="1"/>
  <c r="J2635" i="12"/>
  <c r="K2635" i="12"/>
  <c r="L2635" i="12" s="1"/>
  <c r="N2635" i="12" s="1"/>
  <c r="A2636" i="12"/>
  <c r="B2636" i="12"/>
  <c r="C2636" i="12"/>
  <c r="D2636" i="12"/>
  <c r="E2636" i="12"/>
  <c r="F2636" i="12"/>
  <c r="G2636" i="12"/>
  <c r="H2636" i="12"/>
  <c r="I2636" i="12"/>
  <c r="M2636" i="12" s="1"/>
  <c r="J2636" i="12"/>
  <c r="K2636" i="12"/>
  <c r="A2637" i="12"/>
  <c r="B2637" i="12"/>
  <c r="C2637" i="12"/>
  <c r="D2637" i="12"/>
  <c r="E2637" i="12"/>
  <c r="F2637" i="12"/>
  <c r="G2637" i="12"/>
  <c r="H2637" i="12"/>
  <c r="I2637" i="12"/>
  <c r="J2637" i="12"/>
  <c r="K2637" i="12"/>
  <c r="L2637" i="12" s="1"/>
  <c r="N2637" i="12" s="1"/>
  <c r="M2637" i="12"/>
  <c r="A2638" i="12"/>
  <c r="B2638" i="12"/>
  <c r="C2638" i="12"/>
  <c r="D2638" i="12"/>
  <c r="E2638" i="12"/>
  <c r="F2638" i="12"/>
  <c r="G2638" i="12"/>
  <c r="H2638" i="12"/>
  <c r="I2638" i="12"/>
  <c r="J2638" i="12"/>
  <c r="L2638" i="12" s="1"/>
  <c r="N2638" i="12" s="1"/>
  <c r="K2638" i="12"/>
  <c r="M2638" i="12"/>
  <c r="A2639" i="12"/>
  <c r="B2639" i="12"/>
  <c r="C2639" i="12"/>
  <c r="D2639" i="12"/>
  <c r="E2639" i="12"/>
  <c r="F2639" i="12"/>
  <c r="G2639" i="12"/>
  <c r="I2639" i="12" s="1"/>
  <c r="M2639" i="12" s="1"/>
  <c r="H2639" i="12"/>
  <c r="J2639" i="12"/>
  <c r="K2639" i="12"/>
  <c r="L2639" i="12" s="1"/>
  <c r="N2639" i="12" s="1"/>
  <c r="A2640" i="12"/>
  <c r="B2640" i="12"/>
  <c r="C2640" i="12"/>
  <c r="D2640" i="12"/>
  <c r="E2640" i="12"/>
  <c r="F2640" i="12"/>
  <c r="G2640" i="12"/>
  <c r="H2640" i="12"/>
  <c r="I2640" i="12"/>
  <c r="J2640" i="12"/>
  <c r="L2640" i="12" s="1"/>
  <c r="N2640" i="12" s="1"/>
  <c r="K2640" i="12"/>
  <c r="M2640" i="12"/>
  <c r="A2641" i="12"/>
  <c r="B2641" i="12"/>
  <c r="C2641" i="12"/>
  <c r="D2641" i="12"/>
  <c r="E2641" i="12"/>
  <c r="F2641" i="12"/>
  <c r="G2641" i="12"/>
  <c r="H2641" i="12"/>
  <c r="I2641" i="12"/>
  <c r="M2641" i="12" s="1"/>
  <c r="J2641" i="12"/>
  <c r="K2641" i="12"/>
  <c r="L2641" i="12" s="1"/>
  <c r="N2641" i="12" s="1"/>
  <c r="A2642" i="12"/>
  <c r="B2642" i="12"/>
  <c r="C2642" i="12"/>
  <c r="D2642" i="12"/>
  <c r="E2642" i="12"/>
  <c r="F2642" i="12"/>
  <c r="G2642" i="12"/>
  <c r="H2642" i="12"/>
  <c r="I2642" i="12" s="1"/>
  <c r="M2642" i="12" s="1"/>
  <c r="J2642" i="12"/>
  <c r="K2642" i="12"/>
  <c r="L2642" i="12"/>
  <c r="N2642" i="12" s="1"/>
  <c r="A2643" i="12"/>
  <c r="B2643" i="12"/>
  <c r="C2643" i="12"/>
  <c r="D2643" i="12"/>
  <c r="E2643" i="12"/>
  <c r="F2643" i="12"/>
  <c r="G2643" i="12"/>
  <c r="H2643" i="12"/>
  <c r="I2643" i="12" s="1"/>
  <c r="M2643" i="12" s="1"/>
  <c r="J2643" i="12"/>
  <c r="L2643" i="12" s="1"/>
  <c r="N2643" i="12" s="1"/>
  <c r="K2643" i="12"/>
  <c r="A2644" i="12"/>
  <c r="B2644" i="12"/>
  <c r="C2644" i="12"/>
  <c r="D2644" i="12"/>
  <c r="E2644" i="12"/>
  <c r="F2644" i="12"/>
  <c r="G2644" i="12"/>
  <c r="H2644" i="12"/>
  <c r="I2644" i="12" s="1"/>
  <c r="M2644" i="12" s="1"/>
  <c r="J2644" i="12"/>
  <c r="K2644" i="12"/>
  <c r="L2644" i="12"/>
  <c r="N2644" i="12" s="1"/>
  <c r="A2645" i="12"/>
  <c r="B2645" i="12"/>
  <c r="C2645" i="12"/>
  <c r="D2645" i="12"/>
  <c r="E2645" i="12"/>
  <c r="F2645" i="12"/>
  <c r="G2645" i="12"/>
  <c r="H2645" i="12"/>
  <c r="I2645" i="12" s="1"/>
  <c r="M2645" i="12" s="1"/>
  <c r="J2645" i="12"/>
  <c r="L2645" i="12" s="1"/>
  <c r="N2645" i="12" s="1"/>
  <c r="K2645" i="12"/>
  <c r="A2646" i="12"/>
  <c r="B2646" i="12"/>
  <c r="C2646" i="12"/>
  <c r="D2646" i="12"/>
  <c r="E2646" i="12"/>
  <c r="F2646" i="12"/>
  <c r="G2646" i="12"/>
  <c r="I2646" i="12" s="1"/>
  <c r="M2646" i="12" s="1"/>
  <c r="H2646" i="12"/>
  <c r="J2646" i="12"/>
  <c r="K2646" i="12"/>
  <c r="L2646" i="12"/>
  <c r="N2646" i="12" s="1"/>
  <c r="A2647" i="12"/>
  <c r="B2647" i="12"/>
  <c r="C2647" i="12"/>
  <c r="D2647" i="12"/>
  <c r="E2647" i="12"/>
  <c r="F2647" i="12"/>
  <c r="G2647" i="12"/>
  <c r="H2647" i="12"/>
  <c r="I2647" i="12" s="1"/>
  <c r="M2647" i="12" s="1"/>
  <c r="J2647" i="12"/>
  <c r="L2647" i="12" s="1"/>
  <c r="N2647" i="12" s="1"/>
  <c r="K2647" i="12"/>
  <c r="A2648" i="12"/>
  <c r="B2648" i="12"/>
  <c r="C2648" i="12"/>
  <c r="D2648" i="12"/>
  <c r="E2648" i="12"/>
  <c r="F2648" i="12"/>
  <c r="G2648" i="12"/>
  <c r="I2648" i="12" s="1"/>
  <c r="M2648" i="12" s="1"/>
  <c r="H2648" i="12"/>
  <c r="J2648" i="12"/>
  <c r="K2648" i="12"/>
  <c r="L2648" i="12"/>
  <c r="N2648" i="12" s="1"/>
  <c r="A2649" i="12"/>
  <c r="B2649" i="12"/>
  <c r="C2649" i="12"/>
  <c r="D2649" i="12"/>
  <c r="E2649" i="12"/>
  <c r="F2649" i="12"/>
  <c r="G2649" i="12"/>
  <c r="H2649" i="12"/>
  <c r="I2649" i="12" s="1"/>
  <c r="M2649" i="12" s="1"/>
  <c r="J2649" i="12"/>
  <c r="L2649" i="12" s="1"/>
  <c r="N2649" i="12" s="1"/>
  <c r="K2649" i="12"/>
  <c r="A2650" i="12"/>
  <c r="B2650" i="12"/>
  <c r="C2650" i="12"/>
  <c r="D2650" i="12"/>
  <c r="E2650" i="12"/>
  <c r="F2650" i="12"/>
  <c r="G2650" i="12"/>
  <c r="I2650" i="12" s="1"/>
  <c r="M2650" i="12" s="1"/>
  <c r="H2650" i="12"/>
  <c r="J2650" i="12"/>
  <c r="K2650" i="12"/>
  <c r="L2650" i="12"/>
  <c r="N2650" i="12" s="1"/>
  <c r="A2651" i="12"/>
  <c r="B2651" i="12"/>
  <c r="C2651" i="12"/>
  <c r="D2651" i="12"/>
  <c r="E2651" i="12"/>
  <c r="F2651" i="12"/>
  <c r="G2651" i="12"/>
  <c r="H2651" i="12"/>
  <c r="I2651" i="12" s="1"/>
  <c r="M2651" i="12" s="1"/>
  <c r="J2651" i="12"/>
  <c r="L2651" i="12" s="1"/>
  <c r="N2651" i="12" s="1"/>
  <c r="K2651" i="12"/>
  <c r="A2652" i="12"/>
  <c r="B2652" i="12"/>
  <c r="C2652" i="12"/>
  <c r="D2652" i="12"/>
  <c r="E2652" i="12"/>
  <c r="F2652" i="12"/>
  <c r="G2652" i="12"/>
  <c r="I2652" i="12" s="1"/>
  <c r="M2652" i="12" s="1"/>
  <c r="H2652" i="12"/>
  <c r="J2652" i="12"/>
  <c r="K2652" i="12"/>
  <c r="L2652" i="12"/>
  <c r="N2652" i="12" s="1"/>
  <c r="A2653" i="12"/>
  <c r="B2653" i="12"/>
  <c r="C2653" i="12"/>
  <c r="D2653" i="12"/>
  <c r="E2653" i="12"/>
  <c r="F2653" i="12"/>
  <c r="G2653" i="12"/>
  <c r="H2653" i="12"/>
  <c r="I2653" i="12" s="1"/>
  <c r="M2653" i="12" s="1"/>
  <c r="J2653" i="12"/>
  <c r="L2653" i="12" s="1"/>
  <c r="N2653" i="12" s="1"/>
  <c r="K2653" i="12"/>
  <c r="A2654" i="12"/>
  <c r="B2654" i="12"/>
  <c r="C2654" i="12"/>
  <c r="D2654" i="12"/>
  <c r="E2654" i="12"/>
  <c r="F2654" i="12"/>
  <c r="G2654" i="12"/>
  <c r="I2654" i="12" s="1"/>
  <c r="M2654" i="12" s="1"/>
  <c r="H2654" i="12"/>
  <c r="J2654" i="12"/>
  <c r="K2654" i="12"/>
  <c r="L2654" i="12"/>
  <c r="N2654" i="12" s="1"/>
  <c r="A2655" i="12"/>
  <c r="B2655" i="12"/>
  <c r="C2655" i="12"/>
  <c r="D2655" i="12"/>
  <c r="E2655" i="12"/>
  <c r="F2655" i="12"/>
  <c r="G2655" i="12"/>
  <c r="H2655" i="12"/>
  <c r="I2655" i="12" s="1"/>
  <c r="M2655" i="12" s="1"/>
  <c r="J2655" i="12"/>
  <c r="L2655" i="12" s="1"/>
  <c r="N2655" i="12" s="1"/>
  <c r="K2655" i="12"/>
  <c r="A2656" i="12"/>
  <c r="B2656" i="12"/>
  <c r="C2656" i="12"/>
  <c r="D2656" i="12"/>
  <c r="E2656" i="12"/>
  <c r="F2656" i="12"/>
  <c r="G2656" i="12"/>
  <c r="I2656" i="12" s="1"/>
  <c r="M2656" i="12" s="1"/>
  <c r="H2656" i="12"/>
  <c r="J2656" i="12"/>
  <c r="K2656" i="12"/>
  <c r="L2656" i="12"/>
  <c r="N2656" i="12" s="1"/>
  <c r="A2657" i="12"/>
  <c r="B2657" i="12"/>
  <c r="C2657" i="12"/>
  <c r="D2657" i="12"/>
  <c r="E2657" i="12"/>
  <c r="F2657" i="12"/>
  <c r="G2657" i="12"/>
  <c r="H2657" i="12"/>
  <c r="I2657" i="12" s="1"/>
  <c r="M2657" i="12" s="1"/>
  <c r="J2657" i="12"/>
  <c r="L2657" i="12" s="1"/>
  <c r="N2657" i="12" s="1"/>
  <c r="K2657" i="12"/>
  <c r="A2658" i="12"/>
  <c r="B2658" i="12"/>
  <c r="C2658" i="12"/>
  <c r="D2658" i="12"/>
  <c r="E2658" i="12"/>
  <c r="F2658" i="12"/>
  <c r="G2658" i="12"/>
  <c r="I2658" i="12" s="1"/>
  <c r="M2658" i="12" s="1"/>
  <c r="H2658" i="12"/>
  <c r="J2658" i="12"/>
  <c r="K2658" i="12"/>
  <c r="L2658" i="12"/>
  <c r="N2658" i="12" s="1"/>
  <c r="A2659" i="12"/>
  <c r="B2659" i="12"/>
  <c r="C2659" i="12"/>
  <c r="D2659" i="12"/>
  <c r="E2659" i="12"/>
  <c r="F2659" i="12"/>
  <c r="G2659" i="12"/>
  <c r="H2659" i="12"/>
  <c r="I2659" i="12" s="1"/>
  <c r="M2659" i="12" s="1"/>
  <c r="J2659" i="12"/>
  <c r="L2659" i="12" s="1"/>
  <c r="N2659" i="12" s="1"/>
  <c r="K2659" i="12"/>
  <c r="A2660" i="12"/>
  <c r="B2660" i="12"/>
  <c r="C2660" i="12"/>
  <c r="D2660" i="12"/>
  <c r="E2660" i="12"/>
  <c r="F2660" i="12"/>
  <c r="G2660" i="12"/>
  <c r="I2660" i="12" s="1"/>
  <c r="M2660" i="12" s="1"/>
  <c r="H2660" i="12"/>
  <c r="J2660" i="12"/>
  <c r="K2660" i="12"/>
  <c r="L2660" i="12"/>
  <c r="N2660" i="12" s="1"/>
  <c r="A2661" i="12"/>
  <c r="B2661" i="12"/>
  <c r="C2661" i="12"/>
  <c r="D2661" i="12"/>
  <c r="E2661" i="12"/>
  <c r="F2661" i="12"/>
  <c r="G2661" i="12"/>
  <c r="H2661" i="12"/>
  <c r="I2661" i="12" s="1"/>
  <c r="M2661" i="12" s="1"/>
  <c r="J2661" i="12"/>
  <c r="L2661" i="12" s="1"/>
  <c r="N2661" i="12" s="1"/>
  <c r="K2661" i="12"/>
  <c r="A2662" i="12"/>
  <c r="B2662" i="12"/>
  <c r="C2662" i="12"/>
  <c r="D2662" i="12"/>
  <c r="E2662" i="12"/>
  <c r="F2662" i="12"/>
  <c r="G2662" i="12"/>
  <c r="I2662" i="12" s="1"/>
  <c r="M2662" i="12" s="1"/>
  <c r="H2662" i="12"/>
  <c r="J2662" i="12"/>
  <c r="K2662" i="12"/>
  <c r="L2662" i="12"/>
  <c r="N2662" i="12" s="1"/>
  <c r="A2663" i="12"/>
  <c r="B2663" i="12"/>
  <c r="C2663" i="12"/>
  <c r="D2663" i="12"/>
  <c r="E2663" i="12"/>
  <c r="F2663" i="12"/>
  <c r="G2663" i="12"/>
  <c r="H2663" i="12"/>
  <c r="I2663" i="12" s="1"/>
  <c r="M2663" i="12" s="1"/>
  <c r="J2663" i="12"/>
  <c r="L2663" i="12" s="1"/>
  <c r="N2663" i="12" s="1"/>
  <c r="K2663" i="12"/>
  <c r="A2664" i="12"/>
  <c r="B2664" i="12"/>
  <c r="C2664" i="12"/>
  <c r="D2664" i="12"/>
  <c r="E2664" i="12"/>
  <c r="F2664" i="12"/>
  <c r="G2664" i="12"/>
  <c r="I2664" i="12" s="1"/>
  <c r="M2664" i="12" s="1"/>
  <c r="H2664" i="12"/>
  <c r="J2664" i="12"/>
  <c r="K2664" i="12"/>
  <c r="L2664" i="12"/>
  <c r="N2664" i="12" s="1"/>
  <c r="A2665" i="12"/>
  <c r="B2665" i="12"/>
  <c r="C2665" i="12"/>
  <c r="D2665" i="12"/>
  <c r="E2665" i="12"/>
  <c r="F2665" i="12"/>
  <c r="G2665" i="12"/>
  <c r="H2665" i="12"/>
  <c r="I2665" i="12" s="1"/>
  <c r="M2665" i="12" s="1"/>
  <c r="J2665" i="12"/>
  <c r="L2665" i="12" s="1"/>
  <c r="N2665" i="12" s="1"/>
  <c r="K2665" i="12"/>
  <c r="A2666" i="12"/>
  <c r="B2666" i="12"/>
  <c r="C2666" i="12"/>
  <c r="D2666" i="12"/>
  <c r="E2666" i="12"/>
  <c r="F2666" i="12"/>
  <c r="G2666" i="12"/>
  <c r="I2666" i="12" s="1"/>
  <c r="M2666" i="12" s="1"/>
  <c r="H2666" i="12"/>
  <c r="J2666" i="12"/>
  <c r="K2666" i="12"/>
  <c r="L2666" i="12"/>
  <c r="N2666" i="12" s="1"/>
  <c r="A2667" i="12"/>
  <c r="B2667" i="12"/>
  <c r="C2667" i="12"/>
  <c r="D2667" i="12"/>
  <c r="E2667" i="12"/>
  <c r="F2667" i="12"/>
  <c r="G2667" i="12"/>
  <c r="H2667" i="12"/>
  <c r="I2667" i="12" s="1"/>
  <c r="M2667" i="12" s="1"/>
  <c r="J2667" i="12"/>
  <c r="L2667" i="12" s="1"/>
  <c r="N2667" i="12" s="1"/>
  <c r="K2667" i="12"/>
  <c r="A2668" i="12"/>
  <c r="B2668" i="12"/>
  <c r="C2668" i="12"/>
  <c r="D2668" i="12"/>
  <c r="E2668" i="12"/>
  <c r="F2668" i="12"/>
  <c r="G2668" i="12"/>
  <c r="I2668" i="12" s="1"/>
  <c r="M2668" i="12" s="1"/>
  <c r="H2668" i="12"/>
  <c r="J2668" i="12"/>
  <c r="K2668" i="12"/>
  <c r="L2668" i="12"/>
  <c r="N2668" i="12" s="1"/>
  <c r="A2669" i="12"/>
  <c r="B2669" i="12"/>
  <c r="C2669" i="12"/>
  <c r="D2669" i="12"/>
  <c r="E2669" i="12"/>
  <c r="F2669" i="12"/>
  <c r="G2669" i="12"/>
  <c r="H2669" i="12"/>
  <c r="I2669" i="12" s="1"/>
  <c r="M2669" i="12" s="1"/>
  <c r="J2669" i="12"/>
  <c r="L2669" i="12" s="1"/>
  <c r="N2669" i="12" s="1"/>
  <c r="K2669" i="12"/>
  <c r="A2670" i="12"/>
  <c r="B2670" i="12"/>
  <c r="C2670" i="12"/>
  <c r="D2670" i="12"/>
  <c r="E2670" i="12"/>
  <c r="F2670" i="12"/>
  <c r="G2670" i="12"/>
  <c r="I2670" i="12" s="1"/>
  <c r="M2670" i="12" s="1"/>
  <c r="H2670" i="12"/>
  <c r="J2670" i="12"/>
  <c r="K2670" i="12"/>
  <c r="L2670" i="12"/>
  <c r="N2670" i="12" s="1"/>
  <c r="A2671" i="12"/>
  <c r="B2671" i="12"/>
  <c r="C2671" i="12"/>
  <c r="D2671" i="12"/>
  <c r="E2671" i="12"/>
  <c r="F2671" i="12"/>
  <c r="G2671" i="12"/>
  <c r="H2671" i="12"/>
  <c r="I2671" i="12" s="1"/>
  <c r="M2671" i="12" s="1"/>
  <c r="J2671" i="12"/>
  <c r="L2671" i="12" s="1"/>
  <c r="N2671" i="12" s="1"/>
  <c r="K2671" i="12"/>
  <c r="A2672" i="12"/>
  <c r="B2672" i="12"/>
  <c r="C2672" i="12"/>
  <c r="D2672" i="12"/>
  <c r="E2672" i="12"/>
  <c r="F2672" i="12"/>
  <c r="G2672" i="12"/>
  <c r="I2672" i="12" s="1"/>
  <c r="M2672" i="12" s="1"/>
  <c r="H2672" i="12"/>
  <c r="J2672" i="12"/>
  <c r="K2672" i="12"/>
  <c r="L2672" i="12"/>
  <c r="N2672" i="12" s="1"/>
  <c r="A2673" i="12"/>
  <c r="B2673" i="12"/>
  <c r="C2673" i="12"/>
  <c r="D2673" i="12"/>
  <c r="E2673" i="12"/>
  <c r="F2673" i="12"/>
  <c r="G2673" i="12"/>
  <c r="H2673" i="12"/>
  <c r="I2673" i="12" s="1"/>
  <c r="M2673" i="12" s="1"/>
  <c r="J2673" i="12"/>
  <c r="L2673" i="12" s="1"/>
  <c r="N2673" i="12" s="1"/>
  <c r="K2673" i="12"/>
  <c r="A2674" i="12"/>
  <c r="B2674" i="12"/>
  <c r="C2674" i="12"/>
  <c r="D2674" i="12"/>
  <c r="E2674" i="12"/>
  <c r="F2674" i="12"/>
  <c r="G2674" i="12"/>
  <c r="I2674" i="12" s="1"/>
  <c r="M2674" i="12" s="1"/>
  <c r="H2674" i="12"/>
  <c r="J2674" i="12"/>
  <c r="K2674" i="12"/>
  <c r="L2674" i="12"/>
  <c r="N2674" i="12" s="1"/>
  <c r="A2675" i="12"/>
  <c r="B2675" i="12"/>
  <c r="C2675" i="12"/>
  <c r="D2675" i="12"/>
  <c r="E2675" i="12"/>
  <c r="F2675" i="12"/>
  <c r="G2675" i="12"/>
  <c r="H2675" i="12"/>
  <c r="I2675" i="12" s="1"/>
  <c r="M2675" i="12" s="1"/>
  <c r="J2675" i="12"/>
  <c r="L2675" i="12" s="1"/>
  <c r="N2675" i="12" s="1"/>
  <c r="K2675" i="12"/>
  <c r="A2676" i="12"/>
  <c r="B2676" i="12"/>
  <c r="C2676" i="12"/>
  <c r="D2676" i="12"/>
  <c r="E2676" i="12"/>
  <c r="F2676" i="12"/>
  <c r="G2676" i="12"/>
  <c r="I2676" i="12" s="1"/>
  <c r="M2676" i="12" s="1"/>
  <c r="H2676" i="12"/>
  <c r="J2676" i="12"/>
  <c r="K2676" i="12"/>
  <c r="L2676" i="12"/>
  <c r="N2676" i="12" s="1"/>
  <c r="A2677" i="12"/>
  <c r="B2677" i="12"/>
  <c r="C2677" i="12"/>
  <c r="D2677" i="12"/>
  <c r="E2677" i="12"/>
  <c r="F2677" i="12"/>
  <c r="G2677" i="12"/>
  <c r="H2677" i="12"/>
  <c r="I2677" i="12" s="1"/>
  <c r="M2677" i="12" s="1"/>
  <c r="J2677" i="12"/>
  <c r="L2677" i="12" s="1"/>
  <c r="N2677" i="12" s="1"/>
  <c r="K2677" i="12"/>
  <c r="A2678" i="12"/>
  <c r="B2678" i="12"/>
  <c r="C2678" i="12"/>
  <c r="D2678" i="12"/>
  <c r="E2678" i="12"/>
  <c r="F2678" i="12"/>
  <c r="G2678" i="12"/>
  <c r="I2678" i="12" s="1"/>
  <c r="M2678" i="12" s="1"/>
  <c r="H2678" i="12"/>
  <c r="J2678" i="12"/>
  <c r="K2678" i="12"/>
  <c r="L2678" i="12"/>
  <c r="N2678" i="12" s="1"/>
  <c r="A2679" i="12"/>
  <c r="B2679" i="12"/>
  <c r="C2679" i="12"/>
  <c r="D2679" i="12"/>
  <c r="E2679" i="12"/>
  <c r="F2679" i="12"/>
  <c r="G2679" i="12"/>
  <c r="H2679" i="12"/>
  <c r="I2679" i="12" s="1"/>
  <c r="M2679" i="12" s="1"/>
  <c r="J2679" i="12"/>
  <c r="L2679" i="12" s="1"/>
  <c r="N2679" i="12" s="1"/>
  <c r="K2679" i="12"/>
  <c r="A2680" i="12"/>
  <c r="B2680" i="12"/>
  <c r="C2680" i="12"/>
  <c r="D2680" i="12"/>
  <c r="E2680" i="12"/>
  <c r="F2680" i="12"/>
  <c r="G2680" i="12"/>
  <c r="I2680" i="12" s="1"/>
  <c r="M2680" i="12" s="1"/>
  <c r="H2680" i="12"/>
  <c r="J2680" i="12"/>
  <c r="K2680" i="12"/>
  <c r="L2680" i="12"/>
  <c r="N2680" i="12" s="1"/>
  <c r="A2681" i="12"/>
  <c r="B2681" i="12"/>
  <c r="C2681" i="12"/>
  <c r="D2681" i="12"/>
  <c r="E2681" i="12"/>
  <c r="F2681" i="12"/>
  <c r="G2681" i="12"/>
  <c r="H2681" i="12"/>
  <c r="I2681" i="12" s="1"/>
  <c r="M2681" i="12" s="1"/>
  <c r="J2681" i="12"/>
  <c r="L2681" i="12" s="1"/>
  <c r="N2681" i="12" s="1"/>
  <c r="K2681" i="12"/>
  <c r="A2682" i="12"/>
  <c r="B2682" i="12"/>
  <c r="C2682" i="12"/>
  <c r="D2682" i="12"/>
  <c r="E2682" i="12"/>
  <c r="F2682" i="12"/>
  <c r="G2682" i="12"/>
  <c r="I2682" i="12" s="1"/>
  <c r="M2682" i="12" s="1"/>
  <c r="H2682" i="12"/>
  <c r="J2682" i="12"/>
  <c r="K2682" i="12"/>
  <c r="L2682" i="12"/>
  <c r="N2682" i="12" s="1"/>
  <c r="A2683" i="12"/>
  <c r="B2683" i="12"/>
  <c r="C2683" i="12"/>
  <c r="D2683" i="12"/>
  <c r="E2683" i="12"/>
  <c r="F2683" i="12"/>
  <c r="G2683" i="12"/>
  <c r="H2683" i="12"/>
  <c r="I2683" i="12" s="1"/>
  <c r="M2683" i="12" s="1"/>
  <c r="J2683" i="12"/>
  <c r="L2683" i="12" s="1"/>
  <c r="N2683" i="12" s="1"/>
  <c r="K2683" i="12"/>
  <c r="A2684" i="12"/>
  <c r="B2684" i="12"/>
  <c r="C2684" i="12"/>
  <c r="D2684" i="12"/>
  <c r="E2684" i="12"/>
  <c r="F2684" i="12"/>
  <c r="G2684" i="12"/>
  <c r="I2684" i="12" s="1"/>
  <c r="M2684" i="12" s="1"/>
  <c r="H2684" i="12"/>
  <c r="J2684" i="12"/>
  <c r="K2684" i="12"/>
  <c r="L2684" i="12"/>
  <c r="N2684" i="12" s="1"/>
  <c r="A2685" i="12"/>
  <c r="B2685" i="12"/>
  <c r="C2685" i="12"/>
  <c r="D2685" i="12"/>
  <c r="E2685" i="12"/>
  <c r="F2685" i="12"/>
  <c r="G2685" i="12"/>
  <c r="H2685" i="12"/>
  <c r="I2685" i="12" s="1"/>
  <c r="M2685" i="12" s="1"/>
  <c r="J2685" i="12"/>
  <c r="L2685" i="12" s="1"/>
  <c r="N2685" i="12" s="1"/>
  <c r="K2685" i="12"/>
  <c r="A2686" i="12"/>
  <c r="B2686" i="12"/>
  <c r="C2686" i="12"/>
  <c r="D2686" i="12"/>
  <c r="E2686" i="12"/>
  <c r="F2686" i="12"/>
  <c r="G2686" i="12"/>
  <c r="I2686" i="12" s="1"/>
  <c r="M2686" i="12" s="1"/>
  <c r="H2686" i="12"/>
  <c r="J2686" i="12"/>
  <c r="K2686" i="12"/>
  <c r="L2686" i="12"/>
  <c r="N2686" i="12" s="1"/>
  <c r="A2687" i="12"/>
  <c r="B2687" i="12"/>
  <c r="C2687" i="12"/>
  <c r="D2687" i="12"/>
  <c r="E2687" i="12"/>
  <c r="F2687" i="12"/>
  <c r="G2687" i="12"/>
  <c r="H2687" i="12"/>
  <c r="I2687" i="12" s="1"/>
  <c r="M2687" i="12" s="1"/>
  <c r="J2687" i="12"/>
  <c r="L2687" i="12" s="1"/>
  <c r="N2687" i="12" s="1"/>
  <c r="K2687" i="12"/>
  <c r="A2688" i="12"/>
  <c r="B2688" i="12"/>
  <c r="C2688" i="12"/>
  <c r="D2688" i="12"/>
  <c r="E2688" i="12"/>
  <c r="F2688" i="12"/>
  <c r="G2688" i="12"/>
  <c r="I2688" i="12" s="1"/>
  <c r="M2688" i="12" s="1"/>
  <c r="H2688" i="12"/>
  <c r="J2688" i="12"/>
  <c r="K2688" i="12"/>
  <c r="L2688" i="12"/>
  <c r="N2688" i="12" s="1"/>
  <c r="A2689" i="12"/>
  <c r="B2689" i="12"/>
  <c r="C2689" i="12"/>
  <c r="D2689" i="12"/>
  <c r="E2689" i="12"/>
  <c r="F2689" i="12"/>
  <c r="G2689" i="12"/>
  <c r="H2689" i="12"/>
  <c r="I2689" i="12" s="1"/>
  <c r="M2689" i="12" s="1"/>
  <c r="J2689" i="12"/>
  <c r="L2689" i="12" s="1"/>
  <c r="N2689" i="12" s="1"/>
  <c r="K2689" i="12"/>
  <c r="A2690" i="12"/>
  <c r="B2690" i="12"/>
  <c r="C2690" i="12"/>
  <c r="D2690" i="12"/>
  <c r="E2690" i="12"/>
  <c r="F2690" i="12"/>
  <c r="G2690" i="12"/>
  <c r="I2690" i="12" s="1"/>
  <c r="M2690" i="12" s="1"/>
  <c r="H2690" i="12"/>
  <c r="J2690" i="12"/>
  <c r="K2690" i="12"/>
  <c r="L2690" i="12"/>
  <c r="N2690" i="12" s="1"/>
  <c r="A2691" i="12"/>
  <c r="B2691" i="12"/>
  <c r="C2691" i="12"/>
  <c r="D2691" i="12"/>
  <c r="E2691" i="12"/>
  <c r="F2691" i="12"/>
  <c r="G2691" i="12"/>
  <c r="H2691" i="12"/>
  <c r="I2691" i="12" s="1"/>
  <c r="M2691" i="12" s="1"/>
  <c r="J2691" i="12"/>
  <c r="L2691" i="12" s="1"/>
  <c r="N2691" i="12" s="1"/>
  <c r="K2691" i="12"/>
  <c r="A2692" i="12"/>
  <c r="B2692" i="12"/>
  <c r="C2692" i="12"/>
  <c r="D2692" i="12"/>
  <c r="E2692" i="12"/>
  <c r="F2692" i="12"/>
  <c r="G2692" i="12"/>
  <c r="I2692" i="12" s="1"/>
  <c r="M2692" i="12" s="1"/>
  <c r="H2692" i="12"/>
  <c r="J2692" i="12"/>
  <c r="K2692" i="12"/>
  <c r="L2692" i="12"/>
  <c r="N2692" i="12" s="1"/>
  <c r="A2693" i="12"/>
  <c r="B2693" i="12"/>
  <c r="C2693" i="12"/>
  <c r="D2693" i="12"/>
  <c r="E2693" i="12"/>
  <c r="F2693" i="12"/>
  <c r="G2693" i="12"/>
  <c r="H2693" i="12"/>
  <c r="I2693" i="12" s="1"/>
  <c r="M2693" i="12" s="1"/>
  <c r="J2693" i="12"/>
  <c r="L2693" i="12" s="1"/>
  <c r="N2693" i="12" s="1"/>
  <c r="K2693" i="12"/>
  <c r="A2694" i="12"/>
  <c r="B2694" i="12"/>
  <c r="C2694" i="12"/>
  <c r="D2694" i="12"/>
  <c r="E2694" i="12"/>
  <c r="F2694" i="12"/>
  <c r="G2694" i="12"/>
  <c r="I2694" i="12" s="1"/>
  <c r="M2694" i="12" s="1"/>
  <c r="H2694" i="12"/>
  <c r="J2694" i="12"/>
  <c r="K2694" i="12"/>
  <c r="L2694" i="12"/>
  <c r="N2694" i="12" s="1"/>
  <c r="A2695" i="12"/>
  <c r="B2695" i="12"/>
  <c r="C2695" i="12"/>
  <c r="D2695" i="12"/>
  <c r="E2695" i="12"/>
  <c r="F2695" i="12"/>
  <c r="G2695" i="12"/>
  <c r="H2695" i="12"/>
  <c r="I2695" i="12"/>
  <c r="J2695" i="12"/>
  <c r="L2695" i="12" s="1"/>
  <c r="N2695" i="12" s="1"/>
  <c r="K2695" i="12"/>
  <c r="M2695" i="12"/>
  <c r="A2696" i="12"/>
  <c r="B2696" i="12"/>
  <c r="C2696" i="12"/>
  <c r="D2696" i="12"/>
  <c r="E2696" i="12"/>
  <c r="F2696" i="12"/>
  <c r="G2696" i="12"/>
  <c r="I2696" i="12" s="1"/>
  <c r="M2696" i="12" s="1"/>
  <c r="H2696" i="12"/>
  <c r="J2696" i="12"/>
  <c r="K2696" i="12"/>
  <c r="L2696" i="12"/>
  <c r="N2696" i="12" s="1"/>
  <c r="A2697" i="12"/>
  <c r="B2697" i="12"/>
  <c r="C2697" i="12"/>
  <c r="D2697" i="12"/>
  <c r="E2697" i="12"/>
  <c r="F2697" i="12"/>
  <c r="G2697" i="12"/>
  <c r="H2697" i="12"/>
  <c r="I2697" i="12"/>
  <c r="J2697" i="12"/>
  <c r="L2697" i="12" s="1"/>
  <c r="N2697" i="12" s="1"/>
  <c r="K2697" i="12"/>
  <c r="M2697" i="12"/>
  <c r="A2698" i="12"/>
  <c r="B2698" i="12"/>
  <c r="C2698" i="12"/>
  <c r="D2698" i="12"/>
  <c r="E2698" i="12"/>
  <c r="F2698" i="12"/>
  <c r="G2698" i="12"/>
  <c r="I2698" i="12" s="1"/>
  <c r="M2698" i="12" s="1"/>
  <c r="H2698" i="12"/>
  <c r="J2698" i="12"/>
  <c r="K2698" i="12"/>
  <c r="L2698" i="12"/>
  <c r="N2698" i="12" s="1"/>
  <c r="A2699" i="12"/>
  <c r="B2699" i="12"/>
  <c r="C2699" i="12"/>
  <c r="D2699" i="12"/>
  <c r="E2699" i="12"/>
  <c r="F2699" i="12"/>
  <c r="G2699" i="12"/>
  <c r="H2699" i="12"/>
  <c r="I2699" i="12"/>
  <c r="J2699" i="12"/>
  <c r="L2699" i="12" s="1"/>
  <c r="N2699" i="12" s="1"/>
  <c r="K2699" i="12"/>
  <c r="M2699" i="12"/>
  <c r="A2700" i="12"/>
  <c r="B2700" i="12"/>
  <c r="C2700" i="12"/>
  <c r="D2700" i="12"/>
  <c r="E2700" i="12"/>
  <c r="F2700" i="12"/>
  <c r="G2700" i="12"/>
  <c r="I2700" i="12" s="1"/>
  <c r="M2700" i="12" s="1"/>
  <c r="H2700" i="12"/>
  <c r="J2700" i="12"/>
  <c r="K2700" i="12"/>
  <c r="L2700" i="12"/>
  <c r="N2700" i="12" s="1"/>
  <c r="A2701" i="12"/>
  <c r="B2701" i="12"/>
  <c r="C2701" i="12"/>
  <c r="D2701" i="12"/>
  <c r="E2701" i="12"/>
  <c r="F2701" i="12"/>
  <c r="G2701" i="12"/>
  <c r="H2701" i="12"/>
  <c r="I2701" i="12"/>
  <c r="J2701" i="12"/>
  <c r="L2701" i="12" s="1"/>
  <c r="N2701" i="12" s="1"/>
  <c r="K2701" i="12"/>
  <c r="M2701" i="12"/>
  <c r="A2702" i="12"/>
  <c r="B2702" i="12"/>
  <c r="C2702" i="12"/>
  <c r="D2702" i="12"/>
  <c r="E2702" i="12"/>
  <c r="F2702" i="12"/>
  <c r="G2702" i="12"/>
  <c r="I2702" i="12" s="1"/>
  <c r="M2702" i="12" s="1"/>
  <c r="H2702" i="12"/>
  <c r="J2702" i="12"/>
  <c r="K2702" i="12"/>
  <c r="L2702" i="12"/>
  <c r="N2702" i="12" s="1"/>
  <c r="A2703" i="12"/>
  <c r="B2703" i="12"/>
  <c r="C2703" i="12"/>
  <c r="D2703" i="12"/>
  <c r="E2703" i="12"/>
  <c r="F2703" i="12"/>
  <c r="G2703" i="12"/>
  <c r="H2703" i="12"/>
  <c r="I2703" i="12"/>
  <c r="J2703" i="12"/>
  <c r="L2703" i="12" s="1"/>
  <c r="N2703" i="12" s="1"/>
  <c r="K2703" i="12"/>
  <c r="M2703" i="12"/>
  <c r="A2704" i="12"/>
  <c r="B2704" i="12"/>
  <c r="C2704" i="12"/>
  <c r="D2704" i="12"/>
  <c r="E2704" i="12"/>
  <c r="F2704" i="12"/>
  <c r="G2704" i="12"/>
  <c r="I2704" i="12" s="1"/>
  <c r="M2704" i="12" s="1"/>
  <c r="H2704" i="12"/>
  <c r="J2704" i="12"/>
  <c r="K2704" i="12"/>
  <c r="L2704" i="12"/>
  <c r="N2704" i="12" s="1"/>
  <c r="A2705" i="12"/>
  <c r="B2705" i="12"/>
  <c r="C2705" i="12"/>
  <c r="D2705" i="12"/>
  <c r="E2705" i="12"/>
  <c r="F2705" i="12"/>
  <c r="G2705" i="12"/>
  <c r="H2705" i="12"/>
  <c r="I2705" i="12"/>
  <c r="J2705" i="12"/>
  <c r="L2705" i="12" s="1"/>
  <c r="N2705" i="12" s="1"/>
  <c r="K2705" i="12"/>
  <c r="M2705" i="12"/>
  <c r="A2706" i="12"/>
  <c r="B2706" i="12"/>
  <c r="C2706" i="12"/>
  <c r="D2706" i="12"/>
  <c r="E2706" i="12"/>
  <c r="F2706" i="12"/>
  <c r="G2706" i="12"/>
  <c r="I2706" i="12" s="1"/>
  <c r="M2706" i="12" s="1"/>
  <c r="H2706" i="12"/>
  <c r="J2706" i="12"/>
  <c r="K2706" i="12"/>
  <c r="L2706" i="12"/>
  <c r="N2706" i="12" s="1"/>
  <c r="A2707" i="12"/>
  <c r="B2707" i="12"/>
  <c r="C2707" i="12"/>
  <c r="D2707" i="12"/>
  <c r="E2707" i="12"/>
  <c r="F2707" i="12"/>
  <c r="G2707" i="12"/>
  <c r="H2707" i="12"/>
  <c r="I2707" i="12"/>
  <c r="J2707" i="12"/>
  <c r="L2707" i="12" s="1"/>
  <c r="N2707" i="12" s="1"/>
  <c r="K2707" i="12"/>
  <c r="M2707" i="12"/>
  <c r="A2708" i="12"/>
  <c r="B2708" i="12"/>
  <c r="C2708" i="12"/>
  <c r="D2708" i="12"/>
  <c r="E2708" i="12"/>
  <c r="F2708" i="12"/>
  <c r="G2708" i="12"/>
  <c r="I2708" i="12" s="1"/>
  <c r="M2708" i="12" s="1"/>
  <c r="H2708" i="12"/>
  <c r="J2708" i="12"/>
  <c r="K2708" i="12"/>
  <c r="L2708" i="12"/>
  <c r="N2708" i="12" s="1"/>
  <c r="A2709" i="12"/>
  <c r="B2709" i="12"/>
  <c r="C2709" i="12"/>
  <c r="D2709" i="12"/>
  <c r="E2709" i="12"/>
  <c r="F2709" i="12"/>
  <c r="G2709" i="12"/>
  <c r="H2709" i="12"/>
  <c r="I2709" i="12"/>
  <c r="J2709" i="12"/>
  <c r="L2709" i="12" s="1"/>
  <c r="N2709" i="12" s="1"/>
  <c r="K2709" i="12"/>
  <c r="M2709" i="12"/>
  <c r="A2710" i="12"/>
  <c r="B2710" i="12"/>
  <c r="C2710" i="12"/>
  <c r="D2710" i="12"/>
  <c r="E2710" i="12"/>
  <c r="F2710" i="12"/>
  <c r="G2710" i="12"/>
  <c r="I2710" i="12" s="1"/>
  <c r="M2710" i="12" s="1"/>
  <c r="H2710" i="12"/>
  <c r="J2710" i="12"/>
  <c r="K2710" i="12"/>
  <c r="L2710" i="12"/>
  <c r="N2710" i="12" s="1"/>
  <c r="A2711" i="12"/>
  <c r="B2711" i="12"/>
  <c r="C2711" i="12"/>
  <c r="D2711" i="12"/>
  <c r="E2711" i="12"/>
  <c r="F2711" i="12"/>
  <c r="G2711" i="12"/>
  <c r="H2711" i="12"/>
  <c r="I2711" i="12"/>
  <c r="J2711" i="12"/>
  <c r="L2711" i="12" s="1"/>
  <c r="N2711" i="12" s="1"/>
  <c r="K2711" i="12"/>
  <c r="M2711" i="12"/>
  <c r="A2712" i="12"/>
  <c r="B2712" i="12"/>
  <c r="C2712" i="12"/>
  <c r="D2712" i="12"/>
  <c r="E2712" i="12"/>
  <c r="F2712" i="12"/>
  <c r="G2712" i="12"/>
  <c r="I2712" i="12" s="1"/>
  <c r="M2712" i="12" s="1"/>
  <c r="H2712" i="12"/>
  <c r="J2712" i="12"/>
  <c r="K2712" i="12"/>
  <c r="L2712" i="12"/>
  <c r="N2712" i="12" s="1"/>
  <c r="A2713" i="12"/>
  <c r="B2713" i="12"/>
  <c r="C2713" i="12"/>
  <c r="D2713" i="12"/>
  <c r="E2713" i="12"/>
  <c r="F2713" i="12"/>
  <c r="G2713" i="12"/>
  <c r="H2713" i="12"/>
  <c r="I2713" i="12"/>
  <c r="J2713" i="12"/>
  <c r="L2713" i="12" s="1"/>
  <c r="N2713" i="12" s="1"/>
  <c r="K2713" i="12"/>
  <c r="M2713" i="12"/>
  <c r="A2714" i="12"/>
  <c r="B2714" i="12"/>
  <c r="C2714" i="12"/>
  <c r="D2714" i="12"/>
  <c r="E2714" i="12"/>
  <c r="F2714" i="12"/>
  <c r="G2714" i="12"/>
  <c r="I2714" i="12" s="1"/>
  <c r="M2714" i="12" s="1"/>
  <c r="H2714" i="12"/>
  <c r="J2714" i="12"/>
  <c r="K2714" i="12"/>
  <c r="L2714" i="12"/>
  <c r="N2714" i="12" s="1"/>
  <c r="A2715" i="12"/>
  <c r="B2715" i="12"/>
  <c r="C2715" i="12"/>
  <c r="D2715" i="12"/>
  <c r="E2715" i="12"/>
  <c r="F2715" i="12"/>
  <c r="G2715" i="12"/>
  <c r="H2715" i="12"/>
  <c r="I2715" i="12"/>
  <c r="J2715" i="12"/>
  <c r="L2715" i="12" s="1"/>
  <c r="N2715" i="12" s="1"/>
  <c r="K2715" i="12"/>
  <c r="M2715" i="12"/>
  <c r="A2716" i="12"/>
  <c r="B2716" i="12"/>
  <c r="C2716" i="12"/>
  <c r="D2716" i="12"/>
  <c r="E2716" i="12"/>
  <c r="F2716" i="12"/>
  <c r="G2716" i="12"/>
  <c r="I2716" i="12" s="1"/>
  <c r="M2716" i="12" s="1"/>
  <c r="H2716" i="12"/>
  <c r="J2716" i="12"/>
  <c r="K2716" i="12"/>
  <c r="L2716" i="12"/>
  <c r="N2716" i="12" s="1"/>
  <c r="A2717" i="12"/>
  <c r="B2717" i="12"/>
  <c r="C2717" i="12"/>
  <c r="D2717" i="12"/>
  <c r="E2717" i="12"/>
  <c r="F2717" i="12"/>
  <c r="G2717" i="12"/>
  <c r="H2717" i="12"/>
  <c r="I2717" i="12"/>
  <c r="J2717" i="12"/>
  <c r="L2717" i="12" s="1"/>
  <c r="N2717" i="12" s="1"/>
  <c r="K2717" i="12"/>
  <c r="M2717" i="12"/>
  <c r="A2718" i="12"/>
  <c r="B2718" i="12"/>
  <c r="C2718" i="12"/>
  <c r="D2718" i="12"/>
  <c r="E2718" i="12"/>
  <c r="F2718" i="12"/>
  <c r="G2718" i="12"/>
  <c r="I2718" i="12" s="1"/>
  <c r="M2718" i="12" s="1"/>
  <c r="H2718" i="12"/>
  <c r="J2718" i="12"/>
  <c r="K2718" i="12"/>
  <c r="L2718" i="12"/>
  <c r="N2718" i="12" s="1"/>
  <c r="A2719" i="12"/>
  <c r="B2719" i="12"/>
  <c r="C2719" i="12"/>
  <c r="D2719" i="12"/>
  <c r="E2719" i="12"/>
  <c r="F2719" i="12"/>
  <c r="G2719" i="12"/>
  <c r="H2719" i="12"/>
  <c r="I2719" i="12"/>
  <c r="J2719" i="12"/>
  <c r="L2719" i="12" s="1"/>
  <c r="N2719" i="12" s="1"/>
  <c r="K2719" i="12"/>
  <c r="M2719" i="12"/>
  <c r="A2720" i="12"/>
  <c r="B2720" i="12"/>
  <c r="C2720" i="12"/>
  <c r="D2720" i="12"/>
  <c r="E2720" i="12"/>
  <c r="F2720" i="12"/>
  <c r="G2720" i="12"/>
  <c r="I2720" i="12" s="1"/>
  <c r="M2720" i="12" s="1"/>
  <c r="H2720" i="12"/>
  <c r="J2720" i="12"/>
  <c r="K2720" i="12"/>
  <c r="L2720" i="12"/>
  <c r="N2720" i="12" s="1"/>
  <c r="A2721" i="12"/>
  <c r="B2721" i="12"/>
  <c r="C2721" i="12"/>
  <c r="D2721" i="12"/>
  <c r="E2721" i="12"/>
  <c r="F2721" i="12"/>
  <c r="G2721" i="12"/>
  <c r="H2721" i="12"/>
  <c r="I2721" i="12"/>
  <c r="J2721" i="12"/>
  <c r="L2721" i="12" s="1"/>
  <c r="N2721" i="12" s="1"/>
  <c r="K2721" i="12"/>
  <c r="M2721" i="12"/>
  <c r="A2722" i="12"/>
  <c r="B2722" i="12"/>
  <c r="C2722" i="12"/>
  <c r="D2722" i="12"/>
  <c r="E2722" i="12"/>
  <c r="F2722" i="12"/>
  <c r="G2722" i="12"/>
  <c r="I2722" i="12" s="1"/>
  <c r="M2722" i="12" s="1"/>
  <c r="H2722" i="12"/>
  <c r="J2722" i="12"/>
  <c r="K2722" i="12"/>
  <c r="L2722" i="12"/>
  <c r="N2722" i="12" s="1"/>
  <c r="A2723" i="12"/>
  <c r="B2723" i="12"/>
  <c r="C2723" i="12"/>
  <c r="D2723" i="12"/>
  <c r="E2723" i="12"/>
  <c r="F2723" i="12"/>
  <c r="G2723" i="12"/>
  <c r="H2723" i="12"/>
  <c r="I2723" i="12"/>
  <c r="J2723" i="12"/>
  <c r="L2723" i="12" s="1"/>
  <c r="N2723" i="12" s="1"/>
  <c r="K2723" i="12"/>
  <c r="M2723" i="12"/>
  <c r="A2724" i="12"/>
  <c r="B2724" i="12"/>
  <c r="C2724" i="12"/>
  <c r="D2724" i="12"/>
  <c r="E2724" i="12"/>
  <c r="F2724" i="12"/>
  <c r="G2724" i="12"/>
  <c r="I2724" i="12" s="1"/>
  <c r="M2724" i="12" s="1"/>
  <c r="H2724" i="12"/>
  <c r="J2724" i="12"/>
  <c r="K2724" i="12"/>
  <c r="L2724" i="12"/>
  <c r="N2724" i="12" s="1"/>
  <c r="A2725" i="12"/>
  <c r="B2725" i="12"/>
  <c r="C2725" i="12"/>
  <c r="D2725" i="12"/>
  <c r="E2725" i="12"/>
  <c r="F2725" i="12"/>
  <c r="G2725" i="12"/>
  <c r="H2725" i="12"/>
  <c r="I2725" i="12"/>
  <c r="J2725" i="12"/>
  <c r="L2725" i="12" s="1"/>
  <c r="N2725" i="12" s="1"/>
  <c r="K2725" i="12"/>
  <c r="M2725" i="12"/>
  <c r="A2726" i="12"/>
  <c r="B2726" i="12"/>
  <c r="C2726" i="12"/>
  <c r="D2726" i="12"/>
  <c r="E2726" i="12"/>
  <c r="F2726" i="12"/>
  <c r="G2726" i="12"/>
  <c r="I2726" i="12" s="1"/>
  <c r="M2726" i="12" s="1"/>
  <c r="H2726" i="12"/>
  <c r="J2726" i="12"/>
  <c r="K2726" i="12"/>
  <c r="L2726" i="12"/>
  <c r="N2726" i="12" s="1"/>
  <c r="A2727" i="12"/>
  <c r="B2727" i="12"/>
  <c r="C2727" i="12"/>
  <c r="D2727" i="12"/>
  <c r="E2727" i="12"/>
  <c r="F2727" i="12"/>
  <c r="G2727" i="12"/>
  <c r="H2727" i="12"/>
  <c r="I2727" i="12"/>
  <c r="J2727" i="12"/>
  <c r="L2727" i="12" s="1"/>
  <c r="N2727" i="12" s="1"/>
  <c r="K2727" i="12"/>
  <c r="M2727" i="12"/>
  <c r="A2728" i="12"/>
  <c r="B2728" i="12"/>
  <c r="C2728" i="12"/>
  <c r="D2728" i="12"/>
  <c r="E2728" i="12"/>
  <c r="F2728" i="12"/>
  <c r="G2728" i="12"/>
  <c r="I2728" i="12" s="1"/>
  <c r="M2728" i="12" s="1"/>
  <c r="H2728" i="12"/>
  <c r="J2728" i="12"/>
  <c r="K2728" i="12"/>
  <c r="L2728" i="12"/>
  <c r="N2728" i="12" s="1"/>
  <c r="A2729" i="12"/>
  <c r="B2729" i="12"/>
  <c r="C2729" i="12"/>
  <c r="D2729" i="12"/>
  <c r="E2729" i="12"/>
  <c r="F2729" i="12"/>
  <c r="G2729" i="12"/>
  <c r="H2729" i="12"/>
  <c r="I2729" i="12"/>
  <c r="J2729" i="12"/>
  <c r="L2729" i="12" s="1"/>
  <c r="N2729" i="12" s="1"/>
  <c r="K2729" i="12"/>
  <c r="M2729" i="12"/>
  <c r="A2730" i="12"/>
  <c r="B2730" i="12"/>
  <c r="C2730" i="12"/>
  <c r="D2730" i="12"/>
  <c r="E2730" i="12"/>
  <c r="F2730" i="12"/>
  <c r="G2730" i="12"/>
  <c r="I2730" i="12" s="1"/>
  <c r="M2730" i="12" s="1"/>
  <c r="H2730" i="12"/>
  <c r="J2730" i="12"/>
  <c r="K2730" i="12"/>
  <c r="L2730" i="12"/>
  <c r="N2730" i="12" s="1"/>
  <c r="A2731" i="12"/>
  <c r="B2731" i="12"/>
  <c r="C2731" i="12"/>
  <c r="D2731" i="12"/>
  <c r="E2731" i="12"/>
  <c r="F2731" i="12"/>
  <c r="G2731" i="12"/>
  <c r="H2731" i="12"/>
  <c r="I2731" i="12"/>
  <c r="J2731" i="12"/>
  <c r="L2731" i="12" s="1"/>
  <c r="N2731" i="12" s="1"/>
  <c r="K2731" i="12"/>
  <c r="M2731" i="12"/>
  <c r="A2732" i="12"/>
  <c r="B2732" i="12"/>
  <c r="C2732" i="12"/>
  <c r="D2732" i="12"/>
  <c r="E2732" i="12"/>
  <c r="F2732" i="12"/>
  <c r="G2732" i="12"/>
  <c r="I2732" i="12" s="1"/>
  <c r="M2732" i="12" s="1"/>
  <c r="H2732" i="12"/>
  <c r="J2732" i="12"/>
  <c r="K2732" i="12"/>
  <c r="L2732" i="12"/>
  <c r="N2732" i="12" s="1"/>
  <c r="A2733" i="12"/>
  <c r="B2733" i="12"/>
  <c r="C2733" i="12"/>
  <c r="D2733" i="12"/>
  <c r="E2733" i="12"/>
  <c r="F2733" i="12"/>
  <c r="G2733" i="12"/>
  <c r="H2733" i="12"/>
  <c r="I2733" i="12"/>
  <c r="J2733" i="12"/>
  <c r="L2733" i="12" s="1"/>
  <c r="N2733" i="12" s="1"/>
  <c r="K2733" i="12"/>
  <c r="M2733" i="12"/>
  <c r="A2734" i="12"/>
  <c r="B2734" i="12"/>
  <c r="C2734" i="12"/>
  <c r="D2734" i="12"/>
  <c r="E2734" i="12"/>
  <c r="F2734" i="12"/>
  <c r="G2734" i="12"/>
  <c r="I2734" i="12" s="1"/>
  <c r="M2734" i="12" s="1"/>
  <c r="H2734" i="12"/>
  <c r="J2734" i="12"/>
  <c r="K2734" i="12"/>
  <c r="L2734" i="12"/>
  <c r="N2734" i="12" s="1"/>
  <c r="A2735" i="12"/>
  <c r="B2735" i="12"/>
  <c r="C2735" i="12"/>
  <c r="D2735" i="12"/>
  <c r="E2735" i="12"/>
  <c r="F2735" i="12"/>
  <c r="G2735" i="12"/>
  <c r="H2735" i="12"/>
  <c r="I2735" i="12"/>
  <c r="J2735" i="12"/>
  <c r="L2735" i="12" s="1"/>
  <c r="N2735" i="12" s="1"/>
  <c r="K2735" i="12"/>
  <c r="M2735" i="12"/>
  <c r="A2736" i="12"/>
  <c r="B2736" i="12"/>
  <c r="C2736" i="12"/>
  <c r="D2736" i="12"/>
  <c r="E2736" i="12"/>
  <c r="F2736" i="12"/>
  <c r="G2736" i="12"/>
  <c r="I2736" i="12" s="1"/>
  <c r="M2736" i="12" s="1"/>
  <c r="H2736" i="12"/>
  <c r="J2736" i="12"/>
  <c r="K2736" i="12"/>
  <c r="L2736" i="12"/>
  <c r="N2736" i="12" s="1"/>
  <c r="A2737" i="12"/>
  <c r="B2737" i="12"/>
  <c r="C2737" i="12"/>
  <c r="D2737" i="12"/>
  <c r="E2737" i="12"/>
  <c r="F2737" i="12"/>
  <c r="G2737" i="12"/>
  <c r="H2737" i="12"/>
  <c r="I2737" i="12"/>
  <c r="J2737" i="12"/>
  <c r="L2737" i="12" s="1"/>
  <c r="N2737" i="12" s="1"/>
  <c r="K2737" i="12"/>
  <c r="M2737" i="12"/>
  <c r="A2738" i="12"/>
  <c r="B2738" i="12"/>
  <c r="C2738" i="12"/>
  <c r="D2738" i="12"/>
  <c r="E2738" i="12"/>
  <c r="F2738" i="12"/>
  <c r="G2738" i="12"/>
  <c r="I2738" i="12" s="1"/>
  <c r="M2738" i="12" s="1"/>
  <c r="H2738" i="12"/>
  <c r="J2738" i="12"/>
  <c r="K2738" i="12"/>
  <c r="L2738" i="12"/>
  <c r="N2738" i="12" s="1"/>
  <c r="A2739" i="12"/>
  <c r="B2739" i="12"/>
  <c r="C2739" i="12"/>
  <c r="D2739" i="12"/>
  <c r="E2739" i="12"/>
  <c r="F2739" i="12"/>
  <c r="G2739" i="12"/>
  <c r="H2739" i="12"/>
  <c r="I2739" i="12"/>
  <c r="J2739" i="12"/>
  <c r="L2739" i="12" s="1"/>
  <c r="N2739" i="12" s="1"/>
  <c r="K2739" i="12"/>
  <c r="M2739" i="12"/>
  <c r="A2740" i="12"/>
  <c r="B2740" i="12"/>
  <c r="C2740" i="12"/>
  <c r="D2740" i="12"/>
  <c r="E2740" i="12"/>
  <c r="F2740" i="12"/>
  <c r="G2740" i="12"/>
  <c r="I2740" i="12" s="1"/>
  <c r="M2740" i="12" s="1"/>
  <c r="H2740" i="12"/>
  <c r="J2740" i="12"/>
  <c r="K2740" i="12"/>
  <c r="L2740" i="12"/>
  <c r="N2740" i="12" s="1"/>
  <c r="A2741" i="12"/>
  <c r="B2741" i="12"/>
  <c r="C2741" i="12"/>
  <c r="D2741" i="12"/>
  <c r="E2741" i="12"/>
  <c r="F2741" i="12"/>
  <c r="G2741" i="12"/>
  <c r="H2741" i="12"/>
  <c r="I2741" i="12"/>
  <c r="J2741" i="12"/>
  <c r="L2741" i="12" s="1"/>
  <c r="N2741" i="12" s="1"/>
  <c r="K2741" i="12"/>
  <c r="M2741" i="12"/>
  <c r="A2742" i="12"/>
  <c r="B2742" i="12"/>
  <c r="C2742" i="12"/>
  <c r="D2742" i="12"/>
  <c r="E2742" i="12"/>
  <c r="F2742" i="12"/>
  <c r="G2742" i="12"/>
  <c r="I2742" i="12" s="1"/>
  <c r="M2742" i="12" s="1"/>
  <c r="H2742" i="12"/>
  <c r="J2742" i="12"/>
  <c r="K2742" i="12"/>
  <c r="L2742" i="12"/>
  <c r="N2742" i="12" s="1"/>
  <c r="A2743" i="12"/>
  <c r="B2743" i="12"/>
  <c r="C2743" i="12"/>
  <c r="D2743" i="12"/>
  <c r="E2743" i="12"/>
  <c r="F2743" i="12"/>
  <c r="G2743" i="12"/>
  <c r="H2743" i="12"/>
  <c r="I2743" i="12"/>
  <c r="M2743" i="12" s="1"/>
  <c r="J2743" i="12"/>
  <c r="L2743" i="12" s="1"/>
  <c r="N2743" i="12" s="1"/>
  <c r="K2743" i="12"/>
  <c r="A2744" i="12"/>
  <c r="B2744" i="12"/>
  <c r="C2744" i="12"/>
  <c r="D2744" i="12"/>
  <c r="E2744" i="12"/>
  <c r="F2744" i="12"/>
  <c r="G2744" i="12"/>
  <c r="I2744" i="12" s="1"/>
  <c r="M2744" i="12" s="1"/>
  <c r="H2744" i="12"/>
  <c r="J2744" i="12"/>
  <c r="K2744" i="12"/>
  <c r="L2744" i="12"/>
  <c r="N2744" i="12" s="1"/>
  <c r="A2745" i="12"/>
  <c r="B2745" i="12"/>
  <c r="C2745" i="12"/>
  <c r="D2745" i="12"/>
  <c r="E2745" i="12"/>
  <c r="F2745" i="12"/>
  <c r="G2745" i="12"/>
  <c r="H2745" i="12"/>
  <c r="I2745" i="12"/>
  <c r="J2745" i="12"/>
  <c r="L2745" i="12" s="1"/>
  <c r="N2745" i="12" s="1"/>
  <c r="K2745" i="12"/>
  <c r="M2745" i="12"/>
  <c r="A2746" i="12"/>
  <c r="B2746" i="12"/>
  <c r="C2746" i="12"/>
  <c r="D2746" i="12"/>
  <c r="E2746" i="12"/>
  <c r="F2746" i="12"/>
  <c r="G2746" i="12"/>
  <c r="I2746" i="12" s="1"/>
  <c r="M2746" i="12" s="1"/>
  <c r="H2746" i="12"/>
  <c r="J2746" i="12"/>
  <c r="K2746" i="12"/>
  <c r="L2746" i="12"/>
  <c r="N2746" i="12" s="1"/>
  <c r="A2747" i="12"/>
  <c r="B2747" i="12"/>
  <c r="C2747" i="12"/>
  <c r="D2747" i="12"/>
  <c r="E2747" i="12"/>
  <c r="F2747" i="12"/>
  <c r="G2747" i="12"/>
  <c r="H2747" i="12"/>
  <c r="I2747" i="12"/>
  <c r="J2747" i="12"/>
  <c r="L2747" i="12" s="1"/>
  <c r="N2747" i="12" s="1"/>
  <c r="K2747" i="12"/>
  <c r="M2747" i="12"/>
  <c r="A2748" i="12"/>
  <c r="B2748" i="12"/>
  <c r="C2748" i="12"/>
  <c r="D2748" i="12"/>
  <c r="E2748" i="12"/>
  <c r="F2748" i="12"/>
  <c r="G2748" i="12"/>
  <c r="I2748" i="12" s="1"/>
  <c r="M2748" i="12" s="1"/>
  <c r="H2748" i="12"/>
  <c r="J2748" i="12"/>
  <c r="K2748" i="12"/>
  <c r="L2748" i="12"/>
  <c r="N2748" i="12" s="1"/>
  <c r="A2749" i="12"/>
  <c r="B2749" i="12"/>
  <c r="C2749" i="12"/>
  <c r="D2749" i="12"/>
  <c r="E2749" i="12"/>
  <c r="F2749" i="12"/>
  <c r="G2749" i="12"/>
  <c r="H2749" i="12"/>
  <c r="I2749" i="12"/>
  <c r="J2749" i="12"/>
  <c r="L2749" i="12" s="1"/>
  <c r="N2749" i="12" s="1"/>
  <c r="K2749" i="12"/>
  <c r="M2749" i="12"/>
  <c r="A2750" i="12"/>
  <c r="B2750" i="12"/>
  <c r="C2750" i="12"/>
  <c r="D2750" i="12"/>
  <c r="E2750" i="12"/>
  <c r="F2750" i="12"/>
  <c r="G2750" i="12"/>
  <c r="I2750" i="12" s="1"/>
  <c r="M2750" i="12" s="1"/>
  <c r="H2750" i="12"/>
  <c r="J2750" i="12"/>
  <c r="K2750" i="12"/>
  <c r="L2750" i="12"/>
  <c r="N2750" i="12" s="1"/>
  <c r="A2751" i="12"/>
  <c r="B2751" i="12"/>
  <c r="C2751" i="12"/>
  <c r="D2751" i="12"/>
  <c r="E2751" i="12"/>
  <c r="F2751" i="12"/>
  <c r="G2751" i="12"/>
  <c r="H2751" i="12"/>
  <c r="I2751" i="12"/>
  <c r="J2751" i="12"/>
  <c r="L2751" i="12" s="1"/>
  <c r="N2751" i="12" s="1"/>
  <c r="K2751" i="12"/>
  <c r="M2751" i="12"/>
  <c r="A2752" i="12"/>
  <c r="B2752" i="12"/>
  <c r="C2752" i="12"/>
  <c r="D2752" i="12"/>
  <c r="E2752" i="12"/>
  <c r="F2752" i="12"/>
  <c r="G2752" i="12"/>
  <c r="I2752" i="12" s="1"/>
  <c r="M2752" i="12" s="1"/>
  <c r="H2752" i="12"/>
  <c r="J2752" i="12"/>
  <c r="K2752" i="12"/>
  <c r="L2752" i="12"/>
  <c r="N2752" i="12" s="1"/>
  <c r="A2753" i="12"/>
  <c r="B2753" i="12"/>
  <c r="C2753" i="12"/>
  <c r="D2753" i="12"/>
  <c r="E2753" i="12"/>
  <c r="F2753" i="12"/>
  <c r="G2753" i="12"/>
  <c r="H2753" i="12"/>
  <c r="I2753" i="12"/>
  <c r="J2753" i="12"/>
  <c r="L2753" i="12" s="1"/>
  <c r="N2753" i="12" s="1"/>
  <c r="K2753" i="12"/>
  <c r="M2753" i="12"/>
  <c r="A2754" i="12"/>
  <c r="B2754" i="12"/>
  <c r="C2754" i="12"/>
  <c r="D2754" i="12"/>
  <c r="E2754" i="12"/>
  <c r="F2754" i="12"/>
  <c r="G2754" i="12"/>
  <c r="I2754" i="12" s="1"/>
  <c r="M2754" i="12" s="1"/>
  <c r="H2754" i="12"/>
  <c r="J2754" i="12"/>
  <c r="K2754" i="12"/>
  <c r="L2754" i="12"/>
  <c r="N2754" i="12" s="1"/>
  <c r="A2755" i="12"/>
  <c r="B2755" i="12"/>
  <c r="C2755" i="12"/>
  <c r="D2755" i="12"/>
  <c r="E2755" i="12"/>
  <c r="F2755" i="12"/>
  <c r="G2755" i="12"/>
  <c r="H2755" i="12"/>
  <c r="I2755" i="12"/>
  <c r="J2755" i="12"/>
  <c r="L2755" i="12" s="1"/>
  <c r="N2755" i="12" s="1"/>
  <c r="K2755" i="12"/>
  <c r="M2755" i="12"/>
  <c r="A2756" i="12"/>
  <c r="B2756" i="12"/>
  <c r="C2756" i="12"/>
  <c r="D2756" i="12"/>
  <c r="E2756" i="12"/>
  <c r="F2756" i="12"/>
  <c r="G2756" i="12"/>
  <c r="I2756" i="12" s="1"/>
  <c r="M2756" i="12" s="1"/>
  <c r="H2756" i="12"/>
  <c r="J2756" i="12"/>
  <c r="K2756" i="12"/>
  <c r="L2756" i="12"/>
  <c r="N2756" i="12" s="1"/>
  <c r="A2757" i="12"/>
  <c r="B2757" i="12"/>
  <c r="C2757" i="12"/>
  <c r="D2757" i="12"/>
  <c r="E2757" i="12"/>
  <c r="F2757" i="12"/>
  <c r="G2757" i="12"/>
  <c r="H2757" i="12"/>
  <c r="I2757" i="12"/>
  <c r="J2757" i="12"/>
  <c r="L2757" i="12" s="1"/>
  <c r="N2757" i="12" s="1"/>
  <c r="K2757" i="12"/>
  <c r="M2757" i="12"/>
  <c r="A2758" i="12"/>
  <c r="B2758" i="12"/>
  <c r="C2758" i="12"/>
  <c r="D2758" i="12"/>
  <c r="E2758" i="12"/>
  <c r="F2758" i="12"/>
  <c r="G2758" i="12"/>
  <c r="I2758" i="12" s="1"/>
  <c r="M2758" i="12" s="1"/>
  <c r="H2758" i="12"/>
  <c r="J2758" i="12"/>
  <c r="K2758" i="12"/>
  <c r="L2758" i="12"/>
  <c r="N2758" i="12" s="1"/>
  <c r="A2759" i="12"/>
  <c r="B2759" i="12"/>
  <c r="C2759" i="12"/>
  <c r="D2759" i="12"/>
  <c r="E2759" i="12"/>
  <c r="F2759" i="12"/>
  <c r="G2759" i="12"/>
  <c r="H2759" i="12"/>
  <c r="I2759" i="12"/>
  <c r="J2759" i="12"/>
  <c r="L2759" i="12" s="1"/>
  <c r="N2759" i="12" s="1"/>
  <c r="K2759" i="12"/>
  <c r="M2759" i="12"/>
  <c r="A2760" i="12"/>
  <c r="B2760" i="12"/>
  <c r="C2760" i="12"/>
  <c r="D2760" i="12"/>
  <c r="E2760" i="12"/>
  <c r="F2760" i="12"/>
  <c r="G2760" i="12"/>
  <c r="I2760" i="12" s="1"/>
  <c r="M2760" i="12" s="1"/>
  <c r="H2760" i="12"/>
  <c r="J2760" i="12"/>
  <c r="K2760" i="12"/>
  <c r="L2760" i="12"/>
  <c r="N2760" i="12" s="1"/>
  <c r="A2761" i="12"/>
  <c r="B2761" i="12"/>
  <c r="C2761" i="12"/>
  <c r="D2761" i="12"/>
  <c r="E2761" i="12"/>
  <c r="F2761" i="12"/>
  <c r="G2761" i="12"/>
  <c r="H2761" i="12"/>
  <c r="I2761" i="12"/>
  <c r="J2761" i="12"/>
  <c r="L2761" i="12" s="1"/>
  <c r="N2761" i="12" s="1"/>
  <c r="K2761" i="12"/>
  <c r="M2761" i="12"/>
  <c r="A2762" i="12"/>
  <c r="B2762" i="12"/>
  <c r="C2762" i="12"/>
  <c r="D2762" i="12"/>
  <c r="E2762" i="12"/>
  <c r="F2762" i="12"/>
  <c r="G2762" i="12"/>
  <c r="I2762" i="12" s="1"/>
  <c r="M2762" i="12" s="1"/>
  <c r="H2762" i="12"/>
  <c r="J2762" i="12"/>
  <c r="K2762" i="12"/>
  <c r="L2762" i="12"/>
  <c r="N2762" i="12" s="1"/>
  <c r="A2763" i="12"/>
  <c r="B2763" i="12"/>
  <c r="C2763" i="12"/>
  <c r="D2763" i="12"/>
  <c r="E2763" i="12"/>
  <c r="F2763" i="12"/>
  <c r="G2763" i="12"/>
  <c r="H2763" i="12"/>
  <c r="I2763" i="12"/>
  <c r="J2763" i="12"/>
  <c r="L2763" i="12" s="1"/>
  <c r="N2763" i="12" s="1"/>
  <c r="K2763" i="12"/>
  <c r="M2763" i="12"/>
  <c r="A2764" i="12"/>
  <c r="B2764" i="12"/>
  <c r="C2764" i="12"/>
  <c r="D2764" i="12"/>
  <c r="E2764" i="12"/>
  <c r="F2764" i="12"/>
  <c r="G2764" i="12"/>
  <c r="I2764" i="12" s="1"/>
  <c r="M2764" i="12" s="1"/>
  <c r="H2764" i="12"/>
  <c r="J2764" i="12"/>
  <c r="K2764" i="12"/>
  <c r="L2764" i="12"/>
  <c r="N2764" i="12" s="1"/>
  <c r="A2765" i="12"/>
  <c r="B2765" i="12"/>
  <c r="C2765" i="12"/>
  <c r="D2765" i="12"/>
  <c r="E2765" i="12"/>
  <c r="F2765" i="12"/>
  <c r="G2765" i="12"/>
  <c r="H2765" i="12"/>
  <c r="I2765" i="12"/>
  <c r="J2765" i="12"/>
  <c r="L2765" i="12" s="1"/>
  <c r="N2765" i="12" s="1"/>
  <c r="K2765" i="12"/>
  <c r="M2765" i="12"/>
  <c r="A2766" i="12"/>
  <c r="B2766" i="12"/>
  <c r="C2766" i="12"/>
  <c r="D2766" i="12"/>
  <c r="E2766" i="12"/>
  <c r="F2766" i="12"/>
  <c r="G2766" i="12"/>
  <c r="I2766" i="12" s="1"/>
  <c r="M2766" i="12" s="1"/>
  <c r="H2766" i="12"/>
  <c r="J2766" i="12"/>
  <c r="K2766" i="12"/>
  <c r="L2766" i="12"/>
  <c r="N2766" i="12" s="1"/>
  <c r="A2767" i="12"/>
  <c r="B2767" i="12"/>
  <c r="C2767" i="12"/>
  <c r="D2767" i="12"/>
  <c r="E2767" i="12"/>
  <c r="F2767" i="12"/>
  <c r="G2767" i="12"/>
  <c r="H2767" i="12"/>
  <c r="I2767" i="12"/>
  <c r="J2767" i="12"/>
  <c r="L2767" i="12" s="1"/>
  <c r="N2767" i="12" s="1"/>
  <c r="K2767" i="12"/>
  <c r="M2767" i="12"/>
  <c r="A2768" i="12"/>
  <c r="B2768" i="12"/>
  <c r="C2768" i="12"/>
  <c r="D2768" i="12"/>
  <c r="E2768" i="12"/>
  <c r="F2768" i="12"/>
  <c r="G2768" i="12"/>
  <c r="I2768" i="12" s="1"/>
  <c r="M2768" i="12" s="1"/>
  <c r="H2768" i="12"/>
  <c r="J2768" i="12"/>
  <c r="K2768" i="12"/>
  <c r="L2768" i="12"/>
  <c r="N2768" i="12" s="1"/>
  <c r="A2769" i="12"/>
  <c r="B2769" i="12"/>
  <c r="C2769" i="12"/>
  <c r="D2769" i="12"/>
  <c r="E2769" i="12"/>
  <c r="F2769" i="12"/>
  <c r="G2769" i="12"/>
  <c r="H2769" i="12"/>
  <c r="I2769" i="12"/>
  <c r="J2769" i="12"/>
  <c r="L2769" i="12" s="1"/>
  <c r="N2769" i="12" s="1"/>
  <c r="K2769" i="12"/>
  <c r="M2769" i="12"/>
  <c r="A2770" i="12"/>
  <c r="B2770" i="12"/>
  <c r="C2770" i="12"/>
  <c r="D2770" i="12"/>
  <c r="E2770" i="12"/>
  <c r="F2770" i="12"/>
  <c r="G2770" i="12"/>
  <c r="I2770" i="12" s="1"/>
  <c r="M2770" i="12" s="1"/>
  <c r="H2770" i="12"/>
  <c r="J2770" i="12"/>
  <c r="K2770" i="12"/>
  <c r="L2770" i="12"/>
  <c r="N2770" i="12" s="1"/>
  <c r="A2771" i="12"/>
  <c r="B2771" i="12"/>
  <c r="C2771" i="12"/>
  <c r="D2771" i="12"/>
  <c r="E2771" i="12"/>
  <c r="F2771" i="12"/>
  <c r="G2771" i="12"/>
  <c r="H2771" i="12"/>
  <c r="I2771" i="12"/>
  <c r="J2771" i="12"/>
  <c r="L2771" i="12" s="1"/>
  <c r="N2771" i="12" s="1"/>
  <c r="K2771" i="12"/>
  <c r="M2771" i="12"/>
  <c r="A2772" i="12"/>
  <c r="B2772" i="12"/>
  <c r="C2772" i="12"/>
  <c r="D2772" i="12"/>
  <c r="E2772" i="12"/>
  <c r="F2772" i="12"/>
  <c r="G2772" i="12"/>
  <c r="I2772" i="12" s="1"/>
  <c r="M2772" i="12" s="1"/>
  <c r="H2772" i="12"/>
  <c r="J2772" i="12"/>
  <c r="K2772" i="12"/>
  <c r="L2772" i="12"/>
  <c r="N2772" i="12" s="1"/>
  <c r="A2773" i="12"/>
  <c r="B2773" i="12"/>
  <c r="C2773" i="12"/>
  <c r="D2773" i="12"/>
  <c r="E2773" i="12"/>
  <c r="F2773" i="12"/>
  <c r="G2773" i="12"/>
  <c r="H2773" i="12"/>
  <c r="I2773" i="12"/>
  <c r="J2773" i="12"/>
  <c r="L2773" i="12" s="1"/>
  <c r="N2773" i="12" s="1"/>
  <c r="K2773" i="12"/>
  <c r="M2773" i="12"/>
  <c r="A2774" i="12"/>
  <c r="B2774" i="12"/>
  <c r="C2774" i="12"/>
  <c r="D2774" i="12"/>
  <c r="E2774" i="12"/>
  <c r="F2774" i="12"/>
  <c r="G2774" i="12"/>
  <c r="I2774" i="12" s="1"/>
  <c r="M2774" i="12" s="1"/>
  <c r="H2774" i="12"/>
  <c r="J2774" i="12"/>
  <c r="K2774" i="12"/>
  <c r="L2774" i="12"/>
  <c r="N2774" i="12" s="1"/>
  <c r="A2775" i="12"/>
  <c r="B2775" i="12"/>
  <c r="C2775" i="12"/>
  <c r="D2775" i="12"/>
  <c r="E2775" i="12"/>
  <c r="F2775" i="12"/>
  <c r="G2775" i="12"/>
  <c r="H2775" i="12"/>
  <c r="I2775" i="12"/>
  <c r="J2775" i="12"/>
  <c r="L2775" i="12" s="1"/>
  <c r="N2775" i="12" s="1"/>
  <c r="K2775" i="12"/>
  <c r="M2775" i="12"/>
  <c r="A2776" i="12"/>
  <c r="B2776" i="12"/>
  <c r="C2776" i="12"/>
  <c r="D2776" i="12"/>
  <c r="E2776" i="12"/>
  <c r="F2776" i="12"/>
  <c r="G2776" i="12"/>
  <c r="I2776" i="12" s="1"/>
  <c r="M2776" i="12" s="1"/>
  <c r="H2776" i="12"/>
  <c r="J2776" i="12"/>
  <c r="K2776" i="12"/>
  <c r="L2776" i="12"/>
  <c r="N2776" i="12" s="1"/>
  <c r="A2777" i="12"/>
  <c r="B2777" i="12"/>
  <c r="C2777" i="12"/>
  <c r="D2777" i="12"/>
  <c r="E2777" i="12"/>
  <c r="F2777" i="12"/>
  <c r="G2777" i="12"/>
  <c r="H2777" i="12"/>
  <c r="I2777" i="12"/>
  <c r="J2777" i="12"/>
  <c r="L2777" i="12" s="1"/>
  <c r="N2777" i="12" s="1"/>
  <c r="K2777" i="12"/>
  <c r="M2777" i="12"/>
  <c r="A2778" i="12"/>
  <c r="B2778" i="12"/>
  <c r="C2778" i="12"/>
  <c r="D2778" i="12"/>
  <c r="E2778" i="12"/>
  <c r="F2778" i="12"/>
  <c r="G2778" i="12"/>
  <c r="I2778" i="12" s="1"/>
  <c r="M2778" i="12" s="1"/>
  <c r="H2778" i="12"/>
  <c r="J2778" i="12"/>
  <c r="K2778" i="12"/>
  <c r="L2778" i="12"/>
  <c r="N2778" i="12" s="1"/>
  <c r="A2779" i="12"/>
  <c r="B2779" i="12"/>
  <c r="C2779" i="12"/>
  <c r="D2779" i="12"/>
  <c r="E2779" i="12"/>
  <c r="F2779" i="12"/>
  <c r="G2779" i="12"/>
  <c r="H2779" i="12"/>
  <c r="I2779" i="12"/>
  <c r="J2779" i="12"/>
  <c r="L2779" i="12" s="1"/>
  <c r="N2779" i="12" s="1"/>
  <c r="K2779" i="12"/>
  <c r="M2779" i="12"/>
  <c r="A2780" i="12"/>
  <c r="B2780" i="12"/>
  <c r="C2780" i="12"/>
  <c r="D2780" i="12"/>
  <c r="E2780" i="12"/>
  <c r="F2780" i="12"/>
  <c r="G2780" i="12"/>
  <c r="I2780" i="12" s="1"/>
  <c r="M2780" i="12" s="1"/>
  <c r="H2780" i="12"/>
  <c r="J2780" i="12"/>
  <c r="K2780" i="12"/>
  <c r="L2780" i="12"/>
  <c r="N2780" i="12" s="1"/>
  <c r="A2781" i="12"/>
  <c r="B2781" i="12"/>
  <c r="C2781" i="12"/>
  <c r="D2781" i="12"/>
  <c r="E2781" i="12"/>
  <c r="F2781" i="12"/>
  <c r="G2781" i="12"/>
  <c r="H2781" i="12"/>
  <c r="I2781" i="12"/>
  <c r="J2781" i="12"/>
  <c r="L2781" i="12" s="1"/>
  <c r="N2781" i="12" s="1"/>
  <c r="K2781" i="12"/>
  <c r="M2781" i="12"/>
  <c r="A2782" i="12"/>
  <c r="B2782" i="12"/>
  <c r="C2782" i="12"/>
  <c r="D2782" i="12"/>
  <c r="E2782" i="12"/>
  <c r="F2782" i="12"/>
  <c r="G2782" i="12"/>
  <c r="I2782" i="12" s="1"/>
  <c r="M2782" i="12" s="1"/>
  <c r="H2782" i="12"/>
  <c r="J2782" i="12"/>
  <c r="K2782" i="12"/>
  <c r="L2782" i="12"/>
  <c r="N2782" i="12" s="1"/>
  <c r="A2783" i="12"/>
  <c r="B2783" i="12"/>
  <c r="C2783" i="12"/>
  <c r="D2783" i="12"/>
  <c r="E2783" i="12"/>
  <c r="F2783" i="12"/>
  <c r="G2783" i="12"/>
  <c r="H2783" i="12"/>
  <c r="I2783" i="12"/>
  <c r="J2783" i="12"/>
  <c r="L2783" i="12" s="1"/>
  <c r="N2783" i="12" s="1"/>
  <c r="K2783" i="12"/>
  <c r="M2783" i="12"/>
  <c r="A2784" i="12"/>
  <c r="B2784" i="12"/>
  <c r="C2784" i="12"/>
  <c r="D2784" i="12"/>
  <c r="E2784" i="12"/>
  <c r="F2784" i="12"/>
  <c r="G2784" i="12"/>
  <c r="I2784" i="12" s="1"/>
  <c r="M2784" i="12" s="1"/>
  <c r="H2784" i="12"/>
  <c r="J2784" i="12"/>
  <c r="K2784" i="12"/>
  <c r="L2784" i="12"/>
  <c r="N2784" i="12" s="1"/>
  <c r="A2785" i="12"/>
  <c r="B2785" i="12"/>
  <c r="C2785" i="12"/>
  <c r="D2785" i="12"/>
  <c r="E2785" i="12"/>
  <c r="F2785" i="12"/>
  <c r="G2785" i="12"/>
  <c r="H2785" i="12"/>
  <c r="I2785" i="12"/>
  <c r="J2785" i="12"/>
  <c r="L2785" i="12" s="1"/>
  <c r="N2785" i="12" s="1"/>
  <c r="K2785" i="12"/>
  <c r="M2785" i="12"/>
  <c r="A2786" i="12"/>
  <c r="B2786" i="12"/>
  <c r="C2786" i="12"/>
  <c r="D2786" i="12"/>
  <c r="E2786" i="12"/>
  <c r="F2786" i="12"/>
  <c r="G2786" i="12"/>
  <c r="H2786" i="12"/>
  <c r="I2786" i="12" s="1"/>
  <c r="M2786" i="12" s="1"/>
  <c r="J2786" i="12"/>
  <c r="K2786" i="12"/>
  <c r="L2786" i="12"/>
  <c r="N2786" i="12" s="1"/>
  <c r="A2787" i="12"/>
  <c r="B2787" i="12"/>
  <c r="C2787" i="12"/>
  <c r="D2787" i="12"/>
  <c r="E2787" i="12"/>
  <c r="F2787" i="12"/>
  <c r="G2787" i="12"/>
  <c r="H2787" i="12"/>
  <c r="I2787" i="12"/>
  <c r="J2787" i="12"/>
  <c r="L2787" i="12" s="1"/>
  <c r="N2787" i="12" s="1"/>
  <c r="K2787" i="12"/>
  <c r="M2787" i="12"/>
  <c r="A2788" i="12"/>
  <c r="B2788" i="12"/>
  <c r="C2788" i="12"/>
  <c r="D2788" i="12"/>
  <c r="E2788" i="12"/>
  <c r="F2788" i="12"/>
  <c r="G2788" i="12"/>
  <c r="H2788" i="12"/>
  <c r="I2788" i="12" s="1"/>
  <c r="M2788" i="12" s="1"/>
  <c r="J2788" i="12"/>
  <c r="K2788" i="12"/>
  <c r="L2788" i="12"/>
  <c r="N2788" i="12" s="1"/>
  <c r="A2789" i="12"/>
  <c r="B2789" i="12"/>
  <c r="C2789" i="12"/>
  <c r="D2789" i="12"/>
  <c r="E2789" i="12"/>
  <c r="F2789" i="12"/>
  <c r="G2789" i="12"/>
  <c r="I2789" i="12" s="1"/>
  <c r="M2789" i="12" s="1"/>
  <c r="H2789" i="12"/>
  <c r="J2789" i="12"/>
  <c r="L2789" i="12" s="1"/>
  <c r="N2789" i="12" s="1"/>
  <c r="K2789" i="12"/>
  <c r="A2790" i="12"/>
  <c r="B2790" i="12"/>
  <c r="C2790" i="12"/>
  <c r="D2790" i="12"/>
  <c r="E2790" i="12"/>
  <c r="F2790" i="12"/>
  <c r="G2790" i="12"/>
  <c r="H2790" i="12"/>
  <c r="I2790" i="12" s="1"/>
  <c r="M2790" i="12" s="1"/>
  <c r="J2790" i="12"/>
  <c r="K2790" i="12"/>
  <c r="L2790" i="12"/>
  <c r="N2790" i="12" s="1"/>
  <c r="A2791" i="12"/>
  <c r="B2791" i="12"/>
  <c r="C2791" i="12"/>
  <c r="D2791" i="12"/>
  <c r="E2791" i="12"/>
  <c r="F2791" i="12"/>
  <c r="G2791" i="12"/>
  <c r="I2791" i="12" s="1"/>
  <c r="M2791" i="12" s="1"/>
  <c r="H2791" i="12"/>
  <c r="J2791" i="12"/>
  <c r="L2791" i="12" s="1"/>
  <c r="N2791" i="12" s="1"/>
  <c r="K2791" i="12"/>
  <c r="A2792" i="12"/>
  <c r="B2792" i="12"/>
  <c r="C2792" i="12"/>
  <c r="D2792" i="12"/>
  <c r="E2792" i="12"/>
  <c r="F2792" i="12"/>
  <c r="G2792" i="12"/>
  <c r="H2792" i="12"/>
  <c r="I2792" i="12" s="1"/>
  <c r="M2792" i="12" s="1"/>
  <c r="J2792" i="12"/>
  <c r="K2792" i="12"/>
  <c r="L2792" i="12"/>
  <c r="N2792" i="12" s="1"/>
  <c r="A2793" i="12"/>
  <c r="B2793" i="12"/>
  <c r="C2793" i="12"/>
  <c r="D2793" i="12"/>
  <c r="E2793" i="12"/>
  <c r="F2793" i="12"/>
  <c r="G2793" i="12"/>
  <c r="I2793" i="12" s="1"/>
  <c r="M2793" i="12" s="1"/>
  <c r="H2793" i="12"/>
  <c r="J2793" i="12"/>
  <c r="L2793" i="12" s="1"/>
  <c r="N2793" i="12" s="1"/>
  <c r="K2793" i="12"/>
  <c r="A2794" i="12"/>
  <c r="B2794" i="12"/>
  <c r="C2794" i="12"/>
  <c r="D2794" i="12"/>
  <c r="E2794" i="12"/>
  <c r="F2794" i="12"/>
  <c r="G2794" i="12"/>
  <c r="H2794" i="12"/>
  <c r="I2794" i="12" s="1"/>
  <c r="M2794" i="12" s="1"/>
  <c r="J2794" i="12"/>
  <c r="K2794" i="12"/>
  <c r="L2794" i="12"/>
  <c r="N2794" i="12" s="1"/>
  <c r="A2795" i="12"/>
  <c r="B2795" i="12"/>
  <c r="C2795" i="12"/>
  <c r="D2795" i="12"/>
  <c r="E2795" i="12"/>
  <c r="F2795" i="12"/>
  <c r="G2795" i="12"/>
  <c r="I2795" i="12" s="1"/>
  <c r="M2795" i="12" s="1"/>
  <c r="H2795" i="12"/>
  <c r="J2795" i="12"/>
  <c r="L2795" i="12" s="1"/>
  <c r="N2795" i="12" s="1"/>
  <c r="K2795" i="12"/>
  <c r="A2796" i="12"/>
  <c r="B2796" i="12"/>
  <c r="C2796" i="12"/>
  <c r="D2796" i="12"/>
  <c r="E2796" i="12"/>
  <c r="F2796" i="12"/>
  <c r="G2796" i="12"/>
  <c r="H2796" i="12"/>
  <c r="I2796" i="12" s="1"/>
  <c r="M2796" i="12" s="1"/>
  <c r="J2796" i="12"/>
  <c r="K2796" i="12"/>
  <c r="L2796" i="12"/>
  <c r="N2796" i="12" s="1"/>
  <c r="A2797" i="12"/>
  <c r="B2797" i="12"/>
  <c r="C2797" i="12"/>
  <c r="D2797" i="12"/>
  <c r="E2797" i="12"/>
  <c r="F2797" i="12"/>
  <c r="G2797" i="12"/>
  <c r="I2797" i="12" s="1"/>
  <c r="M2797" i="12" s="1"/>
  <c r="H2797" i="12"/>
  <c r="J2797" i="12"/>
  <c r="L2797" i="12" s="1"/>
  <c r="N2797" i="12" s="1"/>
  <c r="K2797" i="12"/>
  <c r="A2798" i="12"/>
  <c r="B2798" i="12"/>
  <c r="C2798" i="12"/>
  <c r="D2798" i="12"/>
  <c r="E2798" i="12"/>
  <c r="F2798" i="12"/>
  <c r="G2798" i="12"/>
  <c r="H2798" i="12"/>
  <c r="I2798" i="12" s="1"/>
  <c r="M2798" i="12" s="1"/>
  <c r="J2798" i="12"/>
  <c r="K2798" i="12"/>
  <c r="L2798" i="12"/>
  <c r="N2798" i="12" s="1"/>
  <c r="A2799" i="12"/>
  <c r="B2799" i="12"/>
  <c r="C2799" i="12"/>
  <c r="D2799" i="12"/>
  <c r="E2799" i="12"/>
  <c r="F2799" i="12"/>
  <c r="G2799" i="12"/>
  <c r="I2799" i="12" s="1"/>
  <c r="M2799" i="12" s="1"/>
  <c r="H2799" i="12"/>
  <c r="J2799" i="12"/>
  <c r="L2799" i="12" s="1"/>
  <c r="N2799" i="12" s="1"/>
  <c r="K2799" i="12"/>
  <c r="A2800" i="12"/>
  <c r="B2800" i="12"/>
  <c r="C2800" i="12"/>
  <c r="D2800" i="12"/>
  <c r="E2800" i="12"/>
  <c r="F2800" i="12"/>
  <c r="G2800" i="12"/>
  <c r="H2800" i="12"/>
  <c r="I2800" i="12" s="1"/>
  <c r="M2800" i="12" s="1"/>
  <c r="J2800" i="12"/>
  <c r="K2800" i="12"/>
  <c r="L2800" i="12"/>
  <c r="N2800" i="12" s="1"/>
  <c r="A2801" i="12"/>
  <c r="B2801" i="12"/>
  <c r="C2801" i="12"/>
  <c r="D2801" i="12"/>
  <c r="E2801" i="12"/>
  <c r="F2801" i="12"/>
  <c r="G2801" i="12"/>
  <c r="I2801" i="12" s="1"/>
  <c r="M2801" i="12" s="1"/>
  <c r="H2801" i="12"/>
  <c r="J2801" i="12"/>
  <c r="L2801" i="12" s="1"/>
  <c r="N2801" i="12" s="1"/>
  <c r="K2801" i="12"/>
  <c r="A2802" i="12"/>
  <c r="B2802" i="12"/>
  <c r="C2802" i="12"/>
  <c r="D2802" i="12"/>
  <c r="E2802" i="12"/>
  <c r="F2802" i="12"/>
  <c r="G2802" i="12"/>
  <c r="H2802" i="12"/>
  <c r="I2802" i="12" s="1"/>
  <c r="M2802" i="12" s="1"/>
  <c r="J2802" i="12"/>
  <c r="K2802" i="12"/>
  <c r="L2802" i="12"/>
  <c r="N2802" i="12" s="1"/>
  <c r="A2803" i="12"/>
  <c r="B2803" i="12"/>
  <c r="C2803" i="12"/>
  <c r="D2803" i="12"/>
  <c r="E2803" i="12"/>
  <c r="F2803" i="12"/>
  <c r="G2803" i="12"/>
  <c r="I2803" i="12" s="1"/>
  <c r="M2803" i="12" s="1"/>
  <c r="H2803" i="12"/>
  <c r="J2803" i="12"/>
  <c r="L2803" i="12" s="1"/>
  <c r="N2803" i="12" s="1"/>
  <c r="K2803" i="12"/>
  <c r="A2804" i="12"/>
  <c r="B2804" i="12"/>
  <c r="C2804" i="12"/>
  <c r="D2804" i="12"/>
  <c r="E2804" i="12"/>
  <c r="F2804" i="12"/>
  <c r="G2804" i="12"/>
  <c r="H2804" i="12"/>
  <c r="I2804" i="12" s="1"/>
  <c r="M2804" i="12" s="1"/>
  <c r="J2804" i="12"/>
  <c r="K2804" i="12"/>
  <c r="L2804" i="12"/>
  <c r="N2804" i="12" s="1"/>
  <c r="A2805" i="12"/>
  <c r="B2805" i="12"/>
  <c r="C2805" i="12"/>
  <c r="D2805" i="12"/>
  <c r="E2805" i="12"/>
  <c r="F2805" i="12"/>
  <c r="G2805" i="12"/>
  <c r="I2805" i="12" s="1"/>
  <c r="M2805" i="12" s="1"/>
  <c r="H2805" i="12"/>
  <c r="J2805" i="12"/>
  <c r="L2805" i="12" s="1"/>
  <c r="N2805" i="12" s="1"/>
  <c r="K2805" i="12"/>
  <c r="A2806" i="12"/>
  <c r="B2806" i="12"/>
  <c r="C2806" i="12"/>
  <c r="D2806" i="12"/>
  <c r="E2806" i="12"/>
  <c r="F2806" i="12"/>
  <c r="G2806" i="12"/>
  <c r="H2806" i="12"/>
  <c r="I2806" i="12" s="1"/>
  <c r="M2806" i="12" s="1"/>
  <c r="J2806" i="12"/>
  <c r="K2806" i="12"/>
  <c r="L2806" i="12"/>
  <c r="N2806" i="12" s="1"/>
  <c r="A2807" i="12"/>
  <c r="B2807" i="12"/>
  <c r="C2807" i="12"/>
  <c r="D2807" i="12"/>
  <c r="E2807" i="12"/>
  <c r="F2807" i="12"/>
  <c r="G2807" i="12"/>
  <c r="I2807" i="12" s="1"/>
  <c r="M2807" i="12" s="1"/>
  <c r="H2807" i="12"/>
  <c r="J2807" i="12"/>
  <c r="L2807" i="12" s="1"/>
  <c r="N2807" i="12" s="1"/>
  <c r="K2807" i="12"/>
  <c r="A2808" i="12"/>
  <c r="B2808" i="12"/>
  <c r="C2808" i="12"/>
  <c r="D2808" i="12"/>
  <c r="E2808" i="12"/>
  <c r="F2808" i="12"/>
  <c r="G2808" i="12"/>
  <c r="H2808" i="12"/>
  <c r="I2808" i="12" s="1"/>
  <c r="M2808" i="12" s="1"/>
  <c r="J2808" i="12"/>
  <c r="K2808" i="12"/>
  <c r="L2808" i="12"/>
  <c r="N2808" i="12" s="1"/>
  <c r="A2809" i="12"/>
  <c r="B2809" i="12"/>
  <c r="C2809" i="12"/>
  <c r="D2809" i="12"/>
  <c r="E2809" i="12"/>
  <c r="F2809" i="12"/>
  <c r="G2809" i="12"/>
  <c r="I2809" i="12" s="1"/>
  <c r="M2809" i="12" s="1"/>
  <c r="H2809" i="12"/>
  <c r="J2809" i="12"/>
  <c r="L2809" i="12" s="1"/>
  <c r="N2809" i="12" s="1"/>
  <c r="K2809" i="12"/>
  <c r="A2810" i="12"/>
  <c r="B2810" i="12"/>
  <c r="C2810" i="12"/>
  <c r="D2810" i="12"/>
  <c r="E2810" i="12"/>
  <c r="F2810" i="12"/>
  <c r="G2810" i="12"/>
  <c r="H2810" i="12"/>
  <c r="I2810" i="12" s="1"/>
  <c r="M2810" i="12" s="1"/>
  <c r="J2810" i="12"/>
  <c r="K2810" i="12"/>
  <c r="L2810" i="12"/>
  <c r="N2810" i="12" s="1"/>
  <c r="A2811" i="12"/>
  <c r="B2811" i="12"/>
  <c r="C2811" i="12"/>
  <c r="D2811" i="12"/>
  <c r="E2811" i="12"/>
  <c r="F2811" i="12"/>
  <c r="G2811" i="12"/>
  <c r="I2811" i="12" s="1"/>
  <c r="M2811" i="12" s="1"/>
  <c r="H2811" i="12"/>
  <c r="J2811" i="12"/>
  <c r="L2811" i="12" s="1"/>
  <c r="N2811" i="12" s="1"/>
  <c r="K2811" i="12"/>
  <c r="A2812" i="12"/>
  <c r="B2812" i="12"/>
  <c r="C2812" i="12"/>
  <c r="D2812" i="12"/>
  <c r="E2812" i="12"/>
  <c r="F2812" i="12"/>
  <c r="G2812" i="12"/>
  <c r="H2812" i="12"/>
  <c r="I2812" i="12" s="1"/>
  <c r="M2812" i="12" s="1"/>
  <c r="J2812" i="12"/>
  <c r="K2812" i="12"/>
  <c r="L2812" i="12"/>
  <c r="N2812" i="12" s="1"/>
  <c r="A2813" i="12"/>
  <c r="B2813" i="12"/>
  <c r="C2813" i="12"/>
  <c r="D2813" i="12"/>
  <c r="E2813" i="12"/>
  <c r="F2813" i="12"/>
  <c r="G2813" i="12"/>
  <c r="I2813" i="12" s="1"/>
  <c r="M2813" i="12" s="1"/>
  <c r="H2813" i="12"/>
  <c r="J2813" i="12"/>
  <c r="L2813" i="12" s="1"/>
  <c r="N2813" i="12" s="1"/>
  <c r="K2813" i="12"/>
  <c r="A2814" i="12"/>
  <c r="B2814" i="12"/>
  <c r="C2814" i="12"/>
  <c r="D2814" i="12"/>
  <c r="E2814" i="12"/>
  <c r="F2814" i="12"/>
  <c r="G2814" i="12"/>
  <c r="H2814" i="12"/>
  <c r="I2814" i="12" s="1"/>
  <c r="M2814" i="12" s="1"/>
  <c r="J2814" i="12"/>
  <c r="K2814" i="12"/>
  <c r="L2814" i="12"/>
  <c r="N2814" i="12" s="1"/>
  <c r="A2815" i="12"/>
  <c r="B2815" i="12"/>
  <c r="C2815" i="12"/>
  <c r="D2815" i="12"/>
  <c r="E2815" i="12"/>
  <c r="F2815" i="12"/>
  <c r="G2815" i="12"/>
  <c r="I2815" i="12" s="1"/>
  <c r="M2815" i="12" s="1"/>
  <c r="H2815" i="12"/>
  <c r="J2815" i="12"/>
  <c r="L2815" i="12" s="1"/>
  <c r="N2815" i="12" s="1"/>
  <c r="K2815" i="12"/>
  <c r="A2816" i="12"/>
  <c r="B2816" i="12"/>
  <c r="C2816" i="12"/>
  <c r="D2816" i="12"/>
  <c r="E2816" i="12"/>
  <c r="F2816" i="12"/>
  <c r="G2816" i="12"/>
  <c r="H2816" i="12"/>
  <c r="I2816" i="12" s="1"/>
  <c r="M2816" i="12" s="1"/>
  <c r="J2816" i="12"/>
  <c r="K2816" i="12"/>
  <c r="L2816" i="12"/>
  <c r="N2816" i="12" s="1"/>
  <c r="A2817" i="12"/>
  <c r="B2817" i="12"/>
  <c r="C2817" i="12"/>
  <c r="D2817" i="12"/>
  <c r="E2817" i="12"/>
  <c r="F2817" i="12"/>
  <c r="G2817" i="12"/>
  <c r="I2817" i="12" s="1"/>
  <c r="M2817" i="12" s="1"/>
  <c r="H2817" i="12"/>
  <c r="J2817" i="12"/>
  <c r="L2817" i="12" s="1"/>
  <c r="N2817" i="12" s="1"/>
  <c r="K2817" i="12"/>
  <c r="A2818" i="12"/>
  <c r="B2818" i="12"/>
  <c r="C2818" i="12"/>
  <c r="D2818" i="12"/>
  <c r="E2818" i="12"/>
  <c r="F2818" i="12"/>
  <c r="G2818" i="12"/>
  <c r="H2818" i="12"/>
  <c r="I2818" i="12" s="1"/>
  <c r="M2818" i="12" s="1"/>
  <c r="J2818" i="12"/>
  <c r="K2818" i="12"/>
  <c r="L2818" i="12"/>
  <c r="N2818" i="12" s="1"/>
  <c r="A2819" i="12"/>
  <c r="B2819" i="12"/>
  <c r="C2819" i="12"/>
  <c r="D2819" i="12"/>
  <c r="E2819" i="12"/>
  <c r="F2819" i="12"/>
  <c r="G2819" i="12"/>
  <c r="I2819" i="12" s="1"/>
  <c r="M2819" i="12" s="1"/>
  <c r="H2819" i="12"/>
  <c r="J2819" i="12"/>
  <c r="L2819" i="12" s="1"/>
  <c r="N2819" i="12" s="1"/>
  <c r="K2819" i="12"/>
  <c r="A2820" i="12"/>
  <c r="B2820" i="12"/>
  <c r="C2820" i="12"/>
  <c r="D2820" i="12"/>
  <c r="E2820" i="12"/>
  <c r="F2820" i="12"/>
  <c r="G2820" i="12"/>
  <c r="H2820" i="12"/>
  <c r="I2820" i="12" s="1"/>
  <c r="M2820" i="12" s="1"/>
  <c r="J2820" i="12"/>
  <c r="K2820" i="12"/>
  <c r="L2820" i="12"/>
  <c r="N2820" i="12" s="1"/>
  <c r="A2821" i="12"/>
  <c r="B2821" i="12"/>
  <c r="C2821" i="12"/>
  <c r="D2821" i="12"/>
  <c r="E2821" i="12"/>
  <c r="F2821" i="12"/>
  <c r="G2821" i="12"/>
  <c r="I2821" i="12" s="1"/>
  <c r="M2821" i="12" s="1"/>
  <c r="H2821" i="12"/>
  <c r="J2821" i="12"/>
  <c r="L2821" i="12" s="1"/>
  <c r="N2821" i="12" s="1"/>
  <c r="K2821" i="12"/>
  <c r="A2822" i="12"/>
  <c r="B2822" i="12"/>
  <c r="C2822" i="12"/>
  <c r="D2822" i="12"/>
  <c r="E2822" i="12"/>
  <c r="F2822" i="12"/>
  <c r="G2822" i="12"/>
  <c r="H2822" i="12"/>
  <c r="I2822" i="12" s="1"/>
  <c r="M2822" i="12" s="1"/>
  <c r="J2822" i="12"/>
  <c r="K2822" i="12"/>
  <c r="L2822" i="12"/>
  <c r="N2822" i="12" s="1"/>
  <c r="A2823" i="12"/>
  <c r="B2823" i="12"/>
  <c r="C2823" i="12"/>
  <c r="D2823" i="12"/>
  <c r="E2823" i="12"/>
  <c r="F2823" i="12"/>
  <c r="G2823" i="12"/>
  <c r="I2823" i="12" s="1"/>
  <c r="M2823" i="12" s="1"/>
  <c r="H2823" i="12"/>
  <c r="J2823" i="12"/>
  <c r="L2823" i="12" s="1"/>
  <c r="N2823" i="12" s="1"/>
  <c r="K2823" i="12"/>
  <c r="A2824" i="12"/>
  <c r="B2824" i="12"/>
  <c r="C2824" i="12"/>
  <c r="D2824" i="12"/>
  <c r="E2824" i="12"/>
  <c r="F2824" i="12"/>
  <c r="G2824" i="12"/>
  <c r="H2824" i="12"/>
  <c r="I2824" i="12" s="1"/>
  <c r="M2824" i="12" s="1"/>
  <c r="J2824" i="12"/>
  <c r="K2824" i="12"/>
  <c r="L2824" i="12"/>
  <c r="N2824" i="12" s="1"/>
  <c r="A2825" i="12"/>
  <c r="B2825" i="12"/>
  <c r="C2825" i="12"/>
  <c r="D2825" i="12"/>
  <c r="E2825" i="12"/>
  <c r="F2825" i="12"/>
  <c r="G2825" i="12"/>
  <c r="I2825" i="12" s="1"/>
  <c r="M2825" i="12" s="1"/>
  <c r="H2825" i="12"/>
  <c r="J2825" i="12"/>
  <c r="L2825" i="12" s="1"/>
  <c r="N2825" i="12" s="1"/>
  <c r="K2825" i="12"/>
  <c r="A2826" i="12"/>
  <c r="B2826" i="12"/>
  <c r="C2826" i="12"/>
  <c r="D2826" i="12"/>
  <c r="E2826" i="12"/>
  <c r="F2826" i="12"/>
  <c r="G2826" i="12"/>
  <c r="H2826" i="12"/>
  <c r="I2826" i="12" s="1"/>
  <c r="M2826" i="12" s="1"/>
  <c r="J2826" i="12"/>
  <c r="K2826" i="12"/>
  <c r="L2826" i="12"/>
  <c r="N2826" i="12" s="1"/>
  <c r="A2827" i="12"/>
  <c r="B2827" i="12"/>
  <c r="C2827" i="12"/>
  <c r="D2827" i="12"/>
  <c r="E2827" i="12"/>
  <c r="F2827" i="12"/>
  <c r="G2827" i="12"/>
  <c r="I2827" i="12" s="1"/>
  <c r="M2827" i="12" s="1"/>
  <c r="H2827" i="12"/>
  <c r="J2827" i="12"/>
  <c r="L2827" i="12" s="1"/>
  <c r="N2827" i="12" s="1"/>
  <c r="K2827" i="12"/>
  <c r="A2828" i="12"/>
  <c r="B2828" i="12"/>
  <c r="C2828" i="12"/>
  <c r="D2828" i="12"/>
  <c r="E2828" i="12"/>
  <c r="F2828" i="12"/>
  <c r="G2828" i="12"/>
  <c r="H2828" i="12"/>
  <c r="I2828" i="12" s="1"/>
  <c r="M2828" i="12" s="1"/>
  <c r="J2828" i="12"/>
  <c r="K2828" i="12"/>
  <c r="L2828" i="12"/>
  <c r="N2828" i="12" s="1"/>
  <c r="A2829" i="12"/>
  <c r="B2829" i="12"/>
  <c r="C2829" i="12"/>
  <c r="D2829" i="12"/>
  <c r="E2829" i="12"/>
  <c r="F2829" i="12"/>
  <c r="G2829" i="12"/>
  <c r="I2829" i="12" s="1"/>
  <c r="M2829" i="12" s="1"/>
  <c r="H2829" i="12"/>
  <c r="J2829" i="12"/>
  <c r="L2829" i="12" s="1"/>
  <c r="N2829" i="12" s="1"/>
  <c r="K2829" i="12"/>
  <c r="A2830" i="12"/>
  <c r="B2830" i="12"/>
  <c r="C2830" i="12"/>
  <c r="D2830" i="12"/>
  <c r="E2830" i="12"/>
  <c r="F2830" i="12"/>
  <c r="G2830" i="12"/>
  <c r="H2830" i="12"/>
  <c r="I2830" i="12" s="1"/>
  <c r="M2830" i="12" s="1"/>
  <c r="J2830" i="12"/>
  <c r="K2830" i="12"/>
  <c r="L2830" i="12"/>
  <c r="N2830" i="12" s="1"/>
  <c r="A2831" i="12"/>
  <c r="B2831" i="12"/>
  <c r="C2831" i="12"/>
  <c r="D2831" i="12"/>
  <c r="E2831" i="12"/>
  <c r="F2831" i="12"/>
  <c r="G2831" i="12"/>
  <c r="I2831" i="12" s="1"/>
  <c r="M2831" i="12" s="1"/>
  <c r="H2831" i="12"/>
  <c r="J2831" i="12"/>
  <c r="L2831" i="12" s="1"/>
  <c r="N2831" i="12" s="1"/>
  <c r="K2831" i="12"/>
  <c r="A2832" i="12"/>
  <c r="B2832" i="12"/>
  <c r="C2832" i="12"/>
  <c r="D2832" i="12"/>
  <c r="E2832" i="12"/>
  <c r="F2832" i="12"/>
  <c r="G2832" i="12"/>
  <c r="H2832" i="12"/>
  <c r="I2832" i="12" s="1"/>
  <c r="M2832" i="12" s="1"/>
  <c r="J2832" i="12"/>
  <c r="K2832" i="12"/>
  <c r="L2832" i="12"/>
  <c r="N2832" i="12" s="1"/>
  <c r="A2833" i="12"/>
  <c r="B2833" i="12"/>
  <c r="C2833" i="12"/>
  <c r="D2833" i="12"/>
  <c r="E2833" i="12"/>
  <c r="F2833" i="12"/>
  <c r="G2833" i="12"/>
  <c r="I2833" i="12" s="1"/>
  <c r="M2833" i="12" s="1"/>
  <c r="H2833" i="12"/>
  <c r="J2833" i="12"/>
  <c r="L2833" i="12" s="1"/>
  <c r="N2833" i="12" s="1"/>
  <c r="K2833" i="12"/>
  <c r="A2834" i="12"/>
  <c r="B2834" i="12"/>
  <c r="C2834" i="12"/>
  <c r="D2834" i="12"/>
  <c r="E2834" i="12"/>
  <c r="F2834" i="12"/>
  <c r="G2834" i="12"/>
  <c r="H2834" i="12"/>
  <c r="I2834" i="12" s="1"/>
  <c r="M2834" i="12" s="1"/>
  <c r="J2834" i="12"/>
  <c r="K2834" i="12"/>
  <c r="L2834" i="12"/>
  <c r="N2834" i="12" s="1"/>
  <c r="A2835" i="12"/>
  <c r="B2835" i="12"/>
  <c r="C2835" i="12"/>
  <c r="D2835" i="12"/>
  <c r="E2835" i="12"/>
  <c r="F2835" i="12"/>
  <c r="G2835" i="12"/>
  <c r="I2835" i="12" s="1"/>
  <c r="M2835" i="12" s="1"/>
  <c r="H2835" i="12"/>
  <c r="J2835" i="12"/>
  <c r="L2835" i="12" s="1"/>
  <c r="N2835" i="12" s="1"/>
  <c r="K2835" i="12"/>
  <c r="A2836" i="12"/>
  <c r="B2836" i="12"/>
  <c r="C2836" i="12"/>
  <c r="D2836" i="12"/>
  <c r="E2836" i="12"/>
  <c r="F2836" i="12"/>
  <c r="G2836" i="12"/>
  <c r="H2836" i="12"/>
  <c r="I2836" i="12" s="1"/>
  <c r="M2836" i="12" s="1"/>
  <c r="J2836" i="12"/>
  <c r="K2836" i="12"/>
  <c r="L2836" i="12"/>
  <c r="N2836" i="12" s="1"/>
  <c r="A2837" i="12"/>
  <c r="B2837" i="12"/>
  <c r="C2837" i="12"/>
  <c r="D2837" i="12"/>
  <c r="E2837" i="12"/>
  <c r="F2837" i="12"/>
  <c r="G2837" i="12"/>
  <c r="I2837" i="12" s="1"/>
  <c r="M2837" i="12" s="1"/>
  <c r="H2837" i="12"/>
  <c r="J2837" i="12"/>
  <c r="L2837" i="12" s="1"/>
  <c r="N2837" i="12" s="1"/>
  <c r="K2837" i="12"/>
  <c r="A2838" i="12"/>
  <c r="B2838" i="12"/>
  <c r="C2838" i="12"/>
  <c r="D2838" i="12"/>
  <c r="E2838" i="12"/>
  <c r="F2838" i="12"/>
  <c r="G2838" i="12"/>
  <c r="H2838" i="12"/>
  <c r="I2838" i="12" s="1"/>
  <c r="M2838" i="12" s="1"/>
  <c r="J2838" i="12"/>
  <c r="K2838" i="12"/>
  <c r="L2838" i="12"/>
  <c r="N2838" i="12" s="1"/>
  <c r="A2839" i="12"/>
  <c r="B2839" i="12"/>
  <c r="C2839" i="12"/>
  <c r="D2839" i="12"/>
  <c r="E2839" i="12"/>
  <c r="F2839" i="12"/>
  <c r="G2839" i="12"/>
  <c r="I2839" i="12" s="1"/>
  <c r="M2839" i="12" s="1"/>
  <c r="H2839" i="12"/>
  <c r="J2839" i="12"/>
  <c r="L2839" i="12" s="1"/>
  <c r="N2839" i="12" s="1"/>
  <c r="K2839" i="12"/>
  <c r="A2840" i="12"/>
  <c r="B2840" i="12"/>
  <c r="C2840" i="12"/>
  <c r="D2840" i="12"/>
  <c r="E2840" i="12"/>
  <c r="F2840" i="12"/>
  <c r="G2840" i="12"/>
  <c r="H2840" i="12"/>
  <c r="I2840" i="12" s="1"/>
  <c r="M2840" i="12" s="1"/>
  <c r="J2840" i="12"/>
  <c r="K2840" i="12"/>
  <c r="L2840" i="12"/>
  <c r="N2840" i="12" s="1"/>
  <c r="A2841" i="12"/>
  <c r="B2841" i="12"/>
  <c r="C2841" i="12"/>
  <c r="D2841" i="12"/>
  <c r="E2841" i="12"/>
  <c r="F2841" i="12"/>
  <c r="G2841" i="12"/>
  <c r="I2841" i="12" s="1"/>
  <c r="M2841" i="12" s="1"/>
  <c r="H2841" i="12"/>
  <c r="J2841" i="12"/>
  <c r="L2841" i="12" s="1"/>
  <c r="N2841" i="12" s="1"/>
  <c r="K2841" i="12"/>
  <c r="A2842" i="12"/>
  <c r="B2842" i="12"/>
  <c r="C2842" i="12"/>
  <c r="D2842" i="12"/>
  <c r="E2842" i="12"/>
  <c r="F2842" i="12"/>
  <c r="G2842" i="12"/>
  <c r="H2842" i="12"/>
  <c r="I2842" i="12" s="1"/>
  <c r="M2842" i="12" s="1"/>
  <c r="J2842" i="12"/>
  <c r="K2842" i="12"/>
  <c r="L2842" i="12"/>
  <c r="N2842" i="12" s="1"/>
  <c r="A2843" i="12"/>
  <c r="B2843" i="12"/>
  <c r="C2843" i="12"/>
  <c r="D2843" i="12"/>
  <c r="E2843" i="12"/>
  <c r="F2843" i="12"/>
  <c r="G2843" i="12"/>
  <c r="I2843" i="12" s="1"/>
  <c r="M2843" i="12" s="1"/>
  <c r="H2843" i="12"/>
  <c r="J2843" i="12"/>
  <c r="L2843" i="12" s="1"/>
  <c r="N2843" i="12" s="1"/>
  <c r="K2843" i="12"/>
  <c r="A2844" i="12"/>
  <c r="B2844" i="12"/>
  <c r="C2844" i="12"/>
  <c r="D2844" i="12"/>
  <c r="E2844" i="12"/>
  <c r="F2844" i="12"/>
  <c r="G2844" i="12"/>
  <c r="H2844" i="12"/>
  <c r="I2844" i="12" s="1"/>
  <c r="M2844" i="12" s="1"/>
  <c r="J2844" i="12"/>
  <c r="K2844" i="12"/>
  <c r="L2844" i="12"/>
  <c r="N2844" i="12" s="1"/>
  <c r="A2845" i="12"/>
  <c r="B2845" i="12"/>
  <c r="C2845" i="12"/>
  <c r="D2845" i="12"/>
  <c r="E2845" i="12"/>
  <c r="F2845" i="12"/>
  <c r="G2845" i="12"/>
  <c r="I2845" i="12" s="1"/>
  <c r="M2845" i="12" s="1"/>
  <c r="H2845" i="12"/>
  <c r="J2845" i="12"/>
  <c r="L2845" i="12" s="1"/>
  <c r="N2845" i="12" s="1"/>
  <c r="K2845" i="12"/>
  <c r="A2846" i="12"/>
  <c r="B2846" i="12"/>
  <c r="C2846" i="12"/>
  <c r="D2846" i="12"/>
  <c r="E2846" i="12"/>
  <c r="F2846" i="12"/>
  <c r="G2846" i="12"/>
  <c r="H2846" i="12"/>
  <c r="I2846" i="12" s="1"/>
  <c r="M2846" i="12" s="1"/>
  <c r="J2846" i="12"/>
  <c r="K2846" i="12"/>
  <c r="L2846" i="12"/>
  <c r="N2846" i="12" s="1"/>
  <c r="A2847" i="12"/>
  <c r="B2847" i="12"/>
  <c r="C2847" i="12"/>
  <c r="D2847" i="12"/>
  <c r="E2847" i="12"/>
  <c r="F2847" i="12"/>
  <c r="G2847" i="12"/>
  <c r="I2847" i="12" s="1"/>
  <c r="M2847" i="12" s="1"/>
  <c r="H2847" i="12"/>
  <c r="J2847" i="12"/>
  <c r="L2847" i="12" s="1"/>
  <c r="N2847" i="12" s="1"/>
  <c r="K2847" i="12"/>
  <c r="A2848" i="12"/>
  <c r="B2848" i="12"/>
  <c r="C2848" i="12"/>
  <c r="D2848" i="12"/>
  <c r="E2848" i="12"/>
  <c r="F2848" i="12"/>
  <c r="G2848" i="12"/>
  <c r="H2848" i="12"/>
  <c r="I2848" i="12" s="1"/>
  <c r="M2848" i="12" s="1"/>
  <c r="J2848" i="12"/>
  <c r="K2848" i="12"/>
  <c r="L2848" i="12"/>
  <c r="N2848" i="12" s="1"/>
  <c r="A2849" i="12"/>
  <c r="B2849" i="12"/>
  <c r="C2849" i="12"/>
  <c r="D2849" i="12"/>
  <c r="E2849" i="12"/>
  <c r="F2849" i="12"/>
  <c r="G2849" i="12"/>
  <c r="I2849" i="12" s="1"/>
  <c r="M2849" i="12" s="1"/>
  <c r="H2849" i="12"/>
  <c r="J2849" i="12"/>
  <c r="L2849" i="12" s="1"/>
  <c r="N2849" i="12" s="1"/>
  <c r="K2849" i="12"/>
  <c r="A2850" i="12"/>
  <c r="B2850" i="12"/>
  <c r="C2850" i="12"/>
  <c r="D2850" i="12"/>
  <c r="E2850" i="12"/>
  <c r="F2850" i="12"/>
  <c r="G2850" i="12"/>
  <c r="H2850" i="12"/>
  <c r="I2850" i="12" s="1"/>
  <c r="M2850" i="12" s="1"/>
  <c r="J2850" i="12"/>
  <c r="K2850" i="12"/>
  <c r="L2850" i="12"/>
  <c r="N2850" i="12" s="1"/>
  <c r="A2851" i="12"/>
  <c r="B2851" i="12"/>
  <c r="C2851" i="12"/>
  <c r="D2851" i="12"/>
  <c r="E2851" i="12"/>
  <c r="F2851" i="12"/>
  <c r="G2851" i="12"/>
  <c r="I2851" i="12" s="1"/>
  <c r="M2851" i="12" s="1"/>
  <c r="H2851" i="12"/>
  <c r="J2851" i="12"/>
  <c r="L2851" i="12" s="1"/>
  <c r="N2851" i="12" s="1"/>
  <c r="K2851" i="12"/>
  <c r="A2852" i="12"/>
  <c r="B2852" i="12"/>
  <c r="C2852" i="12"/>
  <c r="D2852" i="12"/>
  <c r="E2852" i="12"/>
  <c r="F2852" i="12"/>
  <c r="G2852" i="12"/>
  <c r="H2852" i="12"/>
  <c r="I2852" i="12" s="1"/>
  <c r="M2852" i="12" s="1"/>
  <c r="J2852" i="12"/>
  <c r="K2852" i="12"/>
  <c r="L2852" i="12"/>
  <c r="N2852" i="12" s="1"/>
  <c r="A2853" i="12"/>
  <c r="B2853" i="12"/>
  <c r="C2853" i="12"/>
  <c r="D2853" i="12"/>
  <c r="E2853" i="12"/>
  <c r="F2853" i="12"/>
  <c r="G2853" i="12"/>
  <c r="I2853" i="12" s="1"/>
  <c r="M2853" i="12" s="1"/>
  <c r="H2853" i="12"/>
  <c r="J2853" i="12"/>
  <c r="L2853" i="12" s="1"/>
  <c r="N2853" i="12" s="1"/>
  <c r="K2853" i="12"/>
  <c r="A2854" i="12"/>
  <c r="B2854" i="12"/>
  <c r="C2854" i="12"/>
  <c r="D2854" i="12"/>
  <c r="E2854" i="12"/>
  <c r="F2854" i="12"/>
  <c r="G2854" i="12"/>
  <c r="H2854" i="12"/>
  <c r="I2854" i="12" s="1"/>
  <c r="M2854" i="12" s="1"/>
  <c r="J2854" i="12"/>
  <c r="K2854" i="12"/>
  <c r="L2854" i="12"/>
  <c r="N2854" i="12" s="1"/>
  <c r="A2855" i="12"/>
  <c r="B2855" i="12"/>
  <c r="C2855" i="12"/>
  <c r="D2855" i="12"/>
  <c r="E2855" i="12"/>
  <c r="F2855" i="12"/>
  <c r="G2855" i="12"/>
  <c r="I2855" i="12" s="1"/>
  <c r="M2855" i="12" s="1"/>
  <c r="H2855" i="12"/>
  <c r="J2855" i="12"/>
  <c r="L2855" i="12" s="1"/>
  <c r="N2855" i="12" s="1"/>
  <c r="K2855" i="12"/>
  <c r="A2856" i="12"/>
  <c r="B2856" i="12"/>
  <c r="C2856" i="12"/>
  <c r="D2856" i="12"/>
  <c r="E2856" i="12"/>
  <c r="F2856" i="12"/>
  <c r="G2856" i="12"/>
  <c r="H2856" i="12"/>
  <c r="I2856" i="12" s="1"/>
  <c r="M2856" i="12" s="1"/>
  <c r="J2856" i="12"/>
  <c r="K2856" i="12"/>
  <c r="L2856" i="12"/>
  <c r="N2856" i="12" s="1"/>
  <c r="A2857" i="12"/>
  <c r="B2857" i="12"/>
  <c r="C2857" i="12"/>
  <c r="D2857" i="12"/>
  <c r="E2857" i="12"/>
  <c r="F2857" i="12"/>
  <c r="G2857" i="12"/>
  <c r="I2857" i="12" s="1"/>
  <c r="M2857" i="12" s="1"/>
  <c r="H2857" i="12"/>
  <c r="J2857" i="12"/>
  <c r="L2857" i="12" s="1"/>
  <c r="N2857" i="12" s="1"/>
  <c r="K2857" i="12"/>
  <c r="A2858" i="12"/>
  <c r="B2858" i="12"/>
  <c r="C2858" i="12"/>
  <c r="D2858" i="12"/>
  <c r="E2858" i="12"/>
  <c r="F2858" i="12"/>
  <c r="G2858" i="12"/>
  <c r="H2858" i="12"/>
  <c r="I2858" i="12" s="1"/>
  <c r="M2858" i="12" s="1"/>
  <c r="J2858" i="12"/>
  <c r="K2858" i="12"/>
  <c r="L2858" i="12"/>
  <c r="N2858" i="12" s="1"/>
  <c r="A2859" i="12"/>
  <c r="B2859" i="12"/>
  <c r="C2859" i="12"/>
  <c r="D2859" i="12"/>
  <c r="E2859" i="12"/>
  <c r="F2859" i="12"/>
  <c r="G2859" i="12"/>
  <c r="I2859" i="12" s="1"/>
  <c r="M2859" i="12" s="1"/>
  <c r="H2859" i="12"/>
  <c r="J2859" i="12"/>
  <c r="L2859" i="12" s="1"/>
  <c r="N2859" i="12" s="1"/>
  <c r="K2859" i="12"/>
  <c r="A2860" i="12"/>
  <c r="B2860" i="12"/>
  <c r="C2860" i="12"/>
  <c r="D2860" i="12"/>
  <c r="E2860" i="12"/>
  <c r="F2860" i="12"/>
  <c r="G2860" i="12"/>
  <c r="H2860" i="12"/>
  <c r="I2860" i="12" s="1"/>
  <c r="M2860" i="12" s="1"/>
  <c r="J2860" i="12"/>
  <c r="K2860" i="12"/>
  <c r="L2860" i="12"/>
  <c r="N2860" i="12" s="1"/>
  <c r="A2861" i="12"/>
  <c r="B2861" i="12"/>
  <c r="C2861" i="12"/>
  <c r="D2861" i="12"/>
  <c r="E2861" i="12"/>
  <c r="F2861" i="12"/>
  <c r="G2861" i="12"/>
  <c r="I2861" i="12" s="1"/>
  <c r="M2861" i="12" s="1"/>
  <c r="H2861" i="12"/>
  <c r="J2861" i="12"/>
  <c r="L2861" i="12" s="1"/>
  <c r="N2861" i="12" s="1"/>
  <c r="K2861" i="12"/>
  <c r="A2862" i="12"/>
  <c r="B2862" i="12"/>
  <c r="C2862" i="12"/>
  <c r="D2862" i="12"/>
  <c r="E2862" i="12"/>
  <c r="F2862" i="12"/>
  <c r="G2862" i="12"/>
  <c r="H2862" i="12"/>
  <c r="I2862" i="12" s="1"/>
  <c r="M2862" i="12" s="1"/>
  <c r="J2862" i="12"/>
  <c r="K2862" i="12"/>
  <c r="L2862" i="12"/>
  <c r="N2862" i="12" s="1"/>
  <c r="A2863" i="12"/>
  <c r="B2863" i="12"/>
  <c r="C2863" i="12"/>
  <c r="D2863" i="12"/>
  <c r="E2863" i="12"/>
  <c r="F2863" i="12"/>
  <c r="G2863" i="12"/>
  <c r="I2863" i="12" s="1"/>
  <c r="M2863" i="12" s="1"/>
  <c r="H2863" i="12"/>
  <c r="J2863" i="12"/>
  <c r="L2863" i="12" s="1"/>
  <c r="N2863" i="12" s="1"/>
  <c r="K2863" i="12"/>
  <c r="A2864" i="12"/>
  <c r="B2864" i="12"/>
  <c r="C2864" i="12"/>
  <c r="D2864" i="12"/>
  <c r="E2864" i="12"/>
  <c r="F2864" i="12"/>
  <c r="G2864" i="12"/>
  <c r="H2864" i="12"/>
  <c r="I2864" i="12" s="1"/>
  <c r="M2864" i="12" s="1"/>
  <c r="J2864" i="12"/>
  <c r="K2864" i="12"/>
  <c r="L2864" i="12"/>
  <c r="N2864" i="12" s="1"/>
  <c r="A2865" i="12"/>
  <c r="B2865" i="12"/>
  <c r="C2865" i="12"/>
  <c r="D2865" i="12"/>
  <c r="E2865" i="12"/>
  <c r="F2865" i="12"/>
  <c r="G2865" i="12"/>
  <c r="I2865" i="12" s="1"/>
  <c r="M2865" i="12" s="1"/>
  <c r="H2865" i="12"/>
  <c r="J2865" i="12"/>
  <c r="L2865" i="12" s="1"/>
  <c r="N2865" i="12" s="1"/>
  <c r="K2865" i="12"/>
  <c r="A2866" i="12"/>
  <c r="B2866" i="12"/>
  <c r="C2866" i="12"/>
  <c r="D2866" i="12"/>
  <c r="E2866" i="12"/>
  <c r="F2866" i="12"/>
  <c r="G2866" i="12"/>
  <c r="H2866" i="12"/>
  <c r="I2866" i="12" s="1"/>
  <c r="M2866" i="12" s="1"/>
  <c r="J2866" i="12"/>
  <c r="K2866" i="12"/>
  <c r="L2866" i="12"/>
  <c r="N2866" i="12" s="1"/>
  <c r="A2867" i="12"/>
  <c r="B2867" i="12"/>
  <c r="C2867" i="12"/>
  <c r="D2867" i="12"/>
  <c r="E2867" i="12"/>
  <c r="F2867" i="12"/>
  <c r="G2867" i="12"/>
  <c r="I2867" i="12" s="1"/>
  <c r="M2867" i="12" s="1"/>
  <c r="H2867" i="12"/>
  <c r="J2867" i="12"/>
  <c r="L2867" i="12" s="1"/>
  <c r="N2867" i="12" s="1"/>
  <c r="K2867" i="12"/>
  <c r="L2636" i="12" l="1"/>
  <c r="N2636" i="12" s="1"/>
  <c r="L2634" i="12"/>
  <c r="N2634" i="12" s="1"/>
  <c r="L2632" i="12"/>
  <c r="N2632" i="12" s="1"/>
  <c r="L2630" i="12"/>
  <c r="N2630" i="12" s="1"/>
  <c r="L2628" i="12"/>
  <c r="N2628" i="12" s="1"/>
  <c r="L2626" i="12"/>
  <c r="N2626" i="12" s="1"/>
  <c r="L2624" i="12"/>
  <c r="N2624" i="12" s="1"/>
  <c r="L2622" i="12"/>
  <c r="N2622" i="12" s="1"/>
  <c r="L2620" i="12"/>
  <c r="N2620" i="12" s="1"/>
  <c r="L2618" i="12"/>
  <c r="N2618" i="12" s="1"/>
  <c r="L2616" i="12"/>
  <c r="N2616" i="12" s="1"/>
  <c r="L2614" i="12"/>
  <c r="N2614" i="12" s="1"/>
  <c r="L2612" i="12"/>
  <c r="N2612" i="12" s="1"/>
  <c r="L2610" i="12"/>
  <c r="N2610" i="12" s="1"/>
  <c r="L2608" i="12"/>
  <c r="N2608" i="12" s="1"/>
  <c r="L2606" i="12"/>
  <c r="N2606" i="12" s="1"/>
  <c r="L2604" i="12"/>
  <c r="N2604" i="12" s="1"/>
  <c r="L2602" i="12"/>
  <c r="N2602" i="12" s="1"/>
  <c r="L2600" i="12"/>
  <c r="N2600" i="12" s="1"/>
  <c r="L2598" i="12"/>
  <c r="N2598" i="12" s="1"/>
  <c r="L2596" i="12"/>
  <c r="N2596" i="12" s="1"/>
  <c r="L2594" i="12"/>
  <c r="N2594" i="12" s="1"/>
  <c r="L2592" i="12"/>
  <c r="N2592" i="12" s="1"/>
  <c r="L2590" i="12"/>
  <c r="N2590" i="12" s="1"/>
  <c r="L2588" i="12"/>
  <c r="N2588" i="12" s="1"/>
  <c r="L2586" i="12"/>
  <c r="N2586" i="12" s="1"/>
  <c r="L2584" i="12"/>
  <c r="N2584" i="12" s="1"/>
  <c r="L2582" i="12"/>
  <c r="N2582" i="12" s="1"/>
  <c r="L2580" i="12"/>
  <c r="N2580" i="12" s="1"/>
  <c r="L2578" i="12"/>
  <c r="N2578" i="12" s="1"/>
  <c r="L2576" i="12"/>
  <c r="N2576" i="12" s="1"/>
  <c r="L2574" i="12"/>
  <c r="N2574" i="12" s="1"/>
  <c r="L2572" i="12"/>
  <c r="N2572" i="12" s="1"/>
  <c r="L2570" i="12"/>
  <c r="N2570" i="12" s="1"/>
  <c r="L2568" i="12"/>
  <c r="N2568" i="12" s="1"/>
  <c r="L2566" i="12"/>
  <c r="N2566" i="12" s="1"/>
  <c r="L2564" i="12"/>
  <c r="N2564" i="12" s="1"/>
  <c r="L2562" i="12"/>
  <c r="N2562" i="12" s="1"/>
  <c r="L2560" i="12"/>
  <c r="N2560" i="12" s="1"/>
  <c r="L2558" i="12"/>
  <c r="N2558" i="12" s="1"/>
  <c r="L2556" i="12"/>
  <c r="N2556" i="12" s="1"/>
  <c r="L2554" i="12"/>
  <c r="N2554" i="12" s="1"/>
  <c r="L2552" i="12"/>
  <c r="N2552" i="12" s="1"/>
  <c r="L2550" i="12"/>
  <c r="N2550" i="12" s="1"/>
  <c r="L2548" i="12"/>
  <c r="N2548" i="12" s="1"/>
  <c r="L2546" i="12"/>
  <c r="N2546" i="12" s="1"/>
  <c r="L2544" i="12"/>
  <c r="N2544" i="12" s="1"/>
  <c r="L2543" i="12"/>
  <c r="N2543" i="12" s="1"/>
  <c r="L2542" i="12"/>
  <c r="N2542" i="12" s="1"/>
  <c r="L2540" i="12"/>
  <c r="N2540" i="12" s="1"/>
  <c r="L2538" i="12"/>
  <c r="N2538" i="12" s="1"/>
  <c r="L2536" i="12"/>
  <c r="N2536" i="12" s="1"/>
  <c r="L2534" i="12"/>
  <c r="N2534" i="12" s="1"/>
  <c r="L2532" i="12"/>
  <c r="N2532" i="12" s="1"/>
  <c r="L2530" i="12"/>
  <c r="N2530" i="12" s="1"/>
  <c r="L2528" i="12"/>
  <c r="N2528" i="12" s="1"/>
  <c r="L2526" i="12"/>
  <c r="N2526" i="12" s="1"/>
  <c r="L2524" i="12"/>
  <c r="N2524" i="12" s="1"/>
  <c r="L2522" i="12"/>
  <c r="N2522" i="12" s="1"/>
  <c r="L2520" i="12"/>
  <c r="N2520" i="12" s="1"/>
  <c r="L2518" i="12"/>
  <c r="N2518" i="12" s="1"/>
  <c r="L2516" i="12"/>
  <c r="N2516" i="12" s="1"/>
  <c r="L2514" i="12"/>
  <c r="N2514" i="12" s="1"/>
  <c r="L2512" i="12"/>
  <c r="N2512" i="12" s="1"/>
  <c r="L2510" i="12"/>
  <c r="N2510" i="12" s="1"/>
  <c r="L2508" i="12"/>
  <c r="N2508" i="12" s="1"/>
  <c r="L2506" i="12"/>
  <c r="N2506" i="12" s="1"/>
  <c r="L2504" i="12"/>
  <c r="N2504" i="12" s="1"/>
  <c r="L2224" i="12"/>
  <c r="N2224" i="12" s="1"/>
  <c r="L2408" i="12"/>
  <c r="N2408" i="12" s="1"/>
  <c r="L2404" i="12"/>
  <c r="N2404" i="12" s="1"/>
  <c r="L2400" i="12"/>
  <c r="N2400" i="12" s="1"/>
  <c r="L2396" i="12"/>
  <c r="N2396" i="12" s="1"/>
  <c r="L2392" i="12"/>
  <c r="N2392" i="12" s="1"/>
  <c r="L2388" i="12"/>
  <c r="N2388" i="12" s="1"/>
  <c r="L2384" i="12"/>
  <c r="N2384" i="12" s="1"/>
  <c r="L2380" i="12"/>
  <c r="N2380" i="12" s="1"/>
  <c r="L2376" i="12"/>
  <c r="N2376" i="12" s="1"/>
  <c r="L2372" i="12"/>
  <c r="N2372" i="12" s="1"/>
  <c r="L2368" i="12"/>
  <c r="N2368" i="12" s="1"/>
  <c r="L2364" i="12"/>
  <c r="N2364" i="12" s="1"/>
  <c r="L2360" i="12"/>
  <c r="N2360" i="12" s="1"/>
  <c r="L2356" i="12"/>
  <c r="N2356" i="12" s="1"/>
  <c r="L2352" i="12"/>
  <c r="N2352" i="12" s="1"/>
  <c r="L2348" i="12"/>
  <c r="N2348" i="12" s="1"/>
  <c r="L2344" i="12"/>
  <c r="N2344" i="12" s="1"/>
  <c r="L2340" i="12"/>
  <c r="N2340" i="12" s="1"/>
  <c r="L2336" i="12"/>
  <c r="N2336" i="12" s="1"/>
  <c r="L2332" i="12"/>
  <c r="N2332" i="12" s="1"/>
  <c r="L2328" i="12"/>
  <c r="N2328" i="12" s="1"/>
  <c r="L2324" i="12"/>
  <c r="N2324" i="12" s="1"/>
  <c r="L2320" i="12"/>
  <c r="N2320" i="12" s="1"/>
  <c r="L2316" i="12"/>
  <c r="N2316" i="12" s="1"/>
  <c r="L2312" i="12"/>
  <c r="N2312" i="12" s="1"/>
  <c r="L2308" i="12"/>
  <c r="N2308" i="12" s="1"/>
  <c r="L2304" i="12"/>
  <c r="N2304" i="12" s="1"/>
  <c r="L2300" i="12"/>
  <c r="N2300" i="12" s="1"/>
  <c r="L2296" i="12"/>
  <c r="N2296" i="12" s="1"/>
  <c r="L2292" i="12"/>
  <c r="N2292" i="12" s="1"/>
  <c r="L2406" i="12"/>
  <c r="N2406" i="12" s="1"/>
  <c r="L2402" i="12"/>
  <c r="N2402" i="12" s="1"/>
  <c r="L2398" i="12"/>
  <c r="N2398" i="12" s="1"/>
  <c r="L2394" i="12"/>
  <c r="N2394" i="12" s="1"/>
  <c r="L2390" i="12"/>
  <c r="N2390" i="12" s="1"/>
  <c r="L2386" i="12"/>
  <c r="N2386" i="12" s="1"/>
  <c r="L2382" i="12"/>
  <c r="N2382" i="12" s="1"/>
  <c r="L2378" i="12"/>
  <c r="N2378" i="12" s="1"/>
  <c r="L2374" i="12"/>
  <c r="N2374" i="12" s="1"/>
  <c r="L2370" i="12"/>
  <c r="N2370" i="12" s="1"/>
  <c r="L2366" i="12"/>
  <c r="N2366" i="12" s="1"/>
  <c r="L2362" i="12"/>
  <c r="N2362" i="12" s="1"/>
  <c r="L2358" i="12"/>
  <c r="N2358" i="12" s="1"/>
  <c r="L2354" i="12"/>
  <c r="N2354" i="12" s="1"/>
  <c r="L2350" i="12"/>
  <c r="N2350" i="12" s="1"/>
  <c r="L2346" i="12"/>
  <c r="N2346" i="12" s="1"/>
  <c r="L2342" i="12"/>
  <c r="N2342" i="12" s="1"/>
  <c r="L2338" i="12"/>
  <c r="N2338" i="12" s="1"/>
  <c r="L2334" i="12"/>
  <c r="N2334" i="12" s="1"/>
  <c r="L2330" i="12"/>
  <c r="N2330" i="12" s="1"/>
  <c r="L2326" i="12"/>
  <c r="N2326" i="12" s="1"/>
  <c r="L2322" i="12"/>
  <c r="N2322" i="12" s="1"/>
  <c r="L2318" i="12"/>
  <c r="N2318" i="12" s="1"/>
  <c r="L2314" i="12"/>
  <c r="N2314" i="12" s="1"/>
  <c r="L2310" i="12"/>
  <c r="N2310" i="12" s="1"/>
  <c r="L2306" i="12"/>
  <c r="N2306" i="12" s="1"/>
  <c r="L2302" i="12"/>
  <c r="N2302" i="12" s="1"/>
  <c r="L2298" i="12"/>
  <c r="N2298" i="12" s="1"/>
  <c r="L2294" i="12"/>
  <c r="N2294" i="12" s="1"/>
  <c r="L2290" i="12"/>
  <c r="N2290" i="12" s="1"/>
  <c r="L2286" i="12"/>
  <c r="N2286" i="12" s="1"/>
  <c r="L2282" i="12"/>
  <c r="N2282" i="12" s="1"/>
  <c r="L2278" i="12"/>
  <c r="N2278" i="12" s="1"/>
  <c r="L2274" i="12"/>
  <c r="N2274" i="12" s="1"/>
  <c r="L2270" i="12"/>
  <c r="N2270" i="12" s="1"/>
  <c r="L2266" i="12"/>
  <c r="N2266" i="12" s="1"/>
  <c r="L2262" i="12"/>
  <c r="N2262" i="12" s="1"/>
  <c r="L2258" i="12"/>
  <c r="N2258" i="12" s="1"/>
  <c r="L2254" i="12"/>
  <c r="N2254" i="12" s="1"/>
  <c r="L2250" i="12"/>
  <c r="N2250" i="12" s="1"/>
  <c r="L2246" i="12"/>
  <c r="N2246" i="12" s="1"/>
  <c r="L2242" i="12"/>
  <c r="N2242" i="12" s="1"/>
  <c r="L2238" i="12"/>
  <c r="N2238" i="12" s="1"/>
  <c r="L2234" i="12"/>
  <c r="N2234" i="12" s="1"/>
  <c r="I2227" i="12"/>
  <c r="M2227" i="12" s="1"/>
  <c r="L2122" i="12"/>
  <c r="N2122" i="12" s="1"/>
  <c r="I2113" i="12"/>
  <c r="M2113" i="12" s="1"/>
  <c r="L2106" i="12"/>
  <c r="N2106" i="12" s="1"/>
  <c r="I2097" i="12"/>
  <c r="M2097" i="12" s="1"/>
  <c r="L2090" i="12"/>
  <c r="N2090" i="12" s="1"/>
  <c r="I2081" i="12"/>
  <c r="M2081" i="12" s="1"/>
  <c r="L2074" i="12"/>
  <c r="N2074" i="12" s="1"/>
  <c r="I2065" i="12"/>
  <c r="M2065" i="12" s="1"/>
  <c r="L2058" i="12"/>
  <c r="N2058" i="12" s="1"/>
  <c r="I2049" i="12"/>
  <c r="M2049" i="12" s="1"/>
  <c r="L2042" i="12"/>
  <c r="N2042" i="12" s="1"/>
  <c r="I2033" i="12"/>
  <c r="M2033" i="12" s="1"/>
  <c r="L2026" i="12"/>
  <c r="N2026" i="12" s="1"/>
  <c r="I2017" i="12"/>
  <c r="M2017" i="12" s="1"/>
  <c r="L2010" i="12"/>
  <c r="N2010" i="12" s="1"/>
  <c r="I2001" i="12"/>
  <c r="M2001" i="12" s="1"/>
  <c r="L1994" i="12"/>
  <c r="N1994" i="12" s="1"/>
  <c r="I1985" i="12"/>
  <c r="M1985" i="12" s="1"/>
  <c r="L1978" i="12"/>
  <c r="N1978" i="12" s="1"/>
  <c r="I1969" i="12"/>
  <c r="M1969" i="12" s="1"/>
  <c r="L1962" i="12"/>
  <c r="N1962" i="12" s="1"/>
  <c r="I1953" i="12"/>
  <c r="M1953" i="12" s="1"/>
  <c r="L1946" i="12"/>
  <c r="N1946" i="12" s="1"/>
  <c r="I1937" i="12"/>
  <c r="M1937" i="12" s="1"/>
  <c r="L1930" i="12"/>
  <c r="N1930" i="12" s="1"/>
  <c r="I1921" i="12"/>
  <c r="M1921" i="12" s="1"/>
  <c r="L1914" i="12"/>
  <c r="N1914" i="12" s="1"/>
  <c r="I1905" i="12"/>
  <c r="M1905" i="12" s="1"/>
  <c r="L1898" i="12"/>
  <c r="N1898" i="12" s="1"/>
  <c r="I1889" i="12"/>
  <c r="M1889" i="12" s="1"/>
  <c r="L1882" i="12"/>
  <c r="N1882" i="12" s="1"/>
  <c r="I1873" i="12"/>
  <c r="M1873" i="12" s="1"/>
  <c r="L1866" i="12"/>
  <c r="N1866" i="12" s="1"/>
  <c r="I1857" i="12"/>
  <c r="M1857" i="12" s="1"/>
  <c r="L2114" i="12"/>
  <c r="N2114" i="12" s="1"/>
  <c r="L2098" i="12"/>
  <c r="N2098" i="12" s="1"/>
  <c r="L2082" i="12"/>
  <c r="N2082" i="12" s="1"/>
  <c r="L2066" i="12"/>
  <c r="N2066" i="12" s="1"/>
  <c r="L2050" i="12"/>
  <c r="N2050" i="12" s="1"/>
  <c r="L2034" i="12"/>
  <c r="N2034" i="12" s="1"/>
  <c r="L2018" i="12"/>
  <c r="N2018" i="12" s="1"/>
  <c r="L2002" i="12"/>
  <c r="N2002" i="12" s="1"/>
  <c r="L1986" i="12"/>
  <c r="N1986" i="12" s="1"/>
  <c r="L1970" i="12"/>
  <c r="N1970" i="12" s="1"/>
  <c r="I1961" i="12"/>
  <c r="M1961" i="12" s="1"/>
  <c r="L1954" i="12"/>
  <c r="N1954" i="12" s="1"/>
  <c r="I1945" i="12"/>
  <c r="M1945" i="12" s="1"/>
  <c r="L1938" i="12"/>
  <c r="N1938" i="12" s="1"/>
  <c r="I1929" i="12"/>
  <c r="M1929" i="12" s="1"/>
  <c r="L1922" i="12"/>
  <c r="N1922" i="12" s="1"/>
  <c r="I1913" i="12"/>
  <c r="M1913" i="12" s="1"/>
  <c r="L1906" i="12"/>
  <c r="N1906" i="12" s="1"/>
  <c r="L1890" i="12"/>
  <c r="N1890" i="12" s="1"/>
  <c r="L1874" i="12"/>
  <c r="N1874" i="12" s="1"/>
  <c r="L1858" i="12"/>
  <c r="N1858" i="12" s="1"/>
  <c r="L1852" i="12"/>
  <c r="N1852" i="12" s="1"/>
  <c r="L2124" i="12"/>
  <c r="N2124" i="12" s="1"/>
  <c r="L2120" i="12"/>
  <c r="N2120" i="12" s="1"/>
  <c r="L2116" i="12"/>
  <c r="N2116" i="12" s="1"/>
  <c r="L2112" i="12"/>
  <c r="N2112" i="12" s="1"/>
  <c r="L2108" i="12"/>
  <c r="N2108" i="12" s="1"/>
  <c r="L2104" i="12"/>
  <c r="N2104" i="12" s="1"/>
  <c r="L2100" i="12"/>
  <c r="N2100" i="12" s="1"/>
  <c r="L2096" i="12"/>
  <c r="N2096" i="12" s="1"/>
  <c r="L2092" i="12"/>
  <c r="N2092" i="12" s="1"/>
  <c r="L2088" i="12"/>
  <c r="N2088" i="12" s="1"/>
  <c r="L2084" i="12"/>
  <c r="N2084" i="12" s="1"/>
  <c r="L2080" i="12"/>
  <c r="N2080" i="12" s="1"/>
  <c r="L2076" i="12"/>
  <c r="N2076" i="12" s="1"/>
  <c r="L2072" i="12"/>
  <c r="N2072" i="12" s="1"/>
  <c r="L2068" i="12"/>
  <c r="N2068" i="12" s="1"/>
  <c r="L2064" i="12"/>
  <c r="N2064" i="12" s="1"/>
  <c r="L2060" i="12"/>
  <c r="N2060" i="12" s="1"/>
  <c r="L2056" i="12"/>
  <c r="N2056" i="12" s="1"/>
  <c r="L2052" i="12"/>
  <c r="N2052" i="12" s="1"/>
  <c r="L2048" i="12"/>
  <c r="N2048" i="12" s="1"/>
  <c r="L2044" i="12"/>
  <c r="N2044" i="12" s="1"/>
  <c r="L2040" i="12"/>
  <c r="N2040" i="12" s="1"/>
  <c r="L2036" i="12"/>
  <c r="N2036" i="12" s="1"/>
  <c r="L2032" i="12"/>
  <c r="N2032" i="12" s="1"/>
  <c r="L2028" i="12"/>
  <c r="N2028" i="12" s="1"/>
  <c r="L2024" i="12"/>
  <c r="N2024" i="12" s="1"/>
  <c r="L2020" i="12"/>
  <c r="N2020" i="12" s="1"/>
  <c r="L2016" i="12"/>
  <c r="N2016" i="12" s="1"/>
  <c r="L2012" i="12"/>
  <c r="N2012" i="12" s="1"/>
  <c r="L2008" i="12"/>
  <c r="N2008" i="12" s="1"/>
  <c r="L2004" i="12"/>
  <c r="N2004" i="12" s="1"/>
  <c r="L2000" i="12"/>
  <c r="N2000" i="12" s="1"/>
  <c r="L1996" i="12"/>
  <c r="N1996" i="12" s="1"/>
  <c r="L1992" i="12"/>
  <c r="N1992" i="12" s="1"/>
  <c r="L1988" i="12"/>
  <c r="N1988" i="12" s="1"/>
  <c r="L1984" i="12"/>
  <c r="N1984" i="12" s="1"/>
  <c r="L1980" i="12"/>
  <c r="N1980" i="12" s="1"/>
  <c r="L1976" i="12"/>
  <c r="N1976" i="12" s="1"/>
  <c r="L1972" i="12"/>
  <c r="N1972" i="12" s="1"/>
  <c r="L1968" i="12"/>
  <c r="N1968" i="12" s="1"/>
  <c r="L1964" i="12"/>
  <c r="N1964" i="12" s="1"/>
  <c r="L1960" i="12"/>
  <c r="N1960" i="12" s="1"/>
  <c r="L1956" i="12"/>
  <c r="N1956" i="12" s="1"/>
  <c r="L1952" i="12"/>
  <c r="N1952" i="12" s="1"/>
  <c r="L1948" i="12"/>
  <c r="N1948" i="12" s="1"/>
  <c r="L1944" i="12"/>
  <c r="N1944" i="12" s="1"/>
  <c r="L1940" i="12"/>
  <c r="N1940" i="12" s="1"/>
  <c r="L1936" i="12"/>
  <c r="N1936" i="12" s="1"/>
  <c r="L1932" i="12"/>
  <c r="N1932" i="12" s="1"/>
  <c r="L1928" i="12"/>
  <c r="N1928" i="12" s="1"/>
  <c r="L1924" i="12"/>
  <c r="N1924" i="12" s="1"/>
  <c r="L1920" i="12"/>
  <c r="N1920" i="12" s="1"/>
  <c r="L1916" i="12"/>
  <c r="N1916" i="12" s="1"/>
  <c r="L1912" i="12"/>
  <c r="N1912" i="12" s="1"/>
  <c r="L1908" i="12"/>
  <c r="N1908" i="12" s="1"/>
  <c r="L1904" i="12"/>
  <c r="N1904" i="12" s="1"/>
  <c r="L1900" i="12"/>
  <c r="N1900" i="12" s="1"/>
  <c r="L1896" i="12"/>
  <c r="N1896" i="12" s="1"/>
  <c r="L1892" i="12"/>
  <c r="N1892" i="12" s="1"/>
  <c r="L1888" i="12"/>
  <c r="N1888" i="12" s="1"/>
  <c r="L1884" i="12"/>
  <c r="N1884" i="12" s="1"/>
  <c r="L1880" i="12"/>
  <c r="N1880" i="12" s="1"/>
  <c r="L1876" i="12"/>
  <c r="N1876" i="12" s="1"/>
  <c r="L1872" i="12"/>
  <c r="N1872" i="12" s="1"/>
  <c r="L1868" i="12"/>
  <c r="N1868" i="12" s="1"/>
  <c r="L1864" i="12"/>
  <c r="N1864" i="12" s="1"/>
  <c r="L1860" i="12"/>
  <c r="N1860" i="12" s="1"/>
  <c r="L1856" i="12"/>
  <c r="N1856" i="12" s="1"/>
  <c r="L1848" i="12"/>
  <c r="N1848" i="12" s="1"/>
  <c r="L1854" i="12"/>
  <c r="N1854" i="12" s="1"/>
  <c r="L1850" i="12"/>
  <c r="N1850" i="12" s="1"/>
  <c r="L1846" i="12"/>
  <c r="N1846" i="12" s="1"/>
  <c r="L1842" i="12"/>
  <c r="N1842" i="12" s="1"/>
  <c r="L1838" i="12"/>
  <c r="N1838" i="12" s="1"/>
  <c r="L1834" i="12"/>
  <c r="N1834" i="12" s="1"/>
  <c r="L1830" i="12"/>
  <c r="N1830" i="12" s="1"/>
  <c r="L1510" i="12"/>
  <c r="N1510" i="12" s="1"/>
  <c r="I1505" i="12"/>
  <c r="M1505" i="12" s="1"/>
  <c r="L1494" i="12"/>
  <c r="N1494" i="12" s="1"/>
  <c r="I1489" i="12"/>
  <c r="M1489" i="12" s="1"/>
  <c r="L1478" i="12"/>
  <c r="N1478" i="12" s="1"/>
  <c r="I1473" i="12"/>
  <c r="M1473" i="12" s="1"/>
  <c r="L1462" i="12"/>
  <c r="N1462" i="12" s="1"/>
  <c r="I1457" i="12"/>
  <c r="M1457" i="12" s="1"/>
  <c r="L1446" i="12"/>
  <c r="N1446" i="12" s="1"/>
  <c r="I1441" i="12"/>
  <c r="M1441" i="12" s="1"/>
  <c r="L1430" i="12"/>
  <c r="N1430" i="12" s="1"/>
  <c r="I1425" i="12"/>
  <c r="M1425" i="12" s="1"/>
  <c r="L1414" i="12"/>
  <c r="N1414" i="12" s="1"/>
  <c r="I1409" i="12"/>
  <c r="M1409" i="12" s="1"/>
  <c r="L1398" i="12"/>
  <c r="N1398" i="12" s="1"/>
  <c r="I1377" i="12"/>
  <c r="M1377" i="12" s="1"/>
  <c r="L1362" i="12"/>
  <c r="N1362" i="12" s="1"/>
  <c r="I1357" i="12"/>
  <c r="M1357" i="12" s="1"/>
  <c r="L1350" i="12"/>
  <c r="N1350" i="12" s="1"/>
  <c r="I1313" i="12"/>
  <c r="M1313" i="12" s="1"/>
  <c r="L1298" i="12"/>
  <c r="N1298" i="12" s="1"/>
  <c r="I1293" i="12"/>
  <c r="M1293" i="12" s="1"/>
  <c r="L1286" i="12"/>
  <c r="N1286" i="12" s="1"/>
  <c r="I1513" i="12"/>
  <c r="M1513" i="12" s="1"/>
  <c r="L1502" i="12"/>
  <c r="N1502" i="12" s="1"/>
  <c r="I1497" i="12"/>
  <c r="M1497" i="12" s="1"/>
  <c r="L1486" i="12"/>
  <c r="N1486" i="12" s="1"/>
  <c r="I1481" i="12"/>
  <c r="M1481" i="12" s="1"/>
  <c r="L1470" i="12"/>
  <c r="N1470" i="12" s="1"/>
  <c r="I1465" i="12"/>
  <c r="M1465" i="12" s="1"/>
  <c r="L1454" i="12"/>
  <c r="N1454" i="12" s="1"/>
  <c r="I1449" i="12"/>
  <c r="M1449" i="12" s="1"/>
  <c r="L1438" i="12"/>
  <c r="N1438" i="12" s="1"/>
  <c r="I1433" i="12"/>
  <c r="M1433" i="12" s="1"/>
  <c r="L1422" i="12"/>
  <c r="N1422" i="12" s="1"/>
  <c r="I1417" i="12"/>
  <c r="M1417" i="12" s="1"/>
  <c r="L1406" i="12"/>
  <c r="N1406" i="12" s="1"/>
  <c r="I1401" i="12"/>
  <c r="M1401" i="12" s="1"/>
  <c r="L1394" i="12"/>
  <c r="N1394" i="12" s="1"/>
  <c r="I1389" i="12"/>
  <c r="M1389" i="12" s="1"/>
  <c r="L1382" i="12"/>
  <c r="N1382" i="12" s="1"/>
  <c r="I1345" i="12"/>
  <c r="M1345" i="12" s="1"/>
  <c r="L1330" i="12"/>
  <c r="N1330" i="12" s="1"/>
  <c r="I1325" i="12"/>
  <c r="M1325" i="12" s="1"/>
  <c r="L1318" i="12"/>
  <c r="N1318" i="12" s="1"/>
  <c r="I1281" i="12"/>
  <c r="M1281" i="12" s="1"/>
  <c r="L1386" i="12"/>
  <c r="N1386" i="12" s="1"/>
  <c r="I1381" i="12"/>
  <c r="M1381" i="12" s="1"/>
  <c r="L1370" i="12"/>
  <c r="N1370" i="12" s="1"/>
  <c r="I1365" i="12"/>
  <c r="M1365" i="12" s="1"/>
  <c r="L1354" i="12"/>
  <c r="N1354" i="12" s="1"/>
  <c r="I1349" i="12"/>
  <c r="M1349" i="12" s="1"/>
  <c r="L1338" i="12"/>
  <c r="N1338" i="12" s="1"/>
  <c r="I1333" i="12"/>
  <c r="M1333" i="12" s="1"/>
  <c r="L1322" i="12"/>
  <c r="N1322" i="12" s="1"/>
  <c r="I1317" i="12"/>
  <c r="M1317" i="12" s="1"/>
  <c r="L1306" i="12"/>
  <c r="N1306" i="12" s="1"/>
  <c r="I1301" i="12"/>
  <c r="M1301" i="12" s="1"/>
  <c r="L1290" i="12"/>
  <c r="N1290" i="12" s="1"/>
  <c r="I1285" i="12"/>
  <c r="M1285" i="12" s="1"/>
  <c r="L1274" i="12"/>
  <c r="N1274" i="12" s="1"/>
  <c r="I1269" i="12"/>
  <c r="M1269" i="12" s="1"/>
  <c r="L1258" i="12"/>
  <c r="N1258" i="12" s="1"/>
  <c r="I1253" i="12"/>
  <c r="M1253" i="12" s="1"/>
  <c r="L1222" i="12"/>
  <c r="N1222" i="12" s="1"/>
  <c r="I1201" i="12"/>
  <c r="M1201" i="12" s="1"/>
  <c r="L1158" i="12"/>
  <c r="N1158" i="12" s="1"/>
  <c r="I1137" i="12"/>
  <c r="M1137" i="12" s="1"/>
  <c r="L1094" i="12"/>
  <c r="N1094" i="12" s="1"/>
  <c r="I1073" i="12"/>
  <c r="M1073" i="12" s="1"/>
  <c r="L1030" i="12"/>
  <c r="N1030" i="12" s="1"/>
  <c r="L1014" i="12"/>
  <c r="N1014" i="12" s="1"/>
  <c r="L998" i="12"/>
  <c r="N998" i="12" s="1"/>
  <c r="L982" i="12"/>
  <c r="N982" i="12" s="1"/>
  <c r="L966" i="12"/>
  <c r="N966" i="12" s="1"/>
  <c r="L950" i="12"/>
  <c r="N950" i="12" s="1"/>
  <c r="L934" i="12"/>
  <c r="N934" i="12" s="1"/>
  <c r="L918" i="12"/>
  <c r="N918" i="12" s="1"/>
  <c r="L1266" i="12"/>
  <c r="N1266" i="12" s="1"/>
  <c r="I1261" i="12"/>
  <c r="M1261" i="12" s="1"/>
  <c r="L1250" i="12"/>
  <c r="N1250" i="12" s="1"/>
  <c r="I1233" i="12"/>
  <c r="M1233" i="12" s="1"/>
  <c r="L1190" i="12"/>
  <c r="N1190" i="12" s="1"/>
  <c r="I1169" i="12"/>
  <c r="M1169" i="12" s="1"/>
  <c r="L1126" i="12"/>
  <c r="N1126" i="12" s="1"/>
  <c r="I1105" i="12"/>
  <c r="M1105" i="12" s="1"/>
  <c r="L1062" i="12"/>
  <c r="N1062" i="12" s="1"/>
  <c r="I1041" i="12"/>
  <c r="M1041" i="12" s="1"/>
  <c r="L1022" i="12"/>
  <c r="N1022" i="12" s="1"/>
  <c r="L1006" i="12"/>
  <c r="N1006" i="12" s="1"/>
  <c r="L990" i="12"/>
  <c r="N990" i="12" s="1"/>
  <c r="L974" i="12"/>
  <c r="N974" i="12" s="1"/>
  <c r="L958" i="12"/>
  <c r="N958" i="12" s="1"/>
  <c r="L942" i="12"/>
  <c r="N942" i="12" s="1"/>
  <c r="L926" i="12"/>
  <c r="N926" i="12" s="1"/>
  <c r="L633" i="12"/>
  <c r="N633" i="12" s="1"/>
  <c r="L601" i="12"/>
  <c r="N601" i="12" s="1"/>
  <c r="I544" i="12"/>
  <c r="M544" i="12" s="1"/>
  <c r="I27" i="12"/>
  <c r="M27" i="12" s="1"/>
  <c r="I25" i="12"/>
  <c r="M25" i="12" s="1"/>
  <c r="I23" i="12"/>
  <c r="M23" i="12" s="1"/>
  <c r="I21" i="12"/>
  <c r="M21" i="12" s="1"/>
  <c r="I19" i="12"/>
  <c r="M19" i="12" s="1"/>
  <c r="I17" i="12"/>
  <c r="M17" i="12" s="1"/>
  <c r="I15" i="12"/>
  <c r="M15" i="12" s="1"/>
  <c r="I13" i="12"/>
  <c r="M13" i="12" s="1"/>
  <c r="I11" i="12"/>
  <c r="M11" i="12" s="1"/>
  <c r="I9" i="12"/>
  <c r="M9" i="12" s="1"/>
  <c r="I7" i="12"/>
  <c r="M7" i="12" s="1"/>
  <c r="I5" i="12"/>
  <c r="M5" i="12" s="1"/>
  <c r="I3" i="12"/>
  <c r="M3" i="12" s="1"/>
  <c r="L1234" i="12"/>
  <c r="N1234" i="12" s="1"/>
  <c r="L1218" i="12"/>
  <c r="N1218" i="12" s="1"/>
  <c r="L1202" i="12"/>
  <c r="N1202" i="12" s="1"/>
  <c r="L1186" i="12"/>
  <c r="N1186" i="12" s="1"/>
  <c r="L1170" i="12"/>
  <c r="N1170" i="12" s="1"/>
  <c r="L1154" i="12"/>
  <c r="N1154" i="12" s="1"/>
  <c r="L1138" i="12"/>
  <c r="N1138" i="12" s="1"/>
  <c r="L1122" i="12"/>
  <c r="N1122" i="12" s="1"/>
  <c r="L1106" i="12"/>
  <c r="N1106" i="12" s="1"/>
  <c r="L1090" i="12"/>
  <c r="N1090" i="12" s="1"/>
  <c r="L1074" i="12"/>
  <c r="N1074" i="12" s="1"/>
  <c r="L1058" i="12"/>
  <c r="N1058" i="12" s="1"/>
  <c r="L1042" i="12"/>
  <c r="N1042" i="12" s="1"/>
  <c r="I1029" i="12"/>
  <c r="M1029" i="12" s="1"/>
  <c r="I1021" i="12"/>
  <c r="M1021" i="12" s="1"/>
  <c r="I1013" i="12"/>
  <c r="M1013" i="12" s="1"/>
  <c r="I1005" i="12"/>
  <c r="M1005" i="12" s="1"/>
  <c r="I997" i="12"/>
  <c r="M997" i="12" s="1"/>
  <c r="I989" i="12"/>
  <c r="M989" i="12" s="1"/>
  <c r="I981" i="12"/>
  <c r="M981" i="12" s="1"/>
  <c r="I973" i="12"/>
  <c r="M973" i="12" s="1"/>
  <c r="I965" i="12"/>
  <c r="M965" i="12" s="1"/>
  <c r="I957" i="12"/>
  <c r="M957" i="12" s="1"/>
  <c r="I949" i="12"/>
  <c r="M949" i="12" s="1"/>
  <c r="I941" i="12"/>
  <c r="M941" i="12" s="1"/>
  <c r="I933" i="12"/>
  <c r="M933" i="12" s="1"/>
  <c r="I925" i="12"/>
  <c r="M925" i="12" s="1"/>
  <c r="I917" i="12"/>
  <c r="M917" i="12" s="1"/>
  <c r="L625" i="12"/>
  <c r="N625" i="12" s="1"/>
  <c r="L593" i="12"/>
  <c r="N593" i="12" s="1"/>
  <c r="I480" i="12"/>
  <c r="M480" i="12" s="1"/>
  <c r="L1512" i="12"/>
  <c r="N1512" i="12" s="1"/>
  <c r="L1508" i="12"/>
  <c r="N1508" i="12" s="1"/>
  <c r="L1504" i="12"/>
  <c r="N1504" i="12" s="1"/>
  <c r="L1500" i="12"/>
  <c r="N1500" i="12" s="1"/>
  <c r="L1496" i="12"/>
  <c r="N1496" i="12" s="1"/>
  <c r="L1492" i="12"/>
  <c r="N1492" i="12" s="1"/>
  <c r="L1488" i="12"/>
  <c r="N1488" i="12" s="1"/>
  <c r="L1484" i="12"/>
  <c r="N1484" i="12" s="1"/>
  <c r="L1480" i="12"/>
  <c r="N1480" i="12" s="1"/>
  <c r="L1476" i="12"/>
  <c r="N1476" i="12" s="1"/>
  <c r="L1472" i="12"/>
  <c r="N1472" i="12" s="1"/>
  <c r="L1468" i="12"/>
  <c r="N1468" i="12" s="1"/>
  <c r="L1464" i="12"/>
  <c r="N1464" i="12" s="1"/>
  <c r="L1460" i="12"/>
  <c r="N1460" i="12" s="1"/>
  <c r="L1456" i="12"/>
  <c r="N1456" i="12" s="1"/>
  <c r="L1452" i="12"/>
  <c r="N1452" i="12" s="1"/>
  <c r="L1448" i="12"/>
  <c r="N1448" i="12" s="1"/>
  <c r="L1444" i="12"/>
  <c r="N1444" i="12" s="1"/>
  <c r="L1440" i="12"/>
  <c r="N1440" i="12" s="1"/>
  <c r="L1436" i="12"/>
  <c r="N1436" i="12" s="1"/>
  <c r="L1432" i="12"/>
  <c r="N1432" i="12" s="1"/>
  <c r="L1428" i="12"/>
  <c r="N1428" i="12" s="1"/>
  <c r="L1424" i="12"/>
  <c r="N1424" i="12" s="1"/>
  <c r="L1420" i="12"/>
  <c r="N1420" i="12" s="1"/>
  <c r="L1416" i="12"/>
  <c r="N1416" i="12" s="1"/>
  <c r="L1412" i="12"/>
  <c r="N1412" i="12" s="1"/>
  <c r="L1408" i="12"/>
  <c r="N1408" i="12" s="1"/>
  <c r="L1404" i="12"/>
  <c r="N1404" i="12" s="1"/>
  <c r="L1400" i="12"/>
  <c r="N1400" i="12" s="1"/>
  <c r="L1396" i="12"/>
  <c r="N1396" i="12" s="1"/>
  <c r="L1392" i="12"/>
  <c r="N1392" i="12" s="1"/>
  <c r="L1388" i="12"/>
  <c r="N1388" i="12" s="1"/>
  <c r="L1384" i="12"/>
  <c r="N1384" i="12" s="1"/>
  <c r="L1380" i="12"/>
  <c r="N1380" i="12" s="1"/>
  <c r="L1376" i="12"/>
  <c r="N1376" i="12" s="1"/>
  <c r="L1372" i="12"/>
  <c r="N1372" i="12" s="1"/>
  <c r="L1368" i="12"/>
  <c r="N1368" i="12" s="1"/>
  <c r="L1364" i="12"/>
  <c r="N1364" i="12" s="1"/>
  <c r="L1360" i="12"/>
  <c r="N1360" i="12" s="1"/>
  <c r="L1356" i="12"/>
  <c r="N1356" i="12" s="1"/>
  <c r="L1352" i="12"/>
  <c r="N1352" i="12" s="1"/>
  <c r="L1348" i="12"/>
  <c r="N1348" i="12" s="1"/>
  <c r="L1344" i="12"/>
  <c r="N1344" i="12" s="1"/>
  <c r="L1340" i="12"/>
  <c r="N1340" i="12" s="1"/>
  <c r="L1336" i="12"/>
  <c r="N1336" i="12" s="1"/>
  <c r="L1332" i="12"/>
  <c r="N1332" i="12" s="1"/>
  <c r="L1328" i="12"/>
  <c r="N1328" i="12" s="1"/>
  <c r="L1324" i="12"/>
  <c r="N1324" i="12" s="1"/>
  <c r="L1320" i="12"/>
  <c r="N1320" i="12" s="1"/>
  <c r="L1316" i="12"/>
  <c r="N1316" i="12" s="1"/>
  <c r="L1312" i="12"/>
  <c r="N1312" i="12" s="1"/>
  <c r="L1308" i="12"/>
  <c r="N1308" i="12" s="1"/>
  <c r="L1304" i="12"/>
  <c r="N1304" i="12" s="1"/>
  <c r="L1300" i="12"/>
  <c r="N1300" i="12" s="1"/>
  <c r="L1296" i="12"/>
  <c r="N1296" i="12" s="1"/>
  <c r="L1292" i="12"/>
  <c r="N1292" i="12" s="1"/>
  <c r="L1288" i="12"/>
  <c r="N1288" i="12" s="1"/>
  <c r="L1284" i="12"/>
  <c r="N1284" i="12" s="1"/>
  <c r="L1280" i="12"/>
  <c r="N1280" i="12" s="1"/>
  <c r="L1276" i="12"/>
  <c r="N1276" i="12" s="1"/>
  <c r="L1272" i="12"/>
  <c r="N1272" i="12" s="1"/>
  <c r="L1268" i="12"/>
  <c r="N1268" i="12" s="1"/>
  <c r="L1264" i="12"/>
  <c r="N1264" i="12" s="1"/>
  <c r="L1260" i="12"/>
  <c r="N1260" i="12" s="1"/>
  <c r="L1256" i="12"/>
  <c r="N1256" i="12" s="1"/>
  <c r="L1252" i="12"/>
  <c r="N1252" i="12" s="1"/>
  <c r="L1246" i="12"/>
  <c r="N1246" i="12" s="1"/>
  <c r="L1230" i="12"/>
  <c r="N1230" i="12" s="1"/>
  <c r="L1214" i="12"/>
  <c r="N1214" i="12" s="1"/>
  <c r="L1198" i="12"/>
  <c r="N1198" i="12" s="1"/>
  <c r="L1182" i="12"/>
  <c r="N1182" i="12" s="1"/>
  <c r="L1166" i="12"/>
  <c r="N1166" i="12" s="1"/>
  <c r="L1150" i="12"/>
  <c r="N1150" i="12" s="1"/>
  <c r="L1134" i="12"/>
  <c r="N1134" i="12" s="1"/>
  <c r="L1118" i="12"/>
  <c r="N1118" i="12" s="1"/>
  <c r="L1102" i="12"/>
  <c r="N1102" i="12" s="1"/>
  <c r="L1086" i="12"/>
  <c r="N1086" i="12" s="1"/>
  <c r="L1070" i="12"/>
  <c r="N1070" i="12" s="1"/>
  <c r="L1054" i="12"/>
  <c r="N1054" i="12" s="1"/>
  <c r="L1038" i="12"/>
  <c r="N1038" i="12" s="1"/>
  <c r="L1034" i="12"/>
  <c r="N1034" i="12" s="1"/>
  <c r="L1026" i="12"/>
  <c r="N1026" i="12" s="1"/>
  <c r="L1018" i="12"/>
  <c r="N1018" i="12" s="1"/>
  <c r="L1010" i="12"/>
  <c r="N1010" i="12" s="1"/>
  <c r="L1002" i="12"/>
  <c r="N1002" i="12" s="1"/>
  <c r="L994" i="12"/>
  <c r="N994" i="12" s="1"/>
  <c r="L986" i="12"/>
  <c r="N986" i="12" s="1"/>
  <c r="L978" i="12"/>
  <c r="N978" i="12" s="1"/>
  <c r="L970" i="12"/>
  <c r="N970" i="12" s="1"/>
  <c r="L962" i="12"/>
  <c r="N962" i="12" s="1"/>
  <c r="L954" i="12"/>
  <c r="N954" i="12" s="1"/>
  <c r="L946" i="12"/>
  <c r="N946" i="12" s="1"/>
  <c r="L938" i="12"/>
  <c r="N938" i="12" s="1"/>
  <c r="L930" i="12"/>
  <c r="N930" i="12" s="1"/>
  <c r="L922" i="12"/>
  <c r="N922" i="12" s="1"/>
  <c r="L914" i="12"/>
  <c r="N914" i="12" s="1"/>
  <c r="L641" i="12"/>
  <c r="N641" i="12" s="1"/>
  <c r="L617" i="12"/>
  <c r="N617" i="12" s="1"/>
  <c r="L585" i="12"/>
  <c r="N585" i="12" s="1"/>
  <c r="L517" i="12"/>
  <c r="N517" i="12" s="1"/>
  <c r="I416" i="12"/>
  <c r="M416" i="12" s="1"/>
  <c r="L168" i="12"/>
  <c r="N168" i="12" s="1"/>
  <c r="L912" i="12"/>
  <c r="N912" i="12" s="1"/>
  <c r="L910" i="12"/>
  <c r="N910" i="12" s="1"/>
  <c r="L908" i="12"/>
  <c r="N908" i="12" s="1"/>
  <c r="L906" i="12"/>
  <c r="N906" i="12" s="1"/>
  <c r="L904" i="12"/>
  <c r="N904" i="12" s="1"/>
  <c r="L902" i="12"/>
  <c r="N902" i="12" s="1"/>
  <c r="L900" i="12"/>
  <c r="N900" i="12" s="1"/>
  <c r="L898" i="12"/>
  <c r="N898" i="12" s="1"/>
  <c r="L896" i="12"/>
  <c r="N896" i="12" s="1"/>
  <c r="L894" i="12"/>
  <c r="N894" i="12" s="1"/>
  <c r="L892" i="12"/>
  <c r="N892" i="12" s="1"/>
  <c r="L890" i="12"/>
  <c r="N890" i="12" s="1"/>
  <c r="L888" i="12"/>
  <c r="N888" i="12" s="1"/>
  <c r="L886" i="12"/>
  <c r="N886" i="12" s="1"/>
  <c r="L884" i="12"/>
  <c r="N884" i="12" s="1"/>
  <c r="L882" i="12"/>
  <c r="N882" i="12" s="1"/>
  <c r="L880" i="12"/>
  <c r="N880" i="12" s="1"/>
  <c r="L878" i="12"/>
  <c r="N878" i="12" s="1"/>
  <c r="L876" i="12"/>
  <c r="N876" i="12" s="1"/>
  <c r="L874" i="12"/>
  <c r="N874" i="12" s="1"/>
  <c r="L872" i="12"/>
  <c r="N872" i="12" s="1"/>
  <c r="L870" i="12"/>
  <c r="N870" i="12" s="1"/>
  <c r="L868" i="12"/>
  <c r="N868" i="12" s="1"/>
  <c r="L866" i="12"/>
  <c r="N866" i="12" s="1"/>
  <c r="L864" i="12"/>
  <c r="N864" i="12" s="1"/>
  <c r="L862" i="12"/>
  <c r="N862" i="12" s="1"/>
  <c r="L860" i="12"/>
  <c r="N860" i="12" s="1"/>
  <c r="L858" i="12"/>
  <c r="N858" i="12" s="1"/>
  <c r="L856" i="12"/>
  <c r="N856" i="12" s="1"/>
  <c r="L854" i="12"/>
  <c r="N854" i="12" s="1"/>
  <c r="L852" i="12"/>
  <c r="N852" i="12" s="1"/>
  <c r="L850" i="12"/>
  <c r="N850" i="12" s="1"/>
  <c r="L848" i="12"/>
  <c r="N848" i="12" s="1"/>
  <c r="L846" i="12"/>
  <c r="N846" i="12" s="1"/>
  <c r="L844" i="12"/>
  <c r="N844" i="12" s="1"/>
  <c r="L842" i="12"/>
  <c r="N842" i="12" s="1"/>
  <c r="L840" i="12"/>
  <c r="N840" i="12" s="1"/>
  <c r="L838" i="12"/>
  <c r="N838" i="12" s="1"/>
  <c r="L836" i="12"/>
  <c r="N836" i="12" s="1"/>
  <c r="L834" i="12"/>
  <c r="N834" i="12" s="1"/>
  <c r="L832" i="12"/>
  <c r="N832" i="12" s="1"/>
  <c r="L830" i="12"/>
  <c r="N830" i="12" s="1"/>
  <c r="L828" i="12"/>
  <c r="N828" i="12" s="1"/>
  <c r="L826" i="12"/>
  <c r="N826" i="12" s="1"/>
  <c r="L824" i="12"/>
  <c r="N824" i="12" s="1"/>
  <c r="L822" i="12"/>
  <c r="N822" i="12" s="1"/>
  <c r="L820" i="12"/>
  <c r="N820" i="12" s="1"/>
  <c r="L818" i="12"/>
  <c r="N818" i="12" s="1"/>
  <c r="L816" i="12"/>
  <c r="N816" i="12" s="1"/>
  <c r="L814" i="12"/>
  <c r="N814" i="12" s="1"/>
  <c r="L812" i="12"/>
  <c r="N812" i="12" s="1"/>
  <c r="L810" i="12"/>
  <c r="N810" i="12" s="1"/>
  <c r="L808" i="12"/>
  <c r="N808" i="12" s="1"/>
  <c r="L806" i="12"/>
  <c r="N806" i="12" s="1"/>
  <c r="L804" i="12"/>
  <c r="N804" i="12" s="1"/>
  <c r="L802" i="12"/>
  <c r="N802" i="12" s="1"/>
  <c r="L800" i="12"/>
  <c r="N800" i="12" s="1"/>
  <c r="L798" i="12"/>
  <c r="N798" i="12" s="1"/>
  <c r="L796" i="12"/>
  <c r="N796" i="12" s="1"/>
  <c r="L794" i="12"/>
  <c r="N794" i="12" s="1"/>
  <c r="L792" i="12"/>
  <c r="N792" i="12" s="1"/>
  <c r="L790" i="12"/>
  <c r="N790" i="12" s="1"/>
  <c r="L788" i="12"/>
  <c r="N788" i="12" s="1"/>
  <c r="L786" i="12"/>
  <c r="N786" i="12" s="1"/>
  <c r="L784" i="12"/>
  <c r="N784" i="12" s="1"/>
  <c r="L782" i="12"/>
  <c r="N782" i="12" s="1"/>
  <c r="L780" i="12"/>
  <c r="N780" i="12" s="1"/>
  <c r="L778" i="12"/>
  <c r="N778" i="12" s="1"/>
  <c r="L776" i="12"/>
  <c r="N776" i="12" s="1"/>
  <c r="L774" i="12"/>
  <c r="N774" i="12" s="1"/>
  <c r="L772" i="12"/>
  <c r="N772" i="12" s="1"/>
  <c r="L770" i="12"/>
  <c r="N770" i="12" s="1"/>
  <c r="L768" i="12"/>
  <c r="N768" i="12" s="1"/>
  <c r="L766" i="12"/>
  <c r="N766" i="12" s="1"/>
  <c r="L764" i="12"/>
  <c r="N764" i="12" s="1"/>
  <c r="L762" i="12"/>
  <c r="N762" i="12" s="1"/>
  <c r="L760" i="12"/>
  <c r="N760" i="12" s="1"/>
  <c r="L758" i="12"/>
  <c r="N758" i="12" s="1"/>
  <c r="L756" i="12"/>
  <c r="N756" i="12" s="1"/>
  <c r="L754" i="12"/>
  <c r="N754" i="12" s="1"/>
  <c r="L752" i="12"/>
  <c r="N752" i="12" s="1"/>
  <c r="L750" i="12"/>
  <c r="N750" i="12" s="1"/>
  <c r="L748" i="12"/>
  <c r="N748" i="12" s="1"/>
  <c r="L746" i="12"/>
  <c r="N746" i="12" s="1"/>
  <c r="L744" i="12"/>
  <c r="N744" i="12" s="1"/>
  <c r="L742" i="12"/>
  <c r="N742" i="12" s="1"/>
  <c r="L740" i="12"/>
  <c r="N740" i="12" s="1"/>
  <c r="L738" i="12"/>
  <c r="N738" i="12" s="1"/>
  <c r="L736" i="12"/>
  <c r="N736" i="12" s="1"/>
  <c r="L734" i="12"/>
  <c r="N734" i="12" s="1"/>
  <c r="L732" i="12"/>
  <c r="N732" i="12" s="1"/>
  <c r="L730" i="12"/>
  <c r="N730" i="12" s="1"/>
  <c r="L728" i="12"/>
  <c r="N728" i="12" s="1"/>
  <c r="L726" i="12"/>
  <c r="N726" i="12" s="1"/>
  <c r="L724" i="12"/>
  <c r="N724" i="12" s="1"/>
  <c r="L722" i="12"/>
  <c r="N722" i="12" s="1"/>
  <c r="L720" i="12"/>
  <c r="N720" i="12" s="1"/>
  <c r="L718" i="12"/>
  <c r="N718" i="12" s="1"/>
  <c r="L716" i="12"/>
  <c r="N716" i="12" s="1"/>
  <c r="L714" i="12"/>
  <c r="N714" i="12" s="1"/>
  <c r="L712" i="12"/>
  <c r="N712" i="12" s="1"/>
  <c r="L710" i="12"/>
  <c r="N710" i="12" s="1"/>
  <c r="L708" i="12"/>
  <c r="N708" i="12" s="1"/>
  <c r="L706" i="12"/>
  <c r="N706" i="12" s="1"/>
  <c r="L704" i="12"/>
  <c r="N704" i="12" s="1"/>
  <c r="L702" i="12"/>
  <c r="N702" i="12" s="1"/>
  <c r="L700" i="12"/>
  <c r="N700" i="12" s="1"/>
  <c r="L698" i="12"/>
  <c r="N698" i="12" s="1"/>
  <c r="L696" i="12"/>
  <c r="N696" i="12" s="1"/>
  <c r="L694" i="12"/>
  <c r="N694" i="12" s="1"/>
  <c r="L692" i="12"/>
  <c r="N692" i="12" s="1"/>
  <c r="L690" i="12"/>
  <c r="N690" i="12" s="1"/>
  <c r="L688" i="12"/>
  <c r="N688" i="12" s="1"/>
  <c r="L686" i="12"/>
  <c r="N686" i="12" s="1"/>
  <c r="L684" i="12"/>
  <c r="N684" i="12" s="1"/>
  <c r="L682" i="12"/>
  <c r="N682" i="12" s="1"/>
  <c r="L680" i="12"/>
  <c r="N680" i="12" s="1"/>
  <c r="L678" i="12"/>
  <c r="N678" i="12" s="1"/>
  <c r="L676" i="12"/>
  <c r="N676" i="12" s="1"/>
  <c r="L674" i="12"/>
  <c r="N674" i="12" s="1"/>
  <c r="L672" i="12"/>
  <c r="N672" i="12" s="1"/>
  <c r="L670" i="12"/>
  <c r="N670" i="12" s="1"/>
  <c r="L668" i="12"/>
  <c r="N668" i="12" s="1"/>
  <c r="L666" i="12"/>
  <c r="N666" i="12" s="1"/>
  <c r="L664" i="12"/>
  <c r="N664" i="12" s="1"/>
  <c r="L662" i="12"/>
  <c r="N662" i="12" s="1"/>
  <c r="L660" i="12"/>
  <c r="N660" i="12" s="1"/>
  <c r="L658" i="12"/>
  <c r="N658" i="12" s="1"/>
  <c r="L656" i="12"/>
  <c r="N656" i="12" s="1"/>
  <c r="L654" i="12"/>
  <c r="N654" i="12" s="1"/>
  <c r="L652" i="12"/>
  <c r="N652" i="12" s="1"/>
  <c r="L650" i="12"/>
  <c r="N650" i="12" s="1"/>
  <c r="L648" i="12"/>
  <c r="N648" i="12" s="1"/>
  <c r="L646" i="12"/>
  <c r="N646" i="12" s="1"/>
  <c r="L644" i="12"/>
  <c r="N644" i="12" s="1"/>
  <c r="I639" i="12"/>
  <c r="M639" i="12" s="1"/>
  <c r="I631" i="12"/>
  <c r="M631" i="12" s="1"/>
  <c r="I623" i="12"/>
  <c r="M623" i="12" s="1"/>
  <c r="I615" i="12"/>
  <c r="M615" i="12" s="1"/>
  <c r="I607" i="12"/>
  <c r="M607" i="12" s="1"/>
  <c r="I599" i="12"/>
  <c r="M599" i="12" s="1"/>
  <c r="I591" i="12"/>
  <c r="M591" i="12" s="1"/>
  <c r="I583" i="12"/>
  <c r="M583" i="12" s="1"/>
  <c r="I560" i="12"/>
  <c r="M560" i="12" s="1"/>
  <c r="L533" i="12"/>
  <c r="N533" i="12" s="1"/>
  <c r="I496" i="12"/>
  <c r="M496" i="12" s="1"/>
  <c r="L469" i="12"/>
  <c r="N469" i="12" s="1"/>
  <c r="I432" i="12"/>
  <c r="M432" i="12" s="1"/>
  <c r="L621" i="12"/>
  <c r="N621" i="12" s="1"/>
  <c r="L613" i="12"/>
  <c r="N613" i="12" s="1"/>
  <c r="L605" i="12"/>
  <c r="N605" i="12" s="1"/>
  <c r="L597" i="12"/>
  <c r="N597" i="12" s="1"/>
  <c r="L589" i="12"/>
  <c r="N589" i="12" s="1"/>
  <c r="L577" i="12"/>
  <c r="N577" i="12" s="1"/>
  <c r="L549" i="12"/>
  <c r="N549" i="12" s="1"/>
  <c r="I512" i="12"/>
  <c r="M512" i="12" s="1"/>
  <c r="L485" i="12"/>
  <c r="N485" i="12" s="1"/>
  <c r="I448" i="12"/>
  <c r="M448" i="12" s="1"/>
  <c r="L421" i="12"/>
  <c r="N421" i="12" s="1"/>
  <c r="I580" i="12"/>
  <c r="M580" i="12" s="1"/>
  <c r="L573" i="12"/>
  <c r="N573" i="12" s="1"/>
  <c r="I564" i="12"/>
  <c r="M564" i="12" s="1"/>
  <c r="L553" i="12"/>
  <c r="N553" i="12" s="1"/>
  <c r="I548" i="12"/>
  <c r="M548" i="12" s="1"/>
  <c r="L537" i="12"/>
  <c r="N537" i="12" s="1"/>
  <c r="I532" i="12"/>
  <c r="M532" i="12" s="1"/>
  <c r="L521" i="12"/>
  <c r="N521" i="12" s="1"/>
  <c r="I516" i="12"/>
  <c r="M516" i="12" s="1"/>
  <c r="L505" i="12"/>
  <c r="N505" i="12" s="1"/>
  <c r="I500" i="12"/>
  <c r="M500" i="12" s="1"/>
  <c r="L489" i="12"/>
  <c r="N489" i="12" s="1"/>
  <c r="I484" i="12"/>
  <c r="M484" i="12" s="1"/>
  <c r="L473" i="12"/>
  <c r="N473" i="12" s="1"/>
  <c r="I468" i="12"/>
  <c r="M468" i="12" s="1"/>
  <c r="L457" i="12"/>
  <c r="N457" i="12" s="1"/>
  <c r="I452" i="12"/>
  <c r="M452" i="12" s="1"/>
  <c r="L441" i="12"/>
  <c r="N441" i="12" s="1"/>
  <c r="I436" i="12"/>
  <c r="M436" i="12" s="1"/>
  <c r="L425" i="12"/>
  <c r="N425" i="12" s="1"/>
  <c r="I420" i="12"/>
  <c r="M420" i="12" s="1"/>
  <c r="L200" i="12"/>
  <c r="N200" i="12" s="1"/>
  <c r="L232" i="12"/>
  <c r="N232" i="12" s="1"/>
  <c r="L224" i="12"/>
  <c r="N224" i="12" s="1"/>
  <c r="L192" i="12"/>
  <c r="N192" i="12" s="1"/>
  <c r="L160" i="12"/>
  <c r="N160" i="12" s="1"/>
  <c r="L579" i="12"/>
  <c r="N579" i="12" s="1"/>
  <c r="L575" i="12"/>
  <c r="N575" i="12" s="1"/>
  <c r="L571" i="12"/>
  <c r="N571" i="12" s="1"/>
  <c r="L567" i="12"/>
  <c r="N567" i="12" s="1"/>
  <c r="L563" i="12"/>
  <c r="N563" i="12" s="1"/>
  <c r="L559" i="12"/>
  <c r="N559" i="12" s="1"/>
  <c r="L555" i="12"/>
  <c r="N555" i="12" s="1"/>
  <c r="L551" i="12"/>
  <c r="N551" i="12" s="1"/>
  <c r="L547" i="12"/>
  <c r="N547" i="12" s="1"/>
  <c r="L543" i="12"/>
  <c r="N543" i="12" s="1"/>
  <c r="L539" i="12"/>
  <c r="N539" i="12" s="1"/>
  <c r="L535" i="12"/>
  <c r="N535" i="12" s="1"/>
  <c r="L531" i="12"/>
  <c r="N531" i="12" s="1"/>
  <c r="L527" i="12"/>
  <c r="N527" i="12" s="1"/>
  <c r="L523" i="12"/>
  <c r="N523" i="12" s="1"/>
  <c r="L519" i="12"/>
  <c r="N519" i="12" s="1"/>
  <c r="L515" i="12"/>
  <c r="N515" i="12" s="1"/>
  <c r="L511" i="12"/>
  <c r="N511" i="12" s="1"/>
  <c r="L507" i="12"/>
  <c r="N507" i="12" s="1"/>
  <c r="L503" i="12"/>
  <c r="N503" i="12" s="1"/>
  <c r="L499" i="12"/>
  <c r="N499" i="12" s="1"/>
  <c r="L495" i="12"/>
  <c r="N495" i="12" s="1"/>
  <c r="L491" i="12"/>
  <c r="N491" i="12" s="1"/>
  <c r="L487" i="12"/>
  <c r="N487" i="12" s="1"/>
  <c r="L483" i="12"/>
  <c r="N483" i="12" s="1"/>
  <c r="L479" i="12"/>
  <c r="N479" i="12" s="1"/>
  <c r="L475" i="12"/>
  <c r="N475" i="12" s="1"/>
  <c r="L471" i="12"/>
  <c r="N471" i="12" s="1"/>
  <c r="L467" i="12"/>
  <c r="N467" i="12" s="1"/>
  <c r="L463" i="12"/>
  <c r="N463" i="12" s="1"/>
  <c r="L459" i="12"/>
  <c r="N459" i="12" s="1"/>
  <c r="L455" i="12"/>
  <c r="N455" i="12" s="1"/>
  <c r="L451" i="12"/>
  <c r="N451" i="12" s="1"/>
  <c r="L447" i="12"/>
  <c r="N447" i="12" s="1"/>
  <c r="L443" i="12"/>
  <c r="N443" i="12" s="1"/>
  <c r="L439" i="12"/>
  <c r="N439" i="12" s="1"/>
  <c r="L435" i="12"/>
  <c r="N435" i="12" s="1"/>
  <c r="L431" i="12"/>
  <c r="N431" i="12" s="1"/>
  <c r="L427" i="12"/>
  <c r="N427" i="12" s="1"/>
  <c r="L423" i="12"/>
  <c r="N423" i="12" s="1"/>
  <c r="L419" i="12"/>
  <c r="N419" i="12" s="1"/>
  <c r="L415" i="12"/>
  <c r="N415" i="12" s="1"/>
  <c r="I412" i="12"/>
  <c r="M412" i="12" s="1"/>
  <c r="I410" i="12"/>
  <c r="M410" i="12" s="1"/>
  <c r="I408" i="12"/>
  <c r="M408" i="12" s="1"/>
  <c r="I406" i="12"/>
  <c r="M406" i="12" s="1"/>
  <c r="I404" i="12"/>
  <c r="M404" i="12" s="1"/>
  <c r="I402" i="12"/>
  <c r="M402" i="12" s="1"/>
  <c r="I400" i="12"/>
  <c r="M400" i="12" s="1"/>
  <c r="I398" i="12"/>
  <c r="M398" i="12" s="1"/>
  <c r="I396" i="12"/>
  <c r="M396" i="12" s="1"/>
  <c r="I394" i="12"/>
  <c r="M394" i="12" s="1"/>
  <c r="I392" i="12"/>
  <c r="M392" i="12" s="1"/>
  <c r="I390" i="12"/>
  <c r="M390" i="12" s="1"/>
  <c r="I388" i="12"/>
  <c r="M388" i="12" s="1"/>
  <c r="I386" i="12"/>
  <c r="M386" i="12" s="1"/>
  <c r="I384" i="12"/>
  <c r="M384" i="12" s="1"/>
  <c r="I382" i="12"/>
  <c r="M382" i="12" s="1"/>
  <c r="I380" i="12"/>
  <c r="M380" i="12" s="1"/>
  <c r="I378" i="12"/>
  <c r="M378" i="12" s="1"/>
  <c r="I376" i="12"/>
  <c r="M376" i="12" s="1"/>
  <c r="I374" i="12"/>
  <c r="M374" i="12" s="1"/>
  <c r="I372" i="12"/>
  <c r="M372" i="12" s="1"/>
  <c r="I370" i="12"/>
  <c r="M370" i="12" s="1"/>
  <c r="I368" i="12"/>
  <c r="M368" i="12" s="1"/>
  <c r="I366" i="12"/>
  <c r="M366" i="12" s="1"/>
  <c r="I364" i="12"/>
  <c r="M364" i="12" s="1"/>
  <c r="I362" i="12"/>
  <c r="M362" i="12" s="1"/>
  <c r="I360" i="12"/>
  <c r="M360" i="12" s="1"/>
  <c r="I358" i="12"/>
  <c r="M358" i="12" s="1"/>
  <c r="I356" i="12"/>
  <c r="M356" i="12" s="1"/>
  <c r="I354" i="12"/>
  <c r="M354" i="12" s="1"/>
  <c r="I352" i="12"/>
  <c r="M352" i="12" s="1"/>
  <c r="I350" i="12"/>
  <c r="M350" i="12" s="1"/>
  <c r="I348" i="12"/>
  <c r="M348" i="12" s="1"/>
  <c r="L216" i="12"/>
  <c r="N216" i="12" s="1"/>
  <c r="L184" i="12"/>
  <c r="N184" i="12" s="1"/>
  <c r="L345" i="12"/>
  <c r="N345" i="12" s="1"/>
  <c r="L341" i="12"/>
  <c r="N341" i="12" s="1"/>
  <c r="L337" i="12"/>
  <c r="N337" i="12" s="1"/>
  <c r="L333" i="12"/>
  <c r="N333" i="12" s="1"/>
  <c r="L329" i="12"/>
  <c r="N329" i="12" s="1"/>
  <c r="L325" i="12"/>
  <c r="N325" i="12" s="1"/>
  <c r="L321" i="12"/>
  <c r="N321" i="12" s="1"/>
  <c r="L317" i="12"/>
  <c r="N317" i="12" s="1"/>
  <c r="I239" i="12"/>
  <c r="M239" i="12" s="1"/>
  <c r="I231" i="12"/>
  <c r="M231" i="12" s="1"/>
  <c r="I223" i="12"/>
  <c r="M223" i="12" s="1"/>
  <c r="I215" i="12"/>
  <c r="M215" i="12" s="1"/>
  <c r="I207" i="12"/>
  <c r="M207" i="12" s="1"/>
  <c r="I199" i="12"/>
  <c r="M199" i="12" s="1"/>
  <c r="I191" i="12"/>
  <c r="M191" i="12" s="1"/>
  <c r="I183" i="12"/>
  <c r="M183" i="12" s="1"/>
  <c r="I175" i="12"/>
  <c r="M175" i="12" s="1"/>
  <c r="I167" i="12"/>
  <c r="M167" i="12" s="1"/>
  <c r="L158" i="12"/>
  <c r="N158" i="12" s="1"/>
  <c r="L156" i="12"/>
  <c r="N156" i="12" s="1"/>
  <c r="L154" i="12"/>
  <c r="N154" i="12" s="1"/>
  <c r="L152" i="12"/>
  <c r="N152" i="12" s="1"/>
  <c r="L150" i="12"/>
  <c r="N150" i="12" s="1"/>
  <c r="L148" i="12"/>
  <c r="N148" i="12" s="1"/>
  <c r="L146" i="12"/>
  <c r="N146" i="12" s="1"/>
  <c r="L144" i="12"/>
  <c r="N144" i="12" s="1"/>
  <c r="L142" i="12"/>
  <c r="N142" i="12" s="1"/>
  <c r="L140" i="12"/>
  <c r="N140" i="12" s="1"/>
  <c r="L138" i="12"/>
  <c r="N138" i="12" s="1"/>
  <c r="L136" i="12"/>
  <c r="N136" i="12" s="1"/>
  <c r="L134" i="12"/>
  <c r="N134" i="12" s="1"/>
  <c r="L132" i="12"/>
  <c r="N132" i="12" s="1"/>
  <c r="L130" i="12"/>
  <c r="N130" i="12" s="1"/>
  <c r="L128" i="12"/>
  <c r="N128" i="12" s="1"/>
  <c r="L126" i="12"/>
  <c r="N126" i="12" s="1"/>
  <c r="L124" i="12"/>
  <c r="N124" i="12" s="1"/>
  <c r="L122" i="12"/>
  <c r="N122" i="12" s="1"/>
  <c r="L120" i="12"/>
  <c r="N120" i="12" s="1"/>
  <c r="L118" i="12"/>
  <c r="N118" i="12" s="1"/>
  <c r="L116" i="12"/>
  <c r="N116" i="12" s="1"/>
  <c r="L114" i="12"/>
  <c r="N114" i="12" s="1"/>
  <c r="L112" i="12"/>
  <c r="N112" i="12" s="1"/>
  <c r="I83" i="12"/>
  <c r="M83" i="12" s="1"/>
  <c r="I43" i="12"/>
  <c r="M43" i="12" s="1"/>
  <c r="L32" i="12"/>
  <c r="N32" i="12" s="1"/>
  <c r="I59" i="12"/>
  <c r="M59" i="12" s="1"/>
  <c r="L48" i="12"/>
  <c r="N48" i="12" s="1"/>
  <c r="L108" i="12"/>
  <c r="N108" i="12" s="1"/>
  <c r="L104" i="12"/>
  <c r="N104" i="12" s="1"/>
  <c r="L100" i="12"/>
  <c r="N100" i="12" s="1"/>
  <c r="L96" i="12"/>
  <c r="N96" i="12" s="1"/>
  <c r="L92" i="12"/>
  <c r="N92" i="12" s="1"/>
  <c r="L88" i="12"/>
  <c r="N88" i="12" s="1"/>
  <c r="I79" i="12"/>
  <c r="M79" i="12" s="1"/>
  <c r="L68" i="12"/>
  <c r="N68" i="12" s="1"/>
  <c r="I63" i="12"/>
  <c r="M63" i="12" s="1"/>
  <c r="L52" i="12"/>
  <c r="N52" i="12" s="1"/>
  <c r="I47" i="12"/>
  <c r="M47" i="12" s="1"/>
  <c r="L36" i="12"/>
  <c r="N36" i="12" s="1"/>
  <c r="I31" i="12"/>
  <c r="M31" i="12" s="1"/>
  <c r="L84" i="12"/>
  <c r="N84" i="12" s="1"/>
  <c r="I67" i="12"/>
  <c r="M67" i="12" s="1"/>
  <c r="L56" i="12"/>
  <c r="N56" i="12" s="1"/>
  <c r="I51" i="12"/>
  <c r="M51" i="12" s="1"/>
  <c r="L40" i="12"/>
  <c r="N40" i="12" s="1"/>
  <c r="I35" i="12"/>
  <c r="M35" i="12" s="1"/>
  <c r="L86" i="12"/>
  <c r="N86" i="12" s="1"/>
  <c r="L82" i="12"/>
  <c r="N82" i="12" s="1"/>
  <c r="L78" i="12"/>
  <c r="N78" i="12" s="1"/>
  <c r="L74" i="12"/>
  <c r="N74" i="12" s="1"/>
  <c r="L70" i="12"/>
  <c r="N70" i="12" s="1"/>
  <c r="L66" i="12"/>
  <c r="N66" i="12" s="1"/>
  <c r="L62" i="12"/>
  <c r="N62" i="12" s="1"/>
  <c r="L58" i="12"/>
  <c r="N58" i="12" s="1"/>
  <c r="L54" i="12"/>
  <c r="N54" i="12" s="1"/>
  <c r="L50" i="12"/>
  <c r="N50" i="12" s="1"/>
  <c r="L46" i="12"/>
  <c r="N46" i="12" s="1"/>
  <c r="L42" i="12"/>
  <c r="N42" i="12" s="1"/>
  <c r="L38" i="12"/>
  <c r="N38" i="12" s="1"/>
  <c r="L34" i="12"/>
  <c r="N34" i="12" s="1"/>
  <c r="L30" i="12"/>
  <c r="N30" i="12" s="1"/>
  <c r="K2" i="12"/>
  <c r="K1" i="12"/>
  <c r="J2" i="12"/>
  <c r="H2" i="12"/>
  <c r="H1" i="12"/>
  <c r="J1" i="12"/>
  <c r="A2" i="12"/>
  <c r="B2" i="12"/>
  <c r="C2" i="12"/>
  <c r="D2" i="12"/>
  <c r="E2" i="12"/>
  <c r="F2" i="12"/>
  <c r="G2" i="12"/>
  <c r="B1" i="12"/>
  <c r="C1" i="12"/>
  <c r="D1" i="12"/>
  <c r="E1" i="12"/>
  <c r="F1" i="12"/>
  <c r="G1" i="12"/>
  <c r="A1" i="12"/>
  <c r="L2" i="12" l="1"/>
  <c r="N2" i="12" s="1"/>
  <c r="I2" i="12"/>
  <c r="M2" i="12" s="1"/>
  <c r="B6" i="9"/>
</calcChain>
</file>

<file path=xl/connections.xml><?xml version="1.0" encoding="utf-8"?>
<connections xmlns="http://schemas.openxmlformats.org/spreadsheetml/2006/main">
  <connection id="1" name="Lancer la requête à partir de vnc5" type="1" refreshedVersion="4" saveData="1">
    <dbPr connection="DRIVER=SQL Server;SERVER=BUREAU-DELL\SQLEXPRESS;UID=vinicom;APP=Microsoft Office 2010;WSID=BUREAU-DELL;DATABASE=vnc5" command="SELECT CAFOURNISSEUR.mois, CAFOURNISSEUR.annee,_x000d__x000a_ CAFOURNISSEUR.FRN_CODE,_x000d__x000a_ CAFOURNISSEUR.FRN_NOM, _x000d__x000a_CAFOURNISSEUR.PRD_CODE, _x000d__x000a_CAFOURNISSEUR.PRD_LIBELLE, _x000d__x000a_CAFOURNISSEUR.CA_HT,_x000d__x000a_CAFOURNISSEUR.CA1 ,_x000d__x000a_CAFOURNISSEUR.QTE * CAFOURNISSEUR.CONT_BOUT as ColsN,_x000d__x000a_CAFOURNISSEUR.QTE1 * CAFOURNISSEUR.CONT_BOUT  as ColsN1_x000d__x000a__x000d__x000a_FROM vnc5.dbo.CAFOURNISSEUR CAFOURNISSEUR_x000d__x000a_ WHERE ANNEe = ?"/>
    <parameters count="3">
      <parameter name="Paramètre1" parameterType="cell" cell="Feuil1!$B$1"/>
      <parameter name="Paramètre2" parameterType="cell" cell="Feuil1!$B$1"/>
      <parameter name="Paramètre3" parameterType="cell" cell="Feuil1!$B$2"/>
    </parameters>
  </connection>
</connections>
</file>

<file path=xl/sharedStrings.xml><?xml version="1.0" encoding="utf-8"?>
<sst xmlns="http://schemas.openxmlformats.org/spreadsheetml/2006/main" count="11499" uniqueCount="1035">
  <si>
    <t>ARMAGNAC DELORD</t>
  </si>
  <si>
    <t>ARMAGNAC MILLESIME 40% VOL</t>
  </si>
  <si>
    <t>ARMAGNAC RECOLTE 1974 ARIANE en étui</t>
  </si>
  <si>
    <t>ARMAGNAC ARIANNE 40% VOL COFFRET BOIS</t>
  </si>
  <si>
    <t>ARMAGNAC RECOLTE 1968 ARIANE en caissette bois</t>
  </si>
  <si>
    <t>ARMAGNAC RECOLTE 1985 ARIANE</t>
  </si>
  <si>
    <t>ARMAGNAC RECOLTE 1975 ARIANE en caissette bois</t>
  </si>
  <si>
    <t>ARMAGNAC RECOLTE 1973 ARIANE en caissette bois</t>
  </si>
  <si>
    <t>ARMAGNAC RECOLTE 1970 ARIANE en caissette bois</t>
  </si>
  <si>
    <t>ARMAGNAC RECOLTE 1986 ARIANE</t>
  </si>
  <si>
    <t>ARMAGNAC 40% VOL EN CAISSE BOIS</t>
  </si>
  <si>
    <t>ARMAGNAC RECOLTE 1976 ARIANE</t>
  </si>
  <si>
    <t>ARMAGNAC RECOLTE 1977 ARIANE</t>
  </si>
  <si>
    <t>Total général</t>
  </si>
  <si>
    <t>Annee1</t>
  </si>
  <si>
    <t>mois</t>
  </si>
  <si>
    <t>Evol CA</t>
  </si>
  <si>
    <t>CA</t>
  </si>
  <si>
    <t>CA N-1</t>
  </si>
  <si>
    <t>Cols</t>
  </si>
  <si>
    <t>Cols N-1</t>
  </si>
  <si>
    <t>Année</t>
  </si>
  <si>
    <t>Evol CA %</t>
  </si>
  <si>
    <t>Evol Cols %</t>
  </si>
  <si>
    <t>Evol cols</t>
  </si>
  <si>
    <t>annee</t>
  </si>
  <si>
    <t>FRN_CODE</t>
  </si>
  <si>
    <t>FRN_NOM</t>
  </si>
  <si>
    <t>PRD_CODE</t>
  </si>
  <si>
    <t>PRD_LIBELLE</t>
  </si>
  <si>
    <t>CA_HT</t>
  </si>
  <si>
    <t>CA1</t>
  </si>
  <si>
    <t>ColsN</t>
  </si>
  <si>
    <t>ColsN1</t>
  </si>
  <si>
    <t>001</t>
  </si>
  <si>
    <t>CHAMPAGNE PANNIER</t>
  </si>
  <si>
    <t>001001</t>
  </si>
  <si>
    <t>PANNIER AC CHAMP SELECTION BRUT</t>
  </si>
  <si>
    <t>001002</t>
  </si>
  <si>
    <t>001005</t>
  </si>
  <si>
    <t>PANNIER AC CHAMP ROSE BRUT</t>
  </si>
  <si>
    <t>001013</t>
  </si>
  <si>
    <t>PANNIER AC CHAMP SEDUCTION DEMI SEC</t>
  </si>
  <si>
    <t>001021</t>
  </si>
  <si>
    <t>PANNIER AC CHAMP BRUT SELECTION EN ETUIS</t>
  </si>
  <si>
    <t>001034</t>
  </si>
  <si>
    <t>AC CHAMPAGNE EXTRA BRUT</t>
  </si>
  <si>
    <t>002</t>
  </si>
  <si>
    <t>CAVE DE GALLICIAN</t>
  </si>
  <si>
    <t>002001</t>
  </si>
  <si>
    <t>VDP MERLOT C.GALLICIAN</t>
  </si>
  <si>
    <t>002002</t>
  </si>
  <si>
    <t>VDP MERLOT. C GALLICIAN</t>
  </si>
  <si>
    <t>002003</t>
  </si>
  <si>
    <t>VDP GARD. C GALLICIAN</t>
  </si>
  <si>
    <t>002004</t>
  </si>
  <si>
    <t>002007</t>
  </si>
  <si>
    <t>VDT C GALLICIAN</t>
  </si>
  <si>
    <t>002008</t>
  </si>
  <si>
    <t>VDT. C GALLICIAN</t>
  </si>
  <si>
    <t>002009</t>
  </si>
  <si>
    <t>002010</t>
  </si>
  <si>
    <t>AC C. DE NIMES. C GALLICIAN</t>
  </si>
  <si>
    <t>002011</t>
  </si>
  <si>
    <t>AC C DE NIMES C. GALLICIAN</t>
  </si>
  <si>
    <t>002015</t>
  </si>
  <si>
    <t>002016</t>
  </si>
  <si>
    <t>002017</t>
  </si>
  <si>
    <t>VDP GARD C. GALLICIAN</t>
  </si>
  <si>
    <t>002018</t>
  </si>
  <si>
    <t>002020</t>
  </si>
  <si>
    <t>AC C DE NIMES C DES LAUNES</t>
  </si>
  <si>
    <t>002021</t>
  </si>
  <si>
    <t>AC COSTIERES DE NIMES CUVEE PRESTIGE</t>
  </si>
  <si>
    <t>002023</t>
  </si>
  <si>
    <t>AC COSTIERES DE NIMES LES COMBES DE MEZIERES</t>
  </si>
  <si>
    <t>002024</t>
  </si>
  <si>
    <t>IGP MERLOT D'OC Cave Gallician</t>
  </si>
  <si>
    <t>002025</t>
  </si>
  <si>
    <t>002026</t>
  </si>
  <si>
    <t>IGP GARD GRES D'OR</t>
  </si>
  <si>
    <t>002027</t>
  </si>
  <si>
    <t>IGP D'OC  GRIS DES LAUNES  GALLICIAN</t>
  </si>
  <si>
    <t>002033</t>
  </si>
  <si>
    <t>AOP COSTIERES DE NIMES</t>
  </si>
  <si>
    <t>002034</t>
  </si>
  <si>
    <t>002035</t>
  </si>
  <si>
    <t>002040</t>
  </si>
  <si>
    <t>AOP COSTIERES DE NIMES PRESTIGE</t>
  </si>
  <si>
    <t>002100</t>
  </si>
  <si>
    <t>VDP DU GARD. LOU GRES D'OR</t>
  </si>
  <si>
    <t>002101</t>
  </si>
  <si>
    <t>IGP DU GARD LOU GRES D'OR</t>
  </si>
  <si>
    <t>002102</t>
  </si>
  <si>
    <t>VDP GARD LOU GRES D'OR</t>
  </si>
  <si>
    <t>002900</t>
  </si>
  <si>
    <t>VDT CUVEE PRINCIE étiq perso scaeL</t>
  </si>
  <si>
    <t>002901</t>
  </si>
  <si>
    <t>VDT. CUVEE FIOJOLI étiq perso scaeL</t>
  </si>
  <si>
    <t>002902</t>
  </si>
  <si>
    <t>VDT. CUVEE LEON étiq perso scaeL</t>
  </si>
  <si>
    <t>002903</t>
  </si>
  <si>
    <t>VDP MERLOT C. GALLICIAN</t>
  </si>
  <si>
    <t>002905</t>
  </si>
  <si>
    <t>007</t>
  </si>
  <si>
    <t>DOMAINE ANDRE DUSSOURT</t>
  </si>
  <si>
    <t>007002</t>
  </si>
  <si>
    <t>AC RIESLING D. DUSSOURT</t>
  </si>
  <si>
    <t>007003</t>
  </si>
  <si>
    <t>AC PINOT GRIS D. DUSSOURT</t>
  </si>
  <si>
    <t>007004</t>
  </si>
  <si>
    <t>AC GEWURZTRAMINER D. DUSSOURT</t>
  </si>
  <si>
    <t>007005</t>
  </si>
  <si>
    <t>AC CREMANT D'ALSACE RIESLING M.TRAD</t>
  </si>
  <si>
    <t>007006</t>
  </si>
  <si>
    <t>AC PINOT NOIR D. DUSSOURT</t>
  </si>
  <si>
    <t>010</t>
  </si>
  <si>
    <t>DOMAINE VIGNEAU CHEVRAU</t>
  </si>
  <si>
    <t>010001</t>
  </si>
  <si>
    <t>AC VOUVRAY SEC.C.SILEX  V.CHEV</t>
  </si>
  <si>
    <t>011</t>
  </si>
  <si>
    <t>CAVE GAUTIER</t>
  </si>
  <si>
    <t>011001</t>
  </si>
  <si>
    <t>AC VOUVRAY METH TRAD BRUT  D.CHATAIGNERAIE</t>
  </si>
  <si>
    <t>011006</t>
  </si>
  <si>
    <t>AC VOUVRAY ARGILEX</t>
  </si>
  <si>
    <t>019</t>
  </si>
  <si>
    <t>VIGNOBLES YON</t>
  </si>
  <si>
    <t>019003</t>
  </si>
  <si>
    <t>AC BDX SUP. CH LES HAUTS DE PEREY</t>
  </si>
  <si>
    <t>019008</t>
  </si>
  <si>
    <t>AC BDX. CH LES HAUTS DE PEREY</t>
  </si>
  <si>
    <t>019009</t>
  </si>
  <si>
    <t>019011</t>
  </si>
  <si>
    <t>AC BX SUP. CH GAURY-BALETTE</t>
  </si>
  <si>
    <t>019015</t>
  </si>
  <si>
    <t>AC E2MERS. CH GAURY-BALETTE</t>
  </si>
  <si>
    <t>025</t>
  </si>
  <si>
    <t>COLLOVRAY &amp; TERRIER</t>
  </si>
  <si>
    <t>025001</t>
  </si>
  <si>
    <t>AC SAINT VERAN TRAD. COLLOVRAY&amp;TERRIER</t>
  </si>
  <si>
    <t>025010</t>
  </si>
  <si>
    <t>AC MACON VILL TRAD. COLLOVRAY &amp;</t>
  </si>
  <si>
    <t>025013</t>
  </si>
  <si>
    <t>AC MACON. VERGER DES FEUILLANTS</t>
  </si>
  <si>
    <t>025015</t>
  </si>
  <si>
    <t>VDP PINOT NOIR . D.D'ANTUGNIAC</t>
  </si>
  <si>
    <t>025021</t>
  </si>
  <si>
    <t>AC POUILLY-FUISSE. V.VIGNES</t>
  </si>
  <si>
    <t>025026</t>
  </si>
  <si>
    <t>VDP CHARDONNAY. D.D'ANTUGNAC</t>
  </si>
  <si>
    <t>025031</t>
  </si>
  <si>
    <t>AC LIMOUX. Terres Amoureuses D.D'ANTUGNAC</t>
  </si>
  <si>
    <t>025033</t>
  </si>
  <si>
    <t>AC LIMOUX Aux Bons Hommes D.D'ANTUGNAC</t>
  </si>
  <si>
    <t>028</t>
  </si>
  <si>
    <t>VIGNOBLES DUBOIS ET FILS</t>
  </si>
  <si>
    <t>028001</t>
  </si>
  <si>
    <t>AC 1ERES C.DE BLAYE. TRADITION  CH L.BERTRANDS</t>
  </si>
  <si>
    <t>028005</t>
  </si>
  <si>
    <t>AC 1ERES C.BLAYE TRAD. CH L.BERTRANDS</t>
  </si>
  <si>
    <t>028007</t>
  </si>
  <si>
    <t>AC 1ERES C BLAYE TRAD. CH L.BERTRANDS</t>
  </si>
  <si>
    <t>028008</t>
  </si>
  <si>
    <t>AC C. DE BLAYE CH L.BERTRANDS</t>
  </si>
  <si>
    <t>028013</t>
  </si>
  <si>
    <t>AC 1ERES COTES DE BLAYE PRESTIGE</t>
  </si>
  <si>
    <t>029</t>
  </si>
  <si>
    <t>DOMAINE DE BELLE MARE</t>
  </si>
  <si>
    <t>029002</t>
  </si>
  <si>
    <t>IGP OC  VIOGNIER DME DE BELLE-MARE</t>
  </si>
  <si>
    <t>029010</t>
  </si>
  <si>
    <t>VDP COLLINES DE LA MOURE. D.BEL MARE</t>
  </si>
  <si>
    <t>029015</t>
  </si>
  <si>
    <t>DME BELLE MARE VDPOC CHARDONNAY</t>
  </si>
  <si>
    <t>035</t>
  </si>
  <si>
    <t>DOMAINE OLIVIER</t>
  </si>
  <si>
    <t>035001</t>
  </si>
  <si>
    <t>AC ST NICOLAS DE BOURG D.OLIVIER</t>
  </si>
  <si>
    <t>035002</t>
  </si>
  <si>
    <t>035010</t>
  </si>
  <si>
    <t>AC BOURGUEIL V.VIGNES D.OLIVIER</t>
  </si>
  <si>
    <t>035015</t>
  </si>
  <si>
    <t>036</t>
  </si>
  <si>
    <t>CASTELBARRY</t>
  </si>
  <si>
    <t>036001</t>
  </si>
  <si>
    <t>AC CTX DU LANG .COL DU VENT</t>
  </si>
  <si>
    <t>036011</t>
  </si>
  <si>
    <t>IGP ST GUILHEM LE DESERT</t>
  </si>
  <si>
    <t>037</t>
  </si>
  <si>
    <t>SARL RAFFAULT</t>
  </si>
  <si>
    <t>037003</t>
  </si>
  <si>
    <t>AC CHINON</t>
  </si>
  <si>
    <t>037010</t>
  </si>
  <si>
    <t>AC CHINON SEC</t>
  </si>
  <si>
    <t>039</t>
  </si>
  <si>
    <t>LES VIGNERONS DES COTES D'AGLY</t>
  </si>
  <si>
    <t>039002</t>
  </si>
  <si>
    <t>VIGNERONS ALGLY AC MUSCAT DE RIVESALTES</t>
  </si>
  <si>
    <t>039017</t>
  </si>
  <si>
    <t>AC C.ROUSSILLON VILL ARAGO</t>
  </si>
  <si>
    <t>039018</t>
  </si>
  <si>
    <t>AC C. ROUSSILLON N D LAVAL</t>
  </si>
  <si>
    <t>039028</t>
  </si>
  <si>
    <t>VDN MAURY</t>
  </si>
  <si>
    <t>039030</t>
  </si>
  <si>
    <t>VDN MUSCAT DE RIVESALTES</t>
  </si>
  <si>
    <t>040</t>
  </si>
  <si>
    <t>CHÂTEAU DE LA GRAVE</t>
  </si>
  <si>
    <t>040006</t>
  </si>
  <si>
    <t>AC COTES DE BOURG CHATEAU DE LA GRAVE</t>
  </si>
  <si>
    <t>040007</t>
  </si>
  <si>
    <t>AC COTES DE BOURG G DE LA GRAVE</t>
  </si>
  <si>
    <t>040008</t>
  </si>
  <si>
    <t>040011</t>
  </si>
  <si>
    <t>AC C DE BOURG BEL AIR</t>
  </si>
  <si>
    <t>040012</t>
  </si>
  <si>
    <t>040015</t>
  </si>
  <si>
    <t>AC C DE BOURG. CARACTERE</t>
  </si>
  <si>
    <t>041</t>
  </si>
  <si>
    <t>CHATEAU TOUR DE PEZ</t>
  </si>
  <si>
    <t>041001/10</t>
  </si>
  <si>
    <t>AC ST ESTEPHE CH TOUR DE PEZ</t>
  </si>
  <si>
    <t>041002</t>
  </si>
  <si>
    <t>AC ST ESTEPHE C.TOUR DE PEZ</t>
  </si>
  <si>
    <t>041016</t>
  </si>
  <si>
    <t>AOP SAINT- ESTEPHE CH LES HAUTS DE PEZ</t>
  </si>
  <si>
    <t>042</t>
  </si>
  <si>
    <t>LE CELLIER DES PRINCES</t>
  </si>
  <si>
    <t>042100</t>
  </si>
  <si>
    <t>IGP VAUCLUSE</t>
  </si>
  <si>
    <t>046</t>
  </si>
  <si>
    <t>MR JEAN PIERRE CABANES</t>
  </si>
  <si>
    <t>046001</t>
  </si>
  <si>
    <t>AC CTX DU LANGU TRAD D.ARCHIMBAUD</t>
  </si>
  <si>
    <t>046010</t>
  </si>
  <si>
    <t>AC COT DU LANG ROBE POURPRE</t>
  </si>
  <si>
    <t>046015</t>
  </si>
  <si>
    <t>AC COT DU LANGU D.ARCHIMBAUD</t>
  </si>
  <si>
    <t>046020</t>
  </si>
  <si>
    <t>AC COTEAUX DU LANGUEDOC ENFANT TERRIBLE</t>
  </si>
  <si>
    <t>048B</t>
  </si>
  <si>
    <t>SCEA BOURLON DESTOUEST</t>
  </si>
  <si>
    <t>048003B</t>
  </si>
  <si>
    <t>AC PUISSEGUIN ST EMILION</t>
  </si>
  <si>
    <t>049</t>
  </si>
  <si>
    <t>MAISON GRANDEAU</t>
  </si>
  <si>
    <t>049007</t>
  </si>
  <si>
    <t>AC BX SUP Tradi  CH LAUDUC</t>
  </si>
  <si>
    <t>049015</t>
  </si>
  <si>
    <t>AC BDX Classic CH LAUDUC</t>
  </si>
  <si>
    <t>049016</t>
  </si>
  <si>
    <t>049020</t>
  </si>
  <si>
    <t>AC BDX CH.FLAMAND BELLEVUE</t>
  </si>
  <si>
    <t>050</t>
  </si>
  <si>
    <t>CHÂTEAU HAUT LIGNIERES</t>
  </si>
  <si>
    <t>050001</t>
  </si>
  <si>
    <t>AC FAUGERES LE 1ER CH HAUT LIGNIERES</t>
  </si>
  <si>
    <t>050003</t>
  </si>
  <si>
    <t>AC FAUGERES HT LIGNIERES</t>
  </si>
  <si>
    <t>050005</t>
  </si>
  <si>
    <t>AC FAUGERES ROMY CH HAUT LIGNIERES</t>
  </si>
  <si>
    <t>051</t>
  </si>
  <si>
    <t>CLOS TRIMOULET</t>
  </si>
  <si>
    <t>051000</t>
  </si>
  <si>
    <t>AC MONTAGNE ST EMILION .CH ST GEORGES</t>
  </si>
  <si>
    <t>051010/11</t>
  </si>
  <si>
    <t>CLOS TRIMOULET AC ST EMILION GD CRU</t>
  </si>
  <si>
    <t>051017</t>
  </si>
  <si>
    <t>AC MONTAGNE ST EMILION CH ST GEORGES</t>
  </si>
  <si>
    <t>051133</t>
  </si>
  <si>
    <t>CLOS TRIMOULET AC ST EMILION GRAND CRU</t>
  </si>
  <si>
    <t>052</t>
  </si>
  <si>
    <t>GIRONDE ET GASCOGNE SARL</t>
  </si>
  <si>
    <t>052017</t>
  </si>
  <si>
    <t>AC HT MEDOC CRU B CH RAMAGE LA BATISSE</t>
  </si>
  <si>
    <t>052021</t>
  </si>
  <si>
    <t>CH RAMAGE LA BATISSE AC HAUT MEDOC CRU BOURGEOIS C</t>
  </si>
  <si>
    <t>052028</t>
  </si>
  <si>
    <t>AC BX LA ROSEE DE RAMAGE</t>
  </si>
  <si>
    <t>052039</t>
  </si>
  <si>
    <t>AC HT-MEDOC CLOS DE RAMAGE</t>
  </si>
  <si>
    <t>052046</t>
  </si>
  <si>
    <t>CLOS DE RAMAGE AC HAUT-MEDOC</t>
  </si>
  <si>
    <t>052054</t>
  </si>
  <si>
    <t>CH DE BELCIER AC COTES DE CASTILLON</t>
  </si>
  <si>
    <t>052062</t>
  </si>
  <si>
    <t>AC C CASTILLON. CH BELCIER</t>
  </si>
  <si>
    <t>054</t>
  </si>
  <si>
    <t>CHÂTEAU JEANDEMAN</t>
  </si>
  <si>
    <t>054002</t>
  </si>
  <si>
    <t>AC FRONSAC CH JEANDEMAN</t>
  </si>
  <si>
    <t>054005</t>
  </si>
  <si>
    <t>AC LALANDE DE POMEROL. CH LABORDE</t>
  </si>
  <si>
    <t>054011</t>
  </si>
  <si>
    <t>AC PESSAC LEOGNAN. CH MANCEDRE</t>
  </si>
  <si>
    <t>059</t>
  </si>
  <si>
    <t>CH DU ROUET</t>
  </si>
  <si>
    <t>059002</t>
  </si>
  <si>
    <t>AC C.PROVENCE. ESTERELLE .ROUET</t>
  </si>
  <si>
    <t>059004</t>
  </si>
  <si>
    <t>AP COTES DE PROVENCE ESTERELLE</t>
  </si>
  <si>
    <t>059006</t>
  </si>
  <si>
    <t>AC C.PROVENCE. BELLE POULE</t>
  </si>
  <si>
    <t>059008</t>
  </si>
  <si>
    <t>059010</t>
  </si>
  <si>
    <t>059019</t>
  </si>
  <si>
    <t>AC COTES DE PROVENCE ESTERELLE</t>
  </si>
  <si>
    <t>059020</t>
  </si>
  <si>
    <t>AC C.PROVENCE ESTERELLE</t>
  </si>
  <si>
    <t>059021</t>
  </si>
  <si>
    <t>AC COTES DE PROVENCE</t>
  </si>
  <si>
    <t>059025</t>
  </si>
  <si>
    <t>VDP MEDITERRANEE TERES</t>
  </si>
  <si>
    <t>059026</t>
  </si>
  <si>
    <t>VDP MEDITERRANEE. TERES</t>
  </si>
  <si>
    <t>CDV059005</t>
  </si>
  <si>
    <t>AOP COTES DE PROVENCE ESTERELLE</t>
  </si>
  <si>
    <t>CDV059012</t>
  </si>
  <si>
    <t>060</t>
  </si>
  <si>
    <t>GIRARD JM ET NOEL</t>
  </si>
  <si>
    <t>060015</t>
  </si>
  <si>
    <t>AC SAUMUR CHAMP. D VX BOURG</t>
  </si>
  <si>
    <t>060016</t>
  </si>
  <si>
    <t>062</t>
  </si>
  <si>
    <t>CHATEAU CARBON D'ARTIGUES</t>
  </si>
  <si>
    <t>062003</t>
  </si>
  <si>
    <t>AC GRAVES. CARBON D'ARTIGUES</t>
  </si>
  <si>
    <t>062021</t>
  </si>
  <si>
    <t>062022</t>
  </si>
  <si>
    <t>062030</t>
  </si>
  <si>
    <t>AC CADILLAC CH LA PASSONNE</t>
  </si>
  <si>
    <t>062032</t>
  </si>
  <si>
    <t>AOP GRAVES CH CARBON D'ARTIGUES</t>
  </si>
  <si>
    <t>074</t>
  </si>
  <si>
    <t>CAVE DE GIGONDAS</t>
  </si>
  <si>
    <t>074012</t>
  </si>
  <si>
    <t>AC GIGONDAS LA REFENCE</t>
  </si>
  <si>
    <t>074013</t>
  </si>
  <si>
    <t>AC B DE VENISE TERRISSIMO</t>
  </si>
  <si>
    <t>075</t>
  </si>
  <si>
    <t>CHATEAU LE BREUIL RENAISSANCE</t>
  </si>
  <si>
    <t>075002</t>
  </si>
  <si>
    <t>AC MEDOC. CH.BREUIL RENAISSANCE</t>
  </si>
  <si>
    <t>075004</t>
  </si>
  <si>
    <t>075013</t>
  </si>
  <si>
    <t>AC MEDOC CRU BOURGEOIS CHATEAU DES CABANS</t>
  </si>
  <si>
    <t>CDV075003</t>
  </si>
  <si>
    <t>AC MEDOC CHATEAU BREUIL RENAISSANCE</t>
  </si>
  <si>
    <t>080</t>
  </si>
  <si>
    <t>DOMAINE DE ST PIERRE</t>
  </si>
  <si>
    <t>080010</t>
  </si>
  <si>
    <t>AC SANCERRE D.DE ST PIERRE</t>
  </si>
  <si>
    <t>080011</t>
  </si>
  <si>
    <t>080015</t>
  </si>
  <si>
    <t>080016</t>
  </si>
  <si>
    <t>083</t>
  </si>
  <si>
    <t>LES TERROIRS D'OCCITANIE</t>
  </si>
  <si>
    <t>083003</t>
  </si>
  <si>
    <t>AC FAUGERES C.PREST DE LAURENS</t>
  </si>
  <si>
    <t>084</t>
  </si>
  <si>
    <t>VIGNOBLE CASTELMAURE</t>
  </si>
  <si>
    <t>084001</t>
  </si>
  <si>
    <t>AC CORBIERES CASTELMAURE</t>
  </si>
  <si>
    <t>084002</t>
  </si>
  <si>
    <t>084004</t>
  </si>
  <si>
    <t>VDT BUVETTE CASTELMAURE (x6)</t>
  </si>
  <si>
    <t>084006</t>
  </si>
  <si>
    <t>AOP CORBIERES LE CASTELMAURE</t>
  </si>
  <si>
    <t>084007</t>
  </si>
  <si>
    <t>AC CORBIERES LA POMPADOUR</t>
  </si>
  <si>
    <t>084008</t>
  </si>
  <si>
    <t>AC CORBIERES LA GDE CUVEE</t>
  </si>
  <si>
    <t>084032</t>
  </si>
  <si>
    <t>AC CORBIERE CASTELMAURE</t>
  </si>
  <si>
    <t>086B</t>
  </si>
  <si>
    <t>PRODIFFU - TERRE DE VIGNERONS</t>
  </si>
  <si>
    <t>086001P</t>
  </si>
  <si>
    <t>AC C.DE DURAS BERTICOT</t>
  </si>
  <si>
    <t>086002P</t>
  </si>
  <si>
    <t>086011P</t>
  </si>
  <si>
    <t>086012P</t>
  </si>
  <si>
    <t>088</t>
  </si>
  <si>
    <t>MR PORTIER</t>
  </si>
  <si>
    <t>088001</t>
  </si>
  <si>
    <t>DOMAINE PORTIER AC QUINCY</t>
  </si>
  <si>
    <t>089</t>
  </si>
  <si>
    <t>DOMAINE DE LA PALEINE</t>
  </si>
  <si>
    <t>089002</t>
  </si>
  <si>
    <t>AC SAUMUR C.DU PRINTEMPS LA PALEINE</t>
  </si>
  <si>
    <t>089010</t>
  </si>
  <si>
    <t>AC SAUMUR DLA PALEINE</t>
  </si>
  <si>
    <t>089800</t>
  </si>
  <si>
    <t>AC SAUMUR BRUT D.DE LA PALEINE</t>
  </si>
  <si>
    <t>089900</t>
  </si>
  <si>
    <t>AC SAUMUR RESERVE D.LA PALEINE</t>
  </si>
  <si>
    <t>089901</t>
  </si>
  <si>
    <t>AC SAUMUR D.LA PALEINE</t>
  </si>
  <si>
    <t>089903</t>
  </si>
  <si>
    <t>AC SAUMUR BRUT M.TRAD LA PALEINE</t>
  </si>
  <si>
    <t>092</t>
  </si>
  <si>
    <t/>
  </si>
  <si>
    <t>092002</t>
  </si>
  <si>
    <t>AC CX LANG P.ST LOUP.M DES COSTES</t>
  </si>
  <si>
    <t>094</t>
  </si>
  <si>
    <t>CHATEAU TOUR GRANINS-GRAND POUJEAUX</t>
  </si>
  <si>
    <t>094001</t>
  </si>
  <si>
    <t>AC MOULIS EN MEDOC TOUR GRANINS GD-POUJEAUX</t>
  </si>
  <si>
    <t>094003</t>
  </si>
  <si>
    <t>AC MOULIS EN MEDOC GD POUJEAUX</t>
  </si>
  <si>
    <t>094004</t>
  </si>
  <si>
    <t>AOP MOULIS EN MEDOC CH GRANINS GD POUJEAUX</t>
  </si>
  <si>
    <t>095</t>
  </si>
  <si>
    <t>MR FILLON</t>
  </si>
  <si>
    <t>095001</t>
  </si>
  <si>
    <t>AC BOURG ALIG D.FILLON</t>
  </si>
  <si>
    <t>095005</t>
  </si>
  <si>
    <t>DOM FILLON AC SAUVIGNON DE ST BRIS</t>
  </si>
  <si>
    <t>095010</t>
  </si>
  <si>
    <t>DOM FILLON AC PETIT CHABLIS</t>
  </si>
  <si>
    <t>095012</t>
  </si>
  <si>
    <t>DOM FILLON AC CHABLIS</t>
  </si>
  <si>
    <t>095016</t>
  </si>
  <si>
    <t>DOM FILLON AC CHABLIS 1ER CRU "BEAUREGARD"</t>
  </si>
  <si>
    <t>CDV095017</t>
  </si>
  <si>
    <t>AC CHABLIS</t>
  </si>
  <si>
    <t>096</t>
  </si>
  <si>
    <t>L DE L</t>
  </si>
  <si>
    <t>096003</t>
  </si>
  <si>
    <t>AC MEDOC CH LOUDENNE</t>
  </si>
  <si>
    <t>096008</t>
  </si>
  <si>
    <t>AC GRAVES HOSPITAL</t>
  </si>
  <si>
    <t>097</t>
  </si>
  <si>
    <t>CHATEAU DE COINTES</t>
  </si>
  <si>
    <t>097003</t>
  </si>
  <si>
    <t>AC C.MALEPERE C.COINTES</t>
  </si>
  <si>
    <t>097004</t>
  </si>
  <si>
    <t>VDP MERLOT D.DES CONSULS</t>
  </si>
  <si>
    <t>099</t>
  </si>
  <si>
    <t>CAVE DE L'ORMARINE</t>
  </si>
  <si>
    <t>099001</t>
  </si>
  <si>
    <t>VDP C DE THAU D.VILLEMARIN</t>
  </si>
  <si>
    <t>099002</t>
  </si>
  <si>
    <t>099003</t>
  </si>
  <si>
    <t>099013</t>
  </si>
  <si>
    <t>IGP PAYS D'OC MUSCAT MOELLEUX DOUCEUR DU SUD</t>
  </si>
  <si>
    <t>099016</t>
  </si>
  <si>
    <t>AC PICPOUL PINET CARTE NOIRE</t>
  </si>
  <si>
    <t>110</t>
  </si>
  <si>
    <t>CHATEAU LES MARNIERES</t>
  </si>
  <si>
    <t>110500</t>
  </si>
  <si>
    <t>AC BERGERAC CH LES MARNIERES</t>
  </si>
  <si>
    <t>110501</t>
  </si>
  <si>
    <t>110600</t>
  </si>
  <si>
    <t>CH LES MARNIERES AC COTES DE BERGERAC MOELLEUX</t>
  </si>
  <si>
    <t>113</t>
  </si>
  <si>
    <t>DOMAINE DU PRIEURE</t>
  </si>
  <si>
    <t>113001</t>
  </si>
  <si>
    <t>AC MENETOU SALON. DME PRIEURE</t>
  </si>
  <si>
    <t>113002</t>
  </si>
  <si>
    <t>113005</t>
  </si>
  <si>
    <t>113006</t>
  </si>
  <si>
    <t>114</t>
  </si>
  <si>
    <t>DAVAULT VIGNERONS</t>
  </si>
  <si>
    <t>114001</t>
  </si>
  <si>
    <t>AC TOURAINE D.LA CHAISE</t>
  </si>
  <si>
    <t>114002</t>
  </si>
  <si>
    <t>114005</t>
  </si>
  <si>
    <t>AC GAMAY TOURAINE D.LA CHAISE</t>
  </si>
  <si>
    <t>114010</t>
  </si>
  <si>
    <t>AC TOURAINE SAUV D.LA CHAISE</t>
  </si>
  <si>
    <t>114011</t>
  </si>
  <si>
    <t>114012</t>
  </si>
  <si>
    <t>AC TOURAINE GAMAY D.LA CHAISE</t>
  </si>
  <si>
    <t>114013</t>
  </si>
  <si>
    <t>AC TOURAINE GAMAY</t>
  </si>
  <si>
    <t>115</t>
  </si>
  <si>
    <t>SCEA CHATEAU DES ROQUES</t>
  </si>
  <si>
    <t>115005</t>
  </si>
  <si>
    <t>AC VACQUEYRAS CH DES ROQUES</t>
  </si>
  <si>
    <t>115007</t>
  </si>
  <si>
    <t>Château des Roques AC VACQUEYRAS</t>
  </si>
  <si>
    <t>115010</t>
  </si>
  <si>
    <t>VDP VAUCLUSE G.DES ROQUES</t>
  </si>
  <si>
    <t>115011</t>
  </si>
  <si>
    <t>116</t>
  </si>
  <si>
    <t>VIGNOBLE GASNIER</t>
  </si>
  <si>
    <t>116001</t>
  </si>
  <si>
    <t>AC CHINON LES GRAVES</t>
  </si>
  <si>
    <t>118</t>
  </si>
  <si>
    <t>118016</t>
  </si>
  <si>
    <t>118020</t>
  </si>
  <si>
    <t>118021</t>
  </si>
  <si>
    <t>118026</t>
  </si>
  <si>
    <t>118027</t>
  </si>
  <si>
    <t>118028</t>
  </si>
  <si>
    <t>118029</t>
  </si>
  <si>
    <t>118030</t>
  </si>
  <si>
    <t>118032</t>
  </si>
  <si>
    <t>118035</t>
  </si>
  <si>
    <t>118036</t>
  </si>
  <si>
    <t>118037</t>
  </si>
  <si>
    <t>118041</t>
  </si>
  <si>
    <t>118044</t>
  </si>
  <si>
    <t>118045</t>
  </si>
  <si>
    <t>118200</t>
  </si>
  <si>
    <t>124</t>
  </si>
  <si>
    <t>CHATEAU BECHEREAU</t>
  </si>
  <si>
    <t>124001</t>
  </si>
  <si>
    <t>AC M ST EMILION CH BECHEREAU</t>
  </si>
  <si>
    <t>124002</t>
  </si>
  <si>
    <t>AC BORDEAUX SUP TRADITION CH BECHEREAU</t>
  </si>
  <si>
    <t>124005CB</t>
  </si>
  <si>
    <t>AC MONTAGNE CH BECHEREAU CB</t>
  </si>
  <si>
    <t>124010</t>
  </si>
  <si>
    <t>AC LALANDE POMEROL BECH</t>
  </si>
  <si>
    <t>134</t>
  </si>
  <si>
    <t>DOMAINE GALEVAN</t>
  </si>
  <si>
    <t>134002</t>
  </si>
  <si>
    <t>AC C.DU RHONE D.GALEVAN</t>
  </si>
  <si>
    <t>134004</t>
  </si>
  <si>
    <t>AC C.DU RHONE LIBRE EXPRESSION</t>
  </si>
  <si>
    <t>134005</t>
  </si>
  <si>
    <t>AC C DU RHONE PAROLES DE FEMME</t>
  </si>
  <si>
    <t>137</t>
  </si>
  <si>
    <t>CHATEAU MAS DES CABRES</t>
  </si>
  <si>
    <t>137001</t>
  </si>
  <si>
    <t>AC CTX LANGUEDOC TERRES D'ASPERES M.DES CABRES</t>
  </si>
  <si>
    <t>137003</t>
  </si>
  <si>
    <t>AC CTX DU LANGUEDOC LA DRAILLE</t>
  </si>
  <si>
    <t>140</t>
  </si>
  <si>
    <t>PHILIPPE GAULTIER</t>
  </si>
  <si>
    <t>140001</t>
  </si>
  <si>
    <t>AC VOUVRAY M.TRAD.BR C.DES AUMONES</t>
  </si>
  <si>
    <t>143</t>
  </si>
  <si>
    <t>DOMAINE DE VILLARGEAU</t>
  </si>
  <si>
    <t>143001</t>
  </si>
  <si>
    <t>AC CX DU GIENNOIS G.THIEBAULT</t>
  </si>
  <si>
    <t>143002</t>
  </si>
  <si>
    <t>152</t>
  </si>
  <si>
    <t>VINCENT SIRET COURTAUD</t>
  </si>
  <si>
    <t>152001</t>
  </si>
  <si>
    <t>AC QUINCY D.SIRET COURTAUD</t>
  </si>
  <si>
    <t>153</t>
  </si>
  <si>
    <t>SARL GARNIER ET FILS</t>
  </si>
  <si>
    <t>153003</t>
  </si>
  <si>
    <t>AC CHABLIS DME GARNIER</t>
  </si>
  <si>
    <t>153004</t>
  </si>
  <si>
    <t>153005</t>
  </si>
  <si>
    <t>AC CHABLIS 1ER CRU MT DE MILIEU</t>
  </si>
  <si>
    <t>153012</t>
  </si>
  <si>
    <t>BOURGOGNE EPINEUIL PINOT NOIR GARNIER</t>
  </si>
  <si>
    <t>CDV153005</t>
  </si>
  <si>
    <t>AC CHABLIS 1ER CRU MONT DE MILIEU DOMAINE GARNIER</t>
  </si>
  <si>
    <t>157</t>
  </si>
  <si>
    <t>DOMAINE DE LA FOLIETTE</t>
  </si>
  <si>
    <t>157001</t>
  </si>
  <si>
    <t>AC MUSCADET S&amp;MAINE/LIE FOLIETTES</t>
  </si>
  <si>
    <t>157004</t>
  </si>
  <si>
    <t>AC MUSCADET DE SEVRES ET MAINE SUR LIE</t>
  </si>
  <si>
    <t>162</t>
  </si>
  <si>
    <t>CHATEAU JOUCLARY</t>
  </si>
  <si>
    <t>162001</t>
  </si>
  <si>
    <t>AC CABARDES CH JOUCLARY</t>
  </si>
  <si>
    <t>162002</t>
  </si>
  <si>
    <t>AC CABARDES JOUCLARY CUVEE AMANDIERS</t>
  </si>
  <si>
    <t>163</t>
  </si>
  <si>
    <t>DOMAINE FAYOLLE</t>
  </si>
  <si>
    <t>163001</t>
  </si>
  <si>
    <t>AC CROZE HERMITAGE SENS</t>
  </si>
  <si>
    <t>163002</t>
  </si>
  <si>
    <t>164</t>
  </si>
  <si>
    <t>CHATEAU JUPILLE</t>
  </si>
  <si>
    <t>164001</t>
  </si>
  <si>
    <t>AC ST EMILION CH JUPILLE CARILLON</t>
  </si>
  <si>
    <t>164002</t>
  </si>
  <si>
    <t>164005/10</t>
  </si>
  <si>
    <t>AC ST EMILION G. CRU CH JUCALIS</t>
  </si>
  <si>
    <t>164005/12</t>
  </si>
  <si>
    <t>AC ST EMILION GD CRU CH JUCALIS</t>
  </si>
  <si>
    <t>CDV164011</t>
  </si>
  <si>
    <t>MAGNUM JUPILLE CARILLON</t>
  </si>
  <si>
    <t>168</t>
  </si>
  <si>
    <t>CHATEAU LA ROSE SARRON</t>
  </si>
  <si>
    <t>168001</t>
  </si>
  <si>
    <t>AC GRAVES CH LA ROSE SARRON</t>
  </si>
  <si>
    <t>168020CB</t>
  </si>
  <si>
    <t>AOP GRAVES CH LA ROSE SARRON CAISSE BOIS 3 BLLES</t>
  </si>
  <si>
    <t>169</t>
  </si>
  <si>
    <t>CHATEAU PERREAU BEL AIR</t>
  </si>
  <si>
    <t>169001</t>
  </si>
  <si>
    <t>AC COTES DE CASTILLON CH PERREAU BEL AIR</t>
  </si>
  <si>
    <t>169002</t>
  </si>
  <si>
    <t>AC BORDEAUX SUPERIEUR CHATEAU MESSAYA</t>
  </si>
  <si>
    <t>169009</t>
  </si>
  <si>
    <t>AOP COTES DE BORDEAUX LES HAUTS DE PERREAU BEL AIR</t>
  </si>
  <si>
    <t>169010</t>
  </si>
  <si>
    <t>170</t>
  </si>
  <si>
    <t>DOMAINE DE POULVAREL</t>
  </si>
  <si>
    <t>170001</t>
  </si>
  <si>
    <t>LES GRES AC COSTIERES DE NIMES</t>
  </si>
  <si>
    <t>173</t>
  </si>
  <si>
    <t>DOMAINE FREYBURGER</t>
  </si>
  <si>
    <t>CDV173007</t>
  </si>
  <si>
    <t>AC ALSACE PINOT BLANC</t>
  </si>
  <si>
    <t>174</t>
  </si>
  <si>
    <t>SAS VIGNOBLES DES 3 CHATEAUX</t>
  </si>
  <si>
    <t>174001</t>
  </si>
  <si>
    <t>AC PIC SAINT LOUP LES DEESSES MUETTES EMOTION</t>
  </si>
  <si>
    <t>174002</t>
  </si>
  <si>
    <t>AC PIC SAINT LOUP CUVEE SPECIALE VIEILLI FUT DE CH</t>
  </si>
  <si>
    <t>174003</t>
  </si>
  <si>
    <t>IGP CARIGNAN - PETIT LOUP</t>
  </si>
  <si>
    <t>174010</t>
  </si>
  <si>
    <t>IGP OC MERLOT CABERNET TERROIR DES CIGALES</t>
  </si>
  <si>
    <t>174011</t>
  </si>
  <si>
    <t>174015</t>
  </si>
  <si>
    <t>IGP OC CHARDONNAY LES CITELLES</t>
  </si>
  <si>
    <t>174016</t>
  </si>
  <si>
    <t>174020</t>
  </si>
  <si>
    <t>(x4) AOP COTEAUX DU LANGUEDOC GARUS</t>
  </si>
  <si>
    <t>175</t>
  </si>
  <si>
    <t>SARL MAISON PERE &amp; FILS</t>
  </si>
  <si>
    <t>175001</t>
  </si>
  <si>
    <t>AC CHEVERNY DME MAISON</t>
  </si>
  <si>
    <t>175002</t>
  </si>
  <si>
    <t>190</t>
  </si>
  <si>
    <t>CHATEAU PIQUE PERLOU</t>
  </si>
  <si>
    <t>190001</t>
  </si>
  <si>
    <t>AOP MINERVOIS LES TERASSES</t>
  </si>
  <si>
    <t>199</t>
  </si>
  <si>
    <t>PRIEURE SAINT JEAN DE BEBIAN</t>
  </si>
  <si>
    <t>199001</t>
  </si>
  <si>
    <t>AC COTEAUX DU LANGUEDOC CHAPELLE</t>
  </si>
  <si>
    <t>199002</t>
  </si>
  <si>
    <t>AC COTEAUX DU LANGUEDOC PRIEURE ST JEAN</t>
  </si>
  <si>
    <t>199003</t>
  </si>
  <si>
    <t>AC COTEAUX DU LANGUEDOC LA CROIX DE BEBIAN</t>
  </si>
  <si>
    <t>201</t>
  </si>
  <si>
    <t>CAVE LES COTEAUX DU RHONE</t>
  </si>
  <si>
    <t>201001</t>
  </si>
  <si>
    <t>IGP VAUCLUSE D'ORANGE CAVE LES COTEAUX DU RHONE</t>
  </si>
  <si>
    <t>201002</t>
  </si>
  <si>
    <t>201003</t>
  </si>
  <si>
    <t>IGP MEDITERRANEE LES COTEAUX DU RHONE</t>
  </si>
  <si>
    <t>201004</t>
  </si>
  <si>
    <t>201006</t>
  </si>
  <si>
    <t>AOP COTES DU RHONE MAGIE D'UNE TERRE</t>
  </si>
  <si>
    <t>201007</t>
  </si>
  <si>
    <t>AOP VACQUEYRASDOMAINE GRANDY</t>
  </si>
  <si>
    <t>201008</t>
  </si>
  <si>
    <t>AOP COTES DU RHONE PATRICE NICOLAS</t>
  </si>
  <si>
    <t>201011</t>
  </si>
  <si>
    <t>AOP COTES DU RHONE</t>
  </si>
  <si>
    <t>201012</t>
  </si>
  <si>
    <t>AOP CDR VILLAGES PLAN DE DIEU PANICAUT</t>
  </si>
  <si>
    <t>201013</t>
  </si>
  <si>
    <t>AOP CDR VILLAGES CAIRANNE LA BOSQUETTE</t>
  </si>
  <si>
    <t>201014</t>
  </si>
  <si>
    <t>AOP COTES DU RHONE VILLAGES JASOUN</t>
  </si>
  <si>
    <t>201015</t>
  </si>
  <si>
    <t>AOP CDR VILLAGES MASSIF D'UCHAUX ARBOUSE</t>
  </si>
  <si>
    <t>201023</t>
  </si>
  <si>
    <t>AC COTES DU RHONE</t>
  </si>
  <si>
    <t>201026</t>
  </si>
  <si>
    <t>IGP VAUCLUSE BALLADE DE COLLINE</t>
  </si>
  <si>
    <t>201027</t>
  </si>
  <si>
    <t>202</t>
  </si>
  <si>
    <t>TERRES D'ALLIANCE</t>
  </si>
  <si>
    <t>202001</t>
  </si>
  <si>
    <t>IGP VAUCLUSE LEA</t>
  </si>
  <si>
    <t>202002</t>
  </si>
  <si>
    <t>202003</t>
  </si>
  <si>
    <t>202004</t>
  </si>
  <si>
    <t>AOP LUBERON FIEF</t>
  </si>
  <si>
    <t>202005</t>
  </si>
  <si>
    <t>202006</t>
  </si>
  <si>
    <t>202007</t>
  </si>
  <si>
    <t>VDF ROSE FRUITE MUSCAT DE HAMBOURG</t>
  </si>
  <si>
    <t>202010</t>
  </si>
  <si>
    <t>VIN DE FRANCE ROSE FRUITE LOUERION</t>
  </si>
  <si>
    <t>205</t>
  </si>
  <si>
    <t>DOMAINE DE MISELLE</t>
  </si>
  <si>
    <t>205001</t>
  </si>
  <si>
    <t>IGP COTES DE GASCOGNE SEC COLOMBARD G-MANSENG MISE</t>
  </si>
  <si>
    <t>205002</t>
  </si>
  <si>
    <t>IGP COTES DE GASCOGNE</t>
  </si>
  <si>
    <t>205003</t>
  </si>
  <si>
    <t>IGP COTES DE GASCOGNE PETIT MANSENG</t>
  </si>
  <si>
    <t>205004</t>
  </si>
  <si>
    <t>IGP COTES DE GASCOGNE MERLOT-TANNAT</t>
  </si>
  <si>
    <t>229</t>
  </si>
  <si>
    <t>DOMAINE DU BOIS DU JOUR</t>
  </si>
  <si>
    <t>229005</t>
  </si>
  <si>
    <t>AOP BEAUJOLAIS DME DU BOIS DU JOUR</t>
  </si>
  <si>
    <t>229006</t>
  </si>
  <si>
    <t>AOP BOURGOGNE DME DU BOIS DU JOUR</t>
  </si>
  <si>
    <t>229007</t>
  </si>
  <si>
    <t>AOP BEAUJOLAIS VIEILLES VIGNES DME DU BOIS DU JOUR</t>
  </si>
  <si>
    <t>229008</t>
  </si>
  <si>
    <t>AOP COTEAUX BOURGUIGNON DME DU BOIS DU JOUR</t>
  </si>
  <si>
    <t>229009</t>
  </si>
  <si>
    <t>229020</t>
  </si>
  <si>
    <t>AOP CREMANT DE BOURGOGNE DME BOIS DU JOUR</t>
  </si>
  <si>
    <t>002037</t>
  </si>
  <si>
    <t>AOP COSTIERES DE NIMES COMBES DE MEZIERES</t>
  </si>
  <si>
    <t>007001</t>
  </si>
  <si>
    <t>DME DUSSOURT AC SYLVANER</t>
  </si>
  <si>
    <t>011005</t>
  </si>
  <si>
    <t>AC VOUVRAY C. ANTIQUE D.CHATAIGNERAIE</t>
  </si>
  <si>
    <t>019004</t>
  </si>
  <si>
    <t>025003</t>
  </si>
  <si>
    <t>DME DEUX ROCHES AC ST VERAN RIVES DE LONGSAULT</t>
  </si>
  <si>
    <t>025016</t>
  </si>
  <si>
    <t>VDP MERLOT. D.D'ANTUGNIAC</t>
  </si>
  <si>
    <t>028006</t>
  </si>
  <si>
    <t>AC 1ERES C. BLAYE TRAD CH L.BERTRANDS</t>
  </si>
  <si>
    <t>036010</t>
  </si>
  <si>
    <t>IGP SAINT GUILHEM LE DESERT GRENACHE</t>
  </si>
  <si>
    <t>039013</t>
  </si>
  <si>
    <t>AC C.DU ROUSSILLON .MONTNER PREM</t>
  </si>
  <si>
    <t>040009CB</t>
  </si>
  <si>
    <t>AC C.DE BOURG. BEL AIR</t>
  </si>
  <si>
    <t>041006</t>
  </si>
  <si>
    <t>AC ST ESTEPHE. C.LES HAUTS  DE PEZ</t>
  </si>
  <si>
    <t>041011</t>
  </si>
  <si>
    <t>AC ST ESTEPHE CRU BOURGEOIS C.HTS PEZ</t>
  </si>
  <si>
    <t>046025</t>
  </si>
  <si>
    <t>IGP MONTBAUDILE</t>
  </si>
  <si>
    <t>049014</t>
  </si>
  <si>
    <t>AC ENTRE DEUX MER CH FLAMAND BELLEVUE</t>
  </si>
  <si>
    <t>049027</t>
  </si>
  <si>
    <t>050010</t>
  </si>
  <si>
    <t>AC FAUGERES CARMINA BUT</t>
  </si>
  <si>
    <t>052016</t>
  </si>
  <si>
    <t>CH RAMAGE LA BATISSE AC HAUT MEDOC CRU BOURGEOIS</t>
  </si>
  <si>
    <t>052022</t>
  </si>
  <si>
    <t>052067</t>
  </si>
  <si>
    <t>CH RAMAGE LA BATISSEAC HAUT MEDOC CRU BOURGEOIS</t>
  </si>
  <si>
    <t>059005</t>
  </si>
  <si>
    <t>059027</t>
  </si>
  <si>
    <t>IGP MEDITERRANEE TERES</t>
  </si>
  <si>
    <t>062001</t>
  </si>
  <si>
    <t>AC GRAVES CARBON D'ARTIGUES</t>
  </si>
  <si>
    <t>062002</t>
  </si>
  <si>
    <t>CDV062030</t>
  </si>
  <si>
    <t>CDV075005</t>
  </si>
  <si>
    <t>AC MEDOC CRU BOURGEOIS BREUIL RENAISSANCE</t>
  </si>
  <si>
    <t>084010</t>
  </si>
  <si>
    <t>L'ESPRIT DU VENT à perpète AC CORBIERES</t>
  </si>
  <si>
    <t>084015</t>
  </si>
  <si>
    <t>AC CORBIERES " LE 3 "</t>
  </si>
  <si>
    <t>084037</t>
  </si>
  <si>
    <t>AOP CORBIERE LE JARDIN DU PARADIS</t>
  </si>
  <si>
    <t>084039</t>
  </si>
  <si>
    <t>AOP CORBIERE SOLEIL LIQUID</t>
  </si>
  <si>
    <t>095002</t>
  </si>
  <si>
    <t>095014</t>
  </si>
  <si>
    <t>DOM FILLON AC CHABLIS VIEILLES VIGNES</t>
  </si>
  <si>
    <t>095015</t>
  </si>
  <si>
    <t>114006</t>
  </si>
  <si>
    <t>116005</t>
  </si>
  <si>
    <t>AC CHINON DME GASNIER</t>
  </si>
  <si>
    <t>CDV116006</t>
  </si>
  <si>
    <t>AC CHINON VIEILLES VIGNES DOMAINE GARNIER</t>
  </si>
  <si>
    <t>119</t>
  </si>
  <si>
    <t>DOMAINE DES HOMS</t>
  </si>
  <si>
    <t>119001</t>
  </si>
  <si>
    <t>AC MINERVOIS CUVEE PAUL D.DES HOMS</t>
  </si>
  <si>
    <t>119002</t>
  </si>
  <si>
    <t>IGP OC CHARDONNAY</t>
  </si>
  <si>
    <t>119003</t>
  </si>
  <si>
    <t>IGP OC VIOGNIER</t>
  </si>
  <si>
    <t>162003</t>
  </si>
  <si>
    <t>AOP CABARDES JOUCLARY</t>
  </si>
  <si>
    <t>CDV162004</t>
  </si>
  <si>
    <t>IGP OC SAUVIGNON CH JOUCLARY</t>
  </si>
  <si>
    <t>164010</t>
  </si>
  <si>
    <t>AOP SAINT EMILION JUPILLE CARILLON</t>
  </si>
  <si>
    <t>168002</t>
  </si>
  <si>
    <t>AC GRAVES CH. LA ROSE SARRON</t>
  </si>
  <si>
    <t>169005CB</t>
  </si>
  <si>
    <t>AC COTES DE CASTILLON CB 3 BOUTEILLES</t>
  </si>
  <si>
    <t>199004</t>
  </si>
  <si>
    <t>IGP PAYS D'OC LA CROIX DE BEBIAN</t>
  </si>
  <si>
    <t>201010</t>
  </si>
  <si>
    <t>201016</t>
  </si>
  <si>
    <t>AC COTES DU RHONE MAGIE D'UNE TERRE</t>
  </si>
  <si>
    <t>202015</t>
  </si>
  <si>
    <t>AOP LUBERON LOUERION</t>
  </si>
  <si>
    <t>226</t>
  </si>
  <si>
    <t>SIEUR D'ARQUES</t>
  </si>
  <si>
    <t>226001</t>
  </si>
  <si>
    <t>AOP BLANQUETTE DE LIMOUX METHODE TRAD PREMIERE BUL</t>
  </si>
  <si>
    <t>002200</t>
  </si>
  <si>
    <t>ROSE PAMPLEMOUSSE</t>
  </si>
  <si>
    <t>CDV007010</t>
  </si>
  <si>
    <t>AC GEWURZTRAMINER VENDANGES TARDIVES</t>
  </si>
  <si>
    <t>CDV010050</t>
  </si>
  <si>
    <t>AC VOUVRAY CLOS DE ROUGEMONT VIGNEAU CHEVREAU</t>
  </si>
  <si>
    <t>029005</t>
  </si>
  <si>
    <t>VDP DE L'HERAULT. GRANGES FELINES</t>
  </si>
  <si>
    <t>036002</t>
  </si>
  <si>
    <t>AC CTX DU LANG. COL DU VENT</t>
  </si>
  <si>
    <t>040017</t>
  </si>
  <si>
    <t>AC C DE BOURG F.CHENE NECTAR</t>
  </si>
  <si>
    <t>048006B</t>
  </si>
  <si>
    <t>AOP PUISSEGUIN ST EMILION CH GUIBEAU</t>
  </si>
  <si>
    <t>049008</t>
  </si>
  <si>
    <t>049023</t>
  </si>
  <si>
    <t>051002CB</t>
  </si>
  <si>
    <t>AC ST EMILION GRAND CRU CLOS TRIMOULET CAISSE BOIS</t>
  </si>
  <si>
    <t>CDV051016</t>
  </si>
  <si>
    <t>AC MONTAGNE ST EMILION CHEVALIER ST GEORGES</t>
  </si>
  <si>
    <t>052055</t>
  </si>
  <si>
    <t>059101</t>
  </si>
  <si>
    <t>ICE PAMPLOON ROSE PAMPLEMOUSSE</t>
  </si>
  <si>
    <t>059104</t>
  </si>
  <si>
    <t>ICE PAMPLOON BUBBLES</t>
  </si>
  <si>
    <t>080014</t>
  </si>
  <si>
    <t>084050</t>
  </si>
  <si>
    <t>AOP CORBIERES "MAUVAISE REPUTATION"</t>
  </si>
  <si>
    <t>095003</t>
  </si>
  <si>
    <t>AC BOURGOGNE ALIGOTE</t>
  </si>
  <si>
    <t>095008</t>
  </si>
  <si>
    <t>AC PETIT CHABLIS</t>
  </si>
  <si>
    <t>CDV095007</t>
  </si>
  <si>
    <t>AC COTES D'AUXERRE</t>
  </si>
  <si>
    <t>134007</t>
  </si>
  <si>
    <t>AC CHATEAUNEUF DU PAPE</t>
  </si>
  <si>
    <t>134008</t>
  </si>
  <si>
    <t>143003</t>
  </si>
  <si>
    <t>AC COTEAUX DU GIENNOIS CUVEE CHICAGO</t>
  </si>
  <si>
    <t>153001</t>
  </si>
  <si>
    <t>AC PETIT CHABLIS D.GARNIER</t>
  </si>
  <si>
    <t>CDV162005</t>
  </si>
  <si>
    <t>JOUCLARY CUVEE GUILLAUME</t>
  </si>
  <si>
    <t>163005</t>
  </si>
  <si>
    <t>AC HERMITAGE LES DIONNIERES</t>
  </si>
  <si>
    <t>163006</t>
  </si>
  <si>
    <t>168003</t>
  </si>
  <si>
    <t>AOP GRAVES LA ROSE SARRON</t>
  </si>
  <si>
    <t>169011</t>
  </si>
  <si>
    <t>CHATEAU DE L'AUZE BERGERAC BLANC</t>
  </si>
  <si>
    <t>175003</t>
  </si>
  <si>
    <t>201022</t>
  </si>
  <si>
    <t>IGP PRINCIPAUTE D'ORANGE</t>
  </si>
  <si>
    <t>201031</t>
  </si>
  <si>
    <t>IGP MEDITERRANNEE ROSE</t>
  </si>
  <si>
    <t>202008</t>
  </si>
  <si>
    <t>MUSCAT - PETITS GRAINS - LOUERION</t>
  </si>
  <si>
    <t>202012</t>
  </si>
  <si>
    <t>AOP LUBERON - TERRARMONIE - LOUERION</t>
  </si>
  <si>
    <t>202013</t>
  </si>
  <si>
    <t>229021</t>
  </si>
  <si>
    <t>ECLAT DE ROSE DME BOIS DU JOUR</t>
  </si>
  <si>
    <t>007008</t>
  </si>
  <si>
    <t>007021</t>
  </si>
  <si>
    <t>DOMAINE DUSSOURT AC GEWURZTRAMINER</t>
  </si>
  <si>
    <t>009</t>
  </si>
  <si>
    <t>DOMAINE CHATELAIN</t>
  </si>
  <si>
    <t>009011</t>
  </si>
  <si>
    <t>DOM CHATELAIN AC POUILLY FUME</t>
  </si>
  <si>
    <t>009012</t>
  </si>
  <si>
    <t>011002</t>
  </si>
  <si>
    <t>AC VOUVRAY METH TRAD D.SEC  D.CHATAIGNERAIE</t>
  </si>
  <si>
    <t>019014</t>
  </si>
  <si>
    <t>028015CB</t>
  </si>
  <si>
    <t>AC 1ERES C.DE BLAYE LES BERTRANDS</t>
  </si>
  <si>
    <t>037002</t>
  </si>
  <si>
    <t>JM. RAFFAULT AC CHINON LES PICASSES</t>
  </si>
  <si>
    <t>037005</t>
  </si>
  <si>
    <t>JM. RAFFAULT AC CHINON</t>
  </si>
  <si>
    <t>037011</t>
  </si>
  <si>
    <t>JM. RAFFAULT AC CHINON SEC</t>
  </si>
  <si>
    <t>041020</t>
  </si>
  <si>
    <t>049009</t>
  </si>
  <si>
    <t>AC BORDEAUX CHATEAU LAUDUC</t>
  </si>
  <si>
    <t>059103</t>
  </si>
  <si>
    <t>ICE GRIOTTES ROUGE</t>
  </si>
  <si>
    <t>075011</t>
  </si>
  <si>
    <t>AC MEDOC CRU.B CH LES CABANS</t>
  </si>
  <si>
    <t>080013</t>
  </si>
  <si>
    <t>089799</t>
  </si>
  <si>
    <t>AC SAUMUR BRUT (1.2 g sucre résiduel) DS Dme de la</t>
  </si>
  <si>
    <t>CDH-096008</t>
  </si>
  <si>
    <t>GRAVES HOSPITAL</t>
  </si>
  <si>
    <t>118005</t>
  </si>
  <si>
    <t>ARMAGNAC 15 ANS D'AGE ARIANE en étui</t>
  </si>
  <si>
    <t>118006</t>
  </si>
  <si>
    <t>ARMAGNAC 20 ANS D'AGE ARIANE en étui</t>
  </si>
  <si>
    <t>118007</t>
  </si>
  <si>
    <t>ARMAGNAC 25 ANS D'AGE ARIANE en étui</t>
  </si>
  <si>
    <t>118014</t>
  </si>
  <si>
    <t>ARMAGNAC RECOLTE 1987 ARIANE en caissette bois</t>
  </si>
  <si>
    <t>118024</t>
  </si>
  <si>
    <t>ARMAGNAC RECOLTE 1982 ARIANE</t>
  </si>
  <si>
    <t>134003</t>
  </si>
  <si>
    <t>IGP VAUCLUSE LE PUY SAINT MARTIN</t>
  </si>
  <si>
    <t>CDV153003</t>
  </si>
  <si>
    <t>AC CHABLIS DOMAINE GARNIER</t>
  </si>
  <si>
    <t>168005</t>
  </si>
  <si>
    <t>AC GRAVES PRESTIGE CUVEE DAMIEN CH LA ROSE SARRON</t>
  </si>
  <si>
    <t>169003CB</t>
  </si>
  <si>
    <t>AOP COTES DE CASTILLON HARMONIE</t>
  </si>
  <si>
    <t>CDV169012</t>
  </si>
  <si>
    <t>AOP BORDEAUX CH MESSAYA</t>
  </si>
  <si>
    <t>174005</t>
  </si>
  <si>
    <t>IGP PAYS D'OC LES SARDINES</t>
  </si>
  <si>
    <t>174006</t>
  </si>
  <si>
    <t>174007</t>
  </si>
  <si>
    <t>174009</t>
  </si>
  <si>
    <t>AOP PIC SAINT LOUP LA DIABLESSE</t>
  </si>
  <si>
    <t>201017</t>
  </si>
  <si>
    <t>IGP VAUCLUSE D'ORANGE CHASAN VERMENTINO</t>
  </si>
  <si>
    <t>201018</t>
  </si>
  <si>
    <t>IGP VAUCLUSE D'ORANGE VIOGNIER</t>
  </si>
  <si>
    <t>229001</t>
  </si>
  <si>
    <t>AOP BEAUJOLAIS NOUVEAU DME DU BOIS DU JOUR</t>
  </si>
  <si>
    <t>031</t>
  </si>
  <si>
    <t>MR GIORDANO</t>
  </si>
  <si>
    <t>031012</t>
  </si>
  <si>
    <t>AC ST NICO DE BOURGUEIL  DOM DES COT DE LA GARDIER</t>
  </si>
  <si>
    <t>031013</t>
  </si>
  <si>
    <t>031024</t>
  </si>
  <si>
    <t>AOP TOURAINE - LA PERCLAIRE - LACHETEAU</t>
  </si>
  <si>
    <t>031025</t>
  </si>
  <si>
    <t>LA PERCLAIRE AC TOURAINE SAUVIGNON</t>
  </si>
  <si>
    <t>031037</t>
  </si>
  <si>
    <t>AOP SANCERRE - LA GEMIERE - LACHETEAU</t>
  </si>
  <si>
    <t>031038</t>
  </si>
  <si>
    <t>031078</t>
  </si>
  <si>
    <t>SAUMUR CHAMPIGNY CUV BAUNELLES DME BOIS JOLI</t>
  </si>
  <si>
    <t>031079</t>
  </si>
  <si>
    <t>040004</t>
  </si>
  <si>
    <t>AOP COTES DE BOURG CH DE LA GRAVE GRAINS FINS</t>
  </si>
  <si>
    <t>041001/12</t>
  </si>
  <si>
    <t>059024</t>
  </si>
  <si>
    <t>062031</t>
  </si>
  <si>
    <t>AC GRAVES CUVEE PRESTIGE</t>
  </si>
  <si>
    <t>074029</t>
  </si>
  <si>
    <t>VDN MUSCAT BEAUME DE VENISE</t>
  </si>
  <si>
    <t>084041</t>
  </si>
  <si>
    <t>AOP CORBIERES ROSE AGRICOLE</t>
  </si>
  <si>
    <t>095004</t>
  </si>
  <si>
    <t>DOM FILLON  BOURGOGNE CHARDONNAY</t>
  </si>
  <si>
    <t>095017</t>
  </si>
  <si>
    <t>099023</t>
  </si>
  <si>
    <t>AOP LANGUEDOC ST GEORGES D'ORQUES "PETITES PARCELL</t>
  </si>
  <si>
    <t>110505</t>
  </si>
  <si>
    <t>CDV226002</t>
  </si>
  <si>
    <t>229004</t>
  </si>
  <si>
    <t>010019</t>
  </si>
  <si>
    <t>AC VOUVRAY METH TRAD BRUT. V. CHEV BIO</t>
  </si>
  <si>
    <t>019012</t>
  </si>
  <si>
    <t>AC BDX SUP. CH GAURY BALETTE</t>
  </si>
  <si>
    <t>019999</t>
  </si>
  <si>
    <t>TONNEAU DOMAINE YON</t>
  </si>
  <si>
    <t>CDV049040</t>
  </si>
  <si>
    <t>AC BORDEAUX CLAIRET ROSE</t>
  </si>
  <si>
    <t>CDV050015</t>
  </si>
  <si>
    <t>EMPREINTES CARBONES AOP FAUGERES</t>
  </si>
  <si>
    <t>051016</t>
  </si>
  <si>
    <t>CDV051000</t>
  </si>
  <si>
    <t>AC MONTAGNE ST EMILION. CH ST GEORGES</t>
  </si>
  <si>
    <t>059028</t>
  </si>
  <si>
    <t>099022</t>
  </si>
  <si>
    <t>IGP D'OC SAUVIGNON "HAUTS DE SENAUX"</t>
  </si>
  <si>
    <t>110601</t>
  </si>
  <si>
    <t>AC C.DE BERGERAC F.DE CHENE  MOELL</t>
  </si>
  <si>
    <t>CDV143003</t>
  </si>
  <si>
    <t>GIENNOIS CUVEE CHICAGO</t>
  </si>
  <si>
    <t>162004</t>
  </si>
  <si>
    <t>AOP CABARDES CUVEE GUILLAUME</t>
  </si>
  <si>
    <t>169012</t>
  </si>
  <si>
    <t>CHATEAU DE L'AUZE BERGERAC</t>
  </si>
  <si>
    <t>201028</t>
  </si>
  <si>
    <t>IGP VIOGNIER  BALLADE DE COLLINE</t>
  </si>
  <si>
    <t>226003</t>
  </si>
  <si>
    <t>AOP CREMANT DE LIMOUX PREMIERE BULLE PREMIUM</t>
  </si>
  <si>
    <t>007011</t>
  </si>
  <si>
    <t>AC ALSACE PINOT NOIR</t>
  </si>
  <si>
    <t>037001</t>
  </si>
  <si>
    <t>037006</t>
  </si>
  <si>
    <t>052320</t>
  </si>
  <si>
    <t>CH GUILLEMIN GAFFELIERE AC ST EMILION GRAND CRU</t>
  </si>
  <si>
    <t>052322</t>
  </si>
  <si>
    <t>084100</t>
  </si>
  <si>
    <t>AOP CORBIERES LA TETE DANS LES ETOILES</t>
  </si>
  <si>
    <t>084101</t>
  </si>
  <si>
    <t>084102</t>
  </si>
  <si>
    <t>AOP CORBIERES LES PIEDS DANS LA TERRE</t>
  </si>
  <si>
    <t>084103</t>
  </si>
  <si>
    <t>118004</t>
  </si>
  <si>
    <t>ARMAGNAC VSOP ARIANE en étui</t>
  </si>
  <si>
    <t>118302</t>
  </si>
  <si>
    <t>ARMAGNAC NAPOLEON ARIANE en étui</t>
  </si>
  <si>
    <t>001015</t>
  </si>
  <si>
    <t>PANNIER CHAMP BRUT BLANC DE BLANCS</t>
  </si>
  <si>
    <t>001031</t>
  </si>
  <si>
    <t>AC CHAMPAGNE EXTRA BRUT SELECTION - CHAMPAGNE PANN</t>
  </si>
  <si>
    <t>002028</t>
  </si>
  <si>
    <t>VDT GALLICIAN</t>
  </si>
  <si>
    <t>059014</t>
  </si>
  <si>
    <t>AC COTES DE PROVENCE BELLE POULE</t>
  </si>
  <si>
    <t>CDV080020</t>
  </si>
  <si>
    <t>AOP SANCERRE CUVEE MARECHAL PRIEUR</t>
  </si>
  <si>
    <t>099015</t>
  </si>
  <si>
    <t>AC PICPOUL DE PINET C.L'ORMARINE</t>
  </si>
  <si>
    <t>118013</t>
  </si>
  <si>
    <t>ARMAGNAC RECOLTE 1989 ARIANE</t>
  </si>
  <si>
    <t>118018</t>
  </si>
  <si>
    <t>ARMAGNAC RECOLTE 1990 ARIANE</t>
  </si>
  <si>
    <t>118038</t>
  </si>
  <si>
    <t>ARMAGNAC RECOLTE 1967 ARIANE</t>
  </si>
  <si>
    <t>118039</t>
  </si>
  <si>
    <t>ARMAGNAC RECOLTE 1966 ARIANE</t>
  </si>
  <si>
    <t>025002</t>
  </si>
  <si>
    <t>AC SAINT VERAN</t>
  </si>
  <si>
    <t>025011</t>
  </si>
  <si>
    <t>DOM 2 ROCHES MACON VILLAGES</t>
  </si>
  <si>
    <t>025037</t>
  </si>
  <si>
    <t>VDP D'OC ROUGE TURITELLES</t>
  </si>
  <si>
    <t>036008</t>
  </si>
  <si>
    <t>CDV051131</t>
  </si>
  <si>
    <t>AC SAINT EMILION GRAND CRU CLOS TRIMOULET</t>
  </si>
  <si>
    <t>052039/10</t>
  </si>
  <si>
    <t>AC HT-MEDOC L'ENCLOS DE RAMAGE</t>
  </si>
  <si>
    <t>052063</t>
  </si>
  <si>
    <t>AC C CASTILLON. CH DE BELCIER</t>
  </si>
  <si>
    <t>054012</t>
  </si>
  <si>
    <t>059102</t>
  </si>
  <si>
    <t>ICE NECTARINES BLANC</t>
  </si>
  <si>
    <t>137004</t>
  </si>
  <si>
    <t>IGP PAYS D'OC MAS DES CABRES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</si>
</sst>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0" fontId="0" fillId="0" borderId="1" xfId="0" applyBorder="1"/>
    <xf numFmtId="0" fontId="0" fillId="0" borderId="1" xfId="0" pivotButton="1" applyBorder="1"/>
    <xf numFmtId="0" fontId="0" fillId="0" borderId="1" xfId="0" applyNumberFormat="1" applyBorder="1"/>
    <xf numFmtId="10" fontId="0" fillId="0" borderId="0" xfId="2" applyNumberFormat="1" applyFont="1"/>
    <xf numFmtId="44" fontId="0" fillId="0" borderId="0" xfId="1" applyFont="1"/>
    <xf numFmtId="1" fontId="0" fillId="0" borderId="0" xfId="0" applyNumberFormat="1"/>
  </cellXfs>
  <cellStyles count="3">
    <cellStyle name="Monétaire" xfId="1" builtinId="4"/>
    <cellStyle name="Normal" xfId="0" builtinId="0"/>
    <cellStyle name="Pourcentage" xfId="2" builtinId="5"/>
  </cellStyles>
  <dxfs count="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3</xdr:row>
          <xdr:rowOff>9525</xdr:rowOff>
        </xdr:from>
        <xdr:to>
          <xdr:col>1</xdr:col>
          <xdr:colOff>752475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133350</xdr:colOff>
      <xdr:row>0</xdr:row>
      <xdr:rowOff>85725</xdr:rowOff>
    </xdr:from>
    <xdr:to>
      <xdr:col>12</xdr:col>
      <xdr:colOff>514350</xdr:colOff>
      <xdr:row>13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oi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00" y="85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295275</xdr:colOff>
      <xdr:row>15</xdr:row>
      <xdr:rowOff>123825</xdr:rowOff>
    </xdr:from>
    <xdr:to>
      <xdr:col>13</xdr:col>
      <xdr:colOff>85725</xdr:colOff>
      <xdr:row>28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RN_NOM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RN_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34425" y="2981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peuvent être utilisés au moins dans Excel 2010.
Si la forme a été modifiée dans une version antérieure d’Excel, ou si le classeur a été enregistré dans Excel 2003 ou une version antérieure, le segment ne peut pas être utilisé.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COLLIN" refreshedDate="42803.708912731483" createdVersion="4" refreshedVersion="4" minRefreshableVersion="3" recordCount="2866">
  <cacheSource type="worksheet">
    <worksheetSource name="Tableau_Lancer_la_requête_à_partir_de_vnc5"/>
  </cacheSource>
  <cacheFields count="10">
    <cacheField name="moi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nnee" numFmtId="0">
      <sharedItems containsSemiMixedTypes="0" containsString="0" containsNumber="1" containsInteger="1" minValue="2016" maxValue="2016"/>
    </cacheField>
    <cacheField name="FRN_CODE" numFmtId="0">
      <sharedItems/>
    </cacheField>
    <cacheField name="FRN_NOM" numFmtId="0">
      <sharedItems containsBlank="1" count="88">
        <s v="CHAMPAGNE PANNIER"/>
        <s v="CAVE DE GALLICIAN"/>
        <s v="DOMAINE ANDRE DUSSOURT"/>
        <s v="DOMAINE VIGNEAU CHEVRAU"/>
        <s v="CAVE GAUTIER"/>
        <s v="VIGNOBLES YON"/>
        <s v="COLLOVRAY &amp; TERRIER"/>
        <s v="VIGNOBLES DUBOIS ET FILS"/>
        <s v="DOMAINE DE BELLE MARE"/>
        <s v="DOMAINE OLIVIER"/>
        <s v="CASTELBARRY"/>
        <s v="SARL RAFFAULT"/>
        <s v="LES VIGNERONS DES COTES D'AGLY"/>
        <s v="CHÂTEAU DE LA GRAVE"/>
        <s v="CHATEAU TOUR DE PEZ"/>
        <s v="LE CELLIER DES PRINCES"/>
        <s v="MR JEAN PIERRE CABANES"/>
        <s v="SCEA BOURLON DESTOUEST"/>
        <s v="MAISON GRANDEAU"/>
        <s v="CHÂTEAU HAUT LIGNIERES"/>
        <s v="CLOS TRIMOULET"/>
        <s v="GIRONDE ET GASCOGNE SARL"/>
        <s v="CHÂTEAU JEANDEMAN"/>
        <s v="CH DU ROUET"/>
        <s v="GIRARD JM ET NOEL"/>
        <s v="CHATEAU CARBON D'ARTIGUES"/>
        <s v="CAVE DE GIGONDAS"/>
        <s v="CHATEAU LE BREUIL RENAISSANCE"/>
        <s v="DOMAINE DE ST PIERRE"/>
        <s v="LES TERROIRS D'OCCITANIE"/>
        <s v="VIGNOBLE CASTELMAURE"/>
        <s v="PRODIFFU - TERRE DE VIGNERONS"/>
        <s v="MR PORTIER"/>
        <s v="DOMAINE DE LA PALEINE"/>
        <s v=""/>
        <s v="CHATEAU TOUR GRANINS-GRAND POUJEAUX"/>
        <s v="MR FILLON"/>
        <s v="L DE L"/>
        <s v="CHATEAU DE COINTES"/>
        <s v="CAVE DE L'ORMARINE"/>
        <s v="CHATEAU LES MARNIERES"/>
        <s v="DOMAINE DU PRIEURE"/>
        <s v="DAVAULT VIGNERONS"/>
        <s v="SCEA CHATEAU DES ROQUES"/>
        <s v="VIGNOBLE GASNIER"/>
        <s v="ARMAGNAC DELORD"/>
        <s v="CHATEAU BECHEREAU"/>
        <s v="DOMAINE GALEVAN"/>
        <s v="CHATEAU MAS DES CABRES"/>
        <s v="PHILIPPE GAULTIER"/>
        <s v="DOMAINE DE VILLARGEAU"/>
        <s v="VINCENT SIRET COURTAUD"/>
        <s v="SARL GARNIER ET FILS"/>
        <s v="DOMAINE DE LA FOLIETTE"/>
        <s v="CHATEAU JOUCLARY"/>
        <s v="DOMAINE FAYOLLE"/>
        <s v="CHATEAU JUPILLE"/>
        <s v="CHATEAU LA ROSE SARRON"/>
        <s v="CHATEAU PERREAU BEL AIR"/>
        <s v="DOMAINE DE POULVAREL"/>
        <s v="DOMAINE FREYBURGER"/>
        <s v="SAS VIGNOBLES DES 3 CHATEAUX"/>
        <s v="SARL MAISON PERE &amp; FILS"/>
        <s v="CHATEAU PIQUE PERLOU"/>
        <s v="PRIEURE SAINT JEAN DE BEBIAN"/>
        <s v="CAVE LES COTEAUX DU RHONE"/>
        <s v="TERRES D'ALLIANCE"/>
        <s v="DOMAINE DE MISELLE"/>
        <s v="DOMAINE DU BOIS DU JOUR"/>
        <s v="DOMAINE DES HOMS"/>
        <s v="SIEUR D'ARQUES"/>
        <s v="DOMAINE CHATELAIN"/>
        <s v="MR GIORDANO"/>
        <m u="1"/>
        <s v="DOMAINE DE LA CAMARETTE" u="1"/>
        <s v="LE CLOS GOUTINES" u="1"/>
        <s v="HOBIBAG PACKAGING" u="1"/>
        <s v="DOMAINE DU PETIT CLOCHER" u="1"/>
        <s v="UNION SIGNE VIGNERONS" u="1"/>
        <s v="CHATEAU DE SAINT-PREIGNAN" u="1"/>
        <s v="SARL QUERENISSE" u="1"/>
        <s v="SC CHATEAU SIPIAN" u="1"/>
        <s v="DOMAINE CAMP-GALHAN" u="1"/>
        <s v="CHATEAU GUIBEAU" u="1"/>
        <s v="VIGNOBLES GILLES LOUVET" u="1"/>
        <s v="CAVE DE CHANTECOTES" u="1"/>
        <s v="HOBIVIN" u="1"/>
        <s v="VALADE ET TRANSANDINE" u="1"/>
      </sharedItems>
    </cacheField>
    <cacheField name="PRD_CODE" numFmtId="0">
      <sharedItems/>
    </cacheField>
    <cacheField name="PRD_LIBELLE" numFmtId="0">
      <sharedItems containsBlank="1" count="631">
        <s v="PANNIER AC CHAMP SELECTION BRUT"/>
        <s v="PANNIER AC CHAMP ROSE BRUT"/>
        <s v="PANNIER AC CHAMP SEDUCTION DEMI SEC"/>
        <s v="PANNIER AC CHAMP BRUT SELECTION EN ETUIS"/>
        <s v="AC CHAMPAGNE EXTRA BRUT"/>
        <s v="VDP MERLOT C.GALLICIAN"/>
        <s v="VDP MERLOT. C GALLICIAN"/>
        <s v="VDP GARD. C GALLICIAN"/>
        <s v="VDT C GALLICIAN"/>
        <s v="VDT. C GALLICIAN"/>
        <s v="AC C. DE NIMES. C GALLICIAN"/>
        <s v="AC C DE NIMES C. GALLICIAN"/>
        <s v="VDP GARD C. GALLICIAN"/>
        <s v="AC C DE NIMES C DES LAUNES"/>
        <s v="AC COSTIERES DE NIMES CUVEE PRESTIGE"/>
        <s v="AC COSTIERES DE NIMES LES COMBES DE MEZIERES"/>
        <s v="IGP MERLOT D'OC Cave Gallician"/>
        <s v="IGP GARD GRES D'OR"/>
        <s v="IGP D'OC  GRIS DES LAUNES  GALLICIAN"/>
        <s v="AOP COSTIERES DE NIMES"/>
        <s v="AOP COSTIERES DE NIMES PRESTIGE"/>
        <s v="VDP DU GARD. LOU GRES D'OR"/>
        <s v="IGP DU GARD LOU GRES D'OR"/>
        <s v="VDP GARD LOU GRES D'OR"/>
        <s v="VDT CUVEE PRINCIE étiq perso scaeL"/>
        <s v="VDT. CUVEE FIOJOLI étiq perso scaeL"/>
        <s v="VDT. CUVEE LEON étiq perso scaeL"/>
        <s v="VDP MERLOT C. GALLICIAN"/>
        <s v="AC RIESLING D. DUSSOURT"/>
        <s v="AC PINOT GRIS D. DUSSOURT"/>
        <s v="AC GEWURZTRAMINER D. DUSSOURT"/>
        <s v="AC CREMANT D'ALSACE RIESLING M.TRAD"/>
        <s v="AC PINOT NOIR D. DUSSOURT"/>
        <s v="AC VOUVRAY SEC.C.SILEX  V.CHEV"/>
        <s v="AC VOUVRAY METH TRAD BRUT  D.CHATAIGNERAIE"/>
        <s v="AC VOUVRAY ARGILEX"/>
        <s v="AC BDX SUP. CH LES HAUTS DE PEREY"/>
        <s v="AC BDX. CH LES HAUTS DE PEREY"/>
        <s v="AC BX SUP. CH GAURY-BALETTE"/>
        <s v="AC E2MERS. CH GAURY-BALETTE"/>
        <s v="AC SAINT VERAN TRAD. COLLOVRAY&amp;TERRIER"/>
        <s v="AC MACON VILL TRAD. COLLOVRAY &amp;"/>
        <s v="AC MACON. VERGER DES FEUILLANTS"/>
        <s v="VDP PINOT NOIR . D.D'ANTUGNIAC"/>
        <s v="AC POUILLY-FUISSE. V.VIGNES"/>
        <s v="VDP CHARDONNAY. D.D'ANTUGNAC"/>
        <s v="AC LIMOUX. Terres Amoureuses D.D'ANTUGNAC"/>
        <s v="AC LIMOUX Aux Bons Hommes D.D'ANTUGNAC"/>
        <s v="AC 1ERES C.DE BLAYE. TRADITION  CH L.BERTRANDS"/>
        <s v="AC 1ERES C.BLAYE TRAD. CH L.BERTRANDS"/>
        <s v="AC 1ERES C BLAYE TRAD. CH L.BERTRANDS"/>
        <s v="AC C. DE BLAYE CH L.BERTRANDS"/>
        <s v="AC 1ERES COTES DE BLAYE PRESTIGE"/>
        <s v="IGP OC  VIOGNIER DME DE BELLE-MARE"/>
        <s v="VDP COLLINES DE LA MOURE. D.BEL MARE"/>
        <s v="DME BELLE MARE VDPOC CHARDONNAY"/>
        <s v="AC ST NICOLAS DE BOURG D.OLIVIER"/>
        <s v="AC BOURGUEIL V.VIGNES D.OLIVIER"/>
        <s v="AC CTX DU LANG .COL DU VENT"/>
        <s v="IGP ST GUILHEM LE DESERT"/>
        <s v="AC CHINON"/>
        <s v="AC CHINON SEC"/>
        <s v="VIGNERONS ALGLY AC MUSCAT DE RIVESALTES"/>
        <s v="AC C.ROUSSILLON VILL ARAGO"/>
        <s v="AC C. ROUSSILLON N D LAVAL"/>
        <s v="VDN MAURY"/>
        <s v="VDN MUSCAT DE RIVESALTES"/>
        <s v="AC COTES DE BOURG CHATEAU DE LA GRAVE"/>
        <s v="AC COTES DE BOURG G DE LA GRAVE"/>
        <s v="AC C DE BOURG BEL AIR"/>
        <s v="AC C DE BOURG. CARACTERE"/>
        <s v="AC ST ESTEPHE CH TOUR DE PEZ"/>
        <s v="AC ST ESTEPHE C.TOUR DE PEZ"/>
        <s v="AOP SAINT- ESTEPHE CH LES HAUTS DE PEZ"/>
        <s v="IGP VAUCLUSE"/>
        <s v="AC CTX DU LANGU TRAD D.ARCHIMBAUD"/>
        <s v="AC COT DU LANG ROBE POURPRE"/>
        <s v="AC COT DU LANGU D.ARCHIMBAUD"/>
        <s v="AC COTEAUX DU LANGUEDOC ENFANT TERRIBLE"/>
        <s v="AC PUISSEGUIN ST EMILION"/>
        <s v="AC BX SUP Tradi  CH LAUDUC"/>
        <s v="AC BDX Classic CH LAUDUC"/>
        <s v="AC BDX CH.FLAMAND BELLEVUE"/>
        <s v="AC FAUGERES LE 1ER CH HAUT LIGNIERES"/>
        <s v="AC FAUGERES HT LIGNIERES"/>
        <s v="AC FAUGERES ROMY CH HAUT LIGNIERES"/>
        <s v="AC MONTAGNE ST EMILION .CH ST GEORGES"/>
        <s v="CLOS TRIMOULET AC ST EMILION GD CRU"/>
        <s v="AC MONTAGNE ST EMILION CH ST GEORGES"/>
        <s v="CLOS TRIMOULET AC ST EMILION GRAND CRU"/>
        <s v="AC HT MEDOC CRU B CH RAMAGE LA BATISSE"/>
        <s v="CH RAMAGE LA BATISSE AC HAUT MEDOC CRU BOURGEOIS C"/>
        <s v="AC BX LA ROSEE DE RAMAGE"/>
        <s v="AC HT-MEDOC CLOS DE RAMAGE"/>
        <s v="CLOS DE RAMAGE AC HAUT-MEDOC"/>
        <s v="CH DE BELCIER AC COTES DE CASTILLON"/>
        <s v="AC C CASTILLON. CH BELCIER"/>
        <s v="AC FRONSAC CH JEANDEMAN"/>
        <s v="AC LALANDE DE POMEROL. CH LABORDE"/>
        <s v="AC PESSAC LEOGNAN. CH MANCEDRE"/>
        <s v="AC C.PROVENCE. ESTERELLE .ROUET"/>
        <s v="AP COTES DE PROVENCE ESTERELLE"/>
        <s v="AC C.PROVENCE. BELLE POULE"/>
        <s v="AC COTES DE PROVENCE ESTERELLE"/>
        <s v="AC C.PROVENCE ESTERELLE"/>
        <s v="AC COTES DE PROVENCE"/>
        <s v="VDP MEDITERRANEE TERES"/>
        <s v="VDP MEDITERRANEE. TERES"/>
        <s v="AOP COTES DE PROVENCE ESTERELLE"/>
        <s v="AC SAUMUR CHAMP. D VX BOURG"/>
        <s v="AC GRAVES. CARBON D'ARTIGUES"/>
        <s v="AC CADILLAC CH LA PASSONNE"/>
        <s v="AOP GRAVES CH CARBON D'ARTIGUES"/>
        <s v="AC GIGONDAS LA REFENCE"/>
        <s v="AC B DE VENISE TERRISSIMO"/>
        <s v="AC MEDOC. CH.BREUIL RENAISSANCE"/>
        <s v="AC MEDOC CRU BOURGEOIS CHATEAU DES CABANS"/>
        <s v="AC MEDOC CHATEAU BREUIL RENAISSANCE"/>
        <s v="AC SANCERRE D.DE ST PIERRE"/>
        <s v="AC FAUGERES C.PREST DE LAURENS"/>
        <s v="AC CORBIERES CASTELMAURE"/>
        <s v="VDT BUVETTE CASTELMAURE (x6)"/>
        <s v="AOP CORBIERES LE CASTELMAURE"/>
        <s v="AC CORBIERES LA POMPADOUR"/>
        <s v="AC CORBIERES LA GDE CUVEE"/>
        <s v="AC CORBIERE CASTELMAURE"/>
        <s v="AC C.DE DURAS BERTICOT"/>
        <s v="DOMAINE PORTIER AC QUINCY"/>
        <s v="AC SAUMUR C.DU PRINTEMPS LA PALEINE"/>
        <s v="AC SAUMUR DLA PALEINE"/>
        <s v="AC SAUMUR BRUT D.DE LA PALEINE"/>
        <s v="AC SAUMUR RESERVE D.LA PALEINE"/>
        <s v="AC SAUMUR D.LA PALEINE"/>
        <s v="AC SAUMUR BRUT M.TRAD LA PALEINE"/>
        <s v="AC CX LANG P.ST LOUP.M DES COSTES"/>
        <s v="AC MOULIS EN MEDOC TOUR GRANINS GD-POUJEAUX"/>
        <s v="AC MOULIS EN MEDOC GD POUJEAUX"/>
        <s v="AOP MOULIS EN MEDOC CH GRANINS GD POUJEAUX"/>
        <s v="AC BOURG ALIG D.FILLON"/>
        <s v="DOM FILLON AC SAUVIGNON DE ST BRIS"/>
        <s v="DOM FILLON AC PETIT CHABLIS"/>
        <s v="DOM FILLON AC CHABLIS"/>
        <s v="DOM FILLON AC CHABLIS 1ER CRU &quot;BEAUREGARD&quot;"/>
        <s v="AC CHABLIS"/>
        <s v="AC MEDOC CH LOUDENNE"/>
        <s v="AC GRAVES HOSPITAL"/>
        <s v="AC C.MALEPERE C.COINTES"/>
        <s v="VDP MERLOT D.DES CONSULS"/>
        <s v="VDP C DE THAU D.VILLEMARIN"/>
        <s v="IGP PAYS D'OC MUSCAT MOELLEUX DOUCEUR DU SUD"/>
        <s v="AC PICPOUL PINET CARTE NOIRE"/>
        <s v="AC BERGERAC CH LES MARNIERES"/>
        <s v="CH LES MARNIERES AC COTES DE BERGERAC MOELLEUX"/>
        <s v="AC MENETOU SALON. DME PRIEURE"/>
        <s v="AC TOURAINE D.LA CHAISE"/>
        <s v="AC GAMAY TOURAINE D.LA CHAISE"/>
        <s v="AC TOURAINE SAUV D.LA CHAISE"/>
        <s v="AC TOURAINE GAMAY D.LA CHAISE"/>
        <s v="AC TOURAINE GAMAY"/>
        <s v="AC VACQUEYRAS CH DES ROQUES"/>
        <s v="Château des Roques AC VACQUEYRAS"/>
        <s v="VDP VAUCLUSE G.DES ROQUES"/>
        <s v="AC CHINON LES GRAVES"/>
        <s v="ARMAGNAC RECOLTE 1976 ARIANE"/>
        <s v="ARMAGNAC RECOLTE 1986 ARIANE"/>
        <s v="ARMAGNAC RECOLTE 1985 ARIANE"/>
        <s v="ARMAGNAC MILLESIME 40% VOL"/>
        <s v="ARMAGNAC RECOLTE 1977 ARIANE"/>
        <s v="ARMAGNAC RECOLTE 1975 ARIANE en caissette bois"/>
        <s v="ARMAGNAC RECOLTE 1974 ARIANE en étui"/>
        <s v="ARMAGNAC RECOLTE 1973 ARIANE en caissette bois"/>
        <s v="ARMAGNAC RECOLTE 1970 ARIANE en caissette bois"/>
        <s v="ARMAGNAC RECOLTE 1968 ARIANE en caissette bois"/>
        <s v="ARMAGNAC ARIANNE 40% VOL COFFRET BOIS"/>
        <s v="ARMAGNAC 40% VOL EN CAISSE BOIS"/>
        <s v="AC M ST EMILION CH BECHEREAU"/>
        <s v="AC BORDEAUX SUP TRADITION CH BECHEREAU"/>
        <s v="AC MONTAGNE CH BECHEREAU CB"/>
        <s v="AC LALANDE POMEROL BECH"/>
        <s v="AC C.DU RHONE D.GALEVAN"/>
        <s v="AC C.DU RHONE LIBRE EXPRESSION"/>
        <s v="AC C DU RHONE PAROLES DE FEMME"/>
        <s v="AC CTX LANGUEDOC TERRES D'ASPERES M.DES CABRES"/>
        <s v="AC CTX DU LANGUEDOC LA DRAILLE"/>
        <s v="AC VOUVRAY M.TRAD.BR C.DES AUMONES"/>
        <s v="AC CX DU GIENNOIS G.THIEBAULT"/>
        <s v="AC QUINCY D.SIRET COURTAUD"/>
        <s v="AC CHABLIS DME GARNIER"/>
        <s v="AC CHABLIS 1ER CRU MT DE MILIEU"/>
        <s v="BOURGOGNE EPINEUIL PINOT NOIR GARNIER"/>
        <s v="AC CHABLIS 1ER CRU MONT DE MILIEU DOMAINE GARNIER"/>
        <s v="AC MUSCADET S&amp;MAINE/LIE FOLIETTES"/>
        <s v="AC MUSCADET DE SEVRES ET MAINE SUR LIE"/>
        <s v="AC CABARDES CH JOUCLARY"/>
        <s v="AC CABARDES JOUCLARY CUVEE AMANDIERS"/>
        <s v="AC CROZE HERMITAGE SENS"/>
        <s v="AC ST EMILION CH JUPILLE CARILLON"/>
        <s v="AC ST EMILION G. CRU CH JUCALIS"/>
        <s v="AC ST EMILION GD CRU CH JUCALIS"/>
        <s v="MAGNUM JUPILLE CARILLON"/>
        <s v="AC GRAVES CH LA ROSE SARRON"/>
        <s v="AOP GRAVES CH LA ROSE SARRON CAISSE BOIS 3 BLLES"/>
        <s v="AC COTES DE CASTILLON CH PERREAU BEL AIR"/>
        <s v="AC BORDEAUX SUPERIEUR CHATEAU MESSAYA"/>
        <s v="AOP COTES DE BORDEAUX LES HAUTS DE PERREAU BEL AIR"/>
        <s v="LES GRES AC COSTIERES DE NIMES"/>
        <s v="AC ALSACE PINOT BLANC"/>
        <s v="AC PIC SAINT LOUP LES DEESSES MUETTES EMOTION"/>
        <s v="AC PIC SAINT LOUP CUVEE SPECIALE VIEILLI FUT DE CH"/>
        <s v="IGP CARIGNAN - PETIT LOUP"/>
        <s v="IGP OC MERLOT CABERNET TERROIR DES CIGALES"/>
        <s v="IGP OC CHARDONNAY LES CITELLES"/>
        <s v="(x4) AOP COTEAUX DU LANGUEDOC GARUS"/>
        <s v="AC CHEVERNY DME MAISON"/>
        <s v="AOP MINERVOIS LES TERASSES"/>
        <s v="AC COTEAUX DU LANGUEDOC CHAPELLE"/>
        <s v="AC COTEAUX DU LANGUEDOC PRIEURE ST JEAN"/>
        <s v="AC COTEAUX DU LANGUEDOC LA CROIX DE BEBIAN"/>
        <s v="IGP VAUCLUSE D'ORANGE CAVE LES COTEAUX DU RHONE"/>
        <s v="IGP MEDITERRANEE LES COTEAUX DU RHONE"/>
        <s v="AOP COTES DU RHONE MAGIE D'UNE TERRE"/>
        <s v="AOP VACQUEYRASDOMAINE GRANDY"/>
        <s v="AOP COTES DU RHONE PATRICE NICOLAS"/>
        <s v="AOP COTES DU RHONE"/>
        <s v="AOP CDR VILLAGES PLAN DE DIEU PANICAUT"/>
        <s v="AOP CDR VILLAGES CAIRANNE LA BOSQUETTE"/>
        <s v="AOP COTES DU RHONE VILLAGES JASOUN"/>
        <s v="AOP CDR VILLAGES MASSIF D'UCHAUX ARBOUSE"/>
        <s v="AC COTES DU RHONE"/>
        <s v="IGP VAUCLUSE BALLADE DE COLLINE"/>
        <s v="IGP VAUCLUSE LEA"/>
        <s v="AOP LUBERON FIEF"/>
        <s v="VDF ROSE FRUITE MUSCAT DE HAMBOURG"/>
        <s v="VIN DE FRANCE ROSE FRUITE LOUERION"/>
        <s v="IGP COTES DE GASCOGNE SEC COLOMBARD G-MANSENG MISE"/>
        <s v="IGP COTES DE GASCOGNE"/>
        <s v="IGP COTES DE GASCOGNE PETIT MANSENG"/>
        <s v="IGP COTES DE GASCOGNE MERLOT-TANNAT"/>
        <s v="AOP BEAUJOLAIS DME DU BOIS DU JOUR"/>
        <s v="AOP BOURGOGNE DME DU BOIS DU JOUR"/>
        <s v="AOP BEAUJOLAIS VIEILLES VIGNES DME DU BOIS DU JOUR"/>
        <s v="AOP COTEAUX BOURGUIGNON DME DU BOIS DU JOUR"/>
        <s v="AOP CREMANT DE BOURGOGNE DME BOIS DU JOUR"/>
        <s v="AOP COSTIERES DE NIMES COMBES DE MEZIERES"/>
        <s v="DME DUSSOURT AC SYLVANER"/>
        <s v="AC VOUVRAY C. ANTIQUE D.CHATAIGNERAIE"/>
        <s v="DME DEUX ROCHES AC ST VERAN RIVES DE LONGSAULT"/>
        <s v="VDP MERLOT. D.D'ANTUGNIAC"/>
        <s v="AC 1ERES C. BLAYE TRAD CH L.BERTRANDS"/>
        <s v="IGP SAINT GUILHEM LE DESERT GRENACHE"/>
        <s v="AC C.DU ROUSSILLON .MONTNER PREM"/>
        <s v="AC C.DE BOURG. BEL AIR"/>
        <s v="AC ST ESTEPHE. C.LES HAUTS  DE PEZ"/>
        <s v="AC ST ESTEPHE CRU BOURGEOIS C.HTS PEZ"/>
        <s v="IGP MONTBAUDILE"/>
        <s v="AC ENTRE DEUX MER CH FLAMAND BELLEVUE"/>
        <s v="AC FAUGERES CARMINA BUT"/>
        <s v="CH RAMAGE LA BATISSE AC HAUT MEDOC CRU BOURGEOIS"/>
        <s v="CH RAMAGE LA BATISSEAC HAUT MEDOC CRU BOURGEOIS"/>
        <s v="IGP MEDITERRANEE TERES"/>
        <s v="AC GRAVES CARBON D'ARTIGUES"/>
        <s v="AC MEDOC CRU BOURGEOIS BREUIL RENAISSANCE"/>
        <s v="L'ESPRIT DU VENT à perpète AC CORBIERES"/>
        <s v="AC CORBIERES &quot; LE 3 &quot;"/>
        <s v="AOP CORBIERE LE JARDIN DU PARADIS"/>
        <s v="AOP CORBIERE SOLEIL LIQUID"/>
        <s v="DOM FILLON AC CHABLIS VIEILLES VIGNES"/>
        <s v="AC CHINON DME GASNIER"/>
        <s v="AC CHINON VIEILLES VIGNES DOMAINE GARNIER"/>
        <s v="AC MINERVOIS CUVEE PAUL D.DES HOMS"/>
        <s v="IGP OC CHARDONNAY"/>
        <s v="IGP OC VIOGNIER"/>
        <s v="AOP CABARDES JOUCLARY"/>
        <s v="IGP OC SAUVIGNON CH JOUCLARY"/>
        <s v="AOP SAINT EMILION JUPILLE CARILLON"/>
        <s v="AC GRAVES CH. LA ROSE SARRON"/>
        <s v="AC COTES DE CASTILLON CB 3 BOUTEILLES"/>
        <s v="IGP PAYS D'OC LA CROIX DE BEBIAN"/>
        <s v="AC COTES DU RHONE MAGIE D'UNE TERRE"/>
        <s v="AOP LUBERON LOUERION"/>
        <s v="AOP BLANQUETTE DE LIMOUX METHODE TRAD PREMIERE BUL"/>
        <s v="ROSE PAMPLEMOUSSE"/>
        <s v="AC GEWURZTRAMINER VENDANGES TARDIVES"/>
        <s v="AC VOUVRAY CLOS DE ROUGEMONT VIGNEAU CHEVREAU"/>
        <s v="VDP DE L'HERAULT. GRANGES FELINES"/>
        <s v="AC CTX DU LANG. COL DU VENT"/>
        <s v="AC C DE BOURG F.CHENE NECTAR"/>
        <s v="AOP PUISSEGUIN ST EMILION CH GUIBEAU"/>
        <s v="AC ST EMILION GRAND CRU CLOS TRIMOULET CAISSE BOIS"/>
        <s v="AC MONTAGNE ST EMILION CHEVALIER ST GEORGES"/>
        <s v="ICE PAMPLOON ROSE PAMPLEMOUSSE"/>
        <s v="ICE PAMPLOON BUBBLES"/>
        <s v="AOP CORBIERES &quot;MAUVAISE REPUTATION&quot;"/>
        <s v="AC BOURGOGNE ALIGOTE"/>
        <s v="AC PETIT CHABLIS"/>
        <s v="AC COTES D'AUXERRE"/>
        <s v="AC CHATEAUNEUF DU PAPE"/>
        <s v="AC COTEAUX DU GIENNOIS CUVEE CHICAGO"/>
        <s v="AC PETIT CHABLIS D.GARNIER"/>
        <s v="JOUCLARY CUVEE GUILLAUME"/>
        <s v="AC HERMITAGE LES DIONNIERES"/>
        <s v="AOP GRAVES LA ROSE SARRON"/>
        <s v="CHATEAU DE L'AUZE BERGERAC BLANC"/>
        <s v="IGP PRINCIPAUTE D'ORANGE"/>
        <s v="IGP MEDITERRANNEE ROSE"/>
        <s v="MUSCAT - PETITS GRAINS - LOUERION"/>
        <s v="AOP LUBERON - TERRARMONIE - LOUERION"/>
        <s v="ECLAT DE ROSE DME BOIS DU JOUR"/>
        <s v="DOMAINE DUSSOURT AC GEWURZTRAMINER"/>
        <s v="DOM CHATELAIN AC POUILLY FUME"/>
        <s v="AC VOUVRAY METH TRAD D.SEC  D.CHATAIGNERAIE"/>
        <s v="AC 1ERES C.DE BLAYE LES BERTRANDS"/>
        <s v="JM. RAFFAULT AC CHINON LES PICASSES"/>
        <s v="JM. RAFFAULT AC CHINON"/>
        <s v="JM. RAFFAULT AC CHINON SEC"/>
        <s v="AC BORDEAUX CHATEAU LAUDUC"/>
        <s v="ICE GRIOTTES ROUGE"/>
        <s v="AC MEDOC CRU.B CH LES CABANS"/>
        <s v="AC SAUMUR BRUT (1.2 g sucre résiduel) DS Dme de la"/>
        <s v="GRAVES HOSPITAL"/>
        <s v="ARMAGNAC 15 ANS D'AGE ARIANE en étui"/>
        <s v="ARMAGNAC 20 ANS D'AGE ARIANE en étui"/>
        <s v="ARMAGNAC 25 ANS D'AGE ARIANE en étui"/>
        <s v="ARMAGNAC RECOLTE 1987 ARIANE en caissette bois"/>
        <s v="ARMAGNAC RECOLTE 1982 ARIANE"/>
        <s v="IGP VAUCLUSE LE PUY SAINT MARTIN"/>
        <s v="AC CHABLIS DOMAINE GARNIER"/>
        <s v="AC GRAVES PRESTIGE CUVEE DAMIEN CH LA ROSE SARRON"/>
        <s v="AOP COTES DE CASTILLON HARMONIE"/>
        <s v="AOP BORDEAUX CH MESSAYA"/>
        <s v="IGP PAYS D'OC LES SARDINES"/>
        <s v="AOP PIC SAINT LOUP LA DIABLESSE"/>
        <s v="IGP VAUCLUSE D'ORANGE CHASAN VERMENTINO"/>
        <s v="IGP VAUCLUSE D'ORANGE VIOGNIER"/>
        <s v="AOP BEAUJOLAIS NOUVEAU DME DU BOIS DU JOUR"/>
        <s v="AC ST NICO DE BOURGUEIL  DOM DES COT DE LA GARDIER"/>
        <s v="AOP TOURAINE - LA PERCLAIRE - LACHETEAU"/>
        <s v="LA PERCLAIRE AC TOURAINE SAUVIGNON"/>
        <s v="AOP SANCERRE - LA GEMIERE - LACHETEAU"/>
        <s v="SAUMUR CHAMPIGNY CUV BAUNELLES DME BOIS JOLI"/>
        <s v="AOP COTES DE BOURG CH DE LA GRAVE GRAINS FINS"/>
        <s v="AC GRAVES CUVEE PRESTIGE"/>
        <s v="VDN MUSCAT BEAUME DE VENISE"/>
        <s v="AOP CORBIERES ROSE AGRICOLE"/>
        <s v="DOM FILLON  BOURGOGNE CHARDONNAY"/>
        <s v="AOP LANGUEDOC ST GEORGES D'ORQUES &quot;PETITES PARCELL"/>
        <s v="AC VOUVRAY METH TRAD BRUT. V. CHEV BIO"/>
        <s v="AC BDX SUP. CH GAURY BALETTE"/>
        <s v="TONNEAU DOMAINE YON"/>
        <s v="AC BORDEAUX CLAIRET ROSE"/>
        <s v="EMPREINTES CARBONES AOP FAUGERES"/>
        <s v="AC MONTAGNE ST EMILION. CH ST GEORGES"/>
        <s v="IGP D'OC SAUVIGNON &quot;HAUTS DE SENAUX&quot;"/>
        <s v="AC C.DE BERGERAC F.DE CHENE  MOELL"/>
        <s v="GIENNOIS CUVEE CHICAGO"/>
        <s v="AOP CABARDES CUVEE GUILLAUME"/>
        <s v="CHATEAU DE L'AUZE BERGERAC"/>
        <s v="IGP VIOGNIER  BALLADE DE COLLINE"/>
        <s v="AOP CREMANT DE LIMOUX PREMIERE BULLE PREMIUM"/>
        <s v="AC ALSACE PINOT NOIR"/>
        <s v="CH GUILLEMIN GAFFELIERE AC ST EMILION GRAND CRU"/>
        <s v="AOP CORBIERES LA TETE DANS LES ETOILES"/>
        <s v="AOP CORBIERES LES PIEDS DANS LA TERRE"/>
        <s v="ARMAGNAC VSOP ARIANE en étui"/>
        <s v="ARMAGNAC NAPOLEON ARIANE en étui"/>
        <s v="PANNIER CHAMP BRUT BLANC DE BLANCS"/>
        <s v="AC CHAMPAGNE EXTRA BRUT SELECTION - CHAMPAGNE PANN"/>
        <s v="VDT GALLICIAN"/>
        <s v="AC COTES DE PROVENCE BELLE POULE"/>
        <s v="AOP SANCERRE CUVEE MARECHAL PRIEUR"/>
        <s v="AC PICPOUL DE PINET C.L'ORMARINE"/>
        <s v="ARMAGNAC RECOLTE 1989 ARIANE"/>
        <s v="ARMAGNAC RECOLTE 1990 ARIANE"/>
        <s v="ARMAGNAC RECOLTE 1967 ARIANE"/>
        <s v="ARMAGNAC RECOLTE 1966 ARIANE"/>
        <s v="AC SAINT VERAN"/>
        <s v="DOM 2 ROCHES MACON VILLAGES"/>
        <s v="VDP D'OC ROUGE TURITELLES"/>
        <s v="AC SAINT EMILION GRAND CRU CLOS TRIMOULET"/>
        <s v="AC HT-MEDOC L'ENCLOS DE RAMAGE"/>
        <s v="AC C CASTILLON. CH DE BELCIER"/>
        <s v="ICE NECTARINES BLANC"/>
        <s v="IGP PAYS D'OC MAS DES CABRES"/>
        <s v="AC 1ERES C.BLAYE C.PRESTIGE" u="1"/>
        <m u="1"/>
        <s v="VDP ORANGE. CHANTE ROSE" u="1"/>
        <s v="IGP OC MERLOT" u="1"/>
        <s v="AC COTES DU RHONE ESPRIT DEVIN DME GALEVAN" u="1"/>
        <s v="CH CHEVALIER ST GEORGES AC MONTAGNE ST EMILION" u="1"/>
        <s v="DOMAINE FILLON AC CHABLIS VIEILLES VIGNES" u="1"/>
        <s v="AC C DU ROUSSILLON .ND LAVAL" u="1"/>
        <s v="AC BERGERAC MOELLEUX 37.5CL" u="1"/>
        <s v="VIN DU CHILI. EL GRANO" u="1"/>
        <s v="ARMAGNAC MILLESIME 40% ARIANE" u="1"/>
        <s v="PANNIER AC CHAMPAGNE TRAD BRUT EN CAISSE BOIS" u="1"/>
        <s v="AOP CORBIERE SOLEIL LIQUIDE" u="1"/>
        <s v="QUINTESSENCE DU CHATEAU SIPIAN AC MEDOC" u="1"/>
        <s v="APPOLOT PALETTES EN TRANSIT" u="1"/>
        <s v="AC COTES DE BOURG SALMANAZAR 9L" u="1"/>
        <s v="AC ST CHINIAN. MARIE DELICE" u="1"/>
        <s v="GAMAY TOURAINE DE LA CHAISE" u="1"/>
        <s v="AC MONT ST EMILION BECHEREAU" u="1"/>
        <s v="VDP C.CATALANES SYRAH" u="1"/>
        <s v="ARMAGNAC MILLESIME 40% VOL CAISSE BOIS" u="1"/>
        <s v="AC COTEAUX DU LANGUEDOC ROBE POURPRE" u="1"/>
        <s v="AC CROZES HERMITAGE CUVEE PONTAIX" u="1"/>
        <s v="AC FIXIN DOMAINE HUGUENOT" u="1"/>
        <s v="AC HAUTES COTES DE BEAUNE" u="1"/>
        <s v="VDP OC MERLOT M.DES CABRES" u="1"/>
        <s v="AOP VACQUEYRAS BEAUMIRAIL" u="1"/>
        <s v="ARMAGNAC RECOLTE 1974 ARIANE en caissette bois" u="1"/>
        <s v="ARMAGNAC RECOLTE 1981 ARIANE en caissette bois" u="1"/>
        <s v="ARMAGNAC RECOLTE 1982 ARIANE en caissette bois" u="1"/>
        <s v="ARMAGNAC RECOLTE 1984 ARIANE en caissette bois" u="1"/>
        <s v="ARMAGNAC RECOLTE 1985 ARIANE en caissette bois" u="1"/>
        <s v="ARMAGNAC RECOLTE 1995 ARIANE en caissette bois" u="1"/>
        <s v="ARMAGNAC RECOLTE 1997 ARIANE en caissette bois" u="1"/>
        <s v="DES BUISSONNES AC SANCERRE" u="1"/>
        <s v="AC FRONSAC. CH JEANDEMAN" u="1"/>
        <s v="PINK PAMPEL VIN ROSE AROME PAMPLEMOUSSE" u="1"/>
        <s v="AOP BEAUJOLAIS VILLAGE BERNARD PIVOT" u="1"/>
        <s v="AC C. DU LYONN.VIGN S-BEL" u="1"/>
        <s v="AOP CHEVERNY DME MAISON PERE &amp; FILS" u="1"/>
        <s v="AC VOUVRAY METH TRAD BRUT. V. CHEVREAU (non bio)" u="1"/>
        <s v="AC SAINTE CROIX DU MONT" u="1"/>
        <s v="CH RAMAGE LA BATISSE AC HAUT-MEDOC CRU BOURGOIS" u="1"/>
        <s v="AC COTES DU RHONE FRUITE CAVE DE CHANTECOTES" u="1"/>
        <s v="IGP GARD" u="1"/>
        <s v="VDP COTES DE THAU ROSE" u="1"/>
        <s v="AC MONTAGNE ST EMILION 09 CHEVALIER ST GEORGES" u="1"/>
        <s v="AC MONTAGNE ST EMILION CH CHEVALIER ST GEORGES" u="1"/>
        <s v="PRUNEAUX D'AGEN A L'ARMAGNAC CB" u="1"/>
        <s v="AC MERCUREY DME SUREMAIN" u="1"/>
        <s v="AC SAINT-ESTEPHE CH TOUR DE PEZ CAISSE BOIS" u="1"/>
        <s v="AC ALSACE GRASBERG" u="1"/>
        <s v="IGP MERLOT GALLICIAN" u="1"/>
        <s v="AC C. PROVENCE BELLE POULE" u="1"/>
        <s v="AC TOURAINE SAUVIGNON" u="1"/>
        <s v="AC CROZES HERMITAGE LES PONTAIX" u="1"/>
        <s v="AC PICPOUL DE PINET CAVE DE L'ORMARINE" u="1"/>
        <s v="AOP BEAUJOLAIS SIGNE VIGNERONS" u="1"/>
        <s v="AC VIRE CLESSE VINS DES PERSONNETS" u="1"/>
        <s v="AOP BEAUJOLAIS VILLAGE LOUIS TETE" u="1"/>
        <s v="DME CP-GALHAN VDP DUCHE D'UZES AMANLIE" u="1"/>
        <s v="AC MEDOC GRD CEDRES CH SIPIAN" u="1"/>
        <s v="AC MEDOC CRU.B CH SIPIAN" u="1"/>
        <s v="AC RIESLING SCHERWILLER PRESTIGE" u="1"/>
        <s v="FINE ARMAGNAC ARIANE sans étui" u="1"/>
        <s v="CH LA NERE AOP LOUPIAC" u="1"/>
        <s v="AC PREMIERES COTES DE BORDEAUX L'ESTAMPE" u="1"/>
        <s v="ARMAGNAC RECOLTE 1993 ARIANE" u="1"/>
        <s v="IGP D'OC TERSANDE" u="1"/>
        <s v="AC GRAVES CH DE L'HOSPITAL" u="1"/>
        <s v="AOP COTES DU RHONE CUVEE ABELIA" u="1"/>
        <s v="AC ST CHINIAN. JULIE CAPRICE" u="1"/>
        <s v="***réservé pour MR PERRIER°** IGP MEDITERRANEE 100" u="1"/>
        <s v="VDP VAUCLUSE. CAMARETTE" u="1"/>
        <s v="AOP GIGONDAS LE BRUT DE FOUDRE" u="1"/>
        <s v="AC 1ERES C.BLAYE FUT CHENE (SC)" u="1"/>
        <s v="AC 1ERE C.DE BX CH FAYON" u="1"/>
        <s v="AC GEWURZTRAMINER" u="1"/>
        <s v="EDELWICKER FREYBURGER" u="1"/>
        <s v="AC MARSANNAY DME HUGUENOT" u="1"/>
        <s v="COFFRET 2 BOUTEILLES CH DE LA GRAVE" u="1"/>
        <s v="COFFRET 3 BOUTEILLES CH DE LA GRAVE" u="1"/>
        <s v="VDN AC MUSCAT DE RIVESALTES" u="1"/>
        <s v="CLOS DE RAMAGE  AC HAUT MEDOC" u="1"/>
        <s v="CH MONRECUEIL AC COTES DE CASTILLON" u="1"/>
        <s v="IGP D'OC SAUVIGNON" u="1"/>
        <s v="AC COTEAUX DU LANGUEDOC L'ENFANT TERRIBLE" u="1"/>
        <s v="AC COSTIERES DE NIMES" u="1"/>
        <s v="AC ST JOSEPH V. LAURENT MARTHOURET LES ROTISSES" u="1"/>
        <s v="AC BORDEAUX FLAMAND BELLEVUE" u="1"/>
        <s v="AC PUISSEGUIN ST EMILION C.GUIBEAU" u="1"/>
        <s v="AC ALSACE ALTENBERG DE BERGHEIM" u="1"/>
        <s v="AC VOUVRAY METHODE TRAD BUT CUVEE ZERO" u="1"/>
        <s v="IGP D'OC SIMPLEMENT ORMARINE" u="1"/>
        <s v="AC MEDOC CRU BOURGEOIS CHATEAU SIPIAN (5L)" u="1"/>
        <s v="AC BDX CH.PLANTEY CANTELOUP" u="1"/>
        <s v="AOP COTES DE RHONE PRIMEUR" u="1"/>
        <s v="AC ALSACE GEWURZTRAMINER VENDANGES TARDIVES" u="1"/>
        <s v="AC ALSACE GOLDESH" u="1"/>
        <s v="AC BORDEAUX SUPERIEUR LAUDUC SUPERIEUR" u="1"/>
        <s v="IGP D'OC MERLOT" u="1"/>
        <s v="MINERVOIS DOMAINE DES HOMS" u="1"/>
        <s v="AC PUISSEGUIN ST EMILION.LA FOURVIEILLE" u="1"/>
        <s v="AC ST JOSEPH V. LAURENT MARTHOURET" u="1"/>
        <s v="CH RAMAGE LA BATISSE AC HAUT MEDOC CAISSE BOIS" u="1"/>
        <s v="AC 1ERES COTES DE BLAYE CHATEAU LES BERTRANDS" u="1"/>
        <s v="AC PETIT CHABLIS DOMAINE GARNIER" u="1"/>
        <s v="AC ST CHINIAN. LES GRIOTTES" u="1"/>
        <s v="ARMAGNAC DELORD 40% CAISSE BOIS" u="1"/>
        <s v="AOP GIGONDAS LA REFERENCE" u="1"/>
        <s v="AC BOURGUEIL DOMAINE OLIVIER" u="1"/>
        <s v="AOP BEAUJOLAIS NOUVEAU  DOMAINE DU SOLY" u="1"/>
        <s v="AC COTES DE PROVENCE CUVEE BELLE POULE ROSE" u="1"/>
        <s v="AC FITOU B DE BERNARD" u="1"/>
        <s v="VDP COTES THAU BLANC" u="1"/>
        <s v="AC BORDEAUX CHATEAU DE BELCIER" u="1"/>
        <s v="AC COTEAUX GIENNOIS" u="1"/>
        <s v="Petit Manseng IGP COTES DE GASCOGNE COMTE DE GASCO" u="1"/>
        <s v="RATAFIA CHAMPAGNE PANNIER" u="1"/>
        <s v="AC RIESLING DME DUSSOURT" u="1"/>
        <s v="AC PUISSEGUIIN ST EMILION" u="1"/>
        <s v="AC CTX LANG L'ESPRIT HT LIROU" u="1"/>
        <s v="AC PINOT GRIS DME FREYBURGER" u="1"/>
        <s v="MUSCAT" u="1"/>
        <s v="SCEAU DU PRINCE AC COTES DU RHONE" u="1"/>
        <s v="IGP ORANGE ROSE" u="1"/>
        <s v="AOP VOUVRAY TRANQUILLE CLOS LA LANTERNE SEC DME CH" u="1"/>
        <s v="X3 AC SAINT NICOLS DE BOURGUEIL" u="1"/>
        <s v="BARRIQUE FUT DE CHENE" u="1"/>
        <s v="AC COTES DU RHONE DOMAINE GALEVAN" u="1"/>
        <s v="AC RIESLING DME FREYBURGER" u="1"/>
        <s v="VDP MERLOT LE PETIT BERTICOT" u="1"/>
        <s v="VIN DE FRANCE LES FILLES DE LA GUINGUETTE" u="1"/>
        <s v="AC HAUT MEDOC CRU BOURGEOIS R LA BATISSE" u="1"/>
        <s v="AC HAUT MEDOC CRU BOURGEOIS R.LA BATISSE" u="1"/>
        <s v="AC RIVESALTES AMBRE" u="1"/>
        <s v="ARMAGNAC RECOLTE 1965 ARIANNE en caissette bois" u="1"/>
        <s v="AC SYLVANER DME FREYBURGER" u="1"/>
        <s v="AC SAUMUR DME PALEINE" u="1"/>
        <s v="CH RAMAGE LA BATISSE AC HAUT-MEDOC CRU BOURGEOIS" u="1"/>
        <s v="AC COTES DE DURAS" u="1"/>
        <s v="AC COTES DU ROUSSILLON MONTNER PREMIUM" u="1"/>
        <s v="AC GRAVES LA ROSE SARRON" u="1"/>
        <s v="VDT CAVE GALLICIAN" u="1"/>
        <s v="VDP ORANGE. CHANTE ROUGE" u="1"/>
        <s v="AOP VACQUEYRAS" u="1"/>
        <s v="IGP COTES DE GASCOGNE COMTE DE GASCOGNE" u="1"/>
        <s v="ARMAGNAC RECOLTE 1946 ARIANE en caissettes bois" u="1"/>
        <s v="AOP BEAUJOLAIS CUVEE BIO" u="1"/>
        <s v="AC BEAUJOLAIS VILLAGE LE POT" u="1"/>
        <s v="VDP C. CATALANES SYRAH" u="1"/>
        <s v="GRAINS DE RAISINS AOP CORBIERES" u="1"/>
        <s v="AC FAUGERES LE 1ER" u="1"/>
        <s v="AC PINOT NOIR DME GARNIER" u="1"/>
        <s v="AC COTEAUX DU LYONNAIS L'HOMME" u="1"/>
        <s v="GAMAY PETILLANT RED DE TOI" u="1"/>
        <s v="AC MEDOC CRU BOURGEOIS CHATEAU SIPIAN (6L)" u="1"/>
        <s v="MAGNUM TOUR DE PEZ" u="1"/>
        <s v="AC ST NICOLAS DE BOURGUEIL" u="1"/>
        <s v="VDP MERLOT" u="1"/>
        <s v="AC COTES DE CASTILLON CAISSE BOIS" u="1"/>
        <s v="AC VACQUEYRAS (carton de 6 bib)" u="1"/>
        <s v="CH BELCIER AC COTE CASTILLON" u="1"/>
        <s v="ARMAGNAC MILLESIME 40% COFFRET BOIS BASQUAISE" u="1"/>
        <s v="PANNIER AC CHAMP TRADITION BRUT 6 LITRES" u="1"/>
        <s v="AC SAINT ESTEPHE HAUTS DE PEZ" u="1"/>
        <s v="IVRESSE DES PROFONDEURS AOP CORBIERES" u="1"/>
        <s v="AC COTEAUX DU LANGUEDOC PRIEURE ST JEAN DE BEBIAN" u="1"/>
        <s v="AC GEWURZTRAMINER DME FREYBURGER" u="1"/>
        <s v="AC MEDOC CRU BOURGEAOIS SIPIAN" u="1"/>
        <s v="AOP BEAUJOLAIS TERROIRS DE BULLY" u="1"/>
        <s v="VDP DE LOIRE SAUVIGNON" u="1"/>
        <s v="VDP ORANGE C.CHANTECOTES" u="1"/>
        <s v="AC GRAVES CHATEAU CARBON D'ARTIGUES" u="1"/>
        <s v="AOP VOUVRAY MOELLEUX GAILLARD" u="1"/>
        <s v="CAIRANNE AC CDR VILLAGES" u="1"/>
        <s v="AOP CORBIERES MILLESIME DU SIECLE" u="1"/>
        <s v="AC MEDOC CRU BOURGEOIS RAMAGE LA BATISSE" u="1"/>
        <s v="PANNIER AC CHAMPAGNE VINTAGE" u="1"/>
        <s v="AC ALSACE MANDELBERG" u="1"/>
        <s v="AC SAINT-ESTEPHE CH TOUR DE PEZ" u="1"/>
        <s v="IGP GARD GALLICIAN" u="1"/>
        <s v="AC CABERNET D'ANJOU" u="1"/>
        <s v="AC HERMITAGE BLANC Les Dionnières" u="1"/>
        <s v="AC HERMITAGE ROUGE Les Dionnières" u="1"/>
        <s v="AOP SAINT EMILION GD CRU CLOS TRIMOULET" u="1"/>
        <s v="AC COTES PROVENCE RSE BELLE POULE" u="1"/>
        <s v="AC HT MEDOC CRU B. CHATEAU RAMAGE LA BATISSE CB 1" u="1"/>
        <s v="AC ST EMILION GD CRU CLOS TRIMOULET" u="1"/>
        <s v="AC ST ESTEPHE C.TOUR DE PEZ CARTON" u="1"/>
        <s v="CLOS DE RAMAGE AC HAUT MEDOC" u="1"/>
        <s v="VDP COLLINES DE LA MOURE" u="1"/>
        <s v="IGP D'OC MERLOT - CARTON GALLICIAN" u="1"/>
        <s v="CAISSE BOIS 2 BTLLES HAUTS DE PEZ" u="1"/>
        <s v="GAMAY PETILLANT ROZ EMOI" u="1"/>
        <s v="IGP VAUCLUSE DME CAMARETTE" u="1"/>
        <s v="IGP DU GARD GRES D'OR" u="1"/>
        <s v="IGP D'OC PINOT CLOSERIE DES LYS" u="1"/>
        <s v="(bloqué ne pas livrer) AC COTES DU FOREZ" u="1"/>
        <s v="AC C DU RHONE CH DES ROQUES" u="1"/>
        <s v="AC CTX DU LANGUEDOC Saint-Preignan" u="1"/>
        <s v="ARMAGNAC NAPOLEON BASQ. en étui" u="1"/>
        <s v="AC COTES DE BOURG CARACTERE CHATEAU DE LA GRAVE" u="1"/>
        <s v="FINE ARMAGNAC 40% vol Ariane avec étui" u="1"/>
        <s v="(x4) PINK PAMPEL VIN ROSE AUX AROMES NATURELS DE P" u="1"/>
        <s v="R LA BATISSE AC HT MEDOC CRU BOURGEOIS CAISSE BOIS" u="1"/>
        <s v="IGP D'OC CABERNET SAUVIGNON" u="1"/>
        <s v="AC COTEAUX DU LYONNAIS" u="1"/>
        <s v="AC C DU RHONE PTE RESERVE" u="1"/>
        <s v="IGP OC MARSELAN MON PRE CARRE ( produit arrete)" u="1"/>
        <s v="VDP COTES THAU ROUGE" u="1"/>
        <s v="AOP VACQUEYRAS LES PRIMAIRES" u="1"/>
        <s v="EL GRANO CHARDONNAY" u="1"/>
        <s v="AOP BEAUMES DE VENISE TERRISSIMO" u="1"/>
        <s v="AC COTEAUX DU LANGUEDOC LA CHAPELLE" u="1"/>
        <s v="IGP PAYS D'OC SYRAH DME CASTELNAU" u="1"/>
        <s v="VDP VAUCLUSE.CAMARETTE" u="1"/>
        <s v="POCHE 5L METALISEE (x400)" u="1"/>
        <s v="IGP CEVENNES PIERRES CHAUDES" u="1"/>
        <s v="AC SAINT NICOLAS DE BOURGUEIL" u="1"/>
        <s v="ARMAGNAC MILLESIME 40% VOL Ariane 70 cl" u="1"/>
        <s v="AC CTX DU LYONNAIS. D.CHP GUICHARD" u="1"/>
        <s v="AC ST EMILION CHEVALIER ST GEORGES" u="1"/>
        <s v="AOP COTES DU RHONE VIEILLES VIGNES CLOS DE LA VIER" u="1"/>
        <s v="LALANDE DE POMEROL CH. BECHEREAU" u="1"/>
        <s v="AC HT MEDOC CLOS DE RAMAGE" u="1"/>
        <s v="LE CLOUQUIN AC TOURAINE GAMAY" u="1"/>
        <s v="AC ST EMILION G.CRU CH JUCALIS" u="1"/>
        <s v="VDT LA BUVETTE (x12)" u="1"/>
        <s v="AC BEAUJOLAIS LE POT" u="1"/>
        <s v="AC VOUVRAY SEC SILEX" u="1"/>
        <s v="VDP MEDITERRANEE TERES ROSE" u="1"/>
        <s v="CAISSE BOIS 2 BTLLES TOUR DE PEZ" u="1"/>
        <s v="AOP MINERVOIS" u="1"/>
        <s v="Gros Manseng IGP COTES DE GASCOGNE COMTE DE GASCOG" u="1"/>
        <s v="AOP BEAUJOLAIS LOUIS TETE" u="1"/>
        <s v="AC SAUVIGNON DE ST BRIS" u="1"/>
        <s v="AC FAUGERES CH HAUT LIGNIERES" u="1"/>
        <s v="AC COTES DE BOURG CH HAUT GIRAUD" u="1"/>
        <s v="PANNIER AC CHAMP TRADITION BRUT EN ETUIS" u="1"/>
        <s v="AOP LIMOUX LAS GRAVAS" u="1"/>
        <s v="VIN DU CHILI EL PODA CORTA" u="1"/>
        <s v="AC HAUTES COTES DE BEAUNE ROUGE" u="1"/>
        <s v="VDP ORANGE. C.CHANTECOTES" u="1"/>
        <s v="AC GRAVES CHATEAU DE L'HOSPITAL" u="1"/>
        <s v="FUT DE CHENE" u="1"/>
        <s v="ARMAGNAC RECOLTE 1972 ARIANE" u="1"/>
        <s v="AOP BEAUJOLAIS VILLAGES" u="1"/>
      </sharedItems>
    </cacheField>
    <cacheField name="CA_HT" numFmtId="0">
      <sharedItems containsSemiMixedTypes="0" containsString="0" containsNumber="1" minValue="-1353" maxValue="18383.78"/>
    </cacheField>
    <cacheField name="ColsN" numFmtId="0">
      <sharedItems containsSemiMixedTypes="0" containsString="0" containsNumber="1" minValue="-330" maxValue="82664.600000000006"/>
    </cacheField>
    <cacheField name="CA1" numFmtId="0">
      <sharedItems containsString="0" containsBlank="1" containsNumber="1" minValue="-184.8" maxValue="17370.75"/>
    </cacheField>
    <cacheField name="ColsN1" numFmtId="0">
      <sharedItems containsString="0" containsBlank="1" containsNumber="1" minValue="-84" maxValue="83997.90000000000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66">
  <r>
    <x v="0"/>
    <n v="2016"/>
    <s v="001"/>
    <x v="0"/>
    <s v="001001"/>
    <x v="0"/>
    <n v="7263.85"/>
    <n v="562"/>
    <m/>
    <m/>
  </r>
  <r>
    <x v="0"/>
    <n v="2016"/>
    <s v="001"/>
    <x v="0"/>
    <s v="001002"/>
    <x v="0"/>
    <n v="166.54"/>
    <n v="12"/>
    <m/>
    <m/>
  </r>
  <r>
    <x v="0"/>
    <n v="2016"/>
    <s v="001"/>
    <x v="0"/>
    <s v="001005"/>
    <x v="1"/>
    <n v="2477.64"/>
    <n v="168"/>
    <m/>
    <m/>
  </r>
  <r>
    <x v="0"/>
    <n v="2016"/>
    <s v="001"/>
    <x v="0"/>
    <s v="001013"/>
    <x v="2"/>
    <n v="159.5"/>
    <n v="12"/>
    <m/>
    <m/>
  </r>
  <r>
    <x v="0"/>
    <n v="2016"/>
    <s v="001"/>
    <x v="0"/>
    <s v="001021"/>
    <x v="3"/>
    <n v="463.65"/>
    <n v="36"/>
    <m/>
    <m/>
  </r>
  <r>
    <x v="0"/>
    <n v="2016"/>
    <s v="001"/>
    <x v="0"/>
    <s v="001034"/>
    <x v="4"/>
    <n v="742.08"/>
    <n v="48"/>
    <m/>
    <m/>
  </r>
  <r>
    <x v="0"/>
    <n v="2016"/>
    <s v="002"/>
    <x v="1"/>
    <s v="002001"/>
    <x v="5"/>
    <n v="3129.84"/>
    <n v="2774.72"/>
    <n v="3007.6"/>
    <n v="2801.4"/>
  </r>
  <r>
    <x v="0"/>
    <n v="2016"/>
    <s v="002"/>
    <x v="1"/>
    <s v="002002"/>
    <x v="6"/>
    <n v="9275"/>
    <n v="9370.99"/>
    <n v="8921.6"/>
    <n v="9370.99"/>
  </r>
  <r>
    <x v="0"/>
    <n v="2016"/>
    <s v="002"/>
    <x v="1"/>
    <s v="002003"/>
    <x v="7"/>
    <n v="6185.7"/>
    <n v="6984.92"/>
    <n v="4229.3999999999996"/>
    <n v="4958.76"/>
  </r>
  <r>
    <x v="0"/>
    <n v="2016"/>
    <s v="002"/>
    <x v="1"/>
    <s v="002004"/>
    <x v="7"/>
    <n v="1113.42"/>
    <n v="1040.52"/>
    <n v="959.1"/>
    <n v="953.81"/>
  </r>
  <r>
    <x v="0"/>
    <n v="2016"/>
    <s v="002"/>
    <x v="1"/>
    <s v="002007"/>
    <x v="8"/>
    <n v="3358.2"/>
    <n v="3879.03"/>
    <n v="3088.8"/>
    <n v="3879.03"/>
  </r>
  <r>
    <x v="0"/>
    <n v="2016"/>
    <s v="002"/>
    <x v="1"/>
    <s v="002008"/>
    <x v="9"/>
    <n v="3098.1"/>
    <n v="3680.46"/>
    <n v="3900"/>
    <n v="5440.68"/>
  </r>
  <r>
    <x v="0"/>
    <n v="2016"/>
    <s v="002"/>
    <x v="1"/>
    <s v="002009"/>
    <x v="9"/>
    <n v="1549.05"/>
    <n v="1840.23"/>
    <n v="1423.5"/>
    <n v="1946.91"/>
  </r>
  <r>
    <x v="0"/>
    <n v="2016"/>
    <s v="002"/>
    <x v="1"/>
    <s v="002010"/>
    <x v="10"/>
    <n v="2069.34"/>
    <n v="1527.43"/>
    <n v="1399.2"/>
    <n v="1073.8699999999999"/>
  </r>
  <r>
    <x v="0"/>
    <n v="2016"/>
    <s v="002"/>
    <x v="1"/>
    <s v="002011"/>
    <x v="11"/>
    <n v="2831.5"/>
    <n v="2332.75"/>
    <n v="2826"/>
    <n v="2399.4"/>
  </r>
  <r>
    <x v="0"/>
    <n v="2016"/>
    <s v="002"/>
    <x v="1"/>
    <s v="002015"/>
    <x v="11"/>
    <n v="1472.38"/>
    <n v="1213.03"/>
    <n v="1208.9000000000001"/>
    <n v="1026.4100000000001"/>
  </r>
  <r>
    <x v="0"/>
    <n v="2016"/>
    <s v="002"/>
    <x v="1"/>
    <s v="002016"/>
    <x v="11"/>
    <n v="1480.04"/>
    <n v="1087.21"/>
    <n v="1152.8"/>
    <n v="887.11"/>
  </r>
  <r>
    <x v="0"/>
    <n v="2016"/>
    <s v="002"/>
    <x v="1"/>
    <s v="002017"/>
    <x v="12"/>
    <n v="6219.2"/>
    <n v="6944.93"/>
    <n v="3266"/>
    <n v="3812.38"/>
  </r>
  <r>
    <x v="0"/>
    <n v="2016"/>
    <s v="002"/>
    <x v="1"/>
    <s v="002018"/>
    <x v="12"/>
    <n v="1653"/>
    <n v="1527.43"/>
    <n v="1668"/>
    <n v="1614.1399999999999"/>
  </r>
  <r>
    <x v="0"/>
    <n v="2016"/>
    <s v="002"/>
    <x v="1"/>
    <s v="002020"/>
    <x v="13"/>
    <n v="2448"/>
    <n v="1032"/>
    <n v="1894.3"/>
    <n v="840"/>
  </r>
  <r>
    <x v="0"/>
    <n v="2016"/>
    <s v="002"/>
    <x v="1"/>
    <s v="002021"/>
    <x v="14"/>
    <n v="43.68"/>
    <n v="30"/>
    <m/>
    <m/>
  </r>
  <r>
    <x v="0"/>
    <n v="2016"/>
    <s v="002"/>
    <x v="1"/>
    <s v="002023"/>
    <x v="15"/>
    <n v="99.36"/>
    <n v="42"/>
    <n v="0"/>
    <n v="6"/>
  </r>
  <r>
    <x v="0"/>
    <n v="2016"/>
    <s v="002"/>
    <x v="1"/>
    <s v="002024"/>
    <x v="16"/>
    <n v="60"/>
    <n v="36"/>
    <m/>
    <m/>
  </r>
  <r>
    <x v="0"/>
    <n v="2016"/>
    <s v="002"/>
    <x v="1"/>
    <s v="002025"/>
    <x v="14"/>
    <n v="170.82"/>
    <n v="78"/>
    <n v="63.6"/>
    <n v="30"/>
  </r>
  <r>
    <x v="0"/>
    <n v="2016"/>
    <s v="002"/>
    <x v="1"/>
    <s v="002026"/>
    <x v="17"/>
    <n v="245.4"/>
    <n v="120"/>
    <n v="143.28"/>
    <n v="72"/>
  </r>
  <r>
    <x v="0"/>
    <n v="2016"/>
    <s v="002"/>
    <x v="1"/>
    <s v="002027"/>
    <x v="18"/>
    <n v="332.2"/>
    <n v="186"/>
    <n v="133.19999999999999"/>
    <n v="72"/>
  </r>
  <r>
    <x v="0"/>
    <n v="2016"/>
    <s v="002"/>
    <x v="1"/>
    <s v="002033"/>
    <x v="19"/>
    <n v="18.690000000000001"/>
    <n v="12"/>
    <m/>
    <m/>
  </r>
  <r>
    <x v="0"/>
    <n v="2016"/>
    <s v="002"/>
    <x v="1"/>
    <s v="002034"/>
    <x v="19"/>
    <n v="31.15"/>
    <n v="20"/>
    <m/>
    <m/>
  </r>
  <r>
    <x v="0"/>
    <n v="2016"/>
    <s v="002"/>
    <x v="1"/>
    <s v="002035"/>
    <x v="19"/>
    <n v="31.15"/>
    <n v="20"/>
    <m/>
    <m/>
  </r>
  <r>
    <x v="0"/>
    <n v="2016"/>
    <s v="002"/>
    <x v="1"/>
    <s v="002040"/>
    <x v="20"/>
    <n v="144.54"/>
    <n v="66"/>
    <m/>
    <m/>
  </r>
  <r>
    <x v="0"/>
    <n v="2016"/>
    <s v="002"/>
    <x v="1"/>
    <s v="002100"/>
    <x v="21"/>
    <n v="415.2"/>
    <n v="246"/>
    <n v="1215.1199999999999"/>
    <n v="732"/>
  </r>
  <r>
    <x v="0"/>
    <n v="2016"/>
    <s v="002"/>
    <x v="1"/>
    <s v="002101"/>
    <x v="22"/>
    <n v="269.88"/>
    <n v="156"/>
    <n v="1115.52"/>
    <n v="672"/>
  </r>
  <r>
    <x v="0"/>
    <n v="2016"/>
    <s v="002"/>
    <x v="1"/>
    <s v="002102"/>
    <x v="23"/>
    <n v="0"/>
    <n v="6"/>
    <n v="164.16"/>
    <n v="96"/>
  </r>
  <r>
    <x v="0"/>
    <n v="2016"/>
    <s v="002"/>
    <x v="1"/>
    <s v="002900"/>
    <x v="24"/>
    <n v="1462.5"/>
    <n v="2000.2500000000002"/>
    <n v="877.5"/>
    <n v="1200.1500000000001"/>
  </r>
  <r>
    <x v="0"/>
    <n v="2016"/>
    <s v="002"/>
    <x v="1"/>
    <s v="002901"/>
    <x v="25"/>
    <n v="3022.5"/>
    <n v="4133.8500000000004"/>
    <n v="97.5"/>
    <n v="133.35000000000002"/>
  </r>
  <r>
    <x v="0"/>
    <n v="2016"/>
    <s v="002"/>
    <x v="1"/>
    <s v="002902"/>
    <x v="26"/>
    <n v="311.10000000000002"/>
    <n v="400.05"/>
    <n v="933.3"/>
    <n v="1733.5500000000002"/>
  </r>
  <r>
    <x v="0"/>
    <n v="2016"/>
    <s v="002"/>
    <x v="1"/>
    <s v="002903"/>
    <x v="27"/>
    <n v="1877.8"/>
    <n v="2186.94"/>
    <m/>
    <m/>
  </r>
  <r>
    <x v="0"/>
    <n v="2016"/>
    <s v="002"/>
    <x v="1"/>
    <s v="002905"/>
    <x v="25"/>
    <n v="162"/>
    <n v="199.95"/>
    <n v="378"/>
    <n v="466.55"/>
  </r>
  <r>
    <x v="0"/>
    <n v="2016"/>
    <s v="007"/>
    <x v="2"/>
    <s v="007002"/>
    <x v="28"/>
    <n v="98.4"/>
    <n v="24"/>
    <n v="70.2"/>
    <n v="18"/>
  </r>
  <r>
    <x v="0"/>
    <n v="2016"/>
    <s v="007"/>
    <x v="2"/>
    <s v="007003"/>
    <x v="29"/>
    <n v="31.2"/>
    <n v="6"/>
    <m/>
    <m/>
  </r>
  <r>
    <x v="0"/>
    <n v="2016"/>
    <s v="007"/>
    <x v="2"/>
    <s v="007004"/>
    <x v="30"/>
    <n v="121.5"/>
    <n v="18"/>
    <m/>
    <m/>
  </r>
  <r>
    <x v="0"/>
    <n v="2016"/>
    <s v="007"/>
    <x v="2"/>
    <s v="007005"/>
    <x v="31"/>
    <n v="73.8"/>
    <n v="12"/>
    <n v="36"/>
    <n v="6"/>
  </r>
  <r>
    <x v="0"/>
    <n v="2016"/>
    <s v="007"/>
    <x v="2"/>
    <s v="007006"/>
    <x v="32"/>
    <n v="70.8"/>
    <n v="12"/>
    <n v="67.2"/>
    <n v="12"/>
  </r>
  <r>
    <x v="0"/>
    <n v="2016"/>
    <s v="010"/>
    <x v="3"/>
    <s v="010001"/>
    <x v="33"/>
    <n v="748.8"/>
    <n v="144"/>
    <n v="441"/>
    <n v="90"/>
  </r>
  <r>
    <x v="0"/>
    <n v="2016"/>
    <s v="011"/>
    <x v="4"/>
    <s v="011001"/>
    <x v="34"/>
    <n v="1891.26"/>
    <n v="468"/>
    <n v="2250.36"/>
    <n v="564"/>
  </r>
  <r>
    <x v="0"/>
    <n v="2016"/>
    <s v="011"/>
    <x v="4"/>
    <s v="011006"/>
    <x v="35"/>
    <n v="80.819999999999993"/>
    <n v="24"/>
    <n v="51.48"/>
    <n v="12"/>
  </r>
  <r>
    <x v="0"/>
    <n v="2016"/>
    <s v="019"/>
    <x v="5"/>
    <s v="019003"/>
    <x v="36"/>
    <n v="2622.48"/>
    <n v="1176"/>
    <n v="7889.16"/>
    <n v="3762"/>
  </r>
  <r>
    <x v="0"/>
    <n v="2016"/>
    <s v="019"/>
    <x v="5"/>
    <s v="019008"/>
    <x v="37"/>
    <n v="482.5"/>
    <n v="333.25"/>
    <n v="472.5"/>
    <n v="333.25"/>
  </r>
  <r>
    <x v="0"/>
    <n v="2016"/>
    <s v="019"/>
    <x v="5"/>
    <s v="019009"/>
    <x v="37"/>
    <n v="550"/>
    <n v="333.5"/>
    <n v="216"/>
    <n v="133.4"/>
  </r>
  <r>
    <x v="0"/>
    <n v="2016"/>
    <s v="019"/>
    <x v="5"/>
    <s v="019011"/>
    <x v="38"/>
    <n v="210.6"/>
    <n v="78"/>
    <m/>
    <m/>
  </r>
  <r>
    <x v="0"/>
    <n v="2016"/>
    <s v="019"/>
    <x v="5"/>
    <s v="019015"/>
    <x v="39"/>
    <n v="148.5"/>
    <n v="66"/>
    <n v="1393.26"/>
    <n v="642"/>
  </r>
  <r>
    <x v="0"/>
    <n v="2016"/>
    <s v="025"/>
    <x v="6"/>
    <s v="025001"/>
    <x v="40"/>
    <n v="896.28"/>
    <n v="132"/>
    <n v="979.44"/>
    <n v="168"/>
  </r>
  <r>
    <x v="0"/>
    <n v="2016"/>
    <s v="025"/>
    <x v="6"/>
    <s v="025010"/>
    <x v="41"/>
    <n v="399.6"/>
    <n v="72"/>
    <n v="604.20000000000005"/>
    <n v="114"/>
  </r>
  <r>
    <x v="0"/>
    <n v="2016"/>
    <s v="025"/>
    <x v="6"/>
    <s v="025013"/>
    <x v="42"/>
    <n v="174.6"/>
    <n v="36"/>
    <n v="183.54"/>
    <n v="42"/>
  </r>
  <r>
    <x v="0"/>
    <n v="2016"/>
    <s v="025"/>
    <x v="6"/>
    <s v="025015"/>
    <x v="43"/>
    <n v="137.88"/>
    <n v="36"/>
    <m/>
    <m/>
  </r>
  <r>
    <x v="0"/>
    <n v="2016"/>
    <s v="025"/>
    <x v="6"/>
    <s v="025021"/>
    <x v="44"/>
    <n v="963"/>
    <n v="90"/>
    <n v="417.48"/>
    <n v="42"/>
  </r>
  <r>
    <x v="0"/>
    <n v="2016"/>
    <s v="025"/>
    <x v="6"/>
    <s v="025026"/>
    <x v="45"/>
    <n v="1969.92"/>
    <n v="654"/>
    <n v="528.96"/>
    <n v="174"/>
  </r>
  <r>
    <x v="0"/>
    <n v="2016"/>
    <s v="025"/>
    <x v="6"/>
    <s v="025031"/>
    <x v="46"/>
    <n v="334.2"/>
    <n v="66"/>
    <n v="192.96"/>
    <n v="36"/>
  </r>
  <r>
    <x v="0"/>
    <n v="2016"/>
    <s v="025"/>
    <x v="6"/>
    <s v="025033"/>
    <x v="47"/>
    <n v="149.04"/>
    <n v="42"/>
    <n v="151.56"/>
    <n v="36"/>
  </r>
  <r>
    <x v="0"/>
    <n v="2016"/>
    <s v="028"/>
    <x v="7"/>
    <s v="028001"/>
    <x v="48"/>
    <n v="195"/>
    <n v="60"/>
    <n v="897"/>
    <n v="276"/>
  </r>
  <r>
    <x v="0"/>
    <n v="2016"/>
    <s v="028"/>
    <x v="7"/>
    <s v="028005"/>
    <x v="49"/>
    <n v="67.2"/>
    <n v="24"/>
    <n v="168"/>
    <n v="66"/>
  </r>
  <r>
    <x v="0"/>
    <n v="2016"/>
    <s v="028"/>
    <x v="7"/>
    <s v="028007"/>
    <x v="50"/>
    <n v="316.39999999999998"/>
    <n v="186.62"/>
    <n v="113"/>
    <n v="66.650000000000006"/>
  </r>
  <r>
    <x v="0"/>
    <n v="2016"/>
    <s v="028"/>
    <x v="7"/>
    <s v="028008"/>
    <x v="51"/>
    <n v="119.7"/>
    <n v="66.7"/>
    <n v="93.1"/>
    <n v="46.69"/>
  </r>
  <r>
    <x v="0"/>
    <n v="2016"/>
    <s v="028"/>
    <x v="7"/>
    <s v="028013"/>
    <x v="52"/>
    <n v="427.2"/>
    <n v="96"/>
    <n v="400.5"/>
    <n v="90"/>
  </r>
  <r>
    <x v="0"/>
    <n v="2016"/>
    <s v="029"/>
    <x v="8"/>
    <s v="029002"/>
    <x v="53"/>
    <n v="14.76"/>
    <n v="6"/>
    <n v="44.1"/>
    <n v="18"/>
  </r>
  <r>
    <x v="0"/>
    <n v="2016"/>
    <s v="029"/>
    <x v="8"/>
    <s v="029010"/>
    <x v="54"/>
    <n v="-25.92"/>
    <n v="-12"/>
    <n v="25.68"/>
    <n v="12"/>
  </r>
  <r>
    <x v="0"/>
    <n v="2016"/>
    <s v="029"/>
    <x v="8"/>
    <s v="029015"/>
    <x v="55"/>
    <n v="14.4"/>
    <n v="6"/>
    <n v="14.34"/>
    <n v="6"/>
  </r>
  <r>
    <x v="0"/>
    <n v="2016"/>
    <s v="035"/>
    <x v="9"/>
    <s v="035001"/>
    <x v="56"/>
    <n v="2742"/>
    <n v="720"/>
    <n v="1629.6"/>
    <n v="432"/>
  </r>
  <r>
    <x v="0"/>
    <n v="2016"/>
    <s v="035"/>
    <x v="9"/>
    <s v="035002"/>
    <x v="56"/>
    <n v="425.64"/>
    <n v="90"/>
    <n v="162"/>
    <n v="36"/>
  </r>
  <r>
    <x v="0"/>
    <n v="2016"/>
    <s v="035"/>
    <x v="9"/>
    <s v="035010"/>
    <x v="57"/>
    <n v="599.76"/>
    <n v="168"/>
    <n v="473.34"/>
    <n v="144"/>
  </r>
  <r>
    <x v="0"/>
    <n v="2016"/>
    <s v="035"/>
    <x v="9"/>
    <s v="035015"/>
    <x v="56"/>
    <n v="39.9"/>
    <n v="12"/>
    <m/>
    <m/>
  </r>
  <r>
    <x v="0"/>
    <n v="2016"/>
    <s v="036"/>
    <x v="10"/>
    <s v="036001"/>
    <x v="58"/>
    <n v="403.2"/>
    <n v="150"/>
    <n v="403.2"/>
    <n v="168"/>
  </r>
  <r>
    <x v="0"/>
    <n v="2016"/>
    <s v="036"/>
    <x v="10"/>
    <s v="036011"/>
    <x v="59"/>
    <n v="43.2"/>
    <n v="40.019999999999996"/>
    <n v="7"/>
    <n v="6.67"/>
  </r>
  <r>
    <x v="0"/>
    <n v="2016"/>
    <s v="037"/>
    <x v="11"/>
    <s v="037003"/>
    <x v="60"/>
    <n v="244.2"/>
    <n v="66"/>
    <n v="66.599999999999994"/>
    <n v="24"/>
  </r>
  <r>
    <x v="0"/>
    <n v="2016"/>
    <s v="037"/>
    <x v="11"/>
    <s v="037010"/>
    <x v="61"/>
    <n v="109.2"/>
    <n v="30"/>
    <m/>
    <m/>
  </r>
  <r>
    <x v="0"/>
    <n v="2016"/>
    <s v="039"/>
    <x v="12"/>
    <s v="039002"/>
    <x v="62"/>
    <n v="38.1"/>
    <n v="13.34"/>
    <n v="95.25"/>
    <n v="33.35"/>
  </r>
  <r>
    <x v="0"/>
    <n v="2016"/>
    <s v="039"/>
    <x v="12"/>
    <s v="039017"/>
    <x v="63"/>
    <n v="210"/>
    <n v="60"/>
    <n v="336"/>
    <n v="96"/>
  </r>
  <r>
    <x v="0"/>
    <n v="2016"/>
    <s v="039"/>
    <x v="12"/>
    <s v="039018"/>
    <x v="64"/>
    <n v="331.5"/>
    <n v="150"/>
    <n v="676.26"/>
    <n v="306"/>
  </r>
  <r>
    <x v="0"/>
    <n v="2016"/>
    <s v="039"/>
    <x v="12"/>
    <s v="039028"/>
    <x v="65"/>
    <n v="28.32"/>
    <n v="6"/>
    <n v="368.16"/>
    <n v="78"/>
  </r>
  <r>
    <x v="0"/>
    <n v="2016"/>
    <s v="039"/>
    <x v="12"/>
    <s v="039030"/>
    <x v="66"/>
    <n v="151.62"/>
    <n v="42"/>
    <n v="1018.02"/>
    <n v="282"/>
  </r>
  <r>
    <x v="0"/>
    <n v="2016"/>
    <s v="040"/>
    <x v="13"/>
    <s v="040006"/>
    <x v="67"/>
    <n v="1274.4000000000001"/>
    <n v="354"/>
    <n v="2008.8"/>
    <n v="558"/>
  </r>
  <r>
    <x v="0"/>
    <n v="2016"/>
    <s v="040"/>
    <x v="13"/>
    <s v="040007"/>
    <x v="68"/>
    <n v="644.35"/>
    <n v="326.83"/>
    <n v="543.9"/>
    <n v="280.14"/>
  </r>
  <r>
    <x v="0"/>
    <n v="2016"/>
    <s v="040"/>
    <x v="13"/>
    <s v="040008"/>
    <x v="68"/>
    <n v="151.19999999999999"/>
    <n v="79.98"/>
    <n v="273.35000000000002"/>
    <n v="146.63"/>
  </r>
  <r>
    <x v="0"/>
    <n v="2016"/>
    <s v="040"/>
    <x v="13"/>
    <s v="040011"/>
    <x v="69"/>
    <n v="54"/>
    <n v="12"/>
    <n v="54"/>
    <n v="12"/>
  </r>
  <r>
    <x v="0"/>
    <n v="2016"/>
    <s v="040"/>
    <x v="13"/>
    <s v="040012"/>
    <x v="69"/>
    <n v="48.3"/>
    <n v="12"/>
    <n v="144.9"/>
    <n v="36"/>
  </r>
  <r>
    <x v="0"/>
    <n v="2016"/>
    <s v="040"/>
    <x v="13"/>
    <s v="040015"/>
    <x v="70"/>
    <n v="59.4"/>
    <n v="12"/>
    <n v="171"/>
    <n v="36"/>
  </r>
  <r>
    <x v="0"/>
    <n v="2016"/>
    <s v="041"/>
    <x v="14"/>
    <s v="041001/10"/>
    <x v="71"/>
    <n v="747.9"/>
    <n v="54"/>
    <m/>
    <m/>
  </r>
  <r>
    <x v="0"/>
    <n v="2016"/>
    <s v="041"/>
    <x v="14"/>
    <s v="041002"/>
    <x v="72"/>
    <n v="-1247.4000000000001"/>
    <n v="-108"/>
    <n v="203.4"/>
    <n v="18"/>
  </r>
  <r>
    <x v="0"/>
    <n v="2016"/>
    <s v="041"/>
    <x v="14"/>
    <s v="041016"/>
    <x v="73"/>
    <n v="1853.7"/>
    <n v="222"/>
    <m/>
    <m/>
  </r>
  <r>
    <x v="0"/>
    <n v="2016"/>
    <s v="042"/>
    <x v="15"/>
    <s v="042100"/>
    <x v="74"/>
    <n v="595.20000000000005"/>
    <n v="82664.600000000006"/>
    <n v="598.5"/>
    <n v="83997.900000000009"/>
  </r>
  <r>
    <x v="0"/>
    <n v="2016"/>
    <s v="046"/>
    <x v="16"/>
    <s v="046001"/>
    <x v="75"/>
    <n v="196.8"/>
    <n v="48"/>
    <n v="661.2"/>
    <n v="174"/>
  </r>
  <r>
    <x v="0"/>
    <n v="2016"/>
    <s v="046"/>
    <x v="16"/>
    <s v="046010"/>
    <x v="76"/>
    <n v="345.6"/>
    <n v="54"/>
    <n v="292.8"/>
    <n v="48"/>
  </r>
  <r>
    <x v="0"/>
    <n v="2016"/>
    <s v="046"/>
    <x v="16"/>
    <s v="046015"/>
    <x v="77"/>
    <n v="231"/>
    <n v="66"/>
    <n v="192"/>
    <n v="60"/>
  </r>
  <r>
    <x v="0"/>
    <n v="2016"/>
    <s v="046"/>
    <x v="16"/>
    <s v="046020"/>
    <x v="78"/>
    <n v="126"/>
    <n v="18"/>
    <m/>
    <m/>
  </r>
  <r>
    <x v="0"/>
    <n v="2016"/>
    <s v="048B"/>
    <x v="17"/>
    <s v="048003B"/>
    <x v="79"/>
    <n v="1461.6"/>
    <n v="252"/>
    <m/>
    <m/>
  </r>
  <r>
    <x v="0"/>
    <n v="2016"/>
    <s v="049"/>
    <x v="18"/>
    <s v="049007"/>
    <x v="80"/>
    <n v="138.6"/>
    <n v="42"/>
    <n v="396"/>
    <n v="120"/>
  </r>
  <r>
    <x v="0"/>
    <n v="2016"/>
    <s v="049"/>
    <x v="18"/>
    <s v="049015"/>
    <x v="81"/>
    <n v="615.6"/>
    <n v="216"/>
    <n v="256.5"/>
    <n v="90"/>
  </r>
  <r>
    <x v="0"/>
    <n v="2016"/>
    <s v="049"/>
    <x v="18"/>
    <s v="049016"/>
    <x v="81"/>
    <n v="86.4"/>
    <n v="24"/>
    <n v="126"/>
    <n v="36"/>
  </r>
  <r>
    <x v="0"/>
    <n v="2016"/>
    <s v="049"/>
    <x v="18"/>
    <s v="049020"/>
    <x v="82"/>
    <n v="1012.5"/>
    <n v="450"/>
    <n v="791.04"/>
    <n v="402"/>
  </r>
  <r>
    <x v="0"/>
    <n v="2016"/>
    <s v="050"/>
    <x v="19"/>
    <s v="050001"/>
    <x v="83"/>
    <n v="1881.6"/>
    <n v="588"/>
    <n v="1209.5999999999999"/>
    <n v="390"/>
  </r>
  <r>
    <x v="0"/>
    <n v="2016"/>
    <s v="050"/>
    <x v="19"/>
    <s v="050003"/>
    <x v="84"/>
    <n v="211.2"/>
    <n v="66"/>
    <m/>
    <m/>
  </r>
  <r>
    <x v="0"/>
    <n v="2016"/>
    <s v="050"/>
    <x v="19"/>
    <s v="050005"/>
    <x v="85"/>
    <n v="52.8"/>
    <n v="12"/>
    <m/>
    <m/>
  </r>
  <r>
    <x v="0"/>
    <n v="2016"/>
    <s v="051"/>
    <x v="20"/>
    <s v="051000"/>
    <x v="86"/>
    <n v="5833.8"/>
    <n v="1092"/>
    <n v="3897.6"/>
    <n v="696"/>
  </r>
  <r>
    <x v="0"/>
    <n v="2016"/>
    <s v="051"/>
    <x v="20"/>
    <s v="051010/11"/>
    <x v="87"/>
    <n v="4436.1000000000004"/>
    <n v="564"/>
    <m/>
    <m/>
  </r>
  <r>
    <x v="0"/>
    <n v="2016"/>
    <s v="051"/>
    <x v="20"/>
    <s v="051017"/>
    <x v="88"/>
    <n v="304.8"/>
    <n v="48"/>
    <n v="831"/>
    <n v="132"/>
  </r>
  <r>
    <x v="0"/>
    <n v="2016"/>
    <s v="051"/>
    <x v="20"/>
    <s v="051133"/>
    <x v="89"/>
    <n v="633.6"/>
    <n v="72"/>
    <n v="918"/>
    <n v="108"/>
  </r>
  <r>
    <x v="0"/>
    <n v="2016"/>
    <s v="052"/>
    <x v="21"/>
    <s v="052017"/>
    <x v="90"/>
    <n v="471.6"/>
    <n v="48"/>
    <n v="235.8"/>
    <n v="24"/>
  </r>
  <r>
    <x v="0"/>
    <n v="2016"/>
    <s v="052"/>
    <x v="21"/>
    <s v="052021"/>
    <x v="91"/>
    <n v="345.6"/>
    <n v="36"/>
    <n v="345.6"/>
    <n v="36"/>
  </r>
  <r>
    <x v="0"/>
    <n v="2016"/>
    <s v="052"/>
    <x v="21"/>
    <s v="052028"/>
    <x v="92"/>
    <n v="95.4"/>
    <n v="42"/>
    <n v="143.1"/>
    <n v="54"/>
  </r>
  <r>
    <x v="0"/>
    <n v="2016"/>
    <s v="052"/>
    <x v="21"/>
    <s v="052039"/>
    <x v="93"/>
    <n v="822"/>
    <n v="120"/>
    <n v="616.5"/>
    <n v="90"/>
  </r>
  <r>
    <x v="0"/>
    <n v="2016"/>
    <s v="052"/>
    <x v="21"/>
    <s v="052046"/>
    <x v="94"/>
    <n v="84.9"/>
    <n v="12"/>
    <n v="169.8"/>
    <n v="36"/>
  </r>
  <r>
    <x v="0"/>
    <n v="2016"/>
    <s v="052"/>
    <x v="21"/>
    <s v="052054"/>
    <x v="95"/>
    <n v="214.2"/>
    <n v="36"/>
    <m/>
    <m/>
  </r>
  <r>
    <x v="0"/>
    <n v="2016"/>
    <s v="052"/>
    <x v="21"/>
    <s v="052062"/>
    <x v="96"/>
    <n v="84.9"/>
    <n v="12"/>
    <m/>
    <m/>
  </r>
  <r>
    <x v="0"/>
    <n v="2016"/>
    <s v="054"/>
    <x v="22"/>
    <s v="054002"/>
    <x v="97"/>
    <n v="57.6"/>
    <n v="12"/>
    <m/>
    <m/>
  </r>
  <r>
    <x v="0"/>
    <n v="2016"/>
    <s v="054"/>
    <x v="22"/>
    <s v="054005"/>
    <x v="98"/>
    <n v="793.8"/>
    <n v="108"/>
    <m/>
    <m/>
  </r>
  <r>
    <x v="0"/>
    <n v="2016"/>
    <s v="054"/>
    <x v="22"/>
    <s v="054011"/>
    <x v="99"/>
    <n v="415.8"/>
    <n v="54"/>
    <m/>
    <m/>
  </r>
  <r>
    <x v="0"/>
    <n v="2016"/>
    <s v="059"/>
    <x v="23"/>
    <s v="059002"/>
    <x v="100"/>
    <n v="75.599999999999994"/>
    <n v="18"/>
    <n v="73.8"/>
    <n v="18"/>
  </r>
  <r>
    <x v="0"/>
    <n v="2016"/>
    <s v="059"/>
    <x v="23"/>
    <s v="059004"/>
    <x v="101"/>
    <n v="42.6"/>
    <n v="12"/>
    <n v="40.799999999999997"/>
    <n v="12"/>
  </r>
  <r>
    <x v="0"/>
    <n v="2016"/>
    <s v="059"/>
    <x v="23"/>
    <s v="059006"/>
    <x v="102"/>
    <n v="66"/>
    <n v="12"/>
    <m/>
    <m/>
  </r>
  <r>
    <x v="0"/>
    <n v="2016"/>
    <s v="059"/>
    <x v="23"/>
    <s v="059008"/>
    <x v="102"/>
    <n v="33"/>
    <n v="6"/>
    <m/>
    <m/>
  </r>
  <r>
    <x v="0"/>
    <n v="2016"/>
    <s v="059"/>
    <x v="23"/>
    <s v="059010"/>
    <x v="102"/>
    <n v="33"/>
    <n v="6"/>
    <n v="97.2"/>
    <n v="18"/>
  </r>
  <r>
    <x v="0"/>
    <n v="2016"/>
    <s v="059"/>
    <x v="23"/>
    <s v="059019"/>
    <x v="103"/>
    <n v="21.3"/>
    <n v="6"/>
    <m/>
    <m/>
  </r>
  <r>
    <x v="0"/>
    <n v="2016"/>
    <s v="059"/>
    <x v="23"/>
    <s v="059020"/>
    <x v="104"/>
    <n v="1895.7"/>
    <n v="540"/>
    <n v="2488.8000000000002"/>
    <n v="738"/>
  </r>
  <r>
    <x v="0"/>
    <n v="2016"/>
    <s v="059"/>
    <x v="23"/>
    <s v="059021"/>
    <x v="105"/>
    <n v="208.6"/>
    <n v="93.38"/>
    <n v="476.8"/>
    <n v="220.10999999999999"/>
  </r>
  <r>
    <x v="0"/>
    <n v="2016"/>
    <s v="059"/>
    <x v="23"/>
    <s v="059025"/>
    <x v="106"/>
    <n v="2821.5"/>
    <n v="1254"/>
    <n v="3273.6"/>
    <n v="1488"/>
  </r>
  <r>
    <x v="0"/>
    <n v="2016"/>
    <s v="059"/>
    <x v="23"/>
    <s v="059026"/>
    <x v="107"/>
    <n v="1366.2"/>
    <n v="927.13"/>
    <n v="1079.0999999999999"/>
    <n v="760.38"/>
  </r>
  <r>
    <x v="0"/>
    <n v="2016"/>
    <s v="059"/>
    <x v="23"/>
    <s v="CDV059005"/>
    <x v="108"/>
    <n v="81.599999999999994"/>
    <n v="24"/>
    <m/>
    <m/>
  </r>
  <r>
    <x v="0"/>
    <n v="2016"/>
    <s v="059"/>
    <x v="23"/>
    <s v="CDV059012"/>
    <x v="102"/>
    <n v="0"/>
    <n v="60"/>
    <m/>
    <m/>
  </r>
  <r>
    <x v="0"/>
    <n v="2016"/>
    <s v="060"/>
    <x v="24"/>
    <s v="060015"/>
    <x v="109"/>
    <n v="583.20000000000005"/>
    <n v="162"/>
    <n v="756"/>
    <n v="210"/>
  </r>
  <r>
    <x v="0"/>
    <n v="2016"/>
    <s v="060"/>
    <x v="24"/>
    <s v="060016"/>
    <x v="109"/>
    <n v="26.64"/>
    <n v="6"/>
    <m/>
    <m/>
  </r>
  <r>
    <x v="0"/>
    <n v="2016"/>
    <s v="062"/>
    <x v="25"/>
    <s v="062003"/>
    <x v="110"/>
    <n v="1290"/>
    <n v="300"/>
    <n v="954.6"/>
    <n v="222"/>
  </r>
  <r>
    <x v="0"/>
    <n v="2016"/>
    <s v="062"/>
    <x v="25"/>
    <s v="062021"/>
    <x v="110"/>
    <n v="585.6"/>
    <n v="192"/>
    <n v="36.6"/>
    <n v="12"/>
  </r>
  <r>
    <x v="0"/>
    <n v="2016"/>
    <s v="062"/>
    <x v="25"/>
    <s v="062022"/>
    <x v="110"/>
    <n v="22.8"/>
    <n v="6"/>
    <m/>
    <m/>
  </r>
  <r>
    <x v="0"/>
    <n v="2016"/>
    <s v="062"/>
    <x v="25"/>
    <s v="062030"/>
    <x v="111"/>
    <n v="57.6"/>
    <n v="12"/>
    <m/>
    <m/>
  </r>
  <r>
    <x v="0"/>
    <n v="2016"/>
    <s v="062"/>
    <x v="25"/>
    <s v="062032"/>
    <x v="112"/>
    <n v="203"/>
    <n v="100.05"/>
    <n v="870"/>
    <n v="400.2"/>
  </r>
  <r>
    <x v="0"/>
    <n v="2016"/>
    <s v="074"/>
    <x v="26"/>
    <s v="074012"/>
    <x v="113"/>
    <n v="729.6"/>
    <n v="96"/>
    <n v="638.4"/>
    <n v="84"/>
  </r>
  <r>
    <x v="0"/>
    <n v="2016"/>
    <s v="074"/>
    <x v="26"/>
    <s v="074013"/>
    <x v="114"/>
    <n v="1104"/>
    <n v="240"/>
    <n v="491.4"/>
    <n v="108"/>
  </r>
  <r>
    <x v="0"/>
    <n v="2016"/>
    <s v="075"/>
    <x v="27"/>
    <s v="075002"/>
    <x v="115"/>
    <n v="1302.48"/>
    <n v="324"/>
    <n v="284.39999999999998"/>
    <n v="72"/>
  </r>
  <r>
    <x v="0"/>
    <n v="2016"/>
    <s v="075"/>
    <x v="27"/>
    <s v="075004"/>
    <x v="115"/>
    <n v="55.2"/>
    <n v="12"/>
    <n v="54"/>
    <n v="12"/>
  </r>
  <r>
    <x v="0"/>
    <n v="2016"/>
    <s v="075"/>
    <x v="27"/>
    <s v="075013"/>
    <x v="116"/>
    <n v="686.4"/>
    <n v="132"/>
    <n v="499.2"/>
    <n v="96"/>
  </r>
  <r>
    <x v="0"/>
    <n v="2016"/>
    <s v="075"/>
    <x v="27"/>
    <s v="CDV075003"/>
    <x v="117"/>
    <n v="-52.8"/>
    <n v="-12"/>
    <m/>
    <m/>
  </r>
  <r>
    <x v="0"/>
    <n v="2016"/>
    <s v="080"/>
    <x v="28"/>
    <s v="080010"/>
    <x v="118"/>
    <n v="642.6"/>
    <n v="108"/>
    <n v="1134"/>
    <n v="180"/>
  </r>
  <r>
    <x v="0"/>
    <n v="2016"/>
    <s v="080"/>
    <x v="28"/>
    <s v="080011"/>
    <x v="118"/>
    <n v="92.4"/>
    <n v="12"/>
    <n v="277.2"/>
    <n v="36"/>
  </r>
  <r>
    <x v="0"/>
    <n v="2016"/>
    <s v="080"/>
    <x v="28"/>
    <s v="080015"/>
    <x v="118"/>
    <n v="79.2"/>
    <n v="18"/>
    <n v="712.8"/>
    <n v="114"/>
  </r>
  <r>
    <x v="0"/>
    <n v="2016"/>
    <s v="080"/>
    <x v="28"/>
    <s v="080016"/>
    <x v="118"/>
    <n v="92.4"/>
    <n v="12"/>
    <n v="231"/>
    <n v="30"/>
  </r>
  <r>
    <x v="0"/>
    <n v="2016"/>
    <s v="083"/>
    <x v="29"/>
    <s v="083003"/>
    <x v="119"/>
    <n v="592.20000000000005"/>
    <n v="294"/>
    <n v="159.9"/>
    <n v="78"/>
  </r>
  <r>
    <x v="0"/>
    <n v="2016"/>
    <s v="084"/>
    <x v="30"/>
    <s v="084001"/>
    <x v="120"/>
    <n v="1330"/>
    <n v="933.1"/>
    <n v="304"/>
    <n v="213.28"/>
  </r>
  <r>
    <x v="0"/>
    <n v="2016"/>
    <s v="084"/>
    <x v="30"/>
    <s v="084002"/>
    <x v="120"/>
    <n v="1826"/>
    <n v="1120.56"/>
    <n v="810.3"/>
    <n v="506.92"/>
  </r>
  <r>
    <x v="0"/>
    <n v="2016"/>
    <s v="084"/>
    <x v="30"/>
    <s v="084004"/>
    <x v="121"/>
    <n v="393.6"/>
    <n v="198"/>
    <n v="246"/>
    <n v="120"/>
  </r>
  <r>
    <x v="0"/>
    <n v="2016"/>
    <s v="084"/>
    <x v="30"/>
    <s v="084006"/>
    <x v="122"/>
    <n v="3483"/>
    <n v="1296"/>
    <n v="939.6"/>
    <n v="348"/>
  </r>
  <r>
    <x v="0"/>
    <n v="2016"/>
    <s v="084"/>
    <x v="30"/>
    <s v="084007"/>
    <x v="123"/>
    <n v="324"/>
    <n v="72"/>
    <n v="376.32"/>
    <n v="84"/>
  </r>
  <r>
    <x v="0"/>
    <n v="2016"/>
    <s v="084"/>
    <x v="30"/>
    <s v="084008"/>
    <x v="124"/>
    <n v="105.3"/>
    <n v="24"/>
    <n v="244.86"/>
    <n v="42"/>
  </r>
  <r>
    <x v="0"/>
    <n v="2016"/>
    <s v="084"/>
    <x v="30"/>
    <s v="084032"/>
    <x v="125"/>
    <n v="518.4"/>
    <n v="204"/>
    <m/>
    <m/>
  </r>
  <r>
    <x v="0"/>
    <n v="2016"/>
    <s v="086B"/>
    <x v="31"/>
    <s v="086001P"/>
    <x v="126"/>
    <n v="67.16"/>
    <n v="186.62"/>
    <n v="325.39999999999998"/>
    <n v="266.60000000000002"/>
  </r>
  <r>
    <x v="0"/>
    <n v="2016"/>
    <s v="086B"/>
    <x v="31"/>
    <s v="086002P"/>
    <x v="126"/>
    <n v="0"/>
    <n v="440.21999999999997"/>
    <n v="179.6"/>
    <n v="133.4"/>
  </r>
  <r>
    <x v="0"/>
    <n v="2016"/>
    <s v="086B"/>
    <x v="31"/>
    <s v="086011P"/>
    <x v="126"/>
    <n v="151.11000000000001"/>
    <n v="119.97"/>
    <n v="65.08"/>
    <n v="53.32"/>
  </r>
  <r>
    <x v="0"/>
    <n v="2016"/>
    <s v="086B"/>
    <x v="31"/>
    <s v="086012P"/>
    <x v="126"/>
    <n v="55.56"/>
    <n v="40.019999999999996"/>
    <n v="224.5"/>
    <n v="180.09"/>
  </r>
  <r>
    <x v="0"/>
    <n v="2016"/>
    <s v="088"/>
    <x v="32"/>
    <s v="088001"/>
    <x v="127"/>
    <n v="250.56"/>
    <n v="36"/>
    <m/>
    <m/>
  </r>
  <r>
    <x v="0"/>
    <n v="2016"/>
    <s v="089"/>
    <x v="33"/>
    <s v="089002"/>
    <x v="128"/>
    <n v="298.2"/>
    <n v="84"/>
    <n v="21"/>
    <n v="6"/>
  </r>
  <r>
    <x v="0"/>
    <n v="2016"/>
    <s v="089"/>
    <x v="33"/>
    <s v="089010"/>
    <x v="129"/>
    <n v="108"/>
    <n v="36"/>
    <n v="0"/>
    <n v="-6"/>
  </r>
  <r>
    <x v="0"/>
    <n v="2016"/>
    <s v="089"/>
    <x v="33"/>
    <s v="089800"/>
    <x v="130"/>
    <n v="-1353"/>
    <n v="-330"/>
    <m/>
    <m/>
  </r>
  <r>
    <x v="0"/>
    <n v="2016"/>
    <s v="089"/>
    <x v="33"/>
    <s v="089900"/>
    <x v="131"/>
    <n v="789.75"/>
    <n v="519.87"/>
    <n v="222.75"/>
    <n v="146.63"/>
  </r>
  <r>
    <x v="0"/>
    <n v="2016"/>
    <s v="089"/>
    <x v="33"/>
    <s v="089901"/>
    <x v="132"/>
    <n v="805.2"/>
    <n v="446.89"/>
    <n v="378.2"/>
    <n v="206.77"/>
  </r>
  <r>
    <x v="0"/>
    <n v="2016"/>
    <s v="089"/>
    <x v="33"/>
    <s v="089903"/>
    <x v="133"/>
    <n v="1385.1"/>
    <n v="348"/>
    <n v="456"/>
    <n v="114"/>
  </r>
  <r>
    <x v="0"/>
    <n v="2016"/>
    <s v="092"/>
    <x v="34"/>
    <s v="092002"/>
    <x v="134"/>
    <n v="72.599999999999994"/>
    <n v="12"/>
    <n v="471.9"/>
    <n v="78"/>
  </r>
  <r>
    <x v="0"/>
    <n v="2016"/>
    <s v="094"/>
    <x v="35"/>
    <s v="094001"/>
    <x v="135"/>
    <n v="1466.4"/>
    <n v="288"/>
    <n v="581.4"/>
    <n v="114"/>
  </r>
  <r>
    <x v="0"/>
    <n v="2016"/>
    <s v="094"/>
    <x v="35"/>
    <s v="094003"/>
    <x v="136"/>
    <n v="66.599999999999994"/>
    <n v="12"/>
    <m/>
    <m/>
  </r>
  <r>
    <x v="0"/>
    <n v="2016"/>
    <s v="094"/>
    <x v="35"/>
    <s v="094004"/>
    <x v="137"/>
    <n v="0"/>
    <n v="6"/>
    <m/>
    <m/>
  </r>
  <r>
    <x v="0"/>
    <n v="2016"/>
    <s v="095"/>
    <x v="36"/>
    <s v="095001"/>
    <x v="138"/>
    <n v="799.2"/>
    <n v="216"/>
    <n v="1052.0999999999999"/>
    <n v="294"/>
  </r>
  <r>
    <x v="0"/>
    <n v="2016"/>
    <s v="095"/>
    <x v="36"/>
    <s v="095005"/>
    <x v="139"/>
    <n v="46.8"/>
    <n v="12"/>
    <m/>
    <m/>
  </r>
  <r>
    <x v="0"/>
    <n v="2016"/>
    <s v="095"/>
    <x v="36"/>
    <s v="095010"/>
    <x v="140"/>
    <n v="1116"/>
    <n v="246"/>
    <n v="2754.9"/>
    <n v="660"/>
  </r>
  <r>
    <x v="0"/>
    <n v="2016"/>
    <s v="095"/>
    <x v="36"/>
    <s v="095012"/>
    <x v="141"/>
    <n v="148.80000000000001"/>
    <n v="24"/>
    <m/>
    <m/>
  </r>
  <r>
    <x v="0"/>
    <n v="2016"/>
    <s v="095"/>
    <x v="36"/>
    <s v="095016"/>
    <x v="142"/>
    <n v="104.4"/>
    <n v="18"/>
    <m/>
    <m/>
  </r>
  <r>
    <x v="0"/>
    <n v="2016"/>
    <s v="095"/>
    <x v="36"/>
    <s v="CDV095017"/>
    <x v="143"/>
    <n v="390"/>
    <n v="79.98"/>
    <m/>
    <m/>
  </r>
  <r>
    <x v="0"/>
    <n v="2016"/>
    <s v="096"/>
    <x v="37"/>
    <s v="096003"/>
    <x v="144"/>
    <n v="45"/>
    <n v="6"/>
    <m/>
    <m/>
  </r>
  <r>
    <x v="0"/>
    <n v="2016"/>
    <s v="096"/>
    <x v="37"/>
    <s v="096008"/>
    <x v="145"/>
    <n v="0"/>
    <n v="6"/>
    <m/>
    <m/>
  </r>
  <r>
    <x v="0"/>
    <n v="2016"/>
    <s v="097"/>
    <x v="38"/>
    <s v="097003"/>
    <x v="146"/>
    <n v="218.4"/>
    <n v="84"/>
    <n v="230.4"/>
    <n v="96"/>
  </r>
  <r>
    <x v="0"/>
    <n v="2016"/>
    <s v="097"/>
    <x v="38"/>
    <s v="097004"/>
    <x v="147"/>
    <n v="369"/>
    <n v="180"/>
    <n v="420"/>
    <n v="210"/>
  </r>
  <r>
    <x v="0"/>
    <n v="2016"/>
    <s v="099"/>
    <x v="39"/>
    <s v="099001"/>
    <x v="148"/>
    <n v="1900.38"/>
    <n v="1230"/>
    <n v="684.96"/>
    <n v="552"/>
  </r>
  <r>
    <x v="0"/>
    <n v="2016"/>
    <s v="099"/>
    <x v="39"/>
    <s v="099002"/>
    <x v="148"/>
    <n v="10488.26"/>
    <n v="7674"/>
    <n v="8617.66"/>
    <n v="7008"/>
  </r>
  <r>
    <x v="0"/>
    <n v="2016"/>
    <s v="099"/>
    <x v="39"/>
    <s v="099003"/>
    <x v="148"/>
    <n v="454.08"/>
    <n v="264"/>
    <n v="179.28"/>
    <n v="108"/>
  </r>
  <r>
    <x v="0"/>
    <n v="2016"/>
    <s v="099"/>
    <x v="39"/>
    <s v="099013"/>
    <x v="149"/>
    <n v="101.16"/>
    <n v="36"/>
    <n v="0"/>
    <n v="6"/>
  </r>
  <r>
    <x v="0"/>
    <n v="2016"/>
    <s v="099"/>
    <x v="39"/>
    <s v="099016"/>
    <x v="150"/>
    <n v="85.5"/>
    <n v="30"/>
    <m/>
    <m/>
  </r>
  <r>
    <x v="0"/>
    <n v="2016"/>
    <s v="110"/>
    <x v="40"/>
    <s v="110500"/>
    <x v="151"/>
    <n v="327.60000000000002"/>
    <n v="239.94"/>
    <n v="451.1"/>
    <n v="346.58"/>
  </r>
  <r>
    <x v="0"/>
    <n v="2016"/>
    <s v="110"/>
    <x v="40"/>
    <s v="110501"/>
    <x v="151"/>
    <n v="333.25"/>
    <n v="206.77"/>
    <n v="326.39999999999998"/>
    <n v="213.44"/>
  </r>
  <r>
    <x v="0"/>
    <n v="2016"/>
    <s v="110"/>
    <x v="40"/>
    <s v="110600"/>
    <x v="152"/>
    <n v="128.1"/>
    <n v="42"/>
    <n v="208.8"/>
    <n v="72"/>
  </r>
  <r>
    <x v="0"/>
    <n v="2016"/>
    <s v="113"/>
    <x v="41"/>
    <s v="113001"/>
    <x v="153"/>
    <n v="132"/>
    <n v="24"/>
    <n v="190.8"/>
    <n v="42"/>
  </r>
  <r>
    <x v="0"/>
    <n v="2016"/>
    <s v="113"/>
    <x v="41"/>
    <s v="113002"/>
    <x v="153"/>
    <n v="109.8"/>
    <n v="18"/>
    <m/>
    <m/>
  </r>
  <r>
    <x v="0"/>
    <n v="2016"/>
    <s v="113"/>
    <x v="41"/>
    <s v="113005"/>
    <x v="153"/>
    <n v="759"/>
    <n v="132"/>
    <n v="699.3"/>
    <n v="126"/>
  </r>
  <r>
    <x v="0"/>
    <n v="2016"/>
    <s v="113"/>
    <x v="41"/>
    <s v="113006"/>
    <x v="153"/>
    <n v="115.2"/>
    <n v="18"/>
    <m/>
    <m/>
  </r>
  <r>
    <x v="0"/>
    <n v="2016"/>
    <s v="114"/>
    <x v="42"/>
    <s v="114001"/>
    <x v="154"/>
    <n v="291.60000000000002"/>
    <n v="108"/>
    <n v="521.4"/>
    <n v="204"/>
  </r>
  <r>
    <x v="0"/>
    <n v="2016"/>
    <s v="114"/>
    <x v="42"/>
    <s v="114002"/>
    <x v="154"/>
    <n v="19.8"/>
    <n v="6"/>
    <n v="38.4"/>
    <n v="12"/>
  </r>
  <r>
    <x v="0"/>
    <n v="2016"/>
    <s v="114"/>
    <x v="42"/>
    <s v="114005"/>
    <x v="155"/>
    <n v="183.3"/>
    <n v="78"/>
    <n v="136.68"/>
    <n v="66"/>
  </r>
  <r>
    <x v="0"/>
    <n v="2016"/>
    <s v="114"/>
    <x v="42"/>
    <s v="114010"/>
    <x v="156"/>
    <n v="295.10000000000002"/>
    <n v="173.29"/>
    <n v="533.84"/>
    <n v="373.24"/>
  </r>
  <r>
    <x v="0"/>
    <n v="2016"/>
    <s v="114"/>
    <x v="42"/>
    <s v="114011"/>
    <x v="156"/>
    <n v="738.72"/>
    <n v="380.19"/>
    <n v="979"/>
    <n v="593.63"/>
  </r>
  <r>
    <x v="0"/>
    <n v="2016"/>
    <s v="114"/>
    <x v="42"/>
    <s v="114012"/>
    <x v="157"/>
    <n v="17.52"/>
    <n v="13.33"/>
    <m/>
    <m/>
  </r>
  <r>
    <x v="0"/>
    <n v="2016"/>
    <s v="114"/>
    <x v="42"/>
    <s v="114013"/>
    <x v="158"/>
    <n v="9.98"/>
    <n v="6.67"/>
    <n v="48.15"/>
    <n v="40.019999999999996"/>
  </r>
  <r>
    <x v="0"/>
    <n v="2016"/>
    <s v="115"/>
    <x v="43"/>
    <s v="115005"/>
    <x v="159"/>
    <n v="883.2"/>
    <n v="144"/>
    <n v="2664"/>
    <n v="444"/>
  </r>
  <r>
    <x v="0"/>
    <n v="2016"/>
    <s v="115"/>
    <x v="43"/>
    <s v="115007"/>
    <x v="160"/>
    <n v="281.39999999999998"/>
    <n v="42"/>
    <n v="151.68"/>
    <n v="24"/>
  </r>
  <r>
    <x v="0"/>
    <n v="2016"/>
    <s v="115"/>
    <x v="43"/>
    <s v="115010"/>
    <x v="161"/>
    <n v="138"/>
    <n v="133.30000000000001"/>
    <n v="771.72"/>
    <n v="799.8"/>
  </r>
  <r>
    <x v="0"/>
    <n v="2016"/>
    <s v="115"/>
    <x v="43"/>
    <s v="115011"/>
    <x v="161"/>
    <n v="24"/>
    <n v="20.009999999999998"/>
    <n v="419.65"/>
    <n v="373.52"/>
  </r>
  <r>
    <x v="0"/>
    <n v="2016"/>
    <s v="116"/>
    <x v="44"/>
    <s v="116001"/>
    <x v="162"/>
    <n v="573.29999999999995"/>
    <n v="126"/>
    <n v="792"/>
    <n v="180"/>
  </r>
  <r>
    <x v="0"/>
    <n v="2016"/>
    <s v="118"/>
    <x v="45"/>
    <s v="118016"/>
    <x v="163"/>
    <n v="36.799999999999997"/>
    <n v="1"/>
    <m/>
    <m/>
  </r>
  <r>
    <x v="0"/>
    <n v="2016"/>
    <s v="118"/>
    <x v="45"/>
    <s v="118020"/>
    <x v="164"/>
    <n v="30.31"/>
    <n v="1"/>
    <m/>
    <m/>
  </r>
  <r>
    <x v="0"/>
    <n v="2016"/>
    <s v="118"/>
    <x v="45"/>
    <s v="118021"/>
    <x v="165"/>
    <n v="30.67"/>
    <n v="1"/>
    <n v="122.66"/>
    <n v="4"/>
  </r>
  <r>
    <x v="0"/>
    <n v="2016"/>
    <s v="118"/>
    <x v="45"/>
    <s v="118026"/>
    <x v="166"/>
    <n v="33.44"/>
    <n v="1"/>
    <m/>
    <m/>
  </r>
  <r>
    <x v="0"/>
    <n v="2016"/>
    <s v="118"/>
    <x v="45"/>
    <s v="118027"/>
    <x v="166"/>
    <n v="34.65"/>
    <n v="1"/>
    <m/>
    <m/>
  </r>
  <r>
    <x v="0"/>
    <n v="2016"/>
    <s v="118"/>
    <x v="45"/>
    <s v="118028"/>
    <x v="167"/>
    <n v="71.84"/>
    <n v="2"/>
    <m/>
    <m/>
  </r>
  <r>
    <x v="0"/>
    <n v="2016"/>
    <s v="118"/>
    <x v="45"/>
    <s v="118029"/>
    <x v="168"/>
    <n v="37.69"/>
    <n v="1"/>
    <n v="38.56"/>
    <n v="1"/>
  </r>
  <r>
    <x v="0"/>
    <n v="2016"/>
    <s v="118"/>
    <x v="45"/>
    <s v="118030"/>
    <x v="169"/>
    <n v="84.22"/>
    <n v="2"/>
    <m/>
    <m/>
  </r>
  <r>
    <x v="0"/>
    <n v="2016"/>
    <s v="118"/>
    <x v="45"/>
    <s v="118032"/>
    <x v="170"/>
    <n v="49.07"/>
    <n v="1"/>
    <m/>
    <m/>
  </r>
  <r>
    <x v="0"/>
    <n v="2016"/>
    <s v="118"/>
    <x v="45"/>
    <s v="118035"/>
    <x v="171"/>
    <n v="62.21"/>
    <n v="1"/>
    <m/>
    <m/>
  </r>
  <r>
    <x v="0"/>
    <n v="2016"/>
    <s v="118"/>
    <x v="45"/>
    <s v="118036"/>
    <x v="166"/>
    <n v="140.28"/>
    <n v="1"/>
    <m/>
    <m/>
  </r>
  <r>
    <x v="0"/>
    <n v="2016"/>
    <s v="118"/>
    <x v="45"/>
    <s v="118037"/>
    <x v="172"/>
    <n v="69.17"/>
    <n v="1"/>
    <m/>
    <m/>
  </r>
  <r>
    <x v="0"/>
    <n v="2016"/>
    <s v="118"/>
    <x v="45"/>
    <s v="118041"/>
    <x v="173"/>
    <n v="79.790000000000006"/>
    <n v="1"/>
    <m/>
    <m/>
  </r>
  <r>
    <x v="0"/>
    <n v="2016"/>
    <s v="118"/>
    <x v="45"/>
    <s v="118044"/>
    <x v="166"/>
    <n v="169.02"/>
    <n v="1"/>
    <m/>
    <m/>
  </r>
  <r>
    <x v="0"/>
    <n v="2016"/>
    <s v="118"/>
    <x v="45"/>
    <s v="118045"/>
    <x v="166"/>
    <n v="189.71"/>
    <n v="1"/>
    <m/>
    <m/>
  </r>
  <r>
    <x v="0"/>
    <n v="2016"/>
    <s v="118"/>
    <x v="45"/>
    <s v="118200"/>
    <x v="174"/>
    <n v="35.28"/>
    <n v="1"/>
    <m/>
    <m/>
  </r>
  <r>
    <x v="0"/>
    <n v="2016"/>
    <s v="124"/>
    <x v="46"/>
    <s v="124001"/>
    <x v="175"/>
    <n v="765.6"/>
    <n v="174"/>
    <n v="897.6"/>
    <n v="204"/>
  </r>
  <r>
    <x v="0"/>
    <n v="2016"/>
    <s v="124"/>
    <x v="46"/>
    <s v="124002"/>
    <x v="176"/>
    <n v="249.6"/>
    <n v="78"/>
    <n v="153.6"/>
    <n v="48"/>
  </r>
  <r>
    <x v="0"/>
    <n v="2016"/>
    <s v="124"/>
    <x v="46"/>
    <s v="124005CB"/>
    <x v="177"/>
    <n v="92.7"/>
    <n v="15"/>
    <m/>
    <m/>
  </r>
  <r>
    <x v="0"/>
    <n v="2016"/>
    <s v="124"/>
    <x v="46"/>
    <s v="124010"/>
    <x v="178"/>
    <n v="1760.8"/>
    <n v="294"/>
    <n v="855.6"/>
    <n v="138"/>
  </r>
  <r>
    <x v="0"/>
    <n v="2016"/>
    <s v="134"/>
    <x v="47"/>
    <s v="134002"/>
    <x v="179"/>
    <n v="-97.2"/>
    <n v="-53.36"/>
    <m/>
    <m/>
  </r>
  <r>
    <x v="0"/>
    <n v="2016"/>
    <s v="134"/>
    <x v="47"/>
    <s v="134004"/>
    <x v="180"/>
    <n v="220.8"/>
    <n v="48"/>
    <m/>
    <m/>
  </r>
  <r>
    <x v="0"/>
    <n v="2016"/>
    <s v="134"/>
    <x v="47"/>
    <s v="134005"/>
    <x v="181"/>
    <n v="903.72"/>
    <n v="204"/>
    <m/>
    <m/>
  </r>
  <r>
    <x v="0"/>
    <n v="2016"/>
    <s v="137"/>
    <x v="48"/>
    <s v="137001"/>
    <x v="182"/>
    <n v="540.6"/>
    <n v="204"/>
    <n v="306"/>
    <n v="120"/>
  </r>
  <r>
    <x v="0"/>
    <n v="2016"/>
    <s v="137"/>
    <x v="48"/>
    <s v="137003"/>
    <x v="183"/>
    <n v="57.6"/>
    <n v="12"/>
    <n v="199.5"/>
    <n v="42"/>
  </r>
  <r>
    <x v="0"/>
    <n v="2016"/>
    <s v="140"/>
    <x v="49"/>
    <s v="140001"/>
    <x v="184"/>
    <n v="604.79999999999995"/>
    <n v="144"/>
    <n v="170.1"/>
    <n v="42"/>
  </r>
  <r>
    <x v="0"/>
    <n v="2016"/>
    <s v="143"/>
    <x v="50"/>
    <s v="143001"/>
    <x v="185"/>
    <n v="117"/>
    <n v="30"/>
    <m/>
    <m/>
  </r>
  <r>
    <x v="0"/>
    <n v="2016"/>
    <s v="143"/>
    <x v="50"/>
    <s v="143002"/>
    <x v="185"/>
    <n v="444.6"/>
    <n v="114"/>
    <m/>
    <m/>
  </r>
  <r>
    <x v="0"/>
    <n v="2016"/>
    <s v="152"/>
    <x v="51"/>
    <s v="152001"/>
    <x v="186"/>
    <n v="1198.8"/>
    <n v="216"/>
    <n v="852.6"/>
    <n v="162"/>
  </r>
  <r>
    <x v="0"/>
    <n v="2016"/>
    <s v="153"/>
    <x v="52"/>
    <s v="153003"/>
    <x v="187"/>
    <n v="201"/>
    <n v="30"/>
    <n v="774.9"/>
    <n v="132"/>
  </r>
  <r>
    <x v="0"/>
    <n v="2016"/>
    <s v="153"/>
    <x v="52"/>
    <s v="153004"/>
    <x v="187"/>
    <n v="138.6"/>
    <n v="18"/>
    <m/>
    <m/>
  </r>
  <r>
    <x v="0"/>
    <n v="2016"/>
    <s v="153"/>
    <x v="52"/>
    <s v="153005"/>
    <x v="188"/>
    <n v="62.1"/>
    <n v="6"/>
    <n v="57"/>
    <n v="6"/>
  </r>
  <r>
    <x v="0"/>
    <n v="2016"/>
    <s v="153"/>
    <x v="52"/>
    <s v="153012"/>
    <x v="189"/>
    <n v="0"/>
    <n v="24"/>
    <m/>
    <m/>
  </r>
  <r>
    <x v="0"/>
    <n v="2016"/>
    <s v="153"/>
    <x v="52"/>
    <s v="CDV153005"/>
    <x v="190"/>
    <n v="36"/>
    <n v="4"/>
    <n v="0"/>
    <n v="6"/>
  </r>
  <r>
    <x v="0"/>
    <n v="2016"/>
    <s v="157"/>
    <x v="53"/>
    <s v="157001"/>
    <x v="191"/>
    <n v="17.7"/>
    <n v="6"/>
    <n v="148.5"/>
    <n v="54"/>
  </r>
  <r>
    <x v="0"/>
    <n v="2016"/>
    <s v="157"/>
    <x v="53"/>
    <s v="157004"/>
    <x v="192"/>
    <n v="-42.75"/>
    <n v="-33.35"/>
    <m/>
    <m/>
  </r>
  <r>
    <x v="0"/>
    <n v="2016"/>
    <s v="162"/>
    <x v="54"/>
    <s v="162001"/>
    <x v="193"/>
    <n v="1024.8"/>
    <n v="366"/>
    <n v="1518"/>
    <n v="558"/>
  </r>
  <r>
    <x v="0"/>
    <n v="2016"/>
    <s v="162"/>
    <x v="54"/>
    <s v="162002"/>
    <x v="194"/>
    <n v="456"/>
    <n v="114"/>
    <n v="189.6"/>
    <n v="48"/>
  </r>
  <r>
    <x v="0"/>
    <n v="2016"/>
    <s v="163"/>
    <x v="55"/>
    <s v="163001"/>
    <x v="195"/>
    <n v="195"/>
    <n v="30"/>
    <m/>
    <m/>
  </r>
  <r>
    <x v="0"/>
    <n v="2016"/>
    <s v="163"/>
    <x v="55"/>
    <s v="163002"/>
    <x v="195"/>
    <n v="585"/>
    <n v="90"/>
    <n v="381"/>
    <n v="60"/>
  </r>
  <r>
    <x v="0"/>
    <n v="2016"/>
    <s v="164"/>
    <x v="56"/>
    <s v="164001"/>
    <x v="196"/>
    <n v="223.2"/>
    <n v="36"/>
    <n v="37.200000000000003"/>
    <n v="6"/>
  </r>
  <r>
    <x v="0"/>
    <n v="2016"/>
    <s v="164"/>
    <x v="56"/>
    <s v="164002"/>
    <x v="196"/>
    <n v="910.8"/>
    <n v="138"/>
    <m/>
    <m/>
  </r>
  <r>
    <x v="0"/>
    <n v="2016"/>
    <s v="164"/>
    <x v="56"/>
    <s v="164005/10"/>
    <x v="197"/>
    <n v="54"/>
    <n v="6"/>
    <n v="972"/>
    <n v="108"/>
  </r>
  <r>
    <x v="0"/>
    <n v="2016"/>
    <s v="164"/>
    <x v="56"/>
    <s v="164005/12"/>
    <x v="198"/>
    <n v="486"/>
    <n v="54"/>
    <m/>
    <m/>
  </r>
  <r>
    <x v="0"/>
    <n v="2016"/>
    <s v="164"/>
    <x v="56"/>
    <s v="CDV164011"/>
    <x v="199"/>
    <n v="159.30000000000001"/>
    <n v="18"/>
    <m/>
    <m/>
  </r>
  <r>
    <x v="0"/>
    <n v="2016"/>
    <s v="168"/>
    <x v="57"/>
    <s v="168001"/>
    <x v="200"/>
    <n v="648"/>
    <n v="162"/>
    <n v="768"/>
    <n v="192"/>
  </r>
  <r>
    <x v="0"/>
    <n v="2016"/>
    <s v="168"/>
    <x v="57"/>
    <s v="168020CB"/>
    <x v="201"/>
    <n v="77.400000000000006"/>
    <n v="15"/>
    <m/>
    <m/>
  </r>
  <r>
    <x v="0"/>
    <n v="2016"/>
    <s v="169"/>
    <x v="58"/>
    <s v="169001"/>
    <x v="202"/>
    <n v="835.2"/>
    <n v="294"/>
    <n v="722.4"/>
    <n v="258"/>
  </r>
  <r>
    <x v="0"/>
    <n v="2016"/>
    <s v="169"/>
    <x v="58"/>
    <s v="169002"/>
    <x v="203"/>
    <n v="406.56"/>
    <n v="168"/>
    <n v="365.04"/>
    <n v="156"/>
  </r>
  <r>
    <x v="0"/>
    <n v="2016"/>
    <s v="169"/>
    <x v="58"/>
    <s v="169009"/>
    <x v="204"/>
    <n v="518"/>
    <n v="373.24"/>
    <n v="1148.8"/>
    <n v="853.12"/>
  </r>
  <r>
    <x v="0"/>
    <n v="2016"/>
    <s v="169"/>
    <x v="58"/>
    <s v="169010"/>
    <x v="204"/>
    <n v="336"/>
    <n v="213.44"/>
    <n v="563.45000000000005"/>
    <n v="393.53"/>
  </r>
  <r>
    <x v="0"/>
    <n v="2016"/>
    <s v="170"/>
    <x v="59"/>
    <s v="170001"/>
    <x v="205"/>
    <n v="97.5"/>
    <n v="30"/>
    <m/>
    <m/>
  </r>
  <r>
    <x v="0"/>
    <n v="2016"/>
    <s v="173"/>
    <x v="60"/>
    <s v="CDV173007"/>
    <x v="206"/>
    <n v="43.2"/>
    <n v="12"/>
    <n v="0"/>
    <n v="6"/>
  </r>
  <r>
    <x v="0"/>
    <n v="2016"/>
    <s v="174"/>
    <x v="61"/>
    <s v="174001"/>
    <x v="207"/>
    <n v="1138.32"/>
    <n v="312"/>
    <n v="736.56"/>
    <n v="198"/>
  </r>
  <r>
    <x v="0"/>
    <n v="2016"/>
    <s v="174"/>
    <x v="61"/>
    <s v="174002"/>
    <x v="208"/>
    <n v="257.04000000000002"/>
    <n v="48"/>
    <n v="109.98"/>
    <n v="18"/>
  </r>
  <r>
    <x v="0"/>
    <n v="2016"/>
    <s v="174"/>
    <x v="61"/>
    <s v="174003"/>
    <x v="209"/>
    <n v="1081.2"/>
    <n v="528"/>
    <m/>
    <m/>
  </r>
  <r>
    <x v="0"/>
    <n v="2016"/>
    <s v="174"/>
    <x v="61"/>
    <s v="174010"/>
    <x v="210"/>
    <n v="266"/>
    <n v="266.60000000000002"/>
    <n v="359.1"/>
    <n v="359.91"/>
  </r>
  <r>
    <x v="0"/>
    <n v="2016"/>
    <s v="174"/>
    <x v="61"/>
    <s v="174011"/>
    <x v="210"/>
    <n v="412.87"/>
    <n v="360.18"/>
    <n v="420.66"/>
    <n v="366.85"/>
  </r>
  <r>
    <x v="0"/>
    <n v="2016"/>
    <s v="174"/>
    <x v="61"/>
    <s v="174015"/>
    <x v="211"/>
    <n v="702"/>
    <n v="533.20000000000005"/>
    <n v="169.84"/>
    <n v="146.63"/>
  </r>
  <r>
    <x v="0"/>
    <n v="2016"/>
    <s v="174"/>
    <x v="61"/>
    <s v="174016"/>
    <x v="211"/>
    <n v="229.08"/>
    <n v="153.41"/>
    <n v="630.72"/>
    <n v="480.24"/>
  </r>
  <r>
    <x v="0"/>
    <n v="2016"/>
    <s v="174"/>
    <x v="61"/>
    <s v="174020"/>
    <x v="212"/>
    <n v="0"/>
    <n v="6.67"/>
    <m/>
    <m/>
  </r>
  <r>
    <x v="0"/>
    <n v="2016"/>
    <s v="175"/>
    <x v="62"/>
    <s v="175001"/>
    <x v="213"/>
    <n v="1043.4000000000001"/>
    <n v="288"/>
    <n v="691.2"/>
    <n v="192"/>
  </r>
  <r>
    <x v="0"/>
    <n v="2016"/>
    <s v="175"/>
    <x v="62"/>
    <s v="175002"/>
    <x v="213"/>
    <n v="421.8"/>
    <n v="114"/>
    <n v="712.8"/>
    <n v="192"/>
  </r>
  <r>
    <x v="0"/>
    <n v="2016"/>
    <s v="190"/>
    <x v="63"/>
    <s v="190001"/>
    <x v="214"/>
    <n v="618.24"/>
    <n v="192"/>
    <n v="37.92"/>
    <n v="12"/>
  </r>
  <r>
    <x v="0"/>
    <n v="2016"/>
    <s v="199"/>
    <x v="64"/>
    <s v="199001"/>
    <x v="215"/>
    <n v="483.6"/>
    <n v="78"/>
    <n v="216"/>
    <n v="36"/>
  </r>
  <r>
    <x v="0"/>
    <n v="2016"/>
    <s v="199"/>
    <x v="64"/>
    <s v="199002"/>
    <x v="216"/>
    <n v="78"/>
    <n v="6"/>
    <m/>
    <m/>
  </r>
  <r>
    <x v="0"/>
    <n v="2016"/>
    <s v="199"/>
    <x v="64"/>
    <s v="199003"/>
    <x v="217"/>
    <n v="100.8"/>
    <n v="24"/>
    <m/>
    <m/>
  </r>
  <r>
    <x v="0"/>
    <n v="2016"/>
    <s v="201"/>
    <x v="65"/>
    <s v="201001"/>
    <x v="218"/>
    <n v="235.6"/>
    <n v="213.44"/>
    <n v="285.87"/>
    <n v="546.93999999999994"/>
  </r>
  <r>
    <x v="0"/>
    <n v="2016"/>
    <s v="201"/>
    <x v="65"/>
    <s v="201002"/>
    <x v="218"/>
    <n v="1457.5"/>
    <n v="1466.3"/>
    <n v="684.72"/>
    <n v="1746.23"/>
  </r>
  <r>
    <x v="0"/>
    <n v="2016"/>
    <s v="201"/>
    <x v="65"/>
    <s v="201003"/>
    <x v="219"/>
    <n v="311.60000000000002"/>
    <n v="1367.35"/>
    <n v="557.08000000000004"/>
    <n v="513.59"/>
  </r>
  <r>
    <x v="0"/>
    <n v="2016"/>
    <s v="201"/>
    <x v="65"/>
    <s v="201004"/>
    <x v="219"/>
    <n v="675.75"/>
    <n v="1786.22"/>
    <n v="2853"/>
    <n v="2999.25"/>
  </r>
  <r>
    <x v="0"/>
    <n v="2016"/>
    <s v="201"/>
    <x v="65"/>
    <s v="201006"/>
    <x v="220"/>
    <n v="1252.8"/>
    <n v="522"/>
    <n v="782.88"/>
    <n v="342"/>
  </r>
  <r>
    <x v="0"/>
    <n v="2016"/>
    <s v="201"/>
    <x v="65"/>
    <s v="201007"/>
    <x v="221"/>
    <n v="133.19999999999999"/>
    <n v="24"/>
    <m/>
    <m/>
  </r>
  <r>
    <x v="0"/>
    <n v="2016"/>
    <s v="201"/>
    <x v="65"/>
    <s v="201008"/>
    <x v="222"/>
    <n v="422.4"/>
    <n v="132"/>
    <n v="0"/>
    <n v="6"/>
  </r>
  <r>
    <x v="0"/>
    <n v="2016"/>
    <s v="201"/>
    <x v="65"/>
    <s v="201011"/>
    <x v="223"/>
    <n v="131.30000000000001"/>
    <n v="86.71"/>
    <n v="194.6"/>
    <n v="133.4"/>
  </r>
  <r>
    <x v="0"/>
    <n v="2016"/>
    <s v="201"/>
    <x v="65"/>
    <s v="201012"/>
    <x v="224"/>
    <n v="345.6"/>
    <n v="102"/>
    <n v="466.48"/>
    <n v="144"/>
  </r>
  <r>
    <x v="0"/>
    <n v="2016"/>
    <s v="201"/>
    <x v="65"/>
    <s v="201013"/>
    <x v="225"/>
    <n v="40.5"/>
    <n v="12"/>
    <n v="156.66"/>
    <n v="42"/>
  </r>
  <r>
    <x v="0"/>
    <n v="2016"/>
    <s v="201"/>
    <x v="65"/>
    <s v="201014"/>
    <x v="226"/>
    <n v="360"/>
    <n v="120"/>
    <n v="207.36"/>
    <n v="72"/>
  </r>
  <r>
    <x v="0"/>
    <n v="2016"/>
    <s v="201"/>
    <x v="65"/>
    <s v="201015"/>
    <x v="227"/>
    <n v="288"/>
    <n v="90"/>
    <m/>
    <m/>
  </r>
  <r>
    <x v="0"/>
    <n v="2016"/>
    <s v="201"/>
    <x v="65"/>
    <s v="201023"/>
    <x v="228"/>
    <n v="0"/>
    <n v="196"/>
    <n v="77.16"/>
    <n v="48"/>
  </r>
  <r>
    <x v="0"/>
    <n v="2016"/>
    <s v="201"/>
    <x v="65"/>
    <s v="201026"/>
    <x v="229"/>
    <n v="136.80000000000001"/>
    <n v="72"/>
    <m/>
    <m/>
  </r>
  <r>
    <x v="0"/>
    <n v="2016"/>
    <s v="201"/>
    <x v="65"/>
    <s v="201027"/>
    <x v="229"/>
    <n v="-22.8"/>
    <n v="-12"/>
    <m/>
    <m/>
  </r>
  <r>
    <x v="0"/>
    <n v="2016"/>
    <s v="202"/>
    <x v="66"/>
    <s v="202001"/>
    <x v="230"/>
    <n v="538.55999999999995"/>
    <n v="270"/>
    <n v="582.12"/>
    <n v="300"/>
  </r>
  <r>
    <x v="0"/>
    <n v="2016"/>
    <s v="202"/>
    <x v="66"/>
    <s v="202002"/>
    <x v="230"/>
    <n v="293.76"/>
    <n v="144"/>
    <n v="415.8"/>
    <n v="210"/>
  </r>
  <r>
    <x v="0"/>
    <n v="2016"/>
    <s v="202"/>
    <x v="66"/>
    <s v="202003"/>
    <x v="230"/>
    <n v="0"/>
    <n v="6"/>
    <n v="249.48"/>
    <n v="126"/>
  </r>
  <r>
    <x v="0"/>
    <n v="2016"/>
    <s v="202"/>
    <x v="66"/>
    <s v="202004"/>
    <x v="231"/>
    <n v="33.24"/>
    <n v="18"/>
    <m/>
    <m/>
  </r>
  <r>
    <x v="0"/>
    <n v="2016"/>
    <s v="202"/>
    <x v="66"/>
    <s v="202005"/>
    <x v="231"/>
    <n v="66.48"/>
    <n v="30"/>
    <m/>
    <m/>
  </r>
  <r>
    <x v="0"/>
    <n v="2016"/>
    <s v="202"/>
    <x v="66"/>
    <s v="202006"/>
    <x v="231"/>
    <n v="66.48"/>
    <n v="24"/>
    <m/>
    <m/>
  </r>
  <r>
    <x v="0"/>
    <n v="2016"/>
    <s v="202"/>
    <x v="66"/>
    <s v="202007"/>
    <x v="232"/>
    <n v="13.08"/>
    <n v="6"/>
    <m/>
    <m/>
  </r>
  <r>
    <x v="0"/>
    <n v="2016"/>
    <s v="202"/>
    <x v="66"/>
    <s v="202010"/>
    <x v="233"/>
    <n v="35.6"/>
    <n v="26.68"/>
    <m/>
    <m/>
  </r>
  <r>
    <x v="0"/>
    <n v="2016"/>
    <s v="205"/>
    <x v="67"/>
    <s v="205001"/>
    <x v="234"/>
    <n v="620.4"/>
    <n v="282"/>
    <n v="453.6"/>
    <n v="216"/>
  </r>
  <r>
    <x v="0"/>
    <n v="2016"/>
    <s v="205"/>
    <x v="67"/>
    <s v="205002"/>
    <x v="235"/>
    <n v="42.3"/>
    <n v="18"/>
    <n v="28.2"/>
    <n v="18"/>
  </r>
  <r>
    <x v="0"/>
    <n v="2016"/>
    <s v="205"/>
    <x v="67"/>
    <s v="205003"/>
    <x v="236"/>
    <n v="153.30000000000001"/>
    <n v="42"/>
    <n v="175.2"/>
    <n v="60"/>
  </r>
  <r>
    <x v="0"/>
    <n v="2016"/>
    <s v="205"/>
    <x v="67"/>
    <s v="205004"/>
    <x v="237"/>
    <n v="141"/>
    <n v="66"/>
    <m/>
    <m/>
  </r>
  <r>
    <x v="0"/>
    <n v="2016"/>
    <s v="229"/>
    <x v="68"/>
    <s v="229005"/>
    <x v="238"/>
    <n v="369.6"/>
    <n v="90"/>
    <m/>
    <m/>
  </r>
  <r>
    <x v="0"/>
    <n v="2016"/>
    <s v="229"/>
    <x v="68"/>
    <s v="229006"/>
    <x v="239"/>
    <n v="0"/>
    <n v="6"/>
    <m/>
    <m/>
  </r>
  <r>
    <x v="0"/>
    <n v="2016"/>
    <s v="229"/>
    <x v="68"/>
    <s v="229007"/>
    <x v="240"/>
    <n v="0"/>
    <n v="6"/>
    <m/>
    <m/>
  </r>
  <r>
    <x v="0"/>
    <n v="2016"/>
    <s v="229"/>
    <x v="68"/>
    <s v="229008"/>
    <x v="241"/>
    <n v="488.4"/>
    <n v="132"/>
    <m/>
    <m/>
  </r>
  <r>
    <x v="0"/>
    <n v="2016"/>
    <s v="229"/>
    <x v="68"/>
    <s v="229009"/>
    <x v="241"/>
    <n v="0"/>
    <n v="12"/>
    <m/>
    <m/>
  </r>
  <r>
    <x v="0"/>
    <n v="2016"/>
    <s v="229"/>
    <x v="68"/>
    <s v="229020"/>
    <x v="242"/>
    <n v="0"/>
    <n v="6"/>
    <m/>
    <m/>
  </r>
  <r>
    <x v="1"/>
    <n v="2016"/>
    <s v="002"/>
    <x v="1"/>
    <s v="002001"/>
    <x v="5"/>
    <n v="2184.84"/>
    <n v="1934.3"/>
    <n v="2058.6"/>
    <n v="1914.29"/>
  </r>
  <r>
    <x v="1"/>
    <n v="2016"/>
    <s v="002"/>
    <x v="1"/>
    <s v="002002"/>
    <x v="6"/>
    <n v="7115.25"/>
    <n v="7211.53"/>
    <n v="6387.2"/>
    <n v="6718.32"/>
  </r>
  <r>
    <x v="1"/>
    <n v="2016"/>
    <s v="002"/>
    <x v="1"/>
    <s v="002003"/>
    <x v="7"/>
    <n v="4822.95"/>
    <n v="5438.64"/>
    <n v="4058.4"/>
    <n v="4772.1400000000003"/>
  </r>
  <r>
    <x v="1"/>
    <n v="2016"/>
    <s v="002"/>
    <x v="1"/>
    <s v="002004"/>
    <x v="7"/>
    <n v="1127.8800000000001"/>
    <n v="1047.19"/>
    <n v="757.55"/>
    <n v="787.06"/>
  </r>
  <r>
    <x v="1"/>
    <n v="2016"/>
    <s v="002"/>
    <x v="1"/>
    <s v="002007"/>
    <x v="8"/>
    <n v="1273.8"/>
    <n v="1479.63"/>
    <n v="2462.4"/>
    <n v="3052.57"/>
  </r>
  <r>
    <x v="1"/>
    <n v="2016"/>
    <s v="002"/>
    <x v="1"/>
    <s v="002008"/>
    <x v="9"/>
    <n v="269.39999999999998"/>
    <n v="346.71000000000004"/>
    <n v="4641"/>
    <n v="6347.46"/>
  </r>
  <r>
    <x v="1"/>
    <n v="2016"/>
    <s v="002"/>
    <x v="1"/>
    <s v="002009"/>
    <x v="9"/>
    <n v="112.25"/>
    <n v="133.35000000000002"/>
    <n v="760.5"/>
    <n v="1040.1300000000001"/>
  </r>
  <r>
    <x v="1"/>
    <n v="2016"/>
    <s v="002"/>
    <x v="1"/>
    <s v="002010"/>
    <x v="10"/>
    <n v="1143.9000000000001"/>
    <n v="840.42"/>
    <n v="1496"/>
    <n v="1153.9100000000001"/>
  </r>
  <r>
    <x v="1"/>
    <n v="2016"/>
    <s v="002"/>
    <x v="1"/>
    <s v="002011"/>
    <x v="11"/>
    <n v="2168.12"/>
    <n v="1786.22"/>
    <n v="1852.6"/>
    <n v="1572.94"/>
  </r>
  <r>
    <x v="1"/>
    <n v="2016"/>
    <s v="002"/>
    <x v="1"/>
    <s v="002015"/>
    <x v="11"/>
    <n v="1310.58"/>
    <n v="1079.73"/>
    <n v="1679.9"/>
    <n v="1426.31"/>
  </r>
  <r>
    <x v="1"/>
    <n v="2016"/>
    <s v="002"/>
    <x v="1"/>
    <s v="002016"/>
    <x v="11"/>
    <n v="998.8"/>
    <n v="733.7"/>
    <n v="1504.8"/>
    <n v="1167.25"/>
  </r>
  <r>
    <x v="1"/>
    <n v="2016"/>
    <s v="002"/>
    <x v="1"/>
    <s v="002017"/>
    <x v="12"/>
    <n v="3073.72"/>
    <n v="3465.8"/>
    <n v="2760"/>
    <n v="3225.86"/>
  </r>
  <r>
    <x v="1"/>
    <n v="2016"/>
    <s v="002"/>
    <x v="1"/>
    <s v="002018"/>
    <x v="12"/>
    <n v="1160"/>
    <n v="1073.8699999999999"/>
    <n v="1723.6"/>
    <n v="1714.19"/>
  </r>
  <r>
    <x v="1"/>
    <n v="2016"/>
    <s v="002"/>
    <x v="1"/>
    <s v="002020"/>
    <x v="13"/>
    <n v="1440"/>
    <n v="600"/>
    <n v="880.9"/>
    <n v="390"/>
  </r>
  <r>
    <x v="1"/>
    <n v="2016"/>
    <s v="002"/>
    <x v="1"/>
    <s v="002021"/>
    <x v="14"/>
    <n v="21.84"/>
    <n v="12"/>
    <m/>
    <m/>
  </r>
  <r>
    <x v="1"/>
    <n v="2016"/>
    <s v="002"/>
    <x v="1"/>
    <s v="002024"/>
    <x v="16"/>
    <n v="24"/>
    <n v="12"/>
    <m/>
    <m/>
  </r>
  <r>
    <x v="1"/>
    <n v="2016"/>
    <s v="002"/>
    <x v="1"/>
    <s v="002025"/>
    <x v="14"/>
    <n v="78.84"/>
    <n v="36"/>
    <m/>
    <m/>
  </r>
  <r>
    <x v="1"/>
    <n v="2016"/>
    <s v="002"/>
    <x v="1"/>
    <s v="002037"/>
    <x v="243"/>
    <n v="413.28"/>
    <n v="144"/>
    <m/>
    <m/>
  </r>
  <r>
    <x v="1"/>
    <n v="2016"/>
    <s v="002"/>
    <x v="1"/>
    <s v="002040"/>
    <x v="20"/>
    <n v="170.82"/>
    <n v="78"/>
    <m/>
    <m/>
  </r>
  <r>
    <x v="1"/>
    <n v="2016"/>
    <s v="002"/>
    <x v="1"/>
    <s v="002100"/>
    <x v="21"/>
    <n v="249.12"/>
    <n v="144"/>
    <n v="378.48"/>
    <n v="228"/>
  </r>
  <r>
    <x v="1"/>
    <n v="2016"/>
    <s v="002"/>
    <x v="1"/>
    <s v="002101"/>
    <x v="22"/>
    <n v="41.52"/>
    <n v="24"/>
    <m/>
    <m/>
  </r>
  <r>
    <x v="1"/>
    <n v="2016"/>
    <s v="002"/>
    <x v="1"/>
    <s v="002903"/>
    <x v="27"/>
    <n v="-91.6"/>
    <n v="-106.68"/>
    <m/>
    <m/>
  </r>
  <r>
    <x v="1"/>
    <n v="2016"/>
    <s v="002"/>
    <x v="1"/>
    <s v="002905"/>
    <x v="25"/>
    <n v="108"/>
    <n v="133.30000000000001"/>
    <n v="205.2"/>
    <n v="253.27"/>
  </r>
  <r>
    <x v="1"/>
    <n v="2016"/>
    <s v="007"/>
    <x v="2"/>
    <s v="007001"/>
    <x v="244"/>
    <n v="21.9"/>
    <n v="6"/>
    <m/>
    <m/>
  </r>
  <r>
    <x v="1"/>
    <n v="2016"/>
    <s v="007"/>
    <x v="2"/>
    <s v="007002"/>
    <x v="28"/>
    <n v="319.8"/>
    <n v="78"/>
    <n v="257.39999999999998"/>
    <n v="66"/>
  </r>
  <r>
    <x v="1"/>
    <n v="2016"/>
    <s v="007"/>
    <x v="2"/>
    <s v="007003"/>
    <x v="29"/>
    <n v="93.6"/>
    <n v="18"/>
    <m/>
    <m/>
  </r>
  <r>
    <x v="1"/>
    <n v="2016"/>
    <s v="007"/>
    <x v="2"/>
    <s v="007004"/>
    <x v="30"/>
    <n v="40.5"/>
    <n v="6"/>
    <n v="268.8"/>
    <n v="42"/>
  </r>
  <r>
    <x v="1"/>
    <n v="2016"/>
    <s v="007"/>
    <x v="2"/>
    <s v="007006"/>
    <x v="32"/>
    <n v="354"/>
    <n v="60"/>
    <n v="134.4"/>
    <n v="24"/>
  </r>
  <r>
    <x v="1"/>
    <n v="2016"/>
    <s v="010"/>
    <x v="3"/>
    <s v="010001"/>
    <x v="33"/>
    <n v="218.4"/>
    <n v="42"/>
    <n v="88.2"/>
    <n v="24"/>
  </r>
  <r>
    <x v="1"/>
    <n v="2016"/>
    <s v="011"/>
    <x v="4"/>
    <s v="011001"/>
    <x v="34"/>
    <n v="1556.1"/>
    <n v="390"/>
    <n v="1053.3599999999999"/>
    <n v="270"/>
  </r>
  <r>
    <x v="1"/>
    <n v="2016"/>
    <s v="011"/>
    <x v="4"/>
    <s v="011005"/>
    <x v="245"/>
    <n v="823.2"/>
    <n v="168"/>
    <n v="456"/>
    <n v="96"/>
  </r>
  <r>
    <x v="1"/>
    <n v="2016"/>
    <s v="011"/>
    <x v="4"/>
    <s v="011006"/>
    <x v="35"/>
    <n v="107.76"/>
    <n v="24"/>
    <m/>
    <m/>
  </r>
  <r>
    <x v="1"/>
    <n v="2016"/>
    <s v="019"/>
    <x v="5"/>
    <s v="019003"/>
    <x v="36"/>
    <n v="1940.1"/>
    <n v="876"/>
    <n v="3021.48"/>
    <n v="1386"/>
  </r>
  <r>
    <x v="1"/>
    <n v="2016"/>
    <s v="019"/>
    <x v="5"/>
    <s v="019004"/>
    <x v="36"/>
    <n v="17.399999999999999"/>
    <n v="6"/>
    <m/>
    <m/>
  </r>
  <r>
    <x v="1"/>
    <n v="2016"/>
    <s v="019"/>
    <x v="5"/>
    <s v="019008"/>
    <x v="37"/>
    <n v="752.7"/>
    <n v="519.87"/>
    <n v="718.2"/>
    <n v="506.54"/>
  </r>
  <r>
    <x v="1"/>
    <n v="2016"/>
    <s v="019"/>
    <x v="5"/>
    <s v="019009"/>
    <x v="37"/>
    <n v="792"/>
    <n v="480.24"/>
    <n v="626.4"/>
    <n v="393.53"/>
  </r>
  <r>
    <x v="1"/>
    <n v="2016"/>
    <s v="019"/>
    <x v="5"/>
    <s v="019011"/>
    <x v="38"/>
    <n v="162"/>
    <n v="72"/>
    <n v="182.04"/>
    <n v="72"/>
  </r>
  <r>
    <x v="1"/>
    <n v="2016"/>
    <s v="019"/>
    <x v="5"/>
    <s v="019015"/>
    <x v="39"/>
    <n v="94.5"/>
    <n v="42"/>
    <n v="80.28"/>
    <n v="42"/>
  </r>
  <r>
    <x v="1"/>
    <n v="2016"/>
    <s v="025"/>
    <x v="6"/>
    <s v="025001"/>
    <x v="40"/>
    <n v="1018.5"/>
    <n v="150"/>
    <n v="1104.9000000000001"/>
    <n v="186"/>
  </r>
  <r>
    <x v="1"/>
    <n v="2016"/>
    <s v="025"/>
    <x v="6"/>
    <s v="025003"/>
    <x v="246"/>
    <n v="229.5"/>
    <n v="30"/>
    <n v="252.72"/>
    <n v="38"/>
  </r>
  <r>
    <x v="1"/>
    <n v="2016"/>
    <s v="025"/>
    <x v="6"/>
    <s v="025010"/>
    <x v="41"/>
    <n v="366.3"/>
    <n v="66"/>
    <n v="572.4"/>
    <n v="114"/>
  </r>
  <r>
    <x v="1"/>
    <n v="2016"/>
    <s v="025"/>
    <x v="6"/>
    <s v="025013"/>
    <x v="42"/>
    <n v="116.4"/>
    <n v="24"/>
    <n v="26.22"/>
    <n v="12"/>
  </r>
  <r>
    <x v="1"/>
    <n v="2016"/>
    <s v="025"/>
    <x v="6"/>
    <s v="025015"/>
    <x v="43"/>
    <n v="436.62"/>
    <n v="114"/>
    <n v="749.88"/>
    <n v="216"/>
  </r>
  <r>
    <x v="1"/>
    <n v="2016"/>
    <s v="025"/>
    <x v="6"/>
    <s v="025016"/>
    <x v="247"/>
    <n v="14.58"/>
    <n v="6"/>
    <m/>
    <m/>
  </r>
  <r>
    <x v="1"/>
    <n v="2016"/>
    <s v="025"/>
    <x v="6"/>
    <s v="025021"/>
    <x v="44"/>
    <n v="898.8"/>
    <n v="84"/>
    <n v="477.12"/>
    <n v="48"/>
  </r>
  <r>
    <x v="1"/>
    <n v="2016"/>
    <s v="025"/>
    <x v="6"/>
    <s v="025026"/>
    <x v="45"/>
    <n v="1003.2"/>
    <n v="330"/>
    <n v="2280.2399999999998"/>
    <n v="846"/>
  </r>
  <r>
    <x v="1"/>
    <n v="2016"/>
    <s v="025"/>
    <x v="6"/>
    <s v="025031"/>
    <x v="46"/>
    <n v="267.36"/>
    <n v="48"/>
    <n v="257.27999999999997"/>
    <n v="48"/>
  </r>
  <r>
    <x v="1"/>
    <n v="2016"/>
    <s v="025"/>
    <x v="6"/>
    <s v="025033"/>
    <x v="47"/>
    <n v="49.68"/>
    <n v="12"/>
    <n v="202.08"/>
    <n v="48"/>
  </r>
  <r>
    <x v="1"/>
    <n v="2016"/>
    <s v="028"/>
    <x v="7"/>
    <s v="028001"/>
    <x v="48"/>
    <n v="721.5"/>
    <n v="228"/>
    <n v="624"/>
    <n v="192"/>
  </r>
  <r>
    <x v="1"/>
    <n v="2016"/>
    <s v="028"/>
    <x v="7"/>
    <s v="028005"/>
    <x v="49"/>
    <n v="134.4"/>
    <n v="48"/>
    <n v="201.6"/>
    <n v="72"/>
  </r>
  <r>
    <x v="1"/>
    <n v="2016"/>
    <s v="028"/>
    <x v="7"/>
    <s v="028006"/>
    <x v="248"/>
    <n v="48.6"/>
    <n v="12"/>
    <n v="48.6"/>
    <n v="12"/>
  </r>
  <r>
    <x v="1"/>
    <n v="2016"/>
    <s v="028"/>
    <x v="7"/>
    <s v="028007"/>
    <x v="50"/>
    <n v="316.39999999999998"/>
    <n v="186.62"/>
    <n v="67.8"/>
    <n v="39.99"/>
  </r>
  <r>
    <x v="1"/>
    <n v="2016"/>
    <s v="028"/>
    <x v="7"/>
    <s v="028008"/>
    <x v="51"/>
    <n v="106.4"/>
    <n v="53.36"/>
    <n v="385.7"/>
    <n v="193.43"/>
  </r>
  <r>
    <x v="1"/>
    <n v="2016"/>
    <s v="028"/>
    <x v="7"/>
    <s v="028013"/>
    <x v="52"/>
    <n v="453.9"/>
    <n v="102"/>
    <n v="267"/>
    <n v="60"/>
  </r>
  <r>
    <x v="1"/>
    <n v="2016"/>
    <s v="029"/>
    <x v="8"/>
    <s v="029015"/>
    <x v="55"/>
    <n v="28.8"/>
    <n v="12"/>
    <m/>
    <m/>
  </r>
  <r>
    <x v="1"/>
    <n v="2016"/>
    <s v="035"/>
    <x v="9"/>
    <s v="035001"/>
    <x v="56"/>
    <n v="1800"/>
    <n v="450"/>
    <n v="1212.3"/>
    <n v="330"/>
  </r>
  <r>
    <x v="1"/>
    <n v="2016"/>
    <s v="035"/>
    <x v="9"/>
    <s v="035002"/>
    <x v="56"/>
    <n v="120"/>
    <n v="24"/>
    <n v="111.84"/>
    <n v="24"/>
  </r>
  <r>
    <x v="1"/>
    <n v="2016"/>
    <s v="035"/>
    <x v="9"/>
    <s v="035010"/>
    <x v="57"/>
    <n v="235.62"/>
    <n v="66"/>
    <n v="185.22"/>
    <n v="60"/>
  </r>
  <r>
    <x v="1"/>
    <n v="2016"/>
    <s v="036"/>
    <x v="10"/>
    <s v="036001"/>
    <x v="58"/>
    <n v="252"/>
    <n v="90"/>
    <n v="748.8"/>
    <n v="318"/>
  </r>
  <r>
    <x v="1"/>
    <n v="2016"/>
    <s v="036"/>
    <x v="10"/>
    <s v="036010"/>
    <x v="249"/>
    <n v="124"/>
    <n v="133.30000000000001"/>
    <n v="170.8"/>
    <n v="186.62"/>
  </r>
  <r>
    <x v="1"/>
    <n v="2016"/>
    <s v="036"/>
    <x v="10"/>
    <s v="036011"/>
    <x v="59"/>
    <n v="151.19999999999999"/>
    <n v="140.07"/>
    <n v="91"/>
    <n v="100.05"/>
  </r>
  <r>
    <x v="1"/>
    <n v="2016"/>
    <s v="037"/>
    <x v="11"/>
    <s v="037003"/>
    <x v="60"/>
    <n v="66.599999999999994"/>
    <n v="24"/>
    <n v="44.4"/>
    <n v="12"/>
  </r>
  <r>
    <x v="1"/>
    <n v="2016"/>
    <s v="037"/>
    <x v="11"/>
    <s v="037010"/>
    <x v="61"/>
    <n v="873.6"/>
    <n v="192"/>
    <n v="54.6"/>
    <n v="12"/>
  </r>
  <r>
    <x v="1"/>
    <n v="2016"/>
    <s v="039"/>
    <x v="12"/>
    <s v="039002"/>
    <x v="62"/>
    <n v="76.2"/>
    <n v="26.68"/>
    <m/>
    <m/>
  </r>
  <r>
    <x v="1"/>
    <n v="2016"/>
    <s v="039"/>
    <x v="12"/>
    <s v="039013"/>
    <x v="250"/>
    <n v="106.56"/>
    <n v="24"/>
    <m/>
    <m/>
  </r>
  <r>
    <x v="1"/>
    <n v="2016"/>
    <s v="039"/>
    <x v="12"/>
    <s v="039017"/>
    <x v="63"/>
    <n v="189"/>
    <n v="54"/>
    <n v="84"/>
    <n v="24"/>
  </r>
  <r>
    <x v="1"/>
    <n v="2016"/>
    <s v="039"/>
    <x v="12"/>
    <s v="039018"/>
    <x v="64"/>
    <n v="92.82"/>
    <n v="42"/>
    <m/>
    <m/>
  </r>
  <r>
    <x v="1"/>
    <n v="2016"/>
    <s v="039"/>
    <x v="12"/>
    <s v="039028"/>
    <x v="65"/>
    <n v="141.6"/>
    <n v="30"/>
    <n v="141.6"/>
    <n v="30"/>
  </r>
  <r>
    <x v="1"/>
    <n v="2016"/>
    <s v="039"/>
    <x v="12"/>
    <s v="039030"/>
    <x v="66"/>
    <n v="43.32"/>
    <n v="12"/>
    <n v="43.32"/>
    <n v="12"/>
  </r>
  <r>
    <x v="1"/>
    <n v="2016"/>
    <s v="040"/>
    <x v="13"/>
    <s v="040006"/>
    <x v="67"/>
    <n v="1706.4"/>
    <n v="480"/>
    <n v="2289.6"/>
    <n v="636"/>
  </r>
  <r>
    <x v="1"/>
    <n v="2016"/>
    <s v="040"/>
    <x v="13"/>
    <s v="040007"/>
    <x v="68"/>
    <n v="486.55"/>
    <n v="260.13"/>
    <n v="349.65"/>
    <n v="186.76"/>
  </r>
  <r>
    <x v="1"/>
    <n v="2016"/>
    <s v="040"/>
    <x v="13"/>
    <s v="040008"/>
    <x v="68"/>
    <n v="378"/>
    <n v="199.95"/>
    <n v="323.05"/>
    <n v="173.29"/>
  </r>
  <r>
    <x v="1"/>
    <n v="2016"/>
    <s v="040"/>
    <x v="13"/>
    <s v="040009CB"/>
    <x v="251"/>
    <n v="15.39"/>
    <n v="3"/>
    <n v="30.78"/>
    <n v="6"/>
  </r>
  <r>
    <x v="1"/>
    <n v="2016"/>
    <s v="040"/>
    <x v="13"/>
    <s v="040011"/>
    <x v="69"/>
    <n v="81"/>
    <n v="18"/>
    <n v="81"/>
    <n v="18"/>
  </r>
  <r>
    <x v="1"/>
    <n v="2016"/>
    <s v="040"/>
    <x v="13"/>
    <s v="040012"/>
    <x v="69"/>
    <n v="144.9"/>
    <n v="36"/>
    <n v="96.6"/>
    <n v="24"/>
  </r>
  <r>
    <x v="1"/>
    <n v="2016"/>
    <s v="040"/>
    <x v="13"/>
    <s v="040015"/>
    <x v="70"/>
    <n v="623.70000000000005"/>
    <n v="126"/>
    <n v="57"/>
    <n v="12"/>
  </r>
  <r>
    <x v="1"/>
    <n v="2016"/>
    <s v="041"/>
    <x v="14"/>
    <s v="041002"/>
    <x v="72"/>
    <n v="415.8"/>
    <n v="36"/>
    <n v="135.6"/>
    <n v="12"/>
  </r>
  <r>
    <x v="1"/>
    <n v="2016"/>
    <s v="041"/>
    <x v="14"/>
    <s v="041006"/>
    <x v="252"/>
    <n v="54"/>
    <n v="6"/>
    <m/>
    <m/>
  </r>
  <r>
    <x v="1"/>
    <n v="2016"/>
    <s v="041"/>
    <x v="14"/>
    <s v="041011"/>
    <x v="253"/>
    <n v="105"/>
    <n v="12"/>
    <n v="210"/>
    <n v="24"/>
  </r>
  <r>
    <x v="1"/>
    <n v="2016"/>
    <s v="041"/>
    <x v="14"/>
    <s v="041016"/>
    <x v="73"/>
    <n v="350.7"/>
    <n v="42"/>
    <m/>
    <m/>
  </r>
  <r>
    <x v="1"/>
    <n v="2016"/>
    <s v="042"/>
    <x v="15"/>
    <s v="042100"/>
    <x v="74"/>
    <n v="576"/>
    <n v="79998.000000000015"/>
    <m/>
    <m/>
  </r>
  <r>
    <x v="1"/>
    <n v="2016"/>
    <s v="046"/>
    <x v="16"/>
    <s v="046001"/>
    <x v="75"/>
    <n v="270.60000000000002"/>
    <n v="66"/>
    <n v="136.80000000000001"/>
    <n v="36"/>
  </r>
  <r>
    <x v="1"/>
    <n v="2016"/>
    <s v="046"/>
    <x v="16"/>
    <s v="046010"/>
    <x v="76"/>
    <n v="230.4"/>
    <n v="36"/>
    <m/>
    <m/>
  </r>
  <r>
    <x v="1"/>
    <n v="2016"/>
    <s v="046"/>
    <x v="16"/>
    <s v="046015"/>
    <x v="77"/>
    <n v="126"/>
    <n v="36"/>
    <n v="57.6"/>
    <n v="18"/>
  </r>
  <r>
    <x v="1"/>
    <n v="2016"/>
    <s v="046"/>
    <x v="16"/>
    <s v="046020"/>
    <x v="78"/>
    <n v="126"/>
    <n v="18"/>
    <m/>
    <m/>
  </r>
  <r>
    <x v="1"/>
    <n v="2016"/>
    <s v="046"/>
    <x v="16"/>
    <s v="046025"/>
    <x v="254"/>
    <n v="69.599999999999994"/>
    <n v="12"/>
    <m/>
    <m/>
  </r>
  <r>
    <x v="1"/>
    <n v="2016"/>
    <s v="049"/>
    <x v="18"/>
    <s v="049007"/>
    <x v="80"/>
    <n v="237.6"/>
    <n v="72"/>
    <n v="217.8"/>
    <n v="66"/>
  </r>
  <r>
    <x v="1"/>
    <n v="2016"/>
    <s v="049"/>
    <x v="18"/>
    <s v="049014"/>
    <x v="255"/>
    <n v="67.5"/>
    <n v="36"/>
    <m/>
    <m/>
  </r>
  <r>
    <x v="1"/>
    <n v="2016"/>
    <s v="049"/>
    <x v="18"/>
    <s v="049015"/>
    <x v="81"/>
    <n v="68.400000000000006"/>
    <n v="30"/>
    <n v="444.6"/>
    <n v="162"/>
  </r>
  <r>
    <x v="1"/>
    <n v="2016"/>
    <s v="049"/>
    <x v="18"/>
    <s v="049016"/>
    <x v="81"/>
    <n v="43.2"/>
    <n v="12"/>
    <n v="126"/>
    <n v="36"/>
  </r>
  <r>
    <x v="1"/>
    <n v="2016"/>
    <s v="049"/>
    <x v="18"/>
    <s v="049020"/>
    <x v="82"/>
    <n v="661.5"/>
    <n v="300"/>
    <n v="399.9"/>
    <n v="198"/>
  </r>
  <r>
    <x v="1"/>
    <n v="2016"/>
    <s v="049"/>
    <x v="18"/>
    <s v="049027"/>
    <x v="80"/>
    <n v="40.5"/>
    <n v="12"/>
    <m/>
    <m/>
  </r>
  <r>
    <x v="1"/>
    <n v="2016"/>
    <s v="050"/>
    <x v="19"/>
    <s v="050001"/>
    <x v="83"/>
    <n v="1228.8"/>
    <n v="390"/>
    <n v="1833.3"/>
    <n v="582"/>
  </r>
  <r>
    <x v="1"/>
    <n v="2016"/>
    <s v="050"/>
    <x v="19"/>
    <s v="050003"/>
    <x v="84"/>
    <n v="38.4"/>
    <n v="12"/>
    <n v="37.799999999999997"/>
    <n v="12"/>
  </r>
  <r>
    <x v="1"/>
    <n v="2016"/>
    <s v="050"/>
    <x v="19"/>
    <s v="050005"/>
    <x v="85"/>
    <n v="105.6"/>
    <n v="24"/>
    <n v="52.56"/>
    <n v="12"/>
  </r>
  <r>
    <x v="1"/>
    <n v="2016"/>
    <s v="050"/>
    <x v="19"/>
    <s v="050010"/>
    <x v="256"/>
    <n v="156"/>
    <n v="24"/>
    <m/>
    <m/>
  </r>
  <r>
    <x v="1"/>
    <n v="2016"/>
    <s v="051"/>
    <x v="20"/>
    <s v="051000"/>
    <x v="86"/>
    <n v="4704"/>
    <n v="840"/>
    <n v="2184"/>
    <n v="390"/>
  </r>
  <r>
    <x v="1"/>
    <n v="2016"/>
    <s v="051"/>
    <x v="20"/>
    <s v="051010/11"/>
    <x v="87"/>
    <n v="3672.9"/>
    <n v="462"/>
    <m/>
    <m/>
  </r>
  <r>
    <x v="1"/>
    <n v="2016"/>
    <s v="051"/>
    <x v="20"/>
    <s v="051017"/>
    <x v="88"/>
    <n v="381"/>
    <n v="60"/>
    <n v="152.4"/>
    <n v="24"/>
  </r>
  <r>
    <x v="1"/>
    <n v="2016"/>
    <s v="051"/>
    <x v="20"/>
    <s v="051133"/>
    <x v="89"/>
    <n v="739.2"/>
    <n v="84"/>
    <n v="612"/>
    <n v="72"/>
  </r>
  <r>
    <x v="1"/>
    <n v="2016"/>
    <s v="052"/>
    <x v="21"/>
    <s v="052016"/>
    <x v="257"/>
    <n v="422.1"/>
    <n v="60"/>
    <m/>
    <m/>
  </r>
  <r>
    <x v="1"/>
    <n v="2016"/>
    <s v="052"/>
    <x v="21"/>
    <s v="052017"/>
    <x v="90"/>
    <n v="235.8"/>
    <n v="24"/>
    <n v="353.7"/>
    <n v="36"/>
  </r>
  <r>
    <x v="1"/>
    <n v="2016"/>
    <s v="052"/>
    <x v="21"/>
    <s v="052021"/>
    <x v="91"/>
    <n v="172.8"/>
    <n v="18"/>
    <n v="230.4"/>
    <n v="24"/>
  </r>
  <r>
    <x v="1"/>
    <n v="2016"/>
    <s v="052"/>
    <x v="21"/>
    <s v="052022"/>
    <x v="257"/>
    <n v="378"/>
    <n v="36"/>
    <n v="152.4"/>
    <n v="12"/>
  </r>
  <r>
    <x v="1"/>
    <n v="2016"/>
    <s v="052"/>
    <x v="21"/>
    <s v="052028"/>
    <x v="92"/>
    <n v="374.1"/>
    <n v="150"/>
    <n v="286.2"/>
    <n v="108"/>
  </r>
  <r>
    <x v="1"/>
    <n v="2016"/>
    <s v="052"/>
    <x v="21"/>
    <s v="052039"/>
    <x v="93"/>
    <n v="2013.9"/>
    <n v="294"/>
    <n v="328.8"/>
    <n v="48"/>
  </r>
  <r>
    <x v="1"/>
    <n v="2016"/>
    <s v="052"/>
    <x v="21"/>
    <s v="052046"/>
    <x v="94"/>
    <n v="594.29999999999995"/>
    <n v="84"/>
    <m/>
    <m/>
  </r>
  <r>
    <x v="1"/>
    <n v="2016"/>
    <s v="052"/>
    <x v="21"/>
    <s v="052067"/>
    <x v="258"/>
    <n v="1319.04"/>
    <n v="192"/>
    <m/>
    <m/>
  </r>
  <r>
    <x v="1"/>
    <n v="2016"/>
    <s v="054"/>
    <x v="22"/>
    <s v="054002"/>
    <x v="97"/>
    <n v="144"/>
    <n v="30"/>
    <m/>
    <m/>
  </r>
  <r>
    <x v="1"/>
    <n v="2016"/>
    <s v="054"/>
    <x v="22"/>
    <s v="054005"/>
    <x v="98"/>
    <n v="132.30000000000001"/>
    <n v="18"/>
    <m/>
    <m/>
  </r>
  <r>
    <x v="1"/>
    <n v="2016"/>
    <s v="054"/>
    <x v="22"/>
    <s v="054011"/>
    <x v="99"/>
    <n v="323.39999999999998"/>
    <n v="42"/>
    <n v="46.2"/>
    <n v="6"/>
  </r>
  <r>
    <x v="1"/>
    <n v="2016"/>
    <s v="059"/>
    <x v="23"/>
    <s v="059002"/>
    <x v="100"/>
    <n v="327.60000000000002"/>
    <n v="78"/>
    <n v="73.8"/>
    <n v="18"/>
  </r>
  <r>
    <x v="1"/>
    <n v="2016"/>
    <s v="059"/>
    <x v="23"/>
    <s v="059004"/>
    <x v="101"/>
    <n v="21.3"/>
    <n v="6"/>
    <n v="40.799999999999997"/>
    <n v="12"/>
  </r>
  <r>
    <x v="1"/>
    <n v="2016"/>
    <s v="059"/>
    <x v="23"/>
    <s v="059005"/>
    <x v="101"/>
    <n v="63.9"/>
    <n v="24"/>
    <m/>
    <m/>
  </r>
  <r>
    <x v="1"/>
    <n v="2016"/>
    <s v="059"/>
    <x v="23"/>
    <s v="059006"/>
    <x v="102"/>
    <n v="33"/>
    <n v="6"/>
    <n v="240"/>
    <n v="48"/>
  </r>
  <r>
    <x v="1"/>
    <n v="2016"/>
    <s v="059"/>
    <x v="23"/>
    <s v="059008"/>
    <x v="102"/>
    <n v="66"/>
    <n v="12"/>
    <m/>
    <m/>
  </r>
  <r>
    <x v="1"/>
    <n v="2016"/>
    <s v="059"/>
    <x v="23"/>
    <s v="059010"/>
    <x v="102"/>
    <n v="231"/>
    <n v="42"/>
    <n v="32.4"/>
    <n v="6"/>
  </r>
  <r>
    <x v="1"/>
    <n v="2016"/>
    <s v="059"/>
    <x v="23"/>
    <s v="059020"/>
    <x v="104"/>
    <n v="2662.5"/>
    <n v="750"/>
    <n v="1081.2"/>
    <n v="324"/>
  </r>
  <r>
    <x v="1"/>
    <n v="2016"/>
    <s v="059"/>
    <x v="23"/>
    <s v="059021"/>
    <x v="105"/>
    <n v="596"/>
    <n v="266.8"/>
    <n v="312.89999999999998"/>
    <n v="140.07"/>
  </r>
  <r>
    <x v="1"/>
    <n v="2016"/>
    <s v="059"/>
    <x v="23"/>
    <s v="059025"/>
    <x v="106"/>
    <n v="1620"/>
    <n v="726"/>
    <n v="1861.2"/>
    <n v="858"/>
  </r>
  <r>
    <x v="1"/>
    <n v="2016"/>
    <s v="059"/>
    <x v="23"/>
    <s v="059026"/>
    <x v="107"/>
    <n v="1564.2"/>
    <n v="1073.8699999999999"/>
    <n v="999.9"/>
    <n v="673.67"/>
  </r>
  <r>
    <x v="1"/>
    <n v="2016"/>
    <s v="059"/>
    <x v="23"/>
    <s v="059027"/>
    <x v="259"/>
    <n v="16.899999999999999"/>
    <n v="13.33"/>
    <m/>
    <m/>
  </r>
  <r>
    <x v="1"/>
    <n v="2016"/>
    <s v="060"/>
    <x v="24"/>
    <s v="060015"/>
    <x v="109"/>
    <n v="950.4"/>
    <n v="270"/>
    <n v="646.79999999999995"/>
    <n v="186"/>
  </r>
  <r>
    <x v="1"/>
    <n v="2016"/>
    <s v="060"/>
    <x v="24"/>
    <s v="060016"/>
    <x v="109"/>
    <n v="53.28"/>
    <n v="12"/>
    <m/>
    <m/>
  </r>
  <r>
    <x v="1"/>
    <n v="2016"/>
    <s v="062"/>
    <x v="25"/>
    <s v="062001"/>
    <x v="260"/>
    <n v="61.2"/>
    <n v="12"/>
    <n v="122.4"/>
    <n v="24"/>
  </r>
  <r>
    <x v="1"/>
    <n v="2016"/>
    <s v="062"/>
    <x v="25"/>
    <s v="062002"/>
    <x v="110"/>
    <n v="108"/>
    <n v="24"/>
    <m/>
    <m/>
  </r>
  <r>
    <x v="1"/>
    <n v="2016"/>
    <s v="062"/>
    <x v="25"/>
    <s v="062003"/>
    <x v="110"/>
    <n v="851.4"/>
    <n v="198"/>
    <n v="309.60000000000002"/>
    <n v="72"/>
  </r>
  <r>
    <x v="1"/>
    <n v="2016"/>
    <s v="062"/>
    <x v="25"/>
    <s v="062030"/>
    <x v="111"/>
    <n v="0"/>
    <n v="84"/>
    <m/>
    <m/>
  </r>
  <r>
    <x v="1"/>
    <n v="2016"/>
    <s v="062"/>
    <x v="25"/>
    <s v="062032"/>
    <x v="112"/>
    <n v="739.5"/>
    <n v="340.17"/>
    <n v="261"/>
    <n v="120.06"/>
  </r>
  <r>
    <x v="1"/>
    <n v="2016"/>
    <s v="062"/>
    <x v="25"/>
    <s v="CDV062030"/>
    <x v="111"/>
    <n v="0"/>
    <n v="72"/>
    <m/>
    <m/>
  </r>
  <r>
    <x v="1"/>
    <n v="2016"/>
    <s v="074"/>
    <x v="26"/>
    <s v="074012"/>
    <x v="113"/>
    <n v="228"/>
    <n v="30"/>
    <n v="684"/>
    <n v="90"/>
  </r>
  <r>
    <x v="1"/>
    <n v="2016"/>
    <s v="074"/>
    <x v="26"/>
    <s v="074013"/>
    <x v="114"/>
    <n v="469.2"/>
    <n v="102"/>
    <n v="1255.8"/>
    <n v="276"/>
  </r>
  <r>
    <x v="1"/>
    <n v="2016"/>
    <s v="075"/>
    <x v="27"/>
    <s v="075002"/>
    <x v="115"/>
    <n v="723.6"/>
    <n v="186"/>
    <n v="948"/>
    <n v="240"/>
  </r>
  <r>
    <x v="1"/>
    <n v="2016"/>
    <s v="075"/>
    <x v="27"/>
    <s v="075013"/>
    <x v="116"/>
    <n v="124.8"/>
    <n v="24"/>
    <n v="561.6"/>
    <n v="108"/>
  </r>
  <r>
    <x v="1"/>
    <n v="2016"/>
    <s v="075"/>
    <x v="27"/>
    <s v="CDV075005"/>
    <x v="261"/>
    <n v="60"/>
    <n v="8"/>
    <m/>
    <m/>
  </r>
  <r>
    <x v="1"/>
    <n v="2016"/>
    <s v="080"/>
    <x v="28"/>
    <s v="080010"/>
    <x v="118"/>
    <n v="529.20000000000005"/>
    <n v="84"/>
    <n v="264.60000000000002"/>
    <n v="48"/>
  </r>
  <r>
    <x v="1"/>
    <n v="2016"/>
    <s v="080"/>
    <x v="28"/>
    <s v="080011"/>
    <x v="118"/>
    <n v="138.6"/>
    <n v="18"/>
    <n v="277.2"/>
    <n v="36"/>
  </r>
  <r>
    <x v="1"/>
    <n v="2016"/>
    <s v="080"/>
    <x v="28"/>
    <s v="080015"/>
    <x v="118"/>
    <n v="356.4"/>
    <n v="54"/>
    <n v="277.2"/>
    <n v="42"/>
  </r>
  <r>
    <x v="1"/>
    <n v="2016"/>
    <s v="080"/>
    <x v="28"/>
    <s v="080016"/>
    <x v="118"/>
    <n v="138.6"/>
    <n v="18"/>
    <m/>
    <m/>
  </r>
  <r>
    <x v="1"/>
    <n v="2016"/>
    <s v="083"/>
    <x v="29"/>
    <s v="083003"/>
    <x v="119"/>
    <n v="390.6"/>
    <n v="186"/>
    <n v="442.8"/>
    <n v="222"/>
  </r>
  <r>
    <x v="1"/>
    <n v="2016"/>
    <s v="084"/>
    <x v="30"/>
    <s v="084001"/>
    <x v="120"/>
    <n v="266"/>
    <n v="186.62"/>
    <n v="1387"/>
    <n v="986.42"/>
  </r>
  <r>
    <x v="1"/>
    <n v="2016"/>
    <s v="084"/>
    <x v="30"/>
    <s v="084002"/>
    <x v="120"/>
    <n v="814"/>
    <n v="493.58"/>
    <n v="1226.4000000000001"/>
    <n v="753.71"/>
  </r>
  <r>
    <x v="1"/>
    <n v="2016"/>
    <s v="084"/>
    <x v="30"/>
    <s v="084004"/>
    <x v="121"/>
    <n v="86.1"/>
    <n v="48"/>
    <n v="258.3"/>
    <n v="126"/>
  </r>
  <r>
    <x v="1"/>
    <n v="2016"/>
    <s v="084"/>
    <x v="30"/>
    <s v="084006"/>
    <x v="122"/>
    <n v="2187"/>
    <n v="810"/>
    <n v="1765.8"/>
    <n v="660"/>
  </r>
  <r>
    <x v="1"/>
    <n v="2016"/>
    <s v="084"/>
    <x v="30"/>
    <s v="084007"/>
    <x v="123"/>
    <n v="999"/>
    <n v="228"/>
    <n v="618.24"/>
    <n v="144"/>
  </r>
  <r>
    <x v="1"/>
    <n v="2016"/>
    <s v="084"/>
    <x v="30"/>
    <s v="084008"/>
    <x v="124"/>
    <n v="210.6"/>
    <n v="36"/>
    <n v="69.959999999999994"/>
    <n v="12"/>
  </r>
  <r>
    <x v="1"/>
    <n v="2016"/>
    <s v="084"/>
    <x v="30"/>
    <s v="084010"/>
    <x v="262"/>
    <n v="148.80000000000001"/>
    <n v="24"/>
    <m/>
    <m/>
  </r>
  <r>
    <x v="1"/>
    <n v="2016"/>
    <s v="084"/>
    <x v="30"/>
    <s v="084015"/>
    <x v="263"/>
    <n v="504"/>
    <n v="54"/>
    <n v="501.6"/>
    <n v="48"/>
  </r>
  <r>
    <x v="1"/>
    <n v="2016"/>
    <s v="084"/>
    <x v="30"/>
    <s v="084037"/>
    <x v="264"/>
    <n v="85.5"/>
    <n v="30"/>
    <m/>
    <m/>
  </r>
  <r>
    <x v="1"/>
    <n v="2016"/>
    <s v="084"/>
    <x v="30"/>
    <s v="084039"/>
    <x v="265"/>
    <n v="47.76"/>
    <n v="12"/>
    <m/>
    <m/>
  </r>
  <r>
    <x v="1"/>
    <n v="2016"/>
    <s v="089"/>
    <x v="33"/>
    <s v="089002"/>
    <x v="128"/>
    <n v="383.4"/>
    <n v="114"/>
    <n v="105"/>
    <n v="36"/>
  </r>
  <r>
    <x v="1"/>
    <n v="2016"/>
    <s v="089"/>
    <x v="33"/>
    <s v="089010"/>
    <x v="129"/>
    <n v="64.8"/>
    <n v="18"/>
    <m/>
    <m/>
  </r>
  <r>
    <x v="1"/>
    <n v="2016"/>
    <s v="089"/>
    <x v="33"/>
    <s v="089800"/>
    <x v="130"/>
    <n v="246"/>
    <n v="60"/>
    <n v="437.4"/>
    <n v="108"/>
  </r>
  <r>
    <x v="1"/>
    <n v="2016"/>
    <s v="089"/>
    <x v="33"/>
    <s v="089900"/>
    <x v="131"/>
    <n v="465.75"/>
    <n v="306.58999999999997"/>
    <n v="364.5"/>
    <n v="239.94"/>
  </r>
  <r>
    <x v="1"/>
    <n v="2016"/>
    <s v="089"/>
    <x v="33"/>
    <s v="089901"/>
    <x v="132"/>
    <n v="707.6"/>
    <n v="386.86"/>
    <n v="597.79999999999995"/>
    <n v="326.83"/>
  </r>
  <r>
    <x v="1"/>
    <n v="2016"/>
    <s v="089"/>
    <x v="33"/>
    <s v="089903"/>
    <x v="133"/>
    <n v="461.7"/>
    <n v="114"/>
    <n v="408"/>
    <n v="102"/>
  </r>
  <r>
    <x v="1"/>
    <n v="2016"/>
    <s v="094"/>
    <x v="35"/>
    <s v="094001"/>
    <x v="135"/>
    <n v="374.4"/>
    <n v="72"/>
    <n v="1254.5999999999999"/>
    <n v="246"/>
  </r>
  <r>
    <x v="1"/>
    <n v="2016"/>
    <s v="094"/>
    <x v="35"/>
    <s v="094003"/>
    <x v="136"/>
    <n v="66.599999999999994"/>
    <n v="12"/>
    <n v="130.80000000000001"/>
    <n v="24"/>
  </r>
  <r>
    <x v="1"/>
    <n v="2016"/>
    <s v="095"/>
    <x v="36"/>
    <s v="095001"/>
    <x v="138"/>
    <n v="2308.8000000000002"/>
    <n v="636"/>
    <n v="2266.8000000000002"/>
    <n v="630"/>
  </r>
  <r>
    <x v="1"/>
    <n v="2016"/>
    <s v="095"/>
    <x v="36"/>
    <s v="095002"/>
    <x v="138"/>
    <n v="105.6"/>
    <n v="24"/>
    <n v="26.4"/>
    <n v="6"/>
  </r>
  <r>
    <x v="1"/>
    <n v="2016"/>
    <s v="095"/>
    <x v="36"/>
    <s v="095005"/>
    <x v="139"/>
    <n v="210.6"/>
    <n v="54"/>
    <m/>
    <m/>
  </r>
  <r>
    <x v="1"/>
    <n v="2016"/>
    <s v="095"/>
    <x v="36"/>
    <s v="095010"/>
    <x v="140"/>
    <n v="1060.2"/>
    <n v="228"/>
    <n v="104.4"/>
    <n v="30"/>
  </r>
  <r>
    <x v="1"/>
    <n v="2016"/>
    <s v="095"/>
    <x v="36"/>
    <s v="095012"/>
    <x v="141"/>
    <n v="186"/>
    <n v="30"/>
    <m/>
    <m/>
  </r>
  <r>
    <x v="1"/>
    <n v="2016"/>
    <s v="095"/>
    <x v="36"/>
    <s v="095014"/>
    <x v="266"/>
    <n v="408"/>
    <n v="60"/>
    <m/>
    <m/>
  </r>
  <r>
    <x v="1"/>
    <n v="2016"/>
    <s v="095"/>
    <x v="36"/>
    <s v="095015"/>
    <x v="266"/>
    <n v="42"/>
    <n v="6"/>
    <m/>
    <m/>
  </r>
  <r>
    <x v="1"/>
    <n v="2016"/>
    <s v="095"/>
    <x v="36"/>
    <s v="095016"/>
    <x v="142"/>
    <n v="208.8"/>
    <n v="24"/>
    <m/>
    <m/>
  </r>
  <r>
    <x v="1"/>
    <n v="2016"/>
    <s v="097"/>
    <x v="38"/>
    <s v="097003"/>
    <x v="146"/>
    <n v="265.2"/>
    <n v="102"/>
    <n v="216"/>
    <n v="90"/>
  </r>
  <r>
    <x v="1"/>
    <n v="2016"/>
    <s v="097"/>
    <x v="38"/>
    <s v="097004"/>
    <x v="147"/>
    <n v="2037.7"/>
    <n v="1014"/>
    <n v="444"/>
    <n v="222"/>
  </r>
  <r>
    <x v="1"/>
    <n v="2016"/>
    <s v="099"/>
    <x v="39"/>
    <s v="099001"/>
    <x v="148"/>
    <n v="1779.84"/>
    <n v="1158"/>
    <n v="1472.22"/>
    <n v="966"/>
  </r>
  <r>
    <x v="1"/>
    <n v="2016"/>
    <s v="099"/>
    <x v="39"/>
    <s v="099002"/>
    <x v="148"/>
    <n v="10648.16"/>
    <n v="7728"/>
    <n v="1643.94"/>
    <n v="1062"/>
  </r>
  <r>
    <x v="1"/>
    <n v="2016"/>
    <s v="099"/>
    <x v="39"/>
    <s v="099003"/>
    <x v="148"/>
    <n v="200.64"/>
    <n v="114"/>
    <n v="199.2"/>
    <n v="120"/>
  </r>
  <r>
    <x v="1"/>
    <n v="2016"/>
    <s v="099"/>
    <x v="39"/>
    <s v="099013"/>
    <x v="149"/>
    <n v="134.88"/>
    <n v="54"/>
    <m/>
    <m/>
  </r>
  <r>
    <x v="1"/>
    <n v="2016"/>
    <s v="099"/>
    <x v="39"/>
    <s v="099016"/>
    <x v="150"/>
    <n v="102.6"/>
    <n v="36"/>
    <m/>
    <m/>
  </r>
  <r>
    <x v="1"/>
    <n v="2016"/>
    <s v="110"/>
    <x v="40"/>
    <s v="110500"/>
    <x v="151"/>
    <n v="400.4"/>
    <n v="306.58999999999997"/>
    <n v="607.25"/>
    <n v="466.55"/>
  </r>
  <r>
    <x v="1"/>
    <n v="2016"/>
    <s v="110"/>
    <x v="40"/>
    <s v="110501"/>
    <x v="151"/>
    <n v="462.25"/>
    <n v="286.81"/>
    <n v="397.8"/>
    <n v="260.13"/>
  </r>
  <r>
    <x v="1"/>
    <n v="2016"/>
    <s v="110"/>
    <x v="40"/>
    <s v="110600"/>
    <x v="152"/>
    <n v="109.8"/>
    <n v="36"/>
    <n v="226.2"/>
    <n v="78"/>
  </r>
  <r>
    <x v="1"/>
    <n v="2016"/>
    <s v="113"/>
    <x v="41"/>
    <s v="113001"/>
    <x v="153"/>
    <n v="1155"/>
    <n v="210"/>
    <n v="2385"/>
    <n v="450"/>
  </r>
  <r>
    <x v="1"/>
    <n v="2016"/>
    <s v="113"/>
    <x v="41"/>
    <s v="113002"/>
    <x v="153"/>
    <n v="183"/>
    <n v="30"/>
    <n v="240.6"/>
    <n v="42"/>
  </r>
  <r>
    <x v="1"/>
    <n v="2016"/>
    <s v="113"/>
    <x v="41"/>
    <s v="113005"/>
    <x v="153"/>
    <n v="1138.5"/>
    <n v="204"/>
    <n v="865.8"/>
    <n v="156"/>
  </r>
  <r>
    <x v="1"/>
    <n v="2016"/>
    <s v="113"/>
    <x v="41"/>
    <s v="113006"/>
    <x v="153"/>
    <n v="230.4"/>
    <n v="36"/>
    <n v="148.80000000000001"/>
    <n v="24"/>
  </r>
  <r>
    <x v="1"/>
    <n v="2016"/>
    <s v="114"/>
    <x v="42"/>
    <s v="114001"/>
    <x v="154"/>
    <n v="388.8"/>
    <n v="144"/>
    <n v="661.8"/>
    <n v="258"/>
  </r>
  <r>
    <x v="1"/>
    <n v="2016"/>
    <s v="114"/>
    <x v="42"/>
    <s v="114005"/>
    <x v="155"/>
    <n v="112.8"/>
    <n v="48"/>
    <n v="218.88"/>
    <n v="96"/>
  </r>
  <r>
    <x v="1"/>
    <n v="2016"/>
    <s v="114"/>
    <x v="42"/>
    <s v="114006"/>
    <x v="155"/>
    <n v="36.24"/>
    <n v="12"/>
    <m/>
    <m/>
  </r>
  <r>
    <x v="1"/>
    <n v="2016"/>
    <s v="114"/>
    <x v="42"/>
    <s v="114010"/>
    <x v="156"/>
    <n v="567.5"/>
    <n v="333.25"/>
    <n v="422.84"/>
    <n v="293.26"/>
  </r>
  <r>
    <x v="1"/>
    <n v="2016"/>
    <s v="114"/>
    <x v="42"/>
    <s v="114011"/>
    <x v="156"/>
    <n v="479.52"/>
    <n v="246.79"/>
    <n v="748"/>
    <n v="453.56"/>
  </r>
  <r>
    <x v="1"/>
    <n v="2016"/>
    <s v="114"/>
    <x v="42"/>
    <s v="114012"/>
    <x v="157"/>
    <n v="210.24"/>
    <n v="159.96"/>
    <n v="16.690000000000001"/>
    <n v="13.33"/>
  </r>
  <r>
    <x v="1"/>
    <n v="2016"/>
    <s v="114"/>
    <x v="42"/>
    <s v="114013"/>
    <x v="158"/>
    <n v="79.84"/>
    <n v="53.36"/>
    <m/>
    <m/>
  </r>
  <r>
    <x v="1"/>
    <n v="2016"/>
    <s v="115"/>
    <x v="43"/>
    <s v="115005"/>
    <x v="159"/>
    <n v="691.2"/>
    <n v="108"/>
    <n v="756"/>
    <n v="126"/>
  </r>
  <r>
    <x v="1"/>
    <n v="2016"/>
    <s v="115"/>
    <x v="43"/>
    <s v="115010"/>
    <x v="161"/>
    <n v="0"/>
    <n v="13.33"/>
    <n v="340.08"/>
    <n v="359.91"/>
  </r>
  <r>
    <x v="1"/>
    <n v="2016"/>
    <s v="116"/>
    <x v="44"/>
    <s v="116001"/>
    <x v="162"/>
    <n v="764.4"/>
    <n v="168"/>
    <n v="1821.6"/>
    <n v="414"/>
  </r>
  <r>
    <x v="1"/>
    <n v="2016"/>
    <s v="116"/>
    <x v="44"/>
    <s v="116005"/>
    <x v="267"/>
    <n v="25.8"/>
    <n v="6"/>
    <m/>
    <m/>
  </r>
  <r>
    <x v="1"/>
    <n v="2016"/>
    <s v="116"/>
    <x v="44"/>
    <s v="CDV116006"/>
    <x v="268"/>
    <n v="66"/>
    <n v="12"/>
    <n v="64.2"/>
    <n v="12"/>
  </r>
  <r>
    <x v="1"/>
    <n v="2016"/>
    <s v="119"/>
    <x v="69"/>
    <s v="119001"/>
    <x v="269"/>
    <n v="748.2"/>
    <n v="174"/>
    <n v="1107"/>
    <n v="270"/>
  </r>
  <r>
    <x v="1"/>
    <n v="2016"/>
    <s v="119"/>
    <x v="69"/>
    <s v="119002"/>
    <x v="270"/>
    <n v="795.6"/>
    <n v="234"/>
    <m/>
    <m/>
  </r>
  <r>
    <x v="1"/>
    <n v="2016"/>
    <s v="119"/>
    <x v="69"/>
    <s v="119003"/>
    <x v="271"/>
    <n v="207.9"/>
    <n v="42"/>
    <n v="-28.5"/>
    <n v="-6"/>
  </r>
  <r>
    <x v="1"/>
    <n v="2016"/>
    <s v="124"/>
    <x v="46"/>
    <s v="124001"/>
    <x v="175"/>
    <n v="792"/>
    <n v="180"/>
    <n v="448.8"/>
    <n v="102"/>
  </r>
  <r>
    <x v="1"/>
    <n v="2016"/>
    <s v="124"/>
    <x v="46"/>
    <s v="124002"/>
    <x v="176"/>
    <n v="460.8"/>
    <n v="144"/>
    <n v="288"/>
    <n v="90"/>
  </r>
  <r>
    <x v="1"/>
    <n v="2016"/>
    <s v="124"/>
    <x v="46"/>
    <s v="124005CB"/>
    <x v="177"/>
    <n v="92.7"/>
    <n v="15"/>
    <m/>
    <m/>
  </r>
  <r>
    <x v="1"/>
    <n v="2016"/>
    <s v="124"/>
    <x v="46"/>
    <s v="124010"/>
    <x v="178"/>
    <n v="223.2"/>
    <n v="36"/>
    <n v="483.6"/>
    <n v="78"/>
  </r>
  <r>
    <x v="1"/>
    <n v="2016"/>
    <s v="137"/>
    <x v="48"/>
    <s v="137001"/>
    <x v="182"/>
    <n v="1335.6"/>
    <n v="504"/>
    <n v="1116.9000000000001"/>
    <n v="438"/>
  </r>
  <r>
    <x v="1"/>
    <n v="2016"/>
    <s v="137"/>
    <x v="48"/>
    <s v="137003"/>
    <x v="183"/>
    <n v="57.6"/>
    <n v="12"/>
    <n v="199.5"/>
    <n v="42"/>
  </r>
  <r>
    <x v="1"/>
    <n v="2016"/>
    <s v="140"/>
    <x v="49"/>
    <s v="140001"/>
    <x v="184"/>
    <n v="529.20000000000005"/>
    <n v="126"/>
    <n v="486"/>
    <n v="120"/>
  </r>
  <r>
    <x v="1"/>
    <n v="2016"/>
    <s v="152"/>
    <x v="51"/>
    <s v="152001"/>
    <x v="186"/>
    <n v="466.2"/>
    <n v="84"/>
    <n v="490.5"/>
    <n v="90"/>
  </r>
  <r>
    <x v="1"/>
    <n v="2016"/>
    <s v="153"/>
    <x v="52"/>
    <s v="153003"/>
    <x v="187"/>
    <n v="1206"/>
    <n v="180"/>
    <n v="1254.5999999999999"/>
    <n v="204"/>
  </r>
  <r>
    <x v="1"/>
    <n v="2016"/>
    <s v="153"/>
    <x v="52"/>
    <s v="153005"/>
    <x v="188"/>
    <n v="124.2"/>
    <n v="12"/>
    <n v="114"/>
    <n v="12"/>
  </r>
  <r>
    <x v="1"/>
    <n v="2016"/>
    <s v="157"/>
    <x v="53"/>
    <s v="157001"/>
    <x v="191"/>
    <n v="123.9"/>
    <n v="48"/>
    <n v="16.5"/>
    <n v="6"/>
  </r>
  <r>
    <x v="1"/>
    <n v="2016"/>
    <s v="162"/>
    <x v="54"/>
    <s v="162001"/>
    <x v="193"/>
    <n v="1344"/>
    <n v="480"/>
    <n v="1105.5"/>
    <n v="402"/>
  </r>
  <r>
    <x v="1"/>
    <n v="2016"/>
    <s v="162"/>
    <x v="54"/>
    <s v="162002"/>
    <x v="194"/>
    <n v="24"/>
    <n v="6"/>
    <m/>
    <m/>
  </r>
  <r>
    <x v="1"/>
    <n v="2016"/>
    <s v="162"/>
    <x v="54"/>
    <s v="162003"/>
    <x v="272"/>
    <n v="0"/>
    <n v="6"/>
    <m/>
    <m/>
  </r>
  <r>
    <x v="1"/>
    <n v="2016"/>
    <s v="162"/>
    <x v="54"/>
    <s v="CDV162004"/>
    <x v="273"/>
    <n v="30"/>
    <n v="12"/>
    <n v="29.4"/>
    <n v="12"/>
  </r>
  <r>
    <x v="1"/>
    <n v="2016"/>
    <s v="163"/>
    <x v="55"/>
    <s v="163001"/>
    <x v="195"/>
    <n v="156"/>
    <n v="24"/>
    <m/>
    <m/>
  </r>
  <r>
    <x v="1"/>
    <n v="2016"/>
    <s v="163"/>
    <x v="55"/>
    <s v="163002"/>
    <x v="195"/>
    <n v="156"/>
    <n v="24"/>
    <n v="457.2"/>
    <n v="72"/>
  </r>
  <r>
    <x v="1"/>
    <n v="2016"/>
    <s v="164"/>
    <x v="56"/>
    <s v="164002"/>
    <x v="196"/>
    <n v="712.8"/>
    <n v="108"/>
    <m/>
    <m/>
  </r>
  <r>
    <x v="1"/>
    <n v="2016"/>
    <s v="164"/>
    <x v="56"/>
    <s v="164005/12"/>
    <x v="198"/>
    <n v="702"/>
    <n v="78"/>
    <m/>
    <m/>
  </r>
  <r>
    <x v="1"/>
    <n v="2016"/>
    <s v="164"/>
    <x v="56"/>
    <s v="164010"/>
    <x v="274"/>
    <n v="152"/>
    <n v="53.36"/>
    <n v="228"/>
    <n v="86.71"/>
  </r>
  <r>
    <x v="1"/>
    <n v="2016"/>
    <s v="168"/>
    <x v="57"/>
    <s v="168001"/>
    <x v="200"/>
    <n v="1656"/>
    <n v="414"/>
    <n v="984"/>
    <n v="246"/>
  </r>
  <r>
    <x v="1"/>
    <n v="2016"/>
    <s v="168"/>
    <x v="57"/>
    <s v="168002"/>
    <x v="275"/>
    <n v="-201"/>
    <n v="-60"/>
    <n v="40.200000000000003"/>
    <n v="12"/>
  </r>
  <r>
    <x v="1"/>
    <n v="2016"/>
    <s v="168"/>
    <x v="57"/>
    <s v="168020CB"/>
    <x v="201"/>
    <n v="77.400000000000006"/>
    <n v="15"/>
    <n v="62.04"/>
    <n v="12"/>
  </r>
  <r>
    <x v="1"/>
    <n v="2016"/>
    <s v="169"/>
    <x v="58"/>
    <s v="169001"/>
    <x v="202"/>
    <n v="1148.4000000000001"/>
    <n v="396"/>
    <n v="931.8"/>
    <n v="330"/>
  </r>
  <r>
    <x v="1"/>
    <n v="2016"/>
    <s v="169"/>
    <x v="58"/>
    <s v="169002"/>
    <x v="203"/>
    <n v="769.56"/>
    <n v="318"/>
    <n v="790.08"/>
    <n v="336"/>
  </r>
  <r>
    <x v="1"/>
    <n v="2016"/>
    <s v="169"/>
    <x v="58"/>
    <s v="169005CB"/>
    <x v="276"/>
    <n v="64.5"/>
    <n v="15"/>
    <m/>
    <m/>
  </r>
  <r>
    <x v="1"/>
    <n v="2016"/>
    <s v="169"/>
    <x v="58"/>
    <s v="169009"/>
    <x v="204"/>
    <n v="351.5"/>
    <n v="253.27"/>
    <n v="558.1"/>
    <n v="413.23"/>
  </r>
  <r>
    <x v="1"/>
    <n v="2016"/>
    <s v="169"/>
    <x v="58"/>
    <s v="169010"/>
    <x v="204"/>
    <n v="661.5"/>
    <n v="420.21"/>
    <n v="382"/>
    <n v="266.8"/>
  </r>
  <r>
    <x v="1"/>
    <n v="2016"/>
    <s v="174"/>
    <x v="61"/>
    <s v="174001"/>
    <x v="207"/>
    <n v="2075.7600000000002"/>
    <n v="564"/>
    <n v="892.8"/>
    <n v="240"/>
  </r>
  <r>
    <x v="1"/>
    <n v="2016"/>
    <s v="174"/>
    <x v="61"/>
    <s v="174002"/>
    <x v="208"/>
    <n v="403.92"/>
    <n v="66"/>
    <n v="183.3"/>
    <n v="30"/>
  </r>
  <r>
    <x v="1"/>
    <n v="2016"/>
    <s v="174"/>
    <x v="61"/>
    <s v="174003"/>
    <x v="209"/>
    <n v="1500.96"/>
    <n v="714"/>
    <m/>
    <m/>
  </r>
  <r>
    <x v="1"/>
    <n v="2016"/>
    <s v="174"/>
    <x v="61"/>
    <s v="174010"/>
    <x v="210"/>
    <n v="731.5"/>
    <n v="733.15"/>
    <n v="372.4"/>
    <n v="373.24"/>
  </r>
  <r>
    <x v="1"/>
    <n v="2016"/>
    <s v="174"/>
    <x v="61"/>
    <s v="174011"/>
    <x v="210"/>
    <n v="615.41"/>
    <n v="533.6"/>
    <n v="358.34"/>
    <n v="326.83"/>
  </r>
  <r>
    <x v="1"/>
    <n v="2016"/>
    <s v="174"/>
    <x v="61"/>
    <s v="174015"/>
    <x v="211"/>
    <n v="175.5"/>
    <n v="133.30000000000001"/>
    <n v="169.84"/>
    <n v="146.63"/>
  </r>
  <r>
    <x v="1"/>
    <n v="2016"/>
    <s v="174"/>
    <x v="61"/>
    <s v="174016"/>
    <x v="211"/>
    <n v="587.64"/>
    <n v="406.87"/>
    <n v="867.24"/>
    <n v="687.01"/>
  </r>
  <r>
    <x v="1"/>
    <n v="2016"/>
    <s v="175"/>
    <x v="62"/>
    <s v="175001"/>
    <x v="213"/>
    <n v="754.8"/>
    <n v="204"/>
    <n v="237.6"/>
    <n v="66"/>
  </r>
  <r>
    <x v="1"/>
    <n v="2016"/>
    <s v="175"/>
    <x v="62"/>
    <s v="175002"/>
    <x v="213"/>
    <n v="377.4"/>
    <n v="102"/>
    <n v="367.2"/>
    <n v="108"/>
  </r>
  <r>
    <x v="1"/>
    <n v="2016"/>
    <s v="199"/>
    <x v="64"/>
    <s v="199001"/>
    <x v="215"/>
    <n v="223.2"/>
    <n v="42"/>
    <n v="108"/>
    <n v="18"/>
  </r>
  <r>
    <x v="1"/>
    <n v="2016"/>
    <s v="199"/>
    <x v="64"/>
    <s v="199002"/>
    <x v="216"/>
    <n v="234"/>
    <n v="18"/>
    <m/>
    <m/>
  </r>
  <r>
    <x v="1"/>
    <n v="2016"/>
    <s v="199"/>
    <x v="64"/>
    <s v="199003"/>
    <x v="217"/>
    <n v="504"/>
    <n v="120"/>
    <n v="688.8"/>
    <n v="168"/>
  </r>
  <r>
    <x v="1"/>
    <n v="2016"/>
    <s v="199"/>
    <x v="64"/>
    <s v="199004"/>
    <x v="277"/>
    <n v="295.2"/>
    <n v="78"/>
    <n v="432"/>
    <n v="108"/>
  </r>
  <r>
    <x v="1"/>
    <n v="2016"/>
    <s v="201"/>
    <x v="65"/>
    <s v="201001"/>
    <x v="218"/>
    <n v="114"/>
    <n v="113.39"/>
    <n v="945.57"/>
    <n v="860.43"/>
  </r>
  <r>
    <x v="1"/>
    <n v="2016"/>
    <s v="201"/>
    <x v="65"/>
    <s v="201002"/>
    <x v="218"/>
    <n v="265"/>
    <n v="279.93"/>
    <n v="1153.8800000000001"/>
    <n v="1213.03"/>
  </r>
  <r>
    <x v="1"/>
    <n v="2016"/>
    <s v="201"/>
    <x v="65"/>
    <s v="201003"/>
    <x v="219"/>
    <n v="501.6"/>
    <n v="446.89"/>
    <n v="1018.87"/>
    <n v="940.47"/>
  </r>
  <r>
    <x v="1"/>
    <n v="2016"/>
    <s v="201"/>
    <x v="65"/>
    <s v="201004"/>
    <x v="219"/>
    <n v="728.75"/>
    <n v="733.15"/>
    <n v="2320.44"/>
    <n v="2452.7199999999998"/>
  </r>
  <r>
    <x v="1"/>
    <n v="2016"/>
    <s v="201"/>
    <x v="65"/>
    <s v="201006"/>
    <x v="220"/>
    <n v="1238.4000000000001"/>
    <n v="522"/>
    <n v="587.16"/>
    <n v="252"/>
  </r>
  <r>
    <x v="1"/>
    <n v="2016"/>
    <s v="201"/>
    <x v="65"/>
    <s v="201007"/>
    <x v="221"/>
    <n v="133.19999999999999"/>
    <n v="24"/>
    <n v="159.9"/>
    <n v="30"/>
  </r>
  <r>
    <x v="1"/>
    <n v="2016"/>
    <s v="201"/>
    <x v="65"/>
    <s v="201008"/>
    <x v="222"/>
    <n v="134.4"/>
    <n v="48"/>
    <n v="37.56"/>
    <n v="12"/>
  </r>
  <r>
    <x v="1"/>
    <n v="2016"/>
    <s v="201"/>
    <x v="65"/>
    <s v="201010"/>
    <x v="223"/>
    <n v="427.8"/>
    <n v="306.58999999999997"/>
    <n v="287.68"/>
    <n v="213.28"/>
  </r>
  <r>
    <x v="1"/>
    <n v="2016"/>
    <s v="201"/>
    <x v="65"/>
    <s v="201011"/>
    <x v="223"/>
    <n v="262.60000000000002"/>
    <n v="173.42"/>
    <n v="145.94999999999999"/>
    <n v="106.72"/>
  </r>
  <r>
    <x v="1"/>
    <n v="2016"/>
    <s v="201"/>
    <x v="65"/>
    <s v="201012"/>
    <x v="224"/>
    <n v="129.6"/>
    <n v="36"/>
    <n v="329.28"/>
    <n v="96"/>
  </r>
  <r>
    <x v="1"/>
    <n v="2016"/>
    <s v="201"/>
    <x v="65"/>
    <s v="201013"/>
    <x v="225"/>
    <n v="24.3"/>
    <n v="6"/>
    <n v="89.52"/>
    <n v="24"/>
  </r>
  <r>
    <x v="1"/>
    <n v="2016"/>
    <s v="201"/>
    <x v="65"/>
    <s v="201014"/>
    <x v="226"/>
    <n v="504"/>
    <n v="174"/>
    <n v="328.32"/>
    <n v="114"/>
  </r>
  <r>
    <x v="1"/>
    <n v="2016"/>
    <s v="201"/>
    <x v="65"/>
    <s v="201016"/>
    <x v="278"/>
    <n v="20.64"/>
    <n v="6"/>
    <n v="41.28"/>
    <n v="12"/>
  </r>
  <r>
    <x v="1"/>
    <n v="2016"/>
    <s v="201"/>
    <x v="65"/>
    <s v="201026"/>
    <x v="229"/>
    <n v="262.2"/>
    <n v="144"/>
    <m/>
    <m/>
  </r>
  <r>
    <x v="1"/>
    <n v="2016"/>
    <s v="201"/>
    <x v="65"/>
    <s v="201027"/>
    <x v="229"/>
    <n v="34.200000000000003"/>
    <n v="18"/>
    <m/>
    <m/>
  </r>
  <r>
    <x v="1"/>
    <n v="2016"/>
    <s v="202"/>
    <x v="66"/>
    <s v="202002"/>
    <x v="230"/>
    <n v="73.44"/>
    <n v="36"/>
    <n v="368.28"/>
    <n v="192"/>
  </r>
  <r>
    <x v="1"/>
    <n v="2016"/>
    <s v="202"/>
    <x v="66"/>
    <s v="202004"/>
    <x v="231"/>
    <n v="0"/>
    <n v="6"/>
    <m/>
    <m/>
  </r>
  <r>
    <x v="1"/>
    <n v="2016"/>
    <s v="202"/>
    <x v="66"/>
    <s v="202015"/>
    <x v="279"/>
    <n v="29.7"/>
    <n v="20.009999999999998"/>
    <m/>
    <m/>
  </r>
  <r>
    <x v="1"/>
    <n v="2016"/>
    <s v="205"/>
    <x v="67"/>
    <s v="205001"/>
    <x v="234"/>
    <n v="330"/>
    <n v="150"/>
    <n v="163.80000000000001"/>
    <n v="84"/>
  </r>
  <r>
    <x v="1"/>
    <n v="2016"/>
    <s v="205"/>
    <x v="67"/>
    <s v="205002"/>
    <x v="235"/>
    <n v="28.2"/>
    <n v="12"/>
    <n v="28.2"/>
    <n v="12"/>
  </r>
  <r>
    <x v="1"/>
    <n v="2016"/>
    <s v="205"/>
    <x v="67"/>
    <s v="205003"/>
    <x v="236"/>
    <n v="131.4"/>
    <n v="36"/>
    <n v="219"/>
    <n v="60"/>
  </r>
  <r>
    <x v="1"/>
    <n v="2016"/>
    <s v="205"/>
    <x v="67"/>
    <s v="205004"/>
    <x v="237"/>
    <n v="338.4"/>
    <n v="144"/>
    <n v="98.7"/>
    <n v="42"/>
  </r>
  <r>
    <x v="1"/>
    <n v="2016"/>
    <s v="226"/>
    <x v="70"/>
    <s v="226001"/>
    <x v="280"/>
    <n v="666.6"/>
    <n v="132"/>
    <m/>
    <m/>
  </r>
  <r>
    <x v="1"/>
    <n v="2016"/>
    <s v="229"/>
    <x v="68"/>
    <s v="229005"/>
    <x v="238"/>
    <n v="52.8"/>
    <n v="12"/>
    <m/>
    <m/>
  </r>
  <r>
    <x v="1"/>
    <n v="2016"/>
    <s v="229"/>
    <x v="68"/>
    <s v="229006"/>
    <x v="239"/>
    <n v="52.8"/>
    <n v="12"/>
    <m/>
    <m/>
  </r>
  <r>
    <x v="1"/>
    <n v="2016"/>
    <s v="229"/>
    <x v="68"/>
    <s v="229007"/>
    <x v="240"/>
    <n v="93.6"/>
    <n v="24"/>
    <m/>
    <m/>
  </r>
  <r>
    <x v="1"/>
    <n v="2016"/>
    <s v="229"/>
    <x v="68"/>
    <s v="229008"/>
    <x v="241"/>
    <n v="44.4"/>
    <n v="12"/>
    <m/>
    <m/>
  </r>
  <r>
    <x v="1"/>
    <n v="2016"/>
    <s v="229"/>
    <x v="68"/>
    <s v="229020"/>
    <x v="242"/>
    <n v="667.8"/>
    <n v="126"/>
    <m/>
    <m/>
  </r>
  <r>
    <x v="2"/>
    <n v="2016"/>
    <s v="002"/>
    <x v="1"/>
    <s v="002001"/>
    <x v="5"/>
    <n v="2773.44"/>
    <n v="2394.5300000000002"/>
    <n v="2470.34"/>
    <n v="2254.46"/>
  </r>
  <r>
    <x v="2"/>
    <n v="2016"/>
    <s v="002"/>
    <x v="1"/>
    <s v="002002"/>
    <x v="6"/>
    <n v="9962.41"/>
    <n v="9690.91"/>
    <n v="9022.25"/>
    <n v="9157.7100000000009"/>
  </r>
  <r>
    <x v="2"/>
    <n v="2016"/>
    <s v="002"/>
    <x v="1"/>
    <s v="002003"/>
    <x v="7"/>
    <n v="9634.07"/>
    <n v="10384.07"/>
    <n v="4924.8"/>
    <n v="5611.93"/>
  </r>
  <r>
    <x v="2"/>
    <n v="2016"/>
    <s v="002"/>
    <x v="1"/>
    <s v="002004"/>
    <x v="7"/>
    <n v="1760.09"/>
    <n v="1594.1299999999999"/>
    <n v="1376.63"/>
    <n v="1340.67"/>
  </r>
  <r>
    <x v="2"/>
    <n v="2016"/>
    <s v="002"/>
    <x v="1"/>
    <s v="002007"/>
    <x v="8"/>
    <n v="3696.14"/>
    <n v="4158.96"/>
    <n v="3448.26"/>
    <n v="3999"/>
  </r>
  <r>
    <x v="2"/>
    <n v="2016"/>
    <s v="002"/>
    <x v="1"/>
    <s v="002008"/>
    <x v="9"/>
    <n v="4676.3999999999996"/>
    <n v="5547.3600000000006"/>
    <n v="1692.1"/>
    <n v="2080.2600000000002"/>
  </r>
  <r>
    <x v="2"/>
    <n v="2016"/>
    <s v="002"/>
    <x v="1"/>
    <s v="002009"/>
    <x v="9"/>
    <n v="1128.18"/>
    <n v="1386.8400000000001"/>
    <n v="97.5"/>
    <n v="133.35000000000002"/>
  </r>
  <r>
    <x v="2"/>
    <n v="2016"/>
    <s v="002"/>
    <x v="1"/>
    <s v="002010"/>
    <x v="10"/>
    <n v="1963.94"/>
    <n v="1420.71"/>
    <n v="2034.44"/>
    <n v="1554.11"/>
  </r>
  <r>
    <x v="2"/>
    <n v="2016"/>
    <s v="002"/>
    <x v="1"/>
    <s v="002011"/>
    <x v="11"/>
    <n v="2158.2800000000002"/>
    <n v="1732.9"/>
    <n v="3374.28"/>
    <n v="2799.3"/>
  </r>
  <r>
    <x v="2"/>
    <n v="2016"/>
    <s v="002"/>
    <x v="1"/>
    <s v="002015"/>
    <x v="11"/>
    <n v="2607.39"/>
    <n v="2092.81"/>
    <n v="4350.84"/>
    <n v="3599.1"/>
  </r>
  <r>
    <x v="2"/>
    <n v="2016"/>
    <s v="002"/>
    <x v="1"/>
    <s v="002016"/>
    <x v="11"/>
    <n v="1576.37"/>
    <n v="1147.24"/>
    <n v="1921.84"/>
    <n v="1447.3899999999999"/>
  </r>
  <r>
    <x v="2"/>
    <n v="2016"/>
    <s v="002"/>
    <x v="1"/>
    <s v="002017"/>
    <x v="12"/>
    <n v="5686.44"/>
    <n v="6131.8"/>
    <n v="5352.1"/>
    <n v="6078.4800000000005"/>
  </r>
  <r>
    <x v="2"/>
    <n v="2016"/>
    <s v="002"/>
    <x v="1"/>
    <s v="002018"/>
    <x v="12"/>
    <n v="2646.03"/>
    <n v="2387.86"/>
    <n v="1587.55"/>
    <n v="1500.75"/>
  </r>
  <r>
    <x v="2"/>
    <n v="2016"/>
    <s v="002"/>
    <x v="1"/>
    <s v="002020"/>
    <x v="13"/>
    <n v="2364"/>
    <n v="978"/>
    <n v="3552.6"/>
    <n v="1548"/>
  </r>
  <r>
    <x v="2"/>
    <n v="2016"/>
    <s v="002"/>
    <x v="1"/>
    <s v="002021"/>
    <x v="14"/>
    <n v="111.6"/>
    <n v="54"/>
    <m/>
    <m/>
  </r>
  <r>
    <x v="2"/>
    <n v="2016"/>
    <s v="002"/>
    <x v="1"/>
    <s v="002024"/>
    <x v="16"/>
    <n v="48"/>
    <n v="30"/>
    <m/>
    <m/>
  </r>
  <r>
    <x v="2"/>
    <n v="2016"/>
    <s v="002"/>
    <x v="1"/>
    <s v="002025"/>
    <x v="14"/>
    <n v="315.36"/>
    <n v="144"/>
    <n v="315.36"/>
    <n v="144"/>
  </r>
  <r>
    <x v="2"/>
    <n v="2016"/>
    <s v="002"/>
    <x v="1"/>
    <s v="002026"/>
    <x v="17"/>
    <n v="247.2"/>
    <n v="120"/>
    <n v="191.7"/>
    <n v="96"/>
  </r>
  <r>
    <x v="2"/>
    <n v="2016"/>
    <s v="002"/>
    <x v="1"/>
    <s v="002027"/>
    <x v="18"/>
    <n v="192"/>
    <n v="102"/>
    <n v="978.01"/>
    <n v="582"/>
  </r>
  <r>
    <x v="2"/>
    <n v="2016"/>
    <s v="002"/>
    <x v="1"/>
    <s v="002033"/>
    <x v="19"/>
    <n v="6.6"/>
    <n v="4"/>
    <n v="74.760000000000005"/>
    <n v="96"/>
  </r>
  <r>
    <x v="2"/>
    <n v="2016"/>
    <s v="002"/>
    <x v="1"/>
    <s v="002034"/>
    <x v="19"/>
    <n v="6.6"/>
    <n v="4"/>
    <n v="37.380000000000003"/>
    <n v="24"/>
  </r>
  <r>
    <x v="2"/>
    <n v="2016"/>
    <s v="002"/>
    <x v="1"/>
    <s v="002035"/>
    <x v="19"/>
    <n v="19.059999999999999"/>
    <n v="12"/>
    <n v="37.380000000000003"/>
    <n v="24"/>
  </r>
  <r>
    <x v="2"/>
    <n v="2016"/>
    <s v="002"/>
    <x v="1"/>
    <s v="002037"/>
    <x v="243"/>
    <n v="214.56"/>
    <n v="72"/>
    <n v="235.2"/>
    <n v="84"/>
  </r>
  <r>
    <x v="2"/>
    <n v="2016"/>
    <s v="002"/>
    <x v="1"/>
    <s v="002040"/>
    <x v="20"/>
    <n v="394.2"/>
    <n v="180"/>
    <m/>
    <m/>
  </r>
  <r>
    <x v="2"/>
    <n v="2016"/>
    <s v="002"/>
    <x v="1"/>
    <s v="002100"/>
    <x v="21"/>
    <n v="612.24"/>
    <n v="348"/>
    <n v="984.42"/>
    <n v="576"/>
  </r>
  <r>
    <x v="2"/>
    <n v="2016"/>
    <s v="002"/>
    <x v="1"/>
    <s v="002101"/>
    <x v="22"/>
    <n v="136.44"/>
    <n v="90"/>
    <n v="508.62"/>
    <n v="300"/>
  </r>
  <r>
    <x v="2"/>
    <n v="2016"/>
    <s v="002"/>
    <x v="1"/>
    <s v="002102"/>
    <x v="23"/>
    <n v="43.68"/>
    <n v="30"/>
    <n v="32.4"/>
    <n v="24"/>
  </r>
  <r>
    <x v="2"/>
    <n v="2016"/>
    <s v="002"/>
    <x v="1"/>
    <s v="002200"/>
    <x v="281"/>
    <n v="69.5"/>
    <n v="40"/>
    <n v="27.08"/>
    <n v="16"/>
  </r>
  <r>
    <x v="2"/>
    <n v="2016"/>
    <s v="002"/>
    <x v="1"/>
    <s v="002903"/>
    <x v="27"/>
    <n v="1997.5"/>
    <n v="2266.9500000000003"/>
    <n v="0"/>
    <n v="53.34"/>
  </r>
  <r>
    <x v="2"/>
    <n v="2016"/>
    <s v="002"/>
    <x v="1"/>
    <s v="002905"/>
    <x v="25"/>
    <n v="432"/>
    <n v="533.20000000000005"/>
    <n v="324"/>
    <n v="399.9"/>
  </r>
  <r>
    <x v="2"/>
    <n v="2016"/>
    <s v="007"/>
    <x v="2"/>
    <s v="007002"/>
    <x v="28"/>
    <n v="248.4"/>
    <n v="54"/>
    <n v="336"/>
    <n v="90"/>
  </r>
  <r>
    <x v="2"/>
    <n v="2016"/>
    <s v="007"/>
    <x v="2"/>
    <s v="007003"/>
    <x v="29"/>
    <n v="462"/>
    <n v="84"/>
    <n v="31.2"/>
    <n v="12"/>
  </r>
  <r>
    <x v="2"/>
    <n v="2016"/>
    <s v="007"/>
    <x v="2"/>
    <s v="007004"/>
    <x v="30"/>
    <n v="130.5"/>
    <n v="18"/>
    <n v="356.1"/>
    <n v="60"/>
  </r>
  <r>
    <x v="2"/>
    <n v="2016"/>
    <s v="007"/>
    <x v="2"/>
    <s v="007005"/>
    <x v="31"/>
    <n v="36.9"/>
    <n v="6"/>
    <n v="73.8"/>
    <n v="12"/>
  </r>
  <r>
    <x v="2"/>
    <n v="2016"/>
    <s v="007"/>
    <x v="2"/>
    <s v="CDV007010"/>
    <x v="282"/>
    <n v="111.9"/>
    <n v="6"/>
    <m/>
    <m/>
  </r>
  <r>
    <x v="2"/>
    <n v="2016"/>
    <s v="010"/>
    <x v="3"/>
    <s v="010001"/>
    <x v="33"/>
    <n v="688.9"/>
    <n v="132"/>
    <n v="853.8"/>
    <n v="168"/>
  </r>
  <r>
    <x v="2"/>
    <n v="2016"/>
    <s v="010"/>
    <x v="3"/>
    <s v="CDV010050"/>
    <x v="283"/>
    <n v="37.799999999999997"/>
    <n v="6"/>
    <n v="37.200000000000003"/>
    <n v="6"/>
  </r>
  <r>
    <x v="2"/>
    <n v="2016"/>
    <s v="011"/>
    <x v="4"/>
    <s v="011001"/>
    <x v="34"/>
    <n v="1675.8"/>
    <n v="420"/>
    <n v="1244.8800000000001"/>
    <n v="312"/>
  </r>
  <r>
    <x v="2"/>
    <n v="2016"/>
    <s v="011"/>
    <x v="4"/>
    <s v="011005"/>
    <x v="245"/>
    <n v="479.04"/>
    <n v="102"/>
    <n v="58.8"/>
    <n v="12"/>
  </r>
  <r>
    <x v="2"/>
    <n v="2016"/>
    <s v="011"/>
    <x v="4"/>
    <s v="011006"/>
    <x v="35"/>
    <n v="338.4"/>
    <n v="78"/>
    <n v="107.76"/>
    <n v="30"/>
  </r>
  <r>
    <x v="2"/>
    <n v="2016"/>
    <s v="019"/>
    <x v="5"/>
    <s v="019003"/>
    <x v="36"/>
    <n v="2686.02"/>
    <n v="1200"/>
    <n v="4118.9399999999996"/>
    <n v="1854"/>
  </r>
  <r>
    <x v="2"/>
    <n v="2016"/>
    <s v="019"/>
    <x v="5"/>
    <s v="019004"/>
    <x v="36"/>
    <n v="35.04"/>
    <n v="12"/>
    <m/>
    <m/>
  </r>
  <r>
    <x v="2"/>
    <n v="2016"/>
    <s v="019"/>
    <x v="5"/>
    <s v="019008"/>
    <x v="37"/>
    <n v="871.2"/>
    <n v="586.52"/>
    <n v="631.70000000000005"/>
    <n v="439.89"/>
  </r>
  <r>
    <x v="2"/>
    <n v="2016"/>
    <s v="019"/>
    <x v="5"/>
    <s v="019009"/>
    <x v="37"/>
    <n v="425"/>
    <n v="260.13"/>
    <n v="625"/>
    <n v="380.19"/>
  </r>
  <r>
    <x v="2"/>
    <n v="2016"/>
    <s v="019"/>
    <x v="5"/>
    <s v="019011"/>
    <x v="38"/>
    <n v="310.08"/>
    <n v="114"/>
    <n v="194.4"/>
    <n v="72"/>
  </r>
  <r>
    <x v="2"/>
    <n v="2016"/>
    <s v="019"/>
    <x v="5"/>
    <s v="019015"/>
    <x v="39"/>
    <n v="165.6"/>
    <n v="72"/>
    <n v="202.5"/>
    <n v="90"/>
  </r>
  <r>
    <x v="2"/>
    <n v="2016"/>
    <s v="025"/>
    <x v="6"/>
    <s v="025001"/>
    <x v="40"/>
    <n v="1059.24"/>
    <n v="162"/>
    <n v="599.58000000000004"/>
    <n v="90"/>
  </r>
  <r>
    <x v="2"/>
    <n v="2016"/>
    <s v="025"/>
    <x v="6"/>
    <s v="025003"/>
    <x v="246"/>
    <n v="275.39999999999998"/>
    <n v="36"/>
    <m/>
    <m/>
  </r>
  <r>
    <x v="2"/>
    <n v="2016"/>
    <s v="025"/>
    <x v="6"/>
    <s v="025010"/>
    <x v="41"/>
    <n v="399.6"/>
    <n v="78"/>
    <n v="199.8"/>
    <n v="36"/>
  </r>
  <r>
    <x v="2"/>
    <n v="2016"/>
    <s v="025"/>
    <x v="6"/>
    <s v="025013"/>
    <x v="42"/>
    <n v="232.8"/>
    <n v="48"/>
    <n v="58.2"/>
    <n v="12"/>
  </r>
  <r>
    <x v="2"/>
    <n v="2016"/>
    <s v="025"/>
    <x v="6"/>
    <s v="025015"/>
    <x v="43"/>
    <n v="229.8"/>
    <n v="66"/>
    <m/>
    <m/>
  </r>
  <r>
    <x v="2"/>
    <n v="2016"/>
    <s v="025"/>
    <x v="6"/>
    <s v="025016"/>
    <x v="247"/>
    <n v="0"/>
    <n v="6"/>
    <m/>
    <m/>
  </r>
  <r>
    <x v="2"/>
    <n v="2016"/>
    <s v="025"/>
    <x v="6"/>
    <s v="025021"/>
    <x v="44"/>
    <n v="449.4"/>
    <n v="48"/>
    <n v="573.24"/>
    <n v="60"/>
  </r>
  <r>
    <x v="2"/>
    <n v="2016"/>
    <s v="025"/>
    <x v="6"/>
    <s v="025026"/>
    <x v="45"/>
    <n v="2663.04"/>
    <n v="876"/>
    <n v="1818.96"/>
    <n v="624"/>
  </r>
  <r>
    <x v="2"/>
    <n v="2016"/>
    <s v="025"/>
    <x v="6"/>
    <s v="025031"/>
    <x v="46"/>
    <n v="599.64"/>
    <n v="108"/>
    <n v="434.46"/>
    <n v="78"/>
  </r>
  <r>
    <x v="2"/>
    <n v="2016"/>
    <s v="025"/>
    <x v="6"/>
    <s v="025033"/>
    <x v="47"/>
    <n v="447.12"/>
    <n v="108"/>
    <n v="273.24"/>
    <n v="66"/>
  </r>
  <r>
    <x v="2"/>
    <n v="2016"/>
    <s v="028"/>
    <x v="7"/>
    <s v="028001"/>
    <x v="48"/>
    <n v="760.5"/>
    <n v="240"/>
    <n v="195"/>
    <n v="60"/>
  </r>
  <r>
    <x v="2"/>
    <n v="2016"/>
    <s v="028"/>
    <x v="7"/>
    <s v="028005"/>
    <x v="49"/>
    <n v="100.8"/>
    <n v="36"/>
    <n v="134.4"/>
    <n v="48"/>
  </r>
  <r>
    <x v="2"/>
    <n v="2016"/>
    <s v="028"/>
    <x v="7"/>
    <s v="028007"/>
    <x v="50"/>
    <n v="91.2"/>
    <n v="53.32"/>
    <m/>
    <m/>
  </r>
  <r>
    <x v="2"/>
    <n v="2016"/>
    <s v="028"/>
    <x v="7"/>
    <s v="028008"/>
    <x v="51"/>
    <n v="580.1"/>
    <n v="286.81"/>
    <n v="385.7"/>
    <n v="193.43"/>
  </r>
  <r>
    <x v="2"/>
    <n v="2016"/>
    <s v="028"/>
    <x v="7"/>
    <s v="028013"/>
    <x v="52"/>
    <n v="720.9"/>
    <n v="162"/>
    <n v="293.7"/>
    <n v="66"/>
  </r>
  <r>
    <x v="2"/>
    <n v="2016"/>
    <s v="029"/>
    <x v="8"/>
    <s v="029005"/>
    <x v="284"/>
    <n v="519"/>
    <n v="300"/>
    <n v="30.6"/>
    <n v="18"/>
  </r>
  <r>
    <x v="2"/>
    <n v="2016"/>
    <s v="035"/>
    <x v="9"/>
    <s v="035001"/>
    <x v="56"/>
    <n v="3316.08"/>
    <n v="822"/>
    <n v="1674.6"/>
    <n v="426"/>
  </r>
  <r>
    <x v="2"/>
    <n v="2016"/>
    <s v="035"/>
    <x v="9"/>
    <s v="035002"/>
    <x v="56"/>
    <n v="91.08"/>
    <n v="18"/>
    <n v="676.8"/>
    <n v="138"/>
  </r>
  <r>
    <x v="2"/>
    <n v="2016"/>
    <s v="035"/>
    <x v="9"/>
    <s v="035010"/>
    <x v="57"/>
    <n v="1592.64"/>
    <n v="438"/>
    <n v="362.46"/>
    <n v="102"/>
  </r>
  <r>
    <x v="2"/>
    <n v="2016"/>
    <s v="036"/>
    <x v="10"/>
    <s v="036001"/>
    <x v="58"/>
    <n v="525.6"/>
    <n v="180"/>
    <n v="487.2"/>
    <n v="180"/>
  </r>
  <r>
    <x v="2"/>
    <n v="2016"/>
    <s v="036"/>
    <x v="10"/>
    <s v="036002"/>
    <x v="285"/>
    <n v="88.5"/>
    <n v="30"/>
    <n v="0"/>
    <n v="6"/>
  </r>
  <r>
    <x v="2"/>
    <n v="2016"/>
    <s v="036"/>
    <x v="10"/>
    <s v="036010"/>
    <x v="249"/>
    <n v="87.55"/>
    <n v="93.31"/>
    <n v="197.2"/>
    <n v="213.28"/>
  </r>
  <r>
    <x v="2"/>
    <n v="2016"/>
    <s v="036"/>
    <x v="10"/>
    <s v="036011"/>
    <x v="59"/>
    <n v="21.6"/>
    <n v="26.68"/>
    <n v="149.19999999999999"/>
    <n v="146.74"/>
  </r>
  <r>
    <x v="2"/>
    <n v="2016"/>
    <s v="037"/>
    <x v="11"/>
    <s v="037003"/>
    <x v="60"/>
    <n v="342"/>
    <n v="90"/>
    <n v="266.39999999999998"/>
    <n v="78"/>
  </r>
  <r>
    <x v="2"/>
    <n v="2016"/>
    <s v="037"/>
    <x v="11"/>
    <s v="037010"/>
    <x v="61"/>
    <n v="28.5"/>
    <n v="6"/>
    <n v="54.6"/>
    <n v="18"/>
  </r>
  <r>
    <x v="2"/>
    <n v="2016"/>
    <s v="039"/>
    <x v="12"/>
    <s v="039018"/>
    <x v="64"/>
    <n v="26.52"/>
    <n v="12"/>
    <n v="530.4"/>
    <n v="240"/>
  </r>
  <r>
    <x v="2"/>
    <n v="2016"/>
    <s v="040"/>
    <x v="13"/>
    <s v="040006"/>
    <x v="67"/>
    <n v="2847"/>
    <n v="780"/>
    <n v="2376"/>
    <n v="666"/>
  </r>
  <r>
    <x v="2"/>
    <n v="2016"/>
    <s v="040"/>
    <x v="13"/>
    <s v="040007"/>
    <x v="68"/>
    <n v="524.4"/>
    <n v="260.13"/>
    <n v="762.7"/>
    <n v="393.53"/>
  </r>
  <r>
    <x v="2"/>
    <n v="2016"/>
    <s v="040"/>
    <x v="13"/>
    <s v="040008"/>
    <x v="68"/>
    <n v="132.25"/>
    <n v="66.650000000000006"/>
    <n v="126"/>
    <n v="66.650000000000006"/>
  </r>
  <r>
    <x v="2"/>
    <n v="2016"/>
    <s v="040"/>
    <x v="13"/>
    <s v="040012"/>
    <x v="69"/>
    <n v="195.6"/>
    <n v="48"/>
    <m/>
    <m/>
  </r>
  <r>
    <x v="2"/>
    <n v="2016"/>
    <s v="040"/>
    <x v="13"/>
    <s v="040015"/>
    <x v="70"/>
    <n v="91.8"/>
    <n v="18"/>
    <n v="178.2"/>
    <n v="36"/>
  </r>
  <r>
    <x v="2"/>
    <n v="2016"/>
    <s v="040"/>
    <x v="13"/>
    <s v="040017"/>
    <x v="286"/>
    <n v="49.2"/>
    <n v="6"/>
    <n v="49.2"/>
    <n v="6"/>
  </r>
  <r>
    <x v="2"/>
    <n v="2016"/>
    <s v="041"/>
    <x v="14"/>
    <s v="041002"/>
    <x v="72"/>
    <n v="138.6"/>
    <n v="12"/>
    <m/>
    <m/>
  </r>
  <r>
    <x v="2"/>
    <n v="2016"/>
    <s v="041"/>
    <x v="14"/>
    <s v="041011"/>
    <x v="253"/>
    <n v="105"/>
    <n v="12"/>
    <n v="410.4"/>
    <n v="60"/>
  </r>
  <r>
    <x v="2"/>
    <n v="2016"/>
    <s v="041"/>
    <x v="14"/>
    <s v="041016"/>
    <x v="73"/>
    <n v="954.3"/>
    <n v="114"/>
    <m/>
    <m/>
  </r>
  <r>
    <x v="2"/>
    <n v="2016"/>
    <s v="046"/>
    <x v="16"/>
    <s v="046001"/>
    <x v="75"/>
    <n v="216"/>
    <n v="48"/>
    <n v="713.4"/>
    <n v="174"/>
  </r>
  <r>
    <x v="2"/>
    <n v="2016"/>
    <s v="046"/>
    <x v="16"/>
    <s v="046010"/>
    <x v="76"/>
    <n v="82.8"/>
    <n v="12"/>
    <n v="806.4"/>
    <n v="126"/>
  </r>
  <r>
    <x v="2"/>
    <n v="2016"/>
    <s v="046"/>
    <x v="16"/>
    <s v="046015"/>
    <x v="77"/>
    <n v="336"/>
    <n v="90"/>
    <n v="906"/>
    <n v="264"/>
  </r>
  <r>
    <x v="2"/>
    <n v="2016"/>
    <s v="046"/>
    <x v="16"/>
    <s v="046020"/>
    <x v="78"/>
    <n v="135"/>
    <n v="18"/>
    <m/>
    <m/>
  </r>
  <r>
    <x v="2"/>
    <n v="2016"/>
    <s v="048B"/>
    <x v="17"/>
    <s v="048003B"/>
    <x v="79"/>
    <n v="910.8"/>
    <n v="162"/>
    <n v="1023"/>
    <n v="192"/>
  </r>
  <r>
    <x v="2"/>
    <n v="2016"/>
    <s v="048B"/>
    <x v="17"/>
    <s v="048006B"/>
    <x v="287"/>
    <n v="213.6"/>
    <n v="36"/>
    <m/>
    <m/>
  </r>
  <r>
    <x v="2"/>
    <n v="2016"/>
    <s v="049"/>
    <x v="18"/>
    <s v="049007"/>
    <x v="80"/>
    <n v="140.69999999999999"/>
    <n v="48"/>
    <n v="59.4"/>
    <n v="24"/>
  </r>
  <r>
    <x v="2"/>
    <n v="2016"/>
    <s v="049"/>
    <x v="18"/>
    <s v="049008"/>
    <x v="80"/>
    <n v="252"/>
    <n v="60"/>
    <m/>
    <m/>
  </r>
  <r>
    <x v="2"/>
    <n v="2016"/>
    <s v="049"/>
    <x v="18"/>
    <s v="049014"/>
    <x v="255"/>
    <n v="13.5"/>
    <n v="6"/>
    <n v="27"/>
    <n v="18"/>
  </r>
  <r>
    <x v="2"/>
    <n v="2016"/>
    <s v="049"/>
    <x v="18"/>
    <s v="049015"/>
    <x v="81"/>
    <n v="591.6"/>
    <n v="204"/>
    <n v="1231.2"/>
    <n v="432"/>
  </r>
  <r>
    <x v="2"/>
    <n v="2016"/>
    <s v="049"/>
    <x v="18"/>
    <s v="049016"/>
    <x v="81"/>
    <n v="111"/>
    <n v="30"/>
    <n v="259.2"/>
    <n v="72"/>
  </r>
  <r>
    <x v="2"/>
    <n v="2016"/>
    <s v="049"/>
    <x v="18"/>
    <s v="049020"/>
    <x v="82"/>
    <n v="1093.5"/>
    <n v="486"/>
    <n v="1098"/>
    <n v="516"/>
  </r>
  <r>
    <x v="2"/>
    <n v="2016"/>
    <s v="049"/>
    <x v="18"/>
    <s v="049023"/>
    <x v="82"/>
    <n v="39.6"/>
    <n v="12"/>
    <m/>
    <m/>
  </r>
  <r>
    <x v="2"/>
    <n v="2016"/>
    <s v="050"/>
    <x v="19"/>
    <s v="050001"/>
    <x v="83"/>
    <n v="1735.5"/>
    <n v="534"/>
    <n v="1494.6"/>
    <n v="474"/>
  </r>
  <r>
    <x v="2"/>
    <n v="2016"/>
    <s v="050"/>
    <x v="19"/>
    <s v="050003"/>
    <x v="84"/>
    <n v="312"/>
    <n v="96"/>
    <n v="76.8"/>
    <n v="30"/>
  </r>
  <r>
    <x v="2"/>
    <n v="2016"/>
    <s v="050"/>
    <x v="19"/>
    <s v="050005"/>
    <x v="85"/>
    <n v="290.39999999999998"/>
    <n v="72"/>
    <n v="52.8"/>
    <n v="18"/>
  </r>
  <r>
    <x v="2"/>
    <n v="2016"/>
    <s v="050"/>
    <x v="19"/>
    <s v="050010"/>
    <x v="256"/>
    <n v="390"/>
    <n v="66"/>
    <n v="156"/>
    <n v="30"/>
  </r>
  <r>
    <x v="2"/>
    <n v="2016"/>
    <s v="051"/>
    <x v="20"/>
    <s v="051000"/>
    <x v="86"/>
    <n v="2721.6"/>
    <n v="486"/>
    <n v="4489.1000000000004"/>
    <n v="810"/>
  </r>
  <r>
    <x v="2"/>
    <n v="2016"/>
    <s v="051"/>
    <x v="20"/>
    <s v="051002CB"/>
    <x v="288"/>
    <n v="226.8"/>
    <n v="24"/>
    <m/>
    <m/>
  </r>
  <r>
    <x v="2"/>
    <n v="2016"/>
    <s v="051"/>
    <x v="20"/>
    <s v="051010/11"/>
    <x v="87"/>
    <n v="6023.7"/>
    <n v="762"/>
    <m/>
    <m/>
  </r>
  <r>
    <x v="2"/>
    <n v="2016"/>
    <s v="051"/>
    <x v="20"/>
    <s v="051017"/>
    <x v="88"/>
    <n v="152.4"/>
    <n v="24"/>
    <n v="457.2"/>
    <n v="72"/>
  </r>
  <r>
    <x v="2"/>
    <n v="2016"/>
    <s v="051"/>
    <x v="20"/>
    <s v="051133"/>
    <x v="89"/>
    <n v="424.8"/>
    <n v="48"/>
    <n v="834"/>
    <n v="96"/>
  </r>
  <r>
    <x v="2"/>
    <n v="2016"/>
    <s v="051"/>
    <x v="20"/>
    <s v="CDV051016"/>
    <x v="289"/>
    <n v="158.4"/>
    <n v="24"/>
    <n v="71.3"/>
    <n v="12"/>
  </r>
  <r>
    <x v="2"/>
    <n v="2016"/>
    <s v="052"/>
    <x v="21"/>
    <s v="052017"/>
    <x v="90"/>
    <n v="117.9"/>
    <n v="12"/>
    <n v="117.9"/>
    <n v="12"/>
  </r>
  <r>
    <x v="2"/>
    <n v="2016"/>
    <s v="052"/>
    <x v="21"/>
    <s v="052021"/>
    <x v="91"/>
    <n v="518.4"/>
    <n v="54"/>
    <n v="1612.8"/>
    <n v="168"/>
  </r>
  <r>
    <x v="2"/>
    <n v="2016"/>
    <s v="052"/>
    <x v="21"/>
    <s v="052028"/>
    <x v="92"/>
    <n v="167.16"/>
    <n v="84"/>
    <n v="413.4"/>
    <n v="162"/>
  </r>
  <r>
    <x v="2"/>
    <n v="2016"/>
    <s v="052"/>
    <x v="21"/>
    <s v="052039"/>
    <x v="93"/>
    <n v="411"/>
    <n v="60"/>
    <n v="780.9"/>
    <n v="114"/>
  </r>
  <r>
    <x v="2"/>
    <n v="2016"/>
    <s v="052"/>
    <x v="21"/>
    <s v="052054"/>
    <x v="95"/>
    <n v="71.400000000000006"/>
    <n v="12"/>
    <m/>
    <m/>
  </r>
  <r>
    <x v="2"/>
    <n v="2016"/>
    <s v="052"/>
    <x v="21"/>
    <s v="052055"/>
    <x v="96"/>
    <n v="41.1"/>
    <n v="6"/>
    <n v="246.6"/>
    <n v="36"/>
  </r>
  <r>
    <x v="2"/>
    <n v="2016"/>
    <s v="052"/>
    <x v="21"/>
    <s v="052062"/>
    <x v="96"/>
    <n v="169.8"/>
    <n v="24"/>
    <n v="169.8"/>
    <n v="24"/>
  </r>
  <r>
    <x v="2"/>
    <n v="2016"/>
    <s v="054"/>
    <x v="22"/>
    <s v="054002"/>
    <x v="97"/>
    <n v="330"/>
    <n v="66"/>
    <n v="1094.4000000000001"/>
    <n v="228"/>
  </r>
  <r>
    <x v="2"/>
    <n v="2016"/>
    <s v="054"/>
    <x v="22"/>
    <s v="054005"/>
    <x v="98"/>
    <n v="834.6"/>
    <n v="114"/>
    <n v="441"/>
    <n v="60"/>
  </r>
  <r>
    <x v="2"/>
    <n v="2016"/>
    <s v="054"/>
    <x v="22"/>
    <s v="054011"/>
    <x v="99"/>
    <n v="711.6"/>
    <n v="84"/>
    <n v="554.4"/>
    <n v="72"/>
  </r>
  <r>
    <x v="2"/>
    <n v="2016"/>
    <s v="059"/>
    <x v="23"/>
    <s v="059002"/>
    <x v="100"/>
    <n v="100.8"/>
    <n v="24"/>
    <m/>
    <m/>
  </r>
  <r>
    <x v="2"/>
    <n v="2016"/>
    <s v="059"/>
    <x v="23"/>
    <s v="059004"/>
    <x v="101"/>
    <n v="21.6"/>
    <n v="6"/>
    <m/>
    <m/>
  </r>
  <r>
    <x v="2"/>
    <n v="2016"/>
    <s v="059"/>
    <x v="23"/>
    <s v="059005"/>
    <x v="101"/>
    <n v="21.6"/>
    <n v="6"/>
    <m/>
    <m/>
  </r>
  <r>
    <x v="2"/>
    <n v="2016"/>
    <s v="059"/>
    <x v="23"/>
    <s v="059008"/>
    <x v="102"/>
    <n v="33"/>
    <n v="6"/>
    <m/>
    <m/>
  </r>
  <r>
    <x v="2"/>
    <n v="2016"/>
    <s v="059"/>
    <x v="23"/>
    <s v="059010"/>
    <x v="102"/>
    <n v="132"/>
    <n v="24"/>
    <m/>
    <m/>
  </r>
  <r>
    <x v="2"/>
    <n v="2016"/>
    <s v="059"/>
    <x v="23"/>
    <s v="059019"/>
    <x v="103"/>
    <n v="42.6"/>
    <n v="12"/>
    <m/>
    <m/>
  </r>
  <r>
    <x v="2"/>
    <n v="2016"/>
    <s v="059"/>
    <x v="23"/>
    <s v="059020"/>
    <x v="104"/>
    <n v="1965.6"/>
    <n v="552"/>
    <m/>
    <m/>
  </r>
  <r>
    <x v="2"/>
    <n v="2016"/>
    <s v="059"/>
    <x v="23"/>
    <s v="059021"/>
    <x v="105"/>
    <n v="581.1"/>
    <n v="273.46999999999997"/>
    <m/>
    <m/>
  </r>
  <r>
    <x v="2"/>
    <n v="2016"/>
    <s v="059"/>
    <x v="23"/>
    <s v="059025"/>
    <x v="106"/>
    <n v="4225.5"/>
    <n v="1890"/>
    <m/>
    <m/>
  </r>
  <r>
    <x v="2"/>
    <n v="2016"/>
    <s v="059"/>
    <x v="23"/>
    <s v="059026"/>
    <x v="107"/>
    <n v="1900.8"/>
    <n v="1293.98"/>
    <m/>
    <m/>
  </r>
  <r>
    <x v="2"/>
    <n v="2016"/>
    <s v="059"/>
    <x v="23"/>
    <s v="059027"/>
    <x v="259"/>
    <n v="50.7"/>
    <n v="39.99"/>
    <m/>
    <m/>
  </r>
  <r>
    <x v="2"/>
    <n v="2016"/>
    <s v="059"/>
    <x v="23"/>
    <s v="059101"/>
    <x v="290"/>
    <n v="0"/>
    <n v="0"/>
    <m/>
    <m/>
  </r>
  <r>
    <x v="2"/>
    <n v="2016"/>
    <s v="059"/>
    <x v="23"/>
    <s v="059104"/>
    <x v="291"/>
    <n v="155.4"/>
    <n v="42"/>
    <m/>
    <m/>
  </r>
  <r>
    <x v="2"/>
    <n v="2016"/>
    <s v="060"/>
    <x v="24"/>
    <s v="060015"/>
    <x v="109"/>
    <n v="1279.08"/>
    <n v="342"/>
    <n v="842.4"/>
    <n v="234"/>
  </r>
  <r>
    <x v="2"/>
    <n v="2016"/>
    <s v="060"/>
    <x v="24"/>
    <s v="060016"/>
    <x v="109"/>
    <n v="56.88"/>
    <n v="12"/>
    <n v="79.92"/>
    <n v="18"/>
  </r>
  <r>
    <x v="2"/>
    <n v="2016"/>
    <s v="062"/>
    <x v="25"/>
    <s v="062001"/>
    <x v="260"/>
    <n v="60"/>
    <n v="12"/>
    <n v="367.2"/>
    <n v="72"/>
  </r>
  <r>
    <x v="2"/>
    <n v="2016"/>
    <s v="062"/>
    <x v="25"/>
    <s v="062003"/>
    <x v="110"/>
    <n v="1480.2"/>
    <n v="342"/>
    <n v="2889.6"/>
    <n v="672"/>
  </r>
  <r>
    <x v="2"/>
    <n v="2016"/>
    <s v="062"/>
    <x v="25"/>
    <s v="062021"/>
    <x v="110"/>
    <n v="581.70000000000005"/>
    <n v="186"/>
    <n v="951.6"/>
    <n v="312"/>
  </r>
  <r>
    <x v="2"/>
    <n v="2016"/>
    <s v="062"/>
    <x v="25"/>
    <s v="062032"/>
    <x v="112"/>
    <n v="1202"/>
    <n v="540.27"/>
    <n v="1232.5"/>
    <n v="573.62"/>
  </r>
  <r>
    <x v="2"/>
    <n v="2016"/>
    <s v="074"/>
    <x v="26"/>
    <s v="074012"/>
    <x v="113"/>
    <n v="775.2"/>
    <n v="108"/>
    <n v="273.60000000000002"/>
    <n v="36"/>
  </r>
  <r>
    <x v="2"/>
    <n v="2016"/>
    <s v="074"/>
    <x v="26"/>
    <s v="074013"/>
    <x v="114"/>
    <n v="808.2"/>
    <n v="174"/>
    <n v="1047"/>
    <n v="234"/>
  </r>
  <r>
    <x v="2"/>
    <n v="2016"/>
    <s v="075"/>
    <x v="27"/>
    <s v="075002"/>
    <x v="115"/>
    <n v="1518.9"/>
    <n v="366"/>
    <n v="1056.24"/>
    <n v="264"/>
  </r>
  <r>
    <x v="2"/>
    <n v="2016"/>
    <s v="075"/>
    <x v="27"/>
    <s v="075004"/>
    <x v="115"/>
    <n v="171.54"/>
    <n v="36"/>
    <n v="54"/>
    <n v="12"/>
  </r>
  <r>
    <x v="2"/>
    <n v="2016"/>
    <s v="075"/>
    <x v="27"/>
    <s v="075013"/>
    <x v="116"/>
    <n v="166.5"/>
    <n v="30"/>
    <n v="374.4"/>
    <n v="72"/>
  </r>
  <r>
    <x v="2"/>
    <n v="2016"/>
    <s v="075"/>
    <x v="27"/>
    <s v="CDV075003"/>
    <x v="117"/>
    <n v="52.8"/>
    <n v="12"/>
    <m/>
    <m/>
  </r>
  <r>
    <x v="2"/>
    <n v="2016"/>
    <s v="080"/>
    <x v="28"/>
    <s v="080010"/>
    <x v="118"/>
    <n v="734.4"/>
    <n v="114"/>
    <n v="718.2"/>
    <n v="120"/>
  </r>
  <r>
    <x v="2"/>
    <n v="2016"/>
    <s v="080"/>
    <x v="28"/>
    <s v="080011"/>
    <x v="118"/>
    <n v="46.8"/>
    <n v="6"/>
    <n v="231"/>
    <n v="30"/>
  </r>
  <r>
    <x v="2"/>
    <n v="2016"/>
    <s v="080"/>
    <x v="28"/>
    <s v="080014"/>
    <x v="118"/>
    <n v="44.4"/>
    <n v="6"/>
    <m/>
    <m/>
  </r>
  <r>
    <x v="2"/>
    <n v="2016"/>
    <s v="080"/>
    <x v="28"/>
    <s v="080015"/>
    <x v="118"/>
    <n v="280.8"/>
    <n v="42"/>
    <n v="435.6"/>
    <n v="66"/>
  </r>
  <r>
    <x v="2"/>
    <n v="2016"/>
    <s v="083"/>
    <x v="29"/>
    <s v="083003"/>
    <x v="119"/>
    <n v="412.2"/>
    <n v="192"/>
    <n v="176.4"/>
    <n v="84"/>
  </r>
  <r>
    <x v="2"/>
    <n v="2016"/>
    <s v="084"/>
    <x v="30"/>
    <s v="084001"/>
    <x v="120"/>
    <n v="1669"/>
    <n v="1173.04"/>
    <n v="1444"/>
    <n v="1026.4100000000001"/>
  </r>
  <r>
    <x v="2"/>
    <n v="2016"/>
    <s v="084"/>
    <x v="30"/>
    <s v="084002"/>
    <x v="120"/>
    <n v="1996.2"/>
    <n v="1227.28"/>
    <n v="1769.85"/>
    <n v="1087.21"/>
  </r>
  <r>
    <x v="2"/>
    <n v="2016"/>
    <s v="084"/>
    <x v="30"/>
    <s v="084004"/>
    <x v="121"/>
    <n v="1561.5"/>
    <n v="744"/>
    <n v="123"/>
    <n v="60"/>
  </r>
  <r>
    <x v="2"/>
    <n v="2016"/>
    <s v="084"/>
    <x v="30"/>
    <s v="084006"/>
    <x v="122"/>
    <n v="3816.9"/>
    <n v="1416"/>
    <n v="2106"/>
    <n v="780"/>
  </r>
  <r>
    <x v="2"/>
    <n v="2016"/>
    <s v="084"/>
    <x v="30"/>
    <s v="084007"/>
    <x v="123"/>
    <n v="1344.6"/>
    <n v="294"/>
    <n v="674.64"/>
    <n v="156"/>
  </r>
  <r>
    <x v="2"/>
    <n v="2016"/>
    <s v="084"/>
    <x v="30"/>
    <s v="084008"/>
    <x v="124"/>
    <n v="250.38"/>
    <n v="48"/>
    <m/>
    <m/>
  </r>
  <r>
    <x v="2"/>
    <n v="2016"/>
    <s v="084"/>
    <x v="30"/>
    <s v="084015"/>
    <x v="263"/>
    <n v="129"/>
    <n v="12"/>
    <n v="63"/>
    <n v="12"/>
  </r>
  <r>
    <x v="2"/>
    <n v="2016"/>
    <s v="084"/>
    <x v="30"/>
    <s v="084050"/>
    <x v="292"/>
    <n v="252"/>
    <n v="30"/>
    <m/>
    <m/>
  </r>
  <r>
    <x v="2"/>
    <n v="2016"/>
    <s v="086B"/>
    <x v="31"/>
    <s v="086001P"/>
    <x v="126"/>
    <n v="134.32"/>
    <n v="106.64"/>
    <n v="594.04"/>
    <n v="479.88"/>
  </r>
  <r>
    <x v="2"/>
    <n v="2016"/>
    <s v="086B"/>
    <x v="31"/>
    <s v="086002P"/>
    <x v="126"/>
    <n v="92.6"/>
    <n v="66.7"/>
    <n v="366.76"/>
    <n v="266.8"/>
  </r>
  <r>
    <x v="2"/>
    <n v="2016"/>
    <s v="086B"/>
    <x v="31"/>
    <s v="086011P"/>
    <x v="126"/>
    <n v="492.81"/>
    <n v="386.57"/>
    <n v="673.83"/>
    <n v="546.53"/>
  </r>
  <r>
    <x v="2"/>
    <n v="2016"/>
    <s v="086B"/>
    <x v="31"/>
    <s v="086012P"/>
    <x v="126"/>
    <n v="281.05"/>
    <n v="200.1"/>
    <n v="255.64"/>
    <n v="193.43"/>
  </r>
  <r>
    <x v="2"/>
    <n v="2016"/>
    <s v="089"/>
    <x v="33"/>
    <s v="089002"/>
    <x v="128"/>
    <n v="87.6"/>
    <n v="30"/>
    <n v="63.6"/>
    <n v="18"/>
  </r>
  <r>
    <x v="2"/>
    <n v="2016"/>
    <s v="089"/>
    <x v="33"/>
    <s v="089800"/>
    <x v="130"/>
    <n v="49.8"/>
    <n v="12"/>
    <n v="24.6"/>
    <n v="6"/>
  </r>
  <r>
    <x v="2"/>
    <n v="2016"/>
    <s v="089"/>
    <x v="33"/>
    <s v="089900"/>
    <x v="131"/>
    <n v="488.75"/>
    <n v="306.58999999999997"/>
    <n v="526.5"/>
    <n v="346.58"/>
  </r>
  <r>
    <x v="2"/>
    <n v="2016"/>
    <s v="089"/>
    <x v="33"/>
    <s v="089901"/>
    <x v="132"/>
    <n v="356.4"/>
    <n v="186.76"/>
    <n v="1037"/>
    <n v="580.29"/>
  </r>
  <r>
    <x v="2"/>
    <n v="2016"/>
    <s v="089"/>
    <x v="33"/>
    <s v="089903"/>
    <x v="133"/>
    <n v="934.8"/>
    <n v="228"/>
    <n v="801.9"/>
    <n v="204"/>
  </r>
  <r>
    <x v="2"/>
    <n v="2016"/>
    <s v="094"/>
    <x v="35"/>
    <s v="094001"/>
    <x v="135"/>
    <n v="188.4"/>
    <n v="42"/>
    <n v="1466.4"/>
    <n v="294"/>
  </r>
  <r>
    <x v="2"/>
    <n v="2016"/>
    <s v="094"/>
    <x v="35"/>
    <s v="094003"/>
    <x v="136"/>
    <n v="67.8"/>
    <n v="12"/>
    <m/>
    <m/>
  </r>
  <r>
    <x v="2"/>
    <n v="2016"/>
    <s v="095"/>
    <x v="36"/>
    <s v="095001"/>
    <x v="138"/>
    <n v="1110"/>
    <n v="300"/>
    <n v="1063.5"/>
    <n v="294"/>
  </r>
  <r>
    <x v="2"/>
    <n v="2016"/>
    <s v="095"/>
    <x v="36"/>
    <s v="095002"/>
    <x v="138"/>
    <n v="0"/>
    <n v="6"/>
    <n v="158.4"/>
    <n v="36"/>
  </r>
  <r>
    <x v="2"/>
    <n v="2016"/>
    <s v="095"/>
    <x v="36"/>
    <s v="095003"/>
    <x v="293"/>
    <n v="0"/>
    <n v="138"/>
    <m/>
    <m/>
  </r>
  <r>
    <x v="2"/>
    <n v="2016"/>
    <s v="095"/>
    <x v="36"/>
    <s v="095005"/>
    <x v="139"/>
    <n v="421.2"/>
    <n v="108"/>
    <n v="0"/>
    <n v="6"/>
  </r>
  <r>
    <x v="2"/>
    <n v="2016"/>
    <s v="095"/>
    <x v="36"/>
    <s v="095008"/>
    <x v="294"/>
    <n v="64.8"/>
    <n v="12"/>
    <m/>
    <m/>
  </r>
  <r>
    <x v="2"/>
    <n v="2016"/>
    <s v="095"/>
    <x v="36"/>
    <s v="095010"/>
    <x v="140"/>
    <n v="1283.4000000000001"/>
    <n v="276"/>
    <n v="686.7"/>
    <n v="156"/>
  </r>
  <r>
    <x v="2"/>
    <n v="2016"/>
    <s v="095"/>
    <x v="36"/>
    <s v="095012"/>
    <x v="141"/>
    <n v="744"/>
    <n v="114"/>
    <m/>
    <m/>
  </r>
  <r>
    <x v="2"/>
    <n v="2016"/>
    <s v="095"/>
    <x v="36"/>
    <s v="095014"/>
    <x v="266"/>
    <n v="81.599999999999994"/>
    <n v="144"/>
    <m/>
    <m/>
  </r>
  <r>
    <x v="2"/>
    <n v="2016"/>
    <s v="095"/>
    <x v="36"/>
    <s v="CDV095007"/>
    <x v="295"/>
    <n v="72"/>
    <n v="18"/>
    <m/>
    <m/>
  </r>
  <r>
    <x v="2"/>
    <n v="2016"/>
    <s v="097"/>
    <x v="38"/>
    <s v="097004"/>
    <x v="147"/>
    <n v="1171.8"/>
    <n v="558"/>
    <n v="1437.3"/>
    <n v="702"/>
  </r>
  <r>
    <x v="2"/>
    <n v="2016"/>
    <s v="099"/>
    <x v="39"/>
    <s v="099001"/>
    <x v="148"/>
    <n v="1822.02"/>
    <n v="1146"/>
    <n v="2137.91"/>
    <n v="1416"/>
  </r>
  <r>
    <x v="2"/>
    <n v="2016"/>
    <s v="099"/>
    <x v="39"/>
    <s v="099002"/>
    <x v="148"/>
    <n v="3236.16"/>
    <n v="1866"/>
    <n v="10642.95"/>
    <n v="7992"/>
  </r>
  <r>
    <x v="2"/>
    <n v="2016"/>
    <s v="099"/>
    <x v="39"/>
    <s v="099003"/>
    <x v="148"/>
    <n v="425.4"/>
    <n v="246"/>
    <n v="437.04"/>
    <n v="270"/>
  </r>
  <r>
    <x v="2"/>
    <n v="2016"/>
    <s v="099"/>
    <x v="39"/>
    <s v="099013"/>
    <x v="149"/>
    <n v="236.04"/>
    <n v="84"/>
    <n v="84.3"/>
    <n v="36"/>
  </r>
  <r>
    <x v="2"/>
    <n v="2016"/>
    <s v="099"/>
    <x v="39"/>
    <s v="099016"/>
    <x v="150"/>
    <n v="157.68"/>
    <n v="60"/>
    <n v="0"/>
    <n v="6"/>
  </r>
  <r>
    <x v="2"/>
    <n v="2016"/>
    <s v="110"/>
    <x v="40"/>
    <s v="110500"/>
    <x v="151"/>
    <n v="430.1"/>
    <n v="306.58999999999997"/>
    <n v="327.60000000000002"/>
    <n v="239.94"/>
  </r>
  <r>
    <x v="2"/>
    <n v="2016"/>
    <s v="110"/>
    <x v="40"/>
    <s v="110501"/>
    <x v="151"/>
    <n v="33.450000000000003"/>
    <n v="20.009999999999998"/>
    <n v="268.75"/>
    <n v="173.42"/>
  </r>
  <r>
    <x v="2"/>
    <n v="2016"/>
    <s v="110"/>
    <x v="40"/>
    <s v="110600"/>
    <x v="152"/>
    <n v="94.5"/>
    <n v="30"/>
    <n v="122.7"/>
    <n v="42"/>
  </r>
  <r>
    <x v="2"/>
    <n v="2016"/>
    <s v="113"/>
    <x v="41"/>
    <s v="113001"/>
    <x v="153"/>
    <n v="1504.8"/>
    <n v="264"/>
    <n v="1081.8"/>
    <n v="204"/>
  </r>
  <r>
    <x v="2"/>
    <n v="2016"/>
    <s v="113"/>
    <x v="41"/>
    <s v="113005"/>
    <x v="153"/>
    <n v="1152"/>
    <n v="198"/>
    <n v="1131.3"/>
    <n v="204"/>
  </r>
  <r>
    <x v="2"/>
    <n v="2016"/>
    <s v="114"/>
    <x v="42"/>
    <s v="114001"/>
    <x v="154"/>
    <n v="691.2"/>
    <n v="252"/>
    <n v="598.20000000000005"/>
    <n v="222"/>
  </r>
  <r>
    <x v="2"/>
    <n v="2016"/>
    <s v="114"/>
    <x v="42"/>
    <s v="114002"/>
    <x v="154"/>
    <n v="80.16"/>
    <n v="24"/>
    <n v="19.8"/>
    <n v="6"/>
  </r>
  <r>
    <x v="2"/>
    <n v="2016"/>
    <s v="114"/>
    <x v="42"/>
    <s v="114005"/>
    <x v="155"/>
    <n v="141"/>
    <n v="60"/>
    <n v="179.4"/>
    <n v="84"/>
  </r>
  <r>
    <x v="2"/>
    <n v="2016"/>
    <s v="114"/>
    <x v="42"/>
    <s v="114006"/>
    <x v="155"/>
    <n v="36.24"/>
    <n v="12"/>
    <m/>
    <m/>
  </r>
  <r>
    <x v="2"/>
    <n v="2016"/>
    <s v="114"/>
    <x v="42"/>
    <s v="114010"/>
    <x v="156"/>
    <n v="68.5"/>
    <n v="39.99"/>
    <n v="666.4"/>
    <n v="426.56"/>
  </r>
  <r>
    <x v="2"/>
    <n v="2016"/>
    <s v="114"/>
    <x v="42"/>
    <s v="114011"/>
    <x v="156"/>
    <n v="823.5"/>
    <n v="420.21"/>
    <n v="997.92"/>
    <n v="533.6"/>
  </r>
  <r>
    <x v="2"/>
    <n v="2016"/>
    <s v="114"/>
    <x v="42"/>
    <s v="114012"/>
    <x v="157"/>
    <n v="17.52"/>
    <n v="13.33"/>
    <m/>
    <m/>
  </r>
  <r>
    <x v="2"/>
    <n v="2016"/>
    <s v="115"/>
    <x v="43"/>
    <s v="115005"/>
    <x v="159"/>
    <n v="1593.6"/>
    <n v="240"/>
    <n v="686.4"/>
    <n v="114"/>
  </r>
  <r>
    <x v="2"/>
    <n v="2016"/>
    <s v="115"/>
    <x v="43"/>
    <s v="115007"/>
    <x v="160"/>
    <n v="204.6"/>
    <n v="36"/>
    <m/>
    <m/>
  </r>
  <r>
    <x v="2"/>
    <n v="2016"/>
    <s v="115"/>
    <x v="43"/>
    <s v="115010"/>
    <x v="161"/>
    <n v="55.2"/>
    <n v="53.32"/>
    <n v="207"/>
    <n v="199.95"/>
  </r>
  <r>
    <x v="2"/>
    <n v="2016"/>
    <s v="115"/>
    <x v="43"/>
    <s v="115011"/>
    <x v="161"/>
    <n v="110.5"/>
    <n v="86.71"/>
    <n v="165.78"/>
    <n v="146.74"/>
  </r>
  <r>
    <x v="2"/>
    <n v="2016"/>
    <s v="116"/>
    <x v="44"/>
    <s v="116001"/>
    <x v="162"/>
    <n v="1186.8"/>
    <n v="258"/>
    <n v="376.8"/>
    <n v="90"/>
  </r>
  <r>
    <x v="2"/>
    <n v="2016"/>
    <s v="116"/>
    <x v="44"/>
    <s v="116005"/>
    <x v="267"/>
    <n v="0"/>
    <n v="6"/>
    <m/>
    <m/>
  </r>
  <r>
    <x v="2"/>
    <n v="2016"/>
    <s v="119"/>
    <x v="69"/>
    <s v="119002"/>
    <x v="270"/>
    <n v="561.6"/>
    <n v="162"/>
    <m/>
    <m/>
  </r>
  <r>
    <x v="2"/>
    <n v="2016"/>
    <s v="119"/>
    <x v="69"/>
    <s v="119003"/>
    <x v="271"/>
    <n v="187.2"/>
    <n v="42"/>
    <m/>
    <m/>
  </r>
  <r>
    <x v="2"/>
    <n v="2016"/>
    <s v="124"/>
    <x v="46"/>
    <s v="124001"/>
    <x v="175"/>
    <n v="808.8"/>
    <n v="186"/>
    <n v="1452"/>
    <n v="330"/>
  </r>
  <r>
    <x v="2"/>
    <n v="2016"/>
    <s v="124"/>
    <x v="46"/>
    <s v="124002"/>
    <x v="176"/>
    <n v="138.6"/>
    <n v="42"/>
    <n v="787.2"/>
    <n v="252"/>
  </r>
  <r>
    <x v="2"/>
    <n v="2016"/>
    <s v="124"/>
    <x v="46"/>
    <s v="124010"/>
    <x v="178"/>
    <n v="604.79999999999995"/>
    <n v="102"/>
    <n v="446.4"/>
    <n v="72"/>
  </r>
  <r>
    <x v="2"/>
    <n v="2016"/>
    <s v="134"/>
    <x v="47"/>
    <s v="134004"/>
    <x v="180"/>
    <n v="84.72"/>
    <n v="24"/>
    <n v="280.5"/>
    <n v="66"/>
  </r>
  <r>
    <x v="2"/>
    <n v="2016"/>
    <s v="134"/>
    <x v="47"/>
    <s v="134005"/>
    <x v="181"/>
    <n v="2305.38"/>
    <n v="516"/>
    <n v="1180.8"/>
    <n v="324"/>
  </r>
  <r>
    <x v="2"/>
    <n v="2016"/>
    <s v="134"/>
    <x v="47"/>
    <s v="134007"/>
    <x v="296"/>
    <n v="473.16"/>
    <n v="36"/>
    <n v="255.6"/>
    <n v="18"/>
  </r>
  <r>
    <x v="2"/>
    <n v="2016"/>
    <s v="134"/>
    <x v="47"/>
    <s v="134008"/>
    <x v="296"/>
    <n v="207.84"/>
    <n v="18"/>
    <m/>
    <m/>
  </r>
  <r>
    <x v="2"/>
    <n v="2016"/>
    <s v="137"/>
    <x v="48"/>
    <s v="137001"/>
    <x v="182"/>
    <n v="1176"/>
    <n v="420"/>
    <n v="683.7"/>
    <n v="258"/>
  </r>
  <r>
    <x v="2"/>
    <n v="2016"/>
    <s v="137"/>
    <x v="48"/>
    <s v="137003"/>
    <x v="183"/>
    <n v="475.2"/>
    <n v="96"/>
    <n v="57.6"/>
    <n v="12"/>
  </r>
  <r>
    <x v="2"/>
    <n v="2016"/>
    <s v="140"/>
    <x v="49"/>
    <s v="140001"/>
    <x v="184"/>
    <n v="412.8"/>
    <n v="102"/>
    <n v="551.70000000000005"/>
    <n v="132"/>
  </r>
  <r>
    <x v="2"/>
    <n v="2016"/>
    <s v="143"/>
    <x v="50"/>
    <s v="143001"/>
    <x v="185"/>
    <n v="330"/>
    <n v="90"/>
    <n v="327.60000000000002"/>
    <n v="90"/>
  </r>
  <r>
    <x v="2"/>
    <n v="2016"/>
    <s v="143"/>
    <x v="50"/>
    <s v="143002"/>
    <x v="185"/>
    <n v="732"/>
    <n v="192"/>
    <n v="513"/>
    <n v="132"/>
  </r>
  <r>
    <x v="2"/>
    <n v="2016"/>
    <s v="143"/>
    <x v="50"/>
    <s v="143003"/>
    <x v="297"/>
    <n v="277.2"/>
    <n v="72"/>
    <n v="100.8"/>
    <n v="36"/>
  </r>
  <r>
    <x v="2"/>
    <n v="2016"/>
    <s v="152"/>
    <x v="51"/>
    <s v="152001"/>
    <x v="186"/>
    <n v="1658.7"/>
    <n v="300"/>
    <n v="393.6"/>
    <n v="78"/>
  </r>
  <r>
    <x v="2"/>
    <n v="2016"/>
    <s v="153"/>
    <x v="52"/>
    <s v="153001"/>
    <x v="298"/>
    <n v="904.8"/>
    <n v="162"/>
    <n v="67.8"/>
    <n v="12"/>
  </r>
  <r>
    <x v="2"/>
    <n v="2016"/>
    <s v="153"/>
    <x v="52"/>
    <s v="153003"/>
    <x v="187"/>
    <n v="662.4"/>
    <n v="102"/>
    <n v="925.2"/>
    <n v="144"/>
  </r>
  <r>
    <x v="2"/>
    <n v="2016"/>
    <s v="153"/>
    <x v="52"/>
    <s v="153005"/>
    <x v="188"/>
    <n v="0"/>
    <n v="6"/>
    <n v="248.4"/>
    <n v="24"/>
  </r>
  <r>
    <x v="2"/>
    <n v="2016"/>
    <s v="153"/>
    <x v="52"/>
    <s v="153012"/>
    <x v="189"/>
    <n v="0"/>
    <n v="6"/>
    <m/>
    <m/>
  </r>
  <r>
    <x v="2"/>
    <n v="2016"/>
    <s v="157"/>
    <x v="53"/>
    <s v="157001"/>
    <x v="191"/>
    <n v="88.5"/>
    <n v="30"/>
    <n v="400.8"/>
    <n v="150"/>
  </r>
  <r>
    <x v="2"/>
    <n v="2016"/>
    <s v="162"/>
    <x v="54"/>
    <s v="162001"/>
    <x v="193"/>
    <n v="2992.8"/>
    <n v="1032"/>
    <n v="1876.5"/>
    <n v="672"/>
  </r>
  <r>
    <x v="2"/>
    <n v="2016"/>
    <s v="162"/>
    <x v="54"/>
    <s v="162002"/>
    <x v="194"/>
    <n v="438.6"/>
    <n v="102"/>
    <n v="263.39999999999998"/>
    <n v="84"/>
  </r>
  <r>
    <x v="2"/>
    <n v="2016"/>
    <s v="162"/>
    <x v="54"/>
    <s v="162003"/>
    <x v="272"/>
    <n v="208.8"/>
    <n v="72"/>
    <n v="0"/>
    <n v="6"/>
  </r>
  <r>
    <x v="2"/>
    <n v="2016"/>
    <s v="162"/>
    <x v="54"/>
    <s v="CDV162004"/>
    <x v="273"/>
    <n v="180"/>
    <n v="72"/>
    <n v="88.8"/>
    <n v="36"/>
  </r>
  <r>
    <x v="2"/>
    <n v="2016"/>
    <s v="162"/>
    <x v="54"/>
    <s v="CDV162005"/>
    <x v="299"/>
    <n v="0"/>
    <n v="36"/>
    <m/>
    <m/>
  </r>
  <r>
    <x v="2"/>
    <n v="2016"/>
    <s v="163"/>
    <x v="55"/>
    <s v="163001"/>
    <x v="195"/>
    <n v="296.52"/>
    <n v="48"/>
    <m/>
    <m/>
  </r>
  <r>
    <x v="2"/>
    <n v="2016"/>
    <s v="163"/>
    <x v="55"/>
    <s v="163005"/>
    <x v="300"/>
    <n v="0"/>
    <n v="6"/>
    <m/>
    <m/>
  </r>
  <r>
    <x v="2"/>
    <n v="2016"/>
    <s v="163"/>
    <x v="55"/>
    <s v="163006"/>
    <x v="300"/>
    <n v="0"/>
    <n v="6"/>
    <m/>
    <m/>
  </r>
  <r>
    <x v="2"/>
    <n v="2016"/>
    <s v="164"/>
    <x v="56"/>
    <s v="164002"/>
    <x v="196"/>
    <n v="1267.2"/>
    <n v="192"/>
    <m/>
    <m/>
  </r>
  <r>
    <x v="2"/>
    <n v="2016"/>
    <s v="164"/>
    <x v="56"/>
    <s v="164005/12"/>
    <x v="198"/>
    <n v="378"/>
    <n v="42"/>
    <m/>
    <m/>
  </r>
  <r>
    <x v="2"/>
    <n v="2016"/>
    <s v="168"/>
    <x v="57"/>
    <s v="168001"/>
    <x v="200"/>
    <n v="1538.4"/>
    <n v="384"/>
    <n v="1200"/>
    <n v="306"/>
  </r>
  <r>
    <x v="2"/>
    <n v="2016"/>
    <s v="168"/>
    <x v="57"/>
    <s v="168002"/>
    <x v="275"/>
    <n v="40.200000000000003"/>
    <n v="12"/>
    <n v="80.400000000000006"/>
    <n v="24"/>
  </r>
  <r>
    <x v="2"/>
    <n v="2016"/>
    <s v="168"/>
    <x v="57"/>
    <s v="168003"/>
    <x v="301"/>
    <n v="191.52"/>
    <n v="36"/>
    <m/>
    <m/>
  </r>
  <r>
    <x v="2"/>
    <n v="2016"/>
    <s v="169"/>
    <x v="58"/>
    <s v="169001"/>
    <x v="202"/>
    <n v="2010.7"/>
    <n v="708"/>
    <n v="1543.2"/>
    <n v="546"/>
  </r>
  <r>
    <x v="2"/>
    <n v="2016"/>
    <s v="169"/>
    <x v="58"/>
    <s v="169002"/>
    <x v="203"/>
    <n v="1467.18"/>
    <n v="600"/>
    <n v="1638.96"/>
    <n v="696"/>
  </r>
  <r>
    <x v="2"/>
    <n v="2016"/>
    <s v="169"/>
    <x v="58"/>
    <s v="169009"/>
    <x v="204"/>
    <n v="555"/>
    <n v="399.9"/>
    <n v="1294.8"/>
    <n v="946.43"/>
  </r>
  <r>
    <x v="2"/>
    <n v="2016"/>
    <s v="169"/>
    <x v="58"/>
    <s v="169010"/>
    <x v="204"/>
    <n v="609"/>
    <n v="406.87"/>
    <n v="946.05"/>
    <n v="653.66"/>
  </r>
  <r>
    <x v="2"/>
    <n v="2016"/>
    <s v="169"/>
    <x v="58"/>
    <s v="169011"/>
    <x v="302"/>
    <n v="0"/>
    <n v="6"/>
    <m/>
    <m/>
  </r>
  <r>
    <x v="2"/>
    <n v="2016"/>
    <s v="174"/>
    <x v="61"/>
    <s v="174001"/>
    <x v="207"/>
    <n v="3143.4"/>
    <n v="870"/>
    <n v="736.56"/>
    <n v="204"/>
  </r>
  <r>
    <x v="2"/>
    <n v="2016"/>
    <s v="174"/>
    <x v="61"/>
    <s v="174002"/>
    <x v="208"/>
    <n v="148.32"/>
    <n v="30"/>
    <n v="36.72"/>
    <n v="12"/>
  </r>
  <r>
    <x v="2"/>
    <n v="2016"/>
    <s v="174"/>
    <x v="61"/>
    <s v="174003"/>
    <x v="209"/>
    <n v="2242.96"/>
    <n v="1062"/>
    <m/>
    <m/>
  </r>
  <r>
    <x v="2"/>
    <n v="2016"/>
    <s v="174"/>
    <x v="61"/>
    <s v="174010"/>
    <x v="210"/>
    <n v="804"/>
    <n v="799.8"/>
    <n v="1050.7"/>
    <n v="1053.07"/>
  </r>
  <r>
    <x v="2"/>
    <n v="2016"/>
    <s v="174"/>
    <x v="61"/>
    <s v="174011"/>
    <x v="210"/>
    <n v="729.12"/>
    <n v="640.31999999999994"/>
    <n v="856.9"/>
    <n v="747.04"/>
  </r>
  <r>
    <x v="2"/>
    <n v="2016"/>
    <s v="174"/>
    <x v="61"/>
    <s v="174015"/>
    <x v="211"/>
    <n v="526.5"/>
    <n v="399.9"/>
    <n v="414.87"/>
    <n v="319.92"/>
  </r>
  <r>
    <x v="2"/>
    <n v="2016"/>
    <s v="174"/>
    <x v="61"/>
    <s v="174016"/>
    <x v="211"/>
    <n v="747"/>
    <n v="506.92"/>
    <n v="519.12"/>
    <n v="366.85"/>
  </r>
  <r>
    <x v="2"/>
    <n v="2016"/>
    <s v="174"/>
    <x v="61"/>
    <s v="174020"/>
    <x v="212"/>
    <n v="278.60000000000002"/>
    <n v="186.76"/>
    <n v="0"/>
    <n v="26.68"/>
  </r>
  <r>
    <x v="2"/>
    <n v="2016"/>
    <s v="175"/>
    <x v="62"/>
    <s v="175001"/>
    <x v="213"/>
    <n v="675"/>
    <n v="180"/>
    <n v="777"/>
    <n v="210"/>
  </r>
  <r>
    <x v="2"/>
    <n v="2016"/>
    <s v="175"/>
    <x v="62"/>
    <s v="175002"/>
    <x v="213"/>
    <n v="832.5"/>
    <n v="222"/>
    <n v="288.60000000000002"/>
    <n v="84"/>
  </r>
  <r>
    <x v="2"/>
    <n v="2016"/>
    <s v="175"/>
    <x v="62"/>
    <s v="175003"/>
    <x v="213"/>
    <n v="0"/>
    <n v="6"/>
    <n v="66.599999999999994"/>
    <n v="18"/>
  </r>
  <r>
    <x v="2"/>
    <n v="2016"/>
    <s v="190"/>
    <x v="63"/>
    <s v="190001"/>
    <x v="214"/>
    <n v="57.96"/>
    <n v="18"/>
    <n v="265.44"/>
    <n v="90"/>
  </r>
  <r>
    <x v="2"/>
    <n v="2016"/>
    <s v="199"/>
    <x v="64"/>
    <s v="199001"/>
    <x v="215"/>
    <n v="223.2"/>
    <n v="36"/>
    <m/>
    <m/>
  </r>
  <r>
    <x v="2"/>
    <n v="2016"/>
    <s v="199"/>
    <x v="64"/>
    <s v="199003"/>
    <x v="217"/>
    <n v="126"/>
    <n v="30"/>
    <n v="375"/>
    <n v="90"/>
  </r>
  <r>
    <x v="2"/>
    <n v="2016"/>
    <s v="199"/>
    <x v="64"/>
    <s v="199004"/>
    <x v="277"/>
    <n v="24.6"/>
    <n v="6"/>
    <n v="49.2"/>
    <n v="12"/>
  </r>
  <r>
    <x v="2"/>
    <n v="2016"/>
    <s v="201"/>
    <x v="65"/>
    <s v="201001"/>
    <x v="218"/>
    <n v="971.15"/>
    <n v="880.43999999999994"/>
    <n v="235.6"/>
    <n v="213.44"/>
  </r>
  <r>
    <x v="2"/>
    <n v="2016"/>
    <s v="201"/>
    <x v="65"/>
    <s v="201002"/>
    <x v="218"/>
    <n v="1815.6"/>
    <n v="1812.88"/>
    <n v="3344.12"/>
    <n v="3439.14"/>
  </r>
  <r>
    <x v="2"/>
    <n v="2016"/>
    <s v="201"/>
    <x v="65"/>
    <s v="201003"/>
    <x v="219"/>
    <n v="595.45000000000005"/>
    <n v="553.61"/>
    <n v="828.4"/>
    <n v="733.7"/>
  </r>
  <r>
    <x v="2"/>
    <n v="2016"/>
    <s v="201"/>
    <x v="65"/>
    <s v="201004"/>
    <x v="219"/>
    <n v="972.55"/>
    <n v="973.09"/>
    <n v="2884.22"/>
    <n v="2932.6"/>
  </r>
  <r>
    <x v="2"/>
    <n v="2016"/>
    <s v="201"/>
    <x v="65"/>
    <s v="201006"/>
    <x v="220"/>
    <n v="1742.4"/>
    <n v="756"/>
    <n v="1737.06"/>
    <n v="786"/>
  </r>
  <r>
    <x v="2"/>
    <n v="2016"/>
    <s v="201"/>
    <x v="65"/>
    <s v="201007"/>
    <x v="221"/>
    <n v="66.900000000000006"/>
    <n v="12"/>
    <n v="63.96"/>
    <n v="18"/>
  </r>
  <r>
    <x v="2"/>
    <n v="2016"/>
    <s v="201"/>
    <x v="65"/>
    <s v="201008"/>
    <x v="222"/>
    <n v="342"/>
    <n v="108"/>
    <n v="170.28"/>
    <n v="60"/>
  </r>
  <r>
    <x v="2"/>
    <n v="2016"/>
    <s v="201"/>
    <x v="65"/>
    <s v="201010"/>
    <x v="223"/>
    <n v="465"/>
    <n v="333.25"/>
    <n v="409.2"/>
    <n v="293.26"/>
  </r>
  <r>
    <x v="2"/>
    <n v="2016"/>
    <s v="201"/>
    <x v="65"/>
    <s v="201011"/>
    <x v="223"/>
    <n v="363.6"/>
    <n v="253.46"/>
    <n v="80.8"/>
    <n v="60.03"/>
  </r>
  <r>
    <x v="2"/>
    <n v="2016"/>
    <s v="201"/>
    <x v="65"/>
    <s v="201012"/>
    <x v="224"/>
    <n v="195.9"/>
    <n v="54"/>
    <n v="125.52"/>
    <n v="36"/>
  </r>
  <r>
    <x v="2"/>
    <n v="2016"/>
    <s v="201"/>
    <x v="65"/>
    <s v="201013"/>
    <x v="225"/>
    <n v="24.3"/>
    <n v="12"/>
    <n v="48.6"/>
    <n v="18"/>
  </r>
  <r>
    <x v="2"/>
    <n v="2016"/>
    <s v="201"/>
    <x v="65"/>
    <s v="201014"/>
    <x v="226"/>
    <n v="648"/>
    <n v="216"/>
    <n v="872.64"/>
    <n v="306"/>
  </r>
  <r>
    <x v="2"/>
    <n v="2016"/>
    <s v="201"/>
    <x v="65"/>
    <s v="201015"/>
    <x v="227"/>
    <n v="39"/>
    <n v="12"/>
    <n v="73.92"/>
    <n v="30"/>
  </r>
  <r>
    <x v="2"/>
    <n v="2016"/>
    <s v="201"/>
    <x v="65"/>
    <s v="201016"/>
    <x v="278"/>
    <n v="82.56"/>
    <n v="24"/>
    <m/>
    <m/>
  </r>
  <r>
    <x v="2"/>
    <n v="2016"/>
    <s v="201"/>
    <x v="65"/>
    <s v="201022"/>
    <x v="303"/>
    <n v="45.9"/>
    <n v="36"/>
    <m/>
    <m/>
  </r>
  <r>
    <x v="2"/>
    <n v="2016"/>
    <s v="201"/>
    <x v="65"/>
    <s v="201026"/>
    <x v="229"/>
    <n v="587.52"/>
    <n v="312"/>
    <n v="0"/>
    <n v="12"/>
  </r>
  <r>
    <x v="2"/>
    <n v="2016"/>
    <s v="201"/>
    <x v="65"/>
    <s v="201027"/>
    <x v="229"/>
    <n v="299.52"/>
    <n v="168"/>
    <n v="0"/>
    <n v="12"/>
  </r>
  <r>
    <x v="2"/>
    <n v="2016"/>
    <s v="201"/>
    <x v="65"/>
    <s v="201031"/>
    <x v="304"/>
    <n v="0"/>
    <n v="36"/>
    <m/>
    <m/>
  </r>
  <r>
    <x v="2"/>
    <n v="2016"/>
    <s v="202"/>
    <x v="66"/>
    <s v="202001"/>
    <x v="230"/>
    <n v="516.24"/>
    <n v="258"/>
    <n v="263.16000000000003"/>
    <n v="144"/>
  </r>
  <r>
    <x v="2"/>
    <n v="2016"/>
    <s v="202"/>
    <x v="66"/>
    <s v="202002"/>
    <x v="230"/>
    <n v="408.42"/>
    <n v="204"/>
    <n v="1123.32"/>
    <n v="576"/>
  </r>
  <r>
    <x v="2"/>
    <n v="2016"/>
    <s v="202"/>
    <x v="66"/>
    <s v="202003"/>
    <x v="230"/>
    <n v="591.66"/>
    <n v="294"/>
    <n v="465.12"/>
    <n v="234"/>
  </r>
  <r>
    <x v="2"/>
    <n v="2016"/>
    <s v="202"/>
    <x v="66"/>
    <s v="202004"/>
    <x v="231"/>
    <n v="0"/>
    <n v="-6"/>
    <n v="83.1"/>
    <n v="36"/>
  </r>
  <r>
    <x v="2"/>
    <n v="2016"/>
    <s v="202"/>
    <x v="66"/>
    <s v="202005"/>
    <x v="231"/>
    <n v="33.6"/>
    <n v="12"/>
    <n v="0"/>
    <n v="6"/>
  </r>
  <r>
    <x v="2"/>
    <n v="2016"/>
    <s v="202"/>
    <x v="66"/>
    <s v="202006"/>
    <x v="231"/>
    <n v="33.6"/>
    <n v="12"/>
    <n v="0"/>
    <n v="6"/>
  </r>
  <r>
    <x v="2"/>
    <n v="2016"/>
    <s v="202"/>
    <x v="66"/>
    <s v="202007"/>
    <x v="232"/>
    <n v="105.6"/>
    <n v="48"/>
    <m/>
    <m/>
  </r>
  <r>
    <x v="2"/>
    <n v="2016"/>
    <s v="202"/>
    <x v="66"/>
    <s v="202008"/>
    <x v="305"/>
    <n v="37.799999999999997"/>
    <n v="18"/>
    <m/>
    <m/>
  </r>
  <r>
    <x v="2"/>
    <n v="2016"/>
    <s v="202"/>
    <x v="66"/>
    <s v="202010"/>
    <x v="233"/>
    <n v="160.19999999999999"/>
    <n v="133.4"/>
    <m/>
    <m/>
  </r>
  <r>
    <x v="2"/>
    <n v="2016"/>
    <s v="202"/>
    <x v="66"/>
    <s v="202012"/>
    <x v="306"/>
    <n v="84"/>
    <n v="30"/>
    <m/>
    <m/>
  </r>
  <r>
    <x v="2"/>
    <n v="2016"/>
    <s v="202"/>
    <x v="66"/>
    <s v="202013"/>
    <x v="306"/>
    <n v="42"/>
    <n v="18"/>
    <m/>
    <m/>
  </r>
  <r>
    <x v="2"/>
    <n v="2016"/>
    <s v="202"/>
    <x v="66"/>
    <s v="202015"/>
    <x v="279"/>
    <n v="109.2"/>
    <n v="80.039999999999992"/>
    <m/>
    <m/>
  </r>
  <r>
    <x v="2"/>
    <n v="2016"/>
    <s v="205"/>
    <x v="67"/>
    <s v="205001"/>
    <x v="234"/>
    <n v="378"/>
    <n v="174"/>
    <n v="344.4"/>
    <n v="168"/>
  </r>
  <r>
    <x v="2"/>
    <n v="2016"/>
    <s v="205"/>
    <x v="67"/>
    <s v="205002"/>
    <x v="235"/>
    <n v="72"/>
    <n v="36"/>
    <n v="70.5"/>
    <n v="42"/>
  </r>
  <r>
    <x v="2"/>
    <n v="2016"/>
    <s v="205"/>
    <x v="67"/>
    <s v="205003"/>
    <x v="236"/>
    <n v="177.6"/>
    <n v="54"/>
    <n v="153.30000000000001"/>
    <n v="48"/>
  </r>
  <r>
    <x v="2"/>
    <n v="2016"/>
    <s v="205"/>
    <x v="67"/>
    <s v="205004"/>
    <x v="237"/>
    <n v="86.4"/>
    <n v="36"/>
    <n v="28.2"/>
    <n v="18"/>
  </r>
  <r>
    <x v="2"/>
    <n v="2016"/>
    <s v="226"/>
    <x v="70"/>
    <s v="226001"/>
    <x v="280"/>
    <n v="0"/>
    <n v="6"/>
    <m/>
    <m/>
  </r>
  <r>
    <x v="2"/>
    <n v="2016"/>
    <s v="229"/>
    <x v="68"/>
    <s v="229006"/>
    <x v="239"/>
    <n v="0"/>
    <n v="12"/>
    <m/>
    <m/>
  </r>
  <r>
    <x v="2"/>
    <n v="2016"/>
    <s v="229"/>
    <x v="68"/>
    <s v="229008"/>
    <x v="241"/>
    <n v="775.2"/>
    <n v="204"/>
    <m/>
    <m/>
  </r>
  <r>
    <x v="2"/>
    <n v="2016"/>
    <s v="229"/>
    <x v="68"/>
    <s v="229020"/>
    <x v="242"/>
    <n v="726"/>
    <n v="138"/>
    <m/>
    <m/>
  </r>
  <r>
    <x v="2"/>
    <n v="2016"/>
    <s v="229"/>
    <x v="68"/>
    <s v="229021"/>
    <x v="307"/>
    <n v="27.6"/>
    <n v="6"/>
    <m/>
    <m/>
  </r>
  <r>
    <x v="3"/>
    <n v="2016"/>
    <s v="001"/>
    <x v="0"/>
    <s v="001001"/>
    <x v="0"/>
    <n v="6248"/>
    <n v="480"/>
    <n v="4481.95"/>
    <n v="348"/>
  </r>
  <r>
    <x v="3"/>
    <n v="2016"/>
    <s v="002"/>
    <x v="1"/>
    <s v="002001"/>
    <x v="5"/>
    <n v="3766.2"/>
    <n v="3221.61"/>
    <n v="3825.36"/>
    <n v="3461.73"/>
  </r>
  <r>
    <x v="3"/>
    <n v="2016"/>
    <s v="002"/>
    <x v="1"/>
    <s v="002002"/>
    <x v="6"/>
    <n v="12534.5"/>
    <n v="12170.29"/>
    <n v="11900.95"/>
    <n v="12103.64"/>
  </r>
  <r>
    <x v="3"/>
    <n v="2016"/>
    <s v="002"/>
    <x v="1"/>
    <s v="002003"/>
    <x v="7"/>
    <n v="8766.66"/>
    <n v="9397.65"/>
    <n v="5735.4"/>
    <n v="6478.38"/>
  </r>
  <r>
    <x v="3"/>
    <n v="2016"/>
    <s v="002"/>
    <x v="1"/>
    <s v="002004"/>
    <x v="7"/>
    <n v="1344.29"/>
    <n v="1207.27"/>
    <n v="1539.99"/>
    <n v="1500.75"/>
  </r>
  <r>
    <x v="3"/>
    <n v="2016"/>
    <s v="002"/>
    <x v="1"/>
    <s v="002007"/>
    <x v="8"/>
    <n v="2046.8"/>
    <n v="2279.4299999999998"/>
    <n v="4344.24"/>
    <n v="5118.72"/>
  </r>
  <r>
    <x v="3"/>
    <n v="2016"/>
    <s v="002"/>
    <x v="1"/>
    <s v="002008"/>
    <x v="9"/>
    <n v="1867.2"/>
    <n v="2133.6000000000004"/>
    <n v="445.75"/>
    <n v="266.70000000000005"/>
  </r>
  <r>
    <x v="3"/>
    <n v="2016"/>
    <s v="002"/>
    <x v="1"/>
    <s v="002009"/>
    <x v="9"/>
    <n v="1447.08"/>
    <n v="1653.5400000000002"/>
    <n v="426.55"/>
    <n v="506.73"/>
  </r>
  <r>
    <x v="3"/>
    <n v="2016"/>
    <s v="002"/>
    <x v="1"/>
    <s v="002010"/>
    <x v="10"/>
    <n v="2470.1"/>
    <n v="1780.8899999999999"/>
    <n v="2046.32"/>
    <n v="1520.76"/>
  </r>
  <r>
    <x v="3"/>
    <n v="2016"/>
    <s v="002"/>
    <x v="1"/>
    <s v="002011"/>
    <x v="11"/>
    <n v="4159.66"/>
    <n v="3345.83"/>
    <n v="4109.72"/>
    <n v="3385.82"/>
  </r>
  <r>
    <x v="3"/>
    <n v="2016"/>
    <s v="002"/>
    <x v="1"/>
    <s v="002015"/>
    <x v="11"/>
    <n v="2450.4899999999998"/>
    <n v="1959.51"/>
    <n v="4724.5600000000004"/>
    <n v="3905.69"/>
  </r>
  <r>
    <x v="3"/>
    <n v="2016"/>
    <s v="002"/>
    <x v="1"/>
    <s v="002016"/>
    <x v="11"/>
    <n v="2820.46"/>
    <n v="2034.35"/>
    <n v="2658.76"/>
    <n v="1967.65"/>
  </r>
  <r>
    <x v="3"/>
    <n v="2016"/>
    <s v="002"/>
    <x v="1"/>
    <s v="002017"/>
    <x v="12"/>
    <n v="6952.52"/>
    <n v="7451.47"/>
    <n v="6243.12"/>
    <n v="6998.25"/>
  </r>
  <r>
    <x v="3"/>
    <n v="2016"/>
    <s v="002"/>
    <x v="1"/>
    <s v="002018"/>
    <x v="12"/>
    <n v="2875.55"/>
    <n v="2587.96"/>
    <n v="3349.5"/>
    <n v="3154.91"/>
  </r>
  <r>
    <x v="3"/>
    <n v="2016"/>
    <s v="002"/>
    <x v="1"/>
    <s v="002020"/>
    <x v="13"/>
    <n v="2877.6"/>
    <n v="1176"/>
    <n v="1660.8"/>
    <n v="690"/>
  </r>
  <r>
    <x v="3"/>
    <n v="2016"/>
    <s v="002"/>
    <x v="1"/>
    <s v="002021"/>
    <x v="14"/>
    <n v="39.42"/>
    <n v="18"/>
    <n v="21.84"/>
    <n v="72"/>
  </r>
  <r>
    <x v="3"/>
    <n v="2016"/>
    <s v="002"/>
    <x v="1"/>
    <s v="002023"/>
    <x v="15"/>
    <n v="0"/>
    <n v="6"/>
    <n v="65.7"/>
    <n v="36"/>
  </r>
  <r>
    <x v="3"/>
    <n v="2016"/>
    <s v="002"/>
    <x v="1"/>
    <s v="002024"/>
    <x v="16"/>
    <n v="12"/>
    <n v="6"/>
    <m/>
    <m/>
  </r>
  <r>
    <x v="3"/>
    <n v="2016"/>
    <s v="002"/>
    <x v="1"/>
    <s v="002025"/>
    <x v="14"/>
    <n v="170.82"/>
    <n v="90"/>
    <n v="105.12"/>
    <n v="54"/>
  </r>
  <r>
    <x v="3"/>
    <n v="2016"/>
    <s v="002"/>
    <x v="1"/>
    <s v="002026"/>
    <x v="17"/>
    <n v="148.32"/>
    <n v="72"/>
    <n v="368.1"/>
    <n v="180"/>
  </r>
  <r>
    <x v="3"/>
    <n v="2016"/>
    <s v="002"/>
    <x v="1"/>
    <s v="002027"/>
    <x v="18"/>
    <n v="1512"/>
    <n v="804"/>
    <n v="1527.79"/>
    <n v="852"/>
  </r>
  <r>
    <x v="3"/>
    <n v="2016"/>
    <s v="002"/>
    <x v="1"/>
    <s v="002033"/>
    <x v="19"/>
    <n v="26.4"/>
    <n v="16"/>
    <n v="74.760000000000005"/>
    <n v="48"/>
  </r>
  <r>
    <x v="3"/>
    <n v="2016"/>
    <s v="002"/>
    <x v="1"/>
    <s v="002034"/>
    <x v="19"/>
    <n v="13.2"/>
    <n v="8"/>
    <n v="105.91"/>
    <n v="68"/>
  </r>
  <r>
    <x v="3"/>
    <n v="2016"/>
    <s v="002"/>
    <x v="1"/>
    <s v="002035"/>
    <x v="19"/>
    <n v="6.6"/>
    <n v="4"/>
    <n v="56.07"/>
    <n v="36"/>
  </r>
  <r>
    <x v="3"/>
    <n v="2016"/>
    <s v="002"/>
    <x v="1"/>
    <s v="002037"/>
    <x v="243"/>
    <n v="178.8"/>
    <n v="60"/>
    <n v="235.2"/>
    <n v="84"/>
  </r>
  <r>
    <x v="3"/>
    <n v="2016"/>
    <s v="002"/>
    <x v="1"/>
    <s v="002040"/>
    <x v="20"/>
    <n v="433.62"/>
    <n v="204"/>
    <m/>
    <m/>
  </r>
  <r>
    <x v="3"/>
    <n v="2016"/>
    <s v="002"/>
    <x v="1"/>
    <s v="002100"/>
    <x v="21"/>
    <n v="587.4"/>
    <n v="330"/>
    <n v="705.84"/>
    <n v="408"/>
  </r>
  <r>
    <x v="3"/>
    <n v="2016"/>
    <s v="002"/>
    <x v="1"/>
    <s v="002101"/>
    <x v="22"/>
    <n v="610.54"/>
    <n v="343"/>
    <n v="301.02"/>
    <n v="174"/>
  </r>
  <r>
    <x v="3"/>
    <n v="2016"/>
    <s v="002"/>
    <x v="1"/>
    <s v="002200"/>
    <x v="281"/>
    <n v="0"/>
    <n v="4"/>
    <n v="284.33999999999997"/>
    <n v="168"/>
  </r>
  <r>
    <x v="3"/>
    <n v="2016"/>
    <s v="002"/>
    <x v="1"/>
    <s v="002900"/>
    <x v="24"/>
    <n v="877.5"/>
    <n v="1200.1500000000001"/>
    <m/>
    <m/>
  </r>
  <r>
    <x v="3"/>
    <n v="2016"/>
    <s v="002"/>
    <x v="1"/>
    <s v="002901"/>
    <x v="25"/>
    <n v="2632.5"/>
    <n v="3600.4500000000003"/>
    <m/>
    <m/>
  </r>
  <r>
    <x v="3"/>
    <n v="2016"/>
    <s v="002"/>
    <x v="1"/>
    <s v="002902"/>
    <x v="26"/>
    <n v="1016.26"/>
    <n v="1306.8300000000002"/>
    <m/>
    <m/>
  </r>
  <r>
    <x v="3"/>
    <n v="2016"/>
    <s v="002"/>
    <x v="1"/>
    <s v="002903"/>
    <x v="27"/>
    <n v="1057.5"/>
    <n v="1200.1500000000001"/>
    <n v="91.6"/>
    <n v="293.37"/>
  </r>
  <r>
    <x v="3"/>
    <n v="2016"/>
    <s v="002"/>
    <x v="1"/>
    <s v="002905"/>
    <x v="25"/>
    <n v="734.4"/>
    <n v="906.44"/>
    <n v="259.2"/>
    <n v="559.86"/>
  </r>
  <r>
    <x v="3"/>
    <n v="2016"/>
    <s v="007"/>
    <x v="2"/>
    <s v="007001"/>
    <x v="244"/>
    <n v="72"/>
    <n v="18"/>
    <n v="43.8"/>
    <n v="0"/>
  </r>
  <r>
    <x v="3"/>
    <n v="2016"/>
    <s v="007"/>
    <x v="2"/>
    <s v="007002"/>
    <x v="28"/>
    <n v="248.4"/>
    <n v="54"/>
    <n v="265.8"/>
    <n v="66"/>
  </r>
  <r>
    <x v="3"/>
    <n v="2016"/>
    <s v="007"/>
    <x v="2"/>
    <s v="007003"/>
    <x v="29"/>
    <n v="66"/>
    <n v="12"/>
    <n v="93.6"/>
    <n v="18"/>
  </r>
  <r>
    <x v="3"/>
    <n v="2016"/>
    <s v="007"/>
    <x v="2"/>
    <s v="007004"/>
    <x v="30"/>
    <n v="391.5"/>
    <n v="54"/>
    <n v="162"/>
    <n v="24"/>
  </r>
  <r>
    <x v="3"/>
    <n v="2016"/>
    <s v="007"/>
    <x v="2"/>
    <s v="007006"/>
    <x v="32"/>
    <n v="226.8"/>
    <n v="36"/>
    <n v="277.8"/>
    <n v="48"/>
  </r>
  <r>
    <x v="3"/>
    <n v="2016"/>
    <s v="007"/>
    <x v="2"/>
    <s v="007008"/>
    <x v="28"/>
    <n v="37.200000000000003"/>
    <n v="6"/>
    <m/>
    <m/>
  </r>
  <r>
    <x v="3"/>
    <n v="2016"/>
    <s v="007"/>
    <x v="2"/>
    <s v="007021"/>
    <x v="308"/>
    <n v="51.6"/>
    <n v="6"/>
    <m/>
    <m/>
  </r>
  <r>
    <x v="3"/>
    <n v="2016"/>
    <s v="007"/>
    <x v="2"/>
    <s v="CDV007010"/>
    <x v="282"/>
    <n v="111.9"/>
    <n v="6"/>
    <m/>
    <m/>
  </r>
  <r>
    <x v="3"/>
    <n v="2016"/>
    <s v="009"/>
    <x v="71"/>
    <s v="009011"/>
    <x v="309"/>
    <n v="187.2"/>
    <n v="24"/>
    <n v="187.2"/>
    <n v="24"/>
  </r>
  <r>
    <x v="3"/>
    <n v="2016"/>
    <s v="009"/>
    <x v="71"/>
    <s v="009012"/>
    <x v="309"/>
    <n v="108"/>
    <n v="12"/>
    <n v="216"/>
    <n v="24"/>
  </r>
  <r>
    <x v="3"/>
    <n v="2016"/>
    <s v="010"/>
    <x v="3"/>
    <s v="010001"/>
    <x v="33"/>
    <n v="349.8"/>
    <n v="66"/>
    <n v="312"/>
    <n v="60"/>
  </r>
  <r>
    <x v="3"/>
    <n v="2016"/>
    <s v="011"/>
    <x v="4"/>
    <s v="011001"/>
    <x v="34"/>
    <n v="1939.14"/>
    <n v="486"/>
    <n v="1340.64"/>
    <n v="336"/>
  </r>
  <r>
    <x v="3"/>
    <n v="2016"/>
    <s v="011"/>
    <x v="4"/>
    <s v="011002"/>
    <x v="310"/>
    <n v="47.88"/>
    <n v="12"/>
    <m/>
    <m/>
  </r>
  <r>
    <x v="3"/>
    <n v="2016"/>
    <s v="011"/>
    <x v="4"/>
    <s v="011005"/>
    <x v="245"/>
    <n v="1107.78"/>
    <n v="222"/>
    <n v="558.6"/>
    <n v="114"/>
  </r>
  <r>
    <x v="3"/>
    <n v="2016"/>
    <s v="011"/>
    <x v="4"/>
    <s v="011006"/>
    <x v="35"/>
    <n v="56.4"/>
    <n v="12"/>
    <n v="107.76"/>
    <n v="24"/>
  </r>
  <r>
    <x v="3"/>
    <n v="2016"/>
    <s v="019"/>
    <x v="5"/>
    <s v="019003"/>
    <x v="36"/>
    <n v="4464"/>
    <n v="2004"/>
    <n v="2742.9"/>
    <n v="1230"/>
  </r>
  <r>
    <x v="3"/>
    <n v="2016"/>
    <s v="019"/>
    <x v="5"/>
    <s v="019004"/>
    <x v="36"/>
    <n v="70.08"/>
    <n v="24"/>
    <n v="121.8"/>
    <n v="42"/>
  </r>
  <r>
    <x v="3"/>
    <n v="2016"/>
    <s v="019"/>
    <x v="5"/>
    <s v="019008"/>
    <x v="37"/>
    <n v="950.4"/>
    <n v="639.84"/>
    <n v="849.2"/>
    <n v="586.52"/>
  </r>
  <r>
    <x v="3"/>
    <n v="2016"/>
    <s v="019"/>
    <x v="5"/>
    <s v="019009"/>
    <x v="37"/>
    <n v="683.2"/>
    <n v="426.88"/>
    <n v="594"/>
    <n v="373.52"/>
  </r>
  <r>
    <x v="3"/>
    <n v="2016"/>
    <s v="019"/>
    <x v="5"/>
    <s v="019011"/>
    <x v="38"/>
    <n v="-32.64"/>
    <n v="-12"/>
    <n v="64.8"/>
    <n v="24"/>
  </r>
  <r>
    <x v="3"/>
    <n v="2016"/>
    <s v="019"/>
    <x v="5"/>
    <s v="019014"/>
    <x v="38"/>
    <n v="40.799999999999997"/>
    <n v="12"/>
    <m/>
    <m/>
  </r>
  <r>
    <x v="3"/>
    <n v="2016"/>
    <s v="019"/>
    <x v="5"/>
    <s v="019015"/>
    <x v="39"/>
    <n v="165.6"/>
    <n v="72"/>
    <n v="364.5"/>
    <n v="156"/>
  </r>
  <r>
    <x v="3"/>
    <n v="2016"/>
    <s v="025"/>
    <x v="6"/>
    <s v="025001"/>
    <x v="40"/>
    <n v="651.84"/>
    <n v="96"/>
    <n v="1140.72"/>
    <n v="168"/>
  </r>
  <r>
    <x v="3"/>
    <n v="2016"/>
    <s v="025"/>
    <x v="6"/>
    <s v="025003"/>
    <x v="246"/>
    <n v="45.9"/>
    <n v="6"/>
    <m/>
    <m/>
  </r>
  <r>
    <x v="3"/>
    <n v="2016"/>
    <s v="025"/>
    <x v="6"/>
    <s v="025010"/>
    <x v="41"/>
    <n v="532.79999999999995"/>
    <n v="96"/>
    <n v="233.1"/>
    <n v="48"/>
  </r>
  <r>
    <x v="3"/>
    <n v="2016"/>
    <s v="025"/>
    <x v="6"/>
    <s v="025013"/>
    <x v="42"/>
    <n v="494.7"/>
    <n v="108"/>
    <n v="232.8"/>
    <n v="48"/>
  </r>
  <r>
    <x v="3"/>
    <n v="2016"/>
    <s v="025"/>
    <x v="6"/>
    <s v="025015"/>
    <x v="43"/>
    <n v="1149"/>
    <n v="300"/>
    <n v="91.92"/>
    <n v="24"/>
  </r>
  <r>
    <x v="3"/>
    <n v="2016"/>
    <s v="025"/>
    <x v="6"/>
    <s v="025016"/>
    <x v="247"/>
    <n v="29.16"/>
    <n v="12"/>
    <m/>
    <m/>
  </r>
  <r>
    <x v="3"/>
    <n v="2016"/>
    <s v="025"/>
    <x v="6"/>
    <s v="025021"/>
    <x v="44"/>
    <n v="706.2"/>
    <n v="66"/>
    <n v="706.2"/>
    <n v="66"/>
  </r>
  <r>
    <x v="3"/>
    <n v="2016"/>
    <s v="025"/>
    <x v="6"/>
    <s v="025026"/>
    <x v="45"/>
    <n v="3374.4"/>
    <n v="1110"/>
    <n v="1860.48"/>
    <n v="612"/>
  </r>
  <r>
    <x v="3"/>
    <n v="2016"/>
    <s v="025"/>
    <x v="6"/>
    <s v="025031"/>
    <x v="46"/>
    <n v="566.1"/>
    <n v="108"/>
    <n v="601.55999999999995"/>
    <n v="108"/>
  </r>
  <r>
    <x v="3"/>
    <n v="2016"/>
    <s v="025"/>
    <x v="6"/>
    <s v="025033"/>
    <x v="47"/>
    <n v="0"/>
    <n v="6"/>
    <n v="347.76"/>
    <n v="84"/>
  </r>
  <r>
    <x v="3"/>
    <n v="2016"/>
    <s v="028"/>
    <x v="7"/>
    <s v="028001"/>
    <x v="48"/>
    <n v="273"/>
    <n v="108"/>
    <n v="1599"/>
    <n v="492"/>
  </r>
  <r>
    <x v="3"/>
    <n v="2016"/>
    <s v="028"/>
    <x v="7"/>
    <s v="028006"/>
    <x v="248"/>
    <n v="48.6"/>
    <n v="12"/>
    <m/>
    <m/>
  </r>
  <r>
    <x v="3"/>
    <n v="2016"/>
    <s v="028"/>
    <x v="7"/>
    <s v="028007"/>
    <x v="50"/>
    <n v="273.60000000000002"/>
    <n v="159.96"/>
    <n v="384.2"/>
    <n v="226.61"/>
  </r>
  <r>
    <x v="3"/>
    <n v="2016"/>
    <s v="028"/>
    <x v="7"/>
    <s v="028008"/>
    <x v="51"/>
    <n v="526.5"/>
    <n v="266.8"/>
    <n v="226.1"/>
    <n v="120.06"/>
  </r>
  <r>
    <x v="3"/>
    <n v="2016"/>
    <s v="028"/>
    <x v="7"/>
    <s v="028013"/>
    <x v="52"/>
    <n v="616.20000000000005"/>
    <n v="132"/>
    <n v="801"/>
    <n v="186"/>
  </r>
  <r>
    <x v="3"/>
    <n v="2016"/>
    <s v="028"/>
    <x v="7"/>
    <s v="028015CB"/>
    <x v="311"/>
    <n v="41.67"/>
    <n v="9"/>
    <m/>
    <m/>
  </r>
  <r>
    <x v="3"/>
    <n v="2016"/>
    <s v="029"/>
    <x v="8"/>
    <s v="029005"/>
    <x v="284"/>
    <n v="10.38"/>
    <n v="6"/>
    <m/>
    <m/>
  </r>
  <r>
    <x v="3"/>
    <n v="2016"/>
    <s v="035"/>
    <x v="9"/>
    <s v="035001"/>
    <x v="56"/>
    <n v="2051.2800000000002"/>
    <n v="504"/>
    <n v="3480"/>
    <n v="870"/>
  </r>
  <r>
    <x v="3"/>
    <n v="2016"/>
    <s v="035"/>
    <x v="9"/>
    <s v="035002"/>
    <x v="56"/>
    <n v="121.44"/>
    <n v="24"/>
    <n v="390"/>
    <n v="78"/>
  </r>
  <r>
    <x v="3"/>
    <n v="2016"/>
    <s v="035"/>
    <x v="9"/>
    <s v="035010"/>
    <x v="57"/>
    <n v="982.8"/>
    <n v="270"/>
    <n v="685.44"/>
    <n v="192"/>
  </r>
  <r>
    <x v="3"/>
    <n v="2016"/>
    <s v="037"/>
    <x v="11"/>
    <s v="037002"/>
    <x v="312"/>
    <n v="34.56"/>
    <n v="6"/>
    <m/>
    <m/>
  </r>
  <r>
    <x v="3"/>
    <n v="2016"/>
    <s v="037"/>
    <x v="11"/>
    <s v="037003"/>
    <x v="60"/>
    <n v="114"/>
    <n v="30"/>
    <n v="111"/>
    <n v="30"/>
  </r>
  <r>
    <x v="3"/>
    <n v="2016"/>
    <s v="037"/>
    <x v="11"/>
    <s v="037005"/>
    <x v="313"/>
    <n v="46.2"/>
    <n v="12"/>
    <m/>
    <m/>
  </r>
  <r>
    <x v="3"/>
    <n v="2016"/>
    <s v="037"/>
    <x v="11"/>
    <s v="037010"/>
    <x v="61"/>
    <n v="342"/>
    <n v="72"/>
    <n v="655.20000000000005"/>
    <n v="144"/>
  </r>
  <r>
    <x v="3"/>
    <n v="2016"/>
    <s v="037"/>
    <x v="11"/>
    <s v="037011"/>
    <x v="314"/>
    <n v="0"/>
    <n v="6"/>
    <m/>
    <m/>
  </r>
  <r>
    <x v="3"/>
    <n v="2016"/>
    <s v="040"/>
    <x v="13"/>
    <s v="040006"/>
    <x v="67"/>
    <n v="2803.2"/>
    <n v="768"/>
    <n v="2808"/>
    <n v="780"/>
  </r>
  <r>
    <x v="3"/>
    <n v="2016"/>
    <s v="040"/>
    <x v="13"/>
    <s v="040007"/>
    <x v="68"/>
    <n v="441.6"/>
    <n v="220.10999999999999"/>
    <n v="210.4"/>
    <n v="106.72"/>
  </r>
  <r>
    <x v="3"/>
    <n v="2016"/>
    <s v="040"/>
    <x v="13"/>
    <s v="040008"/>
    <x v="68"/>
    <n v="661.25"/>
    <n v="359.91"/>
    <n v="428.4"/>
    <n v="239.94"/>
  </r>
  <r>
    <x v="3"/>
    <n v="2016"/>
    <s v="040"/>
    <x v="13"/>
    <s v="040009CB"/>
    <x v="251"/>
    <n v="46.8"/>
    <n v="9"/>
    <m/>
    <m/>
  </r>
  <r>
    <x v="3"/>
    <n v="2016"/>
    <s v="040"/>
    <x v="13"/>
    <s v="040011"/>
    <x v="69"/>
    <n v="54"/>
    <n v="12"/>
    <n v="675"/>
    <n v="150"/>
  </r>
  <r>
    <x v="3"/>
    <n v="2016"/>
    <s v="041"/>
    <x v="14"/>
    <s v="041001/10"/>
    <x v="71"/>
    <n v="935.1"/>
    <n v="66"/>
    <m/>
    <m/>
  </r>
  <r>
    <x v="3"/>
    <n v="2016"/>
    <s v="041"/>
    <x v="14"/>
    <s v="041006"/>
    <x v="252"/>
    <n v="109.2"/>
    <n v="12"/>
    <n v="1026"/>
    <n v="114"/>
  </r>
  <r>
    <x v="3"/>
    <n v="2016"/>
    <s v="041"/>
    <x v="14"/>
    <s v="041016"/>
    <x v="73"/>
    <n v="1713.6"/>
    <n v="204"/>
    <n v="516"/>
    <n v="120"/>
  </r>
  <r>
    <x v="3"/>
    <n v="2016"/>
    <s v="041"/>
    <x v="14"/>
    <s v="041020"/>
    <x v="72"/>
    <n v="180"/>
    <n v="12"/>
    <n v="5.4"/>
    <n v="0"/>
  </r>
  <r>
    <x v="3"/>
    <n v="2016"/>
    <s v="042"/>
    <x v="15"/>
    <s v="042100"/>
    <x v="74"/>
    <n v="613.79999999999995"/>
    <n v="82664.600000000006"/>
    <n v="604.79999999999995"/>
    <n v="83997.900000000009"/>
  </r>
  <r>
    <x v="3"/>
    <n v="2016"/>
    <s v="046"/>
    <x v="16"/>
    <s v="046001"/>
    <x v="75"/>
    <n v="216"/>
    <n v="48"/>
    <n v="98.4"/>
    <n v="24"/>
  </r>
  <r>
    <x v="3"/>
    <n v="2016"/>
    <s v="046"/>
    <x v="16"/>
    <s v="046010"/>
    <x v="76"/>
    <n v="82.8"/>
    <n v="12"/>
    <n v="844.8"/>
    <n v="138"/>
  </r>
  <r>
    <x v="3"/>
    <n v="2016"/>
    <s v="046"/>
    <x v="16"/>
    <s v="046015"/>
    <x v="77"/>
    <n v="72"/>
    <n v="18"/>
    <n v="525"/>
    <n v="162"/>
  </r>
  <r>
    <x v="3"/>
    <n v="2016"/>
    <s v="046"/>
    <x v="16"/>
    <s v="046020"/>
    <x v="78"/>
    <n v="90"/>
    <n v="12"/>
    <m/>
    <m/>
  </r>
  <r>
    <x v="3"/>
    <n v="2016"/>
    <s v="049"/>
    <x v="18"/>
    <s v="049007"/>
    <x v="80"/>
    <n v="357"/>
    <n v="108"/>
    <n v="475.2"/>
    <n v="144"/>
  </r>
  <r>
    <x v="3"/>
    <n v="2016"/>
    <s v="049"/>
    <x v="18"/>
    <s v="049008"/>
    <x v="80"/>
    <n v="100.8"/>
    <n v="24"/>
    <n v="126"/>
    <n v="30"/>
  </r>
  <r>
    <x v="3"/>
    <n v="2016"/>
    <s v="049"/>
    <x v="18"/>
    <s v="049009"/>
    <x v="315"/>
    <n v="52.2"/>
    <n v="18"/>
    <m/>
    <m/>
  </r>
  <r>
    <x v="3"/>
    <n v="2016"/>
    <s v="049"/>
    <x v="18"/>
    <s v="049014"/>
    <x v="255"/>
    <n v="94.5"/>
    <n v="42"/>
    <m/>
    <m/>
  </r>
  <r>
    <x v="3"/>
    <n v="2016"/>
    <s v="049"/>
    <x v="18"/>
    <s v="049015"/>
    <x v="81"/>
    <n v="208.8"/>
    <n v="72"/>
    <n v="1898.1"/>
    <n v="666"/>
  </r>
  <r>
    <x v="3"/>
    <n v="2016"/>
    <s v="049"/>
    <x v="18"/>
    <s v="049020"/>
    <x v="82"/>
    <n v="688.5"/>
    <n v="306"/>
    <n v="783"/>
    <n v="348"/>
  </r>
  <r>
    <x v="3"/>
    <n v="2016"/>
    <s v="049"/>
    <x v="18"/>
    <s v="049023"/>
    <x v="82"/>
    <n v="59.4"/>
    <n v="18"/>
    <m/>
    <m/>
  </r>
  <r>
    <x v="3"/>
    <n v="2016"/>
    <s v="049"/>
    <x v="18"/>
    <s v="049027"/>
    <x v="80"/>
    <n v="40.5"/>
    <n v="12"/>
    <n v="81"/>
    <n v="24"/>
  </r>
  <r>
    <x v="3"/>
    <n v="2016"/>
    <s v="050"/>
    <x v="19"/>
    <s v="050001"/>
    <x v="83"/>
    <n v="916.5"/>
    <n v="282"/>
    <n v="2284.8000000000002"/>
    <n v="714"/>
  </r>
  <r>
    <x v="3"/>
    <n v="2016"/>
    <s v="050"/>
    <x v="19"/>
    <s v="050005"/>
    <x v="85"/>
    <n v="132"/>
    <n v="30"/>
    <n v="237.6"/>
    <n v="54"/>
  </r>
  <r>
    <x v="3"/>
    <n v="2016"/>
    <s v="050"/>
    <x v="19"/>
    <s v="050010"/>
    <x v="256"/>
    <n v="78"/>
    <n v="12"/>
    <n v="234"/>
    <n v="36"/>
  </r>
  <r>
    <x v="3"/>
    <n v="2016"/>
    <s v="051"/>
    <x v="20"/>
    <s v="051000"/>
    <x v="86"/>
    <n v="2251.1999999999998"/>
    <n v="402"/>
    <n v="4050.9"/>
    <n v="732"/>
  </r>
  <r>
    <x v="3"/>
    <n v="2016"/>
    <s v="051"/>
    <x v="20"/>
    <s v="051002CB"/>
    <x v="288"/>
    <n v="255.15"/>
    <n v="27"/>
    <n v="55.98"/>
    <n v="6"/>
  </r>
  <r>
    <x v="3"/>
    <n v="2016"/>
    <s v="051"/>
    <x v="20"/>
    <s v="051010/11"/>
    <x v="87"/>
    <n v="7633.8"/>
    <n v="948"/>
    <m/>
    <m/>
  </r>
  <r>
    <x v="3"/>
    <n v="2016"/>
    <s v="051"/>
    <x v="20"/>
    <s v="051017"/>
    <x v="88"/>
    <n v="685.8"/>
    <n v="108"/>
    <n v="450"/>
    <n v="72"/>
  </r>
  <r>
    <x v="3"/>
    <n v="2016"/>
    <s v="051"/>
    <x v="20"/>
    <s v="051133"/>
    <x v="89"/>
    <n v="2008.8"/>
    <n v="228"/>
    <n v="1056"/>
    <n v="120"/>
  </r>
  <r>
    <x v="3"/>
    <n v="2016"/>
    <s v="051"/>
    <x v="20"/>
    <s v="CDV051016"/>
    <x v="289"/>
    <n v="79.2"/>
    <n v="12"/>
    <n v="158.4"/>
    <n v="24"/>
  </r>
  <r>
    <x v="3"/>
    <n v="2016"/>
    <s v="052"/>
    <x v="21"/>
    <s v="052021"/>
    <x v="91"/>
    <n v="1267.2"/>
    <n v="132"/>
    <n v="460.8"/>
    <n v="54"/>
  </r>
  <r>
    <x v="3"/>
    <n v="2016"/>
    <s v="052"/>
    <x v="21"/>
    <s v="052022"/>
    <x v="257"/>
    <n v="63"/>
    <n v="6"/>
    <m/>
    <m/>
  </r>
  <r>
    <x v="3"/>
    <n v="2016"/>
    <s v="052"/>
    <x v="21"/>
    <s v="052028"/>
    <x v="92"/>
    <n v="179.1"/>
    <n v="90"/>
    <n v="429.3"/>
    <n v="156"/>
  </r>
  <r>
    <x v="3"/>
    <n v="2016"/>
    <s v="052"/>
    <x v="21"/>
    <s v="052039"/>
    <x v="93"/>
    <n v="328.8"/>
    <n v="48"/>
    <n v="739.8"/>
    <n v="108"/>
  </r>
  <r>
    <x v="3"/>
    <n v="2016"/>
    <s v="054"/>
    <x v="22"/>
    <s v="054002"/>
    <x v="97"/>
    <n v="60"/>
    <n v="12"/>
    <m/>
    <m/>
  </r>
  <r>
    <x v="3"/>
    <n v="2016"/>
    <s v="054"/>
    <x v="22"/>
    <s v="054005"/>
    <x v="98"/>
    <n v="744"/>
    <n v="96"/>
    <m/>
    <m/>
  </r>
  <r>
    <x v="3"/>
    <n v="2016"/>
    <s v="054"/>
    <x v="22"/>
    <s v="054011"/>
    <x v="99"/>
    <n v="160.19999999999999"/>
    <n v="18"/>
    <m/>
    <m/>
  </r>
  <r>
    <x v="3"/>
    <n v="2016"/>
    <s v="059"/>
    <x v="23"/>
    <s v="059002"/>
    <x v="100"/>
    <n v="100.8"/>
    <n v="24"/>
    <m/>
    <m/>
  </r>
  <r>
    <x v="3"/>
    <n v="2016"/>
    <s v="059"/>
    <x v="23"/>
    <s v="059004"/>
    <x v="101"/>
    <n v="129.6"/>
    <n v="36"/>
    <m/>
    <m/>
  </r>
  <r>
    <x v="3"/>
    <n v="2016"/>
    <s v="059"/>
    <x v="23"/>
    <s v="059006"/>
    <x v="102"/>
    <n v="66"/>
    <n v="18"/>
    <m/>
    <m/>
  </r>
  <r>
    <x v="3"/>
    <n v="2016"/>
    <s v="059"/>
    <x v="23"/>
    <s v="059008"/>
    <x v="102"/>
    <n v="198"/>
    <n v="36"/>
    <m/>
    <m/>
  </r>
  <r>
    <x v="3"/>
    <n v="2016"/>
    <s v="059"/>
    <x v="23"/>
    <s v="059010"/>
    <x v="102"/>
    <n v="363"/>
    <n v="66"/>
    <m/>
    <m/>
  </r>
  <r>
    <x v="3"/>
    <n v="2016"/>
    <s v="059"/>
    <x v="23"/>
    <s v="059019"/>
    <x v="103"/>
    <n v="106.5"/>
    <n v="30"/>
    <m/>
    <m/>
  </r>
  <r>
    <x v="3"/>
    <n v="2016"/>
    <s v="059"/>
    <x v="23"/>
    <s v="059020"/>
    <x v="104"/>
    <n v="2409.9"/>
    <n v="672"/>
    <m/>
    <m/>
  </r>
  <r>
    <x v="3"/>
    <n v="2016"/>
    <s v="059"/>
    <x v="23"/>
    <s v="059021"/>
    <x v="105"/>
    <n v="700.3"/>
    <n v="326.83"/>
    <m/>
    <m/>
  </r>
  <r>
    <x v="3"/>
    <n v="2016"/>
    <s v="059"/>
    <x v="23"/>
    <s v="059025"/>
    <x v="106"/>
    <n v="3996"/>
    <n v="1776"/>
    <m/>
    <m/>
  </r>
  <r>
    <x v="3"/>
    <n v="2016"/>
    <s v="059"/>
    <x v="23"/>
    <s v="059026"/>
    <x v="107"/>
    <n v="1336.5"/>
    <n v="913.79"/>
    <m/>
    <m/>
  </r>
  <r>
    <x v="3"/>
    <n v="2016"/>
    <s v="059"/>
    <x v="23"/>
    <s v="059027"/>
    <x v="259"/>
    <n v="101.4"/>
    <n v="79.98"/>
    <m/>
    <m/>
  </r>
  <r>
    <x v="3"/>
    <n v="2016"/>
    <s v="059"/>
    <x v="23"/>
    <s v="059101"/>
    <x v="290"/>
    <n v="205.2"/>
    <n v="114"/>
    <m/>
    <m/>
  </r>
  <r>
    <x v="3"/>
    <n v="2016"/>
    <s v="059"/>
    <x v="23"/>
    <s v="059103"/>
    <x v="316"/>
    <n v="43.2"/>
    <n v="24"/>
    <m/>
    <m/>
  </r>
  <r>
    <x v="3"/>
    <n v="2016"/>
    <s v="060"/>
    <x v="24"/>
    <s v="060015"/>
    <x v="109"/>
    <n v="1211.76"/>
    <n v="324"/>
    <n v="799.2"/>
    <n v="222"/>
  </r>
  <r>
    <x v="3"/>
    <n v="2016"/>
    <s v="060"/>
    <x v="24"/>
    <s v="060016"/>
    <x v="109"/>
    <n v="170.64"/>
    <n v="36"/>
    <n v="26.64"/>
    <n v="6"/>
  </r>
  <r>
    <x v="3"/>
    <n v="2016"/>
    <s v="062"/>
    <x v="25"/>
    <s v="062001"/>
    <x v="260"/>
    <n v="178.8"/>
    <n v="36"/>
    <n v="122.4"/>
    <n v="24"/>
  </r>
  <r>
    <x v="3"/>
    <n v="2016"/>
    <s v="062"/>
    <x v="25"/>
    <s v="062002"/>
    <x v="110"/>
    <n v="220.8"/>
    <n v="48"/>
    <m/>
    <m/>
  </r>
  <r>
    <x v="3"/>
    <n v="2016"/>
    <s v="062"/>
    <x v="25"/>
    <s v="062003"/>
    <x v="110"/>
    <n v="2508"/>
    <n v="570"/>
    <n v="1264.2"/>
    <n v="306"/>
  </r>
  <r>
    <x v="3"/>
    <n v="2016"/>
    <s v="062"/>
    <x v="25"/>
    <s v="062021"/>
    <x v="110"/>
    <n v="652.79999999999995"/>
    <n v="204"/>
    <n v="256.2"/>
    <n v="96"/>
  </r>
  <r>
    <x v="3"/>
    <n v="2016"/>
    <s v="062"/>
    <x v="25"/>
    <s v="062022"/>
    <x v="110"/>
    <n v="91.2"/>
    <n v="24"/>
    <n v="45.6"/>
    <n v="12"/>
  </r>
  <r>
    <x v="3"/>
    <n v="2016"/>
    <s v="062"/>
    <x v="25"/>
    <s v="062030"/>
    <x v="111"/>
    <n v="57.6"/>
    <n v="12"/>
    <n v="-28.8"/>
    <n v="0"/>
  </r>
  <r>
    <x v="3"/>
    <n v="2016"/>
    <s v="062"/>
    <x v="25"/>
    <s v="062032"/>
    <x v="112"/>
    <n v="1005"/>
    <n v="446.89"/>
    <n v="899"/>
    <n v="426.88"/>
  </r>
  <r>
    <x v="3"/>
    <n v="2016"/>
    <s v="074"/>
    <x v="26"/>
    <s v="074012"/>
    <x v="113"/>
    <n v="45.6"/>
    <n v="6"/>
    <n v="273.60000000000002"/>
    <n v="36"/>
  </r>
  <r>
    <x v="3"/>
    <n v="2016"/>
    <s v="074"/>
    <x v="26"/>
    <s v="074013"/>
    <x v="114"/>
    <n v="153.44999999999999"/>
    <n v="36"/>
    <n v="579.6"/>
    <n v="126"/>
  </r>
  <r>
    <x v="3"/>
    <n v="2016"/>
    <s v="075"/>
    <x v="27"/>
    <s v="075002"/>
    <x v="115"/>
    <n v="597.6"/>
    <n v="144"/>
    <n v="2170.8000000000002"/>
    <n v="540"/>
  </r>
  <r>
    <x v="3"/>
    <n v="2016"/>
    <s v="075"/>
    <x v="27"/>
    <s v="075011"/>
    <x v="317"/>
    <n v="83.7"/>
    <n v="12"/>
    <m/>
    <m/>
  </r>
  <r>
    <x v="3"/>
    <n v="2016"/>
    <s v="075"/>
    <x v="27"/>
    <s v="075013"/>
    <x v="116"/>
    <n v="33.299999999999997"/>
    <n v="6"/>
    <n v="280.8"/>
    <n v="60"/>
  </r>
  <r>
    <x v="3"/>
    <n v="2016"/>
    <s v="080"/>
    <x v="28"/>
    <s v="080010"/>
    <x v="118"/>
    <n v="1006.2"/>
    <n v="156"/>
    <n v="1360.8"/>
    <n v="216"/>
  </r>
  <r>
    <x v="3"/>
    <n v="2016"/>
    <s v="080"/>
    <x v="28"/>
    <s v="080011"/>
    <x v="118"/>
    <n v="234"/>
    <n v="30"/>
    <n v="415.8"/>
    <n v="54"/>
  </r>
  <r>
    <x v="3"/>
    <n v="2016"/>
    <s v="080"/>
    <x v="28"/>
    <s v="080013"/>
    <x v="118"/>
    <n v="37.799999999999997"/>
    <n v="6"/>
    <n v="109.8"/>
    <n v="18"/>
  </r>
  <r>
    <x v="3"/>
    <n v="2016"/>
    <s v="080"/>
    <x v="28"/>
    <s v="080014"/>
    <x v="118"/>
    <n v="45"/>
    <n v="6"/>
    <n v="44.4"/>
    <n v="6"/>
  </r>
  <r>
    <x v="3"/>
    <n v="2016"/>
    <s v="080"/>
    <x v="28"/>
    <s v="080015"/>
    <x v="118"/>
    <n v="442.2"/>
    <n v="66"/>
    <n v="554.4"/>
    <n v="84"/>
  </r>
  <r>
    <x v="3"/>
    <n v="2016"/>
    <s v="080"/>
    <x v="28"/>
    <s v="080016"/>
    <x v="118"/>
    <n v="46.8"/>
    <n v="6"/>
    <n v="138.6"/>
    <n v="18"/>
  </r>
  <r>
    <x v="3"/>
    <n v="2016"/>
    <s v="083"/>
    <x v="29"/>
    <s v="083003"/>
    <x v="119"/>
    <n v="219.3"/>
    <n v="102"/>
    <n v="579.6"/>
    <n v="276"/>
  </r>
  <r>
    <x v="3"/>
    <n v="2016"/>
    <s v="084"/>
    <x v="30"/>
    <s v="084001"/>
    <x v="120"/>
    <n v="904.75"/>
    <n v="626.51"/>
    <n v="684"/>
    <n v="506.54"/>
  </r>
  <r>
    <x v="3"/>
    <n v="2016"/>
    <s v="084"/>
    <x v="30"/>
    <s v="084002"/>
    <x v="120"/>
    <n v="1758.4"/>
    <n v="1073.8699999999999"/>
    <n v="1122"/>
    <n v="693.68"/>
  </r>
  <r>
    <x v="3"/>
    <n v="2016"/>
    <s v="084"/>
    <x v="30"/>
    <s v="084004"/>
    <x v="121"/>
    <n v="100.8"/>
    <n v="54"/>
    <n v="467.4"/>
    <n v="234"/>
  </r>
  <r>
    <x v="3"/>
    <n v="2016"/>
    <s v="084"/>
    <x v="30"/>
    <s v="084006"/>
    <x v="122"/>
    <n v="3514.5"/>
    <n v="1284"/>
    <n v="1474.2"/>
    <n v="552"/>
  </r>
  <r>
    <x v="3"/>
    <n v="2016"/>
    <s v="084"/>
    <x v="30"/>
    <s v="084007"/>
    <x v="123"/>
    <n v="1104"/>
    <n v="240"/>
    <n v="432"/>
    <n v="108"/>
  </r>
  <r>
    <x v="3"/>
    <n v="2016"/>
    <s v="084"/>
    <x v="30"/>
    <s v="084008"/>
    <x v="124"/>
    <n v="143.52000000000001"/>
    <n v="24"/>
    <n v="105.3"/>
    <n v="18"/>
  </r>
  <r>
    <x v="3"/>
    <n v="2016"/>
    <s v="084"/>
    <x v="30"/>
    <s v="084015"/>
    <x v="263"/>
    <n v="451.5"/>
    <n v="42"/>
    <m/>
    <m/>
  </r>
  <r>
    <x v="3"/>
    <n v="2016"/>
    <s v="084"/>
    <x v="30"/>
    <s v="084032"/>
    <x v="125"/>
    <n v="198"/>
    <n v="72"/>
    <m/>
    <m/>
  </r>
  <r>
    <x v="3"/>
    <n v="2016"/>
    <s v="086B"/>
    <x v="31"/>
    <s v="086002P"/>
    <x v="126"/>
    <n v="9.91"/>
    <n v="13.34"/>
    <n v="148.16"/>
    <n v="106.72"/>
  </r>
  <r>
    <x v="3"/>
    <n v="2016"/>
    <s v="086B"/>
    <x v="31"/>
    <s v="086011P"/>
    <x v="126"/>
    <n v="503.16"/>
    <n v="373.24"/>
    <n v="302.22000000000003"/>
    <n v="239.94"/>
  </r>
  <r>
    <x v="3"/>
    <n v="2016"/>
    <s v="086B"/>
    <x v="31"/>
    <s v="086012P"/>
    <x v="126"/>
    <n v="396.4"/>
    <n v="273.46999999999997"/>
    <n v="185.2"/>
    <n v="133.4"/>
  </r>
  <r>
    <x v="3"/>
    <n v="2016"/>
    <s v="089"/>
    <x v="33"/>
    <s v="089002"/>
    <x v="128"/>
    <n v="635.70000000000005"/>
    <n v="174"/>
    <n v="298.2"/>
    <n v="84"/>
  </r>
  <r>
    <x v="3"/>
    <n v="2016"/>
    <s v="089"/>
    <x v="33"/>
    <s v="089010"/>
    <x v="129"/>
    <n v="244.2"/>
    <n v="66"/>
    <n v="43.2"/>
    <n v="12"/>
  </r>
  <r>
    <x v="3"/>
    <n v="2016"/>
    <s v="089"/>
    <x v="33"/>
    <s v="089799"/>
    <x v="318"/>
    <n v="474"/>
    <n v="120"/>
    <m/>
    <m/>
  </r>
  <r>
    <x v="3"/>
    <n v="2016"/>
    <s v="089"/>
    <x v="33"/>
    <s v="089800"/>
    <x v="130"/>
    <n v="622.5"/>
    <n v="150"/>
    <n v="344.4"/>
    <n v="84"/>
  </r>
  <r>
    <x v="3"/>
    <n v="2016"/>
    <s v="089"/>
    <x v="33"/>
    <s v="089900"/>
    <x v="131"/>
    <n v="595"/>
    <n v="373.24"/>
    <n v="445.5"/>
    <n v="293.26"/>
  </r>
  <r>
    <x v="3"/>
    <n v="2016"/>
    <s v="089"/>
    <x v="33"/>
    <s v="089901"/>
    <x v="132"/>
    <n v="1188"/>
    <n v="613.64"/>
    <n v="622.20000000000005"/>
    <n v="340.17"/>
  </r>
  <r>
    <x v="3"/>
    <n v="2016"/>
    <s v="089"/>
    <x v="33"/>
    <s v="089903"/>
    <x v="133"/>
    <n v="1771.2"/>
    <n v="432"/>
    <n v="1458"/>
    <n v="360"/>
  </r>
  <r>
    <x v="3"/>
    <n v="2016"/>
    <s v="094"/>
    <x v="35"/>
    <s v="094001"/>
    <x v="135"/>
    <n v="877.2"/>
    <n v="168"/>
    <n v="1092"/>
    <n v="210"/>
  </r>
  <r>
    <x v="3"/>
    <n v="2016"/>
    <s v="094"/>
    <x v="35"/>
    <s v="094003"/>
    <x v="136"/>
    <n v="135.6"/>
    <n v="24"/>
    <n v="266.39999999999998"/>
    <n v="48"/>
  </r>
  <r>
    <x v="3"/>
    <n v="2016"/>
    <s v="094"/>
    <x v="35"/>
    <s v="094004"/>
    <x v="137"/>
    <n v="47.7"/>
    <n v="6"/>
    <m/>
    <m/>
  </r>
  <r>
    <x v="3"/>
    <n v="2016"/>
    <s v="095"/>
    <x v="36"/>
    <s v="095001"/>
    <x v="138"/>
    <n v="1975.8"/>
    <n v="534"/>
    <n v="2086.8000000000002"/>
    <n v="564"/>
  </r>
  <r>
    <x v="3"/>
    <n v="2016"/>
    <s v="095"/>
    <x v="36"/>
    <s v="095008"/>
    <x v="294"/>
    <n v="97.2"/>
    <n v="18"/>
    <m/>
    <m/>
  </r>
  <r>
    <x v="3"/>
    <n v="2016"/>
    <s v="095"/>
    <x v="36"/>
    <s v="095010"/>
    <x v="140"/>
    <n v="1562.4"/>
    <n v="342"/>
    <n v="223.2"/>
    <n v="48"/>
  </r>
  <r>
    <x v="3"/>
    <n v="2016"/>
    <s v="095"/>
    <x v="36"/>
    <s v="095012"/>
    <x v="141"/>
    <n v="409.2"/>
    <n v="66"/>
    <m/>
    <m/>
  </r>
  <r>
    <x v="3"/>
    <n v="2016"/>
    <s v="095"/>
    <x v="36"/>
    <s v="095014"/>
    <x v="266"/>
    <n v="408"/>
    <n v="60"/>
    <m/>
    <m/>
  </r>
  <r>
    <x v="3"/>
    <n v="2016"/>
    <s v="095"/>
    <x v="36"/>
    <s v="095015"/>
    <x v="266"/>
    <n v="210"/>
    <n v="30"/>
    <m/>
    <m/>
  </r>
  <r>
    <x v="3"/>
    <n v="2016"/>
    <s v="096"/>
    <x v="37"/>
    <s v="096008"/>
    <x v="145"/>
    <n v="252"/>
    <n v="36"/>
    <n v="84"/>
    <n v="12"/>
  </r>
  <r>
    <x v="3"/>
    <n v="2016"/>
    <s v="096"/>
    <x v="37"/>
    <s v="CDH-096008"/>
    <x v="319"/>
    <n v="84"/>
    <n v="12"/>
    <m/>
    <m/>
  </r>
  <r>
    <x v="3"/>
    <n v="2016"/>
    <s v="097"/>
    <x v="38"/>
    <s v="097003"/>
    <x v="146"/>
    <n v="346.5"/>
    <n v="126"/>
    <n v="171.6"/>
    <n v="66"/>
  </r>
  <r>
    <x v="3"/>
    <n v="2016"/>
    <s v="097"/>
    <x v="38"/>
    <s v="097004"/>
    <x v="147"/>
    <n v="1701"/>
    <n v="810"/>
    <n v="824.1"/>
    <n v="402"/>
  </r>
  <r>
    <x v="3"/>
    <n v="2016"/>
    <s v="099"/>
    <x v="39"/>
    <s v="099001"/>
    <x v="148"/>
    <n v="1702.92"/>
    <n v="1098"/>
    <n v="1550.16"/>
    <n v="996"/>
  </r>
  <r>
    <x v="3"/>
    <n v="2016"/>
    <s v="099"/>
    <x v="39"/>
    <s v="099002"/>
    <x v="148"/>
    <n v="18383.78"/>
    <n v="13488"/>
    <n v="11518.12"/>
    <n v="7272"/>
  </r>
  <r>
    <x v="3"/>
    <n v="2016"/>
    <s v="099"/>
    <x v="39"/>
    <s v="099003"/>
    <x v="148"/>
    <n v="527.76"/>
    <n v="342"/>
    <n v="126.72"/>
    <n v="72"/>
  </r>
  <r>
    <x v="3"/>
    <n v="2016"/>
    <s v="099"/>
    <x v="39"/>
    <s v="099013"/>
    <x v="149"/>
    <n v="168.6"/>
    <n v="60"/>
    <n v="303.48"/>
    <n v="120"/>
  </r>
  <r>
    <x v="3"/>
    <n v="2016"/>
    <s v="099"/>
    <x v="39"/>
    <s v="099016"/>
    <x v="150"/>
    <n v="438"/>
    <n v="150"/>
    <m/>
    <m/>
  </r>
  <r>
    <x v="3"/>
    <n v="2016"/>
    <s v="110"/>
    <x v="40"/>
    <s v="110500"/>
    <x v="151"/>
    <n v="486.2"/>
    <n v="346.58"/>
    <n v="473.2"/>
    <n v="346.58"/>
  </r>
  <r>
    <x v="3"/>
    <n v="2016"/>
    <s v="110"/>
    <x v="40"/>
    <s v="110501"/>
    <x v="151"/>
    <n v="813.95"/>
    <n v="493.58"/>
    <n v="301"/>
    <n v="186.76"/>
  </r>
  <r>
    <x v="3"/>
    <n v="2016"/>
    <s v="110"/>
    <x v="40"/>
    <s v="110600"/>
    <x v="152"/>
    <n v="170.1"/>
    <n v="54"/>
    <n v="292.8"/>
    <n v="96"/>
  </r>
  <r>
    <x v="3"/>
    <n v="2016"/>
    <s v="113"/>
    <x v="41"/>
    <s v="113001"/>
    <x v="153"/>
    <n v="1949.4"/>
    <n v="342"/>
    <n v="1353"/>
    <n v="246"/>
  </r>
  <r>
    <x v="3"/>
    <n v="2016"/>
    <s v="113"/>
    <x v="41"/>
    <s v="113002"/>
    <x v="153"/>
    <n v="113.4"/>
    <n v="18"/>
    <n v="73.2"/>
    <n v="12"/>
  </r>
  <r>
    <x v="3"/>
    <n v="2016"/>
    <s v="113"/>
    <x v="41"/>
    <s v="113005"/>
    <x v="153"/>
    <n v="900"/>
    <n v="150"/>
    <n v="966"/>
    <n v="168"/>
  </r>
  <r>
    <x v="3"/>
    <n v="2016"/>
    <s v="113"/>
    <x v="41"/>
    <s v="113006"/>
    <x v="153"/>
    <n v="118.8"/>
    <n v="18"/>
    <n v="230.4"/>
    <n v="36"/>
  </r>
  <r>
    <x v="3"/>
    <n v="2016"/>
    <s v="114"/>
    <x v="42"/>
    <s v="114001"/>
    <x v="154"/>
    <n v="874.5"/>
    <n v="318"/>
    <n v="1020.6"/>
    <n v="378"/>
  </r>
  <r>
    <x v="3"/>
    <n v="2016"/>
    <s v="114"/>
    <x v="42"/>
    <s v="114002"/>
    <x v="154"/>
    <n v="60.84"/>
    <n v="18"/>
    <n v="118.8"/>
    <n v="36"/>
  </r>
  <r>
    <x v="3"/>
    <n v="2016"/>
    <s v="114"/>
    <x v="42"/>
    <s v="114005"/>
    <x v="155"/>
    <n v="465.3"/>
    <n v="198"/>
    <n v="183.3"/>
    <n v="78"/>
  </r>
  <r>
    <x v="3"/>
    <n v="2016"/>
    <s v="114"/>
    <x v="42"/>
    <s v="114006"/>
    <x v="155"/>
    <n v="18.12"/>
    <n v="6"/>
    <n v="72.48"/>
    <n v="24"/>
  </r>
  <r>
    <x v="3"/>
    <n v="2016"/>
    <s v="114"/>
    <x v="42"/>
    <s v="114010"/>
    <x v="156"/>
    <n v="596.6"/>
    <n v="346.58"/>
    <n v="930.7"/>
    <n v="546.53"/>
  </r>
  <r>
    <x v="3"/>
    <n v="2016"/>
    <s v="114"/>
    <x v="42"/>
    <s v="114011"/>
    <x v="156"/>
    <n v="810"/>
    <n v="413.54"/>
    <n v="1412.64"/>
    <n v="733.7"/>
  </r>
  <r>
    <x v="3"/>
    <n v="2016"/>
    <s v="114"/>
    <x v="42"/>
    <s v="114012"/>
    <x v="157"/>
    <n v="17.52"/>
    <n v="13.33"/>
    <n v="150.21"/>
    <n v="133.30000000000001"/>
  </r>
  <r>
    <x v="3"/>
    <n v="2016"/>
    <s v="115"/>
    <x v="43"/>
    <s v="115005"/>
    <x v="159"/>
    <n v="321.60000000000002"/>
    <n v="48"/>
    <n v="1113.5999999999999"/>
    <n v="174"/>
  </r>
  <r>
    <x v="3"/>
    <n v="2016"/>
    <s v="115"/>
    <x v="43"/>
    <s v="115007"/>
    <x v="160"/>
    <n v="42"/>
    <n v="6"/>
    <n v="281.39999999999998"/>
    <n v="42"/>
  </r>
  <r>
    <x v="3"/>
    <n v="2016"/>
    <s v="115"/>
    <x v="43"/>
    <s v="115010"/>
    <x v="161"/>
    <n v="217.5"/>
    <n v="213.28"/>
    <n v="303.60000000000002"/>
    <n v="293.26"/>
  </r>
  <r>
    <x v="3"/>
    <n v="2016"/>
    <s v="115"/>
    <x v="43"/>
    <s v="115011"/>
    <x v="161"/>
    <n v="17"/>
    <n v="20.009999999999998"/>
    <n v="336"/>
    <n v="280.14"/>
  </r>
  <r>
    <x v="3"/>
    <n v="2016"/>
    <s v="116"/>
    <x v="44"/>
    <s v="116001"/>
    <x v="162"/>
    <n v="828"/>
    <n v="180"/>
    <n v="2102.1"/>
    <n v="462"/>
  </r>
  <r>
    <x v="3"/>
    <n v="2016"/>
    <s v="116"/>
    <x v="44"/>
    <s v="116005"/>
    <x v="267"/>
    <n v="-26.1"/>
    <n v="0"/>
    <n v="206.4"/>
    <n v="48"/>
  </r>
  <r>
    <x v="3"/>
    <n v="2016"/>
    <s v="116"/>
    <x v="44"/>
    <s v="CDV116006"/>
    <x v="268"/>
    <n v="33"/>
    <n v="6"/>
    <n v="32.1"/>
    <n v="6"/>
  </r>
  <r>
    <x v="3"/>
    <n v="2016"/>
    <s v="118"/>
    <x v="45"/>
    <s v="118005"/>
    <x v="320"/>
    <n v="148.5"/>
    <n v="6"/>
    <m/>
    <m/>
  </r>
  <r>
    <x v="3"/>
    <n v="2016"/>
    <s v="118"/>
    <x v="45"/>
    <s v="118006"/>
    <x v="321"/>
    <n v="161.52000000000001"/>
    <n v="6"/>
    <m/>
    <m/>
  </r>
  <r>
    <x v="3"/>
    <n v="2016"/>
    <s v="118"/>
    <x v="45"/>
    <s v="118007"/>
    <x v="322"/>
    <n v="178.98"/>
    <n v="6"/>
    <m/>
    <m/>
  </r>
  <r>
    <x v="3"/>
    <n v="2016"/>
    <s v="118"/>
    <x v="45"/>
    <s v="118014"/>
    <x v="323"/>
    <n v="30.26"/>
    <n v="1"/>
    <m/>
    <m/>
  </r>
  <r>
    <x v="3"/>
    <n v="2016"/>
    <s v="118"/>
    <x v="45"/>
    <s v="118016"/>
    <x v="163"/>
    <n v="37.69"/>
    <n v="1"/>
    <m/>
    <m/>
  </r>
  <r>
    <x v="3"/>
    <n v="2016"/>
    <s v="118"/>
    <x v="45"/>
    <s v="118020"/>
    <x v="164"/>
    <n v="31"/>
    <n v="1"/>
    <m/>
    <m/>
  </r>
  <r>
    <x v="3"/>
    <n v="2016"/>
    <s v="118"/>
    <x v="45"/>
    <s v="118021"/>
    <x v="165"/>
    <n v="31.38"/>
    <n v="1"/>
    <m/>
    <m/>
  </r>
  <r>
    <x v="3"/>
    <n v="2016"/>
    <s v="118"/>
    <x v="45"/>
    <s v="118024"/>
    <x v="324"/>
    <n v="33.61"/>
    <n v="1"/>
    <m/>
    <m/>
  </r>
  <r>
    <x v="3"/>
    <n v="2016"/>
    <s v="118"/>
    <x v="45"/>
    <s v="118028"/>
    <x v="167"/>
    <n v="37.07"/>
    <n v="1"/>
    <m/>
    <m/>
  </r>
  <r>
    <x v="3"/>
    <n v="2016"/>
    <s v="124"/>
    <x v="46"/>
    <s v="124001"/>
    <x v="175"/>
    <n v="864"/>
    <n v="192"/>
    <n v="1135.2"/>
    <n v="258"/>
  </r>
  <r>
    <x v="3"/>
    <n v="2016"/>
    <s v="124"/>
    <x v="46"/>
    <s v="124002"/>
    <x v="176"/>
    <n v="633.6"/>
    <n v="192"/>
    <n v="172.8"/>
    <n v="54"/>
  </r>
  <r>
    <x v="3"/>
    <n v="2016"/>
    <s v="124"/>
    <x v="46"/>
    <s v="124010"/>
    <x v="178"/>
    <n v="831.6"/>
    <n v="132"/>
    <n v="781.2"/>
    <n v="126"/>
  </r>
  <r>
    <x v="3"/>
    <n v="2016"/>
    <s v="134"/>
    <x v="47"/>
    <s v="134003"/>
    <x v="325"/>
    <n v="68.040000000000006"/>
    <n v="18"/>
    <m/>
    <m/>
  </r>
  <r>
    <x v="3"/>
    <n v="2016"/>
    <s v="134"/>
    <x v="47"/>
    <s v="134004"/>
    <x v="180"/>
    <n v="514.08000000000004"/>
    <n v="108"/>
    <n v="276"/>
    <n v="60"/>
  </r>
  <r>
    <x v="3"/>
    <n v="2016"/>
    <s v="134"/>
    <x v="47"/>
    <s v="134005"/>
    <x v="181"/>
    <n v="1377"/>
    <n v="300"/>
    <n v="425.28"/>
    <n v="96"/>
  </r>
  <r>
    <x v="3"/>
    <n v="2016"/>
    <s v="137"/>
    <x v="48"/>
    <s v="137001"/>
    <x v="182"/>
    <n v="1562.4"/>
    <n v="558"/>
    <n v="948.7"/>
    <n v="390"/>
  </r>
  <r>
    <x v="3"/>
    <n v="2016"/>
    <s v="140"/>
    <x v="49"/>
    <s v="140001"/>
    <x v="184"/>
    <n v="464.4"/>
    <n v="108"/>
    <n v="756"/>
    <n v="186"/>
  </r>
  <r>
    <x v="3"/>
    <n v="2016"/>
    <s v="143"/>
    <x v="50"/>
    <s v="143001"/>
    <x v="185"/>
    <n v="96"/>
    <n v="24"/>
    <n v="304.2"/>
    <n v="72"/>
  </r>
  <r>
    <x v="3"/>
    <n v="2016"/>
    <s v="143"/>
    <x v="50"/>
    <s v="143002"/>
    <x v="185"/>
    <n v="240"/>
    <n v="60"/>
    <n v="795.6"/>
    <n v="198"/>
  </r>
  <r>
    <x v="3"/>
    <n v="2016"/>
    <s v="152"/>
    <x v="51"/>
    <s v="152001"/>
    <x v="186"/>
    <n v="1796.7"/>
    <n v="318"/>
    <n v="932.4"/>
    <n v="174"/>
  </r>
  <r>
    <x v="3"/>
    <n v="2016"/>
    <s v="153"/>
    <x v="52"/>
    <s v="153001"/>
    <x v="298"/>
    <n v="174"/>
    <n v="30"/>
    <m/>
    <m/>
  </r>
  <r>
    <x v="3"/>
    <n v="2016"/>
    <s v="153"/>
    <x v="52"/>
    <s v="153003"/>
    <x v="187"/>
    <n v="496.8"/>
    <n v="72"/>
    <n v="80.400000000000006"/>
    <n v="12"/>
  </r>
  <r>
    <x v="3"/>
    <n v="2016"/>
    <s v="153"/>
    <x v="52"/>
    <s v="153005"/>
    <x v="188"/>
    <n v="129.6"/>
    <n v="12"/>
    <m/>
    <m/>
  </r>
  <r>
    <x v="3"/>
    <n v="2016"/>
    <s v="153"/>
    <x v="52"/>
    <s v="CDV153003"/>
    <x v="326"/>
    <n v="120.6"/>
    <n v="18"/>
    <m/>
    <m/>
  </r>
  <r>
    <x v="3"/>
    <n v="2016"/>
    <s v="157"/>
    <x v="53"/>
    <s v="157001"/>
    <x v="191"/>
    <n v="329.4"/>
    <n v="108"/>
    <n v="265.5"/>
    <n v="102"/>
  </r>
  <r>
    <x v="3"/>
    <n v="2016"/>
    <s v="162"/>
    <x v="54"/>
    <s v="162001"/>
    <x v="193"/>
    <n v="1740"/>
    <n v="600"/>
    <n v="1747.2"/>
    <n v="624"/>
  </r>
  <r>
    <x v="3"/>
    <n v="2016"/>
    <s v="162"/>
    <x v="54"/>
    <s v="162002"/>
    <x v="194"/>
    <n v="541.79999999999995"/>
    <n v="126"/>
    <m/>
    <m/>
  </r>
  <r>
    <x v="3"/>
    <n v="2016"/>
    <s v="162"/>
    <x v="54"/>
    <s v="162003"/>
    <x v="272"/>
    <n v="69.599999999999994"/>
    <n v="30"/>
    <n v="184.8"/>
    <n v="66"/>
  </r>
  <r>
    <x v="3"/>
    <n v="2016"/>
    <s v="162"/>
    <x v="54"/>
    <s v="CDV162004"/>
    <x v="273"/>
    <n v="60"/>
    <n v="24"/>
    <m/>
    <m/>
  </r>
  <r>
    <x v="3"/>
    <n v="2016"/>
    <s v="164"/>
    <x v="56"/>
    <s v="164002"/>
    <x v="196"/>
    <n v="1861.2"/>
    <n v="282"/>
    <m/>
    <m/>
  </r>
  <r>
    <x v="3"/>
    <n v="2016"/>
    <s v="164"/>
    <x v="56"/>
    <s v="164005/12"/>
    <x v="198"/>
    <n v="324"/>
    <n v="36"/>
    <m/>
    <m/>
  </r>
  <r>
    <x v="3"/>
    <n v="2016"/>
    <s v="164"/>
    <x v="56"/>
    <s v="164010"/>
    <x v="274"/>
    <n v="171"/>
    <n v="73.37"/>
    <n v="0"/>
    <n v="6.67"/>
  </r>
  <r>
    <x v="3"/>
    <n v="2016"/>
    <s v="164"/>
    <x v="56"/>
    <s v="CDV164011"/>
    <x v="199"/>
    <n v="159.30000000000001"/>
    <n v="18"/>
    <m/>
    <m/>
  </r>
  <r>
    <x v="3"/>
    <n v="2016"/>
    <s v="168"/>
    <x v="57"/>
    <s v="168001"/>
    <x v="200"/>
    <n v="1254.5999999999999"/>
    <n v="306"/>
    <n v="840"/>
    <n v="210"/>
  </r>
  <r>
    <x v="3"/>
    <n v="2016"/>
    <s v="168"/>
    <x v="57"/>
    <s v="168002"/>
    <x v="275"/>
    <n v="538.20000000000005"/>
    <n v="156"/>
    <n v="80.400000000000006"/>
    <n v="30"/>
  </r>
  <r>
    <x v="3"/>
    <n v="2016"/>
    <s v="168"/>
    <x v="57"/>
    <s v="168005"/>
    <x v="327"/>
    <n v="82.8"/>
    <n v="12"/>
    <n v="82.8"/>
    <n v="12"/>
  </r>
  <r>
    <x v="3"/>
    <n v="2016"/>
    <s v="168"/>
    <x v="57"/>
    <s v="168020CB"/>
    <x v="201"/>
    <n v="46.44"/>
    <n v="9"/>
    <n v="61.92"/>
    <n v="12"/>
  </r>
  <r>
    <x v="3"/>
    <n v="2016"/>
    <s v="169"/>
    <x v="58"/>
    <s v="169001"/>
    <x v="202"/>
    <n v="991.2"/>
    <n v="342"/>
    <n v="1639.2"/>
    <n v="564"/>
  </r>
  <r>
    <x v="3"/>
    <n v="2016"/>
    <s v="169"/>
    <x v="58"/>
    <s v="169002"/>
    <x v="203"/>
    <n v="489.06"/>
    <n v="198"/>
    <n v="830.04"/>
    <n v="342"/>
  </r>
  <r>
    <x v="3"/>
    <n v="2016"/>
    <s v="169"/>
    <x v="58"/>
    <s v="169003CB"/>
    <x v="328"/>
    <n v="335.04"/>
    <n v="48"/>
    <m/>
    <m/>
  </r>
  <r>
    <x v="3"/>
    <n v="2016"/>
    <s v="169"/>
    <x v="58"/>
    <s v="169009"/>
    <x v="204"/>
    <n v="814"/>
    <n v="586.52"/>
    <n v="1739"/>
    <n v="1253.02"/>
  </r>
  <r>
    <x v="3"/>
    <n v="2016"/>
    <s v="169"/>
    <x v="58"/>
    <s v="169010"/>
    <x v="204"/>
    <n v="315"/>
    <n v="206.77"/>
    <n v="619.5"/>
    <n v="393.53"/>
  </r>
  <r>
    <x v="3"/>
    <n v="2016"/>
    <s v="169"/>
    <x v="58"/>
    <s v="169011"/>
    <x v="302"/>
    <n v="75"/>
    <n v="36"/>
    <m/>
    <m/>
  </r>
  <r>
    <x v="3"/>
    <n v="2016"/>
    <s v="169"/>
    <x v="58"/>
    <s v="CDV169012"/>
    <x v="329"/>
    <n v="0"/>
    <n v="0"/>
    <n v="0"/>
    <n v="18"/>
  </r>
  <r>
    <x v="3"/>
    <n v="2016"/>
    <s v="174"/>
    <x v="61"/>
    <s v="174001"/>
    <x v="207"/>
    <n v="1897.2"/>
    <n v="516"/>
    <n v="1763.28"/>
    <n v="474"/>
  </r>
  <r>
    <x v="3"/>
    <n v="2016"/>
    <s v="174"/>
    <x v="61"/>
    <s v="174002"/>
    <x v="208"/>
    <n v="111.6"/>
    <n v="18"/>
    <n v="73.44"/>
    <n v="12"/>
  </r>
  <r>
    <x v="3"/>
    <n v="2016"/>
    <s v="174"/>
    <x v="61"/>
    <s v="174003"/>
    <x v="209"/>
    <n v="2238.7199999999998"/>
    <n v="1056"/>
    <m/>
    <m/>
  </r>
  <r>
    <x v="3"/>
    <n v="2016"/>
    <s v="174"/>
    <x v="61"/>
    <s v="174005"/>
    <x v="330"/>
    <n v="1812.8"/>
    <n v="894"/>
    <m/>
    <m/>
  </r>
  <r>
    <x v="3"/>
    <n v="2016"/>
    <s v="174"/>
    <x v="61"/>
    <s v="174006"/>
    <x v="330"/>
    <n v="596.20000000000005"/>
    <n v="318"/>
    <m/>
    <m/>
  </r>
  <r>
    <x v="3"/>
    <n v="2016"/>
    <s v="174"/>
    <x v="61"/>
    <s v="174007"/>
    <x v="330"/>
    <n v="568.1"/>
    <n v="282"/>
    <m/>
    <m/>
  </r>
  <r>
    <x v="3"/>
    <n v="2016"/>
    <s v="174"/>
    <x v="61"/>
    <s v="174009"/>
    <x v="331"/>
    <n v="0"/>
    <n v="6"/>
    <m/>
    <m/>
  </r>
  <r>
    <x v="3"/>
    <n v="2016"/>
    <s v="174"/>
    <x v="61"/>
    <s v="174010"/>
    <x v="210"/>
    <n v="978.2"/>
    <n v="973.09"/>
    <n v="571.9"/>
    <n v="573.19000000000005"/>
  </r>
  <r>
    <x v="3"/>
    <n v="2016"/>
    <s v="174"/>
    <x v="61"/>
    <s v="174011"/>
    <x v="210"/>
    <n v="399.84"/>
    <n v="353.51"/>
    <n v="599.83000000000004"/>
    <n v="513.59"/>
  </r>
  <r>
    <x v="3"/>
    <n v="2016"/>
    <s v="174"/>
    <x v="61"/>
    <s v="174015"/>
    <x v="211"/>
    <n v="526.5"/>
    <n v="399.9"/>
    <n v="473.85"/>
    <n v="359.91"/>
  </r>
  <r>
    <x v="3"/>
    <n v="2016"/>
    <s v="174"/>
    <x v="61"/>
    <s v="174016"/>
    <x v="211"/>
    <n v="737.04"/>
    <n v="506.92"/>
    <n v="846.6"/>
    <n v="573.62"/>
  </r>
  <r>
    <x v="3"/>
    <n v="2016"/>
    <s v="174"/>
    <x v="61"/>
    <s v="174020"/>
    <x v="212"/>
    <n v="199"/>
    <n v="160.07999999999998"/>
    <m/>
    <m/>
  </r>
  <r>
    <x v="3"/>
    <n v="2016"/>
    <s v="175"/>
    <x v="62"/>
    <s v="175001"/>
    <x v="213"/>
    <n v="22.5"/>
    <n v="6"/>
    <n v="821.4"/>
    <n v="222"/>
  </r>
  <r>
    <x v="3"/>
    <n v="2016"/>
    <s v="199"/>
    <x v="64"/>
    <s v="199001"/>
    <x v="215"/>
    <n v="1447.2"/>
    <n v="222"/>
    <n v="558"/>
    <n v="90"/>
  </r>
  <r>
    <x v="3"/>
    <n v="2016"/>
    <s v="199"/>
    <x v="64"/>
    <s v="199002"/>
    <x v="216"/>
    <n v="1224"/>
    <n v="90"/>
    <n v="78"/>
    <n v="6"/>
  </r>
  <r>
    <x v="3"/>
    <n v="2016"/>
    <s v="199"/>
    <x v="64"/>
    <s v="199003"/>
    <x v="217"/>
    <n v="1285.2"/>
    <n v="312"/>
    <n v="705.6"/>
    <n v="168"/>
  </r>
  <r>
    <x v="3"/>
    <n v="2016"/>
    <s v="199"/>
    <x v="64"/>
    <s v="199004"/>
    <x v="277"/>
    <n v="369"/>
    <n v="96"/>
    <n v="369"/>
    <n v="96"/>
  </r>
  <r>
    <x v="3"/>
    <n v="2016"/>
    <s v="201"/>
    <x v="65"/>
    <s v="201001"/>
    <x v="218"/>
    <n v="168.3"/>
    <n v="160.07999999999998"/>
    <n v="790.4"/>
    <n v="720.36"/>
  </r>
  <r>
    <x v="3"/>
    <n v="2016"/>
    <s v="201"/>
    <x v="65"/>
    <s v="201002"/>
    <x v="218"/>
    <n v="1161.45"/>
    <n v="1159.71"/>
    <n v="1629.75"/>
    <n v="1639.59"/>
  </r>
  <r>
    <x v="3"/>
    <n v="2016"/>
    <s v="201"/>
    <x v="65"/>
    <s v="201003"/>
    <x v="219"/>
    <n v="604.35"/>
    <n v="540.27"/>
    <n v="988"/>
    <n v="873.77"/>
  </r>
  <r>
    <x v="3"/>
    <n v="2016"/>
    <s v="201"/>
    <x v="65"/>
    <s v="201004"/>
    <x v="219"/>
    <n v="1975.8"/>
    <n v="1972.84"/>
    <n v="2438"/>
    <n v="2452.7199999999998"/>
  </r>
  <r>
    <x v="3"/>
    <n v="2016"/>
    <s v="201"/>
    <x v="65"/>
    <s v="201006"/>
    <x v="220"/>
    <n v="504"/>
    <n v="210"/>
    <n v="650.4"/>
    <n v="300"/>
  </r>
  <r>
    <x v="3"/>
    <n v="2016"/>
    <s v="201"/>
    <x v="65"/>
    <s v="201007"/>
    <x v="221"/>
    <n v="33.6"/>
    <n v="6"/>
    <m/>
    <m/>
  </r>
  <r>
    <x v="3"/>
    <n v="2016"/>
    <s v="201"/>
    <x v="65"/>
    <s v="201008"/>
    <x v="222"/>
    <n v="402.6"/>
    <n v="132"/>
    <n v="153.6"/>
    <n v="48"/>
  </r>
  <r>
    <x v="3"/>
    <n v="2016"/>
    <s v="201"/>
    <x v="65"/>
    <s v="201010"/>
    <x v="223"/>
    <n v="651"/>
    <n v="466.55"/>
    <n v="502.2"/>
    <n v="359.91"/>
  </r>
  <r>
    <x v="3"/>
    <n v="2016"/>
    <s v="201"/>
    <x v="65"/>
    <s v="201011"/>
    <x v="223"/>
    <n v="282.8"/>
    <n v="206.77"/>
    <n v="363.6"/>
    <n v="246.79"/>
  </r>
  <r>
    <x v="3"/>
    <n v="2016"/>
    <s v="201"/>
    <x v="65"/>
    <s v="201012"/>
    <x v="224"/>
    <n v="197.1"/>
    <n v="54"/>
    <n v="453.6"/>
    <n v="132"/>
  </r>
  <r>
    <x v="3"/>
    <n v="2016"/>
    <s v="201"/>
    <x v="65"/>
    <s v="201013"/>
    <x v="225"/>
    <n v="23.1"/>
    <n v="6"/>
    <n v="-48.6"/>
    <n v="-12"/>
  </r>
  <r>
    <x v="3"/>
    <n v="2016"/>
    <s v="201"/>
    <x v="65"/>
    <s v="201014"/>
    <x v="226"/>
    <n v="144"/>
    <n v="48"/>
    <n v="1062"/>
    <n v="360"/>
  </r>
  <r>
    <x v="3"/>
    <n v="2016"/>
    <s v="201"/>
    <x v="65"/>
    <s v="201015"/>
    <x v="227"/>
    <n v="58.5"/>
    <n v="18"/>
    <m/>
    <m/>
  </r>
  <r>
    <x v="3"/>
    <n v="2016"/>
    <s v="201"/>
    <x v="65"/>
    <s v="201016"/>
    <x v="278"/>
    <n v="61.92"/>
    <n v="18"/>
    <m/>
    <m/>
  </r>
  <r>
    <x v="3"/>
    <n v="2016"/>
    <s v="201"/>
    <x v="65"/>
    <s v="201017"/>
    <x v="332"/>
    <n v="156.75"/>
    <n v="133.4"/>
    <m/>
    <m/>
  </r>
  <r>
    <x v="3"/>
    <n v="2016"/>
    <s v="201"/>
    <x v="65"/>
    <s v="201018"/>
    <x v="333"/>
    <n v="18.75"/>
    <n v="20"/>
    <m/>
    <m/>
  </r>
  <r>
    <x v="3"/>
    <n v="2016"/>
    <s v="201"/>
    <x v="65"/>
    <s v="201022"/>
    <x v="303"/>
    <n v="50.5"/>
    <n v="40"/>
    <m/>
    <m/>
  </r>
  <r>
    <x v="3"/>
    <n v="2016"/>
    <s v="201"/>
    <x v="65"/>
    <s v="201026"/>
    <x v="229"/>
    <n v="57.6"/>
    <n v="30"/>
    <n v="157.69999999999999"/>
    <n v="102"/>
  </r>
  <r>
    <x v="3"/>
    <n v="2016"/>
    <s v="201"/>
    <x v="65"/>
    <s v="201027"/>
    <x v="229"/>
    <n v="80.64"/>
    <n v="42"/>
    <n v="353.4"/>
    <n v="228"/>
  </r>
  <r>
    <x v="3"/>
    <n v="2016"/>
    <s v="201"/>
    <x v="65"/>
    <s v="201031"/>
    <x v="304"/>
    <n v="34.56"/>
    <n v="30"/>
    <m/>
    <m/>
  </r>
  <r>
    <x v="3"/>
    <n v="2016"/>
    <s v="202"/>
    <x v="66"/>
    <s v="202001"/>
    <x v="230"/>
    <n v="49.68"/>
    <n v="24"/>
    <n v="144.84"/>
    <n v="84"/>
  </r>
  <r>
    <x v="3"/>
    <n v="2016"/>
    <s v="202"/>
    <x v="66"/>
    <s v="202002"/>
    <x v="230"/>
    <n v="273.24"/>
    <n v="138"/>
    <n v="760.92"/>
    <n v="402"/>
  </r>
  <r>
    <x v="3"/>
    <n v="2016"/>
    <s v="202"/>
    <x v="66"/>
    <s v="202003"/>
    <x v="230"/>
    <n v="74.52"/>
    <n v="36"/>
    <n v="161.16"/>
    <n v="96"/>
  </r>
  <r>
    <x v="3"/>
    <n v="2016"/>
    <s v="202"/>
    <x v="66"/>
    <s v="202007"/>
    <x v="232"/>
    <n v="26.4"/>
    <n v="12"/>
    <n v="52.32"/>
    <n v="36"/>
  </r>
  <r>
    <x v="3"/>
    <n v="2016"/>
    <s v="202"/>
    <x v="66"/>
    <s v="202010"/>
    <x v="233"/>
    <n v="53.4"/>
    <n v="46.69"/>
    <n v="106.8"/>
    <n v="93.38"/>
  </r>
  <r>
    <x v="3"/>
    <n v="2016"/>
    <s v="202"/>
    <x v="66"/>
    <s v="202015"/>
    <x v="279"/>
    <n v="0"/>
    <n v="6.67"/>
    <n v="0"/>
    <n v="13.34"/>
  </r>
  <r>
    <x v="3"/>
    <n v="2016"/>
    <s v="205"/>
    <x v="67"/>
    <s v="205001"/>
    <x v="234"/>
    <n v="202.5"/>
    <n v="90"/>
    <n v="281.60000000000002"/>
    <n v="138"/>
  </r>
  <r>
    <x v="3"/>
    <n v="2016"/>
    <s v="205"/>
    <x v="67"/>
    <s v="205002"/>
    <x v="235"/>
    <n v="14.4"/>
    <n v="6"/>
    <n v="197.4"/>
    <n v="84"/>
  </r>
  <r>
    <x v="3"/>
    <n v="2016"/>
    <s v="205"/>
    <x v="67"/>
    <s v="205003"/>
    <x v="236"/>
    <n v="222"/>
    <n v="60"/>
    <n v="197.1"/>
    <n v="60"/>
  </r>
  <r>
    <x v="3"/>
    <n v="2016"/>
    <s v="205"/>
    <x v="67"/>
    <s v="205004"/>
    <x v="237"/>
    <n v="57.6"/>
    <n v="24"/>
    <n v="28.2"/>
    <n v="12"/>
  </r>
  <r>
    <x v="3"/>
    <n v="2016"/>
    <s v="226"/>
    <x v="70"/>
    <s v="226001"/>
    <x v="280"/>
    <n v="757.5"/>
    <n v="150"/>
    <m/>
    <m/>
  </r>
  <r>
    <x v="3"/>
    <n v="2016"/>
    <s v="229"/>
    <x v="68"/>
    <s v="229001"/>
    <x v="334"/>
    <n v="0"/>
    <n v="48"/>
    <m/>
    <m/>
  </r>
  <r>
    <x v="3"/>
    <n v="2016"/>
    <s v="229"/>
    <x v="68"/>
    <s v="229008"/>
    <x v="241"/>
    <n v="91.2"/>
    <n v="30"/>
    <m/>
    <m/>
  </r>
  <r>
    <x v="4"/>
    <n v="2016"/>
    <s v="002"/>
    <x v="1"/>
    <s v="002001"/>
    <x v="5"/>
    <n v="3081.12"/>
    <n v="2627.98"/>
    <n v="3008.88"/>
    <n v="2654.66"/>
  </r>
  <r>
    <x v="4"/>
    <n v="2016"/>
    <s v="002"/>
    <x v="1"/>
    <s v="002002"/>
    <x v="6"/>
    <n v="11189.36"/>
    <n v="10863.95"/>
    <n v="9646"/>
    <n v="9717.57"/>
  </r>
  <r>
    <x v="4"/>
    <n v="2016"/>
    <s v="002"/>
    <x v="1"/>
    <s v="002003"/>
    <x v="7"/>
    <n v="7153"/>
    <n v="7664.75"/>
    <n v="6967.8"/>
    <n v="7838.04"/>
  </r>
  <r>
    <x v="4"/>
    <n v="2016"/>
    <s v="002"/>
    <x v="1"/>
    <s v="002004"/>
    <x v="7"/>
    <n v="1351.8"/>
    <n v="1213.94"/>
    <n v="1503.84"/>
    <n v="1407.37"/>
  </r>
  <r>
    <x v="4"/>
    <n v="2016"/>
    <s v="002"/>
    <x v="1"/>
    <s v="002007"/>
    <x v="8"/>
    <n v="2793.28"/>
    <n v="3065.9"/>
    <n v="2640.24"/>
    <n v="3039.2400000000002"/>
  </r>
  <r>
    <x v="4"/>
    <n v="2016"/>
    <s v="002"/>
    <x v="1"/>
    <s v="002008"/>
    <x v="9"/>
    <n v="4686.18"/>
    <n v="5680.71"/>
    <n v="2064.85"/>
    <n v="2506.98"/>
  </r>
  <r>
    <x v="4"/>
    <n v="2016"/>
    <s v="002"/>
    <x v="1"/>
    <s v="002009"/>
    <x v="9"/>
    <n v="1050.3"/>
    <n v="1200.1500000000001"/>
    <n v="1458.7"/>
    <n v="1786.89"/>
  </r>
  <r>
    <x v="4"/>
    <n v="2016"/>
    <s v="002"/>
    <x v="1"/>
    <s v="002010"/>
    <x v="10"/>
    <n v="1879.35"/>
    <n v="1360.68"/>
    <n v="1570.48"/>
    <n v="1160.58"/>
  </r>
  <r>
    <x v="4"/>
    <n v="2016"/>
    <s v="002"/>
    <x v="1"/>
    <s v="002011"/>
    <x v="11"/>
    <n v="3750.75"/>
    <n v="2999.25"/>
    <n v="3219.82"/>
    <n v="2652.67"/>
  </r>
  <r>
    <x v="4"/>
    <n v="2016"/>
    <s v="002"/>
    <x v="1"/>
    <s v="002015"/>
    <x v="11"/>
    <n v="4667.6000000000004"/>
    <n v="3732.4"/>
    <n v="4967.26"/>
    <n v="4092.31"/>
  </r>
  <r>
    <x v="4"/>
    <n v="2016"/>
    <s v="002"/>
    <x v="1"/>
    <s v="002016"/>
    <x v="11"/>
    <n v="2786.3"/>
    <n v="2014.34"/>
    <n v="2506.08"/>
    <n v="1847.59"/>
  </r>
  <r>
    <x v="4"/>
    <n v="2016"/>
    <s v="002"/>
    <x v="1"/>
    <s v="002017"/>
    <x v="12"/>
    <n v="6804.68"/>
    <n v="7304.84"/>
    <n v="7199.92"/>
    <n v="8064.65"/>
  </r>
  <r>
    <x v="4"/>
    <n v="2016"/>
    <s v="002"/>
    <x v="1"/>
    <s v="002018"/>
    <x v="12"/>
    <n v="2861.31"/>
    <n v="2567.9499999999998"/>
    <n v="2900"/>
    <n v="2688.0099999999998"/>
  </r>
  <r>
    <x v="4"/>
    <n v="2016"/>
    <s v="002"/>
    <x v="1"/>
    <s v="002020"/>
    <x v="13"/>
    <n v="2249.1"/>
    <n v="918"/>
    <n v="1036.8"/>
    <n v="444"/>
  </r>
  <r>
    <x v="4"/>
    <n v="2016"/>
    <s v="002"/>
    <x v="1"/>
    <s v="002023"/>
    <x v="15"/>
    <n v="105.48"/>
    <n v="36"/>
    <n v="105.12"/>
    <n v="54"/>
  </r>
  <r>
    <x v="4"/>
    <n v="2016"/>
    <s v="002"/>
    <x v="1"/>
    <s v="002025"/>
    <x v="14"/>
    <n v="236.52"/>
    <n v="102"/>
    <n v="249.66"/>
    <n v="132"/>
  </r>
  <r>
    <x v="4"/>
    <n v="2016"/>
    <s v="002"/>
    <x v="1"/>
    <s v="002026"/>
    <x v="17"/>
    <n v="98.88"/>
    <n v="48"/>
    <n v="49.08"/>
    <n v="24"/>
  </r>
  <r>
    <x v="4"/>
    <n v="2016"/>
    <s v="002"/>
    <x v="1"/>
    <s v="002027"/>
    <x v="18"/>
    <n v="1092"/>
    <n v="582"/>
    <n v="329.12"/>
    <n v="186"/>
  </r>
  <r>
    <x v="4"/>
    <n v="2016"/>
    <s v="002"/>
    <x v="1"/>
    <s v="002033"/>
    <x v="19"/>
    <n v="26.4"/>
    <n v="16"/>
    <m/>
    <m/>
  </r>
  <r>
    <x v="4"/>
    <n v="2016"/>
    <s v="002"/>
    <x v="1"/>
    <s v="002034"/>
    <x v="19"/>
    <n v="26.4"/>
    <n v="16"/>
    <m/>
    <m/>
  </r>
  <r>
    <x v="4"/>
    <n v="2016"/>
    <s v="002"/>
    <x v="1"/>
    <s v="002035"/>
    <x v="19"/>
    <n v="13.2"/>
    <n v="8"/>
    <m/>
    <m/>
  </r>
  <r>
    <x v="4"/>
    <n v="2016"/>
    <s v="002"/>
    <x v="1"/>
    <s v="002037"/>
    <x v="243"/>
    <n v="178.8"/>
    <n v="60"/>
    <n v="403.2"/>
    <n v="144"/>
  </r>
  <r>
    <x v="4"/>
    <n v="2016"/>
    <s v="002"/>
    <x v="1"/>
    <s v="002040"/>
    <x v="20"/>
    <n v="197.1"/>
    <n v="90"/>
    <n v="131.4"/>
    <n v="72"/>
  </r>
  <r>
    <x v="4"/>
    <n v="2016"/>
    <s v="002"/>
    <x v="1"/>
    <s v="002100"/>
    <x v="21"/>
    <n v="405.84"/>
    <n v="228"/>
    <n v="415.2"/>
    <n v="240"/>
  </r>
  <r>
    <x v="4"/>
    <n v="2016"/>
    <s v="002"/>
    <x v="1"/>
    <s v="002101"/>
    <x v="22"/>
    <n v="64.08"/>
    <n v="36"/>
    <n v="207.6"/>
    <n v="120"/>
  </r>
  <r>
    <x v="4"/>
    <n v="2016"/>
    <s v="002"/>
    <x v="1"/>
    <s v="002200"/>
    <x v="281"/>
    <n v="55.6"/>
    <n v="28"/>
    <n v="257.26"/>
    <n v="152"/>
  </r>
  <r>
    <x v="4"/>
    <n v="2016"/>
    <s v="002"/>
    <x v="1"/>
    <s v="002903"/>
    <x v="27"/>
    <n v="1057.5"/>
    <n v="1200.1500000000001"/>
    <n v="91.6"/>
    <n v="106.68"/>
  </r>
  <r>
    <x v="4"/>
    <n v="2016"/>
    <s v="002"/>
    <x v="1"/>
    <s v="002905"/>
    <x v="25"/>
    <n v="669.6"/>
    <n v="826.46"/>
    <n v="432"/>
    <n v="533.20000000000005"/>
  </r>
  <r>
    <x v="4"/>
    <n v="2016"/>
    <s v="007"/>
    <x v="2"/>
    <s v="007002"/>
    <x v="28"/>
    <n v="303.60000000000002"/>
    <n v="66"/>
    <n v="123"/>
    <n v="30"/>
  </r>
  <r>
    <x v="4"/>
    <n v="2016"/>
    <s v="007"/>
    <x v="2"/>
    <s v="007003"/>
    <x v="29"/>
    <n v="264"/>
    <n v="48"/>
    <n v="62.4"/>
    <n v="12"/>
  </r>
  <r>
    <x v="4"/>
    <n v="2016"/>
    <s v="007"/>
    <x v="2"/>
    <s v="007004"/>
    <x v="30"/>
    <n v="261"/>
    <n v="36"/>
    <n v="283.5"/>
    <n v="42"/>
  </r>
  <r>
    <x v="4"/>
    <n v="2016"/>
    <s v="007"/>
    <x v="2"/>
    <s v="007005"/>
    <x v="31"/>
    <n v="36.9"/>
    <n v="6"/>
    <n v="258.3"/>
    <n v="42"/>
  </r>
  <r>
    <x v="4"/>
    <n v="2016"/>
    <s v="007"/>
    <x v="2"/>
    <s v="007006"/>
    <x v="32"/>
    <n v="302.39999999999998"/>
    <n v="48"/>
    <n v="212.4"/>
    <n v="36"/>
  </r>
  <r>
    <x v="4"/>
    <n v="2016"/>
    <s v="007"/>
    <x v="2"/>
    <s v="007021"/>
    <x v="308"/>
    <n v="51.6"/>
    <n v="6"/>
    <m/>
    <m/>
  </r>
  <r>
    <x v="4"/>
    <n v="2016"/>
    <s v="011"/>
    <x v="4"/>
    <s v="011001"/>
    <x v="34"/>
    <n v="1556.1"/>
    <n v="390"/>
    <n v="3136.14"/>
    <n v="786"/>
  </r>
  <r>
    <x v="4"/>
    <n v="2016"/>
    <s v="011"/>
    <x v="4"/>
    <s v="011005"/>
    <x v="245"/>
    <n v="718.56"/>
    <n v="144"/>
    <n v="882"/>
    <n v="180"/>
  </r>
  <r>
    <x v="4"/>
    <n v="2016"/>
    <s v="019"/>
    <x v="5"/>
    <s v="019003"/>
    <x v="36"/>
    <n v="1851"/>
    <n v="828"/>
    <n v="5543.22"/>
    <n v="2514"/>
  </r>
  <r>
    <x v="4"/>
    <n v="2016"/>
    <s v="019"/>
    <x v="5"/>
    <s v="019004"/>
    <x v="36"/>
    <n v="17.52"/>
    <n v="6"/>
    <n v="63.94"/>
    <n v="24"/>
  </r>
  <r>
    <x v="4"/>
    <n v="2016"/>
    <s v="019"/>
    <x v="5"/>
    <s v="019008"/>
    <x v="37"/>
    <n v="297"/>
    <n v="199.95"/>
    <n v="424.6"/>
    <n v="293.26"/>
  </r>
  <r>
    <x v="4"/>
    <n v="2016"/>
    <s v="019"/>
    <x v="5"/>
    <s v="019009"/>
    <x v="37"/>
    <n v="358.4"/>
    <n v="220.10999999999999"/>
    <n v="462"/>
    <n v="286.81"/>
  </r>
  <r>
    <x v="4"/>
    <n v="2016"/>
    <s v="019"/>
    <x v="5"/>
    <s v="019011"/>
    <x v="38"/>
    <n v="81.599999999999994"/>
    <n v="30"/>
    <n v="243"/>
    <n v="90"/>
  </r>
  <r>
    <x v="4"/>
    <n v="2016"/>
    <s v="019"/>
    <x v="5"/>
    <s v="019015"/>
    <x v="39"/>
    <n v="85.1"/>
    <n v="42"/>
    <n v="94.5"/>
    <n v="42"/>
  </r>
  <r>
    <x v="4"/>
    <n v="2016"/>
    <s v="025"/>
    <x v="6"/>
    <s v="025001"/>
    <x v="40"/>
    <n v="774.06"/>
    <n v="114"/>
    <n v="814.8"/>
    <n v="120"/>
  </r>
  <r>
    <x v="4"/>
    <n v="2016"/>
    <s v="025"/>
    <x v="6"/>
    <s v="025003"/>
    <x v="246"/>
    <n v="413.1"/>
    <n v="54"/>
    <m/>
    <m/>
  </r>
  <r>
    <x v="4"/>
    <n v="2016"/>
    <s v="025"/>
    <x v="6"/>
    <s v="025010"/>
    <x v="41"/>
    <n v="266.39999999999998"/>
    <n v="48"/>
    <n v="299.7"/>
    <n v="54"/>
  </r>
  <r>
    <x v="4"/>
    <n v="2016"/>
    <s v="025"/>
    <x v="6"/>
    <s v="025013"/>
    <x v="42"/>
    <n v="174.6"/>
    <n v="36"/>
    <n v="232.8"/>
    <n v="48"/>
  </r>
  <r>
    <x v="4"/>
    <n v="2016"/>
    <s v="025"/>
    <x v="6"/>
    <s v="025015"/>
    <x v="43"/>
    <n v="160.86000000000001"/>
    <n v="42"/>
    <m/>
    <m/>
  </r>
  <r>
    <x v="4"/>
    <n v="2016"/>
    <s v="025"/>
    <x v="6"/>
    <s v="025016"/>
    <x v="247"/>
    <n v="29.16"/>
    <n v="12"/>
    <n v="145.80000000000001"/>
    <n v="60"/>
  </r>
  <r>
    <x v="4"/>
    <n v="2016"/>
    <s v="025"/>
    <x v="6"/>
    <s v="025021"/>
    <x v="44"/>
    <n v="642"/>
    <n v="60"/>
    <n v="1027.2"/>
    <n v="96"/>
  </r>
  <r>
    <x v="4"/>
    <n v="2016"/>
    <s v="025"/>
    <x v="6"/>
    <s v="025026"/>
    <x v="45"/>
    <n v="1203.8399999999999"/>
    <n v="396"/>
    <n v="5040.96"/>
    <n v="1854"/>
  </r>
  <r>
    <x v="4"/>
    <n v="2016"/>
    <s v="025"/>
    <x v="6"/>
    <s v="025031"/>
    <x v="46"/>
    <n v="399.6"/>
    <n v="72"/>
    <n v="300.77999999999997"/>
    <n v="54"/>
  </r>
  <r>
    <x v="4"/>
    <n v="2016"/>
    <s v="025"/>
    <x v="6"/>
    <s v="025033"/>
    <x v="47"/>
    <n v="298.08"/>
    <n v="72"/>
    <m/>
    <m/>
  </r>
  <r>
    <x v="4"/>
    <n v="2016"/>
    <s v="028"/>
    <x v="7"/>
    <s v="028001"/>
    <x v="48"/>
    <n v="819"/>
    <n v="252"/>
    <n v="526.5"/>
    <n v="162"/>
  </r>
  <r>
    <x v="4"/>
    <n v="2016"/>
    <s v="028"/>
    <x v="7"/>
    <s v="028005"/>
    <x v="49"/>
    <n v="33.6"/>
    <n v="12"/>
    <n v="168"/>
    <n v="60"/>
  </r>
  <r>
    <x v="4"/>
    <n v="2016"/>
    <s v="028"/>
    <x v="7"/>
    <s v="028006"/>
    <x v="248"/>
    <n v="48.6"/>
    <n v="12"/>
    <m/>
    <m/>
  </r>
  <r>
    <x v="4"/>
    <n v="2016"/>
    <s v="028"/>
    <x v="7"/>
    <s v="028007"/>
    <x v="50"/>
    <n v="729.6"/>
    <n v="426.56"/>
    <n v="90.4"/>
    <n v="53.32"/>
  </r>
  <r>
    <x v="4"/>
    <n v="2016"/>
    <s v="028"/>
    <x v="7"/>
    <s v="028008"/>
    <x v="51"/>
    <n v="580.5"/>
    <n v="280.14"/>
    <n v="266"/>
    <n v="133.4"/>
  </r>
  <r>
    <x v="4"/>
    <n v="2016"/>
    <s v="028"/>
    <x v="7"/>
    <s v="028013"/>
    <x v="52"/>
    <n v="292.02"/>
    <n v="66"/>
    <n v="53.4"/>
    <n v="12"/>
  </r>
  <r>
    <x v="4"/>
    <n v="2016"/>
    <s v="029"/>
    <x v="8"/>
    <s v="029002"/>
    <x v="53"/>
    <n v="14.76"/>
    <n v="6"/>
    <n v="117.6"/>
    <n v="48"/>
  </r>
  <r>
    <x v="4"/>
    <n v="2016"/>
    <s v="029"/>
    <x v="8"/>
    <s v="029005"/>
    <x v="284"/>
    <n v="373.68"/>
    <n v="216"/>
    <n v="61.38"/>
    <n v="36"/>
  </r>
  <r>
    <x v="4"/>
    <n v="2016"/>
    <s v="029"/>
    <x v="8"/>
    <s v="029015"/>
    <x v="55"/>
    <n v="14.4"/>
    <n v="6"/>
    <n v="186.42"/>
    <n v="78"/>
  </r>
  <r>
    <x v="4"/>
    <n v="2016"/>
    <s v="031"/>
    <x v="72"/>
    <s v="031012"/>
    <x v="335"/>
    <n v="874.8"/>
    <n v="180"/>
    <m/>
    <m/>
  </r>
  <r>
    <x v="4"/>
    <n v="2016"/>
    <s v="031"/>
    <x v="72"/>
    <s v="031013"/>
    <x v="335"/>
    <n v="204.48"/>
    <n v="36"/>
    <m/>
    <m/>
  </r>
  <r>
    <x v="4"/>
    <n v="2016"/>
    <s v="031"/>
    <x v="72"/>
    <s v="031024"/>
    <x v="336"/>
    <n v="155.52000000000001"/>
    <n v="36"/>
    <m/>
    <m/>
  </r>
  <r>
    <x v="4"/>
    <n v="2016"/>
    <s v="031"/>
    <x v="72"/>
    <s v="031025"/>
    <x v="337"/>
    <n v="631.79999999999995"/>
    <n v="180"/>
    <m/>
    <m/>
  </r>
  <r>
    <x v="4"/>
    <n v="2016"/>
    <s v="031"/>
    <x v="72"/>
    <s v="031037"/>
    <x v="338"/>
    <n v="756"/>
    <n v="90"/>
    <m/>
    <m/>
  </r>
  <r>
    <x v="4"/>
    <n v="2016"/>
    <s v="031"/>
    <x v="72"/>
    <s v="031038"/>
    <x v="338"/>
    <n v="221.28"/>
    <n v="24"/>
    <m/>
    <m/>
  </r>
  <r>
    <x v="4"/>
    <n v="2016"/>
    <s v="031"/>
    <x v="72"/>
    <s v="031078"/>
    <x v="339"/>
    <n v="140.4"/>
    <n v="30"/>
    <m/>
    <m/>
  </r>
  <r>
    <x v="4"/>
    <n v="2016"/>
    <s v="031"/>
    <x v="72"/>
    <s v="031079"/>
    <x v="339"/>
    <n v="66"/>
    <n v="12"/>
    <m/>
    <m/>
  </r>
  <r>
    <x v="4"/>
    <n v="2016"/>
    <s v="035"/>
    <x v="9"/>
    <s v="035001"/>
    <x v="56"/>
    <n v="2673.96"/>
    <n v="678"/>
    <n v="4680"/>
    <n v="1170"/>
  </r>
  <r>
    <x v="4"/>
    <n v="2016"/>
    <s v="035"/>
    <x v="9"/>
    <s v="035002"/>
    <x v="56"/>
    <n v="362.28"/>
    <n v="78"/>
    <n v="540"/>
    <n v="108"/>
  </r>
  <r>
    <x v="4"/>
    <n v="2016"/>
    <s v="035"/>
    <x v="9"/>
    <s v="035010"/>
    <x v="57"/>
    <n v="218.4"/>
    <n v="60"/>
    <n v="406.98"/>
    <n v="114"/>
  </r>
  <r>
    <x v="4"/>
    <n v="2016"/>
    <s v="036"/>
    <x v="10"/>
    <s v="036001"/>
    <x v="58"/>
    <n v="849.6"/>
    <n v="288"/>
    <n v="386.4"/>
    <n v="138"/>
  </r>
  <r>
    <x v="4"/>
    <n v="2016"/>
    <s v="036"/>
    <x v="10"/>
    <s v="036002"/>
    <x v="285"/>
    <n v="212.4"/>
    <n v="72"/>
    <m/>
    <m/>
  </r>
  <r>
    <x v="4"/>
    <n v="2016"/>
    <s v="036"/>
    <x v="10"/>
    <s v="036010"/>
    <x v="249"/>
    <n v="101.2"/>
    <n v="106.64"/>
    <m/>
    <m/>
  </r>
  <r>
    <x v="4"/>
    <n v="2016"/>
    <s v="036"/>
    <x v="10"/>
    <s v="036011"/>
    <x v="59"/>
    <n v="36.75"/>
    <n v="33.35"/>
    <n v="72"/>
    <n v="73.37"/>
  </r>
  <r>
    <x v="4"/>
    <n v="2016"/>
    <s v="037"/>
    <x v="11"/>
    <s v="037003"/>
    <x v="60"/>
    <n v="319.2"/>
    <n v="84"/>
    <n v="355.2"/>
    <n v="96"/>
  </r>
  <r>
    <x v="4"/>
    <n v="2016"/>
    <s v="037"/>
    <x v="11"/>
    <s v="037005"/>
    <x v="313"/>
    <n v="0"/>
    <n v="6"/>
    <m/>
    <m/>
  </r>
  <r>
    <x v="4"/>
    <n v="2016"/>
    <s v="037"/>
    <x v="11"/>
    <s v="037010"/>
    <x v="61"/>
    <n v="57"/>
    <n v="12"/>
    <n v="245.7"/>
    <n v="54"/>
  </r>
  <r>
    <x v="4"/>
    <n v="2016"/>
    <s v="039"/>
    <x v="12"/>
    <s v="039002"/>
    <x v="62"/>
    <n v="0"/>
    <n v="6.67"/>
    <n v="76.2"/>
    <n v="26.68"/>
  </r>
  <r>
    <x v="4"/>
    <n v="2016"/>
    <s v="039"/>
    <x v="12"/>
    <s v="039013"/>
    <x v="250"/>
    <n v="226.56"/>
    <n v="48"/>
    <n v="106.56"/>
    <n v="24"/>
  </r>
  <r>
    <x v="4"/>
    <n v="2016"/>
    <s v="039"/>
    <x v="12"/>
    <s v="039017"/>
    <x v="63"/>
    <n v="147"/>
    <n v="42"/>
    <n v="210"/>
    <n v="60"/>
  </r>
  <r>
    <x v="4"/>
    <n v="2016"/>
    <s v="039"/>
    <x v="12"/>
    <s v="039018"/>
    <x v="64"/>
    <n v="1016.82"/>
    <n v="438"/>
    <n v="689.52"/>
    <n v="312"/>
  </r>
  <r>
    <x v="4"/>
    <n v="2016"/>
    <s v="039"/>
    <x v="12"/>
    <s v="039028"/>
    <x v="65"/>
    <n v="358.32"/>
    <n v="72"/>
    <n v="679.68"/>
    <n v="144"/>
  </r>
  <r>
    <x v="4"/>
    <n v="2016"/>
    <s v="039"/>
    <x v="12"/>
    <s v="039030"/>
    <x v="66"/>
    <n v="90.72"/>
    <n v="30"/>
    <n v="108.3"/>
    <n v="30"/>
  </r>
  <r>
    <x v="4"/>
    <n v="2016"/>
    <s v="040"/>
    <x v="13"/>
    <s v="040004"/>
    <x v="340"/>
    <n v="102.6"/>
    <n v="18"/>
    <n v="342"/>
    <n v="60"/>
  </r>
  <r>
    <x v="4"/>
    <n v="2016"/>
    <s v="040"/>
    <x v="13"/>
    <s v="040006"/>
    <x v="67"/>
    <n v="1795.8"/>
    <n v="498"/>
    <n v="2224.8000000000002"/>
    <n v="630"/>
  </r>
  <r>
    <x v="4"/>
    <n v="2016"/>
    <s v="040"/>
    <x v="13"/>
    <s v="040007"/>
    <x v="68"/>
    <n v="662.4"/>
    <n v="320.15999999999997"/>
    <n v="762.7"/>
    <n v="393.53"/>
  </r>
  <r>
    <x v="4"/>
    <n v="2016"/>
    <s v="040"/>
    <x v="13"/>
    <s v="040008"/>
    <x v="68"/>
    <n v="211.6"/>
    <n v="93.31"/>
    <n v="277.2"/>
    <n v="146.63"/>
  </r>
  <r>
    <x v="4"/>
    <n v="2016"/>
    <s v="040"/>
    <x v="13"/>
    <s v="040009CB"/>
    <x v="251"/>
    <n v="46.8"/>
    <n v="6"/>
    <n v="30.78"/>
    <n v="6"/>
  </r>
  <r>
    <x v="4"/>
    <n v="2016"/>
    <s v="040"/>
    <x v="13"/>
    <s v="040011"/>
    <x v="69"/>
    <n v="54"/>
    <n v="12"/>
    <n v="81"/>
    <n v="18"/>
  </r>
  <r>
    <x v="4"/>
    <n v="2016"/>
    <s v="040"/>
    <x v="13"/>
    <s v="040012"/>
    <x v="69"/>
    <n v="48.9"/>
    <n v="12"/>
    <m/>
    <m/>
  </r>
  <r>
    <x v="4"/>
    <n v="2016"/>
    <s v="040"/>
    <x v="13"/>
    <s v="040015"/>
    <x v="70"/>
    <n v="367.2"/>
    <n v="72"/>
    <n v="178.2"/>
    <n v="36"/>
  </r>
  <r>
    <x v="4"/>
    <n v="2016"/>
    <s v="040"/>
    <x v="13"/>
    <s v="040017"/>
    <x v="286"/>
    <n v="98.4"/>
    <n v="12"/>
    <m/>
    <m/>
  </r>
  <r>
    <x v="4"/>
    <n v="2016"/>
    <s v="041"/>
    <x v="14"/>
    <s v="041001/10"/>
    <x v="71"/>
    <n v="344.4"/>
    <n v="24"/>
    <n v="168"/>
    <n v="12"/>
  </r>
  <r>
    <x v="4"/>
    <n v="2016"/>
    <s v="041"/>
    <x v="14"/>
    <s v="041001/12"/>
    <x v="71"/>
    <n v="159"/>
    <n v="12"/>
    <m/>
    <m/>
  </r>
  <r>
    <x v="4"/>
    <n v="2016"/>
    <s v="041"/>
    <x v="14"/>
    <s v="041016"/>
    <x v="73"/>
    <n v="705.6"/>
    <n v="84"/>
    <n v="180.6"/>
    <n v="42"/>
  </r>
  <r>
    <x v="4"/>
    <n v="2016"/>
    <s v="042"/>
    <x v="15"/>
    <s v="042100"/>
    <x v="74"/>
    <n v="613.79999999999995"/>
    <n v="82664.600000000006"/>
    <n v="576"/>
    <n v="79998.000000000015"/>
  </r>
  <r>
    <x v="4"/>
    <n v="2016"/>
    <s v="046"/>
    <x v="16"/>
    <s v="046001"/>
    <x v="75"/>
    <n v="108"/>
    <n v="24"/>
    <n v="639.6"/>
    <n v="162"/>
  </r>
  <r>
    <x v="4"/>
    <n v="2016"/>
    <s v="046"/>
    <x v="16"/>
    <s v="046010"/>
    <x v="76"/>
    <n v="331.2"/>
    <n v="48"/>
    <n v="537.6"/>
    <n v="84"/>
  </r>
  <r>
    <x v="4"/>
    <n v="2016"/>
    <s v="046"/>
    <x v="16"/>
    <s v="046015"/>
    <x v="77"/>
    <n v="216"/>
    <n v="54"/>
    <n v="252"/>
    <n v="66"/>
  </r>
  <r>
    <x v="4"/>
    <n v="2016"/>
    <s v="046"/>
    <x v="16"/>
    <s v="046020"/>
    <x v="78"/>
    <n v="135"/>
    <n v="18"/>
    <n v="1302"/>
    <n v="186"/>
  </r>
  <r>
    <x v="4"/>
    <n v="2016"/>
    <s v="046"/>
    <x v="16"/>
    <s v="046025"/>
    <x v="254"/>
    <n v="72"/>
    <n v="12"/>
    <n v="348"/>
    <n v="60"/>
  </r>
  <r>
    <x v="4"/>
    <n v="2016"/>
    <s v="048B"/>
    <x v="17"/>
    <s v="048003B"/>
    <x v="79"/>
    <n v="1310.4000000000001"/>
    <n v="234"/>
    <n v="957"/>
    <n v="174"/>
  </r>
  <r>
    <x v="4"/>
    <n v="2016"/>
    <s v="048B"/>
    <x v="17"/>
    <s v="048006B"/>
    <x v="287"/>
    <n v="72"/>
    <n v="12"/>
    <m/>
    <m/>
  </r>
  <r>
    <x v="4"/>
    <n v="2016"/>
    <s v="049"/>
    <x v="18"/>
    <s v="049007"/>
    <x v="80"/>
    <n v="140.69999999999999"/>
    <n v="48"/>
    <n v="712.8"/>
    <n v="216"/>
  </r>
  <r>
    <x v="4"/>
    <n v="2016"/>
    <s v="049"/>
    <x v="18"/>
    <s v="049014"/>
    <x v="255"/>
    <n v="27"/>
    <n v="12"/>
    <n v="108"/>
    <n v="54"/>
  </r>
  <r>
    <x v="4"/>
    <n v="2016"/>
    <s v="049"/>
    <x v="18"/>
    <s v="049015"/>
    <x v="81"/>
    <n v="469.8"/>
    <n v="162"/>
    <n v="735.3"/>
    <n v="258"/>
  </r>
  <r>
    <x v="4"/>
    <n v="2016"/>
    <s v="049"/>
    <x v="18"/>
    <s v="049016"/>
    <x v="81"/>
    <n v="66.599999999999994"/>
    <n v="18"/>
    <m/>
    <m/>
  </r>
  <r>
    <x v="4"/>
    <n v="2016"/>
    <s v="049"/>
    <x v="18"/>
    <s v="049020"/>
    <x v="82"/>
    <n v="715.5"/>
    <n v="318"/>
    <n v="933.3"/>
    <n v="426"/>
  </r>
  <r>
    <x v="4"/>
    <n v="2016"/>
    <s v="049"/>
    <x v="18"/>
    <s v="049023"/>
    <x v="82"/>
    <n v="19.8"/>
    <n v="0"/>
    <m/>
    <m/>
  </r>
  <r>
    <x v="4"/>
    <n v="2016"/>
    <s v="049"/>
    <x v="18"/>
    <s v="049027"/>
    <x v="80"/>
    <n v="0"/>
    <n v="0"/>
    <n v="81"/>
    <n v="24"/>
  </r>
  <r>
    <x v="4"/>
    <n v="2016"/>
    <s v="050"/>
    <x v="19"/>
    <s v="050001"/>
    <x v="83"/>
    <n v="1423.5"/>
    <n v="438"/>
    <n v="1939.2"/>
    <n v="606"/>
  </r>
  <r>
    <x v="4"/>
    <n v="2016"/>
    <s v="050"/>
    <x v="19"/>
    <s v="050003"/>
    <x v="84"/>
    <n v="175.5"/>
    <n v="54"/>
    <n v="153.6"/>
    <n v="60"/>
  </r>
  <r>
    <x v="4"/>
    <n v="2016"/>
    <s v="050"/>
    <x v="19"/>
    <s v="050005"/>
    <x v="85"/>
    <n v="79.2"/>
    <n v="18"/>
    <n v="158.4"/>
    <n v="36"/>
  </r>
  <r>
    <x v="4"/>
    <n v="2016"/>
    <s v="051"/>
    <x v="20"/>
    <s v="051000"/>
    <x v="86"/>
    <n v="3528"/>
    <n v="636"/>
    <n v="3152.1"/>
    <n v="564"/>
  </r>
  <r>
    <x v="4"/>
    <n v="2016"/>
    <s v="051"/>
    <x v="20"/>
    <s v="051002CB"/>
    <x v="288"/>
    <n v="-85.05"/>
    <n v="-9"/>
    <n v="139.94999999999999"/>
    <n v="15"/>
  </r>
  <r>
    <x v="4"/>
    <n v="2016"/>
    <s v="051"/>
    <x v="20"/>
    <s v="051010/11"/>
    <x v="87"/>
    <n v="5151.6000000000004"/>
    <n v="636"/>
    <m/>
    <m/>
  </r>
  <r>
    <x v="4"/>
    <n v="2016"/>
    <s v="051"/>
    <x v="20"/>
    <s v="051017"/>
    <x v="88"/>
    <n v="457.2"/>
    <n v="72"/>
    <n v="758.4"/>
    <n v="120"/>
  </r>
  <r>
    <x v="4"/>
    <n v="2016"/>
    <s v="051"/>
    <x v="20"/>
    <s v="051133"/>
    <x v="89"/>
    <n v="637.20000000000005"/>
    <n v="72"/>
    <n v="1900.8"/>
    <n v="216"/>
  </r>
  <r>
    <x v="4"/>
    <n v="2016"/>
    <s v="051"/>
    <x v="20"/>
    <s v="CDV051016"/>
    <x v="289"/>
    <n v="79.2"/>
    <n v="12"/>
    <m/>
    <m/>
  </r>
  <r>
    <x v="4"/>
    <n v="2016"/>
    <s v="052"/>
    <x v="21"/>
    <s v="052017"/>
    <x v="90"/>
    <n v="117.9"/>
    <n v="12"/>
    <n v="353.7"/>
    <n v="36"/>
  </r>
  <r>
    <x v="4"/>
    <n v="2016"/>
    <s v="052"/>
    <x v="21"/>
    <s v="052021"/>
    <x v="91"/>
    <n v="864"/>
    <n v="90"/>
    <n v="864"/>
    <n v="90"/>
  </r>
  <r>
    <x v="4"/>
    <n v="2016"/>
    <s v="052"/>
    <x v="21"/>
    <s v="052028"/>
    <x v="92"/>
    <n v="349.8"/>
    <n v="132"/>
    <n v="556.5"/>
    <n v="210"/>
  </r>
  <r>
    <x v="4"/>
    <n v="2016"/>
    <s v="052"/>
    <x v="21"/>
    <s v="052039"/>
    <x v="93"/>
    <n v="287.7"/>
    <n v="42"/>
    <n v="493.2"/>
    <n v="72"/>
  </r>
  <r>
    <x v="4"/>
    <n v="2016"/>
    <s v="052"/>
    <x v="21"/>
    <s v="052054"/>
    <x v="95"/>
    <n v="71.400000000000006"/>
    <n v="12"/>
    <m/>
    <m/>
  </r>
  <r>
    <x v="4"/>
    <n v="2016"/>
    <s v="052"/>
    <x v="21"/>
    <s v="052055"/>
    <x v="96"/>
    <n v="246.6"/>
    <n v="36"/>
    <n v="82.2"/>
    <n v="12"/>
  </r>
  <r>
    <x v="4"/>
    <n v="2016"/>
    <s v="054"/>
    <x v="22"/>
    <s v="054002"/>
    <x v="97"/>
    <n v="240"/>
    <n v="48"/>
    <n v="1180.8"/>
    <n v="252"/>
  </r>
  <r>
    <x v="4"/>
    <n v="2016"/>
    <s v="054"/>
    <x v="22"/>
    <s v="054005"/>
    <x v="98"/>
    <n v="883.5"/>
    <n v="120"/>
    <n v="2425.5"/>
    <n v="336"/>
  </r>
  <r>
    <x v="4"/>
    <n v="2016"/>
    <s v="054"/>
    <x v="22"/>
    <s v="054011"/>
    <x v="99"/>
    <n v="801"/>
    <n v="90"/>
    <n v="877.8"/>
    <n v="114"/>
  </r>
  <r>
    <x v="4"/>
    <n v="2016"/>
    <s v="059"/>
    <x v="23"/>
    <s v="059002"/>
    <x v="100"/>
    <n v="403.2"/>
    <n v="96"/>
    <n v="604.79999999999995"/>
    <n v="144"/>
  </r>
  <r>
    <x v="4"/>
    <n v="2016"/>
    <s v="059"/>
    <x v="23"/>
    <s v="059004"/>
    <x v="101"/>
    <n v="86.4"/>
    <n v="30"/>
    <n v="232.2"/>
    <n v="66"/>
  </r>
  <r>
    <x v="4"/>
    <n v="2016"/>
    <s v="059"/>
    <x v="23"/>
    <s v="059005"/>
    <x v="101"/>
    <n v="43.2"/>
    <n v="12"/>
    <m/>
    <m/>
  </r>
  <r>
    <x v="4"/>
    <n v="2016"/>
    <s v="059"/>
    <x v="23"/>
    <s v="059006"/>
    <x v="102"/>
    <n v="198"/>
    <n v="36"/>
    <n v="33"/>
    <n v="6"/>
  </r>
  <r>
    <x v="4"/>
    <n v="2016"/>
    <s v="059"/>
    <x v="23"/>
    <s v="059008"/>
    <x v="102"/>
    <n v="132"/>
    <n v="30"/>
    <n v="66"/>
    <n v="12"/>
  </r>
  <r>
    <x v="4"/>
    <n v="2016"/>
    <s v="059"/>
    <x v="23"/>
    <s v="059010"/>
    <x v="102"/>
    <n v="198"/>
    <n v="36"/>
    <n v="264"/>
    <n v="48"/>
  </r>
  <r>
    <x v="4"/>
    <n v="2016"/>
    <s v="059"/>
    <x v="23"/>
    <s v="059019"/>
    <x v="103"/>
    <n v="127.8"/>
    <n v="36"/>
    <n v="191.7"/>
    <n v="54"/>
  </r>
  <r>
    <x v="4"/>
    <n v="2016"/>
    <s v="059"/>
    <x v="23"/>
    <s v="059020"/>
    <x v="104"/>
    <n v="4082.4"/>
    <n v="1134"/>
    <n v="6385.2"/>
    <n v="1854"/>
  </r>
  <r>
    <x v="4"/>
    <n v="2016"/>
    <s v="059"/>
    <x v="23"/>
    <s v="059021"/>
    <x v="105"/>
    <n v="1117.5"/>
    <n v="493.58"/>
    <n v="1877.4"/>
    <n v="847.09"/>
  </r>
  <r>
    <x v="4"/>
    <n v="2016"/>
    <s v="059"/>
    <x v="23"/>
    <s v="059024"/>
    <x v="107"/>
    <n v="72"/>
    <n v="24"/>
    <n v="323.39999999999998"/>
    <n v="108"/>
  </r>
  <r>
    <x v="4"/>
    <n v="2016"/>
    <s v="059"/>
    <x v="23"/>
    <s v="059025"/>
    <x v="106"/>
    <n v="4819.5"/>
    <n v="2142"/>
    <n v="9413.1"/>
    <n v="4494"/>
  </r>
  <r>
    <x v="4"/>
    <n v="2016"/>
    <s v="059"/>
    <x v="23"/>
    <s v="059026"/>
    <x v="107"/>
    <n v="2336.4"/>
    <n v="1594.1299999999999"/>
    <n v="3455.1"/>
    <n v="2361.1799999999998"/>
  </r>
  <r>
    <x v="4"/>
    <n v="2016"/>
    <s v="059"/>
    <x v="23"/>
    <s v="059027"/>
    <x v="259"/>
    <n v="253.5"/>
    <n v="199.95"/>
    <n v="152.1"/>
    <n v="133.30000000000001"/>
  </r>
  <r>
    <x v="4"/>
    <n v="2016"/>
    <s v="059"/>
    <x v="23"/>
    <s v="059101"/>
    <x v="290"/>
    <n v="32.4"/>
    <n v="18"/>
    <n v="118.8"/>
    <n v="72"/>
  </r>
  <r>
    <x v="4"/>
    <n v="2016"/>
    <s v="059"/>
    <x v="23"/>
    <s v="059104"/>
    <x v="291"/>
    <n v="66.599999999999994"/>
    <n v="18"/>
    <n v="310.8"/>
    <n v="90"/>
  </r>
  <r>
    <x v="4"/>
    <n v="2016"/>
    <s v="060"/>
    <x v="24"/>
    <s v="060015"/>
    <x v="109"/>
    <n v="1144.44"/>
    <n v="306"/>
    <n v="864"/>
    <n v="246"/>
  </r>
  <r>
    <x v="4"/>
    <n v="2016"/>
    <s v="060"/>
    <x v="24"/>
    <s v="060016"/>
    <x v="109"/>
    <n v="28.44"/>
    <n v="6"/>
    <n v="133.19999999999999"/>
    <n v="30"/>
  </r>
  <r>
    <x v="4"/>
    <n v="2016"/>
    <s v="062"/>
    <x v="25"/>
    <s v="062003"/>
    <x v="110"/>
    <n v="501.6"/>
    <n v="126"/>
    <n v="722.4"/>
    <n v="168"/>
  </r>
  <r>
    <x v="4"/>
    <n v="2016"/>
    <s v="062"/>
    <x v="25"/>
    <s v="062021"/>
    <x v="110"/>
    <n v="345.6"/>
    <n v="126"/>
    <n v="109.8"/>
    <n v="36"/>
  </r>
  <r>
    <x v="4"/>
    <n v="2016"/>
    <s v="062"/>
    <x v="25"/>
    <s v="062022"/>
    <x v="110"/>
    <n v="45.6"/>
    <n v="12"/>
    <n v="45.6"/>
    <n v="12"/>
  </r>
  <r>
    <x v="4"/>
    <n v="2016"/>
    <s v="062"/>
    <x v="25"/>
    <s v="062030"/>
    <x v="111"/>
    <n v="57.6"/>
    <n v="96"/>
    <m/>
    <m/>
  </r>
  <r>
    <x v="4"/>
    <n v="2016"/>
    <s v="062"/>
    <x v="25"/>
    <s v="062031"/>
    <x v="341"/>
    <n v="124.2"/>
    <n v="18"/>
    <m/>
    <m/>
  </r>
  <r>
    <x v="4"/>
    <n v="2016"/>
    <s v="074"/>
    <x v="26"/>
    <s v="074012"/>
    <x v="113"/>
    <n v="547.20000000000005"/>
    <n v="72"/>
    <n v="1140"/>
    <n v="150"/>
  </r>
  <r>
    <x v="4"/>
    <n v="2016"/>
    <s v="074"/>
    <x v="26"/>
    <s v="074013"/>
    <x v="114"/>
    <n v="2064.6"/>
    <n v="444"/>
    <n v="966"/>
    <n v="210"/>
  </r>
  <r>
    <x v="4"/>
    <n v="2016"/>
    <s v="074"/>
    <x v="26"/>
    <s v="074029"/>
    <x v="342"/>
    <n v="46.2"/>
    <n v="6"/>
    <n v="184.8"/>
    <n v="24"/>
  </r>
  <r>
    <x v="4"/>
    <n v="2016"/>
    <s v="075"/>
    <x v="27"/>
    <s v="075002"/>
    <x v="115"/>
    <n v="1120.5"/>
    <n v="270"/>
    <n v="2074.3200000000002"/>
    <n v="516"/>
  </r>
  <r>
    <x v="4"/>
    <n v="2016"/>
    <s v="075"/>
    <x v="27"/>
    <s v="075004"/>
    <x v="115"/>
    <n v="57.18"/>
    <n v="12"/>
    <n v="165.6"/>
    <n v="36"/>
  </r>
  <r>
    <x v="4"/>
    <n v="2016"/>
    <s v="075"/>
    <x v="27"/>
    <s v="075011"/>
    <x v="317"/>
    <n v="167.4"/>
    <n v="24"/>
    <m/>
    <m/>
  </r>
  <r>
    <x v="4"/>
    <n v="2016"/>
    <s v="075"/>
    <x v="27"/>
    <s v="075013"/>
    <x v="116"/>
    <n v="466.2"/>
    <n v="84"/>
    <n v="561.6"/>
    <n v="114"/>
  </r>
  <r>
    <x v="4"/>
    <n v="2016"/>
    <s v="075"/>
    <x v="27"/>
    <s v="CDV075005"/>
    <x v="261"/>
    <n v="90"/>
    <n v="12"/>
    <m/>
    <m/>
  </r>
  <r>
    <x v="4"/>
    <n v="2016"/>
    <s v="080"/>
    <x v="28"/>
    <s v="080010"/>
    <x v="118"/>
    <n v="38.700000000000003"/>
    <n v="6"/>
    <n v="378"/>
    <n v="60"/>
  </r>
  <r>
    <x v="4"/>
    <n v="2016"/>
    <s v="080"/>
    <x v="28"/>
    <s v="080011"/>
    <x v="118"/>
    <n v="187.2"/>
    <n v="24"/>
    <n v="46.2"/>
    <n v="6"/>
  </r>
  <r>
    <x v="4"/>
    <n v="2016"/>
    <s v="080"/>
    <x v="28"/>
    <s v="080015"/>
    <x v="118"/>
    <n v="120.6"/>
    <n v="18"/>
    <n v="237.6"/>
    <n v="36"/>
  </r>
  <r>
    <x v="4"/>
    <n v="2016"/>
    <s v="080"/>
    <x v="28"/>
    <s v="080016"/>
    <x v="118"/>
    <n v="46.8"/>
    <n v="6"/>
    <n v="231"/>
    <n v="30"/>
  </r>
  <r>
    <x v="4"/>
    <n v="2016"/>
    <s v="083"/>
    <x v="29"/>
    <s v="083003"/>
    <x v="119"/>
    <n v="632.1"/>
    <n v="294"/>
    <n v="302.39999999999998"/>
    <n v="144"/>
  </r>
  <r>
    <x v="4"/>
    <n v="2016"/>
    <s v="084"/>
    <x v="30"/>
    <s v="084001"/>
    <x v="120"/>
    <n v="885.5"/>
    <n v="613.17999999999995"/>
    <n v="1159"/>
    <n v="813.13"/>
  </r>
  <r>
    <x v="4"/>
    <n v="2016"/>
    <s v="084"/>
    <x v="30"/>
    <s v="084002"/>
    <x v="120"/>
    <n v="1937.6"/>
    <n v="1167.25"/>
    <n v="1760"/>
    <n v="1067.2"/>
  </r>
  <r>
    <x v="4"/>
    <n v="2016"/>
    <s v="084"/>
    <x v="30"/>
    <s v="084004"/>
    <x v="121"/>
    <n v="378"/>
    <n v="180"/>
    <n v="873.3"/>
    <n v="426"/>
  </r>
  <r>
    <x v="4"/>
    <n v="2016"/>
    <s v="084"/>
    <x v="30"/>
    <s v="084006"/>
    <x v="122"/>
    <n v="2359.5"/>
    <n v="870"/>
    <n v="2122.1999999999998"/>
    <n v="792"/>
  </r>
  <r>
    <x v="4"/>
    <n v="2016"/>
    <s v="084"/>
    <x v="30"/>
    <s v="084007"/>
    <x v="123"/>
    <n v="828"/>
    <n v="186"/>
    <n v="1026"/>
    <n v="228"/>
  </r>
  <r>
    <x v="4"/>
    <n v="2016"/>
    <s v="084"/>
    <x v="30"/>
    <s v="084008"/>
    <x v="124"/>
    <n v="143.52000000000001"/>
    <n v="24"/>
    <n v="140.4"/>
    <n v="24"/>
  </r>
  <r>
    <x v="4"/>
    <n v="2016"/>
    <s v="084"/>
    <x v="30"/>
    <s v="084015"/>
    <x v="263"/>
    <n v="387"/>
    <n v="36"/>
    <n v="441"/>
    <n v="42"/>
  </r>
  <r>
    <x v="4"/>
    <n v="2016"/>
    <s v="084"/>
    <x v="30"/>
    <s v="084041"/>
    <x v="343"/>
    <n v="0"/>
    <n v="6"/>
    <m/>
    <m/>
  </r>
  <r>
    <x v="4"/>
    <n v="2016"/>
    <s v="086B"/>
    <x v="31"/>
    <s v="086011P"/>
    <x v="126"/>
    <n v="197.67"/>
    <n v="146.63"/>
    <n v="822.71"/>
    <n v="653.16999999999996"/>
  </r>
  <r>
    <x v="4"/>
    <n v="2016"/>
    <s v="086B"/>
    <x v="31"/>
    <s v="086012P"/>
    <x v="126"/>
    <n v="49.55"/>
    <n v="26.68"/>
    <n v="453.74"/>
    <n v="333.5"/>
  </r>
  <r>
    <x v="4"/>
    <n v="2016"/>
    <s v="089"/>
    <x v="33"/>
    <s v="089002"/>
    <x v="128"/>
    <n v="109.5"/>
    <n v="36"/>
    <n v="21.3"/>
    <n v="6"/>
  </r>
  <r>
    <x v="4"/>
    <n v="2016"/>
    <s v="089"/>
    <x v="33"/>
    <s v="089010"/>
    <x v="129"/>
    <n v="44.4"/>
    <n v="12"/>
    <m/>
    <m/>
  </r>
  <r>
    <x v="4"/>
    <n v="2016"/>
    <s v="089"/>
    <x v="33"/>
    <s v="089800"/>
    <x v="130"/>
    <n v="522.9"/>
    <n v="126"/>
    <m/>
    <m/>
  </r>
  <r>
    <x v="4"/>
    <n v="2016"/>
    <s v="089"/>
    <x v="33"/>
    <s v="089900"/>
    <x v="131"/>
    <n v="658.75"/>
    <n v="413.23"/>
    <n v="243"/>
    <n v="173.29"/>
  </r>
  <r>
    <x v="4"/>
    <n v="2016"/>
    <s v="089"/>
    <x v="33"/>
    <s v="089901"/>
    <x v="132"/>
    <n v="910.8"/>
    <n v="460.23"/>
    <n v="439.2"/>
    <n v="240.12"/>
  </r>
  <r>
    <x v="4"/>
    <n v="2016"/>
    <s v="089"/>
    <x v="33"/>
    <s v="089903"/>
    <x v="133"/>
    <n v="418.2"/>
    <n v="102"/>
    <n v="826.2"/>
    <n v="204"/>
  </r>
  <r>
    <x v="4"/>
    <n v="2016"/>
    <s v="094"/>
    <x v="35"/>
    <s v="094001"/>
    <x v="135"/>
    <n v="811.2"/>
    <n v="156"/>
    <n v="1528.8"/>
    <n v="294"/>
  </r>
  <r>
    <x v="4"/>
    <n v="2016"/>
    <s v="095"/>
    <x v="36"/>
    <s v="095001"/>
    <x v="138"/>
    <n v="1709.4"/>
    <n v="462"/>
    <n v="2708.4"/>
    <n v="738"/>
  </r>
  <r>
    <x v="4"/>
    <n v="2016"/>
    <s v="095"/>
    <x v="36"/>
    <s v="095002"/>
    <x v="138"/>
    <n v="-26.4"/>
    <n v="-6"/>
    <m/>
    <m/>
  </r>
  <r>
    <x v="4"/>
    <n v="2016"/>
    <s v="095"/>
    <x v="36"/>
    <s v="095004"/>
    <x v="344"/>
    <n v="0"/>
    <n v="24"/>
    <m/>
    <m/>
  </r>
  <r>
    <x v="4"/>
    <n v="2016"/>
    <s v="095"/>
    <x v="36"/>
    <s v="095005"/>
    <x v="139"/>
    <n v="140.4"/>
    <n v="36"/>
    <m/>
    <m/>
  </r>
  <r>
    <x v="4"/>
    <n v="2016"/>
    <s v="095"/>
    <x v="36"/>
    <s v="095010"/>
    <x v="140"/>
    <n v="4290.3"/>
    <n v="948"/>
    <n v="1116"/>
    <n v="246"/>
  </r>
  <r>
    <x v="4"/>
    <n v="2016"/>
    <s v="095"/>
    <x v="36"/>
    <s v="095012"/>
    <x v="141"/>
    <n v="260.39999999999998"/>
    <n v="42"/>
    <m/>
    <m/>
  </r>
  <r>
    <x v="4"/>
    <n v="2016"/>
    <s v="095"/>
    <x v="36"/>
    <s v="095014"/>
    <x v="266"/>
    <n v="489.6"/>
    <n v="72"/>
    <n v="163.19999999999999"/>
    <n v="24"/>
  </r>
  <r>
    <x v="4"/>
    <n v="2016"/>
    <s v="095"/>
    <x v="36"/>
    <s v="095015"/>
    <x v="266"/>
    <n v="42"/>
    <n v="6"/>
    <n v="252"/>
    <n v="36"/>
  </r>
  <r>
    <x v="4"/>
    <n v="2016"/>
    <s v="095"/>
    <x v="36"/>
    <s v="095017"/>
    <x v="143"/>
    <n v="780"/>
    <n v="159.96"/>
    <m/>
    <m/>
  </r>
  <r>
    <x v="4"/>
    <n v="2016"/>
    <s v="097"/>
    <x v="38"/>
    <s v="097003"/>
    <x v="146"/>
    <n v="99"/>
    <n v="36"/>
    <n v="390"/>
    <n v="150"/>
  </r>
  <r>
    <x v="4"/>
    <n v="2016"/>
    <s v="097"/>
    <x v="38"/>
    <s v="097004"/>
    <x v="147"/>
    <n v="289.8"/>
    <n v="138"/>
    <n v="1635.9"/>
    <n v="798"/>
  </r>
  <r>
    <x v="4"/>
    <n v="2016"/>
    <s v="099"/>
    <x v="39"/>
    <s v="099001"/>
    <x v="148"/>
    <n v="1545.48"/>
    <n v="978"/>
    <n v="1384.98"/>
    <n v="894"/>
  </r>
  <r>
    <x v="4"/>
    <n v="2016"/>
    <s v="099"/>
    <x v="39"/>
    <s v="099002"/>
    <x v="148"/>
    <n v="11223.8"/>
    <n v="8010"/>
    <n v="2436.2399999999998"/>
    <n v="1464"/>
  </r>
  <r>
    <x v="4"/>
    <n v="2016"/>
    <s v="099"/>
    <x v="39"/>
    <s v="099003"/>
    <x v="148"/>
    <n v="331.08"/>
    <n v="186"/>
    <n v="493.44"/>
    <n v="294"/>
  </r>
  <r>
    <x v="4"/>
    <n v="2016"/>
    <s v="099"/>
    <x v="39"/>
    <s v="099013"/>
    <x v="149"/>
    <n v="50.58"/>
    <n v="18"/>
    <n v="134.88"/>
    <n v="48"/>
  </r>
  <r>
    <x v="4"/>
    <n v="2016"/>
    <s v="099"/>
    <x v="39"/>
    <s v="099016"/>
    <x v="150"/>
    <n v="192.72"/>
    <n v="66"/>
    <n v="51.3"/>
    <n v="24"/>
  </r>
  <r>
    <x v="4"/>
    <n v="2016"/>
    <s v="099"/>
    <x v="39"/>
    <s v="099023"/>
    <x v="345"/>
    <n v="53.76"/>
    <n v="18"/>
    <m/>
    <m/>
  </r>
  <r>
    <x v="4"/>
    <n v="2016"/>
    <s v="110"/>
    <x v="40"/>
    <s v="110500"/>
    <x v="151"/>
    <n v="224.4"/>
    <n v="159.96"/>
    <n v="345.8"/>
    <n v="253.27"/>
  </r>
  <r>
    <x v="4"/>
    <n v="2016"/>
    <s v="110"/>
    <x v="40"/>
    <s v="110501"/>
    <x v="151"/>
    <n v="278.75"/>
    <n v="160.07999999999998"/>
    <n v="365.5"/>
    <n v="233.45"/>
  </r>
  <r>
    <x v="4"/>
    <n v="2016"/>
    <s v="110"/>
    <x v="40"/>
    <s v="110505"/>
    <x v="151"/>
    <n v="14.4"/>
    <n v="6"/>
    <m/>
    <m/>
  </r>
  <r>
    <x v="4"/>
    <n v="2016"/>
    <s v="110"/>
    <x v="40"/>
    <s v="110600"/>
    <x v="152"/>
    <n v="113.4"/>
    <n v="36"/>
    <n v="91.5"/>
    <n v="30"/>
  </r>
  <r>
    <x v="4"/>
    <n v="2016"/>
    <s v="113"/>
    <x v="41"/>
    <s v="113001"/>
    <x v="153"/>
    <n v="1368"/>
    <n v="240"/>
    <n v="1815"/>
    <n v="330"/>
  </r>
  <r>
    <x v="4"/>
    <n v="2016"/>
    <s v="113"/>
    <x v="41"/>
    <s v="113002"/>
    <x v="153"/>
    <n v="75.599999999999994"/>
    <n v="12"/>
    <n v="36.6"/>
    <n v="6"/>
  </r>
  <r>
    <x v="4"/>
    <n v="2016"/>
    <s v="113"/>
    <x v="41"/>
    <s v="113005"/>
    <x v="153"/>
    <n v="720"/>
    <n v="120"/>
    <n v="1138.5"/>
    <n v="198"/>
  </r>
  <r>
    <x v="4"/>
    <n v="2016"/>
    <s v="113"/>
    <x v="41"/>
    <s v="113006"/>
    <x v="153"/>
    <n v="79.2"/>
    <n v="12"/>
    <n v="345.6"/>
    <n v="54"/>
  </r>
  <r>
    <x v="4"/>
    <n v="2016"/>
    <s v="115"/>
    <x v="43"/>
    <s v="115005"/>
    <x v="159"/>
    <n v="603"/>
    <n v="90"/>
    <n v="1420.8"/>
    <n v="222"/>
  </r>
  <r>
    <x v="4"/>
    <n v="2016"/>
    <s v="115"/>
    <x v="43"/>
    <s v="115011"/>
    <x v="161"/>
    <n v="42.5"/>
    <n v="26.68"/>
    <n v="160"/>
    <n v="133.4"/>
  </r>
  <r>
    <x v="4"/>
    <n v="2016"/>
    <s v="116"/>
    <x v="44"/>
    <s v="116001"/>
    <x v="162"/>
    <n v="1076.4000000000001"/>
    <n v="234"/>
    <n v="1856.4"/>
    <n v="408"/>
  </r>
  <r>
    <x v="4"/>
    <n v="2016"/>
    <s v="116"/>
    <x v="44"/>
    <s v="CDV116006"/>
    <x v="268"/>
    <n v="33"/>
    <n v="6"/>
    <m/>
    <m/>
  </r>
  <r>
    <x v="4"/>
    <n v="2016"/>
    <s v="119"/>
    <x v="69"/>
    <s v="119002"/>
    <x v="270"/>
    <n v="216"/>
    <n v="60"/>
    <m/>
    <m/>
  </r>
  <r>
    <x v="4"/>
    <n v="2016"/>
    <s v="119"/>
    <x v="69"/>
    <s v="119003"/>
    <x v="271"/>
    <n v="499.2"/>
    <n v="96"/>
    <m/>
    <m/>
  </r>
  <r>
    <x v="4"/>
    <n v="2016"/>
    <s v="124"/>
    <x v="46"/>
    <s v="124001"/>
    <x v="175"/>
    <n v="567"/>
    <n v="126"/>
    <n v="-184.8"/>
    <n v="-42"/>
  </r>
  <r>
    <x v="4"/>
    <n v="2016"/>
    <s v="124"/>
    <x v="46"/>
    <s v="124002"/>
    <x v="176"/>
    <n v="554.4"/>
    <n v="168"/>
    <n v="1017.6"/>
    <n v="318"/>
  </r>
  <r>
    <x v="4"/>
    <n v="2016"/>
    <s v="124"/>
    <x v="46"/>
    <s v="124010"/>
    <x v="178"/>
    <n v="226.8"/>
    <n v="36"/>
    <n v="483.6"/>
    <n v="78"/>
  </r>
  <r>
    <x v="4"/>
    <n v="2016"/>
    <s v="137"/>
    <x v="48"/>
    <s v="137001"/>
    <x v="182"/>
    <n v="1713.6"/>
    <n v="612"/>
    <n v="1272"/>
    <n v="480"/>
  </r>
  <r>
    <x v="4"/>
    <n v="2016"/>
    <s v="137"/>
    <x v="48"/>
    <s v="137003"/>
    <x v="183"/>
    <n v="415.8"/>
    <n v="84"/>
    <n v="57.6"/>
    <n v="12"/>
  </r>
  <r>
    <x v="4"/>
    <n v="2016"/>
    <s v="140"/>
    <x v="49"/>
    <s v="140001"/>
    <x v="184"/>
    <n v="851.4"/>
    <n v="198"/>
    <n v="352.8"/>
    <n v="84"/>
  </r>
  <r>
    <x v="4"/>
    <n v="2016"/>
    <s v="143"/>
    <x v="50"/>
    <s v="143001"/>
    <x v="185"/>
    <n v="24"/>
    <n v="6"/>
    <m/>
    <m/>
  </r>
  <r>
    <x v="4"/>
    <n v="2016"/>
    <s v="152"/>
    <x v="51"/>
    <s v="152001"/>
    <x v="186"/>
    <n v="881.4"/>
    <n v="162"/>
    <n v="366.3"/>
    <n v="66"/>
  </r>
  <r>
    <x v="4"/>
    <n v="2016"/>
    <s v="153"/>
    <x v="52"/>
    <s v="153001"/>
    <x v="298"/>
    <n v="139.19999999999999"/>
    <n v="24"/>
    <n v="1491.6"/>
    <n v="264"/>
  </r>
  <r>
    <x v="4"/>
    <n v="2016"/>
    <s v="153"/>
    <x v="52"/>
    <s v="153005"/>
    <x v="188"/>
    <n v="64.8"/>
    <n v="6"/>
    <n v="248.4"/>
    <n v="24"/>
  </r>
  <r>
    <x v="4"/>
    <n v="2016"/>
    <s v="157"/>
    <x v="53"/>
    <s v="157001"/>
    <x v="191"/>
    <n v="219.6"/>
    <n v="72"/>
    <n v="371.7"/>
    <n v="126"/>
  </r>
  <r>
    <x v="4"/>
    <n v="2016"/>
    <s v="162"/>
    <x v="54"/>
    <s v="162001"/>
    <x v="193"/>
    <n v="835.2"/>
    <n v="288"/>
    <n v="1663.2"/>
    <n v="594"/>
  </r>
  <r>
    <x v="4"/>
    <n v="2016"/>
    <s v="162"/>
    <x v="54"/>
    <s v="162002"/>
    <x v="194"/>
    <n v="309.60000000000002"/>
    <n v="72"/>
    <n v="288"/>
    <n v="72"/>
  </r>
  <r>
    <x v="4"/>
    <n v="2016"/>
    <s v="162"/>
    <x v="54"/>
    <s v="162003"/>
    <x v="272"/>
    <n v="17.399999999999999"/>
    <n v="0"/>
    <n v="84"/>
    <n v="30"/>
  </r>
  <r>
    <x v="4"/>
    <n v="2016"/>
    <s v="162"/>
    <x v="54"/>
    <s v="CDV162004"/>
    <x v="273"/>
    <n v="30"/>
    <n v="12"/>
    <m/>
    <m/>
  </r>
  <r>
    <x v="4"/>
    <n v="2016"/>
    <s v="164"/>
    <x v="56"/>
    <s v="164002"/>
    <x v="196"/>
    <n v="475.2"/>
    <n v="72"/>
    <m/>
    <m/>
  </r>
  <r>
    <x v="4"/>
    <n v="2016"/>
    <s v="164"/>
    <x v="56"/>
    <s v="164005/12"/>
    <x v="198"/>
    <n v="54"/>
    <n v="12"/>
    <m/>
    <m/>
  </r>
  <r>
    <x v="4"/>
    <n v="2016"/>
    <s v="164"/>
    <x v="56"/>
    <s v="164010"/>
    <x v="274"/>
    <n v="342"/>
    <n v="113.39"/>
    <m/>
    <m/>
  </r>
  <r>
    <x v="4"/>
    <n v="2016"/>
    <s v="164"/>
    <x v="56"/>
    <s v="CDV164011"/>
    <x v="199"/>
    <n v="53.1"/>
    <n v="6"/>
    <m/>
    <m/>
  </r>
  <r>
    <x v="4"/>
    <n v="2016"/>
    <s v="168"/>
    <x v="57"/>
    <s v="168001"/>
    <x v="200"/>
    <n v="615"/>
    <n v="150"/>
    <n v="1392"/>
    <n v="348"/>
  </r>
  <r>
    <x v="4"/>
    <n v="2016"/>
    <s v="168"/>
    <x v="57"/>
    <s v="168002"/>
    <x v="275"/>
    <n v="207"/>
    <n v="60"/>
    <n v="160.80000000000001"/>
    <n v="48"/>
  </r>
  <r>
    <x v="4"/>
    <n v="2016"/>
    <s v="169"/>
    <x v="58"/>
    <s v="169001"/>
    <x v="202"/>
    <n v="1233.0999999999999"/>
    <n v="418"/>
    <n v="469.8"/>
    <n v="162"/>
  </r>
  <r>
    <x v="4"/>
    <n v="2016"/>
    <s v="169"/>
    <x v="58"/>
    <s v="169002"/>
    <x v="203"/>
    <n v="1348.62"/>
    <n v="552"/>
    <n v="842.16"/>
    <n v="348"/>
  </r>
  <r>
    <x v="4"/>
    <n v="2016"/>
    <s v="169"/>
    <x v="58"/>
    <s v="169005CB"/>
    <x v="276"/>
    <n v="103.2"/>
    <n v="24"/>
    <m/>
    <m/>
  </r>
  <r>
    <x v="4"/>
    <n v="2016"/>
    <s v="169"/>
    <x v="58"/>
    <s v="169009"/>
    <x v="204"/>
    <n v="740"/>
    <n v="533.20000000000005"/>
    <n v="906.5"/>
    <n v="653.16999999999996"/>
  </r>
  <r>
    <x v="4"/>
    <n v="2016"/>
    <s v="169"/>
    <x v="58"/>
    <s v="169010"/>
    <x v="204"/>
    <n v="493.5"/>
    <n v="306.82"/>
    <n v="189"/>
    <n v="126.73"/>
  </r>
  <r>
    <x v="4"/>
    <n v="2016"/>
    <s v="169"/>
    <x v="58"/>
    <s v="169011"/>
    <x v="302"/>
    <n v="215"/>
    <n v="96"/>
    <m/>
    <m/>
  </r>
  <r>
    <x v="4"/>
    <n v="2016"/>
    <s v="174"/>
    <x v="61"/>
    <s v="174001"/>
    <x v="207"/>
    <n v="2477.52"/>
    <n v="666"/>
    <n v="1964.16"/>
    <n v="534"/>
  </r>
  <r>
    <x v="4"/>
    <n v="2016"/>
    <s v="174"/>
    <x v="61"/>
    <s v="174002"/>
    <x v="208"/>
    <n v="223.2"/>
    <n v="36"/>
    <n v="146.88"/>
    <n v="24"/>
  </r>
  <r>
    <x v="4"/>
    <n v="2016"/>
    <s v="174"/>
    <x v="61"/>
    <s v="174003"/>
    <x v="209"/>
    <n v="1513.68"/>
    <n v="762"/>
    <n v="419.76"/>
    <n v="234"/>
  </r>
  <r>
    <x v="4"/>
    <n v="2016"/>
    <s v="174"/>
    <x v="61"/>
    <s v="174005"/>
    <x v="330"/>
    <n v="1133"/>
    <n v="558"/>
    <m/>
    <m/>
  </r>
  <r>
    <x v="4"/>
    <n v="2016"/>
    <s v="174"/>
    <x v="61"/>
    <s v="174006"/>
    <x v="330"/>
    <n v="1476.2"/>
    <n v="720"/>
    <m/>
    <m/>
  </r>
  <r>
    <x v="4"/>
    <n v="2016"/>
    <s v="174"/>
    <x v="61"/>
    <s v="174007"/>
    <x v="330"/>
    <n v="1205.2"/>
    <n v="570"/>
    <m/>
    <m/>
  </r>
  <r>
    <x v="4"/>
    <n v="2016"/>
    <s v="174"/>
    <x v="61"/>
    <s v="174009"/>
    <x v="331"/>
    <n v="35.4"/>
    <n v="6"/>
    <m/>
    <m/>
  </r>
  <r>
    <x v="4"/>
    <n v="2016"/>
    <s v="174"/>
    <x v="61"/>
    <s v="174010"/>
    <x v="210"/>
    <n v="1246.2"/>
    <n v="1239.69"/>
    <n v="1037.4000000000001"/>
    <n v="1039.74"/>
  </r>
  <r>
    <x v="4"/>
    <n v="2016"/>
    <s v="174"/>
    <x v="61"/>
    <s v="174011"/>
    <x v="210"/>
    <n v="627.20000000000005"/>
    <n v="546.93999999999994"/>
    <n v="1121.76"/>
    <n v="980.49"/>
  </r>
  <r>
    <x v="4"/>
    <n v="2016"/>
    <s v="174"/>
    <x v="61"/>
    <s v="174015"/>
    <x v="211"/>
    <n v="456.3"/>
    <n v="346.58"/>
    <n v="456.3"/>
    <n v="346.58"/>
  </r>
  <r>
    <x v="4"/>
    <n v="2016"/>
    <s v="174"/>
    <x v="61"/>
    <s v="174016"/>
    <x v="211"/>
    <n v="816.72"/>
    <n v="553.61"/>
    <n v="936.24"/>
    <n v="633.65"/>
  </r>
  <r>
    <x v="4"/>
    <n v="2016"/>
    <s v="174"/>
    <x v="61"/>
    <s v="174020"/>
    <x v="212"/>
    <n v="0"/>
    <n v="-26.68"/>
    <n v="112.8"/>
    <n v="80.039999999999992"/>
  </r>
  <r>
    <x v="4"/>
    <n v="2016"/>
    <s v="175"/>
    <x v="62"/>
    <s v="175001"/>
    <x v="213"/>
    <n v="810"/>
    <n v="216"/>
    <n v="111"/>
    <n v="30"/>
  </r>
  <r>
    <x v="4"/>
    <n v="2016"/>
    <s v="175"/>
    <x v="62"/>
    <s v="175002"/>
    <x v="213"/>
    <n v="225"/>
    <n v="60"/>
    <n v="266.39999999999998"/>
    <n v="72"/>
  </r>
  <r>
    <x v="4"/>
    <n v="2016"/>
    <s v="199"/>
    <x v="64"/>
    <s v="199001"/>
    <x v="215"/>
    <n v="402"/>
    <n v="60"/>
    <n v="334.8"/>
    <n v="54"/>
  </r>
  <r>
    <x v="4"/>
    <n v="2016"/>
    <s v="199"/>
    <x v="64"/>
    <s v="199003"/>
    <x v="217"/>
    <n v="75.599999999999994"/>
    <n v="18"/>
    <n v="730.8"/>
    <n v="174"/>
  </r>
  <r>
    <x v="4"/>
    <n v="2016"/>
    <s v="201"/>
    <x v="65"/>
    <s v="201001"/>
    <x v="218"/>
    <n v="979.2"/>
    <n v="867.1"/>
    <n v="364.8"/>
    <n v="320.15999999999997"/>
  </r>
  <r>
    <x v="4"/>
    <n v="2016"/>
    <s v="201"/>
    <x v="65"/>
    <s v="201002"/>
    <x v="218"/>
    <n v="587.4"/>
    <n v="586.52"/>
    <n v="3604"/>
    <n v="3639.09"/>
  </r>
  <r>
    <x v="4"/>
    <n v="2016"/>
    <s v="201"/>
    <x v="65"/>
    <s v="201003"/>
    <x v="219"/>
    <n v="726.75"/>
    <n v="646.99"/>
    <n v="889.2"/>
    <n v="813.74"/>
  </r>
  <r>
    <x v="4"/>
    <n v="2016"/>
    <s v="201"/>
    <x v="65"/>
    <s v="201004"/>
    <x v="219"/>
    <n v="1308.3"/>
    <n v="1306.3399999999999"/>
    <n v="3763"/>
    <n v="3785.72"/>
  </r>
  <r>
    <x v="4"/>
    <n v="2016"/>
    <s v="201"/>
    <x v="65"/>
    <s v="201006"/>
    <x v="220"/>
    <n v="288"/>
    <n v="120"/>
    <n v="1612.8"/>
    <n v="672"/>
  </r>
  <r>
    <x v="4"/>
    <n v="2016"/>
    <s v="201"/>
    <x v="65"/>
    <s v="201007"/>
    <x v="221"/>
    <n v="33.6"/>
    <n v="6"/>
    <n v="66.599999999999994"/>
    <n v="12"/>
  </r>
  <r>
    <x v="4"/>
    <n v="2016"/>
    <s v="201"/>
    <x v="65"/>
    <s v="201008"/>
    <x v="222"/>
    <n v="292.8"/>
    <n v="96"/>
    <n v="422.4"/>
    <n v="132"/>
  </r>
  <r>
    <x v="4"/>
    <n v="2016"/>
    <s v="201"/>
    <x v="65"/>
    <s v="201010"/>
    <x v="223"/>
    <n v="223.2"/>
    <n v="159.96"/>
    <n v="409.2"/>
    <n v="293.26"/>
  </r>
  <r>
    <x v="4"/>
    <n v="2016"/>
    <s v="201"/>
    <x v="65"/>
    <s v="201011"/>
    <x v="223"/>
    <n v="313.10000000000002"/>
    <n v="213.44"/>
    <n v="191.9"/>
    <n v="133.4"/>
  </r>
  <r>
    <x v="4"/>
    <n v="2016"/>
    <s v="201"/>
    <x v="65"/>
    <s v="201012"/>
    <x v="224"/>
    <n v="175.2"/>
    <n v="48"/>
    <n v="237.6"/>
    <n v="66"/>
  </r>
  <r>
    <x v="4"/>
    <n v="2016"/>
    <s v="201"/>
    <x v="65"/>
    <s v="201014"/>
    <x v="226"/>
    <n v="774"/>
    <n v="264"/>
    <n v="234"/>
    <n v="78"/>
  </r>
  <r>
    <x v="4"/>
    <n v="2016"/>
    <s v="201"/>
    <x v="65"/>
    <s v="201017"/>
    <x v="332"/>
    <n v="24.75"/>
    <n v="20.009999999999998"/>
    <m/>
    <m/>
  </r>
  <r>
    <x v="4"/>
    <n v="2016"/>
    <s v="201"/>
    <x v="65"/>
    <s v="201022"/>
    <x v="303"/>
    <n v="40.4"/>
    <n v="36"/>
    <m/>
    <m/>
  </r>
  <r>
    <x v="4"/>
    <n v="2016"/>
    <s v="201"/>
    <x v="65"/>
    <s v="201026"/>
    <x v="229"/>
    <n v="149.76"/>
    <n v="78"/>
    <n v="486.4"/>
    <n v="256"/>
  </r>
  <r>
    <x v="4"/>
    <n v="2016"/>
    <s v="201"/>
    <x v="65"/>
    <s v="201027"/>
    <x v="229"/>
    <n v="34.56"/>
    <n v="18"/>
    <n v="397.1"/>
    <n v="209"/>
  </r>
  <r>
    <x v="4"/>
    <n v="2016"/>
    <s v="201"/>
    <x v="65"/>
    <s v="201031"/>
    <x v="304"/>
    <n v="80.64"/>
    <n v="42"/>
    <m/>
    <m/>
  </r>
  <r>
    <x v="4"/>
    <n v="2016"/>
    <s v="202"/>
    <x v="66"/>
    <s v="202001"/>
    <x v="230"/>
    <n v="260.82"/>
    <n v="126"/>
    <n v="257.04000000000002"/>
    <n v="132"/>
  </r>
  <r>
    <x v="4"/>
    <n v="2016"/>
    <s v="202"/>
    <x v="66"/>
    <s v="202002"/>
    <x v="230"/>
    <n v="385.02"/>
    <n v="186"/>
    <n v="257.04000000000002"/>
    <n v="132"/>
  </r>
  <r>
    <x v="4"/>
    <n v="2016"/>
    <s v="202"/>
    <x v="66"/>
    <s v="202003"/>
    <x v="230"/>
    <n v="223.56"/>
    <n v="108"/>
    <n v="244.8"/>
    <n v="120"/>
  </r>
  <r>
    <x v="4"/>
    <n v="2016"/>
    <s v="202"/>
    <x v="66"/>
    <s v="202007"/>
    <x v="232"/>
    <n v="13.2"/>
    <n v="6"/>
    <n v="52.32"/>
    <n v="24"/>
  </r>
  <r>
    <x v="4"/>
    <n v="2016"/>
    <s v="202"/>
    <x v="66"/>
    <s v="202010"/>
    <x v="233"/>
    <n v="35.6"/>
    <n v="26.68"/>
    <n v="89"/>
    <n v="66.7"/>
  </r>
  <r>
    <x v="4"/>
    <n v="2016"/>
    <s v="202"/>
    <x v="66"/>
    <s v="202015"/>
    <x v="279"/>
    <n v="199"/>
    <n v="126.73"/>
    <n v="49.5"/>
    <n v="33.35"/>
  </r>
  <r>
    <x v="4"/>
    <n v="2016"/>
    <s v="205"/>
    <x v="67"/>
    <s v="205001"/>
    <x v="234"/>
    <n v="661.5"/>
    <n v="294"/>
    <n v="686.4"/>
    <n v="318"/>
  </r>
  <r>
    <x v="4"/>
    <n v="2016"/>
    <s v="205"/>
    <x v="67"/>
    <s v="205002"/>
    <x v="235"/>
    <n v="86.4"/>
    <n v="36"/>
    <n v="28.2"/>
    <n v="12"/>
  </r>
  <r>
    <x v="4"/>
    <n v="2016"/>
    <s v="205"/>
    <x v="67"/>
    <s v="205003"/>
    <x v="236"/>
    <n v="266.39999999999998"/>
    <n v="72"/>
    <n v="372.3"/>
    <n v="108"/>
  </r>
  <r>
    <x v="4"/>
    <n v="2016"/>
    <s v="205"/>
    <x v="67"/>
    <s v="205004"/>
    <x v="237"/>
    <n v="57.6"/>
    <n v="24"/>
    <n v="14.1"/>
    <n v="12"/>
  </r>
  <r>
    <x v="4"/>
    <n v="2016"/>
    <s v="226"/>
    <x v="70"/>
    <s v="226001"/>
    <x v="280"/>
    <n v="606"/>
    <n v="120"/>
    <m/>
    <m/>
  </r>
  <r>
    <x v="4"/>
    <n v="2016"/>
    <s v="226"/>
    <x v="70"/>
    <s v="CDV226002"/>
    <x v="280"/>
    <n v="161.28"/>
    <n v="24"/>
    <m/>
    <m/>
  </r>
  <r>
    <x v="4"/>
    <n v="2016"/>
    <s v="229"/>
    <x v="68"/>
    <s v="229004"/>
    <x v="334"/>
    <n v="0"/>
    <n v="6"/>
    <m/>
    <m/>
  </r>
  <r>
    <x v="4"/>
    <n v="2016"/>
    <s v="229"/>
    <x v="68"/>
    <s v="229005"/>
    <x v="238"/>
    <n v="135"/>
    <n v="30"/>
    <m/>
    <m/>
  </r>
  <r>
    <x v="4"/>
    <n v="2016"/>
    <s v="229"/>
    <x v="68"/>
    <s v="229006"/>
    <x v="239"/>
    <n v="54.6"/>
    <n v="12"/>
    <m/>
    <m/>
  </r>
  <r>
    <x v="4"/>
    <n v="2016"/>
    <s v="229"/>
    <x v="68"/>
    <s v="229007"/>
    <x v="240"/>
    <n v="70.2"/>
    <n v="18"/>
    <m/>
    <m/>
  </r>
  <r>
    <x v="4"/>
    <n v="2016"/>
    <s v="229"/>
    <x v="68"/>
    <s v="229008"/>
    <x v="241"/>
    <n v="319.2"/>
    <n v="84"/>
    <m/>
    <m/>
  </r>
  <r>
    <x v="4"/>
    <n v="2016"/>
    <s v="229"/>
    <x v="68"/>
    <s v="229021"/>
    <x v="307"/>
    <n v="220.8"/>
    <n v="48"/>
    <m/>
    <m/>
  </r>
  <r>
    <x v="5"/>
    <n v="2016"/>
    <s v="001"/>
    <x v="0"/>
    <s v="001001"/>
    <x v="0"/>
    <n v="6248"/>
    <n v="480"/>
    <m/>
    <m/>
  </r>
  <r>
    <x v="5"/>
    <n v="2016"/>
    <s v="002"/>
    <x v="1"/>
    <s v="002001"/>
    <x v="5"/>
    <n v="3843.54"/>
    <n v="3281.64"/>
    <n v="2819.88"/>
    <n v="2521.2599999999998"/>
  </r>
  <r>
    <x v="5"/>
    <n v="2016"/>
    <s v="002"/>
    <x v="1"/>
    <s v="002002"/>
    <x v="6"/>
    <n v="9260.16"/>
    <n v="8984.42"/>
    <n v="6214.25"/>
    <n v="6251.77"/>
  </r>
  <r>
    <x v="5"/>
    <n v="2016"/>
    <s v="002"/>
    <x v="1"/>
    <s v="002003"/>
    <x v="7"/>
    <n v="5797.04"/>
    <n v="6211.78"/>
    <n v="5782.8"/>
    <n v="6518.37"/>
  </r>
  <r>
    <x v="5"/>
    <n v="2016"/>
    <s v="002"/>
    <x v="1"/>
    <s v="002004"/>
    <x v="7"/>
    <n v="1425.92"/>
    <n v="1287.31"/>
    <n v="1012.2"/>
    <n v="953.81"/>
  </r>
  <r>
    <x v="5"/>
    <n v="2016"/>
    <s v="002"/>
    <x v="1"/>
    <s v="002007"/>
    <x v="8"/>
    <n v="2420.04"/>
    <n v="2679.33"/>
    <n v="3300.3"/>
    <n v="3825.71"/>
  </r>
  <r>
    <x v="5"/>
    <n v="2016"/>
    <s v="002"/>
    <x v="1"/>
    <s v="002008"/>
    <x v="9"/>
    <n v="3330"/>
    <n v="4000.5000000000005"/>
    <n v="2245"/>
    <n v="2693.67"/>
  </r>
  <r>
    <x v="5"/>
    <n v="2016"/>
    <s v="002"/>
    <x v="1"/>
    <s v="002009"/>
    <x v="9"/>
    <n v="70.02"/>
    <n v="80.010000000000005"/>
    <n v="269.39999999999998"/>
    <n v="320.04000000000002"/>
  </r>
  <r>
    <x v="5"/>
    <n v="2016"/>
    <s v="002"/>
    <x v="1"/>
    <s v="002010"/>
    <x v="10"/>
    <n v="2103.75"/>
    <n v="1507.42"/>
    <n v="1870.12"/>
    <n v="1387.36"/>
  </r>
  <r>
    <x v="5"/>
    <n v="2016"/>
    <s v="002"/>
    <x v="1"/>
    <s v="002011"/>
    <x v="11"/>
    <n v="3100.62"/>
    <n v="2599.35"/>
    <n v="3753.76"/>
    <n v="3092.56"/>
  </r>
  <r>
    <x v="5"/>
    <n v="2016"/>
    <s v="002"/>
    <x v="1"/>
    <s v="002015"/>
    <x v="11"/>
    <n v="3233.98"/>
    <n v="2586.02"/>
    <n v="4951.08"/>
    <n v="4078.98"/>
  </r>
  <r>
    <x v="5"/>
    <n v="2016"/>
    <s v="002"/>
    <x v="1"/>
    <s v="002016"/>
    <x v="11"/>
    <n v="3860.45"/>
    <n v="2768.05"/>
    <n v="2524.2399999999998"/>
    <n v="1860.93"/>
  </r>
  <r>
    <x v="5"/>
    <n v="2016"/>
    <s v="002"/>
    <x v="1"/>
    <s v="002017"/>
    <x v="12"/>
    <n v="6481.24"/>
    <n v="6971.59"/>
    <n v="7068.36"/>
    <n v="7891.36"/>
  </r>
  <r>
    <x v="5"/>
    <n v="2016"/>
    <s v="002"/>
    <x v="1"/>
    <s v="002018"/>
    <x v="12"/>
    <n v="4175.5600000000004"/>
    <n v="3735.2"/>
    <n v="2805.75"/>
    <n v="2607.9699999999998"/>
  </r>
  <r>
    <x v="5"/>
    <n v="2016"/>
    <s v="002"/>
    <x v="1"/>
    <s v="002020"/>
    <x v="13"/>
    <n v="2013.9"/>
    <n v="822"/>
    <n v="1036.8"/>
    <n v="432"/>
  </r>
  <r>
    <x v="5"/>
    <n v="2016"/>
    <s v="002"/>
    <x v="1"/>
    <s v="002025"/>
    <x v="14"/>
    <n v="118.26"/>
    <n v="60"/>
    <n v="497.13"/>
    <n v="234"/>
  </r>
  <r>
    <x v="5"/>
    <n v="2016"/>
    <s v="002"/>
    <x v="1"/>
    <s v="002026"/>
    <x v="17"/>
    <n v="296.64"/>
    <n v="144"/>
    <n v="196.32"/>
    <n v="96"/>
  </r>
  <r>
    <x v="5"/>
    <n v="2016"/>
    <s v="002"/>
    <x v="1"/>
    <s v="002027"/>
    <x v="18"/>
    <n v="2730"/>
    <n v="1440"/>
    <n v="1366.97"/>
    <n v="744"/>
  </r>
  <r>
    <x v="5"/>
    <n v="2016"/>
    <s v="002"/>
    <x v="1"/>
    <s v="002034"/>
    <x v="19"/>
    <n v="46.2"/>
    <n v="28"/>
    <n v="199.36"/>
    <n v="128"/>
  </r>
  <r>
    <x v="5"/>
    <n v="2016"/>
    <s v="002"/>
    <x v="1"/>
    <s v="002035"/>
    <x v="19"/>
    <n v="13.2"/>
    <n v="8"/>
    <m/>
    <m/>
  </r>
  <r>
    <x v="5"/>
    <n v="2016"/>
    <s v="002"/>
    <x v="1"/>
    <s v="002037"/>
    <x v="243"/>
    <n v="357.6"/>
    <n v="120"/>
    <n v="201.6"/>
    <n v="72"/>
  </r>
  <r>
    <x v="5"/>
    <n v="2016"/>
    <s v="002"/>
    <x v="1"/>
    <s v="002040"/>
    <x v="20"/>
    <n v="183.96"/>
    <n v="84"/>
    <n v="65.7"/>
    <n v="30"/>
  </r>
  <r>
    <x v="5"/>
    <n v="2016"/>
    <s v="002"/>
    <x v="1"/>
    <s v="002100"/>
    <x v="21"/>
    <n v="480.6"/>
    <n v="270"/>
    <n v="736.98"/>
    <n v="426"/>
  </r>
  <r>
    <x v="5"/>
    <n v="2016"/>
    <s v="002"/>
    <x v="1"/>
    <s v="002101"/>
    <x v="22"/>
    <n v="373.8"/>
    <n v="210"/>
    <n v="103.8"/>
    <n v="60"/>
  </r>
  <r>
    <x v="5"/>
    <n v="2016"/>
    <s v="002"/>
    <x v="1"/>
    <s v="002102"/>
    <x v="23"/>
    <n v="54.6"/>
    <n v="30"/>
    <m/>
    <m/>
  </r>
  <r>
    <x v="5"/>
    <n v="2016"/>
    <s v="002"/>
    <x v="1"/>
    <s v="002200"/>
    <x v="281"/>
    <n v="125.1"/>
    <n v="72"/>
    <n v="216.64"/>
    <n v="128"/>
  </r>
  <r>
    <x v="5"/>
    <n v="2016"/>
    <s v="002"/>
    <x v="1"/>
    <s v="002900"/>
    <x v="24"/>
    <n v="877.5"/>
    <n v="1200.1500000000001"/>
    <n v="1939.8"/>
    <n v="2533.65"/>
  </r>
  <r>
    <x v="5"/>
    <n v="2016"/>
    <s v="002"/>
    <x v="1"/>
    <s v="002901"/>
    <x v="25"/>
    <n v="1755"/>
    <n v="2400.3000000000002"/>
    <n v="2465.6"/>
    <n v="3067.05"/>
  </r>
  <r>
    <x v="5"/>
    <n v="2016"/>
    <s v="002"/>
    <x v="1"/>
    <s v="002902"/>
    <x v="26"/>
    <n v="933.3"/>
    <n v="1200.1500000000001"/>
    <n v="636.20000000000005"/>
    <n v="800.1"/>
  </r>
  <r>
    <x v="5"/>
    <n v="2016"/>
    <s v="002"/>
    <x v="1"/>
    <s v="002903"/>
    <x v="27"/>
    <n v="1057.5"/>
    <n v="1200.1500000000001"/>
    <m/>
    <m/>
  </r>
  <r>
    <x v="5"/>
    <n v="2016"/>
    <s v="002"/>
    <x v="1"/>
    <s v="002905"/>
    <x v="25"/>
    <n v="399.6"/>
    <n v="493.21"/>
    <n v="540"/>
    <n v="666.5"/>
  </r>
  <r>
    <x v="5"/>
    <n v="2016"/>
    <s v="007"/>
    <x v="2"/>
    <s v="007001"/>
    <x v="244"/>
    <n v="48"/>
    <n v="12"/>
    <m/>
    <m/>
  </r>
  <r>
    <x v="5"/>
    <n v="2016"/>
    <s v="007"/>
    <x v="2"/>
    <s v="007002"/>
    <x v="28"/>
    <n v="303.60000000000002"/>
    <n v="66"/>
    <n v="24.6"/>
    <n v="6"/>
  </r>
  <r>
    <x v="5"/>
    <n v="2016"/>
    <s v="007"/>
    <x v="2"/>
    <s v="007003"/>
    <x v="29"/>
    <n v="66"/>
    <n v="12"/>
    <n v="124.8"/>
    <n v="24"/>
  </r>
  <r>
    <x v="5"/>
    <n v="2016"/>
    <s v="007"/>
    <x v="2"/>
    <s v="007004"/>
    <x v="30"/>
    <n v="174"/>
    <n v="24"/>
    <n v="-40.5"/>
    <n v="-6"/>
  </r>
  <r>
    <x v="5"/>
    <n v="2016"/>
    <s v="007"/>
    <x v="2"/>
    <s v="007006"/>
    <x v="32"/>
    <n v="378"/>
    <n v="60"/>
    <n v="70.8"/>
    <n v="12"/>
  </r>
  <r>
    <x v="5"/>
    <n v="2016"/>
    <s v="007"/>
    <x v="2"/>
    <s v="007021"/>
    <x v="308"/>
    <n v="51.6"/>
    <n v="6"/>
    <n v="0"/>
    <n v="12"/>
  </r>
  <r>
    <x v="5"/>
    <n v="2016"/>
    <s v="010"/>
    <x v="3"/>
    <s v="010001"/>
    <x v="33"/>
    <n v="508.8"/>
    <n v="96"/>
    <n v="748.8"/>
    <n v="144"/>
  </r>
  <r>
    <x v="5"/>
    <n v="2016"/>
    <s v="010"/>
    <x v="3"/>
    <s v="010019"/>
    <x v="346"/>
    <n v="477"/>
    <n v="90"/>
    <m/>
    <m/>
  </r>
  <r>
    <x v="5"/>
    <n v="2016"/>
    <s v="010"/>
    <x v="3"/>
    <s v="CDV010050"/>
    <x v="283"/>
    <n v="75.599999999999994"/>
    <n v="12"/>
    <n v="74.400000000000006"/>
    <n v="12"/>
  </r>
  <r>
    <x v="5"/>
    <n v="2016"/>
    <s v="011"/>
    <x v="4"/>
    <s v="011001"/>
    <x v="34"/>
    <n v="2920.68"/>
    <n v="732"/>
    <n v="3303.72"/>
    <n v="828"/>
  </r>
  <r>
    <x v="5"/>
    <n v="2016"/>
    <s v="011"/>
    <x v="4"/>
    <s v="011002"/>
    <x v="310"/>
    <n v="191.52"/>
    <n v="48"/>
    <n v="369.6"/>
    <n v="96"/>
  </r>
  <r>
    <x v="5"/>
    <n v="2016"/>
    <s v="011"/>
    <x v="4"/>
    <s v="011005"/>
    <x v="245"/>
    <n v="538.91999999999996"/>
    <n v="108"/>
    <n v="323.39999999999998"/>
    <n v="66"/>
  </r>
  <r>
    <x v="5"/>
    <n v="2016"/>
    <s v="011"/>
    <x v="4"/>
    <s v="011006"/>
    <x v="35"/>
    <n v="28.2"/>
    <n v="6"/>
    <n v="269.39999999999998"/>
    <n v="60"/>
  </r>
  <r>
    <x v="5"/>
    <n v="2016"/>
    <s v="019"/>
    <x v="5"/>
    <s v="019003"/>
    <x v="36"/>
    <n v="5299.5"/>
    <n v="2382"/>
    <n v="3813.3"/>
    <n v="1716"/>
  </r>
  <r>
    <x v="5"/>
    <n v="2016"/>
    <s v="019"/>
    <x v="5"/>
    <s v="019004"/>
    <x v="36"/>
    <n v="87.6"/>
    <n v="30"/>
    <n v="17.399999999999999"/>
    <n v="12"/>
  </r>
  <r>
    <x v="5"/>
    <n v="2016"/>
    <s v="019"/>
    <x v="5"/>
    <s v="019008"/>
    <x v="37"/>
    <n v="851.4"/>
    <n v="573.19000000000005"/>
    <n v="791.3"/>
    <n v="546.53"/>
  </r>
  <r>
    <x v="5"/>
    <n v="2016"/>
    <s v="019"/>
    <x v="5"/>
    <s v="019009"/>
    <x v="37"/>
    <n v="638.4"/>
    <n v="393.53"/>
    <n v="451"/>
    <n v="286.81"/>
  </r>
  <r>
    <x v="5"/>
    <n v="2016"/>
    <s v="019"/>
    <x v="5"/>
    <s v="019011"/>
    <x v="38"/>
    <n v="163.19999999999999"/>
    <n v="60"/>
    <n v="129.6"/>
    <n v="48"/>
  </r>
  <r>
    <x v="5"/>
    <n v="2016"/>
    <s v="019"/>
    <x v="5"/>
    <s v="019012"/>
    <x v="347"/>
    <n v="111.24"/>
    <n v="36"/>
    <m/>
    <m/>
  </r>
  <r>
    <x v="5"/>
    <n v="2016"/>
    <s v="019"/>
    <x v="5"/>
    <s v="019015"/>
    <x v="39"/>
    <n v="193.2"/>
    <n v="84"/>
    <n v="391.5"/>
    <n v="174"/>
  </r>
  <r>
    <x v="5"/>
    <n v="2016"/>
    <s v="019"/>
    <x v="5"/>
    <s v="019999"/>
    <x v="348"/>
    <n v="50"/>
    <n v="266.66000000000003"/>
    <m/>
    <m/>
  </r>
  <r>
    <x v="5"/>
    <n v="2016"/>
    <s v="025"/>
    <x v="6"/>
    <s v="025001"/>
    <x v="40"/>
    <n v="651.84"/>
    <n v="96"/>
    <n v="1425.9"/>
    <n v="210"/>
  </r>
  <r>
    <x v="5"/>
    <n v="2016"/>
    <s v="025"/>
    <x v="6"/>
    <s v="025010"/>
    <x v="41"/>
    <n v="299.7"/>
    <n v="54"/>
    <n v="333"/>
    <n v="60"/>
  </r>
  <r>
    <x v="5"/>
    <n v="2016"/>
    <s v="025"/>
    <x v="6"/>
    <s v="025013"/>
    <x v="42"/>
    <n v="320.10000000000002"/>
    <n v="72"/>
    <n v="232.8"/>
    <n v="48"/>
  </r>
  <r>
    <x v="5"/>
    <n v="2016"/>
    <s v="025"/>
    <x v="6"/>
    <s v="025015"/>
    <x v="43"/>
    <n v="1394.12"/>
    <n v="384"/>
    <n v="137.88"/>
    <n v="36"/>
  </r>
  <r>
    <x v="5"/>
    <n v="2016"/>
    <s v="025"/>
    <x v="6"/>
    <s v="025016"/>
    <x v="247"/>
    <n v="204.12"/>
    <n v="84"/>
    <m/>
    <m/>
  </r>
  <r>
    <x v="5"/>
    <n v="2016"/>
    <s v="025"/>
    <x v="6"/>
    <s v="025021"/>
    <x v="44"/>
    <n v="1348.2"/>
    <n v="126"/>
    <n v="898.8"/>
    <n v="84"/>
  </r>
  <r>
    <x v="5"/>
    <n v="2016"/>
    <s v="025"/>
    <x v="6"/>
    <s v="025026"/>
    <x v="45"/>
    <n v="3872.96"/>
    <n v="1350"/>
    <n v="1477.44"/>
    <n v="486"/>
  </r>
  <r>
    <x v="5"/>
    <n v="2016"/>
    <s v="025"/>
    <x v="6"/>
    <s v="025031"/>
    <x v="46"/>
    <n v="1276.5"/>
    <n v="246"/>
    <n v="434.46"/>
    <n v="84"/>
  </r>
  <r>
    <x v="5"/>
    <n v="2016"/>
    <s v="025"/>
    <x v="6"/>
    <s v="025033"/>
    <x v="47"/>
    <n v="977.04"/>
    <n v="252"/>
    <n v="322.92"/>
    <n v="78"/>
  </r>
  <r>
    <x v="5"/>
    <n v="2016"/>
    <s v="028"/>
    <x v="7"/>
    <s v="028001"/>
    <x v="48"/>
    <n v="936"/>
    <n v="294"/>
    <n v="1677"/>
    <n v="516"/>
  </r>
  <r>
    <x v="5"/>
    <n v="2016"/>
    <s v="028"/>
    <x v="7"/>
    <s v="028005"/>
    <x v="49"/>
    <n v="117.6"/>
    <n v="42"/>
    <n v="235.2"/>
    <n v="84"/>
  </r>
  <r>
    <x v="5"/>
    <n v="2016"/>
    <s v="028"/>
    <x v="7"/>
    <s v="028007"/>
    <x v="50"/>
    <n v="342"/>
    <n v="213.28"/>
    <n v="632.79999999999995"/>
    <n v="373.24"/>
  </r>
  <r>
    <x v="5"/>
    <n v="2016"/>
    <s v="028"/>
    <x v="7"/>
    <s v="028008"/>
    <x v="51"/>
    <n v="270"/>
    <n v="133.4"/>
    <n v="678.3"/>
    <n v="353.51"/>
  </r>
  <r>
    <x v="5"/>
    <n v="2016"/>
    <s v="028"/>
    <x v="7"/>
    <s v="028013"/>
    <x v="52"/>
    <n v="801"/>
    <n v="180"/>
    <n v="614.1"/>
    <n v="138"/>
  </r>
  <r>
    <x v="5"/>
    <n v="2016"/>
    <s v="029"/>
    <x v="8"/>
    <s v="029015"/>
    <x v="55"/>
    <n v="28.8"/>
    <n v="12"/>
    <n v="14.4"/>
    <n v="6"/>
  </r>
  <r>
    <x v="5"/>
    <n v="2016"/>
    <s v="035"/>
    <x v="9"/>
    <s v="035001"/>
    <x v="56"/>
    <n v="2170.56"/>
    <n v="558"/>
    <n v="1512"/>
    <n v="384"/>
  </r>
  <r>
    <x v="5"/>
    <n v="2016"/>
    <s v="035"/>
    <x v="9"/>
    <s v="035002"/>
    <x v="56"/>
    <n v="728.64"/>
    <n v="144"/>
    <n v="150"/>
    <n v="30"/>
  </r>
  <r>
    <x v="5"/>
    <n v="2016"/>
    <s v="035"/>
    <x v="9"/>
    <s v="035010"/>
    <x v="57"/>
    <n v="786.24"/>
    <n v="222"/>
    <n v="514.08000000000004"/>
    <n v="150"/>
  </r>
  <r>
    <x v="5"/>
    <n v="2016"/>
    <s v="036"/>
    <x v="10"/>
    <s v="036001"/>
    <x v="58"/>
    <n v="177"/>
    <n v="60"/>
    <n v="453.6"/>
    <n v="162"/>
  </r>
  <r>
    <x v="5"/>
    <n v="2016"/>
    <s v="036"/>
    <x v="10"/>
    <s v="036010"/>
    <x v="249"/>
    <n v="113.85"/>
    <n v="119.97"/>
    <n v="148.80000000000001"/>
    <n v="159.96"/>
  </r>
  <r>
    <x v="5"/>
    <n v="2016"/>
    <s v="036"/>
    <x v="10"/>
    <s v="036011"/>
    <x v="59"/>
    <n v="44.1"/>
    <n v="53.36"/>
    <n v="43.2"/>
    <n v="46.69"/>
  </r>
  <r>
    <x v="5"/>
    <n v="2016"/>
    <s v="037"/>
    <x v="11"/>
    <s v="037003"/>
    <x v="60"/>
    <n v="273.60000000000002"/>
    <n v="78"/>
    <n v="244.2"/>
    <n v="66"/>
  </r>
  <r>
    <x v="5"/>
    <n v="2016"/>
    <s v="037"/>
    <x v="11"/>
    <s v="037005"/>
    <x v="313"/>
    <n v="23.1"/>
    <n v="6"/>
    <n v="133.19999999999999"/>
    <n v="36"/>
  </r>
  <r>
    <x v="5"/>
    <n v="2016"/>
    <s v="037"/>
    <x v="11"/>
    <s v="037010"/>
    <x v="61"/>
    <n v="370.5"/>
    <n v="78"/>
    <n v="273"/>
    <n v="66"/>
  </r>
  <r>
    <x v="5"/>
    <n v="2016"/>
    <s v="039"/>
    <x v="12"/>
    <s v="039013"/>
    <x v="250"/>
    <n v="226.56"/>
    <n v="48"/>
    <n v="79.92"/>
    <n v="18"/>
  </r>
  <r>
    <x v="5"/>
    <n v="2016"/>
    <s v="039"/>
    <x v="12"/>
    <s v="039017"/>
    <x v="63"/>
    <n v="105"/>
    <n v="30"/>
    <n v="84"/>
    <n v="24"/>
  </r>
  <r>
    <x v="5"/>
    <n v="2016"/>
    <s v="039"/>
    <x v="12"/>
    <s v="039018"/>
    <x v="64"/>
    <n v="366"/>
    <n v="150"/>
    <n v="39.78"/>
    <n v="18"/>
  </r>
  <r>
    <x v="5"/>
    <n v="2016"/>
    <s v="039"/>
    <x v="12"/>
    <s v="039028"/>
    <x v="65"/>
    <n v="450"/>
    <n v="90"/>
    <n v="56.64"/>
    <n v="12"/>
  </r>
  <r>
    <x v="5"/>
    <n v="2016"/>
    <s v="039"/>
    <x v="12"/>
    <s v="039030"/>
    <x v="66"/>
    <n v="249.48"/>
    <n v="66"/>
    <n v="64.98"/>
    <n v="18"/>
  </r>
  <r>
    <x v="5"/>
    <n v="2016"/>
    <s v="040"/>
    <x v="13"/>
    <s v="040004"/>
    <x v="340"/>
    <n v="34.200000000000003"/>
    <n v="6"/>
    <n v="102.6"/>
    <n v="18"/>
  </r>
  <r>
    <x v="5"/>
    <n v="2016"/>
    <s v="040"/>
    <x v="13"/>
    <s v="040006"/>
    <x v="67"/>
    <n v="1971"/>
    <n v="540"/>
    <n v="2635.2"/>
    <n v="732"/>
  </r>
  <r>
    <x v="5"/>
    <n v="2016"/>
    <s v="040"/>
    <x v="13"/>
    <s v="040007"/>
    <x v="68"/>
    <n v="110.4"/>
    <n v="60.03"/>
    <n v="591.75"/>
    <n v="306.82"/>
  </r>
  <r>
    <x v="5"/>
    <n v="2016"/>
    <s v="040"/>
    <x v="13"/>
    <s v="040008"/>
    <x v="68"/>
    <n v="211.6"/>
    <n v="106.64"/>
    <n v="352.8"/>
    <n v="186.62"/>
  </r>
  <r>
    <x v="5"/>
    <n v="2016"/>
    <s v="040"/>
    <x v="13"/>
    <s v="040015"/>
    <x v="70"/>
    <n v="183.6"/>
    <n v="36"/>
    <m/>
    <m/>
  </r>
  <r>
    <x v="5"/>
    <n v="2016"/>
    <s v="040"/>
    <x v="13"/>
    <s v="040017"/>
    <x v="286"/>
    <n v="49.2"/>
    <n v="6"/>
    <n v="196.8"/>
    <n v="24"/>
  </r>
  <r>
    <x v="5"/>
    <n v="2016"/>
    <s v="041"/>
    <x v="14"/>
    <s v="041001/10"/>
    <x v="71"/>
    <n v="344.4"/>
    <n v="24"/>
    <n v="3696"/>
    <n v="264"/>
  </r>
  <r>
    <x v="5"/>
    <n v="2016"/>
    <s v="041"/>
    <x v="14"/>
    <s v="041011"/>
    <x v="253"/>
    <n v="315"/>
    <n v="36"/>
    <m/>
    <m/>
  </r>
  <r>
    <x v="5"/>
    <n v="2016"/>
    <s v="041"/>
    <x v="14"/>
    <s v="041016"/>
    <x v="73"/>
    <n v="1108.8"/>
    <n v="132"/>
    <n v="2154.3000000000002"/>
    <n v="258"/>
  </r>
  <r>
    <x v="5"/>
    <n v="2016"/>
    <s v="046"/>
    <x v="16"/>
    <s v="046001"/>
    <x v="75"/>
    <n v="162"/>
    <n v="36"/>
    <n v="221.4"/>
    <n v="54"/>
  </r>
  <r>
    <x v="5"/>
    <n v="2016"/>
    <s v="046"/>
    <x v="16"/>
    <s v="046015"/>
    <x v="77"/>
    <n v="216"/>
    <n v="54"/>
    <n v="525"/>
    <n v="150"/>
  </r>
  <r>
    <x v="5"/>
    <n v="2016"/>
    <s v="046"/>
    <x v="16"/>
    <s v="046020"/>
    <x v="78"/>
    <n v="315"/>
    <n v="42"/>
    <m/>
    <m/>
  </r>
  <r>
    <x v="5"/>
    <n v="2016"/>
    <s v="048B"/>
    <x v="17"/>
    <s v="048003B"/>
    <x v="79"/>
    <n v="705.6"/>
    <n v="126"/>
    <n v="1419"/>
    <n v="258"/>
  </r>
  <r>
    <x v="5"/>
    <n v="2016"/>
    <s v="049"/>
    <x v="18"/>
    <s v="049007"/>
    <x v="80"/>
    <n v="140.69999999999999"/>
    <n v="42"/>
    <n v="59.4"/>
    <n v="18"/>
  </r>
  <r>
    <x v="5"/>
    <n v="2016"/>
    <s v="049"/>
    <x v="18"/>
    <s v="049015"/>
    <x v="81"/>
    <n v="417.6"/>
    <n v="144"/>
    <m/>
    <m/>
  </r>
  <r>
    <x v="5"/>
    <n v="2016"/>
    <s v="049"/>
    <x v="18"/>
    <s v="049020"/>
    <x v="82"/>
    <n v="837"/>
    <n v="384"/>
    <n v="575.46"/>
    <n v="258"/>
  </r>
  <r>
    <x v="5"/>
    <n v="2016"/>
    <s v="049"/>
    <x v="18"/>
    <s v="049023"/>
    <x v="82"/>
    <n v="39.6"/>
    <n v="12"/>
    <n v="39.6"/>
    <n v="12"/>
  </r>
  <r>
    <x v="5"/>
    <n v="2016"/>
    <s v="049"/>
    <x v="18"/>
    <s v="049027"/>
    <x v="80"/>
    <n v="162"/>
    <n v="48"/>
    <n v="40.5"/>
    <n v="12"/>
  </r>
  <r>
    <x v="5"/>
    <n v="2016"/>
    <s v="049"/>
    <x v="18"/>
    <s v="CDV049040"/>
    <x v="349"/>
    <n v="0"/>
    <n v="36"/>
    <m/>
    <m/>
  </r>
  <r>
    <x v="5"/>
    <n v="2016"/>
    <s v="050"/>
    <x v="19"/>
    <s v="050001"/>
    <x v="83"/>
    <n v="1306.5"/>
    <n v="402"/>
    <n v="1958.4"/>
    <n v="612"/>
  </r>
  <r>
    <x v="5"/>
    <n v="2016"/>
    <s v="050"/>
    <x v="19"/>
    <s v="050003"/>
    <x v="84"/>
    <n v="390"/>
    <n v="120"/>
    <n v="230.4"/>
    <n v="72"/>
  </r>
  <r>
    <x v="5"/>
    <n v="2016"/>
    <s v="050"/>
    <x v="19"/>
    <s v="050005"/>
    <x v="85"/>
    <n v="396"/>
    <n v="90"/>
    <m/>
    <m/>
  </r>
  <r>
    <x v="5"/>
    <n v="2016"/>
    <s v="050"/>
    <x v="19"/>
    <s v="050010"/>
    <x v="256"/>
    <n v="39"/>
    <n v="6"/>
    <m/>
    <m/>
  </r>
  <r>
    <x v="5"/>
    <n v="2016"/>
    <s v="050"/>
    <x v="19"/>
    <s v="CDV050015"/>
    <x v="350"/>
    <n v="307.2"/>
    <n v="24"/>
    <m/>
    <m/>
  </r>
  <r>
    <x v="5"/>
    <n v="2016"/>
    <s v="051"/>
    <x v="20"/>
    <s v="051000"/>
    <x v="86"/>
    <n v="3091.2"/>
    <n v="552"/>
    <n v="5470.5"/>
    <n v="978"/>
  </r>
  <r>
    <x v="5"/>
    <n v="2016"/>
    <s v="051"/>
    <x v="20"/>
    <s v="051002CB"/>
    <x v="288"/>
    <n v="170.1"/>
    <n v="6"/>
    <n v="27.99"/>
    <n v="3"/>
  </r>
  <r>
    <x v="5"/>
    <n v="2016"/>
    <s v="051"/>
    <x v="20"/>
    <s v="051010/11"/>
    <x v="87"/>
    <n v="5491.8"/>
    <n v="678"/>
    <m/>
    <m/>
  </r>
  <r>
    <x v="5"/>
    <n v="2016"/>
    <s v="051"/>
    <x v="20"/>
    <s v="051016"/>
    <x v="88"/>
    <n v="158.4"/>
    <n v="24"/>
    <m/>
    <m/>
  </r>
  <r>
    <x v="5"/>
    <n v="2016"/>
    <s v="051"/>
    <x v="20"/>
    <s v="051017"/>
    <x v="88"/>
    <n v="914.4"/>
    <n v="144"/>
    <n v="834.6"/>
    <n v="132"/>
  </r>
  <r>
    <x v="5"/>
    <n v="2016"/>
    <s v="051"/>
    <x v="20"/>
    <s v="051133"/>
    <x v="89"/>
    <n v="2124"/>
    <n v="240"/>
    <n v="1584"/>
    <n v="180"/>
  </r>
  <r>
    <x v="5"/>
    <n v="2016"/>
    <s v="051"/>
    <x v="20"/>
    <s v="CDV051000"/>
    <x v="351"/>
    <n v="100.8"/>
    <n v="18"/>
    <m/>
    <m/>
  </r>
  <r>
    <x v="5"/>
    <n v="2016"/>
    <s v="052"/>
    <x v="21"/>
    <s v="052017"/>
    <x v="90"/>
    <n v="353.7"/>
    <n v="36"/>
    <n v="471.6"/>
    <n v="48"/>
  </r>
  <r>
    <x v="5"/>
    <n v="2016"/>
    <s v="052"/>
    <x v="21"/>
    <s v="052021"/>
    <x v="91"/>
    <n v="748.8"/>
    <n v="78"/>
    <n v="979.2"/>
    <n v="102"/>
  </r>
  <r>
    <x v="5"/>
    <n v="2016"/>
    <s v="052"/>
    <x v="21"/>
    <s v="052028"/>
    <x v="92"/>
    <n v="190.8"/>
    <n v="72"/>
    <n v="349.8"/>
    <n v="132"/>
  </r>
  <r>
    <x v="5"/>
    <n v="2016"/>
    <s v="052"/>
    <x v="21"/>
    <s v="052039"/>
    <x v="93"/>
    <n v="863.1"/>
    <n v="126"/>
    <n v="1027.5"/>
    <n v="150"/>
  </r>
  <r>
    <x v="5"/>
    <n v="2016"/>
    <s v="052"/>
    <x v="21"/>
    <s v="052046"/>
    <x v="94"/>
    <n v="424.5"/>
    <n v="60"/>
    <n v="169.8"/>
    <n v="24"/>
  </r>
  <r>
    <x v="5"/>
    <n v="2016"/>
    <s v="052"/>
    <x v="21"/>
    <s v="052055"/>
    <x v="96"/>
    <n v="493.2"/>
    <n v="72"/>
    <n v="246.6"/>
    <n v="36"/>
  </r>
  <r>
    <x v="5"/>
    <n v="2016"/>
    <s v="054"/>
    <x v="22"/>
    <s v="054002"/>
    <x v="97"/>
    <n v="600"/>
    <n v="120"/>
    <n v="432"/>
    <n v="90"/>
  </r>
  <r>
    <x v="5"/>
    <n v="2016"/>
    <s v="054"/>
    <x v="22"/>
    <s v="054005"/>
    <x v="98"/>
    <n v="558"/>
    <n v="72"/>
    <n v="617.4"/>
    <n v="84"/>
  </r>
  <r>
    <x v="5"/>
    <n v="2016"/>
    <s v="054"/>
    <x v="22"/>
    <s v="054011"/>
    <x v="99"/>
    <n v="373.8"/>
    <n v="42"/>
    <n v="508.2"/>
    <n v="66"/>
  </r>
  <r>
    <x v="5"/>
    <n v="2016"/>
    <s v="059"/>
    <x v="23"/>
    <s v="059002"/>
    <x v="100"/>
    <n v="25.2"/>
    <n v="6"/>
    <n v="655.20000000000005"/>
    <n v="156"/>
  </r>
  <r>
    <x v="5"/>
    <n v="2016"/>
    <s v="059"/>
    <x v="23"/>
    <s v="059004"/>
    <x v="101"/>
    <n v="21.6"/>
    <n v="6"/>
    <n v="42.6"/>
    <n v="12"/>
  </r>
  <r>
    <x v="5"/>
    <n v="2016"/>
    <s v="059"/>
    <x v="23"/>
    <s v="059005"/>
    <x v="101"/>
    <n v="129.6"/>
    <n v="36"/>
    <m/>
    <m/>
  </r>
  <r>
    <x v="5"/>
    <n v="2016"/>
    <s v="059"/>
    <x v="23"/>
    <s v="059008"/>
    <x v="102"/>
    <n v="297"/>
    <n v="54"/>
    <n v="66"/>
    <n v="18"/>
  </r>
  <r>
    <x v="5"/>
    <n v="2016"/>
    <s v="059"/>
    <x v="23"/>
    <s v="059010"/>
    <x v="102"/>
    <n v="198"/>
    <n v="36"/>
    <n v="363"/>
    <n v="66"/>
  </r>
  <r>
    <x v="5"/>
    <n v="2016"/>
    <s v="059"/>
    <x v="23"/>
    <s v="059019"/>
    <x v="103"/>
    <n v="191.7"/>
    <n v="54"/>
    <n v="255.6"/>
    <n v="72"/>
  </r>
  <r>
    <x v="5"/>
    <n v="2016"/>
    <s v="059"/>
    <x v="23"/>
    <s v="059020"/>
    <x v="104"/>
    <n v="4687.2"/>
    <n v="1308"/>
    <n v="3559.8"/>
    <n v="1014"/>
  </r>
  <r>
    <x v="5"/>
    <n v="2016"/>
    <s v="059"/>
    <x v="23"/>
    <s v="059021"/>
    <x v="105"/>
    <n v="1460.2"/>
    <n v="653.66"/>
    <n v="1385.7"/>
    <n v="633.65"/>
  </r>
  <r>
    <x v="5"/>
    <n v="2016"/>
    <s v="059"/>
    <x v="23"/>
    <s v="059024"/>
    <x v="107"/>
    <n v="36"/>
    <n v="12"/>
    <n v="72"/>
    <n v="24"/>
  </r>
  <r>
    <x v="5"/>
    <n v="2016"/>
    <s v="059"/>
    <x v="23"/>
    <s v="059025"/>
    <x v="106"/>
    <n v="5170.5"/>
    <n v="2334"/>
    <n v="6534"/>
    <n v="2934"/>
  </r>
  <r>
    <x v="5"/>
    <n v="2016"/>
    <s v="059"/>
    <x v="23"/>
    <s v="059026"/>
    <x v="107"/>
    <n v="2605.1999999999998"/>
    <n v="1807.57"/>
    <n v="3059.1"/>
    <n v="2087.71"/>
  </r>
  <r>
    <x v="5"/>
    <n v="2016"/>
    <s v="059"/>
    <x v="23"/>
    <s v="059027"/>
    <x v="259"/>
    <n v="135.19999999999999"/>
    <n v="106.64"/>
    <m/>
    <m/>
  </r>
  <r>
    <x v="5"/>
    <n v="2016"/>
    <s v="059"/>
    <x v="23"/>
    <s v="059028"/>
    <x v="107"/>
    <n v="15.5"/>
    <n v="4"/>
    <m/>
    <m/>
  </r>
  <r>
    <x v="5"/>
    <n v="2016"/>
    <s v="059"/>
    <x v="23"/>
    <s v="059101"/>
    <x v="290"/>
    <n v="237.6"/>
    <n v="132"/>
    <n v="86.4"/>
    <n v="48"/>
  </r>
  <r>
    <x v="5"/>
    <n v="2016"/>
    <s v="059"/>
    <x v="23"/>
    <s v="059103"/>
    <x v="316"/>
    <n v="21.6"/>
    <n v="12"/>
    <n v="43.2"/>
    <n v="24"/>
  </r>
  <r>
    <x v="5"/>
    <n v="2016"/>
    <s v="059"/>
    <x v="23"/>
    <s v="059104"/>
    <x v="291"/>
    <n v="155.4"/>
    <n v="42"/>
    <n v="22.2"/>
    <n v="6"/>
  </r>
  <r>
    <x v="5"/>
    <n v="2016"/>
    <s v="060"/>
    <x v="24"/>
    <s v="060015"/>
    <x v="109"/>
    <n v="830.28"/>
    <n v="228"/>
    <n v="1168.8"/>
    <n v="330"/>
  </r>
  <r>
    <x v="5"/>
    <n v="2016"/>
    <s v="060"/>
    <x v="24"/>
    <s v="060016"/>
    <x v="109"/>
    <n v="85.32"/>
    <n v="18"/>
    <n v="133.19999999999999"/>
    <n v="30"/>
  </r>
  <r>
    <x v="5"/>
    <n v="2016"/>
    <s v="062"/>
    <x v="25"/>
    <s v="062001"/>
    <x v="260"/>
    <n v="120"/>
    <n v="24"/>
    <n v="612"/>
    <n v="120"/>
  </r>
  <r>
    <x v="5"/>
    <n v="2016"/>
    <s v="062"/>
    <x v="25"/>
    <s v="062002"/>
    <x v="110"/>
    <n v="110.4"/>
    <n v="24"/>
    <n v="108"/>
    <n v="24"/>
  </r>
  <r>
    <x v="5"/>
    <n v="2016"/>
    <s v="062"/>
    <x v="25"/>
    <s v="062003"/>
    <x v="110"/>
    <n v="2560.8000000000002"/>
    <n v="582"/>
    <n v="4282.8"/>
    <n v="996"/>
  </r>
  <r>
    <x v="5"/>
    <n v="2016"/>
    <s v="062"/>
    <x v="25"/>
    <s v="062021"/>
    <x v="110"/>
    <n v="518.4"/>
    <n v="162"/>
    <n v="530.70000000000005"/>
    <n v="174"/>
  </r>
  <r>
    <x v="5"/>
    <n v="2016"/>
    <s v="062"/>
    <x v="25"/>
    <s v="062030"/>
    <x v="111"/>
    <n v="28.8"/>
    <n v="6"/>
    <n v="144"/>
    <n v="30"/>
  </r>
  <r>
    <x v="5"/>
    <n v="2016"/>
    <s v="062"/>
    <x v="25"/>
    <s v="062031"/>
    <x v="341"/>
    <n v="0"/>
    <n v="-6"/>
    <m/>
    <m/>
  </r>
  <r>
    <x v="5"/>
    <n v="2016"/>
    <s v="062"/>
    <x v="25"/>
    <s v="062032"/>
    <x v="112"/>
    <n v="2400"/>
    <n v="1073.8699999999999"/>
    <n v="1798"/>
    <n v="880.43999999999994"/>
  </r>
  <r>
    <x v="5"/>
    <n v="2016"/>
    <s v="074"/>
    <x v="26"/>
    <s v="074012"/>
    <x v="113"/>
    <n v="775.2"/>
    <n v="102"/>
    <n v="912"/>
    <n v="120"/>
  </r>
  <r>
    <x v="5"/>
    <n v="2016"/>
    <s v="074"/>
    <x v="26"/>
    <s v="074013"/>
    <x v="114"/>
    <n v="1729.8"/>
    <n v="372"/>
    <n v="1214.4000000000001"/>
    <n v="264"/>
  </r>
  <r>
    <x v="5"/>
    <n v="2016"/>
    <s v="074"/>
    <x v="26"/>
    <s v="074029"/>
    <x v="342"/>
    <n v="184.8"/>
    <n v="24"/>
    <m/>
    <m/>
  </r>
  <r>
    <x v="5"/>
    <n v="2016"/>
    <s v="075"/>
    <x v="27"/>
    <s v="075002"/>
    <x v="115"/>
    <n v="1220.0999999999999"/>
    <n v="300"/>
    <n v="1423.08"/>
    <n v="360"/>
  </r>
  <r>
    <x v="5"/>
    <n v="2016"/>
    <s v="075"/>
    <x v="27"/>
    <s v="075004"/>
    <x v="115"/>
    <n v="285.89999999999998"/>
    <n v="60"/>
    <n v="55.2"/>
    <n v="12"/>
  </r>
  <r>
    <x v="5"/>
    <n v="2016"/>
    <s v="075"/>
    <x v="27"/>
    <s v="075011"/>
    <x v="317"/>
    <n v="167.4"/>
    <n v="24"/>
    <m/>
    <m/>
  </r>
  <r>
    <x v="5"/>
    <n v="2016"/>
    <s v="075"/>
    <x v="27"/>
    <s v="075013"/>
    <x v="116"/>
    <n v="199.8"/>
    <n v="36"/>
    <n v="530.4"/>
    <n v="102"/>
  </r>
  <r>
    <x v="5"/>
    <n v="2016"/>
    <s v="075"/>
    <x v="27"/>
    <s v="CDV075005"/>
    <x v="261"/>
    <n v="120"/>
    <n v="16"/>
    <m/>
    <m/>
  </r>
  <r>
    <x v="5"/>
    <n v="2016"/>
    <s v="080"/>
    <x v="28"/>
    <s v="080010"/>
    <x v="118"/>
    <n v="1006.2"/>
    <n v="156"/>
    <n v="378"/>
    <n v="60"/>
  </r>
  <r>
    <x v="5"/>
    <n v="2016"/>
    <s v="080"/>
    <x v="28"/>
    <s v="080011"/>
    <x v="118"/>
    <n v="280.8"/>
    <n v="36"/>
    <n v="92.4"/>
    <n v="12"/>
  </r>
  <r>
    <x v="5"/>
    <n v="2016"/>
    <s v="080"/>
    <x v="28"/>
    <s v="080015"/>
    <x v="118"/>
    <n v="160.80000000000001"/>
    <n v="24"/>
    <n v="673.2"/>
    <n v="102"/>
  </r>
  <r>
    <x v="5"/>
    <n v="2016"/>
    <s v="083"/>
    <x v="29"/>
    <s v="083003"/>
    <x v="119"/>
    <n v="206.4"/>
    <n v="96"/>
    <n v="869.4"/>
    <n v="414"/>
  </r>
  <r>
    <x v="5"/>
    <n v="2016"/>
    <s v="084"/>
    <x v="30"/>
    <s v="084001"/>
    <x v="120"/>
    <n v="2310"/>
    <n v="1599.6"/>
    <n v="1539"/>
    <n v="1093.06"/>
  </r>
  <r>
    <x v="5"/>
    <n v="2016"/>
    <s v="084"/>
    <x v="30"/>
    <s v="084002"/>
    <x v="120"/>
    <n v="2080"/>
    <n v="1287.31"/>
    <n v="1628"/>
    <n v="1020.51"/>
  </r>
  <r>
    <x v="5"/>
    <n v="2016"/>
    <s v="084"/>
    <x v="30"/>
    <s v="084004"/>
    <x v="121"/>
    <n v="579.6"/>
    <n v="276"/>
    <n v="184.5"/>
    <n v="90"/>
  </r>
  <r>
    <x v="5"/>
    <n v="2016"/>
    <s v="084"/>
    <x v="30"/>
    <s v="084006"/>
    <x v="122"/>
    <n v="3795"/>
    <n v="1398"/>
    <n v="2106"/>
    <n v="780"/>
  </r>
  <r>
    <x v="5"/>
    <n v="2016"/>
    <s v="084"/>
    <x v="30"/>
    <s v="084007"/>
    <x v="123"/>
    <n v="1104"/>
    <n v="240"/>
    <n v="567"/>
    <n v="126"/>
  </r>
  <r>
    <x v="5"/>
    <n v="2016"/>
    <s v="084"/>
    <x v="30"/>
    <s v="084008"/>
    <x v="124"/>
    <n v="394.68"/>
    <n v="66"/>
    <n v="70.2"/>
    <n v="12"/>
  </r>
  <r>
    <x v="5"/>
    <n v="2016"/>
    <s v="084"/>
    <x v="30"/>
    <s v="084015"/>
    <x v="263"/>
    <n v="193.5"/>
    <n v="18"/>
    <m/>
    <m/>
  </r>
  <r>
    <x v="5"/>
    <n v="2016"/>
    <s v="084"/>
    <x v="30"/>
    <s v="084039"/>
    <x v="265"/>
    <n v="143.28"/>
    <n v="36"/>
    <n v="0"/>
    <n v="6"/>
  </r>
  <r>
    <x v="5"/>
    <n v="2016"/>
    <s v="084"/>
    <x v="30"/>
    <s v="084041"/>
    <x v="343"/>
    <n v="319"/>
    <n v="168"/>
    <m/>
    <m/>
  </r>
  <r>
    <x v="5"/>
    <n v="2016"/>
    <s v="086B"/>
    <x v="31"/>
    <s v="086002P"/>
    <x v="126"/>
    <n v="39.64"/>
    <n v="26.68"/>
    <n v="64.819999999999993"/>
    <n v="60.03"/>
  </r>
  <r>
    <x v="5"/>
    <n v="2016"/>
    <s v="086B"/>
    <x v="31"/>
    <s v="086011P"/>
    <x v="126"/>
    <n v="377.37"/>
    <n v="279.93"/>
    <n v="218.27"/>
    <n v="173.29"/>
  </r>
  <r>
    <x v="5"/>
    <n v="2016"/>
    <s v="086B"/>
    <x v="31"/>
    <s v="086012P"/>
    <x v="126"/>
    <n v="287.39"/>
    <n v="200.1"/>
    <n v="287.06"/>
    <n v="213.44"/>
  </r>
  <r>
    <x v="5"/>
    <n v="2016"/>
    <s v="089"/>
    <x v="33"/>
    <s v="089002"/>
    <x v="128"/>
    <n v="481.8"/>
    <n v="132"/>
    <n v="234.3"/>
    <n v="66"/>
  </r>
  <r>
    <x v="5"/>
    <n v="2016"/>
    <s v="089"/>
    <x v="33"/>
    <s v="089010"/>
    <x v="129"/>
    <n v="66.599999999999994"/>
    <n v="18"/>
    <n v="21.6"/>
    <n v="6"/>
  </r>
  <r>
    <x v="5"/>
    <n v="2016"/>
    <s v="089"/>
    <x v="33"/>
    <s v="089800"/>
    <x v="130"/>
    <n v="946.2"/>
    <n v="228"/>
    <n v="861"/>
    <n v="210"/>
  </r>
  <r>
    <x v="5"/>
    <n v="2016"/>
    <s v="089"/>
    <x v="33"/>
    <s v="089900"/>
    <x v="131"/>
    <n v="510"/>
    <n v="319.92"/>
    <n v="830.25"/>
    <n v="546.53"/>
  </r>
  <r>
    <x v="5"/>
    <n v="2016"/>
    <s v="089"/>
    <x v="33"/>
    <s v="089901"/>
    <x v="132"/>
    <n v="976.8"/>
    <n v="506.92"/>
    <n v="890.6"/>
    <n v="493.58"/>
  </r>
  <r>
    <x v="5"/>
    <n v="2016"/>
    <s v="089"/>
    <x v="33"/>
    <s v="089903"/>
    <x v="133"/>
    <n v="1746.6"/>
    <n v="426"/>
    <n v="1579.5"/>
    <n v="390"/>
  </r>
  <r>
    <x v="5"/>
    <n v="2016"/>
    <s v="092"/>
    <x v="34"/>
    <s v="092002"/>
    <x v="134"/>
    <n v="72.599999999999994"/>
    <n v="12"/>
    <m/>
    <m/>
  </r>
  <r>
    <x v="5"/>
    <n v="2016"/>
    <s v="094"/>
    <x v="35"/>
    <s v="094001"/>
    <x v="135"/>
    <n v="890.4"/>
    <n v="174"/>
    <n v="2776.8"/>
    <n v="534"/>
  </r>
  <r>
    <x v="5"/>
    <n v="2016"/>
    <s v="094"/>
    <x v="35"/>
    <s v="094003"/>
    <x v="136"/>
    <n v="271.2"/>
    <n v="48"/>
    <n v="133.19999999999999"/>
    <n v="24"/>
  </r>
  <r>
    <x v="5"/>
    <n v="2016"/>
    <s v="094"/>
    <x v="35"/>
    <s v="094004"/>
    <x v="137"/>
    <n v="95.4"/>
    <n v="18"/>
    <m/>
    <m/>
  </r>
  <r>
    <x v="5"/>
    <n v="2016"/>
    <s v="095"/>
    <x v="36"/>
    <s v="095001"/>
    <x v="138"/>
    <n v="333"/>
    <n v="90"/>
    <n v="932.4"/>
    <n v="258"/>
  </r>
  <r>
    <x v="5"/>
    <n v="2016"/>
    <s v="095"/>
    <x v="36"/>
    <s v="095005"/>
    <x v="139"/>
    <n v="23.4"/>
    <n v="6"/>
    <m/>
    <m/>
  </r>
  <r>
    <x v="5"/>
    <n v="2016"/>
    <s v="095"/>
    <x v="36"/>
    <s v="095008"/>
    <x v="294"/>
    <n v="-97.2"/>
    <n v="-18"/>
    <m/>
    <m/>
  </r>
  <r>
    <x v="5"/>
    <n v="2016"/>
    <s v="095"/>
    <x v="36"/>
    <s v="095010"/>
    <x v="140"/>
    <n v="1701.9"/>
    <n v="366"/>
    <n v="474.3"/>
    <n v="108"/>
  </r>
  <r>
    <x v="5"/>
    <n v="2016"/>
    <s v="095"/>
    <x v="36"/>
    <s v="095012"/>
    <x v="141"/>
    <n v="669.6"/>
    <n v="114"/>
    <n v="595.20000000000005"/>
    <n v="96"/>
  </r>
  <r>
    <x v="5"/>
    <n v="2016"/>
    <s v="095"/>
    <x v="36"/>
    <s v="095014"/>
    <x v="266"/>
    <n v="367.2"/>
    <n v="60"/>
    <n v="0"/>
    <n v="6"/>
  </r>
  <r>
    <x v="5"/>
    <n v="2016"/>
    <s v="095"/>
    <x v="36"/>
    <s v="095015"/>
    <x v="266"/>
    <n v="84"/>
    <n v="12"/>
    <m/>
    <m/>
  </r>
  <r>
    <x v="5"/>
    <n v="2016"/>
    <s v="095"/>
    <x v="36"/>
    <s v="095016"/>
    <x v="142"/>
    <n v="104.4"/>
    <n v="18"/>
    <n v="313.2"/>
    <n v="36"/>
  </r>
  <r>
    <x v="5"/>
    <n v="2016"/>
    <s v="095"/>
    <x v="36"/>
    <s v="CDV095007"/>
    <x v="295"/>
    <n v="120"/>
    <n v="30"/>
    <m/>
    <m/>
  </r>
  <r>
    <x v="5"/>
    <n v="2016"/>
    <s v="097"/>
    <x v="38"/>
    <s v="097003"/>
    <x v="146"/>
    <n v="33"/>
    <n v="12"/>
    <n v="93.6"/>
    <n v="36"/>
  </r>
  <r>
    <x v="5"/>
    <n v="2016"/>
    <s v="097"/>
    <x v="38"/>
    <s v="097004"/>
    <x v="147"/>
    <n v="1848"/>
    <n v="900"/>
    <n v="1488.3"/>
    <n v="726"/>
  </r>
  <r>
    <x v="5"/>
    <n v="2016"/>
    <s v="099"/>
    <x v="39"/>
    <s v="099001"/>
    <x v="148"/>
    <n v="2586.12"/>
    <n v="1674"/>
    <n v="2142.48"/>
    <n v="1380"/>
  </r>
  <r>
    <x v="5"/>
    <n v="2016"/>
    <s v="099"/>
    <x v="39"/>
    <s v="099002"/>
    <x v="148"/>
    <n v="11030.48"/>
    <n v="7932"/>
    <n v="10952.84"/>
    <n v="7848"/>
  </r>
  <r>
    <x v="5"/>
    <n v="2016"/>
    <s v="099"/>
    <x v="39"/>
    <s v="099003"/>
    <x v="148"/>
    <n v="96.12"/>
    <n v="54"/>
    <n v="951.6"/>
    <n v="570"/>
  </r>
  <r>
    <x v="5"/>
    <n v="2016"/>
    <s v="099"/>
    <x v="39"/>
    <s v="099013"/>
    <x v="149"/>
    <n v="118.02"/>
    <n v="42"/>
    <n v="236.04"/>
    <n v="90"/>
  </r>
  <r>
    <x v="5"/>
    <n v="2016"/>
    <s v="099"/>
    <x v="39"/>
    <s v="099016"/>
    <x v="150"/>
    <n v="175.2"/>
    <n v="60"/>
    <n v="188.1"/>
    <n v="66"/>
  </r>
  <r>
    <x v="5"/>
    <n v="2016"/>
    <s v="099"/>
    <x v="39"/>
    <s v="099022"/>
    <x v="352"/>
    <n v="13.44"/>
    <n v="6"/>
    <m/>
    <m/>
  </r>
  <r>
    <x v="5"/>
    <n v="2016"/>
    <s v="110"/>
    <x v="40"/>
    <s v="110500"/>
    <x v="151"/>
    <n v="579.70000000000005"/>
    <n v="413.23"/>
    <n v="600.6"/>
    <n v="439.89"/>
  </r>
  <r>
    <x v="5"/>
    <n v="2016"/>
    <s v="110"/>
    <x v="40"/>
    <s v="110501"/>
    <x v="151"/>
    <n v="613.25"/>
    <n v="366.85"/>
    <n v="354.75"/>
    <n v="226.78"/>
  </r>
  <r>
    <x v="5"/>
    <n v="2016"/>
    <s v="110"/>
    <x v="40"/>
    <s v="110600"/>
    <x v="152"/>
    <n v="75.599999999999994"/>
    <n v="24"/>
    <n v="91.5"/>
    <n v="30"/>
  </r>
  <r>
    <x v="5"/>
    <n v="2016"/>
    <s v="110"/>
    <x v="40"/>
    <s v="110601"/>
    <x v="353"/>
    <n v="46.8"/>
    <n v="12"/>
    <m/>
    <m/>
  </r>
  <r>
    <x v="5"/>
    <n v="2016"/>
    <s v="113"/>
    <x v="41"/>
    <s v="113001"/>
    <x v="153"/>
    <n v="1607.4"/>
    <n v="288"/>
    <n v="792"/>
    <n v="144"/>
  </r>
  <r>
    <x v="5"/>
    <n v="2016"/>
    <s v="113"/>
    <x v="41"/>
    <s v="113002"/>
    <x v="153"/>
    <n v="302.39999999999998"/>
    <n v="48"/>
    <n v="146.4"/>
    <n v="24"/>
  </r>
  <r>
    <x v="5"/>
    <n v="2016"/>
    <s v="113"/>
    <x v="41"/>
    <s v="113005"/>
    <x v="153"/>
    <n v="1044"/>
    <n v="174"/>
    <n v="828"/>
    <n v="144"/>
  </r>
  <r>
    <x v="5"/>
    <n v="2016"/>
    <s v="113"/>
    <x v="41"/>
    <s v="113006"/>
    <x v="153"/>
    <n v="158.4"/>
    <n v="24"/>
    <n v="230.4"/>
    <n v="36"/>
  </r>
  <r>
    <x v="5"/>
    <n v="2016"/>
    <s v="114"/>
    <x v="42"/>
    <s v="114001"/>
    <x v="154"/>
    <n v="1683"/>
    <n v="618"/>
    <n v="891"/>
    <n v="330"/>
  </r>
  <r>
    <x v="5"/>
    <n v="2016"/>
    <s v="114"/>
    <x v="42"/>
    <s v="114002"/>
    <x v="154"/>
    <n v="81.12"/>
    <n v="24"/>
    <n v="99"/>
    <n v="30"/>
  </r>
  <r>
    <x v="5"/>
    <n v="2016"/>
    <s v="114"/>
    <x v="42"/>
    <s v="114005"/>
    <x v="155"/>
    <n v="112.8"/>
    <n v="54"/>
    <n v="211.5"/>
    <n v="90"/>
  </r>
  <r>
    <x v="5"/>
    <n v="2016"/>
    <s v="114"/>
    <x v="42"/>
    <s v="114006"/>
    <x v="155"/>
    <n v="36.24"/>
    <n v="12"/>
    <m/>
    <m/>
  </r>
  <r>
    <x v="5"/>
    <n v="2016"/>
    <s v="114"/>
    <x v="42"/>
    <s v="114010"/>
    <x v="156"/>
    <n v="277.2"/>
    <n v="159.96"/>
    <n v="363.2"/>
    <n v="213.28"/>
  </r>
  <r>
    <x v="5"/>
    <n v="2016"/>
    <s v="114"/>
    <x v="42"/>
    <s v="114011"/>
    <x v="156"/>
    <n v="283.5"/>
    <n v="146.74"/>
    <n v="764.64"/>
    <n v="406.87"/>
  </r>
  <r>
    <x v="5"/>
    <n v="2016"/>
    <s v="114"/>
    <x v="42"/>
    <s v="114012"/>
    <x v="157"/>
    <n v="35.04"/>
    <n v="26.66"/>
    <m/>
    <m/>
  </r>
  <r>
    <x v="5"/>
    <n v="2016"/>
    <s v="115"/>
    <x v="43"/>
    <s v="115005"/>
    <x v="159"/>
    <n v="683.4"/>
    <n v="102"/>
    <n v="1344"/>
    <n v="210"/>
  </r>
  <r>
    <x v="5"/>
    <n v="2016"/>
    <s v="115"/>
    <x v="43"/>
    <s v="115007"/>
    <x v="160"/>
    <n v="126"/>
    <n v="18"/>
    <n v="120.6"/>
    <n v="18"/>
  </r>
  <r>
    <x v="5"/>
    <n v="2016"/>
    <s v="115"/>
    <x v="43"/>
    <s v="115010"/>
    <x v="161"/>
    <n v="145"/>
    <n v="133.30000000000001"/>
    <n v="41.4"/>
    <n v="39.99"/>
  </r>
  <r>
    <x v="5"/>
    <n v="2016"/>
    <s v="115"/>
    <x v="43"/>
    <s v="115011"/>
    <x v="161"/>
    <n v="85"/>
    <n v="66.7"/>
    <n v="24"/>
    <n v="33.35"/>
  </r>
  <r>
    <x v="5"/>
    <n v="2016"/>
    <s v="116"/>
    <x v="44"/>
    <s v="116001"/>
    <x v="162"/>
    <n v="1186.8"/>
    <n v="264"/>
    <n v="1829.1"/>
    <n v="402"/>
  </r>
  <r>
    <x v="5"/>
    <n v="2016"/>
    <s v="116"/>
    <x v="44"/>
    <s v="116005"/>
    <x v="267"/>
    <n v="26.1"/>
    <n v="6"/>
    <n v="154.80000000000001"/>
    <n v="36"/>
  </r>
  <r>
    <x v="5"/>
    <n v="2016"/>
    <s v="118"/>
    <x v="45"/>
    <s v="118037"/>
    <x v="172"/>
    <n v="75.53"/>
    <n v="1"/>
    <m/>
    <m/>
  </r>
  <r>
    <x v="5"/>
    <n v="2016"/>
    <s v="124"/>
    <x v="46"/>
    <s v="124001"/>
    <x v="175"/>
    <n v="1350"/>
    <n v="300"/>
    <n v="475.2"/>
    <n v="108"/>
  </r>
  <r>
    <x v="5"/>
    <n v="2016"/>
    <s v="124"/>
    <x v="46"/>
    <s v="124002"/>
    <x v="176"/>
    <n v="237.6"/>
    <n v="72"/>
    <n v="480"/>
    <n v="150"/>
  </r>
  <r>
    <x v="5"/>
    <n v="2016"/>
    <s v="124"/>
    <x v="46"/>
    <s v="124005CB"/>
    <x v="177"/>
    <n v="241.8"/>
    <n v="39"/>
    <m/>
    <m/>
  </r>
  <r>
    <x v="5"/>
    <n v="2016"/>
    <s v="124"/>
    <x v="46"/>
    <s v="124010"/>
    <x v="178"/>
    <n v="869.4"/>
    <n v="138"/>
    <n v="1078.8"/>
    <n v="174"/>
  </r>
  <r>
    <x v="5"/>
    <n v="2016"/>
    <s v="134"/>
    <x v="47"/>
    <s v="134004"/>
    <x v="180"/>
    <n v="428.4"/>
    <n v="90"/>
    <n v="331.2"/>
    <n v="78"/>
  </r>
  <r>
    <x v="5"/>
    <n v="2016"/>
    <s v="134"/>
    <x v="47"/>
    <s v="134005"/>
    <x v="181"/>
    <n v="2671.38"/>
    <n v="582"/>
    <n v="478.44"/>
    <n v="108"/>
  </r>
  <r>
    <x v="5"/>
    <n v="2016"/>
    <s v="134"/>
    <x v="47"/>
    <s v="134007"/>
    <x v="296"/>
    <n v="381.12"/>
    <n v="24"/>
    <m/>
    <m/>
  </r>
  <r>
    <x v="5"/>
    <n v="2016"/>
    <s v="137"/>
    <x v="48"/>
    <s v="137001"/>
    <x v="182"/>
    <n v="1786.4"/>
    <n v="648"/>
    <n v="922.2"/>
    <n v="348"/>
  </r>
  <r>
    <x v="5"/>
    <n v="2016"/>
    <s v="137"/>
    <x v="48"/>
    <s v="137003"/>
    <x v="183"/>
    <n v="356.4"/>
    <n v="72"/>
    <n v="28.8"/>
    <n v="6"/>
  </r>
  <r>
    <x v="5"/>
    <n v="2016"/>
    <s v="140"/>
    <x v="49"/>
    <s v="140001"/>
    <x v="184"/>
    <n v="2244.6"/>
    <n v="528"/>
    <n v="982.8"/>
    <n v="234"/>
  </r>
  <r>
    <x v="5"/>
    <n v="2016"/>
    <s v="143"/>
    <x v="50"/>
    <s v="143001"/>
    <x v="185"/>
    <n v="288"/>
    <n v="72"/>
    <n v="327.60000000000002"/>
    <n v="84"/>
  </r>
  <r>
    <x v="5"/>
    <n v="2016"/>
    <s v="143"/>
    <x v="50"/>
    <s v="143002"/>
    <x v="185"/>
    <n v="624"/>
    <n v="162"/>
    <n v="1380.6"/>
    <n v="354"/>
  </r>
  <r>
    <x v="5"/>
    <n v="2016"/>
    <s v="143"/>
    <x v="50"/>
    <s v="CDV143003"/>
    <x v="354"/>
    <n v="117.6"/>
    <n v="42"/>
    <m/>
    <m/>
  </r>
  <r>
    <x v="5"/>
    <n v="2016"/>
    <s v="152"/>
    <x v="51"/>
    <s v="152001"/>
    <x v="186"/>
    <n v="305.10000000000002"/>
    <n v="60"/>
    <n v="1199.4000000000001"/>
    <n v="216"/>
  </r>
  <r>
    <x v="5"/>
    <n v="2016"/>
    <s v="153"/>
    <x v="52"/>
    <s v="153001"/>
    <x v="298"/>
    <n v="1287.5999999999999"/>
    <n v="222"/>
    <n v="1362.9"/>
    <n v="246"/>
  </r>
  <r>
    <x v="5"/>
    <n v="2016"/>
    <s v="153"/>
    <x v="52"/>
    <s v="153005"/>
    <x v="188"/>
    <n v="453.6"/>
    <n v="42"/>
    <m/>
    <m/>
  </r>
  <r>
    <x v="5"/>
    <n v="2016"/>
    <s v="157"/>
    <x v="53"/>
    <s v="157001"/>
    <x v="191"/>
    <n v="109.8"/>
    <n v="36"/>
    <n v="513.29999999999995"/>
    <n v="156"/>
  </r>
  <r>
    <x v="5"/>
    <n v="2016"/>
    <s v="162"/>
    <x v="54"/>
    <s v="162001"/>
    <x v="193"/>
    <n v="2557.8000000000002"/>
    <n v="882"/>
    <n v="1780.8"/>
    <n v="636"/>
  </r>
  <r>
    <x v="5"/>
    <n v="2016"/>
    <s v="162"/>
    <x v="54"/>
    <s v="162002"/>
    <x v="194"/>
    <n v="103.2"/>
    <n v="24"/>
    <n v="288"/>
    <n v="72"/>
  </r>
  <r>
    <x v="5"/>
    <n v="2016"/>
    <s v="162"/>
    <x v="54"/>
    <s v="162003"/>
    <x v="272"/>
    <n v="104.4"/>
    <n v="36"/>
    <n v="151.19999999999999"/>
    <n v="54"/>
  </r>
  <r>
    <x v="5"/>
    <n v="2016"/>
    <s v="162"/>
    <x v="54"/>
    <s v="162004"/>
    <x v="355"/>
    <n v="298.8"/>
    <n v="48"/>
    <m/>
    <m/>
  </r>
  <r>
    <x v="5"/>
    <n v="2016"/>
    <s v="162"/>
    <x v="54"/>
    <s v="CDV162004"/>
    <x v="273"/>
    <n v="75"/>
    <n v="30"/>
    <n v="60"/>
    <n v="24"/>
  </r>
  <r>
    <x v="5"/>
    <n v="2016"/>
    <s v="164"/>
    <x v="56"/>
    <s v="164002"/>
    <x v="196"/>
    <n v="1069.2"/>
    <n v="162"/>
    <m/>
    <m/>
  </r>
  <r>
    <x v="5"/>
    <n v="2016"/>
    <s v="164"/>
    <x v="56"/>
    <s v="164005/12"/>
    <x v="198"/>
    <n v="216"/>
    <n v="24"/>
    <m/>
    <m/>
  </r>
  <r>
    <x v="5"/>
    <n v="2016"/>
    <s v="164"/>
    <x v="56"/>
    <s v="164010"/>
    <x v="274"/>
    <n v="38"/>
    <n v="13.34"/>
    <n v="228"/>
    <n v="93.38"/>
  </r>
  <r>
    <x v="5"/>
    <n v="2016"/>
    <s v="168"/>
    <x v="57"/>
    <s v="168001"/>
    <x v="200"/>
    <n v="959.4"/>
    <n v="240"/>
    <n v="408"/>
    <n v="102"/>
  </r>
  <r>
    <x v="5"/>
    <n v="2016"/>
    <s v="168"/>
    <x v="57"/>
    <s v="168002"/>
    <x v="275"/>
    <n v="62.1"/>
    <n v="18"/>
    <n v="40.200000000000003"/>
    <n v="12"/>
  </r>
  <r>
    <x v="5"/>
    <n v="2016"/>
    <s v="168"/>
    <x v="57"/>
    <s v="168020CB"/>
    <x v="201"/>
    <n v="170.28"/>
    <n v="33"/>
    <n v="61.92"/>
    <n v="12"/>
  </r>
  <r>
    <x v="5"/>
    <n v="2016"/>
    <s v="169"/>
    <x v="58"/>
    <s v="169001"/>
    <x v="202"/>
    <n v="1911.6"/>
    <n v="654"/>
    <n v="1827"/>
    <n v="630"/>
  </r>
  <r>
    <x v="5"/>
    <n v="2016"/>
    <s v="169"/>
    <x v="58"/>
    <s v="169002"/>
    <x v="203"/>
    <n v="1556.1"/>
    <n v="630"/>
    <n v="2601.48"/>
    <n v="1074"/>
  </r>
  <r>
    <x v="5"/>
    <n v="2016"/>
    <s v="169"/>
    <x v="58"/>
    <s v="169005CB"/>
    <x v="276"/>
    <n v="38.700000000000003"/>
    <n v="9"/>
    <n v="77.400000000000006"/>
    <n v="18"/>
  </r>
  <r>
    <x v="5"/>
    <n v="2016"/>
    <s v="169"/>
    <x v="58"/>
    <s v="169009"/>
    <x v="204"/>
    <n v="333"/>
    <n v="239.94"/>
    <n v="1720.5"/>
    <n v="1239.69"/>
  </r>
  <r>
    <x v="5"/>
    <n v="2016"/>
    <s v="169"/>
    <x v="58"/>
    <s v="169010"/>
    <x v="204"/>
    <n v="724.5"/>
    <n v="460.23"/>
    <n v="1680"/>
    <n v="1073.8699999999999"/>
  </r>
  <r>
    <x v="5"/>
    <n v="2016"/>
    <s v="169"/>
    <x v="58"/>
    <s v="169012"/>
    <x v="356"/>
    <n v="0"/>
    <n v="6"/>
    <m/>
    <m/>
  </r>
  <r>
    <x v="5"/>
    <n v="2016"/>
    <s v="174"/>
    <x v="61"/>
    <s v="174001"/>
    <x v="207"/>
    <n v="2008.8"/>
    <n v="546"/>
    <n v="2053.44"/>
    <n v="552"/>
  </r>
  <r>
    <x v="5"/>
    <n v="2016"/>
    <s v="174"/>
    <x v="61"/>
    <s v="174002"/>
    <x v="208"/>
    <n v="297.60000000000002"/>
    <n v="54"/>
    <n v="220.32"/>
    <n v="36"/>
  </r>
  <r>
    <x v="5"/>
    <n v="2016"/>
    <s v="174"/>
    <x v="61"/>
    <s v="174003"/>
    <x v="209"/>
    <n v="2446.48"/>
    <n v="1200"/>
    <n v="864.96"/>
    <n v="426"/>
  </r>
  <r>
    <x v="5"/>
    <n v="2016"/>
    <s v="174"/>
    <x v="61"/>
    <s v="174005"/>
    <x v="330"/>
    <n v="3126"/>
    <n v="1440"/>
    <m/>
    <m/>
  </r>
  <r>
    <x v="5"/>
    <n v="2016"/>
    <s v="174"/>
    <x v="61"/>
    <s v="174006"/>
    <x v="330"/>
    <n v="4011.8"/>
    <n v="1098"/>
    <m/>
    <m/>
  </r>
  <r>
    <x v="5"/>
    <n v="2016"/>
    <s v="174"/>
    <x v="61"/>
    <s v="174007"/>
    <x v="330"/>
    <n v="938.4"/>
    <n v="432"/>
    <m/>
    <m/>
  </r>
  <r>
    <x v="5"/>
    <n v="2016"/>
    <s v="174"/>
    <x v="61"/>
    <s v="174009"/>
    <x v="331"/>
    <n v="70.8"/>
    <n v="12"/>
    <m/>
    <m/>
  </r>
  <r>
    <x v="5"/>
    <n v="2016"/>
    <s v="174"/>
    <x v="61"/>
    <s v="174010"/>
    <x v="210"/>
    <n v="1085.4000000000001"/>
    <n v="1079.73"/>
    <n v="1303.4000000000001"/>
    <n v="1306.3399999999999"/>
  </r>
  <r>
    <x v="5"/>
    <n v="2016"/>
    <s v="174"/>
    <x v="61"/>
    <s v="174011"/>
    <x v="210"/>
    <n v="548.79999999999995"/>
    <n v="480.24"/>
    <n v="880.27"/>
    <n v="787.06"/>
  </r>
  <r>
    <x v="5"/>
    <n v="2016"/>
    <s v="174"/>
    <x v="61"/>
    <s v="174015"/>
    <x v="211"/>
    <n v="368.55"/>
    <n v="279.93"/>
    <n v="1105.6500000000001"/>
    <n v="839.79"/>
  </r>
  <r>
    <x v="5"/>
    <n v="2016"/>
    <s v="174"/>
    <x v="61"/>
    <s v="174016"/>
    <x v="211"/>
    <n v="956.16"/>
    <n v="653.66"/>
    <n v="627.48"/>
    <n v="426.88"/>
  </r>
  <r>
    <x v="5"/>
    <n v="2016"/>
    <s v="175"/>
    <x v="62"/>
    <s v="175001"/>
    <x v="213"/>
    <n v="742.5"/>
    <n v="198"/>
    <n v="399.6"/>
    <n v="108"/>
  </r>
  <r>
    <x v="5"/>
    <n v="2016"/>
    <s v="175"/>
    <x v="62"/>
    <s v="175002"/>
    <x v="213"/>
    <n v="517.5"/>
    <n v="144"/>
    <n v="333"/>
    <n v="90"/>
  </r>
  <r>
    <x v="5"/>
    <n v="2016"/>
    <s v="175"/>
    <x v="62"/>
    <s v="175003"/>
    <x v="213"/>
    <n v="90"/>
    <n v="24"/>
    <m/>
    <m/>
  </r>
  <r>
    <x v="5"/>
    <n v="2016"/>
    <s v="199"/>
    <x v="64"/>
    <s v="199001"/>
    <x v="215"/>
    <n v="40.200000000000003"/>
    <n v="6"/>
    <n v="520.79999999999995"/>
    <n v="84"/>
  </r>
  <r>
    <x v="5"/>
    <n v="2016"/>
    <s v="199"/>
    <x v="64"/>
    <s v="199003"/>
    <x v="217"/>
    <n v="999.6"/>
    <n v="270"/>
    <n v="126"/>
    <n v="30"/>
  </r>
  <r>
    <x v="5"/>
    <n v="2016"/>
    <s v="199"/>
    <x v="64"/>
    <s v="199004"/>
    <x v="277"/>
    <n v="246"/>
    <n v="72"/>
    <m/>
    <m/>
  </r>
  <r>
    <x v="5"/>
    <n v="2016"/>
    <s v="201"/>
    <x v="65"/>
    <s v="201001"/>
    <x v="218"/>
    <n v="864.45"/>
    <n v="813.74"/>
    <n v="706.8"/>
    <n v="633.65"/>
  </r>
  <r>
    <x v="5"/>
    <n v="2016"/>
    <s v="201"/>
    <x v="65"/>
    <s v="201002"/>
    <x v="218"/>
    <n v="987.9"/>
    <n v="1013.08"/>
    <n v="1908"/>
    <n v="1946.18"/>
  </r>
  <r>
    <x v="5"/>
    <n v="2016"/>
    <s v="201"/>
    <x v="65"/>
    <s v="201003"/>
    <x v="219"/>
    <n v="2187.9"/>
    <n v="1974.32"/>
    <n v="2652.4"/>
    <n v="2374.52"/>
  </r>
  <r>
    <x v="5"/>
    <n v="2016"/>
    <s v="201"/>
    <x v="65"/>
    <s v="201004"/>
    <x v="219"/>
    <n v="4098.45"/>
    <n v="4118.97"/>
    <n v="3325.75"/>
    <n v="3359.16"/>
  </r>
  <r>
    <x v="5"/>
    <n v="2016"/>
    <s v="201"/>
    <x v="65"/>
    <s v="201006"/>
    <x v="220"/>
    <n v="2236.8000000000002"/>
    <n v="954"/>
    <n v="835.2"/>
    <n v="354"/>
  </r>
  <r>
    <x v="5"/>
    <n v="2016"/>
    <s v="201"/>
    <x v="65"/>
    <s v="201007"/>
    <x v="221"/>
    <n v="201.6"/>
    <n v="36"/>
    <n v="-63.96"/>
    <n v="6"/>
  </r>
  <r>
    <x v="5"/>
    <n v="2016"/>
    <s v="201"/>
    <x v="65"/>
    <s v="201008"/>
    <x v="222"/>
    <n v="695.4"/>
    <n v="228"/>
    <n v="249.6"/>
    <n v="78"/>
  </r>
  <r>
    <x v="5"/>
    <n v="2016"/>
    <s v="201"/>
    <x v="65"/>
    <s v="201010"/>
    <x v="223"/>
    <n v="1581"/>
    <n v="1133.05"/>
    <n v="1134.5999999999999"/>
    <n v="813.13"/>
  </r>
  <r>
    <x v="5"/>
    <n v="2016"/>
    <s v="201"/>
    <x v="65"/>
    <s v="201011"/>
    <x v="223"/>
    <n v="424.2"/>
    <n v="280.14"/>
    <n v="434.3"/>
    <n v="313.49"/>
  </r>
  <r>
    <x v="5"/>
    <n v="2016"/>
    <s v="201"/>
    <x v="65"/>
    <s v="201012"/>
    <x v="224"/>
    <n v="481.8"/>
    <n v="132"/>
    <n v="432"/>
    <n v="120"/>
  </r>
  <r>
    <x v="5"/>
    <n v="2016"/>
    <s v="201"/>
    <x v="65"/>
    <s v="201013"/>
    <x v="225"/>
    <n v="92.4"/>
    <n v="24"/>
    <n v="0"/>
    <n v="6"/>
  </r>
  <r>
    <x v="5"/>
    <n v="2016"/>
    <s v="201"/>
    <x v="65"/>
    <s v="201014"/>
    <x v="226"/>
    <n v="648"/>
    <n v="222"/>
    <n v="738"/>
    <n v="246"/>
  </r>
  <r>
    <x v="5"/>
    <n v="2016"/>
    <s v="201"/>
    <x v="65"/>
    <s v="201015"/>
    <x v="227"/>
    <n v="136.5"/>
    <n v="42"/>
    <m/>
    <m/>
  </r>
  <r>
    <x v="5"/>
    <n v="2016"/>
    <s v="201"/>
    <x v="65"/>
    <s v="201016"/>
    <x v="278"/>
    <n v="227.04"/>
    <n v="66"/>
    <n v="61.92"/>
    <n v="18"/>
  </r>
  <r>
    <x v="5"/>
    <n v="2016"/>
    <s v="201"/>
    <x v="65"/>
    <s v="201017"/>
    <x v="332"/>
    <n v="49.5"/>
    <n v="46.69"/>
    <m/>
    <m/>
  </r>
  <r>
    <x v="5"/>
    <n v="2016"/>
    <s v="201"/>
    <x v="65"/>
    <s v="201018"/>
    <x v="333"/>
    <n v="150"/>
    <n v="108"/>
    <m/>
    <m/>
  </r>
  <r>
    <x v="5"/>
    <n v="2016"/>
    <s v="201"/>
    <x v="65"/>
    <s v="201022"/>
    <x v="303"/>
    <n v="116.15"/>
    <n v="92"/>
    <m/>
    <m/>
  </r>
  <r>
    <x v="5"/>
    <n v="2016"/>
    <s v="201"/>
    <x v="65"/>
    <s v="201023"/>
    <x v="228"/>
    <n v="26.4"/>
    <n v="16"/>
    <m/>
    <m/>
  </r>
  <r>
    <x v="5"/>
    <n v="2016"/>
    <s v="201"/>
    <x v="65"/>
    <s v="201026"/>
    <x v="229"/>
    <n v="403.2"/>
    <n v="210"/>
    <n v="319.2"/>
    <n v="186"/>
  </r>
  <r>
    <x v="5"/>
    <n v="2016"/>
    <s v="201"/>
    <x v="65"/>
    <s v="201027"/>
    <x v="229"/>
    <n v="867.84"/>
    <n v="468"/>
    <n v="980.4"/>
    <n v="540"/>
  </r>
  <r>
    <x v="5"/>
    <n v="2016"/>
    <s v="201"/>
    <x v="65"/>
    <s v="201028"/>
    <x v="357"/>
    <n v="0"/>
    <n v="-6"/>
    <m/>
    <m/>
  </r>
  <r>
    <x v="5"/>
    <n v="2016"/>
    <s v="201"/>
    <x v="65"/>
    <s v="201031"/>
    <x v="304"/>
    <n v="92.16"/>
    <n v="66"/>
    <m/>
    <m/>
  </r>
  <r>
    <x v="5"/>
    <n v="2016"/>
    <s v="202"/>
    <x v="66"/>
    <s v="202001"/>
    <x v="230"/>
    <n v="62.1"/>
    <n v="30"/>
    <n v="146.88"/>
    <n v="72"/>
  </r>
  <r>
    <x v="5"/>
    <n v="2016"/>
    <s v="202"/>
    <x v="66"/>
    <s v="202002"/>
    <x v="230"/>
    <n v="706.38"/>
    <n v="354"/>
    <n v="771.12"/>
    <n v="378"/>
  </r>
  <r>
    <x v="5"/>
    <n v="2016"/>
    <s v="202"/>
    <x v="66"/>
    <s v="202003"/>
    <x v="230"/>
    <n v="86.94"/>
    <n v="48"/>
    <n v="134.63999999999999"/>
    <n v="66"/>
  </r>
  <r>
    <x v="5"/>
    <n v="2016"/>
    <s v="202"/>
    <x v="66"/>
    <s v="202004"/>
    <x v="231"/>
    <n v="0"/>
    <n v="6"/>
    <m/>
    <m/>
  </r>
  <r>
    <x v="5"/>
    <n v="2016"/>
    <s v="202"/>
    <x v="66"/>
    <s v="202007"/>
    <x v="232"/>
    <n v="0"/>
    <n v="78"/>
    <n v="117.72"/>
    <n v="60"/>
  </r>
  <r>
    <x v="5"/>
    <n v="2016"/>
    <s v="202"/>
    <x v="66"/>
    <s v="202008"/>
    <x v="305"/>
    <n v="0"/>
    <n v="246"/>
    <n v="0"/>
    <n v="6"/>
  </r>
  <r>
    <x v="5"/>
    <n v="2016"/>
    <s v="202"/>
    <x v="66"/>
    <s v="202010"/>
    <x v="233"/>
    <n v="133.5"/>
    <n v="106.72"/>
    <n v="293.7"/>
    <n v="240.12"/>
  </r>
  <r>
    <x v="5"/>
    <n v="2016"/>
    <s v="202"/>
    <x v="66"/>
    <s v="202012"/>
    <x v="306"/>
    <n v="0"/>
    <n v="36"/>
    <m/>
    <m/>
  </r>
  <r>
    <x v="5"/>
    <n v="2016"/>
    <s v="202"/>
    <x v="66"/>
    <s v="202013"/>
    <x v="306"/>
    <n v="0"/>
    <n v="48"/>
    <m/>
    <m/>
  </r>
  <r>
    <x v="5"/>
    <n v="2016"/>
    <s v="202"/>
    <x v="66"/>
    <s v="202015"/>
    <x v="279"/>
    <n v="0"/>
    <n v="6.67"/>
    <n v="108.9"/>
    <n v="86.71"/>
  </r>
  <r>
    <x v="5"/>
    <n v="2016"/>
    <s v="205"/>
    <x v="67"/>
    <s v="205001"/>
    <x v="234"/>
    <n v="445.5"/>
    <n v="198"/>
    <n v="-184.8"/>
    <n v="-84"/>
  </r>
  <r>
    <x v="5"/>
    <n v="2016"/>
    <s v="205"/>
    <x v="67"/>
    <s v="205002"/>
    <x v="235"/>
    <n v="43.2"/>
    <n v="18"/>
    <n v="28.2"/>
    <n v="12"/>
  </r>
  <r>
    <x v="5"/>
    <n v="2016"/>
    <s v="205"/>
    <x v="67"/>
    <s v="205003"/>
    <x v="236"/>
    <n v="133.19999999999999"/>
    <n v="36"/>
    <n v="21.9"/>
    <n v="6"/>
  </r>
  <r>
    <x v="5"/>
    <n v="2016"/>
    <s v="226"/>
    <x v="70"/>
    <s v="226003"/>
    <x v="358"/>
    <n v="67.56"/>
    <n v="12"/>
    <m/>
    <m/>
  </r>
  <r>
    <x v="5"/>
    <n v="2016"/>
    <s v="229"/>
    <x v="68"/>
    <s v="229005"/>
    <x v="238"/>
    <n v="135"/>
    <n v="30"/>
    <m/>
    <m/>
  </r>
  <r>
    <x v="5"/>
    <n v="2016"/>
    <s v="229"/>
    <x v="68"/>
    <s v="229006"/>
    <x v="239"/>
    <n v="0"/>
    <n v="6"/>
    <m/>
    <m/>
  </r>
  <r>
    <x v="5"/>
    <n v="2016"/>
    <s v="229"/>
    <x v="68"/>
    <s v="229008"/>
    <x v="241"/>
    <n v="296.39999999999998"/>
    <n v="78"/>
    <m/>
    <m/>
  </r>
  <r>
    <x v="6"/>
    <n v="2016"/>
    <s v="002"/>
    <x v="1"/>
    <s v="002001"/>
    <x v="5"/>
    <n v="4511.6400000000003"/>
    <n v="3855.2599999999998"/>
    <n v="5103"/>
    <n v="4528.93"/>
  </r>
  <r>
    <x v="6"/>
    <n v="2016"/>
    <s v="002"/>
    <x v="1"/>
    <s v="002002"/>
    <x v="6"/>
    <n v="13780"/>
    <n v="13423.31"/>
    <n v="17211.75"/>
    <n v="17355.66"/>
  </r>
  <r>
    <x v="6"/>
    <n v="2016"/>
    <s v="002"/>
    <x v="1"/>
    <s v="002003"/>
    <x v="7"/>
    <n v="7911.54"/>
    <n v="8491.2100000000009"/>
    <n v="6861.15"/>
    <n v="7771.39"/>
  </r>
  <r>
    <x v="6"/>
    <n v="2016"/>
    <s v="002"/>
    <x v="1"/>
    <s v="002004"/>
    <x v="7"/>
    <n v="2098.5"/>
    <n v="2021.01"/>
    <n v="1981.02"/>
    <n v="1874.27"/>
  </r>
  <r>
    <x v="6"/>
    <n v="2016"/>
    <s v="002"/>
    <x v="1"/>
    <s v="002007"/>
    <x v="8"/>
    <n v="2636.76"/>
    <n v="2919.27"/>
    <n v="3172.92"/>
    <n v="3679.08"/>
  </r>
  <r>
    <x v="6"/>
    <n v="2016"/>
    <s v="002"/>
    <x v="1"/>
    <s v="002008"/>
    <x v="9"/>
    <n v="2037.6"/>
    <n v="2400.3000000000002"/>
    <n v="2453.8000000000002"/>
    <n v="2987.04"/>
  </r>
  <r>
    <x v="6"/>
    <n v="2016"/>
    <s v="002"/>
    <x v="1"/>
    <s v="002009"/>
    <x v="9"/>
    <n v="1360.74"/>
    <n v="1653.5400000000002"/>
    <n v="157.15"/>
    <n v="186.69"/>
  </r>
  <r>
    <x v="6"/>
    <n v="2016"/>
    <s v="002"/>
    <x v="1"/>
    <s v="002010"/>
    <x v="10"/>
    <n v="3197.7"/>
    <n v="2294.48"/>
    <n v="2931.04"/>
    <n v="2174.42"/>
  </r>
  <r>
    <x v="6"/>
    <n v="2016"/>
    <s v="002"/>
    <x v="1"/>
    <s v="002011"/>
    <x v="11"/>
    <n v="3617.39"/>
    <n v="2892.61"/>
    <n v="3559.6"/>
    <n v="2985.92"/>
  </r>
  <r>
    <x v="6"/>
    <n v="2016"/>
    <s v="002"/>
    <x v="1"/>
    <s v="002015"/>
    <x v="11"/>
    <n v="5534.44"/>
    <n v="4425.5600000000004"/>
    <n v="9384.4"/>
    <n v="7798.05"/>
  </r>
  <r>
    <x v="6"/>
    <n v="2016"/>
    <s v="002"/>
    <x v="1"/>
    <s v="002016"/>
    <x v="11"/>
    <n v="4983.8999999999996"/>
    <n v="3501.75"/>
    <n v="5221"/>
    <n v="3868.6"/>
  </r>
  <r>
    <x v="6"/>
    <n v="2016"/>
    <s v="002"/>
    <x v="1"/>
    <s v="002017"/>
    <x v="12"/>
    <n v="9899.84"/>
    <n v="10610.68"/>
    <n v="10500.88"/>
    <n v="11810.38"/>
  </r>
  <r>
    <x v="6"/>
    <n v="2016"/>
    <s v="002"/>
    <x v="1"/>
    <s v="002018"/>
    <x v="12"/>
    <n v="4468.45"/>
    <n v="3988.66"/>
    <n v="5582.5"/>
    <n v="5195.93"/>
  </r>
  <r>
    <x v="6"/>
    <n v="2016"/>
    <s v="002"/>
    <x v="1"/>
    <s v="002020"/>
    <x v="13"/>
    <n v="2435.3000000000002"/>
    <n v="1038"/>
    <n v="1339.2"/>
    <n v="558"/>
  </r>
  <r>
    <x v="6"/>
    <n v="2016"/>
    <s v="002"/>
    <x v="1"/>
    <s v="002023"/>
    <x v="15"/>
    <n v="105.48"/>
    <n v="36"/>
    <m/>
    <m/>
  </r>
  <r>
    <x v="6"/>
    <n v="2016"/>
    <s v="002"/>
    <x v="1"/>
    <s v="002025"/>
    <x v="14"/>
    <n v="229.95"/>
    <n v="108"/>
    <n v="904.47"/>
    <n v="426"/>
  </r>
  <r>
    <x v="6"/>
    <n v="2016"/>
    <s v="002"/>
    <x v="1"/>
    <s v="002026"/>
    <x v="17"/>
    <n v="271.92"/>
    <n v="132"/>
    <n v="220.86"/>
    <n v="108"/>
  </r>
  <r>
    <x v="6"/>
    <n v="2016"/>
    <s v="002"/>
    <x v="1"/>
    <s v="002027"/>
    <x v="18"/>
    <n v="1948"/>
    <n v="1080"/>
    <n v="547.91"/>
    <n v="312"/>
  </r>
  <r>
    <x v="6"/>
    <n v="2016"/>
    <s v="002"/>
    <x v="1"/>
    <s v="002033"/>
    <x v="19"/>
    <n v="6.6"/>
    <n v="4"/>
    <n v="37.380000000000003"/>
    <n v="24"/>
  </r>
  <r>
    <x v="6"/>
    <n v="2016"/>
    <s v="002"/>
    <x v="1"/>
    <s v="002034"/>
    <x v="19"/>
    <n v="39.6"/>
    <n v="24"/>
    <n v="249.2"/>
    <n v="160"/>
  </r>
  <r>
    <x v="6"/>
    <n v="2016"/>
    <s v="002"/>
    <x v="1"/>
    <s v="002035"/>
    <x v="19"/>
    <n v="39.6"/>
    <n v="24"/>
    <n v="74.760000000000005"/>
    <n v="52"/>
  </r>
  <r>
    <x v="6"/>
    <n v="2016"/>
    <s v="002"/>
    <x v="1"/>
    <s v="002037"/>
    <x v="243"/>
    <n v="500.64"/>
    <n v="168"/>
    <n v="344.4"/>
    <n v="120"/>
  </r>
  <r>
    <x v="6"/>
    <n v="2016"/>
    <s v="002"/>
    <x v="1"/>
    <s v="002040"/>
    <x v="20"/>
    <n v="470.85"/>
    <n v="222"/>
    <n v="341.64"/>
    <n v="156"/>
  </r>
  <r>
    <x v="6"/>
    <n v="2016"/>
    <s v="002"/>
    <x v="1"/>
    <s v="002100"/>
    <x v="21"/>
    <n v="395.16"/>
    <n v="228"/>
    <n v="606"/>
    <n v="360"/>
  </r>
  <r>
    <x v="6"/>
    <n v="2016"/>
    <s v="002"/>
    <x v="1"/>
    <s v="002101"/>
    <x v="22"/>
    <n v="736.92"/>
    <n v="414"/>
    <n v="1785.12"/>
    <n v="1044"/>
  </r>
  <r>
    <x v="6"/>
    <n v="2016"/>
    <s v="002"/>
    <x v="1"/>
    <s v="002200"/>
    <x v="281"/>
    <n v="222.4"/>
    <n v="128"/>
    <n v="264.02999999999997"/>
    <n v="156"/>
  </r>
  <r>
    <x v="6"/>
    <n v="2016"/>
    <s v="002"/>
    <x v="1"/>
    <s v="002903"/>
    <x v="27"/>
    <n v="2096.5500000000002"/>
    <n v="2506.98"/>
    <n v="297.7"/>
    <n v="346.71000000000004"/>
  </r>
  <r>
    <x v="6"/>
    <n v="2016"/>
    <s v="002"/>
    <x v="1"/>
    <s v="002905"/>
    <x v="25"/>
    <n v="648"/>
    <n v="799.8"/>
    <n v="270"/>
    <n v="1053.07"/>
  </r>
  <r>
    <x v="6"/>
    <n v="2016"/>
    <s v="007"/>
    <x v="2"/>
    <s v="007002"/>
    <x v="28"/>
    <n v="55.2"/>
    <n v="12"/>
    <n v="516.6"/>
    <n v="126"/>
  </r>
  <r>
    <x v="6"/>
    <n v="2016"/>
    <s v="007"/>
    <x v="2"/>
    <s v="007003"/>
    <x v="29"/>
    <n v="198"/>
    <n v="36"/>
    <n v="62.4"/>
    <n v="12"/>
  </r>
  <r>
    <x v="6"/>
    <n v="2016"/>
    <s v="007"/>
    <x v="2"/>
    <s v="007004"/>
    <x v="30"/>
    <n v="304.5"/>
    <n v="42"/>
    <n v="364.5"/>
    <n v="54"/>
  </r>
  <r>
    <x v="6"/>
    <n v="2016"/>
    <s v="007"/>
    <x v="2"/>
    <s v="007005"/>
    <x v="31"/>
    <n v="119.7"/>
    <n v="18"/>
    <n v="516.6"/>
    <n v="84"/>
  </r>
  <r>
    <x v="6"/>
    <n v="2016"/>
    <s v="007"/>
    <x v="2"/>
    <s v="007006"/>
    <x v="32"/>
    <n v="226.8"/>
    <n v="36"/>
    <n v="354"/>
    <n v="60"/>
  </r>
  <r>
    <x v="6"/>
    <n v="2016"/>
    <s v="007"/>
    <x v="2"/>
    <s v="007011"/>
    <x v="359"/>
    <n v="45.6"/>
    <n v="6"/>
    <n v="35.4"/>
    <n v="6"/>
  </r>
  <r>
    <x v="6"/>
    <n v="2016"/>
    <s v="010"/>
    <x v="3"/>
    <s v="010019"/>
    <x v="346"/>
    <n v="1462.8"/>
    <n v="276"/>
    <m/>
    <m/>
  </r>
  <r>
    <x v="6"/>
    <n v="2016"/>
    <s v="011"/>
    <x v="4"/>
    <s v="011001"/>
    <x v="34"/>
    <n v="1747.62"/>
    <n v="438"/>
    <n v="4859.82"/>
    <n v="1230"/>
  </r>
  <r>
    <x v="6"/>
    <n v="2016"/>
    <s v="011"/>
    <x v="4"/>
    <s v="011002"/>
    <x v="310"/>
    <n v="119.7"/>
    <n v="30"/>
    <n v="161.69999999999999"/>
    <n v="42"/>
  </r>
  <r>
    <x v="6"/>
    <n v="2016"/>
    <s v="011"/>
    <x v="4"/>
    <s v="011005"/>
    <x v="245"/>
    <n v="1167.6600000000001"/>
    <n v="234"/>
    <n v="1491.3"/>
    <n v="306"/>
  </r>
  <r>
    <x v="6"/>
    <n v="2016"/>
    <s v="011"/>
    <x v="4"/>
    <s v="011006"/>
    <x v="35"/>
    <n v="112.8"/>
    <n v="24"/>
    <m/>
    <m/>
  </r>
  <r>
    <x v="6"/>
    <n v="2016"/>
    <s v="019"/>
    <x v="5"/>
    <s v="019003"/>
    <x v="36"/>
    <n v="4455"/>
    <n v="1980"/>
    <n v="4362.9399999999996"/>
    <n v="1980"/>
  </r>
  <r>
    <x v="6"/>
    <n v="2016"/>
    <s v="019"/>
    <x v="5"/>
    <s v="019004"/>
    <x v="36"/>
    <n v="105.12"/>
    <n v="36"/>
    <n v="104.4"/>
    <n v="36"/>
  </r>
  <r>
    <x v="6"/>
    <n v="2016"/>
    <s v="019"/>
    <x v="5"/>
    <s v="019008"/>
    <x v="37"/>
    <n v="693"/>
    <n v="466.55"/>
    <n v="926.4"/>
    <n v="639.84"/>
  </r>
  <r>
    <x v="6"/>
    <n v="2016"/>
    <s v="019"/>
    <x v="5"/>
    <s v="019009"/>
    <x v="37"/>
    <n v="537.6"/>
    <n v="326.83"/>
    <n v="407"/>
    <n v="246.79"/>
  </r>
  <r>
    <x v="6"/>
    <n v="2016"/>
    <s v="019"/>
    <x v="5"/>
    <s v="019011"/>
    <x v="38"/>
    <n v="277.44"/>
    <n v="102"/>
    <n v="194.4"/>
    <n v="72"/>
  </r>
  <r>
    <x v="6"/>
    <n v="2016"/>
    <s v="019"/>
    <x v="5"/>
    <s v="019014"/>
    <x v="38"/>
    <n v="20.399999999999999"/>
    <n v="6"/>
    <m/>
    <m/>
  </r>
  <r>
    <x v="6"/>
    <n v="2016"/>
    <s v="019"/>
    <x v="5"/>
    <s v="019015"/>
    <x v="39"/>
    <n v="55.2"/>
    <n v="24"/>
    <n v="189"/>
    <n v="84"/>
  </r>
  <r>
    <x v="6"/>
    <n v="2016"/>
    <s v="025"/>
    <x v="6"/>
    <s v="025001"/>
    <x v="40"/>
    <n v="285.18"/>
    <n v="42"/>
    <n v="1018.5"/>
    <n v="150"/>
  </r>
  <r>
    <x v="6"/>
    <n v="2016"/>
    <s v="025"/>
    <x v="6"/>
    <s v="025003"/>
    <x v="246"/>
    <n v="183.6"/>
    <n v="24"/>
    <n v="229.5"/>
    <n v="30"/>
  </r>
  <r>
    <x v="6"/>
    <n v="2016"/>
    <s v="025"/>
    <x v="6"/>
    <s v="025010"/>
    <x v="41"/>
    <n v="399.6"/>
    <n v="72"/>
    <n v="666"/>
    <n v="120"/>
  </r>
  <r>
    <x v="6"/>
    <n v="2016"/>
    <s v="025"/>
    <x v="6"/>
    <s v="025013"/>
    <x v="42"/>
    <n v="87.3"/>
    <n v="18"/>
    <n v="116.4"/>
    <n v="24"/>
  </r>
  <r>
    <x v="6"/>
    <n v="2016"/>
    <s v="025"/>
    <x v="6"/>
    <s v="025015"/>
    <x v="43"/>
    <n v="333.21"/>
    <n v="102"/>
    <n v="183.84"/>
    <n v="48"/>
  </r>
  <r>
    <x v="6"/>
    <n v="2016"/>
    <s v="025"/>
    <x v="6"/>
    <s v="025016"/>
    <x v="247"/>
    <n v="43.74"/>
    <n v="24"/>
    <m/>
    <m/>
  </r>
  <r>
    <x v="6"/>
    <n v="2016"/>
    <s v="025"/>
    <x v="6"/>
    <s v="025021"/>
    <x v="44"/>
    <n v="642"/>
    <n v="60"/>
    <n v="963"/>
    <n v="90"/>
  </r>
  <r>
    <x v="6"/>
    <n v="2016"/>
    <s v="025"/>
    <x v="6"/>
    <s v="025026"/>
    <x v="45"/>
    <n v="994.08"/>
    <n v="336"/>
    <n v="1620"/>
    <n v="540"/>
  </r>
  <r>
    <x v="6"/>
    <n v="2016"/>
    <s v="025"/>
    <x v="6"/>
    <s v="025031"/>
    <x v="46"/>
    <n v="549.45000000000005"/>
    <n v="102"/>
    <m/>
    <m/>
  </r>
  <r>
    <x v="6"/>
    <n v="2016"/>
    <s v="025"/>
    <x v="6"/>
    <s v="025033"/>
    <x v="47"/>
    <n v="99.36"/>
    <n v="24"/>
    <n v="149.04"/>
    <n v="36"/>
  </r>
  <r>
    <x v="6"/>
    <n v="2016"/>
    <s v="028"/>
    <x v="7"/>
    <s v="028001"/>
    <x v="48"/>
    <n v="838.5"/>
    <n v="258"/>
    <n v="916.5"/>
    <n v="282"/>
  </r>
  <r>
    <x v="6"/>
    <n v="2016"/>
    <s v="028"/>
    <x v="7"/>
    <s v="028005"/>
    <x v="49"/>
    <n v="436.8"/>
    <n v="156"/>
    <n v="168"/>
    <n v="60"/>
  </r>
  <r>
    <x v="6"/>
    <n v="2016"/>
    <s v="028"/>
    <x v="7"/>
    <s v="028007"/>
    <x v="50"/>
    <n v="684"/>
    <n v="426.56"/>
    <n v="180.8"/>
    <n v="106.64"/>
  </r>
  <r>
    <x v="6"/>
    <n v="2016"/>
    <s v="028"/>
    <x v="7"/>
    <s v="028008"/>
    <x v="51"/>
    <n v="607.5"/>
    <n v="300.14999999999998"/>
    <n v="518.70000000000005"/>
    <n v="260.13"/>
  </r>
  <r>
    <x v="6"/>
    <n v="2016"/>
    <s v="028"/>
    <x v="7"/>
    <s v="028013"/>
    <x v="52"/>
    <n v="640.79999999999995"/>
    <n v="144"/>
    <n v="560.70000000000005"/>
    <n v="126"/>
  </r>
  <r>
    <x v="6"/>
    <n v="2016"/>
    <s v="035"/>
    <x v="9"/>
    <s v="035001"/>
    <x v="56"/>
    <n v="5839.32"/>
    <n v="1482"/>
    <n v="3870"/>
    <n v="996"/>
  </r>
  <r>
    <x v="6"/>
    <n v="2016"/>
    <s v="035"/>
    <x v="9"/>
    <s v="035002"/>
    <x v="56"/>
    <n v="182.16"/>
    <n v="36"/>
    <n v="1263"/>
    <n v="270"/>
  </r>
  <r>
    <x v="6"/>
    <n v="2016"/>
    <s v="035"/>
    <x v="9"/>
    <s v="035010"/>
    <x v="57"/>
    <n v="502.32"/>
    <n v="138"/>
    <n v="428.4"/>
    <n v="120"/>
  </r>
  <r>
    <x v="6"/>
    <n v="2016"/>
    <s v="037"/>
    <x v="11"/>
    <s v="037001"/>
    <x v="312"/>
    <n v="118.32"/>
    <n v="24"/>
    <n v="59.16"/>
    <n v="12"/>
  </r>
  <r>
    <x v="6"/>
    <n v="2016"/>
    <s v="037"/>
    <x v="11"/>
    <s v="037002"/>
    <x v="312"/>
    <n v="69.12"/>
    <n v="12"/>
    <n v="57.6"/>
    <n v="10"/>
  </r>
  <r>
    <x v="6"/>
    <n v="2016"/>
    <s v="037"/>
    <x v="11"/>
    <s v="037003"/>
    <x v="60"/>
    <n v="205.2"/>
    <n v="54"/>
    <n v="466.2"/>
    <n v="126"/>
  </r>
  <r>
    <x v="6"/>
    <n v="2016"/>
    <s v="037"/>
    <x v="11"/>
    <s v="037005"/>
    <x v="313"/>
    <n v="46.2"/>
    <n v="12"/>
    <n v="88.8"/>
    <n v="24"/>
  </r>
  <r>
    <x v="6"/>
    <n v="2016"/>
    <s v="037"/>
    <x v="11"/>
    <s v="037006"/>
    <x v="313"/>
    <n v="56.64"/>
    <n v="12"/>
    <n v="47.2"/>
    <n v="10"/>
  </r>
  <r>
    <x v="6"/>
    <n v="2016"/>
    <s v="037"/>
    <x v="11"/>
    <s v="037010"/>
    <x v="61"/>
    <n v="342"/>
    <n v="72"/>
    <n v="464.1"/>
    <n v="102"/>
  </r>
  <r>
    <x v="6"/>
    <n v="2016"/>
    <s v="037"/>
    <x v="11"/>
    <s v="037011"/>
    <x v="314"/>
    <n v="0"/>
    <n v="12"/>
    <n v="101"/>
    <n v="10"/>
  </r>
  <r>
    <x v="6"/>
    <n v="2016"/>
    <s v="039"/>
    <x v="12"/>
    <s v="039002"/>
    <x v="62"/>
    <n v="38.1"/>
    <n v="13.34"/>
    <n v="76.2"/>
    <n v="26.68"/>
  </r>
  <r>
    <x v="6"/>
    <n v="2016"/>
    <s v="039"/>
    <x v="12"/>
    <s v="039017"/>
    <x v="63"/>
    <n v="84"/>
    <n v="24"/>
    <n v="84"/>
    <n v="24"/>
  </r>
  <r>
    <x v="6"/>
    <n v="2016"/>
    <s v="039"/>
    <x v="12"/>
    <s v="039018"/>
    <x v="64"/>
    <n v="380.64"/>
    <n v="156"/>
    <n v="185.64"/>
    <n v="84"/>
  </r>
  <r>
    <x v="6"/>
    <n v="2016"/>
    <s v="039"/>
    <x v="12"/>
    <s v="039028"/>
    <x v="65"/>
    <n v="210"/>
    <n v="42"/>
    <n v="169.92"/>
    <n v="36"/>
  </r>
  <r>
    <x v="6"/>
    <n v="2016"/>
    <s v="039"/>
    <x v="12"/>
    <s v="039030"/>
    <x v="66"/>
    <n v="68.040000000000006"/>
    <n v="18"/>
    <n v="64.98"/>
    <n v="24"/>
  </r>
  <r>
    <x v="6"/>
    <n v="2016"/>
    <s v="040"/>
    <x v="13"/>
    <s v="040006"/>
    <x v="67"/>
    <n v="1861.5"/>
    <n v="510"/>
    <n v="3283.2"/>
    <n v="912"/>
  </r>
  <r>
    <x v="6"/>
    <n v="2016"/>
    <s v="040"/>
    <x v="13"/>
    <s v="040007"/>
    <x v="68"/>
    <n v="1048.8"/>
    <n v="506.92"/>
    <n v="1157.2"/>
    <n v="593.63"/>
  </r>
  <r>
    <x v="6"/>
    <n v="2016"/>
    <s v="040"/>
    <x v="13"/>
    <s v="040008"/>
    <x v="68"/>
    <n v="317.39999999999998"/>
    <n v="159.96"/>
    <n v="630"/>
    <n v="333.25"/>
  </r>
  <r>
    <x v="6"/>
    <n v="2016"/>
    <s v="040"/>
    <x v="13"/>
    <s v="040011"/>
    <x v="69"/>
    <n v="135"/>
    <n v="30"/>
    <n v="999"/>
    <n v="222"/>
  </r>
  <r>
    <x v="6"/>
    <n v="2016"/>
    <s v="040"/>
    <x v="13"/>
    <s v="040012"/>
    <x v="69"/>
    <n v="48.9"/>
    <n v="12"/>
    <n v="48.3"/>
    <n v="12"/>
  </r>
  <r>
    <x v="6"/>
    <n v="2016"/>
    <s v="040"/>
    <x v="13"/>
    <s v="040015"/>
    <x v="70"/>
    <n v="61.2"/>
    <n v="12"/>
    <n v="29.7"/>
    <n v="6"/>
  </r>
  <r>
    <x v="6"/>
    <n v="2016"/>
    <s v="040"/>
    <x v="13"/>
    <s v="040017"/>
    <x v="286"/>
    <n v="196.8"/>
    <n v="24"/>
    <n v="49.2"/>
    <n v="6"/>
  </r>
  <r>
    <x v="6"/>
    <n v="2016"/>
    <s v="041"/>
    <x v="14"/>
    <s v="041001/10"/>
    <x v="71"/>
    <n v="1119.3"/>
    <n v="78"/>
    <n v="336"/>
    <n v="24"/>
  </r>
  <r>
    <x v="6"/>
    <n v="2016"/>
    <s v="041"/>
    <x v="14"/>
    <s v="041001/12"/>
    <x v="71"/>
    <n v="79.5"/>
    <n v="6"/>
    <m/>
    <m/>
  </r>
  <r>
    <x v="6"/>
    <n v="2016"/>
    <s v="041"/>
    <x v="14"/>
    <s v="041011"/>
    <x v="253"/>
    <n v="105"/>
    <n v="12"/>
    <m/>
    <m/>
  </r>
  <r>
    <x v="6"/>
    <n v="2016"/>
    <s v="041"/>
    <x v="14"/>
    <s v="041016"/>
    <x v="73"/>
    <n v="1058.4000000000001"/>
    <n v="126"/>
    <n v="3106.2"/>
    <n v="372"/>
  </r>
  <r>
    <x v="6"/>
    <n v="2016"/>
    <s v="046"/>
    <x v="16"/>
    <s v="046001"/>
    <x v="75"/>
    <n v="189"/>
    <n v="42"/>
    <n v="442.8"/>
    <n v="114"/>
  </r>
  <r>
    <x v="6"/>
    <n v="2016"/>
    <s v="046"/>
    <x v="16"/>
    <s v="046010"/>
    <x v="76"/>
    <n v="331.2"/>
    <n v="48"/>
    <n v="422.4"/>
    <n v="66"/>
  </r>
  <r>
    <x v="6"/>
    <n v="2016"/>
    <s v="046"/>
    <x v="16"/>
    <s v="046015"/>
    <x v="77"/>
    <n v="360"/>
    <n v="90"/>
    <n v="1176"/>
    <n v="342"/>
  </r>
  <r>
    <x v="6"/>
    <n v="2016"/>
    <s v="046"/>
    <x v="16"/>
    <s v="046020"/>
    <x v="78"/>
    <n v="90"/>
    <n v="12"/>
    <n v="420"/>
    <n v="60"/>
  </r>
  <r>
    <x v="6"/>
    <n v="2016"/>
    <s v="049"/>
    <x v="18"/>
    <s v="049007"/>
    <x v="80"/>
    <n v="160.80000000000001"/>
    <n v="48"/>
    <n v="257.39999999999998"/>
    <n v="78"/>
  </r>
  <r>
    <x v="6"/>
    <n v="2016"/>
    <s v="049"/>
    <x v="18"/>
    <s v="049014"/>
    <x v="255"/>
    <n v="121.5"/>
    <n v="54"/>
    <n v="54"/>
    <n v="24"/>
  </r>
  <r>
    <x v="6"/>
    <n v="2016"/>
    <s v="049"/>
    <x v="18"/>
    <s v="049015"/>
    <x v="81"/>
    <n v="295.8"/>
    <n v="102"/>
    <n v="2052"/>
    <n v="720"/>
  </r>
  <r>
    <x v="6"/>
    <n v="2016"/>
    <s v="049"/>
    <x v="18"/>
    <s v="049020"/>
    <x v="82"/>
    <n v="567"/>
    <n v="252"/>
    <n v="919.8"/>
    <n v="420"/>
  </r>
  <r>
    <x v="6"/>
    <n v="2016"/>
    <s v="049"/>
    <x v="18"/>
    <s v="049023"/>
    <x v="82"/>
    <n v="138.6"/>
    <n v="42"/>
    <n v="19.8"/>
    <n v="6"/>
  </r>
  <r>
    <x v="6"/>
    <n v="2016"/>
    <s v="049"/>
    <x v="18"/>
    <s v="049027"/>
    <x v="80"/>
    <n v="40.5"/>
    <n v="12"/>
    <n v="202.5"/>
    <n v="60"/>
  </r>
  <r>
    <x v="6"/>
    <n v="2016"/>
    <s v="050"/>
    <x v="19"/>
    <s v="050001"/>
    <x v="83"/>
    <n v="1189.5"/>
    <n v="366"/>
    <n v="1766.4"/>
    <n v="552"/>
  </r>
  <r>
    <x v="6"/>
    <n v="2016"/>
    <s v="050"/>
    <x v="19"/>
    <s v="050005"/>
    <x v="85"/>
    <n v="158.4"/>
    <n v="36"/>
    <n v="105.6"/>
    <n v="24"/>
  </r>
  <r>
    <x v="6"/>
    <n v="2016"/>
    <s v="051"/>
    <x v="20"/>
    <s v="051000"/>
    <x v="86"/>
    <n v="2856"/>
    <n v="510"/>
    <n v="3455.2"/>
    <n v="624"/>
  </r>
  <r>
    <x v="6"/>
    <n v="2016"/>
    <s v="051"/>
    <x v="20"/>
    <s v="051002CB"/>
    <x v="288"/>
    <n v="113.4"/>
    <n v="12"/>
    <n v="223.92"/>
    <n v="24"/>
  </r>
  <r>
    <x v="6"/>
    <n v="2016"/>
    <s v="051"/>
    <x v="20"/>
    <s v="051010/11"/>
    <x v="87"/>
    <n v="5734.8"/>
    <n v="708"/>
    <m/>
    <m/>
  </r>
  <r>
    <x v="6"/>
    <n v="2016"/>
    <s v="051"/>
    <x v="20"/>
    <s v="051017"/>
    <x v="88"/>
    <n v="228.6"/>
    <n v="36"/>
    <n v="533.4"/>
    <n v="84"/>
  </r>
  <r>
    <x v="6"/>
    <n v="2016"/>
    <s v="051"/>
    <x v="20"/>
    <s v="051133"/>
    <x v="89"/>
    <n v="1062"/>
    <n v="120"/>
    <n v="1056"/>
    <n v="120"/>
  </r>
  <r>
    <x v="6"/>
    <n v="2016"/>
    <s v="051"/>
    <x v="20"/>
    <s v="CDV051016"/>
    <x v="289"/>
    <n v="237.6"/>
    <n v="36"/>
    <n v="79.2"/>
    <n v="12"/>
  </r>
  <r>
    <x v="6"/>
    <n v="2016"/>
    <s v="052"/>
    <x v="21"/>
    <s v="052017"/>
    <x v="90"/>
    <n v="117.9"/>
    <n v="12"/>
    <m/>
    <m/>
  </r>
  <r>
    <x v="6"/>
    <n v="2016"/>
    <s v="052"/>
    <x v="21"/>
    <s v="052021"/>
    <x v="91"/>
    <n v="518.4"/>
    <n v="54"/>
    <n v="115.2"/>
    <n v="12"/>
  </r>
  <r>
    <x v="6"/>
    <n v="2016"/>
    <s v="052"/>
    <x v="21"/>
    <s v="052028"/>
    <x v="92"/>
    <n v="302.10000000000002"/>
    <n v="114"/>
    <n v="365.7"/>
    <n v="138"/>
  </r>
  <r>
    <x v="6"/>
    <n v="2016"/>
    <s v="052"/>
    <x v="21"/>
    <s v="052039"/>
    <x v="93"/>
    <n v="1191.9000000000001"/>
    <n v="174"/>
    <n v="452.1"/>
    <n v="66"/>
  </r>
  <r>
    <x v="6"/>
    <n v="2016"/>
    <s v="052"/>
    <x v="21"/>
    <s v="052046"/>
    <x v="94"/>
    <n v="84.9"/>
    <n v="12"/>
    <n v="169.8"/>
    <n v="24"/>
  </r>
  <r>
    <x v="6"/>
    <n v="2016"/>
    <s v="052"/>
    <x v="21"/>
    <s v="052055"/>
    <x v="96"/>
    <n v="0"/>
    <n v="6"/>
    <n v="411"/>
    <n v="60"/>
  </r>
  <r>
    <x v="6"/>
    <n v="2016"/>
    <s v="052"/>
    <x v="21"/>
    <s v="052320"/>
    <x v="360"/>
    <n v="507.6"/>
    <n v="36"/>
    <m/>
    <m/>
  </r>
  <r>
    <x v="6"/>
    <n v="2016"/>
    <s v="052"/>
    <x v="21"/>
    <s v="052322"/>
    <x v="360"/>
    <n v="94.8"/>
    <n v="6"/>
    <m/>
    <m/>
  </r>
  <r>
    <x v="6"/>
    <n v="2016"/>
    <s v="054"/>
    <x v="22"/>
    <s v="054002"/>
    <x v="97"/>
    <n v="390"/>
    <n v="78"/>
    <n v="576"/>
    <n v="120"/>
  </r>
  <r>
    <x v="6"/>
    <n v="2016"/>
    <s v="054"/>
    <x v="22"/>
    <s v="054005"/>
    <x v="98"/>
    <n v="279"/>
    <n v="36"/>
    <n v="396.9"/>
    <n v="54"/>
  </r>
  <r>
    <x v="6"/>
    <n v="2016"/>
    <s v="054"/>
    <x v="22"/>
    <s v="054011"/>
    <x v="99"/>
    <n v="320.39999999999998"/>
    <n v="36"/>
    <n v="138.6"/>
    <n v="18"/>
  </r>
  <r>
    <x v="6"/>
    <n v="2016"/>
    <s v="059"/>
    <x v="23"/>
    <s v="059002"/>
    <x v="100"/>
    <n v="126"/>
    <n v="30"/>
    <n v="252"/>
    <n v="60"/>
  </r>
  <r>
    <x v="6"/>
    <n v="2016"/>
    <s v="059"/>
    <x v="23"/>
    <s v="059004"/>
    <x v="101"/>
    <n v="86.4"/>
    <n v="24"/>
    <n v="149.1"/>
    <n v="48"/>
  </r>
  <r>
    <x v="6"/>
    <n v="2016"/>
    <s v="059"/>
    <x v="23"/>
    <s v="059005"/>
    <x v="101"/>
    <n v="86.4"/>
    <n v="24"/>
    <m/>
    <m/>
  </r>
  <r>
    <x v="6"/>
    <n v="2016"/>
    <s v="059"/>
    <x v="23"/>
    <s v="059006"/>
    <x v="102"/>
    <n v="33"/>
    <n v="6"/>
    <n v="99"/>
    <n v="24"/>
  </r>
  <r>
    <x v="6"/>
    <n v="2016"/>
    <s v="059"/>
    <x v="23"/>
    <s v="059019"/>
    <x v="103"/>
    <n v="63.9"/>
    <n v="18"/>
    <n v="383.4"/>
    <n v="108"/>
  </r>
  <r>
    <x v="6"/>
    <n v="2016"/>
    <s v="059"/>
    <x v="23"/>
    <s v="059020"/>
    <x v="104"/>
    <n v="4557.6000000000004"/>
    <n v="1266"/>
    <n v="9240"/>
    <n v="2646"/>
  </r>
  <r>
    <x v="6"/>
    <n v="2016"/>
    <s v="059"/>
    <x v="23"/>
    <s v="059021"/>
    <x v="105"/>
    <n v="1534.7"/>
    <n v="687.01"/>
    <n v="3456.8"/>
    <n v="1547.44"/>
  </r>
  <r>
    <x v="6"/>
    <n v="2016"/>
    <s v="059"/>
    <x v="23"/>
    <s v="059024"/>
    <x v="107"/>
    <n v="126"/>
    <n v="42"/>
    <n v="936"/>
    <n v="324"/>
  </r>
  <r>
    <x v="6"/>
    <n v="2016"/>
    <s v="059"/>
    <x v="23"/>
    <s v="059025"/>
    <x v="106"/>
    <n v="4468.5"/>
    <n v="2046"/>
    <n v="13405.5"/>
    <n v="5964"/>
  </r>
  <r>
    <x v="6"/>
    <n v="2016"/>
    <s v="059"/>
    <x v="23"/>
    <s v="059026"/>
    <x v="107"/>
    <n v="3326.4"/>
    <n v="2261.13"/>
    <n v="7801.2"/>
    <n v="5262.63"/>
  </r>
  <r>
    <x v="6"/>
    <n v="2016"/>
    <s v="059"/>
    <x v="23"/>
    <s v="059027"/>
    <x v="259"/>
    <n v="118.3"/>
    <n v="93.31"/>
    <n v="304.2"/>
    <n v="239.94"/>
  </r>
  <r>
    <x v="6"/>
    <n v="2016"/>
    <s v="059"/>
    <x v="23"/>
    <s v="059101"/>
    <x v="290"/>
    <n v="-10.8"/>
    <n v="-6"/>
    <n v="172.8"/>
    <n v="102"/>
  </r>
  <r>
    <x v="6"/>
    <n v="2016"/>
    <s v="059"/>
    <x v="23"/>
    <s v="059104"/>
    <x v="291"/>
    <n v="22.2"/>
    <n v="6"/>
    <n v="111"/>
    <n v="30"/>
  </r>
  <r>
    <x v="6"/>
    <n v="2016"/>
    <s v="060"/>
    <x v="24"/>
    <s v="060015"/>
    <x v="109"/>
    <n v="1122"/>
    <n v="300"/>
    <n v="1209.5999999999999"/>
    <n v="336"/>
  </r>
  <r>
    <x v="6"/>
    <n v="2016"/>
    <s v="060"/>
    <x v="24"/>
    <s v="060016"/>
    <x v="109"/>
    <n v="142.19999999999999"/>
    <n v="30"/>
    <n v="159.84"/>
    <n v="36"/>
  </r>
  <r>
    <x v="6"/>
    <n v="2016"/>
    <s v="062"/>
    <x v="25"/>
    <s v="062001"/>
    <x v="260"/>
    <n v="120"/>
    <n v="24"/>
    <n v="61.2"/>
    <n v="12"/>
  </r>
  <r>
    <x v="6"/>
    <n v="2016"/>
    <s v="062"/>
    <x v="25"/>
    <s v="062003"/>
    <x v="110"/>
    <n v="1108.8"/>
    <n v="252"/>
    <n v="1186.8"/>
    <n v="276"/>
  </r>
  <r>
    <x v="6"/>
    <n v="2016"/>
    <s v="062"/>
    <x v="25"/>
    <s v="062021"/>
    <x v="110"/>
    <n v="211.2"/>
    <n v="66"/>
    <n v="164.7"/>
    <n v="60"/>
  </r>
  <r>
    <x v="6"/>
    <n v="2016"/>
    <s v="062"/>
    <x v="25"/>
    <s v="062032"/>
    <x v="112"/>
    <n v="930"/>
    <n v="420.21"/>
    <n v="855.5"/>
    <n v="393.53"/>
  </r>
  <r>
    <x v="6"/>
    <n v="2016"/>
    <s v="074"/>
    <x v="26"/>
    <s v="074012"/>
    <x v="113"/>
    <n v="820.8"/>
    <n v="108"/>
    <n v="1048.8"/>
    <n v="138"/>
  </r>
  <r>
    <x v="6"/>
    <n v="2016"/>
    <s v="074"/>
    <x v="26"/>
    <s v="074013"/>
    <x v="114"/>
    <n v="279"/>
    <n v="60"/>
    <n v="910.8"/>
    <n v="198"/>
  </r>
  <r>
    <x v="6"/>
    <n v="2016"/>
    <s v="074"/>
    <x v="26"/>
    <s v="074029"/>
    <x v="342"/>
    <n v="46.2"/>
    <n v="6"/>
    <n v="277.2"/>
    <n v="36"/>
  </r>
  <r>
    <x v="6"/>
    <n v="2016"/>
    <s v="075"/>
    <x v="27"/>
    <s v="075002"/>
    <x v="115"/>
    <n v="1718.1"/>
    <n v="414"/>
    <n v="1495.44"/>
    <n v="372"/>
  </r>
  <r>
    <x v="6"/>
    <n v="2016"/>
    <s v="075"/>
    <x v="27"/>
    <s v="075004"/>
    <x v="115"/>
    <n v="57.18"/>
    <n v="12"/>
    <n v="110.4"/>
    <n v="24"/>
  </r>
  <r>
    <x v="6"/>
    <n v="2016"/>
    <s v="075"/>
    <x v="27"/>
    <s v="075013"/>
    <x v="116"/>
    <n v="765.9"/>
    <n v="138"/>
    <n v="93.6"/>
    <n v="18"/>
  </r>
  <r>
    <x v="6"/>
    <n v="2016"/>
    <s v="080"/>
    <x v="28"/>
    <s v="080010"/>
    <x v="118"/>
    <n v="735.3"/>
    <n v="114"/>
    <n v="1512"/>
    <n v="240"/>
  </r>
  <r>
    <x v="6"/>
    <n v="2016"/>
    <s v="080"/>
    <x v="28"/>
    <s v="080011"/>
    <x v="118"/>
    <n v="140.4"/>
    <n v="18"/>
    <n v="415.8"/>
    <n v="54"/>
  </r>
  <r>
    <x v="6"/>
    <n v="2016"/>
    <s v="080"/>
    <x v="28"/>
    <s v="080013"/>
    <x v="118"/>
    <n v="113.4"/>
    <n v="18"/>
    <n v="109.8"/>
    <n v="18"/>
  </r>
  <r>
    <x v="6"/>
    <n v="2016"/>
    <s v="080"/>
    <x v="28"/>
    <s v="080014"/>
    <x v="118"/>
    <n v="45"/>
    <n v="6"/>
    <n v="88.8"/>
    <n v="12"/>
  </r>
  <r>
    <x v="6"/>
    <n v="2016"/>
    <s v="080"/>
    <x v="28"/>
    <s v="080015"/>
    <x v="118"/>
    <n v="321.60000000000002"/>
    <n v="48"/>
    <n v="752.4"/>
    <n v="114"/>
  </r>
  <r>
    <x v="6"/>
    <n v="2016"/>
    <s v="080"/>
    <x v="28"/>
    <s v="080016"/>
    <x v="118"/>
    <n v="93.6"/>
    <n v="12"/>
    <n v="46.2"/>
    <n v="6"/>
  </r>
  <r>
    <x v="6"/>
    <n v="2016"/>
    <s v="083"/>
    <x v="29"/>
    <s v="083003"/>
    <x v="119"/>
    <n v="309.60000000000002"/>
    <n v="150"/>
    <n v="365.4"/>
    <n v="174"/>
  </r>
  <r>
    <x v="6"/>
    <n v="2016"/>
    <s v="084"/>
    <x v="30"/>
    <s v="084001"/>
    <x v="120"/>
    <n v="1925"/>
    <n v="1333"/>
    <n v="304"/>
    <n v="213.28"/>
  </r>
  <r>
    <x v="6"/>
    <n v="2016"/>
    <s v="084"/>
    <x v="30"/>
    <s v="084002"/>
    <x v="120"/>
    <n v="2352.6"/>
    <n v="1427.3799999999999"/>
    <n v="1529"/>
    <n v="933.8"/>
  </r>
  <r>
    <x v="6"/>
    <n v="2016"/>
    <s v="084"/>
    <x v="30"/>
    <s v="084004"/>
    <x v="121"/>
    <n v="77.7"/>
    <n v="42"/>
    <m/>
    <m/>
  </r>
  <r>
    <x v="6"/>
    <n v="2016"/>
    <s v="084"/>
    <x v="30"/>
    <s v="084006"/>
    <x v="122"/>
    <n v="3165.25"/>
    <n v="1176"/>
    <n v="1992.6"/>
    <n v="738"/>
  </r>
  <r>
    <x v="6"/>
    <n v="2016"/>
    <s v="084"/>
    <x v="30"/>
    <s v="084007"/>
    <x v="123"/>
    <n v="552"/>
    <n v="120"/>
    <n v="756"/>
    <n v="168"/>
  </r>
  <r>
    <x v="6"/>
    <n v="2016"/>
    <s v="084"/>
    <x v="30"/>
    <s v="084008"/>
    <x v="124"/>
    <n v="287.04000000000002"/>
    <n v="48"/>
    <n v="210.6"/>
    <n v="36"/>
  </r>
  <r>
    <x v="6"/>
    <n v="2016"/>
    <s v="084"/>
    <x v="30"/>
    <s v="084010"/>
    <x v="262"/>
    <n v="74.400000000000006"/>
    <n v="12"/>
    <n v="74.400000000000006"/>
    <n v="12"/>
  </r>
  <r>
    <x v="6"/>
    <n v="2016"/>
    <s v="084"/>
    <x v="30"/>
    <s v="084015"/>
    <x v="263"/>
    <n v="580.5"/>
    <n v="54"/>
    <n v="567"/>
    <n v="54"/>
  </r>
  <r>
    <x v="6"/>
    <n v="2016"/>
    <s v="084"/>
    <x v="30"/>
    <s v="084032"/>
    <x v="125"/>
    <n v="264"/>
    <n v="96"/>
    <m/>
    <m/>
  </r>
  <r>
    <x v="6"/>
    <n v="2016"/>
    <s v="084"/>
    <x v="30"/>
    <s v="084041"/>
    <x v="343"/>
    <n v="319"/>
    <n v="126"/>
    <m/>
    <m/>
  </r>
  <r>
    <x v="6"/>
    <n v="2016"/>
    <s v="084"/>
    <x v="30"/>
    <s v="084100"/>
    <x v="361"/>
    <n v="1808.86"/>
    <n v="623"/>
    <m/>
    <m/>
  </r>
  <r>
    <x v="6"/>
    <n v="2016"/>
    <s v="084"/>
    <x v="30"/>
    <s v="084101"/>
    <x v="361"/>
    <n v="178.8"/>
    <n v="60"/>
    <m/>
    <m/>
  </r>
  <r>
    <x v="6"/>
    <n v="2016"/>
    <s v="084"/>
    <x v="30"/>
    <s v="084102"/>
    <x v="362"/>
    <n v="1869.6"/>
    <n v="462"/>
    <m/>
    <m/>
  </r>
  <r>
    <x v="6"/>
    <n v="2016"/>
    <s v="084"/>
    <x v="30"/>
    <s v="084103"/>
    <x v="362"/>
    <n v="393.6"/>
    <n v="96"/>
    <m/>
    <m/>
  </r>
  <r>
    <x v="6"/>
    <n v="2016"/>
    <s v="086B"/>
    <x v="31"/>
    <s v="086011P"/>
    <x v="126"/>
    <n v="35.94"/>
    <n v="26.66"/>
    <n v="453.33"/>
    <n v="359.91"/>
  </r>
  <r>
    <x v="6"/>
    <n v="2016"/>
    <s v="086B"/>
    <x v="31"/>
    <s v="086012P"/>
    <x v="126"/>
    <n v="317.12"/>
    <n v="213.44"/>
    <n v="305.58"/>
    <n v="220.10999999999999"/>
  </r>
  <r>
    <x v="6"/>
    <n v="2016"/>
    <s v="089"/>
    <x v="33"/>
    <s v="089002"/>
    <x v="128"/>
    <n v="65.7"/>
    <n v="18"/>
    <n v="127.8"/>
    <n v="36"/>
  </r>
  <r>
    <x v="6"/>
    <n v="2016"/>
    <s v="089"/>
    <x v="33"/>
    <s v="089010"/>
    <x v="129"/>
    <n v="88.8"/>
    <n v="24"/>
    <m/>
    <m/>
  </r>
  <r>
    <x v="6"/>
    <n v="2016"/>
    <s v="089"/>
    <x v="33"/>
    <s v="089800"/>
    <x v="130"/>
    <n v="398.4"/>
    <n v="96"/>
    <n v="516.6"/>
    <n v="126"/>
  </r>
  <r>
    <x v="6"/>
    <n v="2016"/>
    <s v="089"/>
    <x v="33"/>
    <s v="089900"/>
    <x v="131"/>
    <n v="935"/>
    <n v="586.52"/>
    <n v="465.75"/>
    <n v="306.58999999999997"/>
  </r>
  <r>
    <x v="6"/>
    <n v="2016"/>
    <s v="089"/>
    <x v="33"/>
    <s v="089901"/>
    <x v="132"/>
    <n v="990"/>
    <n v="500.25"/>
    <n v="671"/>
    <n v="380.19"/>
  </r>
  <r>
    <x v="6"/>
    <n v="2016"/>
    <s v="089"/>
    <x v="33"/>
    <s v="089903"/>
    <x v="133"/>
    <n v="811.8"/>
    <n v="198"/>
    <n v="1579.5"/>
    <n v="390"/>
  </r>
  <r>
    <x v="6"/>
    <n v="2016"/>
    <s v="094"/>
    <x v="35"/>
    <s v="094001"/>
    <x v="135"/>
    <n v="922.2"/>
    <n v="174"/>
    <n v="1404"/>
    <n v="270"/>
  </r>
  <r>
    <x v="6"/>
    <n v="2016"/>
    <s v="095"/>
    <x v="36"/>
    <s v="095001"/>
    <x v="138"/>
    <n v="1087.8"/>
    <n v="294"/>
    <n v="2375.4"/>
    <n v="642"/>
  </r>
  <r>
    <x v="6"/>
    <n v="2016"/>
    <s v="095"/>
    <x v="36"/>
    <s v="095003"/>
    <x v="293"/>
    <n v="26.4"/>
    <n v="6"/>
    <n v="211.2"/>
    <n v="48"/>
  </r>
  <r>
    <x v="6"/>
    <n v="2016"/>
    <s v="095"/>
    <x v="36"/>
    <s v="095004"/>
    <x v="344"/>
    <n v="0"/>
    <n v="6"/>
    <m/>
    <m/>
  </r>
  <r>
    <x v="6"/>
    <n v="2016"/>
    <s v="095"/>
    <x v="36"/>
    <s v="095005"/>
    <x v="139"/>
    <n v="397.8"/>
    <n v="108"/>
    <n v="0"/>
    <n v="6"/>
  </r>
  <r>
    <x v="6"/>
    <n v="2016"/>
    <s v="095"/>
    <x v="36"/>
    <s v="095008"/>
    <x v="294"/>
    <n v="64.8"/>
    <n v="12"/>
    <n v="64.8"/>
    <n v="12"/>
  </r>
  <r>
    <x v="6"/>
    <n v="2016"/>
    <s v="095"/>
    <x v="36"/>
    <s v="095010"/>
    <x v="140"/>
    <n v="1032.3"/>
    <n v="222"/>
    <n v="1004.4"/>
    <n v="216"/>
  </r>
  <r>
    <x v="6"/>
    <n v="2016"/>
    <s v="095"/>
    <x v="36"/>
    <s v="095012"/>
    <x v="141"/>
    <n v="148.80000000000001"/>
    <n v="24"/>
    <n v="111.6"/>
    <n v="24"/>
  </r>
  <r>
    <x v="6"/>
    <n v="2016"/>
    <s v="095"/>
    <x v="36"/>
    <s v="095014"/>
    <x v="266"/>
    <n v="244.8"/>
    <n v="36"/>
    <n v="408"/>
    <n v="60"/>
  </r>
  <r>
    <x v="6"/>
    <n v="2016"/>
    <s v="095"/>
    <x v="36"/>
    <s v="095015"/>
    <x v="266"/>
    <n v="42"/>
    <n v="6"/>
    <m/>
    <m/>
  </r>
  <r>
    <x v="6"/>
    <n v="2016"/>
    <s v="095"/>
    <x v="36"/>
    <s v="095017"/>
    <x v="143"/>
    <n v="390"/>
    <n v="79.98"/>
    <m/>
    <m/>
  </r>
  <r>
    <x v="6"/>
    <n v="2016"/>
    <s v="095"/>
    <x v="36"/>
    <s v="CDV095017"/>
    <x v="143"/>
    <n v="195"/>
    <n v="39.99"/>
    <m/>
    <m/>
  </r>
  <r>
    <x v="6"/>
    <n v="2016"/>
    <s v="096"/>
    <x v="37"/>
    <s v="096003"/>
    <x v="144"/>
    <n v="135"/>
    <n v="18"/>
    <m/>
    <m/>
  </r>
  <r>
    <x v="6"/>
    <n v="2016"/>
    <s v="097"/>
    <x v="38"/>
    <s v="097003"/>
    <x v="146"/>
    <n v="99"/>
    <n v="36"/>
    <n v="358.8"/>
    <n v="138"/>
  </r>
  <r>
    <x v="6"/>
    <n v="2016"/>
    <s v="097"/>
    <x v="38"/>
    <s v="097004"/>
    <x v="147"/>
    <n v="932.4"/>
    <n v="444"/>
    <n v="947.1"/>
    <n v="462"/>
  </r>
  <r>
    <x v="6"/>
    <n v="2016"/>
    <s v="099"/>
    <x v="39"/>
    <s v="099001"/>
    <x v="148"/>
    <n v="3567.42"/>
    <n v="2352"/>
    <n v="2337.6"/>
    <n v="1536"/>
  </r>
  <r>
    <x v="6"/>
    <n v="2016"/>
    <s v="099"/>
    <x v="39"/>
    <s v="099002"/>
    <x v="148"/>
    <n v="12402.58"/>
    <n v="8706"/>
    <n v="12179.36"/>
    <n v="8694"/>
  </r>
  <r>
    <x v="6"/>
    <n v="2016"/>
    <s v="099"/>
    <x v="39"/>
    <s v="099003"/>
    <x v="148"/>
    <n v="138.84"/>
    <n v="84"/>
    <n v="232.32"/>
    <n v="138"/>
  </r>
  <r>
    <x v="6"/>
    <n v="2016"/>
    <s v="099"/>
    <x v="39"/>
    <s v="099013"/>
    <x v="149"/>
    <n v="320.33999999999997"/>
    <n v="114"/>
    <n v="168.6"/>
    <n v="60"/>
  </r>
  <r>
    <x v="6"/>
    <n v="2016"/>
    <s v="099"/>
    <x v="39"/>
    <s v="099016"/>
    <x v="150"/>
    <n v="140.16"/>
    <n v="48"/>
    <n v="136.80000000000001"/>
    <n v="48"/>
  </r>
  <r>
    <x v="6"/>
    <n v="2016"/>
    <s v="099"/>
    <x v="39"/>
    <s v="099022"/>
    <x v="352"/>
    <n v="53.76"/>
    <n v="24"/>
    <m/>
    <m/>
  </r>
  <r>
    <x v="6"/>
    <n v="2016"/>
    <s v="110"/>
    <x v="40"/>
    <s v="110500"/>
    <x v="151"/>
    <n v="336.6"/>
    <n v="239.94"/>
    <n v="546"/>
    <n v="399.9"/>
  </r>
  <r>
    <x v="6"/>
    <n v="2016"/>
    <s v="110"/>
    <x v="40"/>
    <s v="110501"/>
    <x v="151"/>
    <n v="334.5"/>
    <n v="200.1"/>
    <n v="376.25"/>
    <n v="233.45"/>
  </r>
  <r>
    <x v="6"/>
    <n v="2016"/>
    <s v="110"/>
    <x v="40"/>
    <s v="110505"/>
    <x v="151"/>
    <n v="28.8"/>
    <n v="12"/>
    <n v="115.2"/>
    <n v="48"/>
  </r>
  <r>
    <x v="6"/>
    <n v="2016"/>
    <s v="110"/>
    <x v="40"/>
    <s v="110600"/>
    <x v="152"/>
    <n v="18.899999999999999"/>
    <n v="6"/>
    <n v="585.6"/>
    <n v="192"/>
  </r>
  <r>
    <x v="6"/>
    <n v="2016"/>
    <s v="110"/>
    <x v="40"/>
    <s v="110601"/>
    <x v="353"/>
    <n v="46.8"/>
    <n v="12"/>
    <n v="93.6"/>
    <n v="24"/>
  </r>
  <r>
    <x v="6"/>
    <n v="2016"/>
    <s v="113"/>
    <x v="41"/>
    <s v="113001"/>
    <x v="153"/>
    <n v="923.4"/>
    <n v="162"/>
    <n v="1188"/>
    <n v="216"/>
  </r>
  <r>
    <x v="6"/>
    <n v="2016"/>
    <s v="113"/>
    <x v="41"/>
    <s v="113002"/>
    <x v="153"/>
    <n v="264.60000000000002"/>
    <n v="42"/>
    <n v="0"/>
    <n v="0"/>
  </r>
  <r>
    <x v="6"/>
    <n v="2016"/>
    <s v="113"/>
    <x v="41"/>
    <s v="113005"/>
    <x v="153"/>
    <n v="684"/>
    <n v="114"/>
    <n v="1000.5"/>
    <n v="174"/>
  </r>
  <r>
    <x v="6"/>
    <n v="2016"/>
    <s v="113"/>
    <x v="41"/>
    <s v="113006"/>
    <x v="153"/>
    <n v="198"/>
    <n v="30"/>
    <n v="38.4"/>
    <n v="6"/>
  </r>
  <r>
    <x v="6"/>
    <n v="2016"/>
    <s v="114"/>
    <x v="42"/>
    <s v="114001"/>
    <x v="154"/>
    <n v="643.5"/>
    <n v="234"/>
    <n v="1539"/>
    <n v="570"/>
  </r>
  <r>
    <x v="6"/>
    <n v="2016"/>
    <s v="114"/>
    <x v="42"/>
    <s v="114002"/>
    <x v="154"/>
    <n v="101.4"/>
    <n v="30"/>
    <n v="257.39999999999998"/>
    <n v="78"/>
  </r>
  <r>
    <x v="6"/>
    <n v="2016"/>
    <s v="114"/>
    <x v="42"/>
    <s v="114005"/>
    <x v="155"/>
    <n v="42.3"/>
    <n v="18"/>
    <n v="310.2"/>
    <n v="132"/>
  </r>
  <r>
    <x v="6"/>
    <n v="2016"/>
    <s v="114"/>
    <x v="42"/>
    <s v="114006"/>
    <x v="155"/>
    <n v="54.36"/>
    <n v="18"/>
    <m/>
    <m/>
  </r>
  <r>
    <x v="6"/>
    <n v="2016"/>
    <s v="114"/>
    <x v="42"/>
    <s v="114010"/>
    <x v="156"/>
    <n v="346.5"/>
    <n v="199.95"/>
    <n v="499.4"/>
    <n v="293.26"/>
  </r>
  <r>
    <x v="6"/>
    <n v="2016"/>
    <s v="114"/>
    <x v="42"/>
    <s v="114011"/>
    <x v="156"/>
    <n v="607.5"/>
    <n v="300.14999999999998"/>
    <n v="673.92"/>
    <n v="353.51"/>
  </r>
  <r>
    <x v="6"/>
    <n v="2016"/>
    <s v="114"/>
    <x v="42"/>
    <s v="114012"/>
    <x v="157"/>
    <n v="140.16"/>
    <n v="106.64"/>
    <n v="245.28"/>
    <n v="186.62"/>
  </r>
  <r>
    <x v="6"/>
    <n v="2016"/>
    <s v="114"/>
    <x v="42"/>
    <s v="114013"/>
    <x v="158"/>
    <n v="39.92"/>
    <n v="26.68"/>
    <n v="19.96"/>
    <n v="13.34"/>
  </r>
  <r>
    <x v="6"/>
    <n v="2016"/>
    <s v="115"/>
    <x v="43"/>
    <s v="115005"/>
    <x v="159"/>
    <n v="1246.2"/>
    <n v="186"/>
    <n v="729.6"/>
    <n v="114"/>
  </r>
  <r>
    <x v="6"/>
    <n v="2016"/>
    <s v="115"/>
    <x v="43"/>
    <s v="115007"/>
    <x v="160"/>
    <n v="42"/>
    <n v="6"/>
    <m/>
    <m/>
  </r>
  <r>
    <x v="6"/>
    <n v="2016"/>
    <s v="115"/>
    <x v="43"/>
    <s v="115010"/>
    <x v="161"/>
    <n v="43.5"/>
    <n v="39.99"/>
    <n v="303.60000000000002"/>
    <n v="293.26"/>
  </r>
  <r>
    <x v="6"/>
    <n v="2016"/>
    <s v="116"/>
    <x v="44"/>
    <s v="116001"/>
    <x v="162"/>
    <n v="690"/>
    <n v="150"/>
    <n v="1688.05"/>
    <n v="372"/>
  </r>
  <r>
    <x v="6"/>
    <n v="2016"/>
    <s v="118"/>
    <x v="45"/>
    <s v="118004"/>
    <x v="363"/>
    <n v="154.80000000000001"/>
    <n v="9"/>
    <n v="307.8"/>
    <n v="18"/>
  </r>
  <r>
    <x v="6"/>
    <n v="2016"/>
    <s v="118"/>
    <x v="45"/>
    <s v="118006"/>
    <x v="321"/>
    <n v="171.72"/>
    <n v="6"/>
    <m/>
    <m/>
  </r>
  <r>
    <x v="6"/>
    <n v="2016"/>
    <s v="118"/>
    <x v="45"/>
    <s v="118007"/>
    <x v="322"/>
    <n v="189.18"/>
    <n v="6"/>
    <m/>
    <m/>
  </r>
  <r>
    <x v="6"/>
    <n v="2016"/>
    <s v="118"/>
    <x v="45"/>
    <s v="118302"/>
    <x v="364"/>
    <n v="56.13"/>
    <n v="3"/>
    <m/>
    <m/>
  </r>
  <r>
    <x v="6"/>
    <n v="2016"/>
    <s v="119"/>
    <x v="69"/>
    <s v="119001"/>
    <x v="269"/>
    <n v="1188"/>
    <n v="264"/>
    <n v="2193"/>
    <n v="516"/>
  </r>
  <r>
    <x v="6"/>
    <n v="2016"/>
    <s v="119"/>
    <x v="69"/>
    <s v="119002"/>
    <x v="270"/>
    <n v="1036.8"/>
    <n v="288"/>
    <n v="612"/>
    <n v="180"/>
  </r>
  <r>
    <x v="6"/>
    <n v="2016"/>
    <s v="119"/>
    <x v="69"/>
    <s v="119003"/>
    <x v="271"/>
    <n v="31.2"/>
    <n v="6"/>
    <n v="356.4"/>
    <n v="78"/>
  </r>
  <r>
    <x v="6"/>
    <n v="2016"/>
    <s v="124"/>
    <x v="46"/>
    <s v="124001"/>
    <x v="175"/>
    <n v="1539"/>
    <n v="348"/>
    <n v="686.4"/>
    <n v="156"/>
  </r>
  <r>
    <x v="6"/>
    <n v="2016"/>
    <s v="124"/>
    <x v="46"/>
    <s v="124002"/>
    <x v="176"/>
    <n v="871.2"/>
    <n v="264"/>
    <n v="134.4"/>
    <n v="42"/>
  </r>
  <r>
    <x v="6"/>
    <n v="2016"/>
    <s v="124"/>
    <x v="46"/>
    <s v="124005CB"/>
    <x v="177"/>
    <n v="37.200000000000003"/>
    <n v="6"/>
    <n v="55.62"/>
    <n v="9"/>
  </r>
  <r>
    <x v="6"/>
    <n v="2016"/>
    <s v="124"/>
    <x v="46"/>
    <s v="124010"/>
    <x v="178"/>
    <n v="378"/>
    <n v="60"/>
    <n v="669.6"/>
    <n v="108"/>
  </r>
  <r>
    <x v="6"/>
    <n v="2016"/>
    <s v="137"/>
    <x v="48"/>
    <s v="137001"/>
    <x v="182"/>
    <n v="907.2"/>
    <n v="324"/>
    <n v="413.4"/>
    <n v="156"/>
  </r>
  <r>
    <x v="6"/>
    <n v="2016"/>
    <s v="137"/>
    <x v="48"/>
    <s v="137003"/>
    <x v="183"/>
    <n v="148.5"/>
    <n v="30"/>
    <n v="201.6"/>
    <n v="42"/>
  </r>
  <r>
    <x v="6"/>
    <n v="2016"/>
    <s v="140"/>
    <x v="49"/>
    <s v="140001"/>
    <x v="184"/>
    <n v="1083.5999999999999"/>
    <n v="252"/>
    <n v="1159.2"/>
    <n v="270"/>
  </r>
  <r>
    <x v="6"/>
    <n v="2016"/>
    <s v="152"/>
    <x v="51"/>
    <s v="152001"/>
    <x v="186"/>
    <n v="542.4"/>
    <n v="96"/>
    <n v="865.8"/>
    <n v="156"/>
  </r>
  <r>
    <x v="6"/>
    <n v="2016"/>
    <s v="153"/>
    <x v="52"/>
    <s v="153001"/>
    <x v="298"/>
    <n v="522"/>
    <n v="90"/>
    <m/>
    <m/>
  </r>
  <r>
    <x v="6"/>
    <n v="2016"/>
    <s v="153"/>
    <x v="52"/>
    <s v="153003"/>
    <x v="187"/>
    <n v="1283.4000000000001"/>
    <n v="186"/>
    <m/>
    <m/>
  </r>
  <r>
    <x v="6"/>
    <n v="2016"/>
    <s v="153"/>
    <x v="52"/>
    <s v="153004"/>
    <x v="187"/>
    <n v="237"/>
    <n v="30"/>
    <m/>
    <m/>
  </r>
  <r>
    <x v="6"/>
    <n v="2016"/>
    <s v="153"/>
    <x v="52"/>
    <s v="153012"/>
    <x v="189"/>
    <n v="316.8"/>
    <n v="48"/>
    <m/>
    <m/>
  </r>
  <r>
    <x v="6"/>
    <n v="2016"/>
    <s v="162"/>
    <x v="54"/>
    <s v="162001"/>
    <x v="193"/>
    <n v="1705.2"/>
    <n v="588"/>
    <n v="2688"/>
    <n v="960"/>
  </r>
  <r>
    <x v="6"/>
    <n v="2016"/>
    <s v="162"/>
    <x v="54"/>
    <s v="162002"/>
    <x v="194"/>
    <n v="335.4"/>
    <n v="78"/>
    <n v="48"/>
    <n v="12"/>
  </r>
  <r>
    <x v="6"/>
    <n v="2016"/>
    <s v="162"/>
    <x v="54"/>
    <s v="162003"/>
    <x v="272"/>
    <n v="121.8"/>
    <n v="42"/>
    <n v="403.2"/>
    <n v="144"/>
  </r>
  <r>
    <x v="6"/>
    <n v="2016"/>
    <s v="164"/>
    <x v="56"/>
    <s v="164002"/>
    <x v="196"/>
    <n v="514.79999999999995"/>
    <n v="78"/>
    <m/>
    <m/>
  </r>
  <r>
    <x v="6"/>
    <n v="2016"/>
    <s v="164"/>
    <x v="56"/>
    <s v="164005/12"/>
    <x v="198"/>
    <n v="432"/>
    <n v="48"/>
    <m/>
    <m/>
  </r>
  <r>
    <x v="6"/>
    <n v="2016"/>
    <s v="164"/>
    <x v="56"/>
    <s v="164010"/>
    <x v="274"/>
    <n v="361"/>
    <n v="126.73"/>
    <n v="95"/>
    <n v="33.35"/>
  </r>
  <r>
    <x v="6"/>
    <n v="2016"/>
    <s v="168"/>
    <x v="57"/>
    <s v="168001"/>
    <x v="200"/>
    <n v="984"/>
    <n v="240"/>
    <n v="1464"/>
    <n v="372"/>
  </r>
  <r>
    <x v="6"/>
    <n v="2016"/>
    <s v="168"/>
    <x v="57"/>
    <s v="168002"/>
    <x v="275"/>
    <n v="62.1"/>
    <n v="24"/>
    <n v="100.5"/>
    <n v="30"/>
  </r>
  <r>
    <x v="6"/>
    <n v="2016"/>
    <s v="169"/>
    <x v="58"/>
    <s v="169001"/>
    <x v="202"/>
    <n v="1333.4"/>
    <n v="452"/>
    <n v="1792.2"/>
    <n v="630"/>
  </r>
  <r>
    <x v="6"/>
    <n v="2016"/>
    <s v="169"/>
    <x v="58"/>
    <s v="169002"/>
    <x v="203"/>
    <n v="1096.68"/>
    <n v="444"/>
    <n v="1045.44"/>
    <n v="438"/>
  </r>
  <r>
    <x v="6"/>
    <n v="2016"/>
    <s v="169"/>
    <x v="58"/>
    <s v="169009"/>
    <x v="204"/>
    <n v="721.5"/>
    <n v="519.87"/>
    <n v="1350.5"/>
    <n v="973.09"/>
  </r>
  <r>
    <x v="6"/>
    <n v="2016"/>
    <s v="169"/>
    <x v="58"/>
    <s v="169010"/>
    <x v="204"/>
    <n v="262.5"/>
    <n v="166.75"/>
    <n v="1396.5"/>
    <n v="907.12"/>
  </r>
  <r>
    <x v="6"/>
    <n v="2016"/>
    <s v="169"/>
    <x v="58"/>
    <s v="169011"/>
    <x v="302"/>
    <n v="150"/>
    <n v="60"/>
    <m/>
    <m/>
  </r>
  <r>
    <x v="6"/>
    <n v="2016"/>
    <s v="174"/>
    <x v="61"/>
    <s v="174001"/>
    <x v="207"/>
    <n v="2075.7600000000002"/>
    <n v="564"/>
    <n v="1406.16"/>
    <n v="378"/>
  </r>
  <r>
    <x v="6"/>
    <n v="2016"/>
    <s v="174"/>
    <x v="61"/>
    <s v="174002"/>
    <x v="208"/>
    <n v="334.8"/>
    <n v="54"/>
    <n v="257.04000000000002"/>
    <n v="42"/>
  </r>
  <r>
    <x v="6"/>
    <n v="2016"/>
    <s v="174"/>
    <x v="61"/>
    <s v="174003"/>
    <x v="209"/>
    <n v="1208.4000000000001"/>
    <n v="570"/>
    <n v="216.24"/>
    <n v="102"/>
  </r>
  <r>
    <x v="6"/>
    <n v="2016"/>
    <s v="174"/>
    <x v="61"/>
    <s v="174005"/>
    <x v="330"/>
    <n v="1392.6"/>
    <n v="678"/>
    <m/>
    <m/>
  </r>
  <r>
    <x v="6"/>
    <n v="2016"/>
    <s v="174"/>
    <x v="61"/>
    <s v="174006"/>
    <x v="330"/>
    <n v="1669.8"/>
    <n v="804"/>
    <m/>
    <m/>
  </r>
  <r>
    <x v="6"/>
    <n v="2016"/>
    <s v="174"/>
    <x v="61"/>
    <s v="174007"/>
    <x v="330"/>
    <n v="1589.3"/>
    <n v="708"/>
    <m/>
    <m/>
  </r>
  <r>
    <x v="6"/>
    <n v="2016"/>
    <s v="174"/>
    <x v="61"/>
    <s v="174010"/>
    <x v="210"/>
    <n v="1112.2"/>
    <n v="1106.3900000000001"/>
    <n v="1649.2"/>
    <n v="1652.92"/>
  </r>
  <r>
    <x v="6"/>
    <n v="2016"/>
    <s v="174"/>
    <x v="61"/>
    <s v="174011"/>
    <x v="210"/>
    <n v="893.76"/>
    <n v="780.39"/>
    <n v="919.22"/>
    <n v="793.73"/>
  </r>
  <r>
    <x v="6"/>
    <n v="2016"/>
    <s v="174"/>
    <x v="61"/>
    <s v="174015"/>
    <x v="211"/>
    <n v="333.45"/>
    <n v="266.60000000000002"/>
    <n v="333.45"/>
    <n v="253.27"/>
  </r>
  <r>
    <x v="6"/>
    <n v="2016"/>
    <s v="174"/>
    <x v="61"/>
    <s v="174016"/>
    <x v="211"/>
    <n v="278.88"/>
    <n v="186.76"/>
    <n v="1284.8399999999999"/>
    <n v="860.43"/>
  </r>
  <r>
    <x v="6"/>
    <n v="2016"/>
    <s v="175"/>
    <x v="62"/>
    <s v="175001"/>
    <x v="213"/>
    <n v="540"/>
    <n v="144"/>
    <n v="421.8"/>
    <n v="114"/>
  </r>
  <r>
    <x v="6"/>
    <n v="2016"/>
    <s v="175"/>
    <x v="62"/>
    <s v="175002"/>
    <x v="213"/>
    <n v="225"/>
    <n v="60"/>
    <m/>
    <m/>
  </r>
  <r>
    <x v="6"/>
    <n v="2016"/>
    <s v="199"/>
    <x v="64"/>
    <s v="199001"/>
    <x v="215"/>
    <n v="643.20000000000005"/>
    <n v="96"/>
    <n v="520.79999999999995"/>
    <n v="84"/>
  </r>
  <r>
    <x v="6"/>
    <n v="2016"/>
    <s v="199"/>
    <x v="64"/>
    <s v="199002"/>
    <x v="216"/>
    <n v="489.6"/>
    <n v="36"/>
    <n v="78"/>
    <n v="6"/>
  </r>
  <r>
    <x v="6"/>
    <n v="2016"/>
    <s v="199"/>
    <x v="64"/>
    <s v="199003"/>
    <x v="217"/>
    <n v="470.4"/>
    <n v="132"/>
    <n v="554.4"/>
    <n v="138"/>
  </r>
  <r>
    <x v="6"/>
    <n v="2016"/>
    <s v="201"/>
    <x v="65"/>
    <s v="201001"/>
    <x v="218"/>
    <n v="206.55"/>
    <n v="200.1"/>
    <n v="813.2"/>
    <n v="713.68999999999994"/>
  </r>
  <r>
    <x v="6"/>
    <n v="2016"/>
    <s v="201"/>
    <x v="65"/>
    <s v="201002"/>
    <x v="218"/>
    <n v="467.25"/>
    <n v="479.88"/>
    <n v="2226"/>
    <n v="2239.44"/>
  </r>
  <r>
    <x v="6"/>
    <n v="2016"/>
    <s v="201"/>
    <x v="65"/>
    <s v="201003"/>
    <x v="219"/>
    <n v="1415.25"/>
    <n v="1293.98"/>
    <n v="1808.8"/>
    <n v="1594.1299999999999"/>
  </r>
  <r>
    <x v="6"/>
    <n v="2016"/>
    <s v="201"/>
    <x v="65"/>
    <s v="201004"/>
    <x v="219"/>
    <n v="1628.7"/>
    <n v="1652.92"/>
    <n v="4783.25"/>
    <n v="4812.13"/>
  </r>
  <r>
    <x v="6"/>
    <n v="2016"/>
    <s v="201"/>
    <x v="65"/>
    <s v="201006"/>
    <x v="220"/>
    <n v="840"/>
    <n v="366"/>
    <n v="1147.2"/>
    <n v="486"/>
  </r>
  <r>
    <x v="6"/>
    <n v="2016"/>
    <s v="201"/>
    <x v="65"/>
    <s v="201008"/>
    <x v="222"/>
    <n v="164.7"/>
    <n v="54"/>
    <n v="249.6"/>
    <n v="78"/>
  </r>
  <r>
    <x v="6"/>
    <n v="2016"/>
    <s v="201"/>
    <x v="65"/>
    <s v="201010"/>
    <x v="223"/>
    <n v="706.8"/>
    <n v="506.54"/>
    <n v="837"/>
    <n v="599.85"/>
  </r>
  <r>
    <x v="6"/>
    <n v="2016"/>
    <s v="201"/>
    <x v="65"/>
    <s v="201011"/>
    <x v="223"/>
    <n v="505"/>
    <n v="333.5"/>
    <n v="464.6"/>
    <n v="313.49"/>
  </r>
  <r>
    <x v="6"/>
    <n v="2016"/>
    <s v="201"/>
    <x v="65"/>
    <s v="201012"/>
    <x v="224"/>
    <n v="262.8"/>
    <n v="78"/>
    <n v="237.6"/>
    <n v="66"/>
  </r>
  <r>
    <x v="6"/>
    <n v="2016"/>
    <s v="201"/>
    <x v="65"/>
    <s v="201013"/>
    <x v="225"/>
    <n v="69.3"/>
    <n v="18"/>
    <n v="72.900000000000006"/>
    <n v="18"/>
  </r>
  <r>
    <x v="6"/>
    <n v="2016"/>
    <s v="201"/>
    <x v="65"/>
    <s v="201014"/>
    <x v="226"/>
    <n v="396"/>
    <n v="132"/>
    <n v="720"/>
    <n v="240"/>
  </r>
  <r>
    <x v="6"/>
    <n v="2016"/>
    <s v="201"/>
    <x v="65"/>
    <s v="201015"/>
    <x v="227"/>
    <n v="0"/>
    <n v="6"/>
    <m/>
    <m/>
  </r>
  <r>
    <x v="6"/>
    <n v="2016"/>
    <s v="201"/>
    <x v="65"/>
    <s v="201016"/>
    <x v="278"/>
    <n v="123.84"/>
    <n v="36"/>
    <n v="20.64"/>
    <n v="6"/>
  </r>
  <r>
    <x v="6"/>
    <n v="2016"/>
    <s v="201"/>
    <x v="65"/>
    <s v="201017"/>
    <x v="332"/>
    <n v="33"/>
    <n v="40.019999999999996"/>
    <m/>
    <m/>
  </r>
  <r>
    <x v="6"/>
    <n v="2016"/>
    <s v="201"/>
    <x v="65"/>
    <s v="201018"/>
    <x v="333"/>
    <n v="31.25"/>
    <n v="20"/>
    <m/>
    <m/>
  </r>
  <r>
    <x v="6"/>
    <n v="2016"/>
    <s v="201"/>
    <x v="65"/>
    <s v="201022"/>
    <x v="303"/>
    <n v="147.69999999999999"/>
    <n v="116"/>
    <n v="95.95"/>
    <n v="76"/>
  </r>
  <r>
    <x v="6"/>
    <n v="2016"/>
    <s v="201"/>
    <x v="65"/>
    <s v="201023"/>
    <x v="228"/>
    <n v="19.8"/>
    <n v="12"/>
    <n v="26.4"/>
    <n v="16"/>
  </r>
  <r>
    <x v="6"/>
    <n v="2016"/>
    <s v="201"/>
    <x v="65"/>
    <s v="201026"/>
    <x v="229"/>
    <n v="245.76"/>
    <n v="138"/>
    <n v="114"/>
    <n v="60"/>
  </r>
  <r>
    <x v="6"/>
    <n v="2016"/>
    <s v="201"/>
    <x v="65"/>
    <s v="201027"/>
    <x v="229"/>
    <n v="197.76"/>
    <n v="108"/>
    <n v="1003.2"/>
    <n v="528"/>
  </r>
  <r>
    <x v="6"/>
    <n v="2016"/>
    <s v="201"/>
    <x v="65"/>
    <s v="201031"/>
    <x v="304"/>
    <n v="11.52"/>
    <n v="6"/>
    <m/>
    <m/>
  </r>
  <r>
    <x v="6"/>
    <n v="2016"/>
    <s v="202"/>
    <x v="66"/>
    <s v="202001"/>
    <x v="230"/>
    <n v="124.2"/>
    <n v="60"/>
    <n v="110.16"/>
    <n v="54"/>
  </r>
  <r>
    <x v="6"/>
    <n v="2016"/>
    <s v="202"/>
    <x v="66"/>
    <s v="202002"/>
    <x v="230"/>
    <n v="488.94"/>
    <n v="264"/>
    <n v="893.52"/>
    <n v="438"/>
  </r>
  <r>
    <x v="6"/>
    <n v="2016"/>
    <s v="202"/>
    <x v="66"/>
    <s v="202003"/>
    <x v="230"/>
    <n v="74.52"/>
    <n v="36"/>
    <n v="110.16"/>
    <n v="54"/>
  </r>
  <r>
    <x v="6"/>
    <n v="2016"/>
    <s v="202"/>
    <x v="66"/>
    <s v="202008"/>
    <x v="305"/>
    <n v="0"/>
    <n v="0"/>
    <n v="0"/>
    <n v="6"/>
  </r>
  <r>
    <x v="6"/>
    <n v="2016"/>
    <s v="202"/>
    <x v="66"/>
    <s v="202010"/>
    <x v="233"/>
    <n v="35.6"/>
    <n v="26.68"/>
    <n v="382.7"/>
    <n v="300.14999999999998"/>
  </r>
  <r>
    <x v="6"/>
    <n v="2016"/>
    <s v="202"/>
    <x v="66"/>
    <s v="202015"/>
    <x v="279"/>
    <n v="139.30000000000001"/>
    <n v="93.38"/>
    <m/>
    <m/>
  </r>
  <r>
    <x v="6"/>
    <n v="2016"/>
    <s v="205"/>
    <x v="67"/>
    <s v="205001"/>
    <x v="234"/>
    <n v="310.5"/>
    <n v="138"/>
    <n v="501.6"/>
    <n v="228"/>
  </r>
  <r>
    <x v="6"/>
    <n v="2016"/>
    <s v="205"/>
    <x v="67"/>
    <s v="205002"/>
    <x v="235"/>
    <n v="100.8"/>
    <n v="42"/>
    <n v="902.4"/>
    <n v="390"/>
  </r>
  <r>
    <x v="6"/>
    <n v="2016"/>
    <s v="205"/>
    <x v="67"/>
    <s v="205003"/>
    <x v="236"/>
    <n v="133.19999999999999"/>
    <n v="36"/>
    <n v="240.9"/>
    <n v="66"/>
  </r>
  <r>
    <x v="6"/>
    <n v="2016"/>
    <s v="205"/>
    <x v="67"/>
    <s v="205004"/>
    <x v="237"/>
    <n v="57.6"/>
    <n v="24"/>
    <m/>
    <m/>
  </r>
  <r>
    <x v="6"/>
    <n v="2016"/>
    <s v="226"/>
    <x v="70"/>
    <s v="226001"/>
    <x v="280"/>
    <n v="1015.8"/>
    <n v="204"/>
    <m/>
    <m/>
  </r>
  <r>
    <x v="6"/>
    <n v="2016"/>
    <s v="229"/>
    <x v="68"/>
    <s v="229008"/>
    <x v="241"/>
    <n v="68.400000000000006"/>
    <n v="18"/>
    <m/>
    <m/>
  </r>
  <r>
    <x v="7"/>
    <n v="2016"/>
    <s v="001"/>
    <x v="0"/>
    <s v="001001"/>
    <x v="0"/>
    <n v="2343"/>
    <n v="180"/>
    <m/>
    <m/>
  </r>
  <r>
    <x v="7"/>
    <n v="2016"/>
    <s v="001"/>
    <x v="0"/>
    <s v="001002"/>
    <x v="0"/>
    <n v="168.52"/>
    <n v="12"/>
    <m/>
    <m/>
  </r>
  <r>
    <x v="7"/>
    <n v="2016"/>
    <s v="001"/>
    <x v="0"/>
    <s v="001015"/>
    <x v="365"/>
    <n v="412.56"/>
    <n v="24"/>
    <m/>
    <m/>
  </r>
  <r>
    <x v="7"/>
    <n v="2016"/>
    <s v="001"/>
    <x v="0"/>
    <s v="001031"/>
    <x v="366"/>
    <n v="659.04"/>
    <n v="48"/>
    <m/>
    <m/>
  </r>
  <r>
    <x v="7"/>
    <n v="2016"/>
    <s v="002"/>
    <x v="1"/>
    <s v="002001"/>
    <x v="5"/>
    <n v="3639.18"/>
    <n v="3094.88"/>
    <n v="1640.52"/>
    <n v="1447.3899999999999"/>
  </r>
  <r>
    <x v="7"/>
    <n v="2016"/>
    <s v="002"/>
    <x v="1"/>
    <s v="002002"/>
    <x v="6"/>
    <n v="10004.280000000001"/>
    <n v="9837.5400000000009"/>
    <n v="5644.5"/>
    <n v="5691.91"/>
  </r>
  <r>
    <x v="7"/>
    <n v="2016"/>
    <s v="002"/>
    <x v="1"/>
    <s v="002003"/>
    <x v="7"/>
    <n v="6642.96"/>
    <n v="7131.55"/>
    <n v="3566.85"/>
    <n v="4012.33"/>
  </r>
  <r>
    <x v="7"/>
    <n v="2016"/>
    <s v="002"/>
    <x v="1"/>
    <s v="002004"/>
    <x v="7"/>
    <n v="1430.04"/>
    <n v="1360.68"/>
    <n v="614.54999999999995"/>
    <n v="566.95000000000005"/>
  </r>
  <r>
    <x v="7"/>
    <n v="2016"/>
    <s v="002"/>
    <x v="1"/>
    <s v="002007"/>
    <x v="8"/>
    <n v="2167.1999999999998"/>
    <n v="2399.4"/>
    <n v="1123.26"/>
    <n v="1306.3399999999999"/>
  </r>
  <r>
    <x v="7"/>
    <n v="2016"/>
    <s v="002"/>
    <x v="1"/>
    <s v="002008"/>
    <x v="9"/>
    <n v="1540.44"/>
    <n v="1760.22"/>
    <n v="1615.85"/>
    <n v="1973.5800000000002"/>
  </r>
  <r>
    <x v="7"/>
    <n v="2016"/>
    <s v="002"/>
    <x v="1"/>
    <s v="002009"/>
    <x v="9"/>
    <n v="93.36"/>
    <n v="106.68"/>
    <n v="22.45"/>
    <n v="26.67"/>
  </r>
  <r>
    <x v="7"/>
    <n v="2016"/>
    <s v="002"/>
    <x v="1"/>
    <s v="002010"/>
    <x v="10"/>
    <n v="1944.8"/>
    <n v="1400.7"/>
    <n v="1253.04"/>
    <n v="920.46"/>
  </r>
  <r>
    <x v="7"/>
    <n v="2016"/>
    <s v="002"/>
    <x v="1"/>
    <s v="002011"/>
    <x v="11"/>
    <n v="2733.88"/>
    <n v="2186.12"/>
    <n v="2151.94"/>
    <n v="1772.89"/>
  </r>
  <r>
    <x v="7"/>
    <n v="2016"/>
    <s v="002"/>
    <x v="1"/>
    <s v="002015"/>
    <x v="11"/>
    <n v="5084.3500000000004"/>
    <n v="4065.65"/>
    <n v="4902.54"/>
    <n v="4065.65"/>
  </r>
  <r>
    <x v="7"/>
    <n v="2016"/>
    <s v="002"/>
    <x v="1"/>
    <s v="002016"/>
    <x v="11"/>
    <n v="4975.55"/>
    <n v="3481.74"/>
    <n v="2052.08"/>
    <n v="1514.09"/>
  </r>
  <r>
    <x v="7"/>
    <n v="2016"/>
    <s v="002"/>
    <x v="1"/>
    <s v="002017"/>
    <x v="12"/>
    <n v="5971.2"/>
    <n v="6398.4"/>
    <n v="4700.28"/>
    <n v="5265.35"/>
  </r>
  <r>
    <x v="7"/>
    <n v="2016"/>
    <s v="002"/>
    <x v="1"/>
    <s v="002018"/>
    <x v="12"/>
    <n v="3334.44"/>
    <n v="2968.15"/>
    <n v="2399.75"/>
    <n v="2221.11"/>
  </r>
  <r>
    <x v="7"/>
    <n v="2016"/>
    <s v="002"/>
    <x v="1"/>
    <s v="002020"/>
    <x v="13"/>
    <n v="1278.9000000000001"/>
    <n v="522"/>
    <n v="907.2"/>
    <n v="378"/>
  </r>
  <r>
    <x v="7"/>
    <n v="2016"/>
    <s v="002"/>
    <x v="1"/>
    <s v="002021"/>
    <x v="14"/>
    <n v="144.54"/>
    <n v="66"/>
    <n v="87.36"/>
    <n v="48"/>
  </r>
  <r>
    <x v="7"/>
    <n v="2016"/>
    <s v="002"/>
    <x v="1"/>
    <s v="002025"/>
    <x v="14"/>
    <n v="26.28"/>
    <n v="12"/>
    <n v="131.4"/>
    <n v="60"/>
  </r>
  <r>
    <x v="7"/>
    <n v="2016"/>
    <s v="002"/>
    <x v="1"/>
    <s v="002026"/>
    <x v="17"/>
    <n v="321.36"/>
    <n v="156"/>
    <n v="196.32"/>
    <n v="96"/>
  </r>
  <r>
    <x v="7"/>
    <n v="2016"/>
    <s v="002"/>
    <x v="1"/>
    <s v="002027"/>
    <x v="18"/>
    <n v="696"/>
    <n v="348"/>
    <n v="44.88"/>
    <n v="24"/>
  </r>
  <r>
    <x v="7"/>
    <n v="2016"/>
    <s v="002"/>
    <x v="1"/>
    <s v="002028"/>
    <x v="367"/>
    <n v="21.58"/>
    <n v="26.67"/>
    <n v="107.9"/>
    <n v="133.35000000000002"/>
  </r>
  <r>
    <x v="7"/>
    <n v="2016"/>
    <s v="002"/>
    <x v="1"/>
    <s v="002034"/>
    <x v="19"/>
    <n v="59.4"/>
    <n v="36"/>
    <n v="74.760000000000005"/>
    <n v="48"/>
  </r>
  <r>
    <x v="7"/>
    <n v="2016"/>
    <s v="002"/>
    <x v="1"/>
    <s v="002035"/>
    <x v="19"/>
    <n v="52.8"/>
    <n v="32"/>
    <n v="43.61"/>
    <n v="28"/>
  </r>
  <r>
    <x v="7"/>
    <n v="2016"/>
    <s v="002"/>
    <x v="1"/>
    <s v="002037"/>
    <x v="243"/>
    <n v="107.28"/>
    <n v="36"/>
    <m/>
    <m/>
  </r>
  <r>
    <x v="7"/>
    <n v="2016"/>
    <s v="002"/>
    <x v="1"/>
    <s v="002040"/>
    <x v="20"/>
    <n v="289.08"/>
    <n v="132"/>
    <n v="210.24"/>
    <n v="96"/>
  </r>
  <r>
    <x v="7"/>
    <n v="2016"/>
    <s v="002"/>
    <x v="1"/>
    <s v="002100"/>
    <x v="21"/>
    <n v="405.84"/>
    <n v="228"/>
    <n v="653.94000000000005"/>
    <n v="378"/>
  </r>
  <r>
    <x v="7"/>
    <n v="2016"/>
    <s v="002"/>
    <x v="1"/>
    <s v="002101"/>
    <x v="22"/>
    <n v="117.48"/>
    <n v="66"/>
    <n v="217.98"/>
    <n v="126"/>
  </r>
  <r>
    <x v="7"/>
    <n v="2016"/>
    <s v="002"/>
    <x v="1"/>
    <s v="002200"/>
    <x v="281"/>
    <n v="27.8"/>
    <n v="16"/>
    <m/>
    <m/>
  </r>
  <r>
    <x v="7"/>
    <n v="2016"/>
    <s v="002"/>
    <x v="1"/>
    <s v="002903"/>
    <x v="27"/>
    <n v="1260"/>
    <n v="1493.52"/>
    <m/>
    <m/>
  </r>
  <r>
    <x v="7"/>
    <n v="2016"/>
    <s v="002"/>
    <x v="1"/>
    <s v="002905"/>
    <x v="25"/>
    <n v="270"/>
    <n v="333.25"/>
    <m/>
    <m/>
  </r>
  <r>
    <x v="7"/>
    <n v="2016"/>
    <s v="007"/>
    <x v="2"/>
    <s v="007002"/>
    <x v="28"/>
    <n v="138"/>
    <n v="30"/>
    <n v="147.6"/>
    <n v="36"/>
  </r>
  <r>
    <x v="7"/>
    <n v="2016"/>
    <s v="007"/>
    <x v="2"/>
    <s v="007003"/>
    <x v="29"/>
    <n v="264"/>
    <n v="48"/>
    <m/>
    <m/>
  </r>
  <r>
    <x v="7"/>
    <n v="2016"/>
    <s v="007"/>
    <x v="2"/>
    <s v="007004"/>
    <x v="30"/>
    <n v="217.5"/>
    <n v="30"/>
    <n v="202.5"/>
    <n v="30"/>
  </r>
  <r>
    <x v="7"/>
    <n v="2016"/>
    <s v="007"/>
    <x v="2"/>
    <s v="007006"/>
    <x v="32"/>
    <n v="113.4"/>
    <n v="18"/>
    <n v="106.2"/>
    <n v="18"/>
  </r>
  <r>
    <x v="7"/>
    <n v="2016"/>
    <s v="007"/>
    <x v="2"/>
    <s v="007008"/>
    <x v="28"/>
    <n v="37.200000000000003"/>
    <n v="6"/>
    <n v="34.200000000000003"/>
    <n v="6"/>
  </r>
  <r>
    <x v="7"/>
    <n v="2016"/>
    <s v="007"/>
    <x v="2"/>
    <s v="007021"/>
    <x v="308"/>
    <n v="51.6"/>
    <n v="6"/>
    <m/>
    <m/>
  </r>
  <r>
    <x v="7"/>
    <n v="2016"/>
    <s v="010"/>
    <x v="3"/>
    <s v="010001"/>
    <x v="33"/>
    <n v="604.20000000000005"/>
    <n v="114"/>
    <n v="561.6"/>
    <n v="108"/>
  </r>
  <r>
    <x v="7"/>
    <n v="2016"/>
    <s v="010"/>
    <x v="3"/>
    <s v="010019"/>
    <x v="346"/>
    <n v="95.4"/>
    <n v="18"/>
    <m/>
    <m/>
  </r>
  <r>
    <x v="7"/>
    <n v="2016"/>
    <s v="011"/>
    <x v="4"/>
    <s v="011001"/>
    <x v="34"/>
    <n v="2370.06"/>
    <n v="594"/>
    <n v="2394"/>
    <n v="600"/>
  </r>
  <r>
    <x v="7"/>
    <n v="2016"/>
    <s v="011"/>
    <x v="4"/>
    <s v="011002"/>
    <x v="310"/>
    <n v="23.94"/>
    <n v="6"/>
    <n v="46.2"/>
    <n v="12"/>
  </r>
  <r>
    <x v="7"/>
    <n v="2016"/>
    <s v="011"/>
    <x v="4"/>
    <s v="011005"/>
    <x v="245"/>
    <n v="898.2"/>
    <n v="180"/>
    <n v="382.2"/>
    <n v="78"/>
  </r>
  <r>
    <x v="7"/>
    <n v="2016"/>
    <s v="011"/>
    <x v="4"/>
    <s v="011006"/>
    <x v="35"/>
    <n v="141"/>
    <n v="30"/>
    <m/>
    <m/>
  </r>
  <r>
    <x v="7"/>
    <n v="2016"/>
    <s v="019"/>
    <x v="5"/>
    <s v="019003"/>
    <x v="36"/>
    <n v="3216.9"/>
    <n v="1482"/>
    <n v="856.32"/>
    <n v="384"/>
  </r>
  <r>
    <x v="7"/>
    <n v="2016"/>
    <s v="019"/>
    <x v="5"/>
    <s v="019004"/>
    <x v="36"/>
    <n v="190.56"/>
    <n v="66"/>
    <m/>
    <m/>
  </r>
  <r>
    <x v="7"/>
    <n v="2016"/>
    <s v="019"/>
    <x v="5"/>
    <s v="019008"/>
    <x v="37"/>
    <n v="415.8"/>
    <n v="279.93"/>
    <n v="308.8"/>
    <n v="226.61"/>
  </r>
  <r>
    <x v="7"/>
    <n v="2016"/>
    <s v="019"/>
    <x v="5"/>
    <s v="019009"/>
    <x v="37"/>
    <n v="560"/>
    <n v="340.17"/>
    <n v="484"/>
    <n v="293.48"/>
  </r>
  <r>
    <x v="7"/>
    <n v="2016"/>
    <s v="019"/>
    <x v="5"/>
    <s v="019015"/>
    <x v="39"/>
    <n v="828.6"/>
    <n v="378"/>
    <n v="81"/>
    <n v="36"/>
  </r>
  <r>
    <x v="7"/>
    <n v="2016"/>
    <s v="025"/>
    <x v="6"/>
    <s v="025001"/>
    <x v="40"/>
    <n v="1262.94"/>
    <n v="186"/>
    <n v="1344.42"/>
    <n v="198"/>
  </r>
  <r>
    <x v="7"/>
    <n v="2016"/>
    <s v="025"/>
    <x v="6"/>
    <s v="025010"/>
    <x v="41"/>
    <n v="466.2"/>
    <n v="84"/>
    <n v="499.5"/>
    <n v="90"/>
  </r>
  <r>
    <x v="7"/>
    <n v="2016"/>
    <s v="025"/>
    <x v="6"/>
    <s v="025013"/>
    <x v="42"/>
    <n v="552.9"/>
    <n v="114"/>
    <n v="407.4"/>
    <n v="84"/>
  </r>
  <r>
    <x v="7"/>
    <n v="2016"/>
    <s v="025"/>
    <x v="6"/>
    <s v="025015"/>
    <x v="43"/>
    <n v="137.88"/>
    <n v="42"/>
    <n v="137.88"/>
    <n v="36"/>
  </r>
  <r>
    <x v="7"/>
    <n v="2016"/>
    <s v="025"/>
    <x v="6"/>
    <s v="025016"/>
    <x v="247"/>
    <n v="29.16"/>
    <n v="12"/>
    <m/>
    <m/>
  </r>
  <r>
    <x v="7"/>
    <n v="2016"/>
    <s v="025"/>
    <x v="6"/>
    <s v="025021"/>
    <x v="44"/>
    <n v="577.79999999999995"/>
    <n v="54"/>
    <n v="770.4"/>
    <n v="72"/>
  </r>
  <r>
    <x v="7"/>
    <n v="2016"/>
    <s v="025"/>
    <x v="6"/>
    <s v="025026"/>
    <x v="45"/>
    <n v="2788.32"/>
    <n v="948"/>
    <n v="1842.24"/>
    <n v="606"/>
  </r>
  <r>
    <x v="7"/>
    <n v="2016"/>
    <s v="025"/>
    <x v="6"/>
    <s v="025031"/>
    <x v="46"/>
    <n v="699.3"/>
    <n v="126"/>
    <n v="668.4"/>
    <n v="120"/>
  </r>
  <r>
    <x v="7"/>
    <n v="2016"/>
    <s v="028"/>
    <x v="7"/>
    <s v="028001"/>
    <x v="48"/>
    <n v="760.5"/>
    <n v="234"/>
    <n v="468"/>
    <n v="144"/>
  </r>
  <r>
    <x v="7"/>
    <n v="2016"/>
    <s v="028"/>
    <x v="7"/>
    <s v="028005"/>
    <x v="49"/>
    <n v="33.6"/>
    <n v="12"/>
    <n v="100.8"/>
    <n v="36"/>
  </r>
  <r>
    <x v="7"/>
    <n v="2016"/>
    <s v="028"/>
    <x v="7"/>
    <s v="028007"/>
    <x v="50"/>
    <n v="159.6"/>
    <n v="93.31"/>
    <n v="22.6"/>
    <n v="13.33"/>
  </r>
  <r>
    <x v="7"/>
    <n v="2016"/>
    <s v="028"/>
    <x v="7"/>
    <s v="028008"/>
    <x v="51"/>
    <n v="243"/>
    <n v="120.06"/>
    <n v="26.6"/>
    <n v="13.34"/>
  </r>
  <r>
    <x v="7"/>
    <n v="2016"/>
    <s v="028"/>
    <x v="7"/>
    <s v="028013"/>
    <x v="52"/>
    <n v="320.39999999999998"/>
    <n v="72"/>
    <n v="427.2"/>
    <n v="96"/>
  </r>
  <r>
    <x v="7"/>
    <n v="2016"/>
    <s v="029"/>
    <x v="8"/>
    <s v="029015"/>
    <x v="55"/>
    <n v="14.4"/>
    <n v="12"/>
    <n v="86.4"/>
    <n v="36"/>
  </r>
  <r>
    <x v="7"/>
    <n v="2016"/>
    <s v="035"/>
    <x v="9"/>
    <s v="035001"/>
    <x v="56"/>
    <n v="4668.42"/>
    <n v="1206"/>
    <n v="2064"/>
    <n v="516"/>
  </r>
  <r>
    <x v="7"/>
    <n v="2016"/>
    <s v="035"/>
    <x v="9"/>
    <s v="035002"/>
    <x v="56"/>
    <n v="440.4"/>
    <n v="96"/>
    <n v="90"/>
    <n v="18"/>
  </r>
  <r>
    <x v="7"/>
    <n v="2016"/>
    <s v="035"/>
    <x v="9"/>
    <s v="035010"/>
    <x v="57"/>
    <n v="633.36"/>
    <n v="174"/>
    <n v="342.72"/>
    <n v="96"/>
  </r>
  <r>
    <x v="7"/>
    <n v="2016"/>
    <s v="037"/>
    <x v="11"/>
    <s v="037010"/>
    <x v="61"/>
    <n v="199.5"/>
    <n v="42"/>
    <n v="464.1"/>
    <n v="102"/>
  </r>
  <r>
    <x v="7"/>
    <n v="2016"/>
    <s v="039"/>
    <x v="12"/>
    <s v="039017"/>
    <x v="63"/>
    <n v="84"/>
    <n v="24"/>
    <n v="126"/>
    <n v="36"/>
  </r>
  <r>
    <x v="7"/>
    <n v="2016"/>
    <s v="039"/>
    <x v="12"/>
    <s v="039018"/>
    <x v="64"/>
    <n v="73.2"/>
    <n v="30"/>
    <n v="53.04"/>
    <n v="24"/>
  </r>
  <r>
    <x v="7"/>
    <n v="2016"/>
    <s v="039"/>
    <x v="12"/>
    <s v="039028"/>
    <x v="65"/>
    <n v="150"/>
    <n v="30"/>
    <m/>
    <m/>
  </r>
  <r>
    <x v="7"/>
    <n v="2016"/>
    <s v="039"/>
    <x v="12"/>
    <s v="039030"/>
    <x v="66"/>
    <n v="22.68"/>
    <n v="6"/>
    <m/>
    <m/>
  </r>
  <r>
    <x v="7"/>
    <n v="2016"/>
    <s v="040"/>
    <x v="13"/>
    <s v="040006"/>
    <x v="67"/>
    <n v="1598.7"/>
    <n v="438"/>
    <n v="2116.8000000000002"/>
    <n v="588"/>
  </r>
  <r>
    <x v="7"/>
    <n v="2016"/>
    <s v="040"/>
    <x v="13"/>
    <s v="040007"/>
    <x v="68"/>
    <n v="510.6"/>
    <n v="246.79"/>
    <n v="460.25"/>
    <n v="233.45"/>
  </r>
  <r>
    <x v="7"/>
    <n v="2016"/>
    <s v="040"/>
    <x v="13"/>
    <s v="040008"/>
    <x v="68"/>
    <n v="132.25"/>
    <n v="66.650000000000006"/>
    <n v="100.8"/>
    <n v="53.32"/>
  </r>
  <r>
    <x v="7"/>
    <n v="2016"/>
    <s v="040"/>
    <x v="13"/>
    <s v="040011"/>
    <x v="69"/>
    <n v="135"/>
    <n v="30"/>
    <m/>
    <m/>
  </r>
  <r>
    <x v="7"/>
    <n v="2016"/>
    <s v="040"/>
    <x v="13"/>
    <s v="040015"/>
    <x v="70"/>
    <n v="61.2"/>
    <n v="12"/>
    <n v="386.1"/>
    <n v="78"/>
  </r>
  <r>
    <x v="7"/>
    <n v="2016"/>
    <s v="040"/>
    <x v="13"/>
    <s v="040017"/>
    <x v="286"/>
    <n v="49.2"/>
    <n v="6"/>
    <n v="49.2"/>
    <n v="6"/>
  </r>
  <r>
    <x v="7"/>
    <n v="2016"/>
    <s v="041"/>
    <x v="14"/>
    <s v="041001/10"/>
    <x v="71"/>
    <n v="602.70000000000005"/>
    <n v="42"/>
    <m/>
    <m/>
  </r>
  <r>
    <x v="7"/>
    <n v="2016"/>
    <s v="041"/>
    <x v="14"/>
    <s v="041016"/>
    <x v="73"/>
    <n v="1562.4"/>
    <n v="186"/>
    <n v="951.9"/>
    <n v="114"/>
  </r>
  <r>
    <x v="7"/>
    <n v="2016"/>
    <s v="046"/>
    <x v="16"/>
    <s v="046020"/>
    <x v="78"/>
    <n v="90"/>
    <n v="12"/>
    <n v="84"/>
    <n v="12"/>
  </r>
  <r>
    <x v="7"/>
    <n v="2016"/>
    <s v="049"/>
    <x v="18"/>
    <s v="049007"/>
    <x v="80"/>
    <n v="120.6"/>
    <n v="42"/>
    <n v="316.8"/>
    <n v="96"/>
  </r>
  <r>
    <x v="7"/>
    <n v="2016"/>
    <s v="049"/>
    <x v="18"/>
    <s v="049014"/>
    <x v="255"/>
    <n v="0"/>
    <n v="6"/>
    <n v="54"/>
    <n v="24"/>
  </r>
  <r>
    <x v="7"/>
    <n v="2016"/>
    <s v="049"/>
    <x v="18"/>
    <s v="049015"/>
    <x v="81"/>
    <n v="295.8"/>
    <n v="102"/>
    <n v="85.5"/>
    <n v="30"/>
  </r>
  <r>
    <x v="7"/>
    <n v="2016"/>
    <s v="049"/>
    <x v="18"/>
    <s v="049016"/>
    <x v="81"/>
    <n v="177.6"/>
    <n v="48"/>
    <n v="43.2"/>
    <n v="12"/>
  </r>
  <r>
    <x v="7"/>
    <n v="2016"/>
    <s v="049"/>
    <x v="18"/>
    <s v="049020"/>
    <x v="82"/>
    <n v="297"/>
    <n v="138"/>
    <n v="351"/>
    <n v="156"/>
  </r>
  <r>
    <x v="7"/>
    <n v="2016"/>
    <s v="049"/>
    <x v="18"/>
    <s v="049023"/>
    <x v="82"/>
    <n v="59.4"/>
    <n v="18"/>
    <m/>
    <m/>
  </r>
  <r>
    <x v="7"/>
    <n v="2016"/>
    <s v="050"/>
    <x v="19"/>
    <s v="050001"/>
    <x v="83"/>
    <n v="1209"/>
    <n v="378"/>
    <n v="1593.6"/>
    <n v="498"/>
  </r>
  <r>
    <x v="7"/>
    <n v="2016"/>
    <s v="050"/>
    <x v="19"/>
    <s v="050003"/>
    <x v="84"/>
    <n v="58.5"/>
    <n v="24"/>
    <m/>
    <m/>
  </r>
  <r>
    <x v="7"/>
    <n v="2016"/>
    <s v="050"/>
    <x v="19"/>
    <s v="050005"/>
    <x v="85"/>
    <n v="211.2"/>
    <n v="48"/>
    <n v="79.2"/>
    <n v="18"/>
  </r>
  <r>
    <x v="7"/>
    <n v="2016"/>
    <s v="050"/>
    <x v="19"/>
    <s v="050010"/>
    <x v="256"/>
    <n v="39"/>
    <n v="6"/>
    <n v="39"/>
    <n v="6"/>
  </r>
  <r>
    <x v="7"/>
    <n v="2016"/>
    <s v="051"/>
    <x v="20"/>
    <s v="051000"/>
    <x v="86"/>
    <n v="4334.3999999999996"/>
    <n v="774"/>
    <n v="1911"/>
    <n v="342"/>
  </r>
  <r>
    <x v="7"/>
    <n v="2016"/>
    <s v="051"/>
    <x v="20"/>
    <s v="051002CB"/>
    <x v="288"/>
    <n v="141.75"/>
    <n v="15"/>
    <n v="167.94"/>
    <n v="18"/>
  </r>
  <r>
    <x v="7"/>
    <n v="2016"/>
    <s v="051"/>
    <x v="20"/>
    <s v="051010/11"/>
    <x v="87"/>
    <n v="6123.6"/>
    <n v="756"/>
    <n v="2028.6"/>
    <n v="252"/>
  </r>
  <r>
    <x v="7"/>
    <n v="2016"/>
    <s v="051"/>
    <x v="20"/>
    <s v="051016"/>
    <x v="88"/>
    <n v="79.2"/>
    <n v="12"/>
    <m/>
    <m/>
  </r>
  <r>
    <x v="7"/>
    <n v="2016"/>
    <s v="051"/>
    <x v="20"/>
    <s v="051017"/>
    <x v="88"/>
    <n v="381"/>
    <n v="60"/>
    <n v="457.2"/>
    <n v="72"/>
  </r>
  <r>
    <x v="7"/>
    <n v="2016"/>
    <s v="051"/>
    <x v="20"/>
    <s v="051133"/>
    <x v="89"/>
    <n v="1362.9"/>
    <n v="154"/>
    <n v="1689.6"/>
    <n v="192"/>
  </r>
  <r>
    <x v="7"/>
    <n v="2016"/>
    <s v="052"/>
    <x v="21"/>
    <s v="052021"/>
    <x v="91"/>
    <n v="1728"/>
    <n v="180"/>
    <n v="172.8"/>
    <n v="18"/>
  </r>
  <r>
    <x v="7"/>
    <n v="2016"/>
    <s v="052"/>
    <x v="21"/>
    <s v="052028"/>
    <x v="92"/>
    <n v="238.5"/>
    <n v="90"/>
    <n v="254.4"/>
    <n v="96"/>
  </r>
  <r>
    <x v="7"/>
    <n v="2016"/>
    <s v="052"/>
    <x v="21"/>
    <s v="052039"/>
    <x v="93"/>
    <n v="904.2"/>
    <n v="132"/>
    <n v="452.1"/>
    <n v="66"/>
  </r>
  <r>
    <x v="7"/>
    <n v="2016"/>
    <s v="052"/>
    <x v="21"/>
    <s v="052046"/>
    <x v="94"/>
    <n v="169.8"/>
    <n v="24"/>
    <n v="169.8"/>
    <n v="24"/>
  </r>
  <r>
    <x v="7"/>
    <n v="2016"/>
    <s v="052"/>
    <x v="21"/>
    <s v="052054"/>
    <x v="95"/>
    <n v="0"/>
    <n v="12"/>
    <m/>
    <m/>
  </r>
  <r>
    <x v="7"/>
    <n v="2016"/>
    <s v="052"/>
    <x v="21"/>
    <s v="052055"/>
    <x v="96"/>
    <n v="411"/>
    <n v="60"/>
    <m/>
    <m/>
  </r>
  <r>
    <x v="7"/>
    <n v="2016"/>
    <s v="052"/>
    <x v="21"/>
    <s v="052062"/>
    <x v="96"/>
    <n v="84.9"/>
    <n v="12"/>
    <m/>
    <m/>
  </r>
  <r>
    <x v="7"/>
    <n v="2016"/>
    <s v="054"/>
    <x v="22"/>
    <s v="054002"/>
    <x v="97"/>
    <n v="90"/>
    <n v="18"/>
    <m/>
    <m/>
  </r>
  <r>
    <x v="7"/>
    <n v="2016"/>
    <s v="054"/>
    <x v="22"/>
    <s v="054005"/>
    <x v="98"/>
    <n v="93"/>
    <n v="12"/>
    <m/>
    <m/>
  </r>
  <r>
    <x v="7"/>
    <n v="2016"/>
    <s v="054"/>
    <x v="22"/>
    <s v="054011"/>
    <x v="99"/>
    <n v="694.2"/>
    <n v="78"/>
    <m/>
    <m/>
  </r>
  <r>
    <x v="7"/>
    <n v="2016"/>
    <s v="059"/>
    <x v="23"/>
    <s v="059002"/>
    <x v="100"/>
    <n v="277.2"/>
    <n v="66"/>
    <n v="453.6"/>
    <n v="108"/>
  </r>
  <r>
    <x v="7"/>
    <n v="2016"/>
    <s v="059"/>
    <x v="23"/>
    <s v="059004"/>
    <x v="101"/>
    <n v="43.2"/>
    <n v="12"/>
    <n v="21.3"/>
    <n v="6"/>
  </r>
  <r>
    <x v="7"/>
    <n v="2016"/>
    <s v="059"/>
    <x v="23"/>
    <s v="059005"/>
    <x v="101"/>
    <n v="21.6"/>
    <n v="6"/>
    <m/>
    <m/>
  </r>
  <r>
    <x v="7"/>
    <n v="2016"/>
    <s v="059"/>
    <x v="23"/>
    <s v="059008"/>
    <x v="102"/>
    <n v="33"/>
    <n v="6"/>
    <n v="132"/>
    <n v="24"/>
  </r>
  <r>
    <x v="7"/>
    <n v="2016"/>
    <s v="059"/>
    <x v="23"/>
    <s v="059010"/>
    <x v="102"/>
    <n v="132"/>
    <n v="24"/>
    <n v="231"/>
    <n v="42"/>
  </r>
  <r>
    <x v="7"/>
    <n v="2016"/>
    <s v="059"/>
    <x v="23"/>
    <s v="059014"/>
    <x v="368"/>
    <n v="66"/>
    <n v="12"/>
    <n v="66"/>
    <n v="12"/>
  </r>
  <r>
    <x v="7"/>
    <n v="2016"/>
    <s v="059"/>
    <x v="23"/>
    <s v="059019"/>
    <x v="103"/>
    <n v="447.3"/>
    <n v="126"/>
    <n v="42.6"/>
    <n v="12"/>
  </r>
  <r>
    <x v="7"/>
    <n v="2016"/>
    <s v="059"/>
    <x v="23"/>
    <s v="059020"/>
    <x v="104"/>
    <n v="4021.2"/>
    <n v="1128"/>
    <n v="5040"/>
    <n v="1446"/>
  </r>
  <r>
    <x v="7"/>
    <n v="2016"/>
    <s v="059"/>
    <x v="23"/>
    <s v="059021"/>
    <x v="105"/>
    <n v="2249.9"/>
    <n v="1007.17"/>
    <n v="1743.3"/>
    <n v="780.39"/>
  </r>
  <r>
    <x v="7"/>
    <n v="2016"/>
    <s v="059"/>
    <x v="23"/>
    <s v="059024"/>
    <x v="107"/>
    <n v="126"/>
    <n v="42"/>
    <n v="180"/>
    <n v="60"/>
  </r>
  <r>
    <x v="7"/>
    <n v="2016"/>
    <s v="059"/>
    <x v="23"/>
    <s v="059025"/>
    <x v="106"/>
    <n v="4900.5"/>
    <n v="2184"/>
    <n v="5278.5"/>
    <n v="2358"/>
  </r>
  <r>
    <x v="7"/>
    <n v="2016"/>
    <s v="059"/>
    <x v="23"/>
    <s v="059026"/>
    <x v="107"/>
    <n v="4346.1000000000004"/>
    <n v="2968.15"/>
    <n v="3870.9"/>
    <n v="2607.9699999999998"/>
  </r>
  <r>
    <x v="7"/>
    <n v="2016"/>
    <s v="059"/>
    <x v="23"/>
    <s v="059027"/>
    <x v="259"/>
    <n v="236.6"/>
    <n v="186.62"/>
    <n v="169"/>
    <n v="133.30000000000001"/>
  </r>
  <r>
    <x v="7"/>
    <n v="2016"/>
    <s v="059"/>
    <x v="23"/>
    <s v="059101"/>
    <x v="290"/>
    <n v="183.6"/>
    <n v="102"/>
    <n v="32.4"/>
    <n v="18"/>
  </r>
  <r>
    <x v="7"/>
    <n v="2016"/>
    <s v="059"/>
    <x v="23"/>
    <s v="059104"/>
    <x v="291"/>
    <n v="377.4"/>
    <n v="102"/>
    <n v="155.4"/>
    <n v="42"/>
  </r>
  <r>
    <x v="7"/>
    <n v="2016"/>
    <s v="060"/>
    <x v="24"/>
    <s v="060015"/>
    <x v="109"/>
    <n v="1705.44"/>
    <n v="456"/>
    <n v="1449.6"/>
    <n v="408"/>
  </r>
  <r>
    <x v="7"/>
    <n v="2016"/>
    <s v="060"/>
    <x v="24"/>
    <s v="060016"/>
    <x v="109"/>
    <n v="142.19999999999999"/>
    <n v="30"/>
    <n v="133.19999999999999"/>
    <n v="30"/>
  </r>
  <r>
    <x v="7"/>
    <n v="2016"/>
    <s v="062"/>
    <x v="25"/>
    <s v="062001"/>
    <x v="260"/>
    <n v="120"/>
    <n v="24"/>
    <n v="61.2"/>
    <n v="12"/>
  </r>
  <r>
    <x v="7"/>
    <n v="2016"/>
    <s v="062"/>
    <x v="25"/>
    <s v="062002"/>
    <x v="110"/>
    <n v="165.6"/>
    <n v="36"/>
    <n v="108"/>
    <n v="24"/>
  </r>
  <r>
    <x v="7"/>
    <n v="2016"/>
    <s v="062"/>
    <x v="25"/>
    <s v="062003"/>
    <x v="110"/>
    <n v="1584"/>
    <n v="360"/>
    <n v="2038.2"/>
    <n v="474"/>
  </r>
  <r>
    <x v="7"/>
    <n v="2016"/>
    <s v="062"/>
    <x v="25"/>
    <s v="062021"/>
    <x v="110"/>
    <n v="614.4"/>
    <n v="192"/>
    <n v="1171.2"/>
    <n v="384"/>
  </r>
  <r>
    <x v="7"/>
    <n v="2016"/>
    <s v="062"/>
    <x v="25"/>
    <s v="062031"/>
    <x v="341"/>
    <n v="124.2"/>
    <n v="18"/>
    <m/>
    <m/>
  </r>
  <r>
    <x v="7"/>
    <n v="2016"/>
    <s v="062"/>
    <x v="25"/>
    <s v="062032"/>
    <x v="112"/>
    <n v="1035"/>
    <n v="466.9"/>
    <n v="2320"/>
    <n v="1080.54"/>
  </r>
  <r>
    <x v="7"/>
    <n v="2016"/>
    <s v="074"/>
    <x v="26"/>
    <s v="074012"/>
    <x v="113"/>
    <n v="364.8"/>
    <n v="48"/>
    <n v="456"/>
    <n v="60"/>
  </r>
  <r>
    <x v="7"/>
    <n v="2016"/>
    <s v="074"/>
    <x v="26"/>
    <s v="074013"/>
    <x v="114"/>
    <n v="334.8"/>
    <n v="72"/>
    <n v="524.4"/>
    <n v="114"/>
  </r>
  <r>
    <x v="7"/>
    <n v="2016"/>
    <s v="074"/>
    <x v="26"/>
    <s v="074029"/>
    <x v="342"/>
    <n v="46.2"/>
    <n v="6"/>
    <n v="-138.6"/>
    <n v="-18"/>
  </r>
  <r>
    <x v="7"/>
    <n v="2016"/>
    <s v="080"/>
    <x v="28"/>
    <s v="080010"/>
    <x v="118"/>
    <n v="1238.4000000000001"/>
    <n v="192"/>
    <n v="1058.4000000000001"/>
    <n v="168"/>
  </r>
  <r>
    <x v="7"/>
    <n v="2016"/>
    <s v="080"/>
    <x v="28"/>
    <s v="080011"/>
    <x v="118"/>
    <n v="374.4"/>
    <n v="48"/>
    <n v="323.39999999999998"/>
    <n v="42"/>
  </r>
  <r>
    <x v="7"/>
    <n v="2016"/>
    <s v="080"/>
    <x v="28"/>
    <s v="080013"/>
    <x v="118"/>
    <n v="37.799999999999997"/>
    <n v="6"/>
    <m/>
    <m/>
  </r>
  <r>
    <x v="7"/>
    <n v="2016"/>
    <s v="080"/>
    <x v="28"/>
    <s v="080015"/>
    <x v="118"/>
    <n v="562.79999999999995"/>
    <n v="84"/>
    <n v="475.2"/>
    <n v="72"/>
  </r>
  <r>
    <x v="7"/>
    <n v="2016"/>
    <s v="080"/>
    <x v="28"/>
    <s v="080016"/>
    <x v="118"/>
    <n v="46.8"/>
    <n v="6"/>
    <n v="46.2"/>
    <n v="6"/>
  </r>
  <r>
    <x v="7"/>
    <n v="2016"/>
    <s v="080"/>
    <x v="28"/>
    <s v="CDV080020"/>
    <x v="369"/>
    <n v="189"/>
    <n v="18"/>
    <m/>
    <m/>
  </r>
  <r>
    <x v="7"/>
    <n v="2016"/>
    <s v="084"/>
    <x v="30"/>
    <s v="084001"/>
    <x v="120"/>
    <n v="1309"/>
    <n v="906.44"/>
    <n v="1482"/>
    <n v="1039.74"/>
  </r>
  <r>
    <x v="7"/>
    <n v="2016"/>
    <s v="084"/>
    <x v="30"/>
    <s v="084002"/>
    <x v="120"/>
    <n v="1792"/>
    <n v="1073.8699999999999"/>
    <n v="1562"/>
    <n v="953.81"/>
  </r>
  <r>
    <x v="7"/>
    <n v="2016"/>
    <s v="084"/>
    <x v="30"/>
    <s v="084004"/>
    <x v="121"/>
    <n v="100.8"/>
    <n v="48"/>
    <m/>
    <m/>
  </r>
  <r>
    <x v="7"/>
    <n v="2016"/>
    <s v="084"/>
    <x v="30"/>
    <s v="084006"/>
    <x v="122"/>
    <n v="1485"/>
    <n v="540"/>
    <n v="1393.2"/>
    <n v="516"/>
  </r>
  <r>
    <x v="7"/>
    <n v="2016"/>
    <s v="084"/>
    <x v="30"/>
    <s v="084007"/>
    <x v="123"/>
    <n v="772.8"/>
    <n v="168"/>
    <n v="864"/>
    <n v="192"/>
  </r>
  <r>
    <x v="7"/>
    <n v="2016"/>
    <s v="084"/>
    <x v="30"/>
    <s v="084008"/>
    <x v="124"/>
    <n v="71.760000000000005"/>
    <n v="12"/>
    <n v="70.2"/>
    <n v="12"/>
  </r>
  <r>
    <x v="7"/>
    <n v="2016"/>
    <s v="084"/>
    <x v="30"/>
    <s v="084015"/>
    <x v="263"/>
    <n v="64.5"/>
    <n v="6"/>
    <m/>
    <m/>
  </r>
  <r>
    <x v="7"/>
    <n v="2016"/>
    <s v="084"/>
    <x v="30"/>
    <s v="084032"/>
    <x v="125"/>
    <n v="198"/>
    <n v="72"/>
    <n v="32.4"/>
    <n v="12"/>
  </r>
  <r>
    <x v="7"/>
    <n v="2016"/>
    <s v="084"/>
    <x v="30"/>
    <s v="084041"/>
    <x v="343"/>
    <n v="181.5"/>
    <n v="66"/>
    <m/>
    <m/>
  </r>
  <r>
    <x v="7"/>
    <n v="2016"/>
    <s v="084"/>
    <x v="30"/>
    <s v="084100"/>
    <x v="361"/>
    <n v="491.7"/>
    <n v="180"/>
    <m/>
    <m/>
  </r>
  <r>
    <x v="7"/>
    <n v="2016"/>
    <s v="084"/>
    <x v="30"/>
    <s v="084102"/>
    <x v="362"/>
    <n v="1353"/>
    <n v="360"/>
    <m/>
    <m/>
  </r>
  <r>
    <x v="7"/>
    <n v="2016"/>
    <s v="084"/>
    <x v="30"/>
    <s v="084103"/>
    <x v="362"/>
    <n v="180.4"/>
    <n v="48"/>
    <m/>
    <m/>
  </r>
  <r>
    <x v="7"/>
    <n v="2016"/>
    <s v="086B"/>
    <x v="31"/>
    <s v="086002P"/>
    <x v="126"/>
    <n v="9.91"/>
    <n v="6.67"/>
    <n v="74.08"/>
    <n v="53.36"/>
  </r>
  <r>
    <x v="7"/>
    <n v="2016"/>
    <s v="086B"/>
    <x v="31"/>
    <s v="086011P"/>
    <x v="126"/>
    <n v="71.88"/>
    <n v="53.32"/>
    <n v="319.01"/>
    <n v="266.60000000000002"/>
  </r>
  <r>
    <x v="7"/>
    <n v="2016"/>
    <s v="086B"/>
    <x v="31"/>
    <s v="086012P"/>
    <x v="126"/>
    <n v="79.28"/>
    <n v="60.03"/>
    <n v="277.8"/>
    <n v="200.1"/>
  </r>
  <r>
    <x v="7"/>
    <n v="2016"/>
    <s v="094"/>
    <x v="35"/>
    <s v="094001"/>
    <x v="135"/>
    <n v="381.6"/>
    <n v="72"/>
    <n v="374.4"/>
    <n v="72"/>
  </r>
  <r>
    <x v="7"/>
    <n v="2016"/>
    <s v="094"/>
    <x v="35"/>
    <s v="094004"/>
    <x v="137"/>
    <n v="47.7"/>
    <n v="6"/>
    <m/>
    <m/>
  </r>
  <r>
    <x v="7"/>
    <n v="2016"/>
    <s v="095"/>
    <x v="36"/>
    <s v="095001"/>
    <x v="138"/>
    <n v="1909.2"/>
    <n v="516"/>
    <n v="1887"/>
    <n v="510"/>
  </r>
  <r>
    <x v="7"/>
    <n v="2016"/>
    <s v="095"/>
    <x v="36"/>
    <s v="095004"/>
    <x v="344"/>
    <n v="132"/>
    <n v="30"/>
    <m/>
    <m/>
  </r>
  <r>
    <x v="7"/>
    <n v="2016"/>
    <s v="095"/>
    <x v="36"/>
    <s v="095005"/>
    <x v="139"/>
    <n v="46.8"/>
    <n v="12"/>
    <n v="187.2"/>
    <n v="48"/>
  </r>
  <r>
    <x v="7"/>
    <n v="2016"/>
    <s v="095"/>
    <x v="36"/>
    <s v="095010"/>
    <x v="140"/>
    <n v="4318.2"/>
    <n v="948"/>
    <n v="837"/>
    <n v="180"/>
  </r>
  <r>
    <x v="7"/>
    <n v="2016"/>
    <s v="095"/>
    <x v="36"/>
    <s v="095014"/>
    <x v="266"/>
    <n v="81.599999999999994"/>
    <n v="12"/>
    <n v="163.19999999999999"/>
    <n v="24"/>
  </r>
  <r>
    <x v="7"/>
    <n v="2016"/>
    <s v="097"/>
    <x v="38"/>
    <s v="097004"/>
    <x v="147"/>
    <n v="403.2"/>
    <n v="192"/>
    <n v="418.2"/>
    <n v="204"/>
  </r>
  <r>
    <x v="7"/>
    <n v="2016"/>
    <s v="099"/>
    <x v="39"/>
    <s v="099001"/>
    <x v="148"/>
    <n v="2049.12"/>
    <n v="1350"/>
    <n v="1068.54"/>
    <n v="702"/>
  </r>
  <r>
    <x v="7"/>
    <n v="2016"/>
    <s v="099"/>
    <x v="39"/>
    <s v="099002"/>
    <x v="148"/>
    <n v="10359.280000000001"/>
    <n v="7450"/>
    <n v="2108.88"/>
    <n v="1266"/>
  </r>
  <r>
    <x v="7"/>
    <n v="2016"/>
    <s v="099"/>
    <x v="39"/>
    <s v="099003"/>
    <x v="148"/>
    <n v="320.04000000000002"/>
    <n v="198"/>
    <n v="651.36"/>
    <n v="396"/>
  </r>
  <r>
    <x v="7"/>
    <n v="2016"/>
    <s v="099"/>
    <x v="39"/>
    <s v="099015"/>
    <x v="370"/>
    <n v="17.100000000000001"/>
    <n v="6"/>
    <m/>
    <m/>
  </r>
  <r>
    <x v="7"/>
    <n v="2016"/>
    <s v="099"/>
    <x v="39"/>
    <s v="099016"/>
    <x v="150"/>
    <n v="227.76"/>
    <n v="78"/>
    <n v="153.9"/>
    <n v="54"/>
  </r>
  <r>
    <x v="7"/>
    <n v="2016"/>
    <s v="110"/>
    <x v="40"/>
    <s v="110500"/>
    <x v="151"/>
    <n v="355.3"/>
    <n v="253.27"/>
    <n v="637"/>
    <n v="466.55"/>
  </r>
  <r>
    <x v="7"/>
    <n v="2016"/>
    <s v="110"/>
    <x v="40"/>
    <s v="110501"/>
    <x v="151"/>
    <n v="557.5"/>
    <n v="333.5"/>
    <n v="569.75"/>
    <n v="353.51"/>
  </r>
  <r>
    <x v="7"/>
    <n v="2016"/>
    <s v="113"/>
    <x v="41"/>
    <s v="113001"/>
    <x v="153"/>
    <n v="923.4"/>
    <n v="162"/>
    <n v="759"/>
    <n v="138"/>
  </r>
  <r>
    <x v="7"/>
    <n v="2016"/>
    <s v="113"/>
    <x v="41"/>
    <s v="113002"/>
    <x v="153"/>
    <n v="151.19999999999999"/>
    <n v="24"/>
    <m/>
    <m/>
  </r>
  <r>
    <x v="7"/>
    <n v="2016"/>
    <s v="113"/>
    <x v="41"/>
    <s v="113005"/>
    <x v="153"/>
    <n v="612"/>
    <n v="102"/>
    <n v="483"/>
    <n v="84"/>
  </r>
  <r>
    <x v="7"/>
    <n v="2016"/>
    <s v="113"/>
    <x v="41"/>
    <s v="113006"/>
    <x v="153"/>
    <n v="118.8"/>
    <n v="18"/>
    <m/>
    <m/>
  </r>
  <r>
    <x v="7"/>
    <n v="2016"/>
    <s v="115"/>
    <x v="43"/>
    <s v="115005"/>
    <x v="159"/>
    <n v="120.6"/>
    <n v="18"/>
    <n v="921.6"/>
    <n v="144"/>
  </r>
  <r>
    <x v="7"/>
    <n v="2016"/>
    <s v="116"/>
    <x v="44"/>
    <s v="116001"/>
    <x v="162"/>
    <n v="386.4"/>
    <n v="84"/>
    <n v="354.9"/>
    <n v="78"/>
  </r>
  <r>
    <x v="7"/>
    <n v="2016"/>
    <s v="116"/>
    <x v="44"/>
    <s v="CDV116006"/>
    <x v="268"/>
    <n v="33"/>
    <n v="6"/>
    <n v="198"/>
    <n v="36"/>
  </r>
  <r>
    <x v="7"/>
    <n v="2016"/>
    <s v="118"/>
    <x v="45"/>
    <s v="118013"/>
    <x v="371"/>
    <n v="58.78"/>
    <n v="2"/>
    <m/>
    <m/>
  </r>
  <r>
    <x v="7"/>
    <n v="2016"/>
    <s v="118"/>
    <x v="45"/>
    <s v="118014"/>
    <x v="323"/>
    <n v="60.52"/>
    <n v="2"/>
    <m/>
    <m/>
  </r>
  <r>
    <x v="7"/>
    <n v="2016"/>
    <s v="118"/>
    <x v="45"/>
    <s v="118016"/>
    <x v="163"/>
    <n v="75.38"/>
    <n v="2"/>
    <m/>
    <m/>
  </r>
  <r>
    <x v="7"/>
    <n v="2016"/>
    <s v="118"/>
    <x v="45"/>
    <s v="118018"/>
    <x v="372"/>
    <n v="58.02"/>
    <n v="2"/>
    <m/>
    <m/>
  </r>
  <r>
    <x v="7"/>
    <n v="2016"/>
    <s v="118"/>
    <x v="45"/>
    <s v="118020"/>
    <x v="164"/>
    <n v="93"/>
    <n v="3"/>
    <m/>
    <m/>
  </r>
  <r>
    <x v="7"/>
    <n v="2016"/>
    <s v="118"/>
    <x v="45"/>
    <s v="118024"/>
    <x v="324"/>
    <n v="67.22"/>
    <n v="2"/>
    <m/>
    <m/>
  </r>
  <r>
    <x v="7"/>
    <n v="2016"/>
    <s v="118"/>
    <x v="45"/>
    <s v="118028"/>
    <x v="167"/>
    <n v="111.21"/>
    <n v="3"/>
    <m/>
    <m/>
  </r>
  <r>
    <x v="7"/>
    <n v="2016"/>
    <s v="118"/>
    <x v="45"/>
    <s v="118038"/>
    <x v="373"/>
    <n v="72.53"/>
    <n v="1"/>
    <m/>
    <m/>
  </r>
  <r>
    <x v="7"/>
    <n v="2016"/>
    <s v="118"/>
    <x v="45"/>
    <s v="118039"/>
    <x v="374"/>
    <n v="75.13"/>
    <n v="1"/>
    <m/>
    <m/>
  </r>
  <r>
    <x v="7"/>
    <n v="2016"/>
    <s v="119"/>
    <x v="69"/>
    <s v="119001"/>
    <x v="269"/>
    <n v="1645.8"/>
    <n v="366"/>
    <m/>
    <m/>
  </r>
  <r>
    <x v="7"/>
    <n v="2016"/>
    <s v="119"/>
    <x v="69"/>
    <s v="119002"/>
    <x v="270"/>
    <n v="43.2"/>
    <n v="12"/>
    <m/>
    <m/>
  </r>
  <r>
    <x v="7"/>
    <n v="2016"/>
    <s v="124"/>
    <x v="46"/>
    <s v="124001"/>
    <x v="175"/>
    <n v="702"/>
    <n v="156"/>
    <n v="924"/>
    <n v="210"/>
  </r>
  <r>
    <x v="7"/>
    <n v="2016"/>
    <s v="124"/>
    <x v="46"/>
    <s v="124002"/>
    <x v="176"/>
    <n v="99"/>
    <n v="30"/>
    <n v="153.6"/>
    <n v="48"/>
  </r>
  <r>
    <x v="7"/>
    <n v="2016"/>
    <s v="124"/>
    <x v="46"/>
    <s v="124010"/>
    <x v="178"/>
    <n v="189"/>
    <n v="30"/>
    <n v="260.39999999999998"/>
    <n v="42"/>
  </r>
  <r>
    <x v="7"/>
    <n v="2016"/>
    <s v="134"/>
    <x v="47"/>
    <s v="134003"/>
    <x v="325"/>
    <n v="0"/>
    <n v="6"/>
    <m/>
    <m/>
  </r>
  <r>
    <x v="7"/>
    <n v="2016"/>
    <s v="134"/>
    <x v="47"/>
    <s v="134005"/>
    <x v="181"/>
    <n v="1294.3800000000001"/>
    <n v="282"/>
    <n v="1329"/>
    <n v="300"/>
  </r>
  <r>
    <x v="7"/>
    <n v="2016"/>
    <s v="137"/>
    <x v="48"/>
    <s v="137001"/>
    <x v="182"/>
    <n v="1159.2"/>
    <n v="414"/>
    <n v="969.9"/>
    <n v="366"/>
  </r>
  <r>
    <x v="7"/>
    <n v="2016"/>
    <s v="137"/>
    <x v="48"/>
    <s v="137003"/>
    <x v="183"/>
    <n v="118.8"/>
    <n v="24"/>
    <n v="86.4"/>
    <n v="18"/>
  </r>
  <r>
    <x v="7"/>
    <n v="2016"/>
    <s v="140"/>
    <x v="49"/>
    <s v="140001"/>
    <x v="184"/>
    <n v="645"/>
    <n v="150"/>
    <n v="705.6"/>
    <n v="174"/>
  </r>
  <r>
    <x v="7"/>
    <n v="2016"/>
    <s v="143"/>
    <x v="50"/>
    <s v="143001"/>
    <x v="185"/>
    <n v="168"/>
    <n v="42"/>
    <n v="117"/>
    <n v="30"/>
  </r>
  <r>
    <x v="7"/>
    <n v="2016"/>
    <s v="143"/>
    <x v="50"/>
    <s v="143002"/>
    <x v="185"/>
    <n v="768"/>
    <n v="192"/>
    <n v="140.4"/>
    <n v="36"/>
  </r>
  <r>
    <x v="7"/>
    <n v="2016"/>
    <s v="153"/>
    <x v="52"/>
    <s v="153001"/>
    <x v="298"/>
    <n v="417.6"/>
    <n v="72"/>
    <n v="644.1"/>
    <n v="120"/>
  </r>
  <r>
    <x v="7"/>
    <n v="2016"/>
    <s v="153"/>
    <x v="52"/>
    <s v="153003"/>
    <x v="187"/>
    <n v="1283.4000000000001"/>
    <n v="186"/>
    <n v="2130.6"/>
    <n v="324"/>
  </r>
  <r>
    <x v="7"/>
    <n v="2016"/>
    <s v="153"/>
    <x v="52"/>
    <s v="153004"/>
    <x v="187"/>
    <n v="142.19999999999999"/>
    <n v="18"/>
    <n v="554.4"/>
    <n v="72"/>
  </r>
  <r>
    <x v="7"/>
    <n v="2016"/>
    <s v="153"/>
    <x v="52"/>
    <s v="153005"/>
    <x v="188"/>
    <n v="453.6"/>
    <n v="42"/>
    <n v="62.1"/>
    <n v="6"/>
  </r>
  <r>
    <x v="7"/>
    <n v="2016"/>
    <s v="153"/>
    <x v="52"/>
    <s v="153012"/>
    <x v="189"/>
    <n v="712.8"/>
    <n v="108"/>
    <m/>
    <m/>
  </r>
  <r>
    <x v="7"/>
    <n v="2016"/>
    <s v="157"/>
    <x v="53"/>
    <s v="157001"/>
    <x v="191"/>
    <n v="494.1"/>
    <n v="162"/>
    <n v="354"/>
    <n v="120"/>
  </r>
  <r>
    <x v="7"/>
    <n v="2016"/>
    <s v="162"/>
    <x v="54"/>
    <s v="162001"/>
    <x v="193"/>
    <n v="1096.2"/>
    <n v="378"/>
    <n v="2116.8000000000002"/>
    <n v="756"/>
  </r>
  <r>
    <x v="7"/>
    <n v="2016"/>
    <s v="162"/>
    <x v="54"/>
    <s v="162002"/>
    <x v="194"/>
    <n v="154.80000000000001"/>
    <n v="36"/>
    <n v="216"/>
    <n v="54"/>
  </r>
  <r>
    <x v="7"/>
    <n v="2016"/>
    <s v="162"/>
    <x v="54"/>
    <s v="162003"/>
    <x v="272"/>
    <n v="69.599999999999994"/>
    <n v="24"/>
    <n v="100.8"/>
    <n v="36"/>
  </r>
  <r>
    <x v="7"/>
    <n v="2016"/>
    <s v="164"/>
    <x v="56"/>
    <s v="164002"/>
    <x v="196"/>
    <n v="831.6"/>
    <n v="126"/>
    <m/>
    <m/>
  </r>
  <r>
    <x v="7"/>
    <n v="2016"/>
    <s v="164"/>
    <x v="56"/>
    <s v="164010"/>
    <x v="274"/>
    <n v="190"/>
    <n v="66.7"/>
    <n v="38"/>
    <n v="13.34"/>
  </r>
  <r>
    <x v="7"/>
    <n v="2016"/>
    <s v="168"/>
    <x v="57"/>
    <s v="168001"/>
    <x v="200"/>
    <n v="660.1"/>
    <n v="162"/>
    <n v="816"/>
    <n v="204"/>
  </r>
  <r>
    <x v="7"/>
    <n v="2016"/>
    <s v="168"/>
    <x v="57"/>
    <s v="168002"/>
    <x v="275"/>
    <n v="37.950000000000003"/>
    <n v="12"/>
    <n v="140.69999999999999"/>
    <n v="42"/>
  </r>
  <r>
    <x v="7"/>
    <n v="2016"/>
    <s v="168"/>
    <x v="57"/>
    <s v="168003"/>
    <x v="301"/>
    <n v="63.84"/>
    <n v="12"/>
    <m/>
    <m/>
  </r>
  <r>
    <x v="7"/>
    <n v="2016"/>
    <s v="169"/>
    <x v="58"/>
    <s v="169001"/>
    <x v="202"/>
    <n v="407.1"/>
    <n v="138"/>
    <n v="1218"/>
    <n v="420"/>
  </r>
  <r>
    <x v="7"/>
    <n v="2016"/>
    <s v="169"/>
    <x v="58"/>
    <s v="169002"/>
    <x v="203"/>
    <n v="1037.4000000000001"/>
    <n v="420"/>
    <n v="580.79999999999995"/>
    <n v="240"/>
  </r>
  <r>
    <x v="7"/>
    <n v="2016"/>
    <s v="169"/>
    <x v="58"/>
    <s v="169003CB"/>
    <x v="328"/>
    <n v="83.76"/>
    <n v="12"/>
    <m/>
    <m/>
  </r>
  <r>
    <x v="7"/>
    <n v="2016"/>
    <s v="169"/>
    <x v="58"/>
    <s v="169009"/>
    <x v="204"/>
    <n v="407"/>
    <n v="293.26"/>
    <n v="555"/>
    <n v="399.9"/>
  </r>
  <r>
    <x v="7"/>
    <n v="2016"/>
    <s v="169"/>
    <x v="58"/>
    <s v="169010"/>
    <x v="204"/>
    <n v="294"/>
    <n v="186.76"/>
    <n v="493.5"/>
    <n v="320.15999999999997"/>
  </r>
  <r>
    <x v="7"/>
    <n v="2016"/>
    <s v="169"/>
    <x v="58"/>
    <s v="169011"/>
    <x v="302"/>
    <n v="0"/>
    <n v="0"/>
    <m/>
    <m/>
  </r>
  <r>
    <x v="7"/>
    <n v="2016"/>
    <s v="174"/>
    <x v="61"/>
    <s v="174001"/>
    <x v="207"/>
    <n v="1919.52"/>
    <n v="516"/>
    <n v="558"/>
    <n v="150"/>
  </r>
  <r>
    <x v="7"/>
    <n v="2016"/>
    <s v="174"/>
    <x v="61"/>
    <s v="174002"/>
    <x v="208"/>
    <n v="558"/>
    <n v="90"/>
    <n v="293.76"/>
    <n v="48"/>
  </r>
  <r>
    <x v="7"/>
    <n v="2016"/>
    <s v="174"/>
    <x v="61"/>
    <s v="174003"/>
    <x v="209"/>
    <n v="1399.2"/>
    <n v="660"/>
    <n v="572.4"/>
    <n v="270"/>
  </r>
  <r>
    <x v="7"/>
    <n v="2016"/>
    <s v="174"/>
    <x v="61"/>
    <s v="174005"/>
    <x v="330"/>
    <n v="739.2"/>
    <n v="336"/>
    <m/>
    <m/>
  </r>
  <r>
    <x v="7"/>
    <n v="2016"/>
    <s v="174"/>
    <x v="61"/>
    <s v="174006"/>
    <x v="330"/>
    <n v="1953.6"/>
    <n v="888"/>
    <m/>
    <m/>
  </r>
  <r>
    <x v="7"/>
    <n v="2016"/>
    <s v="174"/>
    <x v="61"/>
    <s v="174007"/>
    <x v="330"/>
    <n v="565.79999999999995"/>
    <n v="246"/>
    <m/>
    <m/>
  </r>
  <r>
    <x v="7"/>
    <n v="2016"/>
    <s v="174"/>
    <x v="61"/>
    <s v="174009"/>
    <x v="331"/>
    <n v="35.4"/>
    <n v="6"/>
    <m/>
    <m/>
  </r>
  <r>
    <x v="7"/>
    <n v="2016"/>
    <s v="174"/>
    <x v="61"/>
    <s v="174010"/>
    <x v="210"/>
    <n v="991.6"/>
    <n v="986.42"/>
    <n v="226.1"/>
    <n v="226.61"/>
  </r>
  <r>
    <x v="7"/>
    <n v="2016"/>
    <s v="174"/>
    <x v="61"/>
    <s v="174011"/>
    <x v="210"/>
    <n v="478.24"/>
    <n v="406.87"/>
    <n v="786.79"/>
    <n v="673.67"/>
  </r>
  <r>
    <x v="7"/>
    <n v="2016"/>
    <s v="174"/>
    <x v="61"/>
    <s v="174015"/>
    <x v="211"/>
    <n v="631.79999999999995"/>
    <n v="479.88"/>
    <n v="280.8"/>
    <n v="213.28"/>
  </r>
  <r>
    <x v="7"/>
    <n v="2016"/>
    <s v="174"/>
    <x v="61"/>
    <s v="174016"/>
    <x v="211"/>
    <n v="727.08"/>
    <n v="486.90999999999997"/>
    <n v="368.52"/>
    <n v="246.79"/>
  </r>
  <r>
    <x v="7"/>
    <n v="2016"/>
    <s v="175"/>
    <x v="62"/>
    <s v="175001"/>
    <x v="213"/>
    <n v="472.5"/>
    <n v="126"/>
    <n v="377.4"/>
    <n v="108"/>
  </r>
  <r>
    <x v="7"/>
    <n v="2016"/>
    <s v="175"/>
    <x v="62"/>
    <s v="175002"/>
    <x v="213"/>
    <n v="292.5"/>
    <n v="78"/>
    <n v="244.2"/>
    <n v="66"/>
  </r>
  <r>
    <x v="7"/>
    <n v="2016"/>
    <s v="199"/>
    <x v="64"/>
    <s v="199001"/>
    <x v="215"/>
    <n v="723.6"/>
    <n v="108"/>
    <m/>
    <m/>
  </r>
  <r>
    <x v="7"/>
    <n v="2016"/>
    <s v="199"/>
    <x v="64"/>
    <s v="199002"/>
    <x v="216"/>
    <n v="652.79999999999995"/>
    <n v="48"/>
    <m/>
    <m/>
  </r>
  <r>
    <x v="7"/>
    <n v="2016"/>
    <s v="199"/>
    <x v="64"/>
    <s v="199004"/>
    <x v="277"/>
    <n v="73.8"/>
    <n v="18"/>
    <m/>
    <m/>
  </r>
  <r>
    <x v="7"/>
    <n v="2016"/>
    <s v="201"/>
    <x v="65"/>
    <s v="201001"/>
    <x v="218"/>
    <n v="206.55"/>
    <n v="186.76"/>
    <n v="152"/>
    <n v="133.4"/>
  </r>
  <r>
    <x v="7"/>
    <n v="2016"/>
    <s v="201"/>
    <x v="65"/>
    <s v="201002"/>
    <x v="218"/>
    <n v="707.55"/>
    <n v="746.48"/>
    <n v="1192.5"/>
    <n v="1199.7"/>
  </r>
  <r>
    <x v="7"/>
    <n v="2016"/>
    <s v="201"/>
    <x v="65"/>
    <s v="201003"/>
    <x v="219"/>
    <n v="2394.4499999999998"/>
    <n v="2107.7199999999998"/>
    <n v="1580.8"/>
    <n v="1387.36"/>
  </r>
  <r>
    <x v="7"/>
    <n v="2016"/>
    <s v="201"/>
    <x v="65"/>
    <s v="201004"/>
    <x v="219"/>
    <n v="2683.35"/>
    <n v="2679.33"/>
    <n v="2597"/>
    <n v="2612.6799999999998"/>
  </r>
  <r>
    <x v="7"/>
    <n v="2016"/>
    <s v="201"/>
    <x v="65"/>
    <s v="201006"/>
    <x v="220"/>
    <n v="604.79999999999995"/>
    <n v="252"/>
    <n v="518.4"/>
    <n v="216"/>
  </r>
  <r>
    <x v="7"/>
    <n v="2016"/>
    <s v="201"/>
    <x v="65"/>
    <s v="201008"/>
    <x v="222"/>
    <n v="439.2"/>
    <n v="144"/>
    <n v="76.8"/>
    <n v="24"/>
  </r>
  <r>
    <x v="7"/>
    <n v="2016"/>
    <s v="201"/>
    <x v="65"/>
    <s v="201010"/>
    <x v="223"/>
    <n v="576.6"/>
    <n v="413.23"/>
    <n v="409.2"/>
    <n v="293.26"/>
  </r>
  <r>
    <x v="7"/>
    <n v="2016"/>
    <s v="201"/>
    <x v="65"/>
    <s v="201011"/>
    <x v="223"/>
    <n v="393.9"/>
    <n v="260.13"/>
    <n v="121.2"/>
    <n v="80.039999999999992"/>
  </r>
  <r>
    <x v="7"/>
    <n v="2016"/>
    <s v="201"/>
    <x v="65"/>
    <s v="201012"/>
    <x v="224"/>
    <n v="175.2"/>
    <n v="48"/>
    <n v="129.6"/>
    <n v="36"/>
  </r>
  <r>
    <x v="7"/>
    <n v="2016"/>
    <s v="201"/>
    <x v="65"/>
    <s v="201013"/>
    <x v="225"/>
    <n v="23.1"/>
    <n v="6"/>
    <n v="48.6"/>
    <n v="12"/>
  </r>
  <r>
    <x v="7"/>
    <n v="2016"/>
    <s v="201"/>
    <x v="65"/>
    <s v="201014"/>
    <x v="226"/>
    <n v="360"/>
    <n v="120"/>
    <n v="306"/>
    <n v="102"/>
  </r>
  <r>
    <x v="7"/>
    <n v="2016"/>
    <s v="201"/>
    <x v="65"/>
    <s v="201016"/>
    <x v="278"/>
    <n v="165.12"/>
    <n v="48"/>
    <n v="165.12"/>
    <n v="48"/>
  </r>
  <r>
    <x v="7"/>
    <n v="2016"/>
    <s v="201"/>
    <x v="65"/>
    <s v="201017"/>
    <x v="332"/>
    <n v="41.25"/>
    <n v="40.019999999999996"/>
    <m/>
    <m/>
  </r>
  <r>
    <x v="7"/>
    <n v="2016"/>
    <s v="201"/>
    <x v="65"/>
    <s v="201018"/>
    <x v="333"/>
    <n v="143.75"/>
    <n v="92"/>
    <m/>
    <m/>
  </r>
  <r>
    <x v="7"/>
    <n v="2016"/>
    <s v="201"/>
    <x v="65"/>
    <s v="201022"/>
    <x v="303"/>
    <n v="10.199999999999999"/>
    <n v="8"/>
    <n v="106.05"/>
    <n v="84"/>
  </r>
  <r>
    <x v="7"/>
    <n v="2016"/>
    <s v="201"/>
    <x v="65"/>
    <s v="201023"/>
    <x v="228"/>
    <n v="26.4"/>
    <n v="16"/>
    <n v="39.6"/>
    <n v="24"/>
  </r>
  <r>
    <x v="7"/>
    <n v="2016"/>
    <s v="201"/>
    <x v="65"/>
    <s v="201026"/>
    <x v="229"/>
    <n v="46.08"/>
    <n v="24"/>
    <n v="229.9"/>
    <n v="132"/>
  </r>
  <r>
    <x v="7"/>
    <n v="2016"/>
    <s v="201"/>
    <x v="65"/>
    <s v="201027"/>
    <x v="229"/>
    <n v="426.24"/>
    <n v="222"/>
    <n v="323"/>
    <n v="186"/>
  </r>
  <r>
    <x v="7"/>
    <n v="2016"/>
    <s v="201"/>
    <x v="65"/>
    <s v="201031"/>
    <x v="304"/>
    <n v="161.28"/>
    <n v="90"/>
    <m/>
    <m/>
  </r>
  <r>
    <x v="7"/>
    <n v="2016"/>
    <s v="202"/>
    <x v="66"/>
    <s v="202002"/>
    <x v="230"/>
    <n v="286.98"/>
    <n v="156"/>
    <n v="403.92"/>
    <n v="198"/>
  </r>
  <r>
    <x v="7"/>
    <n v="2016"/>
    <s v="202"/>
    <x v="66"/>
    <s v="202003"/>
    <x v="230"/>
    <n v="24.84"/>
    <n v="12"/>
    <n v="97.92"/>
    <n v="48"/>
  </r>
  <r>
    <x v="7"/>
    <n v="2016"/>
    <s v="202"/>
    <x v="66"/>
    <s v="202006"/>
    <x v="231"/>
    <n v="16.8"/>
    <n v="6"/>
    <n v="66.48"/>
    <n v="30"/>
  </r>
  <r>
    <x v="7"/>
    <n v="2016"/>
    <s v="202"/>
    <x v="66"/>
    <s v="202007"/>
    <x v="232"/>
    <n v="26.4"/>
    <n v="12"/>
    <n v="13.08"/>
    <n v="6"/>
  </r>
  <r>
    <x v="7"/>
    <n v="2016"/>
    <s v="202"/>
    <x v="66"/>
    <s v="202010"/>
    <x v="233"/>
    <n v="97.9"/>
    <n v="73.37"/>
    <n v="151.30000000000001"/>
    <n v="120.06"/>
  </r>
  <r>
    <x v="7"/>
    <n v="2016"/>
    <s v="202"/>
    <x v="66"/>
    <s v="202015"/>
    <x v="279"/>
    <n v="59.7"/>
    <n v="40.019999999999996"/>
    <n v="118.8"/>
    <n v="80.039999999999992"/>
  </r>
  <r>
    <x v="7"/>
    <n v="2016"/>
    <s v="205"/>
    <x v="67"/>
    <s v="205001"/>
    <x v="234"/>
    <n v="337.5"/>
    <n v="150"/>
    <n v="118.8"/>
    <n v="54"/>
  </r>
  <r>
    <x v="7"/>
    <n v="2016"/>
    <s v="205"/>
    <x v="67"/>
    <s v="205002"/>
    <x v="235"/>
    <n v="187.2"/>
    <n v="78"/>
    <n v="84.6"/>
    <n v="36"/>
  </r>
  <r>
    <x v="7"/>
    <n v="2016"/>
    <s v="205"/>
    <x v="67"/>
    <s v="205003"/>
    <x v="236"/>
    <n v="111"/>
    <n v="30"/>
    <m/>
    <m/>
  </r>
  <r>
    <x v="7"/>
    <n v="2016"/>
    <s v="205"/>
    <x v="67"/>
    <s v="205004"/>
    <x v="237"/>
    <n v="57.6"/>
    <n v="24"/>
    <n v="42.3"/>
    <n v="18"/>
  </r>
  <r>
    <x v="7"/>
    <n v="2016"/>
    <s v="226"/>
    <x v="70"/>
    <s v="226001"/>
    <x v="280"/>
    <n v="636.29999999999995"/>
    <n v="126"/>
    <m/>
    <m/>
  </r>
  <r>
    <x v="7"/>
    <n v="2016"/>
    <s v="229"/>
    <x v="68"/>
    <s v="229008"/>
    <x v="241"/>
    <n v="159.6"/>
    <n v="42"/>
    <m/>
    <m/>
  </r>
  <r>
    <x v="7"/>
    <n v="2016"/>
    <s v="229"/>
    <x v="68"/>
    <s v="229009"/>
    <x v="241"/>
    <n v="52.2"/>
    <n v="12"/>
    <m/>
    <m/>
  </r>
  <r>
    <x v="8"/>
    <n v="2016"/>
    <s v="002"/>
    <x v="1"/>
    <s v="002001"/>
    <x v="5"/>
    <n v="3403.38"/>
    <n v="2894.7799999999997"/>
    <n v="5700.24"/>
    <n v="5029.18"/>
  </r>
  <r>
    <x v="8"/>
    <n v="2016"/>
    <s v="002"/>
    <x v="1"/>
    <s v="002002"/>
    <x v="6"/>
    <n v="11423.62"/>
    <n v="11077.23"/>
    <n v="17370.75"/>
    <n v="17515.62"/>
  </r>
  <r>
    <x v="8"/>
    <n v="2016"/>
    <s v="002"/>
    <x v="1"/>
    <s v="002003"/>
    <x v="7"/>
    <n v="6058.28"/>
    <n v="6518.37"/>
    <n v="5569.5"/>
    <n v="6265.1"/>
  </r>
  <r>
    <x v="8"/>
    <n v="2016"/>
    <s v="002"/>
    <x v="1"/>
    <s v="002004"/>
    <x v="7"/>
    <n v="1359.94"/>
    <n v="1307.32"/>
    <n v="2291.91"/>
    <n v="2121.06"/>
  </r>
  <r>
    <x v="8"/>
    <n v="2016"/>
    <s v="002"/>
    <x v="1"/>
    <s v="002007"/>
    <x v="8"/>
    <n v="3804.64"/>
    <n v="4212.28"/>
    <n v="3751.92"/>
    <n v="4332.25"/>
  </r>
  <r>
    <x v="8"/>
    <n v="2016"/>
    <s v="002"/>
    <x v="1"/>
    <s v="002008"/>
    <x v="9"/>
    <n v="2294.34"/>
    <n v="2693.67"/>
    <n v="5338.85"/>
    <n v="6747.51"/>
  </r>
  <r>
    <x v="8"/>
    <n v="2016"/>
    <s v="002"/>
    <x v="1"/>
    <s v="002009"/>
    <x v="9"/>
    <n v="1384.08"/>
    <n v="1680.21"/>
    <n v="1752.8"/>
    <n v="2160.27"/>
  </r>
  <r>
    <x v="8"/>
    <n v="2016"/>
    <s v="002"/>
    <x v="1"/>
    <s v="002010"/>
    <x v="10"/>
    <n v="991.1"/>
    <n v="713.68999999999994"/>
    <n v="2986.12"/>
    <n v="2201.1"/>
  </r>
  <r>
    <x v="8"/>
    <n v="2016"/>
    <s v="002"/>
    <x v="1"/>
    <s v="002011"/>
    <x v="11"/>
    <n v="2617.19"/>
    <n v="2092.81"/>
    <n v="4303.88"/>
    <n v="3545.78"/>
  </r>
  <r>
    <x v="8"/>
    <n v="2016"/>
    <s v="002"/>
    <x v="1"/>
    <s v="002015"/>
    <x v="11"/>
    <n v="3334"/>
    <n v="2679.33"/>
    <n v="6811.78"/>
    <n v="5611.93"/>
  </r>
  <r>
    <x v="8"/>
    <n v="2016"/>
    <s v="002"/>
    <x v="1"/>
    <s v="002016"/>
    <x v="11"/>
    <n v="3045.05"/>
    <n v="2134.4"/>
    <n v="4340.24"/>
    <n v="3201.6"/>
  </r>
  <r>
    <x v="8"/>
    <n v="2016"/>
    <s v="002"/>
    <x v="1"/>
    <s v="002017"/>
    <x v="12"/>
    <n v="6929.08"/>
    <n v="7478.13"/>
    <n v="6518.2"/>
    <n v="7278.18"/>
  </r>
  <r>
    <x v="8"/>
    <n v="2016"/>
    <s v="002"/>
    <x v="1"/>
    <s v="002018"/>
    <x v="12"/>
    <n v="2807.7"/>
    <n v="2501.25"/>
    <n v="3878.75"/>
    <n v="3568.45"/>
  </r>
  <r>
    <x v="8"/>
    <n v="2016"/>
    <s v="002"/>
    <x v="1"/>
    <s v="002020"/>
    <x v="13"/>
    <n v="2454.9"/>
    <n v="1002"/>
    <n v="2404.8000000000002"/>
    <n v="1002"/>
  </r>
  <r>
    <x v="8"/>
    <n v="2016"/>
    <s v="002"/>
    <x v="1"/>
    <s v="002025"/>
    <x v="14"/>
    <n v="26.28"/>
    <n v="12"/>
    <n v="118.26"/>
    <n v="54"/>
  </r>
  <r>
    <x v="8"/>
    <n v="2016"/>
    <s v="002"/>
    <x v="1"/>
    <s v="002026"/>
    <x v="17"/>
    <n v="173.04"/>
    <n v="84"/>
    <n v="196.32"/>
    <n v="96"/>
  </r>
  <r>
    <x v="8"/>
    <n v="2016"/>
    <s v="002"/>
    <x v="1"/>
    <s v="002027"/>
    <x v="18"/>
    <n v="264"/>
    <n v="132"/>
    <n v="1413.72"/>
    <n v="756"/>
  </r>
  <r>
    <x v="8"/>
    <n v="2016"/>
    <s v="002"/>
    <x v="1"/>
    <s v="002033"/>
    <x v="19"/>
    <n v="39.6"/>
    <n v="24"/>
    <n v="49.84"/>
    <n v="32"/>
  </r>
  <r>
    <x v="8"/>
    <n v="2016"/>
    <s v="002"/>
    <x v="1"/>
    <s v="002034"/>
    <x v="19"/>
    <n v="46.2"/>
    <n v="28"/>
    <n v="118.37"/>
    <n v="76"/>
  </r>
  <r>
    <x v="8"/>
    <n v="2016"/>
    <s v="002"/>
    <x v="1"/>
    <s v="002035"/>
    <x v="19"/>
    <n v="39.6"/>
    <n v="24"/>
    <m/>
    <m/>
  </r>
  <r>
    <x v="8"/>
    <n v="2016"/>
    <s v="002"/>
    <x v="1"/>
    <s v="002037"/>
    <x v="243"/>
    <n v="214.56"/>
    <n v="72"/>
    <n v="275.52"/>
    <n v="96"/>
  </r>
  <r>
    <x v="8"/>
    <n v="2016"/>
    <s v="002"/>
    <x v="1"/>
    <s v="002040"/>
    <x v="20"/>
    <n v="367.92"/>
    <n v="168"/>
    <n v="394.2"/>
    <n v="186"/>
  </r>
  <r>
    <x v="8"/>
    <n v="2016"/>
    <s v="002"/>
    <x v="1"/>
    <s v="002100"/>
    <x v="21"/>
    <n v="523.32000000000005"/>
    <n v="300"/>
    <n v="581.28"/>
    <n v="336"/>
  </r>
  <r>
    <x v="8"/>
    <n v="2016"/>
    <s v="002"/>
    <x v="1"/>
    <s v="002101"/>
    <x v="22"/>
    <n v="747.6"/>
    <n v="420"/>
    <n v="695.46"/>
    <n v="402"/>
  </r>
  <r>
    <x v="8"/>
    <n v="2016"/>
    <s v="002"/>
    <x v="1"/>
    <s v="002102"/>
    <x v="23"/>
    <n v="43.68"/>
    <n v="24"/>
    <m/>
    <m/>
  </r>
  <r>
    <x v="8"/>
    <n v="2016"/>
    <s v="002"/>
    <x v="1"/>
    <s v="002200"/>
    <x v="281"/>
    <n v="139"/>
    <n v="76"/>
    <n v="277.57"/>
    <n v="164"/>
  </r>
  <r>
    <x v="8"/>
    <n v="2016"/>
    <s v="002"/>
    <x v="1"/>
    <s v="002900"/>
    <x v="24"/>
    <n v="877.5"/>
    <n v="1200.1500000000001"/>
    <n v="877.5"/>
    <n v="1200.1500000000001"/>
  </r>
  <r>
    <x v="8"/>
    <n v="2016"/>
    <s v="002"/>
    <x v="1"/>
    <s v="002901"/>
    <x v="25"/>
    <n v="1755"/>
    <n v="2400.3000000000002"/>
    <n v="2437.5"/>
    <n v="3333.75"/>
  </r>
  <r>
    <x v="8"/>
    <n v="2016"/>
    <s v="002"/>
    <x v="1"/>
    <s v="002903"/>
    <x v="27"/>
    <n v="1080"/>
    <n v="1280.1600000000001"/>
    <n v="206.1"/>
    <n v="240.03000000000003"/>
  </r>
  <r>
    <x v="8"/>
    <n v="2016"/>
    <s v="002"/>
    <x v="1"/>
    <s v="002905"/>
    <x v="25"/>
    <n v="594"/>
    <n v="733.15"/>
    <n v="486"/>
    <n v="599.85"/>
  </r>
  <r>
    <x v="8"/>
    <n v="2016"/>
    <s v="007"/>
    <x v="2"/>
    <s v="007002"/>
    <x v="28"/>
    <n v="193.2"/>
    <n v="42"/>
    <n v="221.4"/>
    <n v="54"/>
  </r>
  <r>
    <x v="8"/>
    <n v="2016"/>
    <s v="007"/>
    <x v="2"/>
    <s v="007003"/>
    <x v="29"/>
    <n v="231"/>
    <n v="42"/>
    <n v="405.6"/>
    <n v="84"/>
  </r>
  <r>
    <x v="8"/>
    <n v="2016"/>
    <s v="007"/>
    <x v="2"/>
    <s v="007004"/>
    <x v="30"/>
    <n v="261"/>
    <n v="36"/>
    <n v="364.5"/>
    <n v="54"/>
  </r>
  <r>
    <x v="8"/>
    <n v="2016"/>
    <s v="007"/>
    <x v="2"/>
    <s v="007005"/>
    <x v="31"/>
    <n v="79.8"/>
    <n v="12"/>
    <m/>
    <m/>
  </r>
  <r>
    <x v="8"/>
    <n v="2016"/>
    <s v="007"/>
    <x v="2"/>
    <s v="007006"/>
    <x v="32"/>
    <n v="113.4"/>
    <n v="18"/>
    <n v="106.2"/>
    <n v="18"/>
  </r>
  <r>
    <x v="8"/>
    <n v="2016"/>
    <s v="007"/>
    <x v="2"/>
    <s v="007008"/>
    <x v="28"/>
    <n v="74.400000000000006"/>
    <n v="12"/>
    <m/>
    <m/>
  </r>
  <r>
    <x v="8"/>
    <n v="2016"/>
    <s v="007"/>
    <x v="2"/>
    <s v="007021"/>
    <x v="308"/>
    <n v="0"/>
    <n v="-18"/>
    <m/>
    <m/>
  </r>
  <r>
    <x v="8"/>
    <n v="2016"/>
    <s v="010"/>
    <x v="3"/>
    <s v="010001"/>
    <x v="33"/>
    <n v="731.4"/>
    <n v="138"/>
    <n v="405.6"/>
    <n v="78"/>
  </r>
  <r>
    <x v="8"/>
    <n v="2016"/>
    <s v="010"/>
    <x v="3"/>
    <s v="010019"/>
    <x v="346"/>
    <n v="127.2"/>
    <n v="24"/>
    <m/>
    <m/>
  </r>
  <r>
    <x v="8"/>
    <n v="2016"/>
    <s v="011"/>
    <x v="4"/>
    <s v="011001"/>
    <x v="34"/>
    <n v="4428.8999999999996"/>
    <n v="1110"/>
    <n v="3016.44"/>
    <n v="756"/>
  </r>
  <r>
    <x v="8"/>
    <n v="2016"/>
    <s v="011"/>
    <x v="4"/>
    <s v="011005"/>
    <x v="245"/>
    <n v="598.79999999999995"/>
    <n v="120"/>
    <n v="617.4"/>
    <n v="126"/>
  </r>
  <r>
    <x v="8"/>
    <n v="2016"/>
    <s v="011"/>
    <x v="4"/>
    <s v="011006"/>
    <x v="35"/>
    <n v="282"/>
    <n v="60"/>
    <n v="134.69999999999999"/>
    <n v="30"/>
  </r>
  <r>
    <x v="8"/>
    <n v="2016"/>
    <s v="019"/>
    <x v="5"/>
    <s v="019003"/>
    <x v="36"/>
    <n v="3253.5"/>
    <n v="1446"/>
    <n v="6420.4"/>
    <n v="2970"/>
  </r>
  <r>
    <x v="8"/>
    <n v="2016"/>
    <s v="019"/>
    <x v="5"/>
    <s v="019008"/>
    <x v="37"/>
    <n v="673.2"/>
    <n v="453.22"/>
    <n v="617.6"/>
    <n v="426.56"/>
  </r>
  <r>
    <x v="8"/>
    <n v="2016"/>
    <s v="019"/>
    <x v="5"/>
    <s v="019009"/>
    <x v="37"/>
    <n v="392"/>
    <n v="233.45"/>
    <n v="539"/>
    <n v="326.83"/>
  </r>
  <r>
    <x v="8"/>
    <n v="2016"/>
    <s v="019"/>
    <x v="5"/>
    <s v="019011"/>
    <x v="38"/>
    <n v="114.24"/>
    <n v="42"/>
    <n v="48.6"/>
    <n v="18"/>
  </r>
  <r>
    <x v="8"/>
    <n v="2016"/>
    <s v="019"/>
    <x v="5"/>
    <s v="019015"/>
    <x v="39"/>
    <n v="69"/>
    <n v="30"/>
    <n v="162"/>
    <n v="72"/>
  </r>
  <r>
    <x v="8"/>
    <n v="2016"/>
    <s v="025"/>
    <x v="6"/>
    <s v="025001"/>
    <x v="40"/>
    <n v="2089.02"/>
    <n v="318"/>
    <n v="1990.2"/>
    <n v="306"/>
  </r>
  <r>
    <x v="8"/>
    <n v="2016"/>
    <s v="025"/>
    <x v="6"/>
    <s v="025002"/>
    <x v="375"/>
    <n v="94.08"/>
    <n v="12"/>
    <n v="76.08"/>
    <n v="12"/>
  </r>
  <r>
    <x v="8"/>
    <n v="2016"/>
    <s v="025"/>
    <x v="6"/>
    <s v="025003"/>
    <x v="246"/>
    <n v="137.69999999999999"/>
    <n v="18"/>
    <n v="275.39999999999998"/>
    <n v="36"/>
  </r>
  <r>
    <x v="8"/>
    <n v="2016"/>
    <s v="025"/>
    <x v="6"/>
    <s v="025010"/>
    <x v="41"/>
    <n v="1697.4"/>
    <n v="324"/>
    <n v="1630.8"/>
    <n v="318"/>
  </r>
  <r>
    <x v="8"/>
    <n v="2016"/>
    <s v="025"/>
    <x v="6"/>
    <s v="025011"/>
    <x v="376"/>
    <n v="76.08"/>
    <n v="12"/>
    <m/>
    <m/>
  </r>
  <r>
    <x v="8"/>
    <n v="2016"/>
    <s v="025"/>
    <x v="6"/>
    <s v="025013"/>
    <x v="42"/>
    <n v="378.3"/>
    <n v="72"/>
    <n v="58.2"/>
    <n v="18"/>
  </r>
  <r>
    <x v="8"/>
    <n v="2016"/>
    <s v="025"/>
    <x v="6"/>
    <s v="025015"/>
    <x v="43"/>
    <n v="2249.4299999999998"/>
    <n v="654"/>
    <n v="877.92"/>
    <n v="240"/>
  </r>
  <r>
    <x v="8"/>
    <n v="2016"/>
    <s v="025"/>
    <x v="6"/>
    <s v="025016"/>
    <x v="247"/>
    <n v="29.16"/>
    <n v="12"/>
    <m/>
    <m/>
  </r>
  <r>
    <x v="8"/>
    <n v="2016"/>
    <s v="025"/>
    <x v="6"/>
    <s v="025021"/>
    <x v="44"/>
    <n v="770.4"/>
    <n v="72"/>
    <n v="963"/>
    <n v="90"/>
  </r>
  <r>
    <x v="8"/>
    <n v="2016"/>
    <s v="025"/>
    <x v="6"/>
    <s v="025026"/>
    <x v="45"/>
    <n v="5812.32"/>
    <n v="2328"/>
    <n v="3609.6"/>
    <n v="1326"/>
  </r>
  <r>
    <x v="8"/>
    <n v="2016"/>
    <s v="025"/>
    <x v="6"/>
    <s v="025031"/>
    <x v="46"/>
    <n v="299.7"/>
    <n v="54"/>
    <n v="701.82"/>
    <n v="132"/>
  </r>
  <r>
    <x v="8"/>
    <n v="2016"/>
    <s v="025"/>
    <x v="6"/>
    <s v="025033"/>
    <x v="47"/>
    <n v="99.36"/>
    <n v="24"/>
    <n v="223.56"/>
    <n v="60"/>
  </r>
  <r>
    <x v="8"/>
    <n v="2016"/>
    <s v="025"/>
    <x v="6"/>
    <s v="025037"/>
    <x v="377"/>
    <n v="1680"/>
    <n v="840"/>
    <n v="1200"/>
    <n v="600"/>
  </r>
  <r>
    <x v="8"/>
    <n v="2016"/>
    <s v="028"/>
    <x v="7"/>
    <s v="028001"/>
    <x v="48"/>
    <n v="565.5"/>
    <n v="180"/>
    <n v="546"/>
    <n v="174"/>
  </r>
  <r>
    <x v="8"/>
    <n v="2016"/>
    <s v="028"/>
    <x v="7"/>
    <s v="028005"/>
    <x v="49"/>
    <n v="67.2"/>
    <n v="24"/>
    <n v="151.19999999999999"/>
    <n v="54"/>
  </r>
  <r>
    <x v="8"/>
    <n v="2016"/>
    <s v="028"/>
    <x v="7"/>
    <s v="028006"/>
    <x v="248"/>
    <n v="243"/>
    <n v="60"/>
    <n v="145.80000000000001"/>
    <n v="36"/>
  </r>
  <r>
    <x v="8"/>
    <n v="2016"/>
    <s v="028"/>
    <x v="7"/>
    <s v="028007"/>
    <x v="50"/>
    <n v="615.6"/>
    <n v="359.91"/>
    <n v="226"/>
    <n v="133.30000000000001"/>
  </r>
  <r>
    <x v="8"/>
    <n v="2016"/>
    <s v="028"/>
    <x v="7"/>
    <s v="028008"/>
    <x v="51"/>
    <n v="648"/>
    <n v="320.15999999999997"/>
    <n v="292.60000000000002"/>
    <n v="146.74"/>
  </r>
  <r>
    <x v="8"/>
    <n v="2016"/>
    <s v="028"/>
    <x v="7"/>
    <s v="028013"/>
    <x v="52"/>
    <n v="534"/>
    <n v="120"/>
    <n v="427.2"/>
    <n v="96"/>
  </r>
  <r>
    <x v="8"/>
    <n v="2016"/>
    <s v="035"/>
    <x v="9"/>
    <s v="035001"/>
    <x v="56"/>
    <n v="2394.84"/>
    <n v="612"/>
    <n v="2136"/>
    <n v="534"/>
  </r>
  <r>
    <x v="8"/>
    <n v="2016"/>
    <s v="035"/>
    <x v="9"/>
    <s v="035002"/>
    <x v="56"/>
    <n v="331.92"/>
    <n v="72"/>
    <n v="120"/>
    <n v="24"/>
  </r>
  <r>
    <x v="8"/>
    <n v="2016"/>
    <s v="035"/>
    <x v="9"/>
    <s v="035010"/>
    <x v="57"/>
    <n v="327.60000000000002"/>
    <n v="90"/>
    <n v="790.92"/>
    <n v="222"/>
  </r>
  <r>
    <x v="8"/>
    <n v="2016"/>
    <s v="036"/>
    <x v="10"/>
    <s v="036001"/>
    <x v="58"/>
    <n v="1398.3"/>
    <n v="474"/>
    <n v="100.8"/>
    <n v="36"/>
  </r>
  <r>
    <x v="8"/>
    <n v="2016"/>
    <s v="036"/>
    <x v="10"/>
    <s v="036002"/>
    <x v="285"/>
    <n v="35.4"/>
    <n v="12"/>
    <m/>
    <m/>
  </r>
  <r>
    <x v="8"/>
    <n v="2016"/>
    <s v="036"/>
    <x v="10"/>
    <s v="036008"/>
    <x v="249"/>
    <n v="62"/>
    <n v="66.650000000000006"/>
    <m/>
    <m/>
  </r>
  <r>
    <x v="8"/>
    <n v="2016"/>
    <s v="036"/>
    <x v="10"/>
    <s v="036010"/>
    <x v="249"/>
    <n v="303.60000000000002"/>
    <n v="319.92"/>
    <n v="74.400000000000006"/>
    <n v="79.98"/>
  </r>
  <r>
    <x v="8"/>
    <n v="2016"/>
    <s v="036"/>
    <x v="10"/>
    <s v="036011"/>
    <x v="59"/>
    <n v="213.15"/>
    <n v="206.77"/>
    <m/>
    <m/>
  </r>
  <r>
    <x v="8"/>
    <n v="2016"/>
    <s v="037"/>
    <x v="11"/>
    <s v="037003"/>
    <x v="60"/>
    <n v="319.2"/>
    <n v="84"/>
    <n v="111"/>
    <n v="30"/>
  </r>
  <r>
    <x v="8"/>
    <n v="2016"/>
    <s v="037"/>
    <x v="11"/>
    <s v="037010"/>
    <x v="61"/>
    <n v="940.5"/>
    <n v="204"/>
    <n v="81.900000000000006"/>
    <n v="18"/>
  </r>
  <r>
    <x v="8"/>
    <n v="2016"/>
    <s v="039"/>
    <x v="12"/>
    <s v="039017"/>
    <x v="63"/>
    <n v="42"/>
    <n v="12"/>
    <n v="105"/>
    <n v="30"/>
  </r>
  <r>
    <x v="8"/>
    <n v="2016"/>
    <s v="039"/>
    <x v="12"/>
    <s v="039018"/>
    <x v="64"/>
    <n v="117.12"/>
    <n v="48"/>
    <n v="238.68"/>
    <n v="108"/>
  </r>
  <r>
    <x v="8"/>
    <n v="2016"/>
    <s v="039"/>
    <x v="12"/>
    <s v="039028"/>
    <x v="65"/>
    <n v="30"/>
    <n v="6"/>
    <n v="368.16"/>
    <n v="78"/>
  </r>
  <r>
    <x v="8"/>
    <n v="2016"/>
    <s v="039"/>
    <x v="12"/>
    <s v="039030"/>
    <x v="66"/>
    <n v="45.36"/>
    <n v="12"/>
    <n v="108.3"/>
    <n v="30"/>
  </r>
  <r>
    <x v="8"/>
    <n v="2016"/>
    <s v="040"/>
    <x v="13"/>
    <s v="040004"/>
    <x v="340"/>
    <n v="0"/>
    <n v="6"/>
    <n v="136.80000000000001"/>
    <n v="24"/>
  </r>
  <r>
    <x v="8"/>
    <n v="2016"/>
    <s v="040"/>
    <x v="13"/>
    <s v="040006"/>
    <x v="67"/>
    <n v="1839.6"/>
    <n v="510"/>
    <n v="4075.2"/>
    <n v="1158"/>
  </r>
  <r>
    <x v="8"/>
    <n v="2016"/>
    <s v="040"/>
    <x v="13"/>
    <s v="040007"/>
    <x v="68"/>
    <n v="220.8"/>
    <n v="106.72"/>
    <n v="789"/>
    <n v="400.2"/>
  </r>
  <r>
    <x v="8"/>
    <n v="2016"/>
    <s v="040"/>
    <x v="13"/>
    <s v="040008"/>
    <x v="68"/>
    <n v="317.39999999999998"/>
    <n v="159.96"/>
    <n v="504"/>
    <n v="266.60000000000002"/>
  </r>
  <r>
    <x v="8"/>
    <n v="2016"/>
    <s v="040"/>
    <x v="13"/>
    <s v="040011"/>
    <x v="69"/>
    <n v="54"/>
    <n v="12"/>
    <n v="27"/>
    <n v="6"/>
  </r>
  <r>
    <x v="8"/>
    <n v="2016"/>
    <s v="040"/>
    <x v="13"/>
    <s v="040012"/>
    <x v="69"/>
    <n v="146.69999999999999"/>
    <n v="36"/>
    <m/>
    <m/>
  </r>
  <r>
    <x v="8"/>
    <n v="2016"/>
    <s v="040"/>
    <x v="13"/>
    <s v="040015"/>
    <x v="70"/>
    <n v="61.2"/>
    <n v="12"/>
    <m/>
    <m/>
  </r>
  <r>
    <x v="8"/>
    <n v="2016"/>
    <s v="040"/>
    <x v="13"/>
    <s v="040017"/>
    <x v="286"/>
    <n v="49.2"/>
    <n v="6"/>
    <m/>
    <m/>
  </r>
  <r>
    <x v="8"/>
    <n v="2016"/>
    <s v="041"/>
    <x v="14"/>
    <s v="041001/10"/>
    <x v="71"/>
    <n v="688.8"/>
    <n v="48"/>
    <n v="1092"/>
    <n v="78"/>
  </r>
  <r>
    <x v="8"/>
    <n v="2016"/>
    <s v="041"/>
    <x v="14"/>
    <s v="041001/12"/>
    <x v="71"/>
    <n v="159"/>
    <n v="12"/>
    <m/>
    <m/>
  </r>
  <r>
    <x v="8"/>
    <n v="2016"/>
    <s v="041"/>
    <x v="14"/>
    <s v="041006"/>
    <x v="252"/>
    <n v="54.6"/>
    <n v="6"/>
    <n v="216"/>
    <n v="24"/>
  </r>
  <r>
    <x v="8"/>
    <n v="2016"/>
    <s v="041"/>
    <x v="14"/>
    <s v="041016"/>
    <x v="73"/>
    <n v="1008"/>
    <n v="120"/>
    <n v="901.8"/>
    <n v="114"/>
  </r>
  <r>
    <x v="8"/>
    <n v="2016"/>
    <s v="041"/>
    <x v="14"/>
    <s v="041020"/>
    <x v="72"/>
    <n v="180"/>
    <n v="12"/>
    <m/>
    <m/>
  </r>
  <r>
    <x v="8"/>
    <n v="2016"/>
    <s v="046"/>
    <x v="16"/>
    <s v="046001"/>
    <x v="75"/>
    <n v="135"/>
    <n v="30"/>
    <n v="147.6"/>
    <n v="36"/>
  </r>
  <r>
    <x v="8"/>
    <n v="2016"/>
    <s v="046"/>
    <x v="16"/>
    <s v="046010"/>
    <x v="76"/>
    <n v="786.6"/>
    <n v="114"/>
    <n v="230.4"/>
    <n v="36"/>
  </r>
  <r>
    <x v="8"/>
    <n v="2016"/>
    <s v="046"/>
    <x v="16"/>
    <s v="046015"/>
    <x v="77"/>
    <n v="120"/>
    <n v="30"/>
    <n v="210"/>
    <n v="60"/>
  </r>
  <r>
    <x v="8"/>
    <n v="2016"/>
    <s v="046"/>
    <x v="16"/>
    <s v="046020"/>
    <x v="78"/>
    <n v="225"/>
    <n v="30"/>
    <n v="84"/>
    <n v="12"/>
  </r>
  <r>
    <x v="8"/>
    <n v="2016"/>
    <s v="046"/>
    <x v="16"/>
    <s v="046025"/>
    <x v="254"/>
    <n v="144"/>
    <n v="24"/>
    <m/>
    <m/>
  </r>
  <r>
    <x v="8"/>
    <n v="2016"/>
    <s v="048B"/>
    <x v="17"/>
    <s v="048003B"/>
    <x v="79"/>
    <n v="1377.6"/>
    <n v="246"/>
    <n v="870.6"/>
    <n v="156"/>
  </r>
  <r>
    <x v="8"/>
    <n v="2016"/>
    <s v="048B"/>
    <x v="17"/>
    <s v="048006B"/>
    <x v="287"/>
    <n v="360"/>
    <n v="60"/>
    <m/>
    <m/>
  </r>
  <r>
    <x v="8"/>
    <n v="2016"/>
    <s v="049"/>
    <x v="18"/>
    <s v="049007"/>
    <x v="80"/>
    <n v="821.1"/>
    <n v="246"/>
    <m/>
    <m/>
  </r>
  <r>
    <x v="8"/>
    <n v="2016"/>
    <s v="049"/>
    <x v="18"/>
    <s v="049008"/>
    <x v="80"/>
    <n v="100.8"/>
    <n v="24"/>
    <m/>
    <m/>
  </r>
  <r>
    <x v="8"/>
    <n v="2016"/>
    <s v="049"/>
    <x v="18"/>
    <s v="049014"/>
    <x v="255"/>
    <n v="351"/>
    <n v="156"/>
    <m/>
    <m/>
  </r>
  <r>
    <x v="8"/>
    <n v="2016"/>
    <s v="049"/>
    <x v="18"/>
    <s v="049015"/>
    <x v="81"/>
    <n v="191.4"/>
    <n v="66"/>
    <n v="0"/>
    <n v="6"/>
  </r>
  <r>
    <x v="8"/>
    <n v="2016"/>
    <s v="049"/>
    <x v="18"/>
    <s v="049016"/>
    <x v="81"/>
    <n v="66.599999999999994"/>
    <n v="18"/>
    <n v="0"/>
    <n v="6"/>
  </r>
  <r>
    <x v="8"/>
    <n v="2016"/>
    <s v="049"/>
    <x v="18"/>
    <s v="049020"/>
    <x v="82"/>
    <n v="310.5"/>
    <n v="138"/>
    <n v="783"/>
    <n v="348"/>
  </r>
  <r>
    <x v="8"/>
    <n v="2016"/>
    <s v="049"/>
    <x v="18"/>
    <s v="049027"/>
    <x v="80"/>
    <n v="202.5"/>
    <n v="60"/>
    <m/>
    <m/>
  </r>
  <r>
    <x v="8"/>
    <n v="2016"/>
    <s v="050"/>
    <x v="19"/>
    <s v="050001"/>
    <x v="83"/>
    <n v="2262"/>
    <n v="696"/>
    <n v="2176"/>
    <n v="690"/>
  </r>
  <r>
    <x v="8"/>
    <n v="2016"/>
    <s v="050"/>
    <x v="19"/>
    <s v="050003"/>
    <x v="84"/>
    <n v="19.5"/>
    <n v="6"/>
    <m/>
    <m/>
  </r>
  <r>
    <x v="8"/>
    <n v="2016"/>
    <s v="050"/>
    <x v="19"/>
    <s v="050005"/>
    <x v="85"/>
    <n v="105.6"/>
    <n v="24"/>
    <n v="132"/>
    <n v="30"/>
  </r>
  <r>
    <x v="8"/>
    <n v="2016"/>
    <s v="050"/>
    <x v="19"/>
    <s v="050010"/>
    <x v="256"/>
    <n v="78"/>
    <n v="12"/>
    <n v="630.5"/>
    <n v="102"/>
  </r>
  <r>
    <x v="8"/>
    <n v="2016"/>
    <s v="051"/>
    <x v="20"/>
    <s v="051000"/>
    <x v="86"/>
    <n v="3192"/>
    <n v="570"/>
    <n v="6580.7"/>
    <n v="1212"/>
  </r>
  <r>
    <x v="8"/>
    <n v="2016"/>
    <s v="051"/>
    <x v="20"/>
    <s v="051002CB"/>
    <x v="288"/>
    <n v="56.7"/>
    <n v="6"/>
    <n v="139.94999999999999"/>
    <n v="15"/>
  </r>
  <r>
    <x v="8"/>
    <n v="2016"/>
    <s v="051"/>
    <x v="20"/>
    <s v="051010/11"/>
    <x v="87"/>
    <n v="5904.9"/>
    <n v="750"/>
    <n v="4250.3999999999996"/>
    <n v="534"/>
  </r>
  <r>
    <x v="8"/>
    <n v="2016"/>
    <s v="051"/>
    <x v="20"/>
    <s v="051016"/>
    <x v="88"/>
    <n v="237.6"/>
    <n v="36"/>
    <m/>
    <m/>
  </r>
  <r>
    <x v="8"/>
    <n v="2016"/>
    <s v="051"/>
    <x v="20"/>
    <s v="051017"/>
    <x v="88"/>
    <n v="609.6"/>
    <n v="96"/>
    <n v="758.4"/>
    <n v="120"/>
  </r>
  <r>
    <x v="8"/>
    <n v="2016"/>
    <s v="051"/>
    <x v="20"/>
    <s v="051133"/>
    <x v="89"/>
    <n v="1486.8"/>
    <n v="168"/>
    <n v="1372.8"/>
    <n v="156"/>
  </r>
  <r>
    <x v="8"/>
    <n v="2016"/>
    <s v="051"/>
    <x v="20"/>
    <s v="CDV051131"/>
    <x v="378"/>
    <n v="108.48"/>
    <n v="12"/>
    <m/>
    <m/>
  </r>
  <r>
    <x v="8"/>
    <n v="2016"/>
    <s v="052"/>
    <x v="21"/>
    <s v="052017"/>
    <x v="90"/>
    <n v="707.4"/>
    <n v="72"/>
    <n v="117.9"/>
    <n v="12"/>
  </r>
  <r>
    <x v="8"/>
    <n v="2016"/>
    <s v="052"/>
    <x v="21"/>
    <s v="052021"/>
    <x v="91"/>
    <n v="979.2"/>
    <n v="102"/>
    <n v="1267.2"/>
    <n v="132"/>
  </r>
  <r>
    <x v="8"/>
    <n v="2016"/>
    <s v="052"/>
    <x v="21"/>
    <s v="052022"/>
    <x v="257"/>
    <n v="126"/>
    <n v="12"/>
    <m/>
    <m/>
  </r>
  <r>
    <x v="8"/>
    <n v="2016"/>
    <s v="052"/>
    <x v="21"/>
    <s v="052028"/>
    <x v="92"/>
    <n v="333.9"/>
    <n v="132"/>
    <n v="206.7"/>
    <n v="78"/>
  </r>
  <r>
    <x v="8"/>
    <n v="2016"/>
    <s v="052"/>
    <x v="21"/>
    <s v="052039"/>
    <x v="93"/>
    <n v="493.2"/>
    <n v="72"/>
    <n v="205.5"/>
    <n v="30"/>
  </r>
  <r>
    <x v="8"/>
    <n v="2016"/>
    <s v="052"/>
    <x v="21"/>
    <s v="052039/10"/>
    <x v="379"/>
    <n v="82.2"/>
    <n v="12"/>
    <m/>
    <m/>
  </r>
  <r>
    <x v="8"/>
    <n v="2016"/>
    <s v="052"/>
    <x v="21"/>
    <s v="052046"/>
    <x v="94"/>
    <n v="339.6"/>
    <n v="48"/>
    <n v="169.8"/>
    <n v="24"/>
  </r>
  <r>
    <x v="8"/>
    <n v="2016"/>
    <s v="052"/>
    <x v="21"/>
    <s v="052055"/>
    <x v="96"/>
    <n v="123.3"/>
    <n v="18"/>
    <n v="123.3"/>
    <n v="18"/>
  </r>
  <r>
    <x v="8"/>
    <n v="2016"/>
    <s v="052"/>
    <x v="21"/>
    <s v="052063"/>
    <x v="380"/>
    <n v="1237.5"/>
    <n v="300"/>
    <n v="1920"/>
    <n v="600"/>
  </r>
  <r>
    <x v="8"/>
    <n v="2016"/>
    <s v="054"/>
    <x v="22"/>
    <s v="054002"/>
    <x v="97"/>
    <n v="330"/>
    <n v="66"/>
    <n v="662.4"/>
    <n v="138"/>
  </r>
  <r>
    <x v="8"/>
    <n v="2016"/>
    <s v="054"/>
    <x v="22"/>
    <s v="054005"/>
    <x v="98"/>
    <n v="139.5"/>
    <n v="18"/>
    <n v="661.5"/>
    <n v="90"/>
  </r>
  <r>
    <x v="8"/>
    <n v="2016"/>
    <s v="054"/>
    <x v="22"/>
    <s v="054011"/>
    <x v="99"/>
    <n v="801"/>
    <n v="90"/>
    <n v="462"/>
    <n v="60"/>
  </r>
  <r>
    <x v="8"/>
    <n v="2016"/>
    <s v="059"/>
    <x v="23"/>
    <s v="059002"/>
    <x v="100"/>
    <n v="201.6"/>
    <n v="48"/>
    <n v="352.8"/>
    <n v="84"/>
  </r>
  <r>
    <x v="8"/>
    <n v="2016"/>
    <s v="059"/>
    <x v="23"/>
    <s v="059005"/>
    <x v="101"/>
    <n v="129.6"/>
    <n v="36"/>
    <m/>
    <m/>
  </r>
  <r>
    <x v="8"/>
    <n v="2016"/>
    <s v="059"/>
    <x v="23"/>
    <s v="059006"/>
    <x v="102"/>
    <n v="0"/>
    <n v="6"/>
    <n v="33"/>
    <n v="6"/>
  </r>
  <r>
    <x v="8"/>
    <n v="2016"/>
    <s v="059"/>
    <x v="23"/>
    <s v="059008"/>
    <x v="102"/>
    <n v="99"/>
    <n v="18"/>
    <n v="198"/>
    <n v="36"/>
  </r>
  <r>
    <x v="8"/>
    <n v="2016"/>
    <s v="059"/>
    <x v="23"/>
    <s v="059010"/>
    <x v="102"/>
    <n v="66"/>
    <n v="18"/>
    <m/>
    <m/>
  </r>
  <r>
    <x v="8"/>
    <n v="2016"/>
    <s v="059"/>
    <x v="23"/>
    <s v="059019"/>
    <x v="103"/>
    <n v="85.2"/>
    <n v="24"/>
    <n v="85.2"/>
    <n v="24"/>
  </r>
  <r>
    <x v="8"/>
    <n v="2016"/>
    <s v="059"/>
    <x v="23"/>
    <s v="059020"/>
    <x v="104"/>
    <n v="5506.2"/>
    <n v="1542"/>
    <n v="3673.5"/>
    <n v="1044"/>
  </r>
  <r>
    <x v="8"/>
    <n v="2016"/>
    <s v="059"/>
    <x v="23"/>
    <s v="059021"/>
    <x v="105"/>
    <n v="1892.3"/>
    <n v="887.11"/>
    <n v="968.5"/>
    <n v="433.55"/>
  </r>
  <r>
    <x v="8"/>
    <n v="2016"/>
    <s v="059"/>
    <x v="23"/>
    <s v="059024"/>
    <x v="107"/>
    <n v="90"/>
    <n v="30"/>
    <n v="36"/>
    <n v="12"/>
  </r>
  <r>
    <x v="8"/>
    <n v="2016"/>
    <s v="059"/>
    <x v="23"/>
    <s v="059025"/>
    <x v="106"/>
    <n v="6277.5"/>
    <n v="2808"/>
    <n v="4981.5"/>
    <n v="2214"/>
  </r>
  <r>
    <x v="8"/>
    <n v="2016"/>
    <s v="059"/>
    <x v="23"/>
    <s v="059026"/>
    <x v="107"/>
    <n v="3692.7"/>
    <n v="2501.25"/>
    <n v="2564.1"/>
    <n v="1727.53"/>
  </r>
  <r>
    <x v="8"/>
    <n v="2016"/>
    <s v="059"/>
    <x v="23"/>
    <s v="059027"/>
    <x v="259"/>
    <n v="101.4"/>
    <n v="79.98"/>
    <n v="101.4"/>
    <n v="93.31"/>
  </r>
  <r>
    <x v="8"/>
    <n v="2016"/>
    <s v="059"/>
    <x v="23"/>
    <s v="059101"/>
    <x v="290"/>
    <n v="21.6"/>
    <n v="300"/>
    <n v="10.8"/>
    <n v="6"/>
  </r>
  <r>
    <x v="8"/>
    <n v="2016"/>
    <s v="059"/>
    <x v="23"/>
    <s v="059104"/>
    <x v="291"/>
    <n v="133.19999999999999"/>
    <n v="36"/>
    <m/>
    <m/>
  </r>
  <r>
    <x v="8"/>
    <n v="2016"/>
    <s v="060"/>
    <x v="24"/>
    <s v="060015"/>
    <x v="109"/>
    <n v="359.04"/>
    <n v="102"/>
    <n v="734.4"/>
    <n v="204"/>
  </r>
  <r>
    <x v="8"/>
    <n v="2016"/>
    <s v="060"/>
    <x v="24"/>
    <s v="060016"/>
    <x v="109"/>
    <n v="56.88"/>
    <n v="12"/>
    <n v="26.64"/>
    <n v="6"/>
  </r>
  <r>
    <x v="8"/>
    <n v="2016"/>
    <s v="062"/>
    <x v="25"/>
    <s v="062001"/>
    <x v="260"/>
    <n v="180"/>
    <n v="36"/>
    <n v="122.4"/>
    <n v="24"/>
  </r>
  <r>
    <x v="8"/>
    <n v="2016"/>
    <s v="062"/>
    <x v="25"/>
    <s v="062002"/>
    <x v="110"/>
    <n v="386.4"/>
    <n v="84"/>
    <m/>
    <m/>
  </r>
  <r>
    <x v="8"/>
    <n v="2016"/>
    <s v="062"/>
    <x v="25"/>
    <s v="062003"/>
    <x v="110"/>
    <n v="1900.8"/>
    <n v="438"/>
    <n v="1737.2"/>
    <n v="414"/>
  </r>
  <r>
    <x v="8"/>
    <n v="2016"/>
    <s v="062"/>
    <x v="25"/>
    <s v="062021"/>
    <x v="110"/>
    <n v="710.4"/>
    <n v="222"/>
    <n v="677.1"/>
    <n v="228"/>
  </r>
  <r>
    <x v="8"/>
    <n v="2016"/>
    <s v="062"/>
    <x v="25"/>
    <s v="062030"/>
    <x v="111"/>
    <n v="115.2"/>
    <n v="24"/>
    <n v="28.8"/>
    <n v="12"/>
  </r>
  <r>
    <x v="8"/>
    <n v="2016"/>
    <s v="062"/>
    <x v="25"/>
    <s v="062032"/>
    <x v="112"/>
    <n v="1605"/>
    <n v="713.68999999999994"/>
    <n v="1711"/>
    <n v="793.73"/>
  </r>
  <r>
    <x v="8"/>
    <n v="2016"/>
    <s v="074"/>
    <x v="26"/>
    <s v="074012"/>
    <x v="113"/>
    <n v="729.6"/>
    <n v="96"/>
    <n v="547.20000000000005"/>
    <n v="72"/>
  </r>
  <r>
    <x v="8"/>
    <n v="2016"/>
    <s v="074"/>
    <x v="26"/>
    <s v="074013"/>
    <x v="114"/>
    <n v="697.5"/>
    <n v="150"/>
    <n v="993.6"/>
    <n v="216"/>
  </r>
  <r>
    <x v="8"/>
    <n v="2016"/>
    <s v="074"/>
    <x v="26"/>
    <s v="074029"/>
    <x v="342"/>
    <n v="46.2"/>
    <n v="6"/>
    <m/>
    <m/>
  </r>
  <r>
    <x v="8"/>
    <n v="2016"/>
    <s v="080"/>
    <x v="28"/>
    <s v="080010"/>
    <x v="118"/>
    <n v="1470.6"/>
    <n v="228"/>
    <n v="793.8"/>
    <n v="126"/>
  </r>
  <r>
    <x v="8"/>
    <n v="2016"/>
    <s v="080"/>
    <x v="28"/>
    <s v="080011"/>
    <x v="118"/>
    <n v="234"/>
    <n v="30"/>
    <n v="138.6"/>
    <n v="18"/>
  </r>
  <r>
    <x v="8"/>
    <n v="2016"/>
    <s v="080"/>
    <x v="28"/>
    <s v="080013"/>
    <x v="118"/>
    <n v="37.799999999999997"/>
    <n v="6"/>
    <n v="36.6"/>
    <n v="6"/>
  </r>
  <r>
    <x v="8"/>
    <n v="2016"/>
    <s v="080"/>
    <x v="28"/>
    <s v="080015"/>
    <x v="118"/>
    <n v="603"/>
    <n v="90"/>
    <n v="237.6"/>
    <n v="36"/>
  </r>
  <r>
    <x v="8"/>
    <n v="2016"/>
    <s v="080"/>
    <x v="28"/>
    <s v="080016"/>
    <x v="118"/>
    <n v="46.8"/>
    <n v="6"/>
    <m/>
    <m/>
  </r>
  <r>
    <x v="8"/>
    <n v="2016"/>
    <s v="083"/>
    <x v="29"/>
    <s v="083003"/>
    <x v="119"/>
    <n v="335.4"/>
    <n v="156"/>
    <n v="390.6"/>
    <n v="186"/>
  </r>
  <r>
    <x v="8"/>
    <n v="2016"/>
    <s v="084"/>
    <x v="30"/>
    <s v="084001"/>
    <x v="120"/>
    <n v="962.5"/>
    <n v="666.5"/>
    <n v="1672.75"/>
    <n v="1186.3700000000001"/>
  </r>
  <r>
    <x v="8"/>
    <n v="2016"/>
    <s v="084"/>
    <x v="30"/>
    <s v="084002"/>
    <x v="120"/>
    <n v="1657.6"/>
    <n v="987.16"/>
    <n v="1672"/>
    <n v="1053.8599999999999"/>
  </r>
  <r>
    <x v="8"/>
    <n v="2016"/>
    <s v="084"/>
    <x v="30"/>
    <s v="084004"/>
    <x v="121"/>
    <n v="-441"/>
    <n v="-210"/>
    <n v="12.3"/>
    <n v="6"/>
  </r>
  <r>
    <x v="8"/>
    <n v="2016"/>
    <s v="084"/>
    <x v="30"/>
    <s v="084006"/>
    <x v="122"/>
    <n v="2095.5"/>
    <n v="768"/>
    <n v="2835"/>
    <n v="1050"/>
  </r>
  <r>
    <x v="8"/>
    <n v="2016"/>
    <s v="084"/>
    <x v="30"/>
    <s v="084007"/>
    <x v="123"/>
    <n v="1435.2"/>
    <n v="312"/>
    <n v="1048.5"/>
    <n v="234"/>
  </r>
  <r>
    <x v="8"/>
    <n v="2016"/>
    <s v="084"/>
    <x v="30"/>
    <s v="084008"/>
    <x v="124"/>
    <n v="358.8"/>
    <n v="60"/>
    <n v="175.5"/>
    <n v="30"/>
  </r>
  <r>
    <x v="8"/>
    <n v="2016"/>
    <s v="084"/>
    <x v="30"/>
    <s v="084015"/>
    <x v="263"/>
    <n v="322.5"/>
    <n v="30"/>
    <m/>
    <m/>
  </r>
  <r>
    <x v="8"/>
    <n v="2016"/>
    <s v="084"/>
    <x v="30"/>
    <s v="084032"/>
    <x v="125"/>
    <n v="330"/>
    <n v="120"/>
    <m/>
    <m/>
  </r>
  <r>
    <x v="8"/>
    <n v="2016"/>
    <s v="084"/>
    <x v="30"/>
    <s v="084041"/>
    <x v="343"/>
    <n v="66"/>
    <n v="24"/>
    <m/>
    <m/>
  </r>
  <r>
    <x v="8"/>
    <n v="2016"/>
    <s v="084"/>
    <x v="30"/>
    <s v="084050"/>
    <x v="292"/>
    <n v="252"/>
    <n v="24"/>
    <m/>
    <m/>
  </r>
  <r>
    <x v="8"/>
    <n v="2016"/>
    <s v="084"/>
    <x v="30"/>
    <s v="084100"/>
    <x v="361"/>
    <n v="822.48"/>
    <n v="276"/>
    <m/>
    <m/>
  </r>
  <r>
    <x v="8"/>
    <n v="2016"/>
    <s v="084"/>
    <x v="30"/>
    <s v="084101"/>
    <x v="361"/>
    <n v="107.28"/>
    <n v="36"/>
    <m/>
    <m/>
  </r>
  <r>
    <x v="8"/>
    <n v="2016"/>
    <s v="084"/>
    <x v="30"/>
    <s v="084102"/>
    <x v="362"/>
    <n v="1385.8"/>
    <n v="342"/>
    <m/>
    <m/>
  </r>
  <r>
    <x v="8"/>
    <n v="2016"/>
    <s v="084"/>
    <x v="30"/>
    <s v="084103"/>
    <x v="362"/>
    <n v="147.6"/>
    <n v="36"/>
    <m/>
    <m/>
  </r>
  <r>
    <x v="8"/>
    <n v="2016"/>
    <s v="086B"/>
    <x v="31"/>
    <s v="086001P"/>
    <x v="126"/>
    <n v="89.85"/>
    <n v="66.650000000000006"/>
    <n v="251.85"/>
    <n v="199.95"/>
  </r>
  <r>
    <x v="8"/>
    <n v="2016"/>
    <s v="086B"/>
    <x v="31"/>
    <s v="086002P"/>
    <x v="126"/>
    <n v="59.46"/>
    <n v="46.69"/>
    <n v="148.16"/>
    <n v="106.72"/>
  </r>
  <r>
    <x v="8"/>
    <n v="2016"/>
    <s v="086B"/>
    <x v="31"/>
    <s v="086011P"/>
    <x v="126"/>
    <n v="251.58"/>
    <n v="186.62"/>
    <n v="235.06"/>
    <n v="186.62"/>
  </r>
  <r>
    <x v="8"/>
    <n v="2016"/>
    <s v="086B"/>
    <x v="31"/>
    <s v="086012P"/>
    <x v="126"/>
    <n v="227.93"/>
    <n v="153.41"/>
    <n v="212.98"/>
    <n v="160.07999999999998"/>
  </r>
  <r>
    <x v="8"/>
    <n v="2016"/>
    <s v="088"/>
    <x v="32"/>
    <s v="088001"/>
    <x v="127"/>
    <n v="250.56"/>
    <n v="36"/>
    <m/>
    <m/>
  </r>
  <r>
    <x v="8"/>
    <n v="2016"/>
    <s v="089"/>
    <x v="33"/>
    <s v="089002"/>
    <x v="128"/>
    <n v="941.7"/>
    <n v="258"/>
    <n v="149.1"/>
    <n v="42"/>
  </r>
  <r>
    <x v="8"/>
    <n v="2016"/>
    <s v="089"/>
    <x v="33"/>
    <s v="089010"/>
    <x v="129"/>
    <n v="466.2"/>
    <n v="126"/>
    <m/>
    <m/>
  </r>
  <r>
    <x v="8"/>
    <n v="2016"/>
    <s v="089"/>
    <x v="33"/>
    <s v="089800"/>
    <x v="130"/>
    <n v="722.1"/>
    <n v="174"/>
    <n v="24.6"/>
    <n v="6"/>
  </r>
  <r>
    <x v="8"/>
    <n v="2016"/>
    <s v="089"/>
    <x v="33"/>
    <s v="089900"/>
    <x v="131"/>
    <n v="1211.25"/>
    <n v="759.81000000000006"/>
    <n v="243"/>
    <n v="159.96"/>
  </r>
  <r>
    <x v="8"/>
    <n v="2016"/>
    <s v="089"/>
    <x v="33"/>
    <s v="089901"/>
    <x v="132"/>
    <n v="1491.6"/>
    <n v="753.71"/>
    <n v="463.6"/>
    <n v="253.46"/>
  </r>
  <r>
    <x v="8"/>
    <n v="2016"/>
    <s v="089"/>
    <x v="33"/>
    <s v="089903"/>
    <x v="133"/>
    <n v="5338.2"/>
    <n v="1302"/>
    <n v="607.5"/>
    <n v="150"/>
  </r>
  <r>
    <x v="8"/>
    <n v="2016"/>
    <s v="094"/>
    <x v="35"/>
    <s v="094001"/>
    <x v="135"/>
    <n v="922.2"/>
    <n v="174"/>
    <m/>
    <m/>
  </r>
  <r>
    <x v="8"/>
    <n v="2016"/>
    <s v="094"/>
    <x v="35"/>
    <s v="094003"/>
    <x v="136"/>
    <n v="203.4"/>
    <n v="36"/>
    <m/>
    <m/>
  </r>
  <r>
    <x v="8"/>
    <n v="2016"/>
    <s v="094"/>
    <x v="35"/>
    <s v="094004"/>
    <x v="137"/>
    <n v="572.4"/>
    <n v="72"/>
    <m/>
    <m/>
  </r>
  <r>
    <x v="8"/>
    <n v="2016"/>
    <s v="095"/>
    <x v="36"/>
    <s v="095001"/>
    <x v="138"/>
    <n v="1198.8"/>
    <n v="324"/>
    <n v="1176.5999999999999"/>
    <n v="318"/>
  </r>
  <r>
    <x v="8"/>
    <n v="2016"/>
    <s v="095"/>
    <x v="36"/>
    <s v="095002"/>
    <x v="138"/>
    <n v="132"/>
    <n v="30"/>
    <m/>
    <m/>
  </r>
  <r>
    <x v="8"/>
    <n v="2016"/>
    <s v="095"/>
    <x v="36"/>
    <s v="095004"/>
    <x v="344"/>
    <n v="0"/>
    <n v="18"/>
    <m/>
    <m/>
  </r>
  <r>
    <x v="8"/>
    <n v="2016"/>
    <s v="095"/>
    <x v="36"/>
    <s v="095005"/>
    <x v="139"/>
    <n v="46.8"/>
    <n v="12"/>
    <n v="140.4"/>
    <n v="36"/>
  </r>
  <r>
    <x v="8"/>
    <n v="2016"/>
    <s v="095"/>
    <x v="36"/>
    <s v="095008"/>
    <x v="294"/>
    <n v="162"/>
    <n v="30"/>
    <m/>
    <m/>
  </r>
  <r>
    <x v="8"/>
    <n v="2016"/>
    <s v="095"/>
    <x v="36"/>
    <s v="095010"/>
    <x v="140"/>
    <n v="1264.8"/>
    <n v="288"/>
    <n v="883.5"/>
    <n v="204"/>
  </r>
  <r>
    <x v="8"/>
    <n v="2016"/>
    <s v="095"/>
    <x v="36"/>
    <s v="095012"/>
    <x v="141"/>
    <n v="756.4"/>
    <n v="132"/>
    <n v="545.6"/>
    <n v="102"/>
  </r>
  <r>
    <x v="8"/>
    <n v="2016"/>
    <s v="095"/>
    <x v="36"/>
    <s v="095016"/>
    <x v="142"/>
    <n v="52.2"/>
    <n v="6"/>
    <n v="365.4"/>
    <n v="42"/>
  </r>
  <r>
    <x v="8"/>
    <n v="2016"/>
    <s v="097"/>
    <x v="38"/>
    <s v="097004"/>
    <x v="147"/>
    <n v="352.8"/>
    <n v="168"/>
    <n v="1504.7"/>
    <n v="744"/>
  </r>
  <r>
    <x v="8"/>
    <n v="2016"/>
    <s v="099"/>
    <x v="39"/>
    <s v="099001"/>
    <x v="148"/>
    <n v="1669.5"/>
    <n v="1044"/>
    <n v="1497.78"/>
    <n v="954"/>
  </r>
  <r>
    <x v="8"/>
    <n v="2016"/>
    <s v="099"/>
    <x v="39"/>
    <s v="099002"/>
    <x v="148"/>
    <n v="2330.7600000000002"/>
    <n v="1404"/>
    <n v="9856.2199999999993"/>
    <n v="7176"/>
  </r>
  <r>
    <x v="8"/>
    <n v="2016"/>
    <s v="099"/>
    <x v="39"/>
    <s v="099003"/>
    <x v="148"/>
    <n v="555.36"/>
    <n v="312"/>
    <n v="496.32"/>
    <n v="282"/>
  </r>
  <r>
    <x v="8"/>
    <n v="2016"/>
    <s v="099"/>
    <x v="39"/>
    <s v="099013"/>
    <x v="149"/>
    <n v="488.94"/>
    <n v="180"/>
    <n v="168.6"/>
    <n v="60"/>
  </r>
  <r>
    <x v="8"/>
    <n v="2016"/>
    <s v="099"/>
    <x v="39"/>
    <s v="099016"/>
    <x v="150"/>
    <n v="297.83999999999997"/>
    <n v="102"/>
    <n v="153.9"/>
    <n v="54"/>
  </r>
  <r>
    <x v="8"/>
    <n v="2016"/>
    <s v="099"/>
    <x v="39"/>
    <s v="099022"/>
    <x v="352"/>
    <n v="161.28"/>
    <n v="72"/>
    <m/>
    <m/>
  </r>
  <r>
    <x v="8"/>
    <n v="2016"/>
    <s v="110"/>
    <x v="40"/>
    <s v="110500"/>
    <x v="151"/>
    <n v="523.6"/>
    <n v="373.24"/>
    <n v="127.4"/>
    <n v="93.31"/>
  </r>
  <r>
    <x v="8"/>
    <n v="2016"/>
    <s v="110"/>
    <x v="40"/>
    <s v="110501"/>
    <x v="151"/>
    <n v="379.1"/>
    <n v="226.78"/>
    <n v="333.25"/>
    <n v="206.77"/>
  </r>
  <r>
    <x v="8"/>
    <n v="2016"/>
    <s v="110"/>
    <x v="40"/>
    <s v="110600"/>
    <x v="152"/>
    <n v="151.19999999999999"/>
    <n v="48"/>
    <n v="146.4"/>
    <n v="48"/>
  </r>
  <r>
    <x v="8"/>
    <n v="2016"/>
    <s v="113"/>
    <x v="41"/>
    <s v="113001"/>
    <x v="153"/>
    <n v="1607.4"/>
    <n v="282"/>
    <n v="759"/>
    <n v="138"/>
  </r>
  <r>
    <x v="8"/>
    <n v="2016"/>
    <s v="113"/>
    <x v="41"/>
    <s v="113002"/>
    <x v="153"/>
    <n v="189"/>
    <n v="30"/>
    <n v="109.8"/>
    <n v="18"/>
  </r>
  <r>
    <x v="8"/>
    <n v="2016"/>
    <s v="113"/>
    <x v="41"/>
    <s v="113005"/>
    <x v="153"/>
    <n v="360"/>
    <n v="60"/>
    <n v="448.5"/>
    <n v="78"/>
  </r>
  <r>
    <x v="8"/>
    <n v="2016"/>
    <s v="113"/>
    <x v="41"/>
    <s v="113006"/>
    <x v="153"/>
    <n v="39.6"/>
    <n v="6"/>
    <n v="153.6"/>
    <n v="24"/>
  </r>
  <r>
    <x v="8"/>
    <n v="2016"/>
    <s v="114"/>
    <x v="42"/>
    <s v="114001"/>
    <x v="154"/>
    <n v="2079"/>
    <n v="756"/>
    <n v="702"/>
    <n v="270"/>
  </r>
  <r>
    <x v="8"/>
    <n v="2016"/>
    <s v="114"/>
    <x v="42"/>
    <s v="114002"/>
    <x v="154"/>
    <n v="162.24"/>
    <n v="48"/>
    <n v="99"/>
    <n v="36"/>
  </r>
  <r>
    <x v="8"/>
    <n v="2016"/>
    <s v="114"/>
    <x v="42"/>
    <s v="114005"/>
    <x v="155"/>
    <n v="267.89999999999998"/>
    <n v="114"/>
    <n v="28.2"/>
    <n v="12"/>
  </r>
  <r>
    <x v="8"/>
    <n v="2016"/>
    <s v="114"/>
    <x v="42"/>
    <s v="114006"/>
    <x v="155"/>
    <n v="90.6"/>
    <n v="30"/>
    <m/>
    <m/>
  </r>
  <r>
    <x v="8"/>
    <n v="2016"/>
    <s v="114"/>
    <x v="42"/>
    <s v="114010"/>
    <x v="156"/>
    <n v="1155"/>
    <n v="666.5"/>
    <n v="726.4"/>
    <n v="426.56"/>
  </r>
  <r>
    <x v="8"/>
    <n v="2016"/>
    <s v="114"/>
    <x v="42"/>
    <s v="114011"/>
    <x v="156"/>
    <n v="1282.5"/>
    <n v="640.31999999999994"/>
    <n v="1192.32"/>
    <n v="613.64"/>
  </r>
  <r>
    <x v="8"/>
    <n v="2016"/>
    <s v="115"/>
    <x v="43"/>
    <s v="115005"/>
    <x v="159"/>
    <n v="361.8"/>
    <n v="54"/>
    <n v="614.4"/>
    <n v="96"/>
  </r>
  <r>
    <x v="8"/>
    <n v="2016"/>
    <s v="116"/>
    <x v="44"/>
    <s v="116001"/>
    <x v="162"/>
    <n v="938.4"/>
    <n v="204"/>
    <n v="737.1"/>
    <n v="162"/>
  </r>
  <r>
    <x v="8"/>
    <n v="2016"/>
    <s v="116"/>
    <x v="44"/>
    <s v="116005"/>
    <x v="267"/>
    <n v="52.2"/>
    <n v="12"/>
    <n v="-25.8"/>
    <n v="-6"/>
  </r>
  <r>
    <x v="8"/>
    <n v="2016"/>
    <s v="124"/>
    <x v="46"/>
    <s v="124001"/>
    <x v="175"/>
    <n v="2898"/>
    <n v="660"/>
    <n v="1108.8"/>
    <n v="252"/>
  </r>
  <r>
    <x v="8"/>
    <n v="2016"/>
    <s v="124"/>
    <x v="46"/>
    <s v="124002"/>
    <x v="176"/>
    <n v="277.2"/>
    <n v="84"/>
    <n v="998.4"/>
    <n v="312"/>
  </r>
  <r>
    <x v="8"/>
    <n v="2016"/>
    <s v="124"/>
    <x v="46"/>
    <s v="124010"/>
    <x v="178"/>
    <n v="907.2"/>
    <n v="144"/>
    <n v="446.4"/>
    <n v="72"/>
  </r>
  <r>
    <x v="8"/>
    <n v="2016"/>
    <s v="134"/>
    <x v="47"/>
    <s v="134004"/>
    <x v="180"/>
    <n v="228.48"/>
    <n v="48"/>
    <m/>
    <m/>
  </r>
  <r>
    <x v="8"/>
    <n v="2016"/>
    <s v="134"/>
    <x v="47"/>
    <s v="134005"/>
    <x v="181"/>
    <n v="1074.06"/>
    <n v="234"/>
    <m/>
    <m/>
  </r>
  <r>
    <x v="8"/>
    <n v="2016"/>
    <s v="137"/>
    <x v="48"/>
    <s v="137001"/>
    <x v="182"/>
    <n v="1327.2"/>
    <n v="474"/>
    <n v="1054.7"/>
    <n v="408"/>
  </r>
  <r>
    <x v="8"/>
    <n v="2016"/>
    <s v="137"/>
    <x v="48"/>
    <s v="137003"/>
    <x v="183"/>
    <n v="148.5"/>
    <n v="30"/>
    <n v="57.6"/>
    <n v="12"/>
  </r>
  <r>
    <x v="8"/>
    <n v="2016"/>
    <s v="140"/>
    <x v="49"/>
    <s v="140001"/>
    <x v="184"/>
    <n v="309.60000000000002"/>
    <n v="72"/>
    <n v="730.8"/>
    <n v="180"/>
  </r>
  <r>
    <x v="8"/>
    <n v="2016"/>
    <s v="143"/>
    <x v="50"/>
    <s v="143001"/>
    <x v="185"/>
    <n v="260"/>
    <n v="66"/>
    <n v="210.6"/>
    <n v="54"/>
  </r>
  <r>
    <x v="8"/>
    <n v="2016"/>
    <s v="143"/>
    <x v="50"/>
    <s v="143002"/>
    <x v="185"/>
    <n v="648"/>
    <n v="162"/>
    <n v="210.6"/>
    <n v="54"/>
  </r>
  <r>
    <x v="8"/>
    <n v="2016"/>
    <s v="143"/>
    <x v="50"/>
    <s v="CDV143003"/>
    <x v="354"/>
    <n v="29.4"/>
    <n v="6"/>
    <m/>
    <m/>
  </r>
  <r>
    <x v="8"/>
    <n v="2016"/>
    <s v="152"/>
    <x v="51"/>
    <s v="152001"/>
    <x v="186"/>
    <n v="1017"/>
    <n v="180"/>
    <n v="99.9"/>
    <n v="18"/>
  </r>
  <r>
    <x v="8"/>
    <n v="2016"/>
    <s v="153"/>
    <x v="52"/>
    <s v="153001"/>
    <x v="298"/>
    <n v="661.2"/>
    <n v="114"/>
    <n v="1254.3"/>
    <n v="222"/>
  </r>
  <r>
    <x v="8"/>
    <n v="2016"/>
    <s v="153"/>
    <x v="52"/>
    <s v="153003"/>
    <x v="187"/>
    <n v="1945.8"/>
    <n v="282"/>
    <n v="1728.6"/>
    <n v="258"/>
  </r>
  <r>
    <x v="8"/>
    <n v="2016"/>
    <s v="153"/>
    <x v="52"/>
    <s v="153004"/>
    <x v="187"/>
    <n v="47.4"/>
    <n v="6"/>
    <n v="277.2"/>
    <n v="36"/>
  </r>
  <r>
    <x v="8"/>
    <n v="2016"/>
    <s v="153"/>
    <x v="52"/>
    <s v="153012"/>
    <x v="189"/>
    <n v="475.2"/>
    <n v="72"/>
    <m/>
    <m/>
  </r>
  <r>
    <x v="8"/>
    <n v="2016"/>
    <s v="157"/>
    <x v="53"/>
    <s v="157001"/>
    <x v="191"/>
    <n v="91.5"/>
    <n v="30"/>
    <n v="300.89999999999998"/>
    <n v="102"/>
  </r>
  <r>
    <x v="8"/>
    <n v="2016"/>
    <s v="162"/>
    <x v="54"/>
    <s v="162001"/>
    <x v="193"/>
    <n v="1009.2"/>
    <n v="348"/>
    <n v="2338"/>
    <n v="840"/>
  </r>
  <r>
    <x v="8"/>
    <n v="2016"/>
    <s v="162"/>
    <x v="54"/>
    <s v="162002"/>
    <x v="194"/>
    <n v="103.2"/>
    <n v="24"/>
    <n v="392"/>
    <n v="102"/>
  </r>
  <r>
    <x v="8"/>
    <n v="2016"/>
    <s v="162"/>
    <x v="54"/>
    <s v="162003"/>
    <x v="272"/>
    <n v="139.19999999999999"/>
    <n v="228"/>
    <n v="84"/>
    <n v="30"/>
  </r>
  <r>
    <x v="8"/>
    <n v="2016"/>
    <s v="162"/>
    <x v="54"/>
    <s v="CDV162004"/>
    <x v="273"/>
    <n v="30"/>
    <n v="12"/>
    <n v="90"/>
    <n v="36"/>
  </r>
  <r>
    <x v="8"/>
    <n v="2016"/>
    <s v="164"/>
    <x v="56"/>
    <s v="164002"/>
    <x v="196"/>
    <n v="1148.4000000000001"/>
    <n v="174"/>
    <m/>
    <m/>
  </r>
  <r>
    <x v="8"/>
    <n v="2016"/>
    <s v="164"/>
    <x v="56"/>
    <s v="164005/12"/>
    <x v="198"/>
    <n v="540"/>
    <n v="60"/>
    <m/>
    <m/>
  </r>
  <r>
    <x v="8"/>
    <n v="2016"/>
    <s v="164"/>
    <x v="56"/>
    <s v="164010"/>
    <x v="274"/>
    <n v="114"/>
    <n v="40.019999999999996"/>
    <m/>
    <m/>
  </r>
  <r>
    <x v="8"/>
    <n v="2016"/>
    <s v="168"/>
    <x v="57"/>
    <s v="168001"/>
    <x v="200"/>
    <n v="516.6"/>
    <n v="126"/>
    <n v="968"/>
    <n v="252"/>
  </r>
  <r>
    <x v="8"/>
    <n v="2016"/>
    <s v="169"/>
    <x v="58"/>
    <s v="169001"/>
    <x v="202"/>
    <n v="1628.4"/>
    <n v="552"/>
    <n v="1392"/>
    <n v="480"/>
  </r>
  <r>
    <x v="8"/>
    <n v="2016"/>
    <s v="169"/>
    <x v="58"/>
    <s v="169002"/>
    <x v="203"/>
    <n v="1393.08"/>
    <n v="564"/>
    <n v="1502.82"/>
    <n v="636"/>
  </r>
  <r>
    <x v="8"/>
    <n v="2016"/>
    <s v="169"/>
    <x v="58"/>
    <s v="169009"/>
    <x v="204"/>
    <n v="296"/>
    <n v="213.28"/>
    <n v="1295"/>
    <n v="933.1"/>
  </r>
  <r>
    <x v="8"/>
    <n v="2016"/>
    <s v="169"/>
    <x v="58"/>
    <s v="169010"/>
    <x v="204"/>
    <n v="567"/>
    <n v="360.18"/>
    <n v="840"/>
    <n v="540.27"/>
  </r>
  <r>
    <x v="8"/>
    <n v="2016"/>
    <s v="169"/>
    <x v="58"/>
    <s v="169012"/>
    <x v="356"/>
    <n v="0"/>
    <n v="6"/>
    <m/>
    <m/>
  </r>
  <r>
    <x v="8"/>
    <n v="2016"/>
    <s v="174"/>
    <x v="61"/>
    <s v="174001"/>
    <x v="207"/>
    <n v="2633.76"/>
    <n v="708"/>
    <n v="1718.64"/>
    <n v="462"/>
  </r>
  <r>
    <x v="8"/>
    <n v="2016"/>
    <s v="174"/>
    <x v="61"/>
    <s v="174002"/>
    <x v="208"/>
    <n v="520.79999999999995"/>
    <n v="84"/>
    <n v="183.6"/>
    <n v="36"/>
  </r>
  <r>
    <x v="8"/>
    <n v="2016"/>
    <s v="174"/>
    <x v="61"/>
    <s v="174003"/>
    <x v="209"/>
    <n v="1778.68"/>
    <n v="882"/>
    <n v="998.52"/>
    <n v="510"/>
  </r>
  <r>
    <x v="8"/>
    <n v="2016"/>
    <s v="174"/>
    <x v="61"/>
    <s v="174005"/>
    <x v="330"/>
    <n v="778.8"/>
    <n v="354"/>
    <m/>
    <m/>
  </r>
  <r>
    <x v="8"/>
    <n v="2016"/>
    <s v="174"/>
    <x v="61"/>
    <s v="174006"/>
    <x v="330"/>
    <n v="1463"/>
    <n v="672"/>
    <m/>
    <m/>
  </r>
  <r>
    <x v="8"/>
    <n v="2016"/>
    <s v="174"/>
    <x v="61"/>
    <s v="174007"/>
    <x v="330"/>
    <n v="869.4"/>
    <n v="384"/>
    <m/>
    <m/>
  </r>
  <r>
    <x v="8"/>
    <n v="2016"/>
    <s v="174"/>
    <x v="61"/>
    <s v="174009"/>
    <x v="331"/>
    <n v="389.4"/>
    <n v="66"/>
    <m/>
    <m/>
  </r>
  <r>
    <x v="8"/>
    <n v="2016"/>
    <s v="174"/>
    <x v="61"/>
    <s v="174010"/>
    <x v="210"/>
    <n v="696.8"/>
    <n v="693.16"/>
    <n v="1037.4000000000001"/>
    <n v="1039.74"/>
  </r>
  <r>
    <x v="8"/>
    <n v="2016"/>
    <s v="174"/>
    <x v="61"/>
    <s v="174011"/>
    <x v="210"/>
    <n v="470.4"/>
    <n v="400.2"/>
    <n v="794.58"/>
    <n v="693.68"/>
  </r>
  <r>
    <x v="8"/>
    <n v="2016"/>
    <s v="174"/>
    <x v="61"/>
    <s v="174015"/>
    <x v="211"/>
    <n v="280.8"/>
    <n v="213.28"/>
    <n v="315.89999999999998"/>
    <n v="239.94"/>
  </r>
  <r>
    <x v="8"/>
    <n v="2016"/>
    <s v="174"/>
    <x v="61"/>
    <s v="174016"/>
    <x v="211"/>
    <n v="288.83999999999997"/>
    <n v="193.43"/>
    <n v="677.28"/>
    <n v="453.56"/>
  </r>
  <r>
    <x v="8"/>
    <n v="2016"/>
    <s v="175"/>
    <x v="62"/>
    <s v="175001"/>
    <x v="213"/>
    <n v="967.5"/>
    <n v="258"/>
    <n v="577.20000000000005"/>
    <n v="156"/>
  </r>
  <r>
    <x v="8"/>
    <n v="2016"/>
    <s v="175"/>
    <x v="62"/>
    <s v="175002"/>
    <x v="213"/>
    <n v="90"/>
    <n v="24"/>
    <n v="222"/>
    <n v="60"/>
  </r>
  <r>
    <x v="8"/>
    <n v="2016"/>
    <s v="199"/>
    <x v="64"/>
    <s v="199001"/>
    <x v="215"/>
    <n v="442.2"/>
    <n v="66"/>
    <n v="1686.4"/>
    <n v="282"/>
  </r>
  <r>
    <x v="8"/>
    <n v="2016"/>
    <s v="199"/>
    <x v="64"/>
    <s v="199002"/>
    <x v="216"/>
    <n v="-244.8"/>
    <n v="-18"/>
    <n v="663"/>
    <n v="54"/>
  </r>
  <r>
    <x v="8"/>
    <n v="2016"/>
    <s v="199"/>
    <x v="64"/>
    <s v="199003"/>
    <x v="217"/>
    <n v="100.8"/>
    <n v="24"/>
    <n v="915.6"/>
    <n v="234"/>
  </r>
  <r>
    <x v="8"/>
    <n v="2016"/>
    <s v="201"/>
    <x v="65"/>
    <s v="201001"/>
    <x v="218"/>
    <n v="1208.7"/>
    <n v="1060.53"/>
    <n v="326.8"/>
    <n v="286.81"/>
  </r>
  <r>
    <x v="8"/>
    <n v="2016"/>
    <s v="201"/>
    <x v="65"/>
    <s v="201002"/>
    <x v="218"/>
    <n v="2015.85"/>
    <n v="2012.83"/>
    <n v="2809"/>
    <n v="2825.96"/>
  </r>
  <r>
    <x v="8"/>
    <n v="2016"/>
    <s v="201"/>
    <x v="65"/>
    <s v="201003"/>
    <x v="219"/>
    <n v="2295"/>
    <n v="2054.36"/>
    <n v="805.6"/>
    <n v="707.02"/>
  </r>
  <r>
    <x v="8"/>
    <n v="2016"/>
    <s v="201"/>
    <x v="65"/>
    <s v="201004"/>
    <x v="219"/>
    <n v="5139.75"/>
    <n v="5132.05"/>
    <n v="3604"/>
    <n v="3625.76"/>
  </r>
  <r>
    <x v="8"/>
    <n v="2016"/>
    <s v="201"/>
    <x v="65"/>
    <s v="201006"/>
    <x v="220"/>
    <n v="1915.2"/>
    <n v="798"/>
    <n v="1188"/>
    <n v="510"/>
  </r>
  <r>
    <x v="8"/>
    <n v="2016"/>
    <s v="201"/>
    <x v="65"/>
    <s v="201008"/>
    <x v="222"/>
    <n v="622.20000000000005"/>
    <n v="204"/>
    <n v="134.4"/>
    <n v="42"/>
  </r>
  <r>
    <x v="8"/>
    <n v="2016"/>
    <s v="201"/>
    <x v="65"/>
    <s v="201010"/>
    <x v="223"/>
    <n v="1134.5999999999999"/>
    <n v="813.13"/>
    <n v="855.6"/>
    <n v="613.17999999999995"/>
  </r>
  <r>
    <x v="8"/>
    <n v="2016"/>
    <s v="201"/>
    <x v="65"/>
    <s v="201011"/>
    <x v="223"/>
    <n v="515.1"/>
    <n v="400.2"/>
    <n v="343.4"/>
    <n v="226.78"/>
  </r>
  <r>
    <x v="8"/>
    <n v="2016"/>
    <s v="201"/>
    <x v="65"/>
    <s v="201012"/>
    <x v="224"/>
    <n v="262.8"/>
    <n v="72"/>
    <n v="86.4"/>
    <n v="24"/>
  </r>
  <r>
    <x v="8"/>
    <n v="2016"/>
    <s v="201"/>
    <x v="65"/>
    <s v="201013"/>
    <x v="225"/>
    <n v="46.2"/>
    <n v="12"/>
    <n v="48.6"/>
    <n v="12"/>
  </r>
  <r>
    <x v="8"/>
    <n v="2016"/>
    <s v="201"/>
    <x v="65"/>
    <s v="201014"/>
    <x v="226"/>
    <n v="468"/>
    <n v="156"/>
    <n v="612"/>
    <n v="204"/>
  </r>
  <r>
    <x v="8"/>
    <n v="2016"/>
    <s v="201"/>
    <x v="65"/>
    <s v="201015"/>
    <x v="227"/>
    <n v="156"/>
    <n v="48"/>
    <m/>
    <m/>
  </r>
  <r>
    <x v="8"/>
    <n v="2016"/>
    <s v="201"/>
    <x v="65"/>
    <s v="201016"/>
    <x v="278"/>
    <n v="82.56"/>
    <n v="24"/>
    <m/>
    <m/>
  </r>
  <r>
    <x v="8"/>
    <n v="2016"/>
    <s v="201"/>
    <x v="65"/>
    <s v="201017"/>
    <x v="332"/>
    <n v="49.5"/>
    <n v="40.019999999999996"/>
    <m/>
    <m/>
  </r>
  <r>
    <x v="8"/>
    <n v="2016"/>
    <s v="201"/>
    <x v="65"/>
    <s v="201018"/>
    <x v="333"/>
    <n v="12.5"/>
    <n v="8"/>
    <m/>
    <m/>
  </r>
  <r>
    <x v="8"/>
    <n v="2016"/>
    <s v="201"/>
    <x v="65"/>
    <s v="201022"/>
    <x v="303"/>
    <n v="122.4"/>
    <n v="96"/>
    <n v="50.5"/>
    <n v="40"/>
  </r>
  <r>
    <x v="8"/>
    <n v="2016"/>
    <s v="201"/>
    <x v="65"/>
    <s v="201023"/>
    <x v="228"/>
    <n v="26.4"/>
    <n v="16"/>
    <m/>
    <m/>
  </r>
  <r>
    <x v="8"/>
    <n v="2016"/>
    <s v="201"/>
    <x v="65"/>
    <s v="201026"/>
    <x v="229"/>
    <n v="322.56"/>
    <n v="168"/>
    <n v="193.8"/>
    <n v="102"/>
  </r>
  <r>
    <x v="8"/>
    <n v="2016"/>
    <s v="201"/>
    <x v="65"/>
    <s v="201027"/>
    <x v="229"/>
    <n v="253.44"/>
    <n v="132"/>
    <n v="114"/>
    <n v="60"/>
  </r>
  <r>
    <x v="8"/>
    <n v="2016"/>
    <s v="202"/>
    <x v="66"/>
    <s v="202001"/>
    <x v="230"/>
    <n v="310.5"/>
    <n v="150"/>
    <n v="48.96"/>
    <n v="24"/>
  </r>
  <r>
    <x v="8"/>
    <n v="2016"/>
    <s v="202"/>
    <x v="66"/>
    <s v="202002"/>
    <x v="230"/>
    <n v="415.14"/>
    <n v="222"/>
    <n v="318.24"/>
    <n v="156"/>
  </r>
  <r>
    <x v="8"/>
    <n v="2016"/>
    <s v="202"/>
    <x v="66"/>
    <s v="202003"/>
    <x v="230"/>
    <n v="310.5"/>
    <n v="150"/>
    <n v="85.68"/>
    <n v="42"/>
  </r>
  <r>
    <x v="8"/>
    <n v="2016"/>
    <s v="202"/>
    <x v="66"/>
    <s v="202010"/>
    <x v="233"/>
    <n v="26.7"/>
    <n v="20.009999999999998"/>
    <m/>
    <m/>
  </r>
  <r>
    <x v="8"/>
    <n v="2016"/>
    <s v="202"/>
    <x v="66"/>
    <s v="202015"/>
    <x v="279"/>
    <n v="129.35"/>
    <n v="86.71"/>
    <n v="19.8"/>
    <n v="13.34"/>
  </r>
  <r>
    <x v="8"/>
    <n v="2016"/>
    <s v="205"/>
    <x v="67"/>
    <s v="205001"/>
    <x v="234"/>
    <n v="175.5"/>
    <n v="78"/>
    <n v="277.2"/>
    <n v="126"/>
  </r>
  <r>
    <x v="8"/>
    <n v="2016"/>
    <s v="205"/>
    <x v="67"/>
    <s v="205002"/>
    <x v="235"/>
    <n v="72"/>
    <n v="30"/>
    <n v="56.4"/>
    <n v="24"/>
  </r>
  <r>
    <x v="8"/>
    <n v="2016"/>
    <s v="205"/>
    <x v="67"/>
    <s v="205003"/>
    <x v="236"/>
    <n v="621.6"/>
    <n v="168"/>
    <n v="372.3"/>
    <n v="102"/>
  </r>
  <r>
    <x v="8"/>
    <n v="2016"/>
    <s v="205"/>
    <x v="67"/>
    <s v="205004"/>
    <x v="237"/>
    <n v="100.8"/>
    <n v="48"/>
    <m/>
    <m/>
  </r>
  <r>
    <x v="8"/>
    <n v="2016"/>
    <s v="229"/>
    <x v="68"/>
    <s v="229005"/>
    <x v="238"/>
    <n v="108"/>
    <n v="24"/>
    <m/>
    <m/>
  </r>
  <r>
    <x v="8"/>
    <n v="2016"/>
    <s v="229"/>
    <x v="68"/>
    <s v="229007"/>
    <x v="240"/>
    <n v="93.6"/>
    <n v="24"/>
    <m/>
    <m/>
  </r>
  <r>
    <x v="8"/>
    <n v="2016"/>
    <s v="229"/>
    <x v="68"/>
    <s v="229008"/>
    <x v="241"/>
    <n v="342"/>
    <n v="90"/>
    <m/>
    <m/>
  </r>
  <r>
    <x v="9"/>
    <n v="2016"/>
    <s v="002"/>
    <x v="1"/>
    <s v="002001"/>
    <x v="5"/>
    <n v="2420.88"/>
    <n v="2067.6999999999998"/>
    <n v="2638.44"/>
    <n v="2341.17"/>
  </r>
  <r>
    <x v="9"/>
    <n v="2016"/>
    <s v="002"/>
    <x v="1"/>
    <s v="002002"/>
    <x v="6"/>
    <n v="9342.84"/>
    <n v="9064.4"/>
    <n v="8347.5"/>
    <n v="8397.9"/>
  </r>
  <r>
    <x v="9"/>
    <n v="2016"/>
    <s v="002"/>
    <x v="1"/>
    <s v="002003"/>
    <x v="7"/>
    <n v="4403.76"/>
    <n v="4718.82"/>
    <n v="6695.25"/>
    <n v="7544.78"/>
  </r>
  <r>
    <x v="9"/>
    <n v="2016"/>
    <s v="002"/>
    <x v="1"/>
    <s v="002004"/>
    <x v="7"/>
    <n v="864.23"/>
    <n v="827.08"/>
    <n v="1366.47"/>
    <n v="1267.3"/>
  </r>
  <r>
    <x v="9"/>
    <n v="2016"/>
    <s v="002"/>
    <x v="1"/>
    <s v="002007"/>
    <x v="8"/>
    <n v="1878.24"/>
    <n v="2106.14"/>
    <n v="1794.9"/>
    <n v="2106.14"/>
  </r>
  <r>
    <x v="9"/>
    <n v="2016"/>
    <s v="002"/>
    <x v="1"/>
    <s v="002008"/>
    <x v="9"/>
    <n v="3444.48"/>
    <n v="4187.1900000000005"/>
    <n v="1795.45"/>
    <n v="2186.94"/>
  </r>
  <r>
    <x v="9"/>
    <n v="2016"/>
    <s v="002"/>
    <x v="1"/>
    <s v="002009"/>
    <x v="9"/>
    <n v="1478.28"/>
    <n v="1786.89"/>
    <n v="493.9"/>
    <n v="586.74"/>
  </r>
  <r>
    <x v="9"/>
    <n v="2016"/>
    <s v="002"/>
    <x v="1"/>
    <s v="002010"/>
    <x v="10"/>
    <n v="925.65"/>
    <n v="667"/>
    <n v="1805.72"/>
    <n v="1340.67"/>
  </r>
  <r>
    <x v="9"/>
    <n v="2016"/>
    <s v="002"/>
    <x v="1"/>
    <s v="002011"/>
    <x v="11"/>
    <n v="1783.69"/>
    <n v="1439.64"/>
    <n v="2588.8000000000002"/>
    <n v="2132.8000000000002"/>
  </r>
  <r>
    <x v="9"/>
    <n v="2016"/>
    <s v="002"/>
    <x v="1"/>
    <s v="002015"/>
    <x v="11"/>
    <n v="983.53"/>
    <n v="799.8"/>
    <n v="2604.98"/>
    <n v="2239.44"/>
  </r>
  <r>
    <x v="9"/>
    <n v="2016"/>
    <s v="002"/>
    <x v="1"/>
    <s v="002016"/>
    <x v="11"/>
    <n v="819.3"/>
    <n v="573.62"/>
    <n v="1589"/>
    <n v="1200.5999999999999"/>
  </r>
  <r>
    <x v="9"/>
    <n v="2016"/>
    <s v="002"/>
    <x v="1"/>
    <s v="002017"/>
    <x v="12"/>
    <n v="4229.6000000000004"/>
    <n v="4532.2"/>
    <n v="3982.68"/>
    <n v="4465.55"/>
  </r>
  <r>
    <x v="9"/>
    <n v="2016"/>
    <s v="002"/>
    <x v="1"/>
    <s v="002018"/>
    <x v="12"/>
    <n v="2090.09"/>
    <n v="1874.27"/>
    <n v="1805.25"/>
    <n v="1680.84"/>
  </r>
  <r>
    <x v="9"/>
    <n v="2016"/>
    <s v="002"/>
    <x v="1"/>
    <s v="002020"/>
    <x v="13"/>
    <n v="3606.4"/>
    <n v="1602"/>
    <n v="1425.6"/>
    <n v="594"/>
  </r>
  <r>
    <x v="9"/>
    <n v="2016"/>
    <s v="002"/>
    <x v="1"/>
    <s v="002025"/>
    <x v="14"/>
    <n v="105.12"/>
    <n v="48"/>
    <m/>
    <m/>
  </r>
  <r>
    <x v="9"/>
    <n v="2016"/>
    <s v="002"/>
    <x v="1"/>
    <s v="002026"/>
    <x v="17"/>
    <n v="197.76"/>
    <n v="96"/>
    <n v="245.4"/>
    <n v="120"/>
  </r>
  <r>
    <x v="9"/>
    <n v="2016"/>
    <s v="002"/>
    <x v="1"/>
    <s v="002027"/>
    <x v="18"/>
    <n v="36"/>
    <n v="18"/>
    <n v="56.1"/>
    <n v="30"/>
  </r>
  <r>
    <x v="9"/>
    <n v="2016"/>
    <s v="002"/>
    <x v="1"/>
    <s v="002034"/>
    <x v="19"/>
    <n v="6.6"/>
    <n v="4"/>
    <n v="6.23"/>
    <n v="4"/>
  </r>
  <r>
    <x v="9"/>
    <n v="2016"/>
    <s v="002"/>
    <x v="1"/>
    <s v="002037"/>
    <x v="243"/>
    <n v="143.04"/>
    <n v="48"/>
    <n v="309.95999999999998"/>
    <n v="108"/>
  </r>
  <r>
    <x v="9"/>
    <n v="2016"/>
    <s v="002"/>
    <x v="1"/>
    <s v="002040"/>
    <x v="20"/>
    <n v="210.24"/>
    <n v="96"/>
    <n v="144.54"/>
    <n v="66"/>
  </r>
  <r>
    <x v="9"/>
    <n v="2016"/>
    <s v="002"/>
    <x v="1"/>
    <s v="002100"/>
    <x v="21"/>
    <n v="1302.96"/>
    <n v="732"/>
    <n v="477.48"/>
    <n v="276"/>
  </r>
  <r>
    <x v="9"/>
    <n v="2016"/>
    <s v="002"/>
    <x v="1"/>
    <s v="002101"/>
    <x v="22"/>
    <n v="128.16"/>
    <n v="78"/>
    <n v="51.9"/>
    <n v="30"/>
  </r>
  <r>
    <x v="9"/>
    <n v="2016"/>
    <s v="002"/>
    <x v="1"/>
    <s v="002200"/>
    <x v="281"/>
    <n v="69.5"/>
    <n v="40"/>
    <n v="27.08"/>
    <n v="20"/>
  </r>
  <r>
    <x v="9"/>
    <n v="2016"/>
    <s v="002"/>
    <x v="1"/>
    <s v="002903"/>
    <x v="27"/>
    <n v="2726.55"/>
    <n v="3253.7400000000002"/>
    <n v="114.5"/>
    <n v="133.35000000000002"/>
  </r>
  <r>
    <x v="9"/>
    <n v="2016"/>
    <s v="002"/>
    <x v="1"/>
    <s v="002905"/>
    <x v="25"/>
    <n v="324"/>
    <n v="399.9"/>
    <n v="648"/>
    <n v="799.8"/>
  </r>
  <r>
    <x v="9"/>
    <n v="2016"/>
    <s v="007"/>
    <x v="2"/>
    <s v="007001"/>
    <x v="244"/>
    <n v="72"/>
    <n v="18"/>
    <n v="65.7"/>
    <n v="24"/>
  </r>
  <r>
    <x v="9"/>
    <n v="2016"/>
    <s v="007"/>
    <x v="2"/>
    <s v="007002"/>
    <x v="28"/>
    <n v="358.8"/>
    <n v="78"/>
    <n v="319.8"/>
    <n v="84"/>
  </r>
  <r>
    <x v="9"/>
    <n v="2016"/>
    <s v="007"/>
    <x v="2"/>
    <s v="007003"/>
    <x v="29"/>
    <n v="363"/>
    <n v="66"/>
    <n v="280.8"/>
    <n v="60"/>
  </r>
  <r>
    <x v="9"/>
    <n v="2016"/>
    <s v="007"/>
    <x v="2"/>
    <s v="007004"/>
    <x v="30"/>
    <n v="435"/>
    <n v="60"/>
    <n v="567"/>
    <n v="90"/>
  </r>
  <r>
    <x v="9"/>
    <n v="2016"/>
    <s v="007"/>
    <x v="2"/>
    <s v="007006"/>
    <x v="32"/>
    <n v="189"/>
    <n v="30"/>
    <n v="283.2"/>
    <n v="54"/>
  </r>
  <r>
    <x v="9"/>
    <n v="2016"/>
    <s v="007"/>
    <x v="2"/>
    <s v="007008"/>
    <x v="28"/>
    <n v="37.200000000000003"/>
    <n v="6"/>
    <m/>
    <m/>
  </r>
  <r>
    <x v="9"/>
    <n v="2016"/>
    <s v="007"/>
    <x v="2"/>
    <s v="007021"/>
    <x v="308"/>
    <n v="51.6"/>
    <n v="6"/>
    <n v="112.8"/>
    <n v="12"/>
  </r>
  <r>
    <x v="9"/>
    <n v="2016"/>
    <s v="007"/>
    <x v="2"/>
    <s v="CDV007010"/>
    <x v="282"/>
    <n v="111.9"/>
    <n v="6"/>
    <m/>
    <m/>
  </r>
  <r>
    <x v="9"/>
    <n v="2016"/>
    <s v="010"/>
    <x v="3"/>
    <s v="010001"/>
    <x v="33"/>
    <n v="604.20000000000005"/>
    <n v="114"/>
    <n v="218.4"/>
    <n v="42"/>
  </r>
  <r>
    <x v="9"/>
    <n v="2016"/>
    <s v="010"/>
    <x v="3"/>
    <s v="CDV010050"/>
    <x v="283"/>
    <n v="75.599999999999994"/>
    <n v="12"/>
    <m/>
    <m/>
  </r>
  <r>
    <x v="9"/>
    <n v="2016"/>
    <s v="011"/>
    <x v="4"/>
    <s v="011001"/>
    <x v="34"/>
    <n v="3016.44"/>
    <n v="756"/>
    <n v="1963.08"/>
    <n v="492"/>
  </r>
  <r>
    <x v="9"/>
    <n v="2016"/>
    <s v="011"/>
    <x v="4"/>
    <s v="011002"/>
    <x v="310"/>
    <n v="406.98"/>
    <n v="102"/>
    <n v="23.1"/>
    <n v="6"/>
  </r>
  <r>
    <x v="9"/>
    <n v="2016"/>
    <s v="011"/>
    <x v="4"/>
    <s v="011006"/>
    <x v="35"/>
    <n v="84.6"/>
    <n v="18"/>
    <n v="161.63999999999999"/>
    <n v="36"/>
  </r>
  <r>
    <x v="9"/>
    <n v="2016"/>
    <s v="019"/>
    <x v="5"/>
    <s v="019003"/>
    <x v="36"/>
    <n v="1714.5"/>
    <n v="768"/>
    <n v="4078.56"/>
    <n v="1872"/>
  </r>
  <r>
    <x v="9"/>
    <n v="2016"/>
    <s v="019"/>
    <x v="5"/>
    <s v="019008"/>
    <x v="37"/>
    <n v="1089"/>
    <n v="733.15"/>
    <n v="675.5"/>
    <n v="466.55"/>
  </r>
  <r>
    <x v="9"/>
    <n v="2016"/>
    <s v="019"/>
    <x v="5"/>
    <s v="019009"/>
    <x v="37"/>
    <n v="526.4"/>
    <n v="313.49"/>
    <n v="517"/>
    <n v="326.83"/>
  </r>
  <r>
    <x v="9"/>
    <n v="2016"/>
    <s v="019"/>
    <x v="5"/>
    <s v="019011"/>
    <x v="38"/>
    <n v="32.64"/>
    <n v="12"/>
    <n v="178.2"/>
    <n v="72"/>
  </r>
  <r>
    <x v="9"/>
    <n v="2016"/>
    <s v="019"/>
    <x v="5"/>
    <s v="019015"/>
    <x v="39"/>
    <n v="96.6"/>
    <n v="42"/>
    <n v="108"/>
    <n v="48"/>
  </r>
  <r>
    <x v="9"/>
    <n v="2016"/>
    <s v="025"/>
    <x v="6"/>
    <s v="025001"/>
    <x v="40"/>
    <n v="1099.98"/>
    <n v="174"/>
    <n v="611.1"/>
    <n v="90"/>
  </r>
  <r>
    <x v="9"/>
    <n v="2016"/>
    <s v="025"/>
    <x v="6"/>
    <s v="025003"/>
    <x v="246"/>
    <n v="45.9"/>
    <n v="12"/>
    <n v="0"/>
    <n v="6"/>
  </r>
  <r>
    <x v="9"/>
    <n v="2016"/>
    <s v="025"/>
    <x v="6"/>
    <s v="025010"/>
    <x v="41"/>
    <n v="1115.55"/>
    <n v="216"/>
    <m/>
    <m/>
  </r>
  <r>
    <x v="9"/>
    <n v="2016"/>
    <s v="025"/>
    <x v="6"/>
    <s v="025013"/>
    <x v="42"/>
    <n v="261.89999999999998"/>
    <n v="66"/>
    <n v="145.5"/>
    <n v="30"/>
  </r>
  <r>
    <x v="9"/>
    <n v="2016"/>
    <s v="025"/>
    <x v="6"/>
    <s v="025015"/>
    <x v="43"/>
    <n v="482.58"/>
    <n v="126"/>
    <n v="137.88"/>
    <n v="42"/>
  </r>
  <r>
    <x v="9"/>
    <n v="2016"/>
    <s v="025"/>
    <x v="6"/>
    <s v="025016"/>
    <x v="247"/>
    <n v="116.64"/>
    <n v="48"/>
    <m/>
    <m/>
  </r>
  <r>
    <x v="9"/>
    <n v="2016"/>
    <s v="025"/>
    <x v="6"/>
    <s v="025021"/>
    <x v="44"/>
    <n v="1198.4000000000001"/>
    <n v="126"/>
    <n v="321"/>
    <n v="36"/>
  </r>
  <r>
    <x v="9"/>
    <n v="2016"/>
    <s v="025"/>
    <x v="6"/>
    <s v="025026"/>
    <x v="45"/>
    <n v="2913.36"/>
    <n v="1002"/>
    <n v="2280"/>
    <n v="750"/>
  </r>
  <r>
    <x v="9"/>
    <n v="2016"/>
    <s v="025"/>
    <x v="6"/>
    <s v="025031"/>
    <x v="46"/>
    <n v="233.1"/>
    <n v="42"/>
    <n v="434.46"/>
    <n v="78"/>
  </r>
  <r>
    <x v="9"/>
    <n v="2016"/>
    <s v="025"/>
    <x v="6"/>
    <s v="025033"/>
    <x v="47"/>
    <n v="124.2"/>
    <n v="42"/>
    <n v="546.48"/>
    <n v="132"/>
  </r>
  <r>
    <x v="9"/>
    <n v="2016"/>
    <s v="028"/>
    <x v="7"/>
    <s v="028001"/>
    <x v="48"/>
    <n v="273"/>
    <n v="84"/>
    <n v="1072.5"/>
    <n v="330"/>
  </r>
  <r>
    <x v="9"/>
    <n v="2016"/>
    <s v="028"/>
    <x v="7"/>
    <s v="028005"/>
    <x v="49"/>
    <n v="0"/>
    <n v="6"/>
    <n v="50.4"/>
    <n v="18"/>
  </r>
  <r>
    <x v="9"/>
    <n v="2016"/>
    <s v="028"/>
    <x v="7"/>
    <s v="028007"/>
    <x v="50"/>
    <n v="45.6"/>
    <n v="26.66"/>
    <n v="813.6"/>
    <n v="479.88"/>
  </r>
  <r>
    <x v="9"/>
    <n v="2016"/>
    <s v="028"/>
    <x v="7"/>
    <s v="028008"/>
    <x v="51"/>
    <n v="499.5"/>
    <n v="246.79"/>
    <n v="1090.5999999999999"/>
    <n v="546.93999999999994"/>
  </r>
  <r>
    <x v="9"/>
    <n v="2016"/>
    <s v="028"/>
    <x v="7"/>
    <s v="028013"/>
    <x v="52"/>
    <n v="827.7"/>
    <n v="186"/>
    <n v="694.2"/>
    <n v="156"/>
  </r>
  <r>
    <x v="9"/>
    <n v="2016"/>
    <s v="029"/>
    <x v="8"/>
    <s v="029010"/>
    <x v="54"/>
    <n v="180"/>
    <n v="120"/>
    <m/>
    <m/>
  </r>
  <r>
    <x v="9"/>
    <n v="2016"/>
    <s v="035"/>
    <x v="9"/>
    <s v="035001"/>
    <x v="56"/>
    <n v="1758.24"/>
    <n v="432"/>
    <n v="5139.6000000000004"/>
    <n v="1302"/>
  </r>
  <r>
    <x v="9"/>
    <n v="2016"/>
    <s v="035"/>
    <x v="9"/>
    <s v="035002"/>
    <x v="56"/>
    <n v="182.16"/>
    <n v="36"/>
    <n v="150"/>
    <n v="30"/>
  </r>
  <r>
    <x v="9"/>
    <n v="2016"/>
    <s v="035"/>
    <x v="9"/>
    <s v="035010"/>
    <x v="57"/>
    <n v="546"/>
    <n v="150"/>
    <n v="406.98"/>
    <n v="126"/>
  </r>
  <r>
    <x v="9"/>
    <n v="2016"/>
    <s v="036"/>
    <x v="10"/>
    <s v="036001"/>
    <x v="58"/>
    <n v="932.2"/>
    <n v="366"/>
    <n v="1039.9000000000001"/>
    <n v="408"/>
  </r>
  <r>
    <x v="9"/>
    <n v="2016"/>
    <s v="036"/>
    <x v="10"/>
    <s v="036002"/>
    <x v="285"/>
    <n v="0"/>
    <n v="6"/>
    <m/>
    <m/>
  </r>
  <r>
    <x v="9"/>
    <n v="2016"/>
    <s v="036"/>
    <x v="10"/>
    <s v="036010"/>
    <x v="249"/>
    <n v="37.950000000000003"/>
    <n v="39.99"/>
    <n v="310"/>
    <n v="333.25"/>
  </r>
  <r>
    <x v="9"/>
    <n v="2016"/>
    <s v="036"/>
    <x v="10"/>
    <s v="036011"/>
    <x v="59"/>
    <n v="36.75"/>
    <n v="33.35"/>
    <n v="194.4"/>
    <n v="186.76"/>
  </r>
  <r>
    <x v="9"/>
    <n v="2016"/>
    <s v="037"/>
    <x v="11"/>
    <s v="037003"/>
    <x v="60"/>
    <n v="45.6"/>
    <n v="12"/>
    <n v="44.4"/>
    <n v="12"/>
  </r>
  <r>
    <x v="9"/>
    <n v="2016"/>
    <s v="037"/>
    <x v="11"/>
    <s v="037005"/>
    <x v="313"/>
    <n v="0"/>
    <n v="240"/>
    <n v="44.4"/>
    <n v="12"/>
  </r>
  <r>
    <x v="9"/>
    <n v="2016"/>
    <s v="037"/>
    <x v="11"/>
    <s v="037010"/>
    <x v="61"/>
    <n v="85.5"/>
    <n v="18"/>
    <n v="54.6"/>
    <n v="12"/>
  </r>
  <r>
    <x v="9"/>
    <n v="2016"/>
    <s v="039"/>
    <x v="12"/>
    <s v="039002"/>
    <x v="62"/>
    <n v="38.1"/>
    <n v="13.34"/>
    <m/>
    <m/>
  </r>
  <r>
    <x v="9"/>
    <n v="2016"/>
    <s v="039"/>
    <x v="12"/>
    <s v="039013"/>
    <x v="250"/>
    <n v="0"/>
    <n v="12"/>
    <n v="186.48"/>
    <n v="42"/>
  </r>
  <r>
    <x v="9"/>
    <n v="2016"/>
    <s v="039"/>
    <x v="12"/>
    <s v="039017"/>
    <x v="63"/>
    <n v="168"/>
    <n v="54"/>
    <n v="546"/>
    <n v="156"/>
  </r>
  <r>
    <x v="9"/>
    <n v="2016"/>
    <s v="039"/>
    <x v="12"/>
    <s v="039018"/>
    <x v="64"/>
    <n v="380.64"/>
    <n v="156"/>
    <n v="318.24"/>
    <n v="150"/>
  </r>
  <r>
    <x v="9"/>
    <n v="2016"/>
    <s v="039"/>
    <x v="12"/>
    <s v="039028"/>
    <x v="65"/>
    <n v="300"/>
    <n v="60"/>
    <n v="141.6"/>
    <n v="36"/>
  </r>
  <r>
    <x v="9"/>
    <n v="2016"/>
    <s v="039"/>
    <x v="12"/>
    <s v="039030"/>
    <x v="66"/>
    <n v="294.83999999999997"/>
    <n v="78"/>
    <n v="108.3"/>
    <n v="36"/>
  </r>
  <r>
    <x v="9"/>
    <n v="2016"/>
    <s v="046"/>
    <x v="16"/>
    <s v="046001"/>
    <x v="75"/>
    <n v="54"/>
    <n v="12"/>
    <n v="196.8"/>
    <n v="48"/>
  </r>
  <r>
    <x v="9"/>
    <n v="2016"/>
    <s v="046"/>
    <x v="16"/>
    <s v="046010"/>
    <x v="76"/>
    <n v="124.2"/>
    <n v="18"/>
    <n v="76.8"/>
    <n v="12"/>
  </r>
  <r>
    <x v="9"/>
    <n v="2016"/>
    <s v="046"/>
    <x v="16"/>
    <s v="046015"/>
    <x v="77"/>
    <n v="120"/>
    <n v="30"/>
    <m/>
    <m/>
  </r>
  <r>
    <x v="9"/>
    <n v="2016"/>
    <s v="049"/>
    <x v="18"/>
    <s v="049007"/>
    <x v="80"/>
    <n v="259.5"/>
    <n v="78"/>
    <n v="297"/>
    <n v="90"/>
  </r>
  <r>
    <x v="9"/>
    <n v="2016"/>
    <s v="049"/>
    <x v="18"/>
    <s v="049008"/>
    <x v="80"/>
    <n v="100.8"/>
    <n v="24"/>
    <m/>
    <m/>
  </r>
  <r>
    <x v="9"/>
    <n v="2016"/>
    <s v="049"/>
    <x v="18"/>
    <s v="049014"/>
    <x v="255"/>
    <n v="108"/>
    <n v="48"/>
    <n v="54"/>
    <n v="30"/>
  </r>
  <r>
    <x v="9"/>
    <n v="2016"/>
    <s v="049"/>
    <x v="18"/>
    <s v="049015"/>
    <x v="81"/>
    <n v="191.4"/>
    <n v="72"/>
    <n v="598.5"/>
    <n v="210"/>
  </r>
  <r>
    <x v="9"/>
    <n v="2016"/>
    <s v="049"/>
    <x v="18"/>
    <s v="049020"/>
    <x v="82"/>
    <n v="999"/>
    <n v="444"/>
    <n v="1080"/>
    <n v="486"/>
  </r>
  <r>
    <x v="9"/>
    <n v="2016"/>
    <s v="049"/>
    <x v="18"/>
    <s v="049023"/>
    <x v="82"/>
    <n v="19.8"/>
    <n v="6"/>
    <n v="79.2"/>
    <n v="24"/>
  </r>
  <r>
    <x v="9"/>
    <n v="2016"/>
    <s v="049"/>
    <x v="18"/>
    <s v="049027"/>
    <x v="80"/>
    <n v="81"/>
    <n v="24"/>
    <m/>
    <m/>
  </r>
  <r>
    <x v="9"/>
    <n v="2016"/>
    <s v="050"/>
    <x v="19"/>
    <s v="050001"/>
    <x v="83"/>
    <n v="39"/>
    <n v="12"/>
    <n v="1785.6"/>
    <n v="564"/>
  </r>
  <r>
    <x v="9"/>
    <n v="2016"/>
    <s v="050"/>
    <x v="19"/>
    <s v="050010"/>
    <x v="256"/>
    <n v="78"/>
    <n v="12"/>
    <n v="78"/>
    <n v="12"/>
  </r>
  <r>
    <x v="9"/>
    <n v="2016"/>
    <s v="051"/>
    <x v="20"/>
    <s v="051000"/>
    <x v="86"/>
    <n v="403.2"/>
    <n v="72"/>
    <n v="5237.3999999999996"/>
    <n v="948"/>
  </r>
  <r>
    <x v="9"/>
    <n v="2016"/>
    <s v="051"/>
    <x v="20"/>
    <s v="051010/11"/>
    <x v="87"/>
    <n v="194.4"/>
    <n v="24"/>
    <n v="8066.1"/>
    <n v="1008"/>
  </r>
  <r>
    <x v="9"/>
    <n v="2016"/>
    <s v="051"/>
    <x v="20"/>
    <s v="051017"/>
    <x v="88"/>
    <n v="76.2"/>
    <n v="12"/>
    <n v="457.2"/>
    <n v="72"/>
  </r>
  <r>
    <x v="9"/>
    <n v="2016"/>
    <s v="051"/>
    <x v="20"/>
    <s v="051133"/>
    <x v="89"/>
    <n v="106.2"/>
    <n v="12"/>
    <n v="2112"/>
    <n v="240"/>
  </r>
  <r>
    <x v="9"/>
    <n v="2016"/>
    <s v="054"/>
    <x v="22"/>
    <s v="054002"/>
    <x v="97"/>
    <n v="360"/>
    <n v="78"/>
    <n v="835.2"/>
    <n v="174"/>
  </r>
  <r>
    <x v="9"/>
    <n v="2016"/>
    <s v="054"/>
    <x v="22"/>
    <s v="054005"/>
    <x v="98"/>
    <n v="139.5"/>
    <n v="18"/>
    <n v="529.20000000000005"/>
    <n v="72"/>
  </r>
  <r>
    <x v="9"/>
    <n v="2016"/>
    <s v="054"/>
    <x v="22"/>
    <s v="054011"/>
    <x v="99"/>
    <n v="961.2"/>
    <n v="114"/>
    <n v="415.8"/>
    <n v="54"/>
  </r>
  <r>
    <x v="9"/>
    <n v="2016"/>
    <s v="054"/>
    <x v="22"/>
    <s v="054012"/>
    <x v="99"/>
    <n v="0"/>
    <n v="6"/>
    <m/>
    <m/>
  </r>
  <r>
    <x v="9"/>
    <n v="2016"/>
    <s v="059"/>
    <x v="23"/>
    <s v="059002"/>
    <x v="100"/>
    <n v="252"/>
    <n v="60"/>
    <n v="126"/>
    <n v="30"/>
  </r>
  <r>
    <x v="9"/>
    <n v="2016"/>
    <s v="059"/>
    <x v="23"/>
    <s v="059004"/>
    <x v="101"/>
    <n v="0"/>
    <n v="6"/>
    <n v="42.6"/>
    <n v="12"/>
  </r>
  <r>
    <x v="9"/>
    <n v="2016"/>
    <s v="059"/>
    <x v="23"/>
    <s v="059006"/>
    <x v="102"/>
    <n v="0"/>
    <n v="6"/>
    <m/>
    <m/>
  </r>
  <r>
    <x v="9"/>
    <n v="2016"/>
    <s v="059"/>
    <x v="23"/>
    <s v="059008"/>
    <x v="102"/>
    <n v="0"/>
    <n v="6"/>
    <m/>
    <m/>
  </r>
  <r>
    <x v="9"/>
    <n v="2016"/>
    <s v="059"/>
    <x v="23"/>
    <s v="059010"/>
    <x v="102"/>
    <n v="132"/>
    <n v="24"/>
    <m/>
    <m/>
  </r>
  <r>
    <x v="9"/>
    <n v="2016"/>
    <s v="059"/>
    <x v="23"/>
    <s v="059019"/>
    <x v="103"/>
    <n v="21.3"/>
    <n v="6"/>
    <n v="63.9"/>
    <n v="18"/>
  </r>
  <r>
    <x v="9"/>
    <n v="2016"/>
    <s v="059"/>
    <x v="23"/>
    <s v="059020"/>
    <x v="104"/>
    <n v="1360.8"/>
    <n v="378"/>
    <n v="993.6"/>
    <n v="282"/>
  </r>
  <r>
    <x v="9"/>
    <n v="2016"/>
    <s v="059"/>
    <x v="23"/>
    <s v="059021"/>
    <x v="105"/>
    <n v="268.2"/>
    <n v="120.06"/>
    <n v="89.4"/>
    <n v="40.019999999999996"/>
  </r>
  <r>
    <x v="9"/>
    <n v="2016"/>
    <s v="059"/>
    <x v="23"/>
    <s v="059025"/>
    <x v="106"/>
    <n v="3726"/>
    <n v="1656"/>
    <n v="1512"/>
    <n v="672"/>
  </r>
  <r>
    <x v="9"/>
    <n v="2016"/>
    <s v="059"/>
    <x v="23"/>
    <s v="059026"/>
    <x v="107"/>
    <n v="1277.0999999999999"/>
    <n v="873.77"/>
    <n v="1029.5999999999999"/>
    <n v="693.68"/>
  </r>
  <r>
    <x v="9"/>
    <n v="2016"/>
    <s v="059"/>
    <x v="23"/>
    <s v="059027"/>
    <x v="259"/>
    <n v="84.5"/>
    <n v="79.98"/>
    <n v="16.899999999999999"/>
    <n v="13.33"/>
  </r>
  <r>
    <x v="9"/>
    <n v="2016"/>
    <s v="059"/>
    <x v="23"/>
    <s v="059102"/>
    <x v="381"/>
    <n v="10.8"/>
    <n v="6"/>
    <m/>
    <m/>
  </r>
  <r>
    <x v="9"/>
    <n v="2016"/>
    <s v="059"/>
    <x v="23"/>
    <s v="059104"/>
    <x v="291"/>
    <n v="177.6"/>
    <n v="48"/>
    <n v="111"/>
    <n v="30"/>
  </r>
  <r>
    <x v="9"/>
    <n v="2016"/>
    <s v="060"/>
    <x v="24"/>
    <s v="060015"/>
    <x v="109"/>
    <n v="1189.32"/>
    <n v="318"/>
    <n v="734.4"/>
    <n v="204"/>
  </r>
  <r>
    <x v="9"/>
    <n v="2016"/>
    <s v="060"/>
    <x v="24"/>
    <s v="060016"/>
    <x v="109"/>
    <n v="113.76"/>
    <n v="24"/>
    <n v="79.92"/>
    <n v="18"/>
  </r>
  <r>
    <x v="9"/>
    <n v="2016"/>
    <s v="062"/>
    <x v="25"/>
    <s v="062003"/>
    <x v="110"/>
    <n v="132"/>
    <n v="36"/>
    <n v="774"/>
    <n v="180"/>
  </r>
  <r>
    <x v="9"/>
    <n v="2016"/>
    <s v="062"/>
    <x v="25"/>
    <s v="062021"/>
    <x v="110"/>
    <n v="0"/>
    <n v="-6"/>
    <n v="183"/>
    <n v="60"/>
  </r>
  <r>
    <x v="9"/>
    <n v="2016"/>
    <s v="074"/>
    <x v="26"/>
    <s v="074012"/>
    <x v="113"/>
    <n v="547.20000000000005"/>
    <n v="72"/>
    <n v="228"/>
    <n v="36"/>
  </r>
  <r>
    <x v="9"/>
    <n v="2016"/>
    <s v="074"/>
    <x v="26"/>
    <s v="074013"/>
    <x v="114"/>
    <n v="390.6"/>
    <n v="84"/>
    <n v="579.6"/>
    <n v="132"/>
  </r>
  <r>
    <x v="9"/>
    <n v="2016"/>
    <s v="074"/>
    <x v="26"/>
    <s v="074029"/>
    <x v="342"/>
    <n v="46.2"/>
    <n v="6"/>
    <n v="46.2"/>
    <n v="12"/>
  </r>
  <r>
    <x v="9"/>
    <n v="2016"/>
    <s v="075"/>
    <x v="27"/>
    <s v="075002"/>
    <x v="115"/>
    <n v="1245"/>
    <n v="306"/>
    <n v="1133.6400000000001"/>
    <n v="282"/>
  </r>
  <r>
    <x v="9"/>
    <n v="2016"/>
    <s v="075"/>
    <x v="27"/>
    <s v="075004"/>
    <x v="115"/>
    <n v="114.36"/>
    <n v="24"/>
    <n v="110.4"/>
    <n v="24"/>
  </r>
  <r>
    <x v="9"/>
    <n v="2016"/>
    <s v="075"/>
    <x v="27"/>
    <s v="075011"/>
    <x v="317"/>
    <n v="83.7"/>
    <n v="12"/>
    <n v="81"/>
    <n v="12"/>
  </r>
  <r>
    <x v="9"/>
    <n v="2016"/>
    <s v="075"/>
    <x v="27"/>
    <s v="075013"/>
    <x v="116"/>
    <n v="499.5"/>
    <n v="90"/>
    <n v="343.2"/>
    <n v="66"/>
  </r>
  <r>
    <x v="9"/>
    <n v="2016"/>
    <s v="075"/>
    <x v="27"/>
    <s v="CDV075005"/>
    <x v="261"/>
    <n v="60"/>
    <n v="8"/>
    <m/>
    <m/>
  </r>
  <r>
    <x v="9"/>
    <n v="2016"/>
    <s v="080"/>
    <x v="28"/>
    <s v="080010"/>
    <x v="118"/>
    <n v="425.7"/>
    <n v="72"/>
    <n v="1096.2"/>
    <n v="180"/>
  </r>
  <r>
    <x v="9"/>
    <n v="2016"/>
    <s v="080"/>
    <x v="28"/>
    <s v="080011"/>
    <x v="118"/>
    <n v="187.2"/>
    <n v="24"/>
    <n v="231"/>
    <n v="30"/>
  </r>
  <r>
    <x v="9"/>
    <n v="2016"/>
    <s v="080"/>
    <x v="28"/>
    <s v="080015"/>
    <x v="118"/>
    <n v="120.6"/>
    <n v="18"/>
    <n v="237.6"/>
    <n v="54"/>
  </r>
  <r>
    <x v="9"/>
    <n v="2016"/>
    <s v="080"/>
    <x v="28"/>
    <s v="080016"/>
    <x v="118"/>
    <n v="46.8"/>
    <n v="6"/>
    <n v="46.2"/>
    <n v="6"/>
  </r>
  <r>
    <x v="9"/>
    <n v="2016"/>
    <s v="083"/>
    <x v="29"/>
    <s v="083003"/>
    <x v="119"/>
    <n v="857.85"/>
    <n v="414"/>
    <n v="176.4"/>
    <n v="84"/>
  </r>
  <r>
    <x v="9"/>
    <n v="2016"/>
    <s v="084"/>
    <x v="30"/>
    <s v="084001"/>
    <x v="120"/>
    <n v="596.75"/>
    <n v="413.23"/>
    <n v="817"/>
    <n v="573.19000000000005"/>
  </r>
  <r>
    <x v="9"/>
    <n v="2016"/>
    <s v="084"/>
    <x v="30"/>
    <s v="084002"/>
    <x v="120"/>
    <n v="1243.2"/>
    <n v="740.37"/>
    <n v="1639"/>
    <n v="1007.17"/>
  </r>
  <r>
    <x v="9"/>
    <n v="2016"/>
    <s v="084"/>
    <x v="30"/>
    <s v="084004"/>
    <x v="121"/>
    <n v="327.60000000000002"/>
    <n v="162"/>
    <n v="110.7"/>
    <n v="54"/>
  </r>
  <r>
    <x v="9"/>
    <n v="2016"/>
    <s v="084"/>
    <x v="30"/>
    <s v="084006"/>
    <x v="122"/>
    <n v="1452"/>
    <n v="528"/>
    <n v="1814.4"/>
    <n v="678"/>
  </r>
  <r>
    <x v="9"/>
    <n v="2016"/>
    <s v="084"/>
    <x v="30"/>
    <s v="084007"/>
    <x v="123"/>
    <n v="220.8"/>
    <n v="48"/>
    <n v="972"/>
    <n v="222"/>
  </r>
  <r>
    <x v="9"/>
    <n v="2016"/>
    <s v="084"/>
    <x v="30"/>
    <s v="084008"/>
    <x v="124"/>
    <n v="71.760000000000005"/>
    <n v="18"/>
    <n v="315.89999999999998"/>
    <n v="60"/>
  </r>
  <r>
    <x v="9"/>
    <n v="2016"/>
    <s v="084"/>
    <x v="30"/>
    <s v="084015"/>
    <x v="263"/>
    <n v="387"/>
    <n v="42"/>
    <n v="567"/>
    <n v="54"/>
  </r>
  <r>
    <x v="9"/>
    <n v="2016"/>
    <s v="084"/>
    <x v="30"/>
    <s v="084032"/>
    <x v="125"/>
    <n v="99"/>
    <n v="36"/>
    <m/>
    <m/>
  </r>
  <r>
    <x v="9"/>
    <n v="2016"/>
    <s v="084"/>
    <x v="30"/>
    <s v="084041"/>
    <x v="343"/>
    <n v="0"/>
    <n v="6"/>
    <m/>
    <m/>
  </r>
  <r>
    <x v="9"/>
    <n v="2016"/>
    <s v="084"/>
    <x v="30"/>
    <s v="084050"/>
    <x v="292"/>
    <n v="0"/>
    <n v="6"/>
    <m/>
    <m/>
  </r>
  <r>
    <x v="9"/>
    <n v="2016"/>
    <s v="089"/>
    <x v="33"/>
    <s v="089002"/>
    <x v="128"/>
    <n v="284.7"/>
    <n v="78"/>
    <n v="191.7"/>
    <n v="54"/>
  </r>
  <r>
    <x v="9"/>
    <n v="2016"/>
    <s v="089"/>
    <x v="33"/>
    <s v="089010"/>
    <x v="129"/>
    <n v="22.2"/>
    <n v="6"/>
    <n v="64.8"/>
    <n v="18"/>
  </r>
  <r>
    <x v="9"/>
    <n v="2016"/>
    <s v="089"/>
    <x v="33"/>
    <s v="089800"/>
    <x v="130"/>
    <n v="348.6"/>
    <n v="84"/>
    <n v="1008.6"/>
    <n v="246"/>
  </r>
  <r>
    <x v="9"/>
    <n v="2016"/>
    <s v="089"/>
    <x v="33"/>
    <s v="089900"/>
    <x v="131"/>
    <n v="212.5"/>
    <n v="133.30000000000001"/>
    <n v="384.75"/>
    <n v="253.27"/>
  </r>
  <r>
    <x v="9"/>
    <n v="2016"/>
    <s v="089"/>
    <x v="33"/>
    <s v="089901"/>
    <x v="132"/>
    <n v="752.4"/>
    <n v="380.19"/>
    <n v="475.8"/>
    <n v="260.13"/>
  </r>
  <r>
    <x v="9"/>
    <n v="2016"/>
    <s v="089"/>
    <x v="33"/>
    <s v="089903"/>
    <x v="133"/>
    <n v="2017.2"/>
    <n v="492"/>
    <n v="704.7"/>
    <n v="174"/>
  </r>
  <r>
    <x v="9"/>
    <n v="2016"/>
    <s v="099"/>
    <x v="39"/>
    <s v="099001"/>
    <x v="148"/>
    <n v="1568.04"/>
    <n v="1020"/>
    <n v="1049.28"/>
    <n v="672"/>
  </r>
  <r>
    <x v="9"/>
    <n v="2016"/>
    <s v="099"/>
    <x v="39"/>
    <s v="099002"/>
    <x v="148"/>
    <n v="10760.16"/>
    <n v="6684"/>
    <n v="1518.24"/>
    <n v="912"/>
  </r>
  <r>
    <x v="9"/>
    <n v="2016"/>
    <s v="099"/>
    <x v="39"/>
    <s v="099003"/>
    <x v="148"/>
    <n v="416.52"/>
    <n v="234"/>
    <n v="385.68"/>
    <n v="228"/>
  </r>
  <r>
    <x v="9"/>
    <n v="2016"/>
    <s v="099"/>
    <x v="39"/>
    <s v="099013"/>
    <x v="149"/>
    <n v="101.16"/>
    <n v="36"/>
    <n v="101.16"/>
    <n v="36"/>
  </r>
  <r>
    <x v="9"/>
    <n v="2016"/>
    <s v="099"/>
    <x v="39"/>
    <s v="099016"/>
    <x v="150"/>
    <n v="443.84"/>
    <n v="168"/>
    <m/>
    <m/>
  </r>
  <r>
    <x v="9"/>
    <n v="2016"/>
    <s v="099"/>
    <x v="39"/>
    <s v="099022"/>
    <x v="352"/>
    <n v="80.64"/>
    <n v="42"/>
    <m/>
    <m/>
  </r>
  <r>
    <x v="9"/>
    <n v="2016"/>
    <s v="099"/>
    <x v="39"/>
    <s v="099023"/>
    <x v="345"/>
    <n v="0"/>
    <n v="6"/>
    <m/>
    <m/>
  </r>
  <r>
    <x v="9"/>
    <n v="2016"/>
    <s v="110"/>
    <x v="40"/>
    <s v="110500"/>
    <x v="151"/>
    <n v="93.5"/>
    <n v="66.650000000000006"/>
    <n v="491.4"/>
    <n v="359.91"/>
  </r>
  <r>
    <x v="9"/>
    <n v="2016"/>
    <s v="110"/>
    <x v="40"/>
    <s v="110600"/>
    <x v="152"/>
    <n v="75.599999999999994"/>
    <n v="24"/>
    <n v="18.3"/>
    <n v="12"/>
  </r>
  <r>
    <x v="9"/>
    <n v="2016"/>
    <s v="113"/>
    <x v="41"/>
    <s v="113001"/>
    <x v="153"/>
    <n v="923.4"/>
    <n v="162"/>
    <n v="1452"/>
    <n v="264"/>
  </r>
  <r>
    <x v="9"/>
    <n v="2016"/>
    <s v="113"/>
    <x v="41"/>
    <s v="113002"/>
    <x v="153"/>
    <n v="151.19999999999999"/>
    <n v="24"/>
    <n v="109.8"/>
    <n v="18"/>
  </r>
  <r>
    <x v="9"/>
    <n v="2016"/>
    <s v="113"/>
    <x v="41"/>
    <s v="113005"/>
    <x v="153"/>
    <n v="936"/>
    <n v="156"/>
    <n v="448.5"/>
    <n v="78"/>
  </r>
  <r>
    <x v="9"/>
    <n v="2016"/>
    <s v="113"/>
    <x v="41"/>
    <s v="113006"/>
    <x v="153"/>
    <n v="118.8"/>
    <n v="18"/>
    <n v="38.4"/>
    <n v="6"/>
  </r>
  <r>
    <x v="9"/>
    <n v="2016"/>
    <s v="115"/>
    <x v="43"/>
    <s v="115005"/>
    <x v="159"/>
    <n v="482.4"/>
    <n v="78"/>
    <n v="614.4"/>
    <n v="120"/>
  </r>
  <r>
    <x v="9"/>
    <n v="2016"/>
    <s v="115"/>
    <x v="43"/>
    <s v="115011"/>
    <x v="161"/>
    <n v="42.5"/>
    <n v="33.35"/>
    <n v="240"/>
    <n v="206.77"/>
  </r>
  <r>
    <x v="9"/>
    <n v="2016"/>
    <s v="116"/>
    <x v="44"/>
    <s v="116001"/>
    <x v="162"/>
    <n v="800.4"/>
    <n v="174"/>
    <n v="109.2"/>
    <n v="30"/>
  </r>
  <r>
    <x v="9"/>
    <n v="2016"/>
    <s v="124"/>
    <x v="46"/>
    <s v="124001"/>
    <x v="175"/>
    <n v="1863"/>
    <n v="420"/>
    <n v="2244"/>
    <n v="516"/>
  </r>
  <r>
    <x v="9"/>
    <n v="2016"/>
    <s v="124"/>
    <x v="46"/>
    <s v="124002"/>
    <x v="176"/>
    <n v="297"/>
    <n v="90"/>
    <n v="268.8"/>
    <n v="84"/>
  </r>
  <r>
    <x v="9"/>
    <n v="2016"/>
    <s v="124"/>
    <x v="46"/>
    <s v="124010"/>
    <x v="178"/>
    <n v="831.6"/>
    <n v="138"/>
    <n v="1004.4"/>
    <n v="168"/>
  </r>
  <r>
    <x v="9"/>
    <n v="2016"/>
    <s v="137"/>
    <x v="48"/>
    <s v="137001"/>
    <x v="182"/>
    <n v="1814.4"/>
    <n v="648"/>
    <n v="938.1"/>
    <n v="354"/>
  </r>
  <r>
    <x v="9"/>
    <n v="2016"/>
    <s v="137"/>
    <x v="48"/>
    <s v="137003"/>
    <x v="183"/>
    <n v="-89.1"/>
    <n v="-18"/>
    <n v="432"/>
    <n v="90"/>
  </r>
  <r>
    <x v="9"/>
    <n v="2016"/>
    <s v="137"/>
    <x v="48"/>
    <s v="137004"/>
    <x v="382"/>
    <n v="0"/>
    <n v="12"/>
    <m/>
    <m/>
  </r>
  <r>
    <x v="9"/>
    <n v="2016"/>
    <s v="140"/>
    <x v="49"/>
    <s v="140001"/>
    <x v="184"/>
    <n v="309.60000000000002"/>
    <n v="72"/>
    <n v="1587.6"/>
    <n v="378"/>
  </r>
  <r>
    <x v="9"/>
    <n v="2016"/>
    <s v="152"/>
    <x v="51"/>
    <s v="152001"/>
    <x v="186"/>
    <n v="1864.5"/>
    <n v="342"/>
    <n v="699.3"/>
    <n v="126"/>
  </r>
  <r>
    <x v="9"/>
    <n v="2016"/>
    <s v="153"/>
    <x v="52"/>
    <s v="153001"/>
    <x v="298"/>
    <n v="348"/>
    <n v="60"/>
    <n v="339"/>
    <n v="60"/>
  </r>
  <r>
    <x v="9"/>
    <n v="2016"/>
    <s v="153"/>
    <x v="52"/>
    <s v="153003"/>
    <x v="187"/>
    <n v="414"/>
    <n v="60"/>
    <n v="924.6"/>
    <n v="138"/>
  </r>
  <r>
    <x v="9"/>
    <n v="2016"/>
    <s v="157"/>
    <x v="53"/>
    <s v="157001"/>
    <x v="191"/>
    <n v="256.2"/>
    <n v="84"/>
    <n v="194.7"/>
    <n v="66"/>
  </r>
  <r>
    <x v="9"/>
    <n v="2016"/>
    <s v="164"/>
    <x v="56"/>
    <s v="164002"/>
    <x v="196"/>
    <n v="633.6"/>
    <n v="102"/>
    <m/>
    <m/>
  </r>
  <r>
    <x v="9"/>
    <n v="2016"/>
    <s v="164"/>
    <x v="56"/>
    <s v="164005/12"/>
    <x v="198"/>
    <n v="108"/>
    <n v="12"/>
    <n v="0"/>
    <n v="6"/>
  </r>
  <r>
    <x v="9"/>
    <n v="2016"/>
    <s v="164"/>
    <x v="56"/>
    <s v="164010"/>
    <x v="274"/>
    <n v="304"/>
    <n v="106.72"/>
    <n v="0"/>
    <n v="6.67"/>
  </r>
  <r>
    <x v="9"/>
    <n v="2016"/>
    <s v="168"/>
    <x v="57"/>
    <s v="168001"/>
    <x v="200"/>
    <n v="1250.5"/>
    <n v="306"/>
    <n v="1776"/>
    <n v="456"/>
  </r>
  <r>
    <x v="9"/>
    <n v="2016"/>
    <s v="168"/>
    <x v="57"/>
    <s v="168002"/>
    <x v="275"/>
    <n v="103.5"/>
    <n v="30"/>
    <n v="261.3"/>
    <n v="78"/>
  </r>
  <r>
    <x v="9"/>
    <n v="2016"/>
    <s v="169"/>
    <x v="58"/>
    <s v="169001"/>
    <x v="202"/>
    <n v="654.9"/>
    <n v="228"/>
    <n v="1418.1"/>
    <n v="500"/>
  </r>
  <r>
    <x v="9"/>
    <n v="2016"/>
    <s v="169"/>
    <x v="58"/>
    <s v="169002"/>
    <x v="203"/>
    <n v="607.62"/>
    <n v="252"/>
    <n v="8811.2199999999993"/>
    <n v="3684"/>
  </r>
  <r>
    <x v="9"/>
    <n v="2016"/>
    <s v="169"/>
    <x v="58"/>
    <s v="169009"/>
    <x v="204"/>
    <n v="906.5"/>
    <n v="653.16999999999996"/>
    <n v="481"/>
    <n v="346.58"/>
  </r>
  <r>
    <x v="9"/>
    <n v="2016"/>
    <s v="169"/>
    <x v="58"/>
    <s v="169010"/>
    <x v="204"/>
    <n v="189"/>
    <n v="126.73"/>
    <n v="609"/>
    <n v="393.53"/>
  </r>
  <r>
    <x v="9"/>
    <n v="2016"/>
    <s v="174"/>
    <x v="61"/>
    <s v="174001"/>
    <x v="207"/>
    <n v="2656.08"/>
    <n v="726"/>
    <n v="1339.2"/>
    <n v="366"/>
  </r>
  <r>
    <x v="9"/>
    <n v="2016"/>
    <s v="174"/>
    <x v="61"/>
    <s v="174002"/>
    <x v="208"/>
    <n v="148.80000000000001"/>
    <n v="24"/>
    <n v="36.72"/>
    <n v="6"/>
  </r>
  <r>
    <x v="9"/>
    <n v="2016"/>
    <s v="174"/>
    <x v="61"/>
    <s v="174003"/>
    <x v="209"/>
    <n v="2035.2"/>
    <n v="972"/>
    <n v="750.48"/>
    <n v="372"/>
  </r>
  <r>
    <x v="9"/>
    <n v="2016"/>
    <s v="174"/>
    <x v="61"/>
    <s v="174005"/>
    <x v="330"/>
    <n v="1544.4"/>
    <n v="702"/>
    <m/>
    <m/>
  </r>
  <r>
    <x v="9"/>
    <n v="2016"/>
    <s v="174"/>
    <x v="61"/>
    <s v="174006"/>
    <x v="330"/>
    <n v="1232"/>
    <n v="570"/>
    <m/>
    <m/>
  </r>
  <r>
    <x v="9"/>
    <n v="2016"/>
    <s v="174"/>
    <x v="61"/>
    <s v="174007"/>
    <x v="330"/>
    <n v="570.4"/>
    <n v="258"/>
    <m/>
    <m/>
  </r>
  <r>
    <x v="9"/>
    <n v="2016"/>
    <s v="174"/>
    <x v="61"/>
    <s v="174009"/>
    <x v="331"/>
    <n v="0"/>
    <n v="6"/>
    <m/>
    <m/>
  </r>
  <r>
    <x v="9"/>
    <n v="2016"/>
    <s v="174"/>
    <x v="61"/>
    <s v="174010"/>
    <x v="210"/>
    <n v="964.8"/>
    <n v="959.76"/>
    <n v="957.6"/>
    <n v="959.76"/>
  </r>
  <r>
    <x v="9"/>
    <n v="2016"/>
    <s v="174"/>
    <x v="61"/>
    <s v="174011"/>
    <x v="210"/>
    <n v="219.52"/>
    <n v="193.43"/>
    <n v="856.9"/>
    <n v="760.38"/>
  </r>
  <r>
    <x v="9"/>
    <n v="2016"/>
    <s v="174"/>
    <x v="61"/>
    <s v="174015"/>
    <x v="211"/>
    <n v="596.70000000000005"/>
    <n v="453.22"/>
    <n v="140.4"/>
    <n v="106.64"/>
  </r>
  <r>
    <x v="9"/>
    <n v="2016"/>
    <s v="174"/>
    <x v="61"/>
    <s v="174016"/>
    <x v="211"/>
    <n v="627.48"/>
    <n v="426.88"/>
    <n v="677.28"/>
    <n v="460.23"/>
  </r>
  <r>
    <x v="9"/>
    <n v="2016"/>
    <s v="175"/>
    <x v="62"/>
    <s v="175001"/>
    <x v="213"/>
    <n v="270"/>
    <n v="72"/>
    <n v="310.8"/>
    <n v="84"/>
  </r>
  <r>
    <x v="9"/>
    <n v="2016"/>
    <s v="175"/>
    <x v="62"/>
    <s v="175002"/>
    <x v="213"/>
    <n v="90"/>
    <n v="24"/>
    <n v="732.6"/>
    <n v="198"/>
  </r>
  <r>
    <x v="9"/>
    <n v="2016"/>
    <s v="201"/>
    <x v="65"/>
    <s v="201001"/>
    <x v="218"/>
    <n v="910.35"/>
    <n v="820.41"/>
    <n v="706.8"/>
    <n v="620.30999999999995"/>
  </r>
  <r>
    <x v="9"/>
    <n v="2016"/>
    <s v="201"/>
    <x v="65"/>
    <s v="201002"/>
    <x v="218"/>
    <n v="2509.8000000000002"/>
    <n v="2586.02"/>
    <n v="238.5"/>
    <n v="239.94"/>
  </r>
  <r>
    <x v="9"/>
    <n v="2016"/>
    <s v="201"/>
    <x v="65"/>
    <s v="201003"/>
    <x v="219"/>
    <n v="780.3"/>
    <n v="707.02"/>
    <n v="532"/>
    <n v="473.57"/>
  </r>
  <r>
    <x v="9"/>
    <n v="2016"/>
    <s v="201"/>
    <x v="65"/>
    <s v="201004"/>
    <x v="219"/>
    <n v="2736.75"/>
    <n v="2759.31"/>
    <n v="662.5"/>
    <n v="666.5"/>
  </r>
  <r>
    <x v="9"/>
    <n v="2016"/>
    <s v="201"/>
    <x v="65"/>
    <s v="201006"/>
    <x v="220"/>
    <n v="1656"/>
    <n v="732"/>
    <n v="964.8"/>
    <n v="408"/>
  </r>
  <r>
    <x v="9"/>
    <n v="2016"/>
    <s v="201"/>
    <x v="65"/>
    <s v="201007"/>
    <x v="221"/>
    <n v="33.6"/>
    <n v="12"/>
    <n v="865.8"/>
    <n v="162"/>
  </r>
  <r>
    <x v="9"/>
    <n v="2016"/>
    <s v="201"/>
    <x v="65"/>
    <s v="201008"/>
    <x v="222"/>
    <n v="640.5"/>
    <n v="216"/>
    <n v="403.2"/>
    <n v="132"/>
  </r>
  <r>
    <x v="9"/>
    <n v="2016"/>
    <s v="201"/>
    <x v="65"/>
    <s v="201010"/>
    <x v="223"/>
    <n v="279"/>
    <n v="199.95"/>
    <n v="186"/>
    <n v="133.30000000000001"/>
  </r>
  <r>
    <x v="9"/>
    <n v="2016"/>
    <s v="201"/>
    <x v="65"/>
    <s v="201011"/>
    <x v="223"/>
    <n v="131.30000000000001"/>
    <n v="93.38"/>
    <n v="60.6"/>
    <n v="40.019999999999996"/>
  </r>
  <r>
    <x v="9"/>
    <n v="2016"/>
    <s v="201"/>
    <x v="65"/>
    <s v="201012"/>
    <x v="224"/>
    <n v="438"/>
    <n v="120"/>
    <n v="1144.8"/>
    <n v="318"/>
  </r>
  <r>
    <x v="9"/>
    <n v="2016"/>
    <s v="201"/>
    <x v="65"/>
    <s v="201013"/>
    <x v="225"/>
    <n v="23.1"/>
    <n v="6"/>
    <m/>
    <m/>
  </r>
  <r>
    <x v="9"/>
    <n v="2016"/>
    <s v="201"/>
    <x v="65"/>
    <s v="201014"/>
    <x v="226"/>
    <n v="630"/>
    <n v="210"/>
    <n v="594"/>
    <n v="198"/>
  </r>
  <r>
    <x v="9"/>
    <n v="2016"/>
    <s v="201"/>
    <x v="65"/>
    <s v="201016"/>
    <x v="278"/>
    <n v="144.47999999999999"/>
    <n v="42"/>
    <m/>
    <m/>
  </r>
  <r>
    <x v="9"/>
    <n v="2016"/>
    <s v="201"/>
    <x v="65"/>
    <s v="201022"/>
    <x v="303"/>
    <n v="25.5"/>
    <n v="20"/>
    <n v="40.4"/>
    <n v="32"/>
  </r>
  <r>
    <x v="9"/>
    <n v="2016"/>
    <s v="201"/>
    <x v="65"/>
    <s v="201026"/>
    <x v="229"/>
    <n v="46.08"/>
    <n v="24"/>
    <n v="182.4"/>
    <n v="96"/>
  </r>
  <r>
    <x v="9"/>
    <n v="2016"/>
    <s v="201"/>
    <x v="65"/>
    <s v="201027"/>
    <x v="229"/>
    <n v="115.2"/>
    <n v="60"/>
    <n v="79.8"/>
    <n v="48"/>
  </r>
  <r>
    <x v="9"/>
    <n v="2016"/>
    <s v="201"/>
    <x v="65"/>
    <s v="201031"/>
    <x v="304"/>
    <n v="80.64"/>
    <n v="42"/>
    <m/>
    <m/>
  </r>
  <r>
    <x v="9"/>
    <n v="2016"/>
    <s v="202"/>
    <x v="66"/>
    <s v="202001"/>
    <x v="230"/>
    <n v="37.26"/>
    <n v="18"/>
    <n v="318.24"/>
    <n v="156"/>
  </r>
  <r>
    <x v="9"/>
    <n v="2016"/>
    <s v="202"/>
    <x v="66"/>
    <s v="202002"/>
    <x v="230"/>
    <n v="172.5"/>
    <n v="102"/>
    <n v="97.92"/>
    <n v="48"/>
  </r>
  <r>
    <x v="9"/>
    <n v="2016"/>
    <s v="202"/>
    <x v="66"/>
    <s v="202003"/>
    <x v="230"/>
    <n v="24.84"/>
    <n v="12"/>
    <n v="306"/>
    <n v="150"/>
  </r>
  <r>
    <x v="9"/>
    <n v="2016"/>
    <s v="202"/>
    <x v="66"/>
    <s v="202007"/>
    <x v="232"/>
    <n v="26.4"/>
    <n v="12"/>
    <n v="196.2"/>
    <n v="96"/>
  </r>
  <r>
    <x v="9"/>
    <n v="2016"/>
    <s v="202"/>
    <x v="66"/>
    <s v="202010"/>
    <x v="233"/>
    <n v="89"/>
    <n v="93.38"/>
    <n v="26.7"/>
    <n v="26.68"/>
  </r>
  <r>
    <x v="9"/>
    <n v="2016"/>
    <s v="205"/>
    <x v="67"/>
    <s v="205001"/>
    <x v="234"/>
    <n v="121.5"/>
    <n v="60"/>
    <n v="158.4"/>
    <n v="78"/>
  </r>
  <r>
    <x v="9"/>
    <n v="2016"/>
    <s v="205"/>
    <x v="67"/>
    <s v="205002"/>
    <x v="235"/>
    <n v="14.4"/>
    <n v="6"/>
    <n v="28.2"/>
    <n v="12"/>
  </r>
  <r>
    <x v="9"/>
    <n v="2016"/>
    <s v="205"/>
    <x v="67"/>
    <s v="205003"/>
    <x v="236"/>
    <n v="333"/>
    <n v="102"/>
    <n v="0"/>
    <n v="12"/>
  </r>
  <r>
    <x v="9"/>
    <n v="2016"/>
    <s v="205"/>
    <x v="67"/>
    <s v="205004"/>
    <x v="237"/>
    <n v="0"/>
    <n v="6"/>
    <n v="0"/>
    <n v="6"/>
  </r>
  <r>
    <x v="10"/>
    <n v="2016"/>
    <s v="002"/>
    <x v="1"/>
    <s v="002001"/>
    <x v="5"/>
    <n v="314.39999999999998"/>
    <n v="266.8"/>
    <n v="2555.2800000000002"/>
    <n v="2267.8000000000002"/>
  </r>
  <r>
    <x v="10"/>
    <n v="2016"/>
    <s v="002"/>
    <x v="1"/>
    <s v="002002"/>
    <x v="6"/>
    <n v="1157.52"/>
    <n v="1119.72"/>
    <n v="8453.5"/>
    <n v="8531.2000000000007"/>
  </r>
  <r>
    <x v="10"/>
    <n v="2016"/>
    <s v="002"/>
    <x v="1"/>
    <s v="002003"/>
    <x v="7"/>
    <n v="622"/>
    <n v="679.83"/>
    <n v="4420.05"/>
    <n v="4972.09"/>
  </r>
  <r>
    <x v="10"/>
    <n v="2016"/>
    <s v="002"/>
    <x v="1"/>
    <s v="002004"/>
    <x v="7"/>
    <n v="224.32"/>
    <n v="213.44"/>
    <n v="954.36"/>
    <n v="880.43999999999994"/>
  </r>
  <r>
    <x v="10"/>
    <n v="2016"/>
    <s v="002"/>
    <x v="1"/>
    <s v="002007"/>
    <x v="8"/>
    <n v="216.72"/>
    <n v="239.94"/>
    <n v="4273.0200000000004"/>
    <n v="4945.43"/>
  </r>
  <r>
    <x v="10"/>
    <n v="2016"/>
    <s v="002"/>
    <x v="1"/>
    <s v="002008"/>
    <x v="9"/>
    <n v="-61.62"/>
    <n v="-80.010000000000005"/>
    <n v="2266.9"/>
    <n v="2747.01"/>
  </r>
  <r>
    <x v="10"/>
    <n v="2016"/>
    <s v="002"/>
    <x v="1"/>
    <s v="002010"/>
    <x v="10"/>
    <n v="46.75"/>
    <n v="33.35"/>
    <n v="1053.28"/>
    <n v="773.72"/>
  </r>
  <r>
    <x v="10"/>
    <n v="2016"/>
    <s v="002"/>
    <x v="1"/>
    <s v="002011"/>
    <x v="11"/>
    <n v="66.680000000000007"/>
    <n v="53.32"/>
    <n v="2006.32"/>
    <n v="1652.92"/>
  </r>
  <r>
    <x v="10"/>
    <n v="2016"/>
    <s v="002"/>
    <x v="1"/>
    <s v="002015"/>
    <x v="11"/>
    <n v="50.01"/>
    <n v="39.99"/>
    <n v="2135.7600000000002"/>
    <n v="1852.8700000000001"/>
  </r>
  <r>
    <x v="10"/>
    <n v="2016"/>
    <s v="002"/>
    <x v="1"/>
    <s v="002016"/>
    <x v="11"/>
    <n v="95.5"/>
    <n v="66.7"/>
    <n v="1352.92"/>
    <n v="1000.5"/>
  </r>
  <r>
    <x v="10"/>
    <n v="2016"/>
    <s v="002"/>
    <x v="1"/>
    <s v="002017"/>
    <x v="12"/>
    <n v="360.76"/>
    <n v="386.57"/>
    <n v="4138.16"/>
    <n v="4625.51"/>
  </r>
  <r>
    <x v="10"/>
    <n v="2016"/>
    <s v="002"/>
    <x v="1"/>
    <s v="002018"/>
    <x v="12"/>
    <n v="142.69"/>
    <n v="126.73"/>
    <n v="1689.25"/>
    <n v="1567.45"/>
  </r>
  <r>
    <x v="10"/>
    <n v="2016"/>
    <s v="002"/>
    <x v="1"/>
    <s v="002020"/>
    <x v="13"/>
    <n v="264.60000000000002"/>
    <n v="108"/>
    <n v="1353.6"/>
    <n v="564"/>
  </r>
  <r>
    <x v="10"/>
    <n v="2016"/>
    <s v="002"/>
    <x v="1"/>
    <s v="002021"/>
    <x v="14"/>
    <n v="0"/>
    <n v="6"/>
    <n v="54.6"/>
    <n v="30"/>
  </r>
  <r>
    <x v="10"/>
    <n v="2016"/>
    <s v="002"/>
    <x v="1"/>
    <s v="002025"/>
    <x v="14"/>
    <n v="0"/>
    <n v="6"/>
    <m/>
    <m/>
  </r>
  <r>
    <x v="10"/>
    <n v="2016"/>
    <s v="002"/>
    <x v="1"/>
    <s v="002037"/>
    <x v="243"/>
    <n v="143.04"/>
    <n v="48"/>
    <n v="344.4"/>
    <n v="120"/>
  </r>
  <r>
    <x v="10"/>
    <n v="2016"/>
    <s v="002"/>
    <x v="1"/>
    <s v="002905"/>
    <x v="25"/>
    <n v="378"/>
    <n v="466.55"/>
    <n v="151.19999999999999"/>
    <n v="186.62"/>
  </r>
  <r>
    <x v="10"/>
    <n v="2016"/>
    <s v="037"/>
    <x v="11"/>
    <s v="037003"/>
    <x v="60"/>
    <n v="114"/>
    <n v="30"/>
    <n v="199.8"/>
    <n v="60"/>
  </r>
  <r>
    <x v="10"/>
    <n v="2016"/>
    <s v="046"/>
    <x v="16"/>
    <s v="046001"/>
    <x v="75"/>
    <n v="54"/>
    <n v="12"/>
    <n v="319.8"/>
    <n v="78"/>
  </r>
  <r>
    <x v="10"/>
    <n v="2016"/>
    <s v="046"/>
    <x v="16"/>
    <s v="046015"/>
    <x v="77"/>
    <n v="24"/>
    <n v="6"/>
    <m/>
    <m/>
  </r>
  <r>
    <x v="10"/>
    <n v="2016"/>
    <s v="046"/>
    <x v="16"/>
    <s v="046020"/>
    <x v="78"/>
    <n v="45"/>
    <n v="6"/>
    <n v="294"/>
    <n v="42"/>
  </r>
  <r>
    <x v="10"/>
    <n v="2016"/>
    <s v="046"/>
    <x v="16"/>
    <s v="046025"/>
    <x v="254"/>
    <n v="36"/>
    <n v="6"/>
    <n v="69.599999999999994"/>
    <n v="12"/>
  </r>
  <r>
    <x v="10"/>
    <n v="2016"/>
    <s v="051"/>
    <x v="20"/>
    <s v="051010/11"/>
    <x v="87"/>
    <n v="97.2"/>
    <n v="12"/>
    <n v="6713.7"/>
    <n v="840"/>
  </r>
  <r>
    <x v="10"/>
    <n v="2016"/>
    <s v="054"/>
    <x v="22"/>
    <s v="054011"/>
    <x v="99"/>
    <n v="160.19999999999999"/>
    <n v="18"/>
    <n v="1293.5999999999999"/>
    <n v="174"/>
  </r>
  <r>
    <x v="10"/>
    <n v="2016"/>
    <s v="080"/>
    <x v="28"/>
    <s v="080010"/>
    <x v="118"/>
    <n v="77.400000000000006"/>
    <n v="12"/>
    <n v="756"/>
    <n v="120"/>
  </r>
  <r>
    <x v="10"/>
    <n v="2016"/>
    <s v="084"/>
    <x v="30"/>
    <s v="084001"/>
    <x v="120"/>
    <n v="250.25"/>
    <n v="173.29"/>
    <n v="931"/>
    <n v="666.5"/>
  </r>
  <r>
    <x v="10"/>
    <n v="2016"/>
    <s v="084"/>
    <x v="30"/>
    <s v="084002"/>
    <x v="120"/>
    <n v="369.6"/>
    <n v="220.10999999999999"/>
    <n v="1914"/>
    <n v="1173.92"/>
  </r>
  <r>
    <x v="10"/>
    <n v="2016"/>
    <s v="084"/>
    <x v="30"/>
    <s v="084004"/>
    <x v="121"/>
    <n v="113.4"/>
    <n v="54"/>
    <n v="36.9"/>
    <n v="18"/>
  </r>
  <r>
    <x v="10"/>
    <n v="2016"/>
    <s v="084"/>
    <x v="30"/>
    <s v="084006"/>
    <x v="122"/>
    <n v="940.5"/>
    <n v="342"/>
    <n v="2754"/>
    <n v="1020"/>
  </r>
  <r>
    <x v="10"/>
    <n v="2016"/>
    <s v="084"/>
    <x v="30"/>
    <s v="084007"/>
    <x v="123"/>
    <n v="496.8"/>
    <n v="114"/>
    <n v="1647"/>
    <n v="366"/>
  </r>
  <r>
    <x v="10"/>
    <n v="2016"/>
    <s v="084"/>
    <x v="30"/>
    <s v="084008"/>
    <x v="124"/>
    <n v="179.4"/>
    <n v="30"/>
    <n v="315.89999999999998"/>
    <n v="54"/>
  </r>
  <r>
    <x v="10"/>
    <n v="2016"/>
    <s v="084"/>
    <x v="30"/>
    <s v="084015"/>
    <x v="263"/>
    <n v="193.5"/>
    <n v="18"/>
    <n v="693"/>
    <n v="66"/>
  </r>
  <r>
    <x v="10"/>
    <n v="2016"/>
    <s v="084"/>
    <x v="30"/>
    <s v="084050"/>
    <x v="292"/>
    <n v="63"/>
    <n v="6"/>
    <m/>
    <m/>
  </r>
  <r>
    <x v="10"/>
    <n v="2016"/>
    <s v="113"/>
    <x v="41"/>
    <s v="113002"/>
    <x v="153"/>
    <n v="37.799999999999997"/>
    <n v="6"/>
    <n v="36.6"/>
    <n v="6"/>
  </r>
  <r>
    <x v="10"/>
    <n v="2016"/>
    <s v="113"/>
    <x v="41"/>
    <s v="113005"/>
    <x v="153"/>
    <n v="108"/>
    <n v="18"/>
    <n v="966"/>
    <n v="168"/>
  </r>
  <r>
    <x v="10"/>
    <n v="2016"/>
    <s v="113"/>
    <x v="41"/>
    <s v="113006"/>
    <x v="153"/>
    <n v="79.2"/>
    <n v="12"/>
    <n v="38.4"/>
    <n v="6"/>
  </r>
  <r>
    <x v="10"/>
    <n v="2016"/>
    <s v="124"/>
    <x v="46"/>
    <s v="124001"/>
    <x v="175"/>
    <n v="162"/>
    <n v="36"/>
    <n v="866.8"/>
    <n v="198"/>
  </r>
  <r>
    <x v="10"/>
    <n v="2016"/>
    <s v="124"/>
    <x v="46"/>
    <s v="124005CB"/>
    <x v="177"/>
    <n v="0"/>
    <n v="3"/>
    <m/>
    <m/>
  </r>
  <r>
    <x v="11"/>
    <n v="2016"/>
    <s v="174"/>
    <x v="61"/>
    <s v="174010"/>
    <x v="210"/>
    <n v="26.8"/>
    <n v="26.66"/>
    <n v="957.6"/>
    <n v="959.76"/>
  </r>
  <r>
    <x v="11"/>
    <n v="2016"/>
    <s v="174"/>
    <x v="61"/>
    <s v="174011"/>
    <x v="210"/>
    <n v="39.200000000000003"/>
    <n v="33.35"/>
    <n v="716.68"/>
    <n v="613.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4" cacheId="5" applyNumberFormats="0" applyBorderFormats="0" applyFontFormats="0" applyPatternFormats="0" applyAlignmentFormats="0" applyWidthHeightFormats="1" dataCaption="Valeurs" updatedVersion="4" minRefreshableVersion="3" showDrill="0" useAutoFormatting="1" colGrandTotals="0" itemPrintTitles="1" createdVersion="4" indent="0" showHeaders="0" outline="1" outlineData="1" multipleFieldFilters="0">
  <location ref="A9:E23" firstHeaderRow="0" firstDataRow="2" firstDataCol="1" rowPageCount="1" colPageCount="1"/>
  <pivotFields count="10">
    <pivotField axis="axisPage" multipleItemSelectionAllowed="1" showAll="0" defaultSubtotal="0">
      <items count="12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</items>
    </pivotField>
    <pivotField multipleItemSelectionAllowed="1" showAll="0" defaultSubtotal="0"/>
    <pivotField showAll="0" defaultSubtotal="0"/>
    <pivotField axis="axisCol" showAll="0" defaultSubtotal="0">
      <items count="88">
        <item h="1" x="34"/>
        <item x="45"/>
        <item h="1" x="10"/>
        <item h="1" m="1" x="85"/>
        <item h="1" x="1"/>
        <item h="1" x="26"/>
        <item h="1" x="39"/>
        <item h="1" x="4"/>
        <item h="1" x="65"/>
        <item h="1" x="23"/>
        <item h="1" x="0"/>
        <item h="1" x="46"/>
        <item h="1" x="25"/>
        <item h="1" x="38"/>
        <item h="1" x="13"/>
        <item h="1" m="1" x="79"/>
        <item h="1" m="1" x="83"/>
        <item h="1" x="19"/>
        <item h="1" x="22"/>
        <item h="1" x="54"/>
        <item h="1" x="56"/>
        <item h="1" x="57"/>
        <item h="1" x="27"/>
        <item h="1" x="40"/>
        <item h="1" x="48"/>
        <item h="1" x="58"/>
        <item h="1" x="63"/>
        <item h="1" x="14"/>
        <item h="1" x="35"/>
        <item h="1" x="20"/>
        <item h="1" x="6"/>
        <item h="1" x="42"/>
        <item h="1" x="2"/>
        <item h="1" m="1" x="82"/>
        <item h="1" x="71"/>
        <item h="1" x="8"/>
        <item h="1" m="1" x="74"/>
        <item h="1" x="53"/>
        <item h="1" x="33"/>
        <item h="1" x="67"/>
        <item h="1" x="59"/>
        <item h="1" x="28"/>
        <item h="1" x="50"/>
        <item h="1" x="69"/>
        <item h="1" x="68"/>
        <item h="1" m="1" x="77"/>
        <item h="1" x="41"/>
        <item h="1" x="55"/>
        <item h="1" x="60"/>
        <item h="1" x="47"/>
        <item h="1" x="9"/>
        <item h="1" x="3"/>
        <item h="1" x="24"/>
        <item h="1" x="21"/>
        <item h="1" m="1" x="76"/>
        <item h="1" m="1" x="86"/>
        <item h="1" x="37"/>
        <item h="1" x="15"/>
        <item h="1" m="1" x="75"/>
        <item h="1" x="29"/>
        <item h="1" x="12"/>
        <item h="1" x="18"/>
        <item h="1" x="36"/>
        <item h="1" x="72"/>
        <item h="1" x="16"/>
        <item h="1" x="32"/>
        <item h="1" x="49"/>
        <item h="1" x="64"/>
        <item h="1" x="31"/>
        <item h="1" x="52"/>
        <item h="1" x="62"/>
        <item h="1" m="1" x="80"/>
        <item h="1" x="11"/>
        <item h="1" x="61"/>
        <item h="1" m="1" x="81"/>
        <item h="1" x="17"/>
        <item h="1" x="43"/>
        <item h="1" x="70"/>
        <item h="1" x="66"/>
        <item h="1" m="1" x="78"/>
        <item h="1" m="1" x="87"/>
        <item h="1" x="30"/>
        <item h="1" x="44"/>
        <item h="1" x="7"/>
        <item h="1" m="1" x="84"/>
        <item h="1" x="5"/>
        <item h="1" x="51"/>
        <item h="1" m="1" x="73"/>
      </items>
    </pivotField>
    <pivotField showAll="0" defaultSubtotal="0"/>
    <pivotField axis="axisRow" showAll="0" defaultSubtotal="0">
      <items count="631">
        <item m="1" x="581"/>
        <item x="212"/>
        <item m="1" x="587"/>
        <item m="1" x="455"/>
        <item m="1" x="459"/>
        <item x="50"/>
        <item x="248"/>
        <item m="1" x="383"/>
        <item m="1" x="458"/>
        <item x="49"/>
        <item x="311"/>
        <item x="48"/>
        <item m="1" x="488"/>
        <item x="52"/>
        <item m="1" x="474"/>
        <item m="1" x="480"/>
        <item m="1" x="481"/>
        <item m="1" x="434"/>
        <item m="1" x="562"/>
        <item x="206"/>
        <item x="359"/>
        <item x="114"/>
        <item x="82"/>
        <item m="1" x="478"/>
        <item x="81"/>
        <item x="347"/>
        <item x="36"/>
        <item x="37"/>
        <item m="1" x="612"/>
        <item m="1" x="532"/>
        <item x="151"/>
        <item m="1" x="391"/>
        <item m="1" x="498"/>
        <item x="315"/>
        <item x="349"/>
        <item m="1" x="472"/>
        <item x="176"/>
        <item x="203"/>
        <item m="1" x="482"/>
        <item x="138"/>
        <item x="293"/>
        <item m="1" x="493"/>
        <item x="57"/>
        <item x="92"/>
        <item x="80"/>
        <item x="38"/>
        <item x="96"/>
        <item x="380"/>
        <item x="69"/>
        <item x="286"/>
        <item x="70"/>
        <item x="13"/>
        <item x="11"/>
        <item m="1" x="582"/>
        <item x="181"/>
        <item m="1" x="591"/>
        <item m="1" x="390"/>
        <item x="51"/>
        <item x="10"/>
        <item m="1" x="421"/>
        <item m="1" x="436"/>
        <item x="64"/>
        <item x="353"/>
        <item x="251"/>
        <item x="126"/>
        <item x="179"/>
        <item x="180"/>
        <item x="250"/>
        <item x="146"/>
        <item x="104"/>
        <item x="102"/>
        <item x="100"/>
        <item x="63"/>
        <item x="193"/>
        <item x="194"/>
        <item m="1" x="565"/>
        <item x="111"/>
        <item x="143"/>
        <item x="190"/>
        <item x="188"/>
        <item x="187"/>
        <item x="326"/>
        <item x="4"/>
        <item x="366"/>
        <item x="296"/>
        <item x="213"/>
        <item x="60"/>
        <item x="267"/>
        <item x="162"/>
        <item x="61"/>
        <item x="268"/>
        <item x="125"/>
        <item x="263"/>
        <item x="120"/>
        <item x="124"/>
        <item x="123"/>
        <item m="1" x="470"/>
        <item x="14"/>
        <item x="15"/>
        <item x="76"/>
        <item x="77"/>
        <item x="297"/>
        <item x="215"/>
        <item x="78"/>
        <item m="1" x="597"/>
        <item x="217"/>
        <item m="1" x="469"/>
        <item x="216"/>
        <item m="1" x="550"/>
        <item m="1" x="404"/>
        <item m="1" x="590"/>
        <item m="1" x="537"/>
        <item m="1" x="499"/>
        <item x="295"/>
        <item m="1" x="585"/>
        <item m="1" x="621"/>
        <item x="67"/>
        <item x="68"/>
        <item m="1" x="398"/>
        <item m="1" x="543"/>
        <item x="276"/>
        <item x="202"/>
        <item m="1" x="523"/>
        <item x="105"/>
        <item x="368"/>
        <item m="1" x="495"/>
        <item x="103"/>
        <item x="228"/>
        <item m="1" x="512"/>
        <item m="1" x="387"/>
        <item m="1" x="426"/>
        <item x="278"/>
        <item m="1" x="524"/>
        <item m="1" x="569"/>
        <item x="31"/>
        <item x="195"/>
        <item m="1" x="405"/>
        <item m="1" x="438"/>
        <item x="58"/>
        <item x="285"/>
        <item x="75"/>
        <item x="183"/>
        <item m="1" x="583"/>
        <item m="1" x="604"/>
        <item m="1" x="504"/>
        <item x="182"/>
        <item x="185"/>
        <item x="134"/>
        <item x="39"/>
        <item x="255"/>
        <item x="119"/>
        <item x="256"/>
        <item m="1" x="620"/>
        <item x="84"/>
        <item m="1" x="535"/>
        <item x="83"/>
        <item x="85"/>
        <item m="1" x="496"/>
        <item m="1" x="406"/>
        <item x="97"/>
        <item m="1" x="418"/>
        <item x="155"/>
        <item m="1" x="460"/>
        <item x="30"/>
        <item m="1" x="551"/>
        <item x="282"/>
        <item x="113"/>
        <item x="260"/>
        <item m="1" x="452"/>
        <item x="200"/>
        <item x="275"/>
        <item m="1" x="556"/>
        <item m="1" x="627"/>
        <item x="341"/>
        <item x="145"/>
        <item m="1" x="525"/>
        <item x="327"/>
        <item x="110"/>
        <item m="1" x="516"/>
        <item m="1" x="517"/>
        <item m="1" x="407"/>
        <item m="1" x="625"/>
        <item m="1" x="566"/>
        <item x="300"/>
        <item m="1" x="567"/>
        <item m="1" x="608"/>
        <item x="90"/>
        <item m="1" x="570"/>
        <item x="93"/>
        <item x="379"/>
        <item x="98"/>
        <item x="178"/>
        <item x="47"/>
        <item x="46"/>
        <item x="175"/>
        <item x="41"/>
        <item x="42"/>
        <item m="1" x="462"/>
        <item x="144"/>
        <item x="117"/>
        <item m="1" x="552"/>
        <item x="261"/>
        <item x="116"/>
        <item m="1" x="477"/>
        <item m="1" x="539"/>
        <item m="1" x="560"/>
        <item x="317"/>
        <item m="1" x="445"/>
        <item m="1" x="444"/>
        <item x="115"/>
        <item x="153"/>
        <item m="1" x="432"/>
        <item x="269"/>
        <item m="1" x="401"/>
        <item x="177"/>
        <item x="86"/>
        <item m="1" x="429"/>
        <item m="1" x="430"/>
        <item x="88"/>
        <item x="289"/>
        <item x="351"/>
        <item x="136"/>
        <item x="135"/>
        <item x="192"/>
        <item x="191"/>
        <item x="99"/>
        <item x="294"/>
        <item x="298"/>
        <item m="1" x="489"/>
        <item x="208"/>
        <item x="207"/>
        <item x="370"/>
        <item m="1" x="439"/>
        <item x="150"/>
        <item x="29"/>
        <item m="1" x="505"/>
        <item x="32"/>
        <item m="1" x="536"/>
        <item x="44"/>
        <item m="1" x="449"/>
        <item m="1" x="503"/>
        <item x="79"/>
        <item m="1" x="473"/>
        <item m="1" x="485"/>
        <item x="186"/>
        <item x="28"/>
        <item m="1" x="502"/>
        <item m="1" x="513"/>
        <item m="1" x="446"/>
        <item m="1" x="518"/>
        <item x="378"/>
        <item m="1" x="548"/>
        <item m="1" x="602"/>
        <item x="375"/>
        <item x="40"/>
        <item m="1" x="424"/>
        <item m="1" x="563"/>
        <item m="1" x="433"/>
        <item x="118"/>
        <item x="318"/>
        <item x="130"/>
        <item x="133"/>
        <item x="128"/>
        <item x="109"/>
        <item x="132"/>
        <item x="129"/>
        <item m="1" x="521"/>
        <item x="131"/>
        <item m="1" x="619"/>
        <item m="1" x="454"/>
        <item m="1" x="490"/>
        <item m="1" x="399"/>
        <item x="196"/>
        <item m="1" x="605"/>
        <item x="197"/>
        <item m="1" x="610"/>
        <item x="198"/>
        <item m="1" x="571"/>
        <item x="288"/>
        <item x="72"/>
        <item m="1" x="572"/>
        <item x="71"/>
        <item x="253"/>
        <item x="252"/>
        <item m="1" x="486"/>
        <item m="1" x="471"/>
        <item x="335"/>
        <item x="56"/>
        <item m="1" x="541"/>
        <item m="1" x="520"/>
        <item x="154"/>
        <item x="158"/>
        <item x="157"/>
        <item x="156"/>
        <item m="1" x="437"/>
        <item m="1" x="544"/>
        <item x="159"/>
        <item m="1" x="441"/>
        <item x="35"/>
        <item x="245"/>
        <item x="283"/>
        <item x="184"/>
        <item x="34"/>
        <item x="346"/>
        <item m="1" x="423"/>
        <item x="310"/>
        <item m="1" x="475"/>
        <item m="1" x="613"/>
        <item x="33"/>
        <item m="1" x="531"/>
        <item x="238"/>
        <item m="1" x="618"/>
        <item m="1" x="494"/>
        <item x="334"/>
        <item m="1" x="440"/>
        <item m="1" x="553"/>
        <item x="240"/>
        <item m="1" x="420"/>
        <item m="1" x="442"/>
        <item m="1" x="630"/>
        <item m="1" x="596"/>
        <item x="280"/>
        <item x="329"/>
        <item x="239"/>
        <item x="355"/>
        <item x="272"/>
        <item x="225"/>
        <item x="227"/>
        <item x="224"/>
        <item m="1" x="422"/>
        <item x="264"/>
        <item x="265"/>
        <item m="1" x="395"/>
        <item x="292"/>
        <item x="361"/>
        <item x="122"/>
        <item x="362"/>
        <item m="1" x="559"/>
        <item x="343"/>
        <item x="19"/>
        <item x="243"/>
        <item x="20"/>
        <item x="241"/>
        <item x="204"/>
        <item x="340"/>
        <item x="328"/>
        <item x="108"/>
        <item m="1" x="479"/>
        <item x="223"/>
        <item m="1" x="453"/>
        <item x="220"/>
        <item x="222"/>
        <item m="1" x="606"/>
        <item x="226"/>
        <item x="242"/>
        <item x="358"/>
        <item m="1" x="492"/>
        <item m="1" x="457"/>
        <item x="112"/>
        <item x="201"/>
        <item x="301"/>
        <item x="345"/>
        <item m="1" x="623"/>
        <item x="306"/>
        <item x="231"/>
        <item x="279"/>
        <item m="1" x="616"/>
        <item x="214"/>
        <item x="137"/>
        <item x="331"/>
        <item x="287"/>
        <item m="1" x="568"/>
        <item x="274"/>
        <item x="73"/>
        <item x="338"/>
        <item x="369"/>
        <item x="336"/>
        <item m="1" x="528"/>
        <item m="1" x="409"/>
        <item m="1" x="594"/>
        <item x="221"/>
        <item m="1" x="557"/>
        <item m="1" x="509"/>
        <item x="101"/>
        <item m="1" x="397"/>
        <item x="320"/>
        <item x="321"/>
        <item x="322"/>
        <item x="174"/>
        <item x="173"/>
        <item m="1" x="491"/>
        <item m="1" x="393"/>
        <item m="1" x="546"/>
        <item x="166"/>
        <item m="1" x="603"/>
        <item m="1" x="403"/>
        <item x="364"/>
        <item m="1" x="584"/>
        <item m="1" x="530"/>
        <item m="1" x="519"/>
        <item x="374"/>
        <item x="373"/>
        <item x="172"/>
        <item x="171"/>
        <item m="1" x="629"/>
        <item x="170"/>
        <item m="1" x="410"/>
        <item x="169"/>
        <item x="168"/>
        <item x="163"/>
        <item x="167"/>
        <item m="1" x="411"/>
        <item x="324"/>
        <item m="1" x="412"/>
        <item m="1" x="413"/>
        <item x="165"/>
        <item m="1" x="414"/>
        <item x="164"/>
        <item x="323"/>
        <item x="371"/>
        <item x="372"/>
        <item m="1" x="450"/>
        <item m="1" x="415"/>
        <item m="1" x="416"/>
        <item x="363"/>
        <item m="1" x="511"/>
        <item x="189"/>
        <item m="1" x="558"/>
        <item m="1" x="576"/>
        <item m="1" x="615"/>
        <item m="1" x="545"/>
        <item m="1" x="388"/>
        <item x="95"/>
        <item x="360"/>
        <item m="1" x="448"/>
        <item x="152"/>
        <item m="1" x="467"/>
        <item m="1" x="487"/>
        <item x="257"/>
        <item x="91"/>
        <item m="1" x="522"/>
        <item m="1" x="425"/>
        <item x="258"/>
        <item x="356"/>
        <item x="302"/>
        <item x="160"/>
        <item m="1" x="466"/>
        <item m="1" x="573"/>
        <item x="94"/>
        <item x="87"/>
        <item x="89"/>
        <item m="1" x="463"/>
        <item m="1" x="464"/>
        <item m="1" x="417"/>
        <item x="55"/>
        <item m="1" x="443"/>
        <item x="246"/>
        <item x="244"/>
        <item x="376"/>
        <item x="309"/>
        <item x="344"/>
        <item x="141"/>
        <item x="142"/>
        <item x="266"/>
        <item x="140"/>
        <item x="139"/>
        <item x="308"/>
        <item m="1" x="389"/>
        <item x="127"/>
        <item x="307"/>
        <item m="1" x="461"/>
        <item m="1" x="595"/>
        <item x="350"/>
        <item m="1" x="586"/>
        <item m="1" x="447"/>
        <item m="1" x="628"/>
        <item m="1" x="538"/>
        <item m="1" x="577"/>
        <item m="1" x="400"/>
        <item x="354"/>
        <item m="1" x="534"/>
        <item x="319"/>
        <item m="1" x="617"/>
        <item x="316"/>
        <item x="381"/>
        <item x="291"/>
        <item x="290"/>
        <item x="209"/>
        <item m="1" x="601"/>
        <item x="235"/>
        <item m="1" x="529"/>
        <item x="237"/>
        <item x="236"/>
        <item x="234"/>
        <item x="18"/>
        <item m="1" x="589"/>
        <item m="1" x="483"/>
        <item m="1" x="575"/>
        <item m="1" x="580"/>
        <item m="1" x="468"/>
        <item x="352"/>
        <item m="1" x="476"/>
        <item m="1" x="451"/>
        <item m="1" x="579"/>
        <item x="22"/>
        <item m="1" x="427"/>
        <item m="1" x="564"/>
        <item x="17"/>
        <item x="219"/>
        <item x="259"/>
        <item x="304"/>
        <item x="16"/>
        <item m="1" x="435"/>
        <item x="254"/>
        <item x="53"/>
        <item x="270"/>
        <item x="211"/>
        <item m="1" x="592"/>
        <item m="1" x="386"/>
        <item x="210"/>
        <item x="273"/>
        <item x="271"/>
        <item m="1" x="508"/>
        <item x="277"/>
        <item x="330"/>
        <item x="382"/>
        <item x="149"/>
        <item m="1" x="598"/>
        <item x="303"/>
        <item x="249"/>
        <item x="59"/>
        <item x="74"/>
        <item x="229"/>
        <item m="1" x="578"/>
        <item x="218"/>
        <item x="332"/>
        <item x="333"/>
        <item x="325"/>
        <item x="230"/>
        <item x="357"/>
        <item m="1" x="549"/>
        <item x="313"/>
        <item x="312"/>
        <item x="314"/>
        <item x="299"/>
        <item x="337"/>
        <item m="1" x="607"/>
        <item m="1" x="609"/>
        <item x="205"/>
        <item x="262"/>
        <item x="199"/>
        <item m="1" x="540"/>
        <item m="1" x="484"/>
        <item m="1" x="506"/>
        <item x="305"/>
        <item x="3"/>
        <item x="1"/>
        <item x="2"/>
        <item x="0"/>
        <item m="1" x="547"/>
        <item m="1" x="622"/>
        <item m="1" x="394"/>
        <item m="1" x="561"/>
        <item x="365"/>
        <item m="1" x="500"/>
        <item m="1" x="419"/>
        <item m="1" x="600"/>
        <item m="1" x="431"/>
        <item m="1" x="396"/>
        <item m="1" x="588"/>
        <item m="1" x="501"/>
        <item x="281"/>
        <item x="339"/>
        <item m="1" x="507"/>
        <item x="348"/>
        <item x="232"/>
        <item m="1" x="465"/>
        <item x="65"/>
        <item x="342"/>
        <item x="66"/>
        <item x="148"/>
        <item m="1" x="533"/>
        <item m="1" x="402"/>
        <item x="45"/>
        <item m="1" x="574"/>
        <item x="54"/>
        <item m="1" x="428"/>
        <item m="1" x="497"/>
        <item m="1" x="593"/>
        <item x="284"/>
        <item m="1" x="554"/>
        <item x="377"/>
        <item x="21"/>
        <item x="12"/>
        <item x="23"/>
        <item x="7"/>
        <item x="106"/>
        <item m="1" x="614"/>
        <item x="107"/>
        <item m="1" x="542"/>
        <item x="27"/>
        <item x="5"/>
        <item x="147"/>
        <item m="1" x="514"/>
        <item x="6"/>
        <item x="247"/>
        <item m="1" x="408"/>
        <item m="1" x="555"/>
        <item m="1" x="626"/>
        <item m="1" x="385"/>
        <item m="1" x="527"/>
        <item x="43"/>
        <item x="161"/>
        <item m="1" x="456"/>
        <item m="1" x="599"/>
        <item x="121"/>
        <item x="8"/>
        <item m="1" x="526"/>
        <item x="24"/>
        <item x="367"/>
        <item m="1" x="611"/>
        <item x="9"/>
        <item x="25"/>
        <item x="26"/>
        <item x="62"/>
        <item m="1" x="515"/>
        <item x="233"/>
        <item m="1" x="624"/>
        <item m="1" x="392"/>
        <item m="1" x="510"/>
        <item m="1" x="384"/>
      </items>
    </pivotField>
    <pivotField dataField="1"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5"/>
  </rowFields>
  <rowItems count="13">
    <i>
      <x v="388"/>
    </i>
    <i>
      <x v="389"/>
    </i>
    <i>
      <x v="393"/>
    </i>
    <i>
      <x v="402"/>
    </i>
    <i>
      <x v="403"/>
    </i>
    <i>
      <x v="405"/>
    </i>
    <i>
      <x v="407"/>
    </i>
    <i>
      <x v="408"/>
    </i>
    <i>
      <x v="409"/>
    </i>
    <i>
      <x v="410"/>
    </i>
    <i>
      <x v="415"/>
    </i>
    <i>
      <x v="417"/>
    </i>
    <i t="grand">
      <x/>
    </i>
  </rowItems>
  <colFields count="2">
    <field x="3"/>
    <field x="-2"/>
  </colFields>
  <colItems count="4">
    <i>
      <x v="1"/>
      <x/>
    </i>
    <i r="1" i="1">
      <x v="1"/>
    </i>
    <i r="1" i="2">
      <x v="2"/>
    </i>
    <i r="1" i="3">
      <x v="3"/>
    </i>
  </colItems>
  <pageFields count="1">
    <pageField fld="0" hier="-1"/>
  </pageFields>
  <dataFields count="4">
    <dataField name="CA" fld="6" baseField="5" baseItem="494" numFmtId="164"/>
    <dataField name="CA N-1" fld="8" baseField="5" baseItem="494" numFmtId="164"/>
    <dataField name="Cols" fld="7" baseField="11" baseItem="438"/>
    <dataField name="Cols N-1" fld="9" baseField="11" baseItem="438"/>
  </dataFields>
  <formats count="1">
    <format dxfId="1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Lancer la requête à partir de vnc5" backgroundRefresh="0" connectionId="1" autoFormatId="16" applyNumberFormats="0" applyBorderFormats="0" applyFontFormats="0" applyPatternFormats="0" applyAlignmentFormats="0" applyWidthHeightFormats="0">
  <queryTableRefresh nextId="26">
    <queryTableFields count="10">
      <queryTableField id="1" name="mois" tableColumnId="1"/>
      <queryTableField id="2" name="annee" tableColumnId="2"/>
      <queryTableField id="3" name="FRN_CODE" tableColumnId="3"/>
      <queryTableField id="4" name="FRN_NOM" tableColumnId="4"/>
      <queryTableField id="5" name="PRD_CODE" tableColumnId="5"/>
      <queryTableField id="6" name="PRD_LIBELLE" tableColumnId="6"/>
      <queryTableField id="7" name="CA_HT" tableColumnId="7"/>
      <queryTableField id="15" name="ColsN" tableColumnId="15"/>
      <queryTableField id="24" name="CA1" tableColumnId="16"/>
      <queryTableField id="25" name="ColsN1" tableColumnId="17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ois" sourceName="mois">
  <pivotTables>
    <pivotTable tabId="9" name="Tableau croisé dynamique4"/>
  </pivotTables>
  <data>
    <tabular pivotCacheId="1">
      <items count="12">
        <i x="0" s="1"/>
        <i x="3"/>
        <i x="5"/>
        <i x="6"/>
        <i x="7"/>
        <i x="1" nd="1"/>
        <i x="2" nd="1"/>
        <i x="4" nd="1"/>
        <i x="8" nd="1"/>
        <i x="9" nd="1"/>
        <i x="10" nd="1"/>
        <i x="1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FRN_NOM" sourceName="FRN_NOM">
  <pivotTables>
    <pivotTable tabId="9" name="Tableau croisé dynamique4"/>
  </pivotTables>
  <data>
    <tabular pivotCacheId="1">
      <items count="88">
        <i x="34"/>
        <i x="45" s="1"/>
        <i x="10"/>
        <i x="1"/>
        <i x="26"/>
        <i x="39"/>
        <i x="4"/>
        <i x="65"/>
        <i x="23"/>
        <i x="0"/>
        <i x="46"/>
        <i x="25"/>
        <i x="38"/>
        <i x="13"/>
        <i x="19"/>
        <i x="22"/>
        <i x="54"/>
        <i x="56"/>
        <i x="57"/>
        <i x="27"/>
        <i x="40"/>
        <i x="48"/>
        <i x="58"/>
        <i x="63"/>
        <i x="14"/>
        <i x="35"/>
        <i x="20"/>
        <i x="6"/>
        <i x="42"/>
        <i x="2"/>
        <i x="8"/>
        <i x="53"/>
        <i x="33"/>
        <i x="67"/>
        <i x="59"/>
        <i x="28"/>
        <i x="50"/>
        <i x="68"/>
        <i x="41"/>
        <i x="55"/>
        <i x="60"/>
        <i x="47"/>
        <i x="9"/>
        <i x="3"/>
        <i x="24"/>
        <i x="21"/>
        <i x="37"/>
        <i x="15"/>
        <i x="29"/>
        <i x="12"/>
        <i x="18"/>
        <i x="36"/>
        <i x="16"/>
        <i x="32"/>
        <i x="49"/>
        <i x="64"/>
        <i x="31"/>
        <i x="52"/>
        <i x="62"/>
        <i x="11"/>
        <i x="61"/>
        <i x="17"/>
        <i x="43"/>
        <i x="66"/>
        <i x="30"/>
        <i x="44"/>
        <i x="7"/>
        <i x="5"/>
        <i x="51"/>
        <i x="85" nd="1"/>
        <i x="79" nd="1"/>
        <i x="83" nd="1"/>
        <i x="82" nd="1"/>
        <i x="71" nd="1"/>
        <i x="74" nd="1"/>
        <i x="69" nd="1"/>
        <i x="77" nd="1"/>
        <i x="76" nd="1"/>
        <i x="86" nd="1"/>
        <i x="75" nd="1"/>
        <i x="72" nd="1"/>
        <i x="80" nd="1"/>
        <i x="81" nd="1"/>
        <i x="70" nd="1"/>
        <i x="78" nd="1"/>
        <i x="87" nd="1"/>
        <i x="84" nd="1"/>
        <i x="7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ois" cache="Segment_mois" caption="mois" rowHeight="241300"/>
  <slicer name="FRN_NOM" cache="Segment_FRN_NOM" caption="FRN_NOM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Tableau_Lancer_la_requête_à_partir_de_vnc5" displayName="Tableau_Lancer_la_requête_à_partir_de_vnc5" ref="A1:J2867" tableType="queryTable" totalsRowShown="0">
  <tableColumns count="10">
    <tableColumn id="1" uniqueName="1" name="mois" queryTableFieldId="1"/>
    <tableColumn id="2" uniqueName="2" name="annee" queryTableFieldId="2"/>
    <tableColumn id="3" uniqueName="3" name="FRN_CODE" queryTableFieldId="3"/>
    <tableColumn id="4" uniqueName="4" name="FRN_NOM" queryTableFieldId="4"/>
    <tableColumn id="5" uniqueName="5" name="PRD_CODE" queryTableFieldId="5"/>
    <tableColumn id="6" uniqueName="6" name="PRD_LIBELLE" queryTableFieldId="6"/>
    <tableColumn id="7" uniqueName="7" name="CA_HT" queryTableFieldId="7"/>
    <tableColumn id="15" uniqueName="15" name="ColsN" queryTableFieldId="15"/>
    <tableColumn id="16" uniqueName="16" name="CA1" queryTableFieldId="24"/>
    <tableColumn id="17" uniqueName="17" name="ColsN1" queryTableField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B1"/>
  <sheetViews>
    <sheetView tabSelected="1" workbookViewId="0">
      <selection activeCell="B8" sqref="B8"/>
    </sheetView>
  </sheetViews>
  <sheetFormatPr baseColWidth="10" defaultRowHeight="15" x14ac:dyDescent="0.25"/>
  <sheetData>
    <row r="1" spans="1:2" x14ac:dyDescent="0.25">
      <c r="A1" t="s">
        <v>14</v>
      </c>
      <c r="B1">
        <v>2016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FTableau">
                <anchor moveWithCells="1" sizeWithCells="1">
                  <from>
                    <xdr:col>0</xdr:col>
                    <xdr:colOff>742950</xdr:colOff>
                    <xdr:row>3</xdr:row>
                    <xdr:rowOff>9525</xdr:rowOff>
                  </from>
                  <to>
                    <xdr:col>1</xdr:col>
                    <xdr:colOff>752475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Q2867"/>
  <sheetViews>
    <sheetView topLeftCell="C1" workbookViewId="0">
      <selection activeCell="K6" sqref="K6"/>
    </sheetView>
  </sheetViews>
  <sheetFormatPr baseColWidth="10" defaultRowHeight="15" x14ac:dyDescent="0.25"/>
  <cols>
    <col min="1" max="1" width="5.28515625" customWidth="1"/>
    <col min="2" max="2" width="6.5703125" customWidth="1"/>
    <col min="3" max="3" width="10.42578125" customWidth="1"/>
    <col min="4" max="4" width="40.7109375" customWidth="1"/>
    <col min="5" max="5" width="11.42578125" customWidth="1"/>
    <col min="6" max="6" width="56.28515625" customWidth="1"/>
    <col min="7" max="12" width="9" customWidth="1"/>
    <col min="13" max="13" width="5" bestFit="1" customWidth="1"/>
    <col min="14" max="14" width="6" bestFit="1" customWidth="1"/>
    <col min="15" max="15" width="5" bestFit="1" customWidth="1"/>
    <col min="16" max="16" width="6" bestFit="1" customWidth="1"/>
    <col min="17" max="17" width="9.85546875" style="9" bestFit="1" customWidth="1"/>
    <col min="18" max="18" width="9.85546875" bestFit="1" customWidth="1"/>
    <col min="19" max="19" width="8.28515625" customWidth="1"/>
    <col min="20" max="21" width="8.7109375" customWidth="1"/>
  </cols>
  <sheetData>
    <row r="1" spans="1:17" x14ac:dyDescent="0.25">
      <c r="A1" t="s">
        <v>15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32</v>
      </c>
      <c r="I1" t="s">
        <v>31</v>
      </c>
      <c r="J1" t="s">
        <v>33</v>
      </c>
      <c r="Q1"/>
    </row>
    <row r="2" spans="1:17" x14ac:dyDescent="0.25">
      <c r="A2">
        <v>1</v>
      </c>
      <c r="B2">
        <v>2016</v>
      </c>
      <c r="C2" t="s">
        <v>34</v>
      </c>
      <c r="D2" t="s">
        <v>35</v>
      </c>
      <c r="E2" t="s">
        <v>36</v>
      </c>
      <c r="F2" t="s">
        <v>37</v>
      </c>
      <c r="G2">
        <v>7263.85</v>
      </c>
      <c r="H2">
        <v>562</v>
      </c>
      <c r="Q2"/>
    </row>
    <row r="3" spans="1:17" x14ac:dyDescent="0.25">
      <c r="A3">
        <v>1</v>
      </c>
      <c r="B3">
        <v>2016</v>
      </c>
      <c r="C3" t="s">
        <v>34</v>
      </c>
      <c r="D3" t="s">
        <v>35</v>
      </c>
      <c r="E3" t="s">
        <v>38</v>
      </c>
      <c r="F3" t="s">
        <v>37</v>
      </c>
      <c r="G3">
        <v>166.54</v>
      </c>
      <c r="H3">
        <v>12</v>
      </c>
      <c r="Q3"/>
    </row>
    <row r="4" spans="1:17" x14ac:dyDescent="0.25">
      <c r="A4">
        <v>1</v>
      </c>
      <c r="B4">
        <v>2016</v>
      </c>
      <c r="C4" t="s">
        <v>34</v>
      </c>
      <c r="D4" t="s">
        <v>35</v>
      </c>
      <c r="E4" t="s">
        <v>39</v>
      </c>
      <c r="F4" t="s">
        <v>40</v>
      </c>
      <c r="G4">
        <v>2477.64</v>
      </c>
      <c r="H4">
        <v>168</v>
      </c>
      <c r="Q4"/>
    </row>
    <row r="5" spans="1:17" x14ac:dyDescent="0.25">
      <c r="A5">
        <v>1</v>
      </c>
      <c r="B5">
        <v>2016</v>
      </c>
      <c r="C5" t="s">
        <v>34</v>
      </c>
      <c r="D5" t="s">
        <v>35</v>
      </c>
      <c r="E5" t="s">
        <v>41</v>
      </c>
      <c r="F5" t="s">
        <v>42</v>
      </c>
      <c r="G5">
        <v>159.5</v>
      </c>
      <c r="H5">
        <v>12</v>
      </c>
      <c r="Q5"/>
    </row>
    <row r="6" spans="1:17" x14ac:dyDescent="0.25">
      <c r="A6">
        <v>1</v>
      </c>
      <c r="B6">
        <v>2016</v>
      </c>
      <c r="C6" t="s">
        <v>34</v>
      </c>
      <c r="D6" t="s">
        <v>35</v>
      </c>
      <c r="E6" t="s">
        <v>43</v>
      </c>
      <c r="F6" t="s">
        <v>44</v>
      </c>
      <c r="G6">
        <v>463.65</v>
      </c>
      <c r="H6">
        <v>36</v>
      </c>
      <c r="Q6"/>
    </row>
    <row r="7" spans="1:17" x14ac:dyDescent="0.25">
      <c r="A7">
        <v>1</v>
      </c>
      <c r="B7">
        <v>2016</v>
      </c>
      <c r="C7" t="s">
        <v>34</v>
      </c>
      <c r="D7" t="s">
        <v>35</v>
      </c>
      <c r="E7" t="s">
        <v>45</v>
      </c>
      <c r="F7" t="s">
        <v>46</v>
      </c>
      <c r="G7">
        <v>742.08</v>
      </c>
      <c r="H7">
        <v>48</v>
      </c>
      <c r="Q7"/>
    </row>
    <row r="8" spans="1:17" x14ac:dyDescent="0.25">
      <c r="A8">
        <v>1</v>
      </c>
      <c r="B8">
        <v>2016</v>
      </c>
      <c r="C8" t="s">
        <v>47</v>
      </c>
      <c r="D8" t="s">
        <v>48</v>
      </c>
      <c r="E8" t="s">
        <v>49</v>
      </c>
      <c r="F8" t="s">
        <v>50</v>
      </c>
      <c r="G8">
        <v>3129.84</v>
      </c>
      <c r="H8">
        <v>2774.72</v>
      </c>
      <c r="I8">
        <v>3007.6</v>
      </c>
      <c r="J8">
        <v>2801.4</v>
      </c>
      <c r="Q8"/>
    </row>
    <row r="9" spans="1:17" x14ac:dyDescent="0.25">
      <c r="A9">
        <v>1</v>
      </c>
      <c r="B9">
        <v>2016</v>
      </c>
      <c r="C9" t="s">
        <v>47</v>
      </c>
      <c r="D9" t="s">
        <v>48</v>
      </c>
      <c r="E9" t="s">
        <v>51</v>
      </c>
      <c r="F9" t="s">
        <v>52</v>
      </c>
      <c r="G9">
        <v>9275</v>
      </c>
      <c r="H9">
        <v>9370.99</v>
      </c>
      <c r="I9">
        <v>8921.6</v>
      </c>
      <c r="J9">
        <v>9370.99</v>
      </c>
      <c r="Q9"/>
    </row>
    <row r="10" spans="1:17" x14ac:dyDescent="0.25">
      <c r="A10">
        <v>1</v>
      </c>
      <c r="B10">
        <v>2016</v>
      </c>
      <c r="C10" t="s">
        <v>47</v>
      </c>
      <c r="D10" t="s">
        <v>48</v>
      </c>
      <c r="E10" t="s">
        <v>53</v>
      </c>
      <c r="F10" t="s">
        <v>54</v>
      </c>
      <c r="G10">
        <v>6185.7</v>
      </c>
      <c r="H10">
        <v>6984.92</v>
      </c>
      <c r="I10">
        <v>4229.3999999999996</v>
      </c>
      <c r="J10">
        <v>4958.76</v>
      </c>
      <c r="Q10"/>
    </row>
    <row r="11" spans="1:17" x14ac:dyDescent="0.25">
      <c r="A11">
        <v>1</v>
      </c>
      <c r="B11">
        <v>2016</v>
      </c>
      <c r="C11" t="s">
        <v>47</v>
      </c>
      <c r="D11" t="s">
        <v>48</v>
      </c>
      <c r="E11" t="s">
        <v>55</v>
      </c>
      <c r="F11" t="s">
        <v>54</v>
      </c>
      <c r="G11">
        <v>1113.42</v>
      </c>
      <c r="H11">
        <v>1040.52</v>
      </c>
      <c r="I11">
        <v>959.1</v>
      </c>
      <c r="J11">
        <v>953.81</v>
      </c>
      <c r="Q11"/>
    </row>
    <row r="12" spans="1:17" x14ac:dyDescent="0.25">
      <c r="A12">
        <v>1</v>
      </c>
      <c r="B12">
        <v>2016</v>
      </c>
      <c r="C12" t="s">
        <v>47</v>
      </c>
      <c r="D12" t="s">
        <v>48</v>
      </c>
      <c r="E12" t="s">
        <v>56</v>
      </c>
      <c r="F12" t="s">
        <v>57</v>
      </c>
      <c r="G12">
        <v>3358.2</v>
      </c>
      <c r="H12">
        <v>3879.03</v>
      </c>
      <c r="I12">
        <v>3088.8</v>
      </c>
      <c r="J12">
        <v>3879.03</v>
      </c>
      <c r="Q12"/>
    </row>
    <row r="13" spans="1:17" x14ac:dyDescent="0.25">
      <c r="A13">
        <v>1</v>
      </c>
      <c r="B13">
        <v>2016</v>
      </c>
      <c r="C13" t="s">
        <v>47</v>
      </c>
      <c r="D13" t="s">
        <v>48</v>
      </c>
      <c r="E13" t="s">
        <v>58</v>
      </c>
      <c r="F13" t="s">
        <v>59</v>
      </c>
      <c r="G13">
        <v>3098.1</v>
      </c>
      <c r="H13">
        <v>3680.46</v>
      </c>
      <c r="I13">
        <v>3900</v>
      </c>
      <c r="J13">
        <v>5440.68</v>
      </c>
      <c r="Q13"/>
    </row>
    <row r="14" spans="1:17" x14ac:dyDescent="0.25">
      <c r="A14">
        <v>1</v>
      </c>
      <c r="B14">
        <v>2016</v>
      </c>
      <c r="C14" t="s">
        <v>47</v>
      </c>
      <c r="D14" t="s">
        <v>48</v>
      </c>
      <c r="E14" t="s">
        <v>60</v>
      </c>
      <c r="F14" t="s">
        <v>59</v>
      </c>
      <c r="G14">
        <v>1549.05</v>
      </c>
      <c r="H14">
        <v>1840.23</v>
      </c>
      <c r="I14">
        <v>1423.5</v>
      </c>
      <c r="J14">
        <v>1946.91</v>
      </c>
      <c r="Q14"/>
    </row>
    <row r="15" spans="1:17" x14ac:dyDescent="0.25">
      <c r="A15">
        <v>1</v>
      </c>
      <c r="B15">
        <v>2016</v>
      </c>
      <c r="C15" t="s">
        <v>47</v>
      </c>
      <c r="D15" t="s">
        <v>48</v>
      </c>
      <c r="E15" t="s">
        <v>61</v>
      </c>
      <c r="F15" t="s">
        <v>62</v>
      </c>
      <c r="G15">
        <v>2069.34</v>
      </c>
      <c r="H15">
        <v>1527.43</v>
      </c>
      <c r="I15">
        <v>1399.2</v>
      </c>
      <c r="J15">
        <v>1073.8699999999999</v>
      </c>
      <c r="Q15"/>
    </row>
    <row r="16" spans="1:17" x14ac:dyDescent="0.25">
      <c r="A16">
        <v>1</v>
      </c>
      <c r="B16">
        <v>2016</v>
      </c>
      <c r="C16" t="s">
        <v>47</v>
      </c>
      <c r="D16" t="s">
        <v>48</v>
      </c>
      <c r="E16" t="s">
        <v>63</v>
      </c>
      <c r="F16" t="s">
        <v>64</v>
      </c>
      <c r="G16">
        <v>2831.5</v>
      </c>
      <c r="H16">
        <v>2332.75</v>
      </c>
      <c r="I16">
        <v>2826</v>
      </c>
      <c r="J16">
        <v>2399.4</v>
      </c>
      <c r="Q16"/>
    </row>
    <row r="17" spans="1:17" x14ac:dyDescent="0.25">
      <c r="A17">
        <v>1</v>
      </c>
      <c r="B17">
        <v>2016</v>
      </c>
      <c r="C17" t="s">
        <v>47</v>
      </c>
      <c r="D17" t="s">
        <v>48</v>
      </c>
      <c r="E17" t="s">
        <v>65</v>
      </c>
      <c r="F17" t="s">
        <v>64</v>
      </c>
      <c r="G17">
        <v>1472.38</v>
      </c>
      <c r="H17">
        <v>1213.03</v>
      </c>
      <c r="I17">
        <v>1208.9000000000001</v>
      </c>
      <c r="J17">
        <v>1026.4100000000001</v>
      </c>
      <c r="Q17"/>
    </row>
    <row r="18" spans="1:17" x14ac:dyDescent="0.25">
      <c r="A18">
        <v>1</v>
      </c>
      <c r="B18">
        <v>2016</v>
      </c>
      <c r="C18" t="s">
        <v>47</v>
      </c>
      <c r="D18" t="s">
        <v>48</v>
      </c>
      <c r="E18" t="s">
        <v>66</v>
      </c>
      <c r="F18" t="s">
        <v>64</v>
      </c>
      <c r="G18">
        <v>1480.04</v>
      </c>
      <c r="H18">
        <v>1087.21</v>
      </c>
      <c r="I18">
        <v>1152.8</v>
      </c>
      <c r="J18">
        <v>887.11</v>
      </c>
      <c r="Q18"/>
    </row>
    <row r="19" spans="1:17" x14ac:dyDescent="0.25">
      <c r="A19">
        <v>1</v>
      </c>
      <c r="B19">
        <v>2016</v>
      </c>
      <c r="C19" t="s">
        <v>47</v>
      </c>
      <c r="D19" t="s">
        <v>48</v>
      </c>
      <c r="E19" t="s">
        <v>67</v>
      </c>
      <c r="F19" t="s">
        <v>68</v>
      </c>
      <c r="G19">
        <v>6219.2</v>
      </c>
      <c r="H19">
        <v>6944.93</v>
      </c>
      <c r="I19">
        <v>3266</v>
      </c>
      <c r="J19">
        <v>3812.38</v>
      </c>
      <c r="Q19"/>
    </row>
    <row r="20" spans="1:17" x14ac:dyDescent="0.25">
      <c r="A20">
        <v>1</v>
      </c>
      <c r="B20">
        <v>2016</v>
      </c>
      <c r="C20" t="s">
        <v>47</v>
      </c>
      <c r="D20" t="s">
        <v>48</v>
      </c>
      <c r="E20" t="s">
        <v>69</v>
      </c>
      <c r="F20" t="s">
        <v>68</v>
      </c>
      <c r="G20">
        <v>1653</v>
      </c>
      <c r="H20">
        <v>1527.43</v>
      </c>
      <c r="I20">
        <v>1668</v>
      </c>
      <c r="J20">
        <v>1614.1399999999999</v>
      </c>
      <c r="Q20"/>
    </row>
    <row r="21" spans="1:17" x14ac:dyDescent="0.25">
      <c r="A21">
        <v>1</v>
      </c>
      <c r="B21">
        <v>2016</v>
      </c>
      <c r="C21" t="s">
        <v>47</v>
      </c>
      <c r="D21" t="s">
        <v>48</v>
      </c>
      <c r="E21" t="s">
        <v>70</v>
      </c>
      <c r="F21" t="s">
        <v>71</v>
      </c>
      <c r="G21">
        <v>2448</v>
      </c>
      <c r="H21">
        <v>1032</v>
      </c>
      <c r="I21">
        <v>1894.3</v>
      </c>
      <c r="J21">
        <v>840</v>
      </c>
      <c r="Q21"/>
    </row>
    <row r="22" spans="1:17" x14ac:dyDescent="0.25">
      <c r="A22">
        <v>1</v>
      </c>
      <c r="B22">
        <v>2016</v>
      </c>
      <c r="C22" t="s">
        <v>47</v>
      </c>
      <c r="D22" t="s">
        <v>48</v>
      </c>
      <c r="E22" t="s">
        <v>72</v>
      </c>
      <c r="F22" t="s">
        <v>73</v>
      </c>
      <c r="G22">
        <v>43.68</v>
      </c>
      <c r="H22">
        <v>30</v>
      </c>
      <c r="Q22"/>
    </row>
    <row r="23" spans="1:17" x14ac:dyDescent="0.25">
      <c r="A23">
        <v>1</v>
      </c>
      <c r="B23">
        <v>2016</v>
      </c>
      <c r="C23" t="s">
        <v>47</v>
      </c>
      <c r="D23" t="s">
        <v>48</v>
      </c>
      <c r="E23" t="s">
        <v>74</v>
      </c>
      <c r="F23" t="s">
        <v>75</v>
      </c>
      <c r="G23">
        <v>99.36</v>
      </c>
      <c r="H23">
        <v>42</v>
      </c>
      <c r="I23">
        <v>0</v>
      </c>
      <c r="J23">
        <v>6</v>
      </c>
      <c r="Q23"/>
    </row>
    <row r="24" spans="1:17" x14ac:dyDescent="0.25">
      <c r="A24">
        <v>1</v>
      </c>
      <c r="B24">
        <v>2016</v>
      </c>
      <c r="C24" t="s">
        <v>47</v>
      </c>
      <c r="D24" t="s">
        <v>48</v>
      </c>
      <c r="E24" t="s">
        <v>76</v>
      </c>
      <c r="F24" t="s">
        <v>77</v>
      </c>
      <c r="G24">
        <v>60</v>
      </c>
      <c r="H24">
        <v>36</v>
      </c>
      <c r="Q24"/>
    </row>
    <row r="25" spans="1:17" x14ac:dyDescent="0.25">
      <c r="A25">
        <v>1</v>
      </c>
      <c r="B25">
        <v>2016</v>
      </c>
      <c r="C25" t="s">
        <v>47</v>
      </c>
      <c r="D25" t="s">
        <v>48</v>
      </c>
      <c r="E25" t="s">
        <v>78</v>
      </c>
      <c r="F25" t="s">
        <v>73</v>
      </c>
      <c r="G25">
        <v>170.82</v>
      </c>
      <c r="H25">
        <v>78</v>
      </c>
      <c r="I25">
        <v>63.6</v>
      </c>
      <c r="J25">
        <v>30</v>
      </c>
      <c r="Q25"/>
    </row>
    <row r="26" spans="1:17" x14ac:dyDescent="0.25">
      <c r="A26">
        <v>1</v>
      </c>
      <c r="B26">
        <v>2016</v>
      </c>
      <c r="C26" t="s">
        <v>47</v>
      </c>
      <c r="D26" t="s">
        <v>48</v>
      </c>
      <c r="E26" t="s">
        <v>79</v>
      </c>
      <c r="F26" t="s">
        <v>80</v>
      </c>
      <c r="G26">
        <v>245.4</v>
      </c>
      <c r="H26">
        <v>120</v>
      </c>
      <c r="I26">
        <v>143.28</v>
      </c>
      <c r="J26">
        <v>72</v>
      </c>
      <c r="Q26"/>
    </row>
    <row r="27" spans="1:17" x14ac:dyDescent="0.25">
      <c r="A27">
        <v>1</v>
      </c>
      <c r="B27">
        <v>2016</v>
      </c>
      <c r="C27" t="s">
        <v>47</v>
      </c>
      <c r="D27" t="s">
        <v>48</v>
      </c>
      <c r="E27" t="s">
        <v>81</v>
      </c>
      <c r="F27" t="s">
        <v>82</v>
      </c>
      <c r="G27">
        <v>332.2</v>
      </c>
      <c r="H27">
        <v>186</v>
      </c>
      <c r="I27">
        <v>133.19999999999999</v>
      </c>
      <c r="J27">
        <v>72</v>
      </c>
      <c r="Q27"/>
    </row>
    <row r="28" spans="1:17" x14ac:dyDescent="0.25">
      <c r="A28">
        <v>1</v>
      </c>
      <c r="B28">
        <v>2016</v>
      </c>
      <c r="C28" t="s">
        <v>47</v>
      </c>
      <c r="D28" t="s">
        <v>48</v>
      </c>
      <c r="E28" t="s">
        <v>83</v>
      </c>
      <c r="F28" t="s">
        <v>84</v>
      </c>
      <c r="G28">
        <v>18.690000000000001</v>
      </c>
      <c r="H28">
        <v>12</v>
      </c>
      <c r="Q28"/>
    </row>
    <row r="29" spans="1:17" x14ac:dyDescent="0.25">
      <c r="A29">
        <v>1</v>
      </c>
      <c r="B29">
        <v>2016</v>
      </c>
      <c r="C29" t="s">
        <v>47</v>
      </c>
      <c r="D29" t="s">
        <v>48</v>
      </c>
      <c r="E29" t="s">
        <v>85</v>
      </c>
      <c r="F29" t="s">
        <v>84</v>
      </c>
      <c r="G29">
        <v>31.15</v>
      </c>
      <c r="H29">
        <v>20</v>
      </c>
      <c r="Q29"/>
    </row>
    <row r="30" spans="1:17" x14ac:dyDescent="0.25">
      <c r="A30">
        <v>1</v>
      </c>
      <c r="B30">
        <v>2016</v>
      </c>
      <c r="C30" t="s">
        <v>47</v>
      </c>
      <c r="D30" t="s">
        <v>48</v>
      </c>
      <c r="E30" t="s">
        <v>86</v>
      </c>
      <c r="F30" t="s">
        <v>84</v>
      </c>
      <c r="G30">
        <v>31.15</v>
      </c>
      <c r="H30">
        <v>20</v>
      </c>
      <c r="Q30"/>
    </row>
    <row r="31" spans="1:17" x14ac:dyDescent="0.25">
      <c r="A31">
        <v>1</v>
      </c>
      <c r="B31">
        <v>2016</v>
      </c>
      <c r="C31" t="s">
        <v>47</v>
      </c>
      <c r="D31" t="s">
        <v>48</v>
      </c>
      <c r="E31" t="s">
        <v>87</v>
      </c>
      <c r="F31" t="s">
        <v>88</v>
      </c>
      <c r="G31">
        <v>144.54</v>
      </c>
      <c r="H31">
        <v>66</v>
      </c>
      <c r="Q31"/>
    </row>
    <row r="32" spans="1:17" x14ac:dyDescent="0.25">
      <c r="A32">
        <v>1</v>
      </c>
      <c r="B32">
        <v>2016</v>
      </c>
      <c r="C32" t="s">
        <v>47</v>
      </c>
      <c r="D32" t="s">
        <v>48</v>
      </c>
      <c r="E32" t="s">
        <v>89</v>
      </c>
      <c r="F32" t="s">
        <v>90</v>
      </c>
      <c r="G32">
        <v>415.2</v>
      </c>
      <c r="H32">
        <v>246</v>
      </c>
      <c r="I32">
        <v>1215.1199999999999</v>
      </c>
      <c r="J32">
        <v>732</v>
      </c>
      <c r="Q32"/>
    </row>
    <row r="33" spans="1:17" x14ac:dyDescent="0.25">
      <c r="A33">
        <v>1</v>
      </c>
      <c r="B33">
        <v>2016</v>
      </c>
      <c r="C33" t="s">
        <v>47</v>
      </c>
      <c r="D33" t="s">
        <v>48</v>
      </c>
      <c r="E33" t="s">
        <v>91</v>
      </c>
      <c r="F33" t="s">
        <v>92</v>
      </c>
      <c r="G33">
        <v>269.88</v>
      </c>
      <c r="H33">
        <v>156</v>
      </c>
      <c r="I33">
        <v>1115.52</v>
      </c>
      <c r="J33">
        <v>672</v>
      </c>
      <c r="Q33"/>
    </row>
    <row r="34" spans="1:17" x14ac:dyDescent="0.25">
      <c r="A34">
        <v>1</v>
      </c>
      <c r="B34">
        <v>2016</v>
      </c>
      <c r="C34" t="s">
        <v>47</v>
      </c>
      <c r="D34" t="s">
        <v>48</v>
      </c>
      <c r="E34" t="s">
        <v>93</v>
      </c>
      <c r="F34" t="s">
        <v>94</v>
      </c>
      <c r="G34">
        <v>0</v>
      </c>
      <c r="H34">
        <v>6</v>
      </c>
      <c r="I34">
        <v>164.16</v>
      </c>
      <c r="J34">
        <v>96</v>
      </c>
      <c r="Q34"/>
    </row>
    <row r="35" spans="1:17" x14ac:dyDescent="0.25">
      <c r="A35">
        <v>1</v>
      </c>
      <c r="B35">
        <v>2016</v>
      </c>
      <c r="C35" t="s">
        <v>47</v>
      </c>
      <c r="D35" t="s">
        <v>48</v>
      </c>
      <c r="E35" t="s">
        <v>95</v>
      </c>
      <c r="F35" t="s">
        <v>96</v>
      </c>
      <c r="G35">
        <v>1462.5</v>
      </c>
      <c r="H35">
        <v>2000.2500000000002</v>
      </c>
      <c r="I35">
        <v>877.5</v>
      </c>
      <c r="J35">
        <v>1200.1500000000001</v>
      </c>
      <c r="Q35"/>
    </row>
    <row r="36" spans="1:17" x14ac:dyDescent="0.25">
      <c r="A36">
        <v>1</v>
      </c>
      <c r="B36">
        <v>2016</v>
      </c>
      <c r="C36" t="s">
        <v>47</v>
      </c>
      <c r="D36" t="s">
        <v>48</v>
      </c>
      <c r="E36" t="s">
        <v>97</v>
      </c>
      <c r="F36" t="s">
        <v>98</v>
      </c>
      <c r="G36">
        <v>3022.5</v>
      </c>
      <c r="H36">
        <v>4133.8500000000004</v>
      </c>
      <c r="I36">
        <v>97.5</v>
      </c>
      <c r="J36">
        <v>133.35000000000002</v>
      </c>
      <c r="Q36"/>
    </row>
    <row r="37" spans="1:17" x14ac:dyDescent="0.25">
      <c r="A37">
        <v>1</v>
      </c>
      <c r="B37">
        <v>2016</v>
      </c>
      <c r="C37" t="s">
        <v>47</v>
      </c>
      <c r="D37" t="s">
        <v>48</v>
      </c>
      <c r="E37" t="s">
        <v>99</v>
      </c>
      <c r="F37" t="s">
        <v>100</v>
      </c>
      <c r="G37">
        <v>311.10000000000002</v>
      </c>
      <c r="H37">
        <v>400.05</v>
      </c>
      <c r="I37">
        <v>933.3</v>
      </c>
      <c r="J37">
        <v>1733.5500000000002</v>
      </c>
      <c r="Q37"/>
    </row>
    <row r="38" spans="1:17" x14ac:dyDescent="0.25">
      <c r="A38">
        <v>1</v>
      </c>
      <c r="B38">
        <v>2016</v>
      </c>
      <c r="C38" t="s">
        <v>47</v>
      </c>
      <c r="D38" t="s">
        <v>48</v>
      </c>
      <c r="E38" t="s">
        <v>101</v>
      </c>
      <c r="F38" t="s">
        <v>102</v>
      </c>
      <c r="G38">
        <v>1877.8</v>
      </c>
      <c r="H38">
        <v>2186.94</v>
      </c>
      <c r="Q38"/>
    </row>
    <row r="39" spans="1:17" x14ac:dyDescent="0.25">
      <c r="A39">
        <v>1</v>
      </c>
      <c r="B39">
        <v>2016</v>
      </c>
      <c r="C39" t="s">
        <v>47</v>
      </c>
      <c r="D39" t="s">
        <v>48</v>
      </c>
      <c r="E39" t="s">
        <v>103</v>
      </c>
      <c r="F39" t="s">
        <v>98</v>
      </c>
      <c r="G39">
        <v>162</v>
      </c>
      <c r="H39">
        <v>199.95</v>
      </c>
      <c r="I39">
        <v>378</v>
      </c>
      <c r="J39">
        <v>466.55</v>
      </c>
      <c r="Q39"/>
    </row>
    <row r="40" spans="1:17" x14ac:dyDescent="0.25">
      <c r="A40">
        <v>1</v>
      </c>
      <c r="B40">
        <v>2016</v>
      </c>
      <c r="C40" t="s">
        <v>104</v>
      </c>
      <c r="D40" t="s">
        <v>105</v>
      </c>
      <c r="E40" t="s">
        <v>106</v>
      </c>
      <c r="F40" t="s">
        <v>107</v>
      </c>
      <c r="G40">
        <v>98.4</v>
      </c>
      <c r="H40">
        <v>24</v>
      </c>
      <c r="I40">
        <v>70.2</v>
      </c>
      <c r="J40">
        <v>18</v>
      </c>
      <c r="Q40"/>
    </row>
    <row r="41" spans="1:17" x14ac:dyDescent="0.25">
      <c r="A41">
        <v>1</v>
      </c>
      <c r="B41">
        <v>2016</v>
      </c>
      <c r="C41" t="s">
        <v>104</v>
      </c>
      <c r="D41" t="s">
        <v>105</v>
      </c>
      <c r="E41" t="s">
        <v>108</v>
      </c>
      <c r="F41" t="s">
        <v>109</v>
      </c>
      <c r="G41">
        <v>31.2</v>
      </c>
      <c r="H41">
        <v>6</v>
      </c>
      <c r="Q41"/>
    </row>
    <row r="42" spans="1:17" x14ac:dyDescent="0.25">
      <c r="A42">
        <v>1</v>
      </c>
      <c r="B42">
        <v>2016</v>
      </c>
      <c r="C42" t="s">
        <v>104</v>
      </c>
      <c r="D42" t="s">
        <v>105</v>
      </c>
      <c r="E42" t="s">
        <v>110</v>
      </c>
      <c r="F42" t="s">
        <v>111</v>
      </c>
      <c r="G42">
        <v>121.5</v>
      </c>
      <c r="H42">
        <v>18</v>
      </c>
      <c r="Q42"/>
    </row>
    <row r="43" spans="1:17" x14ac:dyDescent="0.25">
      <c r="A43">
        <v>1</v>
      </c>
      <c r="B43">
        <v>2016</v>
      </c>
      <c r="C43" t="s">
        <v>104</v>
      </c>
      <c r="D43" t="s">
        <v>105</v>
      </c>
      <c r="E43" t="s">
        <v>112</v>
      </c>
      <c r="F43" t="s">
        <v>113</v>
      </c>
      <c r="G43">
        <v>73.8</v>
      </c>
      <c r="H43">
        <v>12</v>
      </c>
      <c r="I43">
        <v>36</v>
      </c>
      <c r="J43">
        <v>6</v>
      </c>
      <c r="Q43"/>
    </row>
    <row r="44" spans="1:17" x14ac:dyDescent="0.25">
      <c r="A44">
        <v>1</v>
      </c>
      <c r="B44">
        <v>2016</v>
      </c>
      <c r="C44" t="s">
        <v>104</v>
      </c>
      <c r="D44" t="s">
        <v>105</v>
      </c>
      <c r="E44" t="s">
        <v>114</v>
      </c>
      <c r="F44" t="s">
        <v>115</v>
      </c>
      <c r="G44">
        <v>70.8</v>
      </c>
      <c r="H44">
        <v>12</v>
      </c>
      <c r="I44">
        <v>67.2</v>
      </c>
      <c r="J44">
        <v>12</v>
      </c>
      <c r="Q44"/>
    </row>
    <row r="45" spans="1:17" x14ac:dyDescent="0.25">
      <c r="A45">
        <v>1</v>
      </c>
      <c r="B45">
        <v>2016</v>
      </c>
      <c r="C45" t="s">
        <v>116</v>
      </c>
      <c r="D45" t="s">
        <v>117</v>
      </c>
      <c r="E45" t="s">
        <v>118</v>
      </c>
      <c r="F45" t="s">
        <v>119</v>
      </c>
      <c r="G45">
        <v>748.8</v>
      </c>
      <c r="H45">
        <v>144</v>
      </c>
      <c r="I45">
        <v>441</v>
      </c>
      <c r="J45">
        <v>90</v>
      </c>
      <c r="Q45"/>
    </row>
    <row r="46" spans="1:17" x14ac:dyDescent="0.25">
      <c r="A46">
        <v>1</v>
      </c>
      <c r="B46">
        <v>2016</v>
      </c>
      <c r="C46" t="s">
        <v>120</v>
      </c>
      <c r="D46" t="s">
        <v>121</v>
      </c>
      <c r="E46" t="s">
        <v>122</v>
      </c>
      <c r="F46" t="s">
        <v>123</v>
      </c>
      <c r="G46">
        <v>1891.26</v>
      </c>
      <c r="H46">
        <v>468</v>
      </c>
      <c r="I46">
        <v>2250.36</v>
      </c>
      <c r="J46">
        <v>564</v>
      </c>
      <c r="Q46"/>
    </row>
    <row r="47" spans="1:17" x14ac:dyDescent="0.25">
      <c r="A47">
        <v>1</v>
      </c>
      <c r="B47">
        <v>2016</v>
      </c>
      <c r="C47" t="s">
        <v>120</v>
      </c>
      <c r="D47" t="s">
        <v>121</v>
      </c>
      <c r="E47" t="s">
        <v>124</v>
      </c>
      <c r="F47" t="s">
        <v>125</v>
      </c>
      <c r="G47">
        <v>80.819999999999993</v>
      </c>
      <c r="H47">
        <v>24</v>
      </c>
      <c r="I47">
        <v>51.48</v>
      </c>
      <c r="J47">
        <v>12</v>
      </c>
      <c r="Q47"/>
    </row>
    <row r="48" spans="1:17" x14ac:dyDescent="0.25">
      <c r="A48">
        <v>1</v>
      </c>
      <c r="B48">
        <v>2016</v>
      </c>
      <c r="C48" t="s">
        <v>126</v>
      </c>
      <c r="D48" t="s">
        <v>127</v>
      </c>
      <c r="E48" t="s">
        <v>128</v>
      </c>
      <c r="F48" t="s">
        <v>129</v>
      </c>
      <c r="G48">
        <v>2622.48</v>
      </c>
      <c r="H48">
        <v>1176</v>
      </c>
      <c r="I48">
        <v>7889.16</v>
      </c>
      <c r="J48">
        <v>3762</v>
      </c>
      <c r="Q48"/>
    </row>
    <row r="49" spans="1:17" x14ac:dyDescent="0.25">
      <c r="A49">
        <v>1</v>
      </c>
      <c r="B49">
        <v>2016</v>
      </c>
      <c r="C49" t="s">
        <v>126</v>
      </c>
      <c r="D49" t="s">
        <v>127</v>
      </c>
      <c r="E49" t="s">
        <v>130</v>
      </c>
      <c r="F49" t="s">
        <v>131</v>
      </c>
      <c r="G49">
        <v>482.5</v>
      </c>
      <c r="H49">
        <v>333.25</v>
      </c>
      <c r="I49">
        <v>472.5</v>
      </c>
      <c r="J49">
        <v>333.25</v>
      </c>
      <c r="Q49"/>
    </row>
    <row r="50" spans="1:17" x14ac:dyDescent="0.25">
      <c r="A50">
        <v>1</v>
      </c>
      <c r="B50">
        <v>2016</v>
      </c>
      <c r="C50" t="s">
        <v>126</v>
      </c>
      <c r="D50" t="s">
        <v>127</v>
      </c>
      <c r="E50" t="s">
        <v>132</v>
      </c>
      <c r="F50" t="s">
        <v>131</v>
      </c>
      <c r="G50">
        <v>550</v>
      </c>
      <c r="H50">
        <v>333.5</v>
      </c>
      <c r="I50">
        <v>216</v>
      </c>
      <c r="J50">
        <v>133.4</v>
      </c>
      <c r="Q50"/>
    </row>
    <row r="51" spans="1:17" x14ac:dyDescent="0.25">
      <c r="A51">
        <v>1</v>
      </c>
      <c r="B51">
        <v>2016</v>
      </c>
      <c r="C51" t="s">
        <v>126</v>
      </c>
      <c r="D51" t="s">
        <v>127</v>
      </c>
      <c r="E51" t="s">
        <v>133</v>
      </c>
      <c r="F51" t="s">
        <v>134</v>
      </c>
      <c r="G51">
        <v>210.6</v>
      </c>
      <c r="H51">
        <v>78</v>
      </c>
      <c r="Q51"/>
    </row>
    <row r="52" spans="1:17" x14ac:dyDescent="0.25">
      <c r="A52">
        <v>1</v>
      </c>
      <c r="B52">
        <v>2016</v>
      </c>
      <c r="C52" t="s">
        <v>126</v>
      </c>
      <c r="D52" t="s">
        <v>127</v>
      </c>
      <c r="E52" t="s">
        <v>135</v>
      </c>
      <c r="F52" t="s">
        <v>136</v>
      </c>
      <c r="G52">
        <v>148.5</v>
      </c>
      <c r="H52">
        <v>66</v>
      </c>
      <c r="I52">
        <v>1393.26</v>
      </c>
      <c r="J52">
        <v>642</v>
      </c>
      <c r="Q52"/>
    </row>
    <row r="53" spans="1:17" x14ac:dyDescent="0.25">
      <c r="A53">
        <v>1</v>
      </c>
      <c r="B53">
        <v>2016</v>
      </c>
      <c r="C53" t="s">
        <v>137</v>
      </c>
      <c r="D53" t="s">
        <v>138</v>
      </c>
      <c r="E53" t="s">
        <v>139</v>
      </c>
      <c r="F53" t="s">
        <v>140</v>
      </c>
      <c r="G53">
        <v>896.28</v>
      </c>
      <c r="H53">
        <v>132</v>
      </c>
      <c r="I53">
        <v>979.44</v>
      </c>
      <c r="J53">
        <v>168</v>
      </c>
      <c r="Q53"/>
    </row>
    <row r="54" spans="1:17" x14ac:dyDescent="0.25">
      <c r="A54">
        <v>1</v>
      </c>
      <c r="B54">
        <v>2016</v>
      </c>
      <c r="C54" t="s">
        <v>137</v>
      </c>
      <c r="D54" t="s">
        <v>138</v>
      </c>
      <c r="E54" t="s">
        <v>141</v>
      </c>
      <c r="F54" t="s">
        <v>142</v>
      </c>
      <c r="G54">
        <v>399.6</v>
      </c>
      <c r="H54">
        <v>72</v>
      </c>
      <c r="I54">
        <v>604.20000000000005</v>
      </c>
      <c r="J54">
        <v>114</v>
      </c>
      <c r="Q54"/>
    </row>
    <row r="55" spans="1:17" x14ac:dyDescent="0.25">
      <c r="A55">
        <v>1</v>
      </c>
      <c r="B55">
        <v>2016</v>
      </c>
      <c r="C55" t="s">
        <v>137</v>
      </c>
      <c r="D55" t="s">
        <v>138</v>
      </c>
      <c r="E55" t="s">
        <v>143</v>
      </c>
      <c r="F55" t="s">
        <v>144</v>
      </c>
      <c r="G55">
        <v>174.6</v>
      </c>
      <c r="H55">
        <v>36</v>
      </c>
      <c r="I55">
        <v>183.54</v>
      </c>
      <c r="J55">
        <v>42</v>
      </c>
      <c r="Q55"/>
    </row>
    <row r="56" spans="1:17" x14ac:dyDescent="0.25">
      <c r="A56">
        <v>1</v>
      </c>
      <c r="B56">
        <v>2016</v>
      </c>
      <c r="C56" t="s">
        <v>137</v>
      </c>
      <c r="D56" t="s">
        <v>138</v>
      </c>
      <c r="E56" t="s">
        <v>145</v>
      </c>
      <c r="F56" t="s">
        <v>146</v>
      </c>
      <c r="G56">
        <v>137.88</v>
      </c>
      <c r="H56">
        <v>36</v>
      </c>
      <c r="Q56"/>
    </row>
    <row r="57" spans="1:17" x14ac:dyDescent="0.25">
      <c r="A57">
        <v>1</v>
      </c>
      <c r="B57">
        <v>2016</v>
      </c>
      <c r="C57" t="s">
        <v>137</v>
      </c>
      <c r="D57" t="s">
        <v>138</v>
      </c>
      <c r="E57" t="s">
        <v>147</v>
      </c>
      <c r="F57" t="s">
        <v>148</v>
      </c>
      <c r="G57">
        <v>963</v>
      </c>
      <c r="H57">
        <v>90</v>
      </c>
      <c r="I57">
        <v>417.48</v>
      </c>
      <c r="J57">
        <v>42</v>
      </c>
      <c r="Q57"/>
    </row>
    <row r="58" spans="1:17" x14ac:dyDescent="0.25">
      <c r="A58">
        <v>1</v>
      </c>
      <c r="B58">
        <v>2016</v>
      </c>
      <c r="C58" t="s">
        <v>137</v>
      </c>
      <c r="D58" t="s">
        <v>138</v>
      </c>
      <c r="E58" t="s">
        <v>149</v>
      </c>
      <c r="F58" t="s">
        <v>150</v>
      </c>
      <c r="G58">
        <v>1969.92</v>
      </c>
      <c r="H58">
        <v>654</v>
      </c>
      <c r="I58">
        <v>528.96</v>
      </c>
      <c r="J58">
        <v>174</v>
      </c>
      <c r="Q58"/>
    </row>
    <row r="59" spans="1:17" x14ac:dyDescent="0.25">
      <c r="A59">
        <v>1</v>
      </c>
      <c r="B59">
        <v>2016</v>
      </c>
      <c r="C59" t="s">
        <v>137</v>
      </c>
      <c r="D59" t="s">
        <v>138</v>
      </c>
      <c r="E59" t="s">
        <v>151</v>
      </c>
      <c r="F59" t="s">
        <v>152</v>
      </c>
      <c r="G59">
        <v>334.2</v>
      </c>
      <c r="H59">
        <v>66</v>
      </c>
      <c r="I59">
        <v>192.96</v>
      </c>
      <c r="J59">
        <v>36</v>
      </c>
      <c r="Q59"/>
    </row>
    <row r="60" spans="1:17" x14ac:dyDescent="0.25">
      <c r="A60">
        <v>1</v>
      </c>
      <c r="B60">
        <v>2016</v>
      </c>
      <c r="C60" t="s">
        <v>137</v>
      </c>
      <c r="D60" t="s">
        <v>138</v>
      </c>
      <c r="E60" t="s">
        <v>153</v>
      </c>
      <c r="F60" t="s">
        <v>154</v>
      </c>
      <c r="G60">
        <v>149.04</v>
      </c>
      <c r="H60">
        <v>42</v>
      </c>
      <c r="I60">
        <v>151.56</v>
      </c>
      <c r="J60">
        <v>36</v>
      </c>
      <c r="Q60"/>
    </row>
    <row r="61" spans="1:17" x14ac:dyDescent="0.25">
      <c r="A61">
        <v>1</v>
      </c>
      <c r="B61">
        <v>2016</v>
      </c>
      <c r="C61" t="s">
        <v>155</v>
      </c>
      <c r="D61" t="s">
        <v>156</v>
      </c>
      <c r="E61" t="s">
        <v>157</v>
      </c>
      <c r="F61" t="s">
        <v>158</v>
      </c>
      <c r="G61">
        <v>195</v>
      </c>
      <c r="H61">
        <v>60</v>
      </c>
      <c r="I61">
        <v>897</v>
      </c>
      <c r="J61">
        <v>276</v>
      </c>
      <c r="Q61"/>
    </row>
    <row r="62" spans="1:17" x14ac:dyDescent="0.25">
      <c r="A62">
        <v>1</v>
      </c>
      <c r="B62">
        <v>2016</v>
      </c>
      <c r="C62" t="s">
        <v>155</v>
      </c>
      <c r="D62" t="s">
        <v>156</v>
      </c>
      <c r="E62" t="s">
        <v>159</v>
      </c>
      <c r="F62" t="s">
        <v>160</v>
      </c>
      <c r="G62">
        <v>67.2</v>
      </c>
      <c r="H62">
        <v>24</v>
      </c>
      <c r="I62">
        <v>168</v>
      </c>
      <c r="J62">
        <v>66</v>
      </c>
      <c r="Q62"/>
    </row>
    <row r="63" spans="1:17" x14ac:dyDescent="0.25">
      <c r="A63">
        <v>1</v>
      </c>
      <c r="B63">
        <v>2016</v>
      </c>
      <c r="C63" t="s">
        <v>155</v>
      </c>
      <c r="D63" t="s">
        <v>156</v>
      </c>
      <c r="E63" t="s">
        <v>161</v>
      </c>
      <c r="F63" t="s">
        <v>162</v>
      </c>
      <c r="G63">
        <v>316.39999999999998</v>
      </c>
      <c r="H63">
        <v>186.62</v>
      </c>
      <c r="I63">
        <v>113</v>
      </c>
      <c r="J63">
        <v>66.650000000000006</v>
      </c>
      <c r="Q63"/>
    </row>
    <row r="64" spans="1:17" x14ac:dyDescent="0.25">
      <c r="A64">
        <v>1</v>
      </c>
      <c r="B64">
        <v>2016</v>
      </c>
      <c r="C64" t="s">
        <v>155</v>
      </c>
      <c r="D64" t="s">
        <v>156</v>
      </c>
      <c r="E64" t="s">
        <v>163</v>
      </c>
      <c r="F64" t="s">
        <v>164</v>
      </c>
      <c r="G64">
        <v>119.7</v>
      </c>
      <c r="H64">
        <v>66.7</v>
      </c>
      <c r="I64">
        <v>93.1</v>
      </c>
      <c r="J64">
        <v>46.69</v>
      </c>
      <c r="Q64"/>
    </row>
    <row r="65" spans="1:17" x14ac:dyDescent="0.25">
      <c r="A65">
        <v>1</v>
      </c>
      <c r="B65">
        <v>2016</v>
      </c>
      <c r="C65" t="s">
        <v>155</v>
      </c>
      <c r="D65" t="s">
        <v>156</v>
      </c>
      <c r="E65" t="s">
        <v>165</v>
      </c>
      <c r="F65" t="s">
        <v>166</v>
      </c>
      <c r="G65">
        <v>427.2</v>
      </c>
      <c r="H65">
        <v>96</v>
      </c>
      <c r="I65">
        <v>400.5</v>
      </c>
      <c r="J65">
        <v>90</v>
      </c>
      <c r="Q65"/>
    </row>
    <row r="66" spans="1:17" x14ac:dyDescent="0.25">
      <c r="A66">
        <v>1</v>
      </c>
      <c r="B66">
        <v>2016</v>
      </c>
      <c r="C66" t="s">
        <v>167</v>
      </c>
      <c r="D66" t="s">
        <v>168</v>
      </c>
      <c r="E66" t="s">
        <v>169</v>
      </c>
      <c r="F66" t="s">
        <v>170</v>
      </c>
      <c r="G66">
        <v>14.76</v>
      </c>
      <c r="H66">
        <v>6</v>
      </c>
      <c r="I66">
        <v>44.1</v>
      </c>
      <c r="J66">
        <v>18</v>
      </c>
      <c r="Q66"/>
    </row>
    <row r="67" spans="1:17" x14ac:dyDescent="0.25">
      <c r="A67">
        <v>1</v>
      </c>
      <c r="B67">
        <v>2016</v>
      </c>
      <c r="C67" t="s">
        <v>167</v>
      </c>
      <c r="D67" t="s">
        <v>168</v>
      </c>
      <c r="E67" t="s">
        <v>171</v>
      </c>
      <c r="F67" t="s">
        <v>172</v>
      </c>
      <c r="G67">
        <v>-25.92</v>
      </c>
      <c r="H67">
        <v>-12</v>
      </c>
      <c r="I67">
        <v>25.68</v>
      </c>
      <c r="J67">
        <v>12</v>
      </c>
      <c r="Q67"/>
    </row>
    <row r="68" spans="1:17" x14ac:dyDescent="0.25">
      <c r="A68">
        <v>1</v>
      </c>
      <c r="B68">
        <v>2016</v>
      </c>
      <c r="C68" t="s">
        <v>167</v>
      </c>
      <c r="D68" t="s">
        <v>168</v>
      </c>
      <c r="E68" t="s">
        <v>173</v>
      </c>
      <c r="F68" t="s">
        <v>174</v>
      </c>
      <c r="G68">
        <v>14.4</v>
      </c>
      <c r="H68">
        <v>6</v>
      </c>
      <c r="I68">
        <v>14.34</v>
      </c>
      <c r="J68">
        <v>6</v>
      </c>
      <c r="Q68"/>
    </row>
    <row r="69" spans="1:17" x14ac:dyDescent="0.25">
      <c r="A69">
        <v>1</v>
      </c>
      <c r="B69">
        <v>2016</v>
      </c>
      <c r="C69" t="s">
        <v>175</v>
      </c>
      <c r="D69" t="s">
        <v>176</v>
      </c>
      <c r="E69" t="s">
        <v>177</v>
      </c>
      <c r="F69" t="s">
        <v>178</v>
      </c>
      <c r="G69">
        <v>2742</v>
      </c>
      <c r="H69">
        <v>720</v>
      </c>
      <c r="I69">
        <v>1629.6</v>
      </c>
      <c r="J69">
        <v>432</v>
      </c>
      <c r="Q69"/>
    </row>
    <row r="70" spans="1:17" x14ac:dyDescent="0.25">
      <c r="A70">
        <v>1</v>
      </c>
      <c r="B70">
        <v>2016</v>
      </c>
      <c r="C70" t="s">
        <v>175</v>
      </c>
      <c r="D70" t="s">
        <v>176</v>
      </c>
      <c r="E70" t="s">
        <v>179</v>
      </c>
      <c r="F70" t="s">
        <v>178</v>
      </c>
      <c r="G70">
        <v>425.64</v>
      </c>
      <c r="H70">
        <v>90</v>
      </c>
      <c r="I70">
        <v>162</v>
      </c>
      <c r="J70">
        <v>36</v>
      </c>
      <c r="Q70"/>
    </row>
    <row r="71" spans="1:17" x14ac:dyDescent="0.25">
      <c r="A71">
        <v>1</v>
      </c>
      <c r="B71">
        <v>2016</v>
      </c>
      <c r="C71" t="s">
        <v>175</v>
      </c>
      <c r="D71" t="s">
        <v>176</v>
      </c>
      <c r="E71" t="s">
        <v>180</v>
      </c>
      <c r="F71" t="s">
        <v>181</v>
      </c>
      <c r="G71">
        <v>599.76</v>
      </c>
      <c r="H71">
        <v>168</v>
      </c>
      <c r="I71">
        <v>473.34</v>
      </c>
      <c r="J71">
        <v>144</v>
      </c>
      <c r="Q71"/>
    </row>
    <row r="72" spans="1:17" x14ac:dyDescent="0.25">
      <c r="A72">
        <v>1</v>
      </c>
      <c r="B72">
        <v>2016</v>
      </c>
      <c r="C72" t="s">
        <v>175</v>
      </c>
      <c r="D72" t="s">
        <v>176</v>
      </c>
      <c r="E72" t="s">
        <v>182</v>
      </c>
      <c r="F72" t="s">
        <v>178</v>
      </c>
      <c r="G72">
        <v>39.9</v>
      </c>
      <c r="H72">
        <v>12</v>
      </c>
      <c r="Q72"/>
    </row>
    <row r="73" spans="1:17" x14ac:dyDescent="0.25">
      <c r="A73">
        <v>1</v>
      </c>
      <c r="B73">
        <v>2016</v>
      </c>
      <c r="C73" t="s">
        <v>183</v>
      </c>
      <c r="D73" t="s">
        <v>184</v>
      </c>
      <c r="E73" t="s">
        <v>185</v>
      </c>
      <c r="F73" t="s">
        <v>186</v>
      </c>
      <c r="G73">
        <v>403.2</v>
      </c>
      <c r="H73">
        <v>150</v>
      </c>
      <c r="I73">
        <v>403.2</v>
      </c>
      <c r="J73">
        <v>168</v>
      </c>
      <c r="Q73"/>
    </row>
    <row r="74" spans="1:17" x14ac:dyDescent="0.25">
      <c r="A74">
        <v>1</v>
      </c>
      <c r="B74">
        <v>2016</v>
      </c>
      <c r="C74" t="s">
        <v>183</v>
      </c>
      <c r="D74" t="s">
        <v>184</v>
      </c>
      <c r="E74" t="s">
        <v>187</v>
      </c>
      <c r="F74" t="s">
        <v>188</v>
      </c>
      <c r="G74">
        <v>43.2</v>
      </c>
      <c r="H74">
        <v>40.019999999999996</v>
      </c>
      <c r="I74">
        <v>7</v>
      </c>
      <c r="J74">
        <v>6.67</v>
      </c>
      <c r="Q74"/>
    </row>
    <row r="75" spans="1:17" x14ac:dyDescent="0.25">
      <c r="A75">
        <v>1</v>
      </c>
      <c r="B75">
        <v>2016</v>
      </c>
      <c r="C75" t="s">
        <v>189</v>
      </c>
      <c r="D75" t="s">
        <v>190</v>
      </c>
      <c r="E75" t="s">
        <v>191</v>
      </c>
      <c r="F75" t="s">
        <v>192</v>
      </c>
      <c r="G75">
        <v>244.2</v>
      </c>
      <c r="H75">
        <v>66</v>
      </c>
      <c r="I75">
        <v>66.599999999999994</v>
      </c>
      <c r="J75">
        <v>24</v>
      </c>
      <c r="Q75"/>
    </row>
    <row r="76" spans="1:17" x14ac:dyDescent="0.25">
      <c r="A76">
        <v>1</v>
      </c>
      <c r="B76">
        <v>2016</v>
      </c>
      <c r="C76" t="s">
        <v>189</v>
      </c>
      <c r="D76" t="s">
        <v>190</v>
      </c>
      <c r="E76" t="s">
        <v>193</v>
      </c>
      <c r="F76" t="s">
        <v>194</v>
      </c>
      <c r="G76">
        <v>109.2</v>
      </c>
      <c r="H76">
        <v>30</v>
      </c>
      <c r="Q76"/>
    </row>
    <row r="77" spans="1:17" x14ac:dyDescent="0.25">
      <c r="A77">
        <v>1</v>
      </c>
      <c r="B77">
        <v>2016</v>
      </c>
      <c r="C77" t="s">
        <v>195</v>
      </c>
      <c r="D77" t="s">
        <v>196</v>
      </c>
      <c r="E77" t="s">
        <v>197</v>
      </c>
      <c r="F77" t="s">
        <v>198</v>
      </c>
      <c r="G77">
        <v>38.1</v>
      </c>
      <c r="H77">
        <v>13.34</v>
      </c>
      <c r="I77">
        <v>95.25</v>
      </c>
      <c r="J77">
        <v>33.35</v>
      </c>
      <c r="Q77"/>
    </row>
    <row r="78" spans="1:17" x14ac:dyDescent="0.25">
      <c r="A78">
        <v>1</v>
      </c>
      <c r="B78">
        <v>2016</v>
      </c>
      <c r="C78" t="s">
        <v>195</v>
      </c>
      <c r="D78" t="s">
        <v>196</v>
      </c>
      <c r="E78" t="s">
        <v>199</v>
      </c>
      <c r="F78" t="s">
        <v>200</v>
      </c>
      <c r="G78">
        <v>210</v>
      </c>
      <c r="H78">
        <v>60</v>
      </c>
      <c r="I78">
        <v>336</v>
      </c>
      <c r="J78">
        <v>96</v>
      </c>
      <c r="Q78"/>
    </row>
    <row r="79" spans="1:17" x14ac:dyDescent="0.25">
      <c r="A79">
        <v>1</v>
      </c>
      <c r="B79">
        <v>2016</v>
      </c>
      <c r="C79" t="s">
        <v>195</v>
      </c>
      <c r="D79" t="s">
        <v>196</v>
      </c>
      <c r="E79" t="s">
        <v>201</v>
      </c>
      <c r="F79" t="s">
        <v>202</v>
      </c>
      <c r="G79">
        <v>331.5</v>
      </c>
      <c r="H79">
        <v>150</v>
      </c>
      <c r="I79">
        <v>676.26</v>
      </c>
      <c r="J79">
        <v>306</v>
      </c>
      <c r="Q79"/>
    </row>
    <row r="80" spans="1:17" x14ac:dyDescent="0.25">
      <c r="A80">
        <v>1</v>
      </c>
      <c r="B80">
        <v>2016</v>
      </c>
      <c r="C80" t="s">
        <v>195</v>
      </c>
      <c r="D80" t="s">
        <v>196</v>
      </c>
      <c r="E80" t="s">
        <v>203</v>
      </c>
      <c r="F80" t="s">
        <v>204</v>
      </c>
      <c r="G80">
        <v>28.32</v>
      </c>
      <c r="H80">
        <v>6</v>
      </c>
      <c r="I80">
        <v>368.16</v>
      </c>
      <c r="J80">
        <v>78</v>
      </c>
      <c r="Q80"/>
    </row>
    <row r="81" spans="1:17" x14ac:dyDescent="0.25">
      <c r="A81">
        <v>1</v>
      </c>
      <c r="B81">
        <v>2016</v>
      </c>
      <c r="C81" t="s">
        <v>195</v>
      </c>
      <c r="D81" t="s">
        <v>196</v>
      </c>
      <c r="E81" t="s">
        <v>205</v>
      </c>
      <c r="F81" t="s">
        <v>206</v>
      </c>
      <c r="G81">
        <v>151.62</v>
      </c>
      <c r="H81">
        <v>42</v>
      </c>
      <c r="I81">
        <v>1018.02</v>
      </c>
      <c r="J81">
        <v>282</v>
      </c>
      <c r="Q81"/>
    </row>
    <row r="82" spans="1:17" x14ac:dyDescent="0.25">
      <c r="A82">
        <v>1</v>
      </c>
      <c r="B82">
        <v>2016</v>
      </c>
      <c r="C82" t="s">
        <v>207</v>
      </c>
      <c r="D82" t="s">
        <v>208</v>
      </c>
      <c r="E82" t="s">
        <v>209</v>
      </c>
      <c r="F82" t="s">
        <v>210</v>
      </c>
      <c r="G82">
        <v>1274.4000000000001</v>
      </c>
      <c r="H82">
        <v>354</v>
      </c>
      <c r="I82">
        <v>2008.8</v>
      </c>
      <c r="J82">
        <v>558</v>
      </c>
      <c r="Q82"/>
    </row>
    <row r="83" spans="1:17" x14ac:dyDescent="0.25">
      <c r="A83">
        <v>1</v>
      </c>
      <c r="B83">
        <v>2016</v>
      </c>
      <c r="C83" t="s">
        <v>207</v>
      </c>
      <c r="D83" t="s">
        <v>208</v>
      </c>
      <c r="E83" t="s">
        <v>211</v>
      </c>
      <c r="F83" t="s">
        <v>212</v>
      </c>
      <c r="G83">
        <v>644.35</v>
      </c>
      <c r="H83">
        <v>326.83</v>
      </c>
      <c r="I83">
        <v>543.9</v>
      </c>
      <c r="J83">
        <v>280.14</v>
      </c>
      <c r="Q83"/>
    </row>
    <row r="84" spans="1:17" x14ac:dyDescent="0.25">
      <c r="A84">
        <v>1</v>
      </c>
      <c r="B84">
        <v>2016</v>
      </c>
      <c r="C84" t="s">
        <v>207</v>
      </c>
      <c r="D84" t="s">
        <v>208</v>
      </c>
      <c r="E84" t="s">
        <v>213</v>
      </c>
      <c r="F84" t="s">
        <v>212</v>
      </c>
      <c r="G84">
        <v>151.19999999999999</v>
      </c>
      <c r="H84">
        <v>79.98</v>
      </c>
      <c r="I84">
        <v>273.35000000000002</v>
      </c>
      <c r="J84">
        <v>146.63</v>
      </c>
      <c r="Q84"/>
    </row>
    <row r="85" spans="1:17" x14ac:dyDescent="0.25">
      <c r="A85">
        <v>1</v>
      </c>
      <c r="B85">
        <v>2016</v>
      </c>
      <c r="C85" t="s">
        <v>207</v>
      </c>
      <c r="D85" t="s">
        <v>208</v>
      </c>
      <c r="E85" t="s">
        <v>214</v>
      </c>
      <c r="F85" t="s">
        <v>215</v>
      </c>
      <c r="G85">
        <v>54</v>
      </c>
      <c r="H85">
        <v>12</v>
      </c>
      <c r="I85">
        <v>54</v>
      </c>
      <c r="J85">
        <v>12</v>
      </c>
      <c r="Q85"/>
    </row>
    <row r="86" spans="1:17" x14ac:dyDescent="0.25">
      <c r="A86">
        <v>1</v>
      </c>
      <c r="B86">
        <v>2016</v>
      </c>
      <c r="C86" t="s">
        <v>207</v>
      </c>
      <c r="D86" t="s">
        <v>208</v>
      </c>
      <c r="E86" t="s">
        <v>216</v>
      </c>
      <c r="F86" t="s">
        <v>215</v>
      </c>
      <c r="G86">
        <v>48.3</v>
      </c>
      <c r="H86">
        <v>12</v>
      </c>
      <c r="I86">
        <v>144.9</v>
      </c>
      <c r="J86">
        <v>36</v>
      </c>
      <c r="Q86"/>
    </row>
    <row r="87" spans="1:17" x14ac:dyDescent="0.25">
      <c r="A87">
        <v>1</v>
      </c>
      <c r="B87">
        <v>2016</v>
      </c>
      <c r="C87" t="s">
        <v>207</v>
      </c>
      <c r="D87" t="s">
        <v>208</v>
      </c>
      <c r="E87" t="s">
        <v>217</v>
      </c>
      <c r="F87" t="s">
        <v>218</v>
      </c>
      <c r="G87">
        <v>59.4</v>
      </c>
      <c r="H87">
        <v>12</v>
      </c>
      <c r="I87">
        <v>171</v>
      </c>
      <c r="J87">
        <v>36</v>
      </c>
      <c r="Q87"/>
    </row>
    <row r="88" spans="1:17" x14ac:dyDescent="0.25">
      <c r="A88">
        <v>1</v>
      </c>
      <c r="B88">
        <v>2016</v>
      </c>
      <c r="C88" t="s">
        <v>219</v>
      </c>
      <c r="D88" t="s">
        <v>220</v>
      </c>
      <c r="E88" t="s">
        <v>221</v>
      </c>
      <c r="F88" t="s">
        <v>222</v>
      </c>
      <c r="G88">
        <v>747.9</v>
      </c>
      <c r="H88">
        <v>54</v>
      </c>
      <c r="Q88"/>
    </row>
    <row r="89" spans="1:17" x14ac:dyDescent="0.25">
      <c r="A89">
        <v>1</v>
      </c>
      <c r="B89">
        <v>2016</v>
      </c>
      <c r="C89" t="s">
        <v>219</v>
      </c>
      <c r="D89" t="s">
        <v>220</v>
      </c>
      <c r="E89" t="s">
        <v>223</v>
      </c>
      <c r="F89" t="s">
        <v>224</v>
      </c>
      <c r="G89">
        <v>-1247.4000000000001</v>
      </c>
      <c r="H89">
        <v>-108</v>
      </c>
      <c r="I89">
        <v>203.4</v>
      </c>
      <c r="J89">
        <v>18</v>
      </c>
      <c r="Q89"/>
    </row>
    <row r="90" spans="1:17" x14ac:dyDescent="0.25">
      <c r="A90">
        <v>1</v>
      </c>
      <c r="B90">
        <v>2016</v>
      </c>
      <c r="C90" t="s">
        <v>219</v>
      </c>
      <c r="D90" t="s">
        <v>220</v>
      </c>
      <c r="E90" t="s">
        <v>225</v>
      </c>
      <c r="F90" t="s">
        <v>226</v>
      </c>
      <c r="G90">
        <v>1853.7</v>
      </c>
      <c r="H90">
        <v>222</v>
      </c>
      <c r="Q90"/>
    </row>
    <row r="91" spans="1:17" x14ac:dyDescent="0.25">
      <c r="A91">
        <v>1</v>
      </c>
      <c r="B91">
        <v>2016</v>
      </c>
      <c r="C91" t="s">
        <v>227</v>
      </c>
      <c r="D91" t="s">
        <v>228</v>
      </c>
      <c r="E91" t="s">
        <v>229</v>
      </c>
      <c r="F91" t="s">
        <v>230</v>
      </c>
      <c r="G91">
        <v>595.20000000000005</v>
      </c>
      <c r="H91">
        <v>82664.600000000006</v>
      </c>
      <c r="I91">
        <v>598.5</v>
      </c>
      <c r="J91">
        <v>83997.900000000009</v>
      </c>
      <c r="Q91"/>
    </row>
    <row r="92" spans="1:17" x14ac:dyDescent="0.25">
      <c r="A92">
        <v>1</v>
      </c>
      <c r="B92">
        <v>2016</v>
      </c>
      <c r="C92" t="s">
        <v>231</v>
      </c>
      <c r="D92" t="s">
        <v>232</v>
      </c>
      <c r="E92" t="s">
        <v>233</v>
      </c>
      <c r="F92" t="s">
        <v>234</v>
      </c>
      <c r="G92">
        <v>196.8</v>
      </c>
      <c r="H92">
        <v>48</v>
      </c>
      <c r="I92">
        <v>661.2</v>
      </c>
      <c r="J92">
        <v>174</v>
      </c>
      <c r="Q92"/>
    </row>
    <row r="93" spans="1:17" x14ac:dyDescent="0.25">
      <c r="A93">
        <v>1</v>
      </c>
      <c r="B93">
        <v>2016</v>
      </c>
      <c r="C93" t="s">
        <v>231</v>
      </c>
      <c r="D93" t="s">
        <v>232</v>
      </c>
      <c r="E93" t="s">
        <v>235</v>
      </c>
      <c r="F93" t="s">
        <v>236</v>
      </c>
      <c r="G93">
        <v>345.6</v>
      </c>
      <c r="H93">
        <v>54</v>
      </c>
      <c r="I93">
        <v>292.8</v>
      </c>
      <c r="J93">
        <v>48</v>
      </c>
      <c r="Q93"/>
    </row>
    <row r="94" spans="1:17" x14ac:dyDescent="0.25">
      <c r="A94">
        <v>1</v>
      </c>
      <c r="B94">
        <v>2016</v>
      </c>
      <c r="C94" t="s">
        <v>231</v>
      </c>
      <c r="D94" t="s">
        <v>232</v>
      </c>
      <c r="E94" t="s">
        <v>237</v>
      </c>
      <c r="F94" t="s">
        <v>238</v>
      </c>
      <c r="G94">
        <v>231</v>
      </c>
      <c r="H94">
        <v>66</v>
      </c>
      <c r="I94">
        <v>192</v>
      </c>
      <c r="J94">
        <v>60</v>
      </c>
      <c r="Q94"/>
    </row>
    <row r="95" spans="1:17" x14ac:dyDescent="0.25">
      <c r="A95">
        <v>1</v>
      </c>
      <c r="B95">
        <v>2016</v>
      </c>
      <c r="C95" t="s">
        <v>231</v>
      </c>
      <c r="D95" t="s">
        <v>232</v>
      </c>
      <c r="E95" t="s">
        <v>239</v>
      </c>
      <c r="F95" t="s">
        <v>240</v>
      </c>
      <c r="G95">
        <v>126</v>
      </c>
      <c r="H95">
        <v>18</v>
      </c>
      <c r="Q95"/>
    </row>
    <row r="96" spans="1:17" x14ac:dyDescent="0.25">
      <c r="A96">
        <v>1</v>
      </c>
      <c r="B96">
        <v>2016</v>
      </c>
      <c r="C96" t="s">
        <v>241</v>
      </c>
      <c r="D96" t="s">
        <v>242</v>
      </c>
      <c r="E96" t="s">
        <v>243</v>
      </c>
      <c r="F96" t="s">
        <v>244</v>
      </c>
      <c r="G96">
        <v>1461.6</v>
      </c>
      <c r="H96">
        <v>252</v>
      </c>
      <c r="Q96"/>
    </row>
    <row r="97" spans="1:17" x14ac:dyDescent="0.25">
      <c r="A97">
        <v>1</v>
      </c>
      <c r="B97">
        <v>2016</v>
      </c>
      <c r="C97" t="s">
        <v>245</v>
      </c>
      <c r="D97" t="s">
        <v>246</v>
      </c>
      <c r="E97" t="s">
        <v>247</v>
      </c>
      <c r="F97" t="s">
        <v>248</v>
      </c>
      <c r="G97">
        <v>138.6</v>
      </c>
      <c r="H97">
        <v>42</v>
      </c>
      <c r="I97">
        <v>396</v>
      </c>
      <c r="J97">
        <v>120</v>
      </c>
      <c r="Q97"/>
    </row>
    <row r="98" spans="1:17" x14ac:dyDescent="0.25">
      <c r="A98">
        <v>1</v>
      </c>
      <c r="B98">
        <v>2016</v>
      </c>
      <c r="C98" t="s">
        <v>245</v>
      </c>
      <c r="D98" t="s">
        <v>246</v>
      </c>
      <c r="E98" t="s">
        <v>249</v>
      </c>
      <c r="F98" t="s">
        <v>250</v>
      </c>
      <c r="G98">
        <v>615.6</v>
      </c>
      <c r="H98">
        <v>216</v>
      </c>
      <c r="I98">
        <v>256.5</v>
      </c>
      <c r="J98">
        <v>90</v>
      </c>
      <c r="Q98"/>
    </row>
    <row r="99" spans="1:17" x14ac:dyDescent="0.25">
      <c r="A99">
        <v>1</v>
      </c>
      <c r="B99">
        <v>2016</v>
      </c>
      <c r="C99" t="s">
        <v>245</v>
      </c>
      <c r="D99" t="s">
        <v>246</v>
      </c>
      <c r="E99" t="s">
        <v>251</v>
      </c>
      <c r="F99" t="s">
        <v>250</v>
      </c>
      <c r="G99">
        <v>86.4</v>
      </c>
      <c r="H99">
        <v>24</v>
      </c>
      <c r="I99">
        <v>126</v>
      </c>
      <c r="J99">
        <v>36</v>
      </c>
      <c r="Q99"/>
    </row>
    <row r="100" spans="1:17" x14ac:dyDescent="0.25">
      <c r="A100">
        <v>1</v>
      </c>
      <c r="B100">
        <v>2016</v>
      </c>
      <c r="C100" t="s">
        <v>245</v>
      </c>
      <c r="D100" t="s">
        <v>246</v>
      </c>
      <c r="E100" t="s">
        <v>252</v>
      </c>
      <c r="F100" t="s">
        <v>253</v>
      </c>
      <c r="G100">
        <v>1012.5</v>
      </c>
      <c r="H100">
        <v>450</v>
      </c>
      <c r="I100">
        <v>791.04</v>
      </c>
      <c r="J100">
        <v>402</v>
      </c>
      <c r="Q100"/>
    </row>
    <row r="101" spans="1:17" x14ac:dyDescent="0.25">
      <c r="A101">
        <v>1</v>
      </c>
      <c r="B101">
        <v>2016</v>
      </c>
      <c r="C101" t="s">
        <v>254</v>
      </c>
      <c r="D101" t="s">
        <v>255</v>
      </c>
      <c r="E101" t="s">
        <v>256</v>
      </c>
      <c r="F101" t="s">
        <v>257</v>
      </c>
      <c r="G101">
        <v>1881.6</v>
      </c>
      <c r="H101">
        <v>588</v>
      </c>
      <c r="I101">
        <v>1209.5999999999999</v>
      </c>
      <c r="J101">
        <v>390</v>
      </c>
      <c r="Q101"/>
    </row>
    <row r="102" spans="1:17" x14ac:dyDescent="0.25">
      <c r="A102">
        <v>1</v>
      </c>
      <c r="B102">
        <v>2016</v>
      </c>
      <c r="C102" t="s">
        <v>254</v>
      </c>
      <c r="D102" t="s">
        <v>255</v>
      </c>
      <c r="E102" t="s">
        <v>258</v>
      </c>
      <c r="F102" t="s">
        <v>259</v>
      </c>
      <c r="G102">
        <v>211.2</v>
      </c>
      <c r="H102">
        <v>66</v>
      </c>
      <c r="Q102"/>
    </row>
    <row r="103" spans="1:17" x14ac:dyDescent="0.25">
      <c r="A103">
        <v>1</v>
      </c>
      <c r="B103">
        <v>2016</v>
      </c>
      <c r="C103" t="s">
        <v>254</v>
      </c>
      <c r="D103" t="s">
        <v>255</v>
      </c>
      <c r="E103" t="s">
        <v>260</v>
      </c>
      <c r="F103" t="s">
        <v>261</v>
      </c>
      <c r="G103">
        <v>52.8</v>
      </c>
      <c r="H103">
        <v>12</v>
      </c>
      <c r="Q103"/>
    </row>
    <row r="104" spans="1:17" x14ac:dyDescent="0.25">
      <c r="A104">
        <v>1</v>
      </c>
      <c r="B104">
        <v>2016</v>
      </c>
      <c r="C104" t="s">
        <v>262</v>
      </c>
      <c r="D104" t="s">
        <v>263</v>
      </c>
      <c r="E104" t="s">
        <v>264</v>
      </c>
      <c r="F104" t="s">
        <v>265</v>
      </c>
      <c r="G104">
        <v>5833.8</v>
      </c>
      <c r="H104">
        <v>1092</v>
      </c>
      <c r="I104">
        <v>3897.6</v>
      </c>
      <c r="J104">
        <v>696</v>
      </c>
      <c r="Q104"/>
    </row>
    <row r="105" spans="1:17" x14ac:dyDescent="0.25">
      <c r="A105">
        <v>1</v>
      </c>
      <c r="B105">
        <v>2016</v>
      </c>
      <c r="C105" t="s">
        <v>262</v>
      </c>
      <c r="D105" t="s">
        <v>263</v>
      </c>
      <c r="E105" t="s">
        <v>266</v>
      </c>
      <c r="F105" t="s">
        <v>267</v>
      </c>
      <c r="G105">
        <v>4436.1000000000004</v>
      </c>
      <c r="H105">
        <v>564</v>
      </c>
      <c r="Q105"/>
    </row>
    <row r="106" spans="1:17" x14ac:dyDescent="0.25">
      <c r="A106">
        <v>1</v>
      </c>
      <c r="B106">
        <v>2016</v>
      </c>
      <c r="C106" t="s">
        <v>262</v>
      </c>
      <c r="D106" t="s">
        <v>263</v>
      </c>
      <c r="E106" t="s">
        <v>268</v>
      </c>
      <c r="F106" t="s">
        <v>269</v>
      </c>
      <c r="G106">
        <v>304.8</v>
      </c>
      <c r="H106">
        <v>48</v>
      </c>
      <c r="I106">
        <v>831</v>
      </c>
      <c r="J106">
        <v>132</v>
      </c>
      <c r="Q106"/>
    </row>
    <row r="107" spans="1:17" x14ac:dyDescent="0.25">
      <c r="A107">
        <v>1</v>
      </c>
      <c r="B107">
        <v>2016</v>
      </c>
      <c r="C107" t="s">
        <v>262</v>
      </c>
      <c r="D107" t="s">
        <v>263</v>
      </c>
      <c r="E107" t="s">
        <v>270</v>
      </c>
      <c r="F107" t="s">
        <v>271</v>
      </c>
      <c r="G107">
        <v>633.6</v>
      </c>
      <c r="H107">
        <v>72</v>
      </c>
      <c r="I107">
        <v>918</v>
      </c>
      <c r="J107">
        <v>108</v>
      </c>
      <c r="Q107"/>
    </row>
    <row r="108" spans="1:17" x14ac:dyDescent="0.25">
      <c r="A108">
        <v>1</v>
      </c>
      <c r="B108">
        <v>2016</v>
      </c>
      <c r="C108" t="s">
        <v>272</v>
      </c>
      <c r="D108" t="s">
        <v>273</v>
      </c>
      <c r="E108" t="s">
        <v>274</v>
      </c>
      <c r="F108" t="s">
        <v>275</v>
      </c>
      <c r="G108">
        <v>471.6</v>
      </c>
      <c r="H108">
        <v>48</v>
      </c>
      <c r="I108">
        <v>235.8</v>
      </c>
      <c r="J108">
        <v>24</v>
      </c>
      <c r="Q108"/>
    </row>
    <row r="109" spans="1:17" x14ac:dyDescent="0.25">
      <c r="A109">
        <v>1</v>
      </c>
      <c r="B109">
        <v>2016</v>
      </c>
      <c r="C109" t="s">
        <v>272</v>
      </c>
      <c r="D109" t="s">
        <v>273</v>
      </c>
      <c r="E109" t="s">
        <v>276</v>
      </c>
      <c r="F109" t="s">
        <v>277</v>
      </c>
      <c r="G109">
        <v>345.6</v>
      </c>
      <c r="H109">
        <v>36</v>
      </c>
      <c r="I109">
        <v>345.6</v>
      </c>
      <c r="J109">
        <v>36</v>
      </c>
      <c r="Q109"/>
    </row>
    <row r="110" spans="1:17" x14ac:dyDescent="0.25">
      <c r="A110">
        <v>1</v>
      </c>
      <c r="B110">
        <v>2016</v>
      </c>
      <c r="C110" t="s">
        <v>272</v>
      </c>
      <c r="D110" t="s">
        <v>273</v>
      </c>
      <c r="E110" t="s">
        <v>278</v>
      </c>
      <c r="F110" t="s">
        <v>279</v>
      </c>
      <c r="G110">
        <v>95.4</v>
      </c>
      <c r="H110">
        <v>42</v>
      </c>
      <c r="I110">
        <v>143.1</v>
      </c>
      <c r="J110">
        <v>54</v>
      </c>
      <c r="Q110"/>
    </row>
    <row r="111" spans="1:17" x14ac:dyDescent="0.25">
      <c r="A111">
        <v>1</v>
      </c>
      <c r="B111">
        <v>2016</v>
      </c>
      <c r="C111" t="s">
        <v>272</v>
      </c>
      <c r="D111" t="s">
        <v>273</v>
      </c>
      <c r="E111" t="s">
        <v>280</v>
      </c>
      <c r="F111" t="s">
        <v>281</v>
      </c>
      <c r="G111">
        <v>822</v>
      </c>
      <c r="H111">
        <v>120</v>
      </c>
      <c r="I111">
        <v>616.5</v>
      </c>
      <c r="J111">
        <v>90</v>
      </c>
      <c r="Q111"/>
    </row>
    <row r="112" spans="1:17" x14ac:dyDescent="0.25">
      <c r="A112">
        <v>1</v>
      </c>
      <c r="B112">
        <v>2016</v>
      </c>
      <c r="C112" t="s">
        <v>272</v>
      </c>
      <c r="D112" t="s">
        <v>273</v>
      </c>
      <c r="E112" t="s">
        <v>282</v>
      </c>
      <c r="F112" t="s">
        <v>283</v>
      </c>
      <c r="G112">
        <v>84.9</v>
      </c>
      <c r="H112">
        <v>12</v>
      </c>
      <c r="I112">
        <v>169.8</v>
      </c>
      <c r="J112">
        <v>36</v>
      </c>
      <c r="Q112"/>
    </row>
    <row r="113" spans="1:17" x14ac:dyDescent="0.25">
      <c r="A113">
        <v>1</v>
      </c>
      <c r="B113">
        <v>2016</v>
      </c>
      <c r="C113" t="s">
        <v>272</v>
      </c>
      <c r="D113" t="s">
        <v>273</v>
      </c>
      <c r="E113" t="s">
        <v>284</v>
      </c>
      <c r="F113" t="s">
        <v>285</v>
      </c>
      <c r="G113">
        <v>214.2</v>
      </c>
      <c r="H113">
        <v>36</v>
      </c>
      <c r="Q113"/>
    </row>
    <row r="114" spans="1:17" x14ac:dyDescent="0.25">
      <c r="A114">
        <v>1</v>
      </c>
      <c r="B114">
        <v>2016</v>
      </c>
      <c r="C114" t="s">
        <v>272</v>
      </c>
      <c r="D114" t="s">
        <v>273</v>
      </c>
      <c r="E114" t="s">
        <v>286</v>
      </c>
      <c r="F114" t="s">
        <v>287</v>
      </c>
      <c r="G114">
        <v>84.9</v>
      </c>
      <c r="H114">
        <v>12</v>
      </c>
      <c r="Q114"/>
    </row>
    <row r="115" spans="1:17" x14ac:dyDescent="0.25">
      <c r="A115">
        <v>1</v>
      </c>
      <c r="B115">
        <v>2016</v>
      </c>
      <c r="C115" t="s">
        <v>288</v>
      </c>
      <c r="D115" t="s">
        <v>289</v>
      </c>
      <c r="E115" t="s">
        <v>290</v>
      </c>
      <c r="F115" t="s">
        <v>291</v>
      </c>
      <c r="G115">
        <v>57.6</v>
      </c>
      <c r="H115">
        <v>12</v>
      </c>
      <c r="Q115"/>
    </row>
    <row r="116" spans="1:17" x14ac:dyDescent="0.25">
      <c r="A116">
        <v>1</v>
      </c>
      <c r="B116">
        <v>2016</v>
      </c>
      <c r="C116" t="s">
        <v>288</v>
      </c>
      <c r="D116" t="s">
        <v>289</v>
      </c>
      <c r="E116" t="s">
        <v>292</v>
      </c>
      <c r="F116" t="s">
        <v>293</v>
      </c>
      <c r="G116">
        <v>793.8</v>
      </c>
      <c r="H116">
        <v>108</v>
      </c>
      <c r="Q116"/>
    </row>
    <row r="117" spans="1:17" x14ac:dyDescent="0.25">
      <c r="A117">
        <v>1</v>
      </c>
      <c r="B117">
        <v>2016</v>
      </c>
      <c r="C117" t="s">
        <v>288</v>
      </c>
      <c r="D117" t="s">
        <v>289</v>
      </c>
      <c r="E117" t="s">
        <v>294</v>
      </c>
      <c r="F117" t="s">
        <v>295</v>
      </c>
      <c r="G117">
        <v>415.8</v>
      </c>
      <c r="H117">
        <v>54</v>
      </c>
      <c r="Q117"/>
    </row>
    <row r="118" spans="1:17" x14ac:dyDescent="0.25">
      <c r="A118">
        <v>1</v>
      </c>
      <c r="B118">
        <v>2016</v>
      </c>
      <c r="C118" t="s">
        <v>296</v>
      </c>
      <c r="D118" t="s">
        <v>297</v>
      </c>
      <c r="E118" t="s">
        <v>298</v>
      </c>
      <c r="F118" t="s">
        <v>299</v>
      </c>
      <c r="G118">
        <v>75.599999999999994</v>
      </c>
      <c r="H118">
        <v>18</v>
      </c>
      <c r="I118">
        <v>73.8</v>
      </c>
      <c r="J118">
        <v>18</v>
      </c>
      <c r="Q118"/>
    </row>
    <row r="119" spans="1:17" x14ac:dyDescent="0.25">
      <c r="A119">
        <v>1</v>
      </c>
      <c r="B119">
        <v>2016</v>
      </c>
      <c r="C119" t="s">
        <v>296</v>
      </c>
      <c r="D119" t="s">
        <v>297</v>
      </c>
      <c r="E119" t="s">
        <v>300</v>
      </c>
      <c r="F119" t="s">
        <v>301</v>
      </c>
      <c r="G119">
        <v>42.6</v>
      </c>
      <c r="H119">
        <v>12</v>
      </c>
      <c r="I119">
        <v>40.799999999999997</v>
      </c>
      <c r="J119">
        <v>12</v>
      </c>
      <c r="Q119"/>
    </row>
    <row r="120" spans="1:17" x14ac:dyDescent="0.25">
      <c r="A120">
        <v>1</v>
      </c>
      <c r="B120">
        <v>2016</v>
      </c>
      <c r="C120" t="s">
        <v>296</v>
      </c>
      <c r="D120" t="s">
        <v>297</v>
      </c>
      <c r="E120" t="s">
        <v>302</v>
      </c>
      <c r="F120" t="s">
        <v>303</v>
      </c>
      <c r="G120">
        <v>66</v>
      </c>
      <c r="H120">
        <v>12</v>
      </c>
      <c r="Q120"/>
    </row>
    <row r="121" spans="1:17" x14ac:dyDescent="0.25">
      <c r="A121">
        <v>1</v>
      </c>
      <c r="B121">
        <v>2016</v>
      </c>
      <c r="C121" t="s">
        <v>296</v>
      </c>
      <c r="D121" t="s">
        <v>297</v>
      </c>
      <c r="E121" t="s">
        <v>304</v>
      </c>
      <c r="F121" t="s">
        <v>303</v>
      </c>
      <c r="G121">
        <v>33</v>
      </c>
      <c r="H121">
        <v>6</v>
      </c>
      <c r="Q121"/>
    </row>
    <row r="122" spans="1:17" x14ac:dyDescent="0.25">
      <c r="A122">
        <v>1</v>
      </c>
      <c r="B122">
        <v>2016</v>
      </c>
      <c r="C122" t="s">
        <v>296</v>
      </c>
      <c r="D122" t="s">
        <v>297</v>
      </c>
      <c r="E122" t="s">
        <v>305</v>
      </c>
      <c r="F122" t="s">
        <v>303</v>
      </c>
      <c r="G122">
        <v>33</v>
      </c>
      <c r="H122">
        <v>6</v>
      </c>
      <c r="I122">
        <v>97.2</v>
      </c>
      <c r="J122">
        <v>18</v>
      </c>
      <c r="Q122"/>
    </row>
    <row r="123" spans="1:17" x14ac:dyDescent="0.25">
      <c r="A123">
        <v>1</v>
      </c>
      <c r="B123">
        <v>2016</v>
      </c>
      <c r="C123" t="s">
        <v>296</v>
      </c>
      <c r="D123" t="s">
        <v>297</v>
      </c>
      <c r="E123" t="s">
        <v>306</v>
      </c>
      <c r="F123" t="s">
        <v>307</v>
      </c>
      <c r="G123">
        <v>21.3</v>
      </c>
      <c r="H123">
        <v>6</v>
      </c>
      <c r="Q123"/>
    </row>
    <row r="124" spans="1:17" x14ac:dyDescent="0.25">
      <c r="A124">
        <v>1</v>
      </c>
      <c r="B124">
        <v>2016</v>
      </c>
      <c r="C124" t="s">
        <v>296</v>
      </c>
      <c r="D124" t="s">
        <v>297</v>
      </c>
      <c r="E124" t="s">
        <v>308</v>
      </c>
      <c r="F124" t="s">
        <v>309</v>
      </c>
      <c r="G124">
        <v>1895.7</v>
      </c>
      <c r="H124">
        <v>540</v>
      </c>
      <c r="I124">
        <v>2488.8000000000002</v>
      </c>
      <c r="J124">
        <v>738</v>
      </c>
      <c r="Q124"/>
    </row>
    <row r="125" spans="1:17" x14ac:dyDescent="0.25">
      <c r="A125">
        <v>1</v>
      </c>
      <c r="B125">
        <v>2016</v>
      </c>
      <c r="C125" t="s">
        <v>296</v>
      </c>
      <c r="D125" t="s">
        <v>297</v>
      </c>
      <c r="E125" t="s">
        <v>310</v>
      </c>
      <c r="F125" t="s">
        <v>311</v>
      </c>
      <c r="G125">
        <v>208.6</v>
      </c>
      <c r="H125">
        <v>93.38</v>
      </c>
      <c r="I125">
        <v>476.8</v>
      </c>
      <c r="J125">
        <v>220.10999999999999</v>
      </c>
      <c r="Q125"/>
    </row>
    <row r="126" spans="1:17" x14ac:dyDescent="0.25">
      <c r="A126">
        <v>1</v>
      </c>
      <c r="B126">
        <v>2016</v>
      </c>
      <c r="C126" t="s">
        <v>296</v>
      </c>
      <c r="D126" t="s">
        <v>297</v>
      </c>
      <c r="E126" t="s">
        <v>312</v>
      </c>
      <c r="F126" t="s">
        <v>313</v>
      </c>
      <c r="G126">
        <v>2821.5</v>
      </c>
      <c r="H126">
        <v>1254</v>
      </c>
      <c r="I126">
        <v>3273.6</v>
      </c>
      <c r="J126">
        <v>1488</v>
      </c>
      <c r="Q126"/>
    </row>
    <row r="127" spans="1:17" x14ac:dyDescent="0.25">
      <c r="A127">
        <v>1</v>
      </c>
      <c r="B127">
        <v>2016</v>
      </c>
      <c r="C127" t="s">
        <v>296</v>
      </c>
      <c r="D127" t="s">
        <v>297</v>
      </c>
      <c r="E127" t="s">
        <v>314</v>
      </c>
      <c r="F127" t="s">
        <v>315</v>
      </c>
      <c r="G127">
        <v>1366.2</v>
      </c>
      <c r="H127">
        <v>927.13</v>
      </c>
      <c r="I127">
        <v>1079.0999999999999</v>
      </c>
      <c r="J127">
        <v>760.38</v>
      </c>
      <c r="Q127"/>
    </row>
    <row r="128" spans="1:17" x14ac:dyDescent="0.25">
      <c r="A128">
        <v>1</v>
      </c>
      <c r="B128">
        <v>2016</v>
      </c>
      <c r="C128" t="s">
        <v>296</v>
      </c>
      <c r="D128" t="s">
        <v>297</v>
      </c>
      <c r="E128" t="s">
        <v>316</v>
      </c>
      <c r="F128" t="s">
        <v>317</v>
      </c>
      <c r="G128">
        <v>81.599999999999994</v>
      </c>
      <c r="H128">
        <v>24</v>
      </c>
      <c r="Q128"/>
    </row>
    <row r="129" spans="1:17" x14ac:dyDescent="0.25">
      <c r="A129">
        <v>1</v>
      </c>
      <c r="B129">
        <v>2016</v>
      </c>
      <c r="C129" t="s">
        <v>296</v>
      </c>
      <c r="D129" t="s">
        <v>297</v>
      </c>
      <c r="E129" t="s">
        <v>318</v>
      </c>
      <c r="F129" t="s">
        <v>303</v>
      </c>
      <c r="G129">
        <v>0</v>
      </c>
      <c r="H129">
        <v>60</v>
      </c>
      <c r="Q129"/>
    </row>
    <row r="130" spans="1:17" x14ac:dyDescent="0.25">
      <c r="A130">
        <v>1</v>
      </c>
      <c r="B130">
        <v>2016</v>
      </c>
      <c r="C130" t="s">
        <v>319</v>
      </c>
      <c r="D130" t="s">
        <v>320</v>
      </c>
      <c r="E130" t="s">
        <v>321</v>
      </c>
      <c r="F130" t="s">
        <v>322</v>
      </c>
      <c r="G130">
        <v>583.20000000000005</v>
      </c>
      <c r="H130">
        <v>162</v>
      </c>
      <c r="I130">
        <v>756</v>
      </c>
      <c r="J130">
        <v>210</v>
      </c>
      <c r="Q130"/>
    </row>
    <row r="131" spans="1:17" x14ac:dyDescent="0.25">
      <c r="A131">
        <v>1</v>
      </c>
      <c r="B131">
        <v>2016</v>
      </c>
      <c r="C131" t="s">
        <v>319</v>
      </c>
      <c r="D131" t="s">
        <v>320</v>
      </c>
      <c r="E131" t="s">
        <v>323</v>
      </c>
      <c r="F131" t="s">
        <v>322</v>
      </c>
      <c r="G131">
        <v>26.64</v>
      </c>
      <c r="H131">
        <v>6</v>
      </c>
      <c r="Q131"/>
    </row>
    <row r="132" spans="1:17" x14ac:dyDescent="0.25">
      <c r="A132">
        <v>1</v>
      </c>
      <c r="B132">
        <v>2016</v>
      </c>
      <c r="C132" t="s">
        <v>324</v>
      </c>
      <c r="D132" t="s">
        <v>325</v>
      </c>
      <c r="E132" t="s">
        <v>326</v>
      </c>
      <c r="F132" t="s">
        <v>327</v>
      </c>
      <c r="G132">
        <v>1290</v>
      </c>
      <c r="H132">
        <v>300</v>
      </c>
      <c r="I132">
        <v>954.6</v>
      </c>
      <c r="J132">
        <v>222</v>
      </c>
      <c r="Q132"/>
    </row>
    <row r="133" spans="1:17" x14ac:dyDescent="0.25">
      <c r="A133">
        <v>1</v>
      </c>
      <c r="B133">
        <v>2016</v>
      </c>
      <c r="C133" t="s">
        <v>324</v>
      </c>
      <c r="D133" t="s">
        <v>325</v>
      </c>
      <c r="E133" t="s">
        <v>328</v>
      </c>
      <c r="F133" t="s">
        <v>327</v>
      </c>
      <c r="G133">
        <v>585.6</v>
      </c>
      <c r="H133">
        <v>192</v>
      </c>
      <c r="I133">
        <v>36.6</v>
      </c>
      <c r="J133">
        <v>12</v>
      </c>
      <c r="Q133"/>
    </row>
    <row r="134" spans="1:17" x14ac:dyDescent="0.25">
      <c r="A134">
        <v>1</v>
      </c>
      <c r="B134">
        <v>2016</v>
      </c>
      <c r="C134" t="s">
        <v>324</v>
      </c>
      <c r="D134" t="s">
        <v>325</v>
      </c>
      <c r="E134" t="s">
        <v>329</v>
      </c>
      <c r="F134" t="s">
        <v>327</v>
      </c>
      <c r="G134">
        <v>22.8</v>
      </c>
      <c r="H134">
        <v>6</v>
      </c>
      <c r="Q134"/>
    </row>
    <row r="135" spans="1:17" x14ac:dyDescent="0.25">
      <c r="A135">
        <v>1</v>
      </c>
      <c r="B135">
        <v>2016</v>
      </c>
      <c r="C135" t="s">
        <v>324</v>
      </c>
      <c r="D135" t="s">
        <v>325</v>
      </c>
      <c r="E135" t="s">
        <v>330</v>
      </c>
      <c r="F135" t="s">
        <v>331</v>
      </c>
      <c r="G135">
        <v>57.6</v>
      </c>
      <c r="H135">
        <v>12</v>
      </c>
      <c r="Q135"/>
    </row>
    <row r="136" spans="1:17" x14ac:dyDescent="0.25">
      <c r="A136">
        <v>1</v>
      </c>
      <c r="B136">
        <v>2016</v>
      </c>
      <c r="C136" t="s">
        <v>324</v>
      </c>
      <c r="D136" t="s">
        <v>325</v>
      </c>
      <c r="E136" t="s">
        <v>332</v>
      </c>
      <c r="F136" t="s">
        <v>333</v>
      </c>
      <c r="G136">
        <v>203</v>
      </c>
      <c r="H136">
        <v>100.05</v>
      </c>
      <c r="I136">
        <v>870</v>
      </c>
      <c r="J136">
        <v>400.2</v>
      </c>
      <c r="Q136"/>
    </row>
    <row r="137" spans="1:17" x14ac:dyDescent="0.25">
      <c r="A137">
        <v>1</v>
      </c>
      <c r="B137">
        <v>2016</v>
      </c>
      <c r="C137" t="s">
        <v>334</v>
      </c>
      <c r="D137" t="s">
        <v>335</v>
      </c>
      <c r="E137" t="s">
        <v>336</v>
      </c>
      <c r="F137" t="s">
        <v>337</v>
      </c>
      <c r="G137">
        <v>729.6</v>
      </c>
      <c r="H137">
        <v>96</v>
      </c>
      <c r="I137">
        <v>638.4</v>
      </c>
      <c r="J137">
        <v>84</v>
      </c>
      <c r="Q137"/>
    </row>
    <row r="138" spans="1:17" x14ac:dyDescent="0.25">
      <c r="A138">
        <v>1</v>
      </c>
      <c r="B138">
        <v>2016</v>
      </c>
      <c r="C138" t="s">
        <v>334</v>
      </c>
      <c r="D138" t="s">
        <v>335</v>
      </c>
      <c r="E138" t="s">
        <v>338</v>
      </c>
      <c r="F138" t="s">
        <v>339</v>
      </c>
      <c r="G138">
        <v>1104</v>
      </c>
      <c r="H138">
        <v>240</v>
      </c>
      <c r="I138">
        <v>491.4</v>
      </c>
      <c r="J138">
        <v>108</v>
      </c>
      <c r="Q138"/>
    </row>
    <row r="139" spans="1:17" x14ac:dyDescent="0.25">
      <c r="A139">
        <v>1</v>
      </c>
      <c r="B139">
        <v>2016</v>
      </c>
      <c r="C139" t="s">
        <v>340</v>
      </c>
      <c r="D139" t="s">
        <v>341</v>
      </c>
      <c r="E139" t="s">
        <v>342</v>
      </c>
      <c r="F139" t="s">
        <v>343</v>
      </c>
      <c r="G139">
        <v>1302.48</v>
      </c>
      <c r="H139">
        <v>324</v>
      </c>
      <c r="I139">
        <v>284.39999999999998</v>
      </c>
      <c r="J139">
        <v>72</v>
      </c>
      <c r="Q139"/>
    </row>
    <row r="140" spans="1:17" x14ac:dyDescent="0.25">
      <c r="A140">
        <v>1</v>
      </c>
      <c r="B140">
        <v>2016</v>
      </c>
      <c r="C140" t="s">
        <v>340</v>
      </c>
      <c r="D140" t="s">
        <v>341</v>
      </c>
      <c r="E140" t="s">
        <v>344</v>
      </c>
      <c r="F140" t="s">
        <v>343</v>
      </c>
      <c r="G140">
        <v>55.2</v>
      </c>
      <c r="H140">
        <v>12</v>
      </c>
      <c r="I140">
        <v>54</v>
      </c>
      <c r="J140">
        <v>12</v>
      </c>
      <c r="Q140"/>
    </row>
    <row r="141" spans="1:17" x14ac:dyDescent="0.25">
      <c r="A141">
        <v>1</v>
      </c>
      <c r="B141">
        <v>2016</v>
      </c>
      <c r="C141" t="s">
        <v>340</v>
      </c>
      <c r="D141" t="s">
        <v>341</v>
      </c>
      <c r="E141" t="s">
        <v>345</v>
      </c>
      <c r="F141" t="s">
        <v>346</v>
      </c>
      <c r="G141">
        <v>686.4</v>
      </c>
      <c r="H141">
        <v>132</v>
      </c>
      <c r="I141">
        <v>499.2</v>
      </c>
      <c r="J141">
        <v>96</v>
      </c>
      <c r="Q141"/>
    </row>
    <row r="142" spans="1:17" x14ac:dyDescent="0.25">
      <c r="A142">
        <v>1</v>
      </c>
      <c r="B142">
        <v>2016</v>
      </c>
      <c r="C142" t="s">
        <v>340</v>
      </c>
      <c r="D142" t="s">
        <v>341</v>
      </c>
      <c r="E142" t="s">
        <v>347</v>
      </c>
      <c r="F142" t="s">
        <v>348</v>
      </c>
      <c r="G142">
        <v>-52.8</v>
      </c>
      <c r="H142">
        <v>-12</v>
      </c>
      <c r="Q142"/>
    </row>
    <row r="143" spans="1:17" x14ac:dyDescent="0.25">
      <c r="A143">
        <v>1</v>
      </c>
      <c r="B143">
        <v>2016</v>
      </c>
      <c r="C143" t="s">
        <v>349</v>
      </c>
      <c r="D143" t="s">
        <v>350</v>
      </c>
      <c r="E143" t="s">
        <v>351</v>
      </c>
      <c r="F143" t="s">
        <v>352</v>
      </c>
      <c r="G143">
        <v>642.6</v>
      </c>
      <c r="H143">
        <v>108</v>
      </c>
      <c r="I143">
        <v>1134</v>
      </c>
      <c r="J143">
        <v>180</v>
      </c>
      <c r="Q143"/>
    </row>
    <row r="144" spans="1:17" x14ac:dyDescent="0.25">
      <c r="A144">
        <v>1</v>
      </c>
      <c r="B144">
        <v>2016</v>
      </c>
      <c r="C144" t="s">
        <v>349</v>
      </c>
      <c r="D144" t="s">
        <v>350</v>
      </c>
      <c r="E144" t="s">
        <v>353</v>
      </c>
      <c r="F144" t="s">
        <v>352</v>
      </c>
      <c r="G144">
        <v>92.4</v>
      </c>
      <c r="H144">
        <v>12</v>
      </c>
      <c r="I144">
        <v>277.2</v>
      </c>
      <c r="J144">
        <v>36</v>
      </c>
      <c r="Q144"/>
    </row>
    <row r="145" spans="1:17" x14ac:dyDescent="0.25">
      <c r="A145">
        <v>1</v>
      </c>
      <c r="B145">
        <v>2016</v>
      </c>
      <c r="C145" t="s">
        <v>349</v>
      </c>
      <c r="D145" t="s">
        <v>350</v>
      </c>
      <c r="E145" t="s">
        <v>354</v>
      </c>
      <c r="F145" t="s">
        <v>352</v>
      </c>
      <c r="G145">
        <v>79.2</v>
      </c>
      <c r="H145">
        <v>18</v>
      </c>
      <c r="I145">
        <v>712.8</v>
      </c>
      <c r="J145">
        <v>114</v>
      </c>
      <c r="Q145"/>
    </row>
    <row r="146" spans="1:17" x14ac:dyDescent="0.25">
      <c r="A146">
        <v>1</v>
      </c>
      <c r="B146">
        <v>2016</v>
      </c>
      <c r="C146" t="s">
        <v>349</v>
      </c>
      <c r="D146" t="s">
        <v>350</v>
      </c>
      <c r="E146" t="s">
        <v>355</v>
      </c>
      <c r="F146" t="s">
        <v>352</v>
      </c>
      <c r="G146">
        <v>92.4</v>
      </c>
      <c r="H146">
        <v>12</v>
      </c>
      <c r="I146">
        <v>231</v>
      </c>
      <c r="J146">
        <v>30</v>
      </c>
      <c r="Q146"/>
    </row>
    <row r="147" spans="1:17" x14ac:dyDescent="0.25">
      <c r="A147">
        <v>1</v>
      </c>
      <c r="B147">
        <v>2016</v>
      </c>
      <c r="C147" t="s">
        <v>356</v>
      </c>
      <c r="D147" t="s">
        <v>357</v>
      </c>
      <c r="E147" t="s">
        <v>358</v>
      </c>
      <c r="F147" t="s">
        <v>359</v>
      </c>
      <c r="G147">
        <v>592.20000000000005</v>
      </c>
      <c r="H147">
        <v>294</v>
      </c>
      <c r="I147">
        <v>159.9</v>
      </c>
      <c r="J147">
        <v>78</v>
      </c>
      <c r="Q147"/>
    </row>
    <row r="148" spans="1:17" x14ac:dyDescent="0.25">
      <c r="A148">
        <v>1</v>
      </c>
      <c r="B148">
        <v>2016</v>
      </c>
      <c r="C148" t="s">
        <v>360</v>
      </c>
      <c r="D148" t="s">
        <v>361</v>
      </c>
      <c r="E148" t="s">
        <v>362</v>
      </c>
      <c r="F148" t="s">
        <v>363</v>
      </c>
      <c r="G148">
        <v>1330</v>
      </c>
      <c r="H148">
        <v>933.1</v>
      </c>
      <c r="I148">
        <v>304</v>
      </c>
      <c r="J148">
        <v>213.28</v>
      </c>
      <c r="Q148"/>
    </row>
    <row r="149" spans="1:17" x14ac:dyDescent="0.25">
      <c r="A149">
        <v>1</v>
      </c>
      <c r="B149">
        <v>2016</v>
      </c>
      <c r="C149" t="s">
        <v>360</v>
      </c>
      <c r="D149" t="s">
        <v>361</v>
      </c>
      <c r="E149" t="s">
        <v>364</v>
      </c>
      <c r="F149" t="s">
        <v>363</v>
      </c>
      <c r="G149">
        <v>1826</v>
      </c>
      <c r="H149">
        <v>1120.56</v>
      </c>
      <c r="I149">
        <v>810.3</v>
      </c>
      <c r="J149">
        <v>506.92</v>
      </c>
      <c r="Q149"/>
    </row>
    <row r="150" spans="1:17" x14ac:dyDescent="0.25">
      <c r="A150">
        <v>1</v>
      </c>
      <c r="B150">
        <v>2016</v>
      </c>
      <c r="C150" t="s">
        <v>360</v>
      </c>
      <c r="D150" t="s">
        <v>361</v>
      </c>
      <c r="E150" t="s">
        <v>365</v>
      </c>
      <c r="F150" t="s">
        <v>366</v>
      </c>
      <c r="G150">
        <v>393.6</v>
      </c>
      <c r="H150">
        <v>198</v>
      </c>
      <c r="I150">
        <v>246</v>
      </c>
      <c r="J150">
        <v>120</v>
      </c>
      <c r="Q150"/>
    </row>
    <row r="151" spans="1:17" x14ac:dyDescent="0.25">
      <c r="A151">
        <v>1</v>
      </c>
      <c r="B151">
        <v>2016</v>
      </c>
      <c r="C151" t="s">
        <v>360</v>
      </c>
      <c r="D151" t="s">
        <v>361</v>
      </c>
      <c r="E151" t="s">
        <v>367</v>
      </c>
      <c r="F151" t="s">
        <v>368</v>
      </c>
      <c r="G151">
        <v>3483</v>
      </c>
      <c r="H151">
        <v>1296</v>
      </c>
      <c r="I151">
        <v>939.6</v>
      </c>
      <c r="J151">
        <v>348</v>
      </c>
      <c r="Q151"/>
    </row>
    <row r="152" spans="1:17" x14ac:dyDescent="0.25">
      <c r="A152">
        <v>1</v>
      </c>
      <c r="B152">
        <v>2016</v>
      </c>
      <c r="C152" t="s">
        <v>360</v>
      </c>
      <c r="D152" t="s">
        <v>361</v>
      </c>
      <c r="E152" t="s">
        <v>369</v>
      </c>
      <c r="F152" t="s">
        <v>370</v>
      </c>
      <c r="G152">
        <v>324</v>
      </c>
      <c r="H152">
        <v>72</v>
      </c>
      <c r="I152">
        <v>376.32</v>
      </c>
      <c r="J152">
        <v>84</v>
      </c>
      <c r="Q152"/>
    </row>
    <row r="153" spans="1:17" x14ac:dyDescent="0.25">
      <c r="A153">
        <v>1</v>
      </c>
      <c r="B153">
        <v>2016</v>
      </c>
      <c r="C153" t="s">
        <v>360</v>
      </c>
      <c r="D153" t="s">
        <v>361</v>
      </c>
      <c r="E153" t="s">
        <v>371</v>
      </c>
      <c r="F153" t="s">
        <v>372</v>
      </c>
      <c r="G153">
        <v>105.3</v>
      </c>
      <c r="H153">
        <v>24</v>
      </c>
      <c r="I153">
        <v>244.86</v>
      </c>
      <c r="J153">
        <v>42</v>
      </c>
      <c r="Q153"/>
    </row>
    <row r="154" spans="1:17" x14ac:dyDescent="0.25">
      <c r="A154">
        <v>1</v>
      </c>
      <c r="B154">
        <v>2016</v>
      </c>
      <c r="C154" t="s">
        <v>360</v>
      </c>
      <c r="D154" t="s">
        <v>361</v>
      </c>
      <c r="E154" t="s">
        <v>373</v>
      </c>
      <c r="F154" t="s">
        <v>374</v>
      </c>
      <c r="G154">
        <v>518.4</v>
      </c>
      <c r="H154">
        <v>204</v>
      </c>
      <c r="Q154"/>
    </row>
    <row r="155" spans="1:17" x14ac:dyDescent="0.25">
      <c r="A155">
        <v>1</v>
      </c>
      <c r="B155">
        <v>2016</v>
      </c>
      <c r="C155" t="s">
        <v>375</v>
      </c>
      <c r="D155" t="s">
        <v>376</v>
      </c>
      <c r="E155" t="s">
        <v>377</v>
      </c>
      <c r="F155" t="s">
        <v>378</v>
      </c>
      <c r="G155">
        <v>67.16</v>
      </c>
      <c r="H155">
        <v>186.62</v>
      </c>
      <c r="I155">
        <v>325.39999999999998</v>
      </c>
      <c r="J155">
        <v>266.60000000000002</v>
      </c>
      <c r="Q155"/>
    </row>
    <row r="156" spans="1:17" x14ac:dyDescent="0.25">
      <c r="A156">
        <v>1</v>
      </c>
      <c r="B156">
        <v>2016</v>
      </c>
      <c r="C156" t="s">
        <v>375</v>
      </c>
      <c r="D156" t="s">
        <v>376</v>
      </c>
      <c r="E156" t="s">
        <v>379</v>
      </c>
      <c r="F156" t="s">
        <v>378</v>
      </c>
      <c r="G156">
        <v>0</v>
      </c>
      <c r="H156">
        <v>440.21999999999997</v>
      </c>
      <c r="I156">
        <v>179.6</v>
      </c>
      <c r="J156">
        <v>133.4</v>
      </c>
      <c r="Q156"/>
    </row>
    <row r="157" spans="1:17" x14ac:dyDescent="0.25">
      <c r="A157">
        <v>1</v>
      </c>
      <c r="B157">
        <v>2016</v>
      </c>
      <c r="C157" t="s">
        <v>375</v>
      </c>
      <c r="D157" t="s">
        <v>376</v>
      </c>
      <c r="E157" t="s">
        <v>380</v>
      </c>
      <c r="F157" t="s">
        <v>378</v>
      </c>
      <c r="G157">
        <v>151.11000000000001</v>
      </c>
      <c r="H157">
        <v>119.97</v>
      </c>
      <c r="I157">
        <v>65.08</v>
      </c>
      <c r="J157">
        <v>53.32</v>
      </c>
      <c r="Q157"/>
    </row>
    <row r="158" spans="1:17" x14ac:dyDescent="0.25">
      <c r="A158">
        <v>1</v>
      </c>
      <c r="B158">
        <v>2016</v>
      </c>
      <c r="C158" t="s">
        <v>375</v>
      </c>
      <c r="D158" t="s">
        <v>376</v>
      </c>
      <c r="E158" t="s">
        <v>381</v>
      </c>
      <c r="F158" t="s">
        <v>378</v>
      </c>
      <c r="G158">
        <v>55.56</v>
      </c>
      <c r="H158">
        <v>40.019999999999996</v>
      </c>
      <c r="I158">
        <v>224.5</v>
      </c>
      <c r="J158">
        <v>180.09</v>
      </c>
      <c r="Q158"/>
    </row>
    <row r="159" spans="1:17" x14ac:dyDescent="0.25">
      <c r="A159">
        <v>1</v>
      </c>
      <c r="B159">
        <v>2016</v>
      </c>
      <c r="C159" t="s">
        <v>382</v>
      </c>
      <c r="D159" t="s">
        <v>383</v>
      </c>
      <c r="E159" t="s">
        <v>384</v>
      </c>
      <c r="F159" t="s">
        <v>385</v>
      </c>
      <c r="G159">
        <v>250.56</v>
      </c>
      <c r="H159">
        <v>36</v>
      </c>
      <c r="Q159"/>
    </row>
    <row r="160" spans="1:17" x14ac:dyDescent="0.25">
      <c r="A160">
        <v>1</v>
      </c>
      <c r="B160">
        <v>2016</v>
      </c>
      <c r="C160" t="s">
        <v>386</v>
      </c>
      <c r="D160" t="s">
        <v>387</v>
      </c>
      <c r="E160" t="s">
        <v>388</v>
      </c>
      <c r="F160" t="s">
        <v>389</v>
      </c>
      <c r="G160">
        <v>298.2</v>
      </c>
      <c r="H160">
        <v>84</v>
      </c>
      <c r="I160">
        <v>21</v>
      </c>
      <c r="J160">
        <v>6</v>
      </c>
      <c r="Q160"/>
    </row>
    <row r="161" spans="1:17" x14ac:dyDescent="0.25">
      <c r="A161">
        <v>1</v>
      </c>
      <c r="B161">
        <v>2016</v>
      </c>
      <c r="C161" t="s">
        <v>386</v>
      </c>
      <c r="D161" t="s">
        <v>387</v>
      </c>
      <c r="E161" t="s">
        <v>390</v>
      </c>
      <c r="F161" t="s">
        <v>391</v>
      </c>
      <c r="G161">
        <v>108</v>
      </c>
      <c r="H161">
        <v>36</v>
      </c>
      <c r="I161">
        <v>0</v>
      </c>
      <c r="J161">
        <v>-6</v>
      </c>
      <c r="Q161"/>
    </row>
    <row r="162" spans="1:17" x14ac:dyDescent="0.25">
      <c r="A162">
        <v>1</v>
      </c>
      <c r="B162">
        <v>2016</v>
      </c>
      <c r="C162" t="s">
        <v>386</v>
      </c>
      <c r="D162" t="s">
        <v>387</v>
      </c>
      <c r="E162" t="s">
        <v>392</v>
      </c>
      <c r="F162" t="s">
        <v>393</v>
      </c>
      <c r="G162">
        <v>-1353</v>
      </c>
      <c r="H162">
        <v>-330</v>
      </c>
      <c r="Q162"/>
    </row>
    <row r="163" spans="1:17" x14ac:dyDescent="0.25">
      <c r="A163">
        <v>1</v>
      </c>
      <c r="B163">
        <v>2016</v>
      </c>
      <c r="C163" t="s">
        <v>386</v>
      </c>
      <c r="D163" t="s">
        <v>387</v>
      </c>
      <c r="E163" t="s">
        <v>394</v>
      </c>
      <c r="F163" t="s">
        <v>395</v>
      </c>
      <c r="G163">
        <v>789.75</v>
      </c>
      <c r="H163">
        <v>519.87</v>
      </c>
      <c r="I163">
        <v>222.75</v>
      </c>
      <c r="J163">
        <v>146.63</v>
      </c>
      <c r="Q163"/>
    </row>
    <row r="164" spans="1:17" x14ac:dyDescent="0.25">
      <c r="A164">
        <v>1</v>
      </c>
      <c r="B164">
        <v>2016</v>
      </c>
      <c r="C164" t="s">
        <v>386</v>
      </c>
      <c r="D164" t="s">
        <v>387</v>
      </c>
      <c r="E164" t="s">
        <v>396</v>
      </c>
      <c r="F164" t="s">
        <v>397</v>
      </c>
      <c r="G164">
        <v>805.2</v>
      </c>
      <c r="H164">
        <v>446.89</v>
      </c>
      <c r="I164">
        <v>378.2</v>
      </c>
      <c r="J164">
        <v>206.77</v>
      </c>
      <c r="Q164"/>
    </row>
    <row r="165" spans="1:17" x14ac:dyDescent="0.25">
      <c r="A165">
        <v>1</v>
      </c>
      <c r="B165">
        <v>2016</v>
      </c>
      <c r="C165" t="s">
        <v>386</v>
      </c>
      <c r="D165" t="s">
        <v>387</v>
      </c>
      <c r="E165" t="s">
        <v>398</v>
      </c>
      <c r="F165" t="s">
        <v>399</v>
      </c>
      <c r="G165">
        <v>1385.1</v>
      </c>
      <c r="H165">
        <v>348</v>
      </c>
      <c r="I165">
        <v>456</v>
      </c>
      <c r="J165">
        <v>114</v>
      </c>
      <c r="Q165"/>
    </row>
    <row r="166" spans="1:17" x14ac:dyDescent="0.25">
      <c r="A166">
        <v>1</v>
      </c>
      <c r="B166">
        <v>2016</v>
      </c>
      <c r="C166" t="s">
        <v>400</v>
      </c>
      <c r="D166" t="s">
        <v>401</v>
      </c>
      <c r="E166" t="s">
        <v>402</v>
      </c>
      <c r="F166" t="s">
        <v>403</v>
      </c>
      <c r="G166">
        <v>72.599999999999994</v>
      </c>
      <c r="H166">
        <v>12</v>
      </c>
      <c r="I166">
        <v>471.9</v>
      </c>
      <c r="J166">
        <v>78</v>
      </c>
      <c r="Q166"/>
    </row>
    <row r="167" spans="1:17" x14ac:dyDescent="0.25">
      <c r="A167">
        <v>1</v>
      </c>
      <c r="B167">
        <v>2016</v>
      </c>
      <c r="C167" t="s">
        <v>404</v>
      </c>
      <c r="D167" t="s">
        <v>405</v>
      </c>
      <c r="E167" t="s">
        <v>406</v>
      </c>
      <c r="F167" t="s">
        <v>407</v>
      </c>
      <c r="G167">
        <v>1466.4</v>
      </c>
      <c r="H167">
        <v>288</v>
      </c>
      <c r="I167">
        <v>581.4</v>
      </c>
      <c r="J167">
        <v>114</v>
      </c>
      <c r="Q167"/>
    </row>
    <row r="168" spans="1:17" x14ac:dyDescent="0.25">
      <c r="A168">
        <v>1</v>
      </c>
      <c r="B168">
        <v>2016</v>
      </c>
      <c r="C168" t="s">
        <v>404</v>
      </c>
      <c r="D168" t="s">
        <v>405</v>
      </c>
      <c r="E168" t="s">
        <v>408</v>
      </c>
      <c r="F168" t="s">
        <v>409</v>
      </c>
      <c r="G168">
        <v>66.599999999999994</v>
      </c>
      <c r="H168">
        <v>12</v>
      </c>
      <c r="Q168"/>
    </row>
    <row r="169" spans="1:17" x14ac:dyDescent="0.25">
      <c r="A169">
        <v>1</v>
      </c>
      <c r="B169">
        <v>2016</v>
      </c>
      <c r="C169" t="s">
        <v>404</v>
      </c>
      <c r="D169" t="s">
        <v>405</v>
      </c>
      <c r="E169" t="s">
        <v>410</v>
      </c>
      <c r="F169" t="s">
        <v>411</v>
      </c>
      <c r="G169">
        <v>0</v>
      </c>
      <c r="H169">
        <v>6</v>
      </c>
      <c r="Q169"/>
    </row>
    <row r="170" spans="1:17" x14ac:dyDescent="0.25">
      <c r="A170">
        <v>1</v>
      </c>
      <c r="B170">
        <v>2016</v>
      </c>
      <c r="C170" t="s">
        <v>412</v>
      </c>
      <c r="D170" t="s">
        <v>413</v>
      </c>
      <c r="E170" t="s">
        <v>414</v>
      </c>
      <c r="F170" t="s">
        <v>415</v>
      </c>
      <c r="G170">
        <v>799.2</v>
      </c>
      <c r="H170">
        <v>216</v>
      </c>
      <c r="I170">
        <v>1052.0999999999999</v>
      </c>
      <c r="J170">
        <v>294</v>
      </c>
      <c r="Q170"/>
    </row>
    <row r="171" spans="1:17" x14ac:dyDescent="0.25">
      <c r="A171">
        <v>1</v>
      </c>
      <c r="B171">
        <v>2016</v>
      </c>
      <c r="C171" t="s">
        <v>412</v>
      </c>
      <c r="D171" t="s">
        <v>413</v>
      </c>
      <c r="E171" t="s">
        <v>416</v>
      </c>
      <c r="F171" t="s">
        <v>417</v>
      </c>
      <c r="G171">
        <v>46.8</v>
      </c>
      <c r="H171">
        <v>12</v>
      </c>
      <c r="Q171"/>
    </row>
    <row r="172" spans="1:17" x14ac:dyDescent="0.25">
      <c r="A172">
        <v>1</v>
      </c>
      <c r="B172">
        <v>2016</v>
      </c>
      <c r="C172" t="s">
        <v>412</v>
      </c>
      <c r="D172" t="s">
        <v>413</v>
      </c>
      <c r="E172" t="s">
        <v>418</v>
      </c>
      <c r="F172" t="s">
        <v>419</v>
      </c>
      <c r="G172">
        <v>1116</v>
      </c>
      <c r="H172">
        <v>246</v>
      </c>
      <c r="I172">
        <v>2754.9</v>
      </c>
      <c r="J172">
        <v>660</v>
      </c>
      <c r="Q172"/>
    </row>
    <row r="173" spans="1:17" x14ac:dyDescent="0.25">
      <c r="A173">
        <v>1</v>
      </c>
      <c r="B173">
        <v>2016</v>
      </c>
      <c r="C173" t="s">
        <v>412</v>
      </c>
      <c r="D173" t="s">
        <v>413</v>
      </c>
      <c r="E173" t="s">
        <v>420</v>
      </c>
      <c r="F173" t="s">
        <v>421</v>
      </c>
      <c r="G173">
        <v>148.80000000000001</v>
      </c>
      <c r="H173">
        <v>24</v>
      </c>
      <c r="Q173"/>
    </row>
    <row r="174" spans="1:17" x14ac:dyDescent="0.25">
      <c r="A174">
        <v>1</v>
      </c>
      <c r="B174">
        <v>2016</v>
      </c>
      <c r="C174" t="s">
        <v>412</v>
      </c>
      <c r="D174" t="s">
        <v>413</v>
      </c>
      <c r="E174" t="s">
        <v>422</v>
      </c>
      <c r="F174" t="s">
        <v>423</v>
      </c>
      <c r="G174">
        <v>104.4</v>
      </c>
      <c r="H174">
        <v>18</v>
      </c>
      <c r="Q174"/>
    </row>
    <row r="175" spans="1:17" x14ac:dyDescent="0.25">
      <c r="A175">
        <v>1</v>
      </c>
      <c r="B175">
        <v>2016</v>
      </c>
      <c r="C175" t="s">
        <v>412</v>
      </c>
      <c r="D175" t="s">
        <v>413</v>
      </c>
      <c r="E175" t="s">
        <v>424</v>
      </c>
      <c r="F175" t="s">
        <v>425</v>
      </c>
      <c r="G175">
        <v>390</v>
      </c>
      <c r="H175">
        <v>79.98</v>
      </c>
      <c r="Q175"/>
    </row>
    <row r="176" spans="1:17" x14ac:dyDescent="0.25">
      <c r="A176">
        <v>1</v>
      </c>
      <c r="B176">
        <v>2016</v>
      </c>
      <c r="C176" t="s">
        <v>426</v>
      </c>
      <c r="D176" t="s">
        <v>427</v>
      </c>
      <c r="E176" t="s">
        <v>428</v>
      </c>
      <c r="F176" t="s">
        <v>429</v>
      </c>
      <c r="G176">
        <v>45</v>
      </c>
      <c r="H176">
        <v>6</v>
      </c>
      <c r="Q176"/>
    </row>
    <row r="177" spans="1:17" x14ac:dyDescent="0.25">
      <c r="A177">
        <v>1</v>
      </c>
      <c r="B177">
        <v>2016</v>
      </c>
      <c r="C177" t="s">
        <v>426</v>
      </c>
      <c r="D177" t="s">
        <v>427</v>
      </c>
      <c r="E177" t="s">
        <v>430</v>
      </c>
      <c r="F177" t="s">
        <v>431</v>
      </c>
      <c r="G177">
        <v>0</v>
      </c>
      <c r="H177">
        <v>6</v>
      </c>
      <c r="Q177"/>
    </row>
    <row r="178" spans="1:17" x14ac:dyDescent="0.25">
      <c r="A178">
        <v>1</v>
      </c>
      <c r="B178">
        <v>2016</v>
      </c>
      <c r="C178" t="s">
        <v>432</v>
      </c>
      <c r="D178" t="s">
        <v>433</v>
      </c>
      <c r="E178" t="s">
        <v>434</v>
      </c>
      <c r="F178" t="s">
        <v>435</v>
      </c>
      <c r="G178">
        <v>218.4</v>
      </c>
      <c r="H178">
        <v>84</v>
      </c>
      <c r="I178">
        <v>230.4</v>
      </c>
      <c r="J178">
        <v>96</v>
      </c>
      <c r="Q178"/>
    </row>
    <row r="179" spans="1:17" x14ac:dyDescent="0.25">
      <c r="A179">
        <v>1</v>
      </c>
      <c r="B179">
        <v>2016</v>
      </c>
      <c r="C179" t="s">
        <v>432</v>
      </c>
      <c r="D179" t="s">
        <v>433</v>
      </c>
      <c r="E179" t="s">
        <v>436</v>
      </c>
      <c r="F179" t="s">
        <v>437</v>
      </c>
      <c r="G179">
        <v>369</v>
      </c>
      <c r="H179">
        <v>180</v>
      </c>
      <c r="I179">
        <v>420</v>
      </c>
      <c r="J179">
        <v>210</v>
      </c>
      <c r="Q179"/>
    </row>
    <row r="180" spans="1:17" x14ac:dyDescent="0.25">
      <c r="A180">
        <v>1</v>
      </c>
      <c r="B180">
        <v>2016</v>
      </c>
      <c r="C180" t="s">
        <v>438</v>
      </c>
      <c r="D180" t="s">
        <v>439</v>
      </c>
      <c r="E180" t="s">
        <v>440</v>
      </c>
      <c r="F180" t="s">
        <v>441</v>
      </c>
      <c r="G180">
        <v>1900.38</v>
      </c>
      <c r="H180">
        <v>1230</v>
      </c>
      <c r="I180">
        <v>684.96</v>
      </c>
      <c r="J180">
        <v>552</v>
      </c>
      <c r="Q180"/>
    </row>
    <row r="181" spans="1:17" x14ac:dyDescent="0.25">
      <c r="A181">
        <v>1</v>
      </c>
      <c r="B181">
        <v>2016</v>
      </c>
      <c r="C181" t="s">
        <v>438</v>
      </c>
      <c r="D181" t="s">
        <v>439</v>
      </c>
      <c r="E181" t="s">
        <v>442</v>
      </c>
      <c r="F181" t="s">
        <v>441</v>
      </c>
      <c r="G181">
        <v>10488.26</v>
      </c>
      <c r="H181">
        <v>7674</v>
      </c>
      <c r="I181">
        <v>8617.66</v>
      </c>
      <c r="J181">
        <v>7008</v>
      </c>
      <c r="Q181"/>
    </row>
    <row r="182" spans="1:17" x14ac:dyDescent="0.25">
      <c r="A182">
        <v>1</v>
      </c>
      <c r="B182">
        <v>2016</v>
      </c>
      <c r="C182" t="s">
        <v>438</v>
      </c>
      <c r="D182" t="s">
        <v>439</v>
      </c>
      <c r="E182" t="s">
        <v>443</v>
      </c>
      <c r="F182" t="s">
        <v>441</v>
      </c>
      <c r="G182">
        <v>454.08</v>
      </c>
      <c r="H182">
        <v>264</v>
      </c>
      <c r="I182">
        <v>179.28</v>
      </c>
      <c r="J182">
        <v>108</v>
      </c>
      <c r="Q182"/>
    </row>
    <row r="183" spans="1:17" x14ac:dyDescent="0.25">
      <c r="A183">
        <v>1</v>
      </c>
      <c r="B183">
        <v>2016</v>
      </c>
      <c r="C183" t="s">
        <v>438</v>
      </c>
      <c r="D183" t="s">
        <v>439</v>
      </c>
      <c r="E183" t="s">
        <v>444</v>
      </c>
      <c r="F183" t="s">
        <v>445</v>
      </c>
      <c r="G183">
        <v>101.16</v>
      </c>
      <c r="H183">
        <v>36</v>
      </c>
      <c r="I183">
        <v>0</v>
      </c>
      <c r="J183">
        <v>6</v>
      </c>
      <c r="Q183"/>
    </row>
    <row r="184" spans="1:17" x14ac:dyDescent="0.25">
      <c r="A184">
        <v>1</v>
      </c>
      <c r="B184">
        <v>2016</v>
      </c>
      <c r="C184" t="s">
        <v>438</v>
      </c>
      <c r="D184" t="s">
        <v>439</v>
      </c>
      <c r="E184" t="s">
        <v>446</v>
      </c>
      <c r="F184" t="s">
        <v>447</v>
      </c>
      <c r="G184">
        <v>85.5</v>
      </c>
      <c r="H184">
        <v>30</v>
      </c>
      <c r="Q184"/>
    </row>
    <row r="185" spans="1:17" x14ac:dyDescent="0.25">
      <c r="A185">
        <v>1</v>
      </c>
      <c r="B185">
        <v>2016</v>
      </c>
      <c r="C185" t="s">
        <v>448</v>
      </c>
      <c r="D185" t="s">
        <v>449</v>
      </c>
      <c r="E185" t="s">
        <v>450</v>
      </c>
      <c r="F185" t="s">
        <v>451</v>
      </c>
      <c r="G185">
        <v>327.60000000000002</v>
      </c>
      <c r="H185">
        <v>239.94</v>
      </c>
      <c r="I185">
        <v>451.1</v>
      </c>
      <c r="J185">
        <v>346.58</v>
      </c>
      <c r="Q185"/>
    </row>
    <row r="186" spans="1:17" x14ac:dyDescent="0.25">
      <c r="A186">
        <v>1</v>
      </c>
      <c r="B186">
        <v>2016</v>
      </c>
      <c r="C186" t="s">
        <v>448</v>
      </c>
      <c r="D186" t="s">
        <v>449</v>
      </c>
      <c r="E186" t="s">
        <v>452</v>
      </c>
      <c r="F186" t="s">
        <v>451</v>
      </c>
      <c r="G186">
        <v>333.25</v>
      </c>
      <c r="H186">
        <v>206.77</v>
      </c>
      <c r="I186">
        <v>326.39999999999998</v>
      </c>
      <c r="J186">
        <v>213.44</v>
      </c>
      <c r="Q186"/>
    </row>
    <row r="187" spans="1:17" x14ac:dyDescent="0.25">
      <c r="A187">
        <v>1</v>
      </c>
      <c r="B187">
        <v>2016</v>
      </c>
      <c r="C187" t="s">
        <v>448</v>
      </c>
      <c r="D187" t="s">
        <v>449</v>
      </c>
      <c r="E187" t="s">
        <v>453</v>
      </c>
      <c r="F187" t="s">
        <v>454</v>
      </c>
      <c r="G187">
        <v>128.1</v>
      </c>
      <c r="H187">
        <v>42</v>
      </c>
      <c r="I187">
        <v>208.8</v>
      </c>
      <c r="J187">
        <v>72</v>
      </c>
      <c r="Q187"/>
    </row>
    <row r="188" spans="1:17" x14ac:dyDescent="0.25">
      <c r="A188">
        <v>1</v>
      </c>
      <c r="B188">
        <v>2016</v>
      </c>
      <c r="C188" t="s">
        <v>455</v>
      </c>
      <c r="D188" t="s">
        <v>456</v>
      </c>
      <c r="E188" t="s">
        <v>457</v>
      </c>
      <c r="F188" t="s">
        <v>458</v>
      </c>
      <c r="G188">
        <v>132</v>
      </c>
      <c r="H188">
        <v>24</v>
      </c>
      <c r="I188">
        <v>190.8</v>
      </c>
      <c r="J188">
        <v>42</v>
      </c>
      <c r="Q188"/>
    </row>
    <row r="189" spans="1:17" x14ac:dyDescent="0.25">
      <c r="A189">
        <v>1</v>
      </c>
      <c r="B189">
        <v>2016</v>
      </c>
      <c r="C189" t="s">
        <v>455</v>
      </c>
      <c r="D189" t="s">
        <v>456</v>
      </c>
      <c r="E189" t="s">
        <v>459</v>
      </c>
      <c r="F189" t="s">
        <v>458</v>
      </c>
      <c r="G189">
        <v>109.8</v>
      </c>
      <c r="H189">
        <v>18</v>
      </c>
      <c r="Q189"/>
    </row>
    <row r="190" spans="1:17" x14ac:dyDescent="0.25">
      <c r="A190">
        <v>1</v>
      </c>
      <c r="B190">
        <v>2016</v>
      </c>
      <c r="C190" t="s">
        <v>455</v>
      </c>
      <c r="D190" t="s">
        <v>456</v>
      </c>
      <c r="E190" t="s">
        <v>460</v>
      </c>
      <c r="F190" t="s">
        <v>458</v>
      </c>
      <c r="G190">
        <v>759</v>
      </c>
      <c r="H190">
        <v>132</v>
      </c>
      <c r="I190">
        <v>699.3</v>
      </c>
      <c r="J190">
        <v>126</v>
      </c>
      <c r="Q190"/>
    </row>
    <row r="191" spans="1:17" x14ac:dyDescent="0.25">
      <c r="A191">
        <v>1</v>
      </c>
      <c r="B191">
        <v>2016</v>
      </c>
      <c r="C191" t="s">
        <v>455</v>
      </c>
      <c r="D191" t="s">
        <v>456</v>
      </c>
      <c r="E191" t="s">
        <v>461</v>
      </c>
      <c r="F191" t="s">
        <v>458</v>
      </c>
      <c r="G191">
        <v>115.2</v>
      </c>
      <c r="H191">
        <v>18</v>
      </c>
      <c r="Q191"/>
    </row>
    <row r="192" spans="1:17" x14ac:dyDescent="0.25">
      <c r="A192">
        <v>1</v>
      </c>
      <c r="B192">
        <v>2016</v>
      </c>
      <c r="C192" t="s">
        <v>462</v>
      </c>
      <c r="D192" t="s">
        <v>463</v>
      </c>
      <c r="E192" t="s">
        <v>464</v>
      </c>
      <c r="F192" t="s">
        <v>465</v>
      </c>
      <c r="G192">
        <v>291.60000000000002</v>
      </c>
      <c r="H192">
        <v>108</v>
      </c>
      <c r="I192">
        <v>521.4</v>
      </c>
      <c r="J192">
        <v>204</v>
      </c>
      <c r="Q192"/>
    </row>
    <row r="193" spans="1:17" x14ac:dyDescent="0.25">
      <c r="A193">
        <v>1</v>
      </c>
      <c r="B193">
        <v>2016</v>
      </c>
      <c r="C193" t="s">
        <v>462</v>
      </c>
      <c r="D193" t="s">
        <v>463</v>
      </c>
      <c r="E193" t="s">
        <v>466</v>
      </c>
      <c r="F193" t="s">
        <v>465</v>
      </c>
      <c r="G193">
        <v>19.8</v>
      </c>
      <c r="H193">
        <v>6</v>
      </c>
      <c r="I193">
        <v>38.4</v>
      </c>
      <c r="J193">
        <v>12</v>
      </c>
      <c r="Q193"/>
    </row>
    <row r="194" spans="1:17" x14ac:dyDescent="0.25">
      <c r="A194">
        <v>1</v>
      </c>
      <c r="B194">
        <v>2016</v>
      </c>
      <c r="C194" t="s">
        <v>462</v>
      </c>
      <c r="D194" t="s">
        <v>463</v>
      </c>
      <c r="E194" t="s">
        <v>467</v>
      </c>
      <c r="F194" t="s">
        <v>468</v>
      </c>
      <c r="G194">
        <v>183.3</v>
      </c>
      <c r="H194">
        <v>78</v>
      </c>
      <c r="I194">
        <v>136.68</v>
      </c>
      <c r="J194">
        <v>66</v>
      </c>
      <c r="Q194"/>
    </row>
    <row r="195" spans="1:17" x14ac:dyDescent="0.25">
      <c r="A195">
        <v>1</v>
      </c>
      <c r="B195">
        <v>2016</v>
      </c>
      <c r="C195" t="s">
        <v>462</v>
      </c>
      <c r="D195" t="s">
        <v>463</v>
      </c>
      <c r="E195" t="s">
        <v>469</v>
      </c>
      <c r="F195" t="s">
        <v>470</v>
      </c>
      <c r="G195">
        <v>295.10000000000002</v>
      </c>
      <c r="H195">
        <v>173.29</v>
      </c>
      <c r="I195">
        <v>533.84</v>
      </c>
      <c r="J195">
        <v>373.24</v>
      </c>
      <c r="Q195"/>
    </row>
    <row r="196" spans="1:17" x14ac:dyDescent="0.25">
      <c r="A196">
        <v>1</v>
      </c>
      <c r="B196">
        <v>2016</v>
      </c>
      <c r="C196" t="s">
        <v>462</v>
      </c>
      <c r="D196" t="s">
        <v>463</v>
      </c>
      <c r="E196" t="s">
        <v>471</v>
      </c>
      <c r="F196" t="s">
        <v>470</v>
      </c>
      <c r="G196">
        <v>738.72</v>
      </c>
      <c r="H196">
        <v>380.19</v>
      </c>
      <c r="I196">
        <v>979</v>
      </c>
      <c r="J196">
        <v>593.63</v>
      </c>
      <c r="Q196"/>
    </row>
    <row r="197" spans="1:17" x14ac:dyDescent="0.25">
      <c r="A197">
        <v>1</v>
      </c>
      <c r="B197">
        <v>2016</v>
      </c>
      <c r="C197" t="s">
        <v>462</v>
      </c>
      <c r="D197" t="s">
        <v>463</v>
      </c>
      <c r="E197" t="s">
        <v>472</v>
      </c>
      <c r="F197" t="s">
        <v>473</v>
      </c>
      <c r="G197">
        <v>17.52</v>
      </c>
      <c r="H197">
        <v>13.33</v>
      </c>
      <c r="Q197"/>
    </row>
    <row r="198" spans="1:17" x14ac:dyDescent="0.25">
      <c r="A198">
        <v>1</v>
      </c>
      <c r="B198">
        <v>2016</v>
      </c>
      <c r="C198" t="s">
        <v>462</v>
      </c>
      <c r="D198" t="s">
        <v>463</v>
      </c>
      <c r="E198" t="s">
        <v>474</v>
      </c>
      <c r="F198" t="s">
        <v>475</v>
      </c>
      <c r="G198">
        <v>9.98</v>
      </c>
      <c r="H198">
        <v>6.67</v>
      </c>
      <c r="I198">
        <v>48.15</v>
      </c>
      <c r="J198">
        <v>40.019999999999996</v>
      </c>
      <c r="Q198"/>
    </row>
    <row r="199" spans="1:17" x14ac:dyDescent="0.25">
      <c r="A199">
        <v>1</v>
      </c>
      <c r="B199">
        <v>2016</v>
      </c>
      <c r="C199" t="s">
        <v>476</v>
      </c>
      <c r="D199" t="s">
        <v>477</v>
      </c>
      <c r="E199" t="s">
        <v>478</v>
      </c>
      <c r="F199" t="s">
        <v>479</v>
      </c>
      <c r="G199">
        <v>883.2</v>
      </c>
      <c r="H199">
        <v>144</v>
      </c>
      <c r="I199">
        <v>2664</v>
      </c>
      <c r="J199">
        <v>444</v>
      </c>
      <c r="Q199"/>
    </row>
    <row r="200" spans="1:17" x14ac:dyDescent="0.25">
      <c r="A200">
        <v>1</v>
      </c>
      <c r="B200">
        <v>2016</v>
      </c>
      <c r="C200" t="s">
        <v>476</v>
      </c>
      <c r="D200" t="s">
        <v>477</v>
      </c>
      <c r="E200" t="s">
        <v>480</v>
      </c>
      <c r="F200" t="s">
        <v>481</v>
      </c>
      <c r="G200">
        <v>281.39999999999998</v>
      </c>
      <c r="H200">
        <v>42</v>
      </c>
      <c r="I200">
        <v>151.68</v>
      </c>
      <c r="J200">
        <v>24</v>
      </c>
      <c r="Q200"/>
    </row>
    <row r="201" spans="1:17" x14ac:dyDescent="0.25">
      <c r="A201">
        <v>1</v>
      </c>
      <c r="B201">
        <v>2016</v>
      </c>
      <c r="C201" t="s">
        <v>476</v>
      </c>
      <c r="D201" t="s">
        <v>477</v>
      </c>
      <c r="E201" t="s">
        <v>482</v>
      </c>
      <c r="F201" t="s">
        <v>483</v>
      </c>
      <c r="G201">
        <v>138</v>
      </c>
      <c r="H201">
        <v>133.30000000000001</v>
      </c>
      <c r="I201">
        <v>771.72</v>
      </c>
      <c r="J201">
        <v>799.8</v>
      </c>
      <c r="Q201"/>
    </row>
    <row r="202" spans="1:17" x14ac:dyDescent="0.25">
      <c r="A202">
        <v>1</v>
      </c>
      <c r="B202">
        <v>2016</v>
      </c>
      <c r="C202" t="s">
        <v>476</v>
      </c>
      <c r="D202" t="s">
        <v>477</v>
      </c>
      <c r="E202" t="s">
        <v>484</v>
      </c>
      <c r="F202" t="s">
        <v>483</v>
      </c>
      <c r="G202">
        <v>24</v>
      </c>
      <c r="H202">
        <v>20.009999999999998</v>
      </c>
      <c r="I202">
        <v>419.65</v>
      </c>
      <c r="J202">
        <v>373.52</v>
      </c>
      <c r="Q202"/>
    </row>
    <row r="203" spans="1:17" x14ac:dyDescent="0.25">
      <c r="A203">
        <v>1</v>
      </c>
      <c r="B203">
        <v>2016</v>
      </c>
      <c r="C203" t="s">
        <v>485</v>
      </c>
      <c r="D203" t="s">
        <v>486</v>
      </c>
      <c r="E203" t="s">
        <v>487</v>
      </c>
      <c r="F203" t="s">
        <v>488</v>
      </c>
      <c r="G203">
        <v>573.29999999999995</v>
      </c>
      <c r="H203">
        <v>126</v>
      </c>
      <c r="I203">
        <v>792</v>
      </c>
      <c r="J203">
        <v>180</v>
      </c>
      <c r="Q203"/>
    </row>
    <row r="204" spans="1:17" x14ac:dyDescent="0.25">
      <c r="A204">
        <v>1</v>
      </c>
      <c r="B204">
        <v>2016</v>
      </c>
      <c r="C204" t="s">
        <v>489</v>
      </c>
      <c r="D204" t="s">
        <v>0</v>
      </c>
      <c r="E204" t="s">
        <v>490</v>
      </c>
      <c r="F204" t="s">
        <v>11</v>
      </c>
      <c r="G204">
        <v>36.799999999999997</v>
      </c>
      <c r="H204">
        <v>1</v>
      </c>
      <c r="Q204"/>
    </row>
    <row r="205" spans="1:17" x14ac:dyDescent="0.25">
      <c r="A205">
        <v>1</v>
      </c>
      <c r="B205">
        <v>2016</v>
      </c>
      <c r="C205" t="s">
        <v>489</v>
      </c>
      <c r="D205" t="s">
        <v>0</v>
      </c>
      <c r="E205" t="s">
        <v>491</v>
      </c>
      <c r="F205" t="s">
        <v>9</v>
      </c>
      <c r="G205">
        <v>30.31</v>
      </c>
      <c r="H205">
        <v>1</v>
      </c>
      <c r="Q205"/>
    </row>
    <row r="206" spans="1:17" x14ac:dyDescent="0.25">
      <c r="A206">
        <v>1</v>
      </c>
      <c r="B206">
        <v>2016</v>
      </c>
      <c r="C206" t="s">
        <v>489</v>
      </c>
      <c r="D206" t="s">
        <v>0</v>
      </c>
      <c r="E206" t="s">
        <v>492</v>
      </c>
      <c r="F206" t="s">
        <v>5</v>
      </c>
      <c r="G206">
        <v>30.67</v>
      </c>
      <c r="H206">
        <v>1</v>
      </c>
      <c r="I206">
        <v>122.66</v>
      </c>
      <c r="J206">
        <v>4</v>
      </c>
      <c r="Q206"/>
    </row>
    <row r="207" spans="1:17" x14ac:dyDescent="0.25">
      <c r="A207">
        <v>1</v>
      </c>
      <c r="B207">
        <v>2016</v>
      </c>
      <c r="C207" t="s">
        <v>489</v>
      </c>
      <c r="D207" t="s">
        <v>0</v>
      </c>
      <c r="E207" t="s">
        <v>493</v>
      </c>
      <c r="F207" t="s">
        <v>1</v>
      </c>
      <c r="G207">
        <v>33.44</v>
      </c>
      <c r="H207">
        <v>1</v>
      </c>
      <c r="Q207"/>
    </row>
    <row r="208" spans="1:17" x14ac:dyDescent="0.25">
      <c r="A208">
        <v>1</v>
      </c>
      <c r="B208">
        <v>2016</v>
      </c>
      <c r="C208" t="s">
        <v>489</v>
      </c>
      <c r="D208" t="s">
        <v>0</v>
      </c>
      <c r="E208" t="s">
        <v>494</v>
      </c>
      <c r="F208" t="s">
        <v>1</v>
      </c>
      <c r="G208">
        <v>34.65</v>
      </c>
      <c r="H208">
        <v>1</v>
      </c>
      <c r="Q208"/>
    </row>
    <row r="209" spans="1:17" x14ac:dyDescent="0.25">
      <c r="A209">
        <v>1</v>
      </c>
      <c r="B209">
        <v>2016</v>
      </c>
      <c r="C209" t="s">
        <v>489</v>
      </c>
      <c r="D209" t="s">
        <v>0</v>
      </c>
      <c r="E209" t="s">
        <v>495</v>
      </c>
      <c r="F209" t="s">
        <v>12</v>
      </c>
      <c r="G209">
        <v>71.84</v>
      </c>
      <c r="H209">
        <v>2</v>
      </c>
      <c r="Q209"/>
    </row>
    <row r="210" spans="1:17" x14ac:dyDescent="0.25">
      <c r="A210">
        <v>1</v>
      </c>
      <c r="B210">
        <v>2016</v>
      </c>
      <c r="C210" t="s">
        <v>489</v>
      </c>
      <c r="D210" t="s">
        <v>0</v>
      </c>
      <c r="E210" t="s">
        <v>496</v>
      </c>
      <c r="F210" t="s">
        <v>6</v>
      </c>
      <c r="G210">
        <v>37.69</v>
      </c>
      <c r="H210">
        <v>1</v>
      </c>
      <c r="I210">
        <v>38.56</v>
      </c>
      <c r="J210">
        <v>1</v>
      </c>
      <c r="Q210"/>
    </row>
    <row r="211" spans="1:17" x14ac:dyDescent="0.25">
      <c r="A211">
        <v>1</v>
      </c>
      <c r="B211">
        <v>2016</v>
      </c>
      <c r="C211" t="s">
        <v>489</v>
      </c>
      <c r="D211" t="s">
        <v>0</v>
      </c>
      <c r="E211" t="s">
        <v>497</v>
      </c>
      <c r="F211" t="s">
        <v>2</v>
      </c>
      <c r="G211">
        <v>84.22</v>
      </c>
      <c r="H211">
        <v>2</v>
      </c>
      <c r="Q211"/>
    </row>
    <row r="212" spans="1:17" x14ac:dyDescent="0.25">
      <c r="A212">
        <v>1</v>
      </c>
      <c r="B212">
        <v>2016</v>
      </c>
      <c r="C212" t="s">
        <v>489</v>
      </c>
      <c r="D212" t="s">
        <v>0</v>
      </c>
      <c r="E212" t="s">
        <v>498</v>
      </c>
      <c r="F212" t="s">
        <v>7</v>
      </c>
      <c r="G212">
        <v>49.07</v>
      </c>
      <c r="H212">
        <v>1</v>
      </c>
      <c r="Q212"/>
    </row>
    <row r="213" spans="1:17" x14ac:dyDescent="0.25">
      <c r="A213">
        <v>1</v>
      </c>
      <c r="B213">
        <v>2016</v>
      </c>
      <c r="C213" t="s">
        <v>489</v>
      </c>
      <c r="D213" t="s">
        <v>0</v>
      </c>
      <c r="E213" t="s">
        <v>499</v>
      </c>
      <c r="F213" t="s">
        <v>8</v>
      </c>
      <c r="G213">
        <v>62.21</v>
      </c>
      <c r="H213">
        <v>1</v>
      </c>
      <c r="Q213"/>
    </row>
    <row r="214" spans="1:17" x14ac:dyDescent="0.25">
      <c r="A214">
        <v>1</v>
      </c>
      <c r="B214">
        <v>2016</v>
      </c>
      <c r="C214" t="s">
        <v>489</v>
      </c>
      <c r="D214" t="s">
        <v>0</v>
      </c>
      <c r="E214" t="s">
        <v>500</v>
      </c>
      <c r="F214" t="s">
        <v>1</v>
      </c>
      <c r="G214">
        <v>140.28</v>
      </c>
      <c r="H214">
        <v>1</v>
      </c>
      <c r="Q214"/>
    </row>
    <row r="215" spans="1:17" x14ac:dyDescent="0.25">
      <c r="A215">
        <v>1</v>
      </c>
      <c r="B215">
        <v>2016</v>
      </c>
      <c r="C215" t="s">
        <v>489</v>
      </c>
      <c r="D215" t="s">
        <v>0</v>
      </c>
      <c r="E215" t="s">
        <v>501</v>
      </c>
      <c r="F215" t="s">
        <v>4</v>
      </c>
      <c r="G215">
        <v>69.17</v>
      </c>
      <c r="H215">
        <v>1</v>
      </c>
      <c r="Q215"/>
    </row>
    <row r="216" spans="1:17" x14ac:dyDescent="0.25">
      <c r="A216">
        <v>1</v>
      </c>
      <c r="B216">
        <v>2016</v>
      </c>
      <c r="C216" t="s">
        <v>489</v>
      </c>
      <c r="D216" t="s">
        <v>0</v>
      </c>
      <c r="E216" t="s">
        <v>502</v>
      </c>
      <c r="F216" t="s">
        <v>3</v>
      </c>
      <c r="G216">
        <v>79.790000000000006</v>
      </c>
      <c r="H216">
        <v>1</v>
      </c>
      <c r="Q216"/>
    </row>
    <row r="217" spans="1:17" x14ac:dyDescent="0.25">
      <c r="A217">
        <v>1</v>
      </c>
      <c r="B217">
        <v>2016</v>
      </c>
      <c r="C217" t="s">
        <v>489</v>
      </c>
      <c r="D217" t="s">
        <v>0</v>
      </c>
      <c r="E217" t="s">
        <v>503</v>
      </c>
      <c r="F217" t="s">
        <v>1</v>
      </c>
      <c r="G217">
        <v>169.02</v>
      </c>
      <c r="H217">
        <v>1</v>
      </c>
      <c r="Q217"/>
    </row>
    <row r="218" spans="1:17" x14ac:dyDescent="0.25">
      <c r="A218">
        <v>1</v>
      </c>
      <c r="B218">
        <v>2016</v>
      </c>
      <c r="C218" t="s">
        <v>489</v>
      </c>
      <c r="D218" t="s">
        <v>0</v>
      </c>
      <c r="E218" t="s">
        <v>504</v>
      </c>
      <c r="F218" t="s">
        <v>1</v>
      </c>
      <c r="G218">
        <v>189.71</v>
      </c>
      <c r="H218">
        <v>1</v>
      </c>
      <c r="Q218"/>
    </row>
    <row r="219" spans="1:17" x14ac:dyDescent="0.25">
      <c r="A219">
        <v>1</v>
      </c>
      <c r="B219">
        <v>2016</v>
      </c>
      <c r="C219" t="s">
        <v>489</v>
      </c>
      <c r="D219" t="s">
        <v>0</v>
      </c>
      <c r="E219" t="s">
        <v>505</v>
      </c>
      <c r="F219" t="s">
        <v>10</v>
      </c>
      <c r="G219">
        <v>35.28</v>
      </c>
      <c r="H219">
        <v>1</v>
      </c>
      <c r="Q219"/>
    </row>
    <row r="220" spans="1:17" x14ac:dyDescent="0.25">
      <c r="A220">
        <v>1</v>
      </c>
      <c r="B220">
        <v>2016</v>
      </c>
      <c r="C220" t="s">
        <v>506</v>
      </c>
      <c r="D220" t="s">
        <v>507</v>
      </c>
      <c r="E220" t="s">
        <v>508</v>
      </c>
      <c r="F220" t="s">
        <v>509</v>
      </c>
      <c r="G220">
        <v>765.6</v>
      </c>
      <c r="H220">
        <v>174</v>
      </c>
      <c r="I220">
        <v>897.6</v>
      </c>
      <c r="J220">
        <v>204</v>
      </c>
      <c r="Q220"/>
    </row>
    <row r="221" spans="1:17" x14ac:dyDescent="0.25">
      <c r="A221">
        <v>1</v>
      </c>
      <c r="B221">
        <v>2016</v>
      </c>
      <c r="C221" t="s">
        <v>506</v>
      </c>
      <c r="D221" t="s">
        <v>507</v>
      </c>
      <c r="E221" t="s">
        <v>510</v>
      </c>
      <c r="F221" t="s">
        <v>511</v>
      </c>
      <c r="G221">
        <v>249.6</v>
      </c>
      <c r="H221">
        <v>78</v>
      </c>
      <c r="I221">
        <v>153.6</v>
      </c>
      <c r="J221">
        <v>48</v>
      </c>
      <c r="Q221"/>
    </row>
    <row r="222" spans="1:17" x14ac:dyDescent="0.25">
      <c r="A222">
        <v>1</v>
      </c>
      <c r="B222">
        <v>2016</v>
      </c>
      <c r="C222" t="s">
        <v>506</v>
      </c>
      <c r="D222" t="s">
        <v>507</v>
      </c>
      <c r="E222" t="s">
        <v>512</v>
      </c>
      <c r="F222" t="s">
        <v>513</v>
      </c>
      <c r="G222">
        <v>92.7</v>
      </c>
      <c r="H222">
        <v>15</v>
      </c>
      <c r="Q222"/>
    </row>
    <row r="223" spans="1:17" x14ac:dyDescent="0.25">
      <c r="A223">
        <v>1</v>
      </c>
      <c r="B223">
        <v>2016</v>
      </c>
      <c r="C223" t="s">
        <v>506</v>
      </c>
      <c r="D223" t="s">
        <v>507</v>
      </c>
      <c r="E223" t="s">
        <v>514</v>
      </c>
      <c r="F223" t="s">
        <v>515</v>
      </c>
      <c r="G223">
        <v>1760.8</v>
      </c>
      <c r="H223">
        <v>294</v>
      </c>
      <c r="I223">
        <v>855.6</v>
      </c>
      <c r="J223">
        <v>138</v>
      </c>
      <c r="Q223"/>
    </row>
    <row r="224" spans="1:17" x14ac:dyDescent="0.25">
      <c r="A224">
        <v>1</v>
      </c>
      <c r="B224">
        <v>2016</v>
      </c>
      <c r="C224" t="s">
        <v>516</v>
      </c>
      <c r="D224" t="s">
        <v>517</v>
      </c>
      <c r="E224" t="s">
        <v>518</v>
      </c>
      <c r="F224" t="s">
        <v>519</v>
      </c>
      <c r="G224">
        <v>-97.2</v>
      </c>
      <c r="H224">
        <v>-53.36</v>
      </c>
      <c r="Q224"/>
    </row>
    <row r="225" spans="1:17" x14ac:dyDescent="0.25">
      <c r="A225">
        <v>1</v>
      </c>
      <c r="B225">
        <v>2016</v>
      </c>
      <c r="C225" t="s">
        <v>516</v>
      </c>
      <c r="D225" t="s">
        <v>517</v>
      </c>
      <c r="E225" t="s">
        <v>520</v>
      </c>
      <c r="F225" t="s">
        <v>521</v>
      </c>
      <c r="G225">
        <v>220.8</v>
      </c>
      <c r="H225">
        <v>48</v>
      </c>
      <c r="Q225"/>
    </row>
    <row r="226" spans="1:17" x14ac:dyDescent="0.25">
      <c r="A226">
        <v>1</v>
      </c>
      <c r="B226">
        <v>2016</v>
      </c>
      <c r="C226" t="s">
        <v>516</v>
      </c>
      <c r="D226" t="s">
        <v>517</v>
      </c>
      <c r="E226" t="s">
        <v>522</v>
      </c>
      <c r="F226" t="s">
        <v>523</v>
      </c>
      <c r="G226">
        <v>903.72</v>
      </c>
      <c r="H226">
        <v>204</v>
      </c>
      <c r="Q226"/>
    </row>
    <row r="227" spans="1:17" x14ac:dyDescent="0.25">
      <c r="A227">
        <v>1</v>
      </c>
      <c r="B227">
        <v>2016</v>
      </c>
      <c r="C227" t="s">
        <v>524</v>
      </c>
      <c r="D227" t="s">
        <v>525</v>
      </c>
      <c r="E227" t="s">
        <v>526</v>
      </c>
      <c r="F227" t="s">
        <v>527</v>
      </c>
      <c r="G227">
        <v>540.6</v>
      </c>
      <c r="H227">
        <v>204</v>
      </c>
      <c r="I227">
        <v>306</v>
      </c>
      <c r="J227">
        <v>120</v>
      </c>
      <c r="Q227"/>
    </row>
    <row r="228" spans="1:17" x14ac:dyDescent="0.25">
      <c r="A228">
        <v>1</v>
      </c>
      <c r="B228">
        <v>2016</v>
      </c>
      <c r="C228" t="s">
        <v>524</v>
      </c>
      <c r="D228" t="s">
        <v>525</v>
      </c>
      <c r="E228" t="s">
        <v>528</v>
      </c>
      <c r="F228" t="s">
        <v>529</v>
      </c>
      <c r="G228">
        <v>57.6</v>
      </c>
      <c r="H228">
        <v>12</v>
      </c>
      <c r="I228">
        <v>199.5</v>
      </c>
      <c r="J228">
        <v>42</v>
      </c>
      <c r="Q228"/>
    </row>
    <row r="229" spans="1:17" x14ac:dyDescent="0.25">
      <c r="A229">
        <v>1</v>
      </c>
      <c r="B229">
        <v>2016</v>
      </c>
      <c r="C229" t="s">
        <v>530</v>
      </c>
      <c r="D229" t="s">
        <v>531</v>
      </c>
      <c r="E229" t="s">
        <v>532</v>
      </c>
      <c r="F229" t="s">
        <v>533</v>
      </c>
      <c r="G229">
        <v>604.79999999999995</v>
      </c>
      <c r="H229">
        <v>144</v>
      </c>
      <c r="I229">
        <v>170.1</v>
      </c>
      <c r="J229">
        <v>42</v>
      </c>
      <c r="Q229"/>
    </row>
    <row r="230" spans="1:17" x14ac:dyDescent="0.25">
      <c r="A230">
        <v>1</v>
      </c>
      <c r="B230">
        <v>2016</v>
      </c>
      <c r="C230" t="s">
        <v>534</v>
      </c>
      <c r="D230" t="s">
        <v>535</v>
      </c>
      <c r="E230" t="s">
        <v>536</v>
      </c>
      <c r="F230" t="s">
        <v>537</v>
      </c>
      <c r="G230">
        <v>117</v>
      </c>
      <c r="H230">
        <v>30</v>
      </c>
      <c r="Q230"/>
    </row>
    <row r="231" spans="1:17" x14ac:dyDescent="0.25">
      <c r="A231">
        <v>1</v>
      </c>
      <c r="B231">
        <v>2016</v>
      </c>
      <c r="C231" t="s">
        <v>534</v>
      </c>
      <c r="D231" t="s">
        <v>535</v>
      </c>
      <c r="E231" t="s">
        <v>538</v>
      </c>
      <c r="F231" t="s">
        <v>537</v>
      </c>
      <c r="G231">
        <v>444.6</v>
      </c>
      <c r="H231">
        <v>114</v>
      </c>
      <c r="Q231"/>
    </row>
    <row r="232" spans="1:17" x14ac:dyDescent="0.25">
      <c r="A232">
        <v>1</v>
      </c>
      <c r="B232">
        <v>2016</v>
      </c>
      <c r="C232" t="s">
        <v>539</v>
      </c>
      <c r="D232" t="s">
        <v>540</v>
      </c>
      <c r="E232" t="s">
        <v>541</v>
      </c>
      <c r="F232" t="s">
        <v>542</v>
      </c>
      <c r="G232">
        <v>1198.8</v>
      </c>
      <c r="H232">
        <v>216</v>
      </c>
      <c r="I232">
        <v>852.6</v>
      </c>
      <c r="J232">
        <v>162</v>
      </c>
      <c r="Q232"/>
    </row>
    <row r="233" spans="1:17" x14ac:dyDescent="0.25">
      <c r="A233">
        <v>1</v>
      </c>
      <c r="B233">
        <v>2016</v>
      </c>
      <c r="C233" t="s">
        <v>543</v>
      </c>
      <c r="D233" t="s">
        <v>544</v>
      </c>
      <c r="E233" t="s">
        <v>545</v>
      </c>
      <c r="F233" t="s">
        <v>546</v>
      </c>
      <c r="G233">
        <v>201</v>
      </c>
      <c r="H233">
        <v>30</v>
      </c>
      <c r="I233">
        <v>774.9</v>
      </c>
      <c r="J233">
        <v>132</v>
      </c>
      <c r="Q233"/>
    </row>
    <row r="234" spans="1:17" x14ac:dyDescent="0.25">
      <c r="A234">
        <v>1</v>
      </c>
      <c r="B234">
        <v>2016</v>
      </c>
      <c r="C234" t="s">
        <v>543</v>
      </c>
      <c r="D234" t="s">
        <v>544</v>
      </c>
      <c r="E234" t="s">
        <v>547</v>
      </c>
      <c r="F234" t="s">
        <v>546</v>
      </c>
      <c r="G234">
        <v>138.6</v>
      </c>
      <c r="H234">
        <v>18</v>
      </c>
      <c r="Q234"/>
    </row>
    <row r="235" spans="1:17" x14ac:dyDescent="0.25">
      <c r="A235">
        <v>1</v>
      </c>
      <c r="B235">
        <v>2016</v>
      </c>
      <c r="C235" t="s">
        <v>543</v>
      </c>
      <c r="D235" t="s">
        <v>544</v>
      </c>
      <c r="E235" t="s">
        <v>548</v>
      </c>
      <c r="F235" t="s">
        <v>549</v>
      </c>
      <c r="G235">
        <v>62.1</v>
      </c>
      <c r="H235">
        <v>6</v>
      </c>
      <c r="I235">
        <v>57</v>
      </c>
      <c r="J235">
        <v>6</v>
      </c>
      <c r="Q235"/>
    </row>
    <row r="236" spans="1:17" x14ac:dyDescent="0.25">
      <c r="A236">
        <v>1</v>
      </c>
      <c r="B236">
        <v>2016</v>
      </c>
      <c r="C236" t="s">
        <v>543</v>
      </c>
      <c r="D236" t="s">
        <v>544</v>
      </c>
      <c r="E236" t="s">
        <v>550</v>
      </c>
      <c r="F236" t="s">
        <v>551</v>
      </c>
      <c r="G236">
        <v>0</v>
      </c>
      <c r="H236">
        <v>24</v>
      </c>
      <c r="Q236"/>
    </row>
    <row r="237" spans="1:17" x14ac:dyDescent="0.25">
      <c r="A237">
        <v>1</v>
      </c>
      <c r="B237">
        <v>2016</v>
      </c>
      <c r="C237" t="s">
        <v>543</v>
      </c>
      <c r="D237" t="s">
        <v>544</v>
      </c>
      <c r="E237" t="s">
        <v>552</v>
      </c>
      <c r="F237" t="s">
        <v>553</v>
      </c>
      <c r="G237">
        <v>36</v>
      </c>
      <c r="H237">
        <v>4</v>
      </c>
      <c r="I237">
        <v>0</v>
      </c>
      <c r="J237">
        <v>6</v>
      </c>
      <c r="Q237"/>
    </row>
    <row r="238" spans="1:17" x14ac:dyDescent="0.25">
      <c r="A238">
        <v>1</v>
      </c>
      <c r="B238">
        <v>2016</v>
      </c>
      <c r="C238" t="s">
        <v>554</v>
      </c>
      <c r="D238" t="s">
        <v>555</v>
      </c>
      <c r="E238" t="s">
        <v>556</v>
      </c>
      <c r="F238" t="s">
        <v>557</v>
      </c>
      <c r="G238">
        <v>17.7</v>
      </c>
      <c r="H238">
        <v>6</v>
      </c>
      <c r="I238">
        <v>148.5</v>
      </c>
      <c r="J238">
        <v>54</v>
      </c>
      <c r="Q238"/>
    </row>
    <row r="239" spans="1:17" x14ac:dyDescent="0.25">
      <c r="A239">
        <v>1</v>
      </c>
      <c r="B239">
        <v>2016</v>
      </c>
      <c r="C239" t="s">
        <v>554</v>
      </c>
      <c r="D239" t="s">
        <v>555</v>
      </c>
      <c r="E239" t="s">
        <v>558</v>
      </c>
      <c r="F239" t="s">
        <v>559</v>
      </c>
      <c r="G239">
        <v>-42.75</v>
      </c>
      <c r="H239">
        <v>-33.35</v>
      </c>
      <c r="Q239"/>
    </row>
    <row r="240" spans="1:17" x14ac:dyDescent="0.25">
      <c r="A240">
        <v>1</v>
      </c>
      <c r="B240">
        <v>2016</v>
      </c>
      <c r="C240" t="s">
        <v>560</v>
      </c>
      <c r="D240" t="s">
        <v>561</v>
      </c>
      <c r="E240" t="s">
        <v>562</v>
      </c>
      <c r="F240" t="s">
        <v>563</v>
      </c>
      <c r="G240">
        <v>1024.8</v>
      </c>
      <c r="H240">
        <v>366</v>
      </c>
      <c r="I240">
        <v>1518</v>
      </c>
      <c r="J240">
        <v>558</v>
      </c>
      <c r="Q240"/>
    </row>
    <row r="241" spans="1:17" x14ac:dyDescent="0.25">
      <c r="A241">
        <v>1</v>
      </c>
      <c r="B241">
        <v>2016</v>
      </c>
      <c r="C241" t="s">
        <v>560</v>
      </c>
      <c r="D241" t="s">
        <v>561</v>
      </c>
      <c r="E241" t="s">
        <v>564</v>
      </c>
      <c r="F241" t="s">
        <v>565</v>
      </c>
      <c r="G241">
        <v>456</v>
      </c>
      <c r="H241">
        <v>114</v>
      </c>
      <c r="I241">
        <v>189.6</v>
      </c>
      <c r="J241">
        <v>48</v>
      </c>
      <c r="Q241"/>
    </row>
    <row r="242" spans="1:17" x14ac:dyDescent="0.25">
      <c r="A242">
        <v>1</v>
      </c>
      <c r="B242">
        <v>2016</v>
      </c>
      <c r="C242" t="s">
        <v>566</v>
      </c>
      <c r="D242" t="s">
        <v>567</v>
      </c>
      <c r="E242" t="s">
        <v>568</v>
      </c>
      <c r="F242" t="s">
        <v>569</v>
      </c>
      <c r="G242">
        <v>195</v>
      </c>
      <c r="H242">
        <v>30</v>
      </c>
      <c r="Q242"/>
    </row>
    <row r="243" spans="1:17" x14ac:dyDescent="0.25">
      <c r="A243">
        <v>1</v>
      </c>
      <c r="B243">
        <v>2016</v>
      </c>
      <c r="C243" t="s">
        <v>566</v>
      </c>
      <c r="D243" t="s">
        <v>567</v>
      </c>
      <c r="E243" t="s">
        <v>570</v>
      </c>
      <c r="F243" t="s">
        <v>569</v>
      </c>
      <c r="G243">
        <v>585</v>
      </c>
      <c r="H243">
        <v>90</v>
      </c>
      <c r="I243">
        <v>381</v>
      </c>
      <c r="J243">
        <v>60</v>
      </c>
      <c r="Q243"/>
    </row>
    <row r="244" spans="1:17" x14ac:dyDescent="0.25">
      <c r="A244">
        <v>1</v>
      </c>
      <c r="B244">
        <v>2016</v>
      </c>
      <c r="C244" t="s">
        <v>571</v>
      </c>
      <c r="D244" t="s">
        <v>572</v>
      </c>
      <c r="E244" t="s">
        <v>573</v>
      </c>
      <c r="F244" t="s">
        <v>574</v>
      </c>
      <c r="G244">
        <v>223.2</v>
      </c>
      <c r="H244">
        <v>36</v>
      </c>
      <c r="I244">
        <v>37.200000000000003</v>
      </c>
      <c r="J244">
        <v>6</v>
      </c>
      <c r="Q244"/>
    </row>
    <row r="245" spans="1:17" x14ac:dyDescent="0.25">
      <c r="A245">
        <v>1</v>
      </c>
      <c r="B245">
        <v>2016</v>
      </c>
      <c r="C245" t="s">
        <v>571</v>
      </c>
      <c r="D245" t="s">
        <v>572</v>
      </c>
      <c r="E245" t="s">
        <v>575</v>
      </c>
      <c r="F245" t="s">
        <v>574</v>
      </c>
      <c r="G245">
        <v>910.8</v>
      </c>
      <c r="H245">
        <v>138</v>
      </c>
      <c r="Q245"/>
    </row>
    <row r="246" spans="1:17" x14ac:dyDescent="0.25">
      <c r="A246">
        <v>1</v>
      </c>
      <c r="B246">
        <v>2016</v>
      </c>
      <c r="C246" t="s">
        <v>571</v>
      </c>
      <c r="D246" t="s">
        <v>572</v>
      </c>
      <c r="E246" t="s">
        <v>576</v>
      </c>
      <c r="F246" t="s">
        <v>577</v>
      </c>
      <c r="G246">
        <v>54</v>
      </c>
      <c r="H246">
        <v>6</v>
      </c>
      <c r="I246">
        <v>972</v>
      </c>
      <c r="J246">
        <v>108</v>
      </c>
      <c r="Q246"/>
    </row>
    <row r="247" spans="1:17" x14ac:dyDescent="0.25">
      <c r="A247">
        <v>1</v>
      </c>
      <c r="B247">
        <v>2016</v>
      </c>
      <c r="C247" t="s">
        <v>571</v>
      </c>
      <c r="D247" t="s">
        <v>572</v>
      </c>
      <c r="E247" t="s">
        <v>578</v>
      </c>
      <c r="F247" t="s">
        <v>579</v>
      </c>
      <c r="G247">
        <v>486</v>
      </c>
      <c r="H247">
        <v>54</v>
      </c>
      <c r="Q247"/>
    </row>
    <row r="248" spans="1:17" x14ac:dyDescent="0.25">
      <c r="A248">
        <v>1</v>
      </c>
      <c r="B248">
        <v>2016</v>
      </c>
      <c r="C248" t="s">
        <v>571</v>
      </c>
      <c r="D248" t="s">
        <v>572</v>
      </c>
      <c r="E248" t="s">
        <v>580</v>
      </c>
      <c r="F248" t="s">
        <v>581</v>
      </c>
      <c r="G248">
        <v>159.30000000000001</v>
      </c>
      <c r="H248">
        <v>18</v>
      </c>
      <c r="Q248"/>
    </row>
    <row r="249" spans="1:17" x14ac:dyDescent="0.25">
      <c r="A249">
        <v>1</v>
      </c>
      <c r="B249">
        <v>2016</v>
      </c>
      <c r="C249" t="s">
        <v>582</v>
      </c>
      <c r="D249" t="s">
        <v>583</v>
      </c>
      <c r="E249" t="s">
        <v>584</v>
      </c>
      <c r="F249" t="s">
        <v>585</v>
      </c>
      <c r="G249">
        <v>648</v>
      </c>
      <c r="H249">
        <v>162</v>
      </c>
      <c r="I249">
        <v>768</v>
      </c>
      <c r="J249">
        <v>192</v>
      </c>
      <c r="Q249"/>
    </row>
    <row r="250" spans="1:17" x14ac:dyDescent="0.25">
      <c r="A250">
        <v>1</v>
      </c>
      <c r="B250">
        <v>2016</v>
      </c>
      <c r="C250" t="s">
        <v>582</v>
      </c>
      <c r="D250" t="s">
        <v>583</v>
      </c>
      <c r="E250" t="s">
        <v>586</v>
      </c>
      <c r="F250" t="s">
        <v>587</v>
      </c>
      <c r="G250">
        <v>77.400000000000006</v>
      </c>
      <c r="H250">
        <v>15</v>
      </c>
      <c r="Q250"/>
    </row>
    <row r="251" spans="1:17" x14ac:dyDescent="0.25">
      <c r="A251">
        <v>1</v>
      </c>
      <c r="B251">
        <v>2016</v>
      </c>
      <c r="C251" t="s">
        <v>588</v>
      </c>
      <c r="D251" t="s">
        <v>589</v>
      </c>
      <c r="E251" t="s">
        <v>590</v>
      </c>
      <c r="F251" t="s">
        <v>591</v>
      </c>
      <c r="G251">
        <v>835.2</v>
      </c>
      <c r="H251">
        <v>294</v>
      </c>
      <c r="I251">
        <v>722.4</v>
      </c>
      <c r="J251">
        <v>258</v>
      </c>
      <c r="Q251"/>
    </row>
    <row r="252" spans="1:17" x14ac:dyDescent="0.25">
      <c r="A252">
        <v>1</v>
      </c>
      <c r="B252">
        <v>2016</v>
      </c>
      <c r="C252" t="s">
        <v>588</v>
      </c>
      <c r="D252" t="s">
        <v>589</v>
      </c>
      <c r="E252" t="s">
        <v>592</v>
      </c>
      <c r="F252" t="s">
        <v>593</v>
      </c>
      <c r="G252">
        <v>406.56</v>
      </c>
      <c r="H252">
        <v>168</v>
      </c>
      <c r="I252">
        <v>365.04</v>
      </c>
      <c r="J252">
        <v>156</v>
      </c>
      <c r="Q252"/>
    </row>
    <row r="253" spans="1:17" x14ac:dyDescent="0.25">
      <c r="A253">
        <v>1</v>
      </c>
      <c r="B253">
        <v>2016</v>
      </c>
      <c r="C253" t="s">
        <v>588</v>
      </c>
      <c r="D253" t="s">
        <v>589</v>
      </c>
      <c r="E253" t="s">
        <v>594</v>
      </c>
      <c r="F253" t="s">
        <v>595</v>
      </c>
      <c r="G253">
        <v>518</v>
      </c>
      <c r="H253">
        <v>373.24</v>
      </c>
      <c r="I253">
        <v>1148.8</v>
      </c>
      <c r="J253">
        <v>853.12</v>
      </c>
      <c r="Q253"/>
    </row>
    <row r="254" spans="1:17" x14ac:dyDescent="0.25">
      <c r="A254">
        <v>1</v>
      </c>
      <c r="B254">
        <v>2016</v>
      </c>
      <c r="C254" t="s">
        <v>588</v>
      </c>
      <c r="D254" t="s">
        <v>589</v>
      </c>
      <c r="E254" t="s">
        <v>596</v>
      </c>
      <c r="F254" t="s">
        <v>595</v>
      </c>
      <c r="G254">
        <v>336</v>
      </c>
      <c r="H254">
        <v>213.44</v>
      </c>
      <c r="I254">
        <v>563.45000000000005</v>
      </c>
      <c r="J254">
        <v>393.53</v>
      </c>
      <c r="Q254"/>
    </row>
    <row r="255" spans="1:17" x14ac:dyDescent="0.25">
      <c r="A255">
        <v>1</v>
      </c>
      <c r="B255">
        <v>2016</v>
      </c>
      <c r="C255" t="s">
        <v>597</v>
      </c>
      <c r="D255" t="s">
        <v>598</v>
      </c>
      <c r="E255" t="s">
        <v>599</v>
      </c>
      <c r="F255" t="s">
        <v>600</v>
      </c>
      <c r="G255">
        <v>97.5</v>
      </c>
      <c r="H255">
        <v>30</v>
      </c>
      <c r="Q255"/>
    </row>
    <row r="256" spans="1:17" x14ac:dyDescent="0.25">
      <c r="A256">
        <v>1</v>
      </c>
      <c r="B256">
        <v>2016</v>
      </c>
      <c r="C256" t="s">
        <v>601</v>
      </c>
      <c r="D256" t="s">
        <v>602</v>
      </c>
      <c r="E256" t="s">
        <v>603</v>
      </c>
      <c r="F256" t="s">
        <v>604</v>
      </c>
      <c r="G256">
        <v>43.2</v>
      </c>
      <c r="H256">
        <v>12</v>
      </c>
      <c r="I256">
        <v>0</v>
      </c>
      <c r="J256">
        <v>6</v>
      </c>
      <c r="Q256"/>
    </row>
    <row r="257" spans="1:17" x14ac:dyDescent="0.25">
      <c r="A257">
        <v>1</v>
      </c>
      <c r="B257">
        <v>2016</v>
      </c>
      <c r="C257" t="s">
        <v>605</v>
      </c>
      <c r="D257" t="s">
        <v>606</v>
      </c>
      <c r="E257" t="s">
        <v>607</v>
      </c>
      <c r="F257" t="s">
        <v>608</v>
      </c>
      <c r="G257">
        <v>1138.32</v>
      </c>
      <c r="H257">
        <v>312</v>
      </c>
      <c r="I257">
        <v>736.56</v>
      </c>
      <c r="J257">
        <v>198</v>
      </c>
      <c r="Q257"/>
    </row>
    <row r="258" spans="1:17" x14ac:dyDescent="0.25">
      <c r="A258">
        <v>1</v>
      </c>
      <c r="B258">
        <v>2016</v>
      </c>
      <c r="C258" t="s">
        <v>605</v>
      </c>
      <c r="D258" t="s">
        <v>606</v>
      </c>
      <c r="E258" t="s">
        <v>609</v>
      </c>
      <c r="F258" t="s">
        <v>610</v>
      </c>
      <c r="G258">
        <v>257.04000000000002</v>
      </c>
      <c r="H258">
        <v>48</v>
      </c>
      <c r="I258">
        <v>109.98</v>
      </c>
      <c r="J258">
        <v>18</v>
      </c>
      <c r="Q258"/>
    </row>
    <row r="259" spans="1:17" x14ac:dyDescent="0.25">
      <c r="A259">
        <v>1</v>
      </c>
      <c r="B259">
        <v>2016</v>
      </c>
      <c r="C259" t="s">
        <v>605</v>
      </c>
      <c r="D259" t="s">
        <v>606</v>
      </c>
      <c r="E259" t="s">
        <v>611</v>
      </c>
      <c r="F259" t="s">
        <v>612</v>
      </c>
      <c r="G259">
        <v>1081.2</v>
      </c>
      <c r="H259">
        <v>528</v>
      </c>
      <c r="Q259"/>
    </row>
    <row r="260" spans="1:17" x14ac:dyDescent="0.25">
      <c r="A260">
        <v>1</v>
      </c>
      <c r="B260">
        <v>2016</v>
      </c>
      <c r="C260" t="s">
        <v>605</v>
      </c>
      <c r="D260" t="s">
        <v>606</v>
      </c>
      <c r="E260" t="s">
        <v>613</v>
      </c>
      <c r="F260" t="s">
        <v>614</v>
      </c>
      <c r="G260">
        <v>266</v>
      </c>
      <c r="H260">
        <v>266.60000000000002</v>
      </c>
      <c r="I260">
        <v>359.1</v>
      </c>
      <c r="J260">
        <v>359.91</v>
      </c>
      <c r="Q260"/>
    </row>
    <row r="261" spans="1:17" x14ac:dyDescent="0.25">
      <c r="A261">
        <v>1</v>
      </c>
      <c r="B261">
        <v>2016</v>
      </c>
      <c r="C261" t="s">
        <v>605</v>
      </c>
      <c r="D261" t="s">
        <v>606</v>
      </c>
      <c r="E261" t="s">
        <v>615</v>
      </c>
      <c r="F261" t="s">
        <v>614</v>
      </c>
      <c r="G261">
        <v>412.87</v>
      </c>
      <c r="H261">
        <v>360.18</v>
      </c>
      <c r="I261">
        <v>420.66</v>
      </c>
      <c r="J261">
        <v>366.85</v>
      </c>
      <c r="Q261"/>
    </row>
    <row r="262" spans="1:17" x14ac:dyDescent="0.25">
      <c r="A262">
        <v>1</v>
      </c>
      <c r="B262">
        <v>2016</v>
      </c>
      <c r="C262" t="s">
        <v>605</v>
      </c>
      <c r="D262" t="s">
        <v>606</v>
      </c>
      <c r="E262" t="s">
        <v>616</v>
      </c>
      <c r="F262" t="s">
        <v>617</v>
      </c>
      <c r="G262">
        <v>702</v>
      </c>
      <c r="H262">
        <v>533.20000000000005</v>
      </c>
      <c r="I262">
        <v>169.84</v>
      </c>
      <c r="J262">
        <v>146.63</v>
      </c>
      <c r="Q262"/>
    </row>
    <row r="263" spans="1:17" x14ac:dyDescent="0.25">
      <c r="A263">
        <v>1</v>
      </c>
      <c r="B263">
        <v>2016</v>
      </c>
      <c r="C263" t="s">
        <v>605</v>
      </c>
      <c r="D263" t="s">
        <v>606</v>
      </c>
      <c r="E263" t="s">
        <v>618</v>
      </c>
      <c r="F263" t="s">
        <v>617</v>
      </c>
      <c r="G263">
        <v>229.08</v>
      </c>
      <c r="H263">
        <v>153.41</v>
      </c>
      <c r="I263">
        <v>630.72</v>
      </c>
      <c r="J263">
        <v>480.24</v>
      </c>
      <c r="Q263"/>
    </row>
    <row r="264" spans="1:17" x14ac:dyDescent="0.25">
      <c r="A264">
        <v>1</v>
      </c>
      <c r="B264">
        <v>2016</v>
      </c>
      <c r="C264" t="s">
        <v>605</v>
      </c>
      <c r="D264" t="s">
        <v>606</v>
      </c>
      <c r="E264" t="s">
        <v>619</v>
      </c>
      <c r="F264" t="s">
        <v>620</v>
      </c>
      <c r="G264">
        <v>0</v>
      </c>
      <c r="H264">
        <v>6.67</v>
      </c>
      <c r="Q264"/>
    </row>
    <row r="265" spans="1:17" x14ac:dyDescent="0.25">
      <c r="A265">
        <v>1</v>
      </c>
      <c r="B265">
        <v>2016</v>
      </c>
      <c r="C265" t="s">
        <v>621</v>
      </c>
      <c r="D265" t="s">
        <v>622</v>
      </c>
      <c r="E265" t="s">
        <v>623</v>
      </c>
      <c r="F265" t="s">
        <v>624</v>
      </c>
      <c r="G265">
        <v>1043.4000000000001</v>
      </c>
      <c r="H265">
        <v>288</v>
      </c>
      <c r="I265">
        <v>691.2</v>
      </c>
      <c r="J265">
        <v>192</v>
      </c>
      <c r="Q265"/>
    </row>
    <row r="266" spans="1:17" x14ac:dyDescent="0.25">
      <c r="A266">
        <v>1</v>
      </c>
      <c r="B266">
        <v>2016</v>
      </c>
      <c r="C266" t="s">
        <v>621</v>
      </c>
      <c r="D266" t="s">
        <v>622</v>
      </c>
      <c r="E266" t="s">
        <v>625</v>
      </c>
      <c r="F266" t="s">
        <v>624</v>
      </c>
      <c r="G266">
        <v>421.8</v>
      </c>
      <c r="H266">
        <v>114</v>
      </c>
      <c r="I266">
        <v>712.8</v>
      </c>
      <c r="J266">
        <v>192</v>
      </c>
      <c r="Q266"/>
    </row>
    <row r="267" spans="1:17" x14ac:dyDescent="0.25">
      <c r="A267">
        <v>1</v>
      </c>
      <c r="B267">
        <v>2016</v>
      </c>
      <c r="C267" t="s">
        <v>626</v>
      </c>
      <c r="D267" t="s">
        <v>627</v>
      </c>
      <c r="E267" t="s">
        <v>628</v>
      </c>
      <c r="F267" t="s">
        <v>629</v>
      </c>
      <c r="G267">
        <v>618.24</v>
      </c>
      <c r="H267">
        <v>192</v>
      </c>
      <c r="I267">
        <v>37.92</v>
      </c>
      <c r="J267">
        <v>12</v>
      </c>
      <c r="Q267"/>
    </row>
    <row r="268" spans="1:17" x14ac:dyDescent="0.25">
      <c r="A268">
        <v>1</v>
      </c>
      <c r="B268">
        <v>2016</v>
      </c>
      <c r="C268" t="s">
        <v>630</v>
      </c>
      <c r="D268" t="s">
        <v>631</v>
      </c>
      <c r="E268" t="s">
        <v>632</v>
      </c>
      <c r="F268" t="s">
        <v>633</v>
      </c>
      <c r="G268">
        <v>483.6</v>
      </c>
      <c r="H268">
        <v>78</v>
      </c>
      <c r="I268">
        <v>216</v>
      </c>
      <c r="J268">
        <v>36</v>
      </c>
      <c r="Q268"/>
    </row>
    <row r="269" spans="1:17" x14ac:dyDescent="0.25">
      <c r="A269">
        <v>1</v>
      </c>
      <c r="B269">
        <v>2016</v>
      </c>
      <c r="C269" t="s">
        <v>630</v>
      </c>
      <c r="D269" t="s">
        <v>631</v>
      </c>
      <c r="E269" t="s">
        <v>634</v>
      </c>
      <c r="F269" t="s">
        <v>635</v>
      </c>
      <c r="G269">
        <v>78</v>
      </c>
      <c r="H269">
        <v>6</v>
      </c>
      <c r="Q269"/>
    </row>
    <row r="270" spans="1:17" x14ac:dyDescent="0.25">
      <c r="A270">
        <v>1</v>
      </c>
      <c r="B270">
        <v>2016</v>
      </c>
      <c r="C270" t="s">
        <v>630</v>
      </c>
      <c r="D270" t="s">
        <v>631</v>
      </c>
      <c r="E270" t="s">
        <v>636</v>
      </c>
      <c r="F270" t="s">
        <v>637</v>
      </c>
      <c r="G270">
        <v>100.8</v>
      </c>
      <c r="H270">
        <v>24</v>
      </c>
      <c r="Q270"/>
    </row>
    <row r="271" spans="1:17" x14ac:dyDescent="0.25">
      <c r="A271">
        <v>1</v>
      </c>
      <c r="B271">
        <v>2016</v>
      </c>
      <c r="C271" t="s">
        <v>638</v>
      </c>
      <c r="D271" t="s">
        <v>639</v>
      </c>
      <c r="E271" t="s">
        <v>640</v>
      </c>
      <c r="F271" t="s">
        <v>641</v>
      </c>
      <c r="G271">
        <v>235.6</v>
      </c>
      <c r="H271">
        <v>213.44</v>
      </c>
      <c r="I271">
        <v>285.87</v>
      </c>
      <c r="J271">
        <v>546.93999999999994</v>
      </c>
      <c r="Q271"/>
    </row>
    <row r="272" spans="1:17" x14ac:dyDescent="0.25">
      <c r="A272">
        <v>1</v>
      </c>
      <c r="B272">
        <v>2016</v>
      </c>
      <c r="C272" t="s">
        <v>638</v>
      </c>
      <c r="D272" t="s">
        <v>639</v>
      </c>
      <c r="E272" t="s">
        <v>642</v>
      </c>
      <c r="F272" t="s">
        <v>641</v>
      </c>
      <c r="G272">
        <v>1457.5</v>
      </c>
      <c r="H272">
        <v>1466.3</v>
      </c>
      <c r="I272">
        <v>684.72</v>
      </c>
      <c r="J272">
        <v>1746.23</v>
      </c>
      <c r="Q272"/>
    </row>
    <row r="273" spans="1:17" x14ac:dyDescent="0.25">
      <c r="A273">
        <v>1</v>
      </c>
      <c r="B273">
        <v>2016</v>
      </c>
      <c r="C273" t="s">
        <v>638</v>
      </c>
      <c r="D273" t="s">
        <v>639</v>
      </c>
      <c r="E273" t="s">
        <v>643</v>
      </c>
      <c r="F273" t="s">
        <v>644</v>
      </c>
      <c r="G273">
        <v>311.60000000000002</v>
      </c>
      <c r="H273">
        <v>1367.35</v>
      </c>
      <c r="I273">
        <v>557.08000000000004</v>
      </c>
      <c r="J273">
        <v>513.59</v>
      </c>
      <c r="Q273"/>
    </row>
    <row r="274" spans="1:17" x14ac:dyDescent="0.25">
      <c r="A274">
        <v>1</v>
      </c>
      <c r="B274">
        <v>2016</v>
      </c>
      <c r="C274" t="s">
        <v>638</v>
      </c>
      <c r="D274" t="s">
        <v>639</v>
      </c>
      <c r="E274" t="s">
        <v>645</v>
      </c>
      <c r="F274" t="s">
        <v>644</v>
      </c>
      <c r="G274">
        <v>675.75</v>
      </c>
      <c r="H274">
        <v>1786.22</v>
      </c>
      <c r="I274">
        <v>2853</v>
      </c>
      <c r="J274">
        <v>2999.25</v>
      </c>
      <c r="Q274"/>
    </row>
    <row r="275" spans="1:17" x14ac:dyDescent="0.25">
      <c r="A275">
        <v>1</v>
      </c>
      <c r="B275">
        <v>2016</v>
      </c>
      <c r="C275" t="s">
        <v>638</v>
      </c>
      <c r="D275" t="s">
        <v>639</v>
      </c>
      <c r="E275" t="s">
        <v>646</v>
      </c>
      <c r="F275" t="s">
        <v>647</v>
      </c>
      <c r="G275">
        <v>1252.8</v>
      </c>
      <c r="H275">
        <v>522</v>
      </c>
      <c r="I275">
        <v>782.88</v>
      </c>
      <c r="J275">
        <v>342</v>
      </c>
      <c r="Q275"/>
    </row>
    <row r="276" spans="1:17" x14ac:dyDescent="0.25">
      <c r="A276">
        <v>1</v>
      </c>
      <c r="B276">
        <v>2016</v>
      </c>
      <c r="C276" t="s">
        <v>638</v>
      </c>
      <c r="D276" t="s">
        <v>639</v>
      </c>
      <c r="E276" t="s">
        <v>648</v>
      </c>
      <c r="F276" t="s">
        <v>649</v>
      </c>
      <c r="G276">
        <v>133.19999999999999</v>
      </c>
      <c r="H276">
        <v>24</v>
      </c>
      <c r="Q276"/>
    </row>
    <row r="277" spans="1:17" x14ac:dyDescent="0.25">
      <c r="A277">
        <v>1</v>
      </c>
      <c r="B277">
        <v>2016</v>
      </c>
      <c r="C277" t="s">
        <v>638</v>
      </c>
      <c r="D277" t="s">
        <v>639</v>
      </c>
      <c r="E277" t="s">
        <v>650</v>
      </c>
      <c r="F277" t="s">
        <v>651</v>
      </c>
      <c r="G277">
        <v>422.4</v>
      </c>
      <c r="H277">
        <v>132</v>
      </c>
      <c r="I277">
        <v>0</v>
      </c>
      <c r="J277">
        <v>6</v>
      </c>
      <c r="Q277"/>
    </row>
    <row r="278" spans="1:17" x14ac:dyDescent="0.25">
      <c r="A278">
        <v>1</v>
      </c>
      <c r="B278">
        <v>2016</v>
      </c>
      <c r="C278" t="s">
        <v>638</v>
      </c>
      <c r="D278" t="s">
        <v>639</v>
      </c>
      <c r="E278" t="s">
        <v>652</v>
      </c>
      <c r="F278" t="s">
        <v>653</v>
      </c>
      <c r="G278">
        <v>131.30000000000001</v>
      </c>
      <c r="H278">
        <v>86.71</v>
      </c>
      <c r="I278">
        <v>194.6</v>
      </c>
      <c r="J278">
        <v>133.4</v>
      </c>
      <c r="Q278"/>
    </row>
    <row r="279" spans="1:17" x14ac:dyDescent="0.25">
      <c r="A279">
        <v>1</v>
      </c>
      <c r="B279">
        <v>2016</v>
      </c>
      <c r="C279" t="s">
        <v>638</v>
      </c>
      <c r="D279" t="s">
        <v>639</v>
      </c>
      <c r="E279" t="s">
        <v>654</v>
      </c>
      <c r="F279" t="s">
        <v>655</v>
      </c>
      <c r="G279">
        <v>345.6</v>
      </c>
      <c r="H279">
        <v>102</v>
      </c>
      <c r="I279">
        <v>466.48</v>
      </c>
      <c r="J279">
        <v>144</v>
      </c>
      <c r="Q279"/>
    </row>
    <row r="280" spans="1:17" x14ac:dyDescent="0.25">
      <c r="A280">
        <v>1</v>
      </c>
      <c r="B280">
        <v>2016</v>
      </c>
      <c r="C280" t="s">
        <v>638</v>
      </c>
      <c r="D280" t="s">
        <v>639</v>
      </c>
      <c r="E280" t="s">
        <v>656</v>
      </c>
      <c r="F280" t="s">
        <v>657</v>
      </c>
      <c r="G280">
        <v>40.5</v>
      </c>
      <c r="H280">
        <v>12</v>
      </c>
      <c r="I280">
        <v>156.66</v>
      </c>
      <c r="J280">
        <v>42</v>
      </c>
      <c r="Q280"/>
    </row>
    <row r="281" spans="1:17" x14ac:dyDescent="0.25">
      <c r="A281">
        <v>1</v>
      </c>
      <c r="B281">
        <v>2016</v>
      </c>
      <c r="C281" t="s">
        <v>638</v>
      </c>
      <c r="D281" t="s">
        <v>639</v>
      </c>
      <c r="E281" t="s">
        <v>658</v>
      </c>
      <c r="F281" t="s">
        <v>659</v>
      </c>
      <c r="G281">
        <v>360</v>
      </c>
      <c r="H281">
        <v>120</v>
      </c>
      <c r="I281">
        <v>207.36</v>
      </c>
      <c r="J281">
        <v>72</v>
      </c>
      <c r="Q281"/>
    </row>
    <row r="282" spans="1:17" x14ac:dyDescent="0.25">
      <c r="A282">
        <v>1</v>
      </c>
      <c r="B282">
        <v>2016</v>
      </c>
      <c r="C282" t="s">
        <v>638</v>
      </c>
      <c r="D282" t="s">
        <v>639</v>
      </c>
      <c r="E282" t="s">
        <v>660</v>
      </c>
      <c r="F282" t="s">
        <v>661</v>
      </c>
      <c r="G282">
        <v>288</v>
      </c>
      <c r="H282">
        <v>90</v>
      </c>
      <c r="Q282"/>
    </row>
    <row r="283" spans="1:17" x14ac:dyDescent="0.25">
      <c r="A283">
        <v>1</v>
      </c>
      <c r="B283">
        <v>2016</v>
      </c>
      <c r="C283" t="s">
        <v>638</v>
      </c>
      <c r="D283" t="s">
        <v>639</v>
      </c>
      <c r="E283" t="s">
        <v>662</v>
      </c>
      <c r="F283" t="s">
        <v>663</v>
      </c>
      <c r="G283">
        <v>0</v>
      </c>
      <c r="H283">
        <v>196</v>
      </c>
      <c r="I283">
        <v>77.16</v>
      </c>
      <c r="J283">
        <v>48</v>
      </c>
      <c r="Q283"/>
    </row>
    <row r="284" spans="1:17" x14ac:dyDescent="0.25">
      <c r="A284">
        <v>1</v>
      </c>
      <c r="B284">
        <v>2016</v>
      </c>
      <c r="C284" t="s">
        <v>638</v>
      </c>
      <c r="D284" t="s">
        <v>639</v>
      </c>
      <c r="E284" t="s">
        <v>664</v>
      </c>
      <c r="F284" t="s">
        <v>665</v>
      </c>
      <c r="G284">
        <v>136.80000000000001</v>
      </c>
      <c r="H284">
        <v>72</v>
      </c>
      <c r="Q284"/>
    </row>
    <row r="285" spans="1:17" x14ac:dyDescent="0.25">
      <c r="A285">
        <v>1</v>
      </c>
      <c r="B285">
        <v>2016</v>
      </c>
      <c r="C285" t="s">
        <v>638</v>
      </c>
      <c r="D285" t="s">
        <v>639</v>
      </c>
      <c r="E285" t="s">
        <v>666</v>
      </c>
      <c r="F285" t="s">
        <v>665</v>
      </c>
      <c r="G285">
        <v>-22.8</v>
      </c>
      <c r="H285">
        <v>-12</v>
      </c>
      <c r="Q285"/>
    </row>
    <row r="286" spans="1:17" x14ac:dyDescent="0.25">
      <c r="A286">
        <v>1</v>
      </c>
      <c r="B286">
        <v>2016</v>
      </c>
      <c r="C286" t="s">
        <v>667</v>
      </c>
      <c r="D286" t="s">
        <v>668</v>
      </c>
      <c r="E286" t="s">
        <v>669</v>
      </c>
      <c r="F286" t="s">
        <v>670</v>
      </c>
      <c r="G286">
        <v>538.55999999999995</v>
      </c>
      <c r="H286">
        <v>270</v>
      </c>
      <c r="I286">
        <v>582.12</v>
      </c>
      <c r="J286">
        <v>300</v>
      </c>
      <c r="Q286"/>
    </row>
    <row r="287" spans="1:17" x14ac:dyDescent="0.25">
      <c r="A287">
        <v>1</v>
      </c>
      <c r="B287">
        <v>2016</v>
      </c>
      <c r="C287" t="s">
        <v>667</v>
      </c>
      <c r="D287" t="s">
        <v>668</v>
      </c>
      <c r="E287" t="s">
        <v>671</v>
      </c>
      <c r="F287" t="s">
        <v>670</v>
      </c>
      <c r="G287">
        <v>293.76</v>
      </c>
      <c r="H287">
        <v>144</v>
      </c>
      <c r="I287">
        <v>415.8</v>
      </c>
      <c r="J287">
        <v>210</v>
      </c>
      <c r="Q287"/>
    </row>
    <row r="288" spans="1:17" x14ac:dyDescent="0.25">
      <c r="A288">
        <v>1</v>
      </c>
      <c r="B288">
        <v>2016</v>
      </c>
      <c r="C288" t="s">
        <v>667</v>
      </c>
      <c r="D288" t="s">
        <v>668</v>
      </c>
      <c r="E288" t="s">
        <v>672</v>
      </c>
      <c r="F288" t="s">
        <v>670</v>
      </c>
      <c r="G288">
        <v>0</v>
      </c>
      <c r="H288">
        <v>6</v>
      </c>
      <c r="I288">
        <v>249.48</v>
      </c>
      <c r="J288">
        <v>126</v>
      </c>
      <c r="Q288"/>
    </row>
    <row r="289" spans="1:17" x14ac:dyDescent="0.25">
      <c r="A289">
        <v>1</v>
      </c>
      <c r="B289">
        <v>2016</v>
      </c>
      <c r="C289" t="s">
        <v>667</v>
      </c>
      <c r="D289" t="s">
        <v>668</v>
      </c>
      <c r="E289" t="s">
        <v>673</v>
      </c>
      <c r="F289" t="s">
        <v>674</v>
      </c>
      <c r="G289">
        <v>33.24</v>
      </c>
      <c r="H289">
        <v>18</v>
      </c>
      <c r="Q289"/>
    </row>
    <row r="290" spans="1:17" x14ac:dyDescent="0.25">
      <c r="A290">
        <v>1</v>
      </c>
      <c r="B290">
        <v>2016</v>
      </c>
      <c r="C290" t="s">
        <v>667</v>
      </c>
      <c r="D290" t="s">
        <v>668</v>
      </c>
      <c r="E290" t="s">
        <v>675</v>
      </c>
      <c r="F290" t="s">
        <v>674</v>
      </c>
      <c r="G290">
        <v>66.48</v>
      </c>
      <c r="H290">
        <v>30</v>
      </c>
      <c r="Q290"/>
    </row>
    <row r="291" spans="1:17" x14ac:dyDescent="0.25">
      <c r="A291">
        <v>1</v>
      </c>
      <c r="B291">
        <v>2016</v>
      </c>
      <c r="C291" t="s">
        <v>667</v>
      </c>
      <c r="D291" t="s">
        <v>668</v>
      </c>
      <c r="E291" t="s">
        <v>676</v>
      </c>
      <c r="F291" t="s">
        <v>674</v>
      </c>
      <c r="G291">
        <v>66.48</v>
      </c>
      <c r="H291">
        <v>24</v>
      </c>
      <c r="Q291"/>
    </row>
    <row r="292" spans="1:17" x14ac:dyDescent="0.25">
      <c r="A292">
        <v>1</v>
      </c>
      <c r="B292">
        <v>2016</v>
      </c>
      <c r="C292" t="s">
        <v>667</v>
      </c>
      <c r="D292" t="s">
        <v>668</v>
      </c>
      <c r="E292" t="s">
        <v>677</v>
      </c>
      <c r="F292" t="s">
        <v>678</v>
      </c>
      <c r="G292">
        <v>13.08</v>
      </c>
      <c r="H292">
        <v>6</v>
      </c>
      <c r="Q292"/>
    </row>
    <row r="293" spans="1:17" x14ac:dyDescent="0.25">
      <c r="A293">
        <v>1</v>
      </c>
      <c r="B293">
        <v>2016</v>
      </c>
      <c r="C293" t="s">
        <v>667</v>
      </c>
      <c r="D293" t="s">
        <v>668</v>
      </c>
      <c r="E293" t="s">
        <v>679</v>
      </c>
      <c r="F293" t="s">
        <v>680</v>
      </c>
      <c r="G293">
        <v>35.6</v>
      </c>
      <c r="H293">
        <v>26.68</v>
      </c>
      <c r="Q293"/>
    </row>
    <row r="294" spans="1:17" x14ac:dyDescent="0.25">
      <c r="A294">
        <v>1</v>
      </c>
      <c r="B294">
        <v>2016</v>
      </c>
      <c r="C294" t="s">
        <v>681</v>
      </c>
      <c r="D294" t="s">
        <v>682</v>
      </c>
      <c r="E294" t="s">
        <v>683</v>
      </c>
      <c r="F294" t="s">
        <v>684</v>
      </c>
      <c r="G294">
        <v>620.4</v>
      </c>
      <c r="H294">
        <v>282</v>
      </c>
      <c r="I294">
        <v>453.6</v>
      </c>
      <c r="J294">
        <v>216</v>
      </c>
      <c r="Q294"/>
    </row>
    <row r="295" spans="1:17" x14ac:dyDescent="0.25">
      <c r="A295">
        <v>1</v>
      </c>
      <c r="B295">
        <v>2016</v>
      </c>
      <c r="C295" t="s">
        <v>681</v>
      </c>
      <c r="D295" t="s">
        <v>682</v>
      </c>
      <c r="E295" t="s">
        <v>685</v>
      </c>
      <c r="F295" t="s">
        <v>686</v>
      </c>
      <c r="G295">
        <v>42.3</v>
      </c>
      <c r="H295">
        <v>18</v>
      </c>
      <c r="I295">
        <v>28.2</v>
      </c>
      <c r="J295">
        <v>18</v>
      </c>
      <c r="Q295"/>
    </row>
    <row r="296" spans="1:17" x14ac:dyDescent="0.25">
      <c r="A296">
        <v>1</v>
      </c>
      <c r="B296">
        <v>2016</v>
      </c>
      <c r="C296" t="s">
        <v>681</v>
      </c>
      <c r="D296" t="s">
        <v>682</v>
      </c>
      <c r="E296" t="s">
        <v>687</v>
      </c>
      <c r="F296" t="s">
        <v>688</v>
      </c>
      <c r="G296">
        <v>153.30000000000001</v>
      </c>
      <c r="H296">
        <v>42</v>
      </c>
      <c r="I296">
        <v>175.2</v>
      </c>
      <c r="J296">
        <v>60</v>
      </c>
      <c r="Q296"/>
    </row>
    <row r="297" spans="1:17" x14ac:dyDescent="0.25">
      <c r="A297">
        <v>1</v>
      </c>
      <c r="B297">
        <v>2016</v>
      </c>
      <c r="C297" t="s">
        <v>681</v>
      </c>
      <c r="D297" t="s">
        <v>682</v>
      </c>
      <c r="E297" t="s">
        <v>689</v>
      </c>
      <c r="F297" t="s">
        <v>690</v>
      </c>
      <c r="G297">
        <v>141</v>
      </c>
      <c r="H297">
        <v>66</v>
      </c>
      <c r="Q297"/>
    </row>
    <row r="298" spans="1:17" x14ac:dyDescent="0.25">
      <c r="A298">
        <v>1</v>
      </c>
      <c r="B298">
        <v>2016</v>
      </c>
      <c r="C298" t="s">
        <v>691</v>
      </c>
      <c r="D298" t="s">
        <v>692</v>
      </c>
      <c r="E298" t="s">
        <v>693</v>
      </c>
      <c r="F298" t="s">
        <v>694</v>
      </c>
      <c r="G298">
        <v>369.6</v>
      </c>
      <c r="H298">
        <v>90</v>
      </c>
      <c r="Q298"/>
    </row>
    <row r="299" spans="1:17" x14ac:dyDescent="0.25">
      <c r="A299">
        <v>1</v>
      </c>
      <c r="B299">
        <v>2016</v>
      </c>
      <c r="C299" t="s">
        <v>691</v>
      </c>
      <c r="D299" t="s">
        <v>692</v>
      </c>
      <c r="E299" t="s">
        <v>695</v>
      </c>
      <c r="F299" t="s">
        <v>696</v>
      </c>
      <c r="G299">
        <v>0</v>
      </c>
      <c r="H299">
        <v>6</v>
      </c>
      <c r="Q299"/>
    </row>
    <row r="300" spans="1:17" x14ac:dyDescent="0.25">
      <c r="A300">
        <v>1</v>
      </c>
      <c r="B300">
        <v>2016</v>
      </c>
      <c r="C300" t="s">
        <v>691</v>
      </c>
      <c r="D300" t="s">
        <v>692</v>
      </c>
      <c r="E300" t="s">
        <v>697</v>
      </c>
      <c r="F300" t="s">
        <v>698</v>
      </c>
      <c r="G300">
        <v>0</v>
      </c>
      <c r="H300">
        <v>6</v>
      </c>
      <c r="Q300"/>
    </row>
    <row r="301" spans="1:17" x14ac:dyDescent="0.25">
      <c r="A301">
        <v>1</v>
      </c>
      <c r="B301">
        <v>2016</v>
      </c>
      <c r="C301" t="s">
        <v>691</v>
      </c>
      <c r="D301" t="s">
        <v>692</v>
      </c>
      <c r="E301" t="s">
        <v>699</v>
      </c>
      <c r="F301" t="s">
        <v>700</v>
      </c>
      <c r="G301">
        <v>488.4</v>
      </c>
      <c r="H301">
        <v>132</v>
      </c>
      <c r="Q301"/>
    </row>
    <row r="302" spans="1:17" x14ac:dyDescent="0.25">
      <c r="A302">
        <v>1</v>
      </c>
      <c r="B302">
        <v>2016</v>
      </c>
      <c r="C302" t="s">
        <v>691</v>
      </c>
      <c r="D302" t="s">
        <v>692</v>
      </c>
      <c r="E302" t="s">
        <v>701</v>
      </c>
      <c r="F302" t="s">
        <v>700</v>
      </c>
      <c r="G302">
        <v>0</v>
      </c>
      <c r="H302">
        <v>12</v>
      </c>
      <c r="Q302"/>
    </row>
    <row r="303" spans="1:17" x14ac:dyDescent="0.25">
      <c r="A303">
        <v>1</v>
      </c>
      <c r="B303">
        <v>2016</v>
      </c>
      <c r="C303" t="s">
        <v>691</v>
      </c>
      <c r="D303" t="s">
        <v>692</v>
      </c>
      <c r="E303" t="s">
        <v>702</v>
      </c>
      <c r="F303" t="s">
        <v>703</v>
      </c>
      <c r="G303">
        <v>0</v>
      </c>
      <c r="H303">
        <v>6</v>
      </c>
      <c r="Q303"/>
    </row>
    <row r="304" spans="1:17" x14ac:dyDescent="0.25">
      <c r="A304">
        <v>2</v>
      </c>
      <c r="B304">
        <v>2016</v>
      </c>
      <c r="C304" t="s">
        <v>47</v>
      </c>
      <c r="D304" t="s">
        <v>48</v>
      </c>
      <c r="E304" t="s">
        <v>49</v>
      </c>
      <c r="F304" t="s">
        <v>50</v>
      </c>
      <c r="G304">
        <v>2184.84</v>
      </c>
      <c r="H304">
        <v>1934.3</v>
      </c>
      <c r="I304">
        <v>2058.6</v>
      </c>
      <c r="J304">
        <v>1914.29</v>
      </c>
      <c r="Q304"/>
    </row>
    <row r="305" spans="1:17" x14ac:dyDescent="0.25">
      <c r="A305">
        <v>2</v>
      </c>
      <c r="B305">
        <v>2016</v>
      </c>
      <c r="C305" t="s">
        <v>47</v>
      </c>
      <c r="D305" t="s">
        <v>48</v>
      </c>
      <c r="E305" t="s">
        <v>51</v>
      </c>
      <c r="F305" t="s">
        <v>52</v>
      </c>
      <c r="G305">
        <v>7115.25</v>
      </c>
      <c r="H305">
        <v>7211.53</v>
      </c>
      <c r="I305">
        <v>6387.2</v>
      </c>
      <c r="J305">
        <v>6718.32</v>
      </c>
      <c r="Q305"/>
    </row>
    <row r="306" spans="1:17" x14ac:dyDescent="0.25">
      <c r="A306">
        <v>2</v>
      </c>
      <c r="B306">
        <v>2016</v>
      </c>
      <c r="C306" t="s">
        <v>47</v>
      </c>
      <c r="D306" t="s">
        <v>48</v>
      </c>
      <c r="E306" t="s">
        <v>53</v>
      </c>
      <c r="F306" t="s">
        <v>54</v>
      </c>
      <c r="G306">
        <v>4822.95</v>
      </c>
      <c r="H306">
        <v>5438.64</v>
      </c>
      <c r="I306">
        <v>4058.4</v>
      </c>
      <c r="J306">
        <v>4772.1400000000003</v>
      </c>
      <c r="Q306"/>
    </row>
    <row r="307" spans="1:17" x14ac:dyDescent="0.25">
      <c r="A307">
        <v>2</v>
      </c>
      <c r="B307">
        <v>2016</v>
      </c>
      <c r="C307" t="s">
        <v>47</v>
      </c>
      <c r="D307" t="s">
        <v>48</v>
      </c>
      <c r="E307" t="s">
        <v>55</v>
      </c>
      <c r="F307" t="s">
        <v>54</v>
      </c>
      <c r="G307">
        <v>1127.8800000000001</v>
      </c>
      <c r="H307">
        <v>1047.19</v>
      </c>
      <c r="I307">
        <v>757.55</v>
      </c>
      <c r="J307">
        <v>787.06</v>
      </c>
      <c r="Q307"/>
    </row>
    <row r="308" spans="1:17" x14ac:dyDescent="0.25">
      <c r="A308">
        <v>2</v>
      </c>
      <c r="B308">
        <v>2016</v>
      </c>
      <c r="C308" t="s">
        <v>47</v>
      </c>
      <c r="D308" t="s">
        <v>48</v>
      </c>
      <c r="E308" t="s">
        <v>56</v>
      </c>
      <c r="F308" t="s">
        <v>57</v>
      </c>
      <c r="G308">
        <v>1273.8</v>
      </c>
      <c r="H308">
        <v>1479.63</v>
      </c>
      <c r="I308">
        <v>2462.4</v>
      </c>
      <c r="J308">
        <v>3052.57</v>
      </c>
      <c r="Q308"/>
    </row>
    <row r="309" spans="1:17" x14ac:dyDescent="0.25">
      <c r="A309">
        <v>2</v>
      </c>
      <c r="B309">
        <v>2016</v>
      </c>
      <c r="C309" t="s">
        <v>47</v>
      </c>
      <c r="D309" t="s">
        <v>48</v>
      </c>
      <c r="E309" t="s">
        <v>58</v>
      </c>
      <c r="F309" t="s">
        <v>59</v>
      </c>
      <c r="G309">
        <v>269.39999999999998</v>
      </c>
      <c r="H309">
        <v>346.71000000000004</v>
      </c>
      <c r="I309">
        <v>4641</v>
      </c>
      <c r="J309">
        <v>6347.46</v>
      </c>
      <c r="Q309"/>
    </row>
    <row r="310" spans="1:17" x14ac:dyDescent="0.25">
      <c r="A310">
        <v>2</v>
      </c>
      <c r="B310">
        <v>2016</v>
      </c>
      <c r="C310" t="s">
        <v>47</v>
      </c>
      <c r="D310" t="s">
        <v>48</v>
      </c>
      <c r="E310" t="s">
        <v>60</v>
      </c>
      <c r="F310" t="s">
        <v>59</v>
      </c>
      <c r="G310">
        <v>112.25</v>
      </c>
      <c r="H310">
        <v>133.35000000000002</v>
      </c>
      <c r="I310">
        <v>760.5</v>
      </c>
      <c r="J310">
        <v>1040.1300000000001</v>
      </c>
      <c r="Q310"/>
    </row>
    <row r="311" spans="1:17" x14ac:dyDescent="0.25">
      <c r="A311">
        <v>2</v>
      </c>
      <c r="B311">
        <v>2016</v>
      </c>
      <c r="C311" t="s">
        <v>47</v>
      </c>
      <c r="D311" t="s">
        <v>48</v>
      </c>
      <c r="E311" t="s">
        <v>61</v>
      </c>
      <c r="F311" t="s">
        <v>62</v>
      </c>
      <c r="G311">
        <v>1143.9000000000001</v>
      </c>
      <c r="H311">
        <v>840.42</v>
      </c>
      <c r="I311">
        <v>1496</v>
      </c>
      <c r="J311">
        <v>1153.9100000000001</v>
      </c>
      <c r="Q311"/>
    </row>
    <row r="312" spans="1:17" x14ac:dyDescent="0.25">
      <c r="A312">
        <v>2</v>
      </c>
      <c r="B312">
        <v>2016</v>
      </c>
      <c r="C312" t="s">
        <v>47</v>
      </c>
      <c r="D312" t="s">
        <v>48</v>
      </c>
      <c r="E312" t="s">
        <v>63</v>
      </c>
      <c r="F312" t="s">
        <v>64</v>
      </c>
      <c r="G312">
        <v>2168.12</v>
      </c>
      <c r="H312">
        <v>1786.22</v>
      </c>
      <c r="I312">
        <v>1852.6</v>
      </c>
      <c r="J312">
        <v>1572.94</v>
      </c>
      <c r="Q312"/>
    </row>
    <row r="313" spans="1:17" x14ac:dyDescent="0.25">
      <c r="A313">
        <v>2</v>
      </c>
      <c r="B313">
        <v>2016</v>
      </c>
      <c r="C313" t="s">
        <v>47</v>
      </c>
      <c r="D313" t="s">
        <v>48</v>
      </c>
      <c r="E313" t="s">
        <v>65</v>
      </c>
      <c r="F313" t="s">
        <v>64</v>
      </c>
      <c r="G313">
        <v>1310.58</v>
      </c>
      <c r="H313">
        <v>1079.73</v>
      </c>
      <c r="I313">
        <v>1679.9</v>
      </c>
      <c r="J313">
        <v>1426.31</v>
      </c>
      <c r="Q313"/>
    </row>
    <row r="314" spans="1:17" x14ac:dyDescent="0.25">
      <c r="A314">
        <v>2</v>
      </c>
      <c r="B314">
        <v>2016</v>
      </c>
      <c r="C314" t="s">
        <v>47</v>
      </c>
      <c r="D314" t="s">
        <v>48</v>
      </c>
      <c r="E314" t="s">
        <v>66</v>
      </c>
      <c r="F314" t="s">
        <v>64</v>
      </c>
      <c r="G314">
        <v>998.8</v>
      </c>
      <c r="H314">
        <v>733.7</v>
      </c>
      <c r="I314">
        <v>1504.8</v>
      </c>
      <c r="J314">
        <v>1167.25</v>
      </c>
      <c r="Q314"/>
    </row>
    <row r="315" spans="1:17" x14ac:dyDescent="0.25">
      <c r="A315">
        <v>2</v>
      </c>
      <c r="B315">
        <v>2016</v>
      </c>
      <c r="C315" t="s">
        <v>47</v>
      </c>
      <c r="D315" t="s">
        <v>48</v>
      </c>
      <c r="E315" t="s">
        <v>67</v>
      </c>
      <c r="F315" t="s">
        <v>68</v>
      </c>
      <c r="G315">
        <v>3073.72</v>
      </c>
      <c r="H315">
        <v>3465.8</v>
      </c>
      <c r="I315">
        <v>2760</v>
      </c>
      <c r="J315">
        <v>3225.86</v>
      </c>
      <c r="Q315"/>
    </row>
    <row r="316" spans="1:17" x14ac:dyDescent="0.25">
      <c r="A316">
        <v>2</v>
      </c>
      <c r="B316">
        <v>2016</v>
      </c>
      <c r="C316" t="s">
        <v>47</v>
      </c>
      <c r="D316" t="s">
        <v>48</v>
      </c>
      <c r="E316" t="s">
        <v>69</v>
      </c>
      <c r="F316" t="s">
        <v>68</v>
      </c>
      <c r="G316">
        <v>1160</v>
      </c>
      <c r="H316">
        <v>1073.8699999999999</v>
      </c>
      <c r="I316">
        <v>1723.6</v>
      </c>
      <c r="J316">
        <v>1714.19</v>
      </c>
      <c r="Q316"/>
    </row>
    <row r="317" spans="1:17" x14ac:dyDescent="0.25">
      <c r="A317">
        <v>2</v>
      </c>
      <c r="B317">
        <v>2016</v>
      </c>
      <c r="C317" t="s">
        <v>47</v>
      </c>
      <c r="D317" t="s">
        <v>48</v>
      </c>
      <c r="E317" t="s">
        <v>70</v>
      </c>
      <c r="F317" t="s">
        <v>71</v>
      </c>
      <c r="G317">
        <v>1440</v>
      </c>
      <c r="H317">
        <v>600</v>
      </c>
      <c r="I317">
        <v>880.9</v>
      </c>
      <c r="J317">
        <v>390</v>
      </c>
      <c r="Q317"/>
    </row>
    <row r="318" spans="1:17" x14ac:dyDescent="0.25">
      <c r="A318">
        <v>2</v>
      </c>
      <c r="B318">
        <v>2016</v>
      </c>
      <c r="C318" t="s">
        <v>47</v>
      </c>
      <c r="D318" t="s">
        <v>48</v>
      </c>
      <c r="E318" t="s">
        <v>72</v>
      </c>
      <c r="F318" t="s">
        <v>73</v>
      </c>
      <c r="G318">
        <v>21.84</v>
      </c>
      <c r="H318">
        <v>12</v>
      </c>
      <c r="Q318"/>
    </row>
    <row r="319" spans="1:17" x14ac:dyDescent="0.25">
      <c r="A319">
        <v>2</v>
      </c>
      <c r="B319">
        <v>2016</v>
      </c>
      <c r="C319" t="s">
        <v>47</v>
      </c>
      <c r="D319" t="s">
        <v>48</v>
      </c>
      <c r="E319" t="s">
        <v>76</v>
      </c>
      <c r="F319" t="s">
        <v>77</v>
      </c>
      <c r="G319">
        <v>24</v>
      </c>
      <c r="H319">
        <v>12</v>
      </c>
      <c r="Q319"/>
    </row>
    <row r="320" spans="1:17" x14ac:dyDescent="0.25">
      <c r="A320">
        <v>2</v>
      </c>
      <c r="B320">
        <v>2016</v>
      </c>
      <c r="C320" t="s">
        <v>47</v>
      </c>
      <c r="D320" t="s">
        <v>48</v>
      </c>
      <c r="E320" t="s">
        <v>78</v>
      </c>
      <c r="F320" t="s">
        <v>73</v>
      </c>
      <c r="G320">
        <v>78.84</v>
      </c>
      <c r="H320">
        <v>36</v>
      </c>
      <c r="Q320"/>
    </row>
    <row r="321" spans="1:17" x14ac:dyDescent="0.25">
      <c r="A321">
        <v>2</v>
      </c>
      <c r="B321">
        <v>2016</v>
      </c>
      <c r="C321" t="s">
        <v>47</v>
      </c>
      <c r="D321" t="s">
        <v>48</v>
      </c>
      <c r="E321" t="s">
        <v>704</v>
      </c>
      <c r="F321" t="s">
        <v>705</v>
      </c>
      <c r="G321">
        <v>413.28</v>
      </c>
      <c r="H321">
        <v>144</v>
      </c>
      <c r="Q321"/>
    </row>
    <row r="322" spans="1:17" x14ac:dyDescent="0.25">
      <c r="A322">
        <v>2</v>
      </c>
      <c r="B322">
        <v>2016</v>
      </c>
      <c r="C322" t="s">
        <v>47</v>
      </c>
      <c r="D322" t="s">
        <v>48</v>
      </c>
      <c r="E322" t="s">
        <v>87</v>
      </c>
      <c r="F322" t="s">
        <v>88</v>
      </c>
      <c r="G322">
        <v>170.82</v>
      </c>
      <c r="H322">
        <v>78</v>
      </c>
      <c r="Q322"/>
    </row>
    <row r="323" spans="1:17" x14ac:dyDescent="0.25">
      <c r="A323">
        <v>2</v>
      </c>
      <c r="B323">
        <v>2016</v>
      </c>
      <c r="C323" t="s">
        <v>47</v>
      </c>
      <c r="D323" t="s">
        <v>48</v>
      </c>
      <c r="E323" t="s">
        <v>89</v>
      </c>
      <c r="F323" t="s">
        <v>90</v>
      </c>
      <c r="G323">
        <v>249.12</v>
      </c>
      <c r="H323">
        <v>144</v>
      </c>
      <c r="I323">
        <v>378.48</v>
      </c>
      <c r="J323">
        <v>228</v>
      </c>
      <c r="Q323"/>
    </row>
    <row r="324" spans="1:17" x14ac:dyDescent="0.25">
      <c r="A324">
        <v>2</v>
      </c>
      <c r="B324">
        <v>2016</v>
      </c>
      <c r="C324" t="s">
        <v>47</v>
      </c>
      <c r="D324" t="s">
        <v>48</v>
      </c>
      <c r="E324" t="s">
        <v>91</v>
      </c>
      <c r="F324" t="s">
        <v>92</v>
      </c>
      <c r="G324">
        <v>41.52</v>
      </c>
      <c r="H324">
        <v>24</v>
      </c>
      <c r="Q324"/>
    </row>
    <row r="325" spans="1:17" x14ac:dyDescent="0.25">
      <c r="A325">
        <v>2</v>
      </c>
      <c r="B325">
        <v>2016</v>
      </c>
      <c r="C325" t="s">
        <v>47</v>
      </c>
      <c r="D325" t="s">
        <v>48</v>
      </c>
      <c r="E325" t="s">
        <v>101</v>
      </c>
      <c r="F325" t="s">
        <v>102</v>
      </c>
      <c r="G325">
        <v>-91.6</v>
      </c>
      <c r="H325">
        <v>-106.68</v>
      </c>
      <c r="Q325"/>
    </row>
    <row r="326" spans="1:17" x14ac:dyDescent="0.25">
      <c r="A326">
        <v>2</v>
      </c>
      <c r="B326">
        <v>2016</v>
      </c>
      <c r="C326" t="s">
        <v>47</v>
      </c>
      <c r="D326" t="s">
        <v>48</v>
      </c>
      <c r="E326" t="s">
        <v>103</v>
      </c>
      <c r="F326" t="s">
        <v>98</v>
      </c>
      <c r="G326">
        <v>108</v>
      </c>
      <c r="H326">
        <v>133.30000000000001</v>
      </c>
      <c r="I326">
        <v>205.2</v>
      </c>
      <c r="J326">
        <v>253.27</v>
      </c>
      <c r="Q326"/>
    </row>
    <row r="327" spans="1:17" x14ac:dyDescent="0.25">
      <c r="A327">
        <v>2</v>
      </c>
      <c r="B327">
        <v>2016</v>
      </c>
      <c r="C327" t="s">
        <v>104</v>
      </c>
      <c r="D327" t="s">
        <v>105</v>
      </c>
      <c r="E327" t="s">
        <v>706</v>
      </c>
      <c r="F327" t="s">
        <v>707</v>
      </c>
      <c r="G327">
        <v>21.9</v>
      </c>
      <c r="H327">
        <v>6</v>
      </c>
      <c r="Q327"/>
    </row>
    <row r="328" spans="1:17" x14ac:dyDescent="0.25">
      <c r="A328">
        <v>2</v>
      </c>
      <c r="B328">
        <v>2016</v>
      </c>
      <c r="C328" t="s">
        <v>104</v>
      </c>
      <c r="D328" t="s">
        <v>105</v>
      </c>
      <c r="E328" t="s">
        <v>106</v>
      </c>
      <c r="F328" t="s">
        <v>107</v>
      </c>
      <c r="G328">
        <v>319.8</v>
      </c>
      <c r="H328">
        <v>78</v>
      </c>
      <c r="I328">
        <v>257.39999999999998</v>
      </c>
      <c r="J328">
        <v>66</v>
      </c>
      <c r="Q328"/>
    </row>
    <row r="329" spans="1:17" x14ac:dyDescent="0.25">
      <c r="A329">
        <v>2</v>
      </c>
      <c r="B329">
        <v>2016</v>
      </c>
      <c r="C329" t="s">
        <v>104</v>
      </c>
      <c r="D329" t="s">
        <v>105</v>
      </c>
      <c r="E329" t="s">
        <v>108</v>
      </c>
      <c r="F329" t="s">
        <v>109</v>
      </c>
      <c r="G329">
        <v>93.6</v>
      </c>
      <c r="H329">
        <v>18</v>
      </c>
      <c r="Q329"/>
    </row>
    <row r="330" spans="1:17" x14ac:dyDescent="0.25">
      <c r="A330">
        <v>2</v>
      </c>
      <c r="B330">
        <v>2016</v>
      </c>
      <c r="C330" t="s">
        <v>104</v>
      </c>
      <c r="D330" t="s">
        <v>105</v>
      </c>
      <c r="E330" t="s">
        <v>110</v>
      </c>
      <c r="F330" t="s">
        <v>111</v>
      </c>
      <c r="G330">
        <v>40.5</v>
      </c>
      <c r="H330">
        <v>6</v>
      </c>
      <c r="I330">
        <v>268.8</v>
      </c>
      <c r="J330">
        <v>42</v>
      </c>
      <c r="Q330"/>
    </row>
    <row r="331" spans="1:17" x14ac:dyDescent="0.25">
      <c r="A331">
        <v>2</v>
      </c>
      <c r="B331">
        <v>2016</v>
      </c>
      <c r="C331" t="s">
        <v>104</v>
      </c>
      <c r="D331" t="s">
        <v>105</v>
      </c>
      <c r="E331" t="s">
        <v>114</v>
      </c>
      <c r="F331" t="s">
        <v>115</v>
      </c>
      <c r="G331">
        <v>354</v>
      </c>
      <c r="H331">
        <v>60</v>
      </c>
      <c r="I331">
        <v>134.4</v>
      </c>
      <c r="J331">
        <v>24</v>
      </c>
      <c r="Q331"/>
    </row>
    <row r="332" spans="1:17" x14ac:dyDescent="0.25">
      <c r="A332">
        <v>2</v>
      </c>
      <c r="B332">
        <v>2016</v>
      </c>
      <c r="C332" t="s">
        <v>116</v>
      </c>
      <c r="D332" t="s">
        <v>117</v>
      </c>
      <c r="E332" t="s">
        <v>118</v>
      </c>
      <c r="F332" t="s">
        <v>119</v>
      </c>
      <c r="G332">
        <v>218.4</v>
      </c>
      <c r="H332">
        <v>42</v>
      </c>
      <c r="I332">
        <v>88.2</v>
      </c>
      <c r="J332">
        <v>24</v>
      </c>
      <c r="Q332"/>
    </row>
    <row r="333" spans="1:17" x14ac:dyDescent="0.25">
      <c r="A333">
        <v>2</v>
      </c>
      <c r="B333">
        <v>2016</v>
      </c>
      <c r="C333" t="s">
        <v>120</v>
      </c>
      <c r="D333" t="s">
        <v>121</v>
      </c>
      <c r="E333" t="s">
        <v>122</v>
      </c>
      <c r="F333" t="s">
        <v>123</v>
      </c>
      <c r="G333">
        <v>1556.1</v>
      </c>
      <c r="H333">
        <v>390</v>
      </c>
      <c r="I333">
        <v>1053.3599999999999</v>
      </c>
      <c r="J333">
        <v>270</v>
      </c>
      <c r="Q333"/>
    </row>
    <row r="334" spans="1:17" x14ac:dyDescent="0.25">
      <c r="A334">
        <v>2</v>
      </c>
      <c r="B334">
        <v>2016</v>
      </c>
      <c r="C334" t="s">
        <v>120</v>
      </c>
      <c r="D334" t="s">
        <v>121</v>
      </c>
      <c r="E334" t="s">
        <v>708</v>
      </c>
      <c r="F334" t="s">
        <v>709</v>
      </c>
      <c r="G334">
        <v>823.2</v>
      </c>
      <c r="H334">
        <v>168</v>
      </c>
      <c r="I334">
        <v>456</v>
      </c>
      <c r="J334">
        <v>96</v>
      </c>
      <c r="Q334"/>
    </row>
    <row r="335" spans="1:17" x14ac:dyDescent="0.25">
      <c r="A335">
        <v>2</v>
      </c>
      <c r="B335">
        <v>2016</v>
      </c>
      <c r="C335" t="s">
        <v>120</v>
      </c>
      <c r="D335" t="s">
        <v>121</v>
      </c>
      <c r="E335" t="s">
        <v>124</v>
      </c>
      <c r="F335" t="s">
        <v>125</v>
      </c>
      <c r="G335">
        <v>107.76</v>
      </c>
      <c r="H335">
        <v>24</v>
      </c>
      <c r="Q335"/>
    </row>
    <row r="336" spans="1:17" x14ac:dyDescent="0.25">
      <c r="A336">
        <v>2</v>
      </c>
      <c r="B336">
        <v>2016</v>
      </c>
      <c r="C336" t="s">
        <v>126</v>
      </c>
      <c r="D336" t="s">
        <v>127</v>
      </c>
      <c r="E336" t="s">
        <v>128</v>
      </c>
      <c r="F336" t="s">
        <v>129</v>
      </c>
      <c r="G336">
        <v>1940.1</v>
      </c>
      <c r="H336">
        <v>876</v>
      </c>
      <c r="I336">
        <v>3021.48</v>
      </c>
      <c r="J336">
        <v>1386</v>
      </c>
      <c r="Q336"/>
    </row>
    <row r="337" spans="1:17" x14ac:dyDescent="0.25">
      <c r="A337">
        <v>2</v>
      </c>
      <c r="B337">
        <v>2016</v>
      </c>
      <c r="C337" t="s">
        <v>126</v>
      </c>
      <c r="D337" t="s">
        <v>127</v>
      </c>
      <c r="E337" t="s">
        <v>710</v>
      </c>
      <c r="F337" t="s">
        <v>129</v>
      </c>
      <c r="G337">
        <v>17.399999999999999</v>
      </c>
      <c r="H337">
        <v>6</v>
      </c>
      <c r="Q337"/>
    </row>
    <row r="338" spans="1:17" x14ac:dyDescent="0.25">
      <c r="A338">
        <v>2</v>
      </c>
      <c r="B338">
        <v>2016</v>
      </c>
      <c r="C338" t="s">
        <v>126</v>
      </c>
      <c r="D338" t="s">
        <v>127</v>
      </c>
      <c r="E338" t="s">
        <v>130</v>
      </c>
      <c r="F338" t="s">
        <v>131</v>
      </c>
      <c r="G338">
        <v>752.7</v>
      </c>
      <c r="H338">
        <v>519.87</v>
      </c>
      <c r="I338">
        <v>718.2</v>
      </c>
      <c r="J338">
        <v>506.54</v>
      </c>
      <c r="Q338"/>
    </row>
    <row r="339" spans="1:17" x14ac:dyDescent="0.25">
      <c r="A339">
        <v>2</v>
      </c>
      <c r="B339">
        <v>2016</v>
      </c>
      <c r="C339" t="s">
        <v>126</v>
      </c>
      <c r="D339" t="s">
        <v>127</v>
      </c>
      <c r="E339" t="s">
        <v>132</v>
      </c>
      <c r="F339" t="s">
        <v>131</v>
      </c>
      <c r="G339">
        <v>792</v>
      </c>
      <c r="H339">
        <v>480.24</v>
      </c>
      <c r="I339">
        <v>626.4</v>
      </c>
      <c r="J339">
        <v>393.53</v>
      </c>
      <c r="Q339"/>
    </row>
    <row r="340" spans="1:17" x14ac:dyDescent="0.25">
      <c r="A340">
        <v>2</v>
      </c>
      <c r="B340">
        <v>2016</v>
      </c>
      <c r="C340" t="s">
        <v>126</v>
      </c>
      <c r="D340" t="s">
        <v>127</v>
      </c>
      <c r="E340" t="s">
        <v>133</v>
      </c>
      <c r="F340" t="s">
        <v>134</v>
      </c>
      <c r="G340">
        <v>162</v>
      </c>
      <c r="H340">
        <v>72</v>
      </c>
      <c r="I340">
        <v>182.04</v>
      </c>
      <c r="J340">
        <v>72</v>
      </c>
      <c r="Q340"/>
    </row>
    <row r="341" spans="1:17" x14ac:dyDescent="0.25">
      <c r="A341">
        <v>2</v>
      </c>
      <c r="B341">
        <v>2016</v>
      </c>
      <c r="C341" t="s">
        <v>126</v>
      </c>
      <c r="D341" t="s">
        <v>127</v>
      </c>
      <c r="E341" t="s">
        <v>135</v>
      </c>
      <c r="F341" t="s">
        <v>136</v>
      </c>
      <c r="G341">
        <v>94.5</v>
      </c>
      <c r="H341">
        <v>42</v>
      </c>
      <c r="I341">
        <v>80.28</v>
      </c>
      <c r="J341">
        <v>42</v>
      </c>
      <c r="Q341"/>
    </row>
    <row r="342" spans="1:17" x14ac:dyDescent="0.25">
      <c r="A342">
        <v>2</v>
      </c>
      <c r="B342">
        <v>2016</v>
      </c>
      <c r="C342" t="s">
        <v>137</v>
      </c>
      <c r="D342" t="s">
        <v>138</v>
      </c>
      <c r="E342" t="s">
        <v>139</v>
      </c>
      <c r="F342" t="s">
        <v>140</v>
      </c>
      <c r="G342">
        <v>1018.5</v>
      </c>
      <c r="H342">
        <v>150</v>
      </c>
      <c r="I342">
        <v>1104.9000000000001</v>
      </c>
      <c r="J342">
        <v>186</v>
      </c>
      <c r="Q342"/>
    </row>
    <row r="343" spans="1:17" x14ac:dyDescent="0.25">
      <c r="A343">
        <v>2</v>
      </c>
      <c r="B343">
        <v>2016</v>
      </c>
      <c r="C343" t="s">
        <v>137</v>
      </c>
      <c r="D343" t="s">
        <v>138</v>
      </c>
      <c r="E343" t="s">
        <v>711</v>
      </c>
      <c r="F343" t="s">
        <v>712</v>
      </c>
      <c r="G343">
        <v>229.5</v>
      </c>
      <c r="H343">
        <v>30</v>
      </c>
      <c r="I343">
        <v>252.72</v>
      </c>
      <c r="J343">
        <v>38</v>
      </c>
      <c r="Q343"/>
    </row>
    <row r="344" spans="1:17" x14ac:dyDescent="0.25">
      <c r="A344">
        <v>2</v>
      </c>
      <c r="B344">
        <v>2016</v>
      </c>
      <c r="C344" t="s">
        <v>137</v>
      </c>
      <c r="D344" t="s">
        <v>138</v>
      </c>
      <c r="E344" t="s">
        <v>141</v>
      </c>
      <c r="F344" t="s">
        <v>142</v>
      </c>
      <c r="G344">
        <v>366.3</v>
      </c>
      <c r="H344">
        <v>66</v>
      </c>
      <c r="I344">
        <v>572.4</v>
      </c>
      <c r="J344">
        <v>114</v>
      </c>
      <c r="Q344"/>
    </row>
    <row r="345" spans="1:17" x14ac:dyDescent="0.25">
      <c r="A345">
        <v>2</v>
      </c>
      <c r="B345">
        <v>2016</v>
      </c>
      <c r="C345" t="s">
        <v>137</v>
      </c>
      <c r="D345" t="s">
        <v>138</v>
      </c>
      <c r="E345" t="s">
        <v>143</v>
      </c>
      <c r="F345" t="s">
        <v>144</v>
      </c>
      <c r="G345">
        <v>116.4</v>
      </c>
      <c r="H345">
        <v>24</v>
      </c>
      <c r="I345">
        <v>26.22</v>
      </c>
      <c r="J345">
        <v>12</v>
      </c>
      <c r="Q345"/>
    </row>
    <row r="346" spans="1:17" x14ac:dyDescent="0.25">
      <c r="A346">
        <v>2</v>
      </c>
      <c r="B346">
        <v>2016</v>
      </c>
      <c r="C346" t="s">
        <v>137</v>
      </c>
      <c r="D346" t="s">
        <v>138</v>
      </c>
      <c r="E346" t="s">
        <v>145</v>
      </c>
      <c r="F346" t="s">
        <v>146</v>
      </c>
      <c r="G346">
        <v>436.62</v>
      </c>
      <c r="H346">
        <v>114</v>
      </c>
      <c r="I346">
        <v>749.88</v>
      </c>
      <c r="J346">
        <v>216</v>
      </c>
      <c r="Q346"/>
    </row>
    <row r="347" spans="1:17" x14ac:dyDescent="0.25">
      <c r="A347">
        <v>2</v>
      </c>
      <c r="B347">
        <v>2016</v>
      </c>
      <c r="C347" t="s">
        <v>137</v>
      </c>
      <c r="D347" t="s">
        <v>138</v>
      </c>
      <c r="E347" t="s">
        <v>713</v>
      </c>
      <c r="F347" t="s">
        <v>714</v>
      </c>
      <c r="G347">
        <v>14.58</v>
      </c>
      <c r="H347">
        <v>6</v>
      </c>
      <c r="Q347"/>
    </row>
    <row r="348" spans="1:17" x14ac:dyDescent="0.25">
      <c r="A348">
        <v>2</v>
      </c>
      <c r="B348">
        <v>2016</v>
      </c>
      <c r="C348" t="s">
        <v>137</v>
      </c>
      <c r="D348" t="s">
        <v>138</v>
      </c>
      <c r="E348" t="s">
        <v>147</v>
      </c>
      <c r="F348" t="s">
        <v>148</v>
      </c>
      <c r="G348">
        <v>898.8</v>
      </c>
      <c r="H348">
        <v>84</v>
      </c>
      <c r="I348">
        <v>477.12</v>
      </c>
      <c r="J348">
        <v>48</v>
      </c>
      <c r="Q348"/>
    </row>
    <row r="349" spans="1:17" x14ac:dyDescent="0.25">
      <c r="A349">
        <v>2</v>
      </c>
      <c r="B349">
        <v>2016</v>
      </c>
      <c r="C349" t="s">
        <v>137</v>
      </c>
      <c r="D349" t="s">
        <v>138</v>
      </c>
      <c r="E349" t="s">
        <v>149</v>
      </c>
      <c r="F349" t="s">
        <v>150</v>
      </c>
      <c r="G349">
        <v>1003.2</v>
      </c>
      <c r="H349">
        <v>330</v>
      </c>
      <c r="I349">
        <v>2280.2399999999998</v>
      </c>
      <c r="J349">
        <v>846</v>
      </c>
      <c r="Q349"/>
    </row>
    <row r="350" spans="1:17" x14ac:dyDescent="0.25">
      <c r="A350">
        <v>2</v>
      </c>
      <c r="B350">
        <v>2016</v>
      </c>
      <c r="C350" t="s">
        <v>137</v>
      </c>
      <c r="D350" t="s">
        <v>138</v>
      </c>
      <c r="E350" t="s">
        <v>151</v>
      </c>
      <c r="F350" t="s">
        <v>152</v>
      </c>
      <c r="G350">
        <v>267.36</v>
      </c>
      <c r="H350">
        <v>48</v>
      </c>
      <c r="I350">
        <v>257.27999999999997</v>
      </c>
      <c r="J350">
        <v>48</v>
      </c>
      <c r="Q350"/>
    </row>
    <row r="351" spans="1:17" x14ac:dyDescent="0.25">
      <c r="A351">
        <v>2</v>
      </c>
      <c r="B351">
        <v>2016</v>
      </c>
      <c r="C351" t="s">
        <v>137</v>
      </c>
      <c r="D351" t="s">
        <v>138</v>
      </c>
      <c r="E351" t="s">
        <v>153</v>
      </c>
      <c r="F351" t="s">
        <v>154</v>
      </c>
      <c r="G351">
        <v>49.68</v>
      </c>
      <c r="H351">
        <v>12</v>
      </c>
      <c r="I351">
        <v>202.08</v>
      </c>
      <c r="J351">
        <v>48</v>
      </c>
      <c r="Q351"/>
    </row>
    <row r="352" spans="1:17" x14ac:dyDescent="0.25">
      <c r="A352">
        <v>2</v>
      </c>
      <c r="B352">
        <v>2016</v>
      </c>
      <c r="C352" t="s">
        <v>155</v>
      </c>
      <c r="D352" t="s">
        <v>156</v>
      </c>
      <c r="E352" t="s">
        <v>157</v>
      </c>
      <c r="F352" t="s">
        <v>158</v>
      </c>
      <c r="G352">
        <v>721.5</v>
      </c>
      <c r="H352">
        <v>228</v>
      </c>
      <c r="I352">
        <v>624</v>
      </c>
      <c r="J352">
        <v>192</v>
      </c>
      <c r="Q352"/>
    </row>
    <row r="353" spans="1:17" x14ac:dyDescent="0.25">
      <c r="A353">
        <v>2</v>
      </c>
      <c r="B353">
        <v>2016</v>
      </c>
      <c r="C353" t="s">
        <v>155</v>
      </c>
      <c r="D353" t="s">
        <v>156</v>
      </c>
      <c r="E353" t="s">
        <v>159</v>
      </c>
      <c r="F353" t="s">
        <v>160</v>
      </c>
      <c r="G353">
        <v>134.4</v>
      </c>
      <c r="H353">
        <v>48</v>
      </c>
      <c r="I353">
        <v>201.6</v>
      </c>
      <c r="J353">
        <v>72</v>
      </c>
      <c r="Q353"/>
    </row>
    <row r="354" spans="1:17" x14ac:dyDescent="0.25">
      <c r="A354">
        <v>2</v>
      </c>
      <c r="B354">
        <v>2016</v>
      </c>
      <c r="C354" t="s">
        <v>155</v>
      </c>
      <c r="D354" t="s">
        <v>156</v>
      </c>
      <c r="E354" t="s">
        <v>715</v>
      </c>
      <c r="F354" t="s">
        <v>716</v>
      </c>
      <c r="G354">
        <v>48.6</v>
      </c>
      <c r="H354">
        <v>12</v>
      </c>
      <c r="I354">
        <v>48.6</v>
      </c>
      <c r="J354">
        <v>12</v>
      </c>
      <c r="Q354"/>
    </row>
    <row r="355" spans="1:17" x14ac:dyDescent="0.25">
      <c r="A355">
        <v>2</v>
      </c>
      <c r="B355">
        <v>2016</v>
      </c>
      <c r="C355" t="s">
        <v>155</v>
      </c>
      <c r="D355" t="s">
        <v>156</v>
      </c>
      <c r="E355" t="s">
        <v>161</v>
      </c>
      <c r="F355" t="s">
        <v>162</v>
      </c>
      <c r="G355">
        <v>316.39999999999998</v>
      </c>
      <c r="H355">
        <v>186.62</v>
      </c>
      <c r="I355">
        <v>67.8</v>
      </c>
      <c r="J355">
        <v>39.99</v>
      </c>
      <c r="Q355"/>
    </row>
    <row r="356" spans="1:17" x14ac:dyDescent="0.25">
      <c r="A356">
        <v>2</v>
      </c>
      <c r="B356">
        <v>2016</v>
      </c>
      <c r="C356" t="s">
        <v>155</v>
      </c>
      <c r="D356" t="s">
        <v>156</v>
      </c>
      <c r="E356" t="s">
        <v>163</v>
      </c>
      <c r="F356" t="s">
        <v>164</v>
      </c>
      <c r="G356">
        <v>106.4</v>
      </c>
      <c r="H356">
        <v>53.36</v>
      </c>
      <c r="I356">
        <v>385.7</v>
      </c>
      <c r="J356">
        <v>193.43</v>
      </c>
      <c r="Q356"/>
    </row>
    <row r="357" spans="1:17" x14ac:dyDescent="0.25">
      <c r="A357">
        <v>2</v>
      </c>
      <c r="B357">
        <v>2016</v>
      </c>
      <c r="C357" t="s">
        <v>155</v>
      </c>
      <c r="D357" t="s">
        <v>156</v>
      </c>
      <c r="E357" t="s">
        <v>165</v>
      </c>
      <c r="F357" t="s">
        <v>166</v>
      </c>
      <c r="G357">
        <v>453.9</v>
      </c>
      <c r="H357">
        <v>102</v>
      </c>
      <c r="I357">
        <v>267</v>
      </c>
      <c r="J357">
        <v>60</v>
      </c>
      <c r="Q357"/>
    </row>
    <row r="358" spans="1:17" x14ac:dyDescent="0.25">
      <c r="A358">
        <v>2</v>
      </c>
      <c r="B358">
        <v>2016</v>
      </c>
      <c r="C358" t="s">
        <v>167</v>
      </c>
      <c r="D358" t="s">
        <v>168</v>
      </c>
      <c r="E358" t="s">
        <v>173</v>
      </c>
      <c r="F358" t="s">
        <v>174</v>
      </c>
      <c r="G358">
        <v>28.8</v>
      </c>
      <c r="H358">
        <v>12</v>
      </c>
      <c r="Q358"/>
    </row>
    <row r="359" spans="1:17" x14ac:dyDescent="0.25">
      <c r="A359">
        <v>2</v>
      </c>
      <c r="B359">
        <v>2016</v>
      </c>
      <c r="C359" t="s">
        <v>175</v>
      </c>
      <c r="D359" t="s">
        <v>176</v>
      </c>
      <c r="E359" t="s">
        <v>177</v>
      </c>
      <c r="F359" t="s">
        <v>178</v>
      </c>
      <c r="G359">
        <v>1800</v>
      </c>
      <c r="H359">
        <v>450</v>
      </c>
      <c r="I359">
        <v>1212.3</v>
      </c>
      <c r="J359">
        <v>330</v>
      </c>
      <c r="Q359"/>
    </row>
    <row r="360" spans="1:17" x14ac:dyDescent="0.25">
      <c r="A360">
        <v>2</v>
      </c>
      <c r="B360">
        <v>2016</v>
      </c>
      <c r="C360" t="s">
        <v>175</v>
      </c>
      <c r="D360" t="s">
        <v>176</v>
      </c>
      <c r="E360" t="s">
        <v>179</v>
      </c>
      <c r="F360" t="s">
        <v>178</v>
      </c>
      <c r="G360">
        <v>120</v>
      </c>
      <c r="H360">
        <v>24</v>
      </c>
      <c r="I360">
        <v>111.84</v>
      </c>
      <c r="J360">
        <v>24</v>
      </c>
      <c r="Q360"/>
    </row>
    <row r="361" spans="1:17" x14ac:dyDescent="0.25">
      <c r="A361">
        <v>2</v>
      </c>
      <c r="B361">
        <v>2016</v>
      </c>
      <c r="C361" t="s">
        <v>175</v>
      </c>
      <c r="D361" t="s">
        <v>176</v>
      </c>
      <c r="E361" t="s">
        <v>180</v>
      </c>
      <c r="F361" t="s">
        <v>181</v>
      </c>
      <c r="G361">
        <v>235.62</v>
      </c>
      <c r="H361">
        <v>66</v>
      </c>
      <c r="I361">
        <v>185.22</v>
      </c>
      <c r="J361">
        <v>60</v>
      </c>
      <c r="Q361"/>
    </row>
    <row r="362" spans="1:17" x14ac:dyDescent="0.25">
      <c r="A362">
        <v>2</v>
      </c>
      <c r="B362">
        <v>2016</v>
      </c>
      <c r="C362" t="s">
        <v>183</v>
      </c>
      <c r="D362" t="s">
        <v>184</v>
      </c>
      <c r="E362" t="s">
        <v>185</v>
      </c>
      <c r="F362" t="s">
        <v>186</v>
      </c>
      <c r="G362">
        <v>252</v>
      </c>
      <c r="H362">
        <v>90</v>
      </c>
      <c r="I362">
        <v>748.8</v>
      </c>
      <c r="J362">
        <v>318</v>
      </c>
      <c r="Q362"/>
    </row>
    <row r="363" spans="1:17" x14ac:dyDescent="0.25">
      <c r="A363">
        <v>2</v>
      </c>
      <c r="B363">
        <v>2016</v>
      </c>
      <c r="C363" t="s">
        <v>183</v>
      </c>
      <c r="D363" t="s">
        <v>184</v>
      </c>
      <c r="E363" t="s">
        <v>717</v>
      </c>
      <c r="F363" t="s">
        <v>718</v>
      </c>
      <c r="G363">
        <v>124</v>
      </c>
      <c r="H363">
        <v>133.30000000000001</v>
      </c>
      <c r="I363">
        <v>170.8</v>
      </c>
      <c r="J363">
        <v>186.62</v>
      </c>
      <c r="Q363"/>
    </row>
    <row r="364" spans="1:17" x14ac:dyDescent="0.25">
      <c r="A364">
        <v>2</v>
      </c>
      <c r="B364">
        <v>2016</v>
      </c>
      <c r="C364" t="s">
        <v>183</v>
      </c>
      <c r="D364" t="s">
        <v>184</v>
      </c>
      <c r="E364" t="s">
        <v>187</v>
      </c>
      <c r="F364" t="s">
        <v>188</v>
      </c>
      <c r="G364">
        <v>151.19999999999999</v>
      </c>
      <c r="H364">
        <v>140.07</v>
      </c>
      <c r="I364">
        <v>91</v>
      </c>
      <c r="J364">
        <v>100.05</v>
      </c>
      <c r="Q364"/>
    </row>
    <row r="365" spans="1:17" x14ac:dyDescent="0.25">
      <c r="A365">
        <v>2</v>
      </c>
      <c r="B365">
        <v>2016</v>
      </c>
      <c r="C365" t="s">
        <v>189</v>
      </c>
      <c r="D365" t="s">
        <v>190</v>
      </c>
      <c r="E365" t="s">
        <v>191</v>
      </c>
      <c r="F365" t="s">
        <v>192</v>
      </c>
      <c r="G365">
        <v>66.599999999999994</v>
      </c>
      <c r="H365">
        <v>24</v>
      </c>
      <c r="I365">
        <v>44.4</v>
      </c>
      <c r="J365">
        <v>12</v>
      </c>
      <c r="Q365"/>
    </row>
    <row r="366" spans="1:17" x14ac:dyDescent="0.25">
      <c r="A366">
        <v>2</v>
      </c>
      <c r="B366">
        <v>2016</v>
      </c>
      <c r="C366" t="s">
        <v>189</v>
      </c>
      <c r="D366" t="s">
        <v>190</v>
      </c>
      <c r="E366" t="s">
        <v>193</v>
      </c>
      <c r="F366" t="s">
        <v>194</v>
      </c>
      <c r="G366">
        <v>873.6</v>
      </c>
      <c r="H366">
        <v>192</v>
      </c>
      <c r="I366">
        <v>54.6</v>
      </c>
      <c r="J366">
        <v>12</v>
      </c>
      <c r="Q366"/>
    </row>
    <row r="367" spans="1:17" x14ac:dyDescent="0.25">
      <c r="A367">
        <v>2</v>
      </c>
      <c r="B367">
        <v>2016</v>
      </c>
      <c r="C367" t="s">
        <v>195</v>
      </c>
      <c r="D367" t="s">
        <v>196</v>
      </c>
      <c r="E367" t="s">
        <v>197</v>
      </c>
      <c r="F367" t="s">
        <v>198</v>
      </c>
      <c r="G367">
        <v>76.2</v>
      </c>
      <c r="H367">
        <v>26.68</v>
      </c>
      <c r="Q367"/>
    </row>
    <row r="368" spans="1:17" x14ac:dyDescent="0.25">
      <c r="A368">
        <v>2</v>
      </c>
      <c r="B368">
        <v>2016</v>
      </c>
      <c r="C368" t="s">
        <v>195</v>
      </c>
      <c r="D368" t="s">
        <v>196</v>
      </c>
      <c r="E368" t="s">
        <v>719</v>
      </c>
      <c r="F368" t="s">
        <v>720</v>
      </c>
      <c r="G368">
        <v>106.56</v>
      </c>
      <c r="H368">
        <v>24</v>
      </c>
      <c r="Q368"/>
    </row>
    <row r="369" spans="1:17" x14ac:dyDescent="0.25">
      <c r="A369">
        <v>2</v>
      </c>
      <c r="B369">
        <v>2016</v>
      </c>
      <c r="C369" t="s">
        <v>195</v>
      </c>
      <c r="D369" t="s">
        <v>196</v>
      </c>
      <c r="E369" t="s">
        <v>199</v>
      </c>
      <c r="F369" t="s">
        <v>200</v>
      </c>
      <c r="G369">
        <v>189</v>
      </c>
      <c r="H369">
        <v>54</v>
      </c>
      <c r="I369">
        <v>84</v>
      </c>
      <c r="J369">
        <v>24</v>
      </c>
      <c r="Q369"/>
    </row>
    <row r="370" spans="1:17" x14ac:dyDescent="0.25">
      <c r="A370">
        <v>2</v>
      </c>
      <c r="B370">
        <v>2016</v>
      </c>
      <c r="C370" t="s">
        <v>195</v>
      </c>
      <c r="D370" t="s">
        <v>196</v>
      </c>
      <c r="E370" t="s">
        <v>201</v>
      </c>
      <c r="F370" t="s">
        <v>202</v>
      </c>
      <c r="G370">
        <v>92.82</v>
      </c>
      <c r="H370">
        <v>42</v>
      </c>
      <c r="Q370"/>
    </row>
    <row r="371" spans="1:17" x14ac:dyDescent="0.25">
      <c r="A371">
        <v>2</v>
      </c>
      <c r="B371">
        <v>2016</v>
      </c>
      <c r="C371" t="s">
        <v>195</v>
      </c>
      <c r="D371" t="s">
        <v>196</v>
      </c>
      <c r="E371" t="s">
        <v>203</v>
      </c>
      <c r="F371" t="s">
        <v>204</v>
      </c>
      <c r="G371">
        <v>141.6</v>
      </c>
      <c r="H371">
        <v>30</v>
      </c>
      <c r="I371">
        <v>141.6</v>
      </c>
      <c r="J371">
        <v>30</v>
      </c>
      <c r="Q371"/>
    </row>
    <row r="372" spans="1:17" x14ac:dyDescent="0.25">
      <c r="A372">
        <v>2</v>
      </c>
      <c r="B372">
        <v>2016</v>
      </c>
      <c r="C372" t="s">
        <v>195</v>
      </c>
      <c r="D372" t="s">
        <v>196</v>
      </c>
      <c r="E372" t="s">
        <v>205</v>
      </c>
      <c r="F372" t="s">
        <v>206</v>
      </c>
      <c r="G372">
        <v>43.32</v>
      </c>
      <c r="H372">
        <v>12</v>
      </c>
      <c r="I372">
        <v>43.32</v>
      </c>
      <c r="J372">
        <v>12</v>
      </c>
      <c r="Q372"/>
    </row>
    <row r="373" spans="1:17" x14ac:dyDescent="0.25">
      <c r="A373">
        <v>2</v>
      </c>
      <c r="B373">
        <v>2016</v>
      </c>
      <c r="C373" t="s">
        <v>207</v>
      </c>
      <c r="D373" t="s">
        <v>208</v>
      </c>
      <c r="E373" t="s">
        <v>209</v>
      </c>
      <c r="F373" t="s">
        <v>210</v>
      </c>
      <c r="G373">
        <v>1706.4</v>
      </c>
      <c r="H373">
        <v>480</v>
      </c>
      <c r="I373">
        <v>2289.6</v>
      </c>
      <c r="J373">
        <v>636</v>
      </c>
      <c r="Q373"/>
    </row>
    <row r="374" spans="1:17" x14ac:dyDescent="0.25">
      <c r="A374">
        <v>2</v>
      </c>
      <c r="B374">
        <v>2016</v>
      </c>
      <c r="C374" t="s">
        <v>207</v>
      </c>
      <c r="D374" t="s">
        <v>208</v>
      </c>
      <c r="E374" t="s">
        <v>211</v>
      </c>
      <c r="F374" t="s">
        <v>212</v>
      </c>
      <c r="G374">
        <v>486.55</v>
      </c>
      <c r="H374">
        <v>260.13</v>
      </c>
      <c r="I374">
        <v>349.65</v>
      </c>
      <c r="J374">
        <v>186.76</v>
      </c>
      <c r="Q374"/>
    </row>
    <row r="375" spans="1:17" x14ac:dyDescent="0.25">
      <c r="A375">
        <v>2</v>
      </c>
      <c r="B375">
        <v>2016</v>
      </c>
      <c r="C375" t="s">
        <v>207</v>
      </c>
      <c r="D375" t="s">
        <v>208</v>
      </c>
      <c r="E375" t="s">
        <v>213</v>
      </c>
      <c r="F375" t="s">
        <v>212</v>
      </c>
      <c r="G375">
        <v>378</v>
      </c>
      <c r="H375">
        <v>199.95</v>
      </c>
      <c r="I375">
        <v>323.05</v>
      </c>
      <c r="J375">
        <v>173.29</v>
      </c>
      <c r="Q375"/>
    </row>
    <row r="376" spans="1:17" x14ac:dyDescent="0.25">
      <c r="A376">
        <v>2</v>
      </c>
      <c r="B376">
        <v>2016</v>
      </c>
      <c r="C376" t="s">
        <v>207</v>
      </c>
      <c r="D376" t="s">
        <v>208</v>
      </c>
      <c r="E376" t="s">
        <v>721</v>
      </c>
      <c r="F376" t="s">
        <v>722</v>
      </c>
      <c r="G376">
        <v>15.39</v>
      </c>
      <c r="H376">
        <v>3</v>
      </c>
      <c r="I376">
        <v>30.78</v>
      </c>
      <c r="J376">
        <v>6</v>
      </c>
      <c r="Q376"/>
    </row>
    <row r="377" spans="1:17" x14ac:dyDescent="0.25">
      <c r="A377">
        <v>2</v>
      </c>
      <c r="B377">
        <v>2016</v>
      </c>
      <c r="C377" t="s">
        <v>207</v>
      </c>
      <c r="D377" t="s">
        <v>208</v>
      </c>
      <c r="E377" t="s">
        <v>214</v>
      </c>
      <c r="F377" t="s">
        <v>215</v>
      </c>
      <c r="G377">
        <v>81</v>
      </c>
      <c r="H377">
        <v>18</v>
      </c>
      <c r="I377">
        <v>81</v>
      </c>
      <c r="J377">
        <v>18</v>
      </c>
      <c r="Q377"/>
    </row>
    <row r="378" spans="1:17" x14ac:dyDescent="0.25">
      <c r="A378">
        <v>2</v>
      </c>
      <c r="B378">
        <v>2016</v>
      </c>
      <c r="C378" t="s">
        <v>207</v>
      </c>
      <c r="D378" t="s">
        <v>208</v>
      </c>
      <c r="E378" t="s">
        <v>216</v>
      </c>
      <c r="F378" t="s">
        <v>215</v>
      </c>
      <c r="G378">
        <v>144.9</v>
      </c>
      <c r="H378">
        <v>36</v>
      </c>
      <c r="I378">
        <v>96.6</v>
      </c>
      <c r="J378">
        <v>24</v>
      </c>
      <c r="Q378"/>
    </row>
    <row r="379" spans="1:17" x14ac:dyDescent="0.25">
      <c r="A379">
        <v>2</v>
      </c>
      <c r="B379">
        <v>2016</v>
      </c>
      <c r="C379" t="s">
        <v>207</v>
      </c>
      <c r="D379" t="s">
        <v>208</v>
      </c>
      <c r="E379" t="s">
        <v>217</v>
      </c>
      <c r="F379" t="s">
        <v>218</v>
      </c>
      <c r="G379">
        <v>623.70000000000005</v>
      </c>
      <c r="H379">
        <v>126</v>
      </c>
      <c r="I379">
        <v>57</v>
      </c>
      <c r="J379">
        <v>12</v>
      </c>
      <c r="Q379"/>
    </row>
    <row r="380" spans="1:17" x14ac:dyDescent="0.25">
      <c r="A380">
        <v>2</v>
      </c>
      <c r="B380">
        <v>2016</v>
      </c>
      <c r="C380" t="s">
        <v>219</v>
      </c>
      <c r="D380" t="s">
        <v>220</v>
      </c>
      <c r="E380" t="s">
        <v>223</v>
      </c>
      <c r="F380" t="s">
        <v>224</v>
      </c>
      <c r="G380">
        <v>415.8</v>
      </c>
      <c r="H380">
        <v>36</v>
      </c>
      <c r="I380">
        <v>135.6</v>
      </c>
      <c r="J380">
        <v>12</v>
      </c>
      <c r="Q380"/>
    </row>
    <row r="381" spans="1:17" x14ac:dyDescent="0.25">
      <c r="A381">
        <v>2</v>
      </c>
      <c r="B381">
        <v>2016</v>
      </c>
      <c r="C381" t="s">
        <v>219</v>
      </c>
      <c r="D381" t="s">
        <v>220</v>
      </c>
      <c r="E381" t="s">
        <v>723</v>
      </c>
      <c r="F381" t="s">
        <v>724</v>
      </c>
      <c r="G381">
        <v>54</v>
      </c>
      <c r="H381">
        <v>6</v>
      </c>
      <c r="Q381"/>
    </row>
    <row r="382" spans="1:17" x14ac:dyDescent="0.25">
      <c r="A382">
        <v>2</v>
      </c>
      <c r="B382">
        <v>2016</v>
      </c>
      <c r="C382" t="s">
        <v>219</v>
      </c>
      <c r="D382" t="s">
        <v>220</v>
      </c>
      <c r="E382" t="s">
        <v>725</v>
      </c>
      <c r="F382" t="s">
        <v>726</v>
      </c>
      <c r="G382">
        <v>105</v>
      </c>
      <c r="H382">
        <v>12</v>
      </c>
      <c r="I382">
        <v>210</v>
      </c>
      <c r="J382">
        <v>24</v>
      </c>
      <c r="Q382"/>
    </row>
    <row r="383" spans="1:17" x14ac:dyDescent="0.25">
      <c r="A383">
        <v>2</v>
      </c>
      <c r="B383">
        <v>2016</v>
      </c>
      <c r="C383" t="s">
        <v>219</v>
      </c>
      <c r="D383" t="s">
        <v>220</v>
      </c>
      <c r="E383" t="s">
        <v>225</v>
      </c>
      <c r="F383" t="s">
        <v>226</v>
      </c>
      <c r="G383">
        <v>350.7</v>
      </c>
      <c r="H383">
        <v>42</v>
      </c>
      <c r="Q383"/>
    </row>
    <row r="384" spans="1:17" x14ac:dyDescent="0.25">
      <c r="A384">
        <v>2</v>
      </c>
      <c r="B384">
        <v>2016</v>
      </c>
      <c r="C384" t="s">
        <v>227</v>
      </c>
      <c r="D384" t="s">
        <v>228</v>
      </c>
      <c r="E384" t="s">
        <v>229</v>
      </c>
      <c r="F384" t="s">
        <v>230</v>
      </c>
      <c r="G384">
        <v>576</v>
      </c>
      <c r="H384">
        <v>79998.000000000015</v>
      </c>
      <c r="Q384"/>
    </row>
    <row r="385" spans="1:17" x14ac:dyDescent="0.25">
      <c r="A385">
        <v>2</v>
      </c>
      <c r="B385">
        <v>2016</v>
      </c>
      <c r="C385" t="s">
        <v>231</v>
      </c>
      <c r="D385" t="s">
        <v>232</v>
      </c>
      <c r="E385" t="s">
        <v>233</v>
      </c>
      <c r="F385" t="s">
        <v>234</v>
      </c>
      <c r="G385">
        <v>270.60000000000002</v>
      </c>
      <c r="H385">
        <v>66</v>
      </c>
      <c r="I385">
        <v>136.80000000000001</v>
      </c>
      <c r="J385">
        <v>36</v>
      </c>
      <c r="Q385"/>
    </row>
    <row r="386" spans="1:17" x14ac:dyDescent="0.25">
      <c r="A386">
        <v>2</v>
      </c>
      <c r="B386">
        <v>2016</v>
      </c>
      <c r="C386" t="s">
        <v>231</v>
      </c>
      <c r="D386" t="s">
        <v>232</v>
      </c>
      <c r="E386" t="s">
        <v>235</v>
      </c>
      <c r="F386" t="s">
        <v>236</v>
      </c>
      <c r="G386">
        <v>230.4</v>
      </c>
      <c r="H386">
        <v>36</v>
      </c>
      <c r="Q386"/>
    </row>
    <row r="387" spans="1:17" x14ac:dyDescent="0.25">
      <c r="A387">
        <v>2</v>
      </c>
      <c r="B387">
        <v>2016</v>
      </c>
      <c r="C387" t="s">
        <v>231</v>
      </c>
      <c r="D387" t="s">
        <v>232</v>
      </c>
      <c r="E387" t="s">
        <v>237</v>
      </c>
      <c r="F387" t="s">
        <v>238</v>
      </c>
      <c r="G387">
        <v>126</v>
      </c>
      <c r="H387">
        <v>36</v>
      </c>
      <c r="I387">
        <v>57.6</v>
      </c>
      <c r="J387">
        <v>18</v>
      </c>
      <c r="Q387"/>
    </row>
    <row r="388" spans="1:17" x14ac:dyDescent="0.25">
      <c r="A388">
        <v>2</v>
      </c>
      <c r="B388">
        <v>2016</v>
      </c>
      <c r="C388" t="s">
        <v>231</v>
      </c>
      <c r="D388" t="s">
        <v>232</v>
      </c>
      <c r="E388" t="s">
        <v>239</v>
      </c>
      <c r="F388" t="s">
        <v>240</v>
      </c>
      <c r="G388">
        <v>126</v>
      </c>
      <c r="H388">
        <v>18</v>
      </c>
      <c r="Q388"/>
    </row>
    <row r="389" spans="1:17" x14ac:dyDescent="0.25">
      <c r="A389">
        <v>2</v>
      </c>
      <c r="B389">
        <v>2016</v>
      </c>
      <c r="C389" t="s">
        <v>231</v>
      </c>
      <c r="D389" t="s">
        <v>232</v>
      </c>
      <c r="E389" t="s">
        <v>727</v>
      </c>
      <c r="F389" t="s">
        <v>728</v>
      </c>
      <c r="G389">
        <v>69.599999999999994</v>
      </c>
      <c r="H389">
        <v>12</v>
      </c>
      <c r="Q389"/>
    </row>
    <row r="390" spans="1:17" x14ac:dyDescent="0.25">
      <c r="A390">
        <v>2</v>
      </c>
      <c r="B390">
        <v>2016</v>
      </c>
      <c r="C390" t="s">
        <v>245</v>
      </c>
      <c r="D390" t="s">
        <v>246</v>
      </c>
      <c r="E390" t="s">
        <v>247</v>
      </c>
      <c r="F390" t="s">
        <v>248</v>
      </c>
      <c r="G390">
        <v>237.6</v>
      </c>
      <c r="H390">
        <v>72</v>
      </c>
      <c r="I390">
        <v>217.8</v>
      </c>
      <c r="J390">
        <v>66</v>
      </c>
      <c r="Q390"/>
    </row>
    <row r="391" spans="1:17" x14ac:dyDescent="0.25">
      <c r="A391">
        <v>2</v>
      </c>
      <c r="B391">
        <v>2016</v>
      </c>
      <c r="C391" t="s">
        <v>245</v>
      </c>
      <c r="D391" t="s">
        <v>246</v>
      </c>
      <c r="E391" t="s">
        <v>729</v>
      </c>
      <c r="F391" t="s">
        <v>730</v>
      </c>
      <c r="G391">
        <v>67.5</v>
      </c>
      <c r="H391">
        <v>36</v>
      </c>
      <c r="Q391"/>
    </row>
    <row r="392" spans="1:17" x14ac:dyDescent="0.25">
      <c r="A392">
        <v>2</v>
      </c>
      <c r="B392">
        <v>2016</v>
      </c>
      <c r="C392" t="s">
        <v>245</v>
      </c>
      <c r="D392" t="s">
        <v>246</v>
      </c>
      <c r="E392" t="s">
        <v>249</v>
      </c>
      <c r="F392" t="s">
        <v>250</v>
      </c>
      <c r="G392">
        <v>68.400000000000006</v>
      </c>
      <c r="H392">
        <v>30</v>
      </c>
      <c r="I392">
        <v>444.6</v>
      </c>
      <c r="J392">
        <v>162</v>
      </c>
      <c r="Q392"/>
    </row>
    <row r="393" spans="1:17" x14ac:dyDescent="0.25">
      <c r="A393">
        <v>2</v>
      </c>
      <c r="B393">
        <v>2016</v>
      </c>
      <c r="C393" t="s">
        <v>245</v>
      </c>
      <c r="D393" t="s">
        <v>246</v>
      </c>
      <c r="E393" t="s">
        <v>251</v>
      </c>
      <c r="F393" t="s">
        <v>250</v>
      </c>
      <c r="G393">
        <v>43.2</v>
      </c>
      <c r="H393">
        <v>12</v>
      </c>
      <c r="I393">
        <v>126</v>
      </c>
      <c r="J393">
        <v>36</v>
      </c>
      <c r="Q393"/>
    </row>
    <row r="394" spans="1:17" x14ac:dyDescent="0.25">
      <c r="A394">
        <v>2</v>
      </c>
      <c r="B394">
        <v>2016</v>
      </c>
      <c r="C394" t="s">
        <v>245</v>
      </c>
      <c r="D394" t="s">
        <v>246</v>
      </c>
      <c r="E394" t="s">
        <v>252</v>
      </c>
      <c r="F394" t="s">
        <v>253</v>
      </c>
      <c r="G394">
        <v>661.5</v>
      </c>
      <c r="H394">
        <v>300</v>
      </c>
      <c r="I394">
        <v>399.9</v>
      </c>
      <c r="J394">
        <v>198</v>
      </c>
      <c r="Q394"/>
    </row>
    <row r="395" spans="1:17" x14ac:dyDescent="0.25">
      <c r="A395">
        <v>2</v>
      </c>
      <c r="B395">
        <v>2016</v>
      </c>
      <c r="C395" t="s">
        <v>245</v>
      </c>
      <c r="D395" t="s">
        <v>246</v>
      </c>
      <c r="E395" t="s">
        <v>731</v>
      </c>
      <c r="F395" t="s">
        <v>248</v>
      </c>
      <c r="G395">
        <v>40.5</v>
      </c>
      <c r="H395">
        <v>12</v>
      </c>
      <c r="Q395"/>
    </row>
    <row r="396" spans="1:17" x14ac:dyDescent="0.25">
      <c r="A396">
        <v>2</v>
      </c>
      <c r="B396">
        <v>2016</v>
      </c>
      <c r="C396" t="s">
        <v>254</v>
      </c>
      <c r="D396" t="s">
        <v>255</v>
      </c>
      <c r="E396" t="s">
        <v>256</v>
      </c>
      <c r="F396" t="s">
        <v>257</v>
      </c>
      <c r="G396">
        <v>1228.8</v>
      </c>
      <c r="H396">
        <v>390</v>
      </c>
      <c r="I396">
        <v>1833.3</v>
      </c>
      <c r="J396">
        <v>582</v>
      </c>
      <c r="Q396"/>
    </row>
    <row r="397" spans="1:17" x14ac:dyDescent="0.25">
      <c r="A397">
        <v>2</v>
      </c>
      <c r="B397">
        <v>2016</v>
      </c>
      <c r="C397" t="s">
        <v>254</v>
      </c>
      <c r="D397" t="s">
        <v>255</v>
      </c>
      <c r="E397" t="s">
        <v>258</v>
      </c>
      <c r="F397" t="s">
        <v>259</v>
      </c>
      <c r="G397">
        <v>38.4</v>
      </c>
      <c r="H397">
        <v>12</v>
      </c>
      <c r="I397">
        <v>37.799999999999997</v>
      </c>
      <c r="J397">
        <v>12</v>
      </c>
      <c r="Q397"/>
    </row>
    <row r="398" spans="1:17" x14ac:dyDescent="0.25">
      <c r="A398">
        <v>2</v>
      </c>
      <c r="B398">
        <v>2016</v>
      </c>
      <c r="C398" t="s">
        <v>254</v>
      </c>
      <c r="D398" t="s">
        <v>255</v>
      </c>
      <c r="E398" t="s">
        <v>260</v>
      </c>
      <c r="F398" t="s">
        <v>261</v>
      </c>
      <c r="G398">
        <v>105.6</v>
      </c>
      <c r="H398">
        <v>24</v>
      </c>
      <c r="I398">
        <v>52.56</v>
      </c>
      <c r="J398">
        <v>12</v>
      </c>
      <c r="Q398"/>
    </row>
    <row r="399" spans="1:17" x14ac:dyDescent="0.25">
      <c r="A399">
        <v>2</v>
      </c>
      <c r="B399">
        <v>2016</v>
      </c>
      <c r="C399" t="s">
        <v>254</v>
      </c>
      <c r="D399" t="s">
        <v>255</v>
      </c>
      <c r="E399" t="s">
        <v>732</v>
      </c>
      <c r="F399" t="s">
        <v>733</v>
      </c>
      <c r="G399">
        <v>156</v>
      </c>
      <c r="H399">
        <v>24</v>
      </c>
      <c r="Q399"/>
    </row>
    <row r="400" spans="1:17" x14ac:dyDescent="0.25">
      <c r="A400">
        <v>2</v>
      </c>
      <c r="B400">
        <v>2016</v>
      </c>
      <c r="C400" t="s">
        <v>262</v>
      </c>
      <c r="D400" t="s">
        <v>263</v>
      </c>
      <c r="E400" t="s">
        <v>264</v>
      </c>
      <c r="F400" t="s">
        <v>265</v>
      </c>
      <c r="G400">
        <v>4704</v>
      </c>
      <c r="H400">
        <v>840</v>
      </c>
      <c r="I400">
        <v>2184</v>
      </c>
      <c r="J400">
        <v>390</v>
      </c>
      <c r="Q400"/>
    </row>
    <row r="401" spans="1:17" x14ac:dyDescent="0.25">
      <c r="A401">
        <v>2</v>
      </c>
      <c r="B401">
        <v>2016</v>
      </c>
      <c r="C401" t="s">
        <v>262</v>
      </c>
      <c r="D401" t="s">
        <v>263</v>
      </c>
      <c r="E401" t="s">
        <v>266</v>
      </c>
      <c r="F401" t="s">
        <v>267</v>
      </c>
      <c r="G401">
        <v>3672.9</v>
      </c>
      <c r="H401">
        <v>462</v>
      </c>
      <c r="Q401"/>
    </row>
    <row r="402" spans="1:17" x14ac:dyDescent="0.25">
      <c r="A402">
        <v>2</v>
      </c>
      <c r="B402">
        <v>2016</v>
      </c>
      <c r="C402" t="s">
        <v>262</v>
      </c>
      <c r="D402" t="s">
        <v>263</v>
      </c>
      <c r="E402" t="s">
        <v>268</v>
      </c>
      <c r="F402" t="s">
        <v>269</v>
      </c>
      <c r="G402">
        <v>381</v>
      </c>
      <c r="H402">
        <v>60</v>
      </c>
      <c r="I402">
        <v>152.4</v>
      </c>
      <c r="J402">
        <v>24</v>
      </c>
      <c r="Q402"/>
    </row>
    <row r="403" spans="1:17" x14ac:dyDescent="0.25">
      <c r="A403">
        <v>2</v>
      </c>
      <c r="B403">
        <v>2016</v>
      </c>
      <c r="C403" t="s">
        <v>262</v>
      </c>
      <c r="D403" t="s">
        <v>263</v>
      </c>
      <c r="E403" t="s">
        <v>270</v>
      </c>
      <c r="F403" t="s">
        <v>271</v>
      </c>
      <c r="G403">
        <v>739.2</v>
      </c>
      <c r="H403">
        <v>84</v>
      </c>
      <c r="I403">
        <v>612</v>
      </c>
      <c r="J403">
        <v>72</v>
      </c>
      <c r="Q403"/>
    </row>
    <row r="404" spans="1:17" x14ac:dyDescent="0.25">
      <c r="A404">
        <v>2</v>
      </c>
      <c r="B404">
        <v>2016</v>
      </c>
      <c r="C404" t="s">
        <v>272</v>
      </c>
      <c r="D404" t="s">
        <v>273</v>
      </c>
      <c r="E404" t="s">
        <v>734</v>
      </c>
      <c r="F404" t="s">
        <v>735</v>
      </c>
      <c r="G404">
        <v>422.1</v>
      </c>
      <c r="H404">
        <v>60</v>
      </c>
      <c r="Q404"/>
    </row>
    <row r="405" spans="1:17" x14ac:dyDescent="0.25">
      <c r="A405">
        <v>2</v>
      </c>
      <c r="B405">
        <v>2016</v>
      </c>
      <c r="C405" t="s">
        <v>272</v>
      </c>
      <c r="D405" t="s">
        <v>273</v>
      </c>
      <c r="E405" t="s">
        <v>274</v>
      </c>
      <c r="F405" t="s">
        <v>275</v>
      </c>
      <c r="G405">
        <v>235.8</v>
      </c>
      <c r="H405">
        <v>24</v>
      </c>
      <c r="I405">
        <v>353.7</v>
      </c>
      <c r="J405">
        <v>36</v>
      </c>
      <c r="Q405"/>
    </row>
    <row r="406" spans="1:17" x14ac:dyDescent="0.25">
      <c r="A406">
        <v>2</v>
      </c>
      <c r="B406">
        <v>2016</v>
      </c>
      <c r="C406" t="s">
        <v>272</v>
      </c>
      <c r="D406" t="s">
        <v>273</v>
      </c>
      <c r="E406" t="s">
        <v>276</v>
      </c>
      <c r="F406" t="s">
        <v>277</v>
      </c>
      <c r="G406">
        <v>172.8</v>
      </c>
      <c r="H406">
        <v>18</v>
      </c>
      <c r="I406">
        <v>230.4</v>
      </c>
      <c r="J406">
        <v>24</v>
      </c>
      <c r="Q406"/>
    </row>
    <row r="407" spans="1:17" x14ac:dyDescent="0.25">
      <c r="A407">
        <v>2</v>
      </c>
      <c r="B407">
        <v>2016</v>
      </c>
      <c r="C407" t="s">
        <v>272</v>
      </c>
      <c r="D407" t="s">
        <v>273</v>
      </c>
      <c r="E407" t="s">
        <v>736</v>
      </c>
      <c r="F407" t="s">
        <v>735</v>
      </c>
      <c r="G407">
        <v>378</v>
      </c>
      <c r="H407">
        <v>36</v>
      </c>
      <c r="I407">
        <v>152.4</v>
      </c>
      <c r="J407">
        <v>12</v>
      </c>
      <c r="Q407"/>
    </row>
    <row r="408" spans="1:17" x14ac:dyDescent="0.25">
      <c r="A408">
        <v>2</v>
      </c>
      <c r="B408">
        <v>2016</v>
      </c>
      <c r="C408" t="s">
        <v>272</v>
      </c>
      <c r="D408" t="s">
        <v>273</v>
      </c>
      <c r="E408" t="s">
        <v>278</v>
      </c>
      <c r="F408" t="s">
        <v>279</v>
      </c>
      <c r="G408">
        <v>374.1</v>
      </c>
      <c r="H408">
        <v>150</v>
      </c>
      <c r="I408">
        <v>286.2</v>
      </c>
      <c r="J408">
        <v>108</v>
      </c>
      <c r="Q408"/>
    </row>
    <row r="409" spans="1:17" x14ac:dyDescent="0.25">
      <c r="A409">
        <v>2</v>
      </c>
      <c r="B409">
        <v>2016</v>
      </c>
      <c r="C409" t="s">
        <v>272</v>
      </c>
      <c r="D409" t="s">
        <v>273</v>
      </c>
      <c r="E409" t="s">
        <v>280</v>
      </c>
      <c r="F409" t="s">
        <v>281</v>
      </c>
      <c r="G409">
        <v>2013.9</v>
      </c>
      <c r="H409">
        <v>294</v>
      </c>
      <c r="I409">
        <v>328.8</v>
      </c>
      <c r="J409">
        <v>48</v>
      </c>
      <c r="Q409"/>
    </row>
    <row r="410" spans="1:17" x14ac:dyDescent="0.25">
      <c r="A410">
        <v>2</v>
      </c>
      <c r="B410">
        <v>2016</v>
      </c>
      <c r="C410" t="s">
        <v>272</v>
      </c>
      <c r="D410" t="s">
        <v>273</v>
      </c>
      <c r="E410" t="s">
        <v>282</v>
      </c>
      <c r="F410" t="s">
        <v>283</v>
      </c>
      <c r="G410">
        <v>594.29999999999995</v>
      </c>
      <c r="H410">
        <v>84</v>
      </c>
      <c r="Q410"/>
    </row>
    <row r="411" spans="1:17" x14ac:dyDescent="0.25">
      <c r="A411">
        <v>2</v>
      </c>
      <c r="B411">
        <v>2016</v>
      </c>
      <c r="C411" t="s">
        <v>272</v>
      </c>
      <c r="D411" t="s">
        <v>273</v>
      </c>
      <c r="E411" t="s">
        <v>737</v>
      </c>
      <c r="F411" t="s">
        <v>738</v>
      </c>
      <c r="G411">
        <v>1319.04</v>
      </c>
      <c r="H411">
        <v>192</v>
      </c>
      <c r="Q411"/>
    </row>
    <row r="412" spans="1:17" x14ac:dyDescent="0.25">
      <c r="A412">
        <v>2</v>
      </c>
      <c r="B412">
        <v>2016</v>
      </c>
      <c r="C412" t="s">
        <v>288</v>
      </c>
      <c r="D412" t="s">
        <v>289</v>
      </c>
      <c r="E412" t="s">
        <v>290</v>
      </c>
      <c r="F412" t="s">
        <v>291</v>
      </c>
      <c r="G412">
        <v>144</v>
      </c>
      <c r="H412">
        <v>30</v>
      </c>
      <c r="Q412"/>
    </row>
    <row r="413" spans="1:17" x14ac:dyDescent="0.25">
      <c r="A413">
        <v>2</v>
      </c>
      <c r="B413">
        <v>2016</v>
      </c>
      <c r="C413" t="s">
        <v>288</v>
      </c>
      <c r="D413" t="s">
        <v>289</v>
      </c>
      <c r="E413" t="s">
        <v>292</v>
      </c>
      <c r="F413" t="s">
        <v>293</v>
      </c>
      <c r="G413">
        <v>132.30000000000001</v>
      </c>
      <c r="H413">
        <v>18</v>
      </c>
      <c r="Q413"/>
    </row>
    <row r="414" spans="1:17" x14ac:dyDescent="0.25">
      <c r="A414">
        <v>2</v>
      </c>
      <c r="B414">
        <v>2016</v>
      </c>
      <c r="C414" t="s">
        <v>288</v>
      </c>
      <c r="D414" t="s">
        <v>289</v>
      </c>
      <c r="E414" t="s">
        <v>294</v>
      </c>
      <c r="F414" t="s">
        <v>295</v>
      </c>
      <c r="G414">
        <v>323.39999999999998</v>
      </c>
      <c r="H414">
        <v>42</v>
      </c>
      <c r="I414">
        <v>46.2</v>
      </c>
      <c r="J414">
        <v>6</v>
      </c>
      <c r="Q414"/>
    </row>
    <row r="415" spans="1:17" x14ac:dyDescent="0.25">
      <c r="A415">
        <v>2</v>
      </c>
      <c r="B415">
        <v>2016</v>
      </c>
      <c r="C415" t="s">
        <v>296</v>
      </c>
      <c r="D415" t="s">
        <v>297</v>
      </c>
      <c r="E415" t="s">
        <v>298</v>
      </c>
      <c r="F415" t="s">
        <v>299</v>
      </c>
      <c r="G415">
        <v>327.60000000000002</v>
      </c>
      <c r="H415">
        <v>78</v>
      </c>
      <c r="I415">
        <v>73.8</v>
      </c>
      <c r="J415">
        <v>18</v>
      </c>
      <c r="Q415"/>
    </row>
    <row r="416" spans="1:17" x14ac:dyDescent="0.25">
      <c r="A416">
        <v>2</v>
      </c>
      <c r="B416">
        <v>2016</v>
      </c>
      <c r="C416" t="s">
        <v>296</v>
      </c>
      <c r="D416" t="s">
        <v>297</v>
      </c>
      <c r="E416" t="s">
        <v>300</v>
      </c>
      <c r="F416" t="s">
        <v>301</v>
      </c>
      <c r="G416">
        <v>21.3</v>
      </c>
      <c r="H416">
        <v>6</v>
      </c>
      <c r="I416">
        <v>40.799999999999997</v>
      </c>
      <c r="J416">
        <v>12</v>
      </c>
      <c r="Q416"/>
    </row>
    <row r="417" spans="1:17" x14ac:dyDescent="0.25">
      <c r="A417">
        <v>2</v>
      </c>
      <c r="B417">
        <v>2016</v>
      </c>
      <c r="C417" t="s">
        <v>296</v>
      </c>
      <c r="D417" t="s">
        <v>297</v>
      </c>
      <c r="E417" t="s">
        <v>739</v>
      </c>
      <c r="F417" t="s">
        <v>301</v>
      </c>
      <c r="G417">
        <v>63.9</v>
      </c>
      <c r="H417">
        <v>24</v>
      </c>
      <c r="Q417"/>
    </row>
    <row r="418" spans="1:17" x14ac:dyDescent="0.25">
      <c r="A418">
        <v>2</v>
      </c>
      <c r="B418">
        <v>2016</v>
      </c>
      <c r="C418" t="s">
        <v>296</v>
      </c>
      <c r="D418" t="s">
        <v>297</v>
      </c>
      <c r="E418" t="s">
        <v>302</v>
      </c>
      <c r="F418" t="s">
        <v>303</v>
      </c>
      <c r="G418">
        <v>33</v>
      </c>
      <c r="H418">
        <v>6</v>
      </c>
      <c r="I418">
        <v>240</v>
      </c>
      <c r="J418">
        <v>48</v>
      </c>
      <c r="Q418"/>
    </row>
    <row r="419" spans="1:17" x14ac:dyDescent="0.25">
      <c r="A419">
        <v>2</v>
      </c>
      <c r="B419">
        <v>2016</v>
      </c>
      <c r="C419" t="s">
        <v>296</v>
      </c>
      <c r="D419" t="s">
        <v>297</v>
      </c>
      <c r="E419" t="s">
        <v>304</v>
      </c>
      <c r="F419" t="s">
        <v>303</v>
      </c>
      <c r="G419">
        <v>66</v>
      </c>
      <c r="H419">
        <v>12</v>
      </c>
      <c r="Q419"/>
    </row>
    <row r="420" spans="1:17" x14ac:dyDescent="0.25">
      <c r="A420">
        <v>2</v>
      </c>
      <c r="B420">
        <v>2016</v>
      </c>
      <c r="C420" t="s">
        <v>296</v>
      </c>
      <c r="D420" t="s">
        <v>297</v>
      </c>
      <c r="E420" t="s">
        <v>305</v>
      </c>
      <c r="F420" t="s">
        <v>303</v>
      </c>
      <c r="G420">
        <v>231</v>
      </c>
      <c r="H420">
        <v>42</v>
      </c>
      <c r="I420">
        <v>32.4</v>
      </c>
      <c r="J420">
        <v>6</v>
      </c>
      <c r="Q420"/>
    </row>
    <row r="421" spans="1:17" x14ac:dyDescent="0.25">
      <c r="A421">
        <v>2</v>
      </c>
      <c r="B421">
        <v>2016</v>
      </c>
      <c r="C421" t="s">
        <v>296</v>
      </c>
      <c r="D421" t="s">
        <v>297</v>
      </c>
      <c r="E421" t="s">
        <v>308</v>
      </c>
      <c r="F421" t="s">
        <v>309</v>
      </c>
      <c r="G421">
        <v>2662.5</v>
      </c>
      <c r="H421">
        <v>750</v>
      </c>
      <c r="I421">
        <v>1081.2</v>
      </c>
      <c r="J421">
        <v>324</v>
      </c>
      <c r="Q421"/>
    </row>
    <row r="422" spans="1:17" x14ac:dyDescent="0.25">
      <c r="A422">
        <v>2</v>
      </c>
      <c r="B422">
        <v>2016</v>
      </c>
      <c r="C422" t="s">
        <v>296</v>
      </c>
      <c r="D422" t="s">
        <v>297</v>
      </c>
      <c r="E422" t="s">
        <v>310</v>
      </c>
      <c r="F422" t="s">
        <v>311</v>
      </c>
      <c r="G422">
        <v>596</v>
      </c>
      <c r="H422">
        <v>266.8</v>
      </c>
      <c r="I422">
        <v>312.89999999999998</v>
      </c>
      <c r="J422">
        <v>140.07</v>
      </c>
      <c r="Q422"/>
    </row>
    <row r="423" spans="1:17" x14ac:dyDescent="0.25">
      <c r="A423">
        <v>2</v>
      </c>
      <c r="B423">
        <v>2016</v>
      </c>
      <c r="C423" t="s">
        <v>296</v>
      </c>
      <c r="D423" t="s">
        <v>297</v>
      </c>
      <c r="E423" t="s">
        <v>312</v>
      </c>
      <c r="F423" t="s">
        <v>313</v>
      </c>
      <c r="G423">
        <v>1620</v>
      </c>
      <c r="H423">
        <v>726</v>
      </c>
      <c r="I423">
        <v>1861.2</v>
      </c>
      <c r="J423">
        <v>858</v>
      </c>
      <c r="Q423"/>
    </row>
    <row r="424" spans="1:17" x14ac:dyDescent="0.25">
      <c r="A424">
        <v>2</v>
      </c>
      <c r="B424">
        <v>2016</v>
      </c>
      <c r="C424" t="s">
        <v>296</v>
      </c>
      <c r="D424" t="s">
        <v>297</v>
      </c>
      <c r="E424" t="s">
        <v>314</v>
      </c>
      <c r="F424" t="s">
        <v>315</v>
      </c>
      <c r="G424">
        <v>1564.2</v>
      </c>
      <c r="H424">
        <v>1073.8699999999999</v>
      </c>
      <c r="I424">
        <v>999.9</v>
      </c>
      <c r="J424">
        <v>673.67</v>
      </c>
      <c r="Q424"/>
    </row>
    <row r="425" spans="1:17" x14ac:dyDescent="0.25">
      <c r="A425">
        <v>2</v>
      </c>
      <c r="B425">
        <v>2016</v>
      </c>
      <c r="C425" t="s">
        <v>296</v>
      </c>
      <c r="D425" t="s">
        <v>297</v>
      </c>
      <c r="E425" t="s">
        <v>740</v>
      </c>
      <c r="F425" t="s">
        <v>741</v>
      </c>
      <c r="G425">
        <v>16.899999999999999</v>
      </c>
      <c r="H425">
        <v>13.33</v>
      </c>
      <c r="Q425"/>
    </row>
    <row r="426" spans="1:17" x14ac:dyDescent="0.25">
      <c r="A426">
        <v>2</v>
      </c>
      <c r="B426">
        <v>2016</v>
      </c>
      <c r="C426" t="s">
        <v>319</v>
      </c>
      <c r="D426" t="s">
        <v>320</v>
      </c>
      <c r="E426" t="s">
        <v>321</v>
      </c>
      <c r="F426" t="s">
        <v>322</v>
      </c>
      <c r="G426">
        <v>950.4</v>
      </c>
      <c r="H426">
        <v>270</v>
      </c>
      <c r="I426">
        <v>646.79999999999995</v>
      </c>
      <c r="J426">
        <v>186</v>
      </c>
      <c r="Q426"/>
    </row>
    <row r="427" spans="1:17" x14ac:dyDescent="0.25">
      <c r="A427">
        <v>2</v>
      </c>
      <c r="B427">
        <v>2016</v>
      </c>
      <c r="C427" t="s">
        <v>319</v>
      </c>
      <c r="D427" t="s">
        <v>320</v>
      </c>
      <c r="E427" t="s">
        <v>323</v>
      </c>
      <c r="F427" t="s">
        <v>322</v>
      </c>
      <c r="G427">
        <v>53.28</v>
      </c>
      <c r="H427">
        <v>12</v>
      </c>
      <c r="Q427"/>
    </row>
    <row r="428" spans="1:17" x14ac:dyDescent="0.25">
      <c r="A428">
        <v>2</v>
      </c>
      <c r="B428">
        <v>2016</v>
      </c>
      <c r="C428" t="s">
        <v>324</v>
      </c>
      <c r="D428" t="s">
        <v>325</v>
      </c>
      <c r="E428" t="s">
        <v>742</v>
      </c>
      <c r="F428" t="s">
        <v>743</v>
      </c>
      <c r="G428">
        <v>61.2</v>
      </c>
      <c r="H428">
        <v>12</v>
      </c>
      <c r="I428">
        <v>122.4</v>
      </c>
      <c r="J428">
        <v>24</v>
      </c>
      <c r="Q428"/>
    </row>
    <row r="429" spans="1:17" x14ac:dyDescent="0.25">
      <c r="A429">
        <v>2</v>
      </c>
      <c r="B429">
        <v>2016</v>
      </c>
      <c r="C429" t="s">
        <v>324</v>
      </c>
      <c r="D429" t="s">
        <v>325</v>
      </c>
      <c r="E429" t="s">
        <v>744</v>
      </c>
      <c r="F429" t="s">
        <v>327</v>
      </c>
      <c r="G429">
        <v>108</v>
      </c>
      <c r="H429">
        <v>24</v>
      </c>
      <c r="Q429"/>
    </row>
    <row r="430" spans="1:17" x14ac:dyDescent="0.25">
      <c r="A430">
        <v>2</v>
      </c>
      <c r="B430">
        <v>2016</v>
      </c>
      <c r="C430" t="s">
        <v>324</v>
      </c>
      <c r="D430" t="s">
        <v>325</v>
      </c>
      <c r="E430" t="s">
        <v>326</v>
      </c>
      <c r="F430" t="s">
        <v>327</v>
      </c>
      <c r="G430">
        <v>851.4</v>
      </c>
      <c r="H430">
        <v>198</v>
      </c>
      <c r="I430">
        <v>309.60000000000002</v>
      </c>
      <c r="J430">
        <v>72</v>
      </c>
      <c r="Q430"/>
    </row>
    <row r="431" spans="1:17" x14ac:dyDescent="0.25">
      <c r="A431">
        <v>2</v>
      </c>
      <c r="B431">
        <v>2016</v>
      </c>
      <c r="C431" t="s">
        <v>324</v>
      </c>
      <c r="D431" t="s">
        <v>325</v>
      </c>
      <c r="E431" t="s">
        <v>330</v>
      </c>
      <c r="F431" t="s">
        <v>331</v>
      </c>
      <c r="G431">
        <v>0</v>
      </c>
      <c r="H431">
        <v>84</v>
      </c>
      <c r="Q431"/>
    </row>
    <row r="432" spans="1:17" x14ac:dyDescent="0.25">
      <c r="A432">
        <v>2</v>
      </c>
      <c r="B432">
        <v>2016</v>
      </c>
      <c r="C432" t="s">
        <v>324</v>
      </c>
      <c r="D432" t="s">
        <v>325</v>
      </c>
      <c r="E432" t="s">
        <v>332</v>
      </c>
      <c r="F432" t="s">
        <v>333</v>
      </c>
      <c r="G432">
        <v>739.5</v>
      </c>
      <c r="H432">
        <v>340.17</v>
      </c>
      <c r="I432">
        <v>261</v>
      </c>
      <c r="J432">
        <v>120.06</v>
      </c>
      <c r="Q432"/>
    </row>
    <row r="433" spans="1:17" x14ac:dyDescent="0.25">
      <c r="A433">
        <v>2</v>
      </c>
      <c r="B433">
        <v>2016</v>
      </c>
      <c r="C433" t="s">
        <v>324</v>
      </c>
      <c r="D433" t="s">
        <v>325</v>
      </c>
      <c r="E433" t="s">
        <v>745</v>
      </c>
      <c r="F433" t="s">
        <v>331</v>
      </c>
      <c r="G433">
        <v>0</v>
      </c>
      <c r="H433">
        <v>72</v>
      </c>
      <c r="Q433"/>
    </row>
    <row r="434" spans="1:17" x14ac:dyDescent="0.25">
      <c r="A434">
        <v>2</v>
      </c>
      <c r="B434">
        <v>2016</v>
      </c>
      <c r="C434" t="s">
        <v>334</v>
      </c>
      <c r="D434" t="s">
        <v>335</v>
      </c>
      <c r="E434" t="s">
        <v>336</v>
      </c>
      <c r="F434" t="s">
        <v>337</v>
      </c>
      <c r="G434">
        <v>228</v>
      </c>
      <c r="H434">
        <v>30</v>
      </c>
      <c r="I434">
        <v>684</v>
      </c>
      <c r="J434">
        <v>90</v>
      </c>
      <c r="Q434"/>
    </row>
    <row r="435" spans="1:17" x14ac:dyDescent="0.25">
      <c r="A435">
        <v>2</v>
      </c>
      <c r="B435">
        <v>2016</v>
      </c>
      <c r="C435" t="s">
        <v>334</v>
      </c>
      <c r="D435" t="s">
        <v>335</v>
      </c>
      <c r="E435" t="s">
        <v>338</v>
      </c>
      <c r="F435" t="s">
        <v>339</v>
      </c>
      <c r="G435">
        <v>469.2</v>
      </c>
      <c r="H435">
        <v>102</v>
      </c>
      <c r="I435">
        <v>1255.8</v>
      </c>
      <c r="J435">
        <v>276</v>
      </c>
      <c r="Q435"/>
    </row>
    <row r="436" spans="1:17" x14ac:dyDescent="0.25">
      <c r="A436">
        <v>2</v>
      </c>
      <c r="B436">
        <v>2016</v>
      </c>
      <c r="C436" t="s">
        <v>340</v>
      </c>
      <c r="D436" t="s">
        <v>341</v>
      </c>
      <c r="E436" t="s">
        <v>342</v>
      </c>
      <c r="F436" t="s">
        <v>343</v>
      </c>
      <c r="G436">
        <v>723.6</v>
      </c>
      <c r="H436">
        <v>186</v>
      </c>
      <c r="I436">
        <v>948</v>
      </c>
      <c r="J436">
        <v>240</v>
      </c>
      <c r="Q436"/>
    </row>
    <row r="437" spans="1:17" x14ac:dyDescent="0.25">
      <c r="A437">
        <v>2</v>
      </c>
      <c r="B437">
        <v>2016</v>
      </c>
      <c r="C437" t="s">
        <v>340</v>
      </c>
      <c r="D437" t="s">
        <v>341</v>
      </c>
      <c r="E437" t="s">
        <v>345</v>
      </c>
      <c r="F437" t="s">
        <v>346</v>
      </c>
      <c r="G437">
        <v>124.8</v>
      </c>
      <c r="H437">
        <v>24</v>
      </c>
      <c r="I437">
        <v>561.6</v>
      </c>
      <c r="J437">
        <v>108</v>
      </c>
      <c r="Q437"/>
    </row>
    <row r="438" spans="1:17" x14ac:dyDescent="0.25">
      <c r="A438">
        <v>2</v>
      </c>
      <c r="B438">
        <v>2016</v>
      </c>
      <c r="C438" t="s">
        <v>340</v>
      </c>
      <c r="D438" t="s">
        <v>341</v>
      </c>
      <c r="E438" t="s">
        <v>746</v>
      </c>
      <c r="F438" t="s">
        <v>747</v>
      </c>
      <c r="G438">
        <v>60</v>
      </c>
      <c r="H438">
        <v>8</v>
      </c>
      <c r="Q438"/>
    </row>
    <row r="439" spans="1:17" x14ac:dyDescent="0.25">
      <c r="A439">
        <v>2</v>
      </c>
      <c r="B439">
        <v>2016</v>
      </c>
      <c r="C439" t="s">
        <v>349</v>
      </c>
      <c r="D439" t="s">
        <v>350</v>
      </c>
      <c r="E439" t="s">
        <v>351</v>
      </c>
      <c r="F439" t="s">
        <v>352</v>
      </c>
      <c r="G439">
        <v>529.20000000000005</v>
      </c>
      <c r="H439">
        <v>84</v>
      </c>
      <c r="I439">
        <v>264.60000000000002</v>
      </c>
      <c r="J439">
        <v>48</v>
      </c>
      <c r="Q439"/>
    </row>
    <row r="440" spans="1:17" x14ac:dyDescent="0.25">
      <c r="A440">
        <v>2</v>
      </c>
      <c r="B440">
        <v>2016</v>
      </c>
      <c r="C440" t="s">
        <v>349</v>
      </c>
      <c r="D440" t="s">
        <v>350</v>
      </c>
      <c r="E440" t="s">
        <v>353</v>
      </c>
      <c r="F440" t="s">
        <v>352</v>
      </c>
      <c r="G440">
        <v>138.6</v>
      </c>
      <c r="H440">
        <v>18</v>
      </c>
      <c r="I440">
        <v>277.2</v>
      </c>
      <c r="J440">
        <v>36</v>
      </c>
      <c r="Q440"/>
    </row>
    <row r="441" spans="1:17" x14ac:dyDescent="0.25">
      <c r="A441">
        <v>2</v>
      </c>
      <c r="B441">
        <v>2016</v>
      </c>
      <c r="C441" t="s">
        <v>349</v>
      </c>
      <c r="D441" t="s">
        <v>350</v>
      </c>
      <c r="E441" t="s">
        <v>354</v>
      </c>
      <c r="F441" t="s">
        <v>352</v>
      </c>
      <c r="G441">
        <v>356.4</v>
      </c>
      <c r="H441">
        <v>54</v>
      </c>
      <c r="I441">
        <v>277.2</v>
      </c>
      <c r="J441">
        <v>42</v>
      </c>
      <c r="Q441"/>
    </row>
    <row r="442" spans="1:17" x14ac:dyDescent="0.25">
      <c r="A442">
        <v>2</v>
      </c>
      <c r="B442">
        <v>2016</v>
      </c>
      <c r="C442" t="s">
        <v>349</v>
      </c>
      <c r="D442" t="s">
        <v>350</v>
      </c>
      <c r="E442" t="s">
        <v>355</v>
      </c>
      <c r="F442" t="s">
        <v>352</v>
      </c>
      <c r="G442">
        <v>138.6</v>
      </c>
      <c r="H442">
        <v>18</v>
      </c>
      <c r="Q442"/>
    </row>
    <row r="443" spans="1:17" x14ac:dyDescent="0.25">
      <c r="A443">
        <v>2</v>
      </c>
      <c r="B443">
        <v>2016</v>
      </c>
      <c r="C443" t="s">
        <v>356</v>
      </c>
      <c r="D443" t="s">
        <v>357</v>
      </c>
      <c r="E443" t="s">
        <v>358</v>
      </c>
      <c r="F443" t="s">
        <v>359</v>
      </c>
      <c r="G443">
        <v>390.6</v>
      </c>
      <c r="H443">
        <v>186</v>
      </c>
      <c r="I443">
        <v>442.8</v>
      </c>
      <c r="J443">
        <v>222</v>
      </c>
      <c r="Q443"/>
    </row>
    <row r="444" spans="1:17" x14ac:dyDescent="0.25">
      <c r="A444">
        <v>2</v>
      </c>
      <c r="B444">
        <v>2016</v>
      </c>
      <c r="C444" t="s">
        <v>360</v>
      </c>
      <c r="D444" t="s">
        <v>361</v>
      </c>
      <c r="E444" t="s">
        <v>362</v>
      </c>
      <c r="F444" t="s">
        <v>363</v>
      </c>
      <c r="G444">
        <v>266</v>
      </c>
      <c r="H444">
        <v>186.62</v>
      </c>
      <c r="I444">
        <v>1387</v>
      </c>
      <c r="J444">
        <v>986.42</v>
      </c>
      <c r="Q444"/>
    </row>
    <row r="445" spans="1:17" x14ac:dyDescent="0.25">
      <c r="A445">
        <v>2</v>
      </c>
      <c r="B445">
        <v>2016</v>
      </c>
      <c r="C445" t="s">
        <v>360</v>
      </c>
      <c r="D445" t="s">
        <v>361</v>
      </c>
      <c r="E445" t="s">
        <v>364</v>
      </c>
      <c r="F445" t="s">
        <v>363</v>
      </c>
      <c r="G445">
        <v>814</v>
      </c>
      <c r="H445">
        <v>493.58</v>
      </c>
      <c r="I445">
        <v>1226.4000000000001</v>
      </c>
      <c r="J445">
        <v>753.71</v>
      </c>
      <c r="Q445"/>
    </row>
    <row r="446" spans="1:17" x14ac:dyDescent="0.25">
      <c r="A446">
        <v>2</v>
      </c>
      <c r="B446">
        <v>2016</v>
      </c>
      <c r="C446" t="s">
        <v>360</v>
      </c>
      <c r="D446" t="s">
        <v>361</v>
      </c>
      <c r="E446" t="s">
        <v>365</v>
      </c>
      <c r="F446" t="s">
        <v>366</v>
      </c>
      <c r="G446">
        <v>86.1</v>
      </c>
      <c r="H446">
        <v>48</v>
      </c>
      <c r="I446">
        <v>258.3</v>
      </c>
      <c r="J446">
        <v>126</v>
      </c>
      <c r="Q446"/>
    </row>
    <row r="447" spans="1:17" x14ac:dyDescent="0.25">
      <c r="A447">
        <v>2</v>
      </c>
      <c r="B447">
        <v>2016</v>
      </c>
      <c r="C447" t="s">
        <v>360</v>
      </c>
      <c r="D447" t="s">
        <v>361</v>
      </c>
      <c r="E447" t="s">
        <v>367</v>
      </c>
      <c r="F447" t="s">
        <v>368</v>
      </c>
      <c r="G447">
        <v>2187</v>
      </c>
      <c r="H447">
        <v>810</v>
      </c>
      <c r="I447">
        <v>1765.8</v>
      </c>
      <c r="J447">
        <v>660</v>
      </c>
      <c r="Q447"/>
    </row>
    <row r="448" spans="1:17" x14ac:dyDescent="0.25">
      <c r="A448">
        <v>2</v>
      </c>
      <c r="B448">
        <v>2016</v>
      </c>
      <c r="C448" t="s">
        <v>360</v>
      </c>
      <c r="D448" t="s">
        <v>361</v>
      </c>
      <c r="E448" t="s">
        <v>369</v>
      </c>
      <c r="F448" t="s">
        <v>370</v>
      </c>
      <c r="G448">
        <v>999</v>
      </c>
      <c r="H448">
        <v>228</v>
      </c>
      <c r="I448">
        <v>618.24</v>
      </c>
      <c r="J448">
        <v>144</v>
      </c>
      <c r="Q448"/>
    </row>
    <row r="449" spans="1:17" x14ac:dyDescent="0.25">
      <c r="A449">
        <v>2</v>
      </c>
      <c r="B449">
        <v>2016</v>
      </c>
      <c r="C449" t="s">
        <v>360</v>
      </c>
      <c r="D449" t="s">
        <v>361</v>
      </c>
      <c r="E449" t="s">
        <v>371</v>
      </c>
      <c r="F449" t="s">
        <v>372</v>
      </c>
      <c r="G449">
        <v>210.6</v>
      </c>
      <c r="H449">
        <v>36</v>
      </c>
      <c r="I449">
        <v>69.959999999999994</v>
      </c>
      <c r="J449">
        <v>12</v>
      </c>
      <c r="Q449"/>
    </row>
    <row r="450" spans="1:17" x14ac:dyDescent="0.25">
      <c r="A450">
        <v>2</v>
      </c>
      <c r="B450">
        <v>2016</v>
      </c>
      <c r="C450" t="s">
        <v>360</v>
      </c>
      <c r="D450" t="s">
        <v>361</v>
      </c>
      <c r="E450" t="s">
        <v>748</v>
      </c>
      <c r="F450" t="s">
        <v>749</v>
      </c>
      <c r="G450">
        <v>148.80000000000001</v>
      </c>
      <c r="H450">
        <v>24</v>
      </c>
      <c r="Q450"/>
    </row>
    <row r="451" spans="1:17" x14ac:dyDescent="0.25">
      <c r="A451">
        <v>2</v>
      </c>
      <c r="B451">
        <v>2016</v>
      </c>
      <c r="C451" t="s">
        <v>360</v>
      </c>
      <c r="D451" t="s">
        <v>361</v>
      </c>
      <c r="E451" t="s">
        <v>750</v>
      </c>
      <c r="F451" t="s">
        <v>751</v>
      </c>
      <c r="G451">
        <v>504</v>
      </c>
      <c r="H451">
        <v>54</v>
      </c>
      <c r="I451">
        <v>501.6</v>
      </c>
      <c r="J451">
        <v>48</v>
      </c>
      <c r="Q451"/>
    </row>
    <row r="452" spans="1:17" x14ac:dyDescent="0.25">
      <c r="A452">
        <v>2</v>
      </c>
      <c r="B452">
        <v>2016</v>
      </c>
      <c r="C452" t="s">
        <v>360</v>
      </c>
      <c r="D452" t="s">
        <v>361</v>
      </c>
      <c r="E452" t="s">
        <v>752</v>
      </c>
      <c r="F452" t="s">
        <v>753</v>
      </c>
      <c r="G452">
        <v>85.5</v>
      </c>
      <c r="H452">
        <v>30</v>
      </c>
      <c r="Q452"/>
    </row>
    <row r="453" spans="1:17" x14ac:dyDescent="0.25">
      <c r="A453">
        <v>2</v>
      </c>
      <c r="B453">
        <v>2016</v>
      </c>
      <c r="C453" t="s">
        <v>360</v>
      </c>
      <c r="D453" t="s">
        <v>361</v>
      </c>
      <c r="E453" t="s">
        <v>754</v>
      </c>
      <c r="F453" t="s">
        <v>755</v>
      </c>
      <c r="G453">
        <v>47.76</v>
      </c>
      <c r="H453">
        <v>12</v>
      </c>
      <c r="Q453"/>
    </row>
    <row r="454" spans="1:17" x14ac:dyDescent="0.25">
      <c r="A454">
        <v>2</v>
      </c>
      <c r="B454">
        <v>2016</v>
      </c>
      <c r="C454" t="s">
        <v>386</v>
      </c>
      <c r="D454" t="s">
        <v>387</v>
      </c>
      <c r="E454" t="s">
        <v>388</v>
      </c>
      <c r="F454" t="s">
        <v>389</v>
      </c>
      <c r="G454">
        <v>383.4</v>
      </c>
      <c r="H454">
        <v>114</v>
      </c>
      <c r="I454">
        <v>105</v>
      </c>
      <c r="J454">
        <v>36</v>
      </c>
      <c r="Q454"/>
    </row>
    <row r="455" spans="1:17" x14ac:dyDescent="0.25">
      <c r="A455">
        <v>2</v>
      </c>
      <c r="B455">
        <v>2016</v>
      </c>
      <c r="C455" t="s">
        <v>386</v>
      </c>
      <c r="D455" t="s">
        <v>387</v>
      </c>
      <c r="E455" t="s">
        <v>390</v>
      </c>
      <c r="F455" t="s">
        <v>391</v>
      </c>
      <c r="G455">
        <v>64.8</v>
      </c>
      <c r="H455">
        <v>18</v>
      </c>
      <c r="Q455"/>
    </row>
    <row r="456" spans="1:17" x14ac:dyDescent="0.25">
      <c r="A456">
        <v>2</v>
      </c>
      <c r="B456">
        <v>2016</v>
      </c>
      <c r="C456" t="s">
        <v>386</v>
      </c>
      <c r="D456" t="s">
        <v>387</v>
      </c>
      <c r="E456" t="s">
        <v>392</v>
      </c>
      <c r="F456" t="s">
        <v>393</v>
      </c>
      <c r="G456">
        <v>246</v>
      </c>
      <c r="H456">
        <v>60</v>
      </c>
      <c r="I456">
        <v>437.4</v>
      </c>
      <c r="J456">
        <v>108</v>
      </c>
      <c r="Q456"/>
    </row>
    <row r="457" spans="1:17" x14ac:dyDescent="0.25">
      <c r="A457">
        <v>2</v>
      </c>
      <c r="B457">
        <v>2016</v>
      </c>
      <c r="C457" t="s">
        <v>386</v>
      </c>
      <c r="D457" t="s">
        <v>387</v>
      </c>
      <c r="E457" t="s">
        <v>394</v>
      </c>
      <c r="F457" t="s">
        <v>395</v>
      </c>
      <c r="G457">
        <v>465.75</v>
      </c>
      <c r="H457">
        <v>306.58999999999997</v>
      </c>
      <c r="I457">
        <v>364.5</v>
      </c>
      <c r="J457">
        <v>239.94</v>
      </c>
      <c r="Q457"/>
    </row>
    <row r="458" spans="1:17" x14ac:dyDescent="0.25">
      <c r="A458">
        <v>2</v>
      </c>
      <c r="B458">
        <v>2016</v>
      </c>
      <c r="C458" t="s">
        <v>386</v>
      </c>
      <c r="D458" t="s">
        <v>387</v>
      </c>
      <c r="E458" t="s">
        <v>396</v>
      </c>
      <c r="F458" t="s">
        <v>397</v>
      </c>
      <c r="G458">
        <v>707.6</v>
      </c>
      <c r="H458">
        <v>386.86</v>
      </c>
      <c r="I458">
        <v>597.79999999999995</v>
      </c>
      <c r="J458">
        <v>326.83</v>
      </c>
      <c r="Q458"/>
    </row>
    <row r="459" spans="1:17" x14ac:dyDescent="0.25">
      <c r="A459">
        <v>2</v>
      </c>
      <c r="B459">
        <v>2016</v>
      </c>
      <c r="C459" t="s">
        <v>386</v>
      </c>
      <c r="D459" t="s">
        <v>387</v>
      </c>
      <c r="E459" t="s">
        <v>398</v>
      </c>
      <c r="F459" t="s">
        <v>399</v>
      </c>
      <c r="G459">
        <v>461.7</v>
      </c>
      <c r="H459">
        <v>114</v>
      </c>
      <c r="I459">
        <v>408</v>
      </c>
      <c r="J459">
        <v>102</v>
      </c>
      <c r="Q459"/>
    </row>
    <row r="460" spans="1:17" x14ac:dyDescent="0.25">
      <c r="A460">
        <v>2</v>
      </c>
      <c r="B460">
        <v>2016</v>
      </c>
      <c r="C460" t="s">
        <v>404</v>
      </c>
      <c r="D460" t="s">
        <v>405</v>
      </c>
      <c r="E460" t="s">
        <v>406</v>
      </c>
      <c r="F460" t="s">
        <v>407</v>
      </c>
      <c r="G460">
        <v>374.4</v>
      </c>
      <c r="H460">
        <v>72</v>
      </c>
      <c r="I460">
        <v>1254.5999999999999</v>
      </c>
      <c r="J460">
        <v>246</v>
      </c>
      <c r="Q460"/>
    </row>
    <row r="461" spans="1:17" x14ac:dyDescent="0.25">
      <c r="A461">
        <v>2</v>
      </c>
      <c r="B461">
        <v>2016</v>
      </c>
      <c r="C461" t="s">
        <v>404</v>
      </c>
      <c r="D461" t="s">
        <v>405</v>
      </c>
      <c r="E461" t="s">
        <v>408</v>
      </c>
      <c r="F461" t="s">
        <v>409</v>
      </c>
      <c r="G461">
        <v>66.599999999999994</v>
      </c>
      <c r="H461">
        <v>12</v>
      </c>
      <c r="I461">
        <v>130.80000000000001</v>
      </c>
      <c r="J461">
        <v>24</v>
      </c>
      <c r="Q461"/>
    </row>
    <row r="462" spans="1:17" x14ac:dyDescent="0.25">
      <c r="A462">
        <v>2</v>
      </c>
      <c r="B462">
        <v>2016</v>
      </c>
      <c r="C462" t="s">
        <v>412</v>
      </c>
      <c r="D462" t="s">
        <v>413</v>
      </c>
      <c r="E462" t="s">
        <v>414</v>
      </c>
      <c r="F462" t="s">
        <v>415</v>
      </c>
      <c r="G462">
        <v>2308.8000000000002</v>
      </c>
      <c r="H462">
        <v>636</v>
      </c>
      <c r="I462">
        <v>2266.8000000000002</v>
      </c>
      <c r="J462">
        <v>630</v>
      </c>
      <c r="Q462"/>
    </row>
    <row r="463" spans="1:17" x14ac:dyDescent="0.25">
      <c r="A463">
        <v>2</v>
      </c>
      <c r="B463">
        <v>2016</v>
      </c>
      <c r="C463" t="s">
        <v>412</v>
      </c>
      <c r="D463" t="s">
        <v>413</v>
      </c>
      <c r="E463" t="s">
        <v>756</v>
      </c>
      <c r="F463" t="s">
        <v>415</v>
      </c>
      <c r="G463">
        <v>105.6</v>
      </c>
      <c r="H463">
        <v>24</v>
      </c>
      <c r="I463">
        <v>26.4</v>
      </c>
      <c r="J463">
        <v>6</v>
      </c>
      <c r="Q463"/>
    </row>
    <row r="464" spans="1:17" x14ac:dyDescent="0.25">
      <c r="A464">
        <v>2</v>
      </c>
      <c r="B464">
        <v>2016</v>
      </c>
      <c r="C464" t="s">
        <v>412</v>
      </c>
      <c r="D464" t="s">
        <v>413</v>
      </c>
      <c r="E464" t="s">
        <v>416</v>
      </c>
      <c r="F464" t="s">
        <v>417</v>
      </c>
      <c r="G464">
        <v>210.6</v>
      </c>
      <c r="H464">
        <v>54</v>
      </c>
      <c r="Q464"/>
    </row>
    <row r="465" spans="1:17" x14ac:dyDescent="0.25">
      <c r="A465">
        <v>2</v>
      </c>
      <c r="B465">
        <v>2016</v>
      </c>
      <c r="C465" t="s">
        <v>412</v>
      </c>
      <c r="D465" t="s">
        <v>413</v>
      </c>
      <c r="E465" t="s">
        <v>418</v>
      </c>
      <c r="F465" t="s">
        <v>419</v>
      </c>
      <c r="G465">
        <v>1060.2</v>
      </c>
      <c r="H465">
        <v>228</v>
      </c>
      <c r="I465">
        <v>104.4</v>
      </c>
      <c r="J465">
        <v>30</v>
      </c>
      <c r="Q465"/>
    </row>
    <row r="466" spans="1:17" x14ac:dyDescent="0.25">
      <c r="A466">
        <v>2</v>
      </c>
      <c r="B466">
        <v>2016</v>
      </c>
      <c r="C466" t="s">
        <v>412</v>
      </c>
      <c r="D466" t="s">
        <v>413</v>
      </c>
      <c r="E466" t="s">
        <v>420</v>
      </c>
      <c r="F466" t="s">
        <v>421</v>
      </c>
      <c r="G466">
        <v>186</v>
      </c>
      <c r="H466">
        <v>30</v>
      </c>
      <c r="Q466"/>
    </row>
    <row r="467" spans="1:17" x14ac:dyDescent="0.25">
      <c r="A467">
        <v>2</v>
      </c>
      <c r="B467">
        <v>2016</v>
      </c>
      <c r="C467" t="s">
        <v>412</v>
      </c>
      <c r="D467" t="s">
        <v>413</v>
      </c>
      <c r="E467" t="s">
        <v>757</v>
      </c>
      <c r="F467" t="s">
        <v>758</v>
      </c>
      <c r="G467">
        <v>408</v>
      </c>
      <c r="H467">
        <v>60</v>
      </c>
      <c r="Q467"/>
    </row>
    <row r="468" spans="1:17" x14ac:dyDescent="0.25">
      <c r="A468">
        <v>2</v>
      </c>
      <c r="B468">
        <v>2016</v>
      </c>
      <c r="C468" t="s">
        <v>412</v>
      </c>
      <c r="D468" t="s">
        <v>413</v>
      </c>
      <c r="E468" t="s">
        <v>759</v>
      </c>
      <c r="F468" t="s">
        <v>758</v>
      </c>
      <c r="G468">
        <v>42</v>
      </c>
      <c r="H468">
        <v>6</v>
      </c>
      <c r="Q468"/>
    </row>
    <row r="469" spans="1:17" x14ac:dyDescent="0.25">
      <c r="A469">
        <v>2</v>
      </c>
      <c r="B469">
        <v>2016</v>
      </c>
      <c r="C469" t="s">
        <v>412</v>
      </c>
      <c r="D469" t="s">
        <v>413</v>
      </c>
      <c r="E469" t="s">
        <v>422</v>
      </c>
      <c r="F469" t="s">
        <v>423</v>
      </c>
      <c r="G469">
        <v>208.8</v>
      </c>
      <c r="H469">
        <v>24</v>
      </c>
      <c r="Q469"/>
    </row>
    <row r="470" spans="1:17" x14ac:dyDescent="0.25">
      <c r="A470">
        <v>2</v>
      </c>
      <c r="B470">
        <v>2016</v>
      </c>
      <c r="C470" t="s">
        <v>432</v>
      </c>
      <c r="D470" t="s">
        <v>433</v>
      </c>
      <c r="E470" t="s">
        <v>434</v>
      </c>
      <c r="F470" t="s">
        <v>435</v>
      </c>
      <c r="G470">
        <v>265.2</v>
      </c>
      <c r="H470">
        <v>102</v>
      </c>
      <c r="I470">
        <v>216</v>
      </c>
      <c r="J470">
        <v>90</v>
      </c>
      <c r="Q470"/>
    </row>
    <row r="471" spans="1:17" x14ac:dyDescent="0.25">
      <c r="A471">
        <v>2</v>
      </c>
      <c r="B471">
        <v>2016</v>
      </c>
      <c r="C471" t="s">
        <v>432</v>
      </c>
      <c r="D471" t="s">
        <v>433</v>
      </c>
      <c r="E471" t="s">
        <v>436</v>
      </c>
      <c r="F471" t="s">
        <v>437</v>
      </c>
      <c r="G471">
        <v>2037.7</v>
      </c>
      <c r="H471">
        <v>1014</v>
      </c>
      <c r="I471">
        <v>444</v>
      </c>
      <c r="J471">
        <v>222</v>
      </c>
      <c r="Q471"/>
    </row>
    <row r="472" spans="1:17" x14ac:dyDescent="0.25">
      <c r="A472">
        <v>2</v>
      </c>
      <c r="B472">
        <v>2016</v>
      </c>
      <c r="C472" t="s">
        <v>438</v>
      </c>
      <c r="D472" t="s">
        <v>439</v>
      </c>
      <c r="E472" t="s">
        <v>440</v>
      </c>
      <c r="F472" t="s">
        <v>441</v>
      </c>
      <c r="G472">
        <v>1779.84</v>
      </c>
      <c r="H472">
        <v>1158</v>
      </c>
      <c r="I472">
        <v>1472.22</v>
      </c>
      <c r="J472">
        <v>966</v>
      </c>
      <c r="Q472"/>
    </row>
    <row r="473" spans="1:17" x14ac:dyDescent="0.25">
      <c r="A473">
        <v>2</v>
      </c>
      <c r="B473">
        <v>2016</v>
      </c>
      <c r="C473" t="s">
        <v>438</v>
      </c>
      <c r="D473" t="s">
        <v>439</v>
      </c>
      <c r="E473" t="s">
        <v>442</v>
      </c>
      <c r="F473" t="s">
        <v>441</v>
      </c>
      <c r="G473">
        <v>10648.16</v>
      </c>
      <c r="H473">
        <v>7728</v>
      </c>
      <c r="I473">
        <v>1643.94</v>
      </c>
      <c r="J473">
        <v>1062</v>
      </c>
      <c r="Q473"/>
    </row>
    <row r="474" spans="1:17" x14ac:dyDescent="0.25">
      <c r="A474">
        <v>2</v>
      </c>
      <c r="B474">
        <v>2016</v>
      </c>
      <c r="C474" t="s">
        <v>438</v>
      </c>
      <c r="D474" t="s">
        <v>439</v>
      </c>
      <c r="E474" t="s">
        <v>443</v>
      </c>
      <c r="F474" t="s">
        <v>441</v>
      </c>
      <c r="G474">
        <v>200.64</v>
      </c>
      <c r="H474">
        <v>114</v>
      </c>
      <c r="I474">
        <v>199.2</v>
      </c>
      <c r="J474">
        <v>120</v>
      </c>
      <c r="Q474"/>
    </row>
    <row r="475" spans="1:17" x14ac:dyDescent="0.25">
      <c r="A475">
        <v>2</v>
      </c>
      <c r="B475">
        <v>2016</v>
      </c>
      <c r="C475" t="s">
        <v>438</v>
      </c>
      <c r="D475" t="s">
        <v>439</v>
      </c>
      <c r="E475" t="s">
        <v>444</v>
      </c>
      <c r="F475" t="s">
        <v>445</v>
      </c>
      <c r="G475">
        <v>134.88</v>
      </c>
      <c r="H475">
        <v>54</v>
      </c>
      <c r="Q475"/>
    </row>
    <row r="476" spans="1:17" x14ac:dyDescent="0.25">
      <c r="A476">
        <v>2</v>
      </c>
      <c r="B476">
        <v>2016</v>
      </c>
      <c r="C476" t="s">
        <v>438</v>
      </c>
      <c r="D476" t="s">
        <v>439</v>
      </c>
      <c r="E476" t="s">
        <v>446</v>
      </c>
      <c r="F476" t="s">
        <v>447</v>
      </c>
      <c r="G476">
        <v>102.6</v>
      </c>
      <c r="H476">
        <v>36</v>
      </c>
      <c r="Q476"/>
    </row>
    <row r="477" spans="1:17" x14ac:dyDescent="0.25">
      <c r="A477">
        <v>2</v>
      </c>
      <c r="B477">
        <v>2016</v>
      </c>
      <c r="C477" t="s">
        <v>448</v>
      </c>
      <c r="D477" t="s">
        <v>449</v>
      </c>
      <c r="E477" t="s">
        <v>450</v>
      </c>
      <c r="F477" t="s">
        <v>451</v>
      </c>
      <c r="G477">
        <v>400.4</v>
      </c>
      <c r="H477">
        <v>306.58999999999997</v>
      </c>
      <c r="I477">
        <v>607.25</v>
      </c>
      <c r="J477">
        <v>466.55</v>
      </c>
      <c r="Q477"/>
    </row>
    <row r="478" spans="1:17" x14ac:dyDescent="0.25">
      <c r="A478">
        <v>2</v>
      </c>
      <c r="B478">
        <v>2016</v>
      </c>
      <c r="C478" t="s">
        <v>448</v>
      </c>
      <c r="D478" t="s">
        <v>449</v>
      </c>
      <c r="E478" t="s">
        <v>452</v>
      </c>
      <c r="F478" t="s">
        <v>451</v>
      </c>
      <c r="G478">
        <v>462.25</v>
      </c>
      <c r="H478">
        <v>286.81</v>
      </c>
      <c r="I478">
        <v>397.8</v>
      </c>
      <c r="J478">
        <v>260.13</v>
      </c>
      <c r="Q478"/>
    </row>
    <row r="479" spans="1:17" x14ac:dyDescent="0.25">
      <c r="A479">
        <v>2</v>
      </c>
      <c r="B479">
        <v>2016</v>
      </c>
      <c r="C479" t="s">
        <v>448</v>
      </c>
      <c r="D479" t="s">
        <v>449</v>
      </c>
      <c r="E479" t="s">
        <v>453</v>
      </c>
      <c r="F479" t="s">
        <v>454</v>
      </c>
      <c r="G479">
        <v>109.8</v>
      </c>
      <c r="H479">
        <v>36</v>
      </c>
      <c r="I479">
        <v>226.2</v>
      </c>
      <c r="J479">
        <v>78</v>
      </c>
      <c r="Q479"/>
    </row>
    <row r="480" spans="1:17" x14ac:dyDescent="0.25">
      <c r="A480">
        <v>2</v>
      </c>
      <c r="B480">
        <v>2016</v>
      </c>
      <c r="C480" t="s">
        <v>455</v>
      </c>
      <c r="D480" t="s">
        <v>456</v>
      </c>
      <c r="E480" t="s">
        <v>457</v>
      </c>
      <c r="F480" t="s">
        <v>458</v>
      </c>
      <c r="G480">
        <v>1155</v>
      </c>
      <c r="H480">
        <v>210</v>
      </c>
      <c r="I480">
        <v>2385</v>
      </c>
      <c r="J480">
        <v>450</v>
      </c>
      <c r="Q480"/>
    </row>
    <row r="481" spans="1:17" x14ac:dyDescent="0.25">
      <c r="A481">
        <v>2</v>
      </c>
      <c r="B481">
        <v>2016</v>
      </c>
      <c r="C481" t="s">
        <v>455</v>
      </c>
      <c r="D481" t="s">
        <v>456</v>
      </c>
      <c r="E481" t="s">
        <v>459</v>
      </c>
      <c r="F481" t="s">
        <v>458</v>
      </c>
      <c r="G481">
        <v>183</v>
      </c>
      <c r="H481">
        <v>30</v>
      </c>
      <c r="I481">
        <v>240.6</v>
      </c>
      <c r="J481">
        <v>42</v>
      </c>
      <c r="Q481"/>
    </row>
    <row r="482" spans="1:17" x14ac:dyDescent="0.25">
      <c r="A482">
        <v>2</v>
      </c>
      <c r="B482">
        <v>2016</v>
      </c>
      <c r="C482" t="s">
        <v>455</v>
      </c>
      <c r="D482" t="s">
        <v>456</v>
      </c>
      <c r="E482" t="s">
        <v>460</v>
      </c>
      <c r="F482" t="s">
        <v>458</v>
      </c>
      <c r="G482">
        <v>1138.5</v>
      </c>
      <c r="H482">
        <v>204</v>
      </c>
      <c r="I482">
        <v>865.8</v>
      </c>
      <c r="J482">
        <v>156</v>
      </c>
      <c r="Q482"/>
    </row>
    <row r="483" spans="1:17" x14ac:dyDescent="0.25">
      <c r="A483">
        <v>2</v>
      </c>
      <c r="B483">
        <v>2016</v>
      </c>
      <c r="C483" t="s">
        <v>455</v>
      </c>
      <c r="D483" t="s">
        <v>456</v>
      </c>
      <c r="E483" t="s">
        <v>461</v>
      </c>
      <c r="F483" t="s">
        <v>458</v>
      </c>
      <c r="G483">
        <v>230.4</v>
      </c>
      <c r="H483">
        <v>36</v>
      </c>
      <c r="I483">
        <v>148.80000000000001</v>
      </c>
      <c r="J483">
        <v>24</v>
      </c>
      <c r="Q483"/>
    </row>
    <row r="484" spans="1:17" x14ac:dyDescent="0.25">
      <c r="A484">
        <v>2</v>
      </c>
      <c r="B484">
        <v>2016</v>
      </c>
      <c r="C484" t="s">
        <v>462</v>
      </c>
      <c r="D484" t="s">
        <v>463</v>
      </c>
      <c r="E484" t="s">
        <v>464</v>
      </c>
      <c r="F484" t="s">
        <v>465</v>
      </c>
      <c r="G484">
        <v>388.8</v>
      </c>
      <c r="H484">
        <v>144</v>
      </c>
      <c r="I484">
        <v>661.8</v>
      </c>
      <c r="J484">
        <v>258</v>
      </c>
      <c r="Q484"/>
    </row>
    <row r="485" spans="1:17" x14ac:dyDescent="0.25">
      <c r="A485">
        <v>2</v>
      </c>
      <c r="B485">
        <v>2016</v>
      </c>
      <c r="C485" t="s">
        <v>462</v>
      </c>
      <c r="D485" t="s">
        <v>463</v>
      </c>
      <c r="E485" t="s">
        <v>467</v>
      </c>
      <c r="F485" t="s">
        <v>468</v>
      </c>
      <c r="G485">
        <v>112.8</v>
      </c>
      <c r="H485">
        <v>48</v>
      </c>
      <c r="I485">
        <v>218.88</v>
      </c>
      <c r="J485">
        <v>96</v>
      </c>
      <c r="Q485"/>
    </row>
    <row r="486" spans="1:17" x14ac:dyDescent="0.25">
      <c r="A486">
        <v>2</v>
      </c>
      <c r="B486">
        <v>2016</v>
      </c>
      <c r="C486" t="s">
        <v>462</v>
      </c>
      <c r="D486" t="s">
        <v>463</v>
      </c>
      <c r="E486" t="s">
        <v>760</v>
      </c>
      <c r="F486" t="s">
        <v>468</v>
      </c>
      <c r="G486">
        <v>36.24</v>
      </c>
      <c r="H486">
        <v>12</v>
      </c>
      <c r="Q486"/>
    </row>
    <row r="487" spans="1:17" x14ac:dyDescent="0.25">
      <c r="A487">
        <v>2</v>
      </c>
      <c r="B487">
        <v>2016</v>
      </c>
      <c r="C487" t="s">
        <v>462</v>
      </c>
      <c r="D487" t="s">
        <v>463</v>
      </c>
      <c r="E487" t="s">
        <v>469</v>
      </c>
      <c r="F487" t="s">
        <v>470</v>
      </c>
      <c r="G487">
        <v>567.5</v>
      </c>
      <c r="H487">
        <v>333.25</v>
      </c>
      <c r="I487">
        <v>422.84</v>
      </c>
      <c r="J487">
        <v>293.26</v>
      </c>
      <c r="Q487"/>
    </row>
    <row r="488" spans="1:17" x14ac:dyDescent="0.25">
      <c r="A488">
        <v>2</v>
      </c>
      <c r="B488">
        <v>2016</v>
      </c>
      <c r="C488" t="s">
        <v>462</v>
      </c>
      <c r="D488" t="s">
        <v>463</v>
      </c>
      <c r="E488" t="s">
        <v>471</v>
      </c>
      <c r="F488" t="s">
        <v>470</v>
      </c>
      <c r="G488">
        <v>479.52</v>
      </c>
      <c r="H488">
        <v>246.79</v>
      </c>
      <c r="I488">
        <v>748</v>
      </c>
      <c r="J488">
        <v>453.56</v>
      </c>
      <c r="Q488"/>
    </row>
    <row r="489" spans="1:17" x14ac:dyDescent="0.25">
      <c r="A489">
        <v>2</v>
      </c>
      <c r="B489">
        <v>2016</v>
      </c>
      <c r="C489" t="s">
        <v>462</v>
      </c>
      <c r="D489" t="s">
        <v>463</v>
      </c>
      <c r="E489" t="s">
        <v>472</v>
      </c>
      <c r="F489" t="s">
        <v>473</v>
      </c>
      <c r="G489">
        <v>210.24</v>
      </c>
      <c r="H489">
        <v>159.96</v>
      </c>
      <c r="I489">
        <v>16.690000000000001</v>
      </c>
      <c r="J489">
        <v>13.33</v>
      </c>
      <c r="Q489"/>
    </row>
    <row r="490" spans="1:17" x14ac:dyDescent="0.25">
      <c r="A490">
        <v>2</v>
      </c>
      <c r="B490">
        <v>2016</v>
      </c>
      <c r="C490" t="s">
        <v>462</v>
      </c>
      <c r="D490" t="s">
        <v>463</v>
      </c>
      <c r="E490" t="s">
        <v>474</v>
      </c>
      <c r="F490" t="s">
        <v>475</v>
      </c>
      <c r="G490">
        <v>79.84</v>
      </c>
      <c r="H490">
        <v>53.36</v>
      </c>
      <c r="Q490"/>
    </row>
    <row r="491" spans="1:17" x14ac:dyDescent="0.25">
      <c r="A491">
        <v>2</v>
      </c>
      <c r="B491">
        <v>2016</v>
      </c>
      <c r="C491" t="s">
        <v>476</v>
      </c>
      <c r="D491" t="s">
        <v>477</v>
      </c>
      <c r="E491" t="s">
        <v>478</v>
      </c>
      <c r="F491" t="s">
        <v>479</v>
      </c>
      <c r="G491">
        <v>691.2</v>
      </c>
      <c r="H491">
        <v>108</v>
      </c>
      <c r="I491">
        <v>756</v>
      </c>
      <c r="J491">
        <v>126</v>
      </c>
      <c r="Q491"/>
    </row>
    <row r="492" spans="1:17" x14ac:dyDescent="0.25">
      <c r="A492">
        <v>2</v>
      </c>
      <c r="B492">
        <v>2016</v>
      </c>
      <c r="C492" t="s">
        <v>476</v>
      </c>
      <c r="D492" t="s">
        <v>477</v>
      </c>
      <c r="E492" t="s">
        <v>482</v>
      </c>
      <c r="F492" t="s">
        <v>483</v>
      </c>
      <c r="G492">
        <v>0</v>
      </c>
      <c r="H492">
        <v>13.33</v>
      </c>
      <c r="I492">
        <v>340.08</v>
      </c>
      <c r="J492">
        <v>359.91</v>
      </c>
      <c r="Q492"/>
    </row>
    <row r="493" spans="1:17" x14ac:dyDescent="0.25">
      <c r="A493">
        <v>2</v>
      </c>
      <c r="B493">
        <v>2016</v>
      </c>
      <c r="C493" t="s">
        <v>485</v>
      </c>
      <c r="D493" t="s">
        <v>486</v>
      </c>
      <c r="E493" t="s">
        <v>487</v>
      </c>
      <c r="F493" t="s">
        <v>488</v>
      </c>
      <c r="G493">
        <v>764.4</v>
      </c>
      <c r="H493">
        <v>168</v>
      </c>
      <c r="I493">
        <v>1821.6</v>
      </c>
      <c r="J493">
        <v>414</v>
      </c>
      <c r="Q493"/>
    </row>
    <row r="494" spans="1:17" x14ac:dyDescent="0.25">
      <c r="A494">
        <v>2</v>
      </c>
      <c r="B494">
        <v>2016</v>
      </c>
      <c r="C494" t="s">
        <v>485</v>
      </c>
      <c r="D494" t="s">
        <v>486</v>
      </c>
      <c r="E494" t="s">
        <v>761</v>
      </c>
      <c r="F494" t="s">
        <v>762</v>
      </c>
      <c r="G494">
        <v>25.8</v>
      </c>
      <c r="H494">
        <v>6</v>
      </c>
      <c r="Q494"/>
    </row>
    <row r="495" spans="1:17" x14ac:dyDescent="0.25">
      <c r="A495">
        <v>2</v>
      </c>
      <c r="B495">
        <v>2016</v>
      </c>
      <c r="C495" t="s">
        <v>485</v>
      </c>
      <c r="D495" t="s">
        <v>486</v>
      </c>
      <c r="E495" t="s">
        <v>763</v>
      </c>
      <c r="F495" t="s">
        <v>764</v>
      </c>
      <c r="G495">
        <v>66</v>
      </c>
      <c r="H495">
        <v>12</v>
      </c>
      <c r="I495">
        <v>64.2</v>
      </c>
      <c r="J495">
        <v>12</v>
      </c>
      <c r="Q495"/>
    </row>
    <row r="496" spans="1:17" x14ac:dyDescent="0.25">
      <c r="A496">
        <v>2</v>
      </c>
      <c r="B496">
        <v>2016</v>
      </c>
      <c r="C496" t="s">
        <v>765</v>
      </c>
      <c r="D496" t="s">
        <v>766</v>
      </c>
      <c r="E496" t="s">
        <v>767</v>
      </c>
      <c r="F496" t="s">
        <v>768</v>
      </c>
      <c r="G496">
        <v>748.2</v>
      </c>
      <c r="H496">
        <v>174</v>
      </c>
      <c r="I496">
        <v>1107</v>
      </c>
      <c r="J496">
        <v>270</v>
      </c>
      <c r="Q496"/>
    </row>
    <row r="497" spans="1:17" x14ac:dyDescent="0.25">
      <c r="A497">
        <v>2</v>
      </c>
      <c r="B497">
        <v>2016</v>
      </c>
      <c r="C497" t="s">
        <v>765</v>
      </c>
      <c r="D497" t="s">
        <v>766</v>
      </c>
      <c r="E497" t="s">
        <v>769</v>
      </c>
      <c r="F497" t="s">
        <v>770</v>
      </c>
      <c r="G497">
        <v>795.6</v>
      </c>
      <c r="H497">
        <v>234</v>
      </c>
      <c r="Q497"/>
    </row>
    <row r="498" spans="1:17" x14ac:dyDescent="0.25">
      <c r="A498">
        <v>2</v>
      </c>
      <c r="B498">
        <v>2016</v>
      </c>
      <c r="C498" t="s">
        <v>765</v>
      </c>
      <c r="D498" t="s">
        <v>766</v>
      </c>
      <c r="E498" t="s">
        <v>771</v>
      </c>
      <c r="F498" t="s">
        <v>772</v>
      </c>
      <c r="G498">
        <v>207.9</v>
      </c>
      <c r="H498">
        <v>42</v>
      </c>
      <c r="I498">
        <v>-28.5</v>
      </c>
      <c r="J498">
        <v>-6</v>
      </c>
      <c r="Q498"/>
    </row>
    <row r="499" spans="1:17" x14ac:dyDescent="0.25">
      <c r="A499">
        <v>2</v>
      </c>
      <c r="B499">
        <v>2016</v>
      </c>
      <c r="C499" t="s">
        <v>506</v>
      </c>
      <c r="D499" t="s">
        <v>507</v>
      </c>
      <c r="E499" t="s">
        <v>508</v>
      </c>
      <c r="F499" t="s">
        <v>509</v>
      </c>
      <c r="G499">
        <v>792</v>
      </c>
      <c r="H499">
        <v>180</v>
      </c>
      <c r="I499">
        <v>448.8</v>
      </c>
      <c r="J499">
        <v>102</v>
      </c>
      <c r="Q499"/>
    </row>
    <row r="500" spans="1:17" x14ac:dyDescent="0.25">
      <c r="A500">
        <v>2</v>
      </c>
      <c r="B500">
        <v>2016</v>
      </c>
      <c r="C500" t="s">
        <v>506</v>
      </c>
      <c r="D500" t="s">
        <v>507</v>
      </c>
      <c r="E500" t="s">
        <v>510</v>
      </c>
      <c r="F500" t="s">
        <v>511</v>
      </c>
      <c r="G500">
        <v>460.8</v>
      </c>
      <c r="H500">
        <v>144</v>
      </c>
      <c r="I500">
        <v>288</v>
      </c>
      <c r="J500">
        <v>90</v>
      </c>
      <c r="Q500"/>
    </row>
    <row r="501" spans="1:17" x14ac:dyDescent="0.25">
      <c r="A501">
        <v>2</v>
      </c>
      <c r="B501">
        <v>2016</v>
      </c>
      <c r="C501" t="s">
        <v>506</v>
      </c>
      <c r="D501" t="s">
        <v>507</v>
      </c>
      <c r="E501" t="s">
        <v>512</v>
      </c>
      <c r="F501" t="s">
        <v>513</v>
      </c>
      <c r="G501">
        <v>92.7</v>
      </c>
      <c r="H501">
        <v>15</v>
      </c>
      <c r="Q501"/>
    </row>
    <row r="502" spans="1:17" x14ac:dyDescent="0.25">
      <c r="A502">
        <v>2</v>
      </c>
      <c r="B502">
        <v>2016</v>
      </c>
      <c r="C502" t="s">
        <v>506</v>
      </c>
      <c r="D502" t="s">
        <v>507</v>
      </c>
      <c r="E502" t="s">
        <v>514</v>
      </c>
      <c r="F502" t="s">
        <v>515</v>
      </c>
      <c r="G502">
        <v>223.2</v>
      </c>
      <c r="H502">
        <v>36</v>
      </c>
      <c r="I502">
        <v>483.6</v>
      </c>
      <c r="J502">
        <v>78</v>
      </c>
      <c r="Q502"/>
    </row>
    <row r="503" spans="1:17" x14ac:dyDescent="0.25">
      <c r="A503">
        <v>2</v>
      </c>
      <c r="B503">
        <v>2016</v>
      </c>
      <c r="C503" t="s">
        <v>524</v>
      </c>
      <c r="D503" t="s">
        <v>525</v>
      </c>
      <c r="E503" t="s">
        <v>526</v>
      </c>
      <c r="F503" t="s">
        <v>527</v>
      </c>
      <c r="G503">
        <v>1335.6</v>
      </c>
      <c r="H503">
        <v>504</v>
      </c>
      <c r="I503">
        <v>1116.9000000000001</v>
      </c>
      <c r="J503">
        <v>438</v>
      </c>
      <c r="Q503"/>
    </row>
    <row r="504" spans="1:17" x14ac:dyDescent="0.25">
      <c r="A504">
        <v>2</v>
      </c>
      <c r="B504">
        <v>2016</v>
      </c>
      <c r="C504" t="s">
        <v>524</v>
      </c>
      <c r="D504" t="s">
        <v>525</v>
      </c>
      <c r="E504" t="s">
        <v>528</v>
      </c>
      <c r="F504" t="s">
        <v>529</v>
      </c>
      <c r="G504">
        <v>57.6</v>
      </c>
      <c r="H504">
        <v>12</v>
      </c>
      <c r="I504">
        <v>199.5</v>
      </c>
      <c r="J504">
        <v>42</v>
      </c>
      <c r="Q504"/>
    </row>
    <row r="505" spans="1:17" x14ac:dyDescent="0.25">
      <c r="A505">
        <v>2</v>
      </c>
      <c r="B505">
        <v>2016</v>
      </c>
      <c r="C505" t="s">
        <v>530</v>
      </c>
      <c r="D505" t="s">
        <v>531</v>
      </c>
      <c r="E505" t="s">
        <v>532</v>
      </c>
      <c r="F505" t="s">
        <v>533</v>
      </c>
      <c r="G505">
        <v>529.20000000000005</v>
      </c>
      <c r="H505">
        <v>126</v>
      </c>
      <c r="I505">
        <v>486</v>
      </c>
      <c r="J505">
        <v>120</v>
      </c>
      <c r="Q505"/>
    </row>
    <row r="506" spans="1:17" x14ac:dyDescent="0.25">
      <c r="A506">
        <v>2</v>
      </c>
      <c r="B506">
        <v>2016</v>
      </c>
      <c r="C506" t="s">
        <v>539</v>
      </c>
      <c r="D506" t="s">
        <v>540</v>
      </c>
      <c r="E506" t="s">
        <v>541</v>
      </c>
      <c r="F506" t="s">
        <v>542</v>
      </c>
      <c r="G506">
        <v>466.2</v>
      </c>
      <c r="H506">
        <v>84</v>
      </c>
      <c r="I506">
        <v>490.5</v>
      </c>
      <c r="J506">
        <v>90</v>
      </c>
      <c r="Q506"/>
    </row>
    <row r="507" spans="1:17" x14ac:dyDescent="0.25">
      <c r="A507">
        <v>2</v>
      </c>
      <c r="B507">
        <v>2016</v>
      </c>
      <c r="C507" t="s">
        <v>543</v>
      </c>
      <c r="D507" t="s">
        <v>544</v>
      </c>
      <c r="E507" t="s">
        <v>545</v>
      </c>
      <c r="F507" t="s">
        <v>546</v>
      </c>
      <c r="G507">
        <v>1206</v>
      </c>
      <c r="H507">
        <v>180</v>
      </c>
      <c r="I507">
        <v>1254.5999999999999</v>
      </c>
      <c r="J507">
        <v>204</v>
      </c>
      <c r="Q507"/>
    </row>
    <row r="508" spans="1:17" x14ac:dyDescent="0.25">
      <c r="A508">
        <v>2</v>
      </c>
      <c r="B508">
        <v>2016</v>
      </c>
      <c r="C508" t="s">
        <v>543</v>
      </c>
      <c r="D508" t="s">
        <v>544</v>
      </c>
      <c r="E508" t="s">
        <v>548</v>
      </c>
      <c r="F508" t="s">
        <v>549</v>
      </c>
      <c r="G508">
        <v>124.2</v>
      </c>
      <c r="H508">
        <v>12</v>
      </c>
      <c r="I508">
        <v>114</v>
      </c>
      <c r="J508">
        <v>12</v>
      </c>
      <c r="Q508"/>
    </row>
    <row r="509" spans="1:17" x14ac:dyDescent="0.25">
      <c r="A509">
        <v>2</v>
      </c>
      <c r="B509">
        <v>2016</v>
      </c>
      <c r="C509" t="s">
        <v>554</v>
      </c>
      <c r="D509" t="s">
        <v>555</v>
      </c>
      <c r="E509" t="s">
        <v>556</v>
      </c>
      <c r="F509" t="s">
        <v>557</v>
      </c>
      <c r="G509">
        <v>123.9</v>
      </c>
      <c r="H509">
        <v>48</v>
      </c>
      <c r="I509">
        <v>16.5</v>
      </c>
      <c r="J509">
        <v>6</v>
      </c>
      <c r="Q509"/>
    </row>
    <row r="510" spans="1:17" x14ac:dyDescent="0.25">
      <c r="A510">
        <v>2</v>
      </c>
      <c r="B510">
        <v>2016</v>
      </c>
      <c r="C510" t="s">
        <v>560</v>
      </c>
      <c r="D510" t="s">
        <v>561</v>
      </c>
      <c r="E510" t="s">
        <v>562</v>
      </c>
      <c r="F510" t="s">
        <v>563</v>
      </c>
      <c r="G510">
        <v>1344</v>
      </c>
      <c r="H510">
        <v>480</v>
      </c>
      <c r="I510">
        <v>1105.5</v>
      </c>
      <c r="J510">
        <v>402</v>
      </c>
      <c r="Q510"/>
    </row>
    <row r="511" spans="1:17" x14ac:dyDescent="0.25">
      <c r="A511">
        <v>2</v>
      </c>
      <c r="B511">
        <v>2016</v>
      </c>
      <c r="C511" t="s">
        <v>560</v>
      </c>
      <c r="D511" t="s">
        <v>561</v>
      </c>
      <c r="E511" t="s">
        <v>564</v>
      </c>
      <c r="F511" t="s">
        <v>565</v>
      </c>
      <c r="G511">
        <v>24</v>
      </c>
      <c r="H511">
        <v>6</v>
      </c>
      <c r="Q511"/>
    </row>
    <row r="512" spans="1:17" x14ac:dyDescent="0.25">
      <c r="A512">
        <v>2</v>
      </c>
      <c r="B512">
        <v>2016</v>
      </c>
      <c r="C512" t="s">
        <v>560</v>
      </c>
      <c r="D512" t="s">
        <v>561</v>
      </c>
      <c r="E512" t="s">
        <v>773</v>
      </c>
      <c r="F512" t="s">
        <v>774</v>
      </c>
      <c r="G512">
        <v>0</v>
      </c>
      <c r="H512">
        <v>6</v>
      </c>
      <c r="Q512"/>
    </row>
    <row r="513" spans="1:17" x14ac:dyDescent="0.25">
      <c r="A513">
        <v>2</v>
      </c>
      <c r="B513">
        <v>2016</v>
      </c>
      <c r="C513" t="s">
        <v>560</v>
      </c>
      <c r="D513" t="s">
        <v>561</v>
      </c>
      <c r="E513" t="s">
        <v>775</v>
      </c>
      <c r="F513" t="s">
        <v>776</v>
      </c>
      <c r="G513">
        <v>30</v>
      </c>
      <c r="H513">
        <v>12</v>
      </c>
      <c r="I513">
        <v>29.4</v>
      </c>
      <c r="J513">
        <v>12</v>
      </c>
      <c r="Q513"/>
    </row>
    <row r="514" spans="1:17" x14ac:dyDescent="0.25">
      <c r="A514">
        <v>2</v>
      </c>
      <c r="B514">
        <v>2016</v>
      </c>
      <c r="C514" t="s">
        <v>566</v>
      </c>
      <c r="D514" t="s">
        <v>567</v>
      </c>
      <c r="E514" t="s">
        <v>568</v>
      </c>
      <c r="F514" t="s">
        <v>569</v>
      </c>
      <c r="G514">
        <v>156</v>
      </c>
      <c r="H514">
        <v>24</v>
      </c>
      <c r="Q514"/>
    </row>
    <row r="515" spans="1:17" x14ac:dyDescent="0.25">
      <c r="A515">
        <v>2</v>
      </c>
      <c r="B515">
        <v>2016</v>
      </c>
      <c r="C515" t="s">
        <v>566</v>
      </c>
      <c r="D515" t="s">
        <v>567</v>
      </c>
      <c r="E515" t="s">
        <v>570</v>
      </c>
      <c r="F515" t="s">
        <v>569</v>
      </c>
      <c r="G515">
        <v>156</v>
      </c>
      <c r="H515">
        <v>24</v>
      </c>
      <c r="I515">
        <v>457.2</v>
      </c>
      <c r="J515">
        <v>72</v>
      </c>
      <c r="Q515"/>
    </row>
    <row r="516" spans="1:17" x14ac:dyDescent="0.25">
      <c r="A516">
        <v>2</v>
      </c>
      <c r="B516">
        <v>2016</v>
      </c>
      <c r="C516" t="s">
        <v>571</v>
      </c>
      <c r="D516" t="s">
        <v>572</v>
      </c>
      <c r="E516" t="s">
        <v>575</v>
      </c>
      <c r="F516" t="s">
        <v>574</v>
      </c>
      <c r="G516">
        <v>712.8</v>
      </c>
      <c r="H516">
        <v>108</v>
      </c>
      <c r="Q516"/>
    </row>
    <row r="517" spans="1:17" x14ac:dyDescent="0.25">
      <c r="A517">
        <v>2</v>
      </c>
      <c r="B517">
        <v>2016</v>
      </c>
      <c r="C517" t="s">
        <v>571</v>
      </c>
      <c r="D517" t="s">
        <v>572</v>
      </c>
      <c r="E517" t="s">
        <v>578</v>
      </c>
      <c r="F517" t="s">
        <v>579</v>
      </c>
      <c r="G517">
        <v>702</v>
      </c>
      <c r="H517">
        <v>78</v>
      </c>
      <c r="Q517"/>
    </row>
    <row r="518" spans="1:17" x14ac:dyDescent="0.25">
      <c r="A518">
        <v>2</v>
      </c>
      <c r="B518">
        <v>2016</v>
      </c>
      <c r="C518" t="s">
        <v>571</v>
      </c>
      <c r="D518" t="s">
        <v>572</v>
      </c>
      <c r="E518" t="s">
        <v>777</v>
      </c>
      <c r="F518" t="s">
        <v>778</v>
      </c>
      <c r="G518">
        <v>152</v>
      </c>
      <c r="H518">
        <v>53.36</v>
      </c>
      <c r="I518">
        <v>228</v>
      </c>
      <c r="J518">
        <v>86.71</v>
      </c>
      <c r="Q518"/>
    </row>
    <row r="519" spans="1:17" x14ac:dyDescent="0.25">
      <c r="A519">
        <v>2</v>
      </c>
      <c r="B519">
        <v>2016</v>
      </c>
      <c r="C519" t="s">
        <v>582</v>
      </c>
      <c r="D519" t="s">
        <v>583</v>
      </c>
      <c r="E519" t="s">
        <v>584</v>
      </c>
      <c r="F519" t="s">
        <v>585</v>
      </c>
      <c r="G519">
        <v>1656</v>
      </c>
      <c r="H519">
        <v>414</v>
      </c>
      <c r="I519">
        <v>984</v>
      </c>
      <c r="J519">
        <v>246</v>
      </c>
      <c r="Q519"/>
    </row>
    <row r="520" spans="1:17" x14ac:dyDescent="0.25">
      <c r="A520">
        <v>2</v>
      </c>
      <c r="B520">
        <v>2016</v>
      </c>
      <c r="C520" t="s">
        <v>582</v>
      </c>
      <c r="D520" t="s">
        <v>583</v>
      </c>
      <c r="E520" t="s">
        <v>779</v>
      </c>
      <c r="F520" t="s">
        <v>780</v>
      </c>
      <c r="G520">
        <v>-201</v>
      </c>
      <c r="H520">
        <v>-60</v>
      </c>
      <c r="I520">
        <v>40.200000000000003</v>
      </c>
      <c r="J520">
        <v>12</v>
      </c>
      <c r="Q520"/>
    </row>
    <row r="521" spans="1:17" x14ac:dyDescent="0.25">
      <c r="A521">
        <v>2</v>
      </c>
      <c r="B521">
        <v>2016</v>
      </c>
      <c r="C521" t="s">
        <v>582</v>
      </c>
      <c r="D521" t="s">
        <v>583</v>
      </c>
      <c r="E521" t="s">
        <v>586</v>
      </c>
      <c r="F521" t="s">
        <v>587</v>
      </c>
      <c r="G521">
        <v>77.400000000000006</v>
      </c>
      <c r="H521">
        <v>15</v>
      </c>
      <c r="I521">
        <v>62.04</v>
      </c>
      <c r="J521">
        <v>12</v>
      </c>
      <c r="Q521"/>
    </row>
    <row r="522" spans="1:17" x14ac:dyDescent="0.25">
      <c r="A522">
        <v>2</v>
      </c>
      <c r="B522">
        <v>2016</v>
      </c>
      <c r="C522" t="s">
        <v>588</v>
      </c>
      <c r="D522" t="s">
        <v>589</v>
      </c>
      <c r="E522" t="s">
        <v>590</v>
      </c>
      <c r="F522" t="s">
        <v>591</v>
      </c>
      <c r="G522">
        <v>1148.4000000000001</v>
      </c>
      <c r="H522">
        <v>396</v>
      </c>
      <c r="I522">
        <v>931.8</v>
      </c>
      <c r="J522">
        <v>330</v>
      </c>
      <c r="Q522"/>
    </row>
    <row r="523" spans="1:17" x14ac:dyDescent="0.25">
      <c r="A523">
        <v>2</v>
      </c>
      <c r="B523">
        <v>2016</v>
      </c>
      <c r="C523" t="s">
        <v>588</v>
      </c>
      <c r="D523" t="s">
        <v>589</v>
      </c>
      <c r="E523" t="s">
        <v>592</v>
      </c>
      <c r="F523" t="s">
        <v>593</v>
      </c>
      <c r="G523">
        <v>769.56</v>
      </c>
      <c r="H523">
        <v>318</v>
      </c>
      <c r="I523">
        <v>790.08</v>
      </c>
      <c r="J523">
        <v>336</v>
      </c>
      <c r="Q523"/>
    </row>
    <row r="524" spans="1:17" x14ac:dyDescent="0.25">
      <c r="A524">
        <v>2</v>
      </c>
      <c r="B524">
        <v>2016</v>
      </c>
      <c r="C524" t="s">
        <v>588</v>
      </c>
      <c r="D524" t="s">
        <v>589</v>
      </c>
      <c r="E524" t="s">
        <v>781</v>
      </c>
      <c r="F524" t="s">
        <v>782</v>
      </c>
      <c r="G524">
        <v>64.5</v>
      </c>
      <c r="H524">
        <v>15</v>
      </c>
      <c r="Q524"/>
    </row>
    <row r="525" spans="1:17" x14ac:dyDescent="0.25">
      <c r="A525">
        <v>2</v>
      </c>
      <c r="B525">
        <v>2016</v>
      </c>
      <c r="C525" t="s">
        <v>588</v>
      </c>
      <c r="D525" t="s">
        <v>589</v>
      </c>
      <c r="E525" t="s">
        <v>594</v>
      </c>
      <c r="F525" t="s">
        <v>595</v>
      </c>
      <c r="G525">
        <v>351.5</v>
      </c>
      <c r="H525">
        <v>253.27</v>
      </c>
      <c r="I525">
        <v>558.1</v>
      </c>
      <c r="J525">
        <v>413.23</v>
      </c>
      <c r="Q525"/>
    </row>
    <row r="526" spans="1:17" x14ac:dyDescent="0.25">
      <c r="A526">
        <v>2</v>
      </c>
      <c r="B526">
        <v>2016</v>
      </c>
      <c r="C526" t="s">
        <v>588</v>
      </c>
      <c r="D526" t="s">
        <v>589</v>
      </c>
      <c r="E526" t="s">
        <v>596</v>
      </c>
      <c r="F526" t="s">
        <v>595</v>
      </c>
      <c r="G526">
        <v>661.5</v>
      </c>
      <c r="H526">
        <v>420.21</v>
      </c>
      <c r="I526">
        <v>382</v>
      </c>
      <c r="J526">
        <v>266.8</v>
      </c>
      <c r="Q526"/>
    </row>
    <row r="527" spans="1:17" x14ac:dyDescent="0.25">
      <c r="A527">
        <v>2</v>
      </c>
      <c r="B527">
        <v>2016</v>
      </c>
      <c r="C527" t="s">
        <v>605</v>
      </c>
      <c r="D527" t="s">
        <v>606</v>
      </c>
      <c r="E527" t="s">
        <v>607</v>
      </c>
      <c r="F527" t="s">
        <v>608</v>
      </c>
      <c r="G527">
        <v>2075.7600000000002</v>
      </c>
      <c r="H527">
        <v>564</v>
      </c>
      <c r="I527">
        <v>892.8</v>
      </c>
      <c r="J527">
        <v>240</v>
      </c>
      <c r="Q527"/>
    </row>
    <row r="528" spans="1:17" x14ac:dyDescent="0.25">
      <c r="A528">
        <v>2</v>
      </c>
      <c r="B528">
        <v>2016</v>
      </c>
      <c r="C528" t="s">
        <v>605</v>
      </c>
      <c r="D528" t="s">
        <v>606</v>
      </c>
      <c r="E528" t="s">
        <v>609</v>
      </c>
      <c r="F528" t="s">
        <v>610</v>
      </c>
      <c r="G528">
        <v>403.92</v>
      </c>
      <c r="H528">
        <v>66</v>
      </c>
      <c r="I528">
        <v>183.3</v>
      </c>
      <c r="J528">
        <v>30</v>
      </c>
      <c r="Q528"/>
    </row>
    <row r="529" spans="1:17" x14ac:dyDescent="0.25">
      <c r="A529">
        <v>2</v>
      </c>
      <c r="B529">
        <v>2016</v>
      </c>
      <c r="C529" t="s">
        <v>605</v>
      </c>
      <c r="D529" t="s">
        <v>606</v>
      </c>
      <c r="E529" t="s">
        <v>611</v>
      </c>
      <c r="F529" t="s">
        <v>612</v>
      </c>
      <c r="G529">
        <v>1500.96</v>
      </c>
      <c r="H529">
        <v>714</v>
      </c>
      <c r="Q529"/>
    </row>
    <row r="530" spans="1:17" x14ac:dyDescent="0.25">
      <c r="A530">
        <v>2</v>
      </c>
      <c r="B530">
        <v>2016</v>
      </c>
      <c r="C530" t="s">
        <v>605</v>
      </c>
      <c r="D530" t="s">
        <v>606</v>
      </c>
      <c r="E530" t="s">
        <v>613</v>
      </c>
      <c r="F530" t="s">
        <v>614</v>
      </c>
      <c r="G530">
        <v>731.5</v>
      </c>
      <c r="H530">
        <v>733.15</v>
      </c>
      <c r="I530">
        <v>372.4</v>
      </c>
      <c r="J530">
        <v>373.24</v>
      </c>
      <c r="Q530"/>
    </row>
    <row r="531" spans="1:17" x14ac:dyDescent="0.25">
      <c r="A531">
        <v>2</v>
      </c>
      <c r="B531">
        <v>2016</v>
      </c>
      <c r="C531" t="s">
        <v>605</v>
      </c>
      <c r="D531" t="s">
        <v>606</v>
      </c>
      <c r="E531" t="s">
        <v>615</v>
      </c>
      <c r="F531" t="s">
        <v>614</v>
      </c>
      <c r="G531">
        <v>615.41</v>
      </c>
      <c r="H531">
        <v>533.6</v>
      </c>
      <c r="I531">
        <v>358.34</v>
      </c>
      <c r="J531">
        <v>326.83</v>
      </c>
      <c r="Q531"/>
    </row>
    <row r="532" spans="1:17" x14ac:dyDescent="0.25">
      <c r="A532">
        <v>2</v>
      </c>
      <c r="B532">
        <v>2016</v>
      </c>
      <c r="C532" t="s">
        <v>605</v>
      </c>
      <c r="D532" t="s">
        <v>606</v>
      </c>
      <c r="E532" t="s">
        <v>616</v>
      </c>
      <c r="F532" t="s">
        <v>617</v>
      </c>
      <c r="G532">
        <v>175.5</v>
      </c>
      <c r="H532">
        <v>133.30000000000001</v>
      </c>
      <c r="I532">
        <v>169.84</v>
      </c>
      <c r="J532">
        <v>146.63</v>
      </c>
      <c r="Q532"/>
    </row>
    <row r="533" spans="1:17" x14ac:dyDescent="0.25">
      <c r="A533">
        <v>2</v>
      </c>
      <c r="B533">
        <v>2016</v>
      </c>
      <c r="C533" t="s">
        <v>605</v>
      </c>
      <c r="D533" t="s">
        <v>606</v>
      </c>
      <c r="E533" t="s">
        <v>618</v>
      </c>
      <c r="F533" t="s">
        <v>617</v>
      </c>
      <c r="G533">
        <v>587.64</v>
      </c>
      <c r="H533">
        <v>406.87</v>
      </c>
      <c r="I533">
        <v>867.24</v>
      </c>
      <c r="J533">
        <v>687.01</v>
      </c>
      <c r="Q533"/>
    </row>
    <row r="534" spans="1:17" x14ac:dyDescent="0.25">
      <c r="A534">
        <v>2</v>
      </c>
      <c r="B534">
        <v>2016</v>
      </c>
      <c r="C534" t="s">
        <v>621</v>
      </c>
      <c r="D534" t="s">
        <v>622</v>
      </c>
      <c r="E534" t="s">
        <v>623</v>
      </c>
      <c r="F534" t="s">
        <v>624</v>
      </c>
      <c r="G534">
        <v>754.8</v>
      </c>
      <c r="H534">
        <v>204</v>
      </c>
      <c r="I534">
        <v>237.6</v>
      </c>
      <c r="J534">
        <v>66</v>
      </c>
      <c r="Q534"/>
    </row>
    <row r="535" spans="1:17" x14ac:dyDescent="0.25">
      <c r="A535">
        <v>2</v>
      </c>
      <c r="B535">
        <v>2016</v>
      </c>
      <c r="C535" t="s">
        <v>621</v>
      </c>
      <c r="D535" t="s">
        <v>622</v>
      </c>
      <c r="E535" t="s">
        <v>625</v>
      </c>
      <c r="F535" t="s">
        <v>624</v>
      </c>
      <c r="G535">
        <v>377.4</v>
      </c>
      <c r="H535">
        <v>102</v>
      </c>
      <c r="I535">
        <v>367.2</v>
      </c>
      <c r="J535">
        <v>108</v>
      </c>
      <c r="Q535"/>
    </row>
    <row r="536" spans="1:17" x14ac:dyDescent="0.25">
      <c r="A536">
        <v>2</v>
      </c>
      <c r="B536">
        <v>2016</v>
      </c>
      <c r="C536" t="s">
        <v>630</v>
      </c>
      <c r="D536" t="s">
        <v>631</v>
      </c>
      <c r="E536" t="s">
        <v>632</v>
      </c>
      <c r="F536" t="s">
        <v>633</v>
      </c>
      <c r="G536">
        <v>223.2</v>
      </c>
      <c r="H536">
        <v>42</v>
      </c>
      <c r="I536">
        <v>108</v>
      </c>
      <c r="J536">
        <v>18</v>
      </c>
      <c r="Q536"/>
    </row>
    <row r="537" spans="1:17" x14ac:dyDescent="0.25">
      <c r="A537">
        <v>2</v>
      </c>
      <c r="B537">
        <v>2016</v>
      </c>
      <c r="C537" t="s">
        <v>630</v>
      </c>
      <c r="D537" t="s">
        <v>631</v>
      </c>
      <c r="E537" t="s">
        <v>634</v>
      </c>
      <c r="F537" t="s">
        <v>635</v>
      </c>
      <c r="G537">
        <v>234</v>
      </c>
      <c r="H537">
        <v>18</v>
      </c>
      <c r="Q537"/>
    </row>
    <row r="538" spans="1:17" x14ac:dyDescent="0.25">
      <c r="A538">
        <v>2</v>
      </c>
      <c r="B538">
        <v>2016</v>
      </c>
      <c r="C538" t="s">
        <v>630</v>
      </c>
      <c r="D538" t="s">
        <v>631</v>
      </c>
      <c r="E538" t="s">
        <v>636</v>
      </c>
      <c r="F538" t="s">
        <v>637</v>
      </c>
      <c r="G538">
        <v>504</v>
      </c>
      <c r="H538">
        <v>120</v>
      </c>
      <c r="I538">
        <v>688.8</v>
      </c>
      <c r="J538">
        <v>168</v>
      </c>
      <c r="Q538"/>
    </row>
    <row r="539" spans="1:17" x14ac:dyDescent="0.25">
      <c r="A539">
        <v>2</v>
      </c>
      <c r="B539">
        <v>2016</v>
      </c>
      <c r="C539" t="s">
        <v>630</v>
      </c>
      <c r="D539" t="s">
        <v>631</v>
      </c>
      <c r="E539" t="s">
        <v>783</v>
      </c>
      <c r="F539" t="s">
        <v>784</v>
      </c>
      <c r="G539">
        <v>295.2</v>
      </c>
      <c r="H539">
        <v>78</v>
      </c>
      <c r="I539">
        <v>432</v>
      </c>
      <c r="J539">
        <v>108</v>
      </c>
      <c r="Q539"/>
    </row>
    <row r="540" spans="1:17" x14ac:dyDescent="0.25">
      <c r="A540">
        <v>2</v>
      </c>
      <c r="B540">
        <v>2016</v>
      </c>
      <c r="C540" t="s">
        <v>638</v>
      </c>
      <c r="D540" t="s">
        <v>639</v>
      </c>
      <c r="E540" t="s">
        <v>640</v>
      </c>
      <c r="F540" t="s">
        <v>641</v>
      </c>
      <c r="G540">
        <v>114</v>
      </c>
      <c r="H540">
        <v>113.39</v>
      </c>
      <c r="I540">
        <v>945.57</v>
      </c>
      <c r="J540">
        <v>860.43</v>
      </c>
      <c r="Q540"/>
    </row>
    <row r="541" spans="1:17" x14ac:dyDescent="0.25">
      <c r="A541">
        <v>2</v>
      </c>
      <c r="B541">
        <v>2016</v>
      </c>
      <c r="C541" t="s">
        <v>638</v>
      </c>
      <c r="D541" t="s">
        <v>639</v>
      </c>
      <c r="E541" t="s">
        <v>642</v>
      </c>
      <c r="F541" t="s">
        <v>641</v>
      </c>
      <c r="G541">
        <v>265</v>
      </c>
      <c r="H541">
        <v>279.93</v>
      </c>
      <c r="I541">
        <v>1153.8800000000001</v>
      </c>
      <c r="J541">
        <v>1213.03</v>
      </c>
      <c r="Q541"/>
    </row>
    <row r="542" spans="1:17" x14ac:dyDescent="0.25">
      <c r="A542">
        <v>2</v>
      </c>
      <c r="B542">
        <v>2016</v>
      </c>
      <c r="C542" t="s">
        <v>638</v>
      </c>
      <c r="D542" t="s">
        <v>639</v>
      </c>
      <c r="E542" t="s">
        <v>643</v>
      </c>
      <c r="F542" t="s">
        <v>644</v>
      </c>
      <c r="G542">
        <v>501.6</v>
      </c>
      <c r="H542">
        <v>446.89</v>
      </c>
      <c r="I542">
        <v>1018.87</v>
      </c>
      <c r="J542">
        <v>940.47</v>
      </c>
      <c r="Q542"/>
    </row>
    <row r="543" spans="1:17" x14ac:dyDescent="0.25">
      <c r="A543">
        <v>2</v>
      </c>
      <c r="B543">
        <v>2016</v>
      </c>
      <c r="C543" t="s">
        <v>638</v>
      </c>
      <c r="D543" t="s">
        <v>639</v>
      </c>
      <c r="E543" t="s">
        <v>645</v>
      </c>
      <c r="F543" t="s">
        <v>644</v>
      </c>
      <c r="G543">
        <v>728.75</v>
      </c>
      <c r="H543">
        <v>733.15</v>
      </c>
      <c r="I543">
        <v>2320.44</v>
      </c>
      <c r="J543">
        <v>2452.7199999999998</v>
      </c>
      <c r="Q543"/>
    </row>
    <row r="544" spans="1:17" x14ac:dyDescent="0.25">
      <c r="A544">
        <v>2</v>
      </c>
      <c r="B544">
        <v>2016</v>
      </c>
      <c r="C544" t="s">
        <v>638</v>
      </c>
      <c r="D544" t="s">
        <v>639</v>
      </c>
      <c r="E544" t="s">
        <v>646</v>
      </c>
      <c r="F544" t="s">
        <v>647</v>
      </c>
      <c r="G544">
        <v>1238.4000000000001</v>
      </c>
      <c r="H544">
        <v>522</v>
      </c>
      <c r="I544">
        <v>587.16</v>
      </c>
      <c r="J544">
        <v>252</v>
      </c>
      <c r="Q544"/>
    </row>
    <row r="545" spans="1:17" x14ac:dyDescent="0.25">
      <c r="A545">
        <v>2</v>
      </c>
      <c r="B545">
        <v>2016</v>
      </c>
      <c r="C545" t="s">
        <v>638</v>
      </c>
      <c r="D545" t="s">
        <v>639</v>
      </c>
      <c r="E545" t="s">
        <v>648</v>
      </c>
      <c r="F545" t="s">
        <v>649</v>
      </c>
      <c r="G545">
        <v>133.19999999999999</v>
      </c>
      <c r="H545">
        <v>24</v>
      </c>
      <c r="I545">
        <v>159.9</v>
      </c>
      <c r="J545">
        <v>30</v>
      </c>
      <c r="Q545"/>
    </row>
    <row r="546" spans="1:17" x14ac:dyDescent="0.25">
      <c r="A546">
        <v>2</v>
      </c>
      <c r="B546">
        <v>2016</v>
      </c>
      <c r="C546" t="s">
        <v>638</v>
      </c>
      <c r="D546" t="s">
        <v>639</v>
      </c>
      <c r="E546" t="s">
        <v>650</v>
      </c>
      <c r="F546" t="s">
        <v>651</v>
      </c>
      <c r="G546">
        <v>134.4</v>
      </c>
      <c r="H546">
        <v>48</v>
      </c>
      <c r="I546">
        <v>37.56</v>
      </c>
      <c r="J546">
        <v>12</v>
      </c>
      <c r="Q546"/>
    </row>
    <row r="547" spans="1:17" x14ac:dyDescent="0.25">
      <c r="A547">
        <v>2</v>
      </c>
      <c r="B547">
        <v>2016</v>
      </c>
      <c r="C547" t="s">
        <v>638</v>
      </c>
      <c r="D547" t="s">
        <v>639</v>
      </c>
      <c r="E547" t="s">
        <v>785</v>
      </c>
      <c r="F547" t="s">
        <v>653</v>
      </c>
      <c r="G547">
        <v>427.8</v>
      </c>
      <c r="H547">
        <v>306.58999999999997</v>
      </c>
      <c r="I547">
        <v>287.68</v>
      </c>
      <c r="J547">
        <v>213.28</v>
      </c>
      <c r="Q547"/>
    </row>
    <row r="548" spans="1:17" x14ac:dyDescent="0.25">
      <c r="A548">
        <v>2</v>
      </c>
      <c r="B548">
        <v>2016</v>
      </c>
      <c r="C548" t="s">
        <v>638</v>
      </c>
      <c r="D548" t="s">
        <v>639</v>
      </c>
      <c r="E548" t="s">
        <v>652</v>
      </c>
      <c r="F548" t="s">
        <v>653</v>
      </c>
      <c r="G548">
        <v>262.60000000000002</v>
      </c>
      <c r="H548">
        <v>173.42</v>
      </c>
      <c r="I548">
        <v>145.94999999999999</v>
      </c>
      <c r="J548">
        <v>106.72</v>
      </c>
      <c r="Q548"/>
    </row>
    <row r="549" spans="1:17" x14ac:dyDescent="0.25">
      <c r="A549">
        <v>2</v>
      </c>
      <c r="B549">
        <v>2016</v>
      </c>
      <c r="C549" t="s">
        <v>638</v>
      </c>
      <c r="D549" t="s">
        <v>639</v>
      </c>
      <c r="E549" t="s">
        <v>654</v>
      </c>
      <c r="F549" t="s">
        <v>655</v>
      </c>
      <c r="G549">
        <v>129.6</v>
      </c>
      <c r="H549">
        <v>36</v>
      </c>
      <c r="I549">
        <v>329.28</v>
      </c>
      <c r="J549">
        <v>96</v>
      </c>
      <c r="Q549"/>
    </row>
    <row r="550" spans="1:17" x14ac:dyDescent="0.25">
      <c r="A550">
        <v>2</v>
      </c>
      <c r="B550">
        <v>2016</v>
      </c>
      <c r="C550" t="s">
        <v>638</v>
      </c>
      <c r="D550" t="s">
        <v>639</v>
      </c>
      <c r="E550" t="s">
        <v>656</v>
      </c>
      <c r="F550" t="s">
        <v>657</v>
      </c>
      <c r="G550">
        <v>24.3</v>
      </c>
      <c r="H550">
        <v>6</v>
      </c>
      <c r="I550">
        <v>89.52</v>
      </c>
      <c r="J550">
        <v>24</v>
      </c>
      <c r="Q550"/>
    </row>
    <row r="551" spans="1:17" x14ac:dyDescent="0.25">
      <c r="A551">
        <v>2</v>
      </c>
      <c r="B551">
        <v>2016</v>
      </c>
      <c r="C551" t="s">
        <v>638</v>
      </c>
      <c r="D551" t="s">
        <v>639</v>
      </c>
      <c r="E551" t="s">
        <v>658</v>
      </c>
      <c r="F551" t="s">
        <v>659</v>
      </c>
      <c r="G551">
        <v>504</v>
      </c>
      <c r="H551">
        <v>174</v>
      </c>
      <c r="I551">
        <v>328.32</v>
      </c>
      <c r="J551">
        <v>114</v>
      </c>
      <c r="Q551"/>
    </row>
    <row r="552" spans="1:17" x14ac:dyDescent="0.25">
      <c r="A552">
        <v>2</v>
      </c>
      <c r="B552">
        <v>2016</v>
      </c>
      <c r="C552" t="s">
        <v>638</v>
      </c>
      <c r="D552" t="s">
        <v>639</v>
      </c>
      <c r="E552" t="s">
        <v>786</v>
      </c>
      <c r="F552" t="s">
        <v>787</v>
      </c>
      <c r="G552">
        <v>20.64</v>
      </c>
      <c r="H552">
        <v>6</v>
      </c>
      <c r="I552">
        <v>41.28</v>
      </c>
      <c r="J552">
        <v>12</v>
      </c>
      <c r="Q552"/>
    </row>
    <row r="553" spans="1:17" x14ac:dyDescent="0.25">
      <c r="A553">
        <v>2</v>
      </c>
      <c r="B553">
        <v>2016</v>
      </c>
      <c r="C553" t="s">
        <v>638</v>
      </c>
      <c r="D553" t="s">
        <v>639</v>
      </c>
      <c r="E553" t="s">
        <v>664</v>
      </c>
      <c r="F553" t="s">
        <v>665</v>
      </c>
      <c r="G553">
        <v>262.2</v>
      </c>
      <c r="H553">
        <v>144</v>
      </c>
      <c r="Q553"/>
    </row>
    <row r="554" spans="1:17" x14ac:dyDescent="0.25">
      <c r="A554">
        <v>2</v>
      </c>
      <c r="B554">
        <v>2016</v>
      </c>
      <c r="C554" t="s">
        <v>638</v>
      </c>
      <c r="D554" t="s">
        <v>639</v>
      </c>
      <c r="E554" t="s">
        <v>666</v>
      </c>
      <c r="F554" t="s">
        <v>665</v>
      </c>
      <c r="G554">
        <v>34.200000000000003</v>
      </c>
      <c r="H554">
        <v>18</v>
      </c>
      <c r="Q554"/>
    </row>
    <row r="555" spans="1:17" x14ac:dyDescent="0.25">
      <c r="A555">
        <v>2</v>
      </c>
      <c r="B555">
        <v>2016</v>
      </c>
      <c r="C555" t="s">
        <v>667</v>
      </c>
      <c r="D555" t="s">
        <v>668</v>
      </c>
      <c r="E555" t="s">
        <v>671</v>
      </c>
      <c r="F555" t="s">
        <v>670</v>
      </c>
      <c r="G555">
        <v>73.44</v>
      </c>
      <c r="H555">
        <v>36</v>
      </c>
      <c r="I555">
        <v>368.28</v>
      </c>
      <c r="J555">
        <v>192</v>
      </c>
      <c r="Q555"/>
    </row>
    <row r="556" spans="1:17" x14ac:dyDescent="0.25">
      <c r="A556">
        <v>2</v>
      </c>
      <c r="B556">
        <v>2016</v>
      </c>
      <c r="C556" t="s">
        <v>667</v>
      </c>
      <c r="D556" t="s">
        <v>668</v>
      </c>
      <c r="E556" t="s">
        <v>673</v>
      </c>
      <c r="F556" t="s">
        <v>674</v>
      </c>
      <c r="G556">
        <v>0</v>
      </c>
      <c r="H556">
        <v>6</v>
      </c>
      <c r="Q556"/>
    </row>
    <row r="557" spans="1:17" x14ac:dyDescent="0.25">
      <c r="A557">
        <v>2</v>
      </c>
      <c r="B557">
        <v>2016</v>
      </c>
      <c r="C557" t="s">
        <v>667</v>
      </c>
      <c r="D557" t="s">
        <v>668</v>
      </c>
      <c r="E557" t="s">
        <v>788</v>
      </c>
      <c r="F557" t="s">
        <v>789</v>
      </c>
      <c r="G557">
        <v>29.7</v>
      </c>
      <c r="H557">
        <v>20.009999999999998</v>
      </c>
      <c r="Q557"/>
    </row>
    <row r="558" spans="1:17" x14ac:dyDescent="0.25">
      <c r="A558">
        <v>2</v>
      </c>
      <c r="B558">
        <v>2016</v>
      </c>
      <c r="C558" t="s">
        <v>681</v>
      </c>
      <c r="D558" t="s">
        <v>682</v>
      </c>
      <c r="E558" t="s">
        <v>683</v>
      </c>
      <c r="F558" t="s">
        <v>684</v>
      </c>
      <c r="G558">
        <v>330</v>
      </c>
      <c r="H558">
        <v>150</v>
      </c>
      <c r="I558">
        <v>163.80000000000001</v>
      </c>
      <c r="J558">
        <v>84</v>
      </c>
      <c r="Q558"/>
    </row>
    <row r="559" spans="1:17" x14ac:dyDescent="0.25">
      <c r="A559">
        <v>2</v>
      </c>
      <c r="B559">
        <v>2016</v>
      </c>
      <c r="C559" t="s">
        <v>681</v>
      </c>
      <c r="D559" t="s">
        <v>682</v>
      </c>
      <c r="E559" t="s">
        <v>685</v>
      </c>
      <c r="F559" t="s">
        <v>686</v>
      </c>
      <c r="G559">
        <v>28.2</v>
      </c>
      <c r="H559">
        <v>12</v>
      </c>
      <c r="I559">
        <v>28.2</v>
      </c>
      <c r="J559">
        <v>12</v>
      </c>
      <c r="Q559"/>
    </row>
    <row r="560" spans="1:17" x14ac:dyDescent="0.25">
      <c r="A560">
        <v>2</v>
      </c>
      <c r="B560">
        <v>2016</v>
      </c>
      <c r="C560" t="s">
        <v>681</v>
      </c>
      <c r="D560" t="s">
        <v>682</v>
      </c>
      <c r="E560" t="s">
        <v>687</v>
      </c>
      <c r="F560" t="s">
        <v>688</v>
      </c>
      <c r="G560">
        <v>131.4</v>
      </c>
      <c r="H560">
        <v>36</v>
      </c>
      <c r="I560">
        <v>219</v>
      </c>
      <c r="J560">
        <v>60</v>
      </c>
      <c r="Q560"/>
    </row>
    <row r="561" spans="1:17" x14ac:dyDescent="0.25">
      <c r="A561">
        <v>2</v>
      </c>
      <c r="B561">
        <v>2016</v>
      </c>
      <c r="C561" t="s">
        <v>681</v>
      </c>
      <c r="D561" t="s">
        <v>682</v>
      </c>
      <c r="E561" t="s">
        <v>689</v>
      </c>
      <c r="F561" t="s">
        <v>690</v>
      </c>
      <c r="G561">
        <v>338.4</v>
      </c>
      <c r="H561">
        <v>144</v>
      </c>
      <c r="I561">
        <v>98.7</v>
      </c>
      <c r="J561">
        <v>42</v>
      </c>
      <c r="Q561"/>
    </row>
    <row r="562" spans="1:17" x14ac:dyDescent="0.25">
      <c r="A562">
        <v>2</v>
      </c>
      <c r="B562">
        <v>2016</v>
      </c>
      <c r="C562" t="s">
        <v>790</v>
      </c>
      <c r="D562" t="s">
        <v>791</v>
      </c>
      <c r="E562" t="s">
        <v>792</v>
      </c>
      <c r="F562" t="s">
        <v>793</v>
      </c>
      <c r="G562">
        <v>666.6</v>
      </c>
      <c r="H562">
        <v>132</v>
      </c>
      <c r="Q562"/>
    </row>
    <row r="563" spans="1:17" x14ac:dyDescent="0.25">
      <c r="A563">
        <v>2</v>
      </c>
      <c r="B563">
        <v>2016</v>
      </c>
      <c r="C563" t="s">
        <v>691</v>
      </c>
      <c r="D563" t="s">
        <v>692</v>
      </c>
      <c r="E563" t="s">
        <v>693</v>
      </c>
      <c r="F563" t="s">
        <v>694</v>
      </c>
      <c r="G563">
        <v>52.8</v>
      </c>
      <c r="H563">
        <v>12</v>
      </c>
      <c r="Q563"/>
    </row>
    <row r="564" spans="1:17" x14ac:dyDescent="0.25">
      <c r="A564">
        <v>2</v>
      </c>
      <c r="B564">
        <v>2016</v>
      </c>
      <c r="C564" t="s">
        <v>691</v>
      </c>
      <c r="D564" t="s">
        <v>692</v>
      </c>
      <c r="E564" t="s">
        <v>695</v>
      </c>
      <c r="F564" t="s">
        <v>696</v>
      </c>
      <c r="G564">
        <v>52.8</v>
      </c>
      <c r="H564">
        <v>12</v>
      </c>
      <c r="Q564"/>
    </row>
    <row r="565" spans="1:17" x14ac:dyDescent="0.25">
      <c r="A565">
        <v>2</v>
      </c>
      <c r="B565">
        <v>2016</v>
      </c>
      <c r="C565" t="s">
        <v>691</v>
      </c>
      <c r="D565" t="s">
        <v>692</v>
      </c>
      <c r="E565" t="s">
        <v>697</v>
      </c>
      <c r="F565" t="s">
        <v>698</v>
      </c>
      <c r="G565">
        <v>93.6</v>
      </c>
      <c r="H565">
        <v>24</v>
      </c>
      <c r="Q565"/>
    </row>
    <row r="566" spans="1:17" x14ac:dyDescent="0.25">
      <c r="A566">
        <v>2</v>
      </c>
      <c r="B566">
        <v>2016</v>
      </c>
      <c r="C566" t="s">
        <v>691</v>
      </c>
      <c r="D566" t="s">
        <v>692</v>
      </c>
      <c r="E566" t="s">
        <v>699</v>
      </c>
      <c r="F566" t="s">
        <v>700</v>
      </c>
      <c r="G566">
        <v>44.4</v>
      </c>
      <c r="H566">
        <v>12</v>
      </c>
      <c r="Q566"/>
    </row>
    <row r="567" spans="1:17" x14ac:dyDescent="0.25">
      <c r="A567">
        <v>2</v>
      </c>
      <c r="B567">
        <v>2016</v>
      </c>
      <c r="C567" t="s">
        <v>691</v>
      </c>
      <c r="D567" t="s">
        <v>692</v>
      </c>
      <c r="E567" t="s">
        <v>702</v>
      </c>
      <c r="F567" t="s">
        <v>703</v>
      </c>
      <c r="G567">
        <v>667.8</v>
      </c>
      <c r="H567">
        <v>126</v>
      </c>
      <c r="Q567"/>
    </row>
    <row r="568" spans="1:17" x14ac:dyDescent="0.25">
      <c r="A568">
        <v>3</v>
      </c>
      <c r="B568">
        <v>2016</v>
      </c>
      <c r="C568" t="s">
        <v>47</v>
      </c>
      <c r="D568" t="s">
        <v>48</v>
      </c>
      <c r="E568" t="s">
        <v>49</v>
      </c>
      <c r="F568" t="s">
        <v>50</v>
      </c>
      <c r="G568">
        <v>2773.44</v>
      </c>
      <c r="H568">
        <v>2394.5300000000002</v>
      </c>
      <c r="I568">
        <v>2470.34</v>
      </c>
      <c r="J568">
        <v>2254.46</v>
      </c>
      <c r="Q568"/>
    </row>
    <row r="569" spans="1:17" x14ac:dyDescent="0.25">
      <c r="A569">
        <v>3</v>
      </c>
      <c r="B569">
        <v>2016</v>
      </c>
      <c r="C569" t="s">
        <v>47</v>
      </c>
      <c r="D569" t="s">
        <v>48</v>
      </c>
      <c r="E569" t="s">
        <v>51</v>
      </c>
      <c r="F569" t="s">
        <v>52</v>
      </c>
      <c r="G569">
        <v>9962.41</v>
      </c>
      <c r="H569">
        <v>9690.91</v>
      </c>
      <c r="I569">
        <v>9022.25</v>
      </c>
      <c r="J569">
        <v>9157.7100000000009</v>
      </c>
      <c r="Q569"/>
    </row>
    <row r="570" spans="1:17" x14ac:dyDescent="0.25">
      <c r="A570">
        <v>3</v>
      </c>
      <c r="B570">
        <v>2016</v>
      </c>
      <c r="C570" t="s">
        <v>47</v>
      </c>
      <c r="D570" t="s">
        <v>48</v>
      </c>
      <c r="E570" t="s">
        <v>53</v>
      </c>
      <c r="F570" t="s">
        <v>54</v>
      </c>
      <c r="G570">
        <v>9634.07</v>
      </c>
      <c r="H570">
        <v>10384.07</v>
      </c>
      <c r="I570">
        <v>4924.8</v>
      </c>
      <c r="J570">
        <v>5611.93</v>
      </c>
      <c r="Q570"/>
    </row>
    <row r="571" spans="1:17" x14ac:dyDescent="0.25">
      <c r="A571">
        <v>3</v>
      </c>
      <c r="B571">
        <v>2016</v>
      </c>
      <c r="C571" t="s">
        <v>47</v>
      </c>
      <c r="D571" t="s">
        <v>48</v>
      </c>
      <c r="E571" t="s">
        <v>55</v>
      </c>
      <c r="F571" t="s">
        <v>54</v>
      </c>
      <c r="G571">
        <v>1760.09</v>
      </c>
      <c r="H571">
        <v>1594.1299999999999</v>
      </c>
      <c r="I571">
        <v>1376.63</v>
      </c>
      <c r="J571">
        <v>1340.67</v>
      </c>
      <c r="Q571"/>
    </row>
    <row r="572" spans="1:17" x14ac:dyDescent="0.25">
      <c r="A572">
        <v>3</v>
      </c>
      <c r="B572">
        <v>2016</v>
      </c>
      <c r="C572" t="s">
        <v>47</v>
      </c>
      <c r="D572" t="s">
        <v>48</v>
      </c>
      <c r="E572" t="s">
        <v>56</v>
      </c>
      <c r="F572" t="s">
        <v>57</v>
      </c>
      <c r="G572">
        <v>3696.14</v>
      </c>
      <c r="H572">
        <v>4158.96</v>
      </c>
      <c r="I572">
        <v>3448.26</v>
      </c>
      <c r="J572">
        <v>3999</v>
      </c>
      <c r="Q572"/>
    </row>
    <row r="573" spans="1:17" x14ac:dyDescent="0.25">
      <c r="A573">
        <v>3</v>
      </c>
      <c r="B573">
        <v>2016</v>
      </c>
      <c r="C573" t="s">
        <v>47</v>
      </c>
      <c r="D573" t="s">
        <v>48</v>
      </c>
      <c r="E573" t="s">
        <v>58</v>
      </c>
      <c r="F573" t="s">
        <v>59</v>
      </c>
      <c r="G573">
        <v>4676.3999999999996</v>
      </c>
      <c r="H573">
        <v>5547.3600000000006</v>
      </c>
      <c r="I573">
        <v>1692.1</v>
      </c>
      <c r="J573">
        <v>2080.2600000000002</v>
      </c>
      <c r="Q573"/>
    </row>
    <row r="574" spans="1:17" x14ac:dyDescent="0.25">
      <c r="A574">
        <v>3</v>
      </c>
      <c r="B574">
        <v>2016</v>
      </c>
      <c r="C574" t="s">
        <v>47</v>
      </c>
      <c r="D574" t="s">
        <v>48</v>
      </c>
      <c r="E574" t="s">
        <v>60</v>
      </c>
      <c r="F574" t="s">
        <v>59</v>
      </c>
      <c r="G574">
        <v>1128.18</v>
      </c>
      <c r="H574">
        <v>1386.8400000000001</v>
      </c>
      <c r="I574">
        <v>97.5</v>
      </c>
      <c r="J574">
        <v>133.35000000000002</v>
      </c>
      <c r="Q574"/>
    </row>
    <row r="575" spans="1:17" x14ac:dyDescent="0.25">
      <c r="A575">
        <v>3</v>
      </c>
      <c r="B575">
        <v>2016</v>
      </c>
      <c r="C575" t="s">
        <v>47</v>
      </c>
      <c r="D575" t="s">
        <v>48</v>
      </c>
      <c r="E575" t="s">
        <v>61</v>
      </c>
      <c r="F575" t="s">
        <v>62</v>
      </c>
      <c r="G575">
        <v>1963.94</v>
      </c>
      <c r="H575">
        <v>1420.71</v>
      </c>
      <c r="I575">
        <v>2034.44</v>
      </c>
      <c r="J575">
        <v>1554.11</v>
      </c>
      <c r="Q575"/>
    </row>
    <row r="576" spans="1:17" x14ac:dyDescent="0.25">
      <c r="A576">
        <v>3</v>
      </c>
      <c r="B576">
        <v>2016</v>
      </c>
      <c r="C576" t="s">
        <v>47</v>
      </c>
      <c r="D576" t="s">
        <v>48</v>
      </c>
      <c r="E576" t="s">
        <v>63</v>
      </c>
      <c r="F576" t="s">
        <v>64</v>
      </c>
      <c r="G576">
        <v>2158.2800000000002</v>
      </c>
      <c r="H576">
        <v>1732.9</v>
      </c>
      <c r="I576">
        <v>3374.28</v>
      </c>
      <c r="J576">
        <v>2799.3</v>
      </c>
      <c r="Q576"/>
    </row>
    <row r="577" spans="1:17" x14ac:dyDescent="0.25">
      <c r="A577">
        <v>3</v>
      </c>
      <c r="B577">
        <v>2016</v>
      </c>
      <c r="C577" t="s">
        <v>47</v>
      </c>
      <c r="D577" t="s">
        <v>48</v>
      </c>
      <c r="E577" t="s">
        <v>65</v>
      </c>
      <c r="F577" t="s">
        <v>64</v>
      </c>
      <c r="G577">
        <v>2607.39</v>
      </c>
      <c r="H577">
        <v>2092.81</v>
      </c>
      <c r="I577">
        <v>4350.84</v>
      </c>
      <c r="J577">
        <v>3599.1</v>
      </c>
      <c r="Q577"/>
    </row>
    <row r="578" spans="1:17" x14ac:dyDescent="0.25">
      <c r="A578">
        <v>3</v>
      </c>
      <c r="B578">
        <v>2016</v>
      </c>
      <c r="C578" t="s">
        <v>47</v>
      </c>
      <c r="D578" t="s">
        <v>48</v>
      </c>
      <c r="E578" t="s">
        <v>66</v>
      </c>
      <c r="F578" t="s">
        <v>64</v>
      </c>
      <c r="G578">
        <v>1576.37</v>
      </c>
      <c r="H578">
        <v>1147.24</v>
      </c>
      <c r="I578">
        <v>1921.84</v>
      </c>
      <c r="J578">
        <v>1447.3899999999999</v>
      </c>
      <c r="Q578"/>
    </row>
    <row r="579" spans="1:17" x14ac:dyDescent="0.25">
      <c r="A579">
        <v>3</v>
      </c>
      <c r="B579">
        <v>2016</v>
      </c>
      <c r="C579" t="s">
        <v>47</v>
      </c>
      <c r="D579" t="s">
        <v>48</v>
      </c>
      <c r="E579" t="s">
        <v>67</v>
      </c>
      <c r="F579" t="s">
        <v>68</v>
      </c>
      <c r="G579">
        <v>5686.44</v>
      </c>
      <c r="H579">
        <v>6131.8</v>
      </c>
      <c r="I579">
        <v>5352.1</v>
      </c>
      <c r="J579">
        <v>6078.4800000000005</v>
      </c>
      <c r="Q579"/>
    </row>
    <row r="580" spans="1:17" x14ac:dyDescent="0.25">
      <c r="A580">
        <v>3</v>
      </c>
      <c r="B580">
        <v>2016</v>
      </c>
      <c r="C580" t="s">
        <v>47</v>
      </c>
      <c r="D580" t="s">
        <v>48</v>
      </c>
      <c r="E580" t="s">
        <v>69</v>
      </c>
      <c r="F580" t="s">
        <v>68</v>
      </c>
      <c r="G580">
        <v>2646.03</v>
      </c>
      <c r="H580">
        <v>2387.86</v>
      </c>
      <c r="I580">
        <v>1587.55</v>
      </c>
      <c r="J580">
        <v>1500.75</v>
      </c>
      <c r="Q580"/>
    </row>
    <row r="581" spans="1:17" x14ac:dyDescent="0.25">
      <c r="A581">
        <v>3</v>
      </c>
      <c r="B581">
        <v>2016</v>
      </c>
      <c r="C581" t="s">
        <v>47</v>
      </c>
      <c r="D581" t="s">
        <v>48</v>
      </c>
      <c r="E581" t="s">
        <v>70</v>
      </c>
      <c r="F581" t="s">
        <v>71</v>
      </c>
      <c r="G581">
        <v>2364</v>
      </c>
      <c r="H581">
        <v>978</v>
      </c>
      <c r="I581">
        <v>3552.6</v>
      </c>
      <c r="J581">
        <v>1548</v>
      </c>
      <c r="Q581"/>
    </row>
    <row r="582" spans="1:17" x14ac:dyDescent="0.25">
      <c r="A582">
        <v>3</v>
      </c>
      <c r="B582">
        <v>2016</v>
      </c>
      <c r="C582" t="s">
        <v>47</v>
      </c>
      <c r="D582" t="s">
        <v>48</v>
      </c>
      <c r="E582" t="s">
        <v>72</v>
      </c>
      <c r="F582" t="s">
        <v>73</v>
      </c>
      <c r="G582">
        <v>111.6</v>
      </c>
      <c r="H582">
        <v>54</v>
      </c>
      <c r="Q582"/>
    </row>
    <row r="583" spans="1:17" x14ac:dyDescent="0.25">
      <c r="A583">
        <v>3</v>
      </c>
      <c r="B583">
        <v>2016</v>
      </c>
      <c r="C583" t="s">
        <v>47</v>
      </c>
      <c r="D583" t="s">
        <v>48</v>
      </c>
      <c r="E583" t="s">
        <v>76</v>
      </c>
      <c r="F583" t="s">
        <v>77</v>
      </c>
      <c r="G583">
        <v>48</v>
      </c>
      <c r="H583">
        <v>30</v>
      </c>
      <c r="Q583"/>
    </row>
    <row r="584" spans="1:17" x14ac:dyDescent="0.25">
      <c r="A584">
        <v>3</v>
      </c>
      <c r="B584">
        <v>2016</v>
      </c>
      <c r="C584" t="s">
        <v>47</v>
      </c>
      <c r="D584" t="s">
        <v>48</v>
      </c>
      <c r="E584" t="s">
        <v>78</v>
      </c>
      <c r="F584" t="s">
        <v>73</v>
      </c>
      <c r="G584">
        <v>315.36</v>
      </c>
      <c r="H584">
        <v>144</v>
      </c>
      <c r="I584">
        <v>315.36</v>
      </c>
      <c r="J584">
        <v>144</v>
      </c>
      <c r="Q584"/>
    </row>
    <row r="585" spans="1:17" x14ac:dyDescent="0.25">
      <c r="A585">
        <v>3</v>
      </c>
      <c r="B585">
        <v>2016</v>
      </c>
      <c r="C585" t="s">
        <v>47</v>
      </c>
      <c r="D585" t="s">
        <v>48</v>
      </c>
      <c r="E585" t="s">
        <v>79</v>
      </c>
      <c r="F585" t="s">
        <v>80</v>
      </c>
      <c r="G585">
        <v>247.2</v>
      </c>
      <c r="H585">
        <v>120</v>
      </c>
      <c r="I585">
        <v>191.7</v>
      </c>
      <c r="J585">
        <v>96</v>
      </c>
      <c r="Q585"/>
    </row>
    <row r="586" spans="1:17" x14ac:dyDescent="0.25">
      <c r="A586">
        <v>3</v>
      </c>
      <c r="B586">
        <v>2016</v>
      </c>
      <c r="C586" t="s">
        <v>47</v>
      </c>
      <c r="D586" t="s">
        <v>48</v>
      </c>
      <c r="E586" t="s">
        <v>81</v>
      </c>
      <c r="F586" t="s">
        <v>82</v>
      </c>
      <c r="G586">
        <v>192</v>
      </c>
      <c r="H586">
        <v>102</v>
      </c>
      <c r="I586">
        <v>978.01</v>
      </c>
      <c r="J586">
        <v>582</v>
      </c>
      <c r="Q586"/>
    </row>
    <row r="587" spans="1:17" x14ac:dyDescent="0.25">
      <c r="A587">
        <v>3</v>
      </c>
      <c r="B587">
        <v>2016</v>
      </c>
      <c r="C587" t="s">
        <v>47</v>
      </c>
      <c r="D587" t="s">
        <v>48</v>
      </c>
      <c r="E587" t="s">
        <v>83</v>
      </c>
      <c r="F587" t="s">
        <v>84</v>
      </c>
      <c r="G587">
        <v>6.6</v>
      </c>
      <c r="H587">
        <v>4</v>
      </c>
      <c r="I587">
        <v>74.760000000000005</v>
      </c>
      <c r="J587">
        <v>96</v>
      </c>
      <c r="Q587"/>
    </row>
    <row r="588" spans="1:17" x14ac:dyDescent="0.25">
      <c r="A588">
        <v>3</v>
      </c>
      <c r="B588">
        <v>2016</v>
      </c>
      <c r="C588" t="s">
        <v>47</v>
      </c>
      <c r="D588" t="s">
        <v>48</v>
      </c>
      <c r="E588" t="s">
        <v>85</v>
      </c>
      <c r="F588" t="s">
        <v>84</v>
      </c>
      <c r="G588">
        <v>6.6</v>
      </c>
      <c r="H588">
        <v>4</v>
      </c>
      <c r="I588">
        <v>37.380000000000003</v>
      </c>
      <c r="J588">
        <v>24</v>
      </c>
      <c r="Q588"/>
    </row>
    <row r="589" spans="1:17" x14ac:dyDescent="0.25">
      <c r="A589">
        <v>3</v>
      </c>
      <c r="B589">
        <v>2016</v>
      </c>
      <c r="C589" t="s">
        <v>47</v>
      </c>
      <c r="D589" t="s">
        <v>48</v>
      </c>
      <c r="E589" t="s">
        <v>86</v>
      </c>
      <c r="F589" t="s">
        <v>84</v>
      </c>
      <c r="G589">
        <v>19.059999999999999</v>
      </c>
      <c r="H589">
        <v>12</v>
      </c>
      <c r="I589">
        <v>37.380000000000003</v>
      </c>
      <c r="J589">
        <v>24</v>
      </c>
      <c r="Q589"/>
    </row>
    <row r="590" spans="1:17" x14ac:dyDescent="0.25">
      <c r="A590">
        <v>3</v>
      </c>
      <c r="B590">
        <v>2016</v>
      </c>
      <c r="C590" t="s">
        <v>47</v>
      </c>
      <c r="D590" t="s">
        <v>48</v>
      </c>
      <c r="E590" t="s">
        <v>704</v>
      </c>
      <c r="F590" t="s">
        <v>705</v>
      </c>
      <c r="G590">
        <v>214.56</v>
      </c>
      <c r="H590">
        <v>72</v>
      </c>
      <c r="I590">
        <v>235.2</v>
      </c>
      <c r="J590">
        <v>84</v>
      </c>
      <c r="Q590"/>
    </row>
    <row r="591" spans="1:17" x14ac:dyDescent="0.25">
      <c r="A591">
        <v>3</v>
      </c>
      <c r="B591">
        <v>2016</v>
      </c>
      <c r="C591" t="s">
        <v>47</v>
      </c>
      <c r="D591" t="s">
        <v>48</v>
      </c>
      <c r="E591" t="s">
        <v>87</v>
      </c>
      <c r="F591" t="s">
        <v>88</v>
      </c>
      <c r="G591">
        <v>394.2</v>
      </c>
      <c r="H591">
        <v>180</v>
      </c>
      <c r="Q591"/>
    </row>
    <row r="592" spans="1:17" x14ac:dyDescent="0.25">
      <c r="A592">
        <v>3</v>
      </c>
      <c r="B592">
        <v>2016</v>
      </c>
      <c r="C592" t="s">
        <v>47</v>
      </c>
      <c r="D592" t="s">
        <v>48</v>
      </c>
      <c r="E592" t="s">
        <v>89</v>
      </c>
      <c r="F592" t="s">
        <v>90</v>
      </c>
      <c r="G592">
        <v>612.24</v>
      </c>
      <c r="H592">
        <v>348</v>
      </c>
      <c r="I592">
        <v>984.42</v>
      </c>
      <c r="J592">
        <v>576</v>
      </c>
      <c r="Q592"/>
    </row>
    <row r="593" spans="1:17" x14ac:dyDescent="0.25">
      <c r="A593">
        <v>3</v>
      </c>
      <c r="B593">
        <v>2016</v>
      </c>
      <c r="C593" t="s">
        <v>47</v>
      </c>
      <c r="D593" t="s">
        <v>48</v>
      </c>
      <c r="E593" t="s">
        <v>91</v>
      </c>
      <c r="F593" t="s">
        <v>92</v>
      </c>
      <c r="G593">
        <v>136.44</v>
      </c>
      <c r="H593">
        <v>90</v>
      </c>
      <c r="I593">
        <v>508.62</v>
      </c>
      <c r="J593">
        <v>300</v>
      </c>
      <c r="Q593"/>
    </row>
    <row r="594" spans="1:17" x14ac:dyDescent="0.25">
      <c r="A594">
        <v>3</v>
      </c>
      <c r="B594">
        <v>2016</v>
      </c>
      <c r="C594" t="s">
        <v>47</v>
      </c>
      <c r="D594" t="s">
        <v>48</v>
      </c>
      <c r="E594" t="s">
        <v>93</v>
      </c>
      <c r="F594" t="s">
        <v>94</v>
      </c>
      <c r="G594">
        <v>43.68</v>
      </c>
      <c r="H594">
        <v>30</v>
      </c>
      <c r="I594">
        <v>32.4</v>
      </c>
      <c r="J594">
        <v>24</v>
      </c>
      <c r="Q594"/>
    </row>
    <row r="595" spans="1:17" x14ac:dyDescent="0.25">
      <c r="A595">
        <v>3</v>
      </c>
      <c r="B595">
        <v>2016</v>
      </c>
      <c r="C595" t="s">
        <v>47</v>
      </c>
      <c r="D595" t="s">
        <v>48</v>
      </c>
      <c r="E595" t="s">
        <v>794</v>
      </c>
      <c r="F595" t="s">
        <v>795</v>
      </c>
      <c r="G595">
        <v>69.5</v>
      </c>
      <c r="H595">
        <v>40</v>
      </c>
      <c r="I595">
        <v>27.08</v>
      </c>
      <c r="J595">
        <v>16</v>
      </c>
      <c r="Q595"/>
    </row>
    <row r="596" spans="1:17" x14ac:dyDescent="0.25">
      <c r="A596">
        <v>3</v>
      </c>
      <c r="B596">
        <v>2016</v>
      </c>
      <c r="C596" t="s">
        <v>47</v>
      </c>
      <c r="D596" t="s">
        <v>48</v>
      </c>
      <c r="E596" t="s">
        <v>101</v>
      </c>
      <c r="F596" t="s">
        <v>102</v>
      </c>
      <c r="G596">
        <v>1997.5</v>
      </c>
      <c r="H596">
        <v>2266.9500000000003</v>
      </c>
      <c r="I596">
        <v>0</v>
      </c>
      <c r="J596">
        <v>53.34</v>
      </c>
      <c r="Q596"/>
    </row>
    <row r="597" spans="1:17" x14ac:dyDescent="0.25">
      <c r="A597">
        <v>3</v>
      </c>
      <c r="B597">
        <v>2016</v>
      </c>
      <c r="C597" t="s">
        <v>47</v>
      </c>
      <c r="D597" t="s">
        <v>48</v>
      </c>
      <c r="E597" t="s">
        <v>103</v>
      </c>
      <c r="F597" t="s">
        <v>98</v>
      </c>
      <c r="G597">
        <v>432</v>
      </c>
      <c r="H597">
        <v>533.20000000000005</v>
      </c>
      <c r="I597">
        <v>324</v>
      </c>
      <c r="J597">
        <v>399.9</v>
      </c>
      <c r="Q597"/>
    </row>
    <row r="598" spans="1:17" x14ac:dyDescent="0.25">
      <c r="A598">
        <v>3</v>
      </c>
      <c r="B598">
        <v>2016</v>
      </c>
      <c r="C598" t="s">
        <v>104</v>
      </c>
      <c r="D598" t="s">
        <v>105</v>
      </c>
      <c r="E598" t="s">
        <v>106</v>
      </c>
      <c r="F598" t="s">
        <v>107</v>
      </c>
      <c r="G598">
        <v>248.4</v>
      </c>
      <c r="H598">
        <v>54</v>
      </c>
      <c r="I598">
        <v>336</v>
      </c>
      <c r="J598">
        <v>90</v>
      </c>
      <c r="Q598"/>
    </row>
    <row r="599" spans="1:17" x14ac:dyDescent="0.25">
      <c r="A599">
        <v>3</v>
      </c>
      <c r="B599">
        <v>2016</v>
      </c>
      <c r="C599" t="s">
        <v>104</v>
      </c>
      <c r="D599" t="s">
        <v>105</v>
      </c>
      <c r="E599" t="s">
        <v>108</v>
      </c>
      <c r="F599" t="s">
        <v>109</v>
      </c>
      <c r="G599">
        <v>462</v>
      </c>
      <c r="H599">
        <v>84</v>
      </c>
      <c r="I599">
        <v>31.2</v>
      </c>
      <c r="J599">
        <v>12</v>
      </c>
      <c r="Q599"/>
    </row>
    <row r="600" spans="1:17" x14ac:dyDescent="0.25">
      <c r="A600">
        <v>3</v>
      </c>
      <c r="B600">
        <v>2016</v>
      </c>
      <c r="C600" t="s">
        <v>104</v>
      </c>
      <c r="D600" t="s">
        <v>105</v>
      </c>
      <c r="E600" t="s">
        <v>110</v>
      </c>
      <c r="F600" t="s">
        <v>111</v>
      </c>
      <c r="G600">
        <v>130.5</v>
      </c>
      <c r="H600">
        <v>18</v>
      </c>
      <c r="I600">
        <v>356.1</v>
      </c>
      <c r="J600">
        <v>60</v>
      </c>
      <c r="Q600"/>
    </row>
    <row r="601" spans="1:17" x14ac:dyDescent="0.25">
      <c r="A601">
        <v>3</v>
      </c>
      <c r="B601">
        <v>2016</v>
      </c>
      <c r="C601" t="s">
        <v>104</v>
      </c>
      <c r="D601" t="s">
        <v>105</v>
      </c>
      <c r="E601" t="s">
        <v>112</v>
      </c>
      <c r="F601" t="s">
        <v>113</v>
      </c>
      <c r="G601">
        <v>36.9</v>
      </c>
      <c r="H601">
        <v>6</v>
      </c>
      <c r="I601">
        <v>73.8</v>
      </c>
      <c r="J601">
        <v>12</v>
      </c>
      <c r="Q601"/>
    </row>
    <row r="602" spans="1:17" x14ac:dyDescent="0.25">
      <c r="A602">
        <v>3</v>
      </c>
      <c r="B602">
        <v>2016</v>
      </c>
      <c r="C602" t="s">
        <v>104</v>
      </c>
      <c r="D602" t="s">
        <v>105</v>
      </c>
      <c r="E602" t="s">
        <v>796</v>
      </c>
      <c r="F602" t="s">
        <v>797</v>
      </c>
      <c r="G602">
        <v>111.9</v>
      </c>
      <c r="H602">
        <v>6</v>
      </c>
      <c r="Q602"/>
    </row>
    <row r="603" spans="1:17" x14ac:dyDescent="0.25">
      <c r="A603">
        <v>3</v>
      </c>
      <c r="B603">
        <v>2016</v>
      </c>
      <c r="C603" t="s">
        <v>116</v>
      </c>
      <c r="D603" t="s">
        <v>117</v>
      </c>
      <c r="E603" t="s">
        <v>118</v>
      </c>
      <c r="F603" t="s">
        <v>119</v>
      </c>
      <c r="G603">
        <v>688.9</v>
      </c>
      <c r="H603">
        <v>132</v>
      </c>
      <c r="I603">
        <v>853.8</v>
      </c>
      <c r="J603">
        <v>168</v>
      </c>
      <c r="Q603"/>
    </row>
    <row r="604" spans="1:17" x14ac:dyDescent="0.25">
      <c r="A604">
        <v>3</v>
      </c>
      <c r="B604">
        <v>2016</v>
      </c>
      <c r="C604" t="s">
        <v>116</v>
      </c>
      <c r="D604" t="s">
        <v>117</v>
      </c>
      <c r="E604" t="s">
        <v>798</v>
      </c>
      <c r="F604" t="s">
        <v>799</v>
      </c>
      <c r="G604">
        <v>37.799999999999997</v>
      </c>
      <c r="H604">
        <v>6</v>
      </c>
      <c r="I604">
        <v>37.200000000000003</v>
      </c>
      <c r="J604">
        <v>6</v>
      </c>
      <c r="Q604"/>
    </row>
    <row r="605" spans="1:17" x14ac:dyDescent="0.25">
      <c r="A605">
        <v>3</v>
      </c>
      <c r="B605">
        <v>2016</v>
      </c>
      <c r="C605" t="s">
        <v>120</v>
      </c>
      <c r="D605" t="s">
        <v>121</v>
      </c>
      <c r="E605" t="s">
        <v>122</v>
      </c>
      <c r="F605" t="s">
        <v>123</v>
      </c>
      <c r="G605">
        <v>1675.8</v>
      </c>
      <c r="H605">
        <v>420</v>
      </c>
      <c r="I605">
        <v>1244.8800000000001</v>
      </c>
      <c r="J605">
        <v>312</v>
      </c>
      <c r="Q605"/>
    </row>
    <row r="606" spans="1:17" x14ac:dyDescent="0.25">
      <c r="A606">
        <v>3</v>
      </c>
      <c r="B606">
        <v>2016</v>
      </c>
      <c r="C606" t="s">
        <v>120</v>
      </c>
      <c r="D606" t="s">
        <v>121</v>
      </c>
      <c r="E606" t="s">
        <v>708</v>
      </c>
      <c r="F606" t="s">
        <v>709</v>
      </c>
      <c r="G606">
        <v>479.04</v>
      </c>
      <c r="H606">
        <v>102</v>
      </c>
      <c r="I606">
        <v>58.8</v>
      </c>
      <c r="J606">
        <v>12</v>
      </c>
      <c r="Q606"/>
    </row>
    <row r="607" spans="1:17" x14ac:dyDescent="0.25">
      <c r="A607">
        <v>3</v>
      </c>
      <c r="B607">
        <v>2016</v>
      </c>
      <c r="C607" t="s">
        <v>120</v>
      </c>
      <c r="D607" t="s">
        <v>121</v>
      </c>
      <c r="E607" t="s">
        <v>124</v>
      </c>
      <c r="F607" t="s">
        <v>125</v>
      </c>
      <c r="G607">
        <v>338.4</v>
      </c>
      <c r="H607">
        <v>78</v>
      </c>
      <c r="I607">
        <v>107.76</v>
      </c>
      <c r="J607">
        <v>30</v>
      </c>
      <c r="Q607"/>
    </row>
    <row r="608" spans="1:17" x14ac:dyDescent="0.25">
      <c r="A608">
        <v>3</v>
      </c>
      <c r="B608">
        <v>2016</v>
      </c>
      <c r="C608" t="s">
        <v>126</v>
      </c>
      <c r="D608" t="s">
        <v>127</v>
      </c>
      <c r="E608" t="s">
        <v>128</v>
      </c>
      <c r="F608" t="s">
        <v>129</v>
      </c>
      <c r="G608">
        <v>2686.02</v>
      </c>
      <c r="H608">
        <v>1200</v>
      </c>
      <c r="I608">
        <v>4118.9399999999996</v>
      </c>
      <c r="J608">
        <v>1854</v>
      </c>
      <c r="Q608"/>
    </row>
    <row r="609" spans="1:17" x14ac:dyDescent="0.25">
      <c r="A609">
        <v>3</v>
      </c>
      <c r="B609">
        <v>2016</v>
      </c>
      <c r="C609" t="s">
        <v>126</v>
      </c>
      <c r="D609" t="s">
        <v>127</v>
      </c>
      <c r="E609" t="s">
        <v>710</v>
      </c>
      <c r="F609" t="s">
        <v>129</v>
      </c>
      <c r="G609">
        <v>35.04</v>
      </c>
      <c r="H609">
        <v>12</v>
      </c>
      <c r="Q609"/>
    </row>
    <row r="610" spans="1:17" x14ac:dyDescent="0.25">
      <c r="A610">
        <v>3</v>
      </c>
      <c r="B610">
        <v>2016</v>
      </c>
      <c r="C610" t="s">
        <v>126</v>
      </c>
      <c r="D610" t="s">
        <v>127</v>
      </c>
      <c r="E610" t="s">
        <v>130</v>
      </c>
      <c r="F610" t="s">
        <v>131</v>
      </c>
      <c r="G610">
        <v>871.2</v>
      </c>
      <c r="H610">
        <v>586.52</v>
      </c>
      <c r="I610">
        <v>631.70000000000005</v>
      </c>
      <c r="J610">
        <v>439.89</v>
      </c>
      <c r="Q610"/>
    </row>
    <row r="611" spans="1:17" x14ac:dyDescent="0.25">
      <c r="A611">
        <v>3</v>
      </c>
      <c r="B611">
        <v>2016</v>
      </c>
      <c r="C611" t="s">
        <v>126</v>
      </c>
      <c r="D611" t="s">
        <v>127</v>
      </c>
      <c r="E611" t="s">
        <v>132</v>
      </c>
      <c r="F611" t="s">
        <v>131</v>
      </c>
      <c r="G611">
        <v>425</v>
      </c>
      <c r="H611">
        <v>260.13</v>
      </c>
      <c r="I611">
        <v>625</v>
      </c>
      <c r="J611">
        <v>380.19</v>
      </c>
      <c r="Q611"/>
    </row>
    <row r="612" spans="1:17" x14ac:dyDescent="0.25">
      <c r="A612">
        <v>3</v>
      </c>
      <c r="B612">
        <v>2016</v>
      </c>
      <c r="C612" t="s">
        <v>126</v>
      </c>
      <c r="D612" t="s">
        <v>127</v>
      </c>
      <c r="E612" t="s">
        <v>133</v>
      </c>
      <c r="F612" t="s">
        <v>134</v>
      </c>
      <c r="G612">
        <v>310.08</v>
      </c>
      <c r="H612">
        <v>114</v>
      </c>
      <c r="I612">
        <v>194.4</v>
      </c>
      <c r="J612">
        <v>72</v>
      </c>
      <c r="Q612"/>
    </row>
    <row r="613" spans="1:17" x14ac:dyDescent="0.25">
      <c r="A613">
        <v>3</v>
      </c>
      <c r="B613">
        <v>2016</v>
      </c>
      <c r="C613" t="s">
        <v>126</v>
      </c>
      <c r="D613" t="s">
        <v>127</v>
      </c>
      <c r="E613" t="s">
        <v>135</v>
      </c>
      <c r="F613" t="s">
        <v>136</v>
      </c>
      <c r="G613">
        <v>165.6</v>
      </c>
      <c r="H613">
        <v>72</v>
      </c>
      <c r="I613">
        <v>202.5</v>
      </c>
      <c r="J613">
        <v>90</v>
      </c>
      <c r="Q613"/>
    </row>
    <row r="614" spans="1:17" x14ac:dyDescent="0.25">
      <c r="A614">
        <v>3</v>
      </c>
      <c r="B614">
        <v>2016</v>
      </c>
      <c r="C614" t="s">
        <v>137</v>
      </c>
      <c r="D614" t="s">
        <v>138</v>
      </c>
      <c r="E614" t="s">
        <v>139</v>
      </c>
      <c r="F614" t="s">
        <v>140</v>
      </c>
      <c r="G614">
        <v>1059.24</v>
      </c>
      <c r="H614">
        <v>162</v>
      </c>
      <c r="I614">
        <v>599.58000000000004</v>
      </c>
      <c r="J614">
        <v>90</v>
      </c>
      <c r="Q614"/>
    </row>
    <row r="615" spans="1:17" x14ac:dyDescent="0.25">
      <c r="A615">
        <v>3</v>
      </c>
      <c r="B615">
        <v>2016</v>
      </c>
      <c r="C615" t="s">
        <v>137</v>
      </c>
      <c r="D615" t="s">
        <v>138</v>
      </c>
      <c r="E615" t="s">
        <v>711</v>
      </c>
      <c r="F615" t="s">
        <v>712</v>
      </c>
      <c r="G615">
        <v>275.39999999999998</v>
      </c>
      <c r="H615">
        <v>36</v>
      </c>
      <c r="Q615"/>
    </row>
    <row r="616" spans="1:17" x14ac:dyDescent="0.25">
      <c r="A616">
        <v>3</v>
      </c>
      <c r="B616">
        <v>2016</v>
      </c>
      <c r="C616" t="s">
        <v>137</v>
      </c>
      <c r="D616" t="s">
        <v>138</v>
      </c>
      <c r="E616" t="s">
        <v>141</v>
      </c>
      <c r="F616" t="s">
        <v>142</v>
      </c>
      <c r="G616">
        <v>399.6</v>
      </c>
      <c r="H616">
        <v>78</v>
      </c>
      <c r="I616">
        <v>199.8</v>
      </c>
      <c r="J616">
        <v>36</v>
      </c>
      <c r="Q616"/>
    </row>
    <row r="617" spans="1:17" x14ac:dyDescent="0.25">
      <c r="A617">
        <v>3</v>
      </c>
      <c r="B617">
        <v>2016</v>
      </c>
      <c r="C617" t="s">
        <v>137</v>
      </c>
      <c r="D617" t="s">
        <v>138</v>
      </c>
      <c r="E617" t="s">
        <v>143</v>
      </c>
      <c r="F617" t="s">
        <v>144</v>
      </c>
      <c r="G617">
        <v>232.8</v>
      </c>
      <c r="H617">
        <v>48</v>
      </c>
      <c r="I617">
        <v>58.2</v>
      </c>
      <c r="J617">
        <v>12</v>
      </c>
      <c r="Q617"/>
    </row>
    <row r="618" spans="1:17" x14ac:dyDescent="0.25">
      <c r="A618">
        <v>3</v>
      </c>
      <c r="B618">
        <v>2016</v>
      </c>
      <c r="C618" t="s">
        <v>137</v>
      </c>
      <c r="D618" t="s">
        <v>138</v>
      </c>
      <c r="E618" t="s">
        <v>145</v>
      </c>
      <c r="F618" t="s">
        <v>146</v>
      </c>
      <c r="G618">
        <v>229.8</v>
      </c>
      <c r="H618">
        <v>66</v>
      </c>
      <c r="Q618"/>
    </row>
    <row r="619" spans="1:17" x14ac:dyDescent="0.25">
      <c r="A619">
        <v>3</v>
      </c>
      <c r="B619">
        <v>2016</v>
      </c>
      <c r="C619" t="s">
        <v>137</v>
      </c>
      <c r="D619" t="s">
        <v>138</v>
      </c>
      <c r="E619" t="s">
        <v>713</v>
      </c>
      <c r="F619" t="s">
        <v>714</v>
      </c>
      <c r="G619">
        <v>0</v>
      </c>
      <c r="H619">
        <v>6</v>
      </c>
      <c r="Q619"/>
    </row>
    <row r="620" spans="1:17" x14ac:dyDescent="0.25">
      <c r="A620">
        <v>3</v>
      </c>
      <c r="B620">
        <v>2016</v>
      </c>
      <c r="C620" t="s">
        <v>137</v>
      </c>
      <c r="D620" t="s">
        <v>138</v>
      </c>
      <c r="E620" t="s">
        <v>147</v>
      </c>
      <c r="F620" t="s">
        <v>148</v>
      </c>
      <c r="G620">
        <v>449.4</v>
      </c>
      <c r="H620">
        <v>48</v>
      </c>
      <c r="I620">
        <v>573.24</v>
      </c>
      <c r="J620">
        <v>60</v>
      </c>
      <c r="Q620"/>
    </row>
    <row r="621" spans="1:17" x14ac:dyDescent="0.25">
      <c r="A621">
        <v>3</v>
      </c>
      <c r="B621">
        <v>2016</v>
      </c>
      <c r="C621" t="s">
        <v>137</v>
      </c>
      <c r="D621" t="s">
        <v>138</v>
      </c>
      <c r="E621" t="s">
        <v>149</v>
      </c>
      <c r="F621" t="s">
        <v>150</v>
      </c>
      <c r="G621">
        <v>2663.04</v>
      </c>
      <c r="H621">
        <v>876</v>
      </c>
      <c r="I621">
        <v>1818.96</v>
      </c>
      <c r="J621">
        <v>624</v>
      </c>
      <c r="Q621"/>
    </row>
    <row r="622" spans="1:17" x14ac:dyDescent="0.25">
      <c r="A622">
        <v>3</v>
      </c>
      <c r="B622">
        <v>2016</v>
      </c>
      <c r="C622" t="s">
        <v>137</v>
      </c>
      <c r="D622" t="s">
        <v>138</v>
      </c>
      <c r="E622" t="s">
        <v>151</v>
      </c>
      <c r="F622" t="s">
        <v>152</v>
      </c>
      <c r="G622">
        <v>599.64</v>
      </c>
      <c r="H622">
        <v>108</v>
      </c>
      <c r="I622">
        <v>434.46</v>
      </c>
      <c r="J622">
        <v>78</v>
      </c>
      <c r="Q622"/>
    </row>
    <row r="623" spans="1:17" x14ac:dyDescent="0.25">
      <c r="A623">
        <v>3</v>
      </c>
      <c r="B623">
        <v>2016</v>
      </c>
      <c r="C623" t="s">
        <v>137</v>
      </c>
      <c r="D623" t="s">
        <v>138</v>
      </c>
      <c r="E623" t="s">
        <v>153</v>
      </c>
      <c r="F623" t="s">
        <v>154</v>
      </c>
      <c r="G623">
        <v>447.12</v>
      </c>
      <c r="H623">
        <v>108</v>
      </c>
      <c r="I623">
        <v>273.24</v>
      </c>
      <c r="J623">
        <v>66</v>
      </c>
      <c r="Q623"/>
    </row>
    <row r="624" spans="1:17" x14ac:dyDescent="0.25">
      <c r="A624">
        <v>3</v>
      </c>
      <c r="B624">
        <v>2016</v>
      </c>
      <c r="C624" t="s">
        <v>155</v>
      </c>
      <c r="D624" t="s">
        <v>156</v>
      </c>
      <c r="E624" t="s">
        <v>157</v>
      </c>
      <c r="F624" t="s">
        <v>158</v>
      </c>
      <c r="G624">
        <v>760.5</v>
      </c>
      <c r="H624">
        <v>240</v>
      </c>
      <c r="I624">
        <v>195</v>
      </c>
      <c r="J624">
        <v>60</v>
      </c>
      <c r="Q624"/>
    </row>
    <row r="625" spans="1:17" x14ac:dyDescent="0.25">
      <c r="A625">
        <v>3</v>
      </c>
      <c r="B625">
        <v>2016</v>
      </c>
      <c r="C625" t="s">
        <v>155</v>
      </c>
      <c r="D625" t="s">
        <v>156</v>
      </c>
      <c r="E625" t="s">
        <v>159</v>
      </c>
      <c r="F625" t="s">
        <v>160</v>
      </c>
      <c r="G625">
        <v>100.8</v>
      </c>
      <c r="H625">
        <v>36</v>
      </c>
      <c r="I625">
        <v>134.4</v>
      </c>
      <c r="J625">
        <v>48</v>
      </c>
      <c r="Q625"/>
    </row>
    <row r="626" spans="1:17" x14ac:dyDescent="0.25">
      <c r="A626">
        <v>3</v>
      </c>
      <c r="B626">
        <v>2016</v>
      </c>
      <c r="C626" t="s">
        <v>155</v>
      </c>
      <c r="D626" t="s">
        <v>156</v>
      </c>
      <c r="E626" t="s">
        <v>161</v>
      </c>
      <c r="F626" t="s">
        <v>162</v>
      </c>
      <c r="G626">
        <v>91.2</v>
      </c>
      <c r="H626">
        <v>53.32</v>
      </c>
      <c r="Q626"/>
    </row>
    <row r="627" spans="1:17" x14ac:dyDescent="0.25">
      <c r="A627">
        <v>3</v>
      </c>
      <c r="B627">
        <v>2016</v>
      </c>
      <c r="C627" t="s">
        <v>155</v>
      </c>
      <c r="D627" t="s">
        <v>156</v>
      </c>
      <c r="E627" t="s">
        <v>163</v>
      </c>
      <c r="F627" t="s">
        <v>164</v>
      </c>
      <c r="G627">
        <v>580.1</v>
      </c>
      <c r="H627">
        <v>286.81</v>
      </c>
      <c r="I627">
        <v>385.7</v>
      </c>
      <c r="J627">
        <v>193.43</v>
      </c>
      <c r="Q627"/>
    </row>
    <row r="628" spans="1:17" x14ac:dyDescent="0.25">
      <c r="A628">
        <v>3</v>
      </c>
      <c r="B628">
        <v>2016</v>
      </c>
      <c r="C628" t="s">
        <v>155</v>
      </c>
      <c r="D628" t="s">
        <v>156</v>
      </c>
      <c r="E628" t="s">
        <v>165</v>
      </c>
      <c r="F628" t="s">
        <v>166</v>
      </c>
      <c r="G628">
        <v>720.9</v>
      </c>
      <c r="H628">
        <v>162</v>
      </c>
      <c r="I628">
        <v>293.7</v>
      </c>
      <c r="J628">
        <v>66</v>
      </c>
      <c r="Q628"/>
    </row>
    <row r="629" spans="1:17" x14ac:dyDescent="0.25">
      <c r="A629">
        <v>3</v>
      </c>
      <c r="B629">
        <v>2016</v>
      </c>
      <c r="C629" t="s">
        <v>167</v>
      </c>
      <c r="D629" t="s">
        <v>168</v>
      </c>
      <c r="E629" t="s">
        <v>800</v>
      </c>
      <c r="F629" t="s">
        <v>801</v>
      </c>
      <c r="G629">
        <v>519</v>
      </c>
      <c r="H629">
        <v>300</v>
      </c>
      <c r="I629">
        <v>30.6</v>
      </c>
      <c r="J629">
        <v>18</v>
      </c>
      <c r="Q629"/>
    </row>
    <row r="630" spans="1:17" x14ac:dyDescent="0.25">
      <c r="A630">
        <v>3</v>
      </c>
      <c r="B630">
        <v>2016</v>
      </c>
      <c r="C630" t="s">
        <v>175</v>
      </c>
      <c r="D630" t="s">
        <v>176</v>
      </c>
      <c r="E630" t="s">
        <v>177</v>
      </c>
      <c r="F630" t="s">
        <v>178</v>
      </c>
      <c r="G630">
        <v>3316.08</v>
      </c>
      <c r="H630">
        <v>822</v>
      </c>
      <c r="I630">
        <v>1674.6</v>
      </c>
      <c r="J630">
        <v>426</v>
      </c>
      <c r="Q630"/>
    </row>
    <row r="631" spans="1:17" x14ac:dyDescent="0.25">
      <c r="A631">
        <v>3</v>
      </c>
      <c r="B631">
        <v>2016</v>
      </c>
      <c r="C631" t="s">
        <v>175</v>
      </c>
      <c r="D631" t="s">
        <v>176</v>
      </c>
      <c r="E631" t="s">
        <v>179</v>
      </c>
      <c r="F631" t="s">
        <v>178</v>
      </c>
      <c r="G631">
        <v>91.08</v>
      </c>
      <c r="H631">
        <v>18</v>
      </c>
      <c r="I631">
        <v>676.8</v>
      </c>
      <c r="J631">
        <v>138</v>
      </c>
      <c r="Q631"/>
    </row>
    <row r="632" spans="1:17" x14ac:dyDescent="0.25">
      <c r="A632">
        <v>3</v>
      </c>
      <c r="B632">
        <v>2016</v>
      </c>
      <c r="C632" t="s">
        <v>175</v>
      </c>
      <c r="D632" t="s">
        <v>176</v>
      </c>
      <c r="E632" t="s">
        <v>180</v>
      </c>
      <c r="F632" t="s">
        <v>181</v>
      </c>
      <c r="G632">
        <v>1592.64</v>
      </c>
      <c r="H632">
        <v>438</v>
      </c>
      <c r="I632">
        <v>362.46</v>
      </c>
      <c r="J632">
        <v>102</v>
      </c>
      <c r="Q632"/>
    </row>
    <row r="633" spans="1:17" x14ac:dyDescent="0.25">
      <c r="A633">
        <v>3</v>
      </c>
      <c r="B633">
        <v>2016</v>
      </c>
      <c r="C633" t="s">
        <v>183</v>
      </c>
      <c r="D633" t="s">
        <v>184</v>
      </c>
      <c r="E633" t="s">
        <v>185</v>
      </c>
      <c r="F633" t="s">
        <v>186</v>
      </c>
      <c r="G633">
        <v>525.6</v>
      </c>
      <c r="H633">
        <v>180</v>
      </c>
      <c r="I633">
        <v>487.2</v>
      </c>
      <c r="J633">
        <v>180</v>
      </c>
      <c r="Q633"/>
    </row>
    <row r="634" spans="1:17" x14ac:dyDescent="0.25">
      <c r="A634">
        <v>3</v>
      </c>
      <c r="B634">
        <v>2016</v>
      </c>
      <c r="C634" t="s">
        <v>183</v>
      </c>
      <c r="D634" t="s">
        <v>184</v>
      </c>
      <c r="E634" t="s">
        <v>802</v>
      </c>
      <c r="F634" t="s">
        <v>803</v>
      </c>
      <c r="G634">
        <v>88.5</v>
      </c>
      <c r="H634">
        <v>30</v>
      </c>
      <c r="I634">
        <v>0</v>
      </c>
      <c r="J634">
        <v>6</v>
      </c>
      <c r="Q634"/>
    </row>
    <row r="635" spans="1:17" x14ac:dyDescent="0.25">
      <c r="A635">
        <v>3</v>
      </c>
      <c r="B635">
        <v>2016</v>
      </c>
      <c r="C635" t="s">
        <v>183</v>
      </c>
      <c r="D635" t="s">
        <v>184</v>
      </c>
      <c r="E635" t="s">
        <v>717</v>
      </c>
      <c r="F635" t="s">
        <v>718</v>
      </c>
      <c r="G635">
        <v>87.55</v>
      </c>
      <c r="H635">
        <v>93.31</v>
      </c>
      <c r="I635">
        <v>197.2</v>
      </c>
      <c r="J635">
        <v>213.28</v>
      </c>
      <c r="Q635"/>
    </row>
    <row r="636" spans="1:17" x14ac:dyDescent="0.25">
      <c r="A636">
        <v>3</v>
      </c>
      <c r="B636">
        <v>2016</v>
      </c>
      <c r="C636" t="s">
        <v>183</v>
      </c>
      <c r="D636" t="s">
        <v>184</v>
      </c>
      <c r="E636" t="s">
        <v>187</v>
      </c>
      <c r="F636" t="s">
        <v>188</v>
      </c>
      <c r="G636">
        <v>21.6</v>
      </c>
      <c r="H636">
        <v>26.68</v>
      </c>
      <c r="I636">
        <v>149.19999999999999</v>
      </c>
      <c r="J636">
        <v>146.74</v>
      </c>
      <c r="Q636"/>
    </row>
    <row r="637" spans="1:17" x14ac:dyDescent="0.25">
      <c r="A637">
        <v>3</v>
      </c>
      <c r="B637">
        <v>2016</v>
      </c>
      <c r="C637" t="s">
        <v>189</v>
      </c>
      <c r="D637" t="s">
        <v>190</v>
      </c>
      <c r="E637" t="s">
        <v>191</v>
      </c>
      <c r="F637" t="s">
        <v>192</v>
      </c>
      <c r="G637">
        <v>342</v>
      </c>
      <c r="H637">
        <v>90</v>
      </c>
      <c r="I637">
        <v>266.39999999999998</v>
      </c>
      <c r="J637">
        <v>78</v>
      </c>
      <c r="Q637"/>
    </row>
    <row r="638" spans="1:17" x14ac:dyDescent="0.25">
      <c r="A638">
        <v>3</v>
      </c>
      <c r="B638">
        <v>2016</v>
      </c>
      <c r="C638" t="s">
        <v>189</v>
      </c>
      <c r="D638" t="s">
        <v>190</v>
      </c>
      <c r="E638" t="s">
        <v>193</v>
      </c>
      <c r="F638" t="s">
        <v>194</v>
      </c>
      <c r="G638">
        <v>28.5</v>
      </c>
      <c r="H638">
        <v>6</v>
      </c>
      <c r="I638">
        <v>54.6</v>
      </c>
      <c r="J638">
        <v>18</v>
      </c>
      <c r="Q638"/>
    </row>
    <row r="639" spans="1:17" x14ac:dyDescent="0.25">
      <c r="A639">
        <v>3</v>
      </c>
      <c r="B639">
        <v>2016</v>
      </c>
      <c r="C639" t="s">
        <v>195</v>
      </c>
      <c r="D639" t="s">
        <v>196</v>
      </c>
      <c r="E639" t="s">
        <v>201</v>
      </c>
      <c r="F639" t="s">
        <v>202</v>
      </c>
      <c r="G639">
        <v>26.52</v>
      </c>
      <c r="H639">
        <v>12</v>
      </c>
      <c r="I639">
        <v>530.4</v>
      </c>
      <c r="J639">
        <v>240</v>
      </c>
      <c r="Q639"/>
    </row>
    <row r="640" spans="1:17" x14ac:dyDescent="0.25">
      <c r="A640">
        <v>3</v>
      </c>
      <c r="B640">
        <v>2016</v>
      </c>
      <c r="C640" t="s">
        <v>207</v>
      </c>
      <c r="D640" t="s">
        <v>208</v>
      </c>
      <c r="E640" t="s">
        <v>209</v>
      </c>
      <c r="F640" t="s">
        <v>210</v>
      </c>
      <c r="G640">
        <v>2847</v>
      </c>
      <c r="H640">
        <v>780</v>
      </c>
      <c r="I640">
        <v>2376</v>
      </c>
      <c r="J640">
        <v>666</v>
      </c>
      <c r="Q640"/>
    </row>
    <row r="641" spans="1:17" x14ac:dyDescent="0.25">
      <c r="A641">
        <v>3</v>
      </c>
      <c r="B641">
        <v>2016</v>
      </c>
      <c r="C641" t="s">
        <v>207</v>
      </c>
      <c r="D641" t="s">
        <v>208</v>
      </c>
      <c r="E641" t="s">
        <v>211</v>
      </c>
      <c r="F641" t="s">
        <v>212</v>
      </c>
      <c r="G641">
        <v>524.4</v>
      </c>
      <c r="H641">
        <v>260.13</v>
      </c>
      <c r="I641">
        <v>762.7</v>
      </c>
      <c r="J641">
        <v>393.53</v>
      </c>
      <c r="Q641"/>
    </row>
    <row r="642" spans="1:17" x14ac:dyDescent="0.25">
      <c r="A642">
        <v>3</v>
      </c>
      <c r="B642">
        <v>2016</v>
      </c>
      <c r="C642" t="s">
        <v>207</v>
      </c>
      <c r="D642" t="s">
        <v>208</v>
      </c>
      <c r="E642" t="s">
        <v>213</v>
      </c>
      <c r="F642" t="s">
        <v>212</v>
      </c>
      <c r="G642">
        <v>132.25</v>
      </c>
      <c r="H642">
        <v>66.650000000000006</v>
      </c>
      <c r="I642">
        <v>126</v>
      </c>
      <c r="J642">
        <v>66.650000000000006</v>
      </c>
      <c r="Q642"/>
    </row>
    <row r="643" spans="1:17" x14ac:dyDescent="0.25">
      <c r="A643">
        <v>3</v>
      </c>
      <c r="B643">
        <v>2016</v>
      </c>
      <c r="C643" t="s">
        <v>207</v>
      </c>
      <c r="D643" t="s">
        <v>208</v>
      </c>
      <c r="E643" t="s">
        <v>216</v>
      </c>
      <c r="F643" t="s">
        <v>215</v>
      </c>
      <c r="G643">
        <v>195.6</v>
      </c>
      <c r="H643">
        <v>48</v>
      </c>
      <c r="Q643"/>
    </row>
    <row r="644" spans="1:17" x14ac:dyDescent="0.25">
      <c r="A644">
        <v>3</v>
      </c>
      <c r="B644">
        <v>2016</v>
      </c>
      <c r="C644" t="s">
        <v>207</v>
      </c>
      <c r="D644" t="s">
        <v>208</v>
      </c>
      <c r="E644" t="s">
        <v>217</v>
      </c>
      <c r="F644" t="s">
        <v>218</v>
      </c>
      <c r="G644">
        <v>91.8</v>
      </c>
      <c r="H644">
        <v>18</v>
      </c>
      <c r="I644">
        <v>178.2</v>
      </c>
      <c r="J644">
        <v>36</v>
      </c>
      <c r="Q644"/>
    </row>
    <row r="645" spans="1:17" x14ac:dyDescent="0.25">
      <c r="A645">
        <v>3</v>
      </c>
      <c r="B645">
        <v>2016</v>
      </c>
      <c r="C645" t="s">
        <v>207</v>
      </c>
      <c r="D645" t="s">
        <v>208</v>
      </c>
      <c r="E645" t="s">
        <v>804</v>
      </c>
      <c r="F645" t="s">
        <v>805</v>
      </c>
      <c r="G645">
        <v>49.2</v>
      </c>
      <c r="H645">
        <v>6</v>
      </c>
      <c r="I645">
        <v>49.2</v>
      </c>
      <c r="J645">
        <v>6</v>
      </c>
      <c r="Q645"/>
    </row>
    <row r="646" spans="1:17" x14ac:dyDescent="0.25">
      <c r="A646">
        <v>3</v>
      </c>
      <c r="B646">
        <v>2016</v>
      </c>
      <c r="C646" t="s">
        <v>219</v>
      </c>
      <c r="D646" t="s">
        <v>220</v>
      </c>
      <c r="E646" t="s">
        <v>223</v>
      </c>
      <c r="F646" t="s">
        <v>224</v>
      </c>
      <c r="G646">
        <v>138.6</v>
      </c>
      <c r="H646">
        <v>12</v>
      </c>
      <c r="Q646"/>
    </row>
    <row r="647" spans="1:17" x14ac:dyDescent="0.25">
      <c r="A647">
        <v>3</v>
      </c>
      <c r="B647">
        <v>2016</v>
      </c>
      <c r="C647" t="s">
        <v>219</v>
      </c>
      <c r="D647" t="s">
        <v>220</v>
      </c>
      <c r="E647" t="s">
        <v>725</v>
      </c>
      <c r="F647" t="s">
        <v>726</v>
      </c>
      <c r="G647">
        <v>105</v>
      </c>
      <c r="H647">
        <v>12</v>
      </c>
      <c r="I647">
        <v>410.4</v>
      </c>
      <c r="J647">
        <v>60</v>
      </c>
      <c r="Q647"/>
    </row>
    <row r="648" spans="1:17" x14ac:dyDescent="0.25">
      <c r="A648">
        <v>3</v>
      </c>
      <c r="B648">
        <v>2016</v>
      </c>
      <c r="C648" t="s">
        <v>219</v>
      </c>
      <c r="D648" t="s">
        <v>220</v>
      </c>
      <c r="E648" t="s">
        <v>225</v>
      </c>
      <c r="F648" t="s">
        <v>226</v>
      </c>
      <c r="G648">
        <v>954.3</v>
      </c>
      <c r="H648">
        <v>114</v>
      </c>
      <c r="Q648"/>
    </row>
    <row r="649" spans="1:17" x14ac:dyDescent="0.25">
      <c r="A649">
        <v>3</v>
      </c>
      <c r="B649">
        <v>2016</v>
      </c>
      <c r="C649" t="s">
        <v>231</v>
      </c>
      <c r="D649" t="s">
        <v>232</v>
      </c>
      <c r="E649" t="s">
        <v>233</v>
      </c>
      <c r="F649" t="s">
        <v>234</v>
      </c>
      <c r="G649">
        <v>216</v>
      </c>
      <c r="H649">
        <v>48</v>
      </c>
      <c r="I649">
        <v>713.4</v>
      </c>
      <c r="J649">
        <v>174</v>
      </c>
      <c r="Q649"/>
    </row>
    <row r="650" spans="1:17" x14ac:dyDescent="0.25">
      <c r="A650">
        <v>3</v>
      </c>
      <c r="B650">
        <v>2016</v>
      </c>
      <c r="C650" t="s">
        <v>231</v>
      </c>
      <c r="D650" t="s">
        <v>232</v>
      </c>
      <c r="E650" t="s">
        <v>235</v>
      </c>
      <c r="F650" t="s">
        <v>236</v>
      </c>
      <c r="G650">
        <v>82.8</v>
      </c>
      <c r="H650">
        <v>12</v>
      </c>
      <c r="I650">
        <v>806.4</v>
      </c>
      <c r="J650">
        <v>126</v>
      </c>
      <c r="Q650"/>
    </row>
    <row r="651" spans="1:17" x14ac:dyDescent="0.25">
      <c r="A651">
        <v>3</v>
      </c>
      <c r="B651">
        <v>2016</v>
      </c>
      <c r="C651" t="s">
        <v>231</v>
      </c>
      <c r="D651" t="s">
        <v>232</v>
      </c>
      <c r="E651" t="s">
        <v>237</v>
      </c>
      <c r="F651" t="s">
        <v>238</v>
      </c>
      <c r="G651">
        <v>336</v>
      </c>
      <c r="H651">
        <v>90</v>
      </c>
      <c r="I651">
        <v>906</v>
      </c>
      <c r="J651">
        <v>264</v>
      </c>
      <c r="Q651"/>
    </row>
    <row r="652" spans="1:17" x14ac:dyDescent="0.25">
      <c r="A652">
        <v>3</v>
      </c>
      <c r="B652">
        <v>2016</v>
      </c>
      <c r="C652" t="s">
        <v>231</v>
      </c>
      <c r="D652" t="s">
        <v>232</v>
      </c>
      <c r="E652" t="s">
        <v>239</v>
      </c>
      <c r="F652" t="s">
        <v>240</v>
      </c>
      <c r="G652">
        <v>135</v>
      </c>
      <c r="H652">
        <v>18</v>
      </c>
      <c r="Q652"/>
    </row>
    <row r="653" spans="1:17" x14ac:dyDescent="0.25">
      <c r="A653">
        <v>3</v>
      </c>
      <c r="B653">
        <v>2016</v>
      </c>
      <c r="C653" t="s">
        <v>241</v>
      </c>
      <c r="D653" t="s">
        <v>242</v>
      </c>
      <c r="E653" t="s">
        <v>243</v>
      </c>
      <c r="F653" t="s">
        <v>244</v>
      </c>
      <c r="G653">
        <v>910.8</v>
      </c>
      <c r="H653">
        <v>162</v>
      </c>
      <c r="I653">
        <v>1023</v>
      </c>
      <c r="J653">
        <v>192</v>
      </c>
      <c r="Q653"/>
    </row>
    <row r="654" spans="1:17" x14ac:dyDescent="0.25">
      <c r="A654">
        <v>3</v>
      </c>
      <c r="B654">
        <v>2016</v>
      </c>
      <c r="C654" t="s">
        <v>241</v>
      </c>
      <c r="D654" t="s">
        <v>242</v>
      </c>
      <c r="E654" t="s">
        <v>806</v>
      </c>
      <c r="F654" t="s">
        <v>807</v>
      </c>
      <c r="G654">
        <v>213.6</v>
      </c>
      <c r="H654">
        <v>36</v>
      </c>
      <c r="Q654"/>
    </row>
    <row r="655" spans="1:17" x14ac:dyDescent="0.25">
      <c r="A655">
        <v>3</v>
      </c>
      <c r="B655">
        <v>2016</v>
      </c>
      <c r="C655" t="s">
        <v>245</v>
      </c>
      <c r="D655" t="s">
        <v>246</v>
      </c>
      <c r="E655" t="s">
        <v>247</v>
      </c>
      <c r="F655" t="s">
        <v>248</v>
      </c>
      <c r="G655">
        <v>140.69999999999999</v>
      </c>
      <c r="H655">
        <v>48</v>
      </c>
      <c r="I655">
        <v>59.4</v>
      </c>
      <c r="J655">
        <v>24</v>
      </c>
      <c r="Q655"/>
    </row>
    <row r="656" spans="1:17" x14ac:dyDescent="0.25">
      <c r="A656">
        <v>3</v>
      </c>
      <c r="B656">
        <v>2016</v>
      </c>
      <c r="C656" t="s">
        <v>245</v>
      </c>
      <c r="D656" t="s">
        <v>246</v>
      </c>
      <c r="E656" t="s">
        <v>808</v>
      </c>
      <c r="F656" t="s">
        <v>248</v>
      </c>
      <c r="G656">
        <v>252</v>
      </c>
      <c r="H656">
        <v>60</v>
      </c>
      <c r="Q656"/>
    </row>
    <row r="657" spans="1:17" x14ac:dyDescent="0.25">
      <c r="A657">
        <v>3</v>
      </c>
      <c r="B657">
        <v>2016</v>
      </c>
      <c r="C657" t="s">
        <v>245</v>
      </c>
      <c r="D657" t="s">
        <v>246</v>
      </c>
      <c r="E657" t="s">
        <v>729</v>
      </c>
      <c r="F657" t="s">
        <v>730</v>
      </c>
      <c r="G657">
        <v>13.5</v>
      </c>
      <c r="H657">
        <v>6</v>
      </c>
      <c r="I657">
        <v>27</v>
      </c>
      <c r="J657">
        <v>18</v>
      </c>
      <c r="Q657"/>
    </row>
    <row r="658" spans="1:17" x14ac:dyDescent="0.25">
      <c r="A658">
        <v>3</v>
      </c>
      <c r="B658">
        <v>2016</v>
      </c>
      <c r="C658" t="s">
        <v>245</v>
      </c>
      <c r="D658" t="s">
        <v>246</v>
      </c>
      <c r="E658" t="s">
        <v>249</v>
      </c>
      <c r="F658" t="s">
        <v>250</v>
      </c>
      <c r="G658">
        <v>591.6</v>
      </c>
      <c r="H658">
        <v>204</v>
      </c>
      <c r="I658">
        <v>1231.2</v>
      </c>
      <c r="J658">
        <v>432</v>
      </c>
      <c r="Q658"/>
    </row>
    <row r="659" spans="1:17" x14ac:dyDescent="0.25">
      <c r="A659">
        <v>3</v>
      </c>
      <c r="B659">
        <v>2016</v>
      </c>
      <c r="C659" t="s">
        <v>245</v>
      </c>
      <c r="D659" t="s">
        <v>246</v>
      </c>
      <c r="E659" t="s">
        <v>251</v>
      </c>
      <c r="F659" t="s">
        <v>250</v>
      </c>
      <c r="G659">
        <v>111</v>
      </c>
      <c r="H659">
        <v>30</v>
      </c>
      <c r="I659">
        <v>259.2</v>
      </c>
      <c r="J659">
        <v>72</v>
      </c>
      <c r="Q659"/>
    </row>
    <row r="660" spans="1:17" x14ac:dyDescent="0.25">
      <c r="A660">
        <v>3</v>
      </c>
      <c r="B660">
        <v>2016</v>
      </c>
      <c r="C660" t="s">
        <v>245</v>
      </c>
      <c r="D660" t="s">
        <v>246</v>
      </c>
      <c r="E660" t="s">
        <v>252</v>
      </c>
      <c r="F660" t="s">
        <v>253</v>
      </c>
      <c r="G660">
        <v>1093.5</v>
      </c>
      <c r="H660">
        <v>486</v>
      </c>
      <c r="I660">
        <v>1098</v>
      </c>
      <c r="J660">
        <v>516</v>
      </c>
      <c r="Q660"/>
    </row>
    <row r="661" spans="1:17" x14ac:dyDescent="0.25">
      <c r="A661">
        <v>3</v>
      </c>
      <c r="B661">
        <v>2016</v>
      </c>
      <c r="C661" t="s">
        <v>245</v>
      </c>
      <c r="D661" t="s">
        <v>246</v>
      </c>
      <c r="E661" t="s">
        <v>809</v>
      </c>
      <c r="F661" t="s">
        <v>253</v>
      </c>
      <c r="G661">
        <v>39.6</v>
      </c>
      <c r="H661">
        <v>12</v>
      </c>
      <c r="Q661"/>
    </row>
    <row r="662" spans="1:17" x14ac:dyDescent="0.25">
      <c r="A662">
        <v>3</v>
      </c>
      <c r="B662">
        <v>2016</v>
      </c>
      <c r="C662" t="s">
        <v>254</v>
      </c>
      <c r="D662" t="s">
        <v>255</v>
      </c>
      <c r="E662" t="s">
        <v>256</v>
      </c>
      <c r="F662" t="s">
        <v>257</v>
      </c>
      <c r="G662">
        <v>1735.5</v>
      </c>
      <c r="H662">
        <v>534</v>
      </c>
      <c r="I662">
        <v>1494.6</v>
      </c>
      <c r="J662">
        <v>474</v>
      </c>
      <c r="Q662"/>
    </row>
    <row r="663" spans="1:17" x14ac:dyDescent="0.25">
      <c r="A663">
        <v>3</v>
      </c>
      <c r="B663">
        <v>2016</v>
      </c>
      <c r="C663" t="s">
        <v>254</v>
      </c>
      <c r="D663" t="s">
        <v>255</v>
      </c>
      <c r="E663" t="s">
        <v>258</v>
      </c>
      <c r="F663" t="s">
        <v>259</v>
      </c>
      <c r="G663">
        <v>312</v>
      </c>
      <c r="H663">
        <v>96</v>
      </c>
      <c r="I663">
        <v>76.8</v>
      </c>
      <c r="J663">
        <v>30</v>
      </c>
      <c r="Q663"/>
    </row>
    <row r="664" spans="1:17" x14ac:dyDescent="0.25">
      <c r="A664">
        <v>3</v>
      </c>
      <c r="B664">
        <v>2016</v>
      </c>
      <c r="C664" t="s">
        <v>254</v>
      </c>
      <c r="D664" t="s">
        <v>255</v>
      </c>
      <c r="E664" t="s">
        <v>260</v>
      </c>
      <c r="F664" t="s">
        <v>261</v>
      </c>
      <c r="G664">
        <v>290.39999999999998</v>
      </c>
      <c r="H664">
        <v>72</v>
      </c>
      <c r="I664">
        <v>52.8</v>
      </c>
      <c r="J664">
        <v>18</v>
      </c>
      <c r="Q664"/>
    </row>
    <row r="665" spans="1:17" x14ac:dyDescent="0.25">
      <c r="A665">
        <v>3</v>
      </c>
      <c r="B665">
        <v>2016</v>
      </c>
      <c r="C665" t="s">
        <v>254</v>
      </c>
      <c r="D665" t="s">
        <v>255</v>
      </c>
      <c r="E665" t="s">
        <v>732</v>
      </c>
      <c r="F665" t="s">
        <v>733</v>
      </c>
      <c r="G665">
        <v>390</v>
      </c>
      <c r="H665">
        <v>66</v>
      </c>
      <c r="I665">
        <v>156</v>
      </c>
      <c r="J665">
        <v>30</v>
      </c>
      <c r="Q665"/>
    </row>
    <row r="666" spans="1:17" x14ac:dyDescent="0.25">
      <c r="A666">
        <v>3</v>
      </c>
      <c r="B666">
        <v>2016</v>
      </c>
      <c r="C666" t="s">
        <v>262</v>
      </c>
      <c r="D666" t="s">
        <v>263</v>
      </c>
      <c r="E666" t="s">
        <v>264</v>
      </c>
      <c r="F666" t="s">
        <v>265</v>
      </c>
      <c r="G666">
        <v>2721.6</v>
      </c>
      <c r="H666">
        <v>486</v>
      </c>
      <c r="I666">
        <v>4489.1000000000004</v>
      </c>
      <c r="J666">
        <v>810</v>
      </c>
      <c r="Q666"/>
    </row>
    <row r="667" spans="1:17" x14ac:dyDescent="0.25">
      <c r="A667">
        <v>3</v>
      </c>
      <c r="B667">
        <v>2016</v>
      </c>
      <c r="C667" t="s">
        <v>262</v>
      </c>
      <c r="D667" t="s">
        <v>263</v>
      </c>
      <c r="E667" t="s">
        <v>810</v>
      </c>
      <c r="F667" t="s">
        <v>811</v>
      </c>
      <c r="G667">
        <v>226.8</v>
      </c>
      <c r="H667">
        <v>24</v>
      </c>
      <c r="Q667"/>
    </row>
    <row r="668" spans="1:17" x14ac:dyDescent="0.25">
      <c r="A668">
        <v>3</v>
      </c>
      <c r="B668">
        <v>2016</v>
      </c>
      <c r="C668" t="s">
        <v>262</v>
      </c>
      <c r="D668" t="s">
        <v>263</v>
      </c>
      <c r="E668" t="s">
        <v>266</v>
      </c>
      <c r="F668" t="s">
        <v>267</v>
      </c>
      <c r="G668">
        <v>6023.7</v>
      </c>
      <c r="H668">
        <v>762</v>
      </c>
      <c r="Q668"/>
    </row>
    <row r="669" spans="1:17" x14ac:dyDescent="0.25">
      <c r="A669">
        <v>3</v>
      </c>
      <c r="B669">
        <v>2016</v>
      </c>
      <c r="C669" t="s">
        <v>262</v>
      </c>
      <c r="D669" t="s">
        <v>263</v>
      </c>
      <c r="E669" t="s">
        <v>268</v>
      </c>
      <c r="F669" t="s">
        <v>269</v>
      </c>
      <c r="G669">
        <v>152.4</v>
      </c>
      <c r="H669">
        <v>24</v>
      </c>
      <c r="I669">
        <v>457.2</v>
      </c>
      <c r="J669">
        <v>72</v>
      </c>
      <c r="Q669"/>
    </row>
    <row r="670" spans="1:17" x14ac:dyDescent="0.25">
      <c r="A670">
        <v>3</v>
      </c>
      <c r="B670">
        <v>2016</v>
      </c>
      <c r="C670" t="s">
        <v>262</v>
      </c>
      <c r="D670" t="s">
        <v>263</v>
      </c>
      <c r="E670" t="s">
        <v>270</v>
      </c>
      <c r="F670" t="s">
        <v>271</v>
      </c>
      <c r="G670">
        <v>424.8</v>
      </c>
      <c r="H670">
        <v>48</v>
      </c>
      <c r="I670">
        <v>834</v>
      </c>
      <c r="J670">
        <v>96</v>
      </c>
      <c r="Q670"/>
    </row>
    <row r="671" spans="1:17" x14ac:dyDescent="0.25">
      <c r="A671">
        <v>3</v>
      </c>
      <c r="B671">
        <v>2016</v>
      </c>
      <c r="C671" t="s">
        <v>262</v>
      </c>
      <c r="D671" t="s">
        <v>263</v>
      </c>
      <c r="E671" t="s">
        <v>812</v>
      </c>
      <c r="F671" t="s">
        <v>813</v>
      </c>
      <c r="G671">
        <v>158.4</v>
      </c>
      <c r="H671">
        <v>24</v>
      </c>
      <c r="I671">
        <v>71.3</v>
      </c>
      <c r="J671">
        <v>12</v>
      </c>
      <c r="Q671"/>
    </row>
    <row r="672" spans="1:17" x14ac:dyDescent="0.25">
      <c r="A672">
        <v>3</v>
      </c>
      <c r="B672">
        <v>2016</v>
      </c>
      <c r="C672" t="s">
        <v>272</v>
      </c>
      <c r="D672" t="s">
        <v>273</v>
      </c>
      <c r="E672" t="s">
        <v>274</v>
      </c>
      <c r="F672" t="s">
        <v>275</v>
      </c>
      <c r="G672">
        <v>117.9</v>
      </c>
      <c r="H672">
        <v>12</v>
      </c>
      <c r="I672">
        <v>117.9</v>
      </c>
      <c r="J672">
        <v>12</v>
      </c>
      <c r="Q672"/>
    </row>
    <row r="673" spans="1:17" x14ac:dyDescent="0.25">
      <c r="A673">
        <v>3</v>
      </c>
      <c r="B673">
        <v>2016</v>
      </c>
      <c r="C673" t="s">
        <v>272</v>
      </c>
      <c r="D673" t="s">
        <v>273</v>
      </c>
      <c r="E673" t="s">
        <v>276</v>
      </c>
      <c r="F673" t="s">
        <v>277</v>
      </c>
      <c r="G673">
        <v>518.4</v>
      </c>
      <c r="H673">
        <v>54</v>
      </c>
      <c r="I673">
        <v>1612.8</v>
      </c>
      <c r="J673">
        <v>168</v>
      </c>
      <c r="Q673"/>
    </row>
    <row r="674" spans="1:17" x14ac:dyDescent="0.25">
      <c r="A674">
        <v>3</v>
      </c>
      <c r="B674">
        <v>2016</v>
      </c>
      <c r="C674" t="s">
        <v>272</v>
      </c>
      <c r="D674" t="s">
        <v>273</v>
      </c>
      <c r="E674" t="s">
        <v>278</v>
      </c>
      <c r="F674" t="s">
        <v>279</v>
      </c>
      <c r="G674">
        <v>167.16</v>
      </c>
      <c r="H674">
        <v>84</v>
      </c>
      <c r="I674">
        <v>413.4</v>
      </c>
      <c r="J674">
        <v>162</v>
      </c>
      <c r="Q674"/>
    </row>
    <row r="675" spans="1:17" x14ac:dyDescent="0.25">
      <c r="A675">
        <v>3</v>
      </c>
      <c r="B675">
        <v>2016</v>
      </c>
      <c r="C675" t="s">
        <v>272</v>
      </c>
      <c r="D675" t="s">
        <v>273</v>
      </c>
      <c r="E675" t="s">
        <v>280</v>
      </c>
      <c r="F675" t="s">
        <v>281</v>
      </c>
      <c r="G675">
        <v>411</v>
      </c>
      <c r="H675">
        <v>60</v>
      </c>
      <c r="I675">
        <v>780.9</v>
      </c>
      <c r="J675">
        <v>114</v>
      </c>
      <c r="Q675"/>
    </row>
    <row r="676" spans="1:17" x14ac:dyDescent="0.25">
      <c r="A676">
        <v>3</v>
      </c>
      <c r="B676">
        <v>2016</v>
      </c>
      <c r="C676" t="s">
        <v>272</v>
      </c>
      <c r="D676" t="s">
        <v>273</v>
      </c>
      <c r="E676" t="s">
        <v>284</v>
      </c>
      <c r="F676" t="s">
        <v>285</v>
      </c>
      <c r="G676">
        <v>71.400000000000006</v>
      </c>
      <c r="H676">
        <v>12</v>
      </c>
      <c r="Q676"/>
    </row>
    <row r="677" spans="1:17" x14ac:dyDescent="0.25">
      <c r="A677">
        <v>3</v>
      </c>
      <c r="B677">
        <v>2016</v>
      </c>
      <c r="C677" t="s">
        <v>272</v>
      </c>
      <c r="D677" t="s">
        <v>273</v>
      </c>
      <c r="E677" t="s">
        <v>814</v>
      </c>
      <c r="F677" t="s">
        <v>287</v>
      </c>
      <c r="G677">
        <v>41.1</v>
      </c>
      <c r="H677">
        <v>6</v>
      </c>
      <c r="I677">
        <v>246.6</v>
      </c>
      <c r="J677">
        <v>36</v>
      </c>
      <c r="Q677"/>
    </row>
    <row r="678" spans="1:17" x14ac:dyDescent="0.25">
      <c r="A678">
        <v>3</v>
      </c>
      <c r="B678">
        <v>2016</v>
      </c>
      <c r="C678" t="s">
        <v>272</v>
      </c>
      <c r="D678" t="s">
        <v>273</v>
      </c>
      <c r="E678" t="s">
        <v>286</v>
      </c>
      <c r="F678" t="s">
        <v>287</v>
      </c>
      <c r="G678">
        <v>169.8</v>
      </c>
      <c r="H678">
        <v>24</v>
      </c>
      <c r="I678">
        <v>169.8</v>
      </c>
      <c r="J678">
        <v>24</v>
      </c>
      <c r="Q678"/>
    </row>
    <row r="679" spans="1:17" x14ac:dyDescent="0.25">
      <c r="A679">
        <v>3</v>
      </c>
      <c r="B679">
        <v>2016</v>
      </c>
      <c r="C679" t="s">
        <v>288</v>
      </c>
      <c r="D679" t="s">
        <v>289</v>
      </c>
      <c r="E679" t="s">
        <v>290</v>
      </c>
      <c r="F679" t="s">
        <v>291</v>
      </c>
      <c r="G679">
        <v>330</v>
      </c>
      <c r="H679">
        <v>66</v>
      </c>
      <c r="I679">
        <v>1094.4000000000001</v>
      </c>
      <c r="J679">
        <v>228</v>
      </c>
      <c r="Q679"/>
    </row>
    <row r="680" spans="1:17" x14ac:dyDescent="0.25">
      <c r="A680">
        <v>3</v>
      </c>
      <c r="B680">
        <v>2016</v>
      </c>
      <c r="C680" t="s">
        <v>288</v>
      </c>
      <c r="D680" t="s">
        <v>289</v>
      </c>
      <c r="E680" t="s">
        <v>292</v>
      </c>
      <c r="F680" t="s">
        <v>293</v>
      </c>
      <c r="G680">
        <v>834.6</v>
      </c>
      <c r="H680">
        <v>114</v>
      </c>
      <c r="I680">
        <v>441</v>
      </c>
      <c r="J680">
        <v>60</v>
      </c>
      <c r="Q680"/>
    </row>
    <row r="681" spans="1:17" x14ac:dyDescent="0.25">
      <c r="A681">
        <v>3</v>
      </c>
      <c r="B681">
        <v>2016</v>
      </c>
      <c r="C681" t="s">
        <v>288</v>
      </c>
      <c r="D681" t="s">
        <v>289</v>
      </c>
      <c r="E681" t="s">
        <v>294</v>
      </c>
      <c r="F681" t="s">
        <v>295</v>
      </c>
      <c r="G681">
        <v>711.6</v>
      </c>
      <c r="H681">
        <v>84</v>
      </c>
      <c r="I681">
        <v>554.4</v>
      </c>
      <c r="J681">
        <v>72</v>
      </c>
      <c r="Q681"/>
    </row>
    <row r="682" spans="1:17" x14ac:dyDescent="0.25">
      <c r="A682">
        <v>3</v>
      </c>
      <c r="B682">
        <v>2016</v>
      </c>
      <c r="C682" t="s">
        <v>296</v>
      </c>
      <c r="D682" t="s">
        <v>297</v>
      </c>
      <c r="E682" t="s">
        <v>298</v>
      </c>
      <c r="F682" t="s">
        <v>299</v>
      </c>
      <c r="G682">
        <v>100.8</v>
      </c>
      <c r="H682">
        <v>24</v>
      </c>
      <c r="Q682"/>
    </row>
    <row r="683" spans="1:17" x14ac:dyDescent="0.25">
      <c r="A683">
        <v>3</v>
      </c>
      <c r="B683">
        <v>2016</v>
      </c>
      <c r="C683" t="s">
        <v>296</v>
      </c>
      <c r="D683" t="s">
        <v>297</v>
      </c>
      <c r="E683" t="s">
        <v>300</v>
      </c>
      <c r="F683" t="s">
        <v>301</v>
      </c>
      <c r="G683">
        <v>21.6</v>
      </c>
      <c r="H683">
        <v>6</v>
      </c>
      <c r="Q683"/>
    </row>
    <row r="684" spans="1:17" x14ac:dyDescent="0.25">
      <c r="A684">
        <v>3</v>
      </c>
      <c r="B684">
        <v>2016</v>
      </c>
      <c r="C684" t="s">
        <v>296</v>
      </c>
      <c r="D684" t="s">
        <v>297</v>
      </c>
      <c r="E684" t="s">
        <v>739</v>
      </c>
      <c r="F684" t="s">
        <v>301</v>
      </c>
      <c r="G684">
        <v>21.6</v>
      </c>
      <c r="H684">
        <v>6</v>
      </c>
      <c r="Q684"/>
    </row>
    <row r="685" spans="1:17" x14ac:dyDescent="0.25">
      <c r="A685">
        <v>3</v>
      </c>
      <c r="B685">
        <v>2016</v>
      </c>
      <c r="C685" t="s">
        <v>296</v>
      </c>
      <c r="D685" t="s">
        <v>297</v>
      </c>
      <c r="E685" t="s">
        <v>304</v>
      </c>
      <c r="F685" t="s">
        <v>303</v>
      </c>
      <c r="G685">
        <v>33</v>
      </c>
      <c r="H685">
        <v>6</v>
      </c>
      <c r="Q685"/>
    </row>
    <row r="686" spans="1:17" x14ac:dyDescent="0.25">
      <c r="A686">
        <v>3</v>
      </c>
      <c r="B686">
        <v>2016</v>
      </c>
      <c r="C686" t="s">
        <v>296</v>
      </c>
      <c r="D686" t="s">
        <v>297</v>
      </c>
      <c r="E686" t="s">
        <v>305</v>
      </c>
      <c r="F686" t="s">
        <v>303</v>
      </c>
      <c r="G686">
        <v>132</v>
      </c>
      <c r="H686">
        <v>24</v>
      </c>
      <c r="Q686"/>
    </row>
    <row r="687" spans="1:17" x14ac:dyDescent="0.25">
      <c r="A687">
        <v>3</v>
      </c>
      <c r="B687">
        <v>2016</v>
      </c>
      <c r="C687" t="s">
        <v>296</v>
      </c>
      <c r="D687" t="s">
        <v>297</v>
      </c>
      <c r="E687" t="s">
        <v>306</v>
      </c>
      <c r="F687" t="s">
        <v>307</v>
      </c>
      <c r="G687">
        <v>42.6</v>
      </c>
      <c r="H687">
        <v>12</v>
      </c>
      <c r="Q687"/>
    </row>
    <row r="688" spans="1:17" x14ac:dyDescent="0.25">
      <c r="A688">
        <v>3</v>
      </c>
      <c r="B688">
        <v>2016</v>
      </c>
      <c r="C688" t="s">
        <v>296</v>
      </c>
      <c r="D688" t="s">
        <v>297</v>
      </c>
      <c r="E688" t="s">
        <v>308</v>
      </c>
      <c r="F688" t="s">
        <v>309</v>
      </c>
      <c r="G688">
        <v>1965.6</v>
      </c>
      <c r="H688">
        <v>552</v>
      </c>
      <c r="Q688"/>
    </row>
    <row r="689" spans="1:17" x14ac:dyDescent="0.25">
      <c r="A689">
        <v>3</v>
      </c>
      <c r="B689">
        <v>2016</v>
      </c>
      <c r="C689" t="s">
        <v>296</v>
      </c>
      <c r="D689" t="s">
        <v>297</v>
      </c>
      <c r="E689" t="s">
        <v>310</v>
      </c>
      <c r="F689" t="s">
        <v>311</v>
      </c>
      <c r="G689">
        <v>581.1</v>
      </c>
      <c r="H689">
        <v>273.46999999999997</v>
      </c>
      <c r="Q689"/>
    </row>
    <row r="690" spans="1:17" x14ac:dyDescent="0.25">
      <c r="A690">
        <v>3</v>
      </c>
      <c r="B690">
        <v>2016</v>
      </c>
      <c r="C690" t="s">
        <v>296</v>
      </c>
      <c r="D690" t="s">
        <v>297</v>
      </c>
      <c r="E690" t="s">
        <v>312</v>
      </c>
      <c r="F690" t="s">
        <v>313</v>
      </c>
      <c r="G690">
        <v>4225.5</v>
      </c>
      <c r="H690">
        <v>1890</v>
      </c>
      <c r="Q690"/>
    </row>
    <row r="691" spans="1:17" x14ac:dyDescent="0.25">
      <c r="A691">
        <v>3</v>
      </c>
      <c r="B691">
        <v>2016</v>
      </c>
      <c r="C691" t="s">
        <v>296</v>
      </c>
      <c r="D691" t="s">
        <v>297</v>
      </c>
      <c r="E691" t="s">
        <v>314</v>
      </c>
      <c r="F691" t="s">
        <v>315</v>
      </c>
      <c r="G691">
        <v>1900.8</v>
      </c>
      <c r="H691">
        <v>1293.98</v>
      </c>
      <c r="Q691"/>
    </row>
    <row r="692" spans="1:17" x14ac:dyDescent="0.25">
      <c r="A692">
        <v>3</v>
      </c>
      <c r="B692">
        <v>2016</v>
      </c>
      <c r="C692" t="s">
        <v>296</v>
      </c>
      <c r="D692" t="s">
        <v>297</v>
      </c>
      <c r="E692" t="s">
        <v>740</v>
      </c>
      <c r="F692" t="s">
        <v>741</v>
      </c>
      <c r="G692">
        <v>50.7</v>
      </c>
      <c r="H692">
        <v>39.99</v>
      </c>
      <c r="Q692"/>
    </row>
    <row r="693" spans="1:17" x14ac:dyDescent="0.25">
      <c r="A693">
        <v>3</v>
      </c>
      <c r="B693">
        <v>2016</v>
      </c>
      <c r="C693" t="s">
        <v>296</v>
      </c>
      <c r="D693" t="s">
        <v>297</v>
      </c>
      <c r="E693" t="s">
        <v>815</v>
      </c>
      <c r="F693" t="s">
        <v>816</v>
      </c>
      <c r="G693">
        <v>0</v>
      </c>
      <c r="H693">
        <v>0</v>
      </c>
      <c r="Q693"/>
    </row>
    <row r="694" spans="1:17" x14ac:dyDescent="0.25">
      <c r="A694">
        <v>3</v>
      </c>
      <c r="B694">
        <v>2016</v>
      </c>
      <c r="C694" t="s">
        <v>296</v>
      </c>
      <c r="D694" t="s">
        <v>297</v>
      </c>
      <c r="E694" t="s">
        <v>817</v>
      </c>
      <c r="F694" t="s">
        <v>818</v>
      </c>
      <c r="G694">
        <v>155.4</v>
      </c>
      <c r="H694">
        <v>42</v>
      </c>
      <c r="Q694"/>
    </row>
    <row r="695" spans="1:17" x14ac:dyDescent="0.25">
      <c r="A695">
        <v>3</v>
      </c>
      <c r="B695">
        <v>2016</v>
      </c>
      <c r="C695" t="s">
        <v>319</v>
      </c>
      <c r="D695" t="s">
        <v>320</v>
      </c>
      <c r="E695" t="s">
        <v>321</v>
      </c>
      <c r="F695" t="s">
        <v>322</v>
      </c>
      <c r="G695">
        <v>1279.08</v>
      </c>
      <c r="H695">
        <v>342</v>
      </c>
      <c r="I695">
        <v>842.4</v>
      </c>
      <c r="J695">
        <v>234</v>
      </c>
      <c r="Q695"/>
    </row>
    <row r="696" spans="1:17" x14ac:dyDescent="0.25">
      <c r="A696">
        <v>3</v>
      </c>
      <c r="B696">
        <v>2016</v>
      </c>
      <c r="C696" t="s">
        <v>319</v>
      </c>
      <c r="D696" t="s">
        <v>320</v>
      </c>
      <c r="E696" t="s">
        <v>323</v>
      </c>
      <c r="F696" t="s">
        <v>322</v>
      </c>
      <c r="G696">
        <v>56.88</v>
      </c>
      <c r="H696">
        <v>12</v>
      </c>
      <c r="I696">
        <v>79.92</v>
      </c>
      <c r="J696">
        <v>18</v>
      </c>
      <c r="Q696"/>
    </row>
    <row r="697" spans="1:17" x14ac:dyDescent="0.25">
      <c r="A697">
        <v>3</v>
      </c>
      <c r="B697">
        <v>2016</v>
      </c>
      <c r="C697" t="s">
        <v>324</v>
      </c>
      <c r="D697" t="s">
        <v>325</v>
      </c>
      <c r="E697" t="s">
        <v>742</v>
      </c>
      <c r="F697" t="s">
        <v>743</v>
      </c>
      <c r="G697">
        <v>60</v>
      </c>
      <c r="H697">
        <v>12</v>
      </c>
      <c r="I697">
        <v>367.2</v>
      </c>
      <c r="J697">
        <v>72</v>
      </c>
      <c r="Q697"/>
    </row>
    <row r="698" spans="1:17" x14ac:dyDescent="0.25">
      <c r="A698">
        <v>3</v>
      </c>
      <c r="B698">
        <v>2016</v>
      </c>
      <c r="C698" t="s">
        <v>324</v>
      </c>
      <c r="D698" t="s">
        <v>325</v>
      </c>
      <c r="E698" t="s">
        <v>326</v>
      </c>
      <c r="F698" t="s">
        <v>327</v>
      </c>
      <c r="G698">
        <v>1480.2</v>
      </c>
      <c r="H698">
        <v>342</v>
      </c>
      <c r="I698">
        <v>2889.6</v>
      </c>
      <c r="J698">
        <v>672</v>
      </c>
      <c r="Q698"/>
    </row>
    <row r="699" spans="1:17" x14ac:dyDescent="0.25">
      <c r="A699">
        <v>3</v>
      </c>
      <c r="B699">
        <v>2016</v>
      </c>
      <c r="C699" t="s">
        <v>324</v>
      </c>
      <c r="D699" t="s">
        <v>325</v>
      </c>
      <c r="E699" t="s">
        <v>328</v>
      </c>
      <c r="F699" t="s">
        <v>327</v>
      </c>
      <c r="G699">
        <v>581.70000000000005</v>
      </c>
      <c r="H699">
        <v>186</v>
      </c>
      <c r="I699">
        <v>951.6</v>
      </c>
      <c r="J699">
        <v>312</v>
      </c>
      <c r="Q699"/>
    </row>
    <row r="700" spans="1:17" x14ac:dyDescent="0.25">
      <c r="A700">
        <v>3</v>
      </c>
      <c r="B700">
        <v>2016</v>
      </c>
      <c r="C700" t="s">
        <v>324</v>
      </c>
      <c r="D700" t="s">
        <v>325</v>
      </c>
      <c r="E700" t="s">
        <v>332</v>
      </c>
      <c r="F700" t="s">
        <v>333</v>
      </c>
      <c r="G700">
        <v>1202</v>
      </c>
      <c r="H700">
        <v>540.27</v>
      </c>
      <c r="I700">
        <v>1232.5</v>
      </c>
      <c r="J700">
        <v>573.62</v>
      </c>
      <c r="Q700"/>
    </row>
    <row r="701" spans="1:17" x14ac:dyDescent="0.25">
      <c r="A701">
        <v>3</v>
      </c>
      <c r="B701">
        <v>2016</v>
      </c>
      <c r="C701" t="s">
        <v>334</v>
      </c>
      <c r="D701" t="s">
        <v>335</v>
      </c>
      <c r="E701" t="s">
        <v>336</v>
      </c>
      <c r="F701" t="s">
        <v>337</v>
      </c>
      <c r="G701">
        <v>775.2</v>
      </c>
      <c r="H701">
        <v>108</v>
      </c>
      <c r="I701">
        <v>273.60000000000002</v>
      </c>
      <c r="J701">
        <v>36</v>
      </c>
      <c r="Q701"/>
    </row>
    <row r="702" spans="1:17" x14ac:dyDescent="0.25">
      <c r="A702">
        <v>3</v>
      </c>
      <c r="B702">
        <v>2016</v>
      </c>
      <c r="C702" t="s">
        <v>334</v>
      </c>
      <c r="D702" t="s">
        <v>335</v>
      </c>
      <c r="E702" t="s">
        <v>338</v>
      </c>
      <c r="F702" t="s">
        <v>339</v>
      </c>
      <c r="G702">
        <v>808.2</v>
      </c>
      <c r="H702">
        <v>174</v>
      </c>
      <c r="I702">
        <v>1047</v>
      </c>
      <c r="J702">
        <v>234</v>
      </c>
      <c r="Q702"/>
    </row>
    <row r="703" spans="1:17" x14ac:dyDescent="0.25">
      <c r="A703">
        <v>3</v>
      </c>
      <c r="B703">
        <v>2016</v>
      </c>
      <c r="C703" t="s">
        <v>340</v>
      </c>
      <c r="D703" t="s">
        <v>341</v>
      </c>
      <c r="E703" t="s">
        <v>342</v>
      </c>
      <c r="F703" t="s">
        <v>343</v>
      </c>
      <c r="G703">
        <v>1518.9</v>
      </c>
      <c r="H703">
        <v>366</v>
      </c>
      <c r="I703">
        <v>1056.24</v>
      </c>
      <c r="J703">
        <v>264</v>
      </c>
      <c r="Q703"/>
    </row>
    <row r="704" spans="1:17" x14ac:dyDescent="0.25">
      <c r="A704">
        <v>3</v>
      </c>
      <c r="B704">
        <v>2016</v>
      </c>
      <c r="C704" t="s">
        <v>340</v>
      </c>
      <c r="D704" t="s">
        <v>341</v>
      </c>
      <c r="E704" t="s">
        <v>344</v>
      </c>
      <c r="F704" t="s">
        <v>343</v>
      </c>
      <c r="G704">
        <v>171.54</v>
      </c>
      <c r="H704">
        <v>36</v>
      </c>
      <c r="I704">
        <v>54</v>
      </c>
      <c r="J704">
        <v>12</v>
      </c>
      <c r="Q704"/>
    </row>
    <row r="705" spans="1:17" x14ac:dyDescent="0.25">
      <c r="A705">
        <v>3</v>
      </c>
      <c r="B705">
        <v>2016</v>
      </c>
      <c r="C705" t="s">
        <v>340</v>
      </c>
      <c r="D705" t="s">
        <v>341</v>
      </c>
      <c r="E705" t="s">
        <v>345</v>
      </c>
      <c r="F705" t="s">
        <v>346</v>
      </c>
      <c r="G705">
        <v>166.5</v>
      </c>
      <c r="H705">
        <v>30</v>
      </c>
      <c r="I705">
        <v>374.4</v>
      </c>
      <c r="J705">
        <v>72</v>
      </c>
      <c r="Q705"/>
    </row>
    <row r="706" spans="1:17" x14ac:dyDescent="0.25">
      <c r="A706">
        <v>3</v>
      </c>
      <c r="B706">
        <v>2016</v>
      </c>
      <c r="C706" t="s">
        <v>340</v>
      </c>
      <c r="D706" t="s">
        <v>341</v>
      </c>
      <c r="E706" t="s">
        <v>347</v>
      </c>
      <c r="F706" t="s">
        <v>348</v>
      </c>
      <c r="G706">
        <v>52.8</v>
      </c>
      <c r="H706">
        <v>12</v>
      </c>
      <c r="Q706"/>
    </row>
    <row r="707" spans="1:17" x14ac:dyDescent="0.25">
      <c r="A707">
        <v>3</v>
      </c>
      <c r="B707">
        <v>2016</v>
      </c>
      <c r="C707" t="s">
        <v>349</v>
      </c>
      <c r="D707" t="s">
        <v>350</v>
      </c>
      <c r="E707" t="s">
        <v>351</v>
      </c>
      <c r="F707" t="s">
        <v>352</v>
      </c>
      <c r="G707">
        <v>734.4</v>
      </c>
      <c r="H707">
        <v>114</v>
      </c>
      <c r="I707">
        <v>718.2</v>
      </c>
      <c r="J707">
        <v>120</v>
      </c>
      <c r="Q707"/>
    </row>
    <row r="708" spans="1:17" x14ac:dyDescent="0.25">
      <c r="A708">
        <v>3</v>
      </c>
      <c r="B708">
        <v>2016</v>
      </c>
      <c r="C708" t="s">
        <v>349</v>
      </c>
      <c r="D708" t="s">
        <v>350</v>
      </c>
      <c r="E708" t="s">
        <v>353</v>
      </c>
      <c r="F708" t="s">
        <v>352</v>
      </c>
      <c r="G708">
        <v>46.8</v>
      </c>
      <c r="H708">
        <v>6</v>
      </c>
      <c r="I708">
        <v>231</v>
      </c>
      <c r="J708">
        <v>30</v>
      </c>
      <c r="Q708"/>
    </row>
    <row r="709" spans="1:17" x14ac:dyDescent="0.25">
      <c r="A709">
        <v>3</v>
      </c>
      <c r="B709">
        <v>2016</v>
      </c>
      <c r="C709" t="s">
        <v>349</v>
      </c>
      <c r="D709" t="s">
        <v>350</v>
      </c>
      <c r="E709" t="s">
        <v>819</v>
      </c>
      <c r="F709" t="s">
        <v>352</v>
      </c>
      <c r="G709">
        <v>44.4</v>
      </c>
      <c r="H709">
        <v>6</v>
      </c>
      <c r="Q709"/>
    </row>
    <row r="710" spans="1:17" x14ac:dyDescent="0.25">
      <c r="A710">
        <v>3</v>
      </c>
      <c r="B710">
        <v>2016</v>
      </c>
      <c r="C710" t="s">
        <v>349</v>
      </c>
      <c r="D710" t="s">
        <v>350</v>
      </c>
      <c r="E710" t="s">
        <v>354</v>
      </c>
      <c r="F710" t="s">
        <v>352</v>
      </c>
      <c r="G710">
        <v>280.8</v>
      </c>
      <c r="H710">
        <v>42</v>
      </c>
      <c r="I710">
        <v>435.6</v>
      </c>
      <c r="J710">
        <v>66</v>
      </c>
      <c r="Q710"/>
    </row>
    <row r="711" spans="1:17" x14ac:dyDescent="0.25">
      <c r="A711">
        <v>3</v>
      </c>
      <c r="B711">
        <v>2016</v>
      </c>
      <c r="C711" t="s">
        <v>356</v>
      </c>
      <c r="D711" t="s">
        <v>357</v>
      </c>
      <c r="E711" t="s">
        <v>358</v>
      </c>
      <c r="F711" t="s">
        <v>359</v>
      </c>
      <c r="G711">
        <v>412.2</v>
      </c>
      <c r="H711">
        <v>192</v>
      </c>
      <c r="I711">
        <v>176.4</v>
      </c>
      <c r="J711">
        <v>84</v>
      </c>
      <c r="Q711"/>
    </row>
    <row r="712" spans="1:17" x14ac:dyDescent="0.25">
      <c r="A712">
        <v>3</v>
      </c>
      <c r="B712">
        <v>2016</v>
      </c>
      <c r="C712" t="s">
        <v>360</v>
      </c>
      <c r="D712" t="s">
        <v>361</v>
      </c>
      <c r="E712" t="s">
        <v>362</v>
      </c>
      <c r="F712" t="s">
        <v>363</v>
      </c>
      <c r="G712">
        <v>1669</v>
      </c>
      <c r="H712">
        <v>1173.04</v>
      </c>
      <c r="I712">
        <v>1444</v>
      </c>
      <c r="J712">
        <v>1026.4100000000001</v>
      </c>
      <c r="Q712"/>
    </row>
    <row r="713" spans="1:17" x14ac:dyDescent="0.25">
      <c r="A713">
        <v>3</v>
      </c>
      <c r="B713">
        <v>2016</v>
      </c>
      <c r="C713" t="s">
        <v>360</v>
      </c>
      <c r="D713" t="s">
        <v>361</v>
      </c>
      <c r="E713" t="s">
        <v>364</v>
      </c>
      <c r="F713" t="s">
        <v>363</v>
      </c>
      <c r="G713">
        <v>1996.2</v>
      </c>
      <c r="H713">
        <v>1227.28</v>
      </c>
      <c r="I713">
        <v>1769.85</v>
      </c>
      <c r="J713">
        <v>1087.21</v>
      </c>
      <c r="Q713"/>
    </row>
    <row r="714" spans="1:17" x14ac:dyDescent="0.25">
      <c r="A714">
        <v>3</v>
      </c>
      <c r="B714">
        <v>2016</v>
      </c>
      <c r="C714" t="s">
        <v>360</v>
      </c>
      <c r="D714" t="s">
        <v>361</v>
      </c>
      <c r="E714" t="s">
        <v>365</v>
      </c>
      <c r="F714" t="s">
        <v>366</v>
      </c>
      <c r="G714">
        <v>1561.5</v>
      </c>
      <c r="H714">
        <v>744</v>
      </c>
      <c r="I714">
        <v>123</v>
      </c>
      <c r="J714">
        <v>60</v>
      </c>
      <c r="Q714"/>
    </row>
    <row r="715" spans="1:17" x14ac:dyDescent="0.25">
      <c r="A715">
        <v>3</v>
      </c>
      <c r="B715">
        <v>2016</v>
      </c>
      <c r="C715" t="s">
        <v>360</v>
      </c>
      <c r="D715" t="s">
        <v>361</v>
      </c>
      <c r="E715" t="s">
        <v>367</v>
      </c>
      <c r="F715" t="s">
        <v>368</v>
      </c>
      <c r="G715">
        <v>3816.9</v>
      </c>
      <c r="H715">
        <v>1416</v>
      </c>
      <c r="I715">
        <v>2106</v>
      </c>
      <c r="J715">
        <v>780</v>
      </c>
      <c r="Q715"/>
    </row>
    <row r="716" spans="1:17" x14ac:dyDescent="0.25">
      <c r="A716">
        <v>3</v>
      </c>
      <c r="B716">
        <v>2016</v>
      </c>
      <c r="C716" t="s">
        <v>360</v>
      </c>
      <c r="D716" t="s">
        <v>361</v>
      </c>
      <c r="E716" t="s">
        <v>369</v>
      </c>
      <c r="F716" t="s">
        <v>370</v>
      </c>
      <c r="G716">
        <v>1344.6</v>
      </c>
      <c r="H716">
        <v>294</v>
      </c>
      <c r="I716">
        <v>674.64</v>
      </c>
      <c r="J716">
        <v>156</v>
      </c>
      <c r="Q716"/>
    </row>
    <row r="717" spans="1:17" x14ac:dyDescent="0.25">
      <c r="A717">
        <v>3</v>
      </c>
      <c r="B717">
        <v>2016</v>
      </c>
      <c r="C717" t="s">
        <v>360</v>
      </c>
      <c r="D717" t="s">
        <v>361</v>
      </c>
      <c r="E717" t="s">
        <v>371</v>
      </c>
      <c r="F717" t="s">
        <v>372</v>
      </c>
      <c r="G717">
        <v>250.38</v>
      </c>
      <c r="H717">
        <v>48</v>
      </c>
      <c r="Q717"/>
    </row>
    <row r="718" spans="1:17" x14ac:dyDescent="0.25">
      <c r="A718">
        <v>3</v>
      </c>
      <c r="B718">
        <v>2016</v>
      </c>
      <c r="C718" t="s">
        <v>360</v>
      </c>
      <c r="D718" t="s">
        <v>361</v>
      </c>
      <c r="E718" t="s">
        <v>750</v>
      </c>
      <c r="F718" t="s">
        <v>751</v>
      </c>
      <c r="G718">
        <v>129</v>
      </c>
      <c r="H718">
        <v>12</v>
      </c>
      <c r="I718">
        <v>63</v>
      </c>
      <c r="J718">
        <v>12</v>
      </c>
      <c r="Q718"/>
    </row>
    <row r="719" spans="1:17" x14ac:dyDescent="0.25">
      <c r="A719">
        <v>3</v>
      </c>
      <c r="B719">
        <v>2016</v>
      </c>
      <c r="C719" t="s">
        <v>360</v>
      </c>
      <c r="D719" t="s">
        <v>361</v>
      </c>
      <c r="E719" t="s">
        <v>820</v>
      </c>
      <c r="F719" t="s">
        <v>821</v>
      </c>
      <c r="G719">
        <v>252</v>
      </c>
      <c r="H719">
        <v>30</v>
      </c>
      <c r="Q719"/>
    </row>
    <row r="720" spans="1:17" x14ac:dyDescent="0.25">
      <c r="A720">
        <v>3</v>
      </c>
      <c r="B720">
        <v>2016</v>
      </c>
      <c r="C720" t="s">
        <v>375</v>
      </c>
      <c r="D720" t="s">
        <v>376</v>
      </c>
      <c r="E720" t="s">
        <v>377</v>
      </c>
      <c r="F720" t="s">
        <v>378</v>
      </c>
      <c r="G720">
        <v>134.32</v>
      </c>
      <c r="H720">
        <v>106.64</v>
      </c>
      <c r="I720">
        <v>594.04</v>
      </c>
      <c r="J720">
        <v>479.88</v>
      </c>
      <c r="Q720"/>
    </row>
    <row r="721" spans="1:17" x14ac:dyDescent="0.25">
      <c r="A721">
        <v>3</v>
      </c>
      <c r="B721">
        <v>2016</v>
      </c>
      <c r="C721" t="s">
        <v>375</v>
      </c>
      <c r="D721" t="s">
        <v>376</v>
      </c>
      <c r="E721" t="s">
        <v>379</v>
      </c>
      <c r="F721" t="s">
        <v>378</v>
      </c>
      <c r="G721">
        <v>92.6</v>
      </c>
      <c r="H721">
        <v>66.7</v>
      </c>
      <c r="I721">
        <v>366.76</v>
      </c>
      <c r="J721">
        <v>266.8</v>
      </c>
      <c r="Q721"/>
    </row>
    <row r="722" spans="1:17" x14ac:dyDescent="0.25">
      <c r="A722">
        <v>3</v>
      </c>
      <c r="B722">
        <v>2016</v>
      </c>
      <c r="C722" t="s">
        <v>375</v>
      </c>
      <c r="D722" t="s">
        <v>376</v>
      </c>
      <c r="E722" t="s">
        <v>380</v>
      </c>
      <c r="F722" t="s">
        <v>378</v>
      </c>
      <c r="G722">
        <v>492.81</v>
      </c>
      <c r="H722">
        <v>386.57</v>
      </c>
      <c r="I722">
        <v>673.83</v>
      </c>
      <c r="J722">
        <v>546.53</v>
      </c>
      <c r="Q722"/>
    </row>
    <row r="723" spans="1:17" x14ac:dyDescent="0.25">
      <c r="A723">
        <v>3</v>
      </c>
      <c r="B723">
        <v>2016</v>
      </c>
      <c r="C723" t="s">
        <v>375</v>
      </c>
      <c r="D723" t="s">
        <v>376</v>
      </c>
      <c r="E723" t="s">
        <v>381</v>
      </c>
      <c r="F723" t="s">
        <v>378</v>
      </c>
      <c r="G723">
        <v>281.05</v>
      </c>
      <c r="H723">
        <v>200.1</v>
      </c>
      <c r="I723">
        <v>255.64</v>
      </c>
      <c r="J723">
        <v>193.43</v>
      </c>
      <c r="Q723"/>
    </row>
    <row r="724" spans="1:17" x14ac:dyDescent="0.25">
      <c r="A724">
        <v>3</v>
      </c>
      <c r="B724">
        <v>2016</v>
      </c>
      <c r="C724" t="s">
        <v>386</v>
      </c>
      <c r="D724" t="s">
        <v>387</v>
      </c>
      <c r="E724" t="s">
        <v>388</v>
      </c>
      <c r="F724" t="s">
        <v>389</v>
      </c>
      <c r="G724">
        <v>87.6</v>
      </c>
      <c r="H724">
        <v>30</v>
      </c>
      <c r="I724">
        <v>63.6</v>
      </c>
      <c r="J724">
        <v>18</v>
      </c>
      <c r="Q724"/>
    </row>
    <row r="725" spans="1:17" x14ac:dyDescent="0.25">
      <c r="A725">
        <v>3</v>
      </c>
      <c r="B725">
        <v>2016</v>
      </c>
      <c r="C725" t="s">
        <v>386</v>
      </c>
      <c r="D725" t="s">
        <v>387</v>
      </c>
      <c r="E725" t="s">
        <v>392</v>
      </c>
      <c r="F725" t="s">
        <v>393</v>
      </c>
      <c r="G725">
        <v>49.8</v>
      </c>
      <c r="H725">
        <v>12</v>
      </c>
      <c r="I725">
        <v>24.6</v>
      </c>
      <c r="J725">
        <v>6</v>
      </c>
      <c r="Q725"/>
    </row>
    <row r="726" spans="1:17" x14ac:dyDescent="0.25">
      <c r="A726">
        <v>3</v>
      </c>
      <c r="B726">
        <v>2016</v>
      </c>
      <c r="C726" t="s">
        <v>386</v>
      </c>
      <c r="D726" t="s">
        <v>387</v>
      </c>
      <c r="E726" t="s">
        <v>394</v>
      </c>
      <c r="F726" t="s">
        <v>395</v>
      </c>
      <c r="G726">
        <v>488.75</v>
      </c>
      <c r="H726">
        <v>306.58999999999997</v>
      </c>
      <c r="I726">
        <v>526.5</v>
      </c>
      <c r="J726">
        <v>346.58</v>
      </c>
      <c r="Q726"/>
    </row>
    <row r="727" spans="1:17" x14ac:dyDescent="0.25">
      <c r="A727">
        <v>3</v>
      </c>
      <c r="B727">
        <v>2016</v>
      </c>
      <c r="C727" t="s">
        <v>386</v>
      </c>
      <c r="D727" t="s">
        <v>387</v>
      </c>
      <c r="E727" t="s">
        <v>396</v>
      </c>
      <c r="F727" t="s">
        <v>397</v>
      </c>
      <c r="G727">
        <v>356.4</v>
      </c>
      <c r="H727">
        <v>186.76</v>
      </c>
      <c r="I727">
        <v>1037</v>
      </c>
      <c r="J727">
        <v>580.29</v>
      </c>
      <c r="Q727"/>
    </row>
    <row r="728" spans="1:17" x14ac:dyDescent="0.25">
      <c r="A728">
        <v>3</v>
      </c>
      <c r="B728">
        <v>2016</v>
      </c>
      <c r="C728" t="s">
        <v>386</v>
      </c>
      <c r="D728" t="s">
        <v>387</v>
      </c>
      <c r="E728" t="s">
        <v>398</v>
      </c>
      <c r="F728" t="s">
        <v>399</v>
      </c>
      <c r="G728">
        <v>934.8</v>
      </c>
      <c r="H728">
        <v>228</v>
      </c>
      <c r="I728">
        <v>801.9</v>
      </c>
      <c r="J728">
        <v>204</v>
      </c>
      <c r="Q728"/>
    </row>
    <row r="729" spans="1:17" x14ac:dyDescent="0.25">
      <c r="A729">
        <v>3</v>
      </c>
      <c r="B729">
        <v>2016</v>
      </c>
      <c r="C729" t="s">
        <v>404</v>
      </c>
      <c r="D729" t="s">
        <v>405</v>
      </c>
      <c r="E729" t="s">
        <v>406</v>
      </c>
      <c r="F729" t="s">
        <v>407</v>
      </c>
      <c r="G729">
        <v>188.4</v>
      </c>
      <c r="H729">
        <v>42</v>
      </c>
      <c r="I729">
        <v>1466.4</v>
      </c>
      <c r="J729">
        <v>294</v>
      </c>
      <c r="Q729"/>
    </row>
    <row r="730" spans="1:17" x14ac:dyDescent="0.25">
      <c r="A730">
        <v>3</v>
      </c>
      <c r="B730">
        <v>2016</v>
      </c>
      <c r="C730" t="s">
        <v>404</v>
      </c>
      <c r="D730" t="s">
        <v>405</v>
      </c>
      <c r="E730" t="s">
        <v>408</v>
      </c>
      <c r="F730" t="s">
        <v>409</v>
      </c>
      <c r="G730">
        <v>67.8</v>
      </c>
      <c r="H730">
        <v>12</v>
      </c>
      <c r="Q730"/>
    </row>
    <row r="731" spans="1:17" x14ac:dyDescent="0.25">
      <c r="A731">
        <v>3</v>
      </c>
      <c r="B731">
        <v>2016</v>
      </c>
      <c r="C731" t="s">
        <v>412</v>
      </c>
      <c r="D731" t="s">
        <v>413</v>
      </c>
      <c r="E731" t="s">
        <v>414</v>
      </c>
      <c r="F731" t="s">
        <v>415</v>
      </c>
      <c r="G731">
        <v>1110</v>
      </c>
      <c r="H731">
        <v>300</v>
      </c>
      <c r="I731">
        <v>1063.5</v>
      </c>
      <c r="J731">
        <v>294</v>
      </c>
      <c r="Q731"/>
    </row>
    <row r="732" spans="1:17" x14ac:dyDescent="0.25">
      <c r="A732">
        <v>3</v>
      </c>
      <c r="B732">
        <v>2016</v>
      </c>
      <c r="C732" t="s">
        <v>412</v>
      </c>
      <c r="D732" t="s">
        <v>413</v>
      </c>
      <c r="E732" t="s">
        <v>756</v>
      </c>
      <c r="F732" t="s">
        <v>415</v>
      </c>
      <c r="G732">
        <v>0</v>
      </c>
      <c r="H732">
        <v>6</v>
      </c>
      <c r="I732">
        <v>158.4</v>
      </c>
      <c r="J732">
        <v>36</v>
      </c>
      <c r="Q732"/>
    </row>
    <row r="733" spans="1:17" x14ac:dyDescent="0.25">
      <c r="A733">
        <v>3</v>
      </c>
      <c r="B733">
        <v>2016</v>
      </c>
      <c r="C733" t="s">
        <v>412</v>
      </c>
      <c r="D733" t="s">
        <v>413</v>
      </c>
      <c r="E733" t="s">
        <v>822</v>
      </c>
      <c r="F733" t="s">
        <v>823</v>
      </c>
      <c r="G733">
        <v>0</v>
      </c>
      <c r="H733">
        <v>138</v>
      </c>
      <c r="Q733"/>
    </row>
    <row r="734" spans="1:17" x14ac:dyDescent="0.25">
      <c r="A734">
        <v>3</v>
      </c>
      <c r="B734">
        <v>2016</v>
      </c>
      <c r="C734" t="s">
        <v>412</v>
      </c>
      <c r="D734" t="s">
        <v>413</v>
      </c>
      <c r="E734" t="s">
        <v>416</v>
      </c>
      <c r="F734" t="s">
        <v>417</v>
      </c>
      <c r="G734">
        <v>421.2</v>
      </c>
      <c r="H734">
        <v>108</v>
      </c>
      <c r="I734">
        <v>0</v>
      </c>
      <c r="J734">
        <v>6</v>
      </c>
      <c r="Q734"/>
    </row>
    <row r="735" spans="1:17" x14ac:dyDescent="0.25">
      <c r="A735">
        <v>3</v>
      </c>
      <c r="B735">
        <v>2016</v>
      </c>
      <c r="C735" t="s">
        <v>412</v>
      </c>
      <c r="D735" t="s">
        <v>413</v>
      </c>
      <c r="E735" t="s">
        <v>824</v>
      </c>
      <c r="F735" t="s">
        <v>825</v>
      </c>
      <c r="G735">
        <v>64.8</v>
      </c>
      <c r="H735">
        <v>12</v>
      </c>
      <c r="Q735"/>
    </row>
    <row r="736" spans="1:17" x14ac:dyDescent="0.25">
      <c r="A736">
        <v>3</v>
      </c>
      <c r="B736">
        <v>2016</v>
      </c>
      <c r="C736" t="s">
        <v>412</v>
      </c>
      <c r="D736" t="s">
        <v>413</v>
      </c>
      <c r="E736" t="s">
        <v>418</v>
      </c>
      <c r="F736" t="s">
        <v>419</v>
      </c>
      <c r="G736">
        <v>1283.4000000000001</v>
      </c>
      <c r="H736">
        <v>276</v>
      </c>
      <c r="I736">
        <v>686.7</v>
      </c>
      <c r="J736">
        <v>156</v>
      </c>
      <c r="Q736"/>
    </row>
    <row r="737" spans="1:17" x14ac:dyDescent="0.25">
      <c r="A737">
        <v>3</v>
      </c>
      <c r="B737">
        <v>2016</v>
      </c>
      <c r="C737" t="s">
        <v>412</v>
      </c>
      <c r="D737" t="s">
        <v>413</v>
      </c>
      <c r="E737" t="s">
        <v>420</v>
      </c>
      <c r="F737" t="s">
        <v>421</v>
      </c>
      <c r="G737">
        <v>744</v>
      </c>
      <c r="H737">
        <v>114</v>
      </c>
      <c r="Q737"/>
    </row>
    <row r="738" spans="1:17" x14ac:dyDescent="0.25">
      <c r="A738">
        <v>3</v>
      </c>
      <c r="B738">
        <v>2016</v>
      </c>
      <c r="C738" t="s">
        <v>412</v>
      </c>
      <c r="D738" t="s">
        <v>413</v>
      </c>
      <c r="E738" t="s">
        <v>757</v>
      </c>
      <c r="F738" t="s">
        <v>758</v>
      </c>
      <c r="G738">
        <v>81.599999999999994</v>
      </c>
      <c r="H738">
        <v>144</v>
      </c>
      <c r="Q738"/>
    </row>
    <row r="739" spans="1:17" x14ac:dyDescent="0.25">
      <c r="A739">
        <v>3</v>
      </c>
      <c r="B739">
        <v>2016</v>
      </c>
      <c r="C739" t="s">
        <v>412</v>
      </c>
      <c r="D739" t="s">
        <v>413</v>
      </c>
      <c r="E739" t="s">
        <v>826</v>
      </c>
      <c r="F739" t="s">
        <v>827</v>
      </c>
      <c r="G739">
        <v>72</v>
      </c>
      <c r="H739">
        <v>18</v>
      </c>
      <c r="Q739"/>
    </row>
    <row r="740" spans="1:17" x14ac:dyDescent="0.25">
      <c r="A740">
        <v>3</v>
      </c>
      <c r="B740">
        <v>2016</v>
      </c>
      <c r="C740" t="s">
        <v>432</v>
      </c>
      <c r="D740" t="s">
        <v>433</v>
      </c>
      <c r="E740" t="s">
        <v>436</v>
      </c>
      <c r="F740" t="s">
        <v>437</v>
      </c>
      <c r="G740">
        <v>1171.8</v>
      </c>
      <c r="H740">
        <v>558</v>
      </c>
      <c r="I740">
        <v>1437.3</v>
      </c>
      <c r="J740">
        <v>702</v>
      </c>
      <c r="Q740"/>
    </row>
    <row r="741" spans="1:17" x14ac:dyDescent="0.25">
      <c r="A741">
        <v>3</v>
      </c>
      <c r="B741">
        <v>2016</v>
      </c>
      <c r="C741" t="s">
        <v>438</v>
      </c>
      <c r="D741" t="s">
        <v>439</v>
      </c>
      <c r="E741" t="s">
        <v>440</v>
      </c>
      <c r="F741" t="s">
        <v>441</v>
      </c>
      <c r="G741">
        <v>1822.02</v>
      </c>
      <c r="H741">
        <v>1146</v>
      </c>
      <c r="I741">
        <v>2137.91</v>
      </c>
      <c r="J741">
        <v>1416</v>
      </c>
      <c r="Q741"/>
    </row>
    <row r="742" spans="1:17" x14ac:dyDescent="0.25">
      <c r="A742">
        <v>3</v>
      </c>
      <c r="B742">
        <v>2016</v>
      </c>
      <c r="C742" t="s">
        <v>438</v>
      </c>
      <c r="D742" t="s">
        <v>439</v>
      </c>
      <c r="E742" t="s">
        <v>442</v>
      </c>
      <c r="F742" t="s">
        <v>441</v>
      </c>
      <c r="G742">
        <v>3236.16</v>
      </c>
      <c r="H742">
        <v>1866</v>
      </c>
      <c r="I742">
        <v>10642.95</v>
      </c>
      <c r="J742">
        <v>7992</v>
      </c>
      <c r="Q742"/>
    </row>
    <row r="743" spans="1:17" x14ac:dyDescent="0.25">
      <c r="A743">
        <v>3</v>
      </c>
      <c r="B743">
        <v>2016</v>
      </c>
      <c r="C743" t="s">
        <v>438</v>
      </c>
      <c r="D743" t="s">
        <v>439</v>
      </c>
      <c r="E743" t="s">
        <v>443</v>
      </c>
      <c r="F743" t="s">
        <v>441</v>
      </c>
      <c r="G743">
        <v>425.4</v>
      </c>
      <c r="H743">
        <v>246</v>
      </c>
      <c r="I743">
        <v>437.04</v>
      </c>
      <c r="J743">
        <v>270</v>
      </c>
      <c r="Q743"/>
    </row>
    <row r="744" spans="1:17" x14ac:dyDescent="0.25">
      <c r="A744">
        <v>3</v>
      </c>
      <c r="B744">
        <v>2016</v>
      </c>
      <c r="C744" t="s">
        <v>438</v>
      </c>
      <c r="D744" t="s">
        <v>439</v>
      </c>
      <c r="E744" t="s">
        <v>444</v>
      </c>
      <c r="F744" t="s">
        <v>445</v>
      </c>
      <c r="G744">
        <v>236.04</v>
      </c>
      <c r="H744">
        <v>84</v>
      </c>
      <c r="I744">
        <v>84.3</v>
      </c>
      <c r="J744">
        <v>36</v>
      </c>
      <c r="Q744"/>
    </row>
    <row r="745" spans="1:17" x14ac:dyDescent="0.25">
      <c r="A745">
        <v>3</v>
      </c>
      <c r="B745">
        <v>2016</v>
      </c>
      <c r="C745" t="s">
        <v>438</v>
      </c>
      <c r="D745" t="s">
        <v>439</v>
      </c>
      <c r="E745" t="s">
        <v>446</v>
      </c>
      <c r="F745" t="s">
        <v>447</v>
      </c>
      <c r="G745">
        <v>157.68</v>
      </c>
      <c r="H745">
        <v>60</v>
      </c>
      <c r="I745">
        <v>0</v>
      </c>
      <c r="J745">
        <v>6</v>
      </c>
      <c r="Q745"/>
    </row>
    <row r="746" spans="1:17" x14ac:dyDescent="0.25">
      <c r="A746">
        <v>3</v>
      </c>
      <c r="B746">
        <v>2016</v>
      </c>
      <c r="C746" t="s">
        <v>448</v>
      </c>
      <c r="D746" t="s">
        <v>449</v>
      </c>
      <c r="E746" t="s">
        <v>450</v>
      </c>
      <c r="F746" t="s">
        <v>451</v>
      </c>
      <c r="G746">
        <v>430.1</v>
      </c>
      <c r="H746">
        <v>306.58999999999997</v>
      </c>
      <c r="I746">
        <v>327.60000000000002</v>
      </c>
      <c r="J746">
        <v>239.94</v>
      </c>
      <c r="Q746"/>
    </row>
    <row r="747" spans="1:17" x14ac:dyDescent="0.25">
      <c r="A747">
        <v>3</v>
      </c>
      <c r="B747">
        <v>2016</v>
      </c>
      <c r="C747" t="s">
        <v>448</v>
      </c>
      <c r="D747" t="s">
        <v>449</v>
      </c>
      <c r="E747" t="s">
        <v>452</v>
      </c>
      <c r="F747" t="s">
        <v>451</v>
      </c>
      <c r="G747">
        <v>33.450000000000003</v>
      </c>
      <c r="H747">
        <v>20.009999999999998</v>
      </c>
      <c r="I747">
        <v>268.75</v>
      </c>
      <c r="J747">
        <v>173.42</v>
      </c>
      <c r="Q747"/>
    </row>
    <row r="748" spans="1:17" x14ac:dyDescent="0.25">
      <c r="A748">
        <v>3</v>
      </c>
      <c r="B748">
        <v>2016</v>
      </c>
      <c r="C748" t="s">
        <v>448</v>
      </c>
      <c r="D748" t="s">
        <v>449</v>
      </c>
      <c r="E748" t="s">
        <v>453</v>
      </c>
      <c r="F748" t="s">
        <v>454</v>
      </c>
      <c r="G748">
        <v>94.5</v>
      </c>
      <c r="H748">
        <v>30</v>
      </c>
      <c r="I748">
        <v>122.7</v>
      </c>
      <c r="J748">
        <v>42</v>
      </c>
      <c r="Q748"/>
    </row>
    <row r="749" spans="1:17" x14ac:dyDescent="0.25">
      <c r="A749">
        <v>3</v>
      </c>
      <c r="B749">
        <v>2016</v>
      </c>
      <c r="C749" t="s">
        <v>455</v>
      </c>
      <c r="D749" t="s">
        <v>456</v>
      </c>
      <c r="E749" t="s">
        <v>457</v>
      </c>
      <c r="F749" t="s">
        <v>458</v>
      </c>
      <c r="G749">
        <v>1504.8</v>
      </c>
      <c r="H749">
        <v>264</v>
      </c>
      <c r="I749">
        <v>1081.8</v>
      </c>
      <c r="J749">
        <v>204</v>
      </c>
      <c r="Q749"/>
    </row>
    <row r="750" spans="1:17" x14ac:dyDescent="0.25">
      <c r="A750">
        <v>3</v>
      </c>
      <c r="B750">
        <v>2016</v>
      </c>
      <c r="C750" t="s">
        <v>455</v>
      </c>
      <c r="D750" t="s">
        <v>456</v>
      </c>
      <c r="E750" t="s">
        <v>460</v>
      </c>
      <c r="F750" t="s">
        <v>458</v>
      </c>
      <c r="G750">
        <v>1152</v>
      </c>
      <c r="H750">
        <v>198</v>
      </c>
      <c r="I750">
        <v>1131.3</v>
      </c>
      <c r="J750">
        <v>204</v>
      </c>
      <c r="Q750"/>
    </row>
    <row r="751" spans="1:17" x14ac:dyDescent="0.25">
      <c r="A751">
        <v>3</v>
      </c>
      <c r="B751">
        <v>2016</v>
      </c>
      <c r="C751" t="s">
        <v>462</v>
      </c>
      <c r="D751" t="s">
        <v>463</v>
      </c>
      <c r="E751" t="s">
        <v>464</v>
      </c>
      <c r="F751" t="s">
        <v>465</v>
      </c>
      <c r="G751">
        <v>691.2</v>
      </c>
      <c r="H751">
        <v>252</v>
      </c>
      <c r="I751">
        <v>598.20000000000005</v>
      </c>
      <c r="J751">
        <v>222</v>
      </c>
      <c r="Q751"/>
    </row>
    <row r="752" spans="1:17" x14ac:dyDescent="0.25">
      <c r="A752">
        <v>3</v>
      </c>
      <c r="B752">
        <v>2016</v>
      </c>
      <c r="C752" t="s">
        <v>462</v>
      </c>
      <c r="D752" t="s">
        <v>463</v>
      </c>
      <c r="E752" t="s">
        <v>466</v>
      </c>
      <c r="F752" t="s">
        <v>465</v>
      </c>
      <c r="G752">
        <v>80.16</v>
      </c>
      <c r="H752">
        <v>24</v>
      </c>
      <c r="I752">
        <v>19.8</v>
      </c>
      <c r="J752">
        <v>6</v>
      </c>
      <c r="Q752"/>
    </row>
    <row r="753" spans="1:17" x14ac:dyDescent="0.25">
      <c r="A753">
        <v>3</v>
      </c>
      <c r="B753">
        <v>2016</v>
      </c>
      <c r="C753" t="s">
        <v>462</v>
      </c>
      <c r="D753" t="s">
        <v>463</v>
      </c>
      <c r="E753" t="s">
        <v>467</v>
      </c>
      <c r="F753" t="s">
        <v>468</v>
      </c>
      <c r="G753">
        <v>141</v>
      </c>
      <c r="H753">
        <v>60</v>
      </c>
      <c r="I753">
        <v>179.4</v>
      </c>
      <c r="J753">
        <v>84</v>
      </c>
      <c r="Q753"/>
    </row>
    <row r="754" spans="1:17" x14ac:dyDescent="0.25">
      <c r="A754">
        <v>3</v>
      </c>
      <c r="B754">
        <v>2016</v>
      </c>
      <c r="C754" t="s">
        <v>462</v>
      </c>
      <c r="D754" t="s">
        <v>463</v>
      </c>
      <c r="E754" t="s">
        <v>760</v>
      </c>
      <c r="F754" t="s">
        <v>468</v>
      </c>
      <c r="G754">
        <v>36.24</v>
      </c>
      <c r="H754">
        <v>12</v>
      </c>
      <c r="Q754"/>
    </row>
    <row r="755" spans="1:17" x14ac:dyDescent="0.25">
      <c r="A755">
        <v>3</v>
      </c>
      <c r="B755">
        <v>2016</v>
      </c>
      <c r="C755" t="s">
        <v>462</v>
      </c>
      <c r="D755" t="s">
        <v>463</v>
      </c>
      <c r="E755" t="s">
        <v>469</v>
      </c>
      <c r="F755" t="s">
        <v>470</v>
      </c>
      <c r="G755">
        <v>68.5</v>
      </c>
      <c r="H755">
        <v>39.99</v>
      </c>
      <c r="I755">
        <v>666.4</v>
      </c>
      <c r="J755">
        <v>426.56</v>
      </c>
      <c r="Q755"/>
    </row>
    <row r="756" spans="1:17" x14ac:dyDescent="0.25">
      <c r="A756">
        <v>3</v>
      </c>
      <c r="B756">
        <v>2016</v>
      </c>
      <c r="C756" t="s">
        <v>462</v>
      </c>
      <c r="D756" t="s">
        <v>463</v>
      </c>
      <c r="E756" t="s">
        <v>471</v>
      </c>
      <c r="F756" t="s">
        <v>470</v>
      </c>
      <c r="G756">
        <v>823.5</v>
      </c>
      <c r="H756">
        <v>420.21</v>
      </c>
      <c r="I756">
        <v>997.92</v>
      </c>
      <c r="J756">
        <v>533.6</v>
      </c>
      <c r="Q756"/>
    </row>
    <row r="757" spans="1:17" x14ac:dyDescent="0.25">
      <c r="A757">
        <v>3</v>
      </c>
      <c r="B757">
        <v>2016</v>
      </c>
      <c r="C757" t="s">
        <v>462</v>
      </c>
      <c r="D757" t="s">
        <v>463</v>
      </c>
      <c r="E757" t="s">
        <v>472</v>
      </c>
      <c r="F757" t="s">
        <v>473</v>
      </c>
      <c r="G757">
        <v>17.52</v>
      </c>
      <c r="H757">
        <v>13.33</v>
      </c>
      <c r="Q757"/>
    </row>
    <row r="758" spans="1:17" x14ac:dyDescent="0.25">
      <c r="A758">
        <v>3</v>
      </c>
      <c r="B758">
        <v>2016</v>
      </c>
      <c r="C758" t="s">
        <v>476</v>
      </c>
      <c r="D758" t="s">
        <v>477</v>
      </c>
      <c r="E758" t="s">
        <v>478</v>
      </c>
      <c r="F758" t="s">
        <v>479</v>
      </c>
      <c r="G758">
        <v>1593.6</v>
      </c>
      <c r="H758">
        <v>240</v>
      </c>
      <c r="I758">
        <v>686.4</v>
      </c>
      <c r="J758">
        <v>114</v>
      </c>
      <c r="Q758"/>
    </row>
    <row r="759" spans="1:17" x14ac:dyDescent="0.25">
      <c r="A759">
        <v>3</v>
      </c>
      <c r="B759">
        <v>2016</v>
      </c>
      <c r="C759" t="s">
        <v>476</v>
      </c>
      <c r="D759" t="s">
        <v>477</v>
      </c>
      <c r="E759" t="s">
        <v>480</v>
      </c>
      <c r="F759" t="s">
        <v>481</v>
      </c>
      <c r="G759">
        <v>204.6</v>
      </c>
      <c r="H759">
        <v>36</v>
      </c>
      <c r="Q759"/>
    </row>
    <row r="760" spans="1:17" x14ac:dyDescent="0.25">
      <c r="A760">
        <v>3</v>
      </c>
      <c r="B760">
        <v>2016</v>
      </c>
      <c r="C760" t="s">
        <v>476</v>
      </c>
      <c r="D760" t="s">
        <v>477</v>
      </c>
      <c r="E760" t="s">
        <v>482</v>
      </c>
      <c r="F760" t="s">
        <v>483</v>
      </c>
      <c r="G760">
        <v>55.2</v>
      </c>
      <c r="H760">
        <v>53.32</v>
      </c>
      <c r="I760">
        <v>207</v>
      </c>
      <c r="J760">
        <v>199.95</v>
      </c>
      <c r="Q760"/>
    </row>
    <row r="761" spans="1:17" x14ac:dyDescent="0.25">
      <c r="A761">
        <v>3</v>
      </c>
      <c r="B761">
        <v>2016</v>
      </c>
      <c r="C761" t="s">
        <v>476</v>
      </c>
      <c r="D761" t="s">
        <v>477</v>
      </c>
      <c r="E761" t="s">
        <v>484</v>
      </c>
      <c r="F761" t="s">
        <v>483</v>
      </c>
      <c r="G761">
        <v>110.5</v>
      </c>
      <c r="H761">
        <v>86.71</v>
      </c>
      <c r="I761">
        <v>165.78</v>
      </c>
      <c r="J761">
        <v>146.74</v>
      </c>
      <c r="Q761"/>
    </row>
    <row r="762" spans="1:17" x14ac:dyDescent="0.25">
      <c r="A762">
        <v>3</v>
      </c>
      <c r="B762">
        <v>2016</v>
      </c>
      <c r="C762" t="s">
        <v>485</v>
      </c>
      <c r="D762" t="s">
        <v>486</v>
      </c>
      <c r="E762" t="s">
        <v>487</v>
      </c>
      <c r="F762" t="s">
        <v>488</v>
      </c>
      <c r="G762">
        <v>1186.8</v>
      </c>
      <c r="H762">
        <v>258</v>
      </c>
      <c r="I762">
        <v>376.8</v>
      </c>
      <c r="J762">
        <v>90</v>
      </c>
      <c r="Q762"/>
    </row>
    <row r="763" spans="1:17" x14ac:dyDescent="0.25">
      <c r="A763">
        <v>3</v>
      </c>
      <c r="B763">
        <v>2016</v>
      </c>
      <c r="C763" t="s">
        <v>485</v>
      </c>
      <c r="D763" t="s">
        <v>486</v>
      </c>
      <c r="E763" t="s">
        <v>761</v>
      </c>
      <c r="F763" t="s">
        <v>762</v>
      </c>
      <c r="G763">
        <v>0</v>
      </c>
      <c r="H763">
        <v>6</v>
      </c>
      <c r="Q763"/>
    </row>
    <row r="764" spans="1:17" x14ac:dyDescent="0.25">
      <c r="A764">
        <v>3</v>
      </c>
      <c r="B764">
        <v>2016</v>
      </c>
      <c r="C764" t="s">
        <v>765</v>
      </c>
      <c r="D764" t="s">
        <v>766</v>
      </c>
      <c r="E764" t="s">
        <v>769</v>
      </c>
      <c r="F764" t="s">
        <v>770</v>
      </c>
      <c r="G764">
        <v>561.6</v>
      </c>
      <c r="H764">
        <v>162</v>
      </c>
      <c r="Q764"/>
    </row>
    <row r="765" spans="1:17" x14ac:dyDescent="0.25">
      <c r="A765">
        <v>3</v>
      </c>
      <c r="B765">
        <v>2016</v>
      </c>
      <c r="C765" t="s">
        <v>765</v>
      </c>
      <c r="D765" t="s">
        <v>766</v>
      </c>
      <c r="E765" t="s">
        <v>771</v>
      </c>
      <c r="F765" t="s">
        <v>772</v>
      </c>
      <c r="G765">
        <v>187.2</v>
      </c>
      <c r="H765">
        <v>42</v>
      </c>
      <c r="Q765"/>
    </row>
    <row r="766" spans="1:17" x14ac:dyDescent="0.25">
      <c r="A766">
        <v>3</v>
      </c>
      <c r="B766">
        <v>2016</v>
      </c>
      <c r="C766" t="s">
        <v>506</v>
      </c>
      <c r="D766" t="s">
        <v>507</v>
      </c>
      <c r="E766" t="s">
        <v>508</v>
      </c>
      <c r="F766" t="s">
        <v>509</v>
      </c>
      <c r="G766">
        <v>808.8</v>
      </c>
      <c r="H766">
        <v>186</v>
      </c>
      <c r="I766">
        <v>1452</v>
      </c>
      <c r="J766">
        <v>330</v>
      </c>
      <c r="Q766"/>
    </row>
    <row r="767" spans="1:17" x14ac:dyDescent="0.25">
      <c r="A767">
        <v>3</v>
      </c>
      <c r="B767">
        <v>2016</v>
      </c>
      <c r="C767" t="s">
        <v>506</v>
      </c>
      <c r="D767" t="s">
        <v>507</v>
      </c>
      <c r="E767" t="s">
        <v>510</v>
      </c>
      <c r="F767" t="s">
        <v>511</v>
      </c>
      <c r="G767">
        <v>138.6</v>
      </c>
      <c r="H767">
        <v>42</v>
      </c>
      <c r="I767">
        <v>787.2</v>
      </c>
      <c r="J767">
        <v>252</v>
      </c>
      <c r="Q767"/>
    </row>
    <row r="768" spans="1:17" x14ac:dyDescent="0.25">
      <c r="A768">
        <v>3</v>
      </c>
      <c r="B768">
        <v>2016</v>
      </c>
      <c r="C768" t="s">
        <v>506</v>
      </c>
      <c r="D768" t="s">
        <v>507</v>
      </c>
      <c r="E768" t="s">
        <v>514</v>
      </c>
      <c r="F768" t="s">
        <v>515</v>
      </c>
      <c r="G768">
        <v>604.79999999999995</v>
      </c>
      <c r="H768">
        <v>102</v>
      </c>
      <c r="I768">
        <v>446.4</v>
      </c>
      <c r="J768">
        <v>72</v>
      </c>
      <c r="Q768"/>
    </row>
    <row r="769" spans="1:17" x14ac:dyDescent="0.25">
      <c r="A769">
        <v>3</v>
      </c>
      <c r="B769">
        <v>2016</v>
      </c>
      <c r="C769" t="s">
        <v>516</v>
      </c>
      <c r="D769" t="s">
        <v>517</v>
      </c>
      <c r="E769" t="s">
        <v>520</v>
      </c>
      <c r="F769" t="s">
        <v>521</v>
      </c>
      <c r="G769">
        <v>84.72</v>
      </c>
      <c r="H769">
        <v>24</v>
      </c>
      <c r="I769">
        <v>280.5</v>
      </c>
      <c r="J769">
        <v>66</v>
      </c>
      <c r="Q769"/>
    </row>
    <row r="770" spans="1:17" x14ac:dyDescent="0.25">
      <c r="A770">
        <v>3</v>
      </c>
      <c r="B770">
        <v>2016</v>
      </c>
      <c r="C770" t="s">
        <v>516</v>
      </c>
      <c r="D770" t="s">
        <v>517</v>
      </c>
      <c r="E770" t="s">
        <v>522</v>
      </c>
      <c r="F770" t="s">
        <v>523</v>
      </c>
      <c r="G770">
        <v>2305.38</v>
      </c>
      <c r="H770">
        <v>516</v>
      </c>
      <c r="I770">
        <v>1180.8</v>
      </c>
      <c r="J770">
        <v>324</v>
      </c>
      <c r="Q770"/>
    </row>
    <row r="771" spans="1:17" x14ac:dyDescent="0.25">
      <c r="A771">
        <v>3</v>
      </c>
      <c r="B771">
        <v>2016</v>
      </c>
      <c r="C771" t="s">
        <v>516</v>
      </c>
      <c r="D771" t="s">
        <v>517</v>
      </c>
      <c r="E771" t="s">
        <v>828</v>
      </c>
      <c r="F771" t="s">
        <v>829</v>
      </c>
      <c r="G771">
        <v>473.16</v>
      </c>
      <c r="H771">
        <v>36</v>
      </c>
      <c r="I771">
        <v>255.6</v>
      </c>
      <c r="J771">
        <v>18</v>
      </c>
      <c r="Q771"/>
    </row>
    <row r="772" spans="1:17" x14ac:dyDescent="0.25">
      <c r="A772">
        <v>3</v>
      </c>
      <c r="B772">
        <v>2016</v>
      </c>
      <c r="C772" t="s">
        <v>516</v>
      </c>
      <c r="D772" t="s">
        <v>517</v>
      </c>
      <c r="E772" t="s">
        <v>830</v>
      </c>
      <c r="F772" t="s">
        <v>829</v>
      </c>
      <c r="G772">
        <v>207.84</v>
      </c>
      <c r="H772">
        <v>18</v>
      </c>
      <c r="Q772"/>
    </row>
    <row r="773" spans="1:17" x14ac:dyDescent="0.25">
      <c r="A773">
        <v>3</v>
      </c>
      <c r="B773">
        <v>2016</v>
      </c>
      <c r="C773" t="s">
        <v>524</v>
      </c>
      <c r="D773" t="s">
        <v>525</v>
      </c>
      <c r="E773" t="s">
        <v>526</v>
      </c>
      <c r="F773" t="s">
        <v>527</v>
      </c>
      <c r="G773">
        <v>1176</v>
      </c>
      <c r="H773">
        <v>420</v>
      </c>
      <c r="I773">
        <v>683.7</v>
      </c>
      <c r="J773">
        <v>258</v>
      </c>
      <c r="Q773"/>
    </row>
    <row r="774" spans="1:17" x14ac:dyDescent="0.25">
      <c r="A774">
        <v>3</v>
      </c>
      <c r="B774">
        <v>2016</v>
      </c>
      <c r="C774" t="s">
        <v>524</v>
      </c>
      <c r="D774" t="s">
        <v>525</v>
      </c>
      <c r="E774" t="s">
        <v>528</v>
      </c>
      <c r="F774" t="s">
        <v>529</v>
      </c>
      <c r="G774">
        <v>475.2</v>
      </c>
      <c r="H774">
        <v>96</v>
      </c>
      <c r="I774">
        <v>57.6</v>
      </c>
      <c r="J774">
        <v>12</v>
      </c>
      <c r="Q774"/>
    </row>
    <row r="775" spans="1:17" x14ac:dyDescent="0.25">
      <c r="A775">
        <v>3</v>
      </c>
      <c r="B775">
        <v>2016</v>
      </c>
      <c r="C775" t="s">
        <v>530</v>
      </c>
      <c r="D775" t="s">
        <v>531</v>
      </c>
      <c r="E775" t="s">
        <v>532</v>
      </c>
      <c r="F775" t="s">
        <v>533</v>
      </c>
      <c r="G775">
        <v>412.8</v>
      </c>
      <c r="H775">
        <v>102</v>
      </c>
      <c r="I775">
        <v>551.70000000000005</v>
      </c>
      <c r="J775">
        <v>132</v>
      </c>
      <c r="Q775"/>
    </row>
    <row r="776" spans="1:17" x14ac:dyDescent="0.25">
      <c r="A776">
        <v>3</v>
      </c>
      <c r="B776">
        <v>2016</v>
      </c>
      <c r="C776" t="s">
        <v>534</v>
      </c>
      <c r="D776" t="s">
        <v>535</v>
      </c>
      <c r="E776" t="s">
        <v>536</v>
      </c>
      <c r="F776" t="s">
        <v>537</v>
      </c>
      <c r="G776">
        <v>330</v>
      </c>
      <c r="H776">
        <v>90</v>
      </c>
      <c r="I776">
        <v>327.60000000000002</v>
      </c>
      <c r="J776">
        <v>90</v>
      </c>
      <c r="Q776"/>
    </row>
    <row r="777" spans="1:17" x14ac:dyDescent="0.25">
      <c r="A777">
        <v>3</v>
      </c>
      <c r="B777">
        <v>2016</v>
      </c>
      <c r="C777" t="s">
        <v>534</v>
      </c>
      <c r="D777" t="s">
        <v>535</v>
      </c>
      <c r="E777" t="s">
        <v>538</v>
      </c>
      <c r="F777" t="s">
        <v>537</v>
      </c>
      <c r="G777">
        <v>732</v>
      </c>
      <c r="H777">
        <v>192</v>
      </c>
      <c r="I777">
        <v>513</v>
      </c>
      <c r="J777">
        <v>132</v>
      </c>
      <c r="Q777"/>
    </row>
    <row r="778" spans="1:17" x14ac:dyDescent="0.25">
      <c r="A778">
        <v>3</v>
      </c>
      <c r="B778">
        <v>2016</v>
      </c>
      <c r="C778" t="s">
        <v>534</v>
      </c>
      <c r="D778" t="s">
        <v>535</v>
      </c>
      <c r="E778" t="s">
        <v>831</v>
      </c>
      <c r="F778" t="s">
        <v>832</v>
      </c>
      <c r="G778">
        <v>277.2</v>
      </c>
      <c r="H778">
        <v>72</v>
      </c>
      <c r="I778">
        <v>100.8</v>
      </c>
      <c r="J778">
        <v>36</v>
      </c>
      <c r="Q778"/>
    </row>
    <row r="779" spans="1:17" x14ac:dyDescent="0.25">
      <c r="A779">
        <v>3</v>
      </c>
      <c r="B779">
        <v>2016</v>
      </c>
      <c r="C779" t="s">
        <v>539</v>
      </c>
      <c r="D779" t="s">
        <v>540</v>
      </c>
      <c r="E779" t="s">
        <v>541</v>
      </c>
      <c r="F779" t="s">
        <v>542</v>
      </c>
      <c r="G779">
        <v>1658.7</v>
      </c>
      <c r="H779">
        <v>300</v>
      </c>
      <c r="I779">
        <v>393.6</v>
      </c>
      <c r="J779">
        <v>78</v>
      </c>
      <c r="Q779"/>
    </row>
    <row r="780" spans="1:17" x14ac:dyDescent="0.25">
      <c r="A780">
        <v>3</v>
      </c>
      <c r="B780">
        <v>2016</v>
      </c>
      <c r="C780" t="s">
        <v>543</v>
      </c>
      <c r="D780" t="s">
        <v>544</v>
      </c>
      <c r="E780" t="s">
        <v>833</v>
      </c>
      <c r="F780" t="s">
        <v>834</v>
      </c>
      <c r="G780">
        <v>904.8</v>
      </c>
      <c r="H780">
        <v>162</v>
      </c>
      <c r="I780">
        <v>67.8</v>
      </c>
      <c r="J780">
        <v>12</v>
      </c>
      <c r="Q780"/>
    </row>
    <row r="781" spans="1:17" x14ac:dyDescent="0.25">
      <c r="A781">
        <v>3</v>
      </c>
      <c r="B781">
        <v>2016</v>
      </c>
      <c r="C781" t="s">
        <v>543</v>
      </c>
      <c r="D781" t="s">
        <v>544</v>
      </c>
      <c r="E781" t="s">
        <v>545</v>
      </c>
      <c r="F781" t="s">
        <v>546</v>
      </c>
      <c r="G781">
        <v>662.4</v>
      </c>
      <c r="H781">
        <v>102</v>
      </c>
      <c r="I781">
        <v>925.2</v>
      </c>
      <c r="J781">
        <v>144</v>
      </c>
      <c r="Q781"/>
    </row>
    <row r="782" spans="1:17" x14ac:dyDescent="0.25">
      <c r="A782">
        <v>3</v>
      </c>
      <c r="B782">
        <v>2016</v>
      </c>
      <c r="C782" t="s">
        <v>543</v>
      </c>
      <c r="D782" t="s">
        <v>544</v>
      </c>
      <c r="E782" t="s">
        <v>548</v>
      </c>
      <c r="F782" t="s">
        <v>549</v>
      </c>
      <c r="G782">
        <v>0</v>
      </c>
      <c r="H782">
        <v>6</v>
      </c>
      <c r="I782">
        <v>248.4</v>
      </c>
      <c r="J782">
        <v>24</v>
      </c>
      <c r="Q782"/>
    </row>
    <row r="783" spans="1:17" x14ac:dyDescent="0.25">
      <c r="A783">
        <v>3</v>
      </c>
      <c r="B783">
        <v>2016</v>
      </c>
      <c r="C783" t="s">
        <v>543</v>
      </c>
      <c r="D783" t="s">
        <v>544</v>
      </c>
      <c r="E783" t="s">
        <v>550</v>
      </c>
      <c r="F783" t="s">
        <v>551</v>
      </c>
      <c r="G783">
        <v>0</v>
      </c>
      <c r="H783">
        <v>6</v>
      </c>
      <c r="Q783"/>
    </row>
    <row r="784" spans="1:17" x14ac:dyDescent="0.25">
      <c r="A784">
        <v>3</v>
      </c>
      <c r="B784">
        <v>2016</v>
      </c>
      <c r="C784" t="s">
        <v>554</v>
      </c>
      <c r="D784" t="s">
        <v>555</v>
      </c>
      <c r="E784" t="s">
        <v>556</v>
      </c>
      <c r="F784" t="s">
        <v>557</v>
      </c>
      <c r="G784">
        <v>88.5</v>
      </c>
      <c r="H784">
        <v>30</v>
      </c>
      <c r="I784">
        <v>400.8</v>
      </c>
      <c r="J784">
        <v>150</v>
      </c>
      <c r="Q784"/>
    </row>
    <row r="785" spans="1:17" x14ac:dyDescent="0.25">
      <c r="A785">
        <v>3</v>
      </c>
      <c r="B785">
        <v>2016</v>
      </c>
      <c r="C785" t="s">
        <v>560</v>
      </c>
      <c r="D785" t="s">
        <v>561</v>
      </c>
      <c r="E785" t="s">
        <v>562</v>
      </c>
      <c r="F785" t="s">
        <v>563</v>
      </c>
      <c r="G785">
        <v>2992.8</v>
      </c>
      <c r="H785">
        <v>1032</v>
      </c>
      <c r="I785">
        <v>1876.5</v>
      </c>
      <c r="J785">
        <v>672</v>
      </c>
      <c r="Q785"/>
    </row>
    <row r="786" spans="1:17" x14ac:dyDescent="0.25">
      <c r="A786">
        <v>3</v>
      </c>
      <c r="B786">
        <v>2016</v>
      </c>
      <c r="C786" t="s">
        <v>560</v>
      </c>
      <c r="D786" t="s">
        <v>561</v>
      </c>
      <c r="E786" t="s">
        <v>564</v>
      </c>
      <c r="F786" t="s">
        <v>565</v>
      </c>
      <c r="G786">
        <v>438.6</v>
      </c>
      <c r="H786">
        <v>102</v>
      </c>
      <c r="I786">
        <v>263.39999999999998</v>
      </c>
      <c r="J786">
        <v>84</v>
      </c>
      <c r="Q786"/>
    </row>
    <row r="787" spans="1:17" x14ac:dyDescent="0.25">
      <c r="A787">
        <v>3</v>
      </c>
      <c r="B787">
        <v>2016</v>
      </c>
      <c r="C787" t="s">
        <v>560</v>
      </c>
      <c r="D787" t="s">
        <v>561</v>
      </c>
      <c r="E787" t="s">
        <v>773</v>
      </c>
      <c r="F787" t="s">
        <v>774</v>
      </c>
      <c r="G787">
        <v>208.8</v>
      </c>
      <c r="H787">
        <v>72</v>
      </c>
      <c r="I787">
        <v>0</v>
      </c>
      <c r="J787">
        <v>6</v>
      </c>
      <c r="Q787"/>
    </row>
    <row r="788" spans="1:17" x14ac:dyDescent="0.25">
      <c r="A788">
        <v>3</v>
      </c>
      <c r="B788">
        <v>2016</v>
      </c>
      <c r="C788" t="s">
        <v>560</v>
      </c>
      <c r="D788" t="s">
        <v>561</v>
      </c>
      <c r="E788" t="s">
        <v>775</v>
      </c>
      <c r="F788" t="s">
        <v>776</v>
      </c>
      <c r="G788">
        <v>180</v>
      </c>
      <c r="H788">
        <v>72</v>
      </c>
      <c r="I788">
        <v>88.8</v>
      </c>
      <c r="J788">
        <v>36</v>
      </c>
      <c r="Q788"/>
    </row>
    <row r="789" spans="1:17" x14ac:dyDescent="0.25">
      <c r="A789">
        <v>3</v>
      </c>
      <c r="B789">
        <v>2016</v>
      </c>
      <c r="C789" t="s">
        <v>560</v>
      </c>
      <c r="D789" t="s">
        <v>561</v>
      </c>
      <c r="E789" t="s">
        <v>835</v>
      </c>
      <c r="F789" t="s">
        <v>836</v>
      </c>
      <c r="G789">
        <v>0</v>
      </c>
      <c r="H789">
        <v>36</v>
      </c>
      <c r="Q789"/>
    </row>
    <row r="790" spans="1:17" x14ac:dyDescent="0.25">
      <c r="A790">
        <v>3</v>
      </c>
      <c r="B790">
        <v>2016</v>
      </c>
      <c r="C790" t="s">
        <v>566</v>
      </c>
      <c r="D790" t="s">
        <v>567</v>
      </c>
      <c r="E790" t="s">
        <v>568</v>
      </c>
      <c r="F790" t="s">
        <v>569</v>
      </c>
      <c r="G790">
        <v>296.52</v>
      </c>
      <c r="H790">
        <v>48</v>
      </c>
      <c r="Q790"/>
    </row>
    <row r="791" spans="1:17" x14ac:dyDescent="0.25">
      <c r="A791">
        <v>3</v>
      </c>
      <c r="B791">
        <v>2016</v>
      </c>
      <c r="C791" t="s">
        <v>566</v>
      </c>
      <c r="D791" t="s">
        <v>567</v>
      </c>
      <c r="E791" t="s">
        <v>837</v>
      </c>
      <c r="F791" t="s">
        <v>838</v>
      </c>
      <c r="G791">
        <v>0</v>
      </c>
      <c r="H791">
        <v>6</v>
      </c>
      <c r="Q791"/>
    </row>
    <row r="792" spans="1:17" x14ac:dyDescent="0.25">
      <c r="A792">
        <v>3</v>
      </c>
      <c r="B792">
        <v>2016</v>
      </c>
      <c r="C792" t="s">
        <v>566</v>
      </c>
      <c r="D792" t="s">
        <v>567</v>
      </c>
      <c r="E792" t="s">
        <v>839</v>
      </c>
      <c r="F792" t="s">
        <v>838</v>
      </c>
      <c r="G792">
        <v>0</v>
      </c>
      <c r="H792">
        <v>6</v>
      </c>
      <c r="Q792"/>
    </row>
    <row r="793" spans="1:17" x14ac:dyDescent="0.25">
      <c r="A793">
        <v>3</v>
      </c>
      <c r="B793">
        <v>2016</v>
      </c>
      <c r="C793" t="s">
        <v>571</v>
      </c>
      <c r="D793" t="s">
        <v>572</v>
      </c>
      <c r="E793" t="s">
        <v>575</v>
      </c>
      <c r="F793" t="s">
        <v>574</v>
      </c>
      <c r="G793">
        <v>1267.2</v>
      </c>
      <c r="H793">
        <v>192</v>
      </c>
      <c r="Q793"/>
    </row>
    <row r="794" spans="1:17" x14ac:dyDescent="0.25">
      <c r="A794">
        <v>3</v>
      </c>
      <c r="B794">
        <v>2016</v>
      </c>
      <c r="C794" t="s">
        <v>571</v>
      </c>
      <c r="D794" t="s">
        <v>572</v>
      </c>
      <c r="E794" t="s">
        <v>578</v>
      </c>
      <c r="F794" t="s">
        <v>579</v>
      </c>
      <c r="G794">
        <v>378</v>
      </c>
      <c r="H794">
        <v>42</v>
      </c>
      <c r="Q794"/>
    </row>
    <row r="795" spans="1:17" x14ac:dyDescent="0.25">
      <c r="A795">
        <v>3</v>
      </c>
      <c r="B795">
        <v>2016</v>
      </c>
      <c r="C795" t="s">
        <v>582</v>
      </c>
      <c r="D795" t="s">
        <v>583</v>
      </c>
      <c r="E795" t="s">
        <v>584</v>
      </c>
      <c r="F795" t="s">
        <v>585</v>
      </c>
      <c r="G795">
        <v>1538.4</v>
      </c>
      <c r="H795">
        <v>384</v>
      </c>
      <c r="I795">
        <v>1200</v>
      </c>
      <c r="J795">
        <v>306</v>
      </c>
      <c r="Q795"/>
    </row>
    <row r="796" spans="1:17" x14ac:dyDescent="0.25">
      <c r="A796">
        <v>3</v>
      </c>
      <c r="B796">
        <v>2016</v>
      </c>
      <c r="C796" t="s">
        <v>582</v>
      </c>
      <c r="D796" t="s">
        <v>583</v>
      </c>
      <c r="E796" t="s">
        <v>779</v>
      </c>
      <c r="F796" t="s">
        <v>780</v>
      </c>
      <c r="G796">
        <v>40.200000000000003</v>
      </c>
      <c r="H796">
        <v>12</v>
      </c>
      <c r="I796">
        <v>80.400000000000006</v>
      </c>
      <c r="J796">
        <v>24</v>
      </c>
      <c r="Q796"/>
    </row>
    <row r="797" spans="1:17" x14ac:dyDescent="0.25">
      <c r="A797">
        <v>3</v>
      </c>
      <c r="B797">
        <v>2016</v>
      </c>
      <c r="C797" t="s">
        <v>582</v>
      </c>
      <c r="D797" t="s">
        <v>583</v>
      </c>
      <c r="E797" t="s">
        <v>840</v>
      </c>
      <c r="F797" t="s">
        <v>841</v>
      </c>
      <c r="G797">
        <v>191.52</v>
      </c>
      <c r="H797">
        <v>36</v>
      </c>
      <c r="Q797"/>
    </row>
    <row r="798" spans="1:17" x14ac:dyDescent="0.25">
      <c r="A798">
        <v>3</v>
      </c>
      <c r="B798">
        <v>2016</v>
      </c>
      <c r="C798" t="s">
        <v>588</v>
      </c>
      <c r="D798" t="s">
        <v>589</v>
      </c>
      <c r="E798" t="s">
        <v>590</v>
      </c>
      <c r="F798" t="s">
        <v>591</v>
      </c>
      <c r="G798">
        <v>2010.7</v>
      </c>
      <c r="H798">
        <v>708</v>
      </c>
      <c r="I798">
        <v>1543.2</v>
      </c>
      <c r="J798">
        <v>546</v>
      </c>
      <c r="Q798"/>
    </row>
    <row r="799" spans="1:17" x14ac:dyDescent="0.25">
      <c r="A799">
        <v>3</v>
      </c>
      <c r="B799">
        <v>2016</v>
      </c>
      <c r="C799" t="s">
        <v>588</v>
      </c>
      <c r="D799" t="s">
        <v>589</v>
      </c>
      <c r="E799" t="s">
        <v>592</v>
      </c>
      <c r="F799" t="s">
        <v>593</v>
      </c>
      <c r="G799">
        <v>1467.18</v>
      </c>
      <c r="H799">
        <v>600</v>
      </c>
      <c r="I799">
        <v>1638.96</v>
      </c>
      <c r="J799">
        <v>696</v>
      </c>
      <c r="Q799"/>
    </row>
    <row r="800" spans="1:17" x14ac:dyDescent="0.25">
      <c r="A800">
        <v>3</v>
      </c>
      <c r="B800">
        <v>2016</v>
      </c>
      <c r="C800" t="s">
        <v>588</v>
      </c>
      <c r="D800" t="s">
        <v>589</v>
      </c>
      <c r="E800" t="s">
        <v>594</v>
      </c>
      <c r="F800" t="s">
        <v>595</v>
      </c>
      <c r="G800">
        <v>555</v>
      </c>
      <c r="H800">
        <v>399.9</v>
      </c>
      <c r="I800">
        <v>1294.8</v>
      </c>
      <c r="J800">
        <v>946.43</v>
      </c>
      <c r="Q800"/>
    </row>
    <row r="801" spans="1:17" x14ac:dyDescent="0.25">
      <c r="A801">
        <v>3</v>
      </c>
      <c r="B801">
        <v>2016</v>
      </c>
      <c r="C801" t="s">
        <v>588</v>
      </c>
      <c r="D801" t="s">
        <v>589</v>
      </c>
      <c r="E801" t="s">
        <v>596</v>
      </c>
      <c r="F801" t="s">
        <v>595</v>
      </c>
      <c r="G801">
        <v>609</v>
      </c>
      <c r="H801">
        <v>406.87</v>
      </c>
      <c r="I801">
        <v>946.05</v>
      </c>
      <c r="J801">
        <v>653.66</v>
      </c>
      <c r="Q801"/>
    </row>
    <row r="802" spans="1:17" x14ac:dyDescent="0.25">
      <c r="A802">
        <v>3</v>
      </c>
      <c r="B802">
        <v>2016</v>
      </c>
      <c r="C802" t="s">
        <v>588</v>
      </c>
      <c r="D802" t="s">
        <v>589</v>
      </c>
      <c r="E802" t="s">
        <v>842</v>
      </c>
      <c r="F802" t="s">
        <v>843</v>
      </c>
      <c r="G802">
        <v>0</v>
      </c>
      <c r="H802">
        <v>6</v>
      </c>
      <c r="Q802"/>
    </row>
    <row r="803" spans="1:17" x14ac:dyDescent="0.25">
      <c r="A803">
        <v>3</v>
      </c>
      <c r="B803">
        <v>2016</v>
      </c>
      <c r="C803" t="s">
        <v>605</v>
      </c>
      <c r="D803" t="s">
        <v>606</v>
      </c>
      <c r="E803" t="s">
        <v>607</v>
      </c>
      <c r="F803" t="s">
        <v>608</v>
      </c>
      <c r="G803">
        <v>3143.4</v>
      </c>
      <c r="H803">
        <v>870</v>
      </c>
      <c r="I803">
        <v>736.56</v>
      </c>
      <c r="J803">
        <v>204</v>
      </c>
      <c r="Q803"/>
    </row>
    <row r="804" spans="1:17" x14ac:dyDescent="0.25">
      <c r="A804">
        <v>3</v>
      </c>
      <c r="B804">
        <v>2016</v>
      </c>
      <c r="C804" t="s">
        <v>605</v>
      </c>
      <c r="D804" t="s">
        <v>606</v>
      </c>
      <c r="E804" t="s">
        <v>609</v>
      </c>
      <c r="F804" t="s">
        <v>610</v>
      </c>
      <c r="G804">
        <v>148.32</v>
      </c>
      <c r="H804">
        <v>30</v>
      </c>
      <c r="I804">
        <v>36.72</v>
      </c>
      <c r="J804">
        <v>12</v>
      </c>
      <c r="Q804"/>
    </row>
    <row r="805" spans="1:17" x14ac:dyDescent="0.25">
      <c r="A805">
        <v>3</v>
      </c>
      <c r="B805">
        <v>2016</v>
      </c>
      <c r="C805" t="s">
        <v>605</v>
      </c>
      <c r="D805" t="s">
        <v>606</v>
      </c>
      <c r="E805" t="s">
        <v>611</v>
      </c>
      <c r="F805" t="s">
        <v>612</v>
      </c>
      <c r="G805">
        <v>2242.96</v>
      </c>
      <c r="H805">
        <v>1062</v>
      </c>
      <c r="Q805"/>
    </row>
    <row r="806" spans="1:17" x14ac:dyDescent="0.25">
      <c r="A806">
        <v>3</v>
      </c>
      <c r="B806">
        <v>2016</v>
      </c>
      <c r="C806" t="s">
        <v>605</v>
      </c>
      <c r="D806" t="s">
        <v>606</v>
      </c>
      <c r="E806" t="s">
        <v>613</v>
      </c>
      <c r="F806" t="s">
        <v>614</v>
      </c>
      <c r="G806">
        <v>804</v>
      </c>
      <c r="H806">
        <v>799.8</v>
      </c>
      <c r="I806">
        <v>1050.7</v>
      </c>
      <c r="J806">
        <v>1053.07</v>
      </c>
      <c r="Q806"/>
    </row>
    <row r="807" spans="1:17" x14ac:dyDescent="0.25">
      <c r="A807">
        <v>3</v>
      </c>
      <c r="B807">
        <v>2016</v>
      </c>
      <c r="C807" t="s">
        <v>605</v>
      </c>
      <c r="D807" t="s">
        <v>606</v>
      </c>
      <c r="E807" t="s">
        <v>615</v>
      </c>
      <c r="F807" t="s">
        <v>614</v>
      </c>
      <c r="G807">
        <v>729.12</v>
      </c>
      <c r="H807">
        <v>640.31999999999994</v>
      </c>
      <c r="I807">
        <v>856.9</v>
      </c>
      <c r="J807">
        <v>747.04</v>
      </c>
      <c r="Q807"/>
    </row>
    <row r="808" spans="1:17" x14ac:dyDescent="0.25">
      <c r="A808">
        <v>3</v>
      </c>
      <c r="B808">
        <v>2016</v>
      </c>
      <c r="C808" t="s">
        <v>605</v>
      </c>
      <c r="D808" t="s">
        <v>606</v>
      </c>
      <c r="E808" t="s">
        <v>616</v>
      </c>
      <c r="F808" t="s">
        <v>617</v>
      </c>
      <c r="G808">
        <v>526.5</v>
      </c>
      <c r="H808">
        <v>399.9</v>
      </c>
      <c r="I808">
        <v>414.87</v>
      </c>
      <c r="J808">
        <v>319.92</v>
      </c>
      <c r="Q808"/>
    </row>
    <row r="809" spans="1:17" x14ac:dyDescent="0.25">
      <c r="A809">
        <v>3</v>
      </c>
      <c r="B809">
        <v>2016</v>
      </c>
      <c r="C809" t="s">
        <v>605</v>
      </c>
      <c r="D809" t="s">
        <v>606</v>
      </c>
      <c r="E809" t="s">
        <v>618</v>
      </c>
      <c r="F809" t="s">
        <v>617</v>
      </c>
      <c r="G809">
        <v>747</v>
      </c>
      <c r="H809">
        <v>506.92</v>
      </c>
      <c r="I809">
        <v>519.12</v>
      </c>
      <c r="J809">
        <v>366.85</v>
      </c>
      <c r="Q809"/>
    </row>
    <row r="810" spans="1:17" x14ac:dyDescent="0.25">
      <c r="A810">
        <v>3</v>
      </c>
      <c r="B810">
        <v>2016</v>
      </c>
      <c r="C810" t="s">
        <v>605</v>
      </c>
      <c r="D810" t="s">
        <v>606</v>
      </c>
      <c r="E810" t="s">
        <v>619</v>
      </c>
      <c r="F810" t="s">
        <v>620</v>
      </c>
      <c r="G810">
        <v>278.60000000000002</v>
      </c>
      <c r="H810">
        <v>186.76</v>
      </c>
      <c r="I810">
        <v>0</v>
      </c>
      <c r="J810">
        <v>26.68</v>
      </c>
      <c r="Q810"/>
    </row>
    <row r="811" spans="1:17" x14ac:dyDescent="0.25">
      <c r="A811">
        <v>3</v>
      </c>
      <c r="B811">
        <v>2016</v>
      </c>
      <c r="C811" t="s">
        <v>621</v>
      </c>
      <c r="D811" t="s">
        <v>622</v>
      </c>
      <c r="E811" t="s">
        <v>623</v>
      </c>
      <c r="F811" t="s">
        <v>624</v>
      </c>
      <c r="G811">
        <v>675</v>
      </c>
      <c r="H811">
        <v>180</v>
      </c>
      <c r="I811">
        <v>777</v>
      </c>
      <c r="J811">
        <v>210</v>
      </c>
      <c r="Q811"/>
    </row>
    <row r="812" spans="1:17" x14ac:dyDescent="0.25">
      <c r="A812">
        <v>3</v>
      </c>
      <c r="B812">
        <v>2016</v>
      </c>
      <c r="C812" t="s">
        <v>621</v>
      </c>
      <c r="D812" t="s">
        <v>622</v>
      </c>
      <c r="E812" t="s">
        <v>625</v>
      </c>
      <c r="F812" t="s">
        <v>624</v>
      </c>
      <c r="G812">
        <v>832.5</v>
      </c>
      <c r="H812">
        <v>222</v>
      </c>
      <c r="I812">
        <v>288.60000000000002</v>
      </c>
      <c r="J812">
        <v>84</v>
      </c>
      <c r="Q812"/>
    </row>
    <row r="813" spans="1:17" x14ac:dyDescent="0.25">
      <c r="A813">
        <v>3</v>
      </c>
      <c r="B813">
        <v>2016</v>
      </c>
      <c r="C813" t="s">
        <v>621</v>
      </c>
      <c r="D813" t="s">
        <v>622</v>
      </c>
      <c r="E813" t="s">
        <v>844</v>
      </c>
      <c r="F813" t="s">
        <v>624</v>
      </c>
      <c r="G813">
        <v>0</v>
      </c>
      <c r="H813">
        <v>6</v>
      </c>
      <c r="I813">
        <v>66.599999999999994</v>
      </c>
      <c r="J813">
        <v>18</v>
      </c>
      <c r="Q813"/>
    </row>
    <row r="814" spans="1:17" x14ac:dyDescent="0.25">
      <c r="A814">
        <v>3</v>
      </c>
      <c r="B814">
        <v>2016</v>
      </c>
      <c r="C814" t="s">
        <v>626</v>
      </c>
      <c r="D814" t="s">
        <v>627</v>
      </c>
      <c r="E814" t="s">
        <v>628</v>
      </c>
      <c r="F814" t="s">
        <v>629</v>
      </c>
      <c r="G814">
        <v>57.96</v>
      </c>
      <c r="H814">
        <v>18</v>
      </c>
      <c r="I814">
        <v>265.44</v>
      </c>
      <c r="J814">
        <v>90</v>
      </c>
      <c r="Q814"/>
    </row>
    <row r="815" spans="1:17" x14ac:dyDescent="0.25">
      <c r="A815">
        <v>3</v>
      </c>
      <c r="B815">
        <v>2016</v>
      </c>
      <c r="C815" t="s">
        <v>630</v>
      </c>
      <c r="D815" t="s">
        <v>631</v>
      </c>
      <c r="E815" t="s">
        <v>632</v>
      </c>
      <c r="F815" t="s">
        <v>633</v>
      </c>
      <c r="G815">
        <v>223.2</v>
      </c>
      <c r="H815">
        <v>36</v>
      </c>
      <c r="Q815"/>
    </row>
    <row r="816" spans="1:17" x14ac:dyDescent="0.25">
      <c r="A816">
        <v>3</v>
      </c>
      <c r="B816">
        <v>2016</v>
      </c>
      <c r="C816" t="s">
        <v>630</v>
      </c>
      <c r="D816" t="s">
        <v>631</v>
      </c>
      <c r="E816" t="s">
        <v>636</v>
      </c>
      <c r="F816" t="s">
        <v>637</v>
      </c>
      <c r="G816">
        <v>126</v>
      </c>
      <c r="H816">
        <v>30</v>
      </c>
      <c r="I816">
        <v>375</v>
      </c>
      <c r="J816">
        <v>90</v>
      </c>
      <c r="Q816"/>
    </row>
    <row r="817" spans="1:17" x14ac:dyDescent="0.25">
      <c r="A817">
        <v>3</v>
      </c>
      <c r="B817">
        <v>2016</v>
      </c>
      <c r="C817" t="s">
        <v>630</v>
      </c>
      <c r="D817" t="s">
        <v>631</v>
      </c>
      <c r="E817" t="s">
        <v>783</v>
      </c>
      <c r="F817" t="s">
        <v>784</v>
      </c>
      <c r="G817">
        <v>24.6</v>
      </c>
      <c r="H817">
        <v>6</v>
      </c>
      <c r="I817">
        <v>49.2</v>
      </c>
      <c r="J817">
        <v>12</v>
      </c>
      <c r="Q817"/>
    </row>
    <row r="818" spans="1:17" x14ac:dyDescent="0.25">
      <c r="A818">
        <v>3</v>
      </c>
      <c r="B818">
        <v>2016</v>
      </c>
      <c r="C818" t="s">
        <v>638</v>
      </c>
      <c r="D818" t="s">
        <v>639</v>
      </c>
      <c r="E818" t="s">
        <v>640</v>
      </c>
      <c r="F818" t="s">
        <v>641</v>
      </c>
      <c r="G818">
        <v>971.15</v>
      </c>
      <c r="H818">
        <v>880.43999999999994</v>
      </c>
      <c r="I818">
        <v>235.6</v>
      </c>
      <c r="J818">
        <v>213.44</v>
      </c>
      <c r="Q818"/>
    </row>
    <row r="819" spans="1:17" x14ac:dyDescent="0.25">
      <c r="A819">
        <v>3</v>
      </c>
      <c r="B819">
        <v>2016</v>
      </c>
      <c r="C819" t="s">
        <v>638</v>
      </c>
      <c r="D819" t="s">
        <v>639</v>
      </c>
      <c r="E819" t="s">
        <v>642</v>
      </c>
      <c r="F819" t="s">
        <v>641</v>
      </c>
      <c r="G819">
        <v>1815.6</v>
      </c>
      <c r="H819">
        <v>1812.88</v>
      </c>
      <c r="I819">
        <v>3344.12</v>
      </c>
      <c r="J819">
        <v>3439.14</v>
      </c>
      <c r="Q819"/>
    </row>
    <row r="820" spans="1:17" x14ac:dyDescent="0.25">
      <c r="A820">
        <v>3</v>
      </c>
      <c r="B820">
        <v>2016</v>
      </c>
      <c r="C820" t="s">
        <v>638</v>
      </c>
      <c r="D820" t="s">
        <v>639</v>
      </c>
      <c r="E820" t="s">
        <v>643</v>
      </c>
      <c r="F820" t="s">
        <v>644</v>
      </c>
      <c r="G820">
        <v>595.45000000000005</v>
      </c>
      <c r="H820">
        <v>553.61</v>
      </c>
      <c r="I820">
        <v>828.4</v>
      </c>
      <c r="J820">
        <v>733.7</v>
      </c>
      <c r="Q820"/>
    </row>
    <row r="821" spans="1:17" x14ac:dyDescent="0.25">
      <c r="A821">
        <v>3</v>
      </c>
      <c r="B821">
        <v>2016</v>
      </c>
      <c r="C821" t="s">
        <v>638</v>
      </c>
      <c r="D821" t="s">
        <v>639</v>
      </c>
      <c r="E821" t="s">
        <v>645</v>
      </c>
      <c r="F821" t="s">
        <v>644</v>
      </c>
      <c r="G821">
        <v>972.55</v>
      </c>
      <c r="H821">
        <v>973.09</v>
      </c>
      <c r="I821">
        <v>2884.22</v>
      </c>
      <c r="J821">
        <v>2932.6</v>
      </c>
      <c r="Q821"/>
    </row>
    <row r="822" spans="1:17" x14ac:dyDescent="0.25">
      <c r="A822">
        <v>3</v>
      </c>
      <c r="B822">
        <v>2016</v>
      </c>
      <c r="C822" t="s">
        <v>638</v>
      </c>
      <c r="D822" t="s">
        <v>639</v>
      </c>
      <c r="E822" t="s">
        <v>646</v>
      </c>
      <c r="F822" t="s">
        <v>647</v>
      </c>
      <c r="G822">
        <v>1742.4</v>
      </c>
      <c r="H822">
        <v>756</v>
      </c>
      <c r="I822">
        <v>1737.06</v>
      </c>
      <c r="J822">
        <v>786</v>
      </c>
      <c r="Q822"/>
    </row>
    <row r="823" spans="1:17" x14ac:dyDescent="0.25">
      <c r="A823">
        <v>3</v>
      </c>
      <c r="B823">
        <v>2016</v>
      </c>
      <c r="C823" t="s">
        <v>638</v>
      </c>
      <c r="D823" t="s">
        <v>639</v>
      </c>
      <c r="E823" t="s">
        <v>648</v>
      </c>
      <c r="F823" t="s">
        <v>649</v>
      </c>
      <c r="G823">
        <v>66.900000000000006</v>
      </c>
      <c r="H823">
        <v>12</v>
      </c>
      <c r="I823">
        <v>63.96</v>
      </c>
      <c r="J823">
        <v>18</v>
      </c>
      <c r="Q823"/>
    </row>
    <row r="824" spans="1:17" x14ac:dyDescent="0.25">
      <c r="A824">
        <v>3</v>
      </c>
      <c r="B824">
        <v>2016</v>
      </c>
      <c r="C824" t="s">
        <v>638</v>
      </c>
      <c r="D824" t="s">
        <v>639</v>
      </c>
      <c r="E824" t="s">
        <v>650</v>
      </c>
      <c r="F824" t="s">
        <v>651</v>
      </c>
      <c r="G824">
        <v>342</v>
      </c>
      <c r="H824">
        <v>108</v>
      </c>
      <c r="I824">
        <v>170.28</v>
      </c>
      <c r="J824">
        <v>60</v>
      </c>
      <c r="Q824"/>
    </row>
    <row r="825" spans="1:17" x14ac:dyDescent="0.25">
      <c r="A825">
        <v>3</v>
      </c>
      <c r="B825">
        <v>2016</v>
      </c>
      <c r="C825" t="s">
        <v>638</v>
      </c>
      <c r="D825" t="s">
        <v>639</v>
      </c>
      <c r="E825" t="s">
        <v>785</v>
      </c>
      <c r="F825" t="s">
        <v>653</v>
      </c>
      <c r="G825">
        <v>465</v>
      </c>
      <c r="H825">
        <v>333.25</v>
      </c>
      <c r="I825">
        <v>409.2</v>
      </c>
      <c r="J825">
        <v>293.26</v>
      </c>
      <c r="Q825"/>
    </row>
    <row r="826" spans="1:17" x14ac:dyDescent="0.25">
      <c r="A826">
        <v>3</v>
      </c>
      <c r="B826">
        <v>2016</v>
      </c>
      <c r="C826" t="s">
        <v>638</v>
      </c>
      <c r="D826" t="s">
        <v>639</v>
      </c>
      <c r="E826" t="s">
        <v>652</v>
      </c>
      <c r="F826" t="s">
        <v>653</v>
      </c>
      <c r="G826">
        <v>363.6</v>
      </c>
      <c r="H826">
        <v>253.46</v>
      </c>
      <c r="I826">
        <v>80.8</v>
      </c>
      <c r="J826">
        <v>60.03</v>
      </c>
      <c r="Q826"/>
    </row>
    <row r="827" spans="1:17" x14ac:dyDescent="0.25">
      <c r="A827">
        <v>3</v>
      </c>
      <c r="B827">
        <v>2016</v>
      </c>
      <c r="C827" t="s">
        <v>638</v>
      </c>
      <c r="D827" t="s">
        <v>639</v>
      </c>
      <c r="E827" t="s">
        <v>654</v>
      </c>
      <c r="F827" t="s">
        <v>655</v>
      </c>
      <c r="G827">
        <v>195.9</v>
      </c>
      <c r="H827">
        <v>54</v>
      </c>
      <c r="I827">
        <v>125.52</v>
      </c>
      <c r="J827">
        <v>36</v>
      </c>
      <c r="Q827"/>
    </row>
    <row r="828" spans="1:17" x14ac:dyDescent="0.25">
      <c r="A828">
        <v>3</v>
      </c>
      <c r="B828">
        <v>2016</v>
      </c>
      <c r="C828" t="s">
        <v>638</v>
      </c>
      <c r="D828" t="s">
        <v>639</v>
      </c>
      <c r="E828" t="s">
        <v>656</v>
      </c>
      <c r="F828" t="s">
        <v>657</v>
      </c>
      <c r="G828">
        <v>24.3</v>
      </c>
      <c r="H828">
        <v>12</v>
      </c>
      <c r="I828">
        <v>48.6</v>
      </c>
      <c r="J828">
        <v>18</v>
      </c>
      <c r="Q828"/>
    </row>
    <row r="829" spans="1:17" x14ac:dyDescent="0.25">
      <c r="A829">
        <v>3</v>
      </c>
      <c r="B829">
        <v>2016</v>
      </c>
      <c r="C829" t="s">
        <v>638</v>
      </c>
      <c r="D829" t="s">
        <v>639</v>
      </c>
      <c r="E829" t="s">
        <v>658</v>
      </c>
      <c r="F829" t="s">
        <v>659</v>
      </c>
      <c r="G829">
        <v>648</v>
      </c>
      <c r="H829">
        <v>216</v>
      </c>
      <c r="I829">
        <v>872.64</v>
      </c>
      <c r="J829">
        <v>306</v>
      </c>
      <c r="Q829"/>
    </row>
    <row r="830" spans="1:17" x14ac:dyDescent="0.25">
      <c r="A830">
        <v>3</v>
      </c>
      <c r="B830">
        <v>2016</v>
      </c>
      <c r="C830" t="s">
        <v>638</v>
      </c>
      <c r="D830" t="s">
        <v>639</v>
      </c>
      <c r="E830" t="s">
        <v>660</v>
      </c>
      <c r="F830" t="s">
        <v>661</v>
      </c>
      <c r="G830">
        <v>39</v>
      </c>
      <c r="H830">
        <v>12</v>
      </c>
      <c r="I830">
        <v>73.92</v>
      </c>
      <c r="J830">
        <v>30</v>
      </c>
      <c r="Q830"/>
    </row>
    <row r="831" spans="1:17" x14ac:dyDescent="0.25">
      <c r="A831">
        <v>3</v>
      </c>
      <c r="B831">
        <v>2016</v>
      </c>
      <c r="C831" t="s">
        <v>638</v>
      </c>
      <c r="D831" t="s">
        <v>639</v>
      </c>
      <c r="E831" t="s">
        <v>786</v>
      </c>
      <c r="F831" t="s">
        <v>787</v>
      </c>
      <c r="G831">
        <v>82.56</v>
      </c>
      <c r="H831">
        <v>24</v>
      </c>
      <c r="Q831"/>
    </row>
    <row r="832" spans="1:17" x14ac:dyDescent="0.25">
      <c r="A832">
        <v>3</v>
      </c>
      <c r="B832">
        <v>2016</v>
      </c>
      <c r="C832" t="s">
        <v>638</v>
      </c>
      <c r="D832" t="s">
        <v>639</v>
      </c>
      <c r="E832" t="s">
        <v>845</v>
      </c>
      <c r="F832" t="s">
        <v>846</v>
      </c>
      <c r="G832">
        <v>45.9</v>
      </c>
      <c r="H832">
        <v>36</v>
      </c>
      <c r="Q832"/>
    </row>
    <row r="833" spans="1:17" x14ac:dyDescent="0.25">
      <c r="A833">
        <v>3</v>
      </c>
      <c r="B833">
        <v>2016</v>
      </c>
      <c r="C833" t="s">
        <v>638</v>
      </c>
      <c r="D833" t="s">
        <v>639</v>
      </c>
      <c r="E833" t="s">
        <v>664</v>
      </c>
      <c r="F833" t="s">
        <v>665</v>
      </c>
      <c r="G833">
        <v>587.52</v>
      </c>
      <c r="H833">
        <v>312</v>
      </c>
      <c r="I833">
        <v>0</v>
      </c>
      <c r="J833">
        <v>12</v>
      </c>
      <c r="Q833"/>
    </row>
    <row r="834" spans="1:17" x14ac:dyDescent="0.25">
      <c r="A834">
        <v>3</v>
      </c>
      <c r="B834">
        <v>2016</v>
      </c>
      <c r="C834" t="s">
        <v>638</v>
      </c>
      <c r="D834" t="s">
        <v>639</v>
      </c>
      <c r="E834" t="s">
        <v>666</v>
      </c>
      <c r="F834" t="s">
        <v>665</v>
      </c>
      <c r="G834">
        <v>299.52</v>
      </c>
      <c r="H834">
        <v>168</v>
      </c>
      <c r="I834">
        <v>0</v>
      </c>
      <c r="J834">
        <v>12</v>
      </c>
      <c r="Q834"/>
    </row>
    <row r="835" spans="1:17" x14ac:dyDescent="0.25">
      <c r="A835">
        <v>3</v>
      </c>
      <c r="B835">
        <v>2016</v>
      </c>
      <c r="C835" t="s">
        <v>638</v>
      </c>
      <c r="D835" t="s">
        <v>639</v>
      </c>
      <c r="E835" t="s">
        <v>847</v>
      </c>
      <c r="F835" t="s">
        <v>848</v>
      </c>
      <c r="G835">
        <v>0</v>
      </c>
      <c r="H835">
        <v>36</v>
      </c>
      <c r="Q835"/>
    </row>
    <row r="836" spans="1:17" x14ac:dyDescent="0.25">
      <c r="A836">
        <v>3</v>
      </c>
      <c r="B836">
        <v>2016</v>
      </c>
      <c r="C836" t="s">
        <v>667</v>
      </c>
      <c r="D836" t="s">
        <v>668</v>
      </c>
      <c r="E836" t="s">
        <v>669</v>
      </c>
      <c r="F836" t="s">
        <v>670</v>
      </c>
      <c r="G836">
        <v>516.24</v>
      </c>
      <c r="H836">
        <v>258</v>
      </c>
      <c r="I836">
        <v>263.16000000000003</v>
      </c>
      <c r="J836">
        <v>144</v>
      </c>
      <c r="Q836"/>
    </row>
    <row r="837" spans="1:17" x14ac:dyDescent="0.25">
      <c r="A837">
        <v>3</v>
      </c>
      <c r="B837">
        <v>2016</v>
      </c>
      <c r="C837" t="s">
        <v>667</v>
      </c>
      <c r="D837" t="s">
        <v>668</v>
      </c>
      <c r="E837" t="s">
        <v>671</v>
      </c>
      <c r="F837" t="s">
        <v>670</v>
      </c>
      <c r="G837">
        <v>408.42</v>
      </c>
      <c r="H837">
        <v>204</v>
      </c>
      <c r="I837">
        <v>1123.32</v>
      </c>
      <c r="J837">
        <v>576</v>
      </c>
      <c r="Q837"/>
    </row>
    <row r="838" spans="1:17" x14ac:dyDescent="0.25">
      <c r="A838">
        <v>3</v>
      </c>
      <c r="B838">
        <v>2016</v>
      </c>
      <c r="C838" t="s">
        <v>667</v>
      </c>
      <c r="D838" t="s">
        <v>668</v>
      </c>
      <c r="E838" t="s">
        <v>672</v>
      </c>
      <c r="F838" t="s">
        <v>670</v>
      </c>
      <c r="G838">
        <v>591.66</v>
      </c>
      <c r="H838">
        <v>294</v>
      </c>
      <c r="I838">
        <v>465.12</v>
      </c>
      <c r="J838">
        <v>234</v>
      </c>
      <c r="Q838"/>
    </row>
    <row r="839" spans="1:17" x14ac:dyDescent="0.25">
      <c r="A839">
        <v>3</v>
      </c>
      <c r="B839">
        <v>2016</v>
      </c>
      <c r="C839" t="s">
        <v>667</v>
      </c>
      <c r="D839" t="s">
        <v>668</v>
      </c>
      <c r="E839" t="s">
        <v>673</v>
      </c>
      <c r="F839" t="s">
        <v>674</v>
      </c>
      <c r="G839">
        <v>0</v>
      </c>
      <c r="H839">
        <v>-6</v>
      </c>
      <c r="I839">
        <v>83.1</v>
      </c>
      <c r="J839">
        <v>36</v>
      </c>
      <c r="Q839"/>
    </row>
    <row r="840" spans="1:17" x14ac:dyDescent="0.25">
      <c r="A840">
        <v>3</v>
      </c>
      <c r="B840">
        <v>2016</v>
      </c>
      <c r="C840" t="s">
        <v>667</v>
      </c>
      <c r="D840" t="s">
        <v>668</v>
      </c>
      <c r="E840" t="s">
        <v>675</v>
      </c>
      <c r="F840" t="s">
        <v>674</v>
      </c>
      <c r="G840">
        <v>33.6</v>
      </c>
      <c r="H840">
        <v>12</v>
      </c>
      <c r="I840">
        <v>0</v>
      </c>
      <c r="J840">
        <v>6</v>
      </c>
      <c r="Q840"/>
    </row>
    <row r="841" spans="1:17" x14ac:dyDescent="0.25">
      <c r="A841">
        <v>3</v>
      </c>
      <c r="B841">
        <v>2016</v>
      </c>
      <c r="C841" t="s">
        <v>667</v>
      </c>
      <c r="D841" t="s">
        <v>668</v>
      </c>
      <c r="E841" t="s">
        <v>676</v>
      </c>
      <c r="F841" t="s">
        <v>674</v>
      </c>
      <c r="G841">
        <v>33.6</v>
      </c>
      <c r="H841">
        <v>12</v>
      </c>
      <c r="I841">
        <v>0</v>
      </c>
      <c r="J841">
        <v>6</v>
      </c>
      <c r="Q841"/>
    </row>
    <row r="842" spans="1:17" x14ac:dyDescent="0.25">
      <c r="A842">
        <v>3</v>
      </c>
      <c r="B842">
        <v>2016</v>
      </c>
      <c r="C842" t="s">
        <v>667</v>
      </c>
      <c r="D842" t="s">
        <v>668</v>
      </c>
      <c r="E842" t="s">
        <v>677</v>
      </c>
      <c r="F842" t="s">
        <v>678</v>
      </c>
      <c r="G842">
        <v>105.6</v>
      </c>
      <c r="H842">
        <v>48</v>
      </c>
      <c r="Q842"/>
    </row>
    <row r="843" spans="1:17" x14ac:dyDescent="0.25">
      <c r="A843">
        <v>3</v>
      </c>
      <c r="B843">
        <v>2016</v>
      </c>
      <c r="C843" t="s">
        <v>667</v>
      </c>
      <c r="D843" t="s">
        <v>668</v>
      </c>
      <c r="E843" t="s">
        <v>849</v>
      </c>
      <c r="F843" t="s">
        <v>850</v>
      </c>
      <c r="G843">
        <v>37.799999999999997</v>
      </c>
      <c r="H843">
        <v>18</v>
      </c>
      <c r="Q843"/>
    </row>
    <row r="844" spans="1:17" x14ac:dyDescent="0.25">
      <c r="A844">
        <v>3</v>
      </c>
      <c r="B844">
        <v>2016</v>
      </c>
      <c r="C844" t="s">
        <v>667</v>
      </c>
      <c r="D844" t="s">
        <v>668</v>
      </c>
      <c r="E844" t="s">
        <v>679</v>
      </c>
      <c r="F844" t="s">
        <v>680</v>
      </c>
      <c r="G844">
        <v>160.19999999999999</v>
      </c>
      <c r="H844">
        <v>133.4</v>
      </c>
      <c r="Q844"/>
    </row>
    <row r="845" spans="1:17" x14ac:dyDescent="0.25">
      <c r="A845">
        <v>3</v>
      </c>
      <c r="B845">
        <v>2016</v>
      </c>
      <c r="C845" t="s">
        <v>667</v>
      </c>
      <c r="D845" t="s">
        <v>668</v>
      </c>
      <c r="E845" t="s">
        <v>851</v>
      </c>
      <c r="F845" t="s">
        <v>852</v>
      </c>
      <c r="G845">
        <v>84</v>
      </c>
      <c r="H845">
        <v>30</v>
      </c>
      <c r="Q845"/>
    </row>
    <row r="846" spans="1:17" x14ac:dyDescent="0.25">
      <c r="A846">
        <v>3</v>
      </c>
      <c r="B846">
        <v>2016</v>
      </c>
      <c r="C846" t="s">
        <v>667</v>
      </c>
      <c r="D846" t="s">
        <v>668</v>
      </c>
      <c r="E846" t="s">
        <v>853</v>
      </c>
      <c r="F846" t="s">
        <v>852</v>
      </c>
      <c r="G846">
        <v>42</v>
      </c>
      <c r="H846">
        <v>18</v>
      </c>
      <c r="Q846"/>
    </row>
    <row r="847" spans="1:17" x14ac:dyDescent="0.25">
      <c r="A847">
        <v>3</v>
      </c>
      <c r="B847">
        <v>2016</v>
      </c>
      <c r="C847" t="s">
        <v>667</v>
      </c>
      <c r="D847" t="s">
        <v>668</v>
      </c>
      <c r="E847" t="s">
        <v>788</v>
      </c>
      <c r="F847" t="s">
        <v>789</v>
      </c>
      <c r="G847">
        <v>109.2</v>
      </c>
      <c r="H847">
        <v>80.039999999999992</v>
      </c>
      <c r="Q847"/>
    </row>
    <row r="848" spans="1:17" x14ac:dyDescent="0.25">
      <c r="A848">
        <v>3</v>
      </c>
      <c r="B848">
        <v>2016</v>
      </c>
      <c r="C848" t="s">
        <v>681</v>
      </c>
      <c r="D848" t="s">
        <v>682</v>
      </c>
      <c r="E848" t="s">
        <v>683</v>
      </c>
      <c r="F848" t="s">
        <v>684</v>
      </c>
      <c r="G848">
        <v>378</v>
      </c>
      <c r="H848">
        <v>174</v>
      </c>
      <c r="I848">
        <v>344.4</v>
      </c>
      <c r="J848">
        <v>168</v>
      </c>
      <c r="Q848"/>
    </row>
    <row r="849" spans="1:17" x14ac:dyDescent="0.25">
      <c r="A849">
        <v>3</v>
      </c>
      <c r="B849">
        <v>2016</v>
      </c>
      <c r="C849" t="s">
        <v>681</v>
      </c>
      <c r="D849" t="s">
        <v>682</v>
      </c>
      <c r="E849" t="s">
        <v>685</v>
      </c>
      <c r="F849" t="s">
        <v>686</v>
      </c>
      <c r="G849">
        <v>72</v>
      </c>
      <c r="H849">
        <v>36</v>
      </c>
      <c r="I849">
        <v>70.5</v>
      </c>
      <c r="J849">
        <v>42</v>
      </c>
      <c r="Q849"/>
    </row>
    <row r="850" spans="1:17" x14ac:dyDescent="0.25">
      <c r="A850">
        <v>3</v>
      </c>
      <c r="B850">
        <v>2016</v>
      </c>
      <c r="C850" t="s">
        <v>681</v>
      </c>
      <c r="D850" t="s">
        <v>682</v>
      </c>
      <c r="E850" t="s">
        <v>687</v>
      </c>
      <c r="F850" t="s">
        <v>688</v>
      </c>
      <c r="G850">
        <v>177.6</v>
      </c>
      <c r="H850">
        <v>54</v>
      </c>
      <c r="I850">
        <v>153.30000000000001</v>
      </c>
      <c r="J850">
        <v>48</v>
      </c>
      <c r="Q850"/>
    </row>
    <row r="851" spans="1:17" x14ac:dyDescent="0.25">
      <c r="A851">
        <v>3</v>
      </c>
      <c r="B851">
        <v>2016</v>
      </c>
      <c r="C851" t="s">
        <v>681</v>
      </c>
      <c r="D851" t="s">
        <v>682</v>
      </c>
      <c r="E851" t="s">
        <v>689</v>
      </c>
      <c r="F851" t="s">
        <v>690</v>
      </c>
      <c r="G851">
        <v>86.4</v>
      </c>
      <c r="H851">
        <v>36</v>
      </c>
      <c r="I851">
        <v>28.2</v>
      </c>
      <c r="J851">
        <v>18</v>
      </c>
      <c r="Q851"/>
    </row>
    <row r="852" spans="1:17" x14ac:dyDescent="0.25">
      <c r="A852">
        <v>3</v>
      </c>
      <c r="B852">
        <v>2016</v>
      </c>
      <c r="C852" t="s">
        <v>790</v>
      </c>
      <c r="D852" t="s">
        <v>791</v>
      </c>
      <c r="E852" t="s">
        <v>792</v>
      </c>
      <c r="F852" t="s">
        <v>793</v>
      </c>
      <c r="G852">
        <v>0</v>
      </c>
      <c r="H852">
        <v>6</v>
      </c>
      <c r="Q852"/>
    </row>
    <row r="853" spans="1:17" x14ac:dyDescent="0.25">
      <c r="A853">
        <v>3</v>
      </c>
      <c r="B853">
        <v>2016</v>
      </c>
      <c r="C853" t="s">
        <v>691</v>
      </c>
      <c r="D853" t="s">
        <v>692</v>
      </c>
      <c r="E853" t="s">
        <v>695</v>
      </c>
      <c r="F853" t="s">
        <v>696</v>
      </c>
      <c r="G853">
        <v>0</v>
      </c>
      <c r="H853">
        <v>12</v>
      </c>
      <c r="Q853"/>
    </row>
    <row r="854" spans="1:17" x14ac:dyDescent="0.25">
      <c r="A854">
        <v>3</v>
      </c>
      <c r="B854">
        <v>2016</v>
      </c>
      <c r="C854" t="s">
        <v>691</v>
      </c>
      <c r="D854" t="s">
        <v>692</v>
      </c>
      <c r="E854" t="s">
        <v>699</v>
      </c>
      <c r="F854" t="s">
        <v>700</v>
      </c>
      <c r="G854">
        <v>775.2</v>
      </c>
      <c r="H854">
        <v>204</v>
      </c>
      <c r="Q854"/>
    </row>
    <row r="855" spans="1:17" x14ac:dyDescent="0.25">
      <c r="A855">
        <v>3</v>
      </c>
      <c r="B855">
        <v>2016</v>
      </c>
      <c r="C855" t="s">
        <v>691</v>
      </c>
      <c r="D855" t="s">
        <v>692</v>
      </c>
      <c r="E855" t="s">
        <v>702</v>
      </c>
      <c r="F855" t="s">
        <v>703</v>
      </c>
      <c r="G855">
        <v>726</v>
      </c>
      <c r="H855">
        <v>138</v>
      </c>
      <c r="Q855"/>
    </row>
    <row r="856" spans="1:17" x14ac:dyDescent="0.25">
      <c r="A856">
        <v>3</v>
      </c>
      <c r="B856">
        <v>2016</v>
      </c>
      <c r="C856" t="s">
        <v>691</v>
      </c>
      <c r="D856" t="s">
        <v>692</v>
      </c>
      <c r="E856" t="s">
        <v>854</v>
      </c>
      <c r="F856" t="s">
        <v>855</v>
      </c>
      <c r="G856">
        <v>27.6</v>
      </c>
      <c r="H856">
        <v>6</v>
      </c>
      <c r="Q856"/>
    </row>
    <row r="857" spans="1:17" x14ac:dyDescent="0.25">
      <c r="A857">
        <v>4</v>
      </c>
      <c r="B857">
        <v>2016</v>
      </c>
      <c r="C857" t="s">
        <v>34</v>
      </c>
      <c r="D857" t="s">
        <v>35</v>
      </c>
      <c r="E857" t="s">
        <v>36</v>
      </c>
      <c r="F857" t="s">
        <v>37</v>
      </c>
      <c r="G857">
        <v>6248</v>
      </c>
      <c r="H857">
        <v>480</v>
      </c>
      <c r="I857">
        <v>4481.95</v>
      </c>
      <c r="J857">
        <v>348</v>
      </c>
      <c r="Q857"/>
    </row>
    <row r="858" spans="1:17" x14ac:dyDescent="0.25">
      <c r="A858">
        <v>4</v>
      </c>
      <c r="B858">
        <v>2016</v>
      </c>
      <c r="C858" t="s">
        <v>47</v>
      </c>
      <c r="D858" t="s">
        <v>48</v>
      </c>
      <c r="E858" t="s">
        <v>49</v>
      </c>
      <c r="F858" t="s">
        <v>50</v>
      </c>
      <c r="G858">
        <v>3766.2</v>
      </c>
      <c r="H858">
        <v>3221.61</v>
      </c>
      <c r="I858">
        <v>3825.36</v>
      </c>
      <c r="J858">
        <v>3461.73</v>
      </c>
      <c r="Q858"/>
    </row>
    <row r="859" spans="1:17" x14ac:dyDescent="0.25">
      <c r="A859">
        <v>4</v>
      </c>
      <c r="B859">
        <v>2016</v>
      </c>
      <c r="C859" t="s">
        <v>47</v>
      </c>
      <c r="D859" t="s">
        <v>48</v>
      </c>
      <c r="E859" t="s">
        <v>51</v>
      </c>
      <c r="F859" t="s">
        <v>52</v>
      </c>
      <c r="G859">
        <v>12534.5</v>
      </c>
      <c r="H859">
        <v>12170.29</v>
      </c>
      <c r="I859">
        <v>11900.95</v>
      </c>
      <c r="J859">
        <v>12103.64</v>
      </c>
      <c r="Q859"/>
    </row>
    <row r="860" spans="1:17" x14ac:dyDescent="0.25">
      <c r="A860">
        <v>4</v>
      </c>
      <c r="B860">
        <v>2016</v>
      </c>
      <c r="C860" t="s">
        <v>47</v>
      </c>
      <c r="D860" t="s">
        <v>48</v>
      </c>
      <c r="E860" t="s">
        <v>53</v>
      </c>
      <c r="F860" t="s">
        <v>54</v>
      </c>
      <c r="G860">
        <v>8766.66</v>
      </c>
      <c r="H860">
        <v>9397.65</v>
      </c>
      <c r="I860">
        <v>5735.4</v>
      </c>
      <c r="J860">
        <v>6478.38</v>
      </c>
      <c r="Q860"/>
    </row>
    <row r="861" spans="1:17" x14ac:dyDescent="0.25">
      <c r="A861">
        <v>4</v>
      </c>
      <c r="B861">
        <v>2016</v>
      </c>
      <c r="C861" t="s">
        <v>47</v>
      </c>
      <c r="D861" t="s">
        <v>48</v>
      </c>
      <c r="E861" t="s">
        <v>55</v>
      </c>
      <c r="F861" t="s">
        <v>54</v>
      </c>
      <c r="G861">
        <v>1344.29</v>
      </c>
      <c r="H861">
        <v>1207.27</v>
      </c>
      <c r="I861">
        <v>1539.99</v>
      </c>
      <c r="J861">
        <v>1500.75</v>
      </c>
      <c r="Q861"/>
    </row>
    <row r="862" spans="1:17" x14ac:dyDescent="0.25">
      <c r="A862">
        <v>4</v>
      </c>
      <c r="B862">
        <v>2016</v>
      </c>
      <c r="C862" t="s">
        <v>47</v>
      </c>
      <c r="D862" t="s">
        <v>48</v>
      </c>
      <c r="E862" t="s">
        <v>56</v>
      </c>
      <c r="F862" t="s">
        <v>57</v>
      </c>
      <c r="G862">
        <v>2046.8</v>
      </c>
      <c r="H862">
        <v>2279.4299999999998</v>
      </c>
      <c r="I862">
        <v>4344.24</v>
      </c>
      <c r="J862">
        <v>5118.72</v>
      </c>
      <c r="Q862"/>
    </row>
    <row r="863" spans="1:17" x14ac:dyDescent="0.25">
      <c r="A863">
        <v>4</v>
      </c>
      <c r="B863">
        <v>2016</v>
      </c>
      <c r="C863" t="s">
        <v>47</v>
      </c>
      <c r="D863" t="s">
        <v>48</v>
      </c>
      <c r="E863" t="s">
        <v>58</v>
      </c>
      <c r="F863" t="s">
        <v>59</v>
      </c>
      <c r="G863">
        <v>1867.2</v>
      </c>
      <c r="H863">
        <v>2133.6000000000004</v>
      </c>
      <c r="I863">
        <v>445.75</v>
      </c>
      <c r="J863">
        <v>266.70000000000005</v>
      </c>
      <c r="Q863"/>
    </row>
    <row r="864" spans="1:17" x14ac:dyDescent="0.25">
      <c r="A864">
        <v>4</v>
      </c>
      <c r="B864">
        <v>2016</v>
      </c>
      <c r="C864" t="s">
        <v>47</v>
      </c>
      <c r="D864" t="s">
        <v>48</v>
      </c>
      <c r="E864" t="s">
        <v>60</v>
      </c>
      <c r="F864" t="s">
        <v>59</v>
      </c>
      <c r="G864">
        <v>1447.08</v>
      </c>
      <c r="H864">
        <v>1653.5400000000002</v>
      </c>
      <c r="I864">
        <v>426.55</v>
      </c>
      <c r="J864">
        <v>506.73</v>
      </c>
      <c r="Q864"/>
    </row>
    <row r="865" spans="1:17" x14ac:dyDescent="0.25">
      <c r="A865">
        <v>4</v>
      </c>
      <c r="B865">
        <v>2016</v>
      </c>
      <c r="C865" t="s">
        <v>47</v>
      </c>
      <c r="D865" t="s">
        <v>48</v>
      </c>
      <c r="E865" t="s">
        <v>61</v>
      </c>
      <c r="F865" t="s">
        <v>62</v>
      </c>
      <c r="G865">
        <v>2470.1</v>
      </c>
      <c r="H865">
        <v>1780.8899999999999</v>
      </c>
      <c r="I865">
        <v>2046.32</v>
      </c>
      <c r="J865">
        <v>1520.76</v>
      </c>
      <c r="Q865"/>
    </row>
    <row r="866" spans="1:17" x14ac:dyDescent="0.25">
      <c r="A866">
        <v>4</v>
      </c>
      <c r="B866">
        <v>2016</v>
      </c>
      <c r="C866" t="s">
        <v>47</v>
      </c>
      <c r="D866" t="s">
        <v>48</v>
      </c>
      <c r="E866" t="s">
        <v>63</v>
      </c>
      <c r="F866" t="s">
        <v>64</v>
      </c>
      <c r="G866">
        <v>4159.66</v>
      </c>
      <c r="H866">
        <v>3345.83</v>
      </c>
      <c r="I866">
        <v>4109.72</v>
      </c>
      <c r="J866">
        <v>3385.82</v>
      </c>
      <c r="Q866"/>
    </row>
    <row r="867" spans="1:17" x14ac:dyDescent="0.25">
      <c r="A867">
        <v>4</v>
      </c>
      <c r="B867">
        <v>2016</v>
      </c>
      <c r="C867" t="s">
        <v>47</v>
      </c>
      <c r="D867" t="s">
        <v>48</v>
      </c>
      <c r="E867" t="s">
        <v>65</v>
      </c>
      <c r="F867" t="s">
        <v>64</v>
      </c>
      <c r="G867">
        <v>2450.4899999999998</v>
      </c>
      <c r="H867">
        <v>1959.51</v>
      </c>
      <c r="I867">
        <v>4724.5600000000004</v>
      </c>
      <c r="J867">
        <v>3905.69</v>
      </c>
      <c r="Q867"/>
    </row>
    <row r="868" spans="1:17" x14ac:dyDescent="0.25">
      <c r="A868">
        <v>4</v>
      </c>
      <c r="B868">
        <v>2016</v>
      </c>
      <c r="C868" t="s">
        <v>47</v>
      </c>
      <c r="D868" t="s">
        <v>48</v>
      </c>
      <c r="E868" t="s">
        <v>66</v>
      </c>
      <c r="F868" t="s">
        <v>64</v>
      </c>
      <c r="G868">
        <v>2820.46</v>
      </c>
      <c r="H868">
        <v>2034.35</v>
      </c>
      <c r="I868">
        <v>2658.76</v>
      </c>
      <c r="J868">
        <v>1967.65</v>
      </c>
      <c r="Q868"/>
    </row>
    <row r="869" spans="1:17" x14ac:dyDescent="0.25">
      <c r="A869">
        <v>4</v>
      </c>
      <c r="B869">
        <v>2016</v>
      </c>
      <c r="C869" t="s">
        <v>47</v>
      </c>
      <c r="D869" t="s">
        <v>48</v>
      </c>
      <c r="E869" t="s">
        <v>67</v>
      </c>
      <c r="F869" t="s">
        <v>68</v>
      </c>
      <c r="G869">
        <v>6952.52</v>
      </c>
      <c r="H869">
        <v>7451.47</v>
      </c>
      <c r="I869">
        <v>6243.12</v>
      </c>
      <c r="J869">
        <v>6998.25</v>
      </c>
      <c r="Q869"/>
    </row>
    <row r="870" spans="1:17" x14ac:dyDescent="0.25">
      <c r="A870">
        <v>4</v>
      </c>
      <c r="B870">
        <v>2016</v>
      </c>
      <c r="C870" t="s">
        <v>47</v>
      </c>
      <c r="D870" t="s">
        <v>48</v>
      </c>
      <c r="E870" t="s">
        <v>69</v>
      </c>
      <c r="F870" t="s">
        <v>68</v>
      </c>
      <c r="G870">
        <v>2875.55</v>
      </c>
      <c r="H870">
        <v>2587.96</v>
      </c>
      <c r="I870">
        <v>3349.5</v>
      </c>
      <c r="J870">
        <v>3154.91</v>
      </c>
      <c r="Q870"/>
    </row>
    <row r="871" spans="1:17" x14ac:dyDescent="0.25">
      <c r="A871">
        <v>4</v>
      </c>
      <c r="B871">
        <v>2016</v>
      </c>
      <c r="C871" t="s">
        <v>47</v>
      </c>
      <c r="D871" t="s">
        <v>48</v>
      </c>
      <c r="E871" t="s">
        <v>70</v>
      </c>
      <c r="F871" t="s">
        <v>71</v>
      </c>
      <c r="G871">
        <v>2877.6</v>
      </c>
      <c r="H871">
        <v>1176</v>
      </c>
      <c r="I871">
        <v>1660.8</v>
      </c>
      <c r="J871">
        <v>690</v>
      </c>
      <c r="Q871"/>
    </row>
    <row r="872" spans="1:17" x14ac:dyDescent="0.25">
      <c r="A872">
        <v>4</v>
      </c>
      <c r="B872">
        <v>2016</v>
      </c>
      <c r="C872" t="s">
        <v>47</v>
      </c>
      <c r="D872" t="s">
        <v>48</v>
      </c>
      <c r="E872" t="s">
        <v>72</v>
      </c>
      <c r="F872" t="s">
        <v>73</v>
      </c>
      <c r="G872">
        <v>39.42</v>
      </c>
      <c r="H872">
        <v>18</v>
      </c>
      <c r="I872">
        <v>21.84</v>
      </c>
      <c r="J872">
        <v>72</v>
      </c>
      <c r="Q872"/>
    </row>
    <row r="873" spans="1:17" x14ac:dyDescent="0.25">
      <c r="A873">
        <v>4</v>
      </c>
      <c r="B873">
        <v>2016</v>
      </c>
      <c r="C873" t="s">
        <v>47</v>
      </c>
      <c r="D873" t="s">
        <v>48</v>
      </c>
      <c r="E873" t="s">
        <v>74</v>
      </c>
      <c r="F873" t="s">
        <v>75</v>
      </c>
      <c r="G873">
        <v>0</v>
      </c>
      <c r="H873">
        <v>6</v>
      </c>
      <c r="I873">
        <v>65.7</v>
      </c>
      <c r="J873">
        <v>36</v>
      </c>
      <c r="Q873"/>
    </row>
    <row r="874" spans="1:17" x14ac:dyDescent="0.25">
      <c r="A874">
        <v>4</v>
      </c>
      <c r="B874">
        <v>2016</v>
      </c>
      <c r="C874" t="s">
        <v>47</v>
      </c>
      <c r="D874" t="s">
        <v>48</v>
      </c>
      <c r="E874" t="s">
        <v>76</v>
      </c>
      <c r="F874" t="s">
        <v>77</v>
      </c>
      <c r="G874">
        <v>12</v>
      </c>
      <c r="H874">
        <v>6</v>
      </c>
      <c r="Q874"/>
    </row>
    <row r="875" spans="1:17" x14ac:dyDescent="0.25">
      <c r="A875">
        <v>4</v>
      </c>
      <c r="B875">
        <v>2016</v>
      </c>
      <c r="C875" t="s">
        <v>47</v>
      </c>
      <c r="D875" t="s">
        <v>48</v>
      </c>
      <c r="E875" t="s">
        <v>78</v>
      </c>
      <c r="F875" t="s">
        <v>73</v>
      </c>
      <c r="G875">
        <v>170.82</v>
      </c>
      <c r="H875">
        <v>90</v>
      </c>
      <c r="I875">
        <v>105.12</v>
      </c>
      <c r="J875">
        <v>54</v>
      </c>
      <c r="Q875"/>
    </row>
    <row r="876" spans="1:17" x14ac:dyDescent="0.25">
      <c r="A876">
        <v>4</v>
      </c>
      <c r="B876">
        <v>2016</v>
      </c>
      <c r="C876" t="s">
        <v>47</v>
      </c>
      <c r="D876" t="s">
        <v>48</v>
      </c>
      <c r="E876" t="s">
        <v>79</v>
      </c>
      <c r="F876" t="s">
        <v>80</v>
      </c>
      <c r="G876">
        <v>148.32</v>
      </c>
      <c r="H876">
        <v>72</v>
      </c>
      <c r="I876">
        <v>368.1</v>
      </c>
      <c r="J876">
        <v>180</v>
      </c>
      <c r="Q876"/>
    </row>
    <row r="877" spans="1:17" x14ac:dyDescent="0.25">
      <c r="A877">
        <v>4</v>
      </c>
      <c r="B877">
        <v>2016</v>
      </c>
      <c r="C877" t="s">
        <v>47</v>
      </c>
      <c r="D877" t="s">
        <v>48</v>
      </c>
      <c r="E877" t="s">
        <v>81</v>
      </c>
      <c r="F877" t="s">
        <v>82</v>
      </c>
      <c r="G877">
        <v>1512</v>
      </c>
      <c r="H877">
        <v>804</v>
      </c>
      <c r="I877">
        <v>1527.79</v>
      </c>
      <c r="J877">
        <v>852</v>
      </c>
      <c r="Q877"/>
    </row>
    <row r="878" spans="1:17" x14ac:dyDescent="0.25">
      <c r="A878">
        <v>4</v>
      </c>
      <c r="B878">
        <v>2016</v>
      </c>
      <c r="C878" t="s">
        <v>47</v>
      </c>
      <c r="D878" t="s">
        <v>48</v>
      </c>
      <c r="E878" t="s">
        <v>83</v>
      </c>
      <c r="F878" t="s">
        <v>84</v>
      </c>
      <c r="G878">
        <v>26.4</v>
      </c>
      <c r="H878">
        <v>16</v>
      </c>
      <c r="I878">
        <v>74.760000000000005</v>
      </c>
      <c r="J878">
        <v>48</v>
      </c>
      <c r="Q878"/>
    </row>
    <row r="879" spans="1:17" x14ac:dyDescent="0.25">
      <c r="A879">
        <v>4</v>
      </c>
      <c r="B879">
        <v>2016</v>
      </c>
      <c r="C879" t="s">
        <v>47</v>
      </c>
      <c r="D879" t="s">
        <v>48</v>
      </c>
      <c r="E879" t="s">
        <v>85</v>
      </c>
      <c r="F879" t="s">
        <v>84</v>
      </c>
      <c r="G879">
        <v>13.2</v>
      </c>
      <c r="H879">
        <v>8</v>
      </c>
      <c r="I879">
        <v>105.91</v>
      </c>
      <c r="J879">
        <v>68</v>
      </c>
      <c r="Q879"/>
    </row>
    <row r="880" spans="1:17" x14ac:dyDescent="0.25">
      <c r="A880">
        <v>4</v>
      </c>
      <c r="B880">
        <v>2016</v>
      </c>
      <c r="C880" t="s">
        <v>47</v>
      </c>
      <c r="D880" t="s">
        <v>48</v>
      </c>
      <c r="E880" t="s">
        <v>86</v>
      </c>
      <c r="F880" t="s">
        <v>84</v>
      </c>
      <c r="G880">
        <v>6.6</v>
      </c>
      <c r="H880">
        <v>4</v>
      </c>
      <c r="I880">
        <v>56.07</v>
      </c>
      <c r="J880">
        <v>36</v>
      </c>
      <c r="Q880"/>
    </row>
    <row r="881" spans="1:17" x14ac:dyDescent="0.25">
      <c r="A881">
        <v>4</v>
      </c>
      <c r="B881">
        <v>2016</v>
      </c>
      <c r="C881" t="s">
        <v>47</v>
      </c>
      <c r="D881" t="s">
        <v>48</v>
      </c>
      <c r="E881" t="s">
        <v>704</v>
      </c>
      <c r="F881" t="s">
        <v>705</v>
      </c>
      <c r="G881">
        <v>178.8</v>
      </c>
      <c r="H881">
        <v>60</v>
      </c>
      <c r="I881">
        <v>235.2</v>
      </c>
      <c r="J881">
        <v>84</v>
      </c>
      <c r="Q881"/>
    </row>
    <row r="882" spans="1:17" x14ac:dyDescent="0.25">
      <c r="A882">
        <v>4</v>
      </c>
      <c r="B882">
        <v>2016</v>
      </c>
      <c r="C882" t="s">
        <v>47</v>
      </c>
      <c r="D882" t="s">
        <v>48</v>
      </c>
      <c r="E882" t="s">
        <v>87</v>
      </c>
      <c r="F882" t="s">
        <v>88</v>
      </c>
      <c r="G882">
        <v>433.62</v>
      </c>
      <c r="H882">
        <v>204</v>
      </c>
      <c r="Q882"/>
    </row>
    <row r="883" spans="1:17" x14ac:dyDescent="0.25">
      <c r="A883">
        <v>4</v>
      </c>
      <c r="B883">
        <v>2016</v>
      </c>
      <c r="C883" t="s">
        <v>47</v>
      </c>
      <c r="D883" t="s">
        <v>48</v>
      </c>
      <c r="E883" t="s">
        <v>89</v>
      </c>
      <c r="F883" t="s">
        <v>90</v>
      </c>
      <c r="G883">
        <v>587.4</v>
      </c>
      <c r="H883">
        <v>330</v>
      </c>
      <c r="I883">
        <v>705.84</v>
      </c>
      <c r="J883">
        <v>408</v>
      </c>
      <c r="Q883"/>
    </row>
    <row r="884" spans="1:17" x14ac:dyDescent="0.25">
      <c r="A884">
        <v>4</v>
      </c>
      <c r="B884">
        <v>2016</v>
      </c>
      <c r="C884" t="s">
        <v>47</v>
      </c>
      <c r="D884" t="s">
        <v>48</v>
      </c>
      <c r="E884" t="s">
        <v>91</v>
      </c>
      <c r="F884" t="s">
        <v>92</v>
      </c>
      <c r="G884">
        <v>610.54</v>
      </c>
      <c r="H884">
        <v>343</v>
      </c>
      <c r="I884">
        <v>301.02</v>
      </c>
      <c r="J884">
        <v>174</v>
      </c>
      <c r="Q884"/>
    </row>
    <row r="885" spans="1:17" x14ac:dyDescent="0.25">
      <c r="A885">
        <v>4</v>
      </c>
      <c r="B885">
        <v>2016</v>
      </c>
      <c r="C885" t="s">
        <v>47</v>
      </c>
      <c r="D885" t="s">
        <v>48</v>
      </c>
      <c r="E885" t="s">
        <v>794</v>
      </c>
      <c r="F885" t="s">
        <v>795</v>
      </c>
      <c r="G885">
        <v>0</v>
      </c>
      <c r="H885">
        <v>4</v>
      </c>
      <c r="I885">
        <v>284.33999999999997</v>
      </c>
      <c r="J885">
        <v>168</v>
      </c>
      <c r="Q885"/>
    </row>
    <row r="886" spans="1:17" x14ac:dyDescent="0.25">
      <c r="A886">
        <v>4</v>
      </c>
      <c r="B886">
        <v>2016</v>
      </c>
      <c r="C886" t="s">
        <v>47</v>
      </c>
      <c r="D886" t="s">
        <v>48</v>
      </c>
      <c r="E886" t="s">
        <v>95</v>
      </c>
      <c r="F886" t="s">
        <v>96</v>
      </c>
      <c r="G886">
        <v>877.5</v>
      </c>
      <c r="H886">
        <v>1200.1500000000001</v>
      </c>
      <c r="Q886"/>
    </row>
    <row r="887" spans="1:17" x14ac:dyDescent="0.25">
      <c r="A887">
        <v>4</v>
      </c>
      <c r="B887">
        <v>2016</v>
      </c>
      <c r="C887" t="s">
        <v>47</v>
      </c>
      <c r="D887" t="s">
        <v>48</v>
      </c>
      <c r="E887" t="s">
        <v>97</v>
      </c>
      <c r="F887" t="s">
        <v>98</v>
      </c>
      <c r="G887">
        <v>2632.5</v>
      </c>
      <c r="H887">
        <v>3600.4500000000003</v>
      </c>
      <c r="Q887"/>
    </row>
    <row r="888" spans="1:17" x14ac:dyDescent="0.25">
      <c r="A888">
        <v>4</v>
      </c>
      <c r="B888">
        <v>2016</v>
      </c>
      <c r="C888" t="s">
        <v>47</v>
      </c>
      <c r="D888" t="s">
        <v>48</v>
      </c>
      <c r="E888" t="s">
        <v>99</v>
      </c>
      <c r="F888" t="s">
        <v>100</v>
      </c>
      <c r="G888">
        <v>1016.26</v>
      </c>
      <c r="H888">
        <v>1306.8300000000002</v>
      </c>
      <c r="Q888"/>
    </row>
    <row r="889" spans="1:17" x14ac:dyDescent="0.25">
      <c r="A889">
        <v>4</v>
      </c>
      <c r="B889">
        <v>2016</v>
      </c>
      <c r="C889" t="s">
        <v>47</v>
      </c>
      <c r="D889" t="s">
        <v>48</v>
      </c>
      <c r="E889" t="s">
        <v>101</v>
      </c>
      <c r="F889" t="s">
        <v>102</v>
      </c>
      <c r="G889">
        <v>1057.5</v>
      </c>
      <c r="H889">
        <v>1200.1500000000001</v>
      </c>
      <c r="I889">
        <v>91.6</v>
      </c>
      <c r="J889">
        <v>293.37</v>
      </c>
      <c r="Q889"/>
    </row>
    <row r="890" spans="1:17" x14ac:dyDescent="0.25">
      <c r="A890">
        <v>4</v>
      </c>
      <c r="B890">
        <v>2016</v>
      </c>
      <c r="C890" t="s">
        <v>47</v>
      </c>
      <c r="D890" t="s">
        <v>48</v>
      </c>
      <c r="E890" t="s">
        <v>103</v>
      </c>
      <c r="F890" t="s">
        <v>98</v>
      </c>
      <c r="G890">
        <v>734.4</v>
      </c>
      <c r="H890">
        <v>906.44</v>
      </c>
      <c r="I890">
        <v>259.2</v>
      </c>
      <c r="J890">
        <v>559.86</v>
      </c>
      <c r="Q890"/>
    </row>
    <row r="891" spans="1:17" x14ac:dyDescent="0.25">
      <c r="A891">
        <v>4</v>
      </c>
      <c r="B891">
        <v>2016</v>
      </c>
      <c r="C891" t="s">
        <v>104</v>
      </c>
      <c r="D891" t="s">
        <v>105</v>
      </c>
      <c r="E891" t="s">
        <v>706</v>
      </c>
      <c r="F891" t="s">
        <v>707</v>
      </c>
      <c r="G891">
        <v>72</v>
      </c>
      <c r="H891">
        <v>18</v>
      </c>
      <c r="I891">
        <v>43.8</v>
      </c>
      <c r="J891">
        <v>0</v>
      </c>
      <c r="Q891"/>
    </row>
    <row r="892" spans="1:17" x14ac:dyDescent="0.25">
      <c r="A892">
        <v>4</v>
      </c>
      <c r="B892">
        <v>2016</v>
      </c>
      <c r="C892" t="s">
        <v>104</v>
      </c>
      <c r="D892" t="s">
        <v>105</v>
      </c>
      <c r="E892" t="s">
        <v>106</v>
      </c>
      <c r="F892" t="s">
        <v>107</v>
      </c>
      <c r="G892">
        <v>248.4</v>
      </c>
      <c r="H892">
        <v>54</v>
      </c>
      <c r="I892">
        <v>265.8</v>
      </c>
      <c r="J892">
        <v>66</v>
      </c>
      <c r="Q892"/>
    </row>
    <row r="893" spans="1:17" x14ac:dyDescent="0.25">
      <c r="A893">
        <v>4</v>
      </c>
      <c r="B893">
        <v>2016</v>
      </c>
      <c r="C893" t="s">
        <v>104</v>
      </c>
      <c r="D893" t="s">
        <v>105</v>
      </c>
      <c r="E893" t="s">
        <v>108</v>
      </c>
      <c r="F893" t="s">
        <v>109</v>
      </c>
      <c r="G893">
        <v>66</v>
      </c>
      <c r="H893">
        <v>12</v>
      </c>
      <c r="I893">
        <v>93.6</v>
      </c>
      <c r="J893">
        <v>18</v>
      </c>
      <c r="Q893"/>
    </row>
    <row r="894" spans="1:17" x14ac:dyDescent="0.25">
      <c r="A894">
        <v>4</v>
      </c>
      <c r="B894">
        <v>2016</v>
      </c>
      <c r="C894" t="s">
        <v>104</v>
      </c>
      <c r="D894" t="s">
        <v>105</v>
      </c>
      <c r="E894" t="s">
        <v>110</v>
      </c>
      <c r="F894" t="s">
        <v>111</v>
      </c>
      <c r="G894">
        <v>391.5</v>
      </c>
      <c r="H894">
        <v>54</v>
      </c>
      <c r="I894">
        <v>162</v>
      </c>
      <c r="J894">
        <v>24</v>
      </c>
      <c r="Q894"/>
    </row>
    <row r="895" spans="1:17" x14ac:dyDescent="0.25">
      <c r="A895">
        <v>4</v>
      </c>
      <c r="B895">
        <v>2016</v>
      </c>
      <c r="C895" t="s">
        <v>104</v>
      </c>
      <c r="D895" t="s">
        <v>105</v>
      </c>
      <c r="E895" t="s">
        <v>114</v>
      </c>
      <c r="F895" t="s">
        <v>115</v>
      </c>
      <c r="G895">
        <v>226.8</v>
      </c>
      <c r="H895">
        <v>36</v>
      </c>
      <c r="I895">
        <v>277.8</v>
      </c>
      <c r="J895">
        <v>48</v>
      </c>
      <c r="Q895"/>
    </row>
    <row r="896" spans="1:17" x14ac:dyDescent="0.25">
      <c r="A896">
        <v>4</v>
      </c>
      <c r="B896">
        <v>2016</v>
      </c>
      <c r="C896" t="s">
        <v>104</v>
      </c>
      <c r="D896" t="s">
        <v>105</v>
      </c>
      <c r="E896" t="s">
        <v>856</v>
      </c>
      <c r="F896" t="s">
        <v>107</v>
      </c>
      <c r="G896">
        <v>37.200000000000003</v>
      </c>
      <c r="H896">
        <v>6</v>
      </c>
      <c r="Q896"/>
    </row>
    <row r="897" spans="1:17" x14ac:dyDescent="0.25">
      <c r="A897">
        <v>4</v>
      </c>
      <c r="B897">
        <v>2016</v>
      </c>
      <c r="C897" t="s">
        <v>104</v>
      </c>
      <c r="D897" t="s">
        <v>105</v>
      </c>
      <c r="E897" t="s">
        <v>857</v>
      </c>
      <c r="F897" t="s">
        <v>858</v>
      </c>
      <c r="G897">
        <v>51.6</v>
      </c>
      <c r="H897">
        <v>6</v>
      </c>
      <c r="Q897"/>
    </row>
    <row r="898" spans="1:17" x14ac:dyDescent="0.25">
      <c r="A898">
        <v>4</v>
      </c>
      <c r="B898">
        <v>2016</v>
      </c>
      <c r="C898" t="s">
        <v>104</v>
      </c>
      <c r="D898" t="s">
        <v>105</v>
      </c>
      <c r="E898" t="s">
        <v>796</v>
      </c>
      <c r="F898" t="s">
        <v>797</v>
      </c>
      <c r="G898">
        <v>111.9</v>
      </c>
      <c r="H898">
        <v>6</v>
      </c>
      <c r="Q898"/>
    </row>
    <row r="899" spans="1:17" x14ac:dyDescent="0.25">
      <c r="A899">
        <v>4</v>
      </c>
      <c r="B899">
        <v>2016</v>
      </c>
      <c r="C899" t="s">
        <v>859</v>
      </c>
      <c r="D899" t="s">
        <v>860</v>
      </c>
      <c r="E899" t="s">
        <v>861</v>
      </c>
      <c r="F899" t="s">
        <v>862</v>
      </c>
      <c r="G899">
        <v>187.2</v>
      </c>
      <c r="H899">
        <v>24</v>
      </c>
      <c r="I899">
        <v>187.2</v>
      </c>
      <c r="J899">
        <v>24</v>
      </c>
      <c r="Q899"/>
    </row>
    <row r="900" spans="1:17" x14ac:dyDescent="0.25">
      <c r="A900">
        <v>4</v>
      </c>
      <c r="B900">
        <v>2016</v>
      </c>
      <c r="C900" t="s">
        <v>859</v>
      </c>
      <c r="D900" t="s">
        <v>860</v>
      </c>
      <c r="E900" t="s">
        <v>863</v>
      </c>
      <c r="F900" t="s">
        <v>862</v>
      </c>
      <c r="G900">
        <v>108</v>
      </c>
      <c r="H900">
        <v>12</v>
      </c>
      <c r="I900">
        <v>216</v>
      </c>
      <c r="J900">
        <v>24</v>
      </c>
      <c r="Q900"/>
    </row>
    <row r="901" spans="1:17" x14ac:dyDescent="0.25">
      <c r="A901">
        <v>4</v>
      </c>
      <c r="B901">
        <v>2016</v>
      </c>
      <c r="C901" t="s">
        <v>116</v>
      </c>
      <c r="D901" t="s">
        <v>117</v>
      </c>
      <c r="E901" t="s">
        <v>118</v>
      </c>
      <c r="F901" t="s">
        <v>119</v>
      </c>
      <c r="G901">
        <v>349.8</v>
      </c>
      <c r="H901">
        <v>66</v>
      </c>
      <c r="I901">
        <v>312</v>
      </c>
      <c r="J901">
        <v>60</v>
      </c>
      <c r="Q901"/>
    </row>
    <row r="902" spans="1:17" x14ac:dyDescent="0.25">
      <c r="A902">
        <v>4</v>
      </c>
      <c r="B902">
        <v>2016</v>
      </c>
      <c r="C902" t="s">
        <v>120</v>
      </c>
      <c r="D902" t="s">
        <v>121</v>
      </c>
      <c r="E902" t="s">
        <v>122</v>
      </c>
      <c r="F902" t="s">
        <v>123</v>
      </c>
      <c r="G902">
        <v>1939.14</v>
      </c>
      <c r="H902">
        <v>486</v>
      </c>
      <c r="I902">
        <v>1340.64</v>
      </c>
      <c r="J902">
        <v>336</v>
      </c>
      <c r="Q902"/>
    </row>
    <row r="903" spans="1:17" x14ac:dyDescent="0.25">
      <c r="A903">
        <v>4</v>
      </c>
      <c r="B903">
        <v>2016</v>
      </c>
      <c r="C903" t="s">
        <v>120</v>
      </c>
      <c r="D903" t="s">
        <v>121</v>
      </c>
      <c r="E903" t="s">
        <v>864</v>
      </c>
      <c r="F903" t="s">
        <v>865</v>
      </c>
      <c r="G903">
        <v>47.88</v>
      </c>
      <c r="H903">
        <v>12</v>
      </c>
      <c r="Q903"/>
    </row>
    <row r="904" spans="1:17" x14ac:dyDescent="0.25">
      <c r="A904">
        <v>4</v>
      </c>
      <c r="B904">
        <v>2016</v>
      </c>
      <c r="C904" t="s">
        <v>120</v>
      </c>
      <c r="D904" t="s">
        <v>121</v>
      </c>
      <c r="E904" t="s">
        <v>708</v>
      </c>
      <c r="F904" t="s">
        <v>709</v>
      </c>
      <c r="G904">
        <v>1107.78</v>
      </c>
      <c r="H904">
        <v>222</v>
      </c>
      <c r="I904">
        <v>558.6</v>
      </c>
      <c r="J904">
        <v>114</v>
      </c>
      <c r="Q904"/>
    </row>
    <row r="905" spans="1:17" x14ac:dyDescent="0.25">
      <c r="A905">
        <v>4</v>
      </c>
      <c r="B905">
        <v>2016</v>
      </c>
      <c r="C905" t="s">
        <v>120</v>
      </c>
      <c r="D905" t="s">
        <v>121</v>
      </c>
      <c r="E905" t="s">
        <v>124</v>
      </c>
      <c r="F905" t="s">
        <v>125</v>
      </c>
      <c r="G905">
        <v>56.4</v>
      </c>
      <c r="H905">
        <v>12</v>
      </c>
      <c r="I905">
        <v>107.76</v>
      </c>
      <c r="J905">
        <v>24</v>
      </c>
      <c r="Q905"/>
    </row>
    <row r="906" spans="1:17" x14ac:dyDescent="0.25">
      <c r="A906">
        <v>4</v>
      </c>
      <c r="B906">
        <v>2016</v>
      </c>
      <c r="C906" t="s">
        <v>126</v>
      </c>
      <c r="D906" t="s">
        <v>127</v>
      </c>
      <c r="E906" t="s">
        <v>128</v>
      </c>
      <c r="F906" t="s">
        <v>129</v>
      </c>
      <c r="G906">
        <v>4464</v>
      </c>
      <c r="H906">
        <v>2004</v>
      </c>
      <c r="I906">
        <v>2742.9</v>
      </c>
      <c r="J906">
        <v>1230</v>
      </c>
      <c r="Q906"/>
    </row>
    <row r="907" spans="1:17" x14ac:dyDescent="0.25">
      <c r="A907">
        <v>4</v>
      </c>
      <c r="B907">
        <v>2016</v>
      </c>
      <c r="C907" t="s">
        <v>126</v>
      </c>
      <c r="D907" t="s">
        <v>127</v>
      </c>
      <c r="E907" t="s">
        <v>710</v>
      </c>
      <c r="F907" t="s">
        <v>129</v>
      </c>
      <c r="G907">
        <v>70.08</v>
      </c>
      <c r="H907">
        <v>24</v>
      </c>
      <c r="I907">
        <v>121.8</v>
      </c>
      <c r="J907">
        <v>42</v>
      </c>
      <c r="Q907"/>
    </row>
    <row r="908" spans="1:17" x14ac:dyDescent="0.25">
      <c r="A908">
        <v>4</v>
      </c>
      <c r="B908">
        <v>2016</v>
      </c>
      <c r="C908" t="s">
        <v>126</v>
      </c>
      <c r="D908" t="s">
        <v>127</v>
      </c>
      <c r="E908" t="s">
        <v>130</v>
      </c>
      <c r="F908" t="s">
        <v>131</v>
      </c>
      <c r="G908">
        <v>950.4</v>
      </c>
      <c r="H908">
        <v>639.84</v>
      </c>
      <c r="I908">
        <v>849.2</v>
      </c>
      <c r="J908">
        <v>586.52</v>
      </c>
      <c r="Q908"/>
    </row>
    <row r="909" spans="1:17" x14ac:dyDescent="0.25">
      <c r="A909">
        <v>4</v>
      </c>
      <c r="B909">
        <v>2016</v>
      </c>
      <c r="C909" t="s">
        <v>126</v>
      </c>
      <c r="D909" t="s">
        <v>127</v>
      </c>
      <c r="E909" t="s">
        <v>132</v>
      </c>
      <c r="F909" t="s">
        <v>131</v>
      </c>
      <c r="G909">
        <v>683.2</v>
      </c>
      <c r="H909">
        <v>426.88</v>
      </c>
      <c r="I909">
        <v>594</v>
      </c>
      <c r="J909">
        <v>373.52</v>
      </c>
      <c r="Q909"/>
    </row>
    <row r="910" spans="1:17" x14ac:dyDescent="0.25">
      <c r="A910">
        <v>4</v>
      </c>
      <c r="B910">
        <v>2016</v>
      </c>
      <c r="C910" t="s">
        <v>126</v>
      </c>
      <c r="D910" t="s">
        <v>127</v>
      </c>
      <c r="E910" t="s">
        <v>133</v>
      </c>
      <c r="F910" t="s">
        <v>134</v>
      </c>
      <c r="G910">
        <v>-32.64</v>
      </c>
      <c r="H910">
        <v>-12</v>
      </c>
      <c r="I910">
        <v>64.8</v>
      </c>
      <c r="J910">
        <v>24</v>
      </c>
      <c r="Q910"/>
    </row>
    <row r="911" spans="1:17" x14ac:dyDescent="0.25">
      <c r="A911">
        <v>4</v>
      </c>
      <c r="B911">
        <v>2016</v>
      </c>
      <c r="C911" t="s">
        <v>126</v>
      </c>
      <c r="D911" t="s">
        <v>127</v>
      </c>
      <c r="E911" t="s">
        <v>866</v>
      </c>
      <c r="F911" t="s">
        <v>134</v>
      </c>
      <c r="G911">
        <v>40.799999999999997</v>
      </c>
      <c r="H911">
        <v>12</v>
      </c>
      <c r="Q911"/>
    </row>
    <row r="912" spans="1:17" x14ac:dyDescent="0.25">
      <c r="A912">
        <v>4</v>
      </c>
      <c r="B912">
        <v>2016</v>
      </c>
      <c r="C912" t="s">
        <v>126</v>
      </c>
      <c r="D912" t="s">
        <v>127</v>
      </c>
      <c r="E912" t="s">
        <v>135</v>
      </c>
      <c r="F912" t="s">
        <v>136</v>
      </c>
      <c r="G912">
        <v>165.6</v>
      </c>
      <c r="H912">
        <v>72</v>
      </c>
      <c r="I912">
        <v>364.5</v>
      </c>
      <c r="J912">
        <v>156</v>
      </c>
      <c r="Q912"/>
    </row>
    <row r="913" spans="1:17" x14ac:dyDescent="0.25">
      <c r="A913">
        <v>4</v>
      </c>
      <c r="B913">
        <v>2016</v>
      </c>
      <c r="C913" t="s">
        <v>137</v>
      </c>
      <c r="D913" t="s">
        <v>138</v>
      </c>
      <c r="E913" t="s">
        <v>139</v>
      </c>
      <c r="F913" t="s">
        <v>140</v>
      </c>
      <c r="G913">
        <v>651.84</v>
      </c>
      <c r="H913">
        <v>96</v>
      </c>
      <c r="I913">
        <v>1140.72</v>
      </c>
      <c r="J913">
        <v>168</v>
      </c>
      <c r="Q913"/>
    </row>
    <row r="914" spans="1:17" x14ac:dyDescent="0.25">
      <c r="A914">
        <v>4</v>
      </c>
      <c r="B914">
        <v>2016</v>
      </c>
      <c r="C914" t="s">
        <v>137</v>
      </c>
      <c r="D914" t="s">
        <v>138</v>
      </c>
      <c r="E914" t="s">
        <v>711</v>
      </c>
      <c r="F914" t="s">
        <v>712</v>
      </c>
      <c r="G914">
        <v>45.9</v>
      </c>
      <c r="H914">
        <v>6</v>
      </c>
      <c r="Q914"/>
    </row>
    <row r="915" spans="1:17" x14ac:dyDescent="0.25">
      <c r="A915">
        <v>4</v>
      </c>
      <c r="B915">
        <v>2016</v>
      </c>
      <c r="C915" t="s">
        <v>137</v>
      </c>
      <c r="D915" t="s">
        <v>138</v>
      </c>
      <c r="E915" t="s">
        <v>141</v>
      </c>
      <c r="F915" t="s">
        <v>142</v>
      </c>
      <c r="G915">
        <v>532.79999999999995</v>
      </c>
      <c r="H915">
        <v>96</v>
      </c>
      <c r="I915">
        <v>233.1</v>
      </c>
      <c r="J915">
        <v>48</v>
      </c>
      <c r="Q915"/>
    </row>
    <row r="916" spans="1:17" x14ac:dyDescent="0.25">
      <c r="A916">
        <v>4</v>
      </c>
      <c r="B916">
        <v>2016</v>
      </c>
      <c r="C916" t="s">
        <v>137</v>
      </c>
      <c r="D916" t="s">
        <v>138</v>
      </c>
      <c r="E916" t="s">
        <v>143</v>
      </c>
      <c r="F916" t="s">
        <v>144</v>
      </c>
      <c r="G916">
        <v>494.7</v>
      </c>
      <c r="H916">
        <v>108</v>
      </c>
      <c r="I916">
        <v>232.8</v>
      </c>
      <c r="J916">
        <v>48</v>
      </c>
      <c r="Q916"/>
    </row>
    <row r="917" spans="1:17" x14ac:dyDescent="0.25">
      <c r="A917">
        <v>4</v>
      </c>
      <c r="B917">
        <v>2016</v>
      </c>
      <c r="C917" t="s">
        <v>137</v>
      </c>
      <c r="D917" t="s">
        <v>138</v>
      </c>
      <c r="E917" t="s">
        <v>145</v>
      </c>
      <c r="F917" t="s">
        <v>146</v>
      </c>
      <c r="G917">
        <v>1149</v>
      </c>
      <c r="H917">
        <v>300</v>
      </c>
      <c r="I917">
        <v>91.92</v>
      </c>
      <c r="J917">
        <v>24</v>
      </c>
      <c r="Q917"/>
    </row>
    <row r="918" spans="1:17" x14ac:dyDescent="0.25">
      <c r="A918">
        <v>4</v>
      </c>
      <c r="B918">
        <v>2016</v>
      </c>
      <c r="C918" t="s">
        <v>137</v>
      </c>
      <c r="D918" t="s">
        <v>138</v>
      </c>
      <c r="E918" t="s">
        <v>713</v>
      </c>
      <c r="F918" t="s">
        <v>714</v>
      </c>
      <c r="G918">
        <v>29.16</v>
      </c>
      <c r="H918">
        <v>12</v>
      </c>
      <c r="Q918"/>
    </row>
    <row r="919" spans="1:17" x14ac:dyDescent="0.25">
      <c r="A919">
        <v>4</v>
      </c>
      <c r="B919">
        <v>2016</v>
      </c>
      <c r="C919" t="s">
        <v>137</v>
      </c>
      <c r="D919" t="s">
        <v>138</v>
      </c>
      <c r="E919" t="s">
        <v>147</v>
      </c>
      <c r="F919" t="s">
        <v>148</v>
      </c>
      <c r="G919">
        <v>706.2</v>
      </c>
      <c r="H919">
        <v>66</v>
      </c>
      <c r="I919">
        <v>706.2</v>
      </c>
      <c r="J919">
        <v>66</v>
      </c>
      <c r="Q919"/>
    </row>
    <row r="920" spans="1:17" x14ac:dyDescent="0.25">
      <c r="A920">
        <v>4</v>
      </c>
      <c r="B920">
        <v>2016</v>
      </c>
      <c r="C920" t="s">
        <v>137</v>
      </c>
      <c r="D920" t="s">
        <v>138</v>
      </c>
      <c r="E920" t="s">
        <v>149</v>
      </c>
      <c r="F920" t="s">
        <v>150</v>
      </c>
      <c r="G920">
        <v>3374.4</v>
      </c>
      <c r="H920">
        <v>1110</v>
      </c>
      <c r="I920">
        <v>1860.48</v>
      </c>
      <c r="J920">
        <v>612</v>
      </c>
      <c r="Q920"/>
    </row>
    <row r="921" spans="1:17" x14ac:dyDescent="0.25">
      <c r="A921">
        <v>4</v>
      </c>
      <c r="B921">
        <v>2016</v>
      </c>
      <c r="C921" t="s">
        <v>137</v>
      </c>
      <c r="D921" t="s">
        <v>138</v>
      </c>
      <c r="E921" t="s">
        <v>151</v>
      </c>
      <c r="F921" t="s">
        <v>152</v>
      </c>
      <c r="G921">
        <v>566.1</v>
      </c>
      <c r="H921">
        <v>108</v>
      </c>
      <c r="I921">
        <v>601.55999999999995</v>
      </c>
      <c r="J921">
        <v>108</v>
      </c>
      <c r="Q921"/>
    </row>
    <row r="922" spans="1:17" x14ac:dyDescent="0.25">
      <c r="A922">
        <v>4</v>
      </c>
      <c r="B922">
        <v>2016</v>
      </c>
      <c r="C922" t="s">
        <v>137</v>
      </c>
      <c r="D922" t="s">
        <v>138</v>
      </c>
      <c r="E922" t="s">
        <v>153</v>
      </c>
      <c r="F922" t="s">
        <v>154</v>
      </c>
      <c r="G922">
        <v>0</v>
      </c>
      <c r="H922">
        <v>6</v>
      </c>
      <c r="I922">
        <v>347.76</v>
      </c>
      <c r="J922">
        <v>84</v>
      </c>
      <c r="Q922"/>
    </row>
    <row r="923" spans="1:17" x14ac:dyDescent="0.25">
      <c r="A923">
        <v>4</v>
      </c>
      <c r="B923">
        <v>2016</v>
      </c>
      <c r="C923" t="s">
        <v>155</v>
      </c>
      <c r="D923" t="s">
        <v>156</v>
      </c>
      <c r="E923" t="s">
        <v>157</v>
      </c>
      <c r="F923" t="s">
        <v>158</v>
      </c>
      <c r="G923">
        <v>273</v>
      </c>
      <c r="H923">
        <v>108</v>
      </c>
      <c r="I923">
        <v>1599</v>
      </c>
      <c r="J923">
        <v>492</v>
      </c>
      <c r="Q923"/>
    </row>
    <row r="924" spans="1:17" x14ac:dyDescent="0.25">
      <c r="A924">
        <v>4</v>
      </c>
      <c r="B924">
        <v>2016</v>
      </c>
      <c r="C924" t="s">
        <v>155</v>
      </c>
      <c r="D924" t="s">
        <v>156</v>
      </c>
      <c r="E924" t="s">
        <v>715</v>
      </c>
      <c r="F924" t="s">
        <v>716</v>
      </c>
      <c r="G924">
        <v>48.6</v>
      </c>
      <c r="H924">
        <v>12</v>
      </c>
      <c r="Q924"/>
    </row>
    <row r="925" spans="1:17" x14ac:dyDescent="0.25">
      <c r="A925">
        <v>4</v>
      </c>
      <c r="B925">
        <v>2016</v>
      </c>
      <c r="C925" t="s">
        <v>155</v>
      </c>
      <c r="D925" t="s">
        <v>156</v>
      </c>
      <c r="E925" t="s">
        <v>161</v>
      </c>
      <c r="F925" t="s">
        <v>162</v>
      </c>
      <c r="G925">
        <v>273.60000000000002</v>
      </c>
      <c r="H925">
        <v>159.96</v>
      </c>
      <c r="I925">
        <v>384.2</v>
      </c>
      <c r="J925">
        <v>226.61</v>
      </c>
      <c r="Q925"/>
    </row>
    <row r="926" spans="1:17" x14ac:dyDescent="0.25">
      <c r="A926">
        <v>4</v>
      </c>
      <c r="B926">
        <v>2016</v>
      </c>
      <c r="C926" t="s">
        <v>155</v>
      </c>
      <c r="D926" t="s">
        <v>156</v>
      </c>
      <c r="E926" t="s">
        <v>163</v>
      </c>
      <c r="F926" t="s">
        <v>164</v>
      </c>
      <c r="G926">
        <v>526.5</v>
      </c>
      <c r="H926">
        <v>266.8</v>
      </c>
      <c r="I926">
        <v>226.1</v>
      </c>
      <c r="J926">
        <v>120.06</v>
      </c>
      <c r="Q926"/>
    </row>
    <row r="927" spans="1:17" x14ac:dyDescent="0.25">
      <c r="A927">
        <v>4</v>
      </c>
      <c r="B927">
        <v>2016</v>
      </c>
      <c r="C927" t="s">
        <v>155</v>
      </c>
      <c r="D927" t="s">
        <v>156</v>
      </c>
      <c r="E927" t="s">
        <v>165</v>
      </c>
      <c r="F927" t="s">
        <v>166</v>
      </c>
      <c r="G927">
        <v>616.20000000000005</v>
      </c>
      <c r="H927">
        <v>132</v>
      </c>
      <c r="I927">
        <v>801</v>
      </c>
      <c r="J927">
        <v>186</v>
      </c>
      <c r="Q927"/>
    </row>
    <row r="928" spans="1:17" x14ac:dyDescent="0.25">
      <c r="A928">
        <v>4</v>
      </c>
      <c r="B928">
        <v>2016</v>
      </c>
      <c r="C928" t="s">
        <v>155</v>
      </c>
      <c r="D928" t="s">
        <v>156</v>
      </c>
      <c r="E928" t="s">
        <v>867</v>
      </c>
      <c r="F928" t="s">
        <v>868</v>
      </c>
      <c r="G928">
        <v>41.67</v>
      </c>
      <c r="H928">
        <v>9</v>
      </c>
      <c r="Q928"/>
    </row>
    <row r="929" spans="1:17" x14ac:dyDescent="0.25">
      <c r="A929">
        <v>4</v>
      </c>
      <c r="B929">
        <v>2016</v>
      </c>
      <c r="C929" t="s">
        <v>167</v>
      </c>
      <c r="D929" t="s">
        <v>168</v>
      </c>
      <c r="E929" t="s">
        <v>800</v>
      </c>
      <c r="F929" t="s">
        <v>801</v>
      </c>
      <c r="G929">
        <v>10.38</v>
      </c>
      <c r="H929">
        <v>6</v>
      </c>
      <c r="Q929"/>
    </row>
    <row r="930" spans="1:17" x14ac:dyDescent="0.25">
      <c r="A930">
        <v>4</v>
      </c>
      <c r="B930">
        <v>2016</v>
      </c>
      <c r="C930" t="s">
        <v>175</v>
      </c>
      <c r="D930" t="s">
        <v>176</v>
      </c>
      <c r="E930" t="s">
        <v>177</v>
      </c>
      <c r="F930" t="s">
        <v>178</v>
      </c>
      <c r="G930">
        <v>2051.2800000000002</v>
      </c>
      <c r="H930">
        <v>504</v>
      </c>
      <c r="I930">
        <v>3480</v>
      </c>
      <c r="J930">
        <v>870</v>
      </c>
      <c r="Q930"/>
    </row>
    <row r="931" spans="1:17" x14ac:dyDescent="0.25">
      <c r="A931">
        <v>4</v>
      </c>
      <c r="B931">
        <v>2016</v>
      </c>
      <c r="C931" t="s">
        <v>175</v>
      </c>
      <c r="D931" t="s">
        <v>176</v>
      </c>
      <c r="E931" t="s">
        <v>179</v>
      </c>
      <c r="F931" t="s">
        <v>178</v>
      </c>
      <c r="G931">
        <v>121.44</v>
      </c>
      <c r="H931">
        <v>24</v>
      </c>
      <c r="I931">
        <v>390</v>
      </c>
      <c r="J931">
        <v>78</v>
      </c>
      <c r="Q931"/>
    </row>
    <row r="932" spans="1:17" x14ac:dyDescent="0.25">
      <c r="A932">
        <v>4</v>
      </c>
      <c r="B932">
        <v>2016</v>
      </c>
      <c r="C932" t="s">
        <v>175</v>
      </c>
      <c r="D932" t="s">
        <v>176</v>
      </c>
      <c r="E932" t="s">
        <v>180</v>
      </c>
      <c r="F932" t="s">
        <v>181</v>
      </c>
      <c r="G932">
        <v>982.8</v>
      </c>
      <c r="H932">
        <v>270</v>
      </c>
      <c r="I932">
        <v>685.44</v>
      </c>
      <c r="J932">
        <v>192</v>
      </c>
      <c r="Q932"/>
    </row>
    <row r="933" spans="1:17" x14ac:dyDescent="0.25">
      <c r="A933">
        <v>4</v>
      </c>
      <c r="B933">
        <v>2016</v>
      </c>
      <c r="C933" t="s">
        <v>189</v>
      </c>
      <c r="D933" t="s">
        <v>190</v>
      </c>
      <c r="E933" t="s">
        <v>869</v>
      </c>
      <c r="F933" t="s">
        <v>870</v>
      </c>
      <c r="G933">
        <v>34.56</v>
      </c>
      <c r="H933">
        <v>6</v>
      </c>
      <c r="Q933"/>
    </row>
    <row r="934" spans="1:17" x14ac:dyDescent="0.25">
      <c r="A934">
        <v>4</v>
      </c>
      <c r="B934">
        <v>2016</v>
      </c>
      <c r="C934" t="s">
        <v>189</v>
      </c>
      <c r="D934" t="s">
        <v>190</v>
      </c>
      <c r="E934" t="s">
        <v>191</v>
      </c>
      <c r="F934" t="s">
        <v>192</v>
      </c>
      <c r="G934">
        <v>114</v>
      </c>
      <c r="H934">
        <v>30</v>
      </c>
      <c r="I934">
        <v>111</v>
      </c>
      <c r="J934">
        <v>30</v>
      </c>
      <c r="Q934"/>
    </row>
    <row r="935" spans="1:17" x14ac:dyDescent="0.25">
      <c r="A935">
        <v>4</v>
      </c>
      <c r="B935">
        <v>2016</v>
      </c>
      <c r="C935" t="s">
        <v>189</v>
      </c>
      <c r="D935" t="s">
        <v>190</v>
      </c>
      <c r="E935" t="s">
        <v>871</v>
      </c>
      <c r="F935" t="s">
        <v>872</v>
      </c>
      <c r="G935">
        <v>46.2</v>
      </c>
      <c r="H935">
        <v>12</v>
      </c>
      <c r="Q935"/>
    </row>
    <row r="936" spans="1:17" x14ac:dyDescent="0.25">
      <c r="A936">
        <v>4</v>
      </c>
      <c r="B936">
        <v>2016</v>
      </c>
      <c r="C936" t="s">
        <v>189</v>
      </c>
      <c r="D936" t="s">
        <v>190</v>
      </c>
      <c r="E936" t="s">
        <v>193</v>
      </c>
      <c r="F936" t="s">
        <v>194</v>
      </c>
      <c r="G936">
        <v>342</v>
      </c>
      <c r="H936">
        <v>72</v>
      </c>
      <c r="I936">
        <v>655.20000000000005</v>
      </c>
      <c r="J936">
        <v>144</v>
      </c>
      <c r="Q936"/>
    </row>
    <row r="937" spans="1:17" x14ac:dyDescent="0.25">
      <c r="A937">
        <v>4</v>
      </c>
      <c r="B937">
        <v>2016</v>
      </c>
      <c r="C937" t="s">
        <v>189</v>
      </c>
      <c r="D937" t="s">
        <v>190</v>
      </c>
      <c r="E937" t="s">
        <v>873</v>
      </c>
      <c r="F937" t="s">
        <v>874</v>
      </c>
      <c r="G937">
        <v>0</v>
      </c>
      <c r="H937">
        <v>6</v>
      </c>
      <c r="Q937"/>
    </row>
    <row r="938" spans="1:17" x14ac:dyDescent="0.25">
      <c r="A938">
        <v>4</v>
      </c>
      <c r="B938">
        <v>2016</v>
      </c>
      <c r="C938" t="s">
        <v>207</v>
      </c>
      <c r="D938" t="s">
        <v>208</v>
      </c>
      <c r="E938" t="s">
        <v>209</v>
      </c>
      <c r="F938" t="s">
        <v>210</v>
      </c>
      <c r="G938">
        <v>2803.2</v>
      </c>
      <c r="H938">
        <v>768</v>
      </c>
      <c r="I938">
        <v>2808</v>
      </c>
      <c r="J938">
        <v>780</v>
      </c>
      <c r="Q938"/>
    </row>
    <row r="939" spans="1:17" x14ac:dyDescent="0.25">
      <c r="A939">
        <v>4</v>
      </c>
      <c r="B939">
        <v>2016</v>
      </c>
      <c r="C939" t="s">
        <v>207</v>
      </c>
      <c r="D939" t="s">
        <v>208</v>
      </c>
      <c r="E939" t="s">
        <v>211</v>
      </c>
      <c r="F939" t="s">
        <v>212</v>
      </c>
      <c r="G939">
        <v>441.6</v>
      </c>
      <c r="H939">
        <v>220.10999999999999</v>
      </c>
      <c r="I939">
        <v>210.4</v>
      </c>
      <c r="J939">
        <v>106.72</v>
      </c>
      <c r="Q939"/>
    </row>
    <row r="940" spans="1:17" x14ac:dyDescent="0.25">
      <c r="A940">
        <v>4</v>
      </c>
      <c r="B940">
        <v>2016</v>
      </c>
      <c r="C940" t="s">
        <v>207</v>
      </c>
      <c r="D940" t="s">
        <v>208</v>
      </c>
      <c r="E940" t="s">
        <v>213</v>
      </c>
      <c r="F940" t="s">
        <v>212</v>
      </c>
      <c r="G940">
        <v>661.25</v>
      </c>
      <c r="H940">
        <v>359.91</v>
      </c>
      <c r="I940">
        <v>428.4</v>
      </c>
      <c r="J940">
        <v>239.94</v>
      </c>
      <c r="Q940"/>
    </row>
    <row r="941" spans="1:17" x14ac:dyDescent="0.25">
      <c r="A941">
        <v>4</v>
      </c>
      <c r="B941">
        <v>2016</v>
      </c>
      <c r="C941" t="s">
        <v>207</v>
      </c>
      <c r="D941" t="s">
        <v>208</v>
      </c>
      <c r="E941" t="s">
        <v>721</v>
      </c>
      <c r="F941" t="s">
        <v>722</v>
      </c>
      <c r="G941">
        <v>46.8</v>
      </c>
      <c r="H941">
        <v>9</v>
      </c>
      <c r="Q941"/>
    </row>
    <row r="942" spans="1:17" x14ac:dyDescent="0.25">
      <c r="A942">
        <v>4</v>
      </c>
      <c r="B942">
        <v>2016</v>
      </c>
      <c r="C942" t="s">
        <v>207</v>
      </c>
      <c r="D942" t="s">
        <v>208</v>
      </c>
      <c r="E942" t="s">
        <v>214</v>
      </c>
      <c r="F942" t="s">
        <v>215</v>
      </c>
      <c r="G942">
        <v>54</v>
      </c>
      <c r="H942">
        <v>12</v>
      </c>
      <c r="I942">
        <v>675</v>
      </c>
      <c r="J942">
        <v>150</v>
      </c>
      <c r="Q942"/>
    </row>
    <row r="943" spans="1:17" x14ac:dyDescent="0.25">
      <c r="A943">
        <v>4</v>
      </c>
      <c r="B943">
        <v>2016</v>
      </c>
      <c r="C943" t="s">
        <v>219</v>
      </c>
      <c r="D943" t="s">
        <v>220</v>
      </c>
      <c r="E943" t="s">
        <v>221</v>
      </c>
      <c r="F943" t="s">
        <v>222</v>
      </c>
      <c r="G943">
        <v>935.1</v>
      </c>
      <c r="H943">
        <v>66</v>
      </c>
      <c r="Q943"/>
    </row>
    <row r="944" spans="1:17" x14ac:dyDescent="0.25">
      <c r="A944">
        <v>4</v>
      </c>
      <c r="B944">
        <v>2016</v>
      </c>
      <c r="C944" t="s">
        <v>219</v>
      </c>
      <c r="D944" t="s">
        <v>220</v>
      </c>
      <c r="E944" t="s">
        <v>723</v>
      </c>
      <c r="F944" t="s">
        <v>724</v>
      </c>
      <c r="G944">
        <v>109.2</v>
      </c>
      <c r="H944">
        <v>12</v>
      </c>
      <c r="I944">
        <v>1026</v>
      </c>
      <c r="J944">
        <v>114</v>
      </c>
      <c r="Q944"/>
    </row>
    <row r="945" spans="1:17" x14ac:dyDescent="0.25">
      <c r="A945">
        <v>4</v>
      </c>
      <c r="B945">
        <v>2016</v>
      </c>
      <c r="C945" t="s">
        <v>219</v>
      </c>
      <c r="D945" t="s">
        <v>220</v>
      </c>
      <c r="E945" t="s">
        <v>225</v>
      </c>
      <c r="F945" t="s">
        <v>226</v>
      </c>
      <c r="G945">
        <v>1713.6</v>
      </c>
      <c r="H945">
        <v>204</v>
      </c>
      <c r="I945">
        <v>516</v>
      </c>
      <c r="J945">
        <v>120</v>
      </c>
      <c r="Q945"/>
    </row>
    <row r="946" spans="1:17" x14ac:dyDescent="0.25">
      <c r="A946">
        <v>4</v>
      </c>
      <c r="B946">
        <v>2016</v>
      </c>
      <c r="C946" t="s">
        <v>219</v>
      </c>
      <c r="D946" t="s">
        <v>220</v>
      </c>
      <c r="E946" t="s">
        <v>875</v>
      </c>
      <c r="F946" t="s">
        <v>224</v>
      </c>
      <c r="G946">
        <v>180</v>
      </c>
      <c r="H946">
        <v>12</v>
      </c>
      <c r="I946">
        <v>5.4</v>
      </c>
      <c r="J946">
        <v>0</v>
      </c>
      <c r="Q946"/>
    </row>
    <row r="947" spans="1:17" x14ac:dyDescent="0.25">
      <c r="A947">
        <v>4</v>
      </c>
      <c r="B947">
        <v>2016</v>
      </c>
      <c r="C947" t="s">
        <v>227</v>
      </c>
      <c r="D947" t="s">
        <v>228</v>
      </c>
      <c r="E947" t="s">
        <v>229</v>
      </c>
      <c r="F947" t="s">
        <v>230</v>
      </c>
      <c r="G947">
        <v>613.79999999999995</v>
      </c>
      <c r="H947">
        <v>82664.600000000006</v>
      </c>
      <c r="I947">
        <v>604.79999999999995</v>
      </c>
      <c r="J947">
        <v>83997.900000000009</v>
      </c>
      <c r="Q947"/>
    </row>
    <row r="948" spans="1:17" x14ac:dyDescent="0.25">
      <c r="A948">
        <v>4</v>
      </c>
      <c r="B948">
        <v>2016</v>
      </c>
      <c r="C948" t="s">
        <v>231</v>
      </c>
      <c r="D948" t="s">
        <v>232</v>
      </c>
      <c r="E948" t="s">
        <v>233</v>
      </c>
      <c r="F948" t="s">
        <v>234</v>
      </c>
      <c r="G948">
        <v>216</v>
      </c>
      <c r="H948">
        <v>48</v>
      </c>
      <c r="I948">
        <v>98.4</v>
      </c>
      <c r="J948">
        <v>24</v>
      </c>
      <c r="Q948"/>
    </row>
    <row r="949" spans="1:17" x14ac:dyDescent="0.25">
      <c r="A949">
        <v>4</v>
      </c>
      <c r="B949">
        <v>2016</v>
      </c>
      <c r="C949" t="s">
        <v>231</v>
      </c>
      <c r="D949" t="s">
        <v>232</v>
      </c>
      <c r="E949" t="s">
        <v>235</v>
      </c>
      <c r="F949" t="s">
        <v>236</v>
      </c>
      <c r="G949">
        <v>82.8</v>
      </c>
      <c r="H949">
        <v>12</v>
      </c>
      <c r="I949">
        <v>844.8</v>
      </c>
      <c r="J949">
        <v>138</v>
      </c>
      <c r="Q949"/>
    </row>
    <row r="950" spans="1:17" x14ac:dyDescent="0.25">
      <c r="A950">
        <v>4</v>
      </c>
      <c r="B950">
        <v>2016</v>
      </c>
      <c r="C950" t="s">
        <v>231</v>
      </c>
      <c r="D950" t="s">
        <v>232</v>
      </c>
      <c r="E950" t="s">
        <v>237</v>
      </c>
      <c r="F950" t="s">
        <v>238</v>
      </c>
      <c r="G950">
        <v>72</v>
      </c>
      <c r="H950">
        <v>18</v>
      </c>
      <c r="I950">
        <v>525</v>
      </c>
      <c r="J950">
        <v>162</v>
      </c>
      <c r="Q950"/>
    </row>
    <row r="951" spans="1:17" x14ac:dyDescent="0.25">
      <c r="A951">
        <v>4</v>
      </c>
      <c r="B951">
        <v>2016</v>
      </c>
      <c r="C951" t="s">
        <v>231</v>
      </c>
      <c r="D951" t="s">
        <v>232</v>
      </c>
      <c r="E951" t="s">
        <v>239</v>
      </c>
      <c r="F951" t="s">
        <v>240</v>
      </c>
      <c r="G951">
        <v>90</v>
      </c>
      <c r="H951">
        <v>12</v>
      </c>
      <c r="Q951"/>
    </row>
    <row r="952" spans="1:17" x14ac:dyDescent="0.25">
      <c r="A952">
        <v>4</v>
      </c>
      <c r="B952">
        <v>2016</v>
      </c>
      <c r="C952" t="s">
        <v>245</v>
      </c>
      <c r="D952" t="s">
        <v>246</v>
      </c>
      <c r="E952" t="s">
        <v>247</v>
      </c>
      <c r="F952" t="s">
        <v>248</v>
      </c>
      <c r="G952">
        <v>357</v>
      </c>
      <c r="H952">
        <v>108</v>
      </c>
      <c r="I952">
        <v>475.2</v>
      </c>
      <c r="J952">
        <v>144</v>
      </c>
      <c r="Q952"/>
    </row>
    <row r="953" spans="1:17" x14ac:dyDescent="0.25">
      <c r="A953">
        <v>4</v>
      </c>
      <c r="B953">
        <v>2016</v>
      </c>
      <c r="C953" t="s">
        <v>245</v>
      </c>
      <c r="D953" t="s">
        <v>246</v>
      </c>
      <c r="E953" t="s">
        <v>808</v>
      </c>
      <c r="F953" t="s">
        <v>248</v>
      </c>
      <c r="G953">
        <v>100.8</v>
      </c>
      <c r="H953">
        <v>24</v>
      </c>
      <c r="I953">
        <v>126</v>
      </c>
      <c r="J953">
        <v>30</v>
      </c>
      <c r="Q953"/>
    </row>
    <row r="954" spans="1:17" x14ac:dyDescent="0.25">
      <c r="A954">
        <v>4</v>
      </c>
      <c r="B954">
        <v>2016</v>
      </c>
      <c r="C954" t="s">
        <v>245</v>
      </c>
      <c r="D954" t="s">
        <v>246</v>
      </c>
      <c r="E954" t="s">
        <v>876</v>
      </c>
      <c r="F954" t="s">
        <v>877</v>
      </c>
      <c r="G954">
        <v>52.2</v>
      </c>
      <c r="H954">
        <v>18</v>
      </c>
      <c r="Q954"/>
    </row>
    <row r="955" spans="1:17" x14ac:dyDescent="0.25">
      <c r="A955">
        <v>4</v>
      </c>
      <c r="B955">
        <v>2016</v>
      </c>
      <c r="C955" t="s">
        <v>245</v>
      </c>
      <c r="D955" t="s">
        <v>246</v>
      </c>
      <c r="E955" t="s">
        <v>729</v>
      </c>
      <c r="F955" t="s">
        <v>730</v>
      </c>
      <c r="G955">
        <v>94.5</v>
      </c>
      <c r="H955">
        <v>42</v>
      </c>
      <c r="Q955"/>
    </row>
    <row r="956" spans="1:17" x14ac:dyDescent="0.25">
      <c r="A956">
        <v>4</v>
      </c>
      <c r="B956">
        <v>2016</v>
      </c>
      <c r="C956" t="s">
        <v>245</v>
      </c>
      <c r="D956" t="s">
        <v>246</v>
      </c>
      <c r="E956" t="s">
        <v>249</v>
      </c>
      <c r="F956" t="s">
        <v>250</v>
      </c>
      <c r="G956">
        <v>208.8</v>
      </c>
      <c r="H956">
        <v>72</v>
      </c>
      <c r="I956">
        <v>1898.1</v>
      </c>
      <c r="J956">
        <v>666</v>
      </c>
      <c r="Q956"/>
    </row>
    <row r="957" spans="1:17" x14ac:dyDescent="0.25">
      <c r="A957">
        <v>4</v>
      </c>
      <c r="B957">
        <v>2016</v>
      </c>
      <c r="C957" t="s">
        <v>245</v>
      </c>
      <c r="D957" t="s">
        <v>246</v>
      </c>
      <c r="E957" t="s">
        <v>252</v>
      </c>
      <c r="F957" t="s">
        <v>253</v>
      </c>
      <c r="G957">
        <v>688.5</v>
      </c>
      <c r="H957">
        <v>306</v>
      </c>
      <c r="I957">
        <v>783</v>
      </c>
      <c r="J957">
        <v>348</v>
      </c>
      <c r="Q957"/>
    </row>
    <row r="958" spans="1:17" x14ac:dyDescent="0.25">
      <c r="A958">
        <v>4</v>
      </c>
      <c r="B958">
        <v>2016</v>
      </c>
      <c r="C958" t="s">
        <v>245</v>
      </c>
      <c r="D958" t="s">
        <v>246</v>
      </c>
      <c r="E958" t="s">
        <v>809</v>
      </c>
      <c r="F958" t="s">
        <v>253</v>
      </c>
      <c r="G958">
        <v>59.4</v>
      </c>
      <c r="H958">
        <v>18</v>
      </c>
      <c r="Q958"/>
    </row>
    <row r="959" spans="1:17" x14ac:dyDescent="0.25">
      <c r="A959">
        <v>4</v>
      </c>
      <c r="B959">
        <v>2016</v>
      </c>
      <c r="C959" t="s">
        <v>245</v>
      </c>
      <c r="D959" t="s">
        <v>246</v>
      </c>
      <c r="E959" t="s">
        <v>731</v>
      </c>
      <c r="F959" t="s">
        <v>248</v>
      </c>
      <c r="G959">
        <v>40.5</v>
      </c>
      <c r="H959">
        <v>12</v>
      </c>
      <c r="I959">
        <v>81</v>
      </c>
      <c r="J959">
        <v>24</v>
      </c>
      <c r="Q959"/>
    </row>
    <row r="960" spans="1:17" x14ac:dyDescent="0.25">
      <c r="A960">
        <v>4</v>
      </c>
      <c r="B960">
        <v>2016</v>
      </c>
      <c r="C960" t="s">
        <v>254</v>
      </c>
      <c r="D960" t="s">
        <v>255</v>
      </c>
      <c r="E960" t="s">
        <v>256</v>
      </c>
      <c r="F960" t="s">
        <v>257</v>
      </c>
      <c r="G960">
        <v>916.5</v>
      </c>
      <c r="H960">
        <v>282</v>
      </c>
      <c r="I960">
        <v>2284.8000000000002</v>
      </c>
      <c r="J960">
        <v>714</v>
      </c>
      <c r="Q960"/>
    </row>
    <row r="961" spans="1:17" x14ac:dyDescent="0.25">
      <c r="A961">
        <v>4</v>
      </c>
      <c r="B961">
        <v>2016</v>
      </c>
      <c r="C961" t="s">
        <v>254</v>
      </c>
      <c r="D961" t="s">
        <v>255</v>
      </c>
      <c r="E961" t="s">
        <v>260</v>
      </c>
      <c r="F961" t="s">
        <v>261</v>
      </c>
      <c r="G961">
        <v>132</v>
      </c>
      <c r="H961">
        <v>30</v>
      </c>
      <c r="I961">
        <v>237.6</v>
      </c>
      <c r="J961">
        <v>54</v>
      </c>
      <c r="Q961"/>
    </row>
    <row r="962" spans="1:17" x14ac:dyDescent="0.25">
      <c r="A962">
        <v>4</v>
      </c>
      <c r="B962">
        <v>2016</v>
      </c>
      <c r="C962" t="s">
        <v>254</v>
      </c>
      <c r="D962" t="s">
        <v>255</v>
      </c>
      <c r="E962" t="s">
        <v>732</v>
      </c>
      <c r="F962" t="s">
        <v>733</v>
      </c>
      <c r="G962">
        <v>78</v>
      </c>
      <c r="H962">
        <v>12</v>
      </c>
      <c r="I962">
        <v>234</v>
      </c>
      <c r="J962">
        <v>36</v>
      </c>
      <c r="Q962"/>
    </row>
    <row r="963" spans="1:17" x14ac:dyDescent="0.25">
      <c r="A963">
        <v>4</v>
      </c>
      <c r="B963">
        <v>2016</v>
      </c>
      <c r="C963" t="s">
        <v>262</v>
      </c>
      <c r="D963" t="s">
        <v>263</v>
      </c>
      <c r="E963" t="s">
        <v>264</v>
      </c>
      <c r="F963" t="s">
        <v>265</v>
      </c>
      <c r="G963">
        <v>2251.1999999999998</v>
      </c>
      <c r="H963">
        <v>402</v>
      </c>
      <c r="I963">
        <v>4050.9</v>
      </c>
      <c r="J963">
        <v>732</v>
      </c>
      <c r="Q963"/>
    </row>
    <row r="964" spans="1:17" x14ac:dyDescent="0.25">
      <c r="A964">
        <v>4</v>
      </c>
      <c r="B964">
        <v>2016</v>
      </c>
      <c r="C964" t="s">
        <v>262</v>
      </c>
      <c r="D964" t="s">
        <v>263</v>
      </c>
      <c r="E964" t="s">
        <v>810</v>
      </c>
      <c r="F964" t="s">
        <v>811</v>
      </c>
      <c r="G964">
        <v>255.15</v>
      </c>
      <c r="H964">
        <v>27</v>
      </c>
      <c r="I964">
        <v>55.98</v>
      </c>
      <c r="J964">
        <v>6</v>
      </c>
      <c r="Q964"/>
    </row>
    <row r="965" spans="1:17" x14ac:dyDescent="0.25">
      <c r="A965">
        <v>4</v>
      </c>
      <c r="B965">
        <v>2016</v>
      </c>
      <c r="C965" t="s">
        <v>262</v>
      </c>
      <c r="D965" t="s">
        <v>263</v>
      </c>
      <c r="E965" t="s">
        <v>266</v>
      </c>
      <c r="F965" t="s">
        <v>267</v>
      </c>
      <c r="G965">
        <v>7633.8</v>
      </c>
      <c r="H965">
        <v>948</v>
      </c>
      <c r="Q965"/>
    </row>
    <row r="966" spans="1:17" x14ac:dyDescent="0.25">
      <c r="A966">
        <v>4</v>
      </c>
      <c r="B966">
        <v>2016</v>
      </c>
      <c r="C966" t="s">
        <v>262</v>
      </c>
      <c r="D966" t="s">
        <v>263</v>
      </c>
      <c r="E966" t="s">
        <v>268</v>
      </c>
      <c r="F966" t="s">
        <v>269</v>
      </c>
      <c r="G966">
        <v>685.8</v>
      </c>
      <c r="H966">
        <v>108</v>
      </c>
      <c r="I966">
        <v>450</v>
      </c>
      <c r="J966">
        <v>72</v>
      </c>
      <c r="Q966"/>
    </row>
    <row r="967" spans="1:17" x14ac:dyDescent="0.25">
      <c r="A967">
        <v>4</v>
      </c>
      <c r="B967">
        <v>2016</v>
      </c>
      <c r="C967" t="s">
        <v>262</v>
      </c>
      <c r="D967" t="s">
        <v>263</v>
      </c>
      <c r="E967" t="s">
        <v>270</v>
      </c>
      <c r="F967" t="s">
        <v>271</v>
      </c>
      <c r="G967">
        <v>2008.8</v>
      </c>
      <c r="H967">
        <v>228</v>
      </c>
      <c r="I967">
        <v>1056</v>
      </c>
      <c r="J967">
        <v>120</v>
      </c>
      <c r="Q967"/>
    </row>
    <row r="968" spans="1:17" x14ac:dyDescent="0.25">
      <c r="A968">
        <v>4</v>
      </c>
      <c r="B968">
        <v>2016</v>
      </c>
      <c r="C968" t="s">
        <v>262</v>
      </c>
      <c r="D968" t="s">
        <v>263</v>
      </c>
      <c r="E968" t="s">
        <v>812</v>
      </c>
      <c r="F968" t="s">
        <v>813</v>
      </c>
      <c r="G968">
        <v>79.2</v>
      </c>
      <c r="H968">
        <v>12</v>
      </c>
      <c r="I968">
        <v>158.4</v>
      </c>
      <c r="J968">
        <v>24</v>
      </c>
      <c r="Q968"/>
    </row>
    <row r="969" spans="1:17" x14ac:dyDescent="0.25">
      <c r="A969">
        <v>4</v>
      </c>
      <c r="B969">
        <v>2016</v>
      </c>
      <c r="C969" t="s">
        <v>272</v>
      </c>
      <c r="D969" t="s">
        <v>273</v>
      </c>
      <c r="E969" t="s">
        <v>276</v>
      </c>
      <c r="F969" t="s">
        <v>277</v>
      </c>
      <c r="G969">
        <v>1267.2</v>
      </c>
      <c r="H969">
        <v>132</v>
      </c>
      <c r="I969">
        <v>460.8</v>
      </c>
      <c r="J969">
        <v>54</v>
      </c>
      <c r="Q969"/>
    </row>
    <row r="970" spans="1:17" x14ac:dyDescent="0.25">
      <c r="A970">
        <v>4</v>
      </c>
      <c r="B970">
        <v>2016</v>
      </c>
      <c r="C970" t="s">
        <v>272</v>
      </c>
      <c r="D970" t="s">
        <v>273</v>
      </c>
      <c r="E970" t="s">
        <v>736</v>
      </c>
      <c r="F970" t="s">
        <v>735</v>
      </c>
      <c r="G970">
        <v>63</v>
      </c>
      <c r="H970">
        <v>6</v>
      </c>
      <c r="Q970"/>
    </row>
    <row r="971" spans="1:17" x14ac:dyDescent="0.25">
      <c r="A971">
        <v>4</v>
      </c>
      <c r="B971">
        <v>2016</v>
      </c>
      <c r="C971" t="s">
        <v>272</v>
      </c>
      <c r="D971" t="s">
        <v>273</v>
      </c>
      <c r="E971" t="s">
        <v>278</v>
      </c>
      <c r="F971" t="s">
        <v>279</v>
      </c>
      <c r="G971">
        <v>179.1</v>
      </c>
      <c r="H971">
        <v>90</v>
      </c>
      <c r="I971">
        <v>429.3</v>
      </c>
      <c r="J971">
        <v>156</v>
      </c>
      <c r="Q971"/>
    </row>
    <row r="972" spans="1:17" x14ac:dyDescent="0.25">
      <c r="A972">
        <v>4</v>
      </c>
      <c r="B972">
        <v>2016</v>
      </c>
      <c r="C972" t="s">
        <v>272</v>
      </c>
      <c r="D972" t="s">
        <v>273</v>
      </c>
      <c r="E972" t="s">
        <v>280</v>
      </c>
      <c r="F972" t="s">
        <v>281</v>
      </c>
      <c r="G972">
        <v>328.8</v>
      </c>
      <c r="H972">
        <v>48</v>
      </c>
      <c r="I972">
        <v>739.8</v>
      </c>
      <c r="J972">
        <v>108</v>
      </c>
      <c r="Q972"/>
    </row>
    <row r="973" spans="1:17" x14ac:dyDescent="0.25">
      <c r="A973">
        <v>4</v>
      </c>
      <c r="B973">
        <v>2016</v>
      </c>
      <c r="C973" t="s">
        <v>288</v>
      </c>
      <c r="D973" t="s">
        <v>289</v>
      </c>
      <c r="E973" t="s">
        <v>290</v>
      </c>
      <c r="F973" t="s">
        <v>291</v>
      </c>
      <c r="G973">
        <v>60</v>
      </c>
      <c r="H973">
        <v>12</v>
      </c>
      <c r="Q973"/>
    </row>
    <row r="974" spans="1:17" x14ac:dyDescent="0.25">
      <c r="A974">
        <v>4</v>
      </c>
      <c r="B974">
        <v>2016</v>
      </c>
      <c r="C974" t="s">
        <v>288</v>
      </c>
      <c r="D974" t="s">
        <v>289</v>
      </c>
      <c r="E974" t="s">
        <v>292</v>
      </c>
      <c r="F974" t="s">
        <v>293</v>
      </c>
      <c r="G974">
        <v>744</v>
      </c>
      <c r="H974">
        <v>96</v>
      </c>
      <c r="Q974"/>
    </row>
    <row r="975" spans="1:17" x14ac:dyDescent="0.25">
      <c r="A975">
        <v>4</v>
      </c>
      <c r="B975">
        <v>2016</v>
      </c>
      <c r="C975" t="s">
        <v>288</v>
      </c>
      <c r="D975" t="s">
        <v>289</v>
      </c>
      <c r="E975" t="s">
        <v>294</v>
      </c>
      <c r="F975" t="s">
        <v>295</v>
      </c>
      <c r="G975">
        <v>160.19999999999999</v>
      </c>
      <c r="H975">
        <v>18</v>
      </c>
      <c r="Q975"/>
    </row>
    <row r="976" spans="1:17" x14ac:dyDescent="0.25">
      <c r="A976">
        <v>4</v>
      </c>
      <c r="B976">
        <v>2016</v>
      </c>
      <c r="C976" t="s">
        <v>296</v>
      </c>
      <c r="D976" t="s">
        <v>297</v>
      </c>
      <c r="E976" t="s">
        <v>298</v>
      </c>
      <c r="F976" t="s">
        <v>299</v>
      </c>
      <c r="G976">
        <v>100.8</v>
      </c>
      <c r="H976">
        <v>24</v>
      </c>
      <c r="Q976"/>
    </row>
    <row r="977" spans="1:17" x14ac:dyDescent="0.25">
      <c r="A977">
        <v>4</v>
      </c>
      <c r="B977">
        <v>2016</v>
      </c>
      <c r="C977" t="s">
        <v>296</v>
      </c>
      <c r="D977" t="s">
        <v>297</v>
      </c>
      <c r="E977" t="s">
        <v>300</v>
      </c>
      <c r="F977" t="s">
        <v>301</v>
      </c>
      <c r="G977">
        <v>129.6</v>
      </c>
      <c r="H977">
        <v>36</v>
      </c>
      <c r="Q977"/>
    </row>
    <row r="978" spans="1:17" x14ac:dyDescent="0.25">
      <c r="A978">
        <v>4</v>
      </c>
      <c r="B978">
        <v>2016</v>
      </c>
      <c r="C978" t="s">
        <v>296</v>
      </c>
      <c r="D978" t="s">
        <v>297</v>
      </c>
      <c r="E978" t="s">
        <v>302</v>
      </c>
      <c r="F978" t="s">
        <v>303</v>
      </c>
      <c r="G978">
        <v>66</v>
      </c>
      <c r="H978">
        <v>18</v>
      </c>
      <c r="Q978"/>
    </row>
    <row r="979" spans="1:17" x14ac:dyDescent="0.25">
      <c r="A979">
        <v>4</v>
      </c>
      <c r="B979">
        <v>2016</v>
      </c>
      <c r="C979" t="s">
        <v>296</v>
      </c>
      <c r="D979" t="s">
        <v>297</v>
      </c>
      <c r="E979" t="s">
        <v>304</v>
      </c>
      <c r="F979" t="s">
        <v>303</v>
      </c>
      <c r="G979">
        <v>198</v>
      </c>
      <c r="H979">
        <v>36</v>
      </c>
      <c r="Q979"/>
    </row>
    <row r="980" spans="1:17" x14ac:dyDescent="0.25">
      <c r="A980">
        <v>4</v>
      </c>
      <c r="B980">
        <v>2016</v>
      </c>
      <c r="C980" t="s">
        <v>296</v>
      </c>
      <c r="D980" t="s">
        <v>297</v>
      </c>
      <c r="E980" t="s">
        <v>305</v>
      </c>
      <c r="F980" t="s">
        <v>303</v>
      </c>
      <c r="G980">
        <v>363</v>
      </c>
      <c r="H980">
        <v>66</v>
      </c>
      <c r="Q980"/>
    </row>
    <row r="981" spans="1:17" x14ac:dyDescent="0.25">
      <c r="A981">
        <v>4</v>
      </c>
      <c r="B981">
        <v>2016</v>
      </c>
      <c r="C981" t="s">
        <v>296</v>
      </c>
      <c r="D981" t="s">
        <v>297</v>
      </c>
      <c r="E981" t="s">
        <v>306</v>
      </c>
      <c r="F981" t="s">
        <v>307</v>
      </c>
      <c r="G981">
        <v>106.5</v>
      </c>
      <c r="H981">
        <v>30</v>
      </c>
      <c r="Q981"/>
    </row>
    <row r="982" spans="1:17" x14ac:dyDescent="0.25">
      <c r="A982">
        <v>4</v>
      </c>
      <c r="B982">
        <v>2016</v>
      </c>
      <c r="C982" t="s">
        <v>296</v>
      </c>
      <c r="D982" t="s">
        <v>297</v>
      </c>
      <c r="E982" t="s">
        <v>308</v>
      </c>
      <c r="F982" t="s">
        <v>309</v>
      </c>
      <c r="G982">
        <v>2409.9</v>
      </c>
      <c r="H982">
        <v>672</v>
      </c>
      <c r="Q982"/>
    </row>
    <row r="983" spans="1:17" x14ac:dyDescent="0.25">
      <c r="A983">
        <v>4</v>
      </c>
      <c r="B983">
        <v>2016</v>
      </c>
      <c r="C983" t="s">
        <v>296</v>
      </c>
      <c r="D983" t="s">
        <v>297</v>
      </c>
      <c r="E983" t="s">
        <v>310</v>
      </c>
      <c r="F983" t="s">
        <v>311</v>
      </c>
      <c r="G983">
        <v>700.3</v>
      </c>
      <c r="H983">
        <v>326.83</v>
      </c>
      <c r="Q983"/>
    </row>
    <row r="984" spans="1:17" x14ac:dyDescent="0.25">
      <c r="A984">
        <v>4</v>
      </c>
      <c r="B984">
        <v>2016</v>
      </c>
      <c r="C984" t="s">
        <v>296</v>
      </c>
      <c r="D984" t="s">
        <v>297</v>
      </c>
      <c r="E984" t="s">
        <v>312</v>
      </c>
      <c r="F984" t="s">
        <v>313</v>
      </c>
      <c r="G984">
        <v>3996</v>
      </c>
      <c r="H984">
        <v>1776</v>
      </c>
      <c r="Q984"/>
    </row>
    <row r="985" spans="1:17" x14ac:dyDescent="0.25">
      <c r="A985">
        <v>4</v>
      </c>
      <c r="B985">
        <v>2016</v>
      </c>
      <c r="C985" t="s">
        <v>296</v>
      </c>
      <c r="D985" t="s">
        <v>297</v>
      </c>
      <c r="E985" t="s">
        <v>314</v>
      </c>
      <c r="F985" t="s">
        <v>315</v>
      </c>
      <c r="G985">
        <v>1336.5</v>
      </c>
      <c r="H985">
        <v>913.79</v>
      </c>
      <c r="Q985"/>
    </row>
    <row r="986" spans="1:17" x14ac:dyDescent="0.25">
      <c r="A986">
        <v>4</v>
      </c>
      <c r="B986">
        <v>2016</v>
      </c>
      <c r="C986" t="s">
        <v>296</v>
      </c>
      <c r="D986" t="s">
        <v>297</v>
      </c>
      <c r="E986" t="s">
        <v>740</v>
      </c>
      <c r="F986" t="s">
        <v>741</v>
      </c>
      <c r="G986">
        <v>101.4</v>
      </c>
      <c r="H986">
        <v>79.98</v>
      </c>
      <c r="Q986"/>
    </row>
    <row r="987" spans="1:17" x14ac:dyDescent="0.25">
      <c r="A987">
        <v>4</v>
      </c>
      <c r="B987">
        <v>2016</v>
      </c>
      <c r="C987" t="s">
        <v>296</v>
      </c>
      <c r="D987" t="s">
        <v>297</v>
      </c>
      <c r="E987" t="s">
        <v>815</v>
      </c>
      <c r="F987" t="s">
        <v>816</v>
      </c>
      <c r="G987">
        <v>205.2</v>
      </c>
      <c r="H987">
        <v>114</v>
      </c>
      <c r="Q987"/>
    </row>
    <row r="988" spans="1:17" x14ac:dyDescent="0.25">
      <c r="A988">
        <v>4</v>
      </c>
      <c r="B988">
        <v>2016</v>
      </c>
      <c r="C988" t="s">
        <v>296</v>
      </c>
      <c r="D988" t="s">
        <v>297</v>
      </c>
      <c r="E988" t="s">
        <v>878</v>
      </c>
      <c r="F988" t="s">
        <v>879</v>
      </c>
      <c r="G988">
        <v>43.2</v>
      </c>
      <c r="H988">
        <v>24</v>
      </c>
      <c r="Q988"/>
    </row>
    <row r="989" spans="1:17" x14ac:dyDescent="0.25">
      <c r="A989">
        <v>4</v>
      </c>
      <c r="B989">
        <v>2016</v>
      </c>
      <c r="C989" t="s">
        <v>319</v>
      </c>
      <c r="D989" t="s">
        <v>320</v>
      </c>
      <c r="E989" t="s">
        <v>321</v>
      </c>
      <c r="F989" t="s">
        <v>322</v>
      </c>
      <c r="G989">
        <v>1211.76</v>
      </c>
      <c r="H989">
        <v>324</v>
      </c>
      <c r="I989">
        <v>799.2</v>
      </c>
      <c r="J989">
        <v>222</v>
      </c>
      <c r="Q989"/>
    </row>
    <row r="990" spans="1:17" x14ac:dyDescent="0.25">
      <c r="A990">
        <v>4</v>
      </c>
      <c r="B990">
        <v>2016</v>
      </c>
      <c r="C990" t="s">
        <v>319</v>
      </c>
      <c r="D990" t="s">
        <v>320</v>
      </c>
      <c r="E990" t="s">
        <v>323</v>
      </c>
      <c r="F990" t="s">
        <v>322</v>
      </c>
      <c r="G990">
        <v>170.64</v>
      </c>
      <c r="H990">
        <v>36</v>
      </c>
      <c r="I990">
        <v>26.64</v>
      </c>
      <c r="J990">
        <v>6</v>
      </c>
      <c r="Q990"/>
    </row>
    <row r="991" spans="1:17" x14ac:dyDescent="0.25">
      <c r="A991">
        <v>4</v>
      </c>
      <c r="B991">
        <v>2016</v>
      </c>
      <c r="C991" t="s">
        <v>324</v>
      </c>
      <c r="D991" t="s">
        <v>325</v>
      </c>
      <c r="E991" t="s">
        <v>742</v>
      </c>
      <c r="F991" t="s">
        <v>743</v>
      </c>
      <c r="G991">
        <v>178.8</v>
      </c>
      <c r="H991">
        <v>36</v>
      </c>
      <c r="I991">
        <v>122.4</v>
      </c>
      <c r="J991">
        <v>24</v>
      </c>
      <c r="Q991"/>
    </row>
    <row r="992" spans="1:17" x14ac:dyDescent="0.25">
      <c r="A992">
        <v>4</v>
      </c>
      <c r="B992">
        <v>2016</v>
      </c>
      <c r="C992" t="s">
        <v>324</v>
      </c>
      <c r="D992" t="s">
        <v>325</v>
      </c>
      <c r="E992" t="s">
        <v>744</v>
      </c>
      <c r="F992" t="s">
        <v>327</v>
      </c>
      <c r="G992">
        <v>220.8</v>
      </c>
      <c r="H992">
        <v>48</v>
      </c>
      <c r="Q992"/>
    </row>
    <row r="993" spans="1:17" x14ac:dyDescent="0.25">
      <c r="A993">
        <v>4</v>
      </c>
      <c r="B993">
        <v>2016</v>
      </c>
      <c r="C993" t="s">
        <v>324</v>
      </c>
      <c r="D993" t="s">
        <v>325</v>
      </c>
      <c r="E993" t="s">
        <v>326</v>
      </c>
      <c r="F993" t="s">
        <v>327</v>
      </c>
      <c r="G993">
        <v>2508</v>
      </c>
      <c r="H993">
        <v>570</v>
      </c>
      <c r="I993">
        <v>1264.2</v>
      </c>
      <c r="J993">
        <v>306</v>
      </c>
      <c r="Q993"/>
    </row>
    <row r="994" spans="1:17" x14ac:dyDescent="0.25">
      <c r="A994">
        <v>4</v>
      </c>
      <c r="B994">
        <v>2016</v>
      </c>
      <c r="C994" t="s">
        <v>324</v>
      </c>
      <c r="D994" t="s">
        <v>325</v>
      </c>
      <c r="E994" t="s">
        <v>328</v>
      </c>
      <c r="F994" t="s">
        <v>327</v>
      </c>
      <c r="G994">
        <v>652.79999999999995</v>
      </c>
      <c r="H994">
        <v>204</v>
      </c>
      <c r="I994">
        <v>256.2</v>
      </c>
      <c r="J994">
        <v>96</v>
      </c>
      <c r="Q994"/>
    </row>
    <row r="995" spans="1:17" x14ac:dyDescent="0.25">
      <c r="A995">
        <v>4</v>
      </c>
      <c r="B995">
        <v>2016</v>
      </c>
      <c r="C995" t="s">
        <v>324</v>
      </c>
      <c r="D995" t="s">
        <v>325</v>
      </c>
      <c r="E995" t="s">
        <v>329</v>
      </c>
      <c r="F995" t="s">
        <v>327</v>
      </c>
      <c r="G995">
        <v>91.2</v>
      </c>
      <c r="H995">
        <v>24</v>
      </c>
      <c r="I995">
        <v>45.6</v>
      </c>
      <c r="J995">
        <v>12</v>
      </c>
      <c r="Q995"/>
    </row>
    <row r="996" spans="1:17" x14ac:dyDescent="0.25">
      <c r="A996">
        <v>4</v>
      </c>
      <c r="B996">
        <v>2016</v>
      </c>
      <c r="C996" t="s">
        <v>324</v>
      </c>
      <c r="D996" t="s">
        <v>325</v>
      </c>
      <c r="E996" t="s">
        <v>330</v>
      </c>
      <c r="F996" t="s">
        <v>331</v>
      </c>
      <c r="G996">
        <v>57.6</v>
      </c>
      <c r="H996">
        <v>12</v>
      </c>
      <c r="I996">
        <v>-28.8</v>
      </c>
      <c r="J996">
        <v>0</v>
      </c>
      <c r="Q996"/>
    </row>
    <row r="997" spans="1:17" x14ac:dyDescent="0.25">
      <c r="A997">
        <v>4</v>
      </c>
      <c r="B997">
        <v>2016</v>
      </c>
      <c r="C997" t="s">
        <v>324</v>
      </c>
      <c r="D997" t="s">
        <v>325</v>
      </c>
      <c r="E997" t="s">
        <v>332</v>
      </c>
      <c r="F997" t="s">
        <v>333</v>
      </c>
      <c r="G997">
        <v>1005</v>
      </c>
      <c r="H997">
        <v>446.89</v>
      </c>
      <c r="I997">
        <v>899</v>
      </c>
      <c r="J997">
        <v>426.88</v>
      </c>
      <c r="Q997"/>
    </row>
    <row r="998" spans="1:17" x14ac:dyDescent="0.25">
      <c r="A998">
        <v>4</v>
      </c>
      <c r="B998">
        <v>2016</v>
      </c>
      <c r="C998" t="s">
        <v>334</v>
      </c>
      <c r="D998" t="s">
        <v>335</v>
      </c>
      <c r="E998" t="s">
        <v>336</v>
      </c>
      <c r="F998" t="s">
        <v>337</v>
      </c>
      <c r="G998">
        <v>45.6</v>
      </c>
      <c r="H998">
        <v>6</v>
      </c>
      <c r="I998">
        <v>273.60000000000002</v>
      </c>
      <c r="J998">
        <v>36</v>
      </c>
      <c r="Q998"/>
    </row>
    <row r="999" spans="1:17" x14ac:dyDescent="0.25">
      <c r="A999">
        <v>4</v>
      </c>
      <c r="B999">
        <v>2016</v>
      </c>
      <c r="C999" t="s">
        <v>334</v>
      </c>
      <c r="D999" t="s">
        <v>335</v>
      </c>
      <c r="E999" t="s">
        <v>338</v>
      </c>
      <c r="F999" t="s">
        <v>339</v>
      </c>
      <c r="G999">
        <v>153.44999999999999</v>
      </c>
      <c r="H999">
        <v>36</v>
      </c>
      <c r="I999">
        <v>579.6</v>
      </c>
      <c r="J999">
        <v>126</v>
      </c>
      <c r="Q999"/>
    </row>
    <row r="1000" spans="1:17" x14ac:dyDescent="0.25">
      <c r="A1000">
        <v>4</v>
      </c>
      <c r="B1000">
        <v>2016</v>
      </c>
      <c r="C1000" t="s">
        <v>340</v>
      </c>
      <c r="D1000" t="s">
        <v>341</v>
      </c>
      <c r="E1000" t="s">
        <v>342</v>
      </c>
      <c r="F1000" t="s">
        <v>343</v>
      </c>
      <c r="G1000">
        <v>597.6</v>
      </c>
      <c r="H1000">
        <v>144</v>
      </c>
      <c r="I1000">
        <v>2170.8000000000002</v>
      </c>
      <c r="J1000">
        <v>540</v>
      </c>
      <c r="Q1000"/>
    </row>
    <row r="1001" spans="1:17" x14ac:dyDescent="0.25">
      <c r="A1001">
        <v>4</v>
      </c>
      <c r="B1001">
        <v>2016</v>
      </c>
      <c r="C1001" t="s">
        <v>340</v>
      </c>
      <c r="D1001" t="s">
        <v>341</v>
      </c>
      <c r="E1001" t="s">
        <v>880</v>
      </c>
      <c r="F1001" t="s">
        <v>881</v>
      </c>
      <c r="G1001">
        <v>83.7</v>
      </c>
      <c r="H1001">
        <v>12</v>
      </c>
      <c r="Q1001"/>
    </row>
    <row r="1002" spans="1:17" x14ac:dyDescent="0.25">
      <c r="A1002">
        <v>4</v>
      </c>
      <c r="B1002">
        <v>2016</v>
      </c>
      <c r="C1002" t="s">
        <v>340</v>
      </c>
      <c r="D1002" t="s">
        <v>341</v>
      </c>
      <c r="E1002" t="s">
        <v>345</v>
      </c>
      <c r="F1002" t="s">
        <v>346</v>
      </c>
      <c r="G1002">
        <v>33.299999999999997</v>
      </c>
      <c r="H1002">
        <v>6</v>
      </c>
      <c r="I1002">
        <v>280.8</v>
      </c>
      <c r="J1002">
        <v>60</v>
      </c>
      <c r="Q1002"/>
    </row>
    <row r="1003" spans="1:17" x14ac:dyDescent="0.25">
      <c r="A1003">
        <v>4</v>
      </c>
      <c r="B1003">
        <v>2016</v>
      </c>
      <c r="C1003" t="s">
        <v>349</v>
      </c>
      <c r="D1003" t="s">
        <v>350</v>
      </c>
      <c r="E1003" t="s">
        <v>351</v>
      </c>
      <c r="F1003" t="s">
        <v>352</v>
      </c>
      <c r="G1003">
        <v>1006.2</v>
      </c>
      <c r="H1003">
        <v>156</v>
      </c>
      <c r="I1003">
        <v>1360.8</v>
      </c>
      <c r="J1003">
        <v>216</v>
      </c>
      <c r="Q1003"/>
    </row>
    <row r="1004" spans="1:17" x14ac:dyDescent="0.25">
      <c r="A1004">
        <v>4</v>
      </c>
      <c r="B1004">
        <v>2016</v>
      </c>
      <c r="C1004" t="s">
        <v>349</v>
      </c>
      <c r="D1004" t="s">
        <v>350</v>
      </c>
      <c r="E1004" t="s">
        <v>353</v>
      </c>
      <c r="F1004" t="s">
        <v>352</v>
      </c>
      <c r="G1004">
        <v>234</v>
      </c>
      <c r="H1004">
        <v>30</v>
      </c>
      <c r="I1004">
        <v>415.8</v>
      </c>
      <c r="J1004">
        <v>54</v>
      </c>
      <c r="Q1004"/>
    </row>
    <row r="1005" spans="1:17" x14ac:dyDescent="0.25">
      <c r="A1005">
        <v>4</v>
      </c>
      <c r="B1005">
        <v>2016</v>
      </c>
      <c r="C1005" t="s">
        <v>349</v>
      </c>
      <c r="D1005" t="s">
        <v>350</v>
      </c>
      <c r="E1005" t="s">
        <v>882</v>
      </c>
      <c r="F1005" t="s">
        <v>352</v>
      </c>
      <c r="G1005">
        <v>37.799999999999997</v>
      </c>
      <c r="H1005">
        <v>6</v>
      </c>
      <c r="I1005">
        <v>109.8</v>
      </c>
      <c r="J1005">
        <v>18</v>
      </c>
      <c r="Q1005"/>
    </row>
    <row r="1006" spans="1:17" x14ac:dyDescent="0.25">
      <c r="A1006">
        <v>4</v>
      </c>
      <c r="B1006">
        <v>2016</v>
      </c>
      <c r="C1006" t="s">
        <v>349</v>
      </c>
      <c r="D1006" t="s">
        <v>350</v>
      </c>
      <c r="E1006" t="s">
        <v>819</v>
      </c>
      <c r="F1006" t="s">
        <v>352</v>
      </c>
      <c r="G1006">
        <v>45</v>
      </c>
      <c r="H1006">
        <v>6</v>
      </c>
      <c r="I1006">
        <v>44.4</v>
      </c>
      <c r="J1006">
        <v>6</v>
      </c>
      <c r="Q1006"/>
    </row>
    <row r="1007" spans="1:17" x14ac:dyDescent="0.25">
      <c r="A1007">
        <v>4</v>
      </c>
      <c r="B1007">
        <v>2016</v>
      </c>
      <c r="C1007" t="s">
        <v>349</v>
      </c>
      <c r="D1007" t="s">
        <v>350</v>
      </c>
      <c r="E1007" t="s">
        <v>354</v>
      </c>
      <c r="F1007" t="s">
        <v>352</v>
      </c>
      <c r="G1007">
        <v>442.2</v>
      </c>
      <c r="H1007">
        <v>66</v>
      </c>
      <c r="I1007">
        <v>554.4</v>
      </c>
      <c r="J1007">
        <v>84</v>
      </c>
      <c r="Q1007"/>
    </row>
    <row r="1008" spans="1:17" x14ac:dyDescent="0.25">
      <c r="A1008">
        <v>4</v>
      </c>
      <c r="B1008">
        <v>2016</v>
      </c>
      <c r="C1008" t="s">
        <v>349</v>
      </c>
      <c r="D1008" t="s">
        <v>350</v>
      </c>
      <c r="E1008" t="s">
        <v>355</v>
      </c>
      <c r="F1008" t="s">
        <v>352</v>
      </c>
      <c r="G1008">
        <v>46.8</v>
      </c>
      <c r="H1008">
        <v>6</v>
      </c>
      <c r="I1008">
        <v>138.6</v>
      </c>
      <c r="J1008">
        <v>18</v>
      </c>
      <c r="Q1008"/>
    </row>
    <row r="1009" spans="1:17" x14ac:dyDescent="0.25">
      <c r="A1009">
        <v>4</v>
      </c>
      <c r="B1009">
        <v>2016</v>
      </c>
      <c r="C1009" t="s">
        <v>356</v>
      </c>
      <c r="D1009" t="s">
        <v>357</v>
      </c>
      <c r="E1009" t="s">
        <v>358</v>
      </c>
      <c r="F1009" t="s">
        <v>359</v>
      </c>
      <c r="G1009">
        <v>219.3</v>
      </c>
      <c r="H1009">
        <v>102</v>
      </c>
      <c r="I1009">
        <v>579.6</v>
      </c>
      <c r="J1009">
        <v>276</v>
      </c>
      <c r="Q1009"/>
    </row>
    <row r="1010" spans="1:17" x14ac:dyDescent="0.25">
      <c r="A1010">
        <v>4</v>
      </c>
      <c r="B1010">
        <v>2016</v>
      </c>
      <c r="C1010" t="s">
        <v>360</v>
      </c>
      <c r="D1010" t="s">
        <v>361</v>
      </c>
      <c r="E1010" t="s">
        <v>362</v>
      </c>
      <c r="F1010" t="s">
        <v>363</v>
      </c>
      <c r="G1010">
        <v>904.75</v>
      </c>
      <c r="H1010">
        <v>626.51</v>
      </c>
      <c r="I1010">
        <v>684</v>
      </c>
      <c r="J1010">
        <v>506.54</v>
      </c>
      <c r="Q1010"/>
    </row>
    <row r="1011" spans="1:17" x14ac:dyDescent="0.25">
      <c r="A1011">
        <v>4</v>
      </c>
      <c r="B1011">
        <v>2016</v>
      </c>
      <c r="C1011" t="s">
        <v>360</v>
      </c>
      <c r="D1011" t="s">
        <v>361</v>
      </c>
      <c r="E1011" t="s">
        <v>364</v>
      </c>
      <c r="F1011" t="s">
        <v>363</v>
      </c>
      <c r="G1011">
        <v>1758.4</v>
      </c>
      <c r="H1011">
        <v>1073.8699999999999</v>
      </c>
      <c r="I1011">
        <v>1122</v>
      </c>
      <c r="J1011">
        <v>693.68</v>
      </c>
      <c r="Q1011"/>
    </row>
    <row r="1012" spans="1:17" x14ac:dyDescent="0.25">
      <c r="A1012">
        <v>4</v>
      </c>
      <c r="B1012">
        <v>2016</v>
      </c>
      <c r="C1012" t="s">
        <v>360</v>
      </c>
      <c r="D1012" t="s">
        <v>361</v>
      </c>
      <c r="E1012" t="s">
        <v>365</v>
      </c>
      <c r="F1012" t="s">
        <v>366</v>
      </c>
      <c r="G1012">
        <v>100.8</v>
      </c>
      <c r="H1012">
        <v>54</v>
      </c>
      <c r="I1012">
        <v>467.4</v>
      </c>
      <c r="J1012">
        <v>234</v>
      </c>
      <c r="Q1012"/>
    </row>
    <row r="1013" spans="1:17" x14ac:dyDescent="0.25">
      <c r="A1013">
        <v>4</v>
      </c>
      <c r="B1013">
        <v>2016</v>
      </c>
      <c r="C1013" t="s">
        <v>360</v>
      </c>
      <c r="D1013" t="s">
        <v>361</v>
      </c>
      <c r="E1013" t="s">
        <v>367</v>
      </c>
      <c r="F1013" t="s">
        <v>368</v>
      </c>
      <c r="G1013">
        <v>3514.5</v>
      </c>
      <c r="H1013">
        <v>1284</v>
      </c>
      <c r="I1013">
        <v>1474.2</v>
      </c>
      <c r="J1013">
        <v>552</v>
      </c>
      <c r="Q1013"/>
    </row>
    <row r="1014" spans="1:17" x14ac:dyDescent="0.25">
      <c r="A1014">
        <v>4</v>
      </c>
      <c r="B1014">
        <v>2016</v>
      </c>
      <c r="C1014" t="s">
        <v>360</v>
      </c>
      <c r="D1014" t="s">
        <v>361</v>
      </c>
      <c r="E1014" t="s">
        <v>369</v>
      </c>
      <c r="F1014" t="s">
        <v>370</v>
      </c>
      <c r="G1014">
        <v>1104</v>
      </c>
      <c r="H1014">
        <v>240</v>
      </c>
      <c r="I1014">
        <v>432</v>
      </c>
      <c r="J1014">
        <v>108</v>
      </c>
      <c r="Q1014"/>
    </row>
    <row r="1015" spans="1:17" x14ac:dyDescent="0.25">
      <c r="A1015">
        <v>4</v>
      </c>
      <c r="B1015">
        <v>2016</v>
      </c>
      <c r="C1015" t="s">
        <v>360</v>
      </c>
      <c r="D1015" t="s">
        <v>361</v>
      </c>
      <c r="E1015" t="s">
        <v>371</v>
      </c>
      <c r="F1015" t="s">
        <v>372</v>
      </c>
      <c r="G1015">
        <v>143.52000000000001</v>
      </c>
      <c r="H1015">
        <v>24</v>
      </c>
      <c r="I1015">
        <v>105.3</v>
      </c>
      <c r="J1015">
        <v>18</v>
      </c>
      <c r="Q1015"/>
    </row>
    <row r="1016" spans="1:17" x14ac:dyDescent="0.25">
      <c r="A1016">
        <v>4</v>
      </c>
      <c r="B1016">
        <v>2016</v>
      </c>
      <c r="C1016" t="s">
        <v>360</v>
      </c>
      <c r="D1016" t="s">
        <v>361</v>
      </c>
      <c r="E1016" t="s">
        <v>750</v>
      </c>
      <c r="F1016" t="s">
        <v>751</v>
      </c>
      <c r="G1016">
        <v>451.5</v>
      </c>
      <c r="H1016">
        <v>42</v>
      </c>
      <c r="Q1016"/>
    </row>
    <row r="1017" spans="1:17" x14ac:dyDescent="0.25">
      <c r="A1017">
        <v>4</v>
      </c>
      <c r="B1017">
        <v>2016</v>
      </c>
      <c r="C1017" t="s">
        <v>360</v>
      </c>
      <c r="D1017" t="s">
        <v>361</v>
      </c>
      <c r="E1017" t="s">
        <v>373</v>
      </c>
      <c r="F1017" t="s">
        <v>374</v>
      </c>
      <c r="G1017">
        <v>198</v>
      </c>
      <c r="H1017">
        <v>72</v>
      </c>
      <c r="Q1017"/>
    </row>
    <row r="1018" spans="1:17" x14ac:dyDescent="0.25">
      <c r="A1018">
        <v>4</v>
      </c>
      <c r="B1018">
        <v>2016</v>
      </c>
      <c r="C1018" t="s">
        <v>375</v>
      </c>
      <c r="D1018" t="s">
        <v>376</v>
      </c>
      <c r="E1018" t="s">
        <v>379</v>
      </c>
      <c r="F1018" t="s">
        <v>378</v>
      </c>
      <c r="G1018">
        <v>9.91</v>
      </c>
      <c r="H1018">
        <v>13.34</v>
      </c>
      <c r="I1018">
        <v>148.16</v>
      </c>
      <c r="J1018">
        <v>106.72</v>
      </c>
      <c r="Q1018"/>
    </row>
    <row r="1019" spans="1:17" x14ac:dyDescent="0.25">
      <c r="A1019">
        <v>4</v>
      </c>
      <c r="B1019">
        <v>2016</v>
      </c>
      <c r="C1019" t="s">
        <v>375</v>
      </c>
      <c r="D1019" t="s">
        <v>376</v>
      </c>
      <c r="E1019" t="s">
        <v>380</v>
      </c>
      <c r="F1019" t="s">
        <v>378</v>
      </c>
      <c r="G1019">
        <v>503.16</v>
      </c>
      <c r="H1019">
        <v>373.24</v>
      </c>
      <c r="I1019">
        <v>302.22000000000003</v>
      </c>
      <c r="J1019">
        <v>239.94</v>
      </c>
      <c r="Q1019"/>
    </row>
    <row r="1020" spans="1:17" x14ac:dyDescent="0.25">
      <c r="A1020">
        <v>4</v>
      </c>
      <c r="B1020">
        <v>2016</v>
      </c>
      <c r="C1020" t="s">
        <v>375</v>
      </c>
      <c r="D1020" t="s">
        <v>376</v>
      </c>
      <c r="E1020" t="s">
        <v>381</v>
      </c>
      <c r="F1020" t="s">
        <v>378</v>
      </c>
      <c r="G1020">
        <v>396.4</v>
      </c>
      <c r="H1020">
        <v>273.46999999999997</v>
      </c>
      <c r="I1020">
        <v>185.2</v>
      </c>
      <c r="J1020">
        <v>133.4</v>
      </c>
      <c r="Q1020"/>
    </row>
    <row r="1021" spans="1:17" x14ac:dyDescent="0.25">
      <c r="A1021">
        <v>4</v>
      </c>
      <c r="B1021">
        <v>2016</v>
      </c>
      <c r="C1021" t="s">
        <v>386</v>
      </c>
      <c r="D1021" t="s">
        <v>387</v>
      </c>
      <c r="E1021" t="s">
        <v>388</v>
      </c>
      <c r="F1021" t="s">
        <v>389</v>
      </c>
      <c r="G1021">
        <v>635.70000000000005</v>
      </c>
      <c r="H1021">
        <v>174</v>
      </c>
      <c r="I1021">
        <v>298.2</v>
      </c>
      <c r="J1021">
        <v>84</v>
      </c>
      <c r="Q1021"/>
    </row>
    <row r="1022" spans="1:17" x14ac:dyDescent="0.25">
      <c r="A1022">
        <v>4</v>
      </c>
      <c r="B1022">
        <v>2016</v>
      </c>
      <c r="C1022" t="s">
        <v>386</v>
      </c>
      <c r="D1022" t="s">
        <v>387</v>
      </c>
      <c r="E1022" t="s">
        <v>390</v>
      </c>
      <c r="F1022" t="s">
        <v>391</v>
      </c>
      <c r="G1022">
        <v>244.2</v>
      </c>
      <c r="H1022">
        <v>66</v>
      </c>
      <c r="I1022">
        <v>43.2</v>
      </c>
      <c r="J1022">
        <v>12</v>
      </c>
      <c r="Q1022"/>
    </row>
    <row r="1023" spans="1:17" x14ac:dyDescent="0.25">
      <c r="A1023">
        <v>4</v>
      </c>
      <c r="B1023">
        <v>2016</v>
      </c>
      <c r="C1023" t="s">
        <v>386</v>
      </c>
      <c r="D1023" t="s">
        <v>387</v>
      </c>
      <c r="E1023" t="s">
        <v>883</v>
      </c>
      <c r="F1023" t="s">
        <v>884</v>
      </c>
      <c r="G1023">
        <v>474</v>
      </c>
      <c r="H1023">
        <v>120</v>
      </c>
      <c r="Q1023"/>
    </row>
    <row r="1024" spans="1:17" x14ac:dyDescent="0.25">
      <c r="A1024">
        <v>4</v>
      </c>
      <c r="B1024">
        <v>2016</v>
      </c>
      <c r="C1024" t="s">
        <v>386</v>
      </c>
      <c r="D1024" t="s">
        <v>387</v>
      </c>
      <c r="E1024" t="s">
        <v>392</v>
      </c>
      <c r="F1024" t="s">
        <v>393</v>
      </c>
      <c r="G1024">
        <v>622.5</v>
      </c>
      <c r="H1024">
        <v>150</v>
      </c>
      <c r="I1024">
        <v>344.4</v>
      </c>
      <c r="J1024">
        <v>84</v>
      </c>
      <c r="Q1024"/>
    </row>
    <row r="1025" spans="1:17" x14ac:dyDescent="0.25">
      <c r="A1025">
        <v>4</v>
      </c>
      <c r="B1025">
        <v>2016</v>
      </c>
      <c r="C1025" t="s">
        <v>386</v>
      </c>
      <c r="D1025" t="s">
        <v>387</v>
      </c>
      <c r="E1025" t="s">
        <v>394</v>
      </c>
      <c r="F1025" t="s">
        <v>395</v>
      </c>
      <c r="G1025">
        <v>595</v>
      </c>
      <c r="H1025">
        <v>373.24</v>
      </c>
      <c r="I1025">
        <v>445.5</v>
      </c>
      <c r="J1025">
        <v>293.26</v>
      </c>
      <c r="Q1025"/>
    </row>
    <row r="1026" spans="1:17" x14ac:dyDescent="0.25">
      <c r="A1026">
        <v>4</v>
      </c>
      <c r="B1026">
        <v>2016</v>
      </c>
      <c r="C1026" t="s">
        <v>386</v>
      </c>
      <c r="D1026" t="s">
        <v>387</v>
      </c>
      <c r="E1026" t="s">
        <v>396</v>
      </c>
      <c r="F1026" t="s">
        <v>397</v>
      </c>
      <c r="G1026">
        <v>1188</v>
      </c>
      <c r="H1026">
        <v>613.64</v>
      </c>
      <c r="I1026">
        <v>622.20000000000005</v>
      </c>
      <c r="J1026">
        <v>340.17</v>
      </c>
      <c r="Q1026"/>
    </row>
    <row r="1027" spans="1:17" x14ac:dyDescent="0.25">
      <c r="A1027">
        <v>4</v>
      </c>
      <c r="B1027">
        <v>2016</v>
      </c>
      <c r="C1027" t="s">
        <v>386</v>
      </c>
      <c r="D1027" t="s">
        <v>387</v>
      </c>
      <c r="E1027" t="s">
        <v>398</v>
      </c>
      <c r="F1027" t="s">
        <v>399</v>
      </c>
      <c r="G1027">
        <v>1771.2</v>
      </c>
      <c r="H1027">
        <v>432</v>
      </c>
      <c r="I1027">
        <v>1458</v>
      </c>
      <c r="J1027">
        <v>360</v>
      </c>
      <c r="Q1027"/>
    </row>
    <row r="1028" spans="1:17" x14ac:dyDescent="0.25">
      <c r="A1028">
        <v>4</v>
      </c>
      <c r="B1028">
        <v>2016</v>
      </c>
      <c r="C1028" t="s">
        <v>404</v>
      </c>
      <c r="D1028" t="s">
        <v>405</v>
      </c>
      <c r="E1028" t="s">
        <v>406</v>
      </c>
      <c r="F1028" t="s">
        <v>407</v>
      </c>
      <c r="G1028">
        <v>877.2</v>
      </c>
      <c r="H1028">
        <v>168</v>
      </c>
      <c r="I1028">
        <v>1092</v>
      </c>
      <c r="J1028">
        <v>210</v>
      </c>
      <c r="Q1028"/>
    </row>
    <row r="1029" spans="1:17" x14ac:dyDescent="0.25">
      <c r="A1029">
        <v>4</v>
      </c>
      <c r="B1029">
        <v>2016</v>
      </c>
      <c r="C1029" t="s">
        <v>404</v>
      </c>
      <c r="D1029" t="s">
        <v>405</v>
      </c>
      <c r="E1029" t="s">
        <v>408</v>
      </c>
      <c r="F1029" t="s">
        <v>409</v>
      </c>
      <c r="G1029">
        <v>135.6</v>
      </c>
      <c r="H1029">
        <v>24</v>
      </c>
      <c r="I1029">
        <v>266.39999999999998</v>
      </c>
      <c r="J1029">
        <v>48</v>
      </c>
      <c r="Q1029"/>
    </row>
    <row r="1030" spans="1:17" x14ac:dyDescent="0.25">
      <c r="A1030">
        <v>4</v>
      </c>
      <c r="B1030">
        <v>2016</v>
      </c>
      <c r="C1030" t="s">
        <v>404</v>
      </c>
      <c r="D1030" t="s">
        <v>405</v>
      </c>
      <c r="E1030" t="s">
        <v>410</v>
      </c>
      <c r="F1030" t="s">
        <v>411</v>
      </c>
      <c r="G1030">
        <v>47.7</v>
      </c>
      <c r="H1030">
        <v>6</v>
      </c>
      <c r="Q1030"/>
    </row>
    <row r="1031" spans="1:17" x14ac:dyDescent="0.25">
      <c r="A1031">
        <v>4</v>
      </c>
      <c r="B1031">
        <v>2016</v>
      </c>
      <c r="C1031" t="s">
        <v>412</v>
      </c>
      <c r="D1031" t="s">
        <v>413</v>
      </c>
      <c r="E1031" t="s">
        <v>414</v>
      </c>
      <c r="F1031" t="s">
        <v>415</v>
      </c>
      <c r="G1031">
        <v>1975.8</v>
      </c>
      <c r="H1031">
        <v>534</v>
      </c>
      <c r="I1031">
        <v>2086.8000000000002</v>
      </c>
      <c r="J1031">
        <v>564</v>
      </c>
      <c r="Q1031"/>
    </row>
    <row r="1032" spans="1:17" x14ac:dyDescent="0.25">
      <c r="A1032">
        <v>4</v>
      </c>
      <c r="B1032">
        <v>2016</v>
      </c>
      <c r="C1032" t="s">
        <v>412</v>
      </c>
      <c r="D1032" t="s">
        <v>413</v>
      </c>
      <c r="E1032" t="s">
        <v>824</v>
      </c>
      <c r="F1032" t="s">
        <v>825</v>
      </c>
      <c r="G1032">
        <v>97.2</v>
      </c>
      <c r="H1032">
        <v>18</v>
      </c>
      <c r="Q1032"/>
    </row>
    <row r="1033" spans="1:17" x14ac:dyDescent="0.25">
      <c r="A1033">
        <v>4</v>
      </c>
      <c r="B1033">
        <v>2016</v>
      </c>
      <c r="C1033" t="s">
        <v>412</v>
      </c>
      <c r="D1033" t="s">
        <v>413</v>
      </c>
      <c r="E1033" t="s">
        <v>418</v>
      </c>
      <c r="F1033" t="s">
        <v>419</v>
      </c>
      <c r="G1033">
        <v>1562.4</v>
      </c>
      <c r="H1033">
        <v>342</v>
      </c>
      <c r="I1033">
        <v>223.2</v>
      </c>
      <c r="J1033">
        <v>48</v>
      </c>
      <c r="Q1033"/>
    </row>
    <row r="1034" spans="1:17" x14ac:dyDescent="0.25">
      <c r="A1034">
        <v>4</v>
      </c>
      <c r="B1034">
        <v>2016</v>
      </c>
      <c r="C1034" t="s">
        <v>412</v>
      </c>
      <c r="D1034" t="s">
        <v>413</v>
      </c>
      <c r="E1034" t="s">
        <v>420</v>
      </c>
      <c r="F1034" t="s">
        <v>421</v>
      </c>
      <c r="G1034">
        <v>409.2</v>
      </c>
      <c r="H1034">
        <v>66</v>
      </c>
      <c r="Q1034"/>
    </row>
    <row r="1035" spans="1:17" x14ac:dyDescent="0.25">
      <c r="A1035">
        <v>4</v>
      </c>
      <c r="B1035">
        <v>2016</v>
      </c>
      <c r="C1035" t="s">
        <v>412</v>
      </c>
      <c r="D1035" t="s">
        <v>413</v>
      </c>
      <c r="E1035" t="s">
        <v>757</v>
      </c>
      <c r="F1035" t="s">
        <v>758</v>
      </c>
      <c r="G1035">
        <v>408</v>
      </c>
      <c r="H1035">
        <v>60</v>
      </c>
      <c r="Q1035"/>
    </row>
    <row r="1036" spans="1:17" x14ac:dyDescent="0.25">
      <c r="A1036">
        <v>4</v>
      </c>
      <c r="B1036">
        <v>2016</v>
      </c>
      <c r="C1036" t="s">
        <v>412</v>
      </c>
      <c r="D1036" t="s">
        <v>413</v>
      </c>
      <c r="E1036" t="s">
        <v>759</v>
      </c>
      <c r="F1036" t="s">
        <v>758</v>
      </c>
      <c r="G1036">
        <v>210</v>
      </c>
      <c r="H1036">
        <v>30</v>
      </c>
      <c r="Q1036"/>
    </row>
    <row r="1037" spans="1:17" x14ac:dyDescent="0.25">
      <c r="A1037">
        <v>4</v>
      </c>
      <c r="B1037">
        <v>2016</v>
      </c>
      <c r="C1037" t="s">
        <v>426</v>
      </c>
      <c r="D1037" t="s">
        <v>427</v>
      </c>
      <c r="E1037" t="s">
        <v>430</v>
      </c>
      <c r="F1037" t="s">
        <v>431</v>
      </c>
      <c r="G1037">
        <v>252</v>
      </c>
      <c r="H1037">
        <v>36</v>
      </c>
      <c r="I1037">
        <v>84</v>
      </c>
      <c r="J1037">
        <v>12</v>
      </c>
      <c r="Q1037"/>
    </row>
    <row r="1038" spans="1:17" x14ac:dyDescent="0.25">
      <c r="A1038">
        <v>4</v>
      </c>
      <c r="B1038">
        <v>2016</v>
      </c>
      <c r="C1038" t="s">
        <v>426</v>
      </c>
      <c r="D1038" t="s">
        <v>427</v>
      </c>
      <c r="E1038" t="s">
        <v>885</v>
      </c>
      <c r="F1038" t="s">
        <v>886</v>
      </c>
      <c r="G1038">
        <v>84</v>
      </c>
      <c r="H1038">
        <v>12</v>
      </c>
      <c r="Q1038"/>
    </row>
    <row r="1039" spans="1:17" x14ac:dyDescent="0.25">
      <c r="A1039">
        <v>4</v>
      </c>
      <c r="B1039">
        <v>2016</v>
      </c>
      <c r="C1039" t="s">
        <v>432</v>
      </c>
      <c r="D1039" t="s">
        <v>433</v>
      </c>
      <c r="E1039" t="s">
        <v>434</v>
      </c>
      <c r="F1039" t="s">
        <v>435</v>
      </c>
      <c r="G1039">
        <v>346.5</v>
      </c>
      <c r="H1039">
        <v>126</v>
      </c>
      <c r="I1039">
        <v>171.6</v>
      </c>
      <c r="J1039">
        <v>66</v>
      </c>
      <c r="Q1039"/>
    </row>
    <row r="1040" spans="1:17" x14ac:dyDescent="0.25">
      <c r="A1040">
        <v>4</v>
      </c>
      <c r="B1040">
        <v>2016</v>
      </c>
      <c r="C1040" t="s">
        <v>432</v>
      </c>
      <c r="D1040" t="s">
        <v>433</v>
      </c>
      <c r="E1040" t="s">
        <v>436</v>
      </c>
      <c r="F1040" t="s">
        <v>437</v>
      </c>
      <c r="G1040">
        <v>1701</v>
      </c>
      <c r="H1040">
        <v>810</v>
      </c>
      <c r="I1040">
        <v>824.1</v>
      </c>
      <c r="J1040">
        <v>402</v>
      </c>
      <c r="Q1040"/>
    </row>
    <row r="1041" spans="1:17" x14ac:dyDescent="0.25">
      <c r="A1041">
        <v>4</v>
      </c>
      <c r="B1041">
        <v>2016</v>
      </c>
      <c r="C1041" t="s">
        <v>438</v>
      </c>
      <c r="D1041" t="s">
        <v>439</v>
      </c>
      <c r="E1041" t="s">
        <v>440</v>
      </c>
      <c r="F1041" t="s">
        <v>441</v>
      </c>
      <c r="G1041">
        <v>1702.92</v>
      </c>
      <c r="H1041">
        <v>1098</v>
      </c>
      <c r="I1041">
        <v>1550.16</v>
      </c>
      <c r="J1041">
        <v>996</v>
      </c>
      <c r="Q1041"/>
    </row>
    <row r="1042" spans="1:17" x14ac:dyDescent="0.25">
      <c r="A1042">
        <v>4</v>
      </c>
      <c r="B1042">
        <v>2016</v>
      </c>
      <c r="C1042" t="s">
        <v>438</v>
      </c>
      <c r="D1042" t="s">
        <v>439</v>
      </c>
      <c r="E1042" t="s">
        <v>442</v>
      </c>
      <c r="F1042" t="s">
        <v>441</v>
      </c>
      <c r="G1042">
        <v>18383.78</v>
      </c>
      <c r="H1042">
        <v>13488</v>
      </c>
      <c r="I1042">
        <v>11518.12</v>
      </c>
      <c r="J1042">
        <v>7272</v>
      </c>
      <c r="Q1042"/>
    </row>
    <row r="1043" spans="1:17" x14ac:dyDescent="0.25">
      <c r="A1043">
        <v>4</v>
      </c>
      <c r="B1043">
        <v>2016</v>
      </c>
      <c r="C1043" t="s">
        <v>438</v>
      </c>
      <c r="D1043" t="s">
        <v>439</v>
      </c>
      <c r="E1043" t="s">
        <v>443</v>
      </c>
      <c r="F1043" t="s">
        <v>441</v>
      </c>
      <c r="G1043">
        <v>527.76</v>
      </c>
      <c r="H1043">
        <v>342</v>
      </c>
      <c r="I1043">
        <v>126.72</v>
      </c>
      <c r="J1043">
        <v>72</v>
      </c>
      <c r="Q1043"/>
    </row>
    <row r="1044" spans="1:17" x14ac:dyDescent="0.25">
      <c r="A1044">
        <v>4</v>
      </c>
      <c r="B1044">
        <v>2016</v>
      </c>
      <c r="C1044" t="s">
        <v>438</v>
      </c>
      <c r="D1044" t="s">
        <v>439</v>
      </c>
      <c r="E1044" t="s">
        <v>444</v>
      </c>
      <c r="F1044" t="s">
        <v>445</v>
      </c>
      <c r="G1044">
        <v>168.6</v>
      </c>
      <c r="H1044">
        <v>60</v>
      </c>
      <c r="I1044">
        <v>303.48</v>
      </c>
      <c r="J1044">
        <v>120</v>
      </c>
      <c r="Q1044"/>
    </row>
    <row r="1045" spans="1:17" x14ac:dyDescent="0.25">
      <c r="A1045">
        <v>4</v>
      </c>
      <c r="B1045">
        <v>2016</v>
      </c>
      <c r="C1045" t="s">
        <v>438</v>
      </c>
      <c r="D1045" t="s">
        <v>439</v>
      </c>
      <c r="E1045" t="s">
        <v>446</v>
      </c>
      <c r="F1045" t="s">
        <v>447</v>
      </c>
      <c r="G1045">
        <v>438</v>
      </c>
      <c r="H1045">
        <v>150</v>
      </c>
      <c r="Q1045"/>
    </row>
    <row r="1046" spans="1:17" x14ac:dyDescent="0.25">
      <c r="A1046">
        <v>4</v>
      </c>
      <c r="B1046">
        <v>2016</v>
      </c>
      <c r="C1046" t="s">
        <v>448</v>
      </c>
      <c r="D1046" t="s">
        <v>449</v>
      </c>
      <c r="E1046" t="s">
        <v>450</v>
      </c>
      <c r="F1046" t="s">
        <v>451</v>
      </c>
      <c r="G1046">
        <v>486.2</v>
      </c>
      <c r="H1046">
        <v>346.58</v>
      </c>
      <c r="I1046">
        <v>473.2</v>
      </c>
      <c r="J1046">
        <v>346.58</v>
      </c>
      <c r="Q1046"/>
    </row>
    <row r="1047" spans="1:17" x14ac:dyDescent="0.25">
      <c r="A1047">
        <v>4</v>
      </c>
      <c r="B1047">
        <v>2016</v>
      </c>
      <c r="C1047" t="s">
        <v>448</v>
      </c>
      <c r="D1047" t="s">
        <v>449</v>
      </c>
      <c r="E1047" t="s">
        <v>452</v>
      </c>
      <c r="F1047" t="s">
        <v>451</v>
      </c>
      <c r="G1047">
        <v>813.95</v>
      </c>
      <c r="H1047">
        <v>493.58</v>
      </c>
      <c r="I1047">
        <v>301</v>
      </c>
      <c r="J1047">
        <v>186.76</v>
      </c>
      <c r="Q1047"/>
    </row>
    <row r="1048" spans="1:17" x14ac:dyDescent="0.25">
      <c r="A1048">
        <v>4</v>
      </c>
      <c r="B1048">
        <v>2016</v>
      </c>
      <c r="C1048" t="s">
        <v>448</v>
      </c>
      <c r="D1048" t="s">
        <v>449</v>
      </c>
      <c r="E1048" t="s">
        <v>453</v>
      </c>
      <c r="F1048" t="s">
        <v>454</v>
      </c>
      <c r="G1048">
        <v>170.1</v>
      </c>
      <c r="H1048">
        <v>54</v>
      </c>
      <c r="I1048">
        <v>292.8</v>
      </c>
      <c r="J1048">
        <v>96</v>
      </c>
      <c r="Q1048"/>
    </row>
    <row r="1049" spans="1:17" x14ac:dyDescent="0.25">
      <c r="A1049">
        <v>4</v>
      </c>
      <c r="B1049">
        <v>2016</v>
      </c>
      <c r="C1049" t="s">
        <v>455</v>
      </c>
      <c r="D1049" t="s">
        <v>456</v>
      </c>
      <c r="E1049" t="s">
        <v>457</v>
      </c>
      <c r="F1049" t="s">
        <v>458</v>
      </c>
      <c r="G1049">
        <v>1949.4</v>
      </c>
      <c r="H1049">
        <v>342</v>
      </c>
      <c r="I1049">
        <v>1353</v>
      </c>
      <c r="J1049">
        <v>246</v>
      </c>
      <c r="Q1049"/>
    </row>
    <row r="1050" spans="1:17" x14ac:dyDescent="0.25">
      <c r="A1050">
        <v>4</v>
      </c>
      <c r="B1050">
        <v>2016</v>
      </c>
      <c r="C1050" t="s">
        <v>455</v>
      </c>
      <c r="D1050" t="s">
        <v>456</v>
      </c>
      <c r="E1050" t="s">
        <v>459</v>
      </c>
      <c r="F1050" t="s">
        <v>458</v>
      </c>
      <c r="G1050">
        <v>113.4</v>
      </c>
      <c r="H1050">
        <v>18</v>
      </c>
      <c r="I1050">
        <v>73.2</v>
      </c>
      <c r="J1050">
        <v>12</v>
      </c>
      <c r="Q1050"/>
    </row>
    <row r="1051" spans="1:17" x14ac:dyDescent="0.25">
      <c r="A1051">
        <v>4</v>
      </c>
      <c r="B1051">
        <v>2016</v>
      </c>
      <c r="C1051" t="s">
        <v>455</v>
      </c>
      <c r="D1051" t="s">
        <v>456</v>
      </c>
      <c r="E1051" t="s">
        <v>460</v>
      </c>
      <c r="F1051" t="s">
        <v>458</v>
      </c>
      <c r="G1051">
        <v>900</v>
      </c>
      <c r="H1051">
        <v>150</v>
      </c>
      <c r="I1051">
        <v>966</v>
      </c>
      <c r="J1051">
        <v>168</v>
      </c>
      <c r="Q1051"/>
    </row>
    <row r="1052" spans="1:17" x14ac:dyDescent="0.25">
      <c r="A1052">
        <v>4</v>
      </c>
      <c r="B1052">
        <v>2016</v>
      </c>
      <c r="C1052" t="s">
        <v>455</v>
      </c>
      <c r="D1052" t="s">
        <v>456</v>
      </c>
      <c r="E1052" t="s">
        <v>461</v>
      </c>
      <c r="F1052" t="s">
        <v>458</v>
      </c>
      <c r="G1052">
        <v>118.8</v>
      </c>
      <c r="H1052">
        <v>18</v>
      </c>
      <c r="I1052">
        <v>230.4</v>
      </c>
      <c r="J1052">
        <v>36</v>
      </c>
      <c r="Q1052"/>
    </row>
    <row r="1053" spans="1:17" x14ac:dyDescent="0.25">
      <c r="A1053">
        <v>4</v>
      </c>
      <c r="B1053">
        <v>2016</v>
      </c>
      <c r="C1053" t="s">
        <v>462</v>
      </c>
      <c r="D1053" t="s">
        <v>463</v>
      </c>
      <c r="E1053" t="s">
        <v>464</v>
      </c>
      <c r="F1053" t="s">
        <v>465</v>
      </c>
      <c r="G1053">
        <v>874.5</v>
      </c>
      <c r="H1053">
        <v>318</v>
      </c>
      <c r="I1053">
        <v>1020.6</v>
      </c>
      <c r="J1053">
        <v>378</v>
      </c>
      <c r="Q1053"/>
    </row>
    <row r="1054" spans="1:17" x14ac:dyDescent="0.25">
      <c r="A1054">
        <v>4</v>
      </c>
      <c r="B1054">
        <v>2016</v>
      </c>
      <c r="C1054" t="s">
        <v>462</v>
      </c>
      <c r="D1054" t="s">
        <v>463</v>
      </c>
      <c r="E1054" t="s">
        <v>466</v>
      </c>
      <c r="F1054" t="s">
        <v>465</v>
      </c>
      <c r="G1054">
        <v>60.84</v>
      </c>
      <c r="H1054">
        <v>18</v>
      </c>
      <c r="I1054">
        <v>118.8</v>
      </c>
      <c r="J1054">
        <v>36</v>
      </c>
      <c r="Q1054"/>
    </row>
    <row r="1055" spans="1:17" x14ac:dyDescent="0.25">
      <c r="A1055">
        <v>4</v>
      </c>
      <c r="B1055">
        <v>2016</v>
      </c>
      <c r="C1055" t="s">
        <v>462</v>
      </c>
      <c r="D1055" t="s">
        <v>463</v>
      </c>
      <c r="E1055" t="s">
        <v>467</v>
      </c>
      <c r="F1055" t="s">
        <v>468</v>
      </c>
      <c r="G1055">
        <v>465.3</v>
      </c>
      <c r="H1055">
        <v>198</v>
      </c>
      <c r="I1055">
        <v>183.3</v>
      </c>
      <c r="J1055">
        <v>78</v>
      </c>
      <c r="Q1055"/>
    </row>
    <row r="1056" spans="1:17" x14ac:dyDescent="0.25">
      <c r="A1056">
        <v>4</v>
      </c>
      <c r="B1056">
        <v>2016</v>
      </c>
      <c r="C1056" t="s">
        <v>462</v>
      </c>
      <c r="D1056" t="s">
        <v>463</v>
      </c>
      <c r="E1056" t="s">
        <v>760</v>
      </c>
      <c r="F1056" t="s">
        <v>468</v>
      </c>
      <c r="G1056">
        <v>18.12</v>
      </c>
      <c r="H1056">
        <v>6</v>
      </c>
      <c r="I1056">
        <v>72.48</v>
      </c>
      <c r="J1056">
        <v>24</v>
      </c>
      <c r="Q1056"/>
    </row>
    <row r="1057" spans="1:17" x14ac:dyDescent="0.25">
      <c r="A1057">
        <v>4</v>
      </c>
      <c r="B1057">
        <v>2016</v>
      </c>
      <c r="C1057" t="s">
        <v>462</v>
      </c>
      <c r="D1057" t="s">
        <v>463</v>
      </c>
      <c r="E1057" t="s">
        <v>469</v>
      </c>
      <c r="F1057" t="s">
        <v>470</v>
      </c>
      <c r="G1057">
        <v>596.6</v>
      </c>
      <c r="H1057">
        <v>346.58</v>
      </c>
      <c r="I1057">
        <v>930.7</v>
      </c>
      <c r="J1057">
        <v>546.53</v>
      </c>
      <c r="Q1057"/>
    </row>
    <row r="1058" spans="1:17" x14ac:dyDescent="0.25">
      <c r="A1058">
        <v>4</v>
      </c>
      <c r="B1058">
        <v>2016</v>
      </c>
      <c r="C1058" t="s">
        <v>462</v>
      </c>
      <c r="D1058" t="s">
        <v>463</v>
      </c>
      <c r="E1058" t="s">
        <v>471</v>
      </c>
      <c r="F1058" t="s">
        <v>470</v>
      </c>
      <c r="G1058">
        <v>810</v>
      </c>
      <c r="H1058">
        <v>413.54</v>
      </c>
      <c r="I1058">
        <v>1412.64</v>
      </c>
      <c r="J1058">
        <v>733.7</v>
      </c>
      <c r="Q1058"/>
    </row>
    <row r="1059" spans="1:17" x14ac:dyDescent="0.25">
      <c r="A1059">
        <v>4</v>
      </c>
      <c r="B1059">
        <v>2016</v>
      </c>
      <c r="C1059" t="s">
        <v>462</v>
      </c>
      <c r="D1059" t="s">
        <v>463</v>
      </c>
      <c r="E1059" t="s">
        <v>472</v>
      </c>
      <c r="F1059" t="s">
        <v>473</v>
      </c>
      <c r="G1059">
        <v>17.52</v>
      </c>
      <c r="H1059">
        <v>13.33</v>
      </c>
      <c r="I1059">
        <v>150.21</v>
      </c>
      <c r="J1059">
        <v>133.30000000000001</v>
      </c>
      <c r="Q1059"/>
    </row>
    <row r="1060" spans="1:17" x14ac:dyDescent="0.25">
      <c r="A1060">
        <v>4</v>
      </c>
      <c r="B1060">
        <v>2016</v>
      </c>
      <c r="C1060" t="s">
        <v>476</v>
      </c>
      <c r="D1060" t="s">
        <v>477</v>
      </c>
      <c r="E1060" t="s">
        <v>478</v>
      </c>
      <c r="F1060" t="s">
        <v>479</v>
      </c>
      <c r="G1060">
        <v>321.60000000000002</v>
      </c>
      <c r="H1060">
        <v>48</v>
      </c>
      <c r="I1060">
        <v>1113.5999999999999</v>
      </c>
      <c r="J1060">
        <v>174</v>
      </c>
      <c r="Q1060"/>
    </row>
    <row r="1061" spans="1:17" x14ac:dyDescent="0.25">
      <c r="A1061">
        <v>4</v>
      </c>
      <c r="B1061">
        <v>2016</v>
      </c>
      <c r="C1061" t="s">
        <v>476</v>
      </c>
      <c r="D1061" t="s">
        <v>477</v>
      </c>
      <c r="E1061" t="s">
        <v>480</v>
      </c>
      <c r="F1061" t="s">
        <v>481</v>
      </c>
      <c r="G1061">
        <v>42</v>
      </c>
      <c r="H1061">
        <v>6</v>
      </c>
      <c r="I1061">
        <v>281.39999999999998</v>
      </c>
      <c r="J1061">
        <v>42</v>
      </c>
      <c r="Q1061"/>
    </row>
    <row r="1062" spans="1:17" x14ac:dyDescent="0.25">
      <c r="A1062">
        <v>4</v>
      </c>
      <c r="B1062">
        <v>2016</v>
      </c>
      <c r="C1062" t="s">
        <v>476</v>
      </c>
      <c r="D1062" t="s">
        <v>477</v>
      </c>
      <c r="E1062" t="s">
        <v>482</v>
      </c>
      <c r="F1062" t="s">
        <v>483</v>
      </c>
      <c r="G1062">
        <v>217.5</v>
      </c>
      <c r="H1062">
        <v>213.28</v>
      </c>
      <c r="I1062">
        <v>303.60000000000002</v>
      </c>
      <c r="J1062">
        <v>293.26</v>
      </c>
      <c r="Q1062"/>
    </row>
    <row r="1063" spans="1:17" x14ac:dyDescent="0.25">
      <c r="A1063">
        <v>4</v>
      </c>
      <c r="B1063">
        <v>2016</v>
      </c>
      <c r="C1063" t="s">
        <v>476</v>
      </c>
      <c r="D1063" t="s">
        <v>477</v>
      </c>
      <c r="E1063" t="s">
        <v>484</v>
      </c>
      <c r="F1063" t="s">
        <v>483</v>
      </c>
      <c r="G1063">
        <v>17</v>
      </c>
      <c r="H1063">
        <v>20.009999999999998</v>
      </c>
      <c r="I1063">
        <v>336</v>
      </c>
      <c r="J1063">
        <v>280.14</v>
      </c>
      <c r="Q1063"/>
    </row>
    <row r="1064" spans="1:17" x14ac:dyDescent="0.25">
      <c r="A1064">
        <v>4</v>
      </c>
      <c r="B1064">
        <v>2016</v>
      </c>
      <c r="C1064" t="s">
        <v>485</v>
      </c>
      <c r="D1064" t="s">
        <v>486</v>
      </c>
      <c r="E1064" t="s">
        <v>487</v>
      </c>
      <c r="F1064" t="s">
        <v>488</v>
      </c>
      <c r="G1064">
        <v>828</v>
      </c>
      <c r="H1064">
        <v>180</v>
      </c>
      <c r="I1064">
        <v>2102.1</v>
      </c>
      <c r="J1064">
        <v>462</v>
      </c>
      <c r="Q1064"/>
    </row>
    <row r="1065" spans="1:17" x14ac:dyDescent="0.25">
      <c r="A1065">
        <v>4</v>
      </c>
      <c r="B1065">
        <v>2016</v>
      </c>
      <c r="C1065" t="s">
        <v>485</v>
      </c>
      <c r="D1065" t="s">
        <v>486</v>
      </c>
      <c r="E1065" t="s">
        <v>761</v>
      </c>
      <c r="F1065" t="s">
        <v>762</v>
      </c>
      <c r="G1065">
        <v>-26.1</v>
      </c>
      <c r="H1065">
        <v>0</v>
      </c>
      <c r="I1065">
        <v>206.4</v>
      </c>
      <c r="J1065">
        <v>48</v>
      </c>
      <c r="Q1065"/>
    </row>
    <row r="1066" spans="1:17" x14ac:dyDescent="0.25">
      <c r="A1066">
        <v>4</v>
      </c>
      <c r="B1066">
        <v>2016</v>
      </c>
      <c r="C1066" t="s">
        <v>485</v>
      </c>
      <c r="D1066" t="s">
        <v>486</v>
      </c>
      <c r="E1066" t="s">
        <v>763</v>
      </c>
      <c r="F1066" t="s">
        <v>764</v>
      </c>
      <c r="G1066">
        <v>33</v>
      </c>
      <c r="H1066">
        <v>6</v>
      </c>
      <c r="I1066">
        <v>32.1</v>
      </c>
      <c r="J1066">
        <v>6</v>
      </c>
      <c r="Q1066"/>
    </row>
    <row r="1067" spans="1:17" x14ac:dyDescent="0.25">
      <c r="A1067">
        <v>4</v>
      </c>
      <c r="B1067">
        <v>2016</v>
      </c>
      <c r="C1067" t="s">
        <v>489</v>
      </c>
      <c r="D1067" t="s">
        <v>0</v>
      </c>
      <c r="E1067" t="s">
        <v>887</v>
      </c>
      <c r="F1067" t="s">
        <v>888</v>
      </c>
      <c r="G1067">
        <v>148.5</v>
      </c>
      <c r="H1067">
        <v>6</v>
      </c>
      <c r="Q1067"/>
    </row>
    <row r="1068" spans="1:17" x14ac:dyDescent="0.25">
      <c r="A1068">
        <v>4</v>
      </c>
      <c r="B1068">
        <v>2016</v>
      </c>
      <c r="C1068" t="s">
        <v>489</v>
      </c>
      <c r="D1068" t="s">
        <v>0</v>
      </c>
      <c r="E1068" t="s">
        <v>889</v>
      </c>
      <c r="F1068" t="s">
        <v>890</v>
      </c>
      <c r="G1068">
        <v>161.52000000000001</v>
      </c>
      <c r="H1068">
        <v>6</v>
      </c>
      <c r="Q1068"/>
    </row>
    <row r="1069" spans="1:17" x14ac:dyDescent="0.25">
      <c r="A1069">
        <v>4</v>
      </c>
      <c r="B1069">
        <v>2016</v>
      </c>
      <c r="C1069" t="s">
        <v>489</v>
      </c>
      <c r="D1069" t="s">
        <v>0</v>
      </c>
      <c r="E1069" t="s">
        <v>891</v>
      </c>
      <c r="F1069" t="s">
        <v>892</v>
      </c>
      <c r="G1069">
        <v>178.98</v>
      </c>
      <c r="H1069">
        <v>6</v>
      </c>
      <c r="Q1069"/>
    </row>
    <row r="1070" spans="1:17" x14ac:dyDescent="0.25">
      <c r="A1070">
        <v>4</v>
      </c>
      <c r="B1070">
        <v>2016</v>
      </c>
      <c r="C1070" t="s">
        <v>489</v>
      </c>
      <c r="D1070" t="s">
        <v>0</v>
      </c>
      <c r="E1070" t="s">
        <v>893</v>
      </c>
      <c r="F1070" t="s">
        <v>894</v>
      </c>
      <c r="G1070">
        <v>30.26</v>
      </c>
      <c r="H1070">
        <v>1</v>
      </c>
      <c r="Q1070"/>
    </row>
    <row r="1071" spans="1:17" x14ac:dyDescent="0.25">
      <c r="A1071">
        <v>4</v>
      </c>
      <c r="B1071">
        <v>2016</v>
      </c>
      <c r="C1071" t="s">
        <v>489</v>
      </c>
      <c r="D1071" t="s">
        <v>0</v>
      </c>
      <c r="E1071" t="s">
        <v>490</v>
      </c>
      <c r="F1071" t="s">
        <v>11</v>
      </c>
      <c r="G1071">
        <v>37.69</v>
      </c>
      <c r="H1071">
        <v>1</v>
      </c>
      <c r="Q1071"/>
    </row>
    <row r="1072" spans="1:17" x14ac:dyDescent="0.25">
      <c r="A1072">
        <v>4</v>
      </c>
      <c r="B1072">
        <v>2016</v>
      </c>
      <c r="C1072" t="s">
        <v>489</v>
      </c>
      <c r="D1072" t="s">
        <v>0</v>
      </c>
      <c r="E1072" t="s">
        <v>491</v>
      </c>
      <c r="F1072" t="s">
        <v>9</v>
      </c>
      <c r="G1072">
        <v>31</v>
      </c>
      <c r="H1072">
        <v>1</v>
      </c>
      <c r="Q1072"/>
    </row>
    <row r="1073" spans="1:17" x14ac:dyDescent="0.25">
      <c r="A1073">
        <v>4</v>
      </c>
      <c r="B1073">
        <v>2016</v>
      </c>
      <c r="C1073" t="s">
        <v>489</v>
      </c>
      <c r="D1073" t="s">
        <v>0</v>
      </c>
      <c r="E1073" t="s">
        <v>492</v>
      </c>
      <c r="F1073" t="s">
        <v>5</v>
      </c>
      <c r="G1073">
        <v>31.38</v>
      </c>
      <c r="H1073">
        <v>1</v>
      </c>
      <c r="Q1073"/>
    </row>
    <row r="1074" spans="1:17" x14ac:dyDescent="0.25">
      <c r="A1074">
        <v>4</v>
      </c>
      <c r="B1074">
        <v>2016</v>
      </c>
      <c r="C1074" t="s">
        <v>489</v>
      </c>
      <c r="D1074" t="s">
        <v>0</v>
      </c>
      <c r="E1074" t="s">
        <v>895</v>
      </c>
      <c r="F1074" t="s">
        <v>896</v>
      </c>
      <c r="G1074">
        <v>33.61</v>
      </c>
      <c r="H1074">
        <v>1</v>
      </c>
      <c r="Q1074"/>
    </row>
    <row r="1075" spans="1:17" x14ac:dyDescent="0.25">
      <c r="A1075">
        <v>4</v>
      </c>
      <c r="B1075">
        <v>2016</v>
      </c>
      <c r="C1075" t="s">
        <v>489</v>
      </c>
      <c r="D1075" t="s">
        <v>0</v>
      </c>
      <c r="E1075" t="s">
        <v>495</v>
      </c>
      <c r="F1075" t="s">
        <v>12</v>
      </c>
      <c r="G1075">
        <v>37.07</v>
      </c>
      <c r="H1075">
        <v>1</v>
      </c>
      <c r="Q1075"/>
    </row>
    <row r="1076" spans="1:17" x14ac:dyDescent="0.25">
      <c r="A1076">
        <v>4</v>
      </c>
      <c r="B1076">
        <v>2016</v>
      </c>
      <c r="C1076" t="s">
        <v>506</v>
      </c>
      <c r="D1076" t="s">
        <v>507</v>
      </c>
      <c r="E1076" t="s">
        <v>508</v>
      </c>
      <c r="F1076" t="s">
        <v>509</v>
      </c>
      <c r="G1076">
        <v>864</v>
      </c>
      <c r="H1076">
        <v>192</v>
      </c>
      <c r="I1076">
        <v>1135.2</v>
      </c>
      <c r="J1076">
        <v>258</v>
      </c>
      <c r="Q1076"/>
    </row>
    <row r="1077" spans="1:17" x14ac:dyDescent="0.25">
      <c r="A1077">
        <v>4</v>
      </c>
      <c r="B1077">
        <v>2016</v>
      </c>
      <c r="C1077" t="s">
        <v>506</v>
      </c>
      <c r="D1077" t="s">
        <v>507</v>
      </c>
      <c r="E1077" t="s">
        <v>510</v>
      </c>
      <c r="F1077" t="s">
        <v>511</v>
      </c>
      <c r="G1077">
        <v>633.6</v>
      </c>
      <c r="H1077">
        <v>192</v>
      </c>
      <c r="I1077">
        <v>172.8</v>
      </c>
      <c r="J1077">
        <v>54</v>
      </c>
      <c r="Q1077"/>
    </row>
    <row r="1078" spans="1:17" x14ac:dyDescent="0.25">
      <c r="A1078">
        <v>4</v>
      </c>
      <c r="B1078">
        <v>2016</v>
      </c>
      <c r="C1078" t="s">
        <v>506</v>
      </c>
      <c r="D1078" t="s">
        <v>507</v>
      </c>
      <c r="E1078" t="s">
        <v>514</v>
      </c>
      <c r="F1078" t="s">
        <v>515</v>
      </c>
      <c r="G1078">
        <v>831.6</v>
      </c>
      <c r="H1078">
        <v>132</v>
      </c>
      <c r="I1078">
        <v>781.2</v>
      </c>
      <c r="J1078">
        <v>126</v>
      </c>
      <c r="Q1078"/>
    </row>
    <row r="1079" spans="1:17" x14ac:dyDescent="0.25">
      <c r="A1079">
        <v>4</v>
      </c>
      <c r="B1079">
        <v>2016</v>
      </c>
      <c r="C1079" t="s">
        <v>516</v>
      </c>
      <c r="D1079" t="s">
        <v>517</v>
      </c>
      <c r="E1079" t="s">
        <v>897</v>
      </c>
      <c r="F1079" t="s">
        <v>898</v>
      </c>
      <c r="G1079">
        <v>68.040000000000006</v>
      </c>
      <c r="H1079">
        <v>18</v>
      </c>
      <c r="Q1079"/>
    </row>
    <row r="1080" spans="1:17" x14ac:dyDescent="0.25">
      <c r="A1080">
        <v>4</v>
      </c>
      <c r="B1080">
        <v>2016</v>
      </c>
      <c r="C1080" t="s">
        <v>516</v>
      </c>
      <c r="D1080" t="s">
        <v>517</v>
      </c>
      <c r="E1080" t="s">
        <v>520</v>
      </c>
      <c r="F1080" t="s">
        <v>521</v>
      </c>
      <c r="G1080">
        <v>514.08000000000004</v>
      </c>
      <c r="H1080">
        <v>108</v>
      </c>
      <c r="I1080">
        <v>276</v>
      </c>
      <c r="J1080">
        <v>60</v>
      </c>
      <c r="Q1080"/>
    </row>
    <row r="1081" spans="1:17" x14ac:dyDescent="0.25">
      <c r="A1081">
        <v>4</v>
      </c>
      <c r="B1081">
        <v>2016</v>
      </c>
      <c r="C1081" t="s">
        <v>516</v>
      </c>
      <c r="D1081" t="s">
        <v>517</v>
      </c>
      <c r="E1081" t="s">
        <v>522</v>
      </c>
      <c r="F1081" t="s">
        <v>523</v>
      </c>
      <c r="G1081">
        <v>1377</v>
      </c>
      <c r="H1081">
        <v>300</v>
      </c>
      <c r="I1081">
        <v>425.28</v>
      </c>
      <c r="J1081">
        <v>96</v>
      </c>
      <c r="Q1081"/>
    </row>
    <row r="1082" spans="1:17" x14ac:dyDescent="0.25">
      <c r="A1082">
        <v>4</v>
      </c>
      <c r="B1082">
        <v>2016</v>
      </c>
      <c r="C1082" t="s">
        <v>524</v>
      </c>
      <c r="D1082" t="s">
        <v>525</v>
      </c>
      <c r="E1082" t="s">
        <v>526</v>
      </c>
      <c r="F1082" t="s">
        <v>527</v>
      </c>
      <c r="G1082">
        <v>1562.4</v>
      </c>
      <c r="H1082">
        <v>558</v>
      </c>
      <c r="I1082">
        <v>948.7</v>
      </c>
      <c r="J1082">
        <v>390</v>
      </c>
      <c r="Q1082"/>
    </row>
    <row r="1083" spans="1:17" x14ac:dyDescent="0.25">
      <c r="A1083">
        <v>4</v>
      </c>
      <c r="B1083">
        <v>2016</v>
      </c>
      <c r="C1083" t="s">
        <v>530</v>
      </c>
      <c r="D1083" t="s">
        <v>531</v>
      </c>
      <c r="E1083" t="s">
        <v>532</v>
      </c>
      <c r="F1083" t="s">
        <v>533</v>
      </c>
      <c r="G1083">
        <v>464.4</v>
      </c>
      <c r="H1083">
        <v>108</v>
      </c>
      <c r="I1083">
        <v>756</v>
      </c>
      <c r="J1083">
        <v>186</v>
      </c>
      <c r="Q1083"/>
    </row>
    <row r="1084" spans="1:17" x14ac:dyDescent="0.25">
      <c r="A1084">
        <v>4</v>
      </c>
      <c r="B1084">
        <v>2016</v>
      </c>
      <c r="C1084" t="s">
        <v>534</v>
      </c>
      <c r="D1084" t="s">
        <v>535</v>
      </c>
      <c r="E1084" t="s">
        <v>536</v>
      </c>
      <c r="F1084" t="s">
        <v>537</v>
      </c>
      <c r="G1084">
        <v>96</v>
      </c>
      <c r="H1084">
        <v>24</v>
      </c>
      <c r="I1084">
        <v>304.2</v>
      </c>
      <c r="J1084">
        <v>72</v>
      </c>
      <c r="Q1084"/>
    </row>
    <row r="1085" spans="1:17" x14ac:dyDescent="0.25">
      <c r="A1085">
        <v>4</v>
      </c>
      <c r="B1085">
        <v>2016</v>
      </c>
      <c r="C1085" t="s">
        <v>534</v>
      </c>
      <c r="D1085" t="s">
        <v>535</v>
      </c>
      <c r="E1085" t="s">
        <v>538</v>
      </c>
      <c r="F1085" t="s">
        <v>537</v>
      </c>
      <c r="G1085">
        <v>240</v>
      </c>
      <c r="H1085">
        <v>60</v>
      </c>
      <c r="I1085">
        <v>795.6</v>
      </c>
      <c r="J1085">
        <v>198</v>
      </c>
      <c r="Q1085"/>
    </row>
    <row r="1086" spans="1:17" x14ac:dyDescent="0.25">
      <c r="A1086">
        <v>4</v>
      </c>
      <c r="B1086">
        <v>2016</v>
      </c>
      <c r="C1086" t="s">
        <v>539</v>
      </c>
      <c r="D1086" t="s">
        <v>540</v>
      </c>
      <c r="E1086" t="s">
        <v>541</v>
      </c>
      <c r="F1086" t="s">
        <v>542</v>
      </c>
      <c r="G1086">
        <v>1796.7</v>
      </c>
      <c r="H1086">
        <v>318</v>
      </c>
      <c r="I1086">
        <v>932.4</v>
      </c>
      <c r="J1086">
        <v>174</v>
      </c>
      <c r="Q1086"/>
    </row>
    <row r="1087" spans="1:17" x14ac:dyDescent="0.25">
      <c r="A1087">
        <v>4</v>
      </c>
      <c r="B1087">
        <v>2016</v>
      </c>
      <c r="C1087" t="s">
        <v>543</v>
      </c>
      <c r="D1087" t="s">
        <v>544</v>
      </c>
      <c r="E1087" t="s">
        <v>833</v>
      </c>
      <c r="F1087" t="s">
        <v>834</v>
      </c>
      <c r="G1087">
        <v>174</v>
      </c>
      <c r="H1087">
        <v>30</v>
      </c>
      <c r="Q1087"/>
    </row>
    <row r="1088" spans="1:17" x14ac:dyDescent="0.25">
      <c r="A1088">
        <v>4</v>
      </c>
      <c r="B1088">
        <v>2016</v>
      </c>
      <c r="C1088" t="s">
        <v>543</v>
      </c>
      <c r="D1088" t="s">
        <v>544</v>
      </c>
      <c r="E1088" t="s">
        <v>545</v>
      </c>
      <c r="F1088" t="s">
        <v>546</v>
      </c>
      <c r="G1088">
        <v>496.8</v>
      </c>
      <c r="H1088">
        <v>72</v>
      </c>
      <c r="I1088">
        <v>80.400000000000006</v>
      </c>
      <c r="J1088">
        <v>12</v>
      </c>
      <c r="Q1088"/>
    </row>
    <row r="1089" spans="1:17" x14ac:dyDescent="0.25">
      <c r="A1089">
        <v>4</v>
      </c>
      <c r="B1089">
        <v>2016</v>
      </c>
      <c r="C1089" t="s">
        <v>543</v>
      </c>
      <c r="D1089" t="s">
        <v>544</v>
      </c>
      <c r="E1089" t="s">
        <v>548</v>
      </c>
      <c r="F1089" t="s">
        <v>549</v>
      </c>
      <c r="G1089">
        <v>129.6</v>
      </c>
      <c r="H1089">
        <v>12</v>
      </c>
      <c r="Q1089"/>
    </row>
    <row r="1090" spans="1:17" x14ac:dyDescent="0.25">
      <c r="A1090">
        <v>4</v>
      </c>
      <c r="B1090">
        <v>2016</v>
      </c>
      <c r="C1090" t="s">
        <v>543</v>
      </c>
      <c r="D1090" t="s">
        <v>544</v>
      </c>
      <c r="E1090" t="s">
        <v>899</v>
      </c>
      <c r="F1090" t="s">
        <v>900</v>
      </c>
      <c r="G1090">
        <v>120.6</v>
      </c>
      <c r="H1090">
        <v>18</v>
      </c>
      <c r="Q1090"/>
    </row>
    <row r="1091" spans="1:17" x14ac:dyDescent="0.25">
      <c r="A1091">
        <v>4</v>
      </c>
      <c r="B1091">
        <v>2016</v>
      </c>
      <c r="C1091" t="s">
        <v>554</v>
      </c>
      <c r="D1091" t="s">
        <v>555</v>
      </c>
      <c r="E1091" t="s">
        <v>556</v>
      </c>
      <c r="F1091" t="s">
        <v>557</v>
      </c>
      <c r="G1091">
        <v>329.4</v>
      </c>
      <c r="H1091">
        <v>108</v>
      </c>
      <c r="I1091">
        <v>265.5</v>
      </c>
      <c r="J1091">
        <v>102</v>
      </c>
      <c r="Q1091"/>
    </row>
    <row r="1092" spans="1:17" x14ac:dyDescent="0.25">
      <c r="A1092">
        <v>4</v>
      </c>
      <c r="B1092">
        <v>2016</v>
      </c>
      <c r="C1092" t="s">
        <v>560</v>
      </c>
      <c r="D1092" t="s">
        <v>561</v>
      </c>
      <c r="E1092" t="s">
        <v>562</v>
      </c>
      <c r="F1092" t="s">
        <v>563</v>
      </c>
      <c r="G1092">
        <v>1740</v>
      </c>
      <c r="H1092">
        <v>600</v>
      </c>
      <c r="I1092">
        <v>1747.2</v>
      </c>
      <c r="J1092">
        <v>624</v>
      </c>
      <c r="Q1092"/>
    </row>
    <row r="1093" spans="1:17" x14ac:dyDescent="0.25">
      <c r="A1093">
        <v>4</v>
      </c>
      <c r="B1093">
        <v>2016</v>
      </c>
      <c r="C1093" t="s">
        <v>560</v>
      </c>
      <c r="D1093" t="s">
        <v>561</v>
      </c>
      <c r="E1093" t="s">
        <v>564</v>
      </c>
      <c r="F1093" t="s">
        <v>565</v>
      </c>
      <c r="G1093">
        <v>541.79999999999995</v>
      </c>
      <c r="H1093">
        <v>126</v>
      </c>
      <c r="Q1093"/>
    </row>
    <row r="1094" spans="1:17" x14ac:dyDescent="0.25">
      <c r="A1094">
        <v>4</v>
      </c>
      <c r="B1094">
        <v>2016</v>
      </c>
      <c r="C1094" t="s">
        <v>560</v>
      </c>
      <c r="D1094" t="s">
        <v>561</v>
      </c>
      <c r="E1094" t="s">
        <v>773</v>
      </c>
      <c r="F1094" t="s">
        <v>774</v>
      </c>
      <c r="G1094">
        <v>69.599999999999994</v>
      </c>
      <c r="H1094">
        <v>30</v>
      </c>
      <c r="I1094">
        <v>184.8</v>
      </c>
      <c r="J1094">
        <v>66</v>
      </c>
      <c r="Q1094"/>
    </row>
    <row r="1095" spans="1:17" x14ac:dyDescent="0.25">
      <c r="A1095">
        <v>4</v>
      </c>
      <c r="B1095">
        <v>2016</v>
      </c>
      <c r="C1095" t="s">
        <v>560</v>
      </c>
      <c r="D1095" t="s">
        <v>561</v>
      </c>
      <c r="E1095" t="s">
        <v>775</v>
      </c>
      <c r="F1095" t="s">
        <v>776</v>
      </c>
      <c r="G1095">
        <v>60</v>
      </c>
      <c r="H1095">
        <v>24</v>
      </c>
      <c r="Q1095"/>
    </row>
    <row r="1096" spans="1:17" x14ac:dyDescent="0.25">
      <c r="A1096">
        <v>4</v>
      </c>
      <c r="B1096">
        <v>2016</v>
      </c>
      <c r="C1096" t="s">
        <v>571</v>
      </c>
      <c r="D1096" t="s">
        <v>572</v>
      </c>
      <c r="E1096" t="s">
        <v>575</v>
      </c>
      <c r="F1096" t="s">
        <v>574</v>
      </c>
      <c r="G1096">
        <v>1861.2</v>
      </c>
      <c r="H1096">
        <v>282</v>
      </c>
      <c r="Q1096"/>
    </row>
    <row r="1097" spans="1:17" x14ac:dyDescent="0.25">
      <c r="A1097">
        <v>4</v>
      </c>
      <c r="B1097">
        <v>2016</v>
      </c>
      <c r="C1097" t="s">
        <v>571</v>
      </c>
      <c r="D1097" t="s">
        <v>572</v>
      </c>
      <c r="E1097" t="s">
        <v>578</v>
      </c>
      <c r="F1097" t="s">
        <v>579</v>
      </c>
      <c r="G1097">
        <v>324</v>
      </c>
      <c r="H1097">
        <v>36</v>
      </c>
      <c r="Q1097"/>
    </row>
    <row r="1098" spans="1:17" x14ac:dyDescent="0.25">
      <c r="A1098">
        <v>4</v>
      </c>
      <c r="B1098">
        <v>2016</v>
      </c>
      <c r="C1098" t="s">
        <v>571</v>
      </c>
      <c r="D1098" t="s">
        <v>572</v>
      </c>
      <c r="E1098" t="s">
        <v>777</v>
      </c>
      <c r="F1098" t="s">
        <v>778</v>
      </c>
      <c r="G1098">
        <v>171</v>
      </c>
      <c r="H1098">
        <v>73.37</v>
      </c>
      <c r="I1098">
        <v>0</v>
      </c>
      <c r="J1098">
        <v>6.67</v>
      </c>
      <c r="Q1098"/>
    </row>
    <row r="1099" spans="1:17" x14ac:dyDescent="0.25">
      <c r="A1099">
        <v>4</v>
      </c>
      <c r="B1099">
        <v>2016</v>
      </c>
      <c r="C1099" t="s">
        <v>571</v>
      </c>
      <c r="D1099" t="s">
        <v>572</v>
      </c>
      <c r="E1099" t="s">
        <v>580</v>
      </c>
      <c r="F1099" t="s">
        <v>581</v>
      </c>
      <c r="G1099">
        <v>159.30000000000001</v>
      </c>
      <c r="H1099">
        <v>18</v>
      </c>
      <c r="Q1099"/>
    </row>
    <row r="1100" spans="1:17" x14ac:dyDescent="0.25">
      <c r="A1100">
        <v>4</v>
      </c>
      <c r="B1100">
        <v>2016</v>
      </c>
      <c r="C1100" t="s">
        <v>582</v>
      </c>
      <c r="D1100" t="s">
        <v>583</v>
      </c>
      <c r="E1100" t="s">
        <v>584</v>
      </c>
      <c r="F1100" t="s">
        <v>585</v>
      </c>
      <c r="G1100">
        <v>1254.5999999999999</v>
      </c>
      <c r="H1100">
        <v>306</v>
      </c>
      <c r="I1100">
        <v>840</v>
      </c>
      <c r="J1100">
        <v>210</v>
      </c>
      <c r="Q1100"/>
    </row>
    <row r="1101" spans="1:17" x14ac:dyDescent="0.25">
      <c r="A1101">
        <v>4</v>
      </c>
      <c r="B1101">
        <v>2016</v>
      </c>
      <c r="C1101" t="s">
        <v>582</v>
      </c>
      <c r="D1101" t="s">
        <v>583</v>
      </c>
      <c r="E1101" t="s">
        <v>779</v>
      </c>
      <c r="F1101" t="s">
        <v>780</v>
      </c>
      <c r="G1101">
        <v>538.20000000000005</v>
      </c>
      <c r="H1101">
        <v>156</v>
      </c>
      <c r="I1101">
        <v>80.400000000000006</v>
      </c>
      <c r="J1101">
        <v>30</v>
      </c>
      <c r="Q1101"/>
    </row>
    <row r="1102" spans="1:17" x14ac:dyDescent="0.25">
      <c r="A1102">
        <v>4</v>
      </c>
      <c r="B1102">
        <v>2016</v>
      </c>
      <c r="C1102" t="s">
        <v>582</v>
      </c>
      <c r="D1102" t="s">
        <v>583</v>
      </c>
      <c r="E1102" t="s">
        <v>901</v>
      </c>
      <c r="F1102" t="s">
        <v>902</v>
      </c>
      <c r="G1102">
        <v>82.8</v>
      </c>
      <c r="H1102">
        <v>12</v>
      </c>
      <c r="I1102">
        <v>82.8</v>
      </c>
      <c r="J1102">
        <v>12</v>
      </c>
      <c r="Q1102"/>
    </row>
    <row r="1103" spans="1:17" x14ac:dyDescent="0.25">
      <c r="A1103">
        <v>4</v>
      </c>
      <c r="B1103">
        <v>2016</v>
      </c>
      <c r="C1103" t="s">
        <v>582</v>
      </c>
      <c r="D1103" t="s">
        <v>583</v>
      </c>
      <c r="E1103" t="s">
        <v>586</v>
      </c>
      <c r="F1103" t="s">
        <v>587</v>
      </c>
      <c r="G1103">
        <v>46.44</v>
      </c>
      <c r="H1103">
        <v>9</v>
      </c>
      <c r="I1103">
        <v>61.92</v>
      </c>
      <c r="J1103">
        <v>12</v>
      </c>
      <c r="Q1103"/>
    </row>
    <row r="1104" spans="1:17" x14ac:dyDescent="0.25">
      <c r="A1104">
        <v>4</v>
      </c>
      <c r="B1104">
        <v>2016</v>
      </c>
      <c r="C1104" t="s">
        <v>588</v>
      </c>
      <c r="D1104" t="s">
        <v>589</v>
      </c>
      <c r="E1104" t="s">
        <v>590</v>
      </c>
      <c r="F1104" t="s">
        <v>591</v>
      </c>
      <c r="G1104">
        <v>991.2</v>
      </c>
      <c r="H1104">
        <v>342</v>
      </c>
      <c r="I1104">
        <v>1639.2</v>
      </c>
      <c r="J1104">
        <v>564</v>
      </c>
      <c r="Q1104"/>
    </row>
    <row r="1105" spans="1:17" x14ac:dyDescent="0.25">
      <c r="A1105">
        <v>4</v>
      </c>
      <c r="B1105">
        <v>2016</v>
      </c>
      <c r="C1105" t="s">
        <v>588</v>
      </c>
      <c r="D1105" t="s">
        <v>589</v>
      </c>
      <c r="E1105" t="s">
        <v>592</v>
      </c>
      <c r="F1105" t="s">
        <v>593</v>
      </c>
      <c r="G1105">
        <v>489.06</v>
      </c>
      <c r="H1105">
        <v>198</v>
      </c>
      <c r="I1105">
        <v>830.04</v>
      </c>
      <c r="J1105">
        <v>342</v>
      </c>
      <c r="Q1105"/>
    </row>
    <row r="1106" spans="1:17" x14ac:dyDescent="0.25">
      <c r="A1106">
        <v>4</v>
      </c>
      <c r="B1106">
        <v>2016</v>
      </c>
      <c r="C1106" t="s">
        <v>588</v>
      </c>
      <c r="D1106" t="s">
        <v>589</v>
      </c>
      <c r="E1106" t="s">
        <v>903</v>
      </c>
      <c r="F1106" t="s">
        <v>904</v>
      </c>
      <c r="G1106">
        <v>335.04</v>
      </c>
      <c r="H1106">
        <v>48</v>
      </c>
      <c r="Q1106"/>
    </row>
    <row r="1107" spans="1:17" x14ac:dyDescent="0.25">
      <c r="A1107">
        <v>4</v>
      </c>
      <c r="B1107">
        <v>2016</v>
      </c>
      <c r="C1107" t="s">
        <v>588</v>
      </c>
      <c r="D1107" t="s">
        <v>589</v>
      </c>
      <c r="E1107" t="s">
        <v>594</v>
      </c>
      <c r="F1107" t="s">
        <v>595</v>
      </c>
      <c r="G1107">
        <v>814</v>
      </c>
      <c r="H1107">
        <v>586.52</v>
      </c>
      <c r="I1107">
        <v>1739</v>
      </c>
      <c r="J1107">
        <v>1253.02</v>
      </c>
      <c r="Q1107"/>
    </row>
    <row r="1108" spans="1:17" x14ac:dyDescent="0.25">
      <c r="A1108">
        <v>4</v>
      </c>
      <c r="B1108">
        <v>2016</v>
      </c>
      <c r="C1108" t="s">
        <v>588</v>
      </c>
      <c r="D1108" t="s">
        <v>589</v>
      </c>
      <c r="E1108" t="s">
        <v>596</v>
      </c>
      <c r="F1108" t="s">
        <v>595</v>
      </c>
      <c r="G1108">
        <v>315</v>
      </c>
      <c r="H1108">
        <v>206.77</v>
      </c>
      <c r="I1108">
        <v>619.5</v>
      </c>
      <c r="J1108">
        <v>393.53</v>
      </c>
      <c r="Q1108"/>
    </row>
    <row r="1109" spans="1:17" x14ac:dyDescent="0.25">
      <c r="A1109">
        <v>4</v>
      </c>
      <c r="B1109">
        <v>2016</v>
      </c>
      <c r="C1109" t="s">
        <v>588</v>
      </c>
      <c r="D1109" t="s">
        <v>589</v>
      </c>
      <c r="E1109" t="s">
        <v>842</v>
      </c>
      <c r="F1109" t="s">
        <v>843</v>
      </c>
      <c r="G1109">
        <v>75</v>
      </c>
      <c r="H1109">
        <v>36</v>
      </c>
      <c r="Q1109"/>
    </row>
    <row r="1110" spans="1:17" x14ac:dyDescent="0.25">
      <c r="A1110">
        <v>4</v>
      </c>
      <c r="B1110">
        <v>2016</v>
      </c>
      <c r="C1110" t="s">
        <v>588</v>
      </c>
      <c r="D1110" t="s">
        <v>589</v>
      </c>
      <c r="E1110" t="s">
        <v>905</v>
      </c>
      <c r="F1110" t="s">
        <v>906</v>
      </c>
      <c r="G1110">
        <v>0</v>
      </c>
      <c r="H1110">
        <v>0</v>
      </c>
      <c r="I1110">
        <v>0</v>
      </c>
      <c r="J1110">
        <v>18</v>
      </c>
      <c r="Q1110"/>
    </row>
    <row r="1111" spans="1:17" x14ac:dyDescent="0.25">
      <c r="A1111">
        <v>4</v>
      </c>
      <c r="B1111">
        <v>2016</v>
      </c>
      <c r="C1111" t="s">
        <v>605</v>
      </c>
      <c r="D1111" t="s">
        <v>606</v>
      </c>
      <c r="E1111" t="s">
        <v>607</v>
      </c>
      <c r="F1111" t="s">
        <v>608</v>
      </c>
      <c r="G1111">
        <v>1897.2</v>
      </c>
      <c r="H1111">
        <v>516</v>
      </c>
      <c r="I1111">
        <v>1763.28</v>
      </c>
      <c r="J1111">
        <v>474</v>
      </c>
      <c r="Q1111"/>
    </row>
    <row r="1112" spans="1:17" x14ac:dyDescent="0.25">
      <c r="A1112">
        <v>4</v>
      </c>
      <c r="B1112">
        <v>2016</v>
      </c>
      <c r="C1112" t="s">
        <v>605</v>
      </c>
      <c r="D1112" t="s">
        <v>606</v>
      </c>
      <c r="E1112" t="s">
        <v>609</v>
      </c>
      <c r="F1112" t="s">
        <v>610</v>
      </c>
      <c r="G1112">
        <v>111.6</v>
      </c>
      <c r="H1112">
        <v>18</v>
      </c>
      <c r="I1112">
        <v>73.44</v>
      </c>
      <c r="J1112">
        <v>12</v>
      </c>
      <c r="Q1112"/>
    </row>
    <row r="1113" spans="1:17" x14ac:dyDescent="0.25">
      <c r="A1113">
        <v>4</v>
      </c>
      <c r="B1113">
        <v>2016</v>
      </c>
      <c r="C1113" t="s">
        <v>605</v>
      </c>
      <c r="D1113" t="s">
        <v>606</v>
      </c>
      <c r="E1113" t="s">
        <v>611</v>
      </c>
      <c r="F1113" t="s">
        <v>612</v>
      </c>
      <c r="G1113">
        <v>2238.7199999999998</v>
      </c>
      <c r="H1113">
        <v>1056</v>
      </c>
      <c r="Q1113"/>
    </row>
    <row r="1114" spans="1:17" x14ac:dyDescent="0.25">
      <c r="A1114">
        <v>4</v>
      </c>
      <c r="B1114">
        <v>2016</v>
      </c>
      <c r="C1114" t="s">
        <v>605</v>
      </c>
      <c r="D1114" t="s">
        <v>606</v>
      </c>
      <c r="E1114" t="s">
        <v>907</v>
      </c>
      <c r="F1114" t="s">
        <v>908</v>
      </c>
      <c r="G1114">
        <v>1812.8</v>
      </c>
      <c r="H1114">
        <v>894</v>
      </c>
      <c r="Q1114"/>
    </row>
    <row r="1115" spans="1:17" x14ac:dyDescent="0.25">
      <c r="A1115">
        <v>4</v>
      </c>
      <c r="B1115">
        <v>2016</v>
      </c>
      <c r="C1115" t="s">
        <v>605</v>
      </c>
      <c r="D1115" t="s">
        <v>606</v>
      </c>
      <c r="E1115" t="s">
        <v>909</v>
      </c>
      <c r="F1115" t="s">
        <v>908</v>
      </c>
      <c r="G1115">
        <v>596.20000000000005</v>
      </c>
      <c r="H1115">
        <v>318</v>
      </c>
      <c r="Q1115"/>
    </row>
    <row r="1116" spans="1:17" x14ac:dyDescent="0.25">
      <c r="A1116">
        <v>4</v>
      </c>
      <c r="B1116">
        <v>2016</v>
      </c>
      <c r="C1116" t="s">
        <v>605</v>
      </c>
      <c r="D1116" t="s">
        <v>606</v>
      </c>
      <c r="E1116" t="s">
        <v>910</v>
      </c>
      <c r="F1116" t="s">
        <v>908</v>
      </c>
      <c r="G1116">
        <v>568.1</v>
      </c>
      <c r="H1116">
        <v>282</v>
      </c>
      <c r="Q1116"/>
    </row>
    <row r="1117" spans="1:17" x14ac:dyDescent="0.25">
      <c r="A1117">
        <v>4</v>
      </c>
      <c r="B1117">
        <v>2016</v>
      </c>
      <c r="C1117" t="s">
        <v>605</v>
      </c>
      <c r="D1117" t="s">
        <v>606</v>
      </c>
      <c r="E1117" t="s">
        <v>911</v>
      </c>
      <c r="F1117" t="s">
        <v>912</v>
      </c>
      <c r="G1117">
        <v>0</v>
      </c>
      <c r="H1117">
        <v>6</v>
      </c>
      <c r="Q1117"/>
    </row>
    <row r="1118" spans="1:17" x14ac:dyDescent="0.25">
      <c r="A1118">
        <v>4</v>
      </c>
      <c r="B1118">
        <v>2016</v>
      </c>
      <c r="C1118" t="s">
        <v>605</v>
      </c>
      <c r="D1118" t="s">
        <v>606</v>
      </c>
      <c r="E1118" t="s">
        <v>613</v>
      </c>
      <c r="F1118" t="s">
        <v>614</v>
      </c>
      <c r="G1118">
        <v>978.2</v>
      </c>
      <c r="H1118">
        <v>973.09</v>
      </c>
      <c r="I1118">
        <v>571.9</v>
      </c>
      <c r="J1118">
        <v>573.19000000000005</v>
      </c>
      <c r="Q1118"/>
    </row>
    <row r="1119" spans="1:17" x14ac:dyDescent="0.25">
      <c r="A1119">
        <v>4</v>
      </c>
      <c r="B1119">
        <v>2016</v>
      </c>
      <c r="C1119" t="s">
        <v>605</v>
      </c>
      <c r="D1119" t="s">
        <v>606</v>
      </c>
      <c r="E1119" t="s">
        <v>615</v>
      </c>
      <c r="F1119" t="s">
        <v>614</v>
      </c>
      <c r="G1119">
        <v>399.84</v>
      </c>
      <c r="H1119">
        <v>353.51</v>
      </c>
      <c r="I1119">
        <v>599.83000000000004</v>
      </c>
      <c r="J1119">
        <v>513.59</v>
      </c>
      <c r="Q1119"/>
    </row>
    <row r="1120" spans="1:17" x14ac:dyDescent="0.25">
      <c r="A1120">
        <v>4</v>
      </c>
      <c r="B1120">
        <v>2016</v>
      </c>
      <c r="C1120" t="s">
        <v>605</v>
      </c>
      <c r="D1120" t="s">
        <v>606</v>
      </c>
      <c r="E1120" t="s">
        <v>616</v>
      </c>
      <c r="F1120" t="s">
        <v>617</v>
      </c>
      <c r="G1120">
        <v>526.5</v>
      </c>
      <c r="H1120">
        <v>399.9</v>
      </c>
      <c r="I1120">
        <v>473.85</v>
      </c>
      <c r="J1120">
        <v>359.91</v>
      </c>
      <c r="Q1120"/>
    </row>
    <row r="1121" spans="1:17" x14ac:dyDescent="0.25">
      <c r="A1121">
        <v>4</v>
      </c>
      <c r="B1121">
        <v>2016</v>
      </c>
      <c r="C1121" t="s">
        <v>605</v>
      </c>
      <c r="D1121" t="s">
        <v>606</v>
      </c>
      <c r="E1121" t="s">
        <v>618</v>
      </c>
      <c r="F1121" t="s">
        <v>617</v>
      </c>
      <c r="G1121">
        <v>737.04</v>
      </c>
      <c r="H1121">
        <v>506.92</v>
      </c>
      <c r="I1121">
        <v>846.6</v>
      </c>
      <c r="J1121">
        <v>573.62</v>
      </c>
      <c r="Q1121"/>
    </row>
    <row r="1122" spans="1:17" x14ac:dyDescent="0.25">
      <c r="A1122">
        <v>4</v>
      </c>
      <c r="B1122">
        <v>2016</v>
      </c>
      <c r="C1122" t="s">
        <v>605</v>
      </c>
      <c r="D1122" t="s">
        <v>606</v>
      </c>
      <c r="E1122" t="s">
        <v>619</v>
      </c>
      <c r="F1122" t="s">
        <v>620</v>
      </c>
      <c r="G1122">
        <v>199</v>
      </c>
      <c r="H1122">
        <v>160.07999999999998</v>
      </c>
      <c r="Q1122"/>
    </row>
    <row r="1123" spans="1:17" x14ac:dyDescent="0.25">
      <c r="A1123">
        <v>4</v>
      </c>
      <c r="B1123">
        <v>2016</v>
      </c>
      <c r="C1123" t="s">
        <v>621</v>
      </c>
      <c r="D1123" t="s">
        <v>622</v>
      </c>
      <c r="E1123" t="s">
        <v>623</v>
      </c>
      <c r="F1123" t="s">
        <v>624</v>
      </c>
      <c r="G1123">
        <v>22.5</v>
      </c>
      <c r="H1123">
        <v>6</v>
      </c>
      <c r="I1123">
        <v>821.4</v>
      </c>
      <c r="J1123">
        <v>222</v>
      </c>
      <c r="Q1123"/>
    </row>
    <row r="1124" spans="1:17" x14ac:dyDescent="0.25">
      <c r="A1124">
        <v>4</v>
      </c>
      <c r="B1124">
        <v>2016</v>
      </c>
      <c r="C1124" t="s">
        <v>630</v>
      </c>
      <c r="D1124" t="s">
        <v>631</v>
      </c>
      <c r="E1124" t="s">
        <v>632</v>
      </c>
      <c r="F1124" t="s">
        <v>633</v>
      </c>
      <c r="G1124">
        <v>1447.2</v>
      </c>
      <c r="H1124">
        <v>222</v>
      </c>
      <c r="I1124">
        <v>558</v>
      </c>
      <c r="J1124">
        <v>90</v>
      </c>
      <c r="Q1124"/>
    </row>
    <row r="1125" spans="1:17" x14ac:dyDescent="0.25">
      <c r="A1125">
        <v>4</v>
      </c>
      <c r="B1125">
        <v>2016</v>
      </c>
      <c r="C1125" t="s">
        <v>630</v>
      </c>
      <c r="D1125" t="s">
        <v>631</v>
      </c>
      <c r="E1125" t="s">
        <v>634</v>
      </c>
      <c r="F1125" t="s">
        <v>635</v>
      </c>
      <c r="G1125">
        <v>1224</v>
      </c>
      <c r="H1125">
        <v>90</v>
      </c>
      <c r="I1125">
        <v>78</v>
      </c>
      <c r="J1125">
        <v>6</v>
      </c>
      <c r="Q1125"/>
    </row>
    <row r="1126" spans="1:17" x14ac:dyDescent="0.25">
      <c r="A1126">
        <v>4</v>
      </c>
      <c r="B1126">
        <v>2016</v>
      </c>
      <c r="C1126" t="s">
        <v>630</v>
      </c>
      <c r="D1126" t="s">
        <v>631</v>
      </c>
      <c r="E1126" t="s">
        <v>636</v>
      </c>
      <c r="F1126" t="s">
        <v>637</v>
      </c>
      <c r="G1126">
        <v>1285.2</v>
      </c>
      <c r="H1126">
        <v>312</v>
      </c>
      <c r="I1126">
        <v>705.6</v>
      </c>
      <c r="J1126">
        <v>168</v>
      </c>
      <c r="Q1126"/>
    </row>
    <row r="1127" spans="1:17" x14ac:dyDescent="0.25">
      <c r="A1127">
        <v>4</v>
      </c>
      <c r="B1127">
        <v>2016</v>
      </c>
      <c r="C1127" t="s">
        <v>630</v>
      </c>
      <c r="D1127" t="s">
        <v>631</v>
      </c>
      <c r="E1127" t="s">
        <v>783</v>
      </c>
      <c r="F1127" t="s">
        <v>784</v>
      </c>
      <c r="G1127">
        <v>369</v>
      </c>
      <c r="H1127">
        <v>96</v>
      </c>
      <c r="I1127">
        <v>369</v>
      </c>
      <c r="J1127">
        <v>96</v>
      </c>
      <c r="Q1127"/>
    </row>
    <row r="1128" spans="1:17" x14ac:dyDescent="0.25">
      <c r="A1128">
        <v>4</v>
      </c>
      <c r="B1128">
        <v>2016</v>
      </c>
      <c r="C1128" t="s">
        <v>638</v>
      </c>
      <c r="D1128" t="s">
        <v>639</v>
      </c>
      <c r="E1128" t="s">
        <v>640</v>
      </c>
      <c r="F1128" t="s">
        <v>641</v>
      </c>
      <c r="G1128">
        <v>168.3</v>
      </c>
      <c r="H1128">
        <v>160.07999999999998</v>
      </c>
      <c r="I1128">
        <v>790.4</v>
      </c>
      <c r="J1128">
        <v>720.36</v>
      </c>
      <c r="Q1128"/>
    </row>
    <row r="1129" spans="1:17" x14ac:dyDescent="0.25">
      <c r="A1129">
        <v>4</v>
      </c>
      <c r="B1129">
        <v>2016</v>
      </c>
      <c r="C1129" t="s">
        <v>638</v>
      </c>
      <c r="D1129" t="s">
        <v>639</v>
      </c>
      <c r="E1129" t="s">
        <v>642</v>
      </c>
      <c r="F1129" t="s">
        <v>641</v>
      </c>
      <c r="G1129">
        <v>1161.45</v>
      </c>
      <c r="H1129">
        <v>1159.71</v>
      </c>
      <c r="I1129">
        <v>1629.75</v>
      </c>
      <c r="J1129">
        <v>1639.59</v>
      </c>
      <c r="Q1129"/>
    </row>
    <row r="1130" spans="1:17" x14ac:dyDescent="0.25">
      <c r="A1130">
        <v>4</v>
      </c>
      <c r="B1130">
        <v>2016</v>
      </c>
      <c r="C1130" t="s">
        <v>638</v>
      </c>
      <c r="D1130" t="s">
        <v>639</v>
      </c>
      <c r="E1130" t="s">
        <v>643</v>
      </c>
      <c r="F1130" t="s">
        <v>644</v>
      </c>
      <c r="G1130">
        <v>604.35</v>
      </c>
      <c r="H1130">
        <v>540.27</v>
      </c>
      <c r="I1130">
        <v>988</v>
      </c>
      <c r="J1130">
        <v>873.77</v>
      </c>
      <c r="Q1130"/>
    </row>
    <row r="1131" spans="1:17" x14ac:dyDescent="0.25">
      <c r="A1131">
        <v>4</v>
      </c>
      <c r="B1131">
        <v>2016</v>
      </c>
      <c r="C1131" t="s">
        <v>638</v>
      </c>
      <c r="D1131" t="s">
        <v>639</v>
      </c>
      <c r="E1131" t="s">
        <v>645</v>
      </c>
      <c r="F1131" t="s">
        <v>644</v>
      </c>
      <c r="G1131">
        <v>1975.8</v>
      </c>
      <c r="H1131">
        <v>1972.84</v>
      </c>
      <c r="I1131">
        <v>2438</v>
      </c>
      <c r="J1131">
        <v>2452.7199999999998</v>
      </c>
      <c r="Q1131"/>
    </row>
    <row r="1132" spans="1:17" x14ac:dyDescent="0.25">
      <c r="A1132">
        <v>4</v>
      </c>
      <c r="B1132">
        <v>2016</v>
      </c>
      <c r="C1132" t="s">
        <v>638</v>
      </c>
      <c r="D1132" t="s">
        <v>639</v>
      </c>
      <c r="E1132" t="s">
        <v>646</v>
      </c>
      <c r="F1132" t="s">
        <v>647</v>
      </c>
      <c r="G1132">
        <v>504</v>
      </c>
      <c r="H1132">
        <v>210</v>
      </c>
      <c r="I1132">
        <v>650.4</v>
      </c>
      <c r="J1132">
        <v>300</v>
      </c>
      <c r="Q1132"/>
    </row>
    <row r="1133" spans="1:17" x14ac:dyDescent="0.25">
      <c r="A1133">
        <v>4</v>
      </c>
      <c r="B1133">
        <v>2016</v>
      </c>
      <c r="C1133" t="s">
        <v>638</v>
      </c>
      <c r="D1133" t="s">
        <v>639</v>
      </c>
      <c r="E1133" t="s">
        <v>648</v>
      </c>
      <c r="F1133" t="s">
        <v>649</v>
      </c>
      <c r="G1133">
        <v>33.6</v>
      </c>
      <c r="H1133">
        <v>6</v>
      </c>
      <c r="Q1133"/>
    </row>
    <row r="1134" spans="1:17" x14ac:dyDescent="0.25">
      <c r="A1134">
        <v>4</v>
      </c>
      <c r="B1134">
        <v>2016</v>
      </c>
      <c r="C1134" t="s">
        <v>638</v>
      </c>
      <c r="D1134" t="s">
        <v>639</v>
      </c>
      <c r="E1134" t="s">
        <v>650</v>
      </c>
      <c r="F1134" t="s">
        <v>651</v>
      </c>
      <c r="G1134">
        <v>402.6</v>
      </c>
      <c r="H1134">
        <v>132</v>
      </c>
      <c r="I1134">
        <v>153.6</v>
      </c>
      <c r="J1134">
        <v>48</v>
      </c>
      <c r="Q1134"/>
    </row>
    <row r="1135" spans="1:17" x14ac:dyDescent="0.25">
      <c r="A1135">
        <v>4</v>
      </c>
      <c r="B1135">
        <v>2016</v>
      </c>
      <c r="C1135" t="s">
        <v>638</v>
      </c>
      <c r="D1135" t="s">
        <v>639</v>
      </c>
      <c r="E1135" t="s">
        <v>785</v>
      </c>
      <c r="F1135" t="s">
        <v>653</v>
      </c>
      <c r="G1135">
        <v>651</v>
      </c>
      <c r="H1135">
        <v>466.55</v>
      </c>
      <c r="I1135">
        <v>502.2</v>
      </c>
      <c r="J1135">
        <v>359.91</v>
      </c>
      <c r="Q1135"/>
    </row>
    <row r="1136" spans="1:17" x14ac:dyDescent="0.25">
      <c r="A1136">
        <v>4</v>
      </c>
      <c r="B1136">
        <v>2016</v>
      </c>
      <c r="C1136" t="s">
        <v>638</v>
      </c>
      <c r="D1136" t="s">
        <v>639</v>
      </c>
      <c r="E1136" t="s">
        <v>652</v>
      </c>
      <c r="F1136" t="s">
        <v>653</v>
      </c>
      <c r="G1136">
        <v>282.8</v>
      </c>
      <c r="H1136">
        <v>206.77</v>
      </c>
      <c r="I1136">
        <v>363.6</v>
      </c>
      <c r="J1136">
        <v>246.79</v>
      </c>
      <c r="Q1136"/>
    </row>
    <row r="1137" spans="1:17" x14ac:dyDescent="0.25">
      <c r="A1137">
        <v>4</v>
      </c>
      <c r="B1137">
        <v>2016</v>
      </c>
      <c r="C1137" t="s">
        <v>638</v>
      </c>
      <c r="D1137" t="s">
        <v>639</v>
      </c>
      <c r="E1137" t="s">
        <v>654</v>
      </c>
      <c r="F1137" t="s">
        <v>655</v>
      </c>
      <c r="G1137">
        <v>197.1</v>
      </c>
      <c r="H1137">
        <v>54</v>
      </c>
      <c r="I1137">
        <v>453.6</v>
      </c>
      <c r="J1137">
        <v>132</v>
      </c>
      <c r="Q1137"/>
    </row>
    <row r="1138" spans="1:17" x14ac:dyDescent="0.25">
      <c r="A1138">
        <v>4</v>
      </c>
      <c r="B1138">
        <v>2016</v>
      </c>
      <c r="C1138" t="s">
        <v>638</v>
      </c>
      <c r="D1138" t="s">
        <v>639</v>
      </c>
      <c r="E1138" t="s">
        <v>656</v>
      </c>
      <c r="F1138" t="s">
        <v>657</v>
      </c>
      <c r="G1138">
        <v>23.1</v>
      </c>
      <c r="H1138">
        <v>6</v>
      </c>
      <c r="I1138">
        <v>-48.6</v>
      </c>
      <c r="J1138">
        <v>-12</v>
      </c>
      <c r="Q1138"/>
    </row>
    <row r="1139" spans="1:17" x14ac:dyDescent="0.25">
      <c r="A1139">
        <v>4</v>
      </c>
      <c r="B1139">
        <v>2016</v>
      </c>
      <c r="C1139" t="s">
        <v>638</v>
      </c>
      <c r="D1139" t="s">
        <v>639</v>
      </c>
      <c r="E1139" t="s">
        <v>658</v>
      </c>
      <c r="F1139" t="s">
        <v>659</v>
      </c>
      <c r="G1139">
        <v>144</v>
      </c>
      <c r="H1139">
        <v>48</v>
      </c>
      <c r="I1139">
        <v>1062</v>
      </c>
      <c r="J1139">
        <v>360</v>
      </c>
      <c r="Q1139"/>
    </row>
    <row r="1140" spans="1:17" x14ac:dyDescent="0.25">
      <c r="A1140">
        <v>4</v>
      </c>
      <c r="B1140">
        <v>2016</v>
      </c>
      <c r="C1140" t="s">
        <v>638</v>
      </c>
      <c r="D1140" t="s">
        <v>639</v>
      </c>
      <c r="E1140" t="s">
        <v>660</v>
      </c>
      <c r="F1140" t="s">
        <v>661</v>
      </c>
      <c r="G1140">
        <v>58.5</v>
      </c>
      <c r="H1140">
        <v>18</v>
      </c>
      <c r="Q1140"/>
    </row>
    <row r="1141" spans="1:17" x14ac:dyDescent="0.25">
      <c r="A1141">
        <v>4</v>
      </c>
      <c r="B1141">
        <v>2016</v>
      </c>
      <c r="C1141" t="s">
        <v>638</v>
      </c>
      <c r="D1141" t="s">
        <v>639</v>
      </c>
      <c r="E1141" t="s">
        <v>786</v>
      </c>
      <c r="F1141" t="s">
        <v>787</v>
      </c>
      <c r="G1141">
        <v>61.92</v>
      </c>
      <c r="H1141">
        <v>18</v>
      </c>
      <c r="Q1141"/>
    </row>
    <row r="1142" spans="1:17" x14ac:dyDescent="0.25">
      <c r="A1142">
        <v>4</v>
      </c>
      <c r="B1142">
        <v>2016</v>
      </c>
      <c r="C1142" t="s">
        <v>638</v>
      </c>
      <c r="D1142" t="s">
        <v>639</v>
      </c>
      <c r="E1142" t="s">
        <v>913</v>
      </c>
      <c r="F1142" t="s">
        <v>914</v>
      </c>
      <c r="G1142">
        <v>156.75</v>
      </c>
      <c r="H1142">
        <v>133.4</v>
      </c>
      <c r="Q1142"/>
    </row>
    <row r="1143" spans="1:17" x14ac:dyDescent="0.25">
      <c r="A1143">
        <v>4</v>
      </c>
      <c r="B1143">
        <v>2016</v>
      </c>
      <c r="C1143" t="s">
        <v>638</v>
      </c>
      <c r="D1143" t="s">
        <v>639</v>
      </c>
      <c r="E1143" t="s">
        <v>915</v>
      </c>
      <c r="F1143" t="s">
        <v>916</v>
      </c>
      <c r="G1143">
        <v>18.75</v>
      </c>
      <c r="H1143">
        <v>20</v>
      </c>
      <c r="Q1143"/>
    </row>
    <row r="1144" spans="1:17" x14ac:dyDescent="0.25">
      <c r="A1144">
        <v>4</v>
      </c>
      <c r="B1144">
        <v>2016</v>
      </c>
      <c r="C1144" t="s">
        <v>638</v>
      </c>
      <c r="D1144" t="s">
        <v>639</v>
      </c>
      <c r="E1144" t="s">
        <v>845</v>
      </c>
      <c r="F1144" t="s">
        <v>846</v>
      </c>
      <c r="G1144">
        <v>50.5</v>
      </c>
      <c r="H1144">
        <v>40</v>
      </c>
      <c r="Q1144"/>
    </row>
    <row r="1145" spans="1:17" x14ac:dyDescent="0.25">
      <c r="A1145">
        <v>4</v>
      </c>
      <c r="B1145">
        <v>2016</v>
      </c>
      <c r="C1145" t="s">
        <v>638</v>
      </c>
      <c r="D1145" t="s">
        <v>639</v>
      </c>
      <c r="E1145" t="s">
        <v>664</v>
      </c>
      <c r="F1145" t="s">
        <v>665</v>
      </c>
      <c r="G1145">
        <v>57.6</v>
      </c>
      <c r="H1145">
        <v>30</v>
      </c>
      <c r="I1145">
        <v>157.69999999999999</v>
      </c>
      <c r="J1145">
        <v>102</v>
      </c>
      <c r="Q1145"/>
    </row>
    <row r="1146" spans="1:17" x14ac:dyDescent="0.25">
      <c r="A1146">
        <v>4</v>
      </c>
      <c r="B1146">
        <v>2016</v>
      </c>
      <c r="C1146" t="s">
        <v>638</v>
      </c>
      <c r="D1146" t="s">
        <v>639</v>
      </c>
      <c r="E1146" t="s">
        <v>666</v>
      </c>
      <c r="F1146" t="s">
        <v>665</v>
      </c>
      <c r="G1146">
        <v>80.64</v>
      </c>
      <c r="H1146">
        <v>42</v>
      </c>
      <c r="I1146">
        <v>353.4</v>
      </c>
      <c r="J1146">
        <v>228</v>
      </c>
      <c r="Q1146"/>
    </row>
    <row r="1147" spans="1:17" x14ac:dyDescent="0.25">
      <c r="A1147">
        <v>4</v>
      </c>
      <c r="B1147">
        <v>2016</v>
      </c>
      <c r="C1147" t="s">
        <v>638</v>
      </c>
      <c r="D1147" t="s">
        <v>639</v>
      </c>
      <c r="E1147" t="s">
        <v>847</v>
      </c>
      <c r="F1147" t="s">
        <v>848</v>
      </c>
      <c r="G1147">
        <v>34.56</v>
      </c>
      <c r="H1147">
        <v>30</v>
      </c>
      <c r="Q1147"/>
    </row>
    <row r="1148" spans="1:17" x14ac:dyDescent="0.25">
      <c r="A1148">
        <v>4</v>
      </c>
      <c r="B1148">
        <v>2016</v>
      </c>
      <c r="C1148" t="s">
        <v>667</v>
      </c>
      <c r="D1148" t="s">
        <v>668</v>
      </c>
      <c r="E1148" t="s">
        <v>669</v>
      </c>
      <c r="F1148" t="s">
        <v>670</v>
      </c>
      <c r="G1148">
        <v>49.68</v>
      </c>
      <c r="H1148">
        <v>24</v>
      </c>
      <c r="I1148">
        <v>144.84</v>
      </c>
      <c r="J1148">
        <v>84</v>
      </c>
      <c r="Q1148"/>
    </row>
    <row r="1149" spans="1:17" x14ac:dyDescent="0.25">
      <c r="A1149">
        <v>4</v>
      </c>
      <c r="B1149">
        <v>2016</v>
      </c>
      <c r="C1149" t="s">
        <v>667</v>
      </c>
      <c r="D1149" t="s">
        <v>668</v>
      </c>
      <c r="E1149" t="s">
        <v>671</v>
      </c>
      <c r="F1149" t="s">
        <v>670</v>
      </c>
      <c r="G1149">
        <v>273.24</v>
      </c>
      <c r="H1149">
        <v>138</v>
      </c>
      <c r="I1149">
        <v>760.92</v>
      </c>
      <c r="J1149">
        <v>402</v>
      </c>
      <c r="Q1149"/>
    </row>
    <row r="1150" spans="1:17" x14ac:dyDescent="0.25">
      <c r="A1150">
        <v>4</v>
      </c>
      <c r="B1150">
        <v>2016</v>
      </c>
      <c r="C1150" t="s">
        <v>667</v>
      </c>
      <c r="D1150" t="s">
        <v>668</v>
      </c>
      <c r="E1150" t="s">
        <v>672</v>
      </c>
      <c r="F1150" t="s">
        <v>670</v>
      </c>
      <c r="G1150">
        <v>74.52</v>
      </c>
      <c r="H1150">
        <v>36</v>
      </c>
      <c r="I1150">
        <v>161.16</v>
      </c>
      <c r="J1150">
        <v>96</v>
      </c>
      <c r="Q1150"/>
    </row>
    <row r="1151" spans="1:17" x14ac:dyDescent="0.25">
      <c r="A1151">
        <v>4</v>
      </c>
      <c r="B1151">
        <v>2016</v>
      </c>
      <c r="C1151" t="s">
        <v>667</v>
      </c>
      <c r="D1151" t="s">
        <v>668</v>
      </c>
      <c r="E1151" t="s">
        <v>677</v>
      </c>
      <c r="F1151" t="s">
        <v>678</v>
      </c>
      <c r="G1151">
        <v>26.4</v>
      </c>
      <c r="H1151">
        <v>12</v>
      </c>
      <c r="I1151">
        <v>52.32</v>
      </c>
      <c r="J1151">
        <v>36</v>
      </c>
      <c r="Q1151"/>
    </row>
    <row r="1152" spans="1:17" x14ac:dyDescent="0.25">
      <c r="A1152">
        <v>4</v>
      </c>
      <c r="B1152">
        <v>2016</v>
      </c>
      <c r="C1152" t="s">
        <v>667</v>
      </c>
      <c r="D1152" t="s">
        <v>668</v>
      </c>
      <c r="E1152" t="s">
        <v>679</v>
      </c>
      <c r="F1152" t="s">
        <v>680</v>
      </c>
      <c r="G1152">
        <v>53.4</v>
      </c>
      <c r="H1152">
        <v>46.69</v>
      </c>
      <c r="I1152">
        <v>106.8</v>
      </c>
      <c r="J1152">
        <v>93.38</v>
      </c>
      <c r="Q1152"/>
    </row>
    <row r="1153" spans="1:17" x14ac:dyDescent="0.25">
      <c r="A1153">
        <v>4</v>
      </c>
      <c r="B1153">
        <v>2016</v>
      </c>
      <c r="C1153" t="s">
        <v>667</v>
      </c>
      <c r="D1153" t="s">
        <v>668</v>
      </c>
      <c r="E1153" t="s">
        <v>788</v>
      </c>
      <c r="F1153" t="s">
        <v>789</v>
      </c>
      <c r="G1153">
        <v>0</v>
      </c>
      <c r="H1153">
        <v>6.67</v>
      </c>
      <c r="I1153">
        <v>0</v>
      </c>
      <c r="J1153">
        <v>13.34</v>
      </c>
      <c r="Q1153"/>
    </row>
    <row r="1154" spans="1:17" x14ac:dyDescent="0.25">
      <c r="A1154">
        <v>4</v>
      </c>
      <c r="B1154">
        <v>2016</v>
      </c>
      <c r="C1154" t="s">
        <v>681</v>
      </c>
      <c r="D1154" t="s">
        <v>682</v>
      </c>
      <c r="E1154" t="s">
        <v>683</v>
      </c>
      <c r="F1154" t="s">
        <v>684</v>
      </c>
      <c r="G1154">
        <v>202.5</v>
      </c>
      <c r="H1154">
        <v>90</v>
      </c>
      <c r="I1154">
        <v>281.60000000000002</v>
      </c>
      <c r="J1154">
        <v>138</v>
      </c>
      <c r="Q1154"/>
    </row>
    <row r="1155" spans="1:17" x14ac:dyDescent="0.25">
      <c r="A1155">
        <v>4</v>
      </c>
      <c r="B1155">
        <v>2016</v>
      </c>
      <c r="C1155" t="s">
        <v>681</v>
      </c>
      <c r="D1155" t="s">
        <v>682</v>
      </c>
      <c r="E1155" t="s">
        <v>685</v>
      </c>
      <c r="F1155" t="s">
        <v>686</v>
      </c>
      <c r="G1155">
        <v>14.4</v>
      </c>
      <c r="H1155">
        <v>6</v>
      </c>
      <c r="I1155">
        <v>197.4</v>
      </c>
      <c r="J1155">
        <v>84</v>
      </c>
      <c r="Q1155"/>
    </row>
    <row r="1156" spans="1:17" x14ac:dyDescent="0.25">
      <c r="A1156">
        <v>4</v>
      </c>
      <c r="B1156">
        <v>2016</v>
      </c>
      <c r="C1156" t="s">
        <v>681</v>
      </c>
      <c r="D1156" t="s">
        <v>682</v>
      </c>
      <c r="E1156" t="s">
        <v>687</v>
      </c>
      <c r="F1156" t="s">
        <v>688</v>
      </c>
      <c r="G1156">
        <v>222</v>
      </c>
      <c r="H1156">
        <v>60</v>
      </c>
      <c r="I1156">
        <v>197.1</v>
      </c>
      <c r="J1156">
        <v>60</v>
      </c>
      <c r="Q1156"/>
    </row>
    <row r="1157" spans="1:17" x14ac:dyDescent="0.25">
      <c r="A1157">
        <v>4</v>
      </c>
      <c r="B1157">
        <v>2016</v>
      </c>
      <c r="C1157" t="s">
        <v>681</v>
      </c>
      <c r="D1157" t="s">
        <v>682</v>
      </c>
      <c r="E1157" t="s">
        <v>689</v>
      </c>
      <c r="F1157" t="s">
        <v>690</v>
      </c>
      <c r="G1157">
        <v>57.6</v>
      </c>
      <c r="H1157">
        <v>24</v>
      </c>
      <c r="I1157">
        <v>28.2</v>
      </c>
      <c r="J1157">
        <v>12</v>
      </c>
      <c r="Q1157"/>
    </row>
    <row r="1158" spans="1:17" x14ac:dyDescent="0.25">
      <c r="A1158">
        <v>4</v>
      </c>
      <c r="B1158">
        <v>2016</v>
      </c>
      <c r="C1158" t="s">
        <v>790</v>
      </c>
      <c r="D1158" t="s">
        <v>791</v>
      </c>
      <c r="E1158" t="s">
        <v>792</v>
      </c>
      <c r="F1158" t="s">
        <v>793</v>
      </c>
      <c r="G1158">
        <v>757.5</v>
      </c>
      <c r="H1158">
        <v>150</v>
      </c>
      <c r="Q1158"/>
    </row>
    <row r="1159" spans="1:17" x14ac:dyDescent="0.25">
      <c r="A1159">
        <v>4</v>
      </c>
      <c r="B1159">
        <v>2016</v>
      </c>
      <c r="C1159" t="s">
        <v>691</v>
      </c>
      <c r="D1159" t="s">
        <v>692</v>
      </c>
      <c r="E1159" t="s">
        <v>917</v>
      </c>
      <c r="F1159" t="s">
        <v>918</v>
      </c>
      <c r="G1159">
        <v>0</v>
      </c>
      <c r="H1159">
        <v>48</v>
      </c>
      <c r="Q1159"/>
    </row>
    <row r="1160" spans="1:17" x14ac:dyDescent="0.25">
      <c r="A1160">
        <v>4</v>
      </c>
      <c r="B1160">
        <v>2016</v>
      </c>
      <c r="C1160" t="s">
        <v>691</v>
      </c>
      <c r="D1160" t="s">
        <v>692</v>
      </c>
      <c r="E1160" t="s">
        <v>699</v>
      </c>
      <c r="F1160" t="s">
        <v>700</v>
      </c>
      <c r="G1160">
        <v>91.2</v>
      </c>
      <c r="H1160">
        <v>30</v>
      </c>
      <c r="Q1160"/>
    </row>
    <row r="1161" spans="1:17" x14ac:dyDescent="0.25">
      <c r="A1161">
        <v>5</v>
      </c>
      <c r="B1161">
        <v>2016</v>
      </c>
      <c r="C1161" t="s">
        <v>47</v>
      </c>
      <c r="D1161" t="s">
        <v>48</v>
      </c>
      <c r="E1161" t="s">
        <v>49</v>
      </c>
      <c r="F1161" t="s">
        <v>50</v>
      </c>
      <c r="G1161">
        <v>3081.12</v>
      </c>
      <c r="H1161">
        <v>2627.98</v>
      </c>
      <c r="I1161">
        <v>3008.88</v>
      </c>
      <c r="J1161">
        <v>2654.66</v>
      </c>
      <c r="Q1161"/>
    </row>
    <row r="1162" spans="1:17" x14ac:dyDescent="0.25">
      <c r="A1162">
        <v>5</v>
      </c>
      <c r="B1162">
        <v>2016</v>
      </c>
      <c r="C1162" t="s">
        <v>47</v>
      </c>
      <c r="D1162" t="s">
        <v>48</v>
      </c>
      <c r="E1162" t="s">
        <v>51</v>
      </c>
      <c r="F1162" t="s">
        <v>52</v>
      </c>
      <c r="G1162">
        <v>11189.36</v>
      </c>
      <c r="H1162">
        <v>10863.95</v>
      </c>
      <c r="I1162">
        <v>9646</v>
      </c>
      <c r="J1162">
        <v>9717.57</v>
      </c>
      <c r="Q1162"/>
    </row>
    <row r="1163" spans="1:17" x14ac:dyDescent="0.25">
      <c r="A1163">
        <v>5</v>
      </c>
      <c r="B1163">
        <v>2016</v>
      </c>
      <c r="C1163" t="s">
        <v>47</v>
      </c>
      <c r="D1163" t="s">
        <v>48</v>
      </c>
      <c r="E1163" t="s">
        <v>53</v>
      </c>
      <c r="F1163" t="s">
        <v>54</v>
      </c>
      <c r="G1163">
        <v>7153</v>
      </c>
      <c r="H1163">
        <v>7664.75</v>
      </c>
      <c r="I1163">
        <v>6967.8</v>
      </c>
      <c r="J1163">
        <v>7838.04</v>
      </c>
      <c r="Q1163"/>
    </row>
    <row r="1164" spans="1:17" x14ac:dyDescent="0.25">
      <c r="A1164">
        <v>5</v>
      </c>
      <c r="B1164">
        <v>2016</v>
      </c>
      <c r="C1164" t="s">
        <v>47</v>
      </c>
      <c r="D1164" t="s">
        <v>48</v>
      </c>
      <c r="E1164" t="s">
        <v>55</v>
      </c>
      <c r="F1164" t="s">
        <v>54</v>
      </c>
      <c r="G1164">
        <v>1351.8</v>
      </c>
      <c r="H1164">
        <v>1213.94</v>
      </c>
      <c r="I1164">
        <v>1503.84</v>
      </c>
      <c r="J1164">
        <v>1407.37</v>
      </c>
      <c r="Q1164"/>
    </row>
    <row r="1165" spans="1:17" x14ac:dyDescent="0.25">
      <c r="A1165">
        <v>5</v>
      </c>
      <c r="B1165">
        <v>2016</v>
      </c>
      <c r="C1165" t="s">
        <v>47</v>
      </c>
      <c r="D1165" t="s">
        <v>48</v>
      </c>
      <c r="E1165" t="s">
        <v>56</v>
      </c>
      <c r="F1165" t="s">
        <v>57</v>
      </c>
      <c r="G1165">
        <v>2793.28</v>
      </c>
      <c r="H1165">
        <v>3065.9</v>
      </c>
      <c r="I1165">
        <v>2640.24</v>
      </c>
      <c r="J1165">
        <v>3039.2400000000002</v>
      </c>
      <c r="Q1165"/>
    </row>
    <row r="1166" spans="1:17" x14ac:dyDescent="0.25">
      <c r="A1166">
        <v>5</v>
      </c>
      <c r="B1166">
        <v>2016</v>
      </c>
      <c r="C1166" t="s">
        <v>47</v>
      </c>
      <c r="D1166" t="s">
        <v>48</v>
      </c>
      <c r="E1166" t="s">
        <v>58</v>
      </c>
      <c r="F1166" t="s">
        <v>59</v>
      </c>
      <c r="G1166">
        <v>4686.18</v>
      </c>
      <c r="H1166">
        <v>5680.71</v>
      </c>
      <c r="I1166">
        <v>2064.85</v>
      </c>
      <c r="J1166">
        <v>2506.98</v>
      </c>
      <c r="Q1166"/>
    </row>
    <row r="1167" spans="1:17" x14ac:dyDescent="0.25">
      <c r="A1167">
        <v>5</v>
      </c>
      <c r="B1167">
        <v>2016</v>
      </c>
      <c r="C1167" t="s">
        <v>47</v>
      </c>
      <c r="D1167" t="s">
        <v>48</v>
      </c>
      <c r="E1167" t="s">
        <v>60</v>
      </c>
      <c r="F1167" t="s">
        <v>59</v>
      </c>
      <c r="G1167">
        <v>1050.3</v>
      </c>
      <c r="H1167">
        <v>1200.1500000000001</v>
      </c>
      <c r="I1167">
        <v>1458.7</v>
      </c>
      <c r="J1167">
        <v>1786.89</v>
      </c>
      <c r="Q1167"/>
    </row>
    <row r="1168" spans="1:17" x14ac:dyDescent="0.25">
      <c r="A1168">
        <v>5</v>
      </c>
      <c r="B1168">
        <v>2016</v>
      </c>
      <c r="C1168" t="s">
        <v>47</v>
      </c>
      <c r="D1168" t="s">
        <v>48</v>
      </c>
      <c r="E1168" t="s">
        <v>61</v>
      </c>
      <c r="F1168" t="s">
        <v>62</v>
      </c>
      <c r="G1168">
        <v>1879.35</v>
      </c>
      <c r="H1168">
        <v>1360.68</v>
      </c>
      <c r="I1168">
        <v>1570.48</v>
      </c>
      <c r="J1168">
        <v>1160.58</v>
      </c>
      <c r="Q1168"/>
    </row>
    <row r="1169" spans="1:17" x14ac:dyDescent="0.25">
      <c r="A1169">
        <v>5</v>
      </c>
      <c r="B1169">
        <v>2016</v>
      </c>
      <c r="C1169" t="s">
        <v>47</v>
      </c>
      <c r="D1169" t="s">
        <v>48</v>
      </c>
      <c r="E1169" t="s">
        <v>63</v>
      </c>
      <c r="F1169" t="s">
        <v>64</v>
      </c>
      <c r="G1169">
        <v>3750.75</v>
      </c>
      <c r="H1169">
        <v>2999.25</v>
      </c>
      <c r="I1169">
        <v>3219.82</v>
      </c>
      <c r="J1169">
        <v>2652.67</v>
      </c>
      <c r="Q1169"/>
    </row>
    <row r="1170" spans="1:17" x14ac:dyDescent="0.25">
      <c r="A1170">
        <v>5</v>
      </c>
      <c r="B1170">
        <v>2016</v>
      </c>
      <c r="C1170" t="s">
        <v>47</v>
      </c>
      <c r="D1170" t="s">
        <v>48</v>
      </c>
      <c r="E1170" t="s">
        <v>65</v>
      </c>
      <c r="F1170" t="s">
        <v>64</v>
      </c>
      <c r="G1170">
        <v>4667.6000000000004</v>
      </c>
      <c r="H1170">
        <v>3732.4</v>
      </c>
      <c r="I1170">
        <v>4967.26</v>
      </c>
      <c r="J1170">
        <v>4092.31</v>
      </c>
      <c r="Q1170"/>
    </row>
    <row r="1171" spans="1:17" x14ac:dyDescent="0.25">
      <c r="A1171">
        <v>5</v>
      </c>
      <c r="B1171">
        <v>2016</v>
      </c>
      <c r="C1171" t="s">
        <v>47</v>
      </c>
      <c r="D1171" t="s">
        <v>48</v>
      </c>
      <c r="E1171" t="s">
        <v>66</v>
      </c>
      <c r="F1171" t="s">
        <v>64</v>
      </c>
      <c r="G1171">
        <v>2786.3</v>
      </c>
      <c r="H1171">
        <v>2014.34</v>
      </c>
      <c r="I1171">
        <v>2506.08</v>
      </c>
      <c r="J1171">
        <v>1847.59</v>
      </c>
      <c r="Q1171"/>
    </row>
    <row r="1172" spans="1:17" x14ac:dyDescent="0.25">
      <c r="A1172">
        <v>5</v>
      </c>
      <c r="B1172">
        <v>2016</v>
      </c>
      <c r="C1172" t="s">
        <v>47</v>
      </c>
      <c r="D1172" t="s">
        <v>48</v>
      </c>
      <c r="E1172" t="s">
        <v>67</v>
      </c>
      <c r="F1172" t="s">
        <v>68</v>
      </c>
      <c r="G1172">
        <v>6804.68</v>
      </c>
      <c r="H1172">
        <v>7304.84</v>
      </c>
      <c r="I1172">
        <v>7199.92</v>
      </c>
      <c r="J1172">
        <v>8064.65</v>
      </c>
      <c r="Q1172"/>
    </row>
    <row r="1173" spans="1:17" x14ac:dyDescent="0.25">
      <c r="A1173">
        <v>5</v>
      </c>
      <c r="B1173">
        <v>2016</v>
      </c>
      <c r="C1173" t="s">
        <v>47</v>
      </c>
      <c r="D1173" t="s">
        <v>48</v>
      </c>
      <c r="E1173" t="s">
        <v>69</v>
      </c>
      <c r="F1173" t="s">
        <v>68</v>
      </c>
      <c r="G1173">
        <v>2861.31</v>
      </c>
      <c r="H1173">
        <v>2567.9499999999998</v>
      </c>
      <c r="I1173">
        <v>2900</v>
      </c>
      <c r="J1173">
        <v>2688.0099999999998</v>
      </c>
      <c r="Q1173"/>
    </row>
    <row r="1174" spans="1:17" x14ac:dyDescent="0.25">
      <c r="A1174">
        <v>5</v>
      </c>
      <c r="B1174">
        <v>2016</v>
      </c>
      <c r="C1174" t="s">
        <v>47</v>
      </c>
      <c r="D1174" t="s">
        <v>48</v>
      </c>
      <c r="E1174" t="s">
        <v>70</v>
      </c>
      <c r="F1174" t="s">
        <v>71</v>
      </c>
      <c r="G1174">
        <v>2249.1</v>
      </c>
      <c r="H1174">
        <v>918</v>
      </c>
      <c r="I1174">
        <v>1036.8</v>
      </c>
      <c r="J1174">
        <v>444</v>
      </c>
      <c r="Q1174"/>
    </row>
    <row r="1175" spans="1:17" x14ac:dyDescent="0.25">
      <c r="A1175">
        <v>5</v>
      </c>
      <c r="B1175">
        <v>2016</v>
      </c>
      <c r="C1175" t="s">
        <v>47</v>
      </c>
      <c r="D1175" t="s">
        <v>48</v>
      </c>
      <c r="E1175" t="s">
        <v>74</v>
      </c>
      <c r="F1175" t="s">
        <v>75</v>
      </c>
      <c r="G1175">
        <v>105.48</v>
      </c>
      <c r="H1175">
        <v>36</v>
      </c>
      <c r="I1175">
        <v>105.12</v>
      </c>
      <c r="J1175">
        <v>54</v>
      </c>
      <c r="Q1175"/>
    </row>
    <row r="1176" spans="1:17" x14ac:dyDescent="0.25">
      <c r="A1176">
        <v>5</v>
      </c>
      <c r="B1176">
        <v>2016</v>
      </c>
      <c r="C1176" t="s">
        <v>47</v>
      </c>
      <c r="D1176" t="s">
        <v>48</v>
      </c>
      <c r="E1176" t="s">
        <v>78</v>
      </c>
      <c r="F1176" t="s">
        <v>73</v>
      </c>
      <c r="G1176">
        <v>236.52</v>
      </c>
      <c r="H1176">
        <v>102</v>
      </c>
      <c r="I1176">
        <v>249.66</v>
      </c>
      <c r="J1176">
        <v>132</v>
      </c>
      <c r="Q1176"/>
    </row>
    <row r="1177" spans="1:17" x14ac:dyDescent="0.25">
      <c r="A1177">
        <v>5</v>
      </c>
      <c r="B1177">
        <v>2016</v>
      </c>
      <c r="C1177" t="s">
        <v>47</v>
      </c>
      <c r="D1177" t="s">
        <v>48</v>
      </c>
      <c r="E1177" t="s">
        <v>79</v>
      </c>
      <c r="F1177" t="s">
        <v>80</v>
      </c>
      <c r="G1177">
        <v>98.88</v>
      </c>
      <c r="H1177">
        <v>48</v>
      </c>
      <c r="I1177">
        <v>49.08</v>
      </c>
      <c r="J1177">
        <v>24</v>
      </c>
      <c r="Q1177"/>
    </row>
    <row r="1178" spans="1:17" x14ac:dyDescent="0.25">
      <c r="A1178">
        <v>5</v>
      </c>
      <c r="B1178">
        <v>2016</v>
      </c>
      <c r="C1178" t="s">
        <v>47</v>
      </c>
      <c r="D1178" t="s">
        <v>48</v>
      </c>
      <c r="E1178" t="s">
        <v>81</v>
      </c>
      <c r="F1178" t="s">
        <v>82</v>
      </c>
      <c r="G1178">
        <v>1092</v>
      </c>
      <c r="H1178">
        <v>582</v>
      </c>
      <c r="I1178">
        <v>329.12</v>
      </c>
      <c r="J1178">
        <v>186</v>
      </c>
      <c r="Q1178"/>
    </row>
    <row r="1179" spans="1:17" x14ac:dyDescent="0.25">
      <c r="A1179">
        <v>5</v>
      </c>
      <c r="B1179">
        <v>2016</v>
      </c>
      <c r="C1179" t="s">
        <v>47</v>
      </c>
      <c r="D1179" t="s">
        <v>48</v>
      </c>
      <c r="E1179" t="s">
        <v>83</v>
      </c>
      <c r="F1179" t="s">
        <v>84</v>
      </c>
      <c r="G1179">
        <v>26.4</v>
      </c>
      <c r="H1179">
        <v>16</v>
      </c>
      <c r="Q1179"/>
    </row>
    <row r="1180" spans="1:17" x14ac:dyDescent="0.25">
      <c r="A1180">
        <v>5</v>
      </c>
      <c r="B1180">
        <v>2016</v>
      </c>
      <c r="C1180" t="s">
        <v>47</v>
      </c>
      <c r="D1180" t="s">
        <v>48</v>
      </c>
      <c r="E1180" t="s">
        <v>85</v>
      </c>
      <c r="F1180" t="s">
        <v>84</v>
      </c>
      <c r="G1180">
        <v>26.4</v>
      </c>
      <c r="H1180">
        <v>16</v>
      </c>
      <c r="Q1180"/>
    </row>
    <row r="1181" spans="1:17" x14ac:dyDescent="0.25">
      <c r="A1181">
        <v>5</v>
      </c>
      <c r="B1181">
        <v>2016</v>
      </c>
      <c r="C1181" t="s">
        <v>47</v>
      </c>
      <c r="D1181" t="s">
        <v>48</v>
      </c>
      <c r="E1181" t="s">
        <v>86</v>
      </c>
      <c r="F1181" t="s">
        <v>84</v>
      </c>
      <c r="G1181">
        <v>13.2</v>
      </c>
      <c r="H1181">
        <v>8</v>
      </c>
      <c r="Q1181"/>
    </row>
    <row r="1182" spans="1:17" x14ac:dyDescent="0.25">
      <c r="A1182">
        <v>5</v>
      </c>
      <c r="B1182">
        <v>2016</v>
      </c>
      <c r="C1182" t="s">
        <v>47</v>
      </c>
      <c r="D1182" t="s">
        <v>48</v>
      </c>
      <c r="E1182" t="s">
        <v>704</v>
      </c>
      <c r="F1182" t="s">
        <v>705</v>
      </c>
      <c r="G1182">
        <v>178.8</v>
      </c>
      <c r="H1182">
        <v>60</v>
      </c>
      <c r="I1182">
        <v>403.2</v>
      </c>
      <c r="J1182">
        <v>144</v>
      </c>
      <c r="Q1182"/>
    </row>
    <row r="1183" spans="1:17" x14ac:dyDescent="0.25">
      <c r="A1183">
        <v>5</v>
      </c>
      <c r="B1183">
        <v>2016</v>
      </c>
      <c r="C1183" t="s">
        <v>47</v>
      </c>
      <c r="D1183" t="s">
        <v>48</v>
      </c>
      <c r="E1183" t="s">
        <v>87</v>
      </c>
      <c r="F1183" t="s">
        <v>88</v>
      </c>
      <c r="G1183">
        <v>197.1</v>
      </c>
      <c r="H1183">
        <v>90</v>
      </c>
      <c r="I1183">
        <v>131.4</v>
      </c>
      <c r="J1183">
        <v>72</v>
      </c>
      <c r="Q1183"/>
    </row>
    <row r="1184" spans="1:17" x14ac:dyDescent="0.25">
      <c r="A1184">
        <v>5</v>
      </c>
      <c r="B1184">
        <v>2016</v>
      </c>
      <c r="C1184" t="s">
        <v>47</v>
      </c>
      <c r="D1184" t="s">
        <v>48</v>
      </c>
      <c r="E1184" t="s">
        <v>89</v>
      </c>
      <c r="F1184" t="s">
        <v>90</v>
      </c>
      <c r="G1184">
        <v>405.84</v>
      </c>
      <c r="H1184">
        <v>228</v>
      </c>
      <c r="I1184">
        <v>415.2</v>
      </c>
      <c r="J1184">
        <v>240</v>
      </c>
      <c r="Q1184"/>
    </row>
    <row r="1185" spans="1:17" x14ac:dyDescent="0.25">
      <c r="A1185">
        <v>5</v>
      </c>
      <c r="B1185">
        <v>2016</v>
      </c>
      <c r="C1185" t="s">
        <v>47</v>
      </c>
      <c r="D1185" t="s">
        <v>48</v>
      </c>
      <c r="E1185" t="s">
        <v>91</v>
      </c>
      <c r="F1185" t="s">
        <v>92</v>
      </c>
      <c r="G1185">
        <v>64.08</v>
      </c>
      <c r="H1185">
        <v>36</v>
      </c>
      <c r="I1185">
        <v>207.6</v>
      </c>
      <c r="J1185">
        <v>120</v>
      </c>
      <c r="Q1185"/>
    </row>
    <row r="1186" spans="1:17" x14ac:dyDescent="0.25">
      <c r="A1186">
        <v>5</v>
      </c>
      <c r="B1186">
        <v>2016</v>
      </c>
      <c r="C1186" t="s">
        <v>47</v>
      </c>
      <c r="D1186" t="s">
        <v>48</v>
      </c>
      <c r="E1186" t="s">
        <v>794</v>
      </c>
      <c r="F1186" t="s">
        <v>795</v>
      </c>
      <c r="G1186">
        <v>55.6</v>
      </c>
      <c r="H1186">
        <v>28</v>
      </c>
      <c r="I1186">
        <v>257.26</v>
      </c>
      <c r="J1186">
        <v>152</v>
      </c>
      <c r="Q1186"/>
    </row>
    <row r="1187" spans="1:17" x14ac:dyDescent="0.25">
      <c r="A1187">
        <v>5</v>
      </c>
      <c r="B1187">
        <v>2016</v>
      </c>
      <c r="C1187" t="s">
        <v>47</v>
      </c>
      <c r="D1187" t="s">
        <v>48</v>
      </c>
      <c r="E1187" t="s">
        <v>101</v>
      </c>
      <c r="F1187" t="s">
        <v>102</v>
      </c>
      <c r="G1187">
        <v>1057.5</v>
      </c>
      <c r="H1187">
        <v>1200.1500000000001</v>
      </c>
      <c r="I1187">
        <v>91.6</v>
      </c>
      <c r="J1187">
        <v>106.68</v>
      </c>
      <c r="Q1187"/>
    </row>
    <row r="1188" spans="1:17" x14ac:dyDescent="0.25">
      <c r="A1188">
        <v>5</v>
      </c>
      <c r="B1188">
        <v>2016</v>
      </c>
      <c r="C1188" t="s">
        <v>47</v>
      </c>
      <c r="D1188" t="s">
        <v>48</v>
      </c>
      <c r="E1188" t="s">
        <v>103</v>
      </c>
      <c r="F1188" t="s">
        <v>98</v>
      </c>
      <c r="G1188">
        <v>669.6</v>
      </c>
      <c r="H1188">
        <v>826.46</v>
      </c>
      <c r="I1188">
        <v>432</v>
      </c>
      <c r="J1188">
        <v>533.20000000000005</v>
      </c>
      <c r="Q1188"/>
    </row>
    <row r="1189" spans="1:17" x14ac:dyDescent="0.25">
      <c r="A1189">
        <v>5</v>
      </c>
      <c r="B1189">
        <v>2016</v>
      </c>
      <c r="C1189" t="s">
        <v>104</v>
      </c>
      <c r="D1189" t="s">
        <v>105</v>
      </c>
      <c r="E1189" t="s">
        <v>106</v>
      </c>
      <c r="F1189" t="s">
        <v>107</v>
      </c>
      <c r="G1189">
        <v>303.60000000000002</v>
      </c>
      <c r="H1189">
        <v>66</v>
      </c>
      <c r="I1189">
        <v>123</v>
      </c>
      <c r="J1189">
        <v>30</v>
      </c>
      <c r="Q1189"/>
    </row>
    <row r="1190" spans="1:17" x14ac:dyDescent="0.25">
      <c r="A1190">
        <v>5</v>
      </c>
      <c r="B1190">
        <v>2016</v>
      </c>
      <c r="C1190" t="s">
        <v>104</v>
      </c>
      <c r="D1190" t="s">
        <v>105</v>
      </c>
      <c r="E1190" t="s">
        <v>108</v>
      </c>
      <c r="F1190" t="s">
        <v>109</v>
      </c>
      <c r="G1190">
        <v>264</v>
      </c>
      <c r="H1190">
        <v>48</v>
      </c>
      <c r="I1190">
        <v>62.4</v>
      </c>
      <c r="J1190">
        <v>12</v>
      </c>
      <c r="Q1190"/>
    </row>
    <row r="1191" spans="1:17" x14ac:dyDescent="0.25">
      <c r="A1191">
        <v>5</v>
      </c>
      <c r="B1191">
        <v>2016</v>
      </c>
      <c r="C1191" t="s">
        <v>104</v>
      </c>
      <c r="D1191" t="s">
        <v>105</v>
      </c>
      <c r="E1191" t="s">
        <v>110</v>
      </c>
      <c r="F1191" t="s">
        <v>111</v>
      </c>
      <c r="G1191">
        <v>261</v>
      </c>
      <c r="H1191">
        <v>36</v>
      </c>
      <c r="I1191">
        <v>283.5</v>
      </c>
      <c r="J1191">
        <v>42</v>
      </c>
      <c r="Q1191"/>
    </row>
    <row r="1192" spans="1:17" x14ac:dyDescent="0.25">
      <c r="A1192">
        <v>5</v>
      </c>
      <c r="B1192">
        <v>2016</v>
      </c>
      <c r="C1192" t="s">
        <v>104</v>
      </c>
      <c r="D1192" t="s">
        <v>105</v>
      </c>
      <c r="E1192" t="s">
        <v>112</v>
      </c>
      <c r="F1192" t="s">
        <v>113</v>
      </c>
      <c r="G1192">
        <v>36.9</v>
      </c>
      <c r="H1192">
        <v>6</v>
      </c>
      <c r="I1192">
        <v>258.3</v>
      </c>
      <c r="J1192">
        <v>42</v>
      </c>
      <c r="Q1192"/>
    </row>
    <row r="1193" spans="1:17" x14ac:dyDescent="0.25">
      <c r="A1193">
        <v>5</v>
      </c>
      <c r="B1193">
        <v>2016</v>
      </c>
      <c r="C1193" t="s">
        <v>104</v>
      </c>
      <c r="D1193" t="s">
        <v>105</v>
      </c>
      <c r="E1193" t="s">
        <v>114</v>
      </c>
      <c r="F1193" t="s">
        <v>115</v>
      </c>
      <c r="G1193">
        <v>302.39999999999998</v>
      </c>
      <c r="H1193">
        <v>48</v>
      </c>
      <c r="I1193">
        <v>212.4</v>
      </c>
      <c r="J1193">
        <v>36</v>
      </c>
      <c r="Q1193"/>
    </row>
    <row r="1194" spans="1:17" x14ac:dyDescent="0.25">
      <c r="A1194">
        <v>5</v>
      </c>
      <c r="B1194">
        <v>2016</v>
      </c>
      <c r="C1194" t="s">
        <v>104</v>
      </c>
      <c r="D1194" t="s">
        <v>105</v>
      </c>
      <c r="E1194" t="s">
        <v>857</v>
      </c>
      <c r="F1194" t="s">
        <v>858</v>
      </c>
      <c r="G1194">
        <v>51.6</v>
      </c>
      <c r="H1194">
        <v>6</v>
      </c>
      <c r="Q1194"/>
    </row>
    <row r="1195" spans="1:17" x14ac:dyDescent="0.25">
      <c r="A1195">
        <v>5</v>
      </c>
      <c r="B1195">
        <v>2016</v>
      </c>
      <c r="C1195" t="s">
        <v>120</v>
      </c>
      <c r="D1195" t="s">
        <v>121</v>
      </c>
      <c r="E1195" t="s">
        <v>122</v>
      </c>
      <c r="F1195" t="s">
        <v>123</v>
      </c>
      <c r="G1195">
        <v>1556.1</v>
      </c>
      <c r="H1195">
        <v>390</v>
      </c>
      <c r="I1195">
        <v>3136.14</v>
      </c>
      <c r="J1195">
        <v>786</v>
      </c>
      <c r="Q1195"/>
    </row>
    <row r="1196" spans="1:17" x14ac:dyDescent="0.25">
      <c r="A1196">
        <v>5</v>
      </c>
      <c r="B1196">
        <v>2016</v>
      </c>
      <c r="C1196" t="s">
        <v>120</v>
      </c>
      <c r="D1196" t="s">
        <v>121</v>
      </c>
      <c r="E1196" t="s">
        <v>708</v>
      </c>
      <c r="F1196" t="s">
        <v>709</v>
      </c>
      <c r="G1196">
        <v>718.56</v>
      </c>
      <c r="H1196">
        <v>144</v>
      </c>
      <c r="I1196">
        <v>882</v>
      </c>
      <c r="J1196">
        <v>180</v>
      </c>
      <c r="Q1196"/>
    </row>
    <row r="1197" spans="1:17" x14ac:dyDescent="0.25">
      <c r="A1197">
        <v>5</v>
      </c>
      <c r="B1197">
        <v>2016</v>
      </c>
      <c r="C1197" t="s">
        <v>126</v>
      </c>
      <c r="D1197" t="s">
        <v>127</v>
      </c>
      <c r="E1197" t="s">
        <v>128</v>
      </c>
      <c r="F1197" t="s">
        <v>129</v>
      </c>
      <c r="G1197">
        <v>1851</v>
      </c>
      <c r="H1197">
        <v>828</v>
      </c>
      <c r="I1197">
        <v>5543.22</v>
      </c>
      <c r="J1197">
        <v>2514</v>
      </c>
      <c r="Q1197"/>
    </row>
    <row r="1198" spans="1:17" x14ac:dyDescent="0.25">
      <c r="A1198">
        <v>5</v>
      </c>
      <c r="B1198">
        <v>2016</v>
      </c>
      <c r="C1198" t="s">
        <v>126</v>
      </c>
      <c r="D1198" t="s">
        <v>127</v>
      </c>
      <c r="E1198" t="s">
        <v>710</v>
      </c>
      <c r="F1198" t="s">
        <v>129</v>
      </c>
      <c r="G1198">
        <v>17.52</v>
      </c>
      <c r="H1198">
        <v>6</v>
      </c>
      <c r="I1198">
        <v>63.94</v>
      </c>
      <c r="J1198">
        <v>24</v>
      </c>
      <c r="Q1198"/>
    </row>
    <row r="1199" spans="1:17" x14ac:dyDescent="0.25">
      <c r="A1199">
        <v>5</v>
      </c>
      <c r="B1199">
        <v>2016</v>
      </c>
      <c r="C1199" t="s">
        <v>126</v>
      </c>
      <c r="D1199" t="s">
        <v>127</v>
      </c>
      <c r="E1199" t="s">
        <v>130</v>
      </c>
      <c r="F1199" t="s">
        <v>131</v>
      </c>
      <c r="G1199">
        <v>297</v>
      </c>
      <c r="H1199">
        <v>199.95</v>
      </c>
      <c r="I1199">
        <v>424.6</v>
      </c>
      <c r="J1199">
        <v>293.26</v>
      </c>
      <c r="Q1199"/>
    </row>
    <row r="1200" spans="1:17" x14ac:dyDescent="0.25">
      <c r="A1200">
        <v>5</v>
      </c>
      <c r="B1200">
        <v>2016</v>
      </c>
      <c r="C1200" t="s">
        <v>126</v>
      </c>
      <c r="D1200" t="s">
        <v>127</v>
      </c>
      <c r="E1200" t="s">
        <v>132</v>
      </c>
      <c r="F1200" t="s">
        <v>131</v>
      </c>
      <c r="G1200">
        <v>358.4</v>
      </c>
      <c r="H1200">
        <v>220.10999999999999</v>
      </c>
      <c r="I1200">
        <v>462</v>
      </c>
      <c r="J1200">
        <v>286.81</v>
      </c>
      <c r="Q1200"/>
    </row>
    <row r="1201" spans="1:17" x14ac:dyDescent="0.25">
      <c r="A1201">
        <v>5</v>
      </c>
      <c r="B1201">
        <v>2016</v>
      </c>
      <c r="C1201" t="s">
        <v>126</v>
      </c>
      <c r="D1201" t="s">
        <v>127</v>
      </c>
      <c r="E1201" t="s">
        <v>133</v>
      </c>
      <c r="F1201" t="s">
        <v>134</v>
      </c>
      <c r="G1201">
        <v>81.599999999999994</v>
      </c>
      <c r="H1201">
        <v>30</v>
      </c>
      <c r="I1201">
        <v>243</v>
      </c>
      <c r="J1201">
        <v>90</v>
      </c>
      <c r="Q1201"/>
    </row>
    <row r="1202" spans="1:17" x14ac:dyDescent="0.25">
      <c r="A1202">
        <v>5</v>
      </c>
      <c r="B1202">
        <v>2016</v>
      </c>
      <c r="C1202" t="s">
        <v>126</v>
      </c>
      <c r="D1202" t="s">
        <v>127</v>
      </c>
      <c r="E1202" t="s">
        <v>135</v>
      </c>
      <c r="F1202" t="s">
        <v>136</v>
      </c>
      <c r="G1202">
        <v>85.1</v>
      </c>
      <c r="H1202">
        <v>42</v>
      </c>
      <c r="I1202">
        <v>94.5</v>
      </c>
      <c r="J1202">
        <v>42</v>
      </c>
      <c r="Q1202"/>
    </row>
    <row r="1203" spans="1:17" x14ac:dyDescent="0.25">
      <c r="A1203">
        <v>5</v>
      </c>
      <c r="B1203">
        <v>2016</v>
      </c>
      <c r="C1203" t="s">
        <v>137</v>
      </c>
      <c r="D1203" t="s">
        <v>138</v>
      </c>
      <c r="E1203" t="s">
        <v>139</v>
      </c>
      <c r="F1203" t="s">
        <v>140</v>
      </c>
      <c r="G1203">
        <v>774.06</v>
      </c>
      <c r="H1203">
        <v>114</v>
      </c>
      <c r="I1203">
        <v>814.8</v>
      </c>
      <c r="J1203">
        <v>120</v>
      </c>
      <c r="Q1203"/>
    </row>
    <row r="1204" spans="1:17" x14ac:dyDescent="0.25">
      <c r="A1204">
        <v>5</v>
      </c>
      <c r="B1204">
        <v>2016</v>
      </c>
      <c r="C1204" t="s">
        <v>137</v>
      </c>
      <c r="D1204" t="s">
        <v>138</v>
      </c>
      <c r="E1204" t="s">
        <v>711</v>
      </c>
      <c r="F1204" t="s">
        <v>712</v>
      </c>
      <c r="G1204">
        <v>413.1</v>
      </c>
      <c r="H1204">
        <v>54</v>
      </c>
      <c r="Q1204"/>
    </row>
    <row r="1205" spans="1:17" x14ac:dyDescent="0.25">
      <c r="A1205">
        <v>5</v>
      </c>
      <c r="B1205">
        <v>2016</v>
      </c>
      <c r="C1205" t="s">
        <v>137</v>
      </c>
      <c r="D1205" t="s">
        <v>138</v>
      </c>
      <c r="E1205" t="s">
        <v>141</v>
      </c>
      <c r="F1205" t="s">
        <v>142</v>
      </c>
      <c r="G1205">
        <v>266.39999999999998</v>
      </c>
      <c r="H1205">
        <v>48</v>
      </c>
      <c r="I1205">
        <v>299.7</v>
      </c>
      <c r="J1205">
        <v>54</v>
      </c>
      <c r="Q1205"/>
    </row>
    <row r="1206" spans="1:17" x14ac:dyDescent="0.25">
      <c r="A1206">
        <v>5</v>
      </c>
      <c r="B1206">
        <v>2016</v>
      </c>
      <c r="C1206" t="s">
        <v>137</v>
      </c>
      <c r="D1206" t="s">
        <v>138</v>
      </c>
      <c r="E1206" t="s">
        <v>143</v>
      </c>
      <c r="F1206" t="s">
        <v>144</v>
      </c>
      <c r="G1206">
        <v>174.6</v>
      </c>
      <c r="H1206">
        <v>36</v>
      </c>
      <c r="I1206">
        <v>232.8</v>
      </c>
      <c r="J1206">
        <v>48</v>
      </c>
      <c r="Q1206"/>
    </row>
    <row r="1207" spans="1:17" x14ac:dyDescent="0.25">
      <c r="A1207">
        <v>5</v>
      </c>
      <c r="B1207">
        <v>2016</v>
      </c>
      <c r="C1207" t="s">
        <v>137</v>
      </c>
      <c r="D1207" t="s">
        <v>138</v>
      </c>
      <c r="E1207" t="s">
        <v>145</v>
      </c>
      <c r="F1207" t="s">
        <v>146</v>
      </c>
      <c r="G1207">
        <v>160.86000000000001</v>
      </c>
      <c r="H1207">
        <v>42</v>
      </c>
      <c r="Q1207"/>
    </row>
    <row r="1208" spans="1:17" x14ac:dyDescent="0.25">
      <c r="A1208">
        <v>5</v>
      </c>
      <c r="B1208">
        <v>2016</v>
      </c>
      <c r="C1208" t="s">
        <v>137</v>
      </c>
      <c r="D1208" t="s">
        <v>138</v>
      </c>
      <c r="E1208" t="s">
        <v>713</v>
      </c>
      <c r="F1208" t="s">
        <v>714</v>
      </c>
      <c r="G1208">
        <v>29.16</v>
      </c>
      <c r="H1208">
        <v>12</v>
      </c>
      <c r="I1208">
        <v>145.80000000000001</v>
      </c>
      <c r="J1208">
        <v>60</v>
      </c>
      <c r="Q1208"/>
    </row>
    <row r="1209" spans="1:17" x14ac:dyDescent="0.25">
      <c r="A1209">
        <v>5</v>
      </c>
      <c r="B1209">
        <v>2016</v>
      </c>
      <c r="C1209" t="s">
        <v>137</v>
      </c>
      <c r="D1209" t="s">
        <v>138</v>
      </c>
      <c r="E1209" t="s">
        <v>147</v>
      </c>
      <c r="F1209" t="s">
        <v>148</v>
      </c>
      <c r="G1209">
        <v>642</v>
      </c>
      <c r="H1209">
        <v>60</v>
      </c>
      <c r="I1209">
        <v>1027.2</v>
      </c>
      <c r="J1209">
        <v>96</v>
      </c>
      <c r="Q1209"/>
    </row>
    <row r="1210" spans="1:17" x14ac:dyDescent="0.25">
      <c r="A1210">
        <v>5</v>
      </c>
      <c r="B1210">
        <v>2016</v>
      </c>
      <c r="C1210" t="s">
        <v>137</v>
      </c>
      <c r="D1210" t="s">
        <v>138</v>
      </c>
      <c r="E1210" t="s">
        <v>149</v>
      </c>
      <c r="F1210" t="s">
        <v>150</v>
      </c>
      <c r="G1210">
        <v>1203.8399999999999</v>
      </c>
      <c r="H1210">
        <v>396</v>
      </c>
      <c r="I1210">
        <v>5040.96</v>
      </c>
      <c r="J1210">
        <v>1854</v>
      </c>
      <c r="Q1210"/>
    </row>
    <row r="1211" spans="1:17" x14ac:dyDescent="0.25">
      <c r="A1211">
        <v>5</v>
      </c>
      <c r="B1211">
        <v>2016</v>
      </c>
      <c r="C1211" t="s">
        <v>137</v>
      </c>
      <c r="D1211" t="s">
        <v>138</v>
      </c>
      <c r="E1211" t="s">
        <v>151</v>
      </c>
      <c r="F1211" t="s">
        <v>152</v>
      </c>
      <c r="G1211">
        <v>399.6</v>
      </c>
      <c r="H1211">
        <v>72</v>
      </c>
      <c r="I1211">
        <v>300.77999999999997</v>
      </c>
      <c r="J1211">
        <v>54</v>
      </c>
      <c r="Q1211"/>
    </row>
    <row r="1212" spans="1:17" x14ac:dyDescent="0.25">
      <c r="A1212">
        <v>5</v>
      </c>
      <c r="B1212">
        <v>2016</v>
      </c>
      <c r="C1212" t="s">
        <v>137</v>
      </c>
      <c r="D1212" t="s">
        <v>138</v>
      </c>
      <c r="E1212" t="s">
        <v>153</v>
      </c>
      <c r="F1212" t="s">
        <v>154</v>
      </c>
      <c r="G1212">
        <v>298.08</v>
      </c>
      <c r="H1212">
        <v>72</v>
      </c>
      <c r="Q1212"/>
    </row>
    <row r="1213" spans="1:17" x14ac:dyDescent="0.25">
      <c r="A1213">
        <v>5</v>
      </c>
      <c r="B1213">
        <v>2016</v>
      </c>
      <c r="C1213" t="s">
        <v>155</v>
      </c>
      <c r="D1213" t="s">
        <v>156</v>
      </c>
      <c r="E1213" t="s">
        <v>157</v>
      </c>
      <c r="F1213" t="s">
        <v>158</v>
      </c>
      <c r="G1213">
        <v>819</v>
      </c>
      <c r="H1213">
        <v>252</v>
      </c>
      <c r="I1213">
        <v>526.5</v>
      </c>
      <c r="J1213">
        <v>162</v>
      </c>
      <c r="Q1213"/>
    </row>
    <row r="1214" spans="1:17" x14ac:dyDescent="0.25">
      <c r="A1214">
        <v>5</v>
      </c>
      <c r="B1214">
        <v>2016</v>
      </c>
      <c r="C1214" t="s">
        <v>155</v>
      </c>
      <c r="D1214" t="s">
        <v>156</v>
      </c>
      <c r="E1214" t="s">
        <v>159</v>
      </c>
      <c r="F1214" t="s">
        <v>160</v>
      </c>
      <c r="G1214">
        <v>33.6</v>
      </c>
      <c r="H1214">
        <v>12</v>
      </c>
      <c r="I1214">
        <v>168</v>
      </c>
      <c r="J1214">
        <v>60</v>
      </c>
      <c r="Q1214"/>
    </row>
    <row r="1215" spans="1:17" x14ac:dyDescent="0.25">
      <c r="A1215">
        <v>5</v>
      </c>
      <c r="B1215">
        <v>2016</v>
      </c>
      <c r="C1215" t="s">
        <v>155</v>
      </c>
      <c r="D1215" t="s">
        <v>156</v>
      </c>
      <c r="E1215" t="s">
        <v>715</v>
      </c>
      <c r="F1215" t="s">
        <v>716</v>
      </c>
      <c r="G1215">
        <v>48.6</v>
      </c>
      <c r="H1215">
        <v>12</v>
      </c>
      <c r="Q1215"/>
    </row>
    <row r="1216" spans="1:17" x14ac:dyDescent="0.25">
      <c r="A1216">
        <v>5</v>
      </c>
      <c r="B1216">
        <v>2016</v>
      </c>
      <c r="C1216" t="s">
        <v>155</v>
      </c>
      <c r="D1216" t="s">
        <v>156</v>
      </c>
      <c r="E1216" t="s">
        <v>161</v>
      </c>
      <c r="F1216" t="s">
        <v>162</v>
      </c>
      <c r="G1216">
        <v>729.6</v>
      </c>
      <c r="H1216">
        <v>426.56</v>
      </c>
      <c r="I1216">
        <v>90.4</v>
      </c>
      <c r="J1216">
        <v>53.32</v>
      </c>
      <c r="Q1216"/>
    </row>
    <row r="1217" spans="1:17" x14ac:dyDescent="0.25">
      <c r="A1217">
        <v>5</v>
      </c>
      <c r="B1217">
        <v>2016</v>
      </c>
      <c r="C1217" t="s">
        <v>155</v>
      </c>
      <c r="D1217" t="s">
        <v>156</v>
      </c>
      <c r="E1217" t="s">
        <v>163</v>
      </c>
      <c r="F1217" t="s">
        <v>164</v>
      </c>
      <c r="G1217">
        <v>580.5</v>
      </c>
      <c r="H1217">
        <v>280.14</v>
      </c>
      <c r="I1217">
        <v>266</v>
      </c>
      <c r="J1217">
        <v>133.4</v>
      </c>
      <c r="Q1217"/>
    </row>
    <row r="1218" spans="1:17" x14ac:dyDescent="0.25">
      <c r="A1218">
        <v>5</v>
      </c>
      <c r="B1218">
        <v>2016</v>
      </c>
      <c r="C1218" t="s">
        <v>155</v>
      </c>
      <c r="D1218" t="s">
        <v>156</v>
      </c>
      <c r="E1218" t="s">
        <v>165</v>
      </c>
      <c r="F1218" t="s">
        <v>166</v>
      </c>
      <c r="G1218">
        <v>292.02</v>
      </c>
      <c r="H1218">
        <v>66</v>
      </c>
      <c r="I1218">
        <v>53.4</v>
      </c>
      <c r="J1218">
        <v>12</v>
      </c>
      <c r="Q1218"/>
    </row>
    <row r="1219" spans="1:17" x14ac:dyDescent="0.25">
      <c r="A1219">
        <v>5</v>
      </c>
      <c r="B1219">
        <v>2016</v>
      </c>
      <c r="C1219" t="s">
        <v>167</v>
      </c>
      <c r="D1219" t="s">
        <v>168</v>
      </c>
      <c r="E1219" t="s">
        <v>169</v>
      </c>
      <c r="F1219" t="s">
        <v>170</v>
      </c>
      <c r="G1219">
        <v>14.76</v>
      </c>
      <c r="H1219">
        <v>6</v>
      </c>
      <c r="I1219">
        <v>117.6</v>
      </c>
      <c r="J1219">
        <v>48</v>
      </c>
      <c r="Q1219"/>
    </row>
    <row r="1220" spans="1:17" x14ac:dyDescent="0.25">
      <c r="A1220">
        <v>5</v>
      </c>
      <c r="B1220">
        <v>2016</v>
      </c>
      <c r="C1220" t="s">
        <v>167</v>
      </c>
      <c r="D1220" t="s">
        <v>168</v>
      </c>
      <c r="E1220" t="s">
        <v>800</v>
      </c>
      <c r="F1220" t="s">
        <v>801</v>
      </c>
      <c r="G1220">
        <v>373.68</v>
      </c>
      <c r="H1220">
        <v>216</v>
      </c>
      <c r="I1220">
        <v>61.38</v>
      </c>
      <c r="J1220">
        <v>36</v>
      </c>
      <c r="Q1220"/>
    </row>
    <row r="1221" spans="1:17" x14ac:dyDescent="0.25">
      <c r="A1221">
        <v>5</v>
      </c>
      <c r="B1221">
        <v>2016</v>
      </c>
      <c r="C1221" t="s">
        <v>167</v>
      </c>
      <c r="D1221" t="s">
        <v>168</v>
      </c>
      <c r="E1221" t="s">
        <v>173</v>
      </c>
      <c r="F1221" t="s">
        <v>174</v>
      </c>
      <c r="G1221">
        <v>14.4</v>
      </c>
      <c r="H1221">
        <v>6</v>
      </c>
      <c r="I1221">
        <v>186.42</v>
      </c>
      <c r="J1221">
        <v>78</v>
      </c>
      <c r="Q1221"/>
    </row>
    <row r="1222" spans="1:17" x14ac:dyDescent="0.25">
      <c r="A1222">
        <v>5</v>
      </c>
      <c r="B1222">
        <v>2016</v>
      </c>
      <c r="C1222" t="s">
        <v>919</v>
      </c>
      <c r="D1222" t="s">
        <v>920</v>
      </c>
      <c r="E1222" t="s">
        <v>921</v>
      </c>
      <c r="F1222" t="s">
        <v>922</v>
      </c>
      <c r="G1222">
        <v>874.8</v>
      </c>
      <c r="H1222">
        <v>180</v>
      </c>
      <c r="Q1222"/>
    </row>
    <row r="1223" spans="1:17" x14ac:dyDescent="0.25">
      <c r="A1223">
        <v>5</v>
      </c>
      <c r="B1223">
        <v>2016</v>
      </c>
      <c r="C1223" t="s">
        <v>919</v>
      </c>
      <c r="D1223" t="s">
        <v>920</v>
      </c>
      <c r="E1223" t="s">
        <v>923</v>
      </c>
      <c r="F1223" t="s">
        <v>922</v>
      </c>
      <c r="G1223">
        <v>204.48</v>
      </c>
      <c r="H1223">
        <v>36</v>
      </c>
      <c r="Q1223"/>
    </row>
    <row r="1224" spans="1:17" x14ac:dyDescent="0.25">
      <c r="A1224">
        <v>5</v>
      </c>
      <c r="B1224">
        <v>2016</v>
      </c>
      <c r="C1224" t="s">
        <v>919</v>
      </c>
      <c r="D1224" t="s">
        <v>920</v>
      </c>
      <c r="E1224" t="s">
        <v>924</v>
      </c>
      <c r="F1224" t="s">
        <v>925</v>
      </c>
      <c r="G1224">
        <v>155.52000000000001</v>
      </c>
      <c r="H1224">
        <v>36</v>
      </c>
      <c r="Q1224"/>
    </row>
    <row r="1225" spans="1:17" x14ac:dyDescent="0.25">
      <c r="A1225">
        <v>5</v>
      </c>
      <c r="B1225">
        <v>2016</v>
      </c>
      <c r="C1225" t="s">
        <v>919</v>
      </c>
      <c r="D1225" t="s">
        <v>920</v>
      </c>
      <c r="E1225" t="s">
        <v>926</v>
      </c>
      <c r="F1225" t="s">
        <v>927</v>
      </c>
      <c r="G1225">
        <v>631.79999999999995</v>
      </c>
      <c r="H1225">
        <v>180</v>
      </c>
      <c r="Q1225"/>
    </row>
    <row r="1226" spans="1:17" x14ac:dyDescent="0.25">
      <c r="A1226">
        <v>5</v>
      </c>
      <c r="B1226">
        <v>2016</v>
      </c>
      <c r="C1226" t="s">
        <v>919</v>
      </c>
      <c r="D1226" t="s">
        <v>920</v>
      </c>
      <c r="E1226" t="s">
        <v>928</v>
      </c>
      <c r="F1226" t="s">
        <v>929</v>
      </c>
      <c r="G1226">
        <v>756</v>
      </c>
      <c r="H1226">
        <v>90</v>
      </c>
      <c r="Q1226"/>
    </row>
    <row r="1227" spans="1:17" x14ac:dyDescent="0.25">
      <c r="A1227">
        <v>5</v>
      </c>
      <c r="B1227">
        <v>2016</v>
      </c>
      <c r="C1227" t="s">
        <v>919</v>
      </c>
      <c r="D1227" t="s">
        <v>920</v>
      </c>
      <c r="E1227" t="s">
        <v>930</v>
      </c>
      <c r="F1227" t="s">
        <v>929</v>
      </c>
      <c r="G1227">
        <v>221.28</v>
      </c>
      <c r="H1227">
        <v>24</v>
      </c>
      <c r="Q1227"/>
    </row>
    <row r="1228" spans="1:17" x14ac:dyDescent="0.25">
      <c r="A1228">
        <v>5</v>
      </c>
      <c r="B1228">
        <v>2016</v>
      </c>
      <c r="C1228" t="s">
        <v>919</v>
      </c>
      <c r="D1228" t="s">
        <v>920</v>
      </c>
      <c r="E1228" t="s">
        <v>931</v>
      </c>
      <c r="F1228" t="s">
        <v>932</v>
      </c>
      <c r="G1228">
        <v>140.4</v>
      </c>
      <c r="H1228">
        <v>30</v>
      </c>
      <c r="Q1228"/>
    </row>
    <row r="1229" spans="1:17" x14ac:dyDescent="0.25">
      <c r="A1229">
        <v>5</v>
      </c>
      <c r="B1229">
        <v>2016</v>
      </c>
      <c r="C1229" t="s">
        <v>919</v>
      </c>
      <c r="D1229" t="s">
        <v>920</v>
      </c>
      <c r="E1229" t="s">
        <v>933</v>
      </c>
      <c r="F1229" t="s">
        <v>932</v>
      </c>
      <c r="G1229">
        <v>66</v>
      </c>
      <c r="H1229">
        <v>12</v>
      </c>
      <c r="Q1229"/>
    </row>
    <row r="1230" spans="1:17" x14ac:dyDescent="0.25">
      <c r="A1230">
        <v>5</v>
      </c>
      <c r="B1230">
        <v>2016</v>
      </c>
      <c r="C1230" t="s">
        <v>175</v>
      </c>
      <c r="D1230" t="s">
        <v>176</v>
      </c>
      <c r="E1230" t="s">
        <v>177</v>
      </c>
      <c r="F1230" t="s">
        <v>178</v>
      </c>
      <c r="G1230">
        <v>2673.96</v>
      </c>
      <c r="H1230">
        <v>678</v>
      </c>
      <c r="I1230">
        <v>4680</v>
      </c>
      <c r="J1230">
        <v>1170</v>
      </c>
      <c r="Q1230"/>
    </row>
    <row r="1231" spans="1:17" x14ac:dyDescent="0.25">
      <c r="A1231">
        <v>5</v>
      </c>
      <c r="B1231">
        <v>2016</v>
      </c>
      <c r="C1231" t="s">
        <v>175</v>
      </c>
      <c r="D1231" t="s">
        <v>176</v>
      </c>
      <c r="E1231" t="s">
        <v>179</v>
      </c>
      <c r="F1231" t="s">
        <v>178</v>
      </c>
      <c r="G1231">
        <v>362.28</v>
      </c>
      <c r="H1231">
        <v>78</v>
      </c>
      <c r="I1231">
        <v>540</v>
      </c>
      <c r="J1231">
        <v>108</v>
      </c>
      <c r="Q1231"/>
    </row>
    <row r="1232" spans="1:17" x14ac:dyDescent="0.25">
      <c r="A1232">
        <v>5</v>
      </c>
      <c r="B1232">
        <v>2016</v>
      </c>
      <c r="C1232" t="s">
        <v>175</v>
      </c>
      <c r="D1232" t="s">
        <v>176</v>
      </c>
      <c r="E1232" t="s">
        <v>180</v>
      </c>
      <c r="F1232" t="s">
        <v>181</v>
      </c>
      <c r="G1232">
        <v>218.4</v>
      </c>
      <c r="H1232">
        <v>60</v>
      </c>
      <c r="I1232">
        <v>406.98</v>
      </c>
      <c r="J1232">
        <v>114</v>
      </c>
      <c r="Q1232"/>
    </row>
    <row r="1233" spans="1:17" x14ac:dyDescent="0.25">
      <c r="A1233">
        <v>5</v>
      </c>
      <c r="B1233">
        <v>2016</v>
      </c>
      <c r="C1233" t="s">
        <v>183</v>
      </c>
      <c r="D1233" t="s">
        <v>184</v>
      </c>
      <c r="E1233" t="s">
        <v>185</v>
      </c>
      <c r="F1233" t="s">
        <v>186</v>
      </c>
      <c r="G1233">
        <v>849.6</v>
      </c>
      <c r="H1233">
        <v>288</v>
      </c>
      <c r="I1233">
        <v>386.4</v>
      </c>
      <c r="J1233">
        <v>138</v>
      </c>
      <c r="Q1233"/>
    </row>
    <row r="1234" spans="1:17" x14ac:dyDescent="0.25">
      <c r="A1234">
        <v>5</v>
      </c>
      <c r="B1234">
        <v>2016</v>
      </c>
      <c r="C1234" t="s">
        <v>183</v>
      </c>
      <c r="D1234" t="s">
        <v>184</v>
      </c>
      <c r="E1234" t="s">
        <v>802</v>
      </c>
      <c r="F1234" t="s">
        <v>803</v>
      </c>
      <c r="G1234">
        <v>212.4</v>
      </c>
      <c r="H1234">
        <v>72</v>
      </c>
      <c r="Q1234"/>
    </row>
    <row r="1235" spans="1:17" x14ac:dyDescent="0.25">
      <c r="A1235">
        <v>5</v>
      </c>
      <c r="B1235">
        <v>2016</v>
      </c>
      <c r="C1235" t="s">
        <v>183</v>
      </c>
      <c r="D1235" t="s">
        <v>184</v>
      </c>
      <c r="E1235" t="s">
        <v>717</v>
      </c>
      <c r="F1235" t="s">
        <v>718</v>
      </c>
      <c r="G1235">
        <v>101.2</v>
      </c>
      <c r="H1235">
        <v>106.64</v>
      </c>
      <c r="Q1235"/>
    </row>
    <row r="1236" spans="1:17" x14ac:dyDescent="0.25">
      <c r="A1236">
        <v>5</v>
      </c>
      <c r="B1236">
        <v>2016</v>
      </c>
      <c r="C1236" t="s">
        <v>183</v>
      </c>
      <c r="D1236" t="s">
        <v>184</v>
      </c>
      <c r="E1236" t="s">
        <v>187</v>
      </c>
      <c r="F1236" t="s">
        <v>188</v>
      </c>
      <c r="G1236">
        <v>36.75</v>
      </c>
      <c r="H1236">
        <v>33.35</v>
      </c>
      <c r="I1236">
        <v>72</v>
      </c>
      <c r="J1236">
        <v>73.37</v>
      </c>
      <c r="Q1236"/>
    </row>
    <row r="1237" spans="1:17" x14ac:dyDescent="0.25">
      <c r="A1237">
        <v>5</v>
      </c>
      <c r="B1237">
        <v>2016</v>
      </c>
      <c r="C1237" t="s">
        <v>189</v>
      </c>
      <c r="D1237" t="s">
        <v>190</v>
      </c>
      <c r="E1237" t="s">
        <v>191</v>
      </c>
      <c r="F1237" t="s">
        <v>192</v>
      </c>
      <c r="G1237">
        <v>319.2</v>
      </c>
      <c r="H1237">
        <v>84</v>
      </c>
      <c r="I1237">
        <v>355.2</v>
      </c>
      <c r="J1237">
        <v>96</v>
      </c>
      <c r="Q1237"/>
    </row>
    <row r="1238" spans="1:17" x14ac:dyDescent="0.25">
      <c r="A1238">
        <v>5</v>
      </c>
      <c r="B1238">
        <v>2016</v>
      </c>
      <c r="C1238" t="s">
        <v>189</v>
      </c>
      <c r="D1238" t="s">
        <v>190</v>
      </c>
      <c r="E1238" t="s">
        <v>871</v>
      </c>
      <c r="F1238" t="s">
        <v>872</v>
      </c>
      <c r="G1238">
        <v>0</v>
      </c>
      <c r="H1238">
        <v>6</v>
      </c>
      <c r="Q1238"/>
    </row>
    <row r="1239" spans="1:17" x14ac:dyDescent="0.25">
      <c r="A1239">
        <v>5</v>
      </c>
      <c r="B1239">
        <v>2016</v>
      </c>
      <c r="C1239" t="s">
        <v>189</v>
      </c>
      <c r="D1239" t="s">
        <v>190</v>
      </c>
      <c r="E1239" t="s">
        <v>193</v>
      </c>
      <c r="F1239" t="s">
        <v>194</v>
      </c>
      <c r="G1239">
        <v>57</v>
      </c>
      <c r="H1239">
        <v>12</v>
      </c>
      <c r="I1239">
        <v>245.7</v>
      </c>
      <c r="J1239">
        <v>54</v>
      </c>
      <c r="Q1239"/>
    </row>
    <row r="1240" spans="1:17" x14ac:dyDescent="0.25">
      <c r="A1240">
        <v>5</v>
      </c>
      <c r="B1240">
        <v>2016</v>
      </c>
      <c r="C1240" t="s">
        <v>195</v>
      </c>
      <c r="D1240" t="s">
        <v>196</v>
      </c>
      <c r="E1240" t="s">
        <v>197</v>
      </c>
      <c r="F1240" t="s">
        <v>198</v>
      </c>
      <c r="G1240">
        <v>0</v>
      </c>
      <c r="H1240">
        <v>6.67</v>
      </c>
      <c r="I1240">
        <v>76.2</v>
      </c>
      <c r="J1240">
        <v>26.68</v>
      </c>
      <c r="Q1240"/>
    </row>
    <row r="1241" spans="1:17" x14ac:dyDescent="0.25">
      <c r="A1241">
        <v>5</v>
      </c>
      <c r="B1241">
        <v>2016</v>
      </c>
      <c r="C1241" t="s">
        <v>195</v>
      </c>
      <c r="D1241" t="s">
        <v>196</v>
      </c>
      <c r="E1241" t="s">
        <v>719</v>
      </c>
      <c r="F1241" t="s">
        <v>720</v>
      </c>
      <c r="G1241">
        <v>226.56</v>
      </c>
      <c r="H1241">
        <v>48</v>
      </c>
      <c r="I1241">
        <v>106.56</v>
      </c>
      <c r="J1241">
        <v>24</v>
      </c>
      <c r="Q1241"/>
    </row>
    <row r="1242" spans="1:17" x14ac:dyDescent="0.25">
      <c r="A1242">
        <v>5</v>
      </c>
      <c r="B1242">
        <v>2016</v>
      </c>
      <c r="C1242" t="s">
        <v>195</v>
      </c>
      <c r="D1242" t="s">
        <v>196</v>
      </c>
      <c r="E1242" t="s">
        <v>199</v>
      </c>
      <c r="F1242" t="s">
        <v>200</v>
      </c>
      <c r="G1242">
        <v>147</v>
      </c>
      <c r="H1242">
        <v>42</v>
      </c>
      <c r="I1242">
        <v>210</v>
      </c>
      <c r="J1242">
        <v>60</v>
      </c>
      <c r="Q1242"/>
    </row>
    <row r="1243" spans="1:17" x14ac:dyDescent="0.25">
      <c r="A1243">
        <v>5</v>
      </c>
      <c r="B1243">
        <v>2016</v>
      </c>
      <c r="C1243" t="s">
        <v>195</v>
      </c>
      <c r="D1243" t="s">
        <v>196</v>
      </c>
      <c r="E1243" t="s">
        <v>201</v>
      </c>
      <c r="F1243" t="s">
        <v>202</v>
      </c>
      <c r="G1243">
        <v>1016.82</v>
      </c>
      <c r="H1243">
        <v>438</v>
      </c>
      <c r="I1243">
        <v>689.52</v>
      </c>
      <c r="J1243">
        <v>312</v>
      </c>
      <c r="Q1243"/>
    </row>
    <row r="1244" spans="1:17" x14ac:dyDescent="0.25">
      <c r="A1244">
        <v>5</v>
      </c>
      <c r="B1244">
        <v>2016</v>
      </c>
      <c r="C1244" t="s">
        <v>195</v>
      </c>
      <c r="D1244" t="s">
        <v>196</v>
      </c>
      <c r="E1244" t="s">
        <v>203</v>
      </c>
      <c r="F1244" t="s">
        <v>204</v>
      </c>
      <c r="G1244">
        <v>358.32</v>
      </c>
      <c r="H1244">
        <v>72</v>
      </c>
      <c r="I1244">
        <v>679.68</v>
      </c>
      <c r="J1244">
        <v>144</v>
      </c>
      <c r="Q1244"/>
    </row>
    <row r="1245" spans="1:17" x14ac:dyDescent="0.25">
      <c r="A1245">
        <v>5</v>
      </c>
      <c r="B1245">
        <v>2016</v>
      </c>
      <c r="C1245" t="s">
        <v>195</v>
      </c>
      <c r="D1245" t="s">
        <v>196</v>
      </c>
      <c r="E1245" t="s">
        <v>205</v>
      </c>
      <c r="F1245" t="s">
        <v>206</v>
      </c>
      <c r="G1245">
        <v>90.72</v>
      </c>
      <c r="H1245">
        <v>30</v>
      </c>
      <c r="I1245">
        <v>108.3</v>
      </c>
      <c r="J1245">
        <v>30</v>
      </c>
      <c r="Q1245"/>
    </row>
    <row r="1246" spans="1:17" x14ac:dyDescent="0.25">
      <c r="A1246">
        <v>5</v>
      </c>
      <c r="B1246">
        <v>2016</v>
      </c>
      <c r="C1246" t="s">
        <v>207</v>
      </c>
      <c r="D1246" t="s">
        <v>208</v>
      </c>
      <c r="E1246" t="s">
        <v>934</v>
      </c>
      <c r="F1246" t="s">
        <v>935</v>
      </c>
      <c r="G1246">
        <v>102.6</v>
      </c>
      <c r="H1246">
        <v>18</v>
      </c>
      <c r="I1246">
        <v>342</v>
      </c>
      <c r="J1246">
        <v>60</v>
      </c>
      <c r="Q1246"/>
    </row>
    <row r="1247" spans="1:17" x14ac:dyDescent="0.25">
      <c r="A1247">
        <v>5</v>
      </c>
      <c r="B1247">
        <v>2016</v>
      </c>
      <c r="C1247" t="s">
        <v>207</v>
      </c>
      <c r="D1247" t="s">
        <v>208</v>
      </c>
      <c r="E1247" t="s">
        <v>209</v>
      </c>
      <c r="F1247" t="s">
        <v>210</v>
      </c>
      <c r="G1247">
        <v>1795.8</v>
      </c>
      <c r="H1247">
        <v>498</v>
      </c>
      <c r="I1247">
        <v>2224.8000000000002</v>
      </c>
      <c r="J1247">
        <v>630</v>
      </c>
      <c r="Q1247"/>
    </row>
    <row r="1248" spans="1:17" x14ac:dyDescent="0.25">
      <c r="A1248">
        <v>5</v>
      </c>
      <c r="B1248">
        <v>2016</v>
      </c>
      <c r="C1248" t="s">
        <v>207</v>
      </c>
      <c r="D1248" t="s">
        <v>208</v>
      </c>
      <c r="E1248" t="s">
        <v>211</v>
      </c>
      <c r="F1248" t="s">
        <v>212</v>
      </c>
      <c r="G1248">
        <v>662.4</v>
      </c>
      <c r="H1248">
        <v>320.15999999999997</v>
      </c>
      <c r="I1248">
        <v>762.7</v>
      </c>
      <c r="J1248">
        <v>393.53</v>
      </c>
      <c r="Q1248"/>
    </row>
    <row r="1249" spans="1:17" x14ac:dyDescent="0.25">
      <c r="A1249">
        <v>5</v>
      </c>
      <c r="B1249">
        <v>2016</v>
      </c>
      <c r="C1249" t="s">
        <v>207</v>
      </c>
      <c r="D1249" t="s">
        <v>208</v>
      </c>
      <c r="E1249" t="s">
        <v>213</v>
      </c>
      <c r="F1249" t="s">
        <v>212</v>
      </c>
      <c r="G1249">
        <v>211.6</v>
      </c>
      <c r="H1249">
        <v>93.31</v>
      </c>
      <c r="I1249">
        <v>277.2</v>
      </c>
      <c r="J1249">
        <v>146.63</v>
      </c>
      <c r="Q1249"/>
    </row>
    <row r="1250" spans="1:17" x14ac:dyDescent="0.25">
      <c r="A1250">
        <v>5</v>
      </c>
      <c r="B1250">
        <v>2016</v>
      </c>
      <c r="C1250" t="s">
        <v>207</v>
      </c>
      <c r="D1250" t="s">
        <v>208</v>
      </c>
      <c r="E1250" t="s">
        <v>721</v>
      </c>
      <c r="F1250" t="s">
        <v>722</v>
      </c>
      <c r="G1250">
        <v>46.8</v>
      </c>
      <c r="H1250">
        <v>6</v>
      </c>
      <c r="I1250">
        <v>30.78</v>
      </c>
      <c r="J1250">
        <v>6</v>
      </c>
      <c r="Q1250"/>
    </row>
    <row r="1251" spans="1:17" x14ac:dyDescent="0.25">
      <c r="A1251">
        <v>5</v>
      </c>
      <c r="B1251">
        <v>2016</v>
      </c>
      <c r="C1251" t="s">
        <v>207</v>
      </c>
      <c r="D1251" t="s">
        <v>208</v>
      </c>
      <c r="E1251" t="s">
        <v>214</v>
      </c>
      <c r="F1251" t="s">
        <v>215</v>
      </c>
      <c r="G1251">
        <v>54</v>
      </c>
      <c r="H1251">
        <v>12</v>
      </c>
      <c r="I1251">
        <v>81</v>
      </c>
      <c r="J1251">
        <v>18</v>
      </c>
      <c r="Q1251"/>
    </row>
    <row r="1252" spans="1:17" x14ac:dyDescent="0.25">
      <c r="A1252">
        <v>5</v>
      </c>
      <c r="B1252">
        <v>2016</v>
      </c>
      <c r="C1252" t="s">
        <v>207</v>
      </c>
      <c r="D1252" t="s">
        <v>208</v>
      </c>
      <c r="E1252" t="s">
        <v>216</v>
      </c>
      <c r="F1252" t="s">
        <v>215</v>
      </c>
      <c r="G1252">
        <v>48.9</v>
      </c>
      <c r="H1252">
        <v>12</v>
      </c>
      <c r="Q1252"/>
    </row>
    <row r="1253" spans="1:17" x14ac:dyDescent="0.25">
      <c r="A1253">
        <v>5</v>
      </c>
      <c r="B1253">
        <v>2016</v>
      </c>
      <c r="C1253" t="s">
        <v>207</v>
      </c>
      <c r="D1253" t="s">
        <v>208</v>
      </c>
      <c r="E1253" t="s">
        <v>217</v>
      </c>
      <c r="F1253" t="s">
        <v>218</v>
      </c>
      <c r="G1253">
        <v>367.2</v>
      </c>
      <c r="H1253">
        <v>72</v>
      </c>
      <c r="I1253">
        <v>178.2</v>
      </c>
      <c r="J1253">
        <v>36</v>
      </c>
      <c r="Q1253"/>
    </row>
    <row r="1254" spans="1:17" x14ac:dyDescent="0.25">
      <c r="A1254">
        <v>5</v>
      </c>
      <c r="B1254">
        <v>2016</v>
      </c>
      <c r="C1254" t="s">
        <v>207</v>
      </c>
      <c r="D1254" t="s">
        <v>208</v>
      </c>
      <c r="E1254" t="s">
        <v>804</v>
      </c>
      <c r="F1254" t="s">
        <v>805</v>
      </c>
      <c r="G1254">
        <v>98.4</v>
      </c>
      <c r="H1254">
        <v>12</v>
      </c>
      <c r="Q1254"/>
    </row>
    <row r="1255" spans="1:17" x14ac:dyDescent="0.25">
      <c r="A1255">
        <v>5</v>
      </c>
      <c r="B1255">
        <v>2016</v>
      </c>
      <c r="C1255" t="s">
        <v>219</v>
      </c>
      <c r="D1255" t="s">
        <v>220</v>
      </c>
      <c r="E1255" t="s">
        <v>221</v>
      </c>
      <c r="F1255" t="s">
        <v>222</v>
      </c>
      <c r="G1255">
        <v>344.4</v>
      </c>
      <c r="H1255">
        <v>24</v>
      </c>
      <c r="I1255">
        <v>168</v>
      </c>
      <c r="J1255">
        <v>12</v>
      </c>
      <c r="Q1255"/>
    </row>
    <row r="1256" spans="1:17" x14ac:dyDescent="0.25">
      <c r="A1256">
        <v>5</v>
      </c>
      <c r="B1256">
        <v>2016</v>
      </c>
      <c r="C1256" t="s">
        <v>219</v>
      </c>
      <c r="D1256" t="s">
        <v>220</v>
      </c>
      <c r="E1256" t="s">
        <v>936</v>
      </c>
      <c r="F1256" t="s">
        <v>222</v>
      </c>
      <c r="G1256">
        <v>159</v>
      </c>
      <c r="H1256">
        <v>12</v>
      </c>
      <c r="Q1256"/>
    </row>
    <row r="1257" spans="1:17" x14ac:dyDescent="0.25">
      <c r="A1257">
        <v>5</v>
      </c>
      <c r="B1257">
        <v>2016</v>
      </c>
      <c r="C1257" t="s">
        <v>219</v>
      </c>
      <c r="D1257" t="s">
        <v>220</v>
      </c>
      <c r="E1257" t="s">
        <v>225</v>
      </c>
      <c r="F1257" t="s">
        <v>226</v>
      </c>
      <c r="G1257">
        <v>705.6</v>
      </c>
      <c r="H1257">
        <v>84</v>
      </c>
      <c r="I1257">
        <v>180.6</v>
      </c>
      <c r="J1257">
        <v>42</v>
      </c>
      <c r="Q1257"/>
    </row>
    <row r="1258" spans="1:17" x14ac:dyDescent="0.25">
      <c r="A1258">
        <v>5</v>
      </c>
      <c r="B1258">
        <v>2016</v>
      </c>
      <c r="C1258" t="s">
        <v>227</v>
      </c>
      <c r="D1258" t="s">
        <v>228</v>
      </c>
      <c r="E1258" t="s">
        <v>229</v>
      </c>
      <c r="F1258" t="s">
        <v>230</v>
      </c>
      <c r="G1258">
        <v>613.79999999999995</v>
      </c>
      <c r="H1258">
        <v>82664.600000000006</v>
      </c>
      <c r="I1258">
        <v>576</v>
      </c>
      <c r="J1258">
        <v>79998.000000000015</v>
      </c>
      <c r="Q1258"/>
    </row>
    <row r="1259" spans="1:17" x14ac:dyDescent="0.25">
      <c r="A1259">
        <v>5</v>
      </c>
      <c r="B1259">
        <v>2016</v>
      </c>
      <c r="C1259" t="s">
        <v>231</v>
      </c>
      <c r="D1259" t="s">
        <v>232</v>
      </c>
      <c r="E1259" t="s">
        <v>233</v>
      </c>
      <c r="F1259" t="s">
        <v>234</v>
      </c>
      <c r="G1259">
        <v>108</v>
      </c>
      <c r="H1259">
        <v>24</v>
      </c>
      <c r="I1259">
        <v>639.6</v>
      </c>
      <c r="J1259">
        <v>162</v>
      </c>
      <c r="Q1259"/>
    </row>
    <row r="1260" spans="1:17" x14ac:dyDescent="0.25">
      <c r="A1260">
        <v>5</v>
      </c>
      <c r="B1260">
        <v>2016</v>
      </c>
      <c r="C1260" t="s">
        <v>231</v>
      </c>
      <c r="D1260" t="s">
        <v>232</v>
      </c>
      <c r="E1260" t="s">
        <v>235</v>
      </c>
      <c r="F1260" t="s">
        <v>236</v>
      </c>
      <c r="G1260">
        <v>331.2</v>
      </c>
      <c r="H1260">
        <v>48</v>
      </c>
      <c r="I1260">
        <v>537.6</v>
      </c>
      <c r="J1260">
        <v>84</v>
      </c>
      <c r="Q1260"/>
    </row>
    <row r="1261" spans="1:17" x14ac:dyDescent="0.25">
      <c r="A1261">
        <v>5</v>
      </c>
      <c r="B1261">
        <v>2016</v>
      </c>
      <c r="C1261" t="s">
        <v>231</v>
      </c>
      <c r="D1261" t="s">
        <v>232</v>
      </c>
      <c r="E1261" t="s">
        <v>237</v>
      </c>
      <c r="F1261" t="s">
        <v>238</v>
      </c>
      <c r="G1261">
        <v>216</v>
      </c>
      <c r="H1261">
        <v>54</v>
      </c>
      <c r="I1261">
        <v>252</v>
      </c>
      <c r="J1261">
        <v>66</v>
      </c>
      <c r="Q1261"/>
    </row>
    <row r="1262" spans="1:17" x14ac:dyDescent="0.25">
      <c r="A1262">
        <v>5</v>
      </c>
      <c r="B1262">
        <v>2016</v>
      </c>
      <c r="C1262" t="s">
        <v>231</v>
      </c>
      <c r="D1262" t="s">
        <v>232</v>
      </c>
      <c r="E1262" t="s">
        <v>239</v>
      </c>
      <c r="F1262" t="s">
        <v>240</v>
      </c>
      <c r="G1262">
        <v>135</v>
      </c>
      <c r="H1262">
        <v>18</v>
      </c>
      <c r="I1262">
        <v>1302</v>
      </c>
      <c r="J1262">
        <v>186</v>
      </c>
      <c r="Q1262"/>
    </row>
    <row r="1263" spans="1:17" x14ac:dyDescent="0.25">
      <c r="A1263">
        <v>5</v>
      </c>
      <c r="B1263">
        <v>2016</v>
      </c>
      <c r="C1263" t="s">
        <v>231</v>
      </c>
      <c r="D1263" t="s">
        <v>232</v>
      </c>
      <c r="E1263" t="s">
        <v>727</v>
      </c>
      <c r="F1263" t="s">
        <v>728</v>
      </c>
      <c r="G1263">
        <v>72</v>
      </c>
      <c r="H1263">
        <v>12</v>
      </c>
      <c r="I1263">
        <v>348</v>
      </c>
      <c r="J1263">
        <v>60</v>
      </c>
      <c r="Q1263"/>
    </row>
    <row r="1264" spans="1:17" x14ac:dyDescent="0.25">
      <c r="A1264">
        <v>5</v>
      </c>
      <c r="B1264">
        <v>2016</v>
      </c>
      <c r="C1264" t="s">
        <v>241</v>
      </c>
      <c r="D1264" t="s">
        <v>242</v>
      </c>
      <c r="E1264" t="s">
        <v>243</v>
      </c>
      <c r="F1264" t="s">
        <v>244</v>
      </c>
      <c r="G1264">
        <v>1310.4000000000001</v>
      </c>
      <c r="H1264">
        <v>234</v>
      </c>
      <c r="I1264">
        <v>957</v>
      </c>
      <c r="J1264">
        <v>174</v>
      </c>
      <c r="Q1264"/>
    </row>
    <row r="1265" spans="1:17" x14ac:dyDescent="0.25">
      <c r="A1265">
        <v>5</v>
      </c>
      <c r="B1265">
        <v>2016</v>
      </c>
      <c r="C1265" t="s">
        <v>241</v>
      </c>
      <c r="D1265" t="s">
        <v>242</v>
      </c>
      <c r="E1265" t="s">
        <v>806</v>
      </c>
      <c r="F1265" t="s">
        <v>807</v>
      </c>
      <c r="G1265">
        <v>72</v>
      </c>
      <c r="H1265">
        <v>12</v>
      </c>
      <c r="Q1265"/>
    </row>
    <row r="1266" spans="1:17" x14ac:dyDescent="0.25">
      <c r="A1266">
        <v>5</v>
      </c>
      <c r="B1266">
        <v>2016</v>
      </c>
      <c r="C1266" t="s">
        <v>245</v>
      </c>
      <c r="D1266" t="s">
        <v>246</v>
      </c>
      <c r="E1266" t="s">
        <v>247</v>
      </c>
      <c r="F1266" t="s">
        <v>248</v>
      </c>
      <c r="G1266">
        <v>140.69999999999999</v>
      </c>
      <c r="H1266">
        <v>48</v>
      </c>
      <c r="I1266">
        <v>712.8</v>
      </c>
      <c r="J1266">
        <v>216</v>
      </c>
      <c r="Q1266"/>
    </row>
    <row r="1267" spans="1:17" x14ac:dyDescent="0.25">
      <c r="A1267">
        <v>5</v>
      </c>
      <c r="B1267">
        <v>2016</v>
      </c>
      <c r="C1267" t="s">
        <v>245</v>
      </c>
      <c r="D1267" t="s">
        <v>246</v>
      </c>
      <c r="E1267" t="s">
        <v>729</v>
      </c>
      <c r="F1267" t="s">
        <v>730</v>
      </c>
      <c r="G1267">
        <v>27</v>
      </c>
      <c r="H1267">
        <v>12</v>
      </c>
      <c r="I1267">
        <v>108</v>
      </c>
      <c r="J1267">
        <v>54</v>
      </c>
      <c r="Q1267"/>
    </row>
    <row r="1268" spans="1:17" x14ac:dyDescent="0.25">
      <c r="A1268">
        <v>5</v>
      </c>
      <c r="B1268">
        <v>2016</v>
      </c>
      <c r="C1268" t="s">
        <v>245</v>
      </c>
      <c r="D1268" t="s">
        <v>246</v>
      </c>
      <c r="E1268" t="s">
        <v>249</v>
      </c>
      <c r="F1268" t="s">
        <v>250</v>
      </c>
      <c r="G1268">
        <v>469.8</v>
      </c>
      <c r="H1268">
        <v>162</v>
      </c>
      <c r="I1268">
        <v>735.3</v>
      </c>
      <c r="J1268">
        <v>258</v>
      </c>
      <c r="Q1268"/>
    </row>
    <row r="1269" spans="1:17" x14ac:dyDescent="0.25">
      <c r="A1269">
        <v>5</v>
      </c>
      <c r="B1269">
        <v>2016</v>
      </c>
      <c r="C1269" t="s">
        <v>245</v>
      </c>
      <c r="D1269" t="s">
        <v>246</v>
      </c>
      <c r="E1269" t="s">
        <v>251</v>
      </c>
      <c r="F1269" t="s">
        <v>250</v>
      </c>
      <c r="G1269">
        <v>66.599999999999994</v>
      </c>
      <c r="H1269">
        <v>18</v>
      </c>
      <c r="Q1269"/>
    </row>
    <row r="1270" spans="1:17" x14ac:dyDescent="0.25">
      <c r="A1270">
        <v>5</v>
      </c>
      <c r="B1270">
        <v>2016</v>
      </c>
      <c r="C1270" t="s">
        <v>245</v>
      </c>
      <c r="D1270" t="s">
        <v>246</v>
      </c>
      <c r="E1270" t="s">
        <v>252</v>
      </c>
      <c r="F1270" t="s">
        <v>253</v>
      </c>
      <c r="G1270">
        <v>715.5</v>
      </c>
      <c r="H1270">
        <v>318</v>
      </c>
      <c r="I1270">
        <v>933.3</v>
      </c>
      <c r="J1270">
        <v>426</v>
      </c>
      <c r="Q1270"/>
    </row>
    <row r="1271" spans="1:17" x14ac:dyDescent="0.25">
      <c r="A1271">
        <v>5</v>
      </c>
      <c r="B1271">
        <v>2016</v>
      </c>
      <c r="C1271" t="s">
        <v>245</v>
      </c>
      <c r="D1271" t="s">
        <v>246</v>
      </c>
      <c r="E1271" t="s">
        <v>809</v>
      </c>
      <c r="F1271" t="s">
        <v>253</v>
      </c>
      <c r="G1271">
        <v>19.8</v>
      </c>
      <c r="H1271">
        <v>0</v>
      </c>
      <c r="Q1271"/>
    </row>
    <row r="1272" spans="1:17" x14ac:dyDescent="0.25">
      <c r="A1272">
        <v>5</v>
      </c>
      <c r="B1272">
        <v>2016</v>
      </c>
      <c r="C1272" t="s">
        <v>245</v>
      </c>
      <c r="D1272" t="s">
        <v>246</v>
      </c>
      <c r="E1272" t="s">
        <v>731</v>
      </c>
      <c r="F1272" t="s">
        <v>248</v>
      </c>
      <c r="G1272">
        <v>0</v>
      </c>
      <c r="H1272">
        <v>0</v>
      </c>
      <c r="I1272">
        <v>81</v>
      </c>
      <c r="J1272">
        <v>24</v>
      </c>
      <c r="Q1272"/>
    </row>
    <row r="1273" spans="1:17" x14ac:dyDescent="0.25">
      <c r="A1273">
        <v>5</v>
      </c>
      <c r="B1273">
        <v>2016</v>
      </c>
      <c r="C1273" t="s">
        <v>254</v>
      </c>
      <c r="D1273" t="s">
        <v>255</v>
      </c>
      <c r="E1273" t="s">
        <v>256</v>
      </c>
      <c r="F1273" t="s">
        <v>257</v>
      </c>
      <c r="G1273">
        <v>1423.5</v>
      </c>
      <c r="H1273">
        <v>438</v>
      </c>
      <c r="I1273">
        <v>1939.2</v>
      </c>
      <c r="J1273">
        <v>606</v>
      </c>
      <c r="Q1273"/>
    </row>
    <row r="1274" spans="1:17" x14ac:dyDescent="0.25">
      <c r="A1274">
        <v>5</v>
      </c>
      <c r="B1274">
        <v>2016</v>
      </c>
      <c r="C1274" t="s">
        <v>254</v>
      </c>
      <c r="D1274" t="s">
        <v>255</v>
      </c>
      <c r="E1274" t="s">
        <v>258</v>
      </c>
      <c r="F1274" t="s">
        <v>259</v>
      </c>
      <c r="G1274">
        <v>175.5</v>
      </c>
      <c r="H1274">
        <v>54</v>
      </c>
      <c r="I1274">
        <v>153.6</v>
      </c>
      <c r="J1274">
        <v>60</v>
      </c>
      <c r="Q1274"/>
    </row>
    <row r="1275" spans="1:17" x14ac:dyDescent="0.25">
      <c r="A1275">
        <v>5</v>
      </c>
      <c r="B1275">
        <v>2016</v>
      </c>
      <c r="C1275" t="s">
        <v>254</v>
      </c>
      <c r="D1275" t="s">
        <v>255</v>
      </c>
      <c r="E1275" t="s">
        <v>260</v>
      </c>
      <c r="F1275" t="s">
        <v>261</v>
      </c>
      <c r="G1275">
        <v>79.2</v>
      </c>
      <c r="H1275">
        <v>18</v>
      </c>
      <c r="I1275">
        <v>158.4</v>
      </c>
      <c r="J1275">
        <v>36</v>
      </c>
      <c r="Q1275"/>
    </row>
    <row r="1276" spans="1:17" x14ac:dyDescent="0.25">
      <c r="A1276">
        <v>5</v>
      </c>
      <c r="B1276">
        <v>2016</v>
      </c>
      <c r="C1276" t="s">
        <v>262</v>
      </c>
      <c r="D1276" t="s">
        <v>263</v>
      </c>
      <c r="E1276" t="s">
        <v>264</v>
      </c>
      <c r="F1276" t="s">
        <v>265</v>
      </c>
      <c r="G1276">
        <v>3528</v>
      </c>
      <c r="H1276">
        <v>636</v>
      </c>
      <c r="I1276">
        <v>3152.1</v>
      </c>
      <c r="J1276">
        <v>564</v>
      </c>
      <c r="Q1276"/>
    </row>
    <row r="1277" spans="1:17" x14ac:dyDescent="0.25">
      <c r="A1277">
        <v>5</v>
      </c>
      <c r="B1277">
        <v>2016</v>
      </c>
      <c r="C1277" t="s">
        <v>262</v>
      </c>
      <c r="D1277" t="s">
        <v>263</v>
      </c>
      <c r="E1277" t="s">
        <v>810</v>
      </c>
      <c r="F1277" t="s">
        <v>811</v>
      </c>
      <c r="G1277">
        <v>-85.05</v>
      </c>
      <c r="H1277">
        <v>-9</v>
      </c>
      <c r="I1277">
        <v>139.94999999999999</v>
      </c>
      <c r="J1277">
        <v>15</v>
      </c>
      <c r="Q1277"/>
    </row>
    <row r="1278" spans="1:17" x14ac:dyDescent="0.25">
      <c r="A1278">
        <v>5</v>
      </c>
      <c r="B1278">
        <v>2016</v>
      </c>
      <c r="C1278" t="s">
        <v>262</v>
      </c>
      <c r="D1278" t="s">
        <v>263</v>
      </c>
      <c r="E1278" t="s">
        <v>266</v>
      </c>
      <c r="F1278" t="s">
        <v>267</v>
      </c>
      <c r="G1278">
        <v>5151.6000000000004</v>
      </c>
      <c r="H1278">
        <v>636</v>
      </c>
      <c r="Q1278"/>
    </row>
    <row r="1279" spans="1:17" x14ac:dyDescent="0.25">
      <c r="A1279">
        <v>5</v>
      </c>
      <c r="B1279">
        <v>2016</v>
      </c>
      <c r="C1279" t="s">
        <v>262</v>
      </c>
      <c r="D1279" t="s">
        <v>263</v>
      </c>
      <c r="E1279" t="s">
        <v>268</v>
      </c>
      <c r="F1279" t="s">
        <v>269</v>
      </c>
      <c r="G1279">
        <v>457.2</v>
      </c>
      <c r="H1279">
        <v>72</v>
      </c>
      <c r="I1279">
        <v>758.4</v>
      </c>
      <c r="J1279">
        <v>120</v>
      </c>
      <c r="Q1279"/>
    </row>
    <row r="1280" spans="1:17" x14ac:dyDescent="0.25">
      <c r="A1280">
        <v>5</v>
      </c>
      <c r="B1280">
        <v>2016</v>
      </c>
      <c r="C1280" t="s">
        <v>262</v>
      </c>
      <c r="D1280" t="s">
        <v>263</v>
      </c>
      <c r="E1280" t="s">
        <v>270</v>
      </c>
      <c r="F1280" t="s">
        <v>271</v>
      </c>
      <c r="G1280">
        <v>637.20000000000005</v>
      </c>
      <c r="H1280">
        <v>72</v>
      </c>
      <c r="I1280">
        <v>1900.8</v>
      </c>
      <c r="J1280">
        <v>216</v>
      </c>
      <c r="Q1280"/>
    </row>
    <row r="1281" spans="1:17" x14ac:dyDescent="0.25">
      <c r="A1281">
        <v>5</v>
      </c>
      <c r="B1281">
        <v>2016</v>
      </c>
      <c r="C1281" t="s">
        <v>262</v>
      </c>
      <c r="D1281" t="s">
        <v>263</v>
      </c>
      <c r="E1281" t="s">
        <v>812</v>
      </c>
      <c r="F1281" t="s">
        <v>813</v>
      </c>
      <c r="G1281">
        <v>79.2</v>
      </c>
      <c r="H1281">
        <v>12</v>
      </c>
      <c r="Q1281"/>
    </row>
    <row r="1282" spans="1:17" x14ac:dyDescent="0.25">
      <c r="A1282">
        <v>5</v>
      </c>
      <c r="B1282">
        <v>2016</v>
      </c>
      <c r="C1282" t="s">
        <v>272</v>
      </c>
      <c r="D1282" t="s">
        <v>273</v>
      </c>
      <c r="E1282" t="s">
        <v>274</v>
      </c>
      <c r="F1282" t="s">
        <v>275</v>
      </c>
      <c r="G1282">
        <v>117.9</v>
      </c>
      <c r="H1282">
        <v>12</v>
      </c>
      <c r="I1282">
        <v>353.7</v>
      </c>
      <c r="J1282">
        <v>36</v>
      </c>
      <c r="Q1282"/>
    </row>
    <row r="1283" spans="1:17" x14ac:dyDescent="0.25">
      <c r="A1283">
        <v>5</v>
      </c>
      <c r="B1283">
        <v>2016</v>
      </c>
      <c r="C1283" t="s">
        <v>272</v>
      </c>
      <c r="D1283" t="s">
        <v>273</v>
      </c>
      <c r="E1283" t="s">
        <v>276</v>
      </c>
      <c r="F1283" t="s">
        <v>277</v>
      </c>
      <c r="G1283">
        <v>864</v>
      </c>
      <c r="H1283">
        <v>90</v>
      </c>
      <c r="I1283">
        <v>864</v>
      </c>
      <c r="J1283">
        <v>90</v>
      </c>
      <c r="Q1283"/>
    </row>
    <row r="1284" spans="1:17" x14ac:dyDescent="0.25">
      <c r="A1284">
        <v>5</v>
      </c>
      <c r="B1284">
        <v>2016</v>
      </c>
      <c r="C1284" t="s">
        <v>272</v>
      </c>
      <c r="D1284" t="s">
        <v>273</v>
      </c>
      <c r="E1284" t="s">
        <v>278</v>
      </c>
      <c r="F1284" t="s">
        <v>279</v>
      </c>
      <c r="G1284">
        <v>349.8</v>
      </c>
      <c r="H1284">
        <v>132</v>
      </c>
      <c r="I1284">
        <v>556.5</v>
      </c>
      <c r="J1284">
        <v>210</v>
      </c>
      <c r="Q1284"/>
    </row>
    <row r="1285" spans="1:17" x14ac:dyDescent="0.25">
      <c r="A1285">
        <v>5</v>
      </c>
      <c r="B1285">
        <v>2016</v>
      </c>
      <c r="C1285" t="s">
        <v>272</v>
      </c>
      <c r="D1285" t="s">
        <v>273</v>
      </c>
      <c r="E1285" t="s">
        <v>280</v>
      </c>
      <c r="F1285" t="s">
        <v>281</v>
      </c>
      <c r="G1285">
        <v>287.7</v>
      </c>
      <c r="H1285">
        <v>42</v>
      </c>
      <c r="I1285">
        <v>493.2</v>
      </c>
      <c r="J1285">
        <v>72</v>
      </c>
      <c r="Q1285"/>
    </row>
    <row r="1286" spans="1:17" x14ac:dyDescent="0.25">
      <c r="A1286">
        <v>5</v>
      </c>
      <c r="B1286">
        <v>2016</v>
      </c>
      <c r="C1286" t="s">
        <v>272</v>
      </c>
      <c r="D1286" t="s">
        <v>273</v>
      </c>
      <c r="E1286" t="s">
        <v>284</v>
      </c>
      <c r="F1286" t="s">
        <v>285</v>
      </c>
      <c r="G1286">
        <v>71.400000000000006</v>
      </c>
      <c r="H1286">
        <v>12</v>
      </c>
      <c r="Q1286"/>
    </row>
    <row r="1287" spans="1:17" x14ac:dyDescent="0.25">
      <c r="A1287">
        <v>5</v>
      </c>
      <c r="B1287">
        <v>2016</v>
      </c>
      <c r="C1287" t="s">
        <v>272</v>
      </c>
      <c r="D1287" t="s">
        <v>273</v>
      </c>
      <c r="E1287" t="s">
        <v>814</v>
      </c>
      <c r="F1287" t="s">
        <v>287</v>
      </c>
      <c r="G1287">
        <v>246.6</v>
      </c>
      <c r="H1287">
        <v>36</v>
      </c>
      <c r="I1287">
        <v>82.2</v>
      </c>
      <c r="J1287">
        <v>12</v>
      </c>
      <c r="Q1287"/>
    </row>
    <row r="1288" spans="1:17" x14ac:dyDescent="0.25">
      <c r="A1288">
        <v>5</v>
      </c>
      <c r="B1288">
        <v>2016</v>
      </c>
      <c r="C1288" t="s">
        <v>288</v>
      </c>
      <c r="D1288" t="s">
        <v>289</v>
      </c>
      <c r="E1288" t="s">
        <v>290</v>
      </c>
      <c r="F1288" t="s">
        <v>291</v>
      </c>
      <c r="G1288">
        <v>240</v>
      </c>
      <c r="H1288">
        <v>48</v>
      </c>
      <c r="I1288">
        <v>1180.8</v>
      </c>
      <c r="J1288">
        <v>252</v>
      </c>
      <c r="Q1288"/>
    </row>
    <row r="1289" spans="1:17" x14ac:dyDescent="0.25">
      <c r="A1289">
        <v>5</v>
      </c>
      <c r="B1289">
        <v>2016</v>
      </c>
      <c r="C1289" t="s">
        <v>288</v>
      </c>
      <c r="D1289" t="s">
        <v>289</v>
      </c>
      <c r="E1289" t="s">
        <v>292</v>
      </c>
      <c r="F1289" t="s">
        <v>293</v>
      </c>
      <c r="G1289">
        <v>883.5</v>
      </c>
      <c r="H1289">
        <v>120</v>
      </c>
      <c r="I1289">
        <v>2425.5</v>
      </c>
      <c r="J1289">
        <v>336</v>
      </c>
      <c r="Q1289"/>
    </row>
    <row r="1290" spans="1:17" x14ac:dyDescent="0.25">
      <c r="A1290">
        <v>5</v>
      </c>
      <c r="B1290">
        <v>2016</v>
      </c>
      <c r="C1290" t="s">
        <v>288</v>
      </c>
      <c r="D1290" t="s">
        <v>289</v>
      </c>
      <c r="E1290" t="s">
        <v>294</v>
      </c>
      <c r="F1290" t="s">
        <v>295</v>
      </c>
      <c r="G1290">
        <v>801</v>
      </c>
      <c r="H1290">
        <v>90</v>
      </c>
      <c r="I1290">
        <v>877.8</v>
      </c>
      <c r="J1290">
        <v>114</v>
      </c>
      <c r="Q1290"/>
    </row>
    <row r="1291" spans="1:17" x14ac:dyDescent="0.25">
      <c r="A1291">
        <v>5</v>
      </c>
      <c r="B1291">
        <v>2016</v>
      </c>
      <c r="C1291" t="s">
        <v>296</v>
      </c>
      <c r="D1291" t="s">
        <v>297</v>
      </c>
      <c r="E1291" t="s">
        <v>298</v>
      </c>
      <c r="F1291" t="s">
        <v>299</v>
      </c>
      <c r="G1291">
        <v>403.2</v>
      </c>
      <c r="H1291">
        <v>96</v>
      </c>
      <c r="I1291">
        <v>604.79999999999995</v>
      </c>
      <c r="J1291">
        <v>144</v>
      </c>
      <c r="Q1291"/>
    </row>
    <row r="1292" spans="1:17" x14ac:dyDescent="0.25">
      <c r="A1292">
        <v>5</v>
      </c>
      <c r="B1292">
        <v>2016</v>
      </c>
      <c r="C1292" t="s">
        <v>296</v>
      </c>
      <c r="D1292" t="s">
        <v>297</v>
      </c>
      <c r="E1292" t="s">
        <v>300</v>
      </c>
      <c r="F1292" t="s">
        <v>301</v>
      </c>
      <c r="G1292">
        <v>86.4</v>
      </c>
      <c r="H1292">
        <v>30</v>
      </c>
      <c r="I1292">
        <v>232.2</v>
      </c>
      <c r="J1292">
        <v>66</v>
      </c>
      <c r="Q1292"/>
    </row>
    <row r="1293" spans="1:17" x14ac:dyDescent="0.25">
      <c r="A1293">
        <v>5</v>
      </c>
      <c r="B1293">
        <v>2016</v>
      </c>
      <c r="C1293" t="s">
        <v>296</v>
      </c>
      <c r="D1293" t="s">
        <v>297</v>
      </c>
      <c r="E1293" t="s">
        <v>739</v>
      </c>
      <c r="F1293" t="s">
        <v>301</v>
      </c>
      <c r="G1293">
        <v>43.2</v>
      </c>
      <c r="H1293">
        <v>12</v>
      </c>
      <c r="Q1293"/>
    </row>
    <row r="1294" spans="1:17" x14ac:dyDescent="0.25">
      <c r="A1294">
        <v>5</v>
      </c>
      <c r="B1294">
        <v>2016</v>
      </c>
      <c r="C1294" t="s">
        <v>296</v>
      </c>
      <c r="D1294" t="s">
        <v>297</v>
      </c>
      <c r="E1294" t="s">
        <v>302</v>
      </c>
      <c r="F1294" t="s">
        <v>303</v>
      </c>
      <c r="G1294">
        <v>198</v>
      </c>
      <c r="H1294">
        <v>36</v>
      </c>
      <c r="I1294">
        <v>33</v>
      </c>
      <c r="J1294">
        <v>6</v>
      </c>
      <c r="Q1294"/>
    </row>
    <row r="1295" spans="1:17" x14ac:dyDescent="0.25">
      <c r="A1295">
        <v>5</v>
      </c>
      <c r="B1295">
        <v>2016</v>
      </c>
      <c r="C1295" t="s">
        <v>296</v>
      </c>
      <c r="D1295" t="s">
        <v>297</v>
      </c>
      <c r="E1295" t="s">
        <v>304</v>
      </c>
      <c r="F1295" t="s">
        <v>303</v>
      </c>
      <c r="G1295">
        <v>132</v>
      </c>
      <c r="H1295">
        <v>30</v>
      </c>
      <c r="I1295">
        <v>66</v>
      </c>
      <c r="J1295">
        <v>12</v>
      </c>
      <c r="Q1295"/>
    </row>
    <row r="1296" spans="1:17" x14ac:dyDescent="0.25">
      <c r="A1296">
        <v>5</v>
      </c>
      <c r="B1296">
        <v>2016</v>
      </c>
      <c r="C1296" t="s">
        <v>296</v>
      </c>
      <c r="D1296" t="s">
        <v>297</v>
      </c>
      <c r="E1296" t="s">
        <v>305</v>
      </c>
      <c r="F1296" t="s">
        <v>303</v>
      </c>
      <c r="G1296">
        <v>198</v>
      </c>
      <c r="H1296">
        <v>36</v>
      </c>
      <c r="I1296">
        <v>264</v>
      </c>
      <c r="J1296">
        <v>48</v>
      </c>
      <c r="Q1296"/>
    </row>
    <row r="1297" spans="1:17" x14ac:dyDescent="0.25">
      <c r="A1297">
        <v>5</v>
      </c>
      <c r="B1297">
        <v>2016</v>
      </c>
      <c r="C1297" t="s">
        <v>296</v>
      </c>
      <c r="D1297" t="s">
        <v>297</v>
      </c>
      <c r="E1297" t="s">
        <v>306</v>
      </c>
      <c r="F1297" t="s">
        <v>307</v>
      </c>
      <c r="G1297">
        <v>127.8</v>
      </c>
      <c r="H1297">
        <v>36</v>
      </c>
      <c r="I1297">
        <v>191.7</v>
      </c>
      <c r="J1297">
        <v>54</v>
      </c>
      <c r="Q1297"/>
    </row>
    <row r="1298" spans="1:17" x14ac:dyDescent="0.25">
      <c r="A1298">
        <v>5</v>
      </c>
      <c r="B1298">
        <v>2016</v>
      </c>
      <c r="C1298" t="s">
        <v>296</v>
      </c>
      <c r="D1298" t="s">
        <v>297</v>
      </c>
      <c r="E1298" t="s">
        <v>308</v>
      </c>
      <c r="F1298" t="s">
        <v>309</v>
      </c>
      <c r="G1298">
        <v>4082.4</v>
      </c>
      <c r="H1298">
        <v>1134</v>
      </c>
      <c r="I1298">
        <v>6385.2</v>
      </c>
      <c r="J1298">
        <v>1854</v>
      </c>
      <c r="Q1298"/>
    </row>
    <row r="1299" spans="1:17" x14ac:dyDescent="0.25">
      <c r="A1299">
        <v>5</v>
      </c>
      <c r="B1299">
        <v>2016</v>
      </c>
      <c r="C1299" t="s">
        <v>296</v>
      </c>
      <c r="D1299" t="s">
        <v>297</v>
      </c>
      <c r="E1299" t="s">
        <v>310</v>
      </c>
      <c r="F1299" t="s">
        <v>311</v>
      </c>
      <c r="G1299">
        <v>1117.5</v>
      </c>
      <c r="H1299">
        <v>493.58</v>
      </c>
      <c r="I1299">
        <v>1877.4</v>
      </c>
      <c r="J1299">
        <v>847.09</v>
      </c>
      <c r="Q1299"/>
    </row>
    <row r="1300" spans="1:17" x14ac:dyDescent="0.25">
      <c r="A1300">
        <v>5</v>
      </c>
      <c r="B1300">
        <v>2016</v>
      </c>
      <c r="C1300" t="s">
        <v>296</v>
      </c>
      <c r="D1300" t="s">
        <v>297</v>
      </c>
      <c r="E1300" t="s">
        <v>937</v>
      </c>
      <c r="F1300" t="s">
        <v>315</v>
      </c>
      <c r="G1300">
        <v>72</v>
      </c>
      <c r="H1300">
        <v>24</v>
      </c>
      <c r="I1300">
        <v>323.39999999999998</v>
      </c>
      <c r="J1300">
        <v>108</v>
      </c>
      <c r="Q1300"/>
    </row>
    <row r="1301" spans="1:17" x14ac:dyDescent="0.25">
      <c r="A1301">
        <v>5</v>
      </c>
      <c r="B1301">
        <v>2016</v>
      </c>
      <c r="C1301" t="s">
        <v>296</v>
      </c>
      <c r="D1301" t="s">
        <v>297</v>
      </c>
      <c r="E1301" t="s">
        <v>312</v>
      </c>
      <c r="F1301" t="s">
        <v>313</v>
      </c>
      <c r="G1301">
        <v>4819.5</v>
      </c>
      <c r="H1301">
        <v>2142</v>
      </c>
      <c r="I1301">
        <v>9413.1</v>
      </c>
      <c r="J1301">
        <v>4494</v>
      </c>
      <c r="Q1301"/>
    </row>
    <row r="1302" spans="1:17" x14ac:dyDescent="0.25">
      <c r="A1302">
        <v>5</v>
      </c>
      <c r="B1302">
        <v>2016</v>
      </c>
      <c r="C1302" t="s">
        <v>296</v>
      </c>
      <c r="D1302" t="s">
        <v>297</v>
      </c>
      <c r="E1302" t="s">
        <v>314</v>
      </c>
      <c r="F1302" t="s">
        <v>315</v>
      </c>
      <c r="G1302">
        <v>2336.4</v>
      </c>
      <c r="H1302">
        <v>1594.1299999999999</v>
      </c>
      <c r="I1302">
        <v>3455.1</v>
      </c>
      <c r="J1302">
        <v>2361.1799999999998</v>
      </c>
      <c r="Q1302"/>
    </row>
    <row r="1303" spans="1:17" x14ac:dyDescent="0.25">
      <c r="A1303">
        <v>5</v>
      </c>
      <c r="B1303">
        <v>2016</v>
      </c>
      <c r="C1303" t="s">
        <v>296</v>
      </c>
      <c r="D1303" t="s">
        <v>297</v>
      </c>
      <c r="E1303" t="s">
        <v>740</v>
      </c>
      <c r="F1303" t="s">
        <v>741</v>
      </c>
      <c r="G1303">
        <v>253.5</v>
      </c>
      <c r="H1303">
        <v>199.95</v>
      </c>
      <c r="I1303">
        <v>152.1</v>
      </c>
      <c r="J1303">
        <v>133.30000000000001</v>
      </c>
      <c r="Q1303"/>
    </row>
    <row r="1304" spans="1:17" x14ac:dyDescent="0.25">
      <c r="A1304">
        <v>5</v>
      </c>
      <c r="B1304">
        <v>2016</v>
      </c>
      <c r="C1304" t="s">
        <v>296</v>
      </c>
      <c r="D1304" t="s">
        <v>297</v>
      </c>
      <c r="E1304" t="s">
        <v>815</v>
      </c>
      <c r="F1304" t="s">
        <v>816</v>
      </c>
      <c r="G1304">
        <v>32.4</v>
      </c>
      <c r="H1304">
        <v>18</v>
      </c>
      <c r="I1304">
        <v>118.8</v>
      </c>
      <c r="J1304">
        <v>72</v>
      </c>
      <c r="Q1304"/>
    </row>
    <row r="1305" spans="1:17" x14ac:dyDescent="0.25">
      <c r="A1305">
        <v>5</v>
      </c>
      <c r="B1305">
        <v>2016</v>
      </c>
      <c r="C1305" t="s">
        <v>296</v>
      </c>
      <c r="D1305" t="s">
        <v>297</v>
      </c>
      <c r="E1305" t="s">
        <v>817</v>
      </c>
      <c r="F1305" t="s">
        <v>818</v>
      </c>
      <c r="G1305">
        <v>66.599999999999994</v>
      </c>
      <c r="H1305">
        <v>18</v>
      </c>
      <c r="I1305">
        <v>310.8</v>
      </c>
      <c r="J1305">
        <v>90</v>
      </c>
      <c r="Q1305"/>
    </row>
    <row r="1306" spans="1:17" x14ac:dyDescent="0.25">
      <c r="A1306">
        <v>5</v>
      </c>
      <c r="B1306">
        <v>2016</v>
      </c>
      <c r="C1306" t="s">
        <v>319</v>
      </c>
      <c r="D1306" t="s">
        <v>320</v>
      </c>
      <c r="E1306" t="s">
        <v>321</v>
      </c>
      <c r="F1306" t="s">
        <v>322</v>
      </c>
      <c r="G1306">
        <v>1144.44</v>
      </c>
      <c r="H1306">
        <v>306</v>
      </c>
      <c r="I1306">
        <v>864</v>
      </c>
      <c r="J1306">
        <v>246</v>
      </c>
      <c r="Q1306"/>
    </row>
    <row r="1307" spans="1:17" x14ac:dyDescent="0.25">
      <c r="A1307">
        <v>5</v>
      </c>
      <c r="B1307">
        <v>2016</v>
      </c>
      <c r="C1307" t="s">
        <v>319</v>
      </c>
      <c r="D1307" t="s">
        <v>320</v>
      </c>
      <c r="E1307" t="s">
        <v>323</v>
      </c>
      <c r="F1307" t="s">
        <v>322</v>
      </c>
      <c r="G1307">
        <v>28.44</v>
      </c>
      <c r="H1307">
        <v>6</v>
      </c>
      <c r="I1307">
        <v>133.19999999999999</v>
      </c>
      <c r="J1307">
        <v>30</v>
      </c>
      <c r="Q1307"/>
    </row>
    <row r="1308" spans="1:17" x14ac:dyDescent="0.25">
      <c r="A1308">
        <v>5</v>
      </c>
      <c r="B1308">
        <v>2016</v>
      </c>
      <c r="C1308" t="s">
        <v>324</v>
      </c>
      <c r="D1308" t="s">
        <v>325</v>
      </c>
      <c r="E1308" t="s">
        <v>326</v>
      </c>
      <c r="F1308" t="s">
        <v>327</v>
      </c>
      <c r="G1308">
        <v>501.6</v>
      </c>
      <c r="H1308">
        <v>126</v>
      </c>
      <c r="I1308">
        <v>722.4</v>
      </c>
      <c r="J1308">
        <v>168</v>
      </c>
      <c r="Q1308"/>
    </row>
    <row r="1309" spans="1:17" x14ac:dyDescent="0.25">
      <c r="A1309">
        <v>5</v>
      </c>
      <c r="B1309">
        <v>2016</v>
      </c>
      <c r="C1309" t="s">
        <v>324</v>
      </c>
      <c r="D1309" t="s">
        <v>325</v>
      </c>
      <c r="E1309" t="s">
        <v>328</v>
      </c>
      <c r="F1309" t="s">
        <v>327</v>
      </c>
      <c r="G1309">
        <v>345.6</v>
      </c>
      <c r="H1309">
        <v>126</v>
      </c>
      <c r="I1309">
        <v>109.8</v>
      </c>
      <c r="J1309">
        <v>36</v>
      </c>
      <c r="Q1309"/>
    </row>
    <row r="1310" spans="1:17" x14ac:dyDescent="0.25">
      <c r="A1310">
        <v>5</v>
      </c>
      <c r="B1310">
        <v>2016</v>
      </c>
      <c r="C1310" t="s">
        <v>324</v>
      </c>
      <c r="D1310" t="s">
        <v>325</v>
      </c>
      <c r="E1310" t="s">
        <v>329</v>
      </c>
      <c r="F1310" t="s">
        <v>327</v>
      </c>
      <c r="G1310">
        <v>45.6</v>
      </c>
      <c r="H1310">
        <v>12</v>
      </c>
      <c r="I1310">
        <v>45.6</v>
      </c>
      <c r="J1310">
        <v>12</v>
      </c>
      <c r="Q1310"/>
    </row>
    <row r="1311" spans="1:17" x14ac:dyDescent="0.25">
      <c r="A1311">
        <v>5</v>
      </c>
      <c r="B1311">
        <v>2016</v>
      </c>
      <c r="C1311" t="s">
        <v>324</v>
      </c>
      <c r="D1311" t="s">
        <v>325</v>
      </c>
      <c r="E1311" t="s">
        <v>330</v>
      </c>
      <c r="F1311" t="s">
        <v>331</v>
      </c>
      <c r="G1311">
        <v>57.6</v>
      </c>
      <c r="H1311">
        <v>96</v>
      </c>
      <c r="Q1311"/>
    </row>
    <row r="1312" spans="1:17" x14ac:dyDescent="0.25">
      <c r="A1312">
        <v>5</v>
      </c>
      <c r="B1312">
        <v>2016</v>
      </c>
      <c r="C1312" t="s">
        <v>324</v>
      </c>
      <c r="D1312" t="s">
        <v>325</v>
      </c>
      <c r="E1312" t="s">
        <v>938</v>
      </c>
      <c r="F1312" t="s">
        <v>939</v>
      </c>
      <c r="G1312">
        <v>124.2</v>
      </c>
      <c r="H1312">
        <v>18</v>
      </c>
      <c r="Q1312"/>
    </row>
    <row r="1313" spans="1:17" x14ac:dyDescent="0.25">
      <c r="A1313">
        <v>5</v>
      </c>
      <c r="B1313">
        <v>2016</v>
      </c>
      <c r="C1313" t="s">
        <v>334</v>
      </c>
      <c r="D1313" t="s">
        <v>335</v>
      </c>
      <c r="E1313" t="s">
        <v>336</v>
      </c>
      <c r="F1313" t="s">
        <v>337</v>
      </c>
      <c r="G1313">
        <v>547.20000000000005</v>
      </c>
      <c r="H1313">
        <v>72</v>
      </c>
      <c r="I1313">
        <v>1140</v>
      </c>
      <c r="J1313">
        <v>150</v>
      </c>
      <c r="Q1313"/>
    </row>
    <row r="1314" spans="1:17" x14ac:dyDescent="0.25">
      <c r="A1314">
        <v>5</v>
      </c>
      <c r="B1314">
        <v>2016</v>
      </c>
      <c r="C1314" t="s">
        <v>334</v>
      </c>
      <c r="D1314" t="s">
        <v>335</v>
      </c>
      <c r="E1314" t="s">
        <v>338</v>
      </c>
      <c r="F1314" t="s">
        <v>339</v>
      </c>
      <c r="G1314">
        <v>2064.6</v>
      </c>
      <c r="H1314">
        <v>444</v>
      </c>
      <c r="I1314">
        <v>966</v>
      </c>
      <c r="J1314">
        <v>210</v>
      </c>
      <c r="Q1314"/>
    </row>
    <row r="1315" spans="1:17" x14ac:dyDescent="0.25">
      <c r="A1315">
        <v>5</v>
      </c>
      <c r="B1315">
        <v>2016</v>
      </c>
      <c r="C1315" t="s">
        <v>334</v>
      </c>
      <c r="D1315" t="s">
        <v>335</v>
      </c>
      <c r="E1315" t="s">
        <v>940</v>
      </c>
      <c r="F1315" t="s">
        <v>941</v>
      </c>
      <c r="G1315">
        <v>46.2</v>
      </c>
      <c r="H1315">
        <v>6</v>
      </c>
      <c r="I1315">
        <v>184.8</v>
      </c>
      <c r="J1315">
        <v>24</v>
      </c>
      <c r="Q1315"/>
    </row>
    <row r="1316" spans="1:17" x14ac:dyDescent="0.25">
      <c r="A1316">
        <v>5</v>
      </c>
      <c r="B1316">
        <v>2016</v>
      </c>
      <c r="C1316" t="s">
        <v>340</v>
      </c>
      <c r="D1316" t="s">
        <v>341</v>
      </c>
      <c r="E1316" t="s">
        <v>342</v>
      </c>
      <c r="F1316" t="s">
        <v>343</v>
      </c>
      <c r="G1316">
        <v>1120.5</v>
      </c>
      <c r="H1316">
        <v>270</v>
      </c>
      <c r="I1316">
        <v>2074.3200000000002</v>
      </c>
      <c r="J1316">
        <v>516</v>
      </c>
      <c r="Q1316"/>
    </row>
    <row r="1317" spans="1:17" x14ac:dyDescent="0.25">
      <c r="A1317">
        <v>5</v>
      </c>
      <c r="B1317">
        <v>2016</v>
      </c>
      <c r="C1317" t="s">
        <v>340</v>
      </c>
      <c r="D1317" t="s">
        <v>341</v>
      </c>
      <c r="E1317" t="s">
        <v>344</v>
      </c>
      <c r="F1317" t="s">
        <v>343</v>
      </c>
      <c r="G1317">
        <v>57.18</v>
      </c>
      <c r="H1317">
        <v>12</v>
      </c>
      <c r="I1317">
        <v>165.6</v>
      </c>
      <c r="J1317">
        <v>36</v>
      </c>
      <c r="Q1317"/>
    </row>
    <row r="1318" spans="1:17" x14ac:dyDescent="0.25">
      <c r="A1318">
        <v>5</v>
      </c>
      <c r="B1318">
        <v>2016</v>
      </c>
      <c r="C1318" t="s">
        <v>340</v>
      </c>
      <c r="D1318" t="s">
        <v>341</v>
      </c>
      <c r="E1318" t="s">
        <v>880</v>
      </c>
      <c r="F1318" t="s">
        <v>881</v>
      </c>
      <c r="G1318">
        <v>167.4</v>
      </c>
      <c r="H1318">
        <v>24</v>
      </c>
      <c r="Q1318"/>
    </row>
    <row r="1319" spans="1:17" x14ac:dyDescent="0.25">
      <c r="A1319">
        <v>5</v>
      </c>
      <c r="B1319">
        <v>2016</v>
      </c>
      <c r="C1319" t="s">
        <v>340</v>
      </c>
      <c r="D1319" t="s">
        <v>341</v>
      </c>
      <c r="E1319" t="s">
        <v>345</v>
      </c>
      <c r="F1319" t="s">
        <v>346</v>
      </c>
      <c r="G1319">
        <v>466.2</v>
      </c>
      <c r="H1319">
        <v>84</v>
      </c>
      <c r="I1319">
        <v>561.6</v>
      </c>
      <c r="J1319">
        <v>114</v>
      </c>
      <c r="Q1319"/>
    </row>
    <row r="1320" spans="1:17" x14ac:dyDescent="0.25">
      <c r="A1320">
        <v>5</v>
      </c>
      <c r="B1320">
        <v>2016</v>
      </c>
      <c r="C1320" t="s">
        <v>340</v>
      </c>
      <c r="D1320" t="s">
        <v>341</v>
      </c>
      <c r="E1320" t="s">
        <v>746</v>
      </c>
      <c r="F1320" t="s">
        <v>747</v>
      </c>
      <c r="G1320">
        <v>90</v>
      </c>
      <c r="H1320">
        <v>12</v>
      </c>
      <c r="Q1320"/>
    </row>
    <row r="1321" spans="1:17" x14ac:dyDescent="0.25">
      <c r="A1321">
        <v>5</v>
      </c>
      <c r="B1321">
        <v>2016</v>
      </c>
      <c r="C1321" t="s">
        <v>349</v>
      </c>
      <c r="D1321" t="s">
        <v>350</v>
      </c>
      <c r="E1321" t="s">
        <v>351</v>
      </c>
      <c r="F1321" t="s">
        <v>352</v>
      </c>
      <c r="G1321">
        <v>38.700000000000003</v>
      </c>
      <c r="H1321">
        <v>6</v>
      </c>
      <c r="I1321">
        <v>378</v>
      </c>
      <c r="J1321">
        <v>60</v>
      </c>
      <c r="Q1321"/>
    </row>
    <row r="1322" spans="1:17" x14ac:dyDescent="0.25">
      <c r="A1322">
        <v>5</v>
      </c>
      <c r="B1322">
        <v>2016</v>
      </c>
      <c r="C1322" t="s">
        <v>349</v>
      </c>
      <c r="D1322" t="s">
        <v>350</v>
      </c>
      <c r="E1322" t="s">
        <v>353</v>
      </c>
      <c r="F1322" t="s">
        <v>352</v>
      </c>
      <c r="G1322">
        <v>187.2</v>
      </c>
      <c r="H1322">
        <v>24</v>
      </c>
      <c r="I1322">
        <v>46.2</v>
      </c>
      <c r="J1322">
        <v>6</v>
      </c>
      <c r="Q1322"/>
    </row>
    <row r="1323" spans="1:17" x14ac:dyDescent="0.25">
      <c r="A1323">
        <v>5</v>
      </c>
      <c r="B1323">
        <v>2016</v>
      </c>
      <c r="C1323" t="s">
        <v>349</v>
      </c>
      <c r="D1323" t="s">
        <v>350</v>
      </c>
      <c r="E1323" t="s">
        <v>354</v>
      </c>
      <c r="F1323" t="s">
        <v>352</v>
      </c>
      <c r="G1323">
        <v>120.6</v>
      </c>
      <c r="H1323">
        <v>18</v>
      </c>
      <c r="I1323">
        <v>237.6</v>
      </c>
      <c r="J1323">
        <v>36</v>
      </c>
      <c r="Q1323"/>
    </row>
    <row r="1324" spans="1:17" x14ac:dyDescent="0.25">
      <c r="A1324">
        <v>5</v>
      </c>
      <c r="B1324">
        <v>2016</v>
      </c>
      <c r="C1324" t="s">
        <v>349</v>
      </c>
      <c r="D1324" t="s">
        <v>350</v>
      </c>
      <c r="E1324" t="s">
        <v>355</v>
      </c>
      <c r="F1324" t="s">
        <v>352</v>
      </c>
      <c r="G1324">
        <v>46.8</v>
      </c>
      <c r="H1324">
        <v>6</v>
      </c>
      <c r="I1324">
        <v>231</v>
      </c>
      <c r="J1324">
        <v>30</v>
      </c>
      <c r="Q1324"/>
    </row>
    <row r="1325" spans="1:17" x14ac:dyDescent="0.25">
      <c r="A1325">
        <v>5</v>
      </c>
      <c r="B1325">
        <v>2016</v>
      </c>
      <c r="C1325" t="s">
        <v>356</v>
      </c>
      <c r="D1325" t="s">
        <v>357</v>
      </c>
      <c r="E1325" t="s">
        <v>358</v>
      </c>
      <c r="F1325" t="s">
        <v>359</v>
      </c>
      <c r="G1325">
        <v>632.1</v>
      </c>
      <c r="H1325">
        <v>294</v>
      </c>
      <c r="I1325">
        <v>302.39999999999998</v>
      </c>
      <c r="J1325">
        <v>144</v>
      </c>
      <c r="Q1325"/>
    </row>
    <row r="1326" spans="1:17" x14ac:dyDescent="0.25">
      <c r="A1326">
        <v>5</v>
      </c>
      <c r="B1326">
        <v>2016</v>
      </c>
      <c r="C1326" t="s">
        <v>360</v>
      </c>
      <c r="D1326" t="s">
        <v>361</v>
      </c>
      <c r="E1326" t="s">
        <v>362</v>
      </c>
      <c r="F1326" t="s">
        <v>363</v>
      </c>
      <c r="G1326">
        <v>885.5</v>
      </c>
      <c r="H1326">
        <v>613.17999999999995</v>
      </c>
      <c r="I1326">
        <v>1159</v>
      </c>
      <c r="J1326">
        <v>813.13</v>
      </c>
      <c r="Q1326"/>
    </row>
    <row r="1327" spans="1:17" x14ac:dyDescent="0.25">
      <c r="A1327">
        <v>5</v>
      </c>
      <c r="B1327">
        <v>2016</v>
      </c>
      <c r="C1327" t="s">
        <v>360</v>
      </c>
      <c r="D1327" t="s">
        <v>361</v>
      </c>
      <c r="E1327" t="s">
        <v>364</v>
      </c>
      <c r="F1327" t="s">
        <v>363</v>
      </c>
      <c r="G1327">
        <v>1937.6</v>
      </c>
      <c r="H1327">
        <v>1167.25</v>
      </c>
      <c r="I1327">
        <v>1760</v>
      </c>
      <c r="J1327">
        <v>1067.2</v>
      </c>
      <c r="Q1327"/>
    </row>
    <row r="1328" spans="1:17" x14ac:dyDescent="0.25">
      <c r="A1328">
        <v>5</v>
      </c>
      <c r="B1328">
        <v>2016</v>
      </c>
      <c r="C1328" t="s">
        <v>360</v>
      </c>
      <c r="D1328" t="s">
        <v>361</v>
      </c>
      <c r="E1328" t="s">
        <v>365</v>
      </c>
      <c r="F1328" t="s">
        <v>366</v>
      </c>
      <c r="G1328">
        <v>378</v>
      </c>
      <c r="H1328">
        <v>180</v>
      </c>
      <c r="I1328">
        <v>873.3</v>
      </c>
      <c r="J1328">
        <v>426</v>
      </c>
      <c r="Q1328"/>
    </row>
    <row r="1329" spans="1:17" x14ac:dyDescent="0.25">
      <c r="A1329">
        <v>5</v>
      </c>
      <c r="B1329">
        <v>2016</v>
      </c>
      <c r="C1329" t="s">
        <v>360</v>
      </c>
      <c r="D1329" t="s">
        <v>361</v>
      </c>
      <c r="E1329" t="s">
        <v>367</v>
      </c>
      <c r="F1329" t="s">
        <v>368</v>
      </c>
      <c r="G1329">
        <v>2359.5</v>
      </c>
      <c r="H1329">
        <v>870</v>
      </c>
      <c r="I1329">
        <v>2122.1999999999998</v>
      </c>
      <c r="J1329">
        <v>792</v>
      </c>
      <c r="Q1329"/>
    </row>
    <row r="1330" spans="1:17" x14ac:dyDescent="0.25">
      <c r="A1330">
        <v>5</v>
      </c>
      <c r="B1330">
        <v>2016</v>
      </c>
      <c r="C1330" t="s">
        <v>360</v>
      </c>
      <c r="D1330" t="s">
        <v>361</v>
      </c>
      <c r="E1330" t="s">
        <v>369</v>
      </c>
      <c r="F1330" t="s">
        <v>370</v>
      </c>
      <c r="G1330">
        <v>828</v>
      </c>
      <c r="H1330">
        <v>186</v>
      </c>
      <c r="I1330">
        <v>1026</v>
      </c>
      <c r="J1330">
        <v>228</v>
      </c>
      <c r="Q1330"/>
    </row>
    <row r="1331" spans="1:17" x14ac:dyDescent="0.25">
      <c r="A1331">
        <v>5</v>
      </c>
      <c r="B1331">
        <v>2016</v>
      </c>
      <c r="C1331" t="s">
        <v>360</v>
      </c>
      <c r="D1331" t="s">
        <v>361</v>
      </c>
      <c r="E1331" t="s">
        <v>371</v>
      </c>
      <c r="F1331" t="s">
        <v>372</v>
      </c>
      <c r="G1331">
        <v>143.52000000000001</v>
      </c>
      <c r="H1331">
        <v>24</v>
      </c>
      <c r="I1331">
        <v>140.4</v>
      </c>
      <c r="J1331">
        <v>24</v>
      </c>
      <c r="Q1331"/>
    </row>
    <row r="1332" spans="1:17" x14ac:dyDescent="0.25">
      <c r="A1332">
        <v>5</v>
      </c>
      <c r="B1332">
        <v>2016</v>
      </c>
      <c r="C1332" t="s">
        <v>360</v>
      </c>
      <c r="D1332" t="s">
        <v>361</v>
      </c>
      <c r="E1332" t="s">
        <v>750</v>
      </c>
      <c r="F1332" t="s">
        <v>751</v>
      </c>
      <c r="G1332">
        <v>387</v>
      </c>
      <c r="H1332">
        <v>36</v>
      </c>
      <c r="I1332">
        <v>441</v>
      </c>
      <c r="J1332">
        <v>42</v>
      </c>
      <c r="Q1332"/>
    </row>
    <row r="1333" spans="1:17" x14ac:dyDescent="0.25">
      <c r="A1333">
        <v>5</v>
      </c>
      <c r="B1333">
        <v>2016</v>
      </c>
      <c r="C1333" t="s">
        <v>360</v>
      </c>
      <c r="D1333" t="s">
        <v>361</v>
      </c>
      <c r="E1333" t="s">
        <v>942</v>
      </c>
      <c r="F1333" t="s">
        <v>943</v>
      </c>
      <c r="G1333">
        <v>0</v>
      </c>
      <c r="H1333">
        <v>6</v>
      </c>
      <c r="Q1333"/>
    </row>
    <row r="1334" spans="1:17" x14ac:dyDescent="0.25">
      <c r="A1334">
        <v>5</v>
      </c>
      <c r="B1334">
        <v>2016</v>
      </c>
      <c r="C1334" t="s">
        <v>375</v>
      </c>
      <c r="D1334" t="s">
        <v>376</v>
      </c>
      <c r="E1334" t="s">
        <v>380</v>
      </c>
      <c r="F1334" t="s">
        <v>378</v>
      </c>
      <c r="G1334">
        <v>197.67</v>
      </c>
      <c r="H1334">
        <v>146.63</v>
      </c>
      <c r="I1334">
        <v>822.71</v>
      </c>
      <c r="J1334">
        <v>653.16999999999996</v>
      </c>
      <c r="Q1334"/>
    </row>
    <row r="1335" spans="1:17" x14ac:dyDescent="0.25">
      <c r="A1335">
        <v>5</v>
      </c>
      <c r="B1335">
        <v>2016</v>
      </c>
      <c r="C1335" t="s">
        <v>375</v>
      </c>
      <c r="D1335" t="s">
        <v>376</v>
      </c>
      <c r="E1335" t="s">
        <v>381</v>
      </c>
      <c r="F1335" t="s">
        <v>378</v>
      </c>
      <c r="G1335">
        <v>49.55</v>
      </c>
      <c r="H1335">
        <v>26.68</v>
      </c>
      <c r="I1335">
        <v>453.74</v>
      </c>
      <c r="J1335">
        <v>333.5</v>
      </c>
      <c r="Q1335"/>
    </row>
    <row r="1336" spans="1:17" x14ac:dyDescent="0.25">
      <c r="A1336">
        <v>5</v>
      </c>
      <c r="B1336">
        <v>2016</v>
      </c>
      <c r="C1336" t="s">
        <v>386</v>
      </c>
      <c r="D1336" t="s">
        <v>387</v>
      </c>
      <c r="E1336" t="s">
        <v>388</v>
      </c>
      <c r="F1336" t="s">
        <v>389</v>
      </c>
      <c r="G1336">
        <v>109.5</v>
      </c>
      <c r="H1336">
        <v>36</v>
      </c>
      <c r="I1336">
        <v>21.3</v>
      </c>
      <c r="J1336">
        <v>6</v>
      </c>
      <c r="Q1336"/>
    </row>
    <row r="1337" spans="1:17" x14ac:dyDescent="0.25">
      <c r="A1337">
        <v>5</v>
      </c>
      <c r="B1337">
        <v>2016</v>
      </c>
      <c r="C1337" t="s">
        <v>386</v>
      </c>
      <c r="D1337" t="s">
        <v>387</v>
      </c>
      <c r="E1337" t="s">
        <v>390</v>
      </c>
      <c r="F1337" t="s">
        <v>391</v>
      </c>
      <c r="G1337">
        <v>44.4</v>
      </c>
      <c r="H1337">
        <v>12</v>
      </c>
      <c r="Q1337"/>
    </row>
    <row r="1338" spans="1:17" x14ac:dyDescent="0.25">
      <c r="A1338">
        <v>5</v>
      </c>
      <c r="B1338">
        <v>2016</v>
      </c>
      <c r="C1338" t="s">
        <v>386</v>
      </c>
      <c r="D1338" t="s">
        <v>387</v>
      </c>
      <c r="E1338" t="s">
        <v>392</v>
      </c>
      <c r="F1338" t="s">
        <v>393</v>
      </c>
      <c r="G1338">
        <v>522.9</v>
      </c>
      <c r="H1338">
        <v>126</v>
      </c>
      <c r="Q1338"/>
    </row>
    <row r="1339" spans="1:17" x14ac:dyDescent="0.25">
      <c r="A1339">
        <v>5</v>
      </c>
      <c r="B1339">
        <v>2016</v>
      </c>
      <c r="C1339" t="s">
        <v>386</v>
      </c>
      <c r="D1339" t="s">
        <v>387</v>
      </c>
      <c r="E1339" t="s">
        <v>394</v>
      </c>
      <c r="F1339" t="s">
        <v>395</v>
      </c>
      <c r="G1339">
        <v>658.75</v>
      </c>
      <c r="H1339">
        <v>413.23</v>
      </c>
      <c r="I1339">
        <v>243</v>
      </c>
      <c r="J1339">
        <v>173.29</v>
      </c>
      <c r="Q1339"/>
    </row>
    <row r="1340" spans="1:17" x14ac:dyDescent="0.25">
      <c r="A1340">
        <v>5</v>
      </c>
      <c r="B1340">
        <v>2016</v>
      </c>
      <c r="C1340" t="s">
        <v>386</v>
      </c>
      <c r="D1340" t="s">
        <v>387</v>
      </c>
      <c r="E1340" t="s">
        <v>396</v>
      </c>
      <c r="F1340" t="s">
        <v>397</v>
      </c>
      <c r="G1340">
        <v>910.8</v>
      </c>
      <c r="H1340">
        <v>460.23</v>
      </c>
      <c r="I1340">
        <v>439.2</v>
      </c>
      <c r="J1340">
        <v>240.12</v>
      </c>
      <c r="Q1340"/>
    </row>
    <row r="1341" spans="1:17" x14ac:dyDescent="0.25">
      <c r="A1341">
        <v>5</v>
      </c>
      <c r="B1341">
        <v>2016</v>
      </c>
      <c r="C1341" t="s">
        <v>386</v>
      </c>
      <c r="D1341" t="s">
        <v>387</v>
      </c>
      <c r="E1341" t="s">
        <v>398</v>
      </c>
      <c r="F1341" t="s">
        <v>399</v>
      </c>
      <c r="G1341">
        <v>418.2</v>
      </c>
      <c r="H1341">
        <v>102</v>
      </c>
      <c r="I1341">
        <v>826.2</v>
      </c>
      <c r="J1341">
        <v>204</v>
      </c>
      <c r="Q1341"/>
    </row>
    <row r="1342" spans="1:17" x14ac:dyDescent="0.25">
      <c r="A1342">
        <v>5</v>
      </c>
      <c r="B1342">
        <v>2016</v>
      </c>
      <c r="C1342" t="s">
        <v>404</v>
      </c>
      <c r="D1342" t="s">
        <v>405</v>
      </c>
      <c r="E1342" t="s">
        <v>406</v>
      </c>
      <c r="F1342" t="s">
        <v>407</v>
      </c>
      <c r="G1342">
        <v>811.2</v>
      </c>
      <c r="H1342">
        <v>156</v>
      </c>
      <c r="I1342">
        <v>1528.8</v>
      </c>
      <c r="J1342">
        <v>294</v>
      </c>
      <c r="Q1342"/>
    </row>
    <row r="1343" spans="1:17" x14ac:dyDescent="0.25">
      <c r="A1343">
        <v>5</v>
      </c>
      <c r="B1343">
        <v>2016</v>
      </c>
      <c r="C1343" t="s">
        <v>412</v>
      </c>
      <c r="D1343" t="s">
        <v>413</v>
      </c>
      <c r="E1343" t="s">
        <v>414</v>
      </c>
      <c r="F1343" t="s">
        <v>415</v>
      </c>
      <c r="G1343">
        <v>1709.4</v>
      </c>
      <c r="H1343">
        <v>462</v>
      </c>
      <c r="I1343">
        <v>2708.4</v>
      </c>
      <c r="J1343">
        <v>738</v>
      </c>
      <c r="Q1343"/>
    </row>
    <row r="1344" spans="1:17" x14ac:dyDescent="0.25">
      <c r="A1344">
        <v>5</v>
      </c>
      <c r="B1344">
        <v>2016</v>
      </c>
      <c r="C1344" t="s">
        <v>412</v>
      </c>
      <c r="D1344" t="s">
        <v>413</v>
      </c>
      <c r="E1344" t="s">
        <v>756</v>
      </c>
      <c r="F1344" t="s">
        <v>415</v>
      </c>
      <c r="G1344">
        <v>-26.4</v>
      </c>
      <c r="H1344">
        <v>-6</v>
      </c>
      <c r="Q1344"/>
    </row>
    <row r="1345" spans="1:17" x14ac:dyDescent="0.25">
      <c r="A1345">
        <v>5</v>
      </c>
      <c r="B1345">
        <v>2016</v>
      </c>
      <c r="C1345" t="s">
        <v>412</v>
      </c>
      <c r="D1345" t="s">
        <v>413</v>
      </c>
      <c r="E1345" t="s">
        <v>944</v>
      </c>
      <c r="F1345" t="s">
        <v>945</v>
      </c>
      <c r="G1345">
        <v>0</v>
      </c>
      <c r="H1345">
        <v>24</v>
      </c>
      <c r="Q1345"/>
    </row>
    <row r="1346" spans="1:17" x14ac:dyDescent="0.25">
      <c r="A1346">
        <v>5</v>
      </c>
      <c r="B1346">
        <v>2016</v>
      </c>
      <c r="C1346" t="s">
        <v>412</v>
      </c>
      <c r="D1346" t="s">
        <v>413</v>
      </c>
      <c r="E1346" t="s">
        <v>416</v>
      </c>
      <c r="F1346" t="s">
        <v>417</v>
      </c>
      <c r="G1346">
        <v>140.4</v>
      </c>
      <c r="H1346">
        <v>36</v>
      </c>
      <c r="Q1346"/>
    </row>
    <row r="1347" spans="1:17" x14ac:dyDescent="0.25">
      <c r="A1347">
        <v>5</v>
      </c>
      <c r="B1347">
        <v>2016</v>
      </c>
      <c r="C1347" t="s">
        <v>412</v>
      </c>
      <c r="D1347" t="s">
        <v>413</v>
      </c>
      <c r="E1347" t="s">
        <v>418</v>
      </c>
      <c r="F1347" t="s">
        <v>419</v>
      </c>
      <c r="G1347">
        <v>4290.3</v>
      </c>
      <c r="H1347">
        <v>948</v>
      </c>
      <c r="I1347">
        <v>1116</v>
      </c>
      <c r="J1347">
        <v>246</v>
      </c>
      <c r="Q1347"/>
    </row>
    <row r="1348" spans="1:17" x14ac:dyDescent="0.25">
      <c r="A1348">
        <v>5</v>
      </c>
      <c r="B1348">
        <v>2016</v>
      </c>
      <c r="C1348" t="s">
        <v>412</v>
      </c>
      <c r="D1348" t="s">
        <v>413</v>
      </c>
      <c r="E1348" t="s">
        <v>420</v>
      </c>
      <c r="F1348" t="s">
        <v>421</v>
      </c>
      <c r="G1348">
        <v>260.39999999999998</v>
      </c>
      <c r="H1348">
        <v>42</v>
      </c>
      <c r="Q1348"/>
    </row>
    <row r="1349" spans="1:17" x14ac:dyDescent="0.25">
      <c r="A1349">
        <v>5</v>
      </c>
      <c r="B1349">
        <v>2016</v>
      </c>
      <c r="C1349" t="s">
        <v>412</v>
      </c>
      <c r="D1349" t="s">
        <v>413</v>
      </c>
      <c r="E1349" t="s">
        <v>757</v>
      </c>
      <c r="F1349" t="s">
        <v>758</v>
      </c>
      <c r="G1349">
        <v>489.6</v>
      </c>
      <c r="H1349">
        <v>72</v>
      </c>
      <c r="I1349">
        <v>163.19999999999999</v>
      </c>
      <c r="J1349">
        <v>24</v>
      </c>
      <c r="Q1349"/>
    </row>
    <row r="1350" spans="1:17" x14ac:dyDescent="0.25">
      <c r="A1350">
        <v>5</v>
      </c>
      <c r="B1350">
        <v>2016</v>
      </c>
      <c r="C1350" t="s">
        <v>412</v>
      </c>
      <c r="D1350" t="s">
        <v>413</v>
      </c>
      <c r="E1350" t="s">
        <v>759</v>
      </c>
      <c r="F1350" t="s">
        <v>758</v>
      </c>
      <c r="G1350">
        <v>42</v>
      </c>
      <c r="H1350">
        <v>6</v>
      </c>
      <c r="I1350">
        <v>252</v>
      </c>
      <c r="J1350">
        <v>36</v>
      </c>
      <c r="Q1350"/>
    </row>
    <row r="1351" spans="1:17" x14ac:dyDescent="0.25">
      <c r="A1351">
        <v>5</v>
      </c>
      <c r="B1351">
        <v>2016</v>
      </c>
      <c r="C1351" t="s">
        <v>412</v>
      </c>
      <c r="D1351" t="s">
        <v>413</v>
      </c>
      <c r="E1351" t="s">
        <v>946</v>
      </c>
      <c r="F1351" t="s">
        <v>425</v>
      </c>
      <c r="G1351">
        <v>780</v>
      </c>
      <c r="H1351">
        <v>159.96</v>
      </c>
      <c r="Q1351"/>
    </row>
    <row r="1352" spans="1:17" x14ac:dyDescent="0.25">
      <c r="A1352">
        <v>5</v>
      </c>
      <c r="B1352">
        <v>2016</v>
      </c>
      <c r="C1352" t="s">
        <v>432</v>
      </c>
      <c r="D1352" t="s">
        <v>433</v>
      </c>
      <c r="E1352" t="s">
        <v>434</v>
      </c>
      <c r="F1352" t="s">
        <v>435</v>
      </c>
      <c r="G1352">
        <v>99</v>
      </c>
      <c r="H1352">
        <v>36</v>
      </c>
      <c r="I1352">
        <v>390</v>
      </c>
      <c r="J1352">
        <v>150</v>
      </c>
      <c r="Q1352"/>
    </row>
    <row r="1353" spans="1:17" x14ac:dyDescent="0.25">
      <c r="A1353">
        <v>5</v>
      </c>
      <c r="B1353">
        <v>2016</v>
      </c>
      <c r="C1353" t="s">
        <v>432</v>
      </c>
      <c r="D1353" t="s">
        <v>433</v>
      </c>
      <c r="E1353" t="s">
        <v>436</v>
      </c>
      <c r="F1353" t="s">
        <v>437</v>
      </c>
      <c r="G1353">
        <v>289.8</v>
      </c>
      <c r="H1353">
        <v>138</v>
      </c>
      <c r="I1353">
        <v>1635.9</v>
      </c>
      <c r="J1353">
        <v>798</v>
      </c>
      <c r="Q1353"/>
    </row>
    <row r="1354" spans="1:17" x14ac:dyDescent="0.25">
      <c r="A1354">
        <v>5</v>
      </c>
      <c r="B1354">
        <v>2016</v>
      </c>
      <c r="C1354" t="s">
        <v>438</v>
      </c>
      <c r="D1354" t="s">
        <v>439</v>
      </c>
      <c r="E1354" t="s">
        <v>440</v>
      </c>
      <c r="F1354" t="s">
        <v>441</v>
      </c>
      <c r="G1354">
        <v>1545.48</v>
      </c>
      <c r="H1354">
        <v>978</v>
      </c>
      <c r="I1354">
        <v>1384.98</v>
      </c>
      <c r="J1354">
        <v>894</v>
      </c>
      <c r="Q1354"/>
    </row>
    <row r="1355" spans="1:17" x14ac:dyDescent="0.25">
      <c r="A1355">
        <v>5</v>
      </c>
      <c r="B1355">
        <v>2016</v>
      </c>
      <c r="C1355" t="s">
        <v>438</v>
      </c>
      <c r="D1355" t="s">
        <v>439</v>
      </c>
      <c r="E1355" t="s">
        <v>442</v>
      </c>
      <c r="F1355" t="s">
        <v>441</v>
      </c>
      <c r="G1355">
        <v>11223.8</v>
      </c>
      <c r="H1355">
        <v>8010</v>
      </c>
      <c r="I1355">
        <v>2436.2399999999998</v>
      </c>
      <c r="J1355">
        <v>1464</v>
      </c>
      <c r="Q1355"/>
    </row>
    <row r="1356" spans="1:17" x14ac:dyDescent="0.25">
      <c r="A1356">
        <v>5</v>
      </c>
      <c r="B1356">
        <v>2016</v>
      </c>
      <c r="C1356" t="s">
        <v>438</v>
      </c>
      <c r="D1356" t="s">
        <v>439</v>
      </c>
      <c r="E1356" t="s">
        <v>443</v>
      </c>
      <c r="F1356" t="s">
        <v>441</v>
      </c>
      <c r="G1356">
        <v>331.08</v>
      </c>
      <c r="H1356">
        <v>186</v>
      </c>
      <c r="I1356">
        <v>493.44</v>
      </c>
      <c r="J1356">
        <v>294</v>
      </c>
      <c r="Q1356"/>
    </row>
    <row r="1357" spans="1:17" x14ac:dyDescent="0.25">
      <c r="A1357">
        <v>5</v>
      </c>
      <c r="B1357">
        <v>2016</v>
      </c>
      <c r="C1357" t="s">
        <v>438</v>
      </c>
      <c r="D1357" t="s">
        <v>439</v>
      </c>
      <c r="E1357" t="s">
        <v>444</v>
      </c>
      <c r="F1357" t="s">
        <v>445</v>
      </c>
      <c r="G1357">
        <v>50.58</v>
      </c>
      <c r="H1357">
        <v>18</v>
      </c>
      <c r="I1357">
        <v>134.88</v>
      </c>
      <c r="J1357">
        <v>48</v>
      </c>
      <c r="Q1357"/>
    </row>
    <row r="1358" spans="1:17" x14ac:dyDescent="0.25">
      <c r="A1358">
        <v>5</v>
      </c>
      <c r="B1358">
        <v>2016</v>
      </c>
      <c r="C1358" t="s">
        <v>438</v>
      </c>
      <c r="D1358" t="s">
        <v>439</v>
      </c>
      <c r="E1358" t="s">
        <v>446</v>
      </c>
      <c r="F1358" t="s">
        <v>447</v>
      </c>
      <c r="G1358">
        <v>192.72</v>
      </c>
      <c r="H1358">
        <v>66</v>
      </c>
      <c r="I1358">
        <v>51.3</v>
      </c>
      <c r="J1358">
        <v>24</v>
      </c>
      <c r="Q1358"/>
    </row>
    <row r="1359" spans="1:17" x14ac:dyDescent="0.25">
      <c r="A1359">
        <v>5</v>
      </c>
      <c r="B1359">
        <v>2016</v>
      </c>
      <c r="C1359" t="s">
        <v>438</v>
      </c>
      <c r="D1359" t="s">
        <v>439</v>
      </c>
      <c r="E1359" t="s">
        <v>947</v>
      </c>
      <c r="F1359" t="s">
        <v>948</v>
      </c>
      <c r="G1359">
        <v>53.76</v>
      </c>
      <c r="H1359">
        <v>18</v>
      </c>
      <c r="Q1359"/>
    </row>
    <row r="1360" spans="1:17" x14ac:dyDescent="0.25">
      <c r="A1360">
        <v>5</v>
      </c>
      <c r="B1360">
        <v>2016</v>
      </c>
      <c r="C1360" t="s">
        <v>448</v>
      </c>
      <c r="D1360" t="s">
        <v>449</v>
      </c>
      <c r="E1360" t="s">
        <v>450</v>
      </c>
      <c r="F1360" t="s">
        <v>451</v>
      </c>
      <c r="G1360">
        <v>224.4</v>
      </c>
      <c r="H1360">
        <v>159.96</v>
      </c>
      <c r="I1360">
        <v>345.8</v>
      </c>
      <c r="J1360">
        <v>253.27</v>
      </c>
      <c r="Q1360"/>
    </row>
    <row r="1361" spans="1:17" x14ac:dyDescent="0.25">
      <c r="A1361">
        <v>5</v>
      </c>
      <c r="B1361">
        <v>2016</v>
      </c>
      <c r="C1361" t="s">
        <v>448</v>
      </c>
      <c r="D1361" t="s">
        <v>449</v>
      </c>
      <c r="E1361" t="s">
        <v>452</v>
      </c>
      <c r="F1361" t="s">
        <v>451</v>
      </c>
      <c r="G1361">
        <v>278.75</v>
      </c>
      <c r="H1361">
        <v>160.07999999999998</v>
      </c>
      <c r="I1361">
        <v>365.5</v>
      </c>
      <c r="J1361">
        <v>233.45</v>
      </c>
      <c r="Q1361"/>
    </row>
    <row r="1362" spans="1:17" x14ac:dyDescent="0.25">
      <c r="A1362">
        <v>5</v>
      </c>
      <c r="B1362">
        <v>2016</v>
      </c>
      <c r="C1362" t="s">
        <v>448</v>
      </c>
      <c r="D1362" t="s">
        <v>449</v>
      </c>
      <c r="E1362" t="s">
        <v>949</v>
      </c>
      <c r="F1362" t="s">
        <v>451</v>
      </c>
      <c r="G1362">
        <v>14.4</v>
      </c>
      <c r="H1362">
        <v>6</v>
      </c>
      <c r="Q1362"/>
    </row>
    <row r="1363" spans="1:17" x14ac:dyDescent="0.25">
      <c r="A1363">
        <v>5</v>
      </c>
      <c r="B1363">
        <v>2016</v>
      </c>
      <c r="C1363" t="s">
        <v>448</v>
      </c>
      <c r="D1363" t="s">
        <v>449</v>
      </c>
      <c r="E1363" t="s">
        <v>453</v>
      </c>
      <c r="F1363" t="s">
        <v>454</v>
      </c>
      <c r="G1363">
        <v>113.4</v>
      </c>
      <c r="H1363">
        <v>36</v>
      </c>
      <c r="I1363">
        <v>91.5</v>
      </c>
      <c r="J1363">
        <v>30</v>
      </c>
      <c r="Q1363"/>
    </row>
    <row r="1364" spans="1:17" x14ac:dyDescent="0.25">
      <c r="A1364">
        <v>5</v>
      </c>
      <c r="B1364">
        <v>2016</v>
      </c>
      <c r="C1364" t="s">
        <v>455</v>
      </c>
      <c r="D1364" t="s">
        <v>456</v>
      </c>
      <c r="E1364" t="s">
        <v>457</v>
      </c>
      <c r="F1364" t="s">
        <v>458</v>
      </c>
      <c r="G1364">
        <v>1368</v>
      </c>
      <c r="H1364">
        <v>240</v>
      </c>
      <c r="I1364">
        <v>1815</v>
      </c>
      <c r="J1364">
        <v>330</v>
      </c>
      <c r="Q1364"/>
    </row>
    <row r="1365" spans="1:17" x14ac:dyDescent="0.25">
      <c r="A1365">
        <v>5</v>
      </c>
      <c r="B1365">
        <v>2016</v>
      </c>
      <c r="C1365" t="s">
        <v>455</v>
      </c>
      <c r="D1365" t="s">
        <v>456</v>
      </c>
      <c r="E1365" t="s">
        <v>459</v>
      </c>
      <c r="F1365" t="s">
        <v>458</v>
      </c>
      <c r="G1365">
        <v>75.599999999999994</v>
      </c>
      <c r="H1365">
        <v>12</v>
      </c>
      <c r="I1365">
        <v>36.6</v>
      </c>
      <c r="J1365">
        <v>6</v>
      </c>
      <c r="Q1365"/>
    </row>
    <row r="1366" spans="1:17" x14ac:dyDescent="0.25">
      <c r="A1366">
        <v>5</v>
      </c>
      <c r="B1366">
        <v>2016</v>
      </c>
      <c r="C1366" t="s">
        <v>455</v>
      </c>
      <c r="D1366" t="s">
        <v>456</v>
      </c>
      <c r="E1366" t="s">
        <v>460</v>
      </c>
      <c r="F1366" t="s">
        <v>458</v>
      </c>
      <c r="G1366">
        <v>720</v>
      </c>
      <c r="H1366">
        <v>120</v>
      </c>
      <c r="I1366">
        <v>1138.5</v>
      </c>
      <c r="J1366">
        <v>198</v>
      </c>
      <c r="Q1366"/>
    </row>
    <row r="1367" spans="1:17" x14ac:dyDescent="0.25">
      <c r="A1367">
        <v>5</v>
      </c>
      <c r="B1367">
        <v>2016</v>
      </c>
      <c r="C1367" t="s">
        <v>455</v>
      </c>
      <c r="D1367" t="s">
        <v>456</v>
      </c>
      <c r="E1367" t="s">
        <v>461</v>
      </c>
      <c r="F1367" t="s">
        <v>458</v>
      </c>
      <c r="G1367">
        <v>79.2</v>
      </c>
      <c r="H1367">
        <v>12</v>
      </c>
      <c r="I1367">
        <v>345.6</v>
      </c>
      <c r="J1367">
        <v>54</v>
      </c>
      <c r="Q1367"/>
    </row>
    <row r="1368" spans="1:17" x14ac:dyDescent="0.25">
      <c r="A1368">
        <v>5</v>
      </c>
      <c r="B1368">
        <v>2016</v>
      </c>
      <c r="C1368" t="s">
        <v>476</v>
      </c>
      <c r="D1368" t="s">
        <v>477</v>
      </c>
      <c r="E1368" t="s">
        <v>478</v>
      </c>
      <c r="F1368" t="s">
        <v>479</v>
      </c>
      <c r="G1368">
        <v>603</v>
      </c>
      <c r="H1368">
        <v>90</v>
      </c>
      <c r="I1368">
        <v>1420.8</v>
      </c>
      <c r="J1368">
        <v>222</v>
      </c>
      <c r="Q1368"/>
    </row>
    <row r="1369" spans="1:17" x14ac:dyDescent="0.25">
      <c r="A1369">
        <v>5</v>
      </c>
      <c r="B1369">
        <v>2016</v>
      </c>
      <c r="C1369" t="s">
        <v>476</v>
      </c>
      <c r="D1369" t="s">
        <v>477</v>
      </c>
      <c r="E1369" t="s">
        <v>484</v>
      </c>
      <c r="F1369" t="s">
        <v>483</v>
      </c>
      <c r="G1369">
        <v>42.5</v>
      </c>
      <c r="H1369">
        <v>26.68</v>
      </c>
      <c r="I1369">
        <v>160</v>
      </c>
      <c r="J1369">
        <v>133.4</v>
      </c>
      <c r="Q1369"/>
    </row>
    <row r="1370" spans="1:17" x14ac:dyDescent="0.25">
      <c r="A1370">
        <v>5</v>
      </c>
      <c r="B1370">
        <v>2016</v>
      </c>
      <c r="C1370" t="s">
        <v>485</v>
      </c>
      <c r="D1370" t="s">
        <v>486</v>
      </c>
      <c r="E1370" t="s">
        <v>487</v>
      </c>
      <c r="F1370" t="s">
        <v>488</v>
      </c>
      <c r="G1370">
        <v>1076.4000000000001</v>
      </c>
      <c r="H1370">
        <v>234</v>
      </c>
      <c r="I1370">
        <v>1856.4</v>
      </c>
      <c r="J1370">
        <v>408</v>
      </c>
      <c r="Q1370"/>
    </row>
    <row r="1371" spans="1:17" x14ac:dyDescent="0.25">
      <c r="A1371">
        <v>5</v>
      </c>
      <c r="B1371">
        <v>2016</v>
      </c>
      <c r="C1371" t="s">
        <v>485</v>
      </c>
      <c r="D1371" t="s">
        <v>486</v>
      </c>
      <c r="E1371" t="s">
        <v>763</v>
      </c>
      <c r="F1371" t="s">
        <v>764</v>
      </c>
      <c r="G1371">
        <v>33</v>
      </c>
      <c r="H1371">
        <v>6</v>
      </c>
      <c r="Q1371"/>
    </row>
    <row r="1372" spans="1:17" x14ac:dyDescent="0.25">
      <c r="A1372">
        <v>5</v>
      </c>
      <c r="B1372">
        <v>2016</v>
      </c>
      <c r="C1372" t="s">
        <v>765</v>
      </c>
      <c r="D1372" t="s">
        <v>766</v>
      </c>
      <c r="E1372" t="s">
        <v>769</v>
      </c>
      <c r="F1372" t="s">
        <v>770</v>
      </c>
      <c r="G1372">
        <v>216</v>
      </c>
      <c r="H1372">
        <v>60</v>
      </c>
      <c r="Q1372"/>
    </row>
    <row r="1373" spans="1:17" x14ac:dyDescent="0.25">
      <c r="A1373">
        <v>5</v>
      </c>
      <c r="B1373">
        <v>2016</v>
      </c>
      <c r="C1373" t="s">
        <v>765</v>
      </c>
      <c r="D1373" t="s">
        <v>766</v>
      </c>
      <c r="E1373" t="s">
        <v>771</v>
      </c>
      <c r="F1373" t="s">
        <v>772</v>
      </c>
      <c r="G1373">
        <v>499.2</v>
      </c>
      <c r="H1373">
        <v>96</v>
      </c>
      <c r="Q1373"/>
    </row>
    <row r="1374" spans="1:17" x14ac:dyDescent="0.25">
      <c r="A1374">
        <v>5</v>
      </c>
      <c r="B1374">
        <v>2016</v>
      </c>
      <c r="C1374" t="s">
        <v>506</v>
      </c>
      <c r="D1374" t="s">
        <v>507</v>
      </c>
      <c r="E1374" t="s">
        <v>508</v>
      </c>
      <c r="F1374" t="s">
        <v>509</v>
      </c>
      <c r="G1374">
        <v>567</v>
      </c>
      <c r="H1374">
        <v>126</v>
      </c>
      <c r="I1374">
        <v>-184.8</v>
      </c>
      <c r="J1374">
        <v>-42</v>
      </c>
      <c r="Q1374"/>
    </row>
    <row r="1375" spans="1:17" x14ac:dyDescent="0.25">
      <c r="A1375">
        <v>5</v>
      </c>
      <c r="B1375">
        <v>2016</v>
      </c>
      <c r="C1375" t="s">
        <v>506</v>
      </c>
      <c r="D1375" t="s">
        <v>507</v>
      </c>
      <c r="E1375" t="s">
        <v>510</v>
      </c>
      <c r="F1375" t="s">
        <v>511</v>
      </c>
      <c r="G1375">
        <v>554.4</v>
      </c>
      <c r="H1375">
        <v>168</v>
      </c>
      <c r="I1375">
        <v>1017.6</v>
      </c>
      <c r="J1375">
        <v>318</v>
      </c>
      <c r="Q1375"/>
    </row>
    <row r="1376" spans="1:17" x14ac:dyDescent="0.25">
      <c r="A1376">
        <v>5</v>
      </c>
      <c r="B1376">
        <v>2016</v>
      </c>
      <c r="C1376" t="s">
        <v>506</v>
      </c>
      <c r="D1376" t="s">
        <v>507</v>
      </c>
      <c r="E1376" t="s">
        <v>514</v>
      </c>
      <c r="F1376" t="s">
        <v>515</v>
      </c>
      <c r="G1376">
        <v>226.8</v>
      </c>
      <c r="H1376">
        <v>36</v>
      </c>
      <c r="I1376">
        <v>483.6</v>
      </c>
      <c r="J1376">
        <v>78</v>
      </c>
      <c r="Q1376"/>
    </row>
    <row r="1377" spans="1:17" x14ac:dyDescent="0.25">
      <c r="A1377">
        <v>5</v>
      </c>
      <c r="B1377">
        <v>2016</v>
      </c>
      <c r="C1377" t="s">
        <v>524</v>
      </c>
      <c r="D1377" t="s">
        <v>525</v>
      </c>
      <c r="E1377" t="s">
        <v>526</v>
      </c>
      <c r="F1377" t="s">
        <v>527</v>
      </c>
      <c r="G1377">
        <v>1713.6</v>
      </c>
      <c r="H1377">
        <v>612</v>
      </c>
      <c r="I1377">
        <v>1272</v>
      </c>
      <c r="J1377">
        <v>480</v>
      </c>
      <c r="Q1377"/>
    </row>
    <row r="1378" spans="1:17" x14ac:dyDescent="0.25">
      <c r="A1378">
        <v>5</v>
      </c>
      <c r="B1378">
        <v>2016</v>
      </c>
      <c r="C1378" t="s">
        <v>524</v>
      </c>
      <c r="D1378" t="s">
        <v>525</v>
      </c>
      <c r="E1378" t="s">
        <v>528</v>
      </c>
      <c r="F1378" t="s">
        <v>529</v>
      </c>
      <c r="G1378">
        <v>415.8</v>
      </c>
      <c r="H1378">
        <v>84</v>
      </c>
      <c r="I1378">
        <v>57.6</v>
      </c>
      <c r="J1378">
        <v>12</v>
      </c>
      <c r="Q1378"/>
    </row>
    <row r="1379" spans="1:17" x14ac:dyDescent="0.25">
      <c r="A1379">
        <v>5</v>
      </c>
      <c r="B1379">
        <v>2016</v>
      </c>
      <c r="C1379" t="s">
        <v>530</v>
      </c>
      <c r="D1379" t="s">
        <v>531</v>
      </c>
      <c r="E1379" t="s">
        <v>532</v>
      </c>
      <c r="F1379" t="s">
        <v>533</v>
      </c>
      <c r="G1379">
        <v>851.4</v>
      </c>
      <c r="H1379">
        <v>198</v>
      </c>
      <c r="I1379">
        <v>352.8</v>
      </c>
      <c r="J1379">
        <v>84</v>
      </c>
      <c r="Q1379"/>
    </row>
    <row r="1380" spans="1:17" x14ac:dyDescent="0.25">
      <c r="A1380">
        <v>5</v>
      </c>
      <c r="B1380">
        <v>2016</v>
      </c>
      <c r="C1380" t="s">
        <v>534</v>
      </c>
      <c r="D1380" t="s">
        <v>535</v>
      </c>
      <c r="E1380" t="s">
        <v>536</v>
      </c>
      <c r="F1380" t="s">
        <v>537</v>
      </c>
      <c r="G1380">
        <v>24</v>
      </c>
      <c r="H1380">
        <v>6</v>
      </c>
      <c r="Q1380"/>
    </row>
    <row r="1381" spans="1:17" x14ac:dyDescent="0.25">
      <c r="A1381">
        <v>5</v>
      </c>
      <c r="B1381">
        <v>2016</v>
      </c>
      <c r="C1381" t="s">
        <v>539</v>
      </c>
      <c r="D1381" t="s">
        <v>540</v>
      </c>
      <c r="E1381" t="s">
        <v>541</v>
      </c>
      <c r="F1381" t="s">
        <v>542</v>
      </c>
      <c r="G1381">
        <v>881.4</v>
      </c>
      <c r="H1381">
        <v>162</v>
      </c>
      <c r="I1381">
        <v>366.3</v>
      </c>
      <c r="J1381">
        <v>66</v>
      </c>
      <c r="Q1381"/>
    </row>
    <row r="1382" spans="1:17" x14ac:dyDescent="0.25">
      <c r="A1382">
        <v>5</v>
      </c>
      <c r="B1382">
        <v>2016</v>
      </c>
      <c r="C1382" t="s">
        <v>543</v>
      </c>
      <c r="D1382" t="s">
        <v>544</v>
      </c>
      <c r="E1382" t="s">
        <v>833</v>
      </c>
      <c r="F1382" t="s">
        <v>834</v>
      </c>
      <c r="G1382">
        <v>139.19999999999999</v>
      </c>
      <c r="H1382">
        <v>24</v>
      </c>
      <c r="I1382">
        <v>1491.6</v>
      </c>
      <c r="J1382">
        <v>264</v>
      </c>
      <c r="Q1382"/>
    </row>
    <row r="1383" spans="1:17" x14ac:dyDescent="0.25">
      <c r="A1383">
        <v>5</v>
      </c>
      <c r="B1383">
        <v>2016</v>
      </c>
      <c r="C1383" t="s">
        <v>543</v>
      </c>
      <c r="D1383" t="s">
        <v>544</v>
      </c>
      <c r="E1383" t="s">
        <v>548</v>
      </c>
      <c r="F1383" t="s">
        <v>549</v>
      </c>
      <c r="G1383">
        <v>64.8</v>
      </c>
      <c r="H1383">
        <v>6</v>
      </c>
      <c r="I1383">
        <v>248.4</v>
      </c>
      <c r="J1383">
        <v>24</v>
      </c>
      <c r="Q1383"/>
    </row>
    <row r="1384" spans="1:17" x14ac:dyDescent="0.25">
      <c r="A1384">
        <v>5</v>
      </c>
      <c r="B1384">
        <v>2016</v>
      </c>
      <c r="C1384" t="s">
        <v>554</v>
      </c>
      <c r="D1384" t="s">
        <v>555</v>
      </c>
      <c r="E1384" t="s">
        <v>556</v>
      </c>
      <c r="F1384" t="s">
        <v>557</v>
      </c>
      <c r="G1384">
        <v>219.6</v>
      </c>
      <c r="H1384">
        <v>72</v>
      </c>
      <c r="I1384">
        <v>371.7</v>
      </c>
      <c r="J1384">
        <v>126</v>
      </c>
      <c r="Q1384"/>
    </row>
    <row r="1385" spans="1:17" x14ac:dyDescent="0.25">
      <c r="A1385">
        <v>5</v>
      </c>
      <c r="B1385">
        <v>2016</v>
      </c>
      <c r="C1385" t="s">
        <v>560</v>
      </c>
      <c r="D1385" t="s">
        <v>561</v>
      </c>
      <c r="E1385" t="s">
        <v>562</v>
      </c>
      <c r="F1385" t="s">
        <v>563</v>
      </c>
      <c r="G1385">
        <v>835.2</v>
      </c>
      <c r="H1385">
        <v>288</v>
      </c>
      <c r="I1385">
        <v>1663.2</v>
      </c>
      <c r="J1385">
        <v>594</v>
      </c>
      <c r="Q1385"/>
    </row>
    <row r="1386" spans="1:17" x14ac:dyDescent="0.25">
      <c r="A1386">
        <v>5</v>
      </c>
      <c r="B1386">
        <v>2016</v>
      </c>
      <c r="C1386" t="s">
        <v>560</v>
      </c>
      <c r="D1386" t="s">
        <v>561</v>
      </c>
      <c r="E1386" t="s">
        <v>564</v>
      </c>
      <c r="F1386" t="s">
        <v>565</v>
      </c>
      <c r="G1386">
        <v>309.60000000000002</v>
      </c>
      <c r="H1386">
        <v>72</v>
      </c>
      <c r="I1386">
        <v>288</v>
      </c>
      <c r="J1386">
        <v>72</v>
      </c>
      <c r="Q1386"/>
    </row>
    <row r="1387" spans="1:17" x14ac:dyDescent="0.25">
      <c r="A1387">
        <v>5</v>
      </c>
      <c r="B1387">
        <v>2016</v>
      </c>
      <c r="C1387" t="s">
        <v>560</v>
      </c>
      <c r="D1387" t="s">
        <v>561</v>
      </c>
      <c r="E1387" t="s">
        <v>773</v>
      </c>
      <c r="F1387" t="s">
        <v>774</v>
      </c>
      <c r="G1387">
        <v>17.399999999999999</v>
      </c>
      <c r="H1387">
        <v>0</v>
      </c>
      <c r="I1387">
        <v>84</v>
      </c>
      <c r="J1387">
        <v>30</v>
      </c>
      <c r="Q1387"/>
    </row>
    <row r="1388" spans="1:17" x14ac:dyDescent="0.25">
      <c r="A1388">
        <v>5</v>
      </c>
      <c r="B1388">
        <v>2016</v>
      </c>
      <c r="C1388" t="s">
        <v>560</v>
      </c>
      <c r="D1388" t="s">
        <v>561</v>
      </c>
      <c r="E1388" t="s">
        <v>775</v>
      </c>
      <c r="F1388" t="s">
        <v>776</v>
      </c>
      <c r="G1388">
        <v>30</v>
      </c>
      <c r="H1388">
        <v>12</v>
      </c>
      <c r="Q1388"/>
    </row>
    <row r="1389" spans="1:17" x14ac:dyDescent="0.25">
      <c r="A1389">
        <v>5</v>
      </c>
      <c r="B1389">
        <v>2016</v>
      </c>
      <c r="C1389" t="s">
        <v>571</v>
      </c>
      <c r="D1389" t="s">
        <v>572</v>
      </c>
      <c r="E1389" t="s">
        <v>575</v>
      </c>
      <c r="F1389" t="s">
        <v>574</v>
      </c>
      <c r="G1389">
        <v>475.2</v>
      </c>
      <c r="H1389">
        <v>72</v>
      </c>
      <c r="Q1389"/>
    </row>
    <row r="1390" spans="1:17" x14ac:dyDescent="0.25">
      <c r="A1390">
        <v>5</v>
      </c>
      <c r="B1390">
        <v>2016</v>
      </c>
      <c r="C1390" t="s">
        <v>571</v>
      </c>
      <c r="D1390" t="s">
        <v>572</v>
      </c>
      <c r="E1390" t="s">
        <v>578</v>
      </c>
      <c r="F1390" t="s">
        <v>579</v>
      </c>
      <c r="G1390">
        <v>54</v>
      </c>
      <c r="H1390">
        <v>12</v>
      </c>
      <c r="Q1390"/>
    </row>
    <row r="1391" spans="1:17" x14ac:dyDescent="0.25">
      <c r="A1391">
        <v>5</v>
      </c>
      <c r="B1391">
        <v>2016</v>
      </c>
      <c r="C1391" t="s">
        <v>571</v>
      </c>
      <c r="D1391" t="s">
        <v>572</v>
      </c>
      <c r="E1391" t="s">
        <v>777</v>
      </c>
      <c r="F1391" t="s">
        <v>778</v>
      </c>
      <c r="G1391">
        <v>342</v>
      </c>
      <c r="H1391">
        <v>113.39</v>
      </c>
      <c r="Q1391"/>
    </row>
    <row r="1392" spans="1:17" x14ac:dyDescent="0.25">
      <c r="A1392">
        <v>5</v>
      </c>
      <c r="B1392">
        <v>2016</v>
      </c>
      <c r="C1392" t="s">
        <v>571</v>
      </c>
      <c r="D1392" t="s">
        <v>572</v>
      </c>
      <c r="E1392" t="s">
        <v>580</v>
      </c>
      <c r="F1392" t="s">
        <v>581</v>
      </c>
      <c r="G1392">
        <v>53.1</v>
      </c>
      <c r="H1392">
        <v>6</v>
      </c>
      <c r="Q1392"/>
    </row>
    <row r="1393" spans="1:17" x14ac:dyDescent="0.25">
      <c r="A1393">
        <v>5</v>
      </c>
      <c r="B1393">
        <v>2016</v>
      </c>
      <c r="C1393" t="s">
        <v>582</v>
      </c>
      <c r="D1393" t="s">
        <v>583</v>
      </c>
      <c r="E1393" t="s">
        <v>584</v>
      </c>
      <c r="F1393" t="s">
        <v>585</v>
      </c>
      <c r="G1393">
        <v>615</v>
      </c>
      <c r="H1393">
        <v>150</v>
      </c>
      <c r="I1393">
        <v>1392</v>
      </c>
      <c r="J1393">
        <v>348</v>
      </c>
      <c r="Q1393"/>
    </row>
    <row r="1394" spans="1:17" x14ac:dyDescent="0.25">
      <c r="A1394">
        <v>5</v>
      </c>
      <c r="B1394">
        <v>2016</v>
      </c>
      <c r="C1394" t="s">
        <v>582</v>
      </c>
      <c r="D1394" t="s">
        <v>583</v>
      </c>
      <c r="E1394" t="s">
        <v>779</v>
      </c>
      <c r="F1394" t="s">
        <v>780</v>
      </c>
      <c r="G1394">
        <v>207</v>
      </c>
      <c r="H1394">
        <v>60</v>
      </c>
      <c r="I1394">
        <v>160.80000000000001</v>
      </c>
      <c r="J1394">
        <v>48</v>
      </c>
      <c r="Q1394"/>
    </row>
    <row r="1395" spans="1:17" x14ac:dyDescent="0.25">
      <c r="A1395">
        <v>5</v>
      </c>
      <c r="B1395">
        <v>2016</v>
      </c>
      <c r="C1395" t="s">
        <v>588</v>
      </c>
      <c r="D1395" t="s">
        <v>589</v>
      </c>
      <c r="E1395" t="s">
        <v>590</v>
      </c>
      <c r="F1395" t="s">
        <v>591</v>
      </c>
      <c r="G1395">
        <v>1233.0999999999999</v>
      </c>
      <c r="H1395">
        <v>418</v>
      </c>
      <c r="I1395">
        <v>469.8</v>
      </c>
      <c r="J1395">
        <v>162</v>
      </c>
      <c r="Q1395"/>
    </row>
    <row r="1396" spans="1:17" x14ac:dyDescent="0.25">
      <c r="A1396">
        <v>5</v>
      </c>
      <c r="B1396">
        <v>2016</v>
      </c>
      <c r="C1396" t="s">
        <v>588</v>
      </c>
      <c r="D1396" t="s">
        <v>589</v>
      </c>
      <c r="E1396" t="s">
        <v>592</v>
      </c>
      <c r="F1396" t="s">
        <v>593</v>
      </c>
      <c r="G1396">
        <v>1348.62</v>
      </c>
      <c r="H1396">
        <v>552</v>
      </c>
      <c r="I1396">
        <v>842.16</v>
      </c>
      <c r="J1396">
        <v>348</v>
      </c>
      <c r="Q1396"/>
    </row>
    <row r="1397" spans="1:17" x14ac:dyDescent="0.25">
      <c r="A1397">
        <v>5</v>
      </c>
      <c r="B1397">
        <v>2016</v>
      </c>
      <c r="C1397" t="s">
        <v>588</v>
      </c>
      <c r="D1397" t="s">
        <v>589</v>
      </c>
      <c r="E1397" t="s">
        <v>781</v>
      </c>
      <c r="F1397" t="s">
        <v>782</v>
      </c>
      <c r="G1397">
        <v>103.2</v>
      </c>
      <c r="H1397">
        <v>24</v>
      </c>
      <c r="Q1397"/>
    </row>
    <row r="1398" spans="1:17" x14ac:dyDescent="0.25">
      <c r="A1398">
        <v>5</v>
      </c>
      <c r="B1398">
        <v>2016</v>
      </c>
      <c r="C1398" t="s">
        <v>588</v>
      </c>
      <c r="D1398" t="s">
        <v>589</v>
      </c>
      <c r="E1398" t="s">
        <v>594</v>
      </c>
      <c r="F1398" t="s">
        <v>595</v>
      </c>
      <c r="G1398">
        <v>740</v>
      </c>
      <c r="H1398">
        <v>533.20000000000005</v>
      </c>
      <c r="I1398">
        <v>906.5</v>
      </c>
      <c r="J1398">
        <v>653.16999999999996</v>
      </c>
      <c r="Q1398"/>
    </row>
    <row r="1399" spans="1:17" x14ac:dyDescent="0.25">
      <c r="A1399">
        <v>5</v>
      </c>
      <c r="B1399">
        <v>2016</v>
      </c>
      <c r="C1399" t="s">
        <v>588</v>
      </c>
      <c r="D1399" t="s">
        <v>589</v>
      </c>
      <c r="E1399" t="s">
        <v>596</v>
      </c>
      <c r="F1399" t="s">
        <v>595</v>
      </c>
      <c r="G1399">
        <v>493.5</v>
      </c>
      <c r="H1399">
        <v>306.82</v>
      </c>
      <c r="I1399">
        <v>189</v>
      </c>
      <c r="J1399">
        <v>126.73</v>
      </c>
      <c r="Q1399"/>
    </row>
    <row r="1400" spans="1:17" x14ac:dyDescent="0.25">
      <c r="A1400">
        <v>5</v>
      </c>
      <c r="B1400">
        <v>2016</v>
      </c>
      <c r="C1400" t="s">
        <v>588</v>
      </c>
      <c r="D1400" t="s">
        <v>589</v>
      </c>
      <c r="E1400" t="s">
        <v>842</v>
      </c>
      <c r="F1400" t="s">
        <v>843</v>
      </c>
      <c r="G1400">
        <v>215</v>
      </c>
      <c r="H1400">
        <v>96</v>
      </c>
      <c r="Q1400"/>
    </row>
    <row r="1401" spans="1:17" x14ac:dyDescent="0.25">
      <c r="A1401">
        <v>5</v>
      </c>
      <c r="B1401">
        <v>2016</v>
      </c>
      <c r="C1401" t="s">
        <v>605</v>
      </c>
      <c r="D1401" t="s">
        <v>606</v>
      </c>
      <c r="E1401" t="s">
        <v>607</v>
      </c>
      <c r="F1401" t="s">
        <v>608</v>
      </c>
      <c r="G1401">
        <v>2477.52</v>
      </c>
      <c r="H1401">
        <v>666</v>
      </c>
      <c r="I1401">
        <v>1964.16</v>
      </c>
      <c r="J1401">
        <v>534</v>
      </c>
      <c r="Q1401"/>
    </row>
    <row r="1402" spans="1:17" x14ac:dyDescent="0.25">
      <c r="A1402">
        <v>5</v>
      </c>
      <c r="B1402">
        <v>2016</v>
      </c>
      <c r="C1402" t="s">
        <v>605</v>
      </c>
      <c r="D1402" t="s">
        <v>606</v>
      </c>
      <c r="E1402" t="s">
        <v>609</v>
      </c>
      <c r="F1402" t="s">
        <v>610</v>
      </c>
      <c r="G1402">
        <v>223.2</v>
      </c>
      <c r="H1402">
        <v>36</v>
      </c>
      <c r="I1402">
        <v>146.88</v>
      </c>
      <c r="J1402">
        <v>24</v>
      </c>
      <c r="Q1402"/>
    </row>
    <row r="1403" spans="1:17" x14ac:dyDescent="0.25">
      <c r="A1403">
        <v>5</v>
      </c>
      <c r="B1403">
        <v>2016</v>
      </c>
      <c r="C1403" t="s">
        <v>605</v>
      </c>
      <c r="D1403" t="s">
        <v>606</v>
      </c>
      <c r="E1403" t="s">
        <v>611</v>
      </c>
      <c r="F1403" t="s">
        <v>612</v>
      </c>
      <c r="G1403">
        <v>1513.68</v>
      </c>
      <c r="H1403">
        <v>762</v>
      </c>
      <c r="I1403">
        <v>419.76</v>
      </c>
      <c r="J1403">
        <v>234</v>
      </c>
      <c r="Q1403"/>
    </row>
    <row r="1404" spans="1:17" x14ac:dyDescent="0.25">
      <c r="A1404">
        <v>5</v>
      </c>
      <c r="B1404">
        <v>2016</v>
      </c>
      <c r="C1404" t="s">
        <v>605</v>
      </c>
      <c r="D1404" t="s">
        <v>606</v>
      </c>
      <c r="E1404" t="s">
        <v>907</v>
      </c>
      <c r="F1404" t="s">
        <v>908</v>
      </c>
      <c r="G1404">
        <v>1133</v>
      </c>
      <c r="H1404">
        <v>558</v>
      </c>
      <c r="Q1404"/>
    </row>
    <row r="1405" spans="1:17" x14ac:dyDescent="0.25">
      <c r="A1405">
        <v>5</v>
      </c>
      <c r="B1405">
        <v>2016</v>
      </c>
      <c r="C1405" t="s">
        <v>605</v>
      </c>
      <c r="D1405" t="s">
        <v>606</v>
      </c>
      <c r="E1405" t="s">
        <v>909</v>
      </c>
      <c r="F1405" t="s">
        <v>908</v>
      </c>
      <c r="G1405">
        <v>1476.2</v>
      </c>
      <c r="H1405">
        <v>720</v>
      </c>
      <c r="Q1405"/>
    </row>
    <row r="1406" spans="1:17" x14ac:dyDescent="0.25">
      <c r="A1406">
        <v>5</v>
      </c>
      <c r="B1406">
        <v>2016</v>
      </c>
      <c r="C1406" t="s">
        <v>605</v>
      </c>
      <c r="D1406" t="s">
        <v>606</v>
      </c>
      <c r="E1406" t="s">
        <v>910</v>
      </c>
      <c r="F1406" t="s">
        <v>908</v>
      </c>
      <c r="G1406">
        <v>1205.2</v>
      </c>
      <c r="H1406">
        <v>570</v>
      </c>
      <c r="Q1406"/>
    </row>
    <row r="1407" spans="1:17" x14ac:dyDescent="0.25">
      <c r="A1407">
        <v>5</v>
      </c>
      <c r="B1407">
        <v>2016</v>
      </c>
      <c r="C1407" t="s">
        <v>605</v>
      </c>
      <c r="D1407" t="s">
        <v>606</v>
      </c>
      <c r="E1407" t="s">
        <v>911</v>
      </c>
      <c r="F1407" t="s">
        <v>912</v>
      </c>
      <c r="G1407">
        <v>35.4</v>
      </c>
      <c r="H1407">
        <v>6</v>
      </c>
      <c r="Q1407"/>
    </row>
    <row r="1408" spans="1:17" x14ac:dyDescent="0.25">
      <c r="A1408">
        <v>5</v>
      </c>
      <c r="B1408">
        <v>2016</v>
      </c>
      <c r="C1408" t="s">
        <v>605</v>
      </c>
      <c r="D1408" t="s">
        <v>606</v>
      </c>
      <c r="E1408" t="s">
        <v>613</v>
      </c>
      <c r="F1408" t="s">
        <v>614</v>
      </c>
      <c r="G1408">
        <v>1246.2</v>
      </c>
      <c r="H1408">
        <v>1239.69</v>
      </c>
      <c r="I1408">
        <v>1037.4000000000001</v>
      </c>
      <c r="J1408">
        <v>1039.74</v>
      </c>
      <c r="Q1408"/>
    </row>
    <row r="1409" spans="1:17" x14ac:dyDescent="0.25">
      <c r="A1409">
        <v>5</v>
      </c>
      <c r="B1409">
        <v>2016</v>
      </c>
      <c r="C1409" t="s">
        <v>605</v>
      </c>
      <c r="D1409" t="s">
        <v>606</v>
      </c>
      <c r="E1409" t="s">
        <v>615</v>
      </c>
      <c r="F1409" t="s">
        <v>614</v>
      </c>
      <c r="G1409">
        <v>627.20000000000005</v>
      </c>
      <c r="H1409">
        <v>546.93999999999994</v>
      </c>
      <c r="I1409">
        <v>1121.76</v>
      </c>
      <c r="J1409">
        <v>980.49</v>
      </c>
      <c r="Q1409"/>
    </row>
    <row r="1410" spans="1:17" x14ac:dyDescent="0.25">
      <c r="A1410">
        <v>5</v>
      </c>
      <c r="B1410">
        <v>2016</v>
      </c>
      <c r="C1410" t="s">
        <v>605</v>
      </c>
      <c r="D1410" t="s">
        <v>606</v>
      </c>
      <c r="E1410" t="s">
        <v>616</v>
      </c>
      <c r="F1410" t="s">
        <v>617</v>
      </c>
      <c r="G1410">
        <v>456.3</v>
      </c>
      <c r="H1410">
        <v>346.58</v>
      </c>
      <c r="I1410">
        <v>456.3</v>
      </c>
      <c r="J1410">
        <v>346.58</v>
      </c>
      <c r="Q1410"/>
    </row>
    <row r="1411" spans="1:17" x14ac:dyDescent="0.25">
      <c r="A1411">
        <v>5</v>
      </c>
      <c r="B1411">
        <v>2016</v>
      </c>
      <c r="C1411" t="s">
        <v>605</v>
      </c>
      <c r="D1411" t="s">
        <v>606</v>
      </c>
      <c r="E1411" t="s">
        <v>618</v>
      </c>
      <c r="F1411" t="s">
        <v>617</v>
      </c>
      <c r="G1411">
        <v>816.72</v>
      </c>
      <c r="H1411">
        <v>553.61</v>
      </c>
      <c r="I1411">
        <v>936.24</v>
      </c>
      <c r="J1411">
        <v>633.65</v>
      </c>
      <c r="Q1411"/>
    </row>
    <row r="1412" spans="1:17" x14ac:dyDescent="0.25">
      <c r="A1412">
        <v>5</v>
      </c>
      <c r="B1412">
        <v>2016</v>
      </c>
      <c r="C1412" t="s">
        <v>605</v>
      </c>
      <c r="D1412" t="s">
        <v>606</v>
      </c>
      <c r="E1412" t="s">
        <v>619</v>
      </c>
      <c r="F1412" t="s">
        <v>620</v>
      </c>
      <c r="G1412">
        <v>0</v>
      </c>
      <c r="H1412">
        <v>-26.68</v>
      </c>
      <c r="I1412">
        <v>112.8</v>
      </c>
      <c r="J1412">
        <v>80.039999999999992</v>
      </c>
      <c r="Q1412"/>
    </row>
    <row r="1413" spans="1:17" x14ac:dyDescent="0.25">
      <c r="A1413">
        <v>5</v>
      </c>
      <c r="B1413">
        <v>2016</v>
      </c>
      <c r="C1413" t="s">
        <v>621</v>
      </c>
      <c r="D1413" t="s">
        <v>622</v>
      </c>
      <c r="E1413" t="s">
        <v>623</v>
      </c>
      <c r="F1413" t="s">
        <v>624</v>
      </c>
      <c r="G1413">
        <v>810</v>
      </c>
      <c r="H1413">
        <v>216</v>
      </c>
      <c r="I1413">
        <v>111</v>
      </c>
      <c r="J1413">
        <v>30</v>
      </c>
      <c r="Q1413"/>
    </row>
    <row r="1414" spans="1:17" x14ac:dyDescent="0.25">
      <c r="A1414">
        <v>5</v>
      </c>
      <c r="B1414">
        <v>2016</v>
      </c>
      <c r="C1414" t="s">
        <v>621</v>
      </c>
      <c r="D1414" t="s">
        <v>622</v>
      </c>
      <c r="E1414" t="s">
        <v>625</v>
      </c>
      <c r="F1414" t="s">
        <v>624</v>
      </c>
      <c r="G1414">
        <v>225</v>
      </c>
      <c r="H1414">
        <v>60</v>
      </c>
      <c r="I1414">
        <v>266.39999999999998</v>
      </c>
      <c r="J1414">
        <v>72</v>
      </c>
      <c r="Q1414"/>
    </row>
    <row r="1415" spans="1:17" x14ac:dyDescent="0.25">
      <c r="A1415">
        <v>5</v>
      </c>
      <c r="B1415">
        <v>2016</v>
      </c>
      <c r="C1415" t="s">
        <v>630</v>
      </c>
      <c r="D1415" t="s">
        <v>631</v>
      </c>
      <c r="E1415" t="s">
        <v>632</v>
      </c>
      <c r="F1415" t="s">
        <v>633</v>
      </c>
      <c r="G1415">
        <v>402</v>
      </c>
      <c r="H1415">
        <v>60</v>
      </c>
      <c r="I1415">
        <v>334.8</v>
      </c>
      <c r="J1415">
        <v>54</v>
      </c>
      <c r="Q1415"/>
    </row>
    <row r="1416" spans="1:17" x14ac:dyDescent="0.25">
      <c r="A1416">
        <v>5</v>
      </c>
      <c r="B1416">
        <v>2016</v>
      </c>
      <c r="C1416" t="s">
        <v>630</v>
      </c>
      <c r="D1416" t="s">
        <v>631</v>
      </c>
      <c r="E1416" t="s">
        <v>636</v>
      </c>
      <c r="F1416" t="s">
        <v>637</v>
      </c>
      <c r="G1416">
        <v>75.599999999999994</v>
      </c>
      <c r="H1416">
        <v>18</v>
      </c>
      <c r="I1416">
        <v>730.8</v>
      </c>
      <c r="J1416">
        <v>174</v>
      </c>
      <c r="Q1416"/>
    </row>
    <row r="1417" spans="1:17" x14ac:dyDescent="0.25">
      <c r="A1417">
        <v>5</v>
      </c>
      <c r="B1417">
        <v>2016</v>
      </c>
      <c r="C1417" t="s">
        <v>638</v>
      </c>
      <c r="D1417" t="s">
        <v>639</v>
      </c>
      <c r="E1417" t="s">
        <v>640</v>
      </c>
      <c r="F1417" t="s">
        <v>641</v>
      </c>
      <c r="G1417">
        <v>979.2</v>
      </c>
      <c r="H1417">
        <v>867.1</v>
      </c>
      <c r="I1417">
        <v>364.8</v>
      </c>
      <c r="J1417">
        <v>320.15999999999997</v>
      </c>
      <c r="Q1417"/>
    </row>
    <row r="1418" spans="1:17" x14ac:dyDescent="0.25">
      <c r="A1418">
        <v>5</v>
      </c>
      <c r="B1418">
        <v>2016</v>
      </c>
      <c r="C1418" t="s">
        <v>638</v>
      </c>
      <c r="D1418" t="s">
        <v>639</v>
      </c>
      <c r="E1418" t="s">
        <v>642</v>
      </c>
      <c r="F1418" t="s">
        <v>641</v>
      </c>
      <c r="G1418">
        <v>587.4</v>
      </c>
      <c r="H1418">
        <v>586.52</v>
      </c>
      <c r="I1418">
        <v>3604</v>
      </c>
      <c r="J1418">
        <v>3639.09</v>
      </c>
      <c r="Q1418"/>
    </row>
    <row r="1419" spans="1:17" x14ac:dyDescent="0.25">
      <c r="A1419">
        <v>5</v>
      </c>
      <c r="B1419">
        <v>2016</v>
      </c>
      <c r="C1419" t="s">
        <v>638</v>
      </c>
      <c r="D1419" t="s">
        <v>639</v>
      </c>
      <c r="E1419" t="s">
        <v>643</v>
      </c>
      <c r="F1419" t="s">
        <v>644</v>
      </c>
      <c r="G1419">
        <v>726.75</v>
      </c>
      <c r="H1419">
        <v>646.99</v>
      </c>
      <c r="I1419">
        <v>889.2</v>
      </c>
      <c r="J1419">
        <v>813.74</v>
      </c>
      <c r="Q1419"/>
    </row>
    <row r="1420" spans="1:17" x14ac:dyDescent="0.25">
      <c r="A1420">
        <v>5</v>
      </c>
      <c r="B1420">
        <v>2016</v>
      </c>
      <c r="C1420" t="s">
        <v>638</v>
      </c>
      <c r="D1420" t="s">
        <v>639</v>
      </c>
      <c r="E1420" t="s">
        <v>645</v>
      </c>
      <c r="F1420" t="s">
        <v>644</v>
      </c>
      <c r="G1420">
        <v>1308.3</v>
      </c>
      <c r="H1420">
        <v>1306.3399999999999</v>
      </c>
      <c r="I1420">
        <v>3763</v>
      </c>
      <c r="J1420">
        <v>3785.72</v>
      </c>
      <c r="Q1420"/>
    </row>
    <row r="1421" spans="1:17" x14ac:dyDescent="0.25">
      <c r="A1421">
        <v>5</v>
      </c>
      <c r="B1421">
        <v>2016</v>
      </c>
      <c r="C1421" t="s">
        <v>638</v>
      </c>
      <c r="D1421" t="s">
        <v>639</v>
      </c>
      <c r="E1421" t="s">
        <v>646</v>
      </c>
      <c r="F1421" t="s">
        <v>647</v>
      </c>
      <c r="G1421">
        <v>288</v>
      </c>
      <c r="H1421">
        <v>120</v>
      </c>
      <c r="I1421">
        <v>1612.8</v>
      </c>
      <c r="J1421">
        <v>672</v>
      </c>
      <c r="Q1421"/>
    </row>
    <row r="1422" spans="1:17" x14ac:dyDescent="0.25">
      <c r="A1422">
        <v>5</v>
      </c>
      <c r="B1422">
        <v>2016</v>
      </c>
      <c r="C1422" t="s">
        <v>638</v>
      </c>
      <c r="D1422" t="s">
        <v>639</v>
      </c>
      <c r="E1422" t="s">
        <v>648</v>
      </c>
      <c r="F1422" t="s">
        <v>649</v>
      </c>
      <c r="G1422">
        <v>33.6</v>
      </c>
      <c r="H1422">
        <v>6</v>
      </c>
      <c r="I1422">
        <v>66.599999999999994</v>
      </c>
      <c r="J1422">
        <v>12</v>
      </c>
      <c r="Q1422"/>
    </row>
    <row r="1423" spans="1:17" x14ac:dyDescent="0.25">
      <c r="A1423">
        <v>5</v>
      </c>
      <c r="B1423">
        <v>2016</v>
      </c>
      <c r="C1423" t="s">
        <v>638</v>
      </c>
      <c r="D1423" t="s">
        <v>639</v>
      </c>
      <c r="E1423" t="s">
        <v>650</v>
      </c>
      <c r="F1423" t="s">
        <v>651</v>
      </c>
      <c r="G1423">
        <v>292.8</v>
      </c>
      <c r="H1423">
        <v>96</v>
      </c>
      <c r="I1423">
        <v>422.4</v>
      </c>
      <c r="J1423">
        <v>132</v>
      </c>
      <c r="Q1423"/>
    </row>
    <row r="1424" spans="1:17" x14ac:dyDescent="0.25">
      <c r="A1424">
        <v>5</v>
      </c>
      <c r="B1424">
        <v>2016</v>
      </c>
      <c r="C1424" t="s">
        <v>638</v>
      </c>
      <c r="D1424" t="s">
        <v>639</v>
      </c>
      <c r="E1424" t="s">
        <v>785</v>
      </c>
      <c r="F1424" t="s">
        <v>653</v>
      </c>
      <c r="G1424">
        <v>223.2</v>
      </c>
      <c r="H1424">
        <v>159.96</v>
      </c>
      <c r="I1424">
        <v>409.2</v>
      </c>
      <c r="J1424">
        <v>293.26</v>
      </c>
      <c r="Q1424"/>
    </row>
    <row r="1425" spans="1:17" x14ac:dyDescent="0.25">
      <c r="A1425">
        <v>5</v>
      </c>
      <c r="B1425">
        <v>2016</v>
      </c>
      <c r="C1425" t="s">
        <v>638</v>
      </c>
      <c r="D1425" t="s">
        <v>639</v>
      </c>
      <c r="E1425" t="s">
        <v>652</v>
      </c>
      <c r="F1425" t="s">
        <v>653</v>
      </c>
      <c r="G1425">
        <v>313.10000000000002</v>
      </c>
      <c r="H1425">
        <v>213.44</v>
      </c>
      <c r="I1425">
        <v>191.9</v>
      </c>
      <c r="J1425">
        <v>133.4</v>
      </c>
      <c r="Q1425"/>
    </row>
    <row r="1426" spans="1:17" x14ac:dyDescent="0.25">
      <c r="A1426">
        <v>5</v>
      </c>
      <c r="B1426">
        <v>2016</v>
      </c>
      <c r="C1426" t="s">
        <v>638</v>
      </c>
      <c r="D1426" t="s">
        <v>639</v>
      </c>
      <c r="E1426" t="s">
        <v>654</v>
      </c>
      <c r="F1426" t="s">
        <v>655</v>
      </c>
      <c r="G1426">
        <v>175.2</v>
      </c>
      <c r="H1426">
        <v>48</v>
      </c>
      <c r="I1426">
        <v>237.6</v>
      </c>
      <c r="J1426">
        <v>66</v>
      </c>
      <c r="Q1426"/>
    </row>
    <row r="1427" spans="1:17" x14ac:dyDescent="0.25">
      <c r="A1427">
        <v>5</v>
      </c>
      <c r="B1427">
        <v>2016</v>
      </c>
      <c r="C1427" t="s">
        <v>638</v>
      </c>
      <c r="D1427" t="s">
        <v>639</v>
      </c>
      <c r="E1427" t="s">
        <v>658</v>
      </c>
      <c r="F1427" t="s">
        <v>659</v>
      </c>
      <c r="G1427">
        <v>774</v>
      </c>
      <c r="H1427">
        <v>264</v>
      </c>
      <c r="I1427">
        <v>234</v>
      </c>
      <c r="J1427">
        <v>78</v>
      </c>
      <c r="Q1427"/>
    </row>
    <row r="1428" spans="1:17" x14ac:dyDescent="0.25">
      <c r="A1428">
        <v>5</v>
      </c>
      <c r="B1428">
        <v>2016</v>
      </c>
      <c r="C1428" t="s">
        <v>638</v>
      </c>
      <c r="D1428" t="s">
        <v>639</v>
      </c>
      <c r="E1428" t="s">
        <v>913</v>
      </c>
      <c r="F1428" t="s">
        <v>914</v>
      </c>
      <c r="G1428">
        <v>24.75</v>
      </c>
      <c r="H1428">
        <v>20.009999999999998</v>
      </c>
      <c r="Q1428"/>
    </row>
    <row r="1429" spans="1:17" x14ac:dyDescent="0.25">
      <c r="A1429">
        <v>5</v>
      </c>
      <c r="B1429">
        <v>2016</v>
      </c>
      <c r="C1429" t="s">
        <v>638</v>
      </c>
      <c r="D1429" t="s">
        <v>639</v>
      </c>
      <c r="E1429" t="s">
        <v>845</v>
      </c>
      <c r="F1429" t="s">
        <v>846</v>
      </c>
      <c r="G1429">
        <v>40.4</v>
      </c>
      <c r="H1429">
        <v>36</v>
      </c>
      <c r="Q1429"/>
    </row>
    <row r="1430" spans="1:17" x14ac:dyDescent="0.25">
      <c r="A1430">
        <v>5</v>
      </c>
      <c r="B1430">
        <v>2016</v>
      </c>
      <c r="C1430" t="s">
        <v>638</v>
      </c>
      <c r="D1430" t="s">
        <v>639</v>
      </c>
      <c r="E1430" t="s">
        <v>664</v>
      </c>
      <c r="F1430" t="s">
        <v>665</v>
      </c>
      <c r="G1430">
        <v>149.76</v>
      </c>
      <c r="H1430">
        <v>78</v>
      </c>
      <c r="I1430">
        <v>486.4</v>
      </c>
      <c r="J1430">
        <v>256</v>
      </c>
      <c r="Q1430"/>
    </row>
    <row r="1431" spans="1:17" x14ac:dyDescent="0.25">
      <c r="A1431">
        <v>5</v>
      </c>
      <c r="B1431">
        <v>2016</v>
      </c>
      <c r="C1431" t="s">
        <v>638</v>
      </c>
      <c r="D1431" t="s">
        <v>639</v>
      </c>
      <c r="E1431" t="s">
        <v>666</v>
      </c>
      <c r="F1431" t="s">
        <v>665</v>
      </c>
      <c r="G1431">
        <v>34.56</v>
      </c>
      <c r="H1431">
        <v>18</v>
      </c>
      <c r="I1431">
        <v>397.1</v>
      </c>
      <c r="J1431">
        <v>209</v>
      </c>
      <c r="Q1431"/>
    </row>
    <row r="1432" spans="1:17" x14ac:dyDescent="0.25">
      <c r="A1432">
        <v>5</v>
      </c>
      <c r="B1432">
        <v>2016</v>
      </c>
      <c r="C1432" t="s">
        <v>638</v>
      </c>
      <c r="D1432" t="s">
        <v>639</v>
      </c>
      <c r="E1432" t="s">
        <v>847</v>
      </c>
      <c r="F1432" t="s">
        <v>848</v>
      </c>
      <c r="G1432">
        <v>80.64</v>
      </c>
      <c r="H1432">
        <v>42</v>
      </c>
      <c r="Q1432"/>
    </row>
    <row r="1433" spans="1:17" x14ac:dyDescent="0.25">
      <c r="A1433">
        <v>5</v>
      </c>
      <c r="B1433">
        <v>2016</v>
      </c>
      <c r="C1433" t="s">
        <v>667</v>
      </c>
      <c r="D1433" t="s">
        <v>668</v>
      </c>
      <c r="E1433" t="s">
        <v>669</v>
      </c>
      <c r="F1433" t="s">
        <v>670</v>
      </c>
      <c r="G1433">
        <v>260.82</v>
      </c>
      <c r="H1433">
        <v>126</v>
      </c>
      <c r="I1433">
        <v>257.04000000000002</v>
      </c>
      <c r="J1433">
        <v>132</v>
      </c>
      <c r="Q1433"/>
    </row>
    <row r="1434" spans="1:17" x14ac:dyDescent="0.25">
      <c r="A1434">
        <v>5</v>
      </c>
      <c r="B1434">
        <v>2016</v>
      </c>
      <c r="C1434" t="s">
        <v>667</v>
      </c>
      <c r="D1434" t="s">
        <v>668</v>
      </c>
      <c r="E1434" t="s">
        <v>671</v>
      </c>
      <c r="F1434" t="s">
        <v>670</v>
      </c>
      <c r="G1434">
        <v>385.02</v>
      </c>
      <c r="H1434">
        <v>186</v>
      </c>
      <c r="I1434">
        <v>257.04000000000002</v>
      </c>
      <c r="J1434">
        <v>132</v>
      </c>
      <c r="Q1434"/>
    </row>
    <row r="1435" spans="1:17" x14ac:dyDescent="0.25">
      <c r="A1435">
        <v>5</v>
      </c>
      <c r="B1435">
        <v>2016</v>
      </c>
      <c r="C1435" t="s">
        <v>667</v>
      </c>
      <c r="D1435" t="s">
        <v>668</v>
      </c>
      <c r="E1435" t="s">
        <v>672</v>
      </c>
      <c r="F1435" t="s">
        <v>670</v>
      </c>
      <c r="G1435">
        <v>223.56</v>
      </c>
      <c r="H1435">
        <v>108</v>
      </c>
      <c r="I1435">
        <v>244.8</v>
      </c>
      <c r="J1435">
        <v>120</v>
      </c>
      <c r="Q1435"/>
    </row>
    <row r="1436" spans="1:17" x14ac:dyDescent="0.25">
      <c r="A1436">
        <v>5</v>
      </c>
      <c r="B1436">
        <v>2016</v>
      </c>
      <c r="C1436" t="s">
        <v>667</v>
      </c>
      <c r="D1436" t="s">
        <v>668</v>
      </c>
      <c r="E1436" t="s">
        <v>677</v>
      </c>
      <c r="F1436" t="s">
        <v>678</v>
      </c>
      <c r="G1436">
        <v>13.2</v>
      </c>
      <c r="H1436">
        <v>6</v>
      </c>
      <c r="I1436">
        <v>52.32</v>
      </c>
      <c r="J1436">
        <v>24</v>
      </c>
      <c r="Q1436"/>
    </row>
    <row r="1437" spans="1:17" x14ac:dyDescent="0.25">
      <c r="A1437">
        <v>5</v>
      </c>
      <c r="B1437">
        <v>2016</v>
      </c>
      <c r="C1437" t="s">
        <v>667</v>
      </c>
      <c r="D1437" t="s">
        <v>668</v>
      </c>
      <c r="E1437" t="s">
        <v>679</v>
      </c>
      <c r="F1437" t="s">
        <v>680</v>
      </c>
      <c r="G1437">
        <v>35.6</v>
      </c>
      <c r="H1437">
        <v>26.68</v>
      </c>
      <c r="I1437">
        <v>89</v>
      </c>
      <c r="J1437">
        <v>66.7</v>
      </c>
      <c r="Q1437"/>
    </row>
    <row r="1438" spans="1:17" x14ac:dyDescent="0.25">
      <c r="A1438">
        <v>5</v>
      </c>
      <c r="B1438">
        <v>2016</v>
      </c>
      <c r="C1438" t="s">
        <v>667</v>
      </c>
      <c r="D1438" t="s">
        <v>668</v>
      </c>
      <c r="E1438" t="s">
        <v>788</v>
      </c>
      <c r="F1438" t="s">
        <v>789</v>
      </c>
      <c r="G1438">
        <v>199</v>
      </c>
      <c r="H1438">
        <v>126.73</v>
      </c>
      <c r="I1438">
        <v>49.5</v>
      </c>
      <c r="J1438">
        <v>33.35</v>
      </c>
      <c r="Q1438"/>
    </row>
    <row r="1439" spans="1:17" x14ac:dyDescent="0.25">
      <c r="A1439">
        <v>5</v>
      </c>
      <c r="B1439">
        <v>2016</v>
      </c>
      <c r="C1439" t="s">
        <v>681</v>
      </c>
      <c r="D1439" t="s">
        <v>682</v>
      </c>
      <c r="E1439" t="s">
        <v>683</v>
      </c>
      <c r="F1439" t="s">
        <v>684</v>
      </c>
      <c r="G1439">
        <v>661.5</v>
      </c>
      <c r="H1439">
        <v>294</v>
      </c>
      <c r="I1439">
        <v>686.4</v>
      </c>
      <c r="J1439">
        <v>318</v>
      </c>
      <c r="Q1439"/>
    </row>
    <row r="1440" spans="1:17" x14ac:dyDescent="0.25">
      <c r="A1440">
        <v>5</v>
      </c>
      <c r="B1440">
        <v>2016</v>
      </c>
      <c r="C1440" t="s">
        <v>681</v>
      </c>
      <c r="D1440" t="s">
        <v>682</v>
      </c>
      <c r="E1440" t="s">
        <v>685</v>
      </c>
      <c r="F1440" t="s">
        <v>686</v>
      </c>
      <c r="G1440">
        <v>86.4</v>
      </c>
      <c r="H1440">
        <v>36</v>
      </c>
      <c r="I1440">
        <v>28.2</v>
      </c>
      <c r="J1440">
        <v>12</v>
      </c>
      <c r="Q1440"/>
    </row>
    <row r="1441" spans="1:17" x14ac:dyDescent="0.25">
      <c r="A1441">
        <v>5</v>
      </c>
      <c r="B1441">
        <v>2016</v>
      </c>
      <c r="C1441" t="s">
        <v>681</v>
      </c>
      <c r="D1441" t="s">
        <v>682</v>
      </c>
      <c r="E1441" t="s">
        <v>687</v>
      </c>
      <c r="F1441" t="s">
        <v>688</v>
      </c>
      <c r="G1441">
        <v>266.39999999999998</v>
      </c>
      <c r="H1441">
        <v>72</v>
      </c>
      <c r="I1441">
        <v>372.3</v>
      </c>
      <c r="J1441">
        <v>108</v>
      </c>
      <c r="Q1441"/>
    </row>
    <row r="1442" spans="1:17" x14ac:dyDescent="0.25">
      <c r="A1442">
        <v>5</v>
      </c>
      <c r="B1442">
        <v>2016</v>
      </c>
      <c r="C1442" t="s">
        <v>681</v>
      </c>
      <c r="D1442" t="s">
        <v>682</v>
      </c>
      <c r="E1442" t="s">
        <v>689</v>
      </c>
      <c r="F1442" t="s">
        <v>690</v>
      </c>
      <c r="G1442">
        <v>57.6</v>
      </c>
      <c r="H1442">
        <v>24</v>
      </c>
      <c r="I1442">
        <v>14.1</v>
      </c>
      <c r="J1442">
        <v>12</v>
      </c>
      <c r="Q1442"/>
    </row>
    <row r="1443" spans="1:17" x14ac:dyDescent="0.25">
      <c r="A1443">
        <v>5</v>
      </c>
      <c r="B1443">
        <v>2016</v>
      </c>
      <c r="C1443" t="s">
        <v>790</v>
      </c>
      <c r="D1443" t="s">
        <v>791</v>
      </c>
      <c r="E1443" t="s">
        <v>792</v>
      </c>
      <c r="F1443" t="s">
        <v>793</v>
      </c>
      <c r="G1443">
        <v>606</v>
      </c>
      <c r="H1443">
        <v>120</v>
      </c>
      <c r="Q1443"/>
    </row>
    <row r="1444" spans="1:17" x14ac:dyDescent="0.25">
      <c r="A1444">
        <v>5</v>
      </c>
      <c r="B1444">
        <v>2016</v>
      </c>
      <c r="C1444" t="s">
        <v>790</v>
      </c>
      <c r="D1444" t="s">
        <v>791</v>
      </c>
      <c r="E1444" t="s">
        <v>950</v>
      </c>
      <c r="F1444" t="s">
        <v>793</v>
      </c>
      <c r="G1444">
        <v>161.28</v>
      </c>
      <c r="H1444">
        <v>24</v>
      </c>
      <c r="Q1444"/>
    </row>
    <row r="1445" spans="1:17" x14ac:dyDescent="0.25">
      <c r="A1445">
        <v>5</v>
      </c>
      <c r="B1445">
        <v>2016</v>
      </c>
      <c r="C1445" t="s">
        <v>691</v>
      </c>
      <c r="D1445" t="s">
        <v>692</v>
      </c>
      <c r="E1445" t="s">
        <v>951</v>
      </c>
      <c r="F1445" t="s">
        <v>918</v>
      </c>
      <c r="G1445">
        <v>0</v>
      </c>
      <c r="H1445">
        <v>6</v>
      </c>
      <c r="Q1445"/>
    </row>
    <row r="1446" spans="1:17" x14ac:dyDescent="0.25">
      <c r="A1446">
        <v>5</v>
      </c>
      <c r="B1446">
        <v>2016</v>
      </c>
      <c r="C1446" t="s">
        <v>691</v>
      </c>
      <c r="D1446" t="s">
        <v>692</v>
      </c>
      <c r="E1446" t="s">
        <v>693</v>
      </c>
      <c r="F1446" t="s">
        <v>694</v>
      </c>
      <c r="G1446">
        <v>135</v>
      </c>
      <c r="H1446">
        <v>30</v>
      </c>
      <c r="Q1446"/>
    </row>
    <row r="1447" spans="1:17" x14ac:dyDescent="0.25">
      <c r="A1447">
        <v>5</v>
      </c>
      <c r="B1447">
        <v>2016</v>
      </c>
      <c r="C1447" t="s">
        <v>691</v>
      </c>
      <c r="D1447" t="s">
        <v>692</v>
      </c>
      <c r="E1447" t="s">
        <v>695</v>
      </c>
      <c r="F1447" t="s">
        <v>696</v>
      </c>
      <c r="G1447">
        <v>54.6</v>
      </c>
      <c r="H1447">
        <v>12</v>
      </c>
      <c r="Q1447"/>
    </row>
    <row r="1448" spans="1:17" x14ac:dyDescent="0.25">
      <c r="A1448">
        <v>5</v>
      </c>
      <c r="B1448">
        <v>2016</v>
      </c>
      <c r="C1448" t="s">
        <v>691</v>
      </c>
      <c r="D1448" t="s">
        <v>692</v>
      </c>
      <c r="E1448" t="s">
        <v>697</v>
      </c>
      <c r="F1448" t="s">
        <v>698</v>
      </c>
      <c r="G1448">
        <v>70.2</v>
      </c>
      <c r="H1448">
        <v>18</v>
      </c>
      <c r="Q1448"/>
    </row>
    <row r="1449" spans="1:17" x14ac:dyDescent="0.25">
      <c r="A1449">
        <v>5</v>
      </c>
      <c r="B1449">
        <v>2016</v>
      </c>
      <c r="C1449" t="s">
        <v>691</v>
      </c>
      <c r="D1449" t="s">
        <v>692</v>
      </c>
      <c r="E1449" t="s">
        <v>699</v>
      </c>
      <c r="F1449" t="s">
        <v>700</v>
      </c>
      <c r="G1449">
        <v>319.2</v>
      </c>
      <c r="H1449">
        <v>84</v>
      </c>
      <c r="Q1449"/>
    </row>
    <row r="1450" spans="1:17" x14ac:dyDescent="0.25">
      <c r="A1450">
        <v>5</v>
      </c>
      <c r="B1450">
        <v>2016</v>
      </c>
      <c r="C1450" t="s">
        <v>691</v>
      </c>
      <c r="D1450" t="s">
        <v>692</v>
      </c>
      <c r="E1450" t="s">
        <v>854</v>
      </c>
      <c r="F1450" t="s">
        <v>855</v>
      </c>
      <c r="G1450">
        <v>220.8</v>
      </c>
      <c r="H1450">
        <v>48</v>
      </c>
      <c r="Q1450"/>
    </row>
    <row r="1451" spans="1:17" x14ac:dyDescent="0.25">
      <c r="A1451">
        <v>6</v>
      </c>
      <c r="B1451">
        <v>2016</v>
      </c>
      <c r="C1451" t="s">
        <v>34</v>
      </c>
      <c r="D1451" t="s">
        <v>35</v>
      </c>
      <c r="E1451" t="s">
        <v>36</v>
      </c>
      <c r="F1451" t="s">
        <v>37</v>
      </c>
      <c r="G1451">
        <v>6248</v>
      </c>
      <c r="H1451">
        <v>480</v>
      </c>
      <c r="Q1451"/>
    </row>
    <row r="1452" spans="1:17" x14ac:dyDescent="0.25">
      <c r="A1452">
        <v>6</v>
      </c>
      <c r="B1452">
        <v>2016</v>
      </c>
      <c r="C1452" t="s">
        <v>47</v>
      </c>
      <c r="D1452" t="s">
        <v>48</v>
      </c>
      <c r="E1452" t="s">
        <v>49</v>
      </c>
      <c r="F1452" t="s">
        <v>50</v>
      </c>
      <c r="G1452">
        <v>3843.54</v>
      </c>
      <c r="H1452">
        <v>3281.64</v>
      </c>
      <c r="I1452">
        <v>2819.88</v>
      </c>
      <c r="J1452">
        <v>2521.2599999999998</v>
      </c>
      <c r="Q1452"/>
    </row>
    <row r="1453" spans="1:17" x14ac:dyDescent="0.25">
      <c r="A1453">
        <v>6</v>
      </c>
      <c r="B1453">
        <v>2016</v>
      </c>
      <c r="C1453" t="s">
        <v>47</v>
      </c>
      <c r="D1453" t="s">
        <v>48</v>
      </c>
      <c r="E1453" t="s">
        <v>51</v>
      </c>
      <c r="F1453" t="s">
        <v>52</v>
      </c>
      <c r="G1453">
        <v>9260.16</v>
      </c>
      <c r="H1453">
        <v>8984.42</v>
      </c>
      <c r="I1453">
        <v>6214.25</v>
      </c>
      <c r="J1453">
        <v>6251.77</v>
      </c>
      <c r="Q1453"/>
    </row>
    <row r="1454" spans="1:17" x14ac:dyDescent="0.25">
      <c r="A1454">
        <v>6</v>
      </c>
      <c r="B1454">
        <v>2016</v>
      </c>
      <c r="C1454" t="s">
        <v>47</v>
      </c>
      <c r="D1454" t="s">
        <v>48</v>
      </c>
      <c r="E1454" t="s">
        <v>53</v>
      </c>
      <c r="F1454" t="s">
        <v>54</v>
      </c>
      <c r="G1454">
        <v>5797.04</v>
      </c>
      <c r="H1454">
        <v>6211.78</v>
      </c>
      <c r="I1454">
        <v>5782.8</v>
      </c>
      <c r="J1454">
        <v>6518.37</v>
      </c>
      <c r="Q1454"/>
    </row>
    <row r="1455" spans="1:17" x14ac:dyDescent="0.25">
      <c r="A1455">
        <v>6</v>
      </c>
      <c r="B1455">
        <v>2016</v>
      </c>
      <c r="C1455" t="s">
        <v>47</v>
      </c>
      <c r="D1455" t="s">
        <v>48</v>
      </c>
      <c r="E1455" t="s">
        <v>55</v>
      </c>
      <c r="F1455" t="s">
        <v>54</v>
      </c>
      <c r="G1455">
        <v>1425.92</v>
      </c>
      <c r="H1455">
        <v>1287.31</v>
      </c>
      <c r="I1455">
        <v>1012.2</v>
      </c>
      <c r="J1455">
        <v>953.81</v>
      </c>
      <c r="Q1455"/>
    </row>
    <row r="1456" spans="1:17" x14ac:dyDescent="0.25">
      <c r="A1456">
        <v>6</v>
      </c>
      <c r="B1456">
        <v>2016</v>
      </c>
      <c r="C1456" t="s">
        <v>47</v>
      </c>
      <c r="D1456" t="s">
        <v>48</v>
      </c>
      <c r="E1456" t="s">
        <v>56</v>
      </c>
      <c r="F1456" t="s">
        <v>57</v>
      </c>
      <c r="G1456">
        <v>2420.04</v>
      </c>
      <c r="H1456">
        <v>2679.33</v>
      </c>
      <c r="I1456">
        <v>3300.3</v>
      </c>
      <c r="J1456">
        <v>3825.71</v>
      </c>
      <c r="Q1456"/>
    </row>
    <row r="1457" spans="1:17" x14ac:dyDescent="0.25">
      <c r="A1457">
        <v>6</v>
      </c>
      <c r="B1457">
        <v>2016</v>
      </c>
      <c r="C1457" t="s">
        <v>47</v>
      </c>
      <c r="D1457" t="s">
        <v>48</v>
      </c>
      <c r="E1457" t="s">
        <v>58</v>
      </c>
      <c r="F1457" t="s">
        <v>59</v>
      </c>
      <c r="G1457">
        <v>3330</v>
      </c>
      <c r="H1457">
        <v>4000.5000000000005</v>
      </c>
      <c r="I1457">
        <v>2245</v>
      </c>
      <c r="J1457">
        <v>2693.67</v>
      </c>
      <c r="Q1457"/>
    </row>
    <row r="1458" spans="1:17" x14ac:dyDescent="0.25">
      <c r="A1458">
        <v>6</v>
      </c>
      <c r="B1458">
        <v>2016</v>
      </c>
      <c r="C1458" t="s">
        <v>47</v>
      </c>
      <c r="D1458" t="s">
        <v>48</v>
      </c>
      <c r="E1458" t="s">
        <v>60</v>
      </c>
      <c r="F1458" t="s">
        <v>59</v>
      </c>
      <c r="G1458">
        <v>70.02</v>
      </c>
      <c r="H1458">
        <v>80.010000000000005</v>
      </c>
      <c r="I1458">
        <v>269.39999999999998</v>
      </c>
      <c r="J1458">
        <v>320.04000000000002</v>
      </c>
      <c r="Q1458"/>
    </row>
    <row r="1459" spans="1:17" x14ac:dyDescent="0.25">
      <c r="A1459">
        <v>6</v>
      </c>
      <c r="B1459">
        <v>2016</v>
      </c>
      <c r="C1459" t="s">
        <v>47</v>
      </c>
      <c r="D1459" t="s">
        <v>48</v>
      </c>
      <c r="E1459" t="s">
        <v>61</v>
      </c>
      <c r="F1459" t="s">
        <v>62</v>
      </c>
      <c r="G1459">
        <v>2103.75</v>
      </c>
      <c r="H1459">
        <v>1507.42</v>
      </c>
      <c r="I1459">
        <v>1870.12</v>
      </c>
      <c r="J1459">
        <v>1387.36</v>
      </c>
      <c r="Q1459"/>
    </row>
    <row r="1460" spans="1:17" x14ac:dyDescent="0.25">
      <c r="A1460">
        <v>6</v>
      </c>
      <c r="B1460">
        <v>2016</v>
      </c>
      <c r="C1460" t="s">
        <v>47</v>
      </c>
      <c r="D1460" t="s">
        <v>48</v>
      </c>
      <c r="E1460" t="s">
        <v>63</v>
      </c>
      <c r="F1460" t="s">
        <v>64</v>
      </c>
      <c r="G1460">
        <v>3100.62</v>
      </c>
      <c r="H1460">
        <v>2599.35</v>
      </c>
      <c r="I1460">
        <v>3753.76</v>
      </c>
      <c r="J1460">
        <v>3092.56</v>
      </c>
      <c r="Q1460"/>
    </row>
    <row r="1461" spans="1:17" x14ac:dyDescent="0.25">
      <c r="A1461">
        <v>6</v>
      </c>
      <c r="B1461">
        <v>2016</v>
      </c>
      <c r="C1461" t="s">
        <v>47</v>
      </c>
      <c r="D1461" t="s">
        <v>48</v>
      </c>
      <c r="E1461" t="s">
        <v>65</v>
      </c>
      <c r="F1461" t="s">
        <v>64</v>
      </c>
      <c r="G1461">
        <v>3233.98</v>
      </c>
      <c r="H1461">
        <v>2586.02</v>
      </c>
      <c r="I1461">
        <v>4951.08</v>
      </c>
      <c r="J1461">
        <v>4078.98</v>
      </c>
      <c r="Q1461"/>
    </row>
    <row r="1462" spans="1:17" x14ac:dyDescent="0.25">
      <c r="A1462">
        <v>6</v>
      </c>
      <c r="B1462">
        <v>2016</v>
      </c>
      <c r="C1462" t="s">
        <v>47</v>
      </c>
      <c r="D1462" t="s">
        <v>48</v>
      </c>
      <c r="E1462" t="s">
        <v>66</v>
      </c>
      <c r="F1462" t="s">
        <v>64</v>
      </c>
      <c r="G1462">
        <v>3860.45</v>
      </c>
      <c r="H1462">
        <v>2768.05</v>
      </c>
      <c r="I1462">
        <v>2524.2399999999998</v>
      </c>
      <c r="J1462">
        <v>1860.93</v>
      </c>
      <c r="Q1462"/>
    </row>
    <row r="1463" spans="1:17" x14ac:dyDescent="0.25">
      <c r="A1463">
        <v>6</v>
      </c>
      <c r="B1463">
        <v>2016</v>
      </c>
      <c r="C1463" t="s">
        <v>47</v>
      </c>
      <c r="D1463" t="s">
        <v>48</v>
      </c>
      <c r="E1463" t="s">
        <v>67</v>
      </c>
      <c r="F1463" t="s">
        <v>68</v>
      </c>
      <c r="G1463">
        <v>6481.24</v>
      </c>
      <c r="H1463">
        <v>6971.59</v>
      </c>
      <c r="I1463">
        <v>7068.36</v>
      </c>
      <c r="J1463">
        <v>7891.36</v>
      </c>
      <c r="Q1463"/>
    </row>
    <row r="1464" spans="1:17" x14ac:dyDescent="0.25">
      <c r="A1464">
        <v>6</v>
      </c>
      <c r="B1464">
        <v>2016</v>
      </c>
      <c r="C1464" t="s">
        <v>47</v>
      </c>
      <c r="D1464" t="s">
        <v>48</v>
      </c>
      <c r="E1464" t="s">
        <v>69</v>
      </c>
      <c r="F1464" t="s">
        <v>68</v>
      </c>
      <c r="G1464">
        <v>4175.5600000000004</v>
      </c>
      <c r="H1464">
        <v>3735.2</v>
      </c>
      <c r="I1464">
        <v>2805.75</v>
      </c>
      <c r="J1464">
        <v>2607.9699999999998</v>
      </c>
      <c r="Q1464"/>
    </row>
    <row r="1465" spans="1:17" x14ac:dyDescent="0.25">
      <c r="A1465">
        <v>6</v>
      </c>
      <c r="B1465">
        <v>2016</v>
      </c>
      <c r="C1465" t="s">
        <v>47</v>
      </c>
      <c r="D1465" t="s">
        <v>48</v>
      </c>
      <c r="E1465" t="s">
        <v>70</v>
      </c>
      <c r="F1465" t="s">
        <v>71</v>
      </c>
      <c r="G1465">
        <v>2013.9</v>
      </c>
      <c r="H1465">
        <v>822</v>
      </c>
      <c r="I1465">
        <v>1036.8</v>
      </c>
      <c r="J1465">
        <v>432</v>
      </c>
      <c r="Q1465"/>
    </row>
    <row r="1466" spans="1:17" x14ac:dyDescent="0.25">
      <c r="A1466">
        <v>6</v>
      </c>
      <c r="B1466">
        <v>2016</v>
      </c>
      <c r="C1466" t="s">
        <v>47</v>
      </c>
      <c r="D1466" t="s">
        <v>48</v>
      </c>
      <c r="E1466" t="s">
        <v>78</v>
      </c>
      <c r="F1466" t="s">
        <v>73</v>
      </c>
      <c r="G1466">
        <v>118.26</v>
      </c>
      <c r="H1466">
        <v>60</v>
      </c>
      <c r="I1466">
        <v>497.13</v>
      </c>
      <c r="J1466">
        <v>234</v>
      </c>
      <c r="Q1466"/>
    </row>
    <row r="1467" spans="1:17" x14ac:dyDescent="0.25">
      <c r="A1467">
        <v>6</v>
      </c>
      <c r="B1467">
        <v>2016</v>
      </c>
      <c r="C1467" t="s">
        <v>47</v>
      </c>
      <c r="D1467" t="s">
        <v>48</v>
      </c>
      <c r="E1467" t="s">
        <v>79</v>
      </c>
      <c r="F1467" t="s">
        <v>80</v>
      </c>
      <c r="G1467">
        <v>296.64</v>
      </c>
      <c r="H1467">
        <v>144</v>
      </c>
      <c r="I1467">
        <v>196.32</v>
      </c>
      <c r="J1467">
        <v>96</v>
      </c>
      <c r="Q1467"/>
    </row>
    <row r="1468" spans="1:17" x14ac:dyDescent="0.25">
      <c r="A1468">
        <v>6</v>
      </c>
      <c r="B1468">
        <v>2016</v>
      </c>
      <c r="C1468" t="s">
        <v>47</v>
      </c>
      <c r="D1468" t="s">
        <v>48</v>
      </c>
      <c r="E1468" t="s">
        <v>81</v>
      </c>
      <c r="F1468" t="s">
        <v>82</v>
      </c>
      <c r="G1468">
        <v>2730</v>
      </c>
      <c r="H1468">
        <v>1440</v>
      </c>
      <c r="I1468">
        <v>1366.97</v>
      </c>
      <c r="J1468">
        <v>744</v>
      </c>
      <c r="Q1468"/>
    </row>
    <row r="1469" spans="1:17" x14ac:dyDescent="0.25">
      <c r="A1469">
        <v>6</v>
      </c>
      <c r="B1469">
        <v>2016</v>
      </c>
      <c r="C1469" t="s">
        <v>47</v>
      </c>
      <c r="D1469" t="s">
        <v>48</v>
      </c>
      <c r="E1469" t="s">
        <v>85</v>
      </c>
      <c r="F1469" t="s">
        <v>84</v>
      </c>
      <c r="G1469">
        <v>46.2</v>
      </c>
      <c r="H1469">
        <v>28</v>
      </c>
      <c r="I1469">
        <v>199.36</v>
      </c>
      <c r="J1469">
        <v>128</v>
      </c>
      <c r="Q1469"/>
    </row>
    <row r="1470" spans="1:17" x14ac:dyDescent="0.25">
      <c r="A1470">
        <v>6</v>
      </c>
      <c r="B1470">
        <v>2016</v>
      </c>
      <c r="C1470" t="s">
        <v>47</v>
      </c>
      <c r="D1470" t="s">
        <v>48</v>
      </c>
      <c r="E1470" t="s">
        <v>86</v>
      </c>
      <c r="F1470" t="s">
        <v>84</v>
      </c>
      <c r="G1470">
        <v>13.2</v>
      </c>
      <c r="H1470">
        <v>8</v>
      </c>
      <c r="Q1470"/>
    </row>
    <row r="1471" spans="1:17" x14ac:dyDescent="0.25">
      <c r="A1471">
        <v>6</v>
      </c>
      <c r="B1471">
        <v>2016</v>
      </c>
      <c r="C1471" t="s">
        <v>47</v>
      </c>
      <c r="D1471" t="s">
        <v>48</v>
      </c>
      <c r="E1471" t="s">
        <v>704</v>
      </c>
      <c r="F1471" t="s">
        <v>705</v>
      </c>
      <c r="G1471">
        <v>357.6</v>
      </c>
      <c r="H1471">
        <v>120</v>
      </c>
      <c r="I1471">
        <v>201.6</v>
      </c>
      <c r="J1471">
        <v>72</v>
      </c>
      <c r="Q1471"/>
    </row>
    <row r="1472" spans="1:17" x14ac:dyDescent="0.25">
      <c r="A1472">
        <v>6</v>
      </c>
      <c r="B1472">
        <v>2016</v>
      </c>
      <c r="C1472" t="s">
        <v>47</v>
      </c>
      <c r="D1472" t="s">
        <v>48</v>
      </c>
      <c r="E1472" t="s">
        <v>87</v>
      </c>
      <c r="F1472" t="s">
        <v>88</v>
      </c>
      <c r="G1472">
        <v>183.96</v>
      </c>
      <c r="H1472">
        <v>84</v>
      </c>
      <c r="I1472">
        <v>65.7</v>
      </c>
      <c r="J1472">
        <v>30</v>
      </c>
      <c r="Q1472"/>
    </row>
    <row r="1473" spans="1:17" x14ac:dyDescent="0.25">
      <c r="A1473">
        <v>6</v>
      </c>
      <c r="B1473">
        <v>2016</v>
      </c>
      <c r="C1473" t="s">
        <v>47</v>
      </c>
      <c r="D1473" t="s">
        <v>48</v>
      </c>
      <c r="E1473" t="s">
        <v>89</v>
      </c>
      <c r="F1473" t="s">
        <v>90</v>
      </c>
      <c r="G1473">
        <v>480.6</v>
      </c>
      <c r="H1473">
        <v>270</v>
      </c>
      <c r="I1473">
        <v>736.98</v>
      </c>
      <c r="J1473">
        <v>426</v>
      </c>
      <c r="Q1473"/>
    </row>
    <row r="1474" spans="1:17" x14ac:dyDescent="0.25">
      <c r="A1474">
        <v>6</v>
      </c>
      <c r="B1474">
        <v>2016</v>
      </c>
      <c r="C1474" t="s">
        <v>47</v>
      </c>
      <c r="D1474" t="s">
        <v>48</v>
      </c>
      <c r="E1474" t="s">
        <v>91</v>
      </c>
      <c r="F1474" t="s">
        <v>92</v>
      </c>
      <c r="G1474">
        <v>373.8</v>
      </c>
      <c r="H1474">
        <v>210</v>
      </c>
      <c r="I1474">
        <v>103.8</v>
      </c>
      <c r="J1474">
        <v>60</v>
      </c>
      <c r="Q1474"/>
    </row>
    <row r="1475" spans="1:17" x14ac:dyDescent="0.25">
      <c r="A1475">
        <v>6</v>
      </c>
      <c r="B1475">
        <v>2016</v>
      </c>
      <c r="C1475" t="s">
        <v>47</v>
      </c>
      <c r="D1475" t="s">
        <v>48</v>
      </c>
      <c r="E1475" t="s">
        <v>93</v>
      </c>
      <c r="F1475" t="s">
        <v>94</v>
      </c>
      <c r="G1475">
        <v>54.6</v>
      </c>
      <c r="H1475">
        <v>30</v>
      </c>
      <c r="Q1475"/>
    </row>
    <row r="1476" spans="1:17" x14ac:dyDescent="0.25">
      <c r="A1476">
        <v>6</v>
      </c>
      <c r="B1476">
        <v>2016</v>
      </c>
      <c r="C1476" t="s">
        <v>47</v>
      </c>
      <c r="D1476" t="s">
        <v>48</v>
      </c>
      <c r="E1476" t="s">
        <v>794</v>
      </c>
      <c r="F1476" t="s">
        <v>795</v>
      </c>
      <c r="G1476">
        <v>125.1</v>
      </c>
      <c r="H1476">
        <v>72</v>
      </c>
      <c r="I1476">
        <v>216.64</v>
      </c>
      <c r="J1476">
        <v>128</v>
      </c>
      <c r="Q1476"/>
    </row>
    <row r="1477" spans="1:17" x14ac:dyDescent="0.25">
      <c r="A1477">
        <v>6</v>
      </c>
      <c r="B1477">
        <v>2016</v>
      </c>
      <c r="C1477" t="s">
        <v>47</v>
      </c>
      <c r="D1477" t="s">
        <v>48</v>
      </c>
      <c r="E1477" t="s">
        <v>95</v>
      </c>
      <c r="F1477" t="s">
        <v>96</v>
      </c>
      <c r="G1477">
        <v>877.5</v>
      </c>
      <c r="H1477">
        <v>1200.1500000000001</v>
      </c>
      <c r="I1477">
        <v>1939.8</v>
      </c>
      <c r="J1477">
        <v>2533.65</v>
      </c>
      <c r="Q1477"/>
    </row>
    <row r="1478" spans="1:17" x14ac:dyDescent="0.25">
      <c r="A1478">
        <v>6</v>
      </c>
      <c r="B1478">
        <v>2016</v>
      </c>
      <c r="C1478" t="s">
        <v>47</v>
      </c>
      <c r="D1478" t="s">
        <v>48</v>
      </c>
      <c r="E1478" t="s">
        <v>97</v>
      </c>
      <c r="F1478" t="s">
        <v>98</v>
      </c>
      <c r="G1478">
        <v>1755</v>
      </c>
      <c r="H1478">
        <v>2400.3000000000002</v>
      </c>
      <c r="I1478">
        <v>2465.6</v>
      </c>
      <c r="J1478">
        <v>3067.05</v>
      </c>
      <c r="Q1478"/>
    </row>
    <row r="1479" spans="1:17" x14ac:dyDescent="0.25">
      <c r="A1479">
        <v>6</v>
      </c>
      <c r="B1479">
        <v>2016</v>
      </c>
      <c r="C1479" t="s">
        <v>47</v>
      </c>
      <c r="D1479" t="s">
        <v>48</v>
      </c>
      <c r="E1479" t="s">
        <v>99</v>
      </c>
      <c r="F1479" t="s">
        <v>100</v>
      </c>
      <c r="G1479">
        <v>933.3</v>
      </c>
      <c r="H1479">
        <v>1200.1500000000001</v>
      </c>
      <c r="I1479">
        <v>636.20000000000005</v>
      </c>
      <c r="J1479">
        <v>800.1</v>
      </c>
      <c r="Q1479"/>
    </row>
    <row r="1480" spans="1:17" x14ac:dyDescent="0.25">
      <c r="A1480">
        <v>6</v>
      </c>
      <c r="B1480">
        <v>2016</v>
      </c>
      <c r="C1480" t="s">
        <v>47</v>
      </c>
      <c r="D1480" t="s">
        <v>48</v>
      </c>
      <c r="E1480" t="s">
        <v>101</v>
      </c>
      <c r="F1480" t="s">
        <v>102</v>
      </c>
      <c r="G1480">
        <v>1057.5</v>
      </c>
      <c r="H1480">
        <v>1200.1500000000001</v>
      </c>
      <c r="Q1480"/>
    </row>
    <row r="1481" spans="1:17" x14ac:dyDescent="0.25">
      <c r="A1481">
        <v>6</v>
      </c>
      <c r="B1481">
        <v>2016</v>
      </c>
      <c r="C1481" t="s">
        <v>47</v>
      </c>
      <c r="D1481" t="s">
        <v>48</v>
      </c>
      <c r="E1481" t="s">
        <v>103</v>
      </c>
      <c r="F1481" t="s">
        <v>98</v>
      </c>
      <c r="G1481">
        <v>399.6</v>
      </c>
      <c r="H1481">
        <v>493.21</v>
      </c>
      <c r="I1481">
        <v>540</v>
      </c>
      <c r="J1481">
        <v>666.5</v>
      </c>
      <c r="Q1481"/>
    </row>
    <row r="1482" spans="1:17" x14ac:dyDescent="0.25">
      <c r="A1482">
        <v>6</v>
      </c>
      <c r="B1482">
        <v>2016</v>
      </c>
      <c r="C1482" t="s">
        <v>104</v>
      </c>
      <c r="D1482" t="s">
        <v>105</v>
      </c>
      <c r="E1482" t="s">
        <v>706</v>
      </c>
      <c r="F1482" t="s">
        <v>707</v>
      </c>
      <c r="G1482">
        <v>48</v>
      </c>
      <c r="H1482">
        <v>12</v>
      </c>
      <c r="Q1482"/>
    </row>
    <row r="1483" spans="1:17" x14ac:dyDescent="0.25">
      <c r="A1483">
        <v>6</v>
      </c>
      <c r="B1483">
        <v>2016</v>
      </c>
      <c r="C1483" t="s">
        <v>104</v>
      </c>
      <c r="D1483" t="s">
        <v>105</v>
      </c>
      <c r="E1483" t="s">
        <v>106</v>
      </c>
      <c r="F1483" t="s">
        <v>107</v>
      </c>
      <c r="G1483">
        <v>303.60000000000002</v>
      </c>
      <c r="H1483">
        <v>66</v>
      </c>
      <c r="I1483">
        <v>24.6</v>
      </c>
      <c r="J1483">
        <v>6</v>
      </c>
      <c r="Q1483"/>
    </row>
    <row r="1484" spans="1:17" x14ac:dyDescent="0.25">
      <c r="A1484">
        <v>6</v>
      </c>
      <c r="B1484">
        <v>2016</v>
      </c>
      <c r="C1484" t="s">
        <v>104</v>
      </c>
      <c r="D1484" t="s">
        <v>105</v>
      </c>
      <c r="E1484" t="s">
        <v>108</v>
      </c>
      <c r="F1484" t="s">
        <v>109</v>
      </c>
      <c r="G1484">
        <v>66</v>
      </c>
      <c r="H1484">
        <v>12</v>
      </c>
      <c r="I1484">
        <v>124.8</v>
      </c>
      <c r="J1484">
        <v>24</v>
      </c>
      <c r="Q1484"/>
    </row>
    <row r="1485" spans="1:17" x14ac:dyDescent="0.25">
      <c r="A1485">
        <v>6</v>
      </c>
      <c r="B1485">
        <v>2016</v>
      </c>
      <c r="C1485" t="s">
        <v>104</v>
      </c>
      <c r="D1485" t="s">
        <v>105</v>
      </c>
      <c r="E1485" t="s">
        <v>110</v>
      </c>
      <c r="F1485" t="s">
        <v>111</v>
      </c>
      <c r="G1485">
        <v>174</v>
      </c>
      <c r="H1485">
        <v>24</v>
      </c>
      <c r="I1485">
        <v>-40.5</v>
      </c>
      <c r="J1485">
        <v>-6</v>
      </c>
      <c r="Q1485"/>
    </row>
    <row r="1486" spans="1:17" x14ac:dyDescent="0.25">
      <c r="A1486">
        <v>6</v>
      </c>
      <c r="B1486">
        <v>2016</v>
      </c>
      <c r="C1486" t="s">
        <v>104</v>
      </c>
      <c r="D1486" t="s">
        <v>105</v>
      </c>
      <c r="E1486" t="s">
        <v>114</v>
      </c>
      <c r="F1486" t="s">
        <v>115</v>
      </c>
      <c r="G1486">
        <v>378</v>
      </c>
      <c r="H1486">
        <v>60</v>
      </c>
      <c r="I1486">
        <v>70.8</v>
      </c>
      <c r="J1486">
        <v>12</v>
      </c>
      <c r="Q1486"/>
    </row>
    <row r="1487" spans="1:17" x14ac:dyDescent="0.25">
      <c r="A1487">
        <v>6</v>
      </c>
      <c r="B1487">
        <v>2016</v>
      </c>
      <c r="C1487" t="s">
        <v>104</v>
      </c>
      <c r="D1487" t="s">
        <v>105</v>
      </c>
      <c r="E1487" t="s">
        <v>857</v>
      </c>
      <c r="F1487" t="s">
        <v>858</v>
      </c>
      <c r="G1487">
        <v>51.6</v>
      </c>
      <c r="H1487">
        <v>6</v>
      </c>
      <c r="I1487">
        <v>0</v>
      </c>
      <c r="J1487">
        <v>12</v>
      </c>
      <c r="Q1487"/>
    </row>
    <row r="1488" spans="1:17" x14ac:dyDescent="0.25">
      <c r="A1488">
        <v>6</v>
      </c>
      <c r="B1488">
        <v>2016</v>
      </c>
      <c r="C1488" t="s">
        <v>116</v>
      </c>
      <c r="D1488" t="s">
        <v>117</v>
      </c>
      <c r="E1488" t="s">
        <v>118</v>
      </c>
      <c r="F1488" t="s">
        <v>119</v>
      </c>
      <c r="G1488">
        <v>508.8</v>
      </c>
      <c r="H1488">
        <v>96</v>
      </c>
      <c r="I1488">
        <v>748.8</v>
      </c>
      <c r="J1488">
        <v>144</v>
      </c>
      <c r="Q1488"/>
    </row>
    <row r="1489" spans="1:17" x14ac:dyDescent="0.25">
      <c r="A1489">
        <v>6</v>
      </c>
      <c r="B1489">
        <v>2016</v>
      </c>
      <c r="C1489" t="s">
        <v>116</v>
      </c>
      <c r="D1489" t="s">
        <v>117</v>
      </c>
      <c r="E1489" t="s">
        <v>952</v>
      </c>
      <c r="F1489" t="s">
        <v>953</v>
      </c>
      <c r="G1489">
        <v>477</v>
      </c>
      <c r="H1489">
        <v>90</v>
      </c>
      <c r="Q1489"/>
    </row>
    <row r="1490" spans="1:17" x14ac:dyDescent="0.25">
      <c r="A1490">
        <v>6</v>
      </c>
      <c r="B1490">
        <v>2016</v>
      </c>
      <c r="C1490" t="s">
        <v>116</v>
      </c>
      <c r="D1490" t="s">
        <v>117</v>
      </c>
      <c r="E1490" t="s">
        <v>798</v>
      </c>
      <c r="F1490" t="s">
        <v>799</v>
      </c>
      <c r="G1490">
        <v>75.599999999999994</v>
      </c>
      <c r="H1490">
        <v>12</v>
      </c>
      <c r="I1490">
        <v>74.400000000000006</v>
      </c>
      <c r="J1490">
        <v>12</v>
      </c>
      <c r="Q1490"/>
    </row>
    <row r="1491" spans="1:17" x14ac:dyDescent="0.25">
      <c r="A1491">
        <v>6</v>
      </c>
      <c r="B1491">
        <v>2016</v>
      </c>
      <c r="C1491" t="s">
        <v>120</v>
      </c>
      <c r="D1491" t="s">
        <v>121</v>
      </c>
      <c r="E1491" t="s">
        <v>122</v>
      </c>
      <c r="F1491" t="s">
        <v>123</v>
      </c>
      <c r="G1491">
        <v>2920.68</v>
      </c>
      <c r="H1491">
        <v>732</v>
      </c>
      <c r="I1491">
        <v>3303.72</v>
      </c>
      <c r="J1491">
        <v>828</v>
      </c>
      <c r="Q1491"/>
    </row>
    <row r="1492" spans="1:17" x14ac:dyDescent="0.25">
      <c r="A1492">
        <v>6</v>
      </c>
      <c r="B1492">
        <v>2016</v>
      </c>
      <c r="C1492" t="s">
        <v>120</v>
      </c>
      <c r="D1492" t="s">
        <v>121</v>
      </c>
      <c r="E1492" t="s">
        <v>864</v>
      </c>
      <c r="F1492" t="s">
        <v>865</v>
      </c>
      <c r="G1492">
        <v>191.52</v>
      </c>
      <c r="H1492">
        <v>48</v>
      </c>
      <c r="I1492">
        <v>369.6</v>
      </c>
      <c r="J1492">
        <v>96</v>
      </c>
      <c r="Q1492"/>
    </row>
    <row r="1493" spans="1:17" x14ac:dyDescent="0.25">
      <c r="A1493">
        <v>6</v>
      </c>
      <c r="B1493">
        <v>2016</v>
      </c>
      <c r="C1493" t="s">
        <v>120</v>
      </c>
      <c r="D1493" t="s">
        <v>121</v>
      </c>
      <c r="E1493" t="s">
        <v>708</v>
      </c>
      <c r="F1493" t="s">
        <v>709</v>
      </c>
      <c r="G1493">
        <v>538.91999999999996</v>
      </c>
      <c r="H1493">
        <v>108</v>
      </c>
      <c r="I1493">
        <v>323.39999999999998</v>
      </c>
      <c r="J1493">
        <v>66</v>
      </c>
      <c r="Q1493"/>
    </row>
    <row r="1494" spans="1:17" x14ac:dyDescent="0.25">
      <c r="A1494">
        <v>6</v>
      </c>
      <c r="B1494">
        <v>2016</v>
      </c>
      <c r="C1494" t="s">
        <v>120</v>
      </c>
      <c r="D1494" t="s">
        <v>121</v>
      </c>
      <c r="E1494" t="s">
        <v>124</v>
      </c>
      <c r="F1494" t="s">
        <v>125</v>
      </c>
      <c r="G1494">
        <v>28.2</v>
      </c>
      <c r="H1494">
        <v>6</v>
      </c>
      <c r="I1494">
        <v>269.39999999999998</v>
      </c>
      <c r="J1494">
        <v>60</v>
      </c>
      <c r="Q1494"/>
    </row>
    <row r="1495" spans="1:17" x14ac:dyDescent="0.25">
      <c r="A1495">
        <v>6</v>
      </c>
      <c r="B1495">
        <v>2016</v>
      </c>
      <c r="C1495" t="s">
        <v>126</v>
      </c>
      <c r="D1495" t="s">
        <v>127</v>
      </c>
      <c r="E1495" t="s">
        <v>128</v>
      </c>
      <c r="F1495" t="s">
        <v>129</v>
      </c>
      <c r="G1495">
        <v>5299.5</v>
      </c>
      <c r="H1495">
        <v>2382</v>
      </c>
      <c r="I1495">
        <v>3813.3</v>
      </c>
      <c r="J1495">
        <v>1716</v>
      </c>
      <c r="Q1495"/>
    </row>
    <row r="1496" spans="1:17" x14ac:dyDescent="0.25">
      <c r="A1496">
        <v>6</v>
      </c>
      <c r="B1496">
        <v>2016</v>
      </c>
      <c r="C1496" t="s">
        <v>126</v>
      </c>
      <c r="D1496" t="s">
        <v>127</v>
      </c>
      <c r="E1496" t="s">
        <v>710</v>
      </c>
      <c r="F1496" t="s">
        <v>129</v>
      </c>
      <c r="G1496">
        <v>87.6</v>
      </c>
      <c r="H1496">
        <v>30</v>
      </c>
      <c r="I1496">
        <v>17.399999999999999</v>
      </c>
      <c r="J1496">
        <v>12</v>
      </c>
      <c r="Q1496"/>
    </row>
    <row r="1497" spans="1:17" x14ac:dyDescent="0.25">
      <c r="A1497">
        <v>6</v>
      </c>
      <c r="B1497">
        <v>2016</v>
      </c>
      <c r="C1497" t="s">
        <v>126</v>
      </c>
      <c r="D1497" t="s">
        <v>127</v>
      </c>
      <c r="E1497" t="s">
        <v>130</v>
      </c>
      <c r="F1497" t="s">
        <v>131</v>
      </c>
      <c r="G1497">
        <v>851.4</v>
      </c>
      <c r="H1497">
        <v>573.19000000000005</v>
      </c>
      <c r="I1497">
        <v>791.3</v>
      </c>
      <c r="J1497">
        <v>546.53</v>
      </c>
      <c r="Q1497"/>
    </row>
    <row r="1498" spans="1:17" x14ac:dyDescent="0.25">
      <c r="A1498">
        <v>6</v>
      </c>
      <c r="B1498">
        <v>2016</v>
      </c>
      <c r="C1498" t="s">
        <v>126</v>
      </c>
      <c r="D1498" t="s">
        <v>127</v>
      </c>
      <c r="E1498" t="s">
        <v>132</v>
      </c>
      <c r="F1498" t="s">
        <v>131</v>
      </c>
      <c r="G1498">
        <v>638.4</v>
      </c>
      <c r="H1498">
        <v>393.53</v>
      </c>
      <c r="I1498">
        <v>451</v>
      </c>
      <c r="J1498">
        <v>286.81</v>
      </c>
      <c r="Q1498"/>
    </row>
    <row r="1499" spans="1:17" x14ac:dyDescent="0.25">
      <c r="A1499">
        <v>6</v>
      </c>
      <c r="B1499">
        <v>2016</v>
      </c>
      <c r="C1499" t="s">
        <v>126</v>
      </c>
      <c r="D1499" t="s">
        <v>127</v>
      </c>
      <c r="E1499" t="s">
        <v>133</v>
      </c>
      <c r="F1499" t="s">
        <v>134</v>
      </c>
      <c r="G1499">
        <v>163.19999999999999</v>
      </c>
      <c r="H1499">
        <v>60</v>
      </c>
      <c r="I1499">
        <v>129.6</v>
      </c>
      <c r="J1499">
        <v>48</v>
      </c>
      <c r="Q1499"/>
    </row>
    <row r="1500" spans="1:17" x14ac:dyDescent="0.25">
      <c r="A1500">
        <v>6</v>
      </c>
      <c r="B1500">
        <v>2016</v>
      </c>
      <c r="C1500" t="s">
        <v>126</v>
      </c>
      <c r="D1500" t="s">
        <v>127</v>
      </c>
      <c r="E1500" t="s">
        <v>954</v>
      </c>
      <c r="F1500" t="s">
        <v>955</v>
      </c>
      <c r="G1500">
        <v>111.24</v>
      </c>
      <c r="H1500">
        <v>36</v>
      </c>
      <c r="Q1500"/>
    </row>
    <row r="1501" spans="1:17" x14ac:dyDescent="0.25">
      <c r="A1501">
        <v>6</v>
      </c>
      <c r="B1501">
        <v>2016</v>
      </c>
      <c r="C1501" t="s">
        <v>126</v>
      </c>
      <c r="D1501" t="s">
        <v>127</v>
      </c>
      <c r="E1501" t="s">
        <v>135</v>
      </c>
      <c r="F1501" t="s">
        <v>136</v>
      </c>
      <c r="G1501">
        <v>193.2</v>
      </c>
      <c r="H1501">
        <v>84</v>
      </c>
      <c r="I1501">
        <v>391.5</v>
      </c>
      <c r="J1501">
        <v>174</v>
      </c>
      <c r="Q1501"/>
    </row>
    <row r="1502" spans="1:17" x14ac:dyDescent="0.25">
      <c r="A1502">
        <v>6</v>
      </c>
      <c r="B1502">
        <v>2016</v>
      </c>
      <c r="C1502" t="s">
        <v>126</v>
      </c>
      <c r="D1502" t="s">
        <v>127</v>
      </c>
      <c r="E1502" t="s">
        <v>956</v>
      </c>
      <c r="F1502" t="s">
        <v>957</v>
      </c>
      <c r="G1502">
        <v>50</v>
      </c>
      <c r="H1502">
        <v>266.66000000000003</v>
      </c>
      <c r="Q1502"/>
    </row>
    <row r="1503" spans="1:17" x14ac:dyDescent="0.25">
      <c r="A1503">
        <v>6</v>
      </c>
      <c r="B1503">
        <v>2016</v>
      </c>
      <c r="C1503" t="s">
        <v>137</v>
      </c>
      <c r="D1503" t="s">
        <v>138</v>
      </c>
      <c r="E1503" t="s">
        <v>139</v>
      </c>
      <c r="F1503" t="s">
        <v>140</v>
      </c>
      <c r="G1503">
        <v>651.84</v>
      </c>
      <c r="H1503">
        <v>96</v>
      </c>
      <c r="I1503">
        <v>1425.9</v>
      </c>
      <c r="J1503">
        <v>210</v>
      </c>
      <c r="Q1503"/>
    </row>
    <row r="1504" spans="1:17" x14ac:dyDescent="0.25">
      <c r="A1504">
        <v>6</v>
      </c>
      <c r="B1504">
        <v>2016</v>
      </c>
      <c r="C1504" t="s">
        <v>137</v>
      </c>
      <c r="D1504" t="s">
        <v>138</v>
      </c>
      <c r="E1504" t="s">
        <v>141</v>
      </c>
      <c r="F1504" t="s">
        <v>142</v>
      </c>
      <c r="G1504">
        <v>299.7</v>
      </c>
      <c r="H1504">
        <v>54</v>
      </c>
      <c r="I1504">
        <v>333</v>
      </c>
      <c r="J1504">
        <v>60</v>
      </c>
      <c r="Q1504"/>
    </row>
    <row r="1505" spans="1:17" x14ac:dyDescent="0.25">
      <c r="A1505">
        <v>6</v>
      </c>
      <c r="B1505">
        <v>2016</v>
      </c>
      <c r="C1505" t="s">
        <v>137</v>
      </c>
      <c r="D1505" t="s">
        <v>138</v>
      </c>
      <c r="E1505" t="s">
        <v>143</v>
      </c>
      <c r="F1505" t="s">
        <v>144</v>
      </c>
      <c r="G1505">
        <v>320.10000000000002</v>
      </c>
      <c r="H1505">
        <v>72</v>
      </c>
      <c r="I1505">
        <v>232.8</v>
      </c>
      <c r="J1505">
        <v>48</v>
      </c>
      <c r="Q1505"/>
    </row>
    <row r="1506" spans="1:17" x14ac:dyDescent="0.25">
      <c r="A1506">
        <v>6</v>
      </c>
      <c r="B1506">
        <v>2016</v>
      </c>
      <c r="C1506" t="s">
        <v>137</v>
      </c>
      <c r="D1506" t="s">
        <v>138</v>
      </c>
      <c r="E1506" t="s">
        <v>145</v>
      </c>
      <c r="F1506" t="s">
        <v>146</v>
      </c>
      <c r="G1506">
        <v>1394.12</v>
      </c>
      <c r="H1506">
        <v>384</v>
      </c>
      <c r="I1506">
        <v>137.88</v>
      </c>
      <c r="J1506">
        <v>36</v>
      </c>
      <c r="Q1506"/>
    </row>
    <row r="1507" spans="1:17" x14ac:dyDescent="0.25">
      <c r="A1507">
        <v>6</v>
      </c>
      <c r="B1507">
        <v>2016</v>
      </c>
      <c r="C1507" t="s">
        <v>137</v>
      </c>
      <c r="D1507" t="s">
        <v>138</v>
      </c>
      <c r="E1507" t="s">
        <v>713</v>
      </c>
      <c r="F1507" t="s">
        <v>714</v>
      </c>
      <c r="G1507">
        <v>204.12</v>
      </c>
      <c r="H1507">
        <v>84</v>
      </c>
      <c r="Q1507"/>
    </row>
    <row r="1508" spans="1:17" x14ac:dyDescent="0.25">
      <c r="A1508">
        <v>6</v>
      </c>
      <c r="B1508">
        <v>2016</v>
      </c>
      <c r="C1508" t="s">
        <v>137</v>
      </c>
      <c r="D1508" t="s">
        <v>138</v>
      </c>
      <c r="E1508" t="s">
        <v>147</v>
      </c>
      <c r="F1508" t="s">
        <v>148</v>
      </c>
      <c r="G1508">
        <v>1348.2</v>
      </c>
      <c r="H1508">
        <v>126</v>
      </c>
      <c r="I1508">
        <v>898.8</v>
      </c>
      <c r="J1508">
        <v>84</v>
      </c>
      <c r="Q1508"/>
    </row>
    <row r="1509" spans="1:17" x14ac:dyDescent="0.25">
      <c r="A1509">
        <v>6</v>
      </c>
      <c r="B1509">
        <v>2016</v>
      </c>
      <c r="C1509" t="s">
        <v>137</v>
      </c>
      <c r="D1509" t="s">
        <v>138</v>
      </c>
      <c r="E1509" t="s">
        <v>149</v>
      </c>
      <c r="F1509" t="s">
        <v>150</v>
      </c>
      <c r="G1509">
        <v>3872.96</v>
      </c>
      <c r="H1509">
        <v>1350</v>
      </c>
      <c r="I1509">
        <v>1477.44</v>
      </c>
      <c r="J1509">
        <v>486</v>
      </c>
      <c r="Q1509"/>
    </row>
    <row r="1510" spans="1:17" x14ac:dyDescent="0.25">
      <c r="A1510">
        <v>6</v>
      </c>
      <c r="B1510">
        <v>2016</v>
      </c>
      <c r="C1510" t="s">
        <v>137</v>
      </c>
      <c r="D1510" t="s">
        <v>138</v>
      </c>
      <c r="E1510" t="s">
        <v>151</v>
      </c>
      <c r="F1510" t="s">
        <v>152</v>
      </c>
      <c r="G1510">
        <v>1276.5</v>
      </c>
      <c r="H1510">
        <v>246</v>
      </c>
      <c r="I1510">
        <v>434.46</v>
      </c>
      <c r="J1510">
        <v>84</v>
      </c>
      <c r="Q1510"/>
    </row>
    <row r="1511" spans="1:17" x14ac:dyDescent="0.25">
      <c r="A1511">
        <v>6</v>
      </c>
      <c r="B1511">
        <v>2016</v>
      </c>
      <c r="C1511" t="s">
        <v>137</v>
      </c>
      <c r="D1511" t="s">
        <v>138</v>
      </c>
      <c r="E1511" t="s">
        <v>153</v>
      </c>
      <c r="F1511" t="s">
        <v>154</v>
      </c>
      <c r="G1511">
        <v>977.04</v>
      </c>
      <c r="H1511">
        <v>252</v>
      </c>
      <c r="I1511">
        <v>322.92</v>
      </c>
      <c r="J1511">
        <v>78</v>
      </c>
      <c r="Q1511"/>
    </row>
    <row r="1512" spans="1:17" x14ac:dyDescent="0.25">
      <c r="A1512">
        <v>6</v>
      </c>
      <c r="B1512">
        <v>2016</v>
      </c>
      <c r="C1512" t="s">
        <v>155</v>
      </c>
      <c r="D1512" t="s">
        <v>156</v>
      </c>
      <c r="E1512" t="s">
        <v>157</v>
      </c>
      <c r="F1512" t="s">
        <v>158</v>
      </c>
      <c r="G1512">
        <v>936</v>
      </c>
      <c r="H1512">
        <v>294</v>
      </c>
      <c r="I1512">
        <v>1677</v>
      </c>
      <c r="J1512">
        <v>516</v>
      </c>
      <c r="Q1512"/>
    </row>
    <row r="1513" spans="1:17" x14ac:dyDescent="0.25">
      <c r="A1513">
        <v>6</v>
      </c>
      <c r="B1513">
        <v>2016</v>
      </c>
      <c r="C1513" t="s">
        <v>155</v>
      </c>
      <c r="D1513" t="s">
        <v>156</v>
      </c>
      <c r="E1513" t="s">
        <v>159</v>
      </c>
      <c r="F1513" t="s">
        <v>160</v>
      </c>
      <c r="G1513">
        <v>117.6</v>
      </c>
      <c r="H1513">
        <v>42</v>
      </c>
      <c r="I1513">
        <v>235.2</v>
      </c>
      <c r="J1513">
        <v>84</v>
      </c>
      <c r="Q1513"/>
    </row>
    <row r="1514" spans="1:17" x14ac:dyDescent="0.25">
      <c r="A1514">
        <v>6</v>
      </c>
      <c r="B1514">
        <v>2016</v>
      </c>
      <c r="C1514" t="s">
        <v>155</v>
      </c>
      <c r="D1514" t="s">
        <v>156</v>
      </c>
      <c r="E1514" t="s">
        <v>161</v>
      </c>
      <c r="F1514" t="s">
        <v>162</v>
      </c>
      <c r="G1514">
        <v>342</v>
      </c>
      <c r="H1514">
        <v>213.28</v>
      </c>
      <c r="I1514">
        <v>632.79999999999995</v>
      </c>
      <c r="J1514">
        <v>373.24</v>
      </c>
      <c r="Q1514"/>
    </row>
    <row r="1515" spans="1:17" x14ac:dyDescent="0.25">
      <c r="A1515">
        <v>6</v>
      </c>
      <c r="B1515">
        <v>2016</v>
      </c>
      <c r="C1515" t="s">
        <v>155</v>
      </c>
      <c r="D1515" t="s">
        <v>156</v>
      </c>
      <c r="E1515" t="s">
        <v>163</v>
      </c>
      <c r="F1515" t="s">
        <v>164</v>
      </c>
      <c r="G1515">
        <v>270</v>
      </c>
      <c r="H1515">
        <v>133.4</v>
      </c>
      <c r="I1515">
        <v>678.3</v>
      </c>
      <c r="J1515">
        <v>353.51</v>
      </c>
      <c r="Q1515"/>
    </row>
    <row r="1516" spans="1:17" x14ac:dyDescent="0.25">
      <c r="A1516">
        <v>6</v>
      </c>
      <c r="B1516">
        <v>2016</v>
      </c>
      <c r="C1516" t="s">
        <v>155</v>
      </c>
      <c r="D1516" t="s">
        <v>156</v>
      </c>
      <c r="E1516" t="s">
        <v>165</v>
      </c>
      <c r="F1516" t="s">
        <v>166</v>
      </c>
      <c r="G1516">
        <v>801</v>
      </c>
      <c r="H1516">
        <v>180</v>
      </c>
      <c r="I1516">
        <v>614.1</v>
      </c>
      <c r="J1516">
        <v>138</v>
      </c>
      <c r="Q1516"/>
    </row>
    <row r="1517" spans="1:17" x14ac:dyDescent="0.25">
      <c r="A1517">
        <v>6</v>
      </c>
      <c r="B1517">
        <v>2016</v>
      </c>
      <c r="C1517" t="s">
        <v>167</v>
      </c>
      <c r="D1517" t="s">
        <v>168</v>
      </c>
      <c r="E1517" t="s">
        <v>173</v>
      </c>
      <c r="F1517" t="s">
        <v>174</v>
      </c>
      <c r="G1517">
        <v>28.8</v>
      </c>
      <c r="H1517">
        <v>12</v>
      </c>
      <c r="I1517">
        <v>14.4</v>
      </c>
      <c r="J1517">
        <v>6</v>
      </c>
      <c r="Q1517"/>
    </row>
    <row r="1518" spans="1:17" x14ac:dyDescent="0.25">
      <c r="A1518">
        <v>6</v>
      </c>
      <c r="B1518">
        <v>2016</v>
      </c>
      <c r="C1518" t="s">
        <v>175</v>
      </c>
      <c r="D1518" t="s">
        <v>176</v>
      </c>
      <c r="E1518" t="s">
        <v>177</v>
      </c>
      <c r="F1518" t="s">
        <v>178</v>
      </c>
      <c r="G1518">
        <v>2170.56</v>
      </c>
      <c r="H1518">
        <v>558</v>
      </c>
      <c r="I1518">
        <v>1512</v>
      </c>
      <c r="J1518">
        <v>384</v>
      </c>
      <c r="Q1518"/>
    </row>
    <row r="1519" spans="1:17" x14ac:dyDescent="0.25">
      <c r="A1519">
        <v>6</v>
      </c>
      <c r="B1519">
        <v>2016</v>
      </c>
      <c r="C1519" t="s">
        <v>175</v>
      </c>
      <c r="D1519" t="s">
        <v>176</v>
      </c>
      <c r="E1519" t="s">
        <v>179</v>
      </c>
      <c r="F1519" t="s">
        <v>178</v>
      </c>
      <c r="G1519">
        <v>728.64</v>
      </c>
      <c r="H1519">
        <v>144</v>
      </c>
      <c r="I1519">
        <v>150</v>
      </c>
      <c r="J1519">
        <v>30</v>
      </c>
      <c r="Q1519"/>
    </row>
    <row r="1520" spans="1:17" x14ac:dyDescent="0.25">
      <c r="A1520">
        <v>6</v>
      </c>
      <c r="B1520">
        <v>2016</v>
      </c>
      <c r="C1520" t="s">
        <v>175</v>
      </c>
      <c r="D1520" t="s">
        <v>176</v>
      </c>
      <c r="E1520" t="s">
        <v>180</v>
      </c>
      <c r="F1520" t="s">
        <v>181</v>
      </c>
      <c r="G1520">
        <v>786.24</v>
      </c>
      <c r="H1520">
        <v>222</v>
      </c>
      <c r="I1520">
        <v>514.08000000000004</v>
      </c>
      <c r="J1520">
        <v>150</v>
      </c>
      <c r="Q1520"/>
    </row>
    <row r="1521" spans="1:17" x14ac:dyDescent="0.25">
      <c r="A1521">
        <v>6</v>
      </c>
      <c r="B1521">
        <v>2016</v>
      </c>
      <c r="C1521" t="s">
        <v>183</v>
      </c>
      <c r="D1521" t="s">
        <v>184</v>
      </c>
      <c r="E1521" t="s">
        <v>185</v>
      </c>
      <c r="F1521" t="s">
        <v>186</v>
      </c>
      <c r="G1521">
        <v>177</v>
      </c>
      <c r="H1521">
        <v>60</v>
      </c>
      <c r="I1521">
        <v>453.6</v>
      </c>
      <c r="J1521">
        <v>162</v>
      </c>
      <c r="Q1521"/>
    </row>
    <row r="1522" spans="1:17" x14ac:dyDescent="0.25">
      <c r="A1522">
        <v>6</v>
      </c>
      <c r="B1522">
        <v>2016</v>
      </c>
      <c r="C1522" t="s">
        <v>183</v>
      </c>
      <c r="D1522" t="s">
        <v>184</v>
      </c>
      <c r="E1522" t="s">
        <v>717</v>
      </c>
      <c r="F1522" t="s">
        <v>718</v>
      </c>
      <c r="G1522">
        <v>113.85</v>
      </c>
      <c r="H1522">
        <v>119.97</v>
      </c>
      <c r="I1522">
        <v>148.80000000000001</v>
      </c>
      <c r="J1522">
        <v>159.96</v>
      </c>
      <c r="Q1522"/>
    </row>
    <row r="1523" spans="1:17" x14ac:dyDescent="0.25">
      <c r="A1523">
        <v>6</v>
      </c>
      <c r="B1523">
        <v>2016</v>
      </c>
      <c r="C1523" t="s">
        <v>183</v>
      </c>
      <c r="D1523" t="s">
        <v>184</v>
      </c>
      <c r="E1523" t="s">
        <v>187</v>
      </c>
      <c r="F1523" t="s">
        <v>188</v>
      </c>
      <c r="G1523">
        <v>44.1</v>
      </c>
      <c r="H1523">
        <v>53.36</v>
      </c>
      <c r="I1523">
        <v>43.2</v>
      </c>
      <c r="J1523">
        <v>46.69</v>
      </c>
      <c r="Q1523"/>
    </row>
    <row r="1524" spans="1:17" x14ac:dyDescent="0.25">
      <c r="A1524">
        <v>6</v>
      </c>
      <c r="B1524">
        <v>2016</v>
      </c>
      <c r="C1524" t="s">
        <v>189</v>
      </c>
      <c r="D1524" t="s">
        <v>190</v>
      </c>
      <c r="E1524" t="s">
        <v>191</v>
      </c>
      <c r="F1524" t="s">
        <v>192</v>
      </c>
      <c r="G1524">
        <v>273.60000000000002</v>
      </c>
      <c r="H1524">
        <v>78</v>
      </c>
      <c r="I1524">
        <v>244.2</v>
      </c>
      <c r="J1524">
        <v>66</v>
      </c>
      <c r="Q1524"/>
    </row>
    <row r="1525" spans="1:17" x14ac:dyDescent="0.25">
      <c r="A1525">
        <v>6</v>
      </c>
      <c r="B1525">
        <v>2016</v>
      </c>
      <c r="C1525" t="s">
        <v>189</v>
      </c>
      <c r="D1525" t="s">
        <v>190</v>
      </c>
      <c r="E1525" t="s">
        <v>871</v>
      </c>
      <c r="F1525" t="s">
        <v>872</v>
      </c>
      <c r="G1525">
        <v>23.1</v>
      </c>
      <c r="H1525">
        <v>6</v>
      </c>
      <c r="I1525">
        <v>133.19999999999999</v>
      </c>
      <c r="J1525">
        <v>36</v>
      </c>
      <c r="Q1525"/>
    </row>
    <row r="1526" spans="1:17" x14ac:dyDescent="0.25">
      <c r="A1526">
        <v>6</v>
      </c>
      <c r="B1526">
        <v>2016</v>
      </c>
      <c r="C1526" t="s">
        <v>189</v>
      </c>
      <c r="D1526" t="s">
        <v>190</v>
      </c>
      <c r="E1526" t="s">
        <v>193</v>
      </c>
      <c r="F1526" t="s">
        <v>194</v>
      </c>
      <c r="G1526">
        <v>370.5</v>
      </c>
      <c r="H1526">
        <v>78</v>
      </c>
      <c r="I1526">
        <v>273</v>
      </c>
      <c r="J1526">
        <v>66</v>
      </c>
      <c r="Q1526"/>
    </row>
    <row r="1527" spans="1:17" x14ac:dyDescent="0.25">
      <c r="A1527">
        <v>6</v>
      </c>
      <c r="B1527">
        <v>2016</v>
      </c>
      <c r="C1527" t="s">
        <v>195</v>
      </c>
      <c r="D1527" t="s">
        <v>196</v>
      </c>
      <c r="E1527" t="s">
        <v>719</v>
      </c>
      <c r="F1527" t="s">
        <v>720</v>
      </c>
      <c r="G1527">
        <v>226.56</v>
      </c>
      <c r="H1527">
        <v>48</v>
      </c>
      <c r="I1527">
        <v>79.92</v>
      </c>
      <c r="J1527">
        <v>18</v>
      </c>
      <c r="Q1527"/>
    </row>
    <row r="1528" spans="1:17" x14ac:dyDescent="0.25">
      <c r="A1528">
        <v>6</v>
      </c>
      <c r="B1528">
        <v>2016</v>
      </c>
      <c r="C1528" t="s">
        <v>195</v>
      </c>
      <c r="D1528" t="s">
        <v>196</v>
      </c>
      <c r="E1528" t="s">
        <v>199</v>
      </c>
      <c r="F1528" t="s">
        <v>200</v>
      </c>
      <c r="G1528">
        <v>105</v>
      </c>
      <c r="H1528">
        <v>30</v>
      </c>
      <c r="I1528">
        <v>84</v>
      </c>
      <c r="J1528">
        <v>24</v>
      </c>
      <c r="Q1528"/>
    </row>
    <row r="1529" spans="1:17" x14ac:dyDescent="0.25">
      <c r="A1529">
        <v>6</v>
      </c>
      <c r="B1529">
        <v>2016</v>
      </c>
      <c r="C1529" t="s">
        <v>195</v>
      </c>
      <c r="D1529" t="s">
        <v>196</v>
      </c>
      <c r="E1529" t="s">
        <v>201</v>
      </c>
      <c r="F1529" t="s">
        <v>202</v>
      </c>
      <c r="G1529">
        <v>366</v>
      </c>
      <c r="H1529">
        <v>150</v>
      </c>
      <c r="I1529">
        <v>39.78</v>
      </c>
      <c r="J1529">
        <v>18</v>
      </c>
      <c r="Q1529"/>
    </row>
    <row r="1530" spans="1:17" x14ac:dyDescent="0.25">
      <c r="A1530">
        <v>6</v>
      </c>
      <c r="B1530">
        <v>2016</v>
      </c>
      <c r="C1530" t="s">
        <v>195</v>
      </c>
      <c r="D1530" t="s">
        <v>196</v>
      </c>
      <c r="E1530" t="s">
        <v>203</v>
      </c>
      <c r="F1530" t="s">
        <v>204</v>
      </c>
      <c r="G1530">
        <v>450</v>
      </c>
      <c r="H1530">
        <v>90</v>
      </c>
      <c r="I1530">
        <v>56.64</v>
      </c>
      <c r="J1530">
        <v>12</v>
      </c>
      <c r="Q1530"/>
    </row>
    <row r="1531" spans="1:17" x14ac:dyDescent="0.25">
      <c r="A1531">
        <v>6</v>
      </c>
      <c r="B1531">
        <v>2016</v>
      </c>
      <c r="C1531" t="s">
        <v>195</v>
      </c>
      <c r="D1531" t="s">
        <v>196</v>
      </c>
      <c r="E1531" t="s">
        <v>205</v>
      </c>
      <c r="F1531" t="s">
        <v>206</v>
      </c>
      <c r="G1531">
        <v>249.48</v>
      </c>
      <c r="H1531">
        <v>66</v>
      </c>
      <c r="I1531">
        <v>64.98</v>
      </c>
      <c r="J1531">
        <v>18</v>
      </c>
      <c r="Q1531"/>
    </row>
    <row r="1532" spans="1:17" x14ac:dyDescent="0.25">
      <c r="A1532">
        <v>6</v>
      </c>
      <c r="B1532">
        <v>2016</v>
      </c>
      <c r="C1532" t="s">
        <v>207</v>
      </c>
      <c r="D1532" t="s">
        <v>208</v>
      </c>
      <c r="E1532" t="s">
        <v>934</v>
      </c>
      <c r="F1532" t="s">
        <v>935</v>
      </c>
      <c r="G1532">
        <v>34.200000000000003</v>
      </c>
      <c r="H1532">
        <v>6</v>
      </c>
      <c r="I1532">
        <v>102.6</v>
      </c>
      <c r="J1532">
        <v>18</v>
      </c>
      <c r="Q1532"/>
    </row>
    <row r="1533" spans="1:17" x14ac:dyDescent="0.25">
      <c r="A1533">
        <v>6</v>
      </c>
      <c r="B1533">
        <v>2016</v>
      </c>
      <c r="C1533" t="s">
        <v>207</v>
      </c>
      <c r="D1533" t="s">
        <v>208</v>
      </c>
      <c r="E1533" t="s">
        <v>209</v>
      </c>
      <c r="F1533" t="s">
        <v>210</v>
      </c>
      <c r="G1533">
        <v>1971</v>
      </c>
      <c r="H1533">
        <v>540</v>
      </c>
      <c r="I1533">
        <v>2635.2</v>
      </c>
      <c r="J1533">
        <v>732</v>
      </c>
      <c r="Q1533"/>
    </row>
    <row r="1534" spans="1:17" x14ac:dyDescent="0.25">
      <c r="A1534">
        <v>6</v>
      </c>
      <c r="B1534">
        <v>2016</v>
      </c>
      <c r="C1534" t="s">
        <v>207</v>
      </c>
      <c r="D1534" t="s">
        <v>208</v>
      </c>
      <c r="E1534" t="s">
        <v>211</v>
      </c>
      <c r="F1534" t="s">
        <v>212</v>
      </c>
      <c r="G1534">
        <v>110.4</v>
      </c>
      <c r="H1534">
        <v>60.03</v>
      </c>
      <c r="I1534">
        <v>591.75</v>
      </c>
      <c r="J1534">
        <v>306.82</v>
      </c>
      <c r="Q1534"/>
    </row>
    <row r="1535" spans="1:17" x14ac:dyDescent="0.25">
      <c r="A1535">
        <v>6</v>
      </c>
      <c r="B1535">
        <v>2016</v>
      </c>
      <c r="C1535" t="s">
        <v>207</v>
      </c>
      <c r="D1535" t="s">
        <v>208</v>
      </c>
      <c r="E1535" t="s">
        <v>213</v>
      </c>
      <c r="F1535" t="s">
        <v>212</v>
      </c>
      <c r="G1535">
        <v>211.6</v>
      </c>
      <c r="H1535">
        <v>106.64</v>
      </c>
      <c r="I1535">
        <v>352.8</v>
      </c>
      <c r="J1535">
        <v>186.62</v>
      </c>
      <c r="Q1535"/>
    </row>
    <row r="1536" spans="1:17" x14ac:dyDescent="0.25">
      <c r="A1536">
        <v>6</v>
      </c>
      <c r="B1536">
        <v>2016</v>
      </c>
      <c r="C1536" t="s">
        <v>207</v>
      </c>
      <c r="D1536" t="s">
        <v>208</v>
      </c>
      <c r="E1536" t="s">
        <v>217</v>
      </c>
      <c r="F1536" t="s">
        <v>218</v>
      </c>
      <c r="G1536">
        <v>183.6</v>
      </c>
      <c r="H1536">
        <v>36</v>
      </c>
      <c r="Q1536"/>
    </row>
    <row r="1537" spans="1:17" x14ac:dyDescent="0.25">
      <c r="A1537">
        <v>6</v>
      </c>
      <c r="B1537">
        <v>2016</v>
      </c>
      <c r="C1537" t="s">
        <v>207</v>
      </c>
      <c r="D1537" t="s">
        <v>208</v>
      </c>
      <c r="E1537" t="s">
        <v>804</v>
      </c>
      <c r="F1537" t="s">
        <v>805</v>
      </c>
      <c r="G1537">
        <v>49.2</v>
      </c>
      <c r="H1537">
        <v>6</v>
      </c>
      <c r="I1537">
        <v>196.8</v>
      </c>
      <c r="J1537">
        <v>24</v>
      </c>
      <c r="Q1537"/>
    </row>
    <row r="1538" spans="1:17" x14ac:dyDescent="0.25">
      <c r="A1538">
        <v>6</v>
      </c>
      <c r="B1538">
        <v>2016</v>
      </c>
      <c r="C1538" t="s">
        <v>219</v>
      </c>
      <c r="D1538" t="s">
        <v>220</v>
      </c>
      <c r="E1538" t="s">
        <v>221</v>
      </c>
      <c r="F1538" t="s">
        <v>222</v>
      </c>
      <c r="G1538">
        <v>344.4</v>
      </c>
      <c r="H1538">
        <v>24</v>
      </c>
      <c r="I1538">
        <v>3696</v>
      </c>
      <c r="J1538">
        <v>264</v>
      </c>
      <c r="Q1538"/>
    </row>
    <row r="1539" spans="1:17" x14ac:dyDescent="0.25">
      <c r="A1539">
        <v>6</v>
      </c>
      <c r="B1539">
        <v>2016</v>
      </c>
      <c r="C1539" t="s">
        <v>219</v>
      </c>
      <c r="D1539" t="s">
        <v>220</v>
      </c>
      <c r="E1539" t="s">
        <v>725</v>
      </c>
      <c r="F1539" t="s">
        <v>726</v>
      </c>
      <c r="G1539">
        <v>315</v>
      </c>
      <c r="H1539">
        <v>36</v>
      </c>
      <c r="Q1539"/>
    </row>
    <row r="1540" spans="1:17" x14ac:dyDescent="0.25">
      <c r="A1540">
        <v>6</v>
      </c>
      <c r="B1540">
        <v>2016</v>
      </c>
      <c r="C1540" t="s">
        <v>219</v>
      </c>
      <c r="D1540" t="s">
        <v>220</v>
      </c>
      <c r="E1540" t="s">
        <v>225</v>
      </c>
      <c r="F1540" t="s">
        <v>226</v>
      </c>
      <c r="G1540">
        <v>1108.8</v>
      </c>
      <c r="H1540">
        <v>132</v>
      </c>
      <c r="I1540">
        <v>2154.3000000000002</v>
      </c>
      <c r="J1540">
        <v>258</v>
      </c>
      <c r="Q1540"/>
    </row>
    <row r="1541" spans="1:17" x14ac:dyDescent="0.25">
      <c r="A1541">
        <v>6</v>
      </c>
      <c r="B1541">
        <v>2016</v>
      </c>
      <c r="C1541" t="s">
        <v>231</v>
      </c>
      <c r="D1541" t="s">
        <v>232</v>
      </c>
      <c r="E1541" t="s">
        <v>233</v>
      </c>
      <c r="F1541" t="s">
        <v>234</v>
      </c>
      <c r="G1541">
        <v>162</v>
      </c>
      <c r="H1541">
        <v>36</v>
      </c>
      <c r="I1541">
        <v>221.4</v>
      </c>
      <c r="J1541">
        <v>54</v>
      </c>
      <c r="Q1541"/>
    </row>
    <row r="1542" spans="1:17" x14ac:dyDescent="0.25">
      <c r="A1542">
        <v>6</v>
      </c>
      <c r="B1542">
        <v>2016</v>
      </c>
      <c r="C1542" t="s">
        <v>231</v>
      </c>
      <c r="D1542" t="s">
        <v>232</v>
      </c>
      <c r="E1542" t="s">
        <v>237</v>
      </c>
      <c r="F1542" t="s">
        <v>238</v>
      </c>
      <c r="G1542">
        <v>216</v>
      </c>
      <c r="H1542">
        <v>54</v>
      </c>
      <c r="I1542">
        <v>525</v>
      </c>
      <c r="J1542">
        <v>150</v>
      </c>
      <c r="Q1542"/>
    </row>
    <row r="1543" spans="1:17" x14ac:dyDescent="0.25">
      <c r="A1543">
        <v>6</v>
      </c>
      <c r="B1543">
        <v>2016</v>
      </c>
      <c r="C1543" t="s">
        <v>231</v>
      </c>
      <c r="D1543" t="s">
        <v>232</v>
      </c>
      <c r="E1543" t="s">
        <v>239</v>
      </c>
      <c r="F1543" t="s">
        <v>240</v>
      </c>
      <c r="G1543">
        <v>315</v>
      </c>
      <c r="H1543">
        <v>42</v>
      </c>
      <c r="Q1543"/>
    </row>
    <row r="1544" spans="1:17" x14ac:dyDescent="0.25">
      <c r="A1544">
        <v>6</v>
      </c>
      <c r="B1544">
        <v>2016</v>
      </c>
      <c r="C1544" t="s">
        <v>241</v>
      </c>
      <c r="D1544" t="s">
        <v>242</v>
      </c>
      <c r="E1544" t="s">
        <v>243</v>
      </c>
      <c r="F1544" t="s">
        <v>244</v>
      </c>
      <c r="G1544">
        <v>705.6</v>
      </c>
      <c r="H1544">
        <v>126</v>
      </c>
      <c r="I1544">
        <v>1419</v>
      </c>
      <c r="J1544">
        <v>258</v>
      </c>
      <c r="Q1544"/>
    </row>
    <row r="1545" spans="1:17" x14ac:dyDescent="0.25">
      <c r="A1545">
        <v>6</v>
      </c>
      <c r="B1545">
        <v>2016</v>
      </c>
      <c r="C1545" t="s">
        <v>245</v>
      </c>
      <c r="D1545" t="s">
        <v>246</v>
      </c>
      <c r="E1545" t="s">
        <v>247</v>
      </c>
      <c r="F1545" t="s">
        <v>248</v>
      </c>
      <c r="G1545">
        <v>140.69999999999999</v>
      </c>
      <c r="H1545">
        <v>42</v>
      </c>
      <c r="I1545">
        <v>59.4</v>
      </c>
      <c r="J1545">
        <v>18</v>
      </c>
      <c r="Q1545"/>
    </row>
    <row r="1546" spans="1:17" x14ac:dyDescent="0.25">
      <c r="A1546">
        <v>6</v>
      </c>
      <c r="B1546">
        <v>2016</v>
      </c>
      <c r="C1546" t="s">
        <v>245</v>
      </c>
      <c r="D1546" t="s">
        <v>246</v>
      </c>
      <c r="E1546" t="s">
        <v>249</v>
      </c>
      <c r="F1546" t="s">
        <v>250</v>
      </c>
      <c r="G1546">
        <v>417.6</v>
      </c>
      <c r="H1546">
        <v>144</v>
      </c>
      <c r="Q1546"/>
    </row>
    <row r="1547" spans="1:17" x14ac:dyDescent="0.25">
      <c r="A1547">
        <v>6</v>
      </c>
      <c r="B1547">
        <v>2016</v>
      </c>
      <c r="C1547" t="s">
        <v>245</v>
      </c>
      <c r="D1547" t="s">
        <v>246</v>
      </c>
      <c r="E1547" t="s">
        <v>252</v>
      </c>
      <c r="F1547" t="s">
        <v>253</v>
      </c>
      <c r="G1547">
        <v>837</v>
      </c>
      <c r="H1547">
        <v>384</v>
      </c>
      <c r="I1547">
        <v>575.46</v>
      </c>
      <c r="J1547">
        <v>258</v>
      </c>
      <c r="Q1547"/>
    </row>
    <row r="1548" spans="1:17" x14ac:dyDescent="0.25">
      <c r="A1548">
        <v>6</v>
      </c>
      <c r="B1548">
        <v>2016</v>
      </c>
      <c r="C1548" t="s">
        <v>245</v>
      </c>
      <c r="D1548" t="s">
        <v>246</v>
      </c>
      <c r="E1548" t="s">
        <v>809</v>
      </c>
      <c r="F1548" t="s">
        <v>253</v>
      </c>
      <c r="G1548">
        <v>39.6</v>
      </c>
      <c r="H1548">
        <v>12</v>
      </c>
      <c r="I1548">
        <v>39.6</v>
      </c>
      <c r="J1548">
        <v>12</v>
      </c>
      <c r="Q1548"/>
    </row>
    <row r="1549" spans="1:17" x14ac:dyDescent="0.25">
      <c r="A1549">
        <v>6</v>
      </c>
      <c r="B1549">
        <v>2016</v>
      </c>
      <c r="C1549" t="s">
        <v>245</v>
      </c>
      <c r="D1549" t="s">
        <v>246</v>
      </c>
      <c r="E1549" t="s">
        <v>731</v>
      </c>
      <c r="F1549" t="s">
        <v>248</v>
      </c>
      <c r="G1549">
        <v>162</v>
      </c>
      <c r="H1549">
        <v>48</v>
      </c>
      <c r="I1549">
        <v>40.5</v>
      </c>
      <c r="J1549">
        <v>12</v>
      </c>
      <c r="Q1549"/>
    </row>
    <row r="1550" spans="1:17" x14ac:dyDescent="0.25">
      <c r="A1550">
        <v>6</v>
      </c>
      <c r="B1550">
        <v>2016</v>
      </c>
      <c r="C1550" t="s">
        <v>245</v>
      </c>
      <c r="D1550" t="s">
        <v>246</v>
      </c>
      <c r="E1550" t="s">
        <v>958</v>
      </c>
      <c r="F1550" t="s">
        <v>959</v>
      </c>
      <c r="G1550">
        <v>0</v>
      </c>
      <c r="H1550">
        <v>36</v>
      </c>
      <c r="Q1550"/>
    </row>
    <row r="1551" spans="1:17" x14ac:dyDescent="0.25">
      <c r="A1551">
        <v>6</v>
      </c>
      <c r="B1551">
        <v>2016</v>
      </c>
      <c r="C1551" t="s">
        <v>254</v>
      </c>
      <c r="D1551" t="s">
        <v>255</v>
      </c>
      <c r="E1551" t="s">
        <v>256</v>
      </c>
      <c r="F1551" t="s">
        <v>257</v>
      </c>
      <c r="G1551">
        <v>1306.5</v>
      </c>
      <c r="H1551">
        <v>402</v>
      </c>
      <c r="I1551">
        <v>1958.4</v>
      </c>
      <c r="J1551">
        <v>612</v>
      </c>
      <c r="Q1551"/>
    </row>
    <row r="1552" spans="1:17" x14ac:dyDescent="0.25">
      <c r="A1552">
        <v>6</v>
      </c>
      <c r="B1552">
        <v>2016</v>
      </c>
      <c r="C1552" t="s">
        <v>254</v>
      </c>
      <c r="D1552" t="s">
        <v>255</v>
      </c>
      <c r="E1552" t="s">
        <v>258</v>
      </c>
      <c r="F1552" t="s">
        <v>259</v>
      </c>
      <c r="G1552">
        <v>390</v>
      </c>
      <c r="H1552">
        <v>120</v>
      </c>
      <c r="I1552">
        <v>230.4</v>
      </c>
      <c r="J1552">
        <v>72</v>
      </c>
      <c r="Q1552"/>
    </row>
    <row r="1553" spans="1:17" x14ac:dyDescent="0.25">
      <c r="A1553">
        <v>6</v>
      </c>
      <c r="B1553">
        <v>2016</v>
      </c>
      <c r="C1553" t="s">
        <v>254</v>
      </c>
      <c r="D1553" t="s">
        <v>255</v>
      </c>
      <c r="E1553" t="s">
        <v>260</v>
      </c>
      <c r="F1553" t="s">
        <v>261</v>
      </c>
      <c r="G1553">
        <v>396</v>
      </c>
      <c r="H1553">
        <v>90</v>
      </c>
      <c r="Q1553"/>
    </row>
    <row r="1554" spans="1:17" x14ac:dyDescent="0.25">
      <c r="A1554">
        <v>6</v>
      </c>
      <c r="B1554">
        <v>2016</v>
      </c>
      <c r="C1554" t="s">
        <v>254</v>
      </c>
      <c r="D1554" t="s">
        <v>255</v>
      </c>
      <c r="E1554" t="s">
        <v>732</v>
      </c>
      <c r="F1554" t="s">
        <v>733</v>
      </c>
      <c r="G1554">
        <v>39</v>
      </c>
      <c r="H1554">
        <v>6</v>
      </c>
      <c r="Q1554"/>
    </row>
    <row r="1555" spans="1:17" x14ac:dyDescent="0.25">
      <c r="A1555">
        <v>6</v>
      </c>
      <c r="B1555">
        <v>2016</v>
      </c>
      <c r="C1555" t="s">
        <v>254</v>
      </c>
      <c r="D1555" t="s">
        <v>255</v>
      </c>
      <c r="E1555" t="s">
        <v>960</v>
      </c>
      <c r="F1555" t="s">
        <v>961</v>
      </c>
      <c r="G1555">
        <v>307.2</v>
      </c>
      <c r="H1555">
        <v>24</v>
      </c>
      <c r="Q1555"/>
    </row>
    <row r="1556" spans="1:17" x14ac:dyDescent="0.25">
      <c r="A1556">
        <v>6</v>
      </c>
      <c r="B1556">
        <v>2016</v>
      </c>
      <c r="C1556" t="s">
        <v>262</v>
      </c>
      <c r="D1556" t="s">
        <v>263</v>
      </c>
      <c r="E1556" t="s">
        <v>264</v>
      </c>
      <c r="F1556" t="s">
        <v>265</v>
      </c>
      <c r="G1556">
        <v>3091.2</v>
      </c>
      <c r="H1556">
        <v>552</v>
      </c>
      <c r="I1556">
        <v>5470.5</v>
      </c>
      <c r="J1556">
        <v>978</v>
      </c>
      <c r="Q1556"/>
    </row>
    <row r="1557" spans="1:17" x14ac:dyDescent="0.25">
      <c r="A1557">
        <v>6</v>
      </c>
      <c r="B1557">
        <v>2016</v>
      </c>
      <c r="C1557" t="s">
        <v>262</v>
      </c>
      <c r="D1557" t="s">
        <v>263</v>
      </c>
      <c r="E1557" t="s">
        <v>810</v>
      </c>
      <c r="F1557" t="s">
        <v>811</v>
      </c>
      <c r="G1557">
        <v>170.1</v>
      </c>
      <c r="H1557">
        <v>6</v>
      </c>
      <c r="I1557">
        <v>27.99</v>
      </c>
      <c r="J1557">
        <v>3</v>
      </c>
      <c r="Q1557"/>
    </row>
    <row r="1558" spans="1:17" x14ac:dyDescent="0.25">
      <c r="A1558">
        <v>6</v>
      </c>
      <c r="B1558">
        <v>2016</v>
      </c>
      <c r="C1558" t="s">
        <v>262</v>
      </c>
      <c r="D1558" t="s">
        <v>263</v>
      </c>
      <c r="E1558" t="s">
        <v>266</v>
      </c>
      <c r="F1558" t="s">
        <v>267</v>
      </c>
      <c r="G1558">
        <v>5491.8</v>
      </c>
      <c r="H1558">
        <v>678</v>
      </c>
      <c r="Q1558"/>
    </row>
    <row r="1559" spans="1:17" x14ac:dyDescent="0.25">
      <c r="A1559">
        <v>6</v>
      </c>
      <c r="B1559">
        <v>2016</v>
      </c>
      <c r="C1559" t="s">
        <v>262</v>
      </c>
      <c r="D1559" t="s">
        <v>263</v>
      </c>
      <c r="E1559" t="s">
        <v>962</v>
      </c>
      <c r="F1559" t="s">
        <v>269</v>
      </c>
      <c r="G1559">
        <v>158.4</v>
      </c>
      <c r="H1559">
        <v>24</v>
      </c>
      <c r="Q1559"/>
    </row>
    <row r="1560" spans="1:17" x14ac:dyDescent="0.25">
      <c r="A1560">
        <v>6</v>
      </c>
      <c r="B1560">
        <v>2016</v>
      </c>
      <c r="C1560" t="s">
        <v>262</v>
      </c>
      <c r="D1560" t="s">
        <v>263</v>
      </c>
      <c r="E1560" t="s">
        <v>268</v>
      </c>
      <c r="F1560" t="s">
        <v>269</v>
      </c>
      <c r="G1560">
        <v>914.4</v>
      </c>
      <c r="H1560">
        <v>144</v>
      </c>
      <c r="I1560">
        <v>834.6</v>
      </c>
      <c r="J1560">
        <v>132</v>
      </c>
      <c r="Q1560"/>
    </row>
    <row r="1561" spans="1:17" x14ac:dyDescent="0.25">
      <c r="A1561">
        <v>6</v>
      </c>
      <c r="B1561">
        <v>2016</v>
      </c>
      <c r="C1561" t="s">
        <v>262</v>
      </c>
      <c r="D1561" t="s">
        <v>263</v>
      </c>
      <c r="E1561" t="s">
        <v>270</v>
      </c>
      <c r="F1561" t="s">
        <v>271</v>
      </c>
      <c r="G1561">
        <v>2124</v>
      </c>
      <c r="H1561">
        <v>240</v>
      </c>
      <c r="I1561">
        <v>1584</v>
      </c>
      <c r="J1561">
        <v>180</v>
      </c>
      <c r="Q1561"/>
    </row>
    <row r="1562" spans="1:17" x14ac:dyDescent="0.25">
      <c r="A1562">
        <v>6</v>
      </c>
      <c r="B1562">
        <v>2016</v>
      </c>
      <c r="C1562" t="s">
        <v>262</v>
      </c>
      <c r="D1562" t="s">
        <v>263</v>
      </c>
      <c r="E1562" t="s">
        <v>963</v>
      </c>
      <c r="F1562" t="s">
        <v>964</v>
      </c>
      <c r="G1562">
        <v>100.8</v>
      </c>
      <c r="H1562">
        <v>18</v>
      </c>
      <c r="Q1562"/>
    </row>
    <row r="1563" spans="1:17" x14ac:dyDescent="0.25">
      <c r="A1563">
        <v>6</v>
      </c>
      <c r="B1563">
        <v>2016</v>
      </c>
      <c r="C1563" t="s">
        <v>272</v>
      </c>
      <c r="D1563" t="s">
        <v>273</v>
      </c>
      <c r="E1563" t="s">
        <v>274</v>
      </c>
      <c r="F1563" t="s">
        <v>275</v>
      </c>
      <c r="G1563">
        <v>353.7</v>
      </c>
      <c r="H1563">
        <v>36</v>
      </c>
      <c r="I1563">
        <v>471.6</v>
      </c>
      <c r="J1563">
        <v>48</v>
      </c>
      <c r="Q1563"/>
    </row>
    <row r="1564" spans="1:17" x14ac:dyDescent="0.25">
      <c r="A1564">
        <v>6</v>
      </c>
      <c r="B1564">
        <v>2016</v>
      </c>
      <c r="C1564" t="s">
        <v>272</v>
      </c>
      <c r="D1564" t="s">
        <v>273</v>
      </c>
      <c r="E1564" t="s">
        <v>276</v>
      </c>
      <c r="F1564" t="s">
        <v>277</v>
      </c>
      <c r="G1564">
        <v>748.8</v>
      </c>
      <c r="H1564">
        <v>78</v>
      </c>
      <c r="I1564">
        <v>979.2</v>
      </c>
      <c r="J1564">
        <v>102</v>
      </c>
      <c r="Q1564"/>
    </row>
    <row r="1565" spans="1:17" x14ac:dyDescent="0.25">
      <c r="A1565">
        <v>6</v>
      </c>
      <c r="B1565">
        <v>2016</v>
      </c>
      <c r="C1565" t="s">
        <v>272</v>
      </c>
      <c r="D1565" t="s">
        <v>273</v>
      </c>
      <c r="E1565" t="s">
        <v>278</v>
      </c>
      <c r="F1565" t="s">
        <v>279</v>
      </c>
      <c r="G1565">
        <v>190.8</v>
      </c>
      <c r="H1565">
        <v>72</v>
      </c>
      <c r="I1565">
        <v>349.8</v>
      </c>
      <c r="J1565">
        <v>132</v>
      </c>
      <c r="Q1565"/>
    </row>
    <row r="1566" spans="1:17" x14ac:dyDescent="0.25">
      <c r="A1566">
        <v>6</v>
      </c>
      <c r="B1566">
        <v>2016</v>
      </c>
      <c r="C1566" t="s">
        <v>272</v>
      </c>
      <c r="D1566" t="s">
        <v>273</v>
      </c>
      <c r="E1566" t="s">
        <v>280</v>
      </c>
      <c r="F1566" t="s">
        <v>281</v>
      </c>
      <c r="G1566">
        <v>863.1</v>
      </c>
      <c r="H1566">
        <v>126</v>
      </c>
      <c r="I1566">
        <v>1027.5</v>
      </c>
      <c r="J1566">
        <v>150</v>
      </c>
      <c r="Q1566"/>
    </row>
    <row r="1567" spans="1:17" x14ac:dyDescent="0.25">
      <c r="A1567">
        <v>6</v>
      </c>
      <c r="B1567">
        <v>2016</v>
      </c>
      <c r="C1567" t="s">
        <v>272</v>
      </c>
      <c r="D1567" t="s">
        <v>273</v>
      </c>
      <c r="E1567" t="s">
        <v>282</v>
      </c>
      <c r="F1567" t="s">
        <v>283</v>
      </c>
      <c r="G1567">
        <v>424.5</v>
      </c>
      <c r="H1567">
        <v>60</v>
      </c>
      <c r="I1567">
        <v>169.8</v>
      </c>
      <c r="J1567">
        <v>24</v>
      </c>
      <c r="Q1567"/>
    </row>
    <row r="1568" spans="1:17" x14ac:dyDescent="0.25">
      <c r="A1568">
        <v>6</v>
      </c>
      <c r="B1568">
        <v>2016</v>
      </c>
      <c r="C1568" t="s">
        <v>272</v>
      </c>
      <c r="D1568" t="s">
        <v>273</v>
      </c>
      <c r="E1568" t="s">
        <v>814</v>
      </c>
      <c r="F1568" t="s">
        <v>287</v>
      </c>
      <c r="G1568">
        <v>493.2</v>
      </c>
      <c r="H1568">
        <v>72</v>
      </c>
      <c r="I1568">
        <v>246.6</v>
      </c>
      <c r="J1568">
        <v>36</v>
      </c>
      <c r="Q1568"/>
    </row>
    <row r="1569" spans="1:17" x14ac:dyDescent="0.25">
      <c r="A1569">
        <v>6</v>
      </c>
      <c r="B1569">
        <v>2016</v>
      </c>
      <c r="C1569" t="s">
        <v>288</v>
      </c>
      <c r="D1569" t="s">
        <v>289</v>
      </c>
      <c r="E1569" t="s">
        <v>290</v>
      </c>
      <c r="F1569" t="s">
        <v>291</v>
      </c>
      <c r="G1569">
        <v>600</v>
      </c>
      <c r="H1569">
        <v>120</v>
      </c>
      <c r="I1569">
        <v>432</v>
      </c>
      <c r="J1569">
        <v>90</v>
      </c>
      <c r="Q1569"/>
    </row>
    <row r="1570" spans="1:17" x14ac:dyDescent="0.25">
      <c r="A1570">
        <v>6</v>
      </c>
      <c r="B1570">
        <v>2016</v>
      </c>
      <c r="C1570" t="s">
        <v>288</v>
      </c>
      <c r="D1570" t="s">
        <v>289</v>
      </c>
      <c r="E1570" t="s">
        <v>292</v>
      </c>
      <c r="F1570" t="s">
        <v>293</v>
      </c>
      <c r="G1570">
        <v>558</v>
      </c>
      <c r="H1570">
        <v>72</v>
      </c>
      <c r="I1570">
        <v>617.4</v>
      </c>
      <c r="J1570">
        <v>84</v>
      </c>
      <c r="Q1570"/>
    </row>
    <row r="1571" spans="1:17" x14ac:dyDescent="0.25">
      <c r="A1571">
        <v>6</v>
      </c>
      <c r="B1571">
        <v>2016</v>
      </c>
      <c r="C1571" t="s">
        <v>288</v>
      </c>
      <c r="D1571" t="s">
        <v>289</v>
      </c>
      <c r="E1571" t="s">
        <v>294</v>
      </c>
      <c r="F1571" t="s">
        <v>295</v>
      </c>
      <c r="G1571">
        <v>373.8</v>
      </c>
      <c r="H1571">
        <v>42</v>
      </c>
      <c r="I1571">
        <v>508.2</v>
      </c>
      <c r="J1571">
        <v>66</v>
      </c>
      <c r="Q1571"/>
    </row>
    <row r="1572" spans="1:17" x14ac:dyDescent="0.25">
      <c r="A1572">
        <v>6</v>
      </c>
      <c r="B1572">
        <v>2016</v>
      </c>
      <c r="C1572" t="s">
        <v>296</v>
      </c>
      <c r="D1572" t="s">
        <v>297</v>
      </c>
      <c r="E1572" t="s">
        <v>298</v>
      </c>
      <c r="F1572" t="s">
        <v>299</v>
      </c>
      <c r="G1572">
        <v>25.2</v>
      </c>
      <c r="H1572">
        <v>6</v>
      </c>
      <c r="I1572">
        <v>655.20000000000005</v>
      </c>
      <c r="J1572">
        <v>156</v>
      </c>
      <c r="Q1572"/>
    </row>
    <row r="1573" spans="1:17" x14ac:dyDescent="0.25">
      <c r="A1573">
        <v>6</v>
      </c>
      <c r="B1573">
        <v>2016</v>
      </c>
      <c r="C1573" t="s">
        <v>296</v>
      </c>
      <c r="D1573" t="s">
        <v>297</v>
      </c>
      <c r="E1573" t="s">
        <v>300</v>
      </c>
      <c r="F1573" t="s">
        <v>301</v>
      </c>
      <c r="G1573">
        <v>21.6</v>
      </c>
      <c r="H1573">
        <v>6</v>
      </c>
      <c r="I1573">
        <v>42.6</v>
      </c>
      <c r="J1573">
        <v>12</v>
      </c>
      <c r="Q1573"/>
    </row>
    <row r="1574" spans="1:17" x14ac:dyDescent="0.25">
      <c r="A1574">
        <v>6</v>
      </c>
      <c r="B1574">
        <v>2016</v>
      </c>
      <c r="C1574" t="s">
        <v>296</v>
      </c>
      <c r="D1574" t="s">
        <v>297</v>
      </c>
      <c r="E1574" t="s">
        <v>739</v>
      </c>
      <c r="F1574" t="s">
        <v>301</v>
      </c>
      <c r="G1574">
        <v>129.6</v>
      </c>
      <c r="H1574">
        <v>36</v>
      </c>
      <c r="Q1574"/>
    </row>
    <row r="1575" spans="1:17" x14ac:dyDescent="0.25">
      <c r="A1575">
        <v>6</v>
      </c>
      <c r="B1575">
        <v>2016</v>
      </c>
      <c r="C1575" t="s">
        <v>296</v>
      </c>
      <c r="D1575" t="s">
        <v>297</v>
      </c>
      <c r="E1575" t="s">
        <v>304</v>
      </c>
      <c r="F1575" t="s">
        <v>303</v>
      </c>
      <c r="G1575">
        <v>297</v>
      </c>
      <c r="H1575">
        <v>54</v>
      </c>
      <c r="I1575">
        <v>66</v>
      </c>
      <c r="J1575">
        <v>18</v>
      </c>
      <c r="Q1575"/>
    </row>
    <row r="1576" spans="1:17" x14ac:dyDescent="0.25">
      <c r="A1576">
        <v>6</v>
      </c>
      <c r="B1576">
        <v>2016</v>
      </c>
      <c r="C1576" t="s">
        <v>296</v>
      </c>
      <c r="D1576" t="s">
        <v>297</v>
      </c>
      <c r="E1576" t="s">
        <v>305</v>
      </c>
      <c r="F1576" t="s">
        <v>303</v>
      </c>
      <c r="G1576">
        <v>198</v>
      </c>
      <c r="H1576">
        <v>36</v>
      </c>
      <c r="I1576">
        <v>363</v>
      </c>
      <c r="J1576">
        <v>66</v>
      </c>
      <c r="Q1576"/>
    </row>
    <row r="1577" spans="1:17" x14ac:dyDescent="0.25">
      <c r="A1577">
        <v>6</v>
      </c>
      <c r="B1577">
        <v>2016</v>
      </c>
      <c r="C1577" t="s">
        <v>296</v>
      </c>
      <c r="D1577" t="s">
        <v>297</v>
      </c>
      <c r="E1577" t="s">
        <v>306</v>
      </c>
      <c r="F1577" t="s">
        <v>307</v>
      </c>
      <c r="G1577">
        <v>191.7</v>
      </c>
      <c r="H1577">
        <v>54</v>
      </c>
      <c r="I1577">
        <v>255.6</v>
      </c>
      <c r="J1577">
        <v>72</v>
      </c>
      <c r="Q1577"/>
    </row>
    <row r="1578" spans="1:17" x14ac:dyDescent="0.25">
      <c r="A1578">
        <v>6</v>
      </c>
      <c r="B1578">
        <v>2016</v>
      </c>
      <c r="C1578" t="s">
        <v>296</v>
      </c>
      <c r="D1578" t="s">
        <v>297</v>
      </c>
      <c r="E1578" t="s">
        <v>308</v>
      </c>
      <c r="F1578" t="s">
        <v>309</v>
      </c>
      <c r="G1578">
        <v>4687.2</v>
      </c>
      <c r="H1578">
        <v>1308</v>
      </c>
      <c r="I1578">
        <v>3559.8</v>
      </c>
      <c r="J1578">
        <v>1014</v>
      </c>
      <c r="Q1578"/>
    </row>
    <row r="1579" spans="1:17" x14ac:dyDescent="0.25">
      <c r="A1579">
        <v>6</v>
      </c>
      <c r="B1579">
        <v>2016</v>
      </c>
      <c r="C1579" t="s">
        <v>296</v>
      </c>
      <c r="D1579" t="s">
        <v>297</v>
      </c>
      <c r="E1579" t="s">
        <v>310</v>
      </c>
      <c r="F1579" t="s">
        <v>311</v>
      </c>
      <c r="G1579">
        <v>1460.2</v>
      </c>
      <c r="H1579">
        <v>653.66</v>
      </c>
      <c r="I1579">
        <v>1385.7</v>
      </c>
      <c r="J1579">
        <v>633.65</v>
      </c>
      <c r="Q1579"/>
    </row>
    <row r="1580" spans="1:17" x14ac:dyDescent="0.25">
      <c r="A1580">
        <v>6</v>
      </c>
      <c r="B1580">
        <v>2016</v>
      </c>
      <c r="C1580" t="s">
        <v>296</v>
      </c>
      <c r="D1580" t="s">
        <v>297</v>
      </c>
      <c r="E1580" t="s">
        <v>937</v>
      </c>
      <c r="F1580" t="s">
        <v>315</v>
      </c>
      <c r="G1580">
        <v>36</v>
      </c>
      <c r="H1580">
        <v>12</v>
      </c>
      <c r="I1580">
        <v>72</v>
      </c>
      <c r="J1580">
        <v>24</v>
      </c>
      <c r="Q1580"/>
    </row>
    <row r="1581" spans="1:17" x14ac:dyDescent="0.25">
      <c r="A1581">
        <v>6</v>
      </c>
      <c r="B1581">
        <v>2016</v>
      </c>
      <c r="C1581" t="s">
        <v>296</v>
      </c>
      <c r="D1581" t="s">
        <v>297</v>
      </c>
      <c r="E1581" t="s">
        <v>312</v>
      </c>
      <c r="F1581" t="s">
        <v>313</v>
      </c>
      <c r="G1581">
        <v>5170.5</v>
      </c>
      <c r="H1581">
        <v>2334</v>
      </c>
      <c r="I1581">
        <v>6534</v>
      </c>
      <c r="J1581">
        <v>2934</v>
      </c>
      <c r="Q1581"/>
    </row>
    <row r="1582" spans="1:17" x14ac:dyDescent="0.25">
      <c r="A1582">
        <v>6</v>
      </c>
      <c r="B1582">
        <v>2016</v>
      </c>
      <c r="C1582" t="s">
        <v>296</v>
      </c>
      <c r="D1582" t="s">
        <v>297</v>
      </c>
      <c r="E1582" t="s">
        <v>314</v>
      </c>
      <c r="F1582" t="s">
        <v>315</v>
      </c>
      <c r="G1582">
        <v>2605.1999999999998</v>
      </c>
      <c r="H1582">
        <v>1807.57</v>
      </c>
      <c r="I1582">
        <v>3059.1</v>
      </c>
      <c r="J1582">
        <v>2087.71</v>
      </c>
      <c r="Q1582"/>
    </row>
    <row r="1583" spans="1:17" x14ac:dyDescent="0.25">
      <c r="A1583">
        <v>6</v>
      </c>
      <c r="B1583">
        <v>2016</v>
      </c>
      <c r="C1583" t="s">
        <v>296</v>
      </c>
      <c r="D1583" t="s">
        <v>297</v>
      </c>
      <c r="E1583" t="s">
        <v>740</v>
      </c>
      <c r="F1583" t="s">
        <v>741</v>
      </c>
      <c r="G1583">
        <v>135.19999999999999</v>
      </c>
      <c r="H1583">
        <v>106.64</v>
      </c>
      <c r="Q1583"/>
    </row>
    <row r="1584" spans="1:17" x14ac:dyDescent="0.25">
      <c r="A1584">
        <v>6</v>
      </c>
      <c r="B1584">
        <v>2016</v>
      </c>
      <c r="C1584" t="s">
        <v>296</v>
      </c>
      <c r="D1584" t="s">
        <v>297</v>
      </c>
      <c r="E1584" t="s">
        <v>965</v>
      </c>
      <c r="F1584" t="s">
        <v>315</v>
      </c>
      <c r="G1584">
        <v>15.5</v>
      </c>
      <c r="H1584">
        <v>4</v>
      </c>
      <c r="Q1584"/>
    </row>
    <row r="1585" spans="1:17" x14ac:dyDescent="0.25">
      <c r="A1585">
        <v>6</v>
      </c>
      <c r="B1585">
        <v>2016</v>
      </c>
      <c r="C1585" t="s">
        <v>296</v>
      </c>
      <c r="D1585" t="s">
        <v>297</v>
      </c>
      <c r="E1585" t="s">
        <v>815</v>
      </c>
      <c r="F1585" t="s">
        <v>816</v>
      </c>
      <c r="G1585">
        <v>237.6</v>
      </c>
      <c r="H1585">
        <v>132</v>
      </c>
      <c r="I1585">
        <v>86.4</v>
      </c>
      <c r="J1585">
        <v>48</v>
      </c>
      <c r="Q1585"/>
    </row>
    <row r="1586" spans="1:17" x14ac:dyDescent="0.25">
      <c r="A1586">
        <v>6</v>
      </c>
      <c r="B1586">
        <v>2016</v>
      </c>
      <c r="C1586" t="s">
        <v>296</v>
      </c>
      <c r="D1586" t="s">
        <v>297</v>
      </c>
      <c r="E1586" t="s">
        <v>878</v>
      </c>
      <c r="F1586" t="s">
        <v>879</v>
      </c>
      <c r="G1586">
        <v>21.6</v>
      </c>
      <c r="H1586">
        <v>12</v>
      </c>
      <c r="I1586">
        <v>43.2</v>
      </c>
      <c r="J1586">
        <v>24</v>
      </c>
      <c r="Q1586"/>
    </row>
    <row r="1587" spans="1:17" x14ac:dyDescent="0.25">
      <c r="A1587">
        <v>6</v>
      </c>
      <c r="B1587">
        <v>2016</v>
      </c>
      <c r="C1587" t="s">
        <v>296</v>
      </c>
      <c r="D1587" t="s">
        <v>297</v>
      </c>
      <c r="E1587" t="s">
        <v>817</v>
      </c>
      <c r="F1587" t="s">
        <v>818</v>
      </c>
      <c r="G1587">
        <v>155.4</v>
      </c>
      <c r="H1587">
        <v>42</v>
      </c>
      <c r="I1587">
        <v>22.2</v>
      </c>
      <c r="J1587">
        <v>6</v>
      </c>
      <c r="Q1587"/>
    </row>
    <row r="1588" spans="1:17" x14ac:dyDescent="0.25">
      <c r="A1588">
        <v>6</v>
      </c>
      <c r="B1588">
        <v>2016</v>
      </c>
      <c r="C1588" t="s">
        <v>319</v>
      </c>
      <c r="D1588" t="s">
        <v>320</v>
      </c>
      <c r="E1588" t="s">
        <v>321</v>
      </c>
      <c r="F1588" t="s">
        <v>322</v>
      </c>
      <c r="G1588">
        <v>830.28</v>
      </c>
      <c r="H1588">
        <v>228</v>
      </c>
      <c r="I1588">
        <v>1168.8</v>
      </c>
      <c r="J1588">
        <v>330</v>
      </c>
      <c r="Q1588"/>
    </row>
    <row r="1589" spans="1:17" x14ac:dyDescent="0.25">
      <c r="A1589">
        <v>6</v>
      </c>
      <c r="B1589">
        <v>2016</v>
      </c>
      <c r="C1589" t="s">
        <v>319</v>
      </c>
      <c r="D1589" t="s">
        <v>320</v>
      </c>
      <c r="E1589" t="s">
        <v>323</v>
      </c>
      <c r="F1589" t="s">
        <v>322</v>
      </c>
      <c r="G1589">
        <v>85.32</v>
      </c>
      <c r="H1589">
        <v>18</v>
      </c>
      <c r="I1589">
        <v>133.19999999999999</v>
      </c>
      <c r="J1589">
        <v>30</v>
      </c>
      <c r="Q1589"/>
    </row>
    <row r="1590" spans="1:17" x14ac:dyDescent="0.25">
      <c r="A1590">
        <v>6</v>
      </c>
      <c r="B1590">
        <v>2016</v>
      </c>
      <c r="C1590" t="s">
        <v>324</v>
      </c>
      <c r="D1590" t="s">
        <v>325</v>
      </c>
      <c r="E1590" t="s">
        <v>742</v>
      </c>
      <c r="F1590" t="s">
        <v>743</v>
      </c>
      <c r="G1590">
        <v>120</v>
      </c>
      <c r="H1590">
        <v>24</v>
      </c>
      <c r="I1590">
        <v>612</v>
      </c>
      <c r="J1590">
        <v>120</v>
      </c>
      <c r="Q1590"/>
    </row>
    <row r="1591" spans="1:17" x14ac:dyDescent="0.25">
      <c r="A1591">
        <v>6</v>
      </c>
      <c r="B1591">
        <v>2016</v>
      </c>
      <c r="C1591" t="s">
        <v>324</v>
      </c>
      <c r="D1591" t="s">
        <v>325</v>
      </c>
      <c r="E1591" t="s">
        <v>744</v>
      </c>
      <c r="F1591" t="s">
        <v>327</v>
      </c>
      <c r="G1591">
        <v>110.4</v>
      </c>
      <c r="H1591">
        <v>24</v>
      </c>
      <c r="I1591">
        <v>108</v>
      </c>
      <c r="J1591">
        <v>24</v>
      </c>
      <c r="Q1591"/>
    </row>
    <row r="1592" spans="1:17" x14ac:dyDescent="0.25">
      <c r="A1592">
        <v>6</v>
      </c>
      <c r="B1592">
        <v>2016</v>
      </c>
      <c r="C1592" t="s">
        <v>324</v>
      </c>
      <c r="D1592" t="s">
        <v>325</v>
      </c>
      <c r="E1592" t="s">
        <v>326</v>
      </c>
      <c r="F1592" t="s">
        <v>327</v>
      </c>
      <c r="G1592">
        <v>2560.8000000000002</v>
      </c>
      <c r="H1592">
        <v>582</v>
      </c>
      <c r="I1592">
        <v>4282.8</v>
      </c>
      <c r="J1592">
        <v>996</v>
      </c>
      <c r="Q1592"/>
    </row>
    <row r="1593" spans="1:17" x14ac:dyDescent="0.25">
      <c r="A1593">
        <v>6</v>
      </c>
      <c r="B1593">
        <v>2016</v>
      </c>
      <c r="C1593" t="s">
        <v>324</v>
      </c>
      <c r="D1593" t="s">
        <v>325</v>
      </c>
      <c r="E1593" t="s">
        <v>328</v>
      </c>
      <c r="F1593" t="s">
        <v>327</v>
      </c>
      <c r="G1593">
        <v>518.4</v>
      </c>
      <c r="H1593">
        <v>162</v>
      </c>
      <c r="I1593">
        <v>530.70000000000005</v>
      </c>
      <c r="J1593">
        <v>174</v>
      </c>
      <c r="Q1593"/>
    </row>
    <row r="1594" spans="1:17" x14ac:dyDescent="0.25">
      <c r="A1594">
        <v>6</v>
      </c>
      <c r="B1594">
        <v>2016</v>
      </c>
      <c r="C1594" t="s">
        <v>324</v>
      </c>
      <c r="D1594" t="s">
        <v>325</v>
      </c>
      <c r="E1594" t="s">
        <v>330</v>
      </c>
      <c r="F1594" t="s">
        <v>331</v>
      </c>
      <c r="G1594">
        <v>28.8</v>
      </c>
      <c r="H1594">
        <v>6</v>
      </c>
      <c r="I1594">
        <v>144</v>
      </c>
      <c r="J1594">
        <v>30</v>
      </c>
      <c r="Q1594"/>
    </row>
    <row r="1595" spans="1:17" x14ac:dyDescent="0.25">
      <c r="A1595">
        <v>6</v>
      </c>
      <c r="B1595">
        <v>2016</v>
      </c>
      <c r="C1595" t="s">
        <v>324</v>
      </c>
      <c r="D1595" t="s">
        <v>325</v>
      </c>
      <c r="E1595" t="s">
        <v>938</v>
      </c>
      <c r="F1595" t="s">
        <v>939</v>
      </c>
      <c r="G1595">
        <v>0</v>
      </c>
      <c r="H1595">
        <v>-6</v>
      </c>
      <c r="Q1595"/>
    </row>
    <row r="1596" spans="1:17" x14ac:dyDescent="0.25">
      <c r="A1596">
        <v>6</v>
      </c>
      <c r="B1596">
        <v>2016</v>
      </c>
      <c r="C1596" t="s">
        <v>324</v>
      </c>
      <c r="D1596" t="s">
        <v>325</v>
      </c>
      <c r="E1596" t="s">
        <v>332</v>
      </c>
      <c r="F1596" t="s">
        <v>333</v>
      </c>
      <c r="G1596">
        <v>2400</v>
      </c>
      <c r="H1596">
        <v>1073.8699999999999</v>
      </c>
      <c r="I1596">
        <v>1798</v>
      </c>
      <c r="J1596">
        <v>880.43999999999994</v>
      </c>
      <c r="Q1596"/>
    </row>
    <row r="1597" spans="1:17" x14ac:dyDescent="0.25">
      <c r="A1597">
        <v>6</v>
      </c>
      <c r="B1597">
        <v>2016</v>
      </c>
      <c r="C1597" t="s">
        <v>334</v>
      </c>
      <c r="D1597" t="s">
        <v>335</v>
      </c>
      <c r="E1597" t="s">
        <v>336</v>
      </c>
      <c r="F1597" t="s">
        <v>337</v>
      </c>
      <c r="G1597">
        <v>775.2</v>
      </c>
      <c r="H1597">
        <v>102</v>
      </c>
      <c r="I1597">
        <v>912</v>
      </c>
      <c r="J1597">
        <v>120</v>
      </c>
      <c r="Q1597"/>
    </row>
    <row r="1598" spans="1:17" x14ac:dyDescent="0.25">
      <c r="A1598">
        <v>6</v>
      </c>
      <c r="B1598">
        <v>2016</v>
      </c>
      <c r="C1598" t="s">
        <v>334</v>
      </c>
      <c r="D1598" t="s">
        <v>335</v>
      </c>
      <c r="E1598" t="s">
        <v>338</v>
      </c>
      <c r="F1598" t="s">
        <v>339</v>
      </c>
      <c r="G1598">
        <v>1729.8</v>
      </c>
      <c r="H1598">
        <v>372</v>
      </c>
      <c r="I1598">
        <v>1214.4000000000001</v>
      </c>
      <c r="J1598">
        <v>264</v>
      </c>
      <c r="Q1598"/>
    </row>
    <row r="1599" spans="1:17" x14ac:dyDescent="0.25">
      <c r="A1599">
        <v>6</v>
      </c>
      <c r="B1599">
        <v>2016</v>
      </c>
      <c r="C1599" t="s">
        <v>334</v>
      </c>
      <c r="D1599" t="s">
        <v>335</v>
      </c>
      <c r="E1599" t="s">
        <v>940</v>
      </c>
      <c r="F1599" t="s">
        <v>941</v>
      </c>
      <c r="G1599">
        <v>184.8</v>
      </c>
      <c r="H1599">
        <v>24</v>
      </c>
      <c r="Q1599"/>
    </row>
    <row r="1600" spans="1:17" x14ac:dyDescent="0.25">
      <c r="A1600">
        <v>6</v>
      </c>
      <c r="B1600">
        <v>2016</v>
      </c>
      <c r="C1600" t="s">
        <v>340</v>
      </c>
      <c r="D1600" t="s">
        <v>341</v>
      </c>
      <c r="E1600" t="s">
        <v>342</v>
      </c>
      <c r="F1600" t="s">
        <v>343</v>
      </c>
      <c r="G1600">
        <v>1220.0999999999999</v>
      </c>
      <c r="H1600">
        <v>300</v>
      </c>
      <c r="I1600">
        <v>1423.08</v>
      </c>
      <c r="J1600">
        <v>360</v>
      </c>
      <c r="Q1600"/>
    </row>
    <row r="1601" spans="1:17" x14ac:dyDescent="0.25">
      <c r="A1601">
        <v>6</v>
      </c>
      <c r="B1601">
        <v>2016</v>
      </c>
      <c r="C1601" t="s">
        <v>340</v>
      </c>
      <c r="D1601" t="s">
        <v>341</v>
      </c>
      <c r="E1601" t="s">
        <v>344</v>
      </c>
      <c r="F1601" t="s">
        <v>343</v>
      </c>
      <c r="G1601">
        <v>285.89999999999998</v>
      </c>
      <c r="H1601">
        <v>60</v>
      </c>
      <c r="I1601">
        <v>55.2</v>
      </c>
      <c r="J1601">
        <v>12</v>
      </c>
      <c r="Q1601"/>
    </row>
    <row r="1602" spans="1:17" x14ac:dyDescent="0.25">
      <c r="A1602">
        <v>6</v>
      </c>
      <c r="B1602">
        <v>2016</v>
      </c>
      <c r="C1602" t="s">
        <v>340</v>
      </c>
      <c r="D1602" t="s">
        <v>341</v>
      </c>
      <c r="E1602" t="s">
        <v>880</v>
      </c>
      <c r="F1602" t="s">
        <v>881</v>
      </c>
      <c r="G1602">
        <v>167.4</v>
      </c>
      <c r="H1602">
        <v>24</v>
      </c>
      <c r="Q1602"/>
    </row>
    <row r="1603" spans="1:17" x14ac:dyDescent="0.25">
      <c r="A1603">
        <v>6</v>
      </c>
      <c r="B1603">
        <v>2016</v>
      </c>
      <c r="C1603" t="s">
        <v>340</v>
      </c>
      <c r="D1603" t="s">
        <v>341</v>
      </c>
      <c r="E1603" t="s">
        <v>345</v>
      </c>
      <c r="F1603" t="s">
        <v>346</v>
      </c>
      <c r="G1603">
        <v>199.8</v>
      </c>
      <c r="H1603">
        <v>36</v>
      </c>
      <c r="I1603">
        <v>530.4</v>
      </c>
      <c r="J1603">
        <v>102</v>
      </c>
      <c r="Q1603"/>
    </row>
    <row r="1604" spans="1:17" x14ac:dyDescent="0.25">
      <c r="A1604">
        <v>6</v>
      </c>
      <c r="B1604">
        <v>2016</v>
      </c>
      <c r="C1604" t="s">
        <v>340</v>
      </c>
      <c r="D1604" t="s">
        <v>341</v>
      </c>
      <c r="E1604" t="s">
        <v>746</v>
      </c>
      <c r="F1604" t="s">
        <v>747</v>
      </c>
      <c r="G1604">
        <v>120</v>
      </c>
      <c r="H1604">
        <v>16</v>
      </c>
      <c r="Q1604"/>
    </row>
    <row r="1605" spans="1:17" x14ac:dyDescent="0.25">
      <c r="A1605">
        <v>6</v>
      </c>
      <c r="B1605">
        <v>2016</v>
      </c>
      <c r="C1605" t="s">
        <v>349</v>
      </c>
      <c r="D1605" t="s">
        <v>350</v>
      </c>
      <c r="E1605" t="s">
        <v>351</v>
      </c>
      <c r="F1605" t="s">
        <v>352</v>
      </c>
      <c r="G1605">
        <v>1006.2</v>
      </c>
      <c r="H1605">
        <v>156</v>
      </c>
      <c r="I1605">
        <v>378</v>
      </c>
      <c r="J1605">
        <v>60</v>
      </c>
      <c r="Q1605"/>
    </row>
    <row r="1606" spans="1:17" x14ac:dyDescent="0.25">
      <c r="A1606">
        <v>6</v>
      </c>
      <c r="B1606">
        <v>2016</v>
      </c>
      <c r="C1606" t="s">
        <v>349</v>
      </c>
      <c r="D1606" t="s">
        <v>350</v>
      </c>
      <c r="E1606" t="s">
        <v>353</v>
      </c>
      <c r="F1606" t="s">
        <v>352</v>
      </c>
      <c r="G1606">
        <v>280.8</v>
      </c>
      <c r="H1606">
        <v>36</v>
      </c>
      <c r="I1606">
        <v>92.4</v>
      </c>
      <c r="J1606">
        <v>12</v>
      </c>
      <c r="Q1606"/>
    </row>
    <row r="1607" spans="1:17" x14ac:dyDescent="0.25">
      <c r="A1607">
        <v>6</v>
      </c>
      <c r="B1607">
        <v>2016</v>
      </c>
      <c r="C1607" t="s">
        <v>349</v>
      </c>
      <c r="D1607" t="s">
        <v>350</v>
      </c>
      <c r="E1607" t="s">
        <v>354</v>
      </c>
      <c r="F1607" t="s">
        <v>352</v>
      </c>
      <c r="G1607">
        <v>160.80000000000001</v>
      </c>
      <c r="H1607">
        <v>24</v>
      </c>
      <c r="I1607">
        <v>673.2</v>
      </c>
      <c r="J1607">
        <v>102</v>
      </c>
      <c r="Q1607"/>
    </row>
    <row r="1608" spans="1:17" x14ac:dyDescent="0.25">
      <c r="A1608">
        <v>6</v>
      </c>
      <c r="B1608">
        <v>2016</v>
      </c>
      <c r="C1608" t="s">
        <v>356</v>
      </c>
      <c r="D1608" t="s">
        <v>357</v>
      </c>
      <c r="E1608" t="s">
        <v>358</v>
      </c>
      <c r="F1608" t="s">
        <v>359</v>
      </c>
      <c r="G1608">
        <v>206.4</v>
      </c>
      <c r="H1608">
        <v>96</v>
      </c>
      <c r="I1608">
        <v>869.4</v>
      </c>
      <c r="J1608">
        <v>414</v>
      </c>
      <c r="Q1608"/>
    </row>
    <row r="1609" spans="1:17" x14ac:dyDescent="0.25">
      <c r="A1609">
        <v>6</v>
      </c>
      <c r="B1609">
        <v>2016</v>
      </c>
      <c r="C1609" t="s">
        <v>360</v>
      </c>
      <c r="D1609" t="s">
        <v>361</v>
      </c>
      <c r="E1609" t="s">
        <v>362</v>
      </c>
      <c r="F1609" t="s">
        <v>363</v>
      </c>
      <c r="G1609">
        <v>2310</v>
      </c>
      <c r="H1609">
        <v>1599.6</v>
      </c>
      <c r="I1609">
        <v>1539</v>
      </c>
      <c r="J1609">
        <v>1093.06</v>
      </c>
      <c r="Q1609"/>
    </row>
    <row r="1610" spans="1:17" x14ac:dyDescent="0.25">
      <c r="A1610">
        <v>6</v>
      </c>
      <c r="B1610">
        <v>2016</v>
      </c>
      <c r="C1610" t="s">
        <v>360</v>
      </c>
      <c r="D1610" t="s">
        <v>361</v>
      </c>
      <c r="E1610" t="s">
        <v>364</v>
      </c>
      <c r="F1610" t="s">
        <v>363</v>
      </c>
      <c r="G1610">
        <v>2080</v>
      </c>
      <c r="H1610">
        <v>1287.31</v>
      </c>
      <c r="I1610">
        <v>1628</v>
      </c>
      <c r="J1610">
        <v>1020.51</v>
      </c>
      <c r="Q1610"/>
    </row>
    <row r="1611" spans="1:17" x14ac:dyDescent="0.25">
      <c r="A1611">
        <v>6</v>
      </c>
      <c r="B1611">
        <v>2016</v>
      </c>
      <c r="C1611" t="s">
        <v>360</v>
      </c>
      <c r="D1611" t="s">
        <v>361</v>
      </c>
      <c r="E1611" t="s">
        <v>365</v>
      </c>
      <c r="F1611" t="s">
        <v>366</v>
      </c>
      <c r="G1611">
        <v>579.6</v>
      </c>
      <c r="H1611">
        <v>276</v>
      </c>
      <c r="I1611">
        <v>184.5</v>
      </c>
      <c r="J1611">
        <v>90</v>
      </c>
      <c r="Q1611"/>
    </row>
    <row r="1612" spans="1:17" x14ac:dyDescent="0.25">
      <c r="A1612">
        <v>6</v>
      </c>
      <c r="B1612">
        <v>2016</v>
      </c>
      <c r="C1612" t="s">
        <v>360</v>
      </c>
      <c r="D1612" t="s">
        <v>361</v>
      </c>
      <c r="E1612" t="s">
        <v>367</v>
      </c>
      <c r="F1612" t="s">
        <v>368</v>
      </c>
      <c r="G1612">
        <v>3795</v>
      </c>
      <c r="H1612">
        <v>1398</v>
      </c>
      <c r="I1612">
        <v>2106</v>
      </c>
      <c r="J1612">
        <v>780</v>
      </c>
      <c r="Q1612"/>
    </row>
    <row r="1613" spans="1:17" x14ac:dyDescent="0.25">
      <c r="A1613">
        <v>6</v>
      </c>
      <c r="B1613">
        <v>2016</v>
      </c>
      <c r="C1613" t="s">
        <v>360</v>
      </c>
      <c r="D1613" t="s">
        <v>361</v>
      </c>
      <c r="E1613" t="s">
        <v>369</v>
      </c>
      <c r="F1613" t="s">
        <v>370</v>
      </c>
      <c r="G1613">
        <v>1104</v>
      </c>
      <c r="H1613">
        <v>240</v>
      </c>
      <c r="I1613">
        <v>567</v>
      </c>
      <c r="J1613">
        <v>126</v>
      </c>
      <c r="Q1613"/>
    </row>
    <row r="1614" spans="1:17" x14ac:dyDescent="0.25">
      <c r="A1614">
        <v>6</v>
      </c>
      <c r="B1614">
        <v>2016</v>
      </c>
      <c r="C1614" t="s">
        <v>360</v>
      </c>
      <c r="D1614" t="s">
        <v>361</v>
      </c>
      <c r="E1614" t="s">
        <v>371</v>
      </c>
      <c r="F1614" t="s">
        <v>372</v>
      </c>
      <c r="G1614">
        <v>394.68</v>
      </c>
      <c r="H1614">
        <v>66</v>
      </c>
      <c r="I1614">
        <v>70.2</v>
      </c>
      <c r="J1614">
        <v>12</v>
      </c>
      <c r="Q1614"/>
    </row>
    <row r="1615" spans="1:17" x14ac:dyDescent="0.25">
      <c r="A1615">
        <v>6</v>
      </c>
      <c r="B1615">
        <v>2016</v>
      </c>
      <c r="C1615" t="s">
        <v>360</v>
      </c>
      <c r="D1615" t="s">
        <v>361</v>
      </c>
      <c r="E1615" t="s">
        <v>750</v>
      </c>
      <c r="F1615" t="s">
        <v>751</v>
      </c>
      <c r="G1615">
        <v>193.5</v>
      </c>
      <c r="H1615">
        <v>18</v>
      </c>
      <c r="Q1615"/>
    </row>
    <row r="1616" spans="1:17" x14ac:dyDescent="0.25">
      <c r="A1616">
        <v>6</v>
      </c>
      <c r="B1616">
        <v>2016</v>
      </c>
      <c r="C1616" t="s">
        <v>360</v>
      </c>
      <c r="D1616" t="s">
        <v>361</v>
      </c>
      <c r="E1616" t="s">
        <v>754</v>
      </c>
      <c r="F1616" t="s">
        <v>755</v>
      </c>
      <c r="G1616">
        <v>143.28</v>
      </c>
      <c r="H1616">
        <v>36</v>
      </c>
      <c r="I1616">
        <v>0</v>
      </c>
      <c r="J1616">
        <v>6</v>
      </c>
      <c r="Q1616"/>
    </row>
    <row r="1617" spans="1:17" x14ac:dyDescent="0.25">
      <c r="A1617">
        <v>6</v>
      </c>
      <c r="B1617">
        <v>2016</v>
      </c>
      <c r="C1617" t="s">
        <v>360</v>
      </c>
      <c r="D1617" t="s">
        <v>361</v>
      </c>
      <c r="E1617" t="s">
        <v>942</v>
      </c>
      <c r="F1617" t="s">
        <v>943</v>
      </c>
      <c r="G1617">
        <v>319</v>
      </c>
      <c r="H1617">
        <v>168</v>
      </c>
      <c r="Q1617"/>
    </row>
    <row r="1618" spans="1:17" x14ac:dyDescent="0.25">
      <c r="A1618">
        <v>6</v>
      </c>
      <c r="B1618">
        <v>2016</v>
      </c>
      <c r="C1618" t="s">
        <v>375</v>
      </c>
      <c r="D1618" t="s">
        <v>376</v>
      </c>
      <c r="E1618" t="s">
        <v>379</v>
      </c>
      <c r="F1618" t="s">
        <v>378</v>
      </c>
      <c r="G1618">
        <v>39.64</v>
      </c>
      <c r="H1618">
        <v>26.68</v>
      </c>
      <c r="I1618">
        <v>64.819999999999993</v>
      </c>
      <c r="J1618">
        <v>60.03</v>
      </c>
      <c r="Q1618"/>
    </row>
    <row r="1619" spans="1:17" x14ac:dyDescent="0.25">
      <c r="A1619">
        <v>6</v>
      </c>
      <c r="B1619">
        <v>2016</v>
      </c>
      <c r="C1619" t="s">
        <v>375</v>
      </c>
      <c r="D1619" t="s">
        <v>376</v>
      </c>
      <c r="E1619" t="s">
        <v>380</v>
      </c>
      <c r="F1619" t="s">
        <v>378</v>
      </c>
      <c r="G1619">
        <v>377.37</v>
      </c>
      <c r="H1619">
        <v>279.93</v>
      </c>
      <c r="I1619">
        <v>218.27</v>
      </c>
      <c r="J1619">
        <v>173.29</v>
      </c>
      <c r="Q1619"/>
    </row>
    <row r="1620" spans="1:17" x14ac:dyDescent="0.25">
      <c r="A1620">
        <v>6</v>
      </c>
      <c r="B1620">
        <v>2016</v>
      </c>
      <c r="C1620" t="s">
        <v>375</v>
      </c>
      <c r="D1620" t="s">
        <v>376</v>
      </c>
      <c r="E1620" t="s">
        <v>381</v>
      </c>
      <c r="F1620" t="s">
        <v>378</v>
      </c>
      <c r="G1620">
        <v>287.39</v>
      </c>
      <c r="H1620">
        <v>200.1</v>
      </c>
      <c r="I1620">
        <v>287.06</v>
      </c>
      <c r="J1620">
        <v>213.44</v>
      </c>
      <c r="Q1620"/>
    </row>
    <row r="1621" spans="1:17" x14ac:dyDescent="0.25">
      <c r="A1621">
        <v>6</v>
      </c>
      <c r="B1621">
        <v>2016</v>
      </c>
      <c r="C1621" t="s">
        <v>386</v>
      </c>
      <c r="D1621" t="s">
        <v>387</v>
      </c>
      <c r="E1621" t="s">
        <v>388</v>
      </c>
      <c r="F1621" t="s">
        <v>389</v>
      </c>
      <c r="G1621">
        <v>481.8</v>
      </c>
      <c r="H1621">
        <v>132</v>
      </c>
      <c r="I1621">
        <v>234.3</v>
      </c>
      <c r="J1621">
        <v>66</v>
      </c>
      <c r="Q1621"/>
    </row>
    <row r="1622" spans="1:17" x14ac:dyDescent="0.25">
      <c r="A1622">
        <v>6</v>
      </c>
      <c r="B1622">
        <v>2016</v>
      </c>
      <c r="C1622" t="s">
        <v>386</v>
      </c>
      <c r="D1622" t="s">
        <v>387</v>
      </c>
      <c r="E1622" t="s">
        <v>390</v>
      </c>
      <c r="F1622" t="s">
        <v>391</v>
      </c>
      <c r="G1622">
        <v>66.599999999999994</v>
      </c>
      <c r="H1622">
        <v>18</v>
      </c>
      <c r="I1622">
        <v>21.6</v>
      </c>
      <c r="J1622">
        <v>6</v>
      </c>
      <c r="Q1622"/>
    </row>
    <row r="1623" spans="1:17" x14ac:dyDescent="0.25">
      <c r="A1623">
        <v>6</v>
      </c>
      <c r="B1623">
        <v>2016</v>
      </c>
      <c r="C1623" t="s">
        <v>386</v>
      </c>
      <c r="D1623" t="s">
        <v>387</v>
      </c>
      <c r="E1623" t="s">
        <v>392</v>
      </c>
      <c r="F1623" t="s">
        <v>393</v>
      </c>
      <c r="G1623">
        <v>946.2</v>
      </c>
      <c r="H1623">
        <v>228</v>
      </c>
      <c r="I1623">
        <v>861</v>
      </c>
      <c r="J1623">
        <v>210</v>
      </c>
      <c r="Q1623"/>
    </row>
    <row r="1624" spans="1:17" x14ac:dyDescent="0.25">
      <c r="A1624">
        <v>6</v>
      </c>
      <c r="B1624">
        <v>2016</v>
      </c>
      <c r="C1624" t="s">
        <v>386</v>
      </c>
      <c r="D1624" t="s">
        <v>387</v>
      </c>
      <c r="E1624" t="s">
        <v>394</v>
      </c>
      <c r="F1624" t="s">
        <v>395</v>
      </c>
      <c r="G1624">
        <v>510</v>
      </c>
      <c r="H1624">
        <v>319.92</v>
      </c>
      <c r="I1624">
        <v>830.25</v>
      </c>
      <c r="J1624">
        <v>546.53</v>
      </c>
      <c r="Q1624"/>
    </row>
    <row r="1625" spans="1:17" x14ac:dyDescent="0.25">
      <c r="A1625">
        <v>6</v>
      </c>
      <c r="B1625">
        <v>2016</v>
      </c>
      <c r="C1625" t="s">
        <v>386</v>
      </c>
      <c r="D1625" t="s">
        <v>387</v>
      </c>
      <c r="E1625" t="s">
        <v>396</v>
      </c>
      <c r="F1625" t="s">
        <v>397</v>
      </c>
      <c r="G1625">
        <v>976.8</v>
      </c>
      <c r="H1625">
        <v>506.92</v>
      </c>
      <c r="I1625">
        <v>890.6</v>
      </c>
      <c r="J1625">
        <v>493.58</v>
      </c>
      <c r="Q1625"/>
    </row>
    <row r="1626" spans="1:17" x14ac:dyDescent="0.25">
      <c r="A1626">
        <v>6</v>
      </c>
      <c r="B1626">
        <v>2016</v>
      </c>
      <c r="C1626" t="s">
        <v>386</v>
      </c>
      <c r="D1626" t="s">
        <v>387</v>
      </c>
      <c r="E1626" t="s">
        <v>398</v>
      </c>
      <c r="F1626" t="s">
        <v>399</v>
      </c>
      <c r="G1626">
        <v>1746.6</v>
      </c>
      <c r="H1626">
        <v>426</v>
      </c>
      <c r="I1626">
        <v>1579.5</v>
      </c>
      <c r="J1626">
        <v>390</v>
      </c>
      <c r="Q1626"/>
    </row>
    <row r="1627" spans="1:17" x14ac:dyDescent="0.25">
      <c r="A1627">
        <v>6</v>
      </c>
      <c r="B1627">
        <v>2016</v>
      </c>
      <c r="C1627" t="s">
        <v>400</v>
      </c>
      <c r="D1627" t="s">
        <v>401</v>
      </c>
      <c r="E1627" t="s">
        <v>402</v>
      </c>
      <c r="F1627" t="s">
        <v>403</v>
      </c>
      <c r="G1627">
        <v>72.599999999999994</v>
      </c>
      <c r="H1627">
        <v>12</v>
      </c>
      <c r="Q1627"/>
    </row>
    <row r="1628" spans="1:17" x14ac:dyDescent="0.25">
      <c r="A1628">
        <v>6</v>
      </c>
      <c r="B1628">
        <v>2016</v>
      </c>
      <c r="C1628" t="s">
        <v>404</v>
      </c>
      <c r="D1628" t="s">
        <v>405</v>
      </c>
      <c r="E1628" t="s">
        <v>406</v>
      </c>
      <c r="F1628" t="s">
        <v>407</v>
      </c>
      <c r="G1628">
        <v>890.4</v>
      </c>
      <c r="H1628">
        <v>174</v>
      </c>
      <c r="I1628">
        <v>2776.8</v>
      </c>
      <c r="J1628">
        <v>534</v>
      </c>
      <c r="Q1628"/>
    </row>
    <row r="1629" spans="1:17" x14ac:dyDescent="0.25">
      <c r="A1629">
        <v>6</v>
      </c>
      <c r="B1629">
        <v>2016</v>
      </c>
      <c r="C1629" t="s">
        <v>404</v>
      </c>
      <c r="D1629" t="s">
        <v>405</v>
      </c>
      <c r="E1629" t="s">
        <v>408</v>
      </c>
      <c r="F1629" t="s">
        <v>409</v>
      </c>
      <c r="G1629">
        <v>271.2</v>
      </c>
      <c r="H1629">
        <v>48</v>
      </c>
      <c r="I1629">
        <v>133.19999999999999</v>
      </c>
      <c r="J1629">
        <v>24</v>
      </c>
      <c r="Q1629"/>
    </row>
    <row r="1630" spans="1:17" x14ac:dyDescent="0.25">
      <c r="A1630">
        <v>6</v>
      </c>
      <c r="B1630">
        <v>2016</v>
      </c>
      <c r="C1630" t="s">
        <v>404</v>
      </c>
      <c r="D1630" t="s">
        <v>405</v>
      </c>
      <c r="E1630" t="s">
        <v>410</v>
      </c>
      <c r="F1630" t="s">
        <v>411</v>
      </c>
      <c r="G1630">
        <v>95.4</v>
      </c>
      <c r="H1630">
        <v>18</v>
      </c>
      <c r="Q1630"/>
    </row>
    <row r="1631" spans="1:17" x14ac:dyDescent="0.25">
      <c r="A1631">
        <v>6</v>
      </c>
      <c r="B1631">
        <v>2016</v>
      </c>
      <c r="C1631" t="s">
        <v>412</v>
      </c>
      <c r="D1631" t="s">
        <v>413</v>
      </c>
      <c r="E1631" t="s">
        <v>414</v>
      </c>
      <c r="F1631" t="s">
        <v>415</v>
      </c>
      <c r="G1631">
        <v>333</v>
      </c>
      <c r="H1631">
        <v>90</v>
      </c>
      <c r="I1631">
        <v>932.4</v>
      </c>
      <c r="J1631">
        <v>258</v>
      </c>
      <c r="Q1631"/>
    </row>
    <row r="1632" spans="1:17" x14ac:dyDescent="0.25">
      <c r="A1632">
        <v>6</v>
      </c>
      <c r="B1632">
        <v>2016</v>
      </c>
      <c r="C1632" t="s">
        <v>412</v>
      </c>
      <c r="D1632" t="s">
        <v>413</v>
      </c>
      <c r="E1632" t="s">
        <v>416</v>
      </c>
      <c r="F1632" t="s">
        <v>417</v>
      </c>
      <c r="G1632">
        <v>23.4</v>
      </c>
      <c r="H1632">
        <v>6</v>
      </c>
      <c r="Q1632"/>
    </row>
    <row r="1633" spans="1:17" x14ac:dyDescent="0.25">
      <c r="A1633">
        <v>6</v>
      </c>
      <c r="B1633">
        <v>2016</v>
      </c>
      <c r="C1633" t="s">
        <v>412</v>
      </c>
      <c r="D1633" t="s">
        <v>413</v>
      </c>
      <c r="E1633" t="s">
        <v>824</v>
      </c>
      <c r="F1633" t="s">
        <v>825</v>
      </c>
      <c r="G1633">
        <v>-97.2</v>
      </c>
      <c r="H1633">
        <v>-18</v>
      </c>
      <c r="Q1633"/>
    </row>
    <row r="1634" spans="1:17" x14ac:dyDescent="0.25">
      <c r="A1634">
        <v>6</v>
      </c>
      <c r="B1634">
        <v>2016</v>
      </c>
      <c r="C1634" t="s">
        <v>412</v>
      </c>
      <c r="D1634" t="s">
        <v>413</v>
      </c>
      <c r="E1634" t="s">
        <v>418</v>
      </c>
      <c r="F1634" t="s">
        <v>419</v>
      </c>
      <c r="G1634">
        <v>1701.9</v>
      </c>
      <c r="H1634">
        <v>366</v>
      </c>
      <c r="I1634">
        <v>474.3</v>
      </c>
      <c r="J1634">
        <v>108</v>
      </c>
      <c r="Q1634"/>
    </row>
    <row r="1635" spans="1:17" x14ac:dyDescent="0.25">
      <c r="A1635">
        <v>6</v>
      </c>
      <c r="B1635">
        <v>2016</v>
      </c>
      <c r="C1635" t="s">
        <v>412</v>
      </c>
      <c r="D1635" t="s">
        <v>413</v>
      </c>
      <c r="E1635" t="s">
        <v>420</v>
      </c>
      <c r="F1635" t="s">
        <v>421</v>
      </c>
      <c r="G1635">
        <v>669.6</v>
      </c>
      <c r="H1635">
        <v>114</v>
      </c>
      <c r="I1635">
        <v>595.20000000000005</v>
      </c>
      <c r="J1635">
        <v>96</v>
      </c>
      <c r="Q1635"/>
    </row>
    <row r="1636" spans="1:17" x14ac:dyDescent="0.25">
      <c r="A1636">
        <v>6</v>
      </c>
      <c r="B1636">
        <v>2016</v>
      </c>
      <c r="C1636" t="s">
        <v>412</v>
      </c>
      <c r="D1636" t="s">
        <v>413</v>
      </c>
      <c r="E1636" t="s">
        <v>757</v>
      </c>
      <c r="F1636" t="s">
        <v>758</v>
      </c>
      <c r="G1636">
        <v>367.2</v>
      </c>
      <c r="H1636">
        <v>60</v>
      </c>
      <c r="I1636">
        <v>0</v>
      </c>
      <c r="J1636">
        <v>6</v>
      </c>
      <c r="Q1636"/>
    </row>
    <row r="1637" spans="1:17" x14ac:dyDescent="0.25">
      <c r="A1637">
        <v>6</v>
      </c>
      <c r="B1637">
        <v>2016</v>
      </c>
      <c r="C1637" t="s">
        <v>412</v>
      </c>
      <c r="D1637" t="s">
        <v>413</v>
      </c>
      <c r="E1637" t="s">
        <v>759</v>
      </c>
      <c r="F1637" t="s">
        <v>758</v>
      </c>
      <c r="G1637">
        <v>84</v>
      </c>
      <c r="H1637">
        <v>12</v>
      </c>
      <c r="Q1637"/>
    </row>
    <row r="1638" spans="1:17" x14ac:dyDescent="0.25">
      <c r="A1638">
        <v>6</v>
      </c>
      <c r="B1638">
        <v>2016</v>
      </c>
      <c r="C1638" t="s">
        <v>412</v>
      </c>
      <c r="D1638" t="s">
        <v>413</v>
      </c>
      <c r="E1638" t="s">
        <v>422</v>
      </c>
      <c r="F1638" t="s">
        <v>423</v>
      </c>
      <c r="G1638">
        <v>104.4</v>
      </c>
      <c r="H1638">
        <v>18</v>
      </c>
      <c r="I1638">
        <v>313.2</v>
      </c>
      <c r="J1638">
        <v>36</v>
      </c>
      <c r="Q1638"/>
    </row>
    <row r="1639" spans="1:17" x14ac:dyDescent="0.25">
      <c r="A1639">
        <v>6</v>
      </c>
      <c r="B1639">
        <v>2016</v>
      </c>
      <c r="C1639" t="s">
        <v>412</v>
      </c>
      <c r="D1639" t="s">
        <v>413</v>
      </c>
      <c r="E1639" t="s">
        <v>826</v>
      </c>
      <c r="F1639" t="s">
        <v>827</v>
      </c>
      <c r="G1639">
        <v>120</v>
      </c>
      <c r="H1639">
        <v>30</v>
      </c>
      <c r="Q1639"/>
    </row>
    <row r="1640" spans="1:17" x14ac:dyDescent="0.25">
      <c r="A1640">
        <v>6</v>
      </c>
      <c r="B1640">
        <v>2016</v>
      </c>
      <c r="C1640" t="s">
        <v>432</v>
      </c>
      <c r="D1640" t="s">
        <v>433</v>
      </c>
      <c r="E1640" t="s">
        <v>434</v>
      </c>
      <c r="F1640" t="s">
        <v>435</v>
      </c>
      <c r="G1640">
        <v>33</v>
      </c>
      <c r="H1640">
        <v>12</v>
      </c>
      <c r="I1640">
        <v>93.6</v>
      </c>
      <c r="J1640">
        <v>36</v>
      </c>
      <c r="Q1640"/>
    </row>
    <row r="1641" spans="1:17" x14ac:dyDescent="0.25">
      <c r="A1641">
        <v>6</v>
      </c>
      <c r="B1641">
        <v>2016</v>
      </c>
      <c r="C1641" t="s">
        <v>432</v>
      </c>
      <c r="D1641" t="s">
        <v>433</v>
      </c>
      <c r="E1641" t="s">
        <v>436</v>
      </c>
      <c r="F1641" t="s">
        <v>437</v>
      </c>
      <c r="G1641">
        <v>1848</v>
      </c>
      <c r="H1641">
        <v>900</v>
      </c>
      <c r="I1641">
        <v>1488.3</v>
      </c>
      <c r="J1641">
        <v>726</v>
      </c>
      <c r="Q1641"/>
    </row>
    <row r="1642" spans="1:17" x14ac:dyDescent="0.25">
      <c r="A1642">
        <v>6</v>
      </c>
      <c r="B1642">
        <v>2016</v>
      </c>
      <c r="C1642" t="s">
        <v>438</v>
      </c>
      <c r="D1642" t="s">
        <v>439</v>
      </c>
      <c r="E1642" t="s">
        <v>440</v>
      </c>
      <c r="F1642" t="s">
        <v>441</v>
      </c>
      <c r="G1642">
        <v>2586.12</v>
      </c>
      <c r="H1642">
        <v>1674</v>
      </c>
      <c r="I1642">
        <v>2142.48</v>
      </c>
      <c r="J1642">
        <v>1380</v>
      </c>
      <c r="Q1642"/>
    </row>
    <row r="1643" spans="1:17" x14ac:dyDescent="0.25">
      <c r="A1643">
        <v>6</v>
      </c>
      <c r="B1643">
        <v>2016</v>
      </c>
      <c r="C1643" t="s">
        <v>438</v>
      </c>
      <c r="D1643" t="s">
        <v>439</v>
      </c>
      <c r="E1643" t="s">
        <v>442</v>
      </c>
      <c r="F1643" t="s">
        <v>441</v>
      </c>
      <c r="G1643">
        <v>11030.48</v>
      </c>
      <c r="H1643">
        <v>7932</v>
      </c>
      <c r="I1643">
        <v>10952.84</v>
      </c>
      <c r="J1643">
        <v>7848</v>
      </c>
      <c r="Q1643"/>
    </row>
    <row r="1644" spans="1:17" x14ac:dyDescent="0.25">
      <c r="A1644">
        <v>6</v>
      </c>
      <c r="B1644">
        <v>2016</v>
      </c>
      <c r="C1644" t="s">
        <v>438</v>
      </c>
      <c r="D1644" t="s">
        <v>439</v>
      </c>
      <c r="E1644" t="s">
        <v>443</v>
      </c>
      <c r="F1644" t="s">
        <v>441</v>
      </c>
      <c r="G1644">
        <v>96.12</v>
      </c>
      <c r="H1644">
        <v>54</v>
      </c>
      <c r="I1644">
        <v>951.6</v>
      </c>
      <c r="J1644">
        <v>570</v>
      </c>
      <c r="Q1644"/>
    </row>
    <row r="1645" spans="1:17" x14ac:dyDescent="0.25">
      <c r="A1645">
        <v>6</v>
      </c>
      <c r="B1645">
        <v>2016</v>
      </c>
      <c r="C1645" t="s">
        <v>438</v>
      </c>
      <c r="D1645" t="s">
        <v>439</v>
      </c>
      <c r="E1645" t="s">
        <v>444</v>
      </c>
      <c r="F1645" t="s">
        <v>445</v>
      </c>
      <c r="G1645">
        <v>118.02</v>
      </c>
      <c r="H1645">
        <v>42</v>
      </c>
      <c r="I1645">
        <v>236.04</v>
      </c>
      <c r="J1645">
        <v>90</v>
      </c>
      <c r="Q1645"/>
    </row>
    <row r="1646" spans="1:17" x14ac:dyDescent="0.25">
      <c r="A1646">
        <v>6</v>
      </c>
      <c r="B1646">
        <v>2016</v>
      </c>
      <c r="C1646" t="s">
        <v>438</v>
      </c>
      <c r="D1646" t="s">
        <v>439</v>
      </c>
      <c r="E1646" t="s">
        <v>446</v>
      </c>
      <c r="F1646" t="s">
        <v>447</v>
      </c>
      <c r="G1646">
        <v>175.2</v>
      </c>
      <c r="H1646">
        <v>60</v>
      </c>
      <c r="I1646">
        <v>188.1</v>
      </c>
      <c r="J1646">
        <v>66</v>
      </c>
      <c r="Q1646"/>
    </row>
    <row r="1647" spans="1:17" x14ac:dyDescent="0.25">
      <c r="A1647">
        <v>6</v>
      </c>
      <c r="B1647">
        <v>2016</v>
      </c>
      <c r="C1647" t="s">
        <v>438</v>
      </c>
      <c r="D1647" t="s">
        <v>439</v>
      </c>
      <c r="E1647" t="s">
        <v>966</v>
      </c>
      <c r="F1647" t="s">
        <v>967</v>
      </c>
      <c r="G1647">
        <v>13.44</v>
      </c>
      <c r="H1647">
        <v>6</v>
      </c>
      <c r="Q1647"/>
    </row>
    <row r="1648" spans="1:17" x14ac:dyDescent="0.25">
      <c r="A1648">
        <v>6</v>
      </c>
      <c r="B1648">
        <v>2016</v>
      </c>
      <c r="C1648" t="s">
        <v>448</v>
      </c>
      <c r="D1648" t="s">
        <v>449</v>
      </c>
      <c r="E1648" t="s">
        <v>450</v>
      </c>
      <c r="F1648" t="s">
        <v>451</v>
      </c>
      <c r="G1648">
        <v>579.70000000000005</v>
      </c>
      <c r="H1648">
        <v>413.23</v>
      </c>
      <c r="I1648">
        <v>600.6</v>
      </c>
      <c r="J1648">
        <v>439.89</v>
      </c>
      <c r="Q1648"/>
    </row>
    <row r="1649" spans="1:17" x14ac:dyDescent="0.25">
      <c r="A1649">
        <v>6</v>
      </c>
      <c r="B1649">
        <v>2016</v>
      </c>
      <c r="C1649" t="s">
        <v>448</v>
      </c>
      <c r="D1649" t="s">
        <v>449</v>
      </c>
      <c r="E1649" t="s">
        <v>452</v>
      </c>
      <c r="F1649" t="s">
        <v>451</v>
      </c>
      <c r="G1649">
        <v>613.25</v>
      </c>
      <c r="H1649">
        <v>366.85</v>
      </c>
      <c r="I1649">
        <v>354.75</v>
      </c>
      <c r="J1649">
        <v>226.78</v>
      </c>
      <c r="Q1649"/>
    </row>
    <row r="1650" spans="1:17" x14ac:dyDescent="0.25">
      <c r="A1650">
        <v>6</v>
      </c>
      <c r="B1650">
        <v>2016</v>
      </c>
      <c r="C1650" t="s">
        <v>448</v>
      </c>
      <c r="D1650" t="s">
        <v>449</v>
      </c>
      <c r="E1650" t="s">
        <v>453</v>
      </c>
      <c r="F1650" t="s">
        <v>454</v>
      </c>
      <c r="G1650">
        <v>75.599999999999994</v>
      </c>
      <c r="H1650">
        <v>24</v>
      </c>
      <c r="I1650">
        <v>91.5</v>
      </c>
      <c r="J1650">
        <v>30</v>
      </c>
      <c r="Q1650"/>
    </row>
    <row r="1651" spans="1:17" x14ac:dyDescent="0.25">
      <c r="A1651">
        <v>6</v>
      </c>
      <c r="B1651">
        <v>2016</v>
      </c>
      <c r="C1651" t="s">
        <v>448</v>
      </c>
      <c r="D1651" t="s">
        <v>449</v>
      </c>
      <c r="E1651" t="s">
        <v>968</v>
      </c>
      <c r="F1651" t="s">
        <v>969</v>
      </c>
      <c r="G1651">
        <v>46.8</v>
      </c>
      <c r="H1651">
        <v>12</v>
      </c>
      <c r="Q1651"/>
    </row>
    <row r="1652" spans="1:17" x14ac:dyDescent="0.25">
      <c r="A1652">
        <v>6</v>
      </c>
      <c r="B1652">
        <v>2016</v>
      </c>
      <c r="C1652" t="s">
        <v>455</v>
      </c>
      <c r="D1652" t="s">
        <v>456</v>
      </c>
      <c r="E1652" t="s">
        <v>457</v>
      </c>
      <c r="F1652" t="s">
        <v>458</v>
      </c>
      <c r="G1652">
        <v>1607.4</v>
      </c>
      <c r="H1652">
        <v>288</v>
      </c>
      <c r="I1652">
        <v>792</v>
      </c>
      <c r="J1652">
        <v>144</v>
      </c>
      <c r="Q1652"/>
    </row>
    <row r="1653" spans="1:17" x14ac:dyDescent="0.25">
      <c r="A1653">
        <v>6</v>
      </c>
      <c r="B1653">
        <v>2016</v>
      </c>
      <c r="C1653" t="s">
        <v>455</v>
      </c>
      <c r="D1653" t="s">
        <v>456</v>
      </c>
      <c r="E1653" t="s">
        <v>459</v>
      </c>
      <c r="F1653" t="s">
        <v>458</v>
      </c>
      <c r="G1653">
        <v>302.39999999999998</v>
      </c>
      <c r="H1653">
        <v>48</v>
      </c>
      <c r="I1653">
        <v>146.4</v>
      </c>
      <c r="J1653">
        <v>24</v>
      </c>
      <c r="Q1653"/>
    </row>
    <row r="1654" spans="1:17" x14ac:dyDescent="0.25">
      <c r="A1654">
        <v>6</v>
      </c>
      <c r="B1654">
        <v>2016</v>
      </c>
      <c r="C1654" t="s">
        <v>455</v>
      </c>
      <c r="D1654" t="s">
        <v>456</v>
      </c>
      <c r="E1654" t="s">
        <v>460</v>
      </c>
      <c r="F1654" t="s">
        <v>458</v>
      </c>
      <c r="G1654">
        <v>1044</v>
      </c>
      <c r="H1654">
        <v>174</v>
      </c>
      <c r="I1654">
        <v>828</v>
      </c>
      <c r="J1654">
        <v>144</v>
      </c>
      <c r="Q1654"/>
    </row>
    <row r="1655" spans="1:17" x14ac:dyDescent="0.25">
      <c r="A1655">
        <v>6</v>
      </c>
      <c r="B1655">
        <v>2016</v>
      </c>
      <c r="C1655" t="s">
        <v>455</v>
      </c>
      <c r="D1655" t="s">
        <v>456</v>
      </c>
      <c r="E1655" t="s">
        <v>461</v>
      </c>
      <c r="F1655" t="s">
        <v>458</v>
      </c>
      <c r="G1655">
        <v>158.4</v>
      </c>
      <c r="H1655">
        <v>24</v>
      </c>
      <c r="I1655">
        <v>230.4</v>
      </c>
      <c r="J1655">
        <v>36</v>
      </c>
      <c r="Q1655"/>
    </row>
    <row r="1656" spans="1:17" x14ac:dyDescent="0.25">
      <c r="A1656">
        <v>6</v>
      </c>
      <c r="B1656">
        <v>2016</v>
      </c>
      <c r="C1656" t="s">
        <v>462</v>
      </c>
      <c r="D1656" t="s">
        <v>463</v>
      </c>
      <c r="E1656" t="s">
        <v>464</v>
      </c>
      <c r="F1656" t="s">
        <v>465</v>
      </c>
      <c r="G1656">
        <v>1683</v>
      </c>
      <c r="H1656">
        <v>618</v>
      </c>
      <c r="I1656">
        <v>891</v>
      </c>
      <c r="J1656">
        <v>330</v>
      </c>
      <c r="Q1656"/>
    </row>
    <row r="1657" spans="1:17" x14ac:dyDescent="0.25">
      <c r="A1657">
        <v>6</v>
      </c>
      <c r="B1657">
        <v>2016</v>
      </c>
      <c r="C1657" t="s">
        <v>462</v>
      </c>
      <c r="D1657" t="s">
        <v>463</v>
      </c>
      <c r="E1657" t="s">
        <v>466</v>
      </c>
      <c r="F1657" t="s">
        <v>465</v>
      </c>
      <c r="G1657">
        <v>81.12</v>
      </c>
      <c r="H1657">
        <v>24</v>
      </c>
      <c r="I1657">
        <v>99</v>
      </c>
      <c r="J1657">
        <v>30</v>
      </c>
      <c r="Q1657"/>
    </row>
    <row r="1658" spans="1:17" x14ac:dyDescent="0.25">
      <c r="A1658">
        <v>6</v>
      </c>
      <c r="B1658">
        <v>2016</v>
      </c>
      <c r="C1658" t="s">
        <v>462</v>
      </c>
      <c r="D1658" t="s">
        <v>463</v>
      </c>
      <c r="E1658" t="s">
        <v>467</v>
      </c>
      <c r="F1658" t="s">
        <v>468</v>
      </c>
      <c r="G1658">
        <v>112.8</v>
      </c>
      <c r="H1658">
        <v>54</v>
      </c>
      <c r="I1658">
        <v>211.5</v>
      </c>
      <c r="J1658">
        <v>90</v>
      </c>
      <c r="Q1658"/>
    </row>
    <row r="1659" spans="1:17" x14ac:dyDescent="0.25">
      <c r="A1659">
        <v>6</v>
      </c>
      <c r="B1659">
        <v>2016</v>
      </c>
      <c r="C1659" t="s">
        <v>462</v>
      </c>
      <c r="D1659" t="s">
        <v>463</v>
      </c>
      <c r="E1659" t="s">
        <v>760</v>
      </c>
      <c r="F1659" t="s">
        <v>468</v>
      </c>
      <c r="G1659">
        <v>36.24</v>
      </c>
      <c r="H1659">
        <v>12</v>
      </c>
      <c r="Q1659"/>
    </row>
    <row r="1660" spans="1:17" x14ac:dyDescent="0.25">
      <c r="A1660">
        <v>6</v>
      </c>
      <c r="B1660">
        <v>2016</v>
      </c>
      <c r="C1660" t="s">
        <v>462</v>
      </c>
      <c r="D1660" t="s">
        <v>463</v>
      </c>
      <c r="E1660" t="s">
        <v>469</v>
      </c>
      <c r="F1660" t="s">
        <v>470</v>
      </c>
      <c r="G1660">
        <v>277.2</v>
      </c>
      <c r="H1660">
        <v>159.96</v>
      </c>
      <c r="I1660">
        <v>363.2</v>
      </c>
      <c r="J1660">
        <v>213.28</v>
      </c>
      <c r="Q1660"/>
    </row>
    <row r="1661" spans="1:17" x14ac:dyDescent="0.25">
      <c r="A1661">
        <v>6</v>
      </c>
      <c r="B1661">
        <v>2016</v>
      </c>
      <c r="C1661" t="s">
        <v>462</v>
      </c>
      <c r="D1661" t="s">
        <v>463</v>
      </c>
      <c r="E1661" t="s">
        <v>471</v>
      </c>
      <c r="F1661" t="s">
        <v>470</v>
      </c>
      <c r="G1661">
        <v>283.5</v>
      </c>
      <c r="H1661">
        <v>146.74</v>
      </c>
      <c r="I1661">
        <v>764.64</v>
      </c>
      <c r="J1661">
        <v>406.87</v>
      </c>
      <c r="Q1661"/>
    </row>
    <row r="1662" spans="1:17" x14ac:dyDescent="0.25">
      <c r="A1662">
        <v>6</v>
      </c>
      <c r="B1662">
        <v>2016</v>
      </c>
      <c r="C1662" t="s">
        <v>462</v>
      </c>
      <c r="D1662" t="s">
        <v>463</v>
      </c>
      <c r="E1662" t="s">
        <v>472</v>
      </c>
      <c r="F1662" t="s">
        <v>473</v>
      </c>
      <c r="G1662">
        <v>35.04</v>
      </c>
      <c r="H1662">
        <v>26.66</v>
      </c>
      <c r="Q1662"/>
    </row>
    <row r="1663" spans="1:17" x14ac:dyDescent="0.25">
      <c r="A1663">
        <v>6</v>
      </c>
      <c r="B1663">
        <v>2016</v>
      </c>
      <c r="C1663" t="s">
        <v>476</v>
      </c>
      <c r="D1663" t="s">
        <v>477</v>
      </c>
      <c r="E1663" t="s">
        <v>478</v>
      </c>
      <c r="F1663" t="s">
        <v>479</v>
      </c>
      <c r="G1663">
        <v>683.4</v>
      </c>
      <c r="H1663">
        <v>102</v>
      </c>
      <c r="I1663">
        <v>1344</v>
      </c>
      <c r="J1663">
        <v>210</v>
      </c>
      <c r="Q1663"/>
    </row>
    <row r="1664" spans="1:17" x14ac:dyDescent="0.25">
      <c r="A1664">
        <v>6</v>
      </c>
      <c r="B1664">
        <v>2016</v>
      </c>
      <c r="C1664" t="s">
        <v>476</v>
      </c>
      <c r="D1664" t="s">
        <v>477</v>
      </c>
      <c r="E1664" t="s">
        <v>480</v>
      </c>
      <c r="F1664" t="s">
        <v>481</v>
      </c>
      <c r="G1664">
        <v>126</v>
      </c>
      <c r="H1664">
        <v>18</v>
      </c>
      <c r="I1664">
        <v>120.6</v>
      </c>
      <c r="J1664">
        <v>18</v>
      </c>
      <c r="Q1664"/>
    </row>
    <row r="1665" spans="1:17" x14ac:dyDescent="0.25">
      <c r="A1665">
        <v>6</v>
      </c>
      <c r="B1665">
        <v>2016</v>
      </c>
      <c r="C1665" t="s">
        <v>476</v>
      </c>
      <c r="D1665" t="s">
        <v>477</v>
      </c>
      <c r="E1665" t="s">
        <v>482</v>
      </c>
      <c r="F1665" t="s">
        <v>483</v>
      </c>
      <c r="G1665">
        <v>145</v>
      </c>
      <c r="H1665">
        <v>133.30000000000001</v>
      </c>
      <c r="I1665">
        <v>41.4</v>
      </c>
      <c r="J1665">
        <v>39.99</v>
      </c>
      <c r="Q1665"/>
    </row>
    <row r="1666" spans="1:17" x14ac:dyDescent="0.25">
      <c r="A1666">
        <v>6</v>
      </c>
      <c r="B1666">
        <v>2016</v>
      </c>
      <c r="C1666" t="s">
        <v>476</v>
      </c>
      <c r="D1666" t="s">
        <v>477</v>
      </c>
      <c r="E1666" t="s">
        <v>484</v>
      </c>
      <c r="F1666" t="s">
        <v>483</v>
      </c>
      <c r="G1666">
        <v>85</v>
      </c>
      <c r="H1666">
        <v>66.7</v>
      </c>
      <c r="I1666">
        <v>24</v>
      </c>
      <c r="J1666">
        <v>33.35</v>
      </c>
      <c r="Q1666"/>
    </row>
    <row r="1667" spans="1:17" x14ac:dyDescent="0.25">
      <c r="A1667">
        <v>6</v>
      </c>
      <c r="B1667">
        <v>2016</v>
      </c>
      <c r="C1667" t="s">
        <v>485</v>
      </c>
      <c r="D1667" t="s">
        <v>486</v>
      </c>
      <c r="E1667" t="s">
        <v>487</v>
      </c>
      <c r="F1667" t="s">
        <v>488</v>
      </c>
      <c r="G1667">
        <v>1186.8</v>
      </c>
      <c r="H1667">
        <v>264</v>
      </c>
      <c r="I1667">
        <v>1829.1</v>
      </c>
      <c r="J1667">
        <v>402</v>
      </c>
      <c r="Q1667"/>
    </row>
    <row r="1668" spans="1:17" x14ac:dyDescent="0.25">
      <c r="A1668">
        <v>6</v>
      </c>
      <c r="B1668">
        <v>2016</v>
      </c>
      <c r="C1668" t="s">
        <v>485</v>
      </c>
      <c r="D1668" t="s">
        <v>486</v>
      </c>
      <c r="E1668" t="s">
        <v>761</v>
      </c>
      <c r="F1668" t="s">
        <v>762</v>
      </c>
      <c r="G1668">
        <v>26.1</v>
      </c>
      <c r="H1668">
        <v>6</v>
      </c>
      <c r="I1668">
        <v>154.80000000000001</v>
      </c>
      <c r="J1668">
        <v>36</v>
      </c>
      <c r="Q1668"/>
    </row>
    <row r="1669" spans="1:17" x14ac:dyDescent="0.25">
      <c r="A1669">
        <v>6</v>
      </c>
      <c r="B1669">
        <v>2016</v>
      </c>
      <c r="C1669" t="s">
        <v>489</v>
      </c>
      <c r="D1669" t="s">
        <v>0</v>
      </c>
      <c r="E1669" t="s">
        <v>501</v>
      </c>
      <c r="F1669" t="s">
        <v>4</v>
      </c>
      <c r="G1669">
        <v>75.53</v>
      </c>
      <c r="H1669">
        <v>1</v>
      </c>
      <c r="Q1669"/>
    </row>
    <row r="1670" spans="1:17" x14ac:dyDescent="0.25">
      <c r="A1670">
        <v>6</v>
      </c>
      <c r="B1670">
        <v>2016</v>
      </c>
      <c r="C1670" t="s">
        <v>506</v>
      </c>
      <c r="D1670" t="s">
        <v>507</v>
      </c>
      <c r="E1670" t="s">
        <v>508</v>
      </c>
      <c r="F1670" t="s">
        <v>509</v>
      </c>
      <c r="G1670">
        <v>1350</v>
      </c>
      <c r="H1670">
        <v>300</v>
      </c>
      <c r="I1670">
        <v>475.2</v>
      </c>
      <c r="J1670">
        <v>108</v>
      </c>
      <c r="Q1670"/>
    </row>
    <row r="1671" spans="1:17" x14ac:dyDescent="0.25">
      <c r="A1671">
        <v>6</v>
      </c>
      <c r="B1671">
        <v>2016</v>
      </c>
      <c r="C1671" t="s">
        <v>506</v>
      </c>
      <c r="D1671" t="s">
        <v>507</v>
      </c>
      <c r="E1671" t="s">
        <v>510</v>
      </c>
      <c r="F1671" t="s">
        <v>511</v>
      </c>
      <c r="G1671">
        <v>237.6</v>
      </c>
      <c r="H1671">
        <v>72</v>
      </c>
      <c r="I1671">
        <v>480</v>
      </c>
      <c r="J1671">
        <v>150</v>
      </c>
      <c r="Q1671"/>
    </row>
    <row r="1672" spans="1:17" x14ac:dyDescent="0.25">
      <c r="A1672">
        <v>6</v>
      </c>
      <c r="B1672">
        <v>2016</v>
      </c>
      <c r="C1672" t="s">
        <v>506</v>
      </c>
      <c r="D1672" t="s">
        <v>507</v>
      </c>
      <c r="E1672" t="s">
        <v>512</v>
      </c>
      <c r="F1672" t="s">
        <v>513</v>
      </c>
      <c r="G1672">
        <v>241.8</v>
      </c>
      <c r="H1672">
        <v>39</v>
      </c>
      <c r="Q1672"/>
    </row>
    <row r="1673" spans="1:17" x14ac:dyDescent="0.25">
      <c r="A1673">
        <v>6</v>
      </c>
      <c r="B1673">
        <v>2016</v>
      </c>
      <c r="C1673" t="s">
        <v>506</v>
      </c>
      <c r="D1673" t="s">
        <v>507</v>
      </c>
      <c r="E1673" t="s">
        <v>514</v>
      </c>
      <c r="F1673" t="s">
        <v>515</v>
      </c>
      <c r="G1673">
        <v>869.4</v>
      </c>
      <c r="H1673">
        <v>138</v>
      </c>
      <c r="I1673">
        <v>1078.8</v>
      </c>
      <c r="J1673">
        <v>174</v>
      </c>
      <c r="Q1673"/>
    </row>
    <row r="1674" spans="1:17" x14ac:dyDescent="0.25">
      <c r="A1674">
        <v>6</v>
      </c>
      <c r="B1674">
        <v>2016</v>
      </c>
      <c r="C1674" t="s">
        <v>516</v>
      </c>
      <c r="D1674" t="s">
        <v>517</v>
      </c>
      <c r="E1674" t="s">
        <v>520</v>
      </c>
      <c r="F1674" t="s">
        <v>521</v>
      </c>
      <c r="G1674">
        <v>428.4</v>
      </c>
      <c r="H1674">
        <v>90</v>
      </c>
      <c r="I1674">
        <v>331.2</v>
      </c>
      <c r="J1674">
        <v>78</v>
      </c>
      <c r="Q1674"/>
    </row>
    <row r="1675" spans="1:17" x14ac:dyDescent="0.25">
      <c r="A1675">
        <v>6</v>
      </c>
      <c r="B1675">
        <v>2016</v>
      </c>
      <c r="C1675" t="s">
        <v>516</v>
      </c>
      <c r="D1675" t="s">
        <v>517</v>
      </c>
      <c r="E1675" t="s">
        <v>522</v>
      </c>
      <c r="F1675" t="s">
        <v>523</v>
      </c>
      <c r="G1675">
        <v>2671.38</v>
      </c>
      <c r="H1675">
        <v>582</v>
      </c>
      <c r="I1675">
        <v>478.44</v>
      </c>
      <c r="J1675">
        <v>108</v>
      </c>
      <c r="Q1675"/>
    </row>
    <row r="1676" spans="1:17" x14ac:dyDescent="0.25">
      <c r="A1676">
        <v>6</v>
      </c>
      <c r="B1676">
        <v>2016</v>
      </c>
      <c r="C1676" t="s">
        <v>516</v>
      </c>
      <c r="D1676" t="s">
        <v>517</v>
      </c>
      <c r="E1676" t="s">
        <v>828</v>
      </c>
      <c r="F1676" t="s">
        <v>829</v>
      </c>
      <c r="G1676">
        <v>381.12</v>
      </c>
      <c r="H1676">
        <v>24</v>
      </c>
      <c r="Q1676"/>
    </row>
    <row r="1677" spans="1:17" x14ac:dyDescent="0.25">
      <c r="A1677">
        <v>6</v>
      </c>
      <c r="B1677">
        <v>2016</v>
      </c>
      <c r="C1677" t="s">
        <v>524</v>
      </c>
      <c r="D1677" t="s">
        <v>525</v>
      </c>
      <c r="E1677" t="s">
        <v>526</v>
      </c>
      <c r="F1677" t="s">
        <v>527</v>
      </c>
      <c r="G1677">
        <v>1786.4</v>
      </c>
      <c r="H1677">
        <v>648</v>
      </c>
      <c r="I1677">
        <v>922.2</v>
      </c>
      <c r="J1677">
        <v>348</v>
      </c>
      <c r="Q1677"/>
    </row>
    <row r="1678" spans="1:17" x14ac:dyDescent="0.25">
      <c r="A1678">
        <v>6</v>
      </c>
      <c r="B1678">
        <v>2016</v>
      </c>
      <c r="C1678" t="s">
        <v>524</v>
      </c>
      <c r="D1678" t="s">
        <v>525</v>
      </c>
      <c r="E1678" t="s">
        <v>528</v>
      </c>
      <c r="F1678" t="s">
        <v>529</v>
      </c>
      <c r="G1678">
        <v>356.4</v>
      </c>
      <c r="H1678">
        <v>72</v>
      </c>
      <c r="I1678">
        <v>28.8</v>
      </c>
      <c r="J1678">
        <v>6</v>
      </c>
      <c r="Q1678"/>
    </row>
    <row r="1679" spans="1:17" x14ac:dyDescent="0.25">
      <c r="A1679">
        <v>6</v>
      </c>
      <c r="B1679">
        <v>2016</v>
      </c>
      <c r="C1679" t="s">
        <v>530</v>
      </c>
      <c r="D1679" t="s">
        <v>531</v>
      </c>
      <c r="E1679" t="s">
        <v>532</v>
      </c>
      <c r="F1679" t="s">
        <v>533</v>
      </c>
      <c r="G1679">
        <v>2244.6</v>
      </c>
      <c r="H1679">
        <v>528</v>
      </c>
      <c r="I1679">
        <v>982.8</v>
      </c>
      <c r="J1679">
        <v>234</v>
      </c>
      <c r="Q1679"/>
    </row>
    <row r="1680" spans="1:17" x14ac:dyDescent="0.25">
      <c r="A1680">
        <v>6</v>
      </c>
      <c r="B1680">
        <v>2016</v>
      </c>
      <c r="C1680" t="s">
        <v>534</v>
      </c>
      <c r="D1680" t="s">
        <v>535</v>
      </c>
      <c r="E1680" t="s">
        <v>536</v>
      </c>
      <c r="F1680" t="s">
        <v>537</v>
      </c>
      <c r="G1680">
        <v>288</v>
      </c>
      <c r="H1680">
        <v>72</v>
      </c>
      <c r="I1680">
        <v>327.60000000000002</v>
      </c>
      <c r="J1680">
        <v>84</v>
      </c>
      <c r="Q1680"/>
    </row>
    <row r="1681" spans="1:17" x14ac:dyDescent="0.25">
      <c r="A1681">
        <v>6</v>
      </c>
      <c r="B1681">
        <v>2016</v>
      </c>
      <c r="C1681" t="s">
        <v>534</v>
      </c>
      <c r="D1681" t="s">
        <v>535</v>
      </c>
      <c r="E1681" t="s">
        <v>538</v>
      </c>
      <c r="F1681" t="s">
        <v>537</v>
      </c>
      <c r="G1681">
        <v>624</v>
      </c>
      <c r="H1681">
        <v>162</v>
      </c>
      <c r="I1681">
        <v>1380.6</v>
      </c>
      <c r="J1681">
        <v>354</v>
      </c>
      <c r="Q1681"/>
    </row>
    <row r="1682" spans="1:17" x14ac:dyDescent="0.25">
      <c r="A1682">
        <v>6</v>
      </c>
      <c r="B1682">
        <v>2016</v>
      </c>
      <c r="C1682" t="s">
        <v>534</v>
      </c>
      <c r="D1682" t="s">
        <v>535</v>
      </c>
      <c r="E1682" t="s">
        <v>970</v>
      </c>
      <c r="F1682" t="s">
        <v>971</v>
      </c>
      <c r="G1682">
        <v>117.6</v>
      </c>
      <c r="H1682">
        <v>42</v>
      </c>
      <c r="Q1682"/>
    </row>
    <row r="1683" spans="1:17" x14ac:dyDescent="0.25">
      <c r="A1683">
        <v>6</v>
      </c>
      <c r="B1683">
        <v>2016</v>
      </c>
      <c r="C1683" t="s">
        <v>539</v>
      </c>
      <c r="D1683" t="s">
        <v>540</v>
      </c>
      <c r="E1683" t="s">
        <v>541</v>
      </c>
      <c r="F1683" t="s">
        <v>542</v>
      </c>
      <c r="G1683">
        <v>305.10000000000002</v>
      </c>
      <c r="H1683">
        <v>60</v>
      </c>
      <c r="I1683">
        <v>1199.4000000000001</v>
      </c>
      <c r="J1683">
        <v>216</v>
      </c>
      <c r="Q1683"/>
    </row>
    <row r="1684" spans="1:17" x14ac:dyDescent="0.25">
      <c r="A1684">
        <v>6</v>
      </c>
      <c r="B1684">
        <v>2016</v>
      </c>
      <c r="C1684" t="s">
        <v>543</v>
      </c>
      <c r="D1684" t="s">
        <v>544</v>
      </c>
      <c r="E1684" t="s">
        <v>833</v>
      </c>
      <c r="F1684" t="s">
        <v>834</v>
      </c>
      <c r="G1684">
        <v>1287.5999999999999</v>
      </c>
      <c r="H1684">
        <v>222</v>
      </c>
      <c r="I1684">
        <v>1362.9</v>
      </c>
      <c r="J1684">
        <v>246</v>
      </c>
      <c r="Q1684"/>
    </row>
    <row r="1685" spans="1:17" x14ac:dyDescent="0.25">
      <c r="A1685">
        <v>6</v>
      </c>
      <c r="B1685">
        <v>2016</v>
      </c>
      <c r="C1685" t="s">
        <v>543</v>
      </c>
      <c r="D1685" t="s">
        <v>544</v>
      </c>
      <c r="E1685" t="s">
        <v>548</v>
      </c>
      <c r="F1685" t="s">
        <v>549</v>
      </c>
      <c r="G1685">
        <v>453.6</v>
      </c>
      <c r="H1685">
        <v>42</v>
      </c>
      <c r="Q1685"/>
    </row>
    <row r="1686" spans="1:17" x14ac:dyDescent="0.25">
      <c r="A1686">
        <v>6</v>
      </c>
      <c r="B1686">
        <v>2016</v>
      </c>
      <c r="C1686" t="s">
        <v>554</v>
      </c>
      <c r="D1686" t="s">
        <v>555</v>
      </c>
      <c r="E1686" t="s">
        <v>556</v>
      </c>
      <c r="F1686" t="s">
        <v>557</v>
      </c>
      <c r="G1686">
        <v>109.8</v>
      </c>
      <c r="H1686">
        <v>36</v>
      </c>
      <c r="I1686">
        <v>513.29999999999995</v>
      </c>
      <c r="J1686">
        <v>156</v>
      </c>
      <c r="Q1686"/>
    </row>
    <row r="1687" spans="1:17" x14ac:dyDescent="0.25">
      <c r="A1687">
        <v>6</v>
      </c>
      <c r="B1687">
        <v>2016</v>
      </c>
      <c r="C1687" t="s">
        <v>560</v>
      </c>
      <c r="D1687" t="s">
        <v>561</v>
      </c>
      <c r="E1687" t="s">
        <v>562</v>
      </c>
      <c r="F1687" t="s">
        <v>563</v>
      </c>
      <c r="G1687">
        <v>2557.8000000000002</v>
      </c>
      <c r="H1687">
        <v>882</v>
      </c>
      <c r="I1687">
        <v>1780.8</v>
      </c>
      <c r="J1687">
        <v>636</v>
      </c>
      <c r="Q1687"/>
    </row>
    <row r="1688" spans="1:17" x14ac:dyDescent="0.25">
      <c r="A1688">
        <v>6</v>
      </c>
      <c r="B1688">
        <v>2016</v>
      </c>
      <c r="C1688" t="s">
        <v>560</v>
      </c>
      <c r="D1688" t="s">
        <v>561</v>
      </c>
      <c r="E1688" t="s">
        <v>564</v>
      </c>
      <c r="F1688" t="s">
        <v>565</v>
      </c>
      <c r="G1688">
        <v>103.2</v>
      </c>
      <c r="H1688">
        <v>24</v>
      </c>
      <c r="I1688">
        <v>288</v>
      </c>
      <c r="J1688">
        <v>72</v>
      </c>
      <c r="Q1688"/>
    </row>
    <row r="1689" spans="1:17" x14ac:dyDescent="0.25">
      <c r="A1689">
        <v>6</v>
      </c>
      <c r="B1689">
        <v>2016</v>
      </c>
      <c r="C1689" t="s">
        <v>560</v>
      </c>
      <c r="D1689" t="s">
        <v>561</v>
      </c>
      <c r="E1689" t="s">
        <v>773</v>
      </c>
      <c r="F1689" t="s">
        <v>774</v>
      </c>
      <c r="G1689">
        <v>104.4</v>
      </c>
      <c r="H1689">
        <v>36</v>
      </c>
      <c r="I1689">
        <v>151.19999999999999</v>
      </c>
      <c r="J1689">
        <v>54</v>
      </c>
      <c r="Q1689"/>
    </row>
    <row r="1690" spans="1:17" x14ac:dyDescent="0.25">
      <c r="A1690">
        <v>6</v>
      </c>
      <c r="B1690">
        <v>2016</v>
      </c>
      <c r="C1690" t="s">
        <v>560</v>
      </c>
      <c r="D1690" t="s">
        <v>561</v>
      </c>
      <c r="E1690" t="s">
        <v>972</v>
      </c>
      <c r="F1690" t="s">
        <v>973</v>
      </c>
      <c r="G1690">
        <v>298.8</v>
      </c>
      <c r="H1690">
        <v>48</v>
      </c>
      <c r="Q1690"/>
    </row>
    <row r="1691" spans="1:17" x14ac:dyDescent="0.25">
      <c r="A1691">
        <v>6</v>
      </c>
      <c r="B1691">
        <v>2016</v>
      </c>
      <c r="C1691" t="s">
        <v>560</v>
      </c>
      <c r="D1691" t="s">
        <v>561</v>
      </c>
      <c r="E1691" t="s">
        <v>775</v>
      </c>
      <c r="F1691" t="s">
        <v>776</v>
      </c>
      <c r="G1691">
        <v>75</v>
      </c>
      <c r="H1691">
        <v>30</v>
      </c>
      <c r="I1691">
        <v>60</v>
      </c>
      <c r="J1691">
        <v>24</v>
      </c>
      <c r="Q1691"/>
    </row>
    <row r="1692" spans="1:17" x14ac:dyDescent="0.25">
      <c r="A1692">
        <v>6</v>
      </c>
      <c r="B1692">
        <v>2016</v>
      </c>
      <c r="C1692" t="s">
        <v>571</v>
      </c>
      <c r="D1692" t="s">
        <v>572</v>
      </c>
      <c r="E1692" t="s">
        <v>575</v>
      </c>
      <c r="F1692" t="s">
        <v>574</v>
      </c>
      <c r="G1692">
        <v>1069.2</v>
      </c>
      <c r="H1692">
        <v>162</v>
      </c>
      <c r="Q1692"/>
    </row>
    <row r="1693" spans="1:17" x14ac:dyDescent="0.25">
      <c r="A1693">
        <v>6</v>
      </c>
      <c r="B1693">
        <v>2016</v>
      </c>
      <c r="C1693" t="s">
        <v>571</v>
      </c>
      <c r="D1693" t="s">
        <v>572</v>
      </c>
      <c r="E1693" t="s">
        <v>578</v>
      </c>
      <c r="F1693" t="s">
        <v>579</v>
      </c>
      <c r="G1693">
        <v>216</v>
      </c>
      <c r="H1693">
        <v>24</v>
      </c>
      <c r="Q1693"/>
    </row>
    <row r="1694" spans="1:17" x14ac:dyDescent="0.25">
      <c r="A1694">
        <v>6</v>
      </c>
      <c r="B1694">
        <v>2016</v>
      </c>
      <c r="C1694" t="s">
        <v>571</v>
      </c>
      <c r="D1694" t="s">
        <v>572</v>
      </c>
      <c r="E1694" t="s">
        <v>777</v>
      </c>
      <c r="F1694" t="s">
        <v>778</v>
      </c>
      <c r="G1694">
        <v>38</v>
      </c>
      <c r="H1694">
        <v>13.34</v>
      </c>
      <c r="I1694">
        <v>228</v>
      </c>
      <c r="J1694">
        <v>93.38</v>
      </c>
      <c r="Q1694"/>
    </row>
    <row r="1695" spans="1:17" x14ac:dyDescent="0.25">
      <c r="A1695">
        <v>6</v>
      </c>
      <c r="B1695">
        <v>2016</v>
      </c>
      <c r="C1695" t="s">
        <v>582</v>
      </c>
      <c r="D1695" t="s">
        <v>583</v>
      </c>
      <c r="E1695" t="s">
        <v>584</v>
      </c>
      <c r="F1695" t="s">
        <v>585</v>
      </c>
      <c r="G1695">
        <v>959.4</v>
      </c>
      <c r="H1695">
        <v>240</v>
      </c>
      <c r="I1695">
        <v>408</v>
      </c>
      <c r="J1695">
        <v>102</v>
      </c>
      <c r="Q1695"/>
    </row>
    <row r="1696" spans="1:17" x14ac:dyDescent="0.25">
      <c r="A1696">
        <v>6</v>
      </c>
      <c r="B1696">
        <v>2016</v>
      </c>
      <c r="C1696" t="s">
        <v>582</v>
      </c>
      <c r="D1696" t="s">
        <v>583</v>
      </c>
      <c r="E1696" t="s">
        <v>779</v>
      </c>
      <c r="F1696" t="s">
        <v>780</v>
      </c>
      <c r="G1696">
        <v>62.1</v>
      </c>
      <c r="H1696">
        <v>18</v>
      </c>
      <c r="I1696">
        <v>40.200000000000003</v>
      </c>
      <c r="J1696">
        <v>12</v>
      </c>
      <c r="Q1696"/>
    </row>
    <row r="1697" spans="1:17" x14ac:dyDescent="0.25">
      <c r="A1697">
        <v>6</v>
      </c>
      <c r="B1697">
        <v>2016</v>
      </c>
      <c r="C1697" t="s">
        <v>582</v>
      </c>
      <c r="D1697" t="s">
        <v>583</v>
      </c>
      <c r="E1697" t="s">
        <v>586</v>
      </c>
      <c r="F1697" t="s">
        <v>587</v>
      </c>
      <c r="G1697">
        <v>170.28</v>
      </c>
      <c r="H1697">
        <v>33</v>
      </c>
      <c r="I1697">
        <v>61.92</v>
      </c>
      <c r="J1697">
        <v>12</v>
      </c>
      <c r="Q1697"/>
    </row>
    <row r="1698" spans="1:17" x14ac:dyDescent="0.25">
      <c r="A1698">
        <v>6</v>
      </c>
      <c r="B1698">
        <v>2016</v>
      </c>
      <c r="C1698" t="s">
        <v>588</v>
      </c>
      <c r="D1698" t="s">
        <v>589</v>
      </c>
      <c r="E1698" t="s">
        <v>590</v>
      </c>
      <c r="F1698" t="s">
        <v>591</v>
      </c>
      <c r="G1698">
        <v>1911.6</v>
      </c>
      <c r="H1698">
        <v>654</v>
      </c>
      <c r="I1698">
        <v>1827</v>
      </c>
      <c r="J1698">
        <v>630</v>
      </c>
      <c r="Q1698"/>
    </row>
    <row r="1699" spans="1:17" x14ac:dyDescent="0.25">
      <c r="A1699">
        <v>6</v>
      </c>
      <c r="B1699">
        <v>2016</v>
      </c>
      <c r="C1699" t="s">
        <v>588</v>
      </c>
      <c r="D1699" t="s">
        <v>589</v>
      </c>
      <c r="E1699" t="s">
        <v>592</v>
      </c>
      <c r="F1699" t="s">
        <v>593</v>
      </c>
      <c r="G1699">
        <v>1556.1</v>
      </c>
      <c r="H1699">
        <v>630</v>
      </c>
      <c r="I1699">
        <v>2601.48</v>
      </c>
      <c r="J1699">
        <v>1074</v>
      </c>
      <c r="Q1699"/>
    </row>
    <row r="1700" spans="1:17" x14ac:dyDescent="0.25">
      <c r="A1700">
        <v>6</v>
      </c>
      <c r="B1700">
        <v>2016</v>
      </c>
      <c r="C1700" t="s">
        <v>588</v>
      </c>
      <c r="D1700" t="s">
        <v>589</v>
      </c>
      <c r="E1700" t="s">
        <v>781</v>
      </c>
      <c r="F1700" t="s">
        <v>782</v>
      </c>
      <c r="G1700">
        <v>38.700000000000003</v>
      </c>
      <c r="H1700">
        <v>9</v>
      </c>
      <c r="I1700">
        <v>77.400000000000006</v>
      </c>
      <c r="J1700">
        <v>18</v>
      </c>
      <c r="Q1700"/>
    </row>
    <row r="1701" spans="1:17" x14ac:dyDescent="0.25">
      <c r="A1701">
        <v>6</v>
      </c>
      <c r="B1701">
        <v>2016</v>
      </c>
      <c r="C1701" t="s">
        <v>588</v>
      </c>
      <c r="D1701" t="s">
        <v>589</v>
      </c>
      <c r="E1701" t="s">
        <v>594</v>
      </c>
      <c r="F1701" t="s">
        <v>595</v>
      </c>
      <c r="G1701">
        <v>333</v>
      </c>
      <c r="H1701">
        <v>239.94</v>
      </c>
      <c r="I1701">
        <v>1720.5</v>
      </c>
      <c r="J1701">
        <v>1239.69</v>
      </c>
      <c r="Q1701"/>
    </row>
    <row r="1702" spans="1:17" x14ac:dyDescent="0.25">
      <c r="A1702">
        <v>6</v>
      </c>
      <c r="B1702">
        <v>2016</v>
      </c>
      <c r="C1702" t="s">
        <v>588</v>
      </c>
      <c r="D1702" t="s">
        <v>589</v>
      </c>
      <c r="E1702" t="s">
        <v>596</v>
      </c>
      <c r="F1702" t="s">
        <v>595</v>
      </c>
      <c r="G1702">
        <v>724.5</v>
      </c>
      <c r="H1702">
        <v>460.23</v>
      </c>
      <c r="I1702">
        <v>1680</v>
      </c>
      <c r="J1702">
        <v>1073.8699999999999</v>
      </c>
      <c r="Q1702"/>
    </row>
    <row r="1703" spans="1:17" x14ac:dyDescent="0.25">
      <c r="A1703">
        <v>6</v>
      </c>
      <c r="B1703">
        <v>2016</v>
      </c>
      <c r="C1703" t="s">
        <v>588</v>
      </c>
      <c r="D1703" t="s">
        <v>589</v>
      </c>
      <c r="E1703" t="s">
        <v>974</v>
      </c>
      <c r="F1703" t="s">
        <v>975</v>
      </c>
      <c r="G1703">
        <v>0</v>
      </c>
      <c r="H1703">
        <v>6</v>
      </c>
      <c r="Q1703"/>
    </row>
    <row r="1704" spans="1:17" x14ac:dyDescent="0.25">
      <c r="A1704">
        <v>6</v>
      </c>
      <c r="B1704">
        <v>2016</v>
      </c>
      <c r="C1704" t="s">
        <v>605</v>
      </c>
      <c r="D1704" t="s">
        <v>606</v>
      </c>
      <c r="E1704" t="s">
        <v>607</v>
      </c>
      <c r="F1704" t="s">
        <v>608</v>
      </c>
      <c r="G1704">
        <v>2008.8</v>
      </c>
      <c r="H1704">
        <v>546</v>
      </c>
      <c r="I1704">
        <v>2053.44</v>
      </c>
      <c r="J1704">
        <v>552</v>
      </c>
      <c r="Q1704"/>
    </row>
    <row r="1705" spans="1:17" x14ac:dyDescent="0.25">
      <c r="A1705">
        <v>6</v>
      </c>
      <c r="B1705">
        <v>2016</v>
      </c>
      <c r="C1705" t="s">
        <v>605</v>
      </c>
      <c r="D1705" t="s">
        <v>606</v>
      </c>
      <c r="E1705" t="s">
        <v>609</v>
      </c>
      <c r="F1705" t="s">
        <v>610</v>
      </c>
      <c r="G1705">
        <v>297.60000000000002</v>
      </c>
      <c r="H1705">
        <v>54</v>
      </c>
      <c r="I1705">
        <v>220.32</v>
      </c>
      <c r="J1705">
        <v>36</v>
      </c>
      <c r="Q1705"/>
    </row>
    <row r="1706" spans="1:17" x14ac:dyDescent="0.25">
      <c r="A1706">
        <v>6</v>
      </c>
      <c r="B1706">
        <v>2016</v>
      </c>
      <c r="C1706" t="s">
        <v>605</v>
      </c>
      <c r="D1706" t="s">
        <v>606</v>
      </c>
      <c r="E1706" t="s">
        <v>611</v>
      </c>
      <c r="F1706" t="s">
        <v>612</v>
      </c>
      <c r="G1706">
        <v>2446.48</v>
      </c>
      <c r="H1706">
        <v>1200</v>
      </c>
      <c r="I1706">
        <v>864.96</v>
      </c>
      <c r="J1706">
        <v>426</v>
      </c>
      <c r="Q1706"/>
    </row>
    <row r="1707" spans="1:17" x14ac:dyDescent="0.25">
      <c r="A1707">
        <v>6</v>
      </c>
      <c r="B1707">
        <v>2016</v>
      </c>
      <c r="C1707" t="s">
        <v>605</v>
      </c>
      <c r="D1707" t="s">
        <v>606</v>
      </c>
      <c r="E1707" t="s">
        <v>907</v>
      </c>
      <c r="F1707" t="s">
        <v>908</v>
      </c>
      <c r="G1707">
        <v>3126</v>
      </c>
      <c r="H1707">
        <v>1440</v>
      </c>
      <c r="Q1707"/>
    </row>
    <row r="1708" spans="1:17" x14ac:dyDescent="0.25">
      <c r="A1708">
        <v>6</v>
      </c>
      <c r="B1708">
        <v>2016</v>
      </c>
      <c r="C1708" t="s">
        <v>605</v>
      </c>
      <c r="D1708" t="s">
        <v>606</v>
      </c>
      <c r="E1708" t="s">
        <v>909</v>
      </c>
      <c r="F1708" t="s">
        <v>908</v>
      </c>
      <c r="G1708">
        <v>4011.8</v>
      </c>
      <c r="H1708">
        <v>1098</v>
      </c>
      <c r="Q1708"/>
    </row>
    <row r="1709" spans="1:17" x14ac:dyDescent="0.25">
      <c r="A1709">
        <v>6</v>
      </c>
      <c r="B1709">
        <v>2016</v>
      </c>
      <c r="C1709" t="s">
        <v>605</v>
      </c>
      <c r="D1709" t="s">
        <v>606</v>
      </c>
      <c r="E1709" t="s">
        <v>910</v>
      </c>
      <c r="F1709" t="s">
        <v>908</v>
      </c>
      <c r="G1709">
        <v>938.4</v>
      </c>
      <c r="H1709">
        <v>432</v>
      </c>
      <c r="Q1709"/>
    </row>
    <row r="1710" spans="1:17" x14ac:dyDescent="0.25">
      <c r="A1710">
        <v>6</v>
      </c>
      <c r="B1710">
        <v>2016</v>
      </c>
      <c r="C1710" t="s">
        <v>605</v>
      </c>
      <c r="D1710" t="s">
        <v>606</v>
      </c>
      <c r="E1710" t="s">
        <v>911</v>
      </c>
      <c r="F1710" t="s">
        <v>912</v>
      </c>
      <c r="G1710">
        <v>70.8</v>
      </c>
      <c r="H1710">
        <v>12</v>
      </c>
      <c r="Q1710"/>
    </row>
    <row r="1711" spans="1:17" x14ac:dyDescent="0.25">
      <c r="A1711">
        <v>6</v>
      </c>
      <c r="B1711">
        <v>2016</v>
      </c>
      <c r="C1711" t="s">
        <v>605</v>
      </c>
      <c r="D1711" t="s">
        <v>606</v>
      </c>
      <c r="E1711" t="s">
        <v>613</v>
      </c>
      <c r="F1711" t="s">
        <v>614</v>
      </c>
      <c r="G1711">
        <v>1085.4000000000001</v>
      </c>
      <c r="H1711">
        <v>1079.73</v>
      </c>
      <c r="I1711">
        <v>1303.4000000000001</v>
      </c>
      <c r="J1711">
        <v>1306.3399999999999</v>
      </c>
      <c r="Q1711"/>
    </row>
    <row r="1712" spans="1:17" x14ac:dyDescent="0.25">
      <c r="A1712">
        <v>6</v>
      </c>
      <c r="B1712">
        <v>2016</v>
      </c>
      <c r="C1712" t="s">
        <v>605</v>
      </c>
      <c r="D1712" t="s">
        <v>606</v>
      </c>
      <c r="E1712" t="s">
        <v>615</v>
      </c>
      <c r="F1712" t="s">
        <v>614</v>
      </c>
      <c r="G1712">
        <v>548.79999999999995</v>
      </c>
      <c r="H1712">
        <v>480.24</v>
      </c>
      <c r="I1712">
        <v>880.27</v>
      </c>
      <c r="J1712">
        <v>787.06</v>
      </c>
      <c r="Q1712"/>
    </row>
    <row r="1713" spans="1:17" x14ac:dyDescent="0.25">
      <c r="A1713">
        <v>6</v>
      </c>
      <c r="B1713">
        <v>2016</v>
      </c>
      <c r="C1713" t="s">
        <v>605</v>
      </c>
      <c r="D1713" t="s">
        <v>606</v>
      </c>
      <c r="E1713" t="s">
        <v>616</v>
      </c>
      <c r="F1713" t="s">
        <v>617</v>
      </c>
      <c r="G1713">
        <v>368.55</v>
      </c>
      <c r="H1713">
        <v>279.93</v>
      </c>
      <c r="I1713">
        <v>1105.6500000000001</v>
      </c>
      <c r="J1713">
        <v>839.79</v>
      </c>
      <c r="Q1713"/>
    </row>
    <row r="1714" spans="1:17" x14ac:dyDescent="0.25">
      <c r="A1714">
        <v>6</v>
      </c>
      <c r="B1714">
        <v>2016</v>
      </c>
      <c r="C1714" t="s">
        <v>605</v>
      </c>
      <c r="D1714" t="s">
        <v>606</v>
      </c>
      <c r="E1714" t="s">
        <v>618</v>
      </c>
      <c r="F1714" t="s">
        <v>617</v>
      </c>
      <c r="G1714">
        <v>956.16</v>
      </c>
      <c r="H1714">
        <v>653.66</v>
      </c>
      <c r="I1714">
        <v>627.48</v>
      </c>
      <c r="J1714">
        <v>426.88</v>
      </c>
      <c r="Q1714"/>
    </row>
    <row r="1715" spans="1:17" x14ac:dyDescent="0.25">
      <c r="A1715">
        <v>6</v>
      </c>
      <c r="B1715">
        <v>2016</v>
      </c>
      <c r="C1715" t="s">
        <v>621</v>
      </c>
      <c r="D1715" t="s">
        <v>622</v>
      </c>
      <c r="E1715" t="s">
        <v>623</v>
      </c>
      <c r="F1715" t="s">
        <v>624</v>
      </c>
      <c r="G1715">
        <v>742.5</v>
      </c>
      <c r="H1715">
        <v>198</v>
      </c>
      <c r="I1715">
        <v>399.6</v>
      </c>
      <c r="J1715">
        <v>108</v>
      </c>
      <c r="Q1715"/>
    </row>
    <row r="1716" spans="1:17" x14ac:dyDescent="0.25">
      <c r="A1716">
        <v>6</v>
      </c>
      <c r="B1716">
        <v>2016</v>
      </c>
      <c r="C1716" t="s">
        <v>621</v>
      </c>
      <c r="D1716" t="s">
        <v>622</v>
      </c>
      <c r="E1716" t="s">
        <v>625</v>
      </c>
      <c r="F1716" t="s">
        <v>624</v>
      </c>
      <c r="G1716">
        <v>517.5</v>
      </c>
      <c r="H1716">
        <v>144</v>
      </c>
      <c r="I1716">
        <v>333</v>
      </c>
      <c r="J1716">
        <v>90</v>
      </c>
      <c r="Q1716"/>
    </row>
    <row r="1717" spans="1:17" x14ac:dyDescent="0.25">
      <c r="A1717">
        <v>6</v>
      </c>
      <c r="B1717">
        <v>2016</v>
      </c>
      <c r="C1717" t="s">
        <v>621</v>
      </c>
      <c r="D1717" t="s">
        <v>622</v>
      </c>
      <c r="E1717" t="s">
        <v>844</v>
      </c>
      <c r="F1717" t="s">
        <v>624</v>
      </c>
      <c r="G1717">
        <v>90</v>
      </c>
      <c r="H1717">
        <v>24</v>
      </c>
      <c r="Q1717"/>
    </row>
    <row r="1718" spans="1:17" x14ac:dyDescent="0.25">
      <c r="A1718">
        <v>6</v>
      </c>
      <c r="B1718">
        <v>2016</v>
      </c>
      <c r="C1718" t="s">
        <v>630</v>
      </c>
      <c r="D1718" t="s">
        <v>631</v>
      </c>
      <c r="E1718" t="s">
        <v>632</v>
      </c>
      <c r="F1718" t="s">
        <v>633</v>
      </c>
      <c r="G1718">
        <v>40.200000000000003</v>
      </c>
      <c r="H1718">
        <v>6</v>
      </c>
      <c r="I1718">
        <v>520.79999999999995</v>
      </c>
      <c r="J1718">
        <v>84</v>
      </c>
      <c r="Q1718"/>
    </row>
    <row r="1719" spans="1:17" x14ac:dyDescent="0.25">
      <c r="A1719">
        <v>6</v>
      </c>
      <c r="B1719">
        <v>2016</v>
      </c>
      <c r="C1719" t="s">
        <v>630</v>
      </c>
      <c r="D1719" t="s">
        <v>631</v>
      </c>
      <c r="E1719" t="s">
        <v>636</v>
      </c>
      <c r="F1719" t="s">
        <v>637</v>
      </c>
      <c r="G1719">
        <v>999.6</v>
      </c>
      <c r="H1719">
        <v>270</v>
      </c>
      <c r="I1719">
        <v>126</v>
      </c>
      <c r="J1719">
        <v>30</v>
      </c>
      <c r="Q1719"/>
    </row>
    <row r="1720" spans="1:17" x14ac:dyDescent="0.25">
      <c r="A1720">
        <v>6</v>
      </c>
      <c r="B1720">
        <v>2016</v>
      </c>
      <c r="C1720" t="s">
        <v>630</v>
      </c>
      <c r="D1720" t="s">
        <v>631</v>
      </c>
      <c r="E1720" t="s">
        <v>783</v>
      </c>
      <c r="F1720" t="s">
        <v>784</v>
      </c>
      <c r="G1720">
        <v>246</v>
      </c>
      <c r="H1720">
        <v>72</v>
      </c>
      <c r="Q1720"/>
    </row>
    <row r="1721" spans="1:17" x14ac:dyDescent="0.25">
      <c r="A1721">
        <v>6</v>
      </c>
      <c r="B1721">
        <v>2016</v>
      </c>
      <c r="C1721" t="s">
        <v>638</v>
      </c>
      <c r="D1721" t="s">
        <v>639</v>
      </c>
      <c r="E1721" t="s">
        <v>640</v>
      </c>
      <c r="F1721" t="s">
        <v>641</v>
      </c>
      <c r="G1721">
        <v>864.45</v>
      </c>
      <c r="H1721">
        <v>813.74</v>
      </c>
      <c r="I1721">
        <v>706.8</v>
      </c>
      <c r="J1721">
        <v>633.65</v>
      </c>
      <c r="Q1721"/>
    </row>
    <row r="1722" spans="1:17" x14ac:dyDescent="0.25">
      <c r="A1722">
        <v>6</v>
      </c>
      <c r="B1722">
        <v>2016</v>
      </c>
      <c r="C1722" t="s">
        <v>638</v>
      </c>
      <c r="D1722" t="s">
        <v>639</v>
      </c>
      <c r="E1722" t="s">
        <v>642</v>
      </c>
      <c r="F1722" t="s">
        <v>641</v>
      </c>
      <c r="G1722">
        <v>987.9</v>
      </c>
      <c r="H1722">
        <v>1013.08</v>
      </c>
      <c r="I1722">
        <v>1908</v>
      </c>
      <c r="J1722">
        <v>1946.18</v>
      </c>
      <c r="Q1722"/>
    </row>
    <row r="1723" spans="1:17" x14ac:dyDescent="0.25">
      <c r="A1723">
        <v>6</v>
      </c>
      <c r="B1723">
        <v>2016</v>
      </c>
      <c r="C1723" t="s">
        <v>638</v>
      </c>
      <c r="D1723" t="s">
        <v>639</v>
      </c>
      <c r="E1723" t="s">
        <v>643</v>
      </c>
      <c r="F1723" t="s">
        <v>644</v>
      </c>
      <c r="G1723">
        <v>2187.9</v>
      </c>
      <c r="H1723">
        <v>1974.32</v>
      </c>
      <c r="I1723">
        <v>2652.4</v>
      </c>
      <c r="J1723">
        <v>2374.52</v>
      </c>
      <c r="Q1723"/>
    </row>
    <row r="1724" spans="1:17" x14ac:dyDescent="0.25">
      <c r="A1724">
        <v>6</v>
      </c>
      <c r="B1724">
        <v>2016</v>
      </c>
      <c r="C1724" t="s">
        <v>638</v>
      </c>
      <c r="D1724" t="s">
        <v>639</v>
      </c>
      <c r="E1724" t="s">
        <v>645</v>
      </c>
      <c r="F1724" t="s">
        <v>644</v>
      </c>
      <c r="G1724">
        <v>4098.45</v>
      </c>
      <c r="H1724">
        <v>4118.97</v>
      </c>
      <c r="I1724">
        <v>3325.75</v>
      </c>
      <c r="J1724">
        <v>3359.16</v>
      </c>
      <c r="Q1724"/>
    </row>
    <row r="1725" spans="1:17" x14ac:dyDescent="0.25">
      <c r="A1725">
        <v>6</v>
      </c>
      <c r="B1725">
        <v>2016</v>
      </c>
      <c r="C1725" t="s">
        <v>638</v>
      </c>
      <c r="D1725" t="s">
        <v>639</v>
      </c>
      <c r="E1725" t="s">
        <v>646</v>
      </c>
      <c r="F1725" t="s">
        <v>647</v>
      </c>
      <c r="G1725">
        <v>2236.8000000000002</v>
      </c>
      <c r="H1725">
        <v>954</v>
      </c>
      <c r="I1725">
        <v>835.2</v>
      </c>
      <c r="J1725">
        <v>354</v>
      </c>
      <c r="Q1725"/>
    </row>
    <row r="1726" spans="1:17" x14ac:dyDescent="0.25">
      <c r="A1726">
        <v>6</v>
      </c>
      <c r="B1726">
        <v>2016</v>
      </c>
      <c r="C1726" t="s">
        <v>638</v>
      </c>
      <c r="D1726" t="s">
        <v>639</v>
      </c>
      <c r="E1726" t="s">
        <v>648</v>
      </c>
      <c r="F1726" t="s">
        <v>649</v>
      </c>
      <c r="G1726">
        <v>201.6</v>
      </c>
      <c r="H1726">
        <v>36</v>
      </c>
      <c r="I1726">
        <v>-63.96</v>
      </c>
      <c r="J1726">
        <v>6</v>
      </c>
      <c r="Q1726"/>
    </row>
    <row r="1727" spans="1:17" x14ac:dyDescent="0.25">
      <c r="A1727">
        <v>6</v>
      </c>
      <c r="B1727">
        <v>2016</v>
      </c>
      <c r="C1727" t="s">
        <v>638</v>
      </c>
      <c r="D1727" t="s">
        <v>639</v>
      </c>
      <c r="E1727" t="s">
        <v>650</v>
      </c>
      <c r="F1727" t="s">
        <v>651</v>
      </c>
      <c r="G1727">
        <v>695.4</v>
      </c>
      <c r="H1727">
        <v>228</v>
      </c>
      <c r="I1727">
        <v>249.6</v>
      </c>
      <c r="J1727">
        <v>78</v>
      </c>
      <c r="Q1727"/>
    </row>
    <row r="1728" spans="1:17" x14ac:dyDescent="0.25">
      <c r="A1728">
        <v>6</v>
      </c>
      <c r="B1728">
        <v>2016</v>
      </c>
      <c r="C1728" t="s">
        <v>638</v>
      </c>
      <c r="D1728" t="s">
        <v>639</v>
      </c>
      <c r="E1728" t="s">
        <v>785</v>
      </c>
      <c r="F1728" t="s">
        <v>653</v>
      </c>
      <c r="G1728">
        <v>1581</v>
      </c>
      <c r="H1728">
        <v>1133.05</v>
      </c>
      <c r="I1728">
        <v>1134.5999999999999</v>
      </c>
      <c r="J1728">
        <v>813.13</v>
      </c>
      <c r="Q1728"/>
    </row>
    <row r="1729" spans="1:17" x14ac:dyDescent="0.25">
      <c r="A1729">
        <v>6</v>
      </c>
      <c r="B1729">
        <v>2016</v>
      </c>
      <c r="C1729" t="s">
        <v>638</v>
      </c>
      <c r="D1729" t="s">
        <v>639</v>
      </c>
      <c r="E1729" t="s">
        <v>652</v>
      </c>
      <c r="F1729" t="s">
        <v>653</v>
      </c>
      <c r="G1729">
        <v>424.2</v>
      </c>
      <c r="H1729">
        <v>280.14</v>
      </c>
      <c r="I1729">
        <v>434.3</v>
      </c>
      <c r="J1729">
        <v>313.49</v>
      </c>
      <c r="Q1729"/>
    </row>
    <row r="1730" spans="1:17" x14ac:dyDescent="0.25">
      <c r="A1730">
        <v>6</v>
      </c>
      <c r="B1730">
        <v>2016</v>
      </c>
      <c r="C1730" t="s">
        <v>638</v>
      </c>
      <c r="D1730" t="s">
        <v>639</v>
      </c>
      <c r="E1730" t="s">
        <v>654</v>
      </c>
      <c r="F1730" t="s">
        <v>655</v>
      </c>
      <c r="G1730">
        <v>481.8</v>
      </c>
      <c r="H1730">
        <v>132</v>
      </c>
      <c r="I1730">
        <v>432</v>
      </c>
      <c r="J1730">
        <v>120</v>
      </c>
      <c r="Q1730"/>
    </row>
    <row r="1731" spans="1:17" x14ac:dyDescent="0.25">
      <c r="A1731">
        <v>6</v>
      </c>
      <c r="B1731">
        <v>2016</v>
      </c>
      <c r="C1731" t="s">
        <v>638</v>
      </c>
      <c r="D1731" t="s">
        <v>639</v>
      </c>
      <c r="E1731" t="s">
        <v>656</v>
      </c>
      <c r="F1731" t="s">
        <v>657</v>
      </c>
      <c r="G1731">
        <v>92.4</v>
      </c>
      <c r="H1731">
        <v>24</v>
      </c>
      <c r="I1731">
        <v>0</v>
      </c>
      <c r="J1731">
        <v>6</v>
      </c>
      <c r="Q1731"/>
    </row>
    <row r="1732" spans="1:17" x14ac:dyDescent="0.25">
      <c r="A1732">
        <v>6</v>
      </c>
      <c r="B1732">
        <v>2016</v>
      </c>
      <c r="C1732" t="s">
        <v>638</v>
      </c>
      <c r="D1732" t="s">
        <v>639</v>
      </c>
      <c r="E1732" t="s">
        <v>658</v>
      </c>
      <c r="F1732" t="s">
        <v>659</v>
      </c>
      <c r="G1732">
        <v>648</v>
      </c>
      <c r="H1732">
        <v>222</v>
      </c>
      <c r="I1732">
        <v>738</v>
      </c>
      <c r="J1732">
        <v>246</v>
      </c>
      <c r="Q1732"/>
    </row>
    <row r="1733" spans="1:17" x14ac:dyDescent="0.25">
      <c r="A1733">
        <v>6</v>
      </c>
      <c r="B1733">
        <v>2016</v>
      </c>
      <c r="C1733" t="s">
        <v>638</v>
      </c>
      <c r="D1733" t="s">
        <v>639</v>
      </c>
      <c r="E1733" t="s">
        <v>660</v>
      </c>
      <c r="F1733" t="s">
        <v>661</v>
      </c>
      <c r="G1733">
        <v>136.5</v>
      </c>
      <c r="H1733">
        <v>42</v>
      </c>
      <c r="Q1733"/>
    </row>
    <row r="1734" spans="1:17" x14ac:dyDescent="0.25">
      <c r="A1734">
        <v>6</v>
      </c>
      <c r="B1734">
        <v>2016</v>
      </c>
      <c r="C1734" t="s">
        <v>638</v>
      </c>
      <c r="D1734" t="s">
        <v>639</v>
      </c>
      <c r="E1734" t="s">
        <v>786</v>
      </c>
      <c r="F1734" t="s">
        <v>787</v>
      </c>
      <c r="G1734">
        <v>227.04</v>
      </c>
      <c r="H1734">
        <v>66</v>
      </c>
      <c r="I1734">
        <v>61.92</v>
      </c>
      <c r="J1734">
        <v>18</v>
      </c>
      <c r="Q1734"/>
    </row>
    <row r="1735" spans="1:17" x14ac:dyDescent="0.25">
      <c r="A1735">
        <v>6</v>
      </c>
      <c r="B1735">
        <v>2016</v>
      </c>
      <c r="C1735" t="s">
        <v>638</v>
      </c>
      <c r="D1735" t="s">
        <v>639</v>
      </c>
      <c r="E1735" t="s">
        <v>913</v>
      </c>
      <c r="F1735" t="s">
        <v>914</v>
      </c>
      <c r="G1735">
        <v>49.5</v>
      </c>
      <c r="H1735">
        <v>46.69</v>
      </c>
      <c r="Q1735"/>
    </row>
    <row r="1736" spans="1:17" x14ac:dyDescent="0.25">
      <c r="A1736">
        <v>6</v>
      </c>
      <c r="B1736">
        <v>2016</v>
      </c>
      <c r="C1736" t="s">
        <v>638</v>
      </c>
      <c r="D1736" t="s">
        <v>639</v>
      </c>
      <c r="E1736" t="s">
        <v>915</v>
      </c>
      <c r="F1736" t="s">
        <v>916</v>
      </c>
      <c r="G1736">
        <v>150</v>
      </c>
      <c r="H1736">
        <v>108</v>
      </c>
      <c r="Q1736"/>
    </row>
    <row r="1737" spans="1:17" x14ac:dyDescent="0.25">
      <c r="A1737">
        <v>6</v>
      </c>
      <c r="B1737">
        <v>2016</v>
      </c>
      <c r="C1737" t="s">
        <v>638</v>
      </c>
      <c r="D1737" t="s">
        <v>639</v>
      </c>
      <c r="E1737" t="s">
        <v>845</v>
      </c>
      <c r="F1737" t="s">
        <v>846</v>
      </c>
      <c r="G1737">
        <v>116.15</v>
      </c>
      <c r="H1737">
        <v>92</v>
      </c>
      <c r="Q1737"/>
    </row>
    <row r="1738" spans="1:17" x14ac:dyDescent="0.25">
      <c r="A1738">
        <v>6</v>
      </c>
      <c r="B1738">
        <v>2016</v>
      </c>
      <c r="C1738" t="s">
        <v>638</v>
      </c>
      <c r="D1738" t="s">
        <v>639</v>
      </c>
      <c r="E1738" t="s">
        <v>662</v>
      </c>
      <c r="F1738" t="s">
        <v>663</v>
      </c>
      <c r="G1738">
        <v>26.4</v>
      </c>
      <c r="H1738">
        <v>16</v>
      </c>
      <c r="Q1738"/>
    </row>
    <row r="1739" spans="1:17" x14ac:dyDescent="0.25">
      <c r="A1739">
        <v>6</v>
      </c>
      <c r="B1739">
        <v>2016</v>
      </c>
      <c r="C1739" t="s">
        <v>638</v>
      </c>
      <c r="D1739" t="s">
        <v>639</v>
      </c>
      <c r="E1739" t="s">
        <v>664</v>
      </c>
      <c r="F1739" t="s">
        <v>665</v>
      </c>
      <c r="G1739">
        <v>403.2</v>
      </c>
      <c r="H1739">
        <v>210</v>
      </c>
      <c r="I1739">
        <v>319.2</v>
      </c>
      <c r="J1739">
        <v>186</v>
      </c>
      <c r="Q1739"/>
    </row>
    <row r="1740" spans="1:17" x14ac:dyDescent="0.25">
      <c r="A1740">
        <v>6</v>
      </c>
      <c r="B1740">
        <v>2016</v>
      </c>
      <c r="C1740" t="s">
        <v>638</v>
      </c>
      <c r="D1740" t="s">
        <v>639</v>
      </c>
      <c r="E1740" t="s">
        <v>666</v>
      </c>
      <c r="F1740" t="s">
        <v>665</v>
      </c>
      <c r="G1740">
        <v>867.84</v>
      </c>
      <c r="H1740">
        <v>468</v>
      </c>
      <c r="I1740">
        <v>980.4</v>
      </c>
      <c r="J1740">
        <v>540</v>
      </c>
      <c r="Q1740"/>
    </row>
    <row r="1741" spans="1:17" x14ac:dyDescent="0.25">
      <c r="A1741">
        <v>6</v>
      </c>
      <c r="B1741">
        <v>2016</v>
      </c>
      <c r="C1741" t="s">
        <v>638</v>
      </c>
      <c r="D1741" t="s">
        <v>639</v>
      </c>
      <c r="E1741" t="s">
        <v>976</v>
      </c>
      <c r="F1741" t="s">
        <v>977</v>
      </c>
      <c r="G1741">
        <v>0</v>
      </c>
      <c r="H1741">
        <v>-6</v>
      </c>
      <c r="Q1741"/>
    </row>
    <row r="1742" spans="1:17" x14ac:dyDescent="0.25">
      <c r="A1742">
        <v>6</v>
      </c>
      <c r="B1742">
        <v>2016</v>
      </c>
      <c r="C1742" t="s">
        <v>638</v>
      </c>
      <c r="D1742" t="s">
        <v>639</v>
      </c>
      <c r="E1742" t="s">
        <v>847</v>
      </c>
      <c r="F1742" t="s">
        <v>848</v>
      </c>
      <c r="G1742">
        <v>92.16</v>
      </c>
      <c r="H1742">
        <v>66</v>
      </c>
      <c r="Q1742"/>
    </row>
    <row r="1743" spans="1:17" x14ac:dyDescent="0.25">
      <c r="A1743">
        <v>6</v>
      </c>
      <c r="B1743">
        <v>2016</v>
      </c>
      <c r="C1743" t="s">
        <v>667</v>
      </c>
      <c r="D1743" t="s">
        <v>668</v>
      </c>
      <c r="E1743" t="s">
        <v>669</v>
      </c>
      <c r="F1743" t="s">
        <v>670</v>
      </c>
      <c r="G1743">
        <v>62.1</v>
      </c>
      <c r="H1743">
        <v>30</v>
      </c>
      <c r="I1743">
        <v>146.88</v>
      </c>
      <c r="J1743">
        <v>72</v>
      </c>
      <c r="Q1743"/>
    </row>
    <row r="1744" spans="1:17" x14ac:dyDescent="0.25">
      <c r="A1744">
        <v>6</v>
      </c>
      <c r="B1744">
        <v>2016</v>
      </c>
      <c r="C1744" t="s">
        <v>667</v>
      </c>
      <c r="D1744" t="s">
        <v>668</v>
      </c>
      <c r="E1744" t="s">
        <v>671</v>
      </c>
      <c r="F1744" t="s">
        <v>670</v>
      </c>
      <c r="G1744">
        <v>706.38</v>
      </c>
      <c r="H1744">
        <v>354</v>
      </c>
      <c r="I1744">
        <v>771.12</v>
      </c>
      <c r="J1744">
        <v>378</v>
      </c>
      <c r="Q1744"/>
    </row>
    <row r="1745" spans="1:17" x14ac:dyDescent="0.25">
      <c r="A1745">
        <v>6</v>
      </c>
      <c r="B1745">
        <v>2016</v>
      </c>
      <c r="C1745" t="s">
        <v>667</v>
      </c>
      <c r="D1745" t="s">
        <v>668</v>
      </c>
      <c r="E1745" t="s">
        <v>672</v>
      </c>
      <c r="F1745" t="s">
        <v>670</v>
      </c>
      <c r="G1745">
        <v>86.94</v>
      </c>
      <c r="H1745">
        <v>48</v>
      </c>
      <c r="I1745">
        <v>134.63999999999999</v>
      </c>
      <c r="J1745">
        <v>66</v>
      </c>
      <c r="Q1745"/>
    </row>
    <row r="1746" spans="1:17" x14ac:dyDescent="0.25">
      <c r="A1746">
        <v>6</v>
      </c>
      <c r="B1746">
        <v>2016</v>
      </c>
      <c r="C1746" t="s">
        <v>667</v>
      </c>
      <c r="D1746" t="s">
        <v>668</v>
      </c>
      <c r="E1746" t="s">
        <v>673</v>
      </c>
      <c r="F1746" t="s">
        <v>674</v>
      </c>
      <c r="G1746">
        <v>0</v>
      </c>
      <c r="H1746">
        <v>6</v>
      </c>
      <c r="Q1746"/>
    </row>
    <row r="1747" spans="1:17" x14ac:dyDescent="0.25">
      <c r="A1747">
        <v>6</v>
      </c>
      <c r="B1747">
        <v>2016</v>
      </c>
      <c r="C1747" t="s">
        <v>667</v>
      </c>
      <c r="D1747" t="s">
        <v>668</v>
      </c>
      <c r="E1747" t="s">
        <v>677</v>
      </c>
      <c r="F1747" t="s">
        <v>678</v>
      </c>
      <c r="G1747">
        <v>0</v>
      </c>
      <c r="H1747">
        <v>78</v>
      </c>
      <c r="I1747">
        <v>117.72</v>
      </c>
      <c r="J1747">
        <v>60</v>
      </c>
      <c r="Q1747"/>
    </row>
    <row r="1748" spans="1:17" x14ac:dyDescent="0.25">
      <c r="A1748">
        <v>6</v>
      </c>
      <c r="B1748">
        <v>2016</v>
      </c>
      <c r="C1748" t="s">
        <v>667</v>
      </c>
      <c r="D1748" t="s">
        <v>668</v>
      </c>
      <c r="E1748" t="s">
        <v>849</v>
      </c>
      <c r="F1748" t="s">
        <v>850</v>
      </c>
      <c r="G1748">
        <v>0</v>
      </c>
      <c r="H1748">
        <v>246</v>
      </c>
      <c r="I1748">
        <v>0</v>
      </c>
      <c r="J1748">
        <v>6</v>
      </c>
      <c r="Q1748"/>
    </row>
    <row r="1749" spans="1:17" x14ac:dyDescent="0.25">
      <c r="A1749">
        <v>6</v>
      </c>
      <c r="B1749">
        <v>2016</v>
      </c>
      <c r="C1749" t="s">
        <v>667</v>
      </c>
      <c r="D1749" t="s">
        <v>668</v>
      </c>
      <c r="E1749" t="s">
        <v>679</v>
      </c>
      <c r="F1749" t="s">
        <v>680</v>
      </c>
      <c r="G1749">
        <v>133.5</v>
      </c>
      <c r="H1749">
        <v>106.72</v>
      </c>
      <c r="I1749">
        <v>293.7</v>
      </c>
      <c r="J1749">
        <v>240.12</v>
      </c>
      <c r="Q1749"/>
    </row>
    <row r="1750" spans="1:17" x14ac:dyDescent="0.25">
      <c r="A1750">
        <v>6</v>
      </c>
      <c r="B1750">
        <v>2016</v>
      </c>
      <c r="C1750" t="s">
        <v>667</v>
      </c>
      <c r="D1750" t="s">
        <v>668</v>
      </c>
      <c r="E1750" t="s">
        <v>851</v>
      </c>
      <c r="F1750" t="s">
        <v>852</v>
      </c>
      <c r="G1750">
        <v>0</v>
      </c>
      <c r="H1750">
        <v>36</v>
      </c>
      <c r="Q1750"/>
    </row>
    <row r="1751" spans="1:17" x14ac:dyDescent="0.25">
      <c r="A1751">
        <v>6</v>
      </c>
      <c r="B1751">
        <v>2016</v>
      </c>
      <c r="C1751" t="s">
        <v>667</v>
      </c>
      <c r="D1751" t="s">
        <v>668</v>
      </c>
      <c r="E1751" t="s">
        <v>853</v>
      </c>
      <c r="F1751" t="s">
        <v>852</v>
      </c>
      <c r="G1751">
        <v>0</v>
      </c>
      <c r="H1751">
        <v>48</v>
      </c>
      <c r="Q1751"/>
    </row>
    <row r="1752" spans="1:17" x14ac:dyDescent="0.25">
      <c r="A1752">
        <v>6</v>
      </c>
      <c r="B1752">
        <v>2016</v>
      </c>
      <c r="C1752" t="s">
        <v>667</v>
      </c>
      <c r="D1752" t="s">
        <v>668</v>
      </c>
      <c r="E1752" t="s">
        <v>788</v>
      </c>
      <c r="F1752" t="s">
        <v>789</v>
      </c>
      <c r="G1752">
        <v>0</v>
      </c>
      <c r="H1752">
        <v>6.67</v>
      </c>
      <c r="I1752">
        <v>108.9</v>
      </c>
      <c r="J1752">
        <v>86.71</v>
      </c>
      <c r="Q1752"/>
    </row>
    <row r="1753" spans="1:17" x14ac:dyDescent="0.25">
      <c r="A1753">
        <v>6</v>
      </c>
      <c r="B1753">
        <v>2016</v>
      </c>
      <c r="C1753" t="s">
        <v>681</v>
      </c>
      <c r="D1753" t="s">
        <v>682</v>
      </c>
      <c r="E1753" t="s">
        <v>683</v>
      </c>
      <c r="F1753" t="s">
        <v>684</v>
      </c>
      <c r="G1753">
        <v>445.5</v>
      </c>
      <c r="H1753">
        <v>198</v>
      </c>
      <c r="I1753">
        <v>-184.8</v>
      </c>
      <c r="J1753">
        <v>-84</v>
      </c>
      <c r="Q1753"/>
    </row>
    <row r="1754" spans="1:17" x14ac:dyDescent="0.25">
      <c r="A1754">
        <v>6</v>
      </c>
      <c r="B1754">
        <v>2016</v>
      </c>
      <c r="C1754" t="s">
        <v>681</v>
      </c>
      <c r="D1754" t="s">
        <v>682</v>
      </c>
      <c r="E1754" t="s">
        <v>685</v>
      </c>
      <c r="F1754" t="s">
        <v>686</v>
      </c>
      <c r="G1754">
        <v>43.2</v>
      </c>
      <c r="H1754">
        <v>18</v>
      </c>
      <c r="I1754">
        <v>28.2</v>
      </c>
      <c r="J1754">
        <v>12</v>
      </c>
      <c r="Q1754"/>
    </row>
    <row r="1755" spans="1:17" x14ac:dyDescent="0.25">
      <c r="A1755">
        <v>6</v>
      </c>
      <c r="B1755">
        <v>2016</v>
      </c>
      <c r="C1755" t="s">
        <v>681</v>
      </c>
      <c r="D1755" t="s">
        <v>682</v>
      </c>
      <c r="E1755" t="s">
        <v>687</v>
      </c>
      <c r="F1755" t="s">
        <v>688</v>
      </c>
      <c r="G1755">
        <v>133.19999999999999</v>
      </c>
      <c r="H1755">
        <v>36</v>
      </c>
      <c r="I1755">
        <v>21.9</v>
      </c>
      <c r="J1755">
        <v>6</v>
      </c>
      <c r="Q1755"/>
    </row>
    <row r="1756" spans="1:17" x14ac:dyDescent="0.25">
      <c r="A1756">
        <v>6</v>
      </c>
      <c r="B1756">
        <v>2016</v>
      </c>
      <c r="C1756" t="s">
        <v>790</v>
      </c>
      <c r="D1756" t="s">
        <v>791</v>
      </c>
      <c r="E1756" t="s">
        <v>978</v>
      </c>
      <c r="F1756" t="s">
        <v>979</v>
      </c>
      <c r="G1756">
        <v>67.56</v>
      </c>
      <c r="H1756">
        <v>12</v>
      </c>
      <c r="Q1756"/>
    </row>
    <row r="1757" spans="1:17" x14ac:dyDescent="0.25">
      <c r="A1757">
        <v>6</v>
      </c>
      <c r="B1757">
        <v>2016</v>
      </c>
      <c r="C1757" t="s">
        <v>691</v>
      </c>
      <c r="D1757" t="s">
        <v>692</v>
      </c>
      <c r="E1757" t="s">
        <v>693</v>
      </c>
      <c r="F1757" t="s">
        <v>694</v>
      </c>
      <c r="G1757">
        <v>135</v>
      </c>
      <c r="H1757">
        <v>30</v>
      </c>
      <c r="Q1757"/>
    </row>
    <row r="1758" spans="1:17" x14ac:dyDescent="0.25">
      <c r="A1758">
        <v>6</v>
      </c>
      <c r="B1758">
        <v>2016</v>
      </c>
      <c r="C1758" t="s">
        <v>691</v>
      </c>
      <c r="D1758" t="s">
        <v>692</v>
      </c>
      <c r="E1758" t="s">
        <v>695</v>
      </c>
      <c r="F1758" t="s">
        <v>696</v>
      </c>
      <c r="G1758">
        <v>0</v>
      </c>
      <c r="H1758">
        <v>6</v>
      </c>
      <c r="Q1758"/>
    </row>
    <row r="1759" spans="1:17" x14ac:dyDescent="0.25">
      <c r="A1759">
        <v>6</v>
      </c>
      <c r="B1759">
        <v>2016</v>
      </c>
      <c r="C1759" t="s">
        <v>691</v>
      </c>
      <c r="D1759" t="s">
        <v>692</v>
      </c>
      <c r="E1759" t="s">
        <v>699</v>
      </c>
      <c r="F1759" t="s">
        <v>700</v>
      </c>
      <c r="G1759">
        <v>296.39999999999998</v>
      </c>
      <c r="H1759">
        <v>78</v>
      </c>
      <c r="Q1759"/>
    </row>
    <row r="1760" spans="1:17" x14ac:dyDescent="0.25">
      <c r="A1760">
        <v>7</v>
      </c>
      <c r="B1760">
        <v>2016</v>
      </c>
      <c r="C1760" t="s">
        <v>47</v>
      </c>
      <c r="D1760" t="s">
        <v>48</v>
      </c>
      <c r="E1760" t="s">
        <v>49</v>
      </c>
      <c r="F1760" t="s">
        <v>50</v>
      </c>
      <c r="G1760">
        <v>4511.6400000000003</v>
      </c>
      <c r="H1760">
        <v>3855.2599999999998</v>
      </c>
      <c r="I1760">
        <v>5103</v>
      </c>
      <c r="J1760">
        <v>4528.93</v>
      </c>
      <c r="Q1760"/>
    </row>
    <row r="1761" spans="1:17" x14ac:dyDescent="0.25">
      <c r="A1761">
        <v>7</v>
      </c>
      <c r="B1761">
        <v>2016</v>
      </c>
      <c r="C1761" t="s">
        <v>47</v>
      </c>
      <c r="D1761" t="s">
        <v>48</v>
      </c>
      <c r="E1761" t="s">
        <v>51</v>
      </c>
      <c r="F1761" t="s">
        <v>52</v>
      </c>
      <c r="G1761">
        <v>13780</v>
      </c>
      <c r="H1761">
        <v>13423.31</v>
      </c>
      <c r="I1761">
        <v>17211.75</v>
      </c>
      <c r="J1761">
        <v>17355.66</v>
      </c>
      <c r="Q1761"/>
    </row>
    <row r="1762" spans="1:17" x14ac:dyDescent="0.25">
      <c r="A1762">
        <v>7</v>
      </c>
      <c r="B1762">
        <v>2016</v>
      </c>
      <c r="C1762" t="s">
        <v>47</v>
      </c>
      <c r="D1762" t="s">
        <v>48</v>
      </c>
      <c r="E1762" t="s">
        <v>53</v>
      </c>
      <c r="F1762" t="s">
        <v>54</v>
      </c>
      <c r="G1762">
        <v>7911.54</v>
      </c>
      <c r="H1762">
        <v>8491.2100000000009</v>
      </c>
      <c r="I1762">
        <v>6861.15</v>
      </c>
      <c r="J1762">
        <v>7771.39</v>
      </c>
      <c r="Q1762"/>
    </row>
    <row r="1763" spans="1:17" x14ac:dyDescent="0.25">
      <c r="A1763">
        <v>7</v>
      </c>
      <c r="B1763">
        <v>2016</v>
      </c>
      <c r="C1763" t="s">
        <v>47</v>
      </c>
      <c r="D1763" t="s">
        <v>48</v>
      </c>
      <c r="E1763" t="s">
        <v>55</v>
      </c>
      <c r="F1763" t="s">
        <v>54</v>
      </c>
      <c r="G1763">
        <v>2098.5</v>
      </c>
      <c r="H1763">
        <v>2021.01</v>
      </c>
      <c r="I1763">
        <v>1981.02</v>
      </c>
      <c r="J1763">
        <v>1874.27</v>
      </c>
      <c r="Q1763"/>
    </row>
    <row r="1764" spans="1:17" x14ac:dyDescent="0.25">
      <c r="A1764">
        <v>7</v>
      </c>
      <c r="B1764">
        <v>2016</v>
      </c>
      <c r="C1764" t="s">
        <v>47</v>
      </c>
      <c r="D1764" t="s">
        <v>48</v>
      </c>
      <c r="E1764" t="s">
        <v>56</v>
      </c>
      <c r="F1764" t="s">
        <v>57</v>
      </c>
      <c r="G1764">
        <v>2636.76</v>
      </c>
      <c r="H1764">
        <v>2919.27</v>
      </c>
      <c r="I1764">
        <v>3172.92</v>
      </c>
      <c r="J1764">
        <v>3679.08</v>
      </c>
      <c r="Q1764"/>
    </row>
    <row r="1765" spans="1:17" x14ac:dyDescent="0.25">
      <c r="A1765">
        <v>7</v>
      </c>
      <c r="B1765">
        <v>2016</v>
      </c>
      <c r="C1765" t="s">
        <v>47</v>
      </c>
      <c r="D1765" t="s">
        <v>48</v>
      </c>
      <c r="E1765" t="s">
        <v>58</v>
      </c>
      <c r="F1765" t="s">
        <v>59</v>
      </c>
      <c r="G1765">
        <v>2037.6</v>
      </c>
      <c r="H1765">
        <v>2400.3000000000002</v>
      </c>
      <c r="I1765">
        <v>2453.8000000000002</v>
      </c>
      <c r="J1765">
        <v>2987.04</v>
      </c>
      <c r="Q1765"/>
    </row>
    <row r="1766" spans="1:17" x14ac:dyDescent="0.25">
      <c r="A1766">
        <v>7</v>
      </c>
      <c r="B1766">
        <v>2016</v>
      </c>
      <c r="C1766" t="s">
        <v>47</v>
      </c>
      <c r="D1766" t="s">
        <v>48</v>
      </c>
      <c r="E1766" t="s">
        <v>60</v>
      </c>
      <c r="F1766" t="s">
        <v>59</v>
      </c>
      <c r="G1766">
        <v>1360.74</v>
      </c>
      <c r="H1766">
        <v>1653.5400000000002</v>
      </c>
      <c r="I1766">
        <v>157.15</v>
      </c>
      <c r="J1766">
        <v>186.69</v>
      </c>
      <c r="Q1766"/>
    </row>
    <row r="1767" spans="1:17" x14ac:dyDescent="0.25">
      <c r="A1767">
        <v>7</v>
      </c>
      <c r="B1767">
        <v>2016</v>
      </c>
      <c r="C1767" t="s">
        <v>47</v>
      </c>
      <c r="D1767" t="s">
        <v>48</v>
      </c>
      <c r="E1767" t="s">
        <v>61</v>
      </c>
      <c r="F1767" t="s">
        <v>62</v>
      </c>
      <c r="G1767">
        <v>3197.7</v>
      </c>
      <c r="H1767">
        <v>2294.48</v>
      </c>
      <c r="I1767">
        <v>2931.04</v>
      </c>
      <c r="J1767">
        <v>2174.42</v>
      </c>
      <c r="Q1767"/>
    </row>
    <row r="1768" spans="1:17" x14ac:dyDescent="0.25">
      <c r="A1768">
        <v>7</v>
      </c>
      <c r="B1768">
        <v>2016</v>
      </c>
      <c r="C1768" t="s">
        <v>47</v>
      </c>
      <c r="D1768" t="s">
        <v>48</v>
      </c>
      <c r="E1768" t="s">
        <v>63</v>
      </c>
      <c r="F1768" t="s">
        <v>64</v>
      </c>
      <c r="G1768">
        <v>3617.39</v>
      </c>
      <c r="H1768">
        <v>2892.61</v>
      </c>
      <c r="I1768">
        <v>3559.6</v>
      </c>
      <c r="J1768">
        <v>2985.92</v>
      </c>
      <c r="Q1768"/>
    </row>
    <row r="1769" spans="1:17" x14ac:dyDescent="0.25">
      <c r="A1769">
        <v>7</v>
      </c>
      <c r="B1769">
        <v>2016</v>
      </c>
      <c r="C1769" t="s">
        <v>47</v>
      </c>
      <c r="D1769" t="s">
        <v>48</v>
      </c>
      <c r="E1769" t="s">
        <v>65</v>
      </c>
      <c r="F1769" t="s">
        <v>64</v>
      </c>
      <c r="G1769">
        <v>5534.44</v>
      </c>
      <c r="H1769">
        <v>4425.5600000000004</v>
      </c>
      <c r="I1769">
        <v>9384.4</v>
      </c>
      <c r="J1769">
        <v>7798.05</v>
      </c>
      <c r="Q1769"/>
    </row>
    <row r="1770" spans="1:17" x14ac:dyDescent="0.25">
      <c r="A1770">
        <v>7</v>
      </c>
      <c r="B1770">
        <v>2016</v>
      </c>
      <c r="C1770" t="s">
        <v>47</v>
      </c>
      <c r="D1770" t="s">
        <v>48</v>
      </c>
      <c r="E1770" t="s">
        <v>66</v>
      </c>
      <c r="F1770" t="s">
        <v>64</v>
      </c>
      <c r="G1770">
        <v>4983.8999999999996</v>
      </c>
      <c r="H1770">
        <v>3501.75</v>
      </c>
      <c r="I1770">
        <v>5221</v>
      </c>
      <c r="J1770">
        <v>3868.6</v>
      </c>
      <c r="Q1770"/>
    </row>
    <row r="1771" spans="1:17" x14ac:dyDescent="0.25">
      <c r="A1771">
        <v>7</v>
      </c>
      <c r="B1771">
        <v>2016</v>
      </c>
      <c r="C1771" t="s">
        <v>47</v>
      </c>
      <c r="D1771" t="s">
        <v>48</v>
      </c>
      <c r="E1771" t="s">
        <v>67</v>
      </c>
      <c r="F1771" t="s">
        <v>68</v>
      </c>
      <c r="G1771">
        <v>9899.84</v>
      </c>
      <c r="H1771">
        <v>10610.68</v>
      </c>
      <c r="I1771">
        <v>10500.88</v>
      </c>
      <c r="J1771">
        <v>11810.38</v>
      </c>
      <c r="Q1771"/>
    </row>
    <row r="1772" spans="1:17" x14ac:dyDescent="0.25">
      <c r="A1772">
        <v>7</v>
      </c>
      <c r="B1772">
        <v>2016</v>
      </c>
      <c r="C1772" t="s">
        <v>47</v>
      </c>
      <c r="D1772" t="s">
        <v>48</v>
      </c>
      <c r="E1772" t="s">
        <v>69</v>
      </c>
      <c r="F1772" t="s">
        <v>68</v>
      </c>
      <c r="G1772">
        <v>4468.45</v>
      </c>
      <c r="H1772">
        <v>3988.66</v>
      </c>
      <c r="I1772">
        <v>5582.5</v>
      </c>
      <c r="J1772">
        <v>5195.93</v>
      </c>
      <c r="Q1772"/>
    </row>
    <row r="1773" spans="1:17" x14ac:dyDescent="0.25">
      <c r="A1773">
        <v>7</v>
      </c>
      <c r="B1773">
        <v>2016</v>
      </c>
      <c r="C1773" t="s">
        <v>47</v>
      </c>
      <c r="D1773" t="s">
        <v>48</v>
      </c>
      <c r="E1773" t="s">
        <v>70</v>
      </c>
      <c r="F1773" t="s">
        <v>71</v>
      </c>
      <c r="G1773">
        <v>2435.3000000000002</v>
      </c>
      <c r="H1773">
        <v>1038</v>
      </c>
      <c r="I1773">
        <v>1339.2</v>
      </c>
      <c r="J1773">
        <v>558</v>
      </c>
      <c r="Q1773"/>
    </row>
    <row r="1774" spans="1:17" x14ac:dyDescent="0.25">
      <c r="A1774">
        <v>7</v>
      </c>
      <c r="B1774">
        <v>2016</v>
      </c>
      <c r="C1774" t="s">
        <v>47</v>
      </c>
      <c r="D1774" t="s">
        <v>48</v>
      </c>
      <c r="E1774" t="s">
        <v>74</v>
      </c>
      <c r="F1774" t="s">
        <v>75</v>
      </c>
      <c r="G1774">
        <v>105.48</v>
      </c>
      <c r="H1774">
        <v>36</v>
      </c>
      <c r="Q1774"/>
    </row>
    <row r="1775" spans="1:17" x14ac:dyDescent="0.25">
      <c r="A1775">
        <v>7</v>
      </c>
      <c r="B1775">
        <v>2016</v>
      </c>
      <c r="C1775" t="s">
        <v>47</v>
      </c>
      <c r="D1775" t="s">
        <v>48</v>
      </c>
      <c r="E1775" t="s">
        <v>78</v>
      </c>
      <c r="F1775" t="s">
        <v>73</v>
      </c>
      <c r="G1775">
        <v>229.95</v>
      </c>
      <c r="H1775">
        <v>108</v>
      </c>
      <c r="I1775">
        <v>904.47</v>
      </c>
      <c r="J1775">
        <v>426</v>
      </c>
      <c r="Q1775"/>
    </row>
    <row r="1776" spans="1:17" x14ac:dyDescent="0.25">
      <c r="A1776">
        <v>7</v>
      </c>
      <c r="B1776">
        <v>2016</v>
      </c>
      <c r="C1776" t="s">
        <v>47</v>
      </c>
      <c r="D1776" t="s">
        <v>48</v>
      </c>
      <c r="E1776" t="s">
        <v>79</v>
      </c>
      <c r="F1776" t="s">
        <v>80</v>
      </c>
      <c r="G1776">
        <v>271.92</v>
      </c>
      <c r="H1776">
        <v>132</v>
      </c>
      <c r="I1776">
        <v>220.86</v>
      </c>
      <c r="J1776">
        <v>108</v>
      </c>
      <c r="Q1776"/>
    </row>
    <row r="1777" spans="1:17" x14ac:dyDescent="0.25">
      <c r="A1777">
        <v>7</v>
      </c>
      <c r="B1777">
        <v>2016</v>
      </c>
      <c r="C1777" t="s">
        <v>47</v>
      </c>
      <c r="D1777" t="s">
        <v>48</v>
      </c>
      <c r="E1777" t="s">
        <v>81</v>
      </c>
      <c r="F1777" t="s">
        <v>82</v>
      </c>
      <c r="G1777">
        <v>1948</v>
      </c>
      <c r="H1777">
        <v>1080</v>
      </c>
      <c r="I1777">
        <v>547.91</v>
      </c>
      <c r="J1777">
        <v>312</v>
      </c>
      <c r="Q1777"/>
    </row>
    <row r="1778" spans="1:17" x14ac:dyDescent="0.25">
      <c r="A1778">
        <v>7</v>
      </c>
      <c r="B1778">
        <v>2016</v>
      </c>
      <c r="C1778" t="s">
        <v>47</v>
      </c>
      <c r="D1778" t="s">
        <v>48</v>
      </c>
      <c r="E1778" t="s">
        <v>83</v>
      </c>
      <c r="F1778" t="s">
        <v>84</v>
      </c>
      <c r="G1778">
        <v>6.6</v>
      </c>
      <c r="H1778">
        <v>4</v>
      </c>
      <c r="I1778">
        <v>37.380000000000003</v>
      </c>
      <c r="J1778">
        <v>24</v>
      </c>
      <c r="Q1778"/>
    </row>
    <row r="1779" spans="1:17" x14ac:dyDescent="0.25">
      <c r="A1779">
        <v>7</v>
      </c>
      <c r="B1779">
        <v>2016</v>
      </c>
      <c r="C1779" t="s">
        <v>47</v>
      </c>
      <c r="D1779" t="s">
        <v>48</v>
      </c>
      <c r="E1779" t="s">
        <v>85</v>
      </c>
      <c r="F1779" t="s">
        <v>84</v>
      </c>
      <c r="G1779">
        <v>39.6</v>
      </c>
      <c r="H1779">
        <v>24</v>
      </c>
      <c r="I1779">
        <v>249.2</v>
      </c>
      <c r="J1779">
        <v>160</v>
      </c>
      <c r="Q1779"/>
    </row>
    <row r="1780" spans="1:17" x14ac:dyDescent="0.25">
      <c r="A1780">
        <v>7</v>
      </c>
      <c r="B1780">
        <v>2016</v>
      </c>
      <c r="C1780" t="s">
        <v>47</v>
      </c>
      <c r="D1780" t="s">
        <v>48</v>
      </c>
      <c r="E1780" t="s">
        <v>86</v>
      </c>
      <c r="F1780" t="s">
        <v>84</v>
      </c>
      <c r="G1780">
        <v>39.6</v>
      </c>
      <c r="H1780">
        <v>24</v>
      </c>
      <c r="I1780">
        <v>74.760000000000005</v>
      </c>
      <c r="J1780">
        <v>52</v>
      </c>
      <c r="Q1780"/>
    </row>
    <row r="1781" spans="1:17" x14ac:dyDescent="0.25">
      <c r="A1781">
        <v>7</v>
      </c>
      <c r="B1781">
        <v>2016</v>
      </c>
      <c r="C1781" t="s">
        <v>47</v>
      </c>
      <c r="D1781" t="s">
        <v>48</v>
      </c>
      <c r="E1781" t="s">
        <v>704</v>
      </c>
      <c r="F1781" t="s">
        <v>705</v>
      </c>
      <c r="G1781">
        <v>500.64</v>
      </c>
      <c r="H1781">
        <v>168</v>
      </c>
      <c r="I1781">
        <v>344.4</v>
      </c>
      <c r="J1781">
        <v>120</v>
      </c>
      <c r="Q1781"/>
    </row>
    <row r="1782" spans="1:17" x14ac:dyDescent="0.25">
      <c r="A1782">
        <v>7</v>
      </c>
      <c r="B1782">
        <v>2016</v>
      </c>
      <c r="C1782" t="s">
        <v>47</v>
      </c>
      <c r="D1782" t="s">
        <v>48</v>
      </c>
      <c r="E1782" t="s">
        <v>87</v>
      </c>
      <c r="F1782" t="s">
        <v>88</v>
      </c>
      <c r="G1782">
        <v>470.85</v>
      </c>
      <c r="H1782">
        <v>222</v>
      </c>
      <c r="I1782">
        <v>341.64</v>
      </c>
      <c r="J1782">
        <v>156</v>
      </c>
      <c r="Q1782"/>
    </row>
    <row r="1783" spans="1:17" x14ac:dyDescent="0.25">
      <c r="A1783">
        <v>7</v>
      </c>
      <c r="B1783">
        <v>2016</v>
      </c>
      <c r="C1783" t="s">
        <v>47</v>
      </c>
      <c r="D1783" t="s">
        <v>48</v>
      </c>
      <c r="E1783" t="s">
        <v>89</v>
      </c>
      <c r="F1783" t="s">
        <v>90</v>
      </c>
      <c r="G1783">
        <v>395.16</v>
      </c>
      <c r="H1783">
        <v>228</v>
      </c>
      <c r="I1783">
        <v>606</v>
      </c>
      <c r="J1783">
        <v>360</v>
      </c>
      <c r="Q1783"/>
    </row>
    <row r="1784" spans="1:17" x14ac:dyDescent="0.25">
      <c r="A1784">
        <v>7</v>
      </c>
      <c r="B1784">
        <v>2016</v>
      </c>
      <c r="C1784" t="s">
        <v>47</v>
      </c>
      <c r="D1784" t="s">
        <v>48</v>
      </c>
      <c r="E1784" t="s">
        <v>91</v>
      </c>
      <c r="F1784" t="s">
        <v>92</v>
      </c>
      <c r="G1784">
        <v>736.92</v>
      </c>
      <c r="H1784">
        <v>414</v>
      </c>
      <c r="I1784">
        <v>1785.12</v>
      </c>
      <c r="J1784">
        <v>1044</v>
      </c>
      <c r="Q1784"/>
    </row>
    <row r="1785" spans="1:17" x14ac:dyDescent="0.25">
      <c r="A1785">
        <v>7</v>
      </c>
      <c r="B1785">
        <v>2016</v>
      </c>
      <c r="C1785" t="s">
        <v>47</v>
      </c>
      <c r="D1785" t="s">
        <v>48</v>
      </c>
      <c r="E1785" t="s">
        <v>794</v>
      </c>
      <c r="F1785" t="s">
        <v>795</v>
      </c>
      <c r="G1785">
        <v>222.4</v>
      </c>
      <c r="H1785">
        <v>128</v>
      </c>
      <c r="I1785">
        <v>264.02999999999997</v>
      </c>
      <c r="J1785">
        <v>156</v>
      </c>
      <c r="Q1785"/>
    </row>
    <row r="1786" spans="1:17" x14ac:dyDescent="0.25">
      <c r="A1786">
        <v>7</v>
      </c>
      <c r="B1786">
        <v>2016</v>
      </c>
      <c r="C1786" t="s">
        <v>47</v>
      </c>
      <c r="D1786" t="s">
        <v>48</v>
      </c>
      <c r="E1786" t="s">
        <v>101</v>
      </c>
      <c r="F1786" t="s">
        <v>102</v>
      </c>
      <c r="G1786">
        <v>2096.5500000000002</v>
      </c>
      <c r="H1786">
        <v>2506.98</v>
      </c>
      <c r="I1786">
        <v>297.7</v>
      </c>
      <c r="J1786">
        <v>346.71000000000004</v>
      </c>
      <c r="Q1786"/>
    </row>
    <row r="1787" spans="1:17" x14ac:dyDescent="0.25">
      <c r="A1787">
        <v>7</v>
      </c>
      <c r="B1787">
        <v>2016</v>
      </c>
      <c r="C1787" t="s">
        <v>47</v>
      </c>
      <c r="D1787" t="s">
        <v>48</v>
      </c>
      <c r="E1787" t="s">
        <v>103</v>
      </c>
      <c r="F1787" t="s">
        <v>98</v>
      </c>
      <c r="G1787">
        <v>648</v>
      </c>
      <c r="H1787">
        <v>799.8</v>
      </c>
      <c r="I1787">
        <v>270</v>
      </c>
      <c r="J1787">
        <v>1053.07</v>
      </c>
      <c r="Q1787"/>
    </row>
    <row r="1788" spans="1:17" x14ac:dyDescent="0.25">
      <c r="A1788">
        <v>7</v>
      </c>
      <c r="B1788">
        <v>2016</v>
      </c>
      <c r="C1788" t="s">
        <v>104</v>
      </c>
      <c r="D1788" t="s">
        <v>105</v>
      </c>
      <c r="E1788" t="s">
        <v>106</v>
      </c>
      <c r="F1788" t="s">
        <v>107</v>
      </c>
      <c r="G1788">
        <v>55.2</v>
      </c>
      <c r="H1788">
        <v>12</v>
      </c>
      <c r="I1788">
        <v>516.6</v>
      </c>
      <c r="J1788">
        <v>126</v>
      </c>
      <c r="Q1788"/>
    </row>
    <row r="1789" spans="1:17" x14ac:dyDescent="0.25">
      <c r="A1789">
        <v>7</v>
      </c>
      <c r="B1789">
        <v>2016</v>
      </c>
      <c r="C1789" t="s">
        <v>104</v>
      </c>
      <c r="D1789" t="s">
        <v>105</v>
      </c>
      <c r="E1789" t="s">
        <v>108</v>
      </c>
      <c r="F1789" t="s">
        <v>109</v>
      </c>
      <c r="G1789">
        <v>198</v>
      </c>
      <c r="H1789">
        <v>36</v>
      </c>
      <c r="I1789">
        <v>62.4</v>
      </c>
      <c r="J1789">
        <v>12</v>
      </c>
      <c r="Q1789"/>
    </row>
    <row r="1790" spans="1:17" x14ac:dyDescent="0.25">
      <c r="A1790">
        <v>7</v>
      </c>
      <c r="B1790">
        <v>2016</v>
      </c>
      <c r="C1790" t="s">
        <v>104</v>
      </c>
      <c r="D1790" t="s">
        <v>105</v>
      </c>
      <c r="E1790" t="s">
        <v>110</v>
      </c>
      <c r="F1790" t="s">
        <v>111</v>
      </c>
      <c r="G1790">
        <v>304.5</v>
      </c>
      <c r="H1790">
        <v>42</v>
      </c>
      <c r="I1790">
        <v>364.5</v>
      </c>
      <c r="J1790">
        <v>54</v>
      </c>
      <c r="Q1790"/>
    </row>
    <row r="1791" spans="1:17" x14ac:dyDescent="0.25">
      <c r="A1791">
        <v>7</v>
      </c>
      <c r="B1791">
        <v>2016</v>
      </c>
      <c r="C1791" t="s">
        <v>104</v>
      </c>
      <c r="D1791" t="s">
        <v>105</v>
      </c>
      <c r="E1791" t="s">
        <v>112</v>
      </c>
      <c r="F1791" t="s">
        <v>113</v>
      </c>
      <c r="G1791">
        <v>119.7</v>
      </c>
      <c r="H1791">
        <v>18</v>
      </c>
      <c r="I1791">
        <v>516.6</v>
      </c>
      <c r="J1791">
        <v>84</v>
      </c>
      <c r="Q1791"/>
    </row>
    <row r="1792" spans="1:17" x14ac:dyDescent="0.25">
      <c r="A1792">
        <v>7</v>
      </c>
      <c r="B1792">
        <v>2016</v>
      </c>
      <c r="C1792" t="s">
        <v>104</v>
      </c>
      <c r="D1792" t="s">
        <v>105</v>
      </c>
      <c r="E1792" t="s">
        <v>114</v>
      </c>
      <c r="F1792" t="s">
        <v>115</v>
      </c>
      <c r="G1792">
        <v>226.8</v>
      </c>
      <c r="H1792">
        <v>36</v>
      </c>
      <c r="I1792">
        <v>354</v>
      </c>
      <c r="J1792">
        <v>60</v>
      </c>
      <c r="Q1792"/>
    </row>
    <row r="1793" spans="1:17" x14ac:dyDescent="0.25">
      <c r="A1793">
        <v>7</v>
      </c>
      <c r="B1793">
        <v>2016</v>
      </c>
      <c r="C1793" t="s">
        <v>104</v>
      </c>
      <c r="D1793" t="s">
        <v>105</v>
      </c>
      <c r="E1793" t="s">
        <v>980</v>
      </c>
      <c r="F1793" t="s">
        <v>981</v>
      </c>
      <c r="G1793">
        <v>45.6</v>
      </c>
      <c r="H1793">
        <v>6</v>
      </c>
      <c r="I1793">
        <v>35.4</v>
      </c>
      <c r="J1793">
        <v>6</v>
      </c>
      <c r="Q1793"/>
    </row>
    <row r="1794" spans="1:17" x14ac:dyDescent="0.25">
      <c r="A1794">
        <v>7</v>
      </c>
      <c r="B1794">
        <v>2016</v>
      </c>
      <c r="C1794" t="s">
        <v>116</v>
      </c>
      <c r="D1794" t="s">
        <v>117</v>
      </c>
      <c r="E1794" t="s">
        <v>952</v>
      </c>
      <c r="F1794" t="s">
        <v>953</v>
      </c>
      <c r="G1794">
        <v>1462.8</v>
      </c>
      <c r="H1794">
        <v>276</v>
      </c>
      <c r="Q1794"/>
    </row>
    <row r="1795" spans="1:17" x14ac:dyDescent="0.25">
      <c r="A1795">
        <v>7</v>
      </c>
      <c r="B1795">
        <v>2016</v>
      </c>
      <c r="C1795" t="s">
        <v>120</v>
      </c>
      <c r="D1795" t="s">
        <v>121</v>
      </c>
      <c r="E1795" t="s">
        <v>122</v>
      </c>
      <c r="F1795" t="s">
        <v>123</v>
      </c>
      <c r="G1795">
        <v>1747.62</v>
      </c>
      <c r="H1795">
        <v>438</v>
      </c>
      <c r="I1795">
        <v>4859.82</v>
      </c>
      <c r="J1795">
        <v>1230</v>
      </c>
      <c r="Q1795"/>
    </row>
    <row r="1796" spans="1:17" x14ac:dyDescent="0.25">
      <c r="A1796">
        <v>7</v>
      </c>
      <c r="B1796">
        <v>2016</v>
      </c>
      <c r="C1796" t="s">
        <v>120</v>
      </c>
      <c r="D1796" t="s">
        <v>121</v>
      </c>
      <c r="E1796" t="s">
        <v>864</v>
      </c>
      <c r="F1796" t="s">
        <v>865</v>
      </c>
      <c r="G1796">
        <v>119.7</v>
      </c>
      <c r="H1796">
        <v>30</v>
      </c>
      <c r="I1796">
        <v>161.69999999999999</v>
      </c>
      <c r="J1796">
        <v>42</v>
      </c>
      <c r="Q1796"/>
    </row>
    <row r="1797" spans="1:17" x14ac:dyDescent="0.25">
      <c r="A1797">
        <v>7</v>
      </c>
      <c r="B1797">
        <v>2016</v>
      </c>
      <c r="C1797" t="s">
        <v>120</v>
      </c>
      <c r="D1797" t="s">
        <v>121</v>
      </c>
      <c r="E1797" t="s">
        <v>708</v>
      </c>
      <c r="F1797" t="s">
        <v>709</v>
      </c>
      <c r="G1797">
        <v>1167.6600000000001</v>
      </c>
      <c r="H1797">
        <v>234</v>
      </c>
      <c r="I1797">
        <v>1491.3</v>
      </c>
      <c r="J1797">
        <v>306</v>
      </c>
      <c r="Q1797"/>
    </row>
    <row r="1798" spans="1:17" x14ac:dyDescent="0.25">
      <c r="A1798">
        <v>7</v>
      </c>
      <c r="B1798">
        <v>2016</v>
      </c>
      <c r="C1798" t="s">
        <v>120</v>
      </c>
      <c r="D1798" t="s">
        <v>121</v>
      </c>
      <c r="E1798" t="s">
        <v>124</v>
      </c>
      <c r="F1798" t="s">
        <v>125</v>
      </c>
      <c r="G1798">
        <v>112.8</v>
      </c>
      <c r="H1798">
        <v>24</v>
      </c>
      <c r="Q1798"/>
    </row>
    <row r="1799" spans="1:17" x14ac:dyDescent="0.25">
      <c r="A1799">
        <v>7</v>
      </c>
      <c r="B1799">
        <v>2016</v>
      </c>
      <c r="C1799" t="s">
        <v>126</v>
      </c>
      <c r="D1799" t="s">
        <v>127</v>
      </c>
      <c r="E1799" t="s">
        <v>128</v>
      </c>
      <c r="F1799" t="s">
        <v>129</v>
      </c>
      <c r="G1799">
        <v>4455</v>
      </c>
      <c r="H1799">
        <v>1980</v>
      </c>
      <c r="I1799">
        <v>4362.9399999999996</v>
      </c>
      <c r="J1799">
        <v>1980</v>
      </c>
      <c r="Q1799"/>
    </row>
    <row r="1800" spans="1:17" x14ac:dyDescent="0.25">
      <c r="A1800">
        <v>7</v>
      </c>
      <c r="B1800">
        <v>2016</v>
      </c>
      <c r="C1800" t="s">
        <v>126</v>
      </c>
      <c r="D1800" t="s">
        <v>127</v>
      </c>
      <c r="E1800" t="s">
        <v>710</v>
      </c>
      <c r="F1800" t="s">
        <v>129</v>
      </c>
      <c r="G1800">
        <v>105.12</v>
      </c>
      <c r="H1800">
        <v>36</v>
      </c>
      <c r="I1800">
        <v>104.4</v>
      </c>
      <c r="J1800">
        <v>36</v>
      </c>
      <c r="Q1800"/>
    </row>
    <row r="1801" spans="1:17" x14ac:dyDescent="0.25">
      <c r="A1801">
        <v>7</v>
      </c>
      <c r="B1801">
        <v>2016</v>
      </c>
      <c r="C1801" t="s">
        <v>126</v>
      </c>
      <c r="D1801" t="s">
        <v>127</v>
      </c>
      <c r="E1801" t="s">
        <v>130</v>
      </c>
      <c r="F1801" t="s">
        <v>131</v>
      </c>
      <c r="G1801">
        <v>693</v>
      </c>
      <c r="H1801">
        <v>466.55</v>
      </c>
      <c r="I1801">
        <v>926.4</v>
      </c>
      <c r="J1801">
        <v>639.84</v>
      </c>
      <c r="Q1801"/>
    </row>
    <row r="1802" spans="1:17" x14ac:dyDescent="0.25">
      <c r="A1802">
        <v>7</v>
      </c>
      <c r="B1802">
        <v>2016</v>
      </c>
      <c r="C1802" t="s">
        <v>126</v>
      </c>
      <c r="D1802" t="s">
        <v>127</v>
      </c>
      <c r="E1802" t="s">
        <v>132</v>
      </c>
      <c r="F1802" t="s">
        <v>131</v>
      </c>
      <c r="G1802">
        <v>537.6</v>
      </c>
      <c r="H1802">
        <v>326.83</v>
      </c>
      <c r="I1802">
        <v>407</v>
      </c>
      <c r="J1802">
        <v>246.79</v>
      </c>
      <c r="Q1802"/>
    </row>
    <row r="1803" spans="1:17" x14ac:dyDescent="0.25">
      <c r="A1803">
        <v>7</v>
      </c>
      <c r="B1803">
        <v>2016</v>
      </c>
      <c r="C1803" t="s">
        <v>126</v>
      </c>
      <c r="D1803" t="s">
        <v>127</v>
      </c>
      <c r="E1803" t="s">
        <v>133</v>
      </c>
      <c r="F1803" t="s">
        <v>134</v>
      </c>
      <c r="G1803">
        <v>277.44</v>
      </c>
      <c r="H1803">
        <v>102</v>
      </c>
      <c r="I1803">
        <v>194.4</v>
      </c>
      <c r="J1803">
        <v>72</v>
      </c>
      <c r="Q1803"/>
    </row>
    <row r="1804" spans="1:17" x14ac:dyDescent="0.25">
      <c r="A1804">
        <v>7</v>
      </c>
      <c r="B1804">
        <v>2016</v>
      </c>
      <c r="C1804" t="s">
        <v>126</v>
      </c>
      <c r="D1804" t="s">
        <v>127</v>
      </c>
      <c r="E1804" t="s">
        <v>866</v>
      </c>
      <c r="F1804" t="s">
        <v>134</v>
      </c>
      <c r="G1804">
        <v>20.399999999999999</v>
      </c>
      <c r="H1804">
        <v>6</v>
      </c>
      <c r="Q1804"/>
    </row>
    <row r="1805" spans="1:17" x14ac:dyDescent="0.25">
      <c r="A1805">
        <v>7</v>
      </c>
      <c r="B1805">
        <v>2016</v>
      </c>
      <c r="C1805" t="s">
        <v>126</v>
      </c>
      <c r="D1805" t="s">
        <v>127</v>
      </c>
      <c r="E1805" t="s">
        <v>135</v>
      </c>
      <c r="F1805" t="s">
        <v>136</v>
      </c>
      <c r="G1805">
        <v>55.2</v>
      </c>
      <c r="H1805">
        <v>24</v>
      </c>
      <c r="I1805">
        <v>189</v>
      </c>
      <c r="J1805">
        <v>84</v>
      </c>
      <c r="Q1805"/>
    </row>
    <row r="1806" spans="1:17" x14ac:dyDescent="0.25">
      <c r="A1806">
        <v>7</v>
      </c>
      <c r="B1806">
        <v>2016</v>
      </c>
      <c r="C1806" t="s">
        <v>137</v>
      </c>
      <c r="D1806" t="s">
        <v>138</v>
      </c>
      <c r="E1806" t="s">
        <v>139</v>
      </c>
      <c r="F1806" t="s">
        <v>140</v>
      </c>
      <c r="G1806">
        <v>285.18</v>
      </c>
      <c r="H1806">
        <v>42</v>
      </c>
      <c r="I1806">
        <v>1018.5</v>
      </c>
      <c r="J1806">
        <v>150</v>
      </c>
      <c r="Q1806"/>
    </row>
    <row r="1807" spans="1:17" x14ac:dyDescent="0.25">
      <c r="A1807">
        <v>7</v>
      </c>
      <c r="B1807">
        <v>2016</v>
      </c>
      <c r="C1807" t="s">
        <v>137</v>
      </c>
      <c r="D1807" t="s">
        <v>138</v>
      </c>
      <c r="E1807" t="s">
        <v>711</v>
      </c>
      <c r="F1807" t="s">
        <v>712</v>
      </c>
      <c r="G1807">
        <v>183.6</v>
      </c>
      <c r="H1807">
        <v>24</v>
      </c>
      <c r="I1807">
        <v>229.5</v>
      </c>
      <c r="J1807">
        <v>30</v>
      </c>
      <c r="Q1807"/>
    </row>
    <row r="1808" spans="1:17" x14ac:dyDescent="0.25">
      <c r="A1808">
        <v>7</v>
      </c>
      <c r="B1808">
        <v>2016</v>
      </c>
      <c r="C1808" t="s">
        <v>137</v>
      </c>
      <c r="D1808" t="s">
        <v>138</v>
      </c>
      <c r="E1808" t="s">
        <v>141</v>
      </c>
      <c r="F1808" t="s">
        <v>142</v>
      </c>
      <c r="G1808">
        <v>399.6</v>
      </c>
      <c r="H1808">
        <v>72</v>
      </c>
      <c r="I1808">
        <v>666</v>
      </c>
      <c r="J1808">
        <v>120</v>
      </c>
      <c r="Q1808"/>
    </row>
    <row r="1809" spans="1:17" x14ac:dyDescent="0.25">
      <c r="A1809">
        <v>7</v>
      </c>
      <c r="B1809">
        <v>2016</v>
      </c>
      <c r="C1809" t="s">
        <v>137</v>
      </c>
      <c r="D1809" t="s">
        <v>138</v>
      </c>
      <c r="E1809" t="s">
        <v>143</v>
      </c>
      <c r="F1809" t="s">
        <v>144</v>
      </c>
      <c r="G1809">
        <v>87.3</v>
      </c>
      <c r="H1809">
        <v>18</v>
      </c>
      <c r="I1809">
        <v>116.4</v>
      </c>
      <c r="J1809">
        <v>24</v>
      </c>
      <c r="Q1809"/>
    </row>
    <row r="1810" spans="1:17" x14ac:dyDescent="0.25">
      <c r="A1810">
        <v>7</v>
      </c>
      <c r="B1810">
        <v>2016</v>
      </c>
      <c r="C1810" t="s">
        <v>137</v>
      </c>
      <c r="D1810" t="s">
        <v>138</v>
      </c>
      <c r="E1810" t="s">
        <v>145</v>
      </c>
      <c r="F1810" t="s">
        <v>146</v>
      </c>
      <c r="G1810">
        <v>333.21</v>
      </c>
      <c r="H1810">
        <v>102</v>
      </c>
      <c r="I1810">
        <v>183.84</v>
      </c>
      <c r="J1810">
        <v>48</v>
      </c>
      <c r="Q1810"/>
    </row>
    <row r="1811" spans="1:17" x14ac:dyDescent="0.25">
      <c r="A1811">
        <v>7</v>
      </c>
      <c r="B1811">
        <v>2016</v>
      </c>
      <c r="C1811" t="s">
        <v>137</v>
      </c>
      <c r="D1811" t="s">
        <v>138</v>
      </c>
      <c r="E1811" t="s">
        <v>713</v>
      </c>
      <c r="F1811" t="s">
        <v>714</v>
      </c>
      <c r="G1811">
        <v>43.74</v>
      </c>
      <c r="H1811">
        <v>24</v>
      </c>
      <c r="Q1811"/>
    </row>
    <row r="1812" spans="1:17" x14ac:dyDescent="0.25">
      <c r="A1812">
        <v>7</v>
      </c>
      <c r="B1812">
        <v>2016</v>
      </c>
      <c r="C1812" t="s">
        <v>137</v>
      </c>
      <c r="D1812" t="s">
        <v>138</v>
      </c>
      <c r="E1812" t="s">
        <v>147</v>
      </c>
      <c r="F1812" t="s">
        <v>148</v>
      </c>
      <c r="G1812">
        <v>642</v>
      </c>
      <c r="H1812">
        <v>60</v>
      </c>
      <c r="I1812">
        <v>963</v>
      </c>
      <c r="J1812">
        <v>90</v>
      </c>
      <c r="Q1812"/>
    </row>
    <row r="1813" spans="1:17" x14ac:dyDescent="0.25">
      <c r="A1813">
        <v>7</v>
      </c>
      <c r="B1813">
        <v>2016</v>
      </c>
      <c r="C1813" t="s">
        <v>137</v>
      </c>
      <c r="D1813" t="s">
        <v>138</v>
      </c>
      <c r="E1813" t="s">
        <v>149</v>
      </c>
      <c r="F1813" t="s">
        <v>150</v>
      </c>
      <c r="G1813">
        <v>994.08</v>
      </c>
      <c r="H1813">
        <v>336</v>
      </c>
      <c r="I1813">
        <v>1620</v>
      </c>
      <c r="J1813">
        <v>540</v>
      </c>
      <c r="Q1813"/>
    </row>
    <row r="1814" spans="1:17" x14ac:dyDescent="0.25">
      <c r="A1814">
        <v>7</v>
      </c>
      <c r="B1814">
        <v>2016</v>
      </c>
      <c r="C1814" t="s">
        <v>137</v>
      </c>
      <c r="D1814" t="s">
        <v>138</v>
      </c>
      <c r="E1814" t="s">
        <v>151</v>
      </c>
      <c r="F1814" t="s">
        <v>152</v>
      </c>
      <c r="G1814">
        <v>549.45000000000005</v>
      </c>
      <c r="H1814">
        <v>102</v>
      </c>
      <c r="Q1814"/>
    </row>
    <row r="1815" spans="1:17" x14ac:dyDescent="0.25">
      <c r="A1815">
        <v>7</v>
      </c>
      <c r="B1815">
        <v>2016</v>
      </c>
      <c r="C1815" t="s">
        <v>137</v>
      </c>
      <c r="D1815" t="s">
        <v>138</v>
      </c>
      <c r="E1815" t="s">
        <v>153</v>
      </c>
      <c r="F1815" t="s">
        <v>154</v>
      </c>
      <c r="G1815">
        <v>99.36</v>
      </c>
      <c r="H1815">
        <v>24</v>
      </c>
      <c r="I1815">
        <v>149.04</v>
      </c>
      <c r="J1815">
        <v>36</v>
      </c>
      <c r="Q1815"/>
    </row>
    <row r="1816" spans="1:17" x14ac:dyDescent="0.25">
      <c r="A1816">
        <v>7</v>
      </c>
      <c r="B1816">
        <v>2016</v>
      </c>
      <c r="C1816" t="s">
        <v>155</v>
      </c>
      <c r="D1816" t="s">
        <v>156</v>
      </c>
      <c r="E1816" t="s">
        <v>157</v>
      </c>
      <c r="F1816" t="s">
        <v>158</v>
      </c>
      <c r="G1816">
        <v>838.5</v>
      </c>
      <c r="H1816">
        <v>258</v>
      </c>
      <c r="I1816">
        <v>916.5</v>
      </c>
      <c r="J1816">
        <v>282</v>
      </c>
      <c r="Q1816"/>
    </row>
    <row r="1817" spans="1:17" x14ac:dyDescent="0.25">
      <c r="A1817">
        <v>7</v>
      </c>
      <c r="B1817">
        <v>2016</v>
      </c>
      <c r="C1817" t="s">
        <v>155</v>
      </c>
      <c r="D1817" t="s">
        <v>156</v>
      </c>
      <c r="E1817" t="s">
        <v>159</v>
      </c>
      <c r="F1817" t="s">
        <v>160</v>
      </c>
      <c r="G1817">
        <v>436.8</v>
      </c>
      <c r="H1817">
        <v>156</v>
      </c>
      <c r="I1817">
        <v>168</v>
      </c>
      <c r="J1817">
        <v>60</v>
      </c>
      <c r="Q1817"/>
    </row>
    <row r="1818" spans="1:17" x14ac:dyDescent="0.25">
      <c r="A1818">
        <v>7</v>
      </c>
      <c r="B1818">
        <v>2016</v>
      </c>
      <c r="C1818" t="s">
        <v>155</v>
      </c>
      <c r="D1818" t="s">
        <v>156</v>
      </c>
      <c r="E1818" t="s">
        <v>161</v>
      </c>
      <c r="F1818" t="s">
        <v>162</v>
      </c>
      <c r="G1818">
        <v>684</v>
      </c>
      <c r="H1818">
        <v>426.56</v>
      </c>
      <c r="I1818">
        <v>180.8</v>
      </c>
      <c r="J1818">
        <v>106.64</v>
      </c>
      <c r="Q1818"/>
    </row>
    <row r="1819" spans="1:17" x14ac:dyDescent="0.25">
      <c r="A1819">
        <v>7</v>
      </c>
      <c r="B1819">
        <v>2016</v>
      </c>
      <c r="C1819" t="s">
        <v>155</v>
      </c>
      <c r="D1819" t="s">
        <v>156</v>
      </c>
      <c r="E1819" t="s">
        <v>163</v>
      </c>
      <c r="F1819" t="s">
        <v>164</v>
      </c>
      <c r="G1819">
        <v>607.5</v>
      </c>
      <c r="H1819">
        <v>300.14999999999998</v>
      </c>
      <c r="I1819">
        <v>518.70000000000005</v>
      </c>
      <c r="J1819">
        <v>260.13</v>
      </c>
      <c r="Q1819"/>
    </row>
    <row r="1820" spans="1:17" x14ac:dyDescent="0.25">
      <c r="A1820">
        <v>7</v>
      </c>
      <c r="B1820">
        <v>2016</v>
      </c>
      <c r="C1820" t="s">
        <v>155</v>
      </c>
      <c r="D1820" t="s">
        <v>156</v>
      </c>
      <c r="E1820" t="s">
        <v>165</v>
      </c>
      <c r="F1820" t="s">
        <v>166</v>
      </c>
      <c r="G1820">
        <v>640.79999999999995</v>
      </c>
      <c r="H1820">
        <v>144</v>
      </c>
      <c r="I1820">
        <v>560.70000000000005</v>
      </c>
      <c r="J1820">
        <v>126</v>
      </c>
      <c r="Q1820"/>
    </row>
    <row r="1821" spans="1:17" x14ac:dyDescent="0.25">
      <c r="A1821">
        <v>7</v>
      </c>
      <c r="B1821">
        <v>2016</v>
      </c>
      <c r="C1821" t="s">
        <v>175</v>
      </c>
      <c r="D1821" t="s">
        <v>176</v>
      </c>
      <c r="E1821" t="s">
        <v>177</v>
      </c>
      <c r="F1821" t="s">
        <v>178</v>
      </c>
      <c r="G1821">
        <v>5839.32</v>
      </c>
      <c r="H1821">
        <v>1482</v>
      </c>
      <c r="I1821">
        <v>3870</v>
      </c>
      <c r="J1821">
        <v>996</v>
      </c>
      <c r="Q1821"/>
    </row>
    <row r="1822" spans="1:17" x14ac:dyDescent="0.25">
      <c r="A1822">
        <v>7</v>
      </c>
      <c r="B1822">
        <v>2016</v>
      </c>
      <c r="C1822" t="s">
        <v>175</v>
      </c>
      <c r="D1822" t="s">
        <v>176</v>
      </c>
      <c r="E1822" t="s">
        <v>179</v>
      </c>
      <c r="F1822" t="s">
        <v>178</v>
      </c>
      <c r="G1822">
        <v>182.16</v>
      </c>
      <c r="H1822">
        <v>36</v>
      </c>
      <c r="I1822">
        <v>1263</v>
      </c>
      <c r="J1822">
        <v>270</v>
      </c>
      <c r="Q1822"/>
    </row>
    <row r="1823" spans="1:17" x14ac:dyDescent="0.25">
      <c r="A1823">
        <v>7</v>
      </c>
      <c r="B1823">
        <v>2016</v>
      </c>
      <c r="C1823" t="s">
        <v>175</v>
      </c>
      <c r="D1823" t="s">
        <v>176</v>
      </c>
      <c r="E1823" t="s">
        <v>180</v>
      </c>
      <c r="F1823" t="s">
        <v>181</v>
      </c>
      <c r="G1823">
        <v>502.32</v>
      </c>
      <c r="H1823">
        <v>138</v>
      </c>
      <c r="I1823">
        <v>428.4</v>
      </c>
      <c r="J1823">
        <v>120</v>
      </c>
      <c r="Q1823"/>
    </row>
    <row r="1824" spans="1:17" x14ac:dyDescent="0.25">
      <c r="A1824">
        <v>7</v>
      </c>
      <c r="B1824">
        <v>2016</v>
      </c>
      <c r="C1824" t="s">
        <v>189</v>
      </c>
      <c r="D1824" t="s">
        <v>190</v>
      </c>
      <c r="E1824" t="s">
        <v>982</v>
      </c>
      <c r="F1824" t="s">
        <v>870</v>
      </c>
      <c r="G1824">
        <v>118.32</v>
      </c>
      <c r="H1824">
        <v>24</v>
      </c>
      <c r="I1824">
        <v>59.16</v>
      </c>
      <c r="J1824">
        <v>12</v>
      </c>
      <c r="Q1824"/>
    </row>
    <row r="1825" spans="1:17" x14ac:dyDescent="0.25">
      <c r="A1825">
        <v>7</v>
      </c>
      <c r="B1825">
        <v>2016</v>
      </c>
      <c r="C1825" t="s">
        <v>189</v>
      </c>
      <c r="D1825" t="s">
        <v>190</v>
      </c>
      <c r="E1825" t="s">
        <v>869</v>
      </c>
      <c r="F1825" t="s">
        <v>870</v>
      </c>
      <c r="G1825">
        <v>69.12</v>
      </c>
      <c r="H1825">
        <v>12</v>
      </c>
      <c r="I1825">
        <v>57.6</v>
      </c>
      <c r="J1825">
        <v>10</v>
      </c>
      <c r="Q1825"/>
    </row>
    <row r="1826" spans="1:17" x14ac:dyDescent="0.25">
      <c r="A1826">
        <v>7</v>
      </c>
      <c r="B1826">
        <v>2016</v>
      </c>
      <c r="C1826" t="s">
        <v>189</v>
      </c>
      <c r="D1826" t="s">
        <v>190</v>
      </c>
      <c r="E1826" t="s">
        <v>191</v>
      </c>
      <c r="F1826" t="s">
        <v>192</v>
      </c>
      <c r="G1826">
        <v>205.2</v>
      </c>
      <c r="H1826">
        <v>54</v>
      </c>
      <c r="I1826">
        <v>466.2</v>
      </c>
      <c r="J1826">
        <v>126</v>
      </c>
      <c r="Q1826"/>
    </row>
    <row r="1827" spans="1:17" x14ac:dyDescent="0.25">
      <c r="A1827">
        <v>7</v>
      </c>
      <c r="B1827">
        <v>2016</v>
      </c>
      <c r="C1827" t="s">
        <v>189</v>
      </c>
      <c r="D1827" t="s">
        <v>190</v>
      </c>
      <c r="E1827" t="s">
        <v>871</v>
      </c>
      <c r="F1827" t="s">
        <v>872</v>
      </c>
      <c r="G1827">
        <v>46.2</v>
      </c>
      <c r="H1827">
        <v>12</v>
      </c>
      <c r="I1827">
        <v>88.8</v>
      </c>
      <c r="J1827">
        <v>24</v>
      </c>
      <c r="Q1827"/>
    </row>
    <row r="1828" spans="1:17" x14ac:dyDescent="0.25">
      <c r="A1828">
        <v>7</v>
      </c>
      <c r="B1828">
        <v>2016</v>
      </c>
      <c r="C1828" t="s">
        <v>189</v>
      </c>
      <c r="D1828" t="s">
        <v>190</v>
      </c>
      <c r="E1828" t="s">
        <v>983</v>
      </c>
      <c r="F1828" t="s">
        <v>872</v>
      </c>
      <c r="G1828">
        <v>56.64</v>
      </c>
      <c r="H1828">
        <v>12</v>
      </c>
      <c r="I1828">
        <v>47.2</v>
      </c>
      <c r="J1828">
        <v>10</v>
      </c>
      <c r="Q1828"/>
    </row>
    <row r="1829" spans="1:17" x14ac:dyDescent="0.25">
      <c r="A1829">
        <v>7</v>
      </c>
      <c r="B1829">
        <v>2016</v>
      </c>
      <c r="C1829" t="s">
        <v>189</v>
      </c>
      <c r="D1829" t="s">
        <v>190</v>
      </c>
      <c r="E1829" t="s">
        <v>193</v>
      </c>
      <c r="F1829" t="s">
        <v>194</v>
      </c>
      <c r="G1829">
        <v>342</v>
      </c>
      <c r="H1829">
        <v>72</v>
      </c>
      <c r="I1829">
        <v>464.1</v>
      </c>
      <c r="J1829">
        <v>102</v>
      </c>
      <c r="Q1829"/>
    </row>
    <row r="1830" spans="1:17" x14ac:dyDescent="0.25">
      <c r="A1830">
        <v>7</v>
      </c>
      <c r="B1830">
        <v>2016</v>
      </c>
      <c r="C1830" t="s">
        <v>189</v>
      </c>
      <c r="D1830" t="s">
        <v>190</v>
      </c>
      <c r="E1830" t="s">
        <v>873</v>
      </c>
      <c r="F1830" t="s">
        <v>874</v>
      </c>
      <c r="G1830">
        <v>0</v>
      </c>
      <c r="H1830">
        <v>12</v>
      </c>
      <c r="I1830">
        <v>101</v>
      </c>
      <c r="J1830">
        <v>10</v>
      </c>
      <c r="Q1830"/>
    </row>
    <row r="1831" spans="1:17" x14ac:dyDescent="0.25">
      <c r="A1831">
        <v>7</v>
      </c>
      <c r="B1831">
        <v>2016</v>
      </c>
      <c r="C1831" t="s">
        <v>195</v>
      </c>
      <c r="D1831" t="s">
        <v>196</v>
      </c>
      <c r="E1831" t="s">
        <v>197</v>
      </c>
      <c r="F1831" t="s">
        <v>198</v>
      </c>
      <c r="G1831">
        <v>38.1</v>
      </c>
      <c r="H1831">
        <v>13.34</v>
      </c>
      <c r="I1831">
        <v>76.2</v>
      </c>
      <c r="J1831">
        <v>26.68</v>
      </c>
      <c r="Q1831"/>
    </row>
    <row r="1832" spans="1:17" x14ac:dyDescent="0.25">
      <c r="A1832">
        <v>7</v>
      </c>
      <c r="B1832">
        <v>2016</v>
      </c>
      <c r="C1832" t="s">
        <v>195</v>
      </c>
      <c r="D1832" t="s">
        <v>196</v>
      </c>
      <c r="E1832" t="s">
        <v>199</v>
      </c>
      <c r="F1832" t="s">
        <v>200</v>
      </c>
      <c r="G1832">
        <v>84</v>
      </c>
      <c r="H1832">
        <v>24</v>
      </c>
      <c r="I1832">
        <v>84</v>
      </c>
      <c r="J1832">
        <v>24</v>
      </c>
      <c r="Q1832"/>
    </row>
    <row r="1833" spans="1:17" x14ac:dyDescent="0.25">
      <c r="A1833">
        <v>7</v>
      </c>
      <c r="B1833">
        <v>2016</v>
      </c>
      <c r="C1833" t="s">
        <v>195</v>
      </c>
      <c r="D1833" t="s">
        <v>196</v>
      </c>
      <c r="E1833" t="s">
        <v>201</v>
      </c>
      <c r="F1833" t="s">
        <v>202</v>
      </c>
      <c r="G1833">
        <v>380.64</v>
      </c>
      <c r="H1833">
        <v>156</v>
      </c>
      <c r="I1833">
        <v>185.64</v>
      </c>
      <c r="J1833">
        <v>84</v>
      </c>
      <c r="Q1833"/>
    </row>
    <row r="1834" spans="1:17" x14ac:dyDescent="0.25">
      <c r="A1834">
        <v>7</v>
      </c>
      <c r="B1834">
        <v>2016</v>
      </c>
      <c r="C1834" t="s">
        <v>195</v>
      </c>
      <c r="D1834" t="s">
        <v>196</v>
      </c>
      <c r="E1834" t="s">
        <v>203</v>
      </c>
      <c r="F1834" t="s">
        <v>204</v>
      </c>
      <c r="G1834">
        <v>210</v>
      </c>
      <c r="H1834">
        <v>42</v>
      </c>
      <c r="I1834">
        <v>169.92</v>
      </c>
      <c r="J1834">
        <v>36</v>
      </c>
      <c r="Q1834"/>
    </row>
    <row r="1835" spans="1:17" x14ac:dyDescent="0.25">
      <c r="A1835">
        <v>7</v>
      </c>
      <c r="B1835">
        <v>2016</v>
      </c>
      <c r="C1835" t="s">
        <v>195</v>
      </c>
      <c r="D1835" t="s">
        <v>196</v>
      </c>
      <c r="E1835" t="s">
        <v>205</v>
      </c>
      <c r="F1835" t="s">
        <v>206</v>
      </c>
      <c r="G1835">
        <v>68.040000000000006</v>
      </c>
      <c r="H1835">
        <v>18</v>
      </c>
      <c r="I1835">
        <v>64.98</v>
      </c>
      <c r="J1835">
        <v>24</v>
      </c>
      <c r="Q1835"/>
    </row>
    <row r="1836" spans="1:17" x14ac:dyDescent="0.25">
      <c r="A1836">
        <v>7</v>
      </c>
      <c r="B1836">
        <v>2016</v>
      </c>
      <c r="C1836" t="s">
        <v>207</v>
      </c>
      <c r="D1836" t="s">
        <v>208</v>
      </c>
      <c r="E1836" t="s">
        <v>209</v>
      </c>
      <c r="F1836" t="s">
        <v>210</v>
      </c>
      <c r="G1836">
        <v>1861.5</v>
      </c>
      <c r="H1836">
        <v>510</v>
      </c>
      <c r="I1836">
        <v>3283.2</v>
      </c>
      <c r="J1836">
        <v>912</v>
      </c>
      <c r="Q1836"/>
    </row>
    <row r="1837" spans="1:17" x14ac:dyDescent="0.25">
      <c r="A1837">
        <v>7</v>
      </c>
      <c r="B1837">
        <v>2016</v>
      </c>
      <c r="C1837" t="s">
        <v>207</v>
      </c>
      <c r="D1837" t="s">
        <v>208</v>
      </c>
      <c r="E1837" t="s">
        <v>211</v>
      </c>
      <c r="F1837" t="s">
        <v>212</v>
      </c>
      <c r="G1837">
        <v>1048.8</v>
      </c>
      <c r="H1837">
        <v>506.92</v>
      </c>
      <c r="I1837">
        <v>1157.2</v>
      </c>
      <c r="J1837">
        <v>593.63</v>
      </c>
      <c r="Q1837"/>
    </row>
    <row r="1838" spans="1:17" x14ac:dyDescent="0.25">
      <c r="A1838">
        <v>7</v>
      </c>
      <c r="B1838">
        <v>2016</v>
      </c>
      <c r="C1838" t="s">
        <v>207</v>
      </c>
      <c r="D1838" t="s">
        <v>208</v>
      </c>
      <c r="E1838" t="s">
        <v>213</v>
      </c>
      <c r="F1838" t="s">
        <v>212</v>
      </c>
      <c r="G1838">
        <v>317.39999999999998</v>
      </c>
      <c r="H1838">
        <v>159.96</v>
      </c>
      <c r="I1838">
        <v>630</v>
      </c>
      <c r="J1838">
        <v>333.25</v>
      </c>
      <c r="Q1838"/>
    </row>
    <row r="1839" spans="1:17" x14ac:dyDescent="0.25">
      <c r="A1839">
        <v>7</v>
      </c>
      <c r="B1839">
        <v>2016</v>
      </c>
      <c r="C1839" t="s">
        <v>207</v>
      </c>
      <c r="D1839" t="s">
        <v>208</v>
      </c>
      <c r="E1839" t="s">
        <v>214</v>
      </c>
      <c r="F1839" t="s">
        <v>215</v>
      </c>
      <c r="G1839">
        <v>135</v>
      </c>
      <c r="H1839">
        <v>30</v>
      </c>
      <c r="I1839">
        <v>999</v>
      </c>
      <c r="J1839">
        <v>222</v>
      </c>
      <c r="Q1839"/>
    </row>
    <row r="1840" spans="1:17" x14ac:dyDescent="0.25">
      <c r="A1840">
        <v>7</v>
      </c>
      <c r="B1840">
        <v>2016</v>
      </c>
      <c r="C1840" t="s">
        <v>207</v>
      </c>
      <c r="D1840" t="s">
        <v>208</v>
      </c>
      <c r="E1840" t="s">
        <v>216</v>
      </c>
      <c r="F1840" t="s">
        <v>215</v>
      </c>
      <c r="G1840">
        <v>48.9</v>
      </c>
      <c r="H1840">
        <v>12</v>
      </c>
      <c r="I1840">
        <v>48.3</v>
      </c>
      <c r="J1840">
        <v>12</v>
      </c>
      <c r="Q1840"/>
    </row>
    <row r="1841" spans="1:17" x14ac:dyDescent="0.25">
      <c r="A1841">
        <v>7</v>
      </c>
      <c r="B1841">
        <v>2016</v>
      </c>
      <c r="C1841" t="s">
        <v>207</v>
      </c>
      <c r="D1841" t="s">
        <v>208</v>
      </c>
      <c r="E1841" t="s">
        <v>217</v>
      </c>
      <c r="F1841" t="s">
        <v>218</v>
      </c>
      <c r="G1841">
        <v>61.2</v>
      </c>
      <c r="H1841">
        <v>12</v>
      </c>
      <c r="I1841">
        <v>29.7</v>
      </c>
      <c r="J1841">
        <v>6</v>
      </c>
      <c r="Q1841"/>
    </row>
    <row r="1842" spans="1:17" x14ac:dyDescent="0.25">
      <c r="A1842">
        <v>7</v>
      </c>
      <c r="B1842">
        <v>2016</v>
      </c>
      <c r="C1842" t="s">
        <v>207</v>
      </c>
      <c r="D1842" t="s">
        <v>208</v>
      </c>
      <c r="E1842" t="s">
        <v>804</v>
      </c>
      <c r="F1842" t="s">
        <v>805</v>
      </c>
      <c r="G1842">
        <v>196.8</v>
      </c>
      <c r="H1842">
        <v>24</v>
      </c>
      <c r="I1842">
        <v>49.2</v>
      </c>
      <c r="J1842">
        <v>6</v>
      </c>
      <c r="Q1842"/>
    </row>
    <row r="1843" spans="1:17" x14ac:dyDescent="0.25">
      <c r="A1843">
        <v>7</v>
      </c>
      <c r="B1843">
        <v>2016</v>
      </c>
      <c r="C1843" t="s">
        <v>219</v>
      </c>
      <c r="D1843" t="s">
        <v>220</v>
      </c>
      <c r="E1843" t="s">
        <v>221</v>
      </c>
      <c r="F1843" t="s">
        <v>222</v>
      </c>
      <c r="G1843">
        <v>1119.3</v>
      </c>
      <c r="H1843">
        <v>78</v>
      </c>
      <c r="I1843">
        <v>336</v>
      </c>
      <c r="J1843">
        <v>24</v>
      </c>
      <c r="Q1843"/>
    </row>
    <row r="1844" spans="1:17" x14ac:dyDescent="0.25">
      <c r="A1844">
        <v>7</v>
      </c>
      <c r="B1844">
        <v>2016</v>
      </c>
      <c r="C1844" t="s">
        <v>219</v>
      </c>
      <c r="D1844" t="s">
        <v>220</v>
      </c>
      <c r="E1844" t="s">
        <v>936</v>
      </c>
      <c r="F1844" t="s">
        <v>222</v>
      </c>
      <c r="G1844">
        <v>79.5</v>
      </c>
      <c r="H1844">
        <v>6</v>
      </c>
      <c r="Q1844"/>
    </row>
    <row r="1845" spans="1:17" x14ac:dyDescent="0.25">
      <c r="A1845">
        <v>7</v>
      </c>
      <c r="B1845">
        <v>2016</v>
      </c>
      <c r="C1845" t="s">
        <v>219</v>
      </c>
      <c r="D1845" t="s">
        <v>220</v>
      </c>
      <c r="E1845" t="s">
        <v>725</v>
      </c>
      <c r="F1845" t="s">
        <v>726</v>
      </c>
      <c r="G1845">
        <v>105</v>
      </c>
      <c r="H1845">
        <v>12</v>
      </c>
      <c r="Q1845"/>
    </row>
    <row r="1846" spans="1:17" x14ac:dyDescent="0.25">
      <c r="A1846">
        <v>7</v>
      </c>
      <c r="B1846">
        <v>2016</v>
      </c>
      <c r="C1846" t="s">
        <v>219</v>
      </c>
      <c r="D1846" t="s">
        <v>220</v>
      </c>
      <c r="E1846" t="s">
        <v>225</v>
      </c>
      <c r="F1846" t="s">
        <v>226</v>
      </c>
      <c r="G1846">
        <v>1058.4000000000001</v>
      </c>
      <c r="H1846">
        <v>126</v>
      </c>
      <c r="I1846">
        <v>3106.2</v>
      </c>
      <c r="J1846">
        <v>372</v>
      </c>
      <c r="Q1846"/>
    </row>
    <row r="1847" spans="1:17" x14ac:dyDescent="0.25">
      <c r="A1847">
        <v>7</v>
      </c>
      <c r="B1847">
        <v>2016</v>
      </c>
      <c r="C1847" t="s">
        <v>231</v>
      </c>
      <c r="D1847" t="s">
        <v>232</v>
      </c>
      <c r="E1847" t="s">
        <v>233</v>
      </c>
      <c r="F1847" t="s">
        <v>234</v>
      </c>
      <c r="G1847">
        <v>189</v>
      </c>
      <c r="H1847">
        <v>42</v>
      </c>
      <c r="I1847">
        <v>442.8</v>
      </c>
      <c r="J1847">
        <v>114</v>
      </c>
      <c r="Q1847"/>
    </row>
    <row r="1848" spans="1:17" x14ac:dyDescent="0.25">
      <c r="A1848">
        <v>7</v>
      </c>
      <c r="B1848">
        <v>2016</v>
      </c>
      <c r="C1848" t="s">
        <v>231</v>
      </c>
      <c r="D1848" t="s">
        <v>232</v>
      </c>
      <c r="E1848" t="s">
        <v>235</v>
      </c>
      <c r="F1848" t="s">
        <v>236</v>
      </c>
      <c r="G1848">
        <v>331.2</v>
      </c>
      <c r="H1848">
        <v>48</v>
      </c>
      <c r="I1848">
        <v>422.4</v>
      </c>
      <c r="J1848">
        <v>66</v>
      </c>
      <c r="Q1848"/>
    </row>
    <row r="1849" spans="1:17" x14ac:dyDescent="0.25">
      <c r="A1849">
        <v>7</v>
      </c>
      <c r="B1849">
        <v>2016</v>
      </c>
      <c r="C1849" t="s">
        <v>231</v>
      </c>
      <c r="D1849" t="s">
        <v>232</v>
      </c>
      <c r="E1849" t="s">
        <v>237</v>
      </c>
      <c r="F1849" t="s">
        <v>238</v>
      </c>
      <c r="G1849">
        <v>360</v>
      </c>
      <c r="H1849">
        <v>90</v>
      </c>
      <c r="I1849">
        <v>1176</v>
      </c>
      <c r="J1849">
        <v>342</v>
      </c>
      <c r="Q1849"/>
    </row>
    <row r="1850" spans="1:17" x14ac:dyDescent="0.25">
      <c r="A1850">
        <v>7</v>
      </c>
      <c r="B1850">
        <v>2016</v>
      </c>
      <c r="C1850" t="s">
        <v>231</v>
      </c>
      <c r="D1850" t="s">
        <v>232</v>
      </c>
      <c r="E1850" t="s">
        <v>239</v>
      </c>
      <c r="F1850" t="s">
        <v>240</v>
      </c>
      <c r="G1850">
        <v>90</v>
      </c>
      <c r="H1850">
        <v>12</v>
      </c>
      <c r="I1850">
        <v>420</v>
      </c>
      <c r="J1850">
        <v>60</v>
      </c>
      <c r="Q1850"/>
    </row>
    <row r="1851" spans="1:17" x14ac:dyDescent="0.25">
      <c r="A1851">
        <v>7</v>
      </c>
      <c r="B1851">
        <v>2016</v>
      </c>
      <c r="C1851" t="s">
        <v>245</v>
      </c>
      <c r="D1851" t="s">
        <v>246</v>
      </c>
      <c r="E1851" t="s">
        <v>247</v>
      </c>
      <c r="F1851" t="s">
        <v>248</v>
      </c>
      <c r="G1851">
        <v>160.80000000000001</v>
      </c>
      <c r="H1851">
        <v>48</v>
      </c>
      <c r="I1851">
        <v>257.39999999999998</v>
      </c>
      <c r="J1851">
        <v>78</v>
      </c>
      <c r="Q1851"/>
    </row>
    <row r="1852" spans="1:17" x14ac:dyDescent="0.25">
      <c r="A1852">
        <v>7</v>
      </c>
      <c r="B1852">
        <v>2016</v>
      </c>
      <c r="C1852" t="s">
        <v>245</v>
      </c>
      <c r="D1852" t="s">
        <v>246</v>
      </c>
      <c r="E1852" t="s">
        <v>729</v>
      </c>
      <c r="F1852" t="s">
        <v>730</v>
      </c>
      <c r="G1852">
        <v>121.5</v>
      </c>
      <c r="H1852">
        <v>54</v>
      </c>
      <c r="I1852">
        <v>54</v>
      </c>
      <c r="J1852">
        <v>24</v>
      </c>
      <c r="Q1852"/>
    </row>
    <row r="1853" spans="1:17" x14ac:dyDescent="0.25">
      <c r="A1853">
        <v>7</v>
      </c>
      <c r="B1853">
        <v>2016</v>
      </c>
      <c r="C1853" t="s">
        <v>245</v>
      </c>
      <c r="D1853" t="s">
        <v>246</v>
      </c>
      <c r="E1853" t="s">
        <v>249</v>
      </c>
      <c r="F1853" t="s">
        <v>250</v>
      </c>
      <c r="G1853">
        <v>295.8</v>
      </c>
      <c r="H1853">
        <v>102</v>
      </c>
      <c r="I1853">
        <v>2052</v>
      </c>
      <c r="J1853">
        <v>720</v>
      </c>
      <c r="Q1853"/>
    </row>
    <row r="1854" spans="1:17" x14ac:dyDescent="0.25">
      <c r="A1854">
        <v>7</v>
      </c>
      <c r="B1854">
        <v>2016</v>
      </c>
      <c r="C1854" t="s">
        <v>245</v>
      </c>
      <c r="D1854" t="s">
        <v>246</v>
      </c>
      <c r="E1854" t="s">
        <v>252</v>
      </c>
      <c r="F1854" t="s">
        <v>253</v>
      </c>
      <c r="G1854">
        <v>567</v>
      </c>
      <c r="H1854">
        <v>252</v>
      </c>
      <c r="I1854">
        <v>919.8</v>
      </c>
      <c r="J1854">
        <v>420</v>
      </c>
      <c r="Q1854"/>
    </row>
    <row r="1855" spans="1:17" x14ac:dyDescent="0.25">
      <c r="A1855">
        <v>7</v>
      </c>
      <c r="B1855">
        <v>2016</v>
      </c>
      <c r="C1855" t="s">
        <v>245</v>
      </c>
      <c r="D1855" t="s">
        <v>246</v>
      </c>
      <c r="E1855" t="s">
        <v>809</v>
      </c>
      <c r="F1855" t="s">
        <v>253</v>
      </c>
      <c r="G1855">
        <v>138.6</v>
      </c>
      <c r="H1855">
        <v>42</v>
      </c>
      <c r="I1855">
        <v>19.8</v>
      </c>
      <c r="J1855">
        <v>6</v>
      </c>
      <c r="Q1855"/>
    </row>
    <row r="1856" spans="1:17" x14ac:dyDescent="0.25">
      <c r="A1856">
        <v>7</v>
      </c>
      <c r="B1856">
        <v>2016</v>
      </c>
      <c r="C1856" t="s">
        <v>245</v>
      </c>
      <c r="D1856" t="s">
        <v>246</v>
      </c>
      <c r="E1856" t="s">
        <v>731</v>
      </c>
      <c r="F1856" t="s">
        <v>248</v>
      </c>
      <c r="G1856">
        <v>40.5</v>
      </c>
      <c r="H1856">
        <v>12</v>
      </c>
      <c r="I1856">
        <v>202.5</v>
      </c>
      <c r="J1856">
        <v>60</v>
      </c>
      <c r="Q1856"/>
    </row>
    <row r="1857" spans="1:17" x14ac:dyDescent="0.25">
      <c r="A1857">
        <v>7</v>
      </c>
      <c r="B1857">
        <v>2016</v>
      </c>
      <c r="C1857" t="s">
        <v>254</v>
      </c>
      <c r="D1857" t="s">
        <v>255</v>
      </c>
      <c r="E1857" t="s">
        <v>256</v>
      </c>
      <c r="F1857" t="s">
        <v>257</v>
      </c>
      <c r="G1857">
        <v>1189.5</v>
      </c>
      <c r="H1857">
        <v>366</v>
      </c>
      <c r="I1857">
        <v>1766.4</v>
      </c>
      <c r="J1857">
        <v>552</v>
      </c>
      <c r="Q1857"/>
    </row>
    <row r="1858" spans="1:17" x14ac:dyDescent="0.25">
      <c r="A1858">
        <v>7</v>
      </c>
      <c r="B1858">
        <v>2016</v>
      </c>
      <c r="C1858" t="s">
        <v>254</v>
      </c>
      <c r="D1858" t="s">
        <v>255</v>
      </c>
      <c r="E1858" t="s">
        <v>260</v>
      </c>
      <c r="F1858" t="s">
        <v>261</v>
      </c>
      <c r="G1858">
        <v>158.4</v>
      </c>
      <c r="H1858">
        <v>36</v>
      </c>
      <c r="I1858">
        <v>105.6</v>
      </c>
      <c r="J1858">
        <v>24</v>
      </c>
      <c r="Q1858"/>
    </row>
    <row r="1859" spans="1:17" x14ac:dyDescent="0.25">
      <c r="A1859">
        <v>7</v>
      </c>
      <c r="B1859">
        <v>2016</v>
      </c>
      <c r="C1859" t="s">
        <v>262</v>
      </c>
      <c r="D1859" t="s">
        <v>263</v>
      </c>
      <c r="E1859" t="s">
        <v>264</v>
      </c>
      <c r="F1859" t="s">
        <v>265</v>
      </c>
      <c r="G1859">
        <v>2856</v>
      </c>
      <c r="H1859">
        <v>510</v>
      </c>
      <c r="I1859">
        <v>3455.2</v>
      </c>
      <c r="J1859">
        <v>624</v>
      </c>
      <c r="Q1859"/>
    </row>
    <row r="1860" spans="1:17" x14ac:dyDescent="0.25">
      <c r="A1860">
        <v>7</v>
      </c>
      <c r="B1860">
        <v>2016</v>
      </c>
      <c r="C1860" t="s">
        <v>262</v>
      </c>
      <c r="D1860" t="s">
        <v>263</v>
      </c>
      <c r="E1860" t="s">
        <v>810</v>
      </c>
      <c r="F1860" t="s">
        <v>811</v>
      </c>
      <c r="G1860">
        <v>113.4</v>
      </c>
      <c r="H1860">
        <v>12</v>
      </c>
      <c r="I1860">
        <v>223.92</v>
      </c>
      <c r="J1860">
        <v>24</v>
      </c>
      <c r="Q1860"/>
    </row>
    <row r="1861" spans="1:17" x14ac:dyDescent="0.25">
      <c r="A1861">
        <v>7</v>
      </c>
      <c r="B1861">
        <v>2016</v>
      </c>
      <c r="C1861" t="s">
        <v>262</v>
      </c>
      <c r="D1861" t="s">
        <v>263</v>
      </c>
      <c r="E1861" t="s">
        <v>266</v>
      </c>
      <c r="F1861" t="s">
        <v>267</v>
      </c>
      <c r="G1861">
        <v>5734.8</v>
      </c>
      <c r="H1861">
        <v>708</v>
      </c>
      <c r="Q1861"/>
    </row>
    <row r="1862" spans="1:17" x14ac:dyDescent="0.25">
      <c r="A1862">
        <v>7</v>
      </c>
      <c r="B1862">
        <v>2016</v>
      </c>
      <c r="C1862" t="s">
        <v>262</v>
      </c>
      <c r="D1862" t="s">
        <v>263</v>
      </c>
      <c r="E1862" t="s">
        <v>268</v>
      </c>
      <c r="F1862" t="s">
        <v>269</v>
      </c>
      <c r="G1862">
        <v>228.6</v>
      </c>
      <c r="H1862">
        <v>36</v>
      </c>
      <c r="I1862">
        <v>533.4</v>
      </c>
      <c r="J1862">
        <v>84</v>
      </c>
      <c r="Q1862"/>
    </row>
    <row r="1863" spans="1:17" x14ac:dyDescent="0.25">
      <c r="A1863">
        <v>7</v>
      </c>
      <c r="B1863">
        <v>2016</v>
      </c>
      <c r="C1863" t="s">
        <v>262</v>
      </c>
      <c r="D1863" t="s">
        <v>263</v>
      </c>
      <c r="E1863" t="s">
        <v>270</v>
      </c>
      <c r="F1863" t="s">
        <v>271</v>
      </c>
      <c r="G1863">
        <v>1062</v>
      </c>
      <c r="H1863">
        <v>120</v>
      </c>
      <c r="I1863">
        <v>1056</v>
      </c>
      <c r="J1863">
        <v>120</v>
      </c>
      <c r="Q1863"/>
    </row>
    <row r="1864" spans="1:17" x14ac:dyDescent="0.25">
      <c r="A1864">
        <v>7</v>
      </c>
      <c r="B1864">
        <v>2016</v>
      </c>
      <c r="C1864" t="s">
        <v>262</v>
      </c>
      <c r="D1864" t="s">
        <v>263</v>
      </c>
      <c r="E1864" t="s">
        <v>812</v>
      </c>
      <c r="F1864" t="s">
        <v>813</v>
      </c>
      <c r="G1864">
        <v>237.6</v>
      </c>
      <c r="H1864">
        <v>36</v>
      </c>
      <c r="I1864">
        <v>79.2</v>
      </c>
      <c r="J1864">
        <v>12</v>
      </c>
      <c r="Q1864"/>
    </row>
    <row r="1865" spans="1:17" x14ac:dyDescent="0.25">
      <c r="A1865">
        <v>7</v>
      </c>
      <c r="B1865">
        <v>2016</v>
      </c>
      <c r="C1865" t="s">
        <v>272</v>
      </c>
      <c r="D1865" t="s">
        <v>273</v>
      </c>
      <c r="E1865" t="s">
        <v>274</v>
      </c>
      <c r="F1865" t="s">
        <v>275</v>
      </c>
      <c r="G1865">
        <v>117.9</v>
      </c>
      <c r="H1865">
        <v>12</v>
      </c>
      <c r="Q1865"/>
    </row>
    <row r="1866" spans="1:17" x14ac:dyDescent="0.25">
      <c r="A1866">
        <v>7</v>
      </c>
      <c r="B1866">
        <v>2016</v>
      </c>
      <c r="C1866" t="s">
        <v>272</v>
      </c>
      <c r="D1866" t="s">
        <v>273</v>
      </c>
      <c r="E1866" t="s">
        <v>276</v>
      </c>
      <c r="F1866" t="s">
        <v>277</v>
      </c>
      <c r="G1866">
        <v>518.4</v>
      </c>
      <c r="H1866">
        <v>54</v>
      </c>
      <c r="I1866">
        <v>115.2</v>
      </c>
      <c r="J1866">
        <v>12</v>
      </c>
      <c r="Q1866"/>
    </row>
    <row r="1867" spans="1:17" x14ac:dyDescent="0.25">
      <c r="A1867">
        <v>7</v>
      </c>
      <c r="B1867">
        <v>2016</v>
      </c>
      <c r="C1867" t="s">
        <v>272</v>
      </c>
      <c r="D1867" t="s">
        <v>273</v>
      </c>
      <c r="E1867" t="s">
        <v>278</v>
      </c>
      <c r="F1867" t="s">
        <v>279</v>
      </c>
      <c r="G1867">
        <v>302.10000000000002</v>
      </c>
      <c r="H1867">
        <v>114</v>
      </c>
      <c r="I1867">
        <v>365.7</v>
      </c>
      <c r="J1867">
        <v>138</v>
      </c>
      <c r="Q1867"/>
    </row>
    <row r="1868" spans="1:17" x14ac:dyDescent="0.25">
      <c r="A1868">
        <v>7</v>
      </c>
      <c r="B1868">
        <v>2016</v>
      </c>
      <c r="C1868" t="s">
        <v>272</v>
      </c>
      <c r="D1868" t="s">
        <v>273</v>
      </c>
      <c r="E1868" t="s">
        <v>280</v>
      </c>
      <c r="F1868" t="s">
        <v>281</v>
      </c>
      <c r="G1868">
        <v>1191.9000000000001</v>
      </c>
      <c r="H1868">
        <v>174</v>
      </c>
      <c r="I1868">
        <v>452.1</v>
      </c>
      <c r="J1868">
        <v>66</v>
      </c>
      <c r="Q1868"/>
    </row>
    <row r="1869" spans="1:17" x14ac:dyDescent="0.25">
      <c r="A1869">
        <v>7</v>
      </c>
      <c r="B1869">
        <v>2016</v>
      </c>
      <c r="C1869" t="s">
        <v>272</v>
      </c>
      <c r="D1869" t="s">
        <v>273</v>
      </c>
      <c r="E1869" t="s">
        <v>282</v>
      </c>
      <c r="F1869" t="s">
        <v>283</v>
      </c>
      <c r="G1869">
        <v>84.9</v>
      </c>
      <c r="H1869">
        <v>12</v>
      </c>
      <c r="I1869">
        <v>169.8</v>
      </c>
      <c r="J1869">
        <v>24</v>
      </c>
      <c r="Q1869"/>
    </row>
    <row r="1870" spans="1:17" x14ac:dyDescent="0.25">
      <c r="A1870">
        <v>7</v>
      </c>
      <c r="B1870">
        <v>2016</v>
      </c>
      <c r="C1870" t="s">
        <v>272</v>
      </c>
      <c r="D1870" t="s">
        <v>273</v>
      </c>
      <c r="E1870" t="s">
        <v>814</v>
      </c>
      <c r="F1870" t="s">
        <v>287</v>
      </c>
      <c r="G1870">
        <v>0</v>
      </c>
      <c r="H1870">
        <v>6</v>
      </c>
      <c r="I1870">
        <v>411</v>
      </c>
      <c r="J1870">
        <v>60</v>
      </c>
      <c r="Q1870"/>
    </row>
    <row r="1871" spans="1:17" x14ac:dyDescent="0.25">
      <c r="A1871">
        <v>7</v>
      </c>
      <c r="B1871">
        <v>2016</v>
      </c>
      <c r="C1871" t="s">
        <v>272</v>
      </c>
      <c r="D1871" t="s">
        <v>273</v>
      </c>
      <c r="E1871" t="s">
        <v>984</v>
      </c>
      <c r="F1871" t="s">
        <v>985</v>
      </c>
      <c r="G1871">
        <v>507.6</v>
      </c>
      <c r="H1871">
        <v>36</v>
      </c>
      <c r="Q1871"/>
    </row>
    <row r="1872" spans="1:17" x14ac:dyDescent="0.25">
      <c r="A1872">
        <v>7</v>
      </c>
      <c r="B1872">
        <v>2016</v>
      </c>
      <c r="C1872" t="s">
        <v>272</v>
      </c>
      <c r="D1872" t="s">
        <v>273</v>
      </c>
      <c r="E1872" t="s">
        <v>986</v>
      </c>
      <c r="F1872" t="s">
        <v>985</v>
      </c>
      <c r="G1872">
        <v>94.8</v>
      </c>
      <c r="H1872">
        <v>6</v>
      </c>
      <c r="Q1872"/>
    </row>
    <row r="1873" spans="1:17" x14ac:dyDescent="0.25">
      <c r="A1873">
        <v>7</v>
      </c>
      <c r="B1873">
        <v>2016</v>
      </c>
      <c r="C1873" t="s">
        <v>288</v>
      </c>
      <c r="D1873" t="s">
        <v>289</v>
      </c>
      <c r="E1873" t="s">
        <v>290</v>
      </c>
      <c r="F1873" t="s">
        <v>291</v>
      </c>
      <c r="G1873">
        <v>390</v>
      </c>
      <c r="H1873">
        <v>78</v>
      </c>
      <c r="I1873">
        <v>576</v>
      </c>
      <c r="J1873">
        <v>120</v>
      </c>
      <c r="Q1873"/>
    </row>
    <row r="1874" spans="1:17" x14ac:dyDescent="0.25">
      <c r="A1874">
        <v>7</v>
      </c>
      <c r="B1874">
        <v>2016</v>
      </c>
      <c r="C1874" t="s">
        <v>288</v>
      </c>
      <c r="D1874" t="s">
        <v>289</v>
      </c>
      <c r="E1874" t="s">
        <v>292</v>
      </c>
      <c r="F1874" t="s">
        <v>293</v>
      </c>
      <c r="G1874">
        <v>279</v>
      </c>
      <c r="H1874">
        <v>36</v>
      </c>
      <c r="I1874">
        <v>396.9</v>
      </c>
      <c r="J1874">
        <v>54</v>
      </c>
      <c r="Q1874"/>
    </row>
    <row r="1875" spans="1:17" x14ac:dyDescent="0.25">
      <c r="A1875">
        <v>7</v>
      </c>
      <c r="B1875">
        <v>2016</v>
      </c>
      <c r="C1875" t="s">
        <v>288</v>
      </c>
      <c r="D1875" t="s">
        <v>289</v>
      </c>
      <c r="E1875" t="s">
        <v>294</v>
      </c>
      <c r="F1875" t="s">
        <v>295</v>
      </c>
      <c r="G1875">
        <v>320.39999999999998</v>
      </c>
      <c r="H1875">
        <v>36</v>
      </c>
      <c r="I1875">
        <v>138.6</v>
      </c>
      <c r="J1875">
        <v>18</v>
      </c>
      <c r="Q1875"/>
    </row>
    <row r="1876" spans="1:17" x14ac:dyDescent="0.25">
      <c r="A1876">
        <v>7</v>
      </c>
      <c r="B1876">
        <v>2016</v>
      </c>
      <c r="C1876" t="s">
        <v>296</v>
      </c>
      <c r="D1876" t="s">
        <v>297</v>
      </c>
      <c r="E1876" t="s">
        <v>298</v>
      </c>
      <c r="F1876" t="s">
        <v>299</v>
      </c>
      <c r="G1876">
        <v>126</v>
      </c>
      <c r="H1876">
        <v>30</v>
      </c>
      <c r="I1876">
        <v>252</v>
      </c>
      <c r="J1876">
        <v>60</v>
      </c>
      <c r="Q1876"/>
    </row>
    <row r="1877" spans="1:17" x14ac:dyDescent="0.25">
      <c r="A1877">
        <v>7</v>
      </c>
      <c r="B1877">
        <v>2016</v>
      </c>
      <c r="C1877" t="s">
        <v>296</v>
      </c>
      <c r="D1877" t="s">
        <v>297</v>
      </c>
      <c r="E1877" t="s">
        <v>300</v>
      </c>
      <c r="F1877" t="s">
        <v>301</v>
      </c>
      <c r="G1877">
        <v>86.4</v>
      </c>
      <c r="H1877">
        <v>24</v>
      </c>
      <c r="I1877">
        <v>149.1</v>
      </c>
      <c r="J1877">
        <v>48</v>
      </c>
      <c r="Q1877"/>
    </row>
    <row r="1878" spans="1:17" x14ac:dyDescent="0.25">
      <c r="A1878">
        <v>7</v>
      </c>
      <c r="B1878">
        <v>2016</v>
      </c>
      <c r="C1878" t="s">
        <v>296</v>
      </c>
      <c r="D1878" t="s">
        <v>297</v>
      </c>
      <c r="E1878" t="s">
        <v>739</v>
      </c>
      <c r="F1878" t="s">
        <v>301</v>
      </c>
      <c r="G1878">
        <v>86.4</v>
      </c>
      <c r="H1878">
        <v>24</v>
      </c>
      <c r="Q1878"/>
    </row>
    <row r="1879" spans="1:17" x14ac:dyDescent="0.25">
      <c r="A1879">
        <v>7</v>
      </c>
      <c r="B1879">
        <v>2016</v>
      </c>
      <c r="C1879" t="s">
        <v>296</v>
      </c>
      <c r="D1879" t="s">
        <v>297</v>
      </c>
      <c r="E1879" t="s">
        <v>302</v>
      </c>
      <c r="F1879" t="s">
        <v>303</v>
      </c>
      <c r="G1879">
        <v>33</v>
      </c>
      <c r="H1879">
        <v>6</v>
      </c>
      <c r="I1879">
        <v>99</v>
      </c>
      <c r="J1879">
        <v>24</v>
      </c>
      <c r="Q1879"/>
    </row>
    <row r="1880" spans="1:17" x14ac:dyDescent="0.25">
      <c r="A1880">
        <v>7</v>
      </c>
      <c r="B1880">
        <v>2016</v>
      </c>
      <c r="C1880" t="s">
        <v>296</v>
      </c>
      <c r="D1880" t="s">
        <v>297</v>
      </c>
      <c r="E1880" t="s">
        <v>306</v>
      </c>
      <c r="F1880" t="s">
        <v>307</v>
      </c>
      <c r="G1880">
        <v>63.9</v>
      </c>
      <c r="H1880">
        <v>18</v>
      </c>
      <c r="I1880">
        <v>383.4</v>
      </c>
      <c r="J1880">
        <v>108</v>
      </c>
      <c r="Q1880"/>
    </row>
    <row r="1881" spans="1:17" x14ac:dyDescent="0.25">
      <c r="A1881">
        <v>7</v>
      </c>
      <c r="B1881">
        <v>2016</v>
      </c>
      <c r="C1881" t="s">
        <v>296</v>
      </c>
      <c r="D1881" t="s">
        <v>297</v>
      </c>
      <c r="E1881" t="s">
        <v>308</v>
      </c>
      <c r="F1881" t="s">
        <v>309</v>
      </c>
      <c r="G1881">
        <v>4557.6000000000004</v>
      </c>
      <c r="H1881">
        <v>1266</v>
      </c>
      <c r="I1881">
        <v>9240</v>
      </c>
      <c r="J1881">
        <v>2646</v>
      </c>
      <c r="Q1881"/>
    </row>
    <row r="1882" spans="1:17" x14ac:dyDescent="0.25">
      <c r="A1882">
        <v>7</v>
      </c>
      <c r="B1882">
        <v>2016</v>
      </c>
      <c r="C1882" t="s">
        <v>296</v>
      </c>
      <c r="D1882" t="s">
        <v>297</v>
      </c>
      <c r="E1882" t="s">
        <v>310</v>
      </c>
      <c r="F1882" t="s">
        <v>311</v>
      </c>
      <c r="G1882">
        <v>1534.7</v>
      </c>
      <c r="H1882">
        <v>687.01</v>
      </c>
      <c r="I1882">
        <v>3456.8</v>
      </c>
      <c r="J1882">
        <v>1547.44</v>
      </c>
      <c r="Q1882"/>
    </row>
    <row r="1883" spans="1:17" x14ac:dyDescent="0.25">
      <c r="A1883">
        <v>7</v>
      </c>
      <c r="B1883">
        <v>2016</v>
      </c>
      <c r="C1883" t="s">
        <v>296</v>
      </c>
      <c r="D1883" t="s">
        <v>297</v>
      </c>
      <c r="E1883" t="s">
        <v>937</v>
      </c>
      <c r="F1883" t="s">
        <v>315</v>
      </c>
      <c r="G1883">
        <v>126</v>
      </c>
      <c r="H1883">
        <v>42</v>
      </c>
      <c r="I1883">
        <v>936</v>
      </c>
      <c r="J1883">
        <v>324</v>
      </c>
      <c r="Q1883"/>
    </row>
    <row r="1884" spans="1:17" x14ac:dyDescent="0.25">
      <c r="A1884">
        <v>7</v>
      </c>
      <c r="B1884">
        <v>2016</v>
      </c>
      <c r="C1884" t="s">
        <v>296</v>
      </c>
      <c r="D1884" t="s">
        <v>297</v>
      </c>
      <c r="E1884" t="s">
        <v>312</v>
      </c>
      <c r="F1884" t="s">
        <v>313</v>
      </c>
      <c r="G1884">
        <v>4468.5</v>
      </c>
      <c r="H1884">
        <v>2046</v>
      </c>
      <c r="I1884">
        <v>13405.5</v>
      </c>
      <c r="J1884">
        <v>5964</v>
      </c>
      <c r="Q1884"/>
    </row>
    <row r="1885" spans="1:17" x14ac:dyDescent="0.25">
      <c r="A1885">
        <v>7</v>
      </c>
      <c r="B1885">
        <v>2016</v>
      </c>
      <c r="C1885" t="s">
        <v>296</v>
      </c>
      <c r="D1885" t="s">
        <v>297</v>
      </c>
      <c r="E1885" t="s">
        <v>314</v>
      </c>
      <c r="F1885" t="s">
        <v>315</v>
      </c>
      <c r="G1885">
        <v>3326.4</v>
      </c>
      <c r="H1885">
        <v>2261.13</v>
      </c>
      <c r="I1885">
        <v>7801.2</v>
      </c>
      <c r="J1885">
        <v>5262.63</v>
      </c>
      <c r="Q1885"/>
    </row>
    <row r="1886" spans="1:17" x14ac:dyDescent="0.25">
      <c r="A1886">
        <v>7</v>
      </c>
      <c r="B1886">
        <v>2016</v>
      </c>
      <c r="C1886" t="s">
        <v>296</v>
      </c>
      <c r="D1886" t="s">
        <v>297</v>
      </c>
      <c r="E1886" t="s">
        <v>740</v>
      </c>
      <c r="F1886" t="s">
        <v>741</v>
      </c>
      <c r="G1886">
        <v>118.3</v>
      </c>
      <c r="H1886">
        <v>93.31</v>
      </c>
      <c r="I1886">
        <v>304.2</v>
      </c>
      <c r="J1886">
        <v>239.94</v>
      </c>
      <c r="Q1886"/>
    </row>
    <row r="1887" spans="1:17" x14ac:dyDescent="0.25">
      <c r="A1887">
        <v>7</v>
      </c>
      <c r="B1887">
        <v>2016</v>
      </c>
      <c r="C1887" t="s">
        <v>296</v>
      </c>
      <c r="D1887" t="s">
        <v>297</v>
      </c>
      <c r="E1887" t="s">
        <v>815</v>
      </c>
      <c r="F1887" t="s">
        <v>816</v>
      </c>
      <c r="G1887">
        <v>-10.8</v>
      </c>
      <c r="H1887">
        <v>-6</v>
      </c>
      <c r="I1887">
        <v>172.8</v>
      </c>
      <c r="J1887">
        <v>102</v>
      </c>
      <c r="Q1887"/>
    </row>
    <row r="1888" spans="1:17" x14ac:dyDescent="0.25">
      <c r="A1888">
        <v>7</v>
      </c>
      <c r="B1888">
        <v>2016</v>
      </c>
      <c r="C1888" t="s">
        <v>296</v>
      </c>
      <c r="D1888" t="s">
        <v>297</v>
      </c>
      <c r="E1888" t="s">
        <v>817</v>
      </c>
      <c r="F1888" t="s">
        <v>818</v>
      </c>
      <c r="G1888">
        <v>22.2</v>
      </c>
      <c r="H1888">
        <v>6</v>
      </c>
      <c r="I1888">
        <v>111</v>
      </c>
      <c r="J1888">
        <v>30</v>
      </c>
      <c r="Q1888"/>
    </row>
    <row r="1889" spans="1:17" x14ac:dyDescent="0.25">
      <c r="A1889">
        <v>7</v>
      </c>
      <c r="B1889">
        <v>2016</v>
      </c>
      <c r="C1889" t="s">
        <v>319</v>
      </c>
      <c r="D1889" t="s">
        <v>320</v>
      </c>
      <c r="E1889" t="s">
        <v>321</v>
      </c>
      <c r="F1889" t="s">
        <v>322</v>
      </c>
      <c r="G1889">
        <v>1122</v>
      </c>
      <c r="H1889">
        <v>300</v>
      </c>
      <c r="I1889">
        <v>1209.5999999999999</v>
      </c>
      <c r="J1889">
        <v>336</v>
      </c>
      <c r="Q1889"/>
    </row>
    <row r="1890" spans="1:17" x14ac:dyDescent="0.25">
      <c r="A1890">
        <v>7</v>
      </c>
      <c r="B1890">
        <v>2016</v>
      </c>
      <c r="C1890" t="s">
        <v>319</v>
      </c>
      <c r="D1890" t="s">
        <v>320</v>
      </c>
      <c r="E1890" t="s">
        <v>323</v>
      </c>
      <c r="F1890" t="s">
        <v>322</v>
      </c>
      <c r="G1890">
        <v>142.19999999999999</v>
      </c>
      <c r="H1890">
        <v>30</v>
      </c>
      <c r="I1890">
        <v>159.84</v>
      </c>
      <c r="J1890">
        <v>36</v>
      </c>
      <c r="Q1890"/>
    </row>
    <row r="1891" spans="1:17" x14ac:dyDescent="0.25">
      <c r="A1891">
        <v>7</v>
      </c>
      <c r="B1891">
        <v>2016</v>
      </c>
      <c r="C1891" t="s">
        <v>324</v>
      </c>
      <c r="D1891" t="s">
        <v>325</v>
      </c>
      <c r="E1891" t="s">
        <v>742</v>
      </c>
      <c r="F1891" t="s">
        <v>743</v>
      </c>
      <c r="G1891">
        <v>120</v>
      </c>
      <c r="H1891">
        <v>24</v>
      </c>
      <c r="I1891">
        <v>61.2</v>
      </c>
      <c r="J1891">
        <v>12</v>
      </c>
      <c r="Q1891"/>
    </row>
    <row r="1892" spans="1:17" x14ac:dyDescent="0.25">
      <c r="A1892">
        <v>7</v>
      </c>
      <c r="B1892">
        <v>2016</v>
      </c>
      <c r="C1892" t="s">
        <v>324</v>
      </c>
      <c r="D1892" t="s">
        <v>325</v>
      </c>
      <c r="E1892" t="s">
        <v>326</v>
      </c>
      <c r="F1892" t="s">
        <v>327</v>
      </c>
      <c r="G1892">
        <v>1108.8</v>
      </c>
      <c r="H1892">
        <v>252</v>
      </c>
      <c r="I1892">
        <v>1186.8</v>
      </c>
      <c r="J1892">
        <v>276</v>
      </c>
      <c r="Q1892"/>
    </row>
    <row r="1893" spans="1:17" x14ac:dyDescent="0.25">
      <c r="A1893">
        <v>7</v>
      </c>
      <c r="B1893">
        <v>2016</v>
      </c>
      <c r="C1893" t="s">
        <v>324</v>
      </c>
      <c r="D1893" t="s">
        <v>325</v>
      </c>
      <c r="E1893" t="s">
        <v>328</v>
      </c>
      <c r="F1893" t="s">
        <v>327</v>
      </c>
      <c r="G1893">
        <v>211.2</v>
      </c>
      <c r="H1893">
        <v>66</v>
      </c>
      <c r="I1893">
        <v>164.7</v>
      </c>
      <c r="J1893">
        <v>60</v>
      </c>
      <c r="Q1893"/>
    </row>
    <row r="1894" spans="1:17" x14ac:dyDescent="0.25">
      <c r="A1894">
        <v>7</v>
      </c>
      <c r="B1894">
        <v>2016</v>
      </c>
      <c r="C1894" t="s">
        <v>324</v>
      </c>
      <c r="D1894" t="s">
        <v>325</v>
      </c>
      <c r="E1894" t="s">
        <v>332</v>
      </c>
      <c r="F1894" t="s">
        <v>333</v>
      </c>
      <c r="G1894">
        <v>930</v>
      </c>
      <c r="H1894">
        <v>420.21</v>
      </c>
      <c r="I1894">
        <v>855.5</v>
      </c>
      <c r="J1894">
        <v>393.53</v>
      </c>
      <c r="Q1894"/>
    </row>
    <row r="1895" spans="1:17" x14ac:dyDescent="0.25">
      <c r="A1895">
        <v>7</v>
      </c>
      <c r="B1895">
        <v>2016</v>
      </c>
      <c r="C1895" t="s">
        <v>334</v>
      </c>
      <c r="D1895" t="s">
        <v>335</v>
      </c>
      <c r="E1895" t="s">
        <v>336</v>
      </c>
      <c r="F1895" t="s">
        <v>337</v>
      </c>
      <c r="G1895">
        <v>820.8</v>
      </c>
      <c r="H1895">
        <v>108</v>
      </c>
      <c r="I1895">
        <v>1048.8</v>
      </c>
      <c r="J1895">
        <v>138</v>
      </c>
      <c r="Q1895"/>
    </row>
    <row r="1896" spans="1:17" x14ac:dyDescent="0.25">
      <c r="A1896">
        <v>7</v>
      </c>
      <c r="B1896">
        <v>2016</v>
      </c>
      <c r="C1896" t="s">
        <v>334</v>
      </c>
      <c r="D1896" t="s">
        <v>335</v>
      </c>
      <c r="E1896" t="s">
        <v>338</v>
      </c>
      <c r="F1896" t="s">
        <v>339</v>
      </c>
      <c r="G1896">
        <v>279</v>
      </c>
      <c r="H1896">
        <v>60</v>
      </c>
      <c r="I1896">
        <v>910.8</v>
      </c>
      <c r="J1896">
        <v>198</v>
      </c>
      <c r="Q1896"/>
    </row>
    <row r="1897" spans="1:17" x14ac:dyDescent="0.25">
      <c r="A1897">
        <v>7</v>
      </c>
      <c r="B1897">
        <v>2016</v>
      </c>
      <c r="C1897" t="s">
        <v>334</v>
      </c>
      <c r="D1897" t="s">
        <v>335</v>
      </c>
      <c r="E1897" t="s">
        <v>940</v>
      </c>
      <c r="F1897" t="s">
        <v>941</v>
      </c>
      <c r="G1897">
        <v>46.2</v>
      </c>
      <c r="H1897">
        <v>6</v>
      </c>
      <c r="I1897">
        <v>277.2</v>
      </c>
      <c r="J1897">
        <v>36</v>
      </c>
      <c r="Q1897"/>
    </row>
    <row r="1898" spans="1:17" x14ac:dyDescent="0.25">
      <c r="A1898">
        <v>7</v>
      </c>
      <c r="B1898">
        <v>2016</v>
      </c>
      <c r="C1898" t="s">
        <v>340</v>
      </c>
      <c r="D1898" t="s">
        <v>341</v>
      </c>
      <c r="E1898" t="s">
        <v>342</v>
      </c>
      <c r="F1898" t="s">
        <v>343</v>
      </c>
      <c r="G1898">
        <v>1718.1</v>
      </c>
      <c r="H1898">
        <v>414</v>
      </c>
      <c r="I1898">
        <v>1495.44</v>
      </c>
      <c r="J1898">
        <v>372</v>
      </c>
      <c r="Q1898"/>
    </row>
    <row r="1899" spans="1:17" x14ac:dyDescent="0.25">
      <c r="A1899">
        <v>7</v>
      </c>
      <c r="B1899">
        <v>2016</v>
      </c>
      <c r="C1899" t="s">
        <v>340</v>
      </c>
      <c r="D1899" t="s">
        <v>341</v>
      </c>
      <c r="E1899" t="s">
        <v>344</v>
      </c>
      <c r="F1899" t="s">
        <v>343</v>
      </c>
      <c r="G1899">
        <v>57.18</v>
      </c>
      <c r="H1899">
        <v>12</v>
      </c>
      <c r="I1899">
        <v>110.4</v>
      </c>
      <c r="J1899">
        <v>24</v>
      </c>
      <c r="Q1899"/>
    </row>
    <row r="1900" spans="1:17" x14ac:dyDescent="0.25">
      <c r="A1900">
        <v>7</v>
      </c>
      <c r="B1900">
        <v>2016</v>
      </c>
      <c r="C1900" t="s">
        <v>340</v>
      </c>
      <c r="D1900" t="s">
        <v>341</v>
      </c>
      <c r="E1900" t="s">
        <v>345</v>
      </c>
      <c r="F1900" t="s">
        <v>346</v>
      </c>
      <c r="G1900">
        <v>765.9</v>
      </c>
      <c r="H1900">
        <v>138</v>
      </c>
      <c r="I1900">
        <v>93.6</v>
      </c>
      <c r="J1900">
        <v>18</v>
      </c>
      <c r="Q1900"/>
    </row>
    <row r="1901" spans="1:17" x14ac:dyDescent="0.25">
      <c r="A1901">
        <v>7</v>
      </c>
      <c r="B1901">
        <v>2016</v>
      </c>
      <c r="C1901" t="s">
        <v>349</v>
      </c>
      <c r="D1901" t="s">
        <v>350</v>
      </c>
      <c r="E1901" t="s">
        <v>351</v>
      </c>
      <c r="F1901" t="s">
        <v>352</v>
      </c>
      <c r="G1901">
        <v>735.3</v>
      </c>
      <c r="H1901">
        <v>114</v>
      </c>
      <c r="I1901">
        <v>1512</v>
      </c>
      <c r="J1901">
        <v>240</v>
      </c>
      <c r="Q1901"/>
    </row>
    <row r="1902" spans="1:17" x14ac:dyDescent="0.25">
      <c r="A1902">
        <v>7</v>
      </c>
      <c r="B1902">
        <v>2016</v>
      </c>
      <c r="C1902" t="s">
        <v>349</v>
      </c>
      <c r="D1902" t="s">
        <v>350</v>
      </c>
      <c r="E1902" t="s">
        <v>353</v>
      </c>
      <c r="F1902" t="s">
        <v>352</v>
      </c>
      <c r="G1902">
        <v>140.4</v>
      </c>
      <c r="H1902">
        <v>18</v>
      </c>
      <c r="I1902">
        <v>415.8</v>
      </c>
      <c r="J1902">
        <v>54</v>
      </c>
      <c r="Q1902"/>
    </row>
    <row r="1903" spans="1:17" x14ac:dyDescent="0.25">
      <c r="A1903">
        <v>7</v>
      </c>
      <c r="B1903">
        <v>2016</v>
      </c>
      <c r="C1903" t="s">
        <v>349</v>
      </c>
      <c r="D1903" t="s">
        <v>350</v>
      </c>
      <c r="E1903" t="s">
        <v>882</v>
      </c>
      <c r="F1903" t="s">
        <v>352</v>
      </c>
      <c r="G1903">
        <v>113.4</v>
      </c>
      <c r="H1903">
        <v>18</v>
      </c>
      <c r="I1903">
        <v>109.8</v>
      </c>
      <c r="J1903">
        <v>18</v>
      </c>
      <c r="Q1903"/>
    </row>
    <row r="1904" spans="1:17" x14ac:dyDescent="0.25">
      <c r="A1904">
        <v>7</v>
      </c>
      <c r="B1904">
        <v>2016</v>
      </c>
      <c r="C1904" t="s">
        <v>349</v>
      </c>
      <c r="D1904" t="s">
        <v>350</v>
      </c>
      <c r="E1904" t="s">
        <v>819</v>
      </c>
      <c r="F1904" t="s">
        <v>352</v>
      </c>
      <c r="G1904">
        <v>45</v>
      </c>
      <c r="H1904">
        <v>6</v>
      </c>
      <c r="I1904">
        <v>88.8</v>
      </c>
      <c r="J1904">
        <v>12</v>
      </c>
      <c r="Q1904"/>
    </row>
    <row r="1905" spans="1:17" x14ac:dyDescent="0.25">
      <c r="A1905">
        <v>7</v>
      </c>
      <c r="B1905">
        <v>2016</v>
      </c>
      <c r="C1905" t="s">
        <v>349</v>
      </c>
      <c r="D1905" t="s">
        <v>350</v>
      </c>
      <c r="E1905" t="s">
        <v>354</v>
      </c>
      <c r="F1905" t="s">
        <v>352</v>
      </c>
      <c r="G1905">
        <v>321.60000000000002</v>
      </c>
      <c r="H1905">
        <v>48</v>
      </c>
      <c r="I1905">
        <v>752.4</v>
      </c>
      <c r="J1905">
        <v>114</v>
      </c>
      <c r="Q1905"/>
    </row>
    <row r="1906" spans="1:17" x14ac:dyDescent="0.25">
      <c r="A1906">
        <v>7</v>
      </c>
      <c r="B1906">
        <v>2016</v>
      </c>
      <c r="C1906" t="s">
        <v>349</v>
      </c>
      <c r="D1906" t="s">
        <v>350</v>
      </c>
      <c r="E1906" t="s">
        <v>355</v>
      </c>
      <c r="F1906" t="s">
        <v>352</v>
      </c>
      <c r="G1906">
        <v>93.6</v>
      </c>
      <c r="H1906">
        <v>12</v>
      </c>
      <c r="I1906">
        <v>46.2</v>
      </c>
      <c r="J1906">
        <v>6</v>
      </c>
      <c r="Q1906"/>
    </row>
    <row r="1907" spans="1:17" x14ac:dyDescent="0.25">
      <c r="A1907">
        <v>7</v>
      </c>
      <c r="B1907">
        <v>2016</v>
      </c>
      <c r="C1907" t="s">
        <v>356</v>
      </c>
      <c r="D1907" t="s">
        <v>357</v>
      </c>
      <c r="E1907" t="s">
        <v>358</v>
      </c>
      <c r="F1907" t="s">
        <v>359</v>
      </c>
      <c r="G1907">
        <v>309.60000000000002</v>
      </c>
      <c r="H1907">
        <v>150</v>
      </c>
      <c r="I1907">
        <v>365.4</v>
      </c>
      <c r="J1907">
        <v>174</v>
      </c>
      <c r="Q1907"/>
    </row>
    <row r="1908" spans="1:17" x14ac:dyDescent="0.25">
      <c r="A1908">
        <v>7</v>
      </c>
      <c r="B1908">
        <v>2016</v>
      </c>
      <c r="C1908" t="s">
        <v>360</v>
      </c>
      <c r="D1908" t="s">
        <v>361</v>
      </c>
      <c r="E1908" t="s">
        <v>362</v>
      </c>
      <c r="F1908" t="s">
        <v>363</v>
      </c>
      <c r="G1908">
        <v>1925</v>
      </c>
      <c r="H1908">
        <v>1333</v>
      </c>
      <c r="I1908">
        <v>304</v>
      </c>
      <c r="J1908">
        <v>213.28</v>
      </c>
      <c r="Q1908"/>
    </row>
    <row r="1909" spans="1:17" x14ac:dyDescent="0.25">
      <c r="A1909">
        <v>7</v>
      </c>
      <c r="B1909">
        <v>2016</v>
      </c>
      <c r="C1909" t="s">
        <v>360</v>
      </c>
      <c r="D1909" t="s">
        <v>361</v>
      </c>
      <c r="E1909" t="s">
        <v>364</v>
      </c>
      <c r="F1909" t="s">
        <v>363</v>
      </c>
      <c r="G1909">
        <v>2352.6</v>
      </c>
      <c r="H1909">
        <v>1427.3799999999999</v>
      </c>
      <c r="I1909">
        <v>1529</v>
      </c>
      <c r="J1909">
        <v>933.8</v>
      </c>
      <c r="Q1909"/>
    </row>
    <row r="1910" spans="1:17" x14ac:dyDescent="0.25">
      <c r="A1910">
        <v>7</v>
      </c>
      <c r="B1910">
        <v>2016</v>
      </c>
      <c r="C1910" t="s">
        <v>360</v>
      </c>
      <c r="D1910" t="s">
        <v>361</v>
      </c>
      <c r="E1910" t="s">
        <v>365</v>
      </c>
      <c r="F1910" t="s">
        <v>366</v>
      </c>
      <c r="G1910">
        <v>77.7</v>
      </c>
      <c r="H1910">
        <v>42</v>
      </c>
      <c r="Q1910"/>
    </row>
    <row r="1911" spans="1:17" x14ac:dyDescent="0.25">
      <c r="A1911">
        <v>7</v>
      </c>
      <c r="B1911">
        <v>2016</v>
      </c>
      <c r="C1911" t="s">
        <v>360</v>
      </c>
      <c r="D1911" t="s">
        <v>361</v>
      </c>
      <c r="E1911" t="s">
        <v>367</v>
      </c>
      <c r="F1911" t="s">
        <v>368</v>
      </c>
      <c r="G1911">
        <v>3165.25</v>
      </c>
      <c r="H1911">
        <v>1176</v>
      </c>
      <c r="I1911">
        <v>1992.6</v>
      </c>
      <c r="J1911">
        <v>738</v>
      </c>
      <c r="Q1911"/>
    </row>
    <row r="1912" spans="1:17" x14ac:dyDescent="0.25">
      <c r="A1912">
        <v>7</v>
      </c>
      <c r="B1912">
        <v>2016</v>
      </c>
      <c r="C1912" t="s">
        <v>360</v>
      </c>
      <c r="D1912" t="s">
        <v>361</v>
      </c>
      <c r="E1912" t="s">
        <v>369</v>
      </c>
      <c r="F1912" t="s">
        <v>370</v>
      </c>
      <c r="G1912">
        <v>552</v>
      </c>
      <c r="H1912">
        <v>120</v>
      </c>
      <c r="I1912">
        <v>756</v>
      </c>
      <c r="J1912">
        <v>168</v>
      </c>
      <c r="Q1912"/>
    </row>
    <row r="1913" spans="1:17" x14ac:dyDescent="0.25">
      <c r="A1913">
        <v>7</v>
      </c>
      <c r="B1913">
        <v>2016</v>
      </c>
      <c r="C1913" t="s">
        <v>360</v>
      </c>
      <c r="D1913" t="s">
        <v>361</v>
      </c>
      <c r="E1913" t="s">
        <v>371</v>
      </c>
      <c r="F1913" t="s">
        <v>372</v>
      </c>
      <c r="G1913">
        <v>287.04000000000002</v>
      </c>
      <c r="H1913">
        <v>48</v>
      </c>
      <c r="I1913">
        <v>210.6</v>
      </c>
      <c r="J1913">
        <v>36</v>
      </c>
      <c r="Q1913"/>
    </row>
    <row r="1914" spans="1:17" x14ac:dyDescent="0.25">
      <c r="A1914">
        <v>7</v>
      </c>
      <c r="B1914">
        <v>2016</v>
      </c>
      <c r="C1914" t="s">
        <v>360</v>
      </c>
      <c r="D1914" t="s">
        <v>361</v>
      </c>
      <c r="E1914" t="s">
        <v>748</v>
      </c>
      <c r="F1914" t="s">
        <v>749</v>
      </c>
      <c r="G1914">
        <v>74.400000000000006</v>
      </c>
      <c r="H1914">
        <v>12</v>
      </c>
      <c r="I1914">
        <v>74.400000000000006</v>
      </c>
      <c r="J1914">
        <v>12</v>
      </c>
      <c r="Q1914"/>
    </row>
    <row r="1915" spans="1:17" x14ac:dyDescent="0.25">
      <c r="A1915">
        <v>7</v>
      </c>
      <c r="B1915">
        <v>2016</v>
      </c>
      <c r="C1915" t="s">
        <v>360</v>
      </c>
      <c r="D1915" t="s">
        <v>361</v>
      </c>
      <c r="E1915" t="s">
        <v>750</v>
      </c>
      <c r="F1915" t="s">
        <v>751</v>
      </c>
      <c r="G1915">
        <v>580.5</v>
      </c>
      <c r="H1915">
        <v>54</v>
      </c>
      <c r="I1915">
        <v>567</v>
      </c>
      <c r="J1915">
        <v>54</v>
      </c>
      <c r="Q1915"/>
    </row>
    <row r="1916" spans="1:17" x14ac:dyDescent="0.25">
      <c r="A1916">
        <v>7</v>
      </c>
      <c r="B1916">
        <v>2016</v>
      </c>
      <c r="C1916" t="s">
        <v>360</v>
      </c>
      <c r="D1916" t="s">
        <v>361</v>
      </c>
      <c r="E1916" t="s">
        <v>373</v>
      </c>
      <c r="F1916" t="s">
        <v>374</v>
      </c>
      <c r="G1916">
        <v>264</v>
      </c>
      <c r="H1916">
        <v>96</v>
      </c>
      <c r="Q1916"/>
    </row>
    <row r="1917" spans="1:17" x14ac:dyDescent="0.25">
      <c r="A1917">
        <v>7</v>
      </c>
      <c r="B1917">
        <v>2016</v>
      </c>
      <c r="C1917" t="s">
        <v>360</v>
      </c>
      <c r="D1917" t="s">
        <v>361</v>
      </c>
      <c r="E1917" t="s">
        <v>942</v>
      </c>
      <c r="F1917" t="s">
        <v>943</v>
      </c>
      <c r="G1917">
        <v>319</v>
      </c>
      <c r="H1917">
        <v>126</v>
      </c>
      <c r="Q1917"/>
    </row>
    <row r="1918" spans="1:17" x14ac:dyDescent="0.25">
      <c r="A1918">
        <v>7</v>
      </c>
      <c r="B1918">
        <v>2016</v>
      </c>
      <c r="C1918" t="s">
        <v>360</v>
      </c>
      <c r="D1918" t="s">
        <v>361</v>
      </c>
      <c r="E1918" t="s">
        <v>987</v>
      </c>
      <c r="F1918" t="s">
        <v>988</v>
      </c>
      <c r="G1918">
        <v>1808.86</v>
      </c>
      <c r="H1918">
        <v>623</v>
      </c>
      <c r="Q1918"/>
    </row>
    <row r="1919" spans="1:17" x14ac:dyDescent="0.25">
      <c r="A1919">
        <v>7</v>
      </c>
      <c r="B1919">
        <v>2016</v>
      </c>
      <c r="C1919" t="s">
        <v>360</v>
      </c>
      <c r="D1919" t="s">
        <v>361</v>
      </c>
      <c r="E1919" t="s">
        <v>989</v>
      </c>
      <c r="F1919" t="s">
        <v>988</v>
      </c>
      <c r="G1919">
        <v>178.8</v>
      </c>
      <c r="H1919">
        <v>60</v>
      </c>
      <c r="Q1919"/>
    </row>
    <row r="1920" spans="1:17" x14ac:dyDescent="0.25">
      <c r="A1920">
        <v>7</v>
      </c>
      <c r="B1920">
        <v>2016</v>
      </c>
      <c r="C1920" t="s">
        <v>360</v>
      </c>
      <c r="D1920" t="s">
        <v>361</v>
      </c>
      <c r="E1920" t="s">
        <v>990</v>
      </c>
      <c r="F1920" t="s">
        <v>991</v>
      </c>
      <c r="G1920">
        <v>1869.6</v>
      </c>
      <c r="H1920">
        <v>462</v>
      </c>
      <c r="Q1920"/>
    </row>
    <row r="1921" spans="1:17" x14ac:dyDescent="0.25">
      <c r="A1921">
        <v>7</v>
      </c>
      <c r="B1921">
        <v>2016</v>
      </c>
      <c r="C1921" t="s">
        <v>360</v>
      </c>
      <c r="D1921" t="s">
        <v>361</v>
      </c>
      <c r="E1921" t="s">
        <v>992</v>
      </c>
      <c r="F1921" t="s">
        <v>991</v>
      </c>
      <c r="G1921">
        <v>393.6</v>
      </c>
      <c r="H1921">
        <v>96</v>
      </c>
      <c r="Q1921"/>
    </row>
    <row r="1922" spans="1:17" x14ac:dyDescent="0.25">
      <c r="A1922">
        <v>7</v>
      </c>
      <c r="B1922">
        <v>2016</v>
      </c>
      <c r="C1922" t="s">
        <v>375</v>
      </c>
      <c r="D1922" t="s">
        <v>376</v>
      </c>
      <c r="E1922" t="s">
        <v>380</v>
      </c>
      <c r="F1922" t="s">
        <v>378</v>
      </c>
      <c r="G1922">
        <v>35.94</v>
      </c>
      <c r="H1922">
        <v>26.66</v>
      </c>
      <c r="I1922">
        <v>453.33</v>
      </c>
      <c r="J1922">
        <v>359.91</v>
      </c>
      <c r="Q1922"/>
    </row>
    <row r="1923" spans="1:17" x14ac:dyDescent="0.25">
      <c r="A1923">
        <v>7</v>
      </c>
      <c r="B1923">
        <v>2016</v>
      </c>
      <c r="C1923" t="s">
        <v>375</v>
      </c>
      <c r="D1923" t="s">
        <v>376</v>
      </c>
      <c r="E1923" t="s">
        <v>381</v>
      </c>
      <c r="F1923" t="s">
        <v>378</v>
      </c>
      <c r="G1923">
        <v>317.12</v>
      </c>
      <c r="H1923">
        <v>213.44</v>
      </c>
      <c r="I1923">
        <v>305.58</v>
      </c>
      <c r="J1923">
        <v>220.10999999999999</v>
      </c>
      <c r="Q1923"/>
    </row>
    <row r="1924" spans="1:17" x14ac:dyDescent="0.25">
      <c r="A1924">
        <v>7</v>
      </c>
      <c r="B1924">
        <v>2016</v>
      </c>
      <c r="C1924" t="s">
        <v>386</v>
      </c>
      <c r="D1924" t="s">
        <v>387</v>
      </c>
      <c r="E1924" t="s">
        <v>388</v>
      </c>
      <c r="F1924" t="s">
        <v>389</v>
      </c>
      <c r="G1924">
        <v>65.7</v>
      </c>
      <c r="H1924">
        <v>18</v>
      </c>
      <c r="I1924">
        <v>127.8</v>
      </c>
      <c r="J1924">
        <v>36</v>
      </c>
      <c r="Q1924"/>
    </row>
    <row r="1925" spans="1:17" x14ac:dyDescent="0.25">
      <c r="A1925">
        <v>7</v>
      </c>
      <c r="B1925">
        <v>2016</v>
      </c>
      <c r="C1925" t="s">
        <v>386</v>
      </c>
      <c r="D1925" t="s">
        <v>387</v>
      </c>
      <c r="E1925" t="s">
        <v>390</v>
      </c>
      <c r="F1925" t="s">
        <v>391</v>
      </c>
      <c r="G1925">
        <v>88.8</v>
      </c>
      <c r="H1925">
        <v>24</v>
      </c>
      <c r="Q1925"/>
    </row>
    <row r="1926" spans="1:17" x14ac:dyDescent="0.25">
      <c r="A1926">
        <v>7</v>
      </c>
      <c r="B1926">
        <v>2016</v>
      </c>
      <c r="C1926" t="s">
        <v>386</v>
      </c>
      <c r="D1926" t="s">
        <v>387</v>
      </c>
      <c r="E1926" t="s">
        <v>392</v>
      </c>
      <c r="F1926" t="s">
        <v>393</v>
      </c>
      <c r="G1926">
        <v>398.4</v>
      </c>
      <c r="H1926">
        <v>96</v>
      </c>
      <c r="I1926">
        <v>516.6</v>
      </c>
      <c r="J1926">
        <v>126</v>
      </c>
      <c r="Q1926"/>
    </row>
    <row r="1927" spans="1:17" x14ac:dyDescent="0.25">
      <c r="A1927">
        <v>7</v>
      </c>
      <c r="B1927">
        <v>2016</v>
      </c>
      <c r="C1927" t="s">
        <v>386</v>
      </c>
      <c r="D1927" t="s">
        <v>387</v>
      </c>
      <c r="E1927" t="s">
        <v>394</v>
      </c>
      <c r="F1927" t="s">
        <v>395</v>
      </c>
      <c r="G1927">
        <v>935</v>
      </c>
      <c r="H1927">
        <v>586.52</v>
      </c>
      <c r="I1927">
        <v>465.75</v>
      </c>
      <c r="J1927">
        <v>306.58999999999997</v>
      </c>
      <c r="Q1927"/>
    </row>
    <row r="1928" spans="1:17" x14ac:dyDescent="0.25">
      <c r="A1928">
        <v>7</v>
      </c>
      <c r="B1928">
        <v>2016</v>
      </c>
      <c r="C1928" t="s">
        <v>386</v>
      </c>
      <c r="D1928" t="s">
        <v>387</v>
      </c>
      <c r="E1928" t="s">
        <v>396</v>
      </c>
      <c r="F1928" t="s">
        <v>397</v>
      </c>
      <c r="G1928">
        <v>990</v>
      </c>
      <c r="H1928">
        <v>500.25</v>
      </c>
      <c r="I1928">
        <v>671</v>
      </c>
      <c r="J1928">
        <v>380.19</v>
      </c>
      <c r="Q1928"/>
    </row>
    <row r="1929" spans="1:17" x14ac:dyDescent="0.25">
      <c r="A1929">
        <v>7</v>
      </c>
      <c r="B1929">
        <v>2016</v>
      </c>
      <c r="C1929" t="s">
        <v>386</v>
      </c>
      <c r="D1929" t="s">
        <v>387</v>
      </c>
      <c r="E1929" t="s">
        <v>398</v>
      </c>
      <c r="F1929" t="s">
        <v>399</v>
      </c>
      <c r="G1929">
        <v>811.8</v>
      </c>
      <c r="H1929">
        <v>198</v>
      </c>
      <c r="I1929">
        <v>1579.5</v>
      </c>
      <c r="J1929">
        <v>390</v>
      </c>
      <c r="Q1929"/>
    </row>
    <row r="1930" spans="1:17" x14ac:dyDescent="0.25">
      <c r="A1930">
        <v>7</v>
      </c>
      <c r="B1930">
        <v>2016</v>
      </c>
      <c r="C1930" t="s">
        <v>404</v>
      </c>
      <c r="D1930" t="s">
        <v>405</v>
      </c>
      <c r="E1930" t="s">
        <v>406</v>
      </c>
      <c r="F1930" t="s">
        <v>407</v>
      </c>
      <c r="G1930">
        <v>922.2</v>
      </c>
      <c r="H1930">
        <v>174</v>
      </c>
      <c r="I1930">
        <v>1404</v>
      </c>
      <c r="J1930">
        <v>270</v>
      </c>
      <c r="Q1930"/>
    </row>
    <row r="1931" spans="1:17" x14ac:dyDescent="0.25">
      <c r="A1931">
        <v>7</v>
      </c>
      <c r="B1931">
        <v>2016</v>
      </c>
      <c r="C1931" t="s">
        <v>412</v>
      </c>
      <c r="D1931" t="s">
        <v>413</v>
      </c>
      <c r="E1931" t="s">
        <v>414</v>
      </c>
      <c r="F1931" t="s">
        <v>415</v>
      </c>
      <c r="G1931">
        <v>1087.8</v>
      </c>
      <c r="H1931">
        <v>294</v>
      </c>
      <c r="I1931">
        <v>2375.4</v>
      </c>
      <c r="J1931">
        <v>642</v>
      </c>
      <c r="Q1931"/>
    </row>
    <row r="1932" spans="1:17" x14ac:dyDescent="0.25">
      <c r="A1932">
        <v>7</v>
      </c>
      <c r="B1932">
        <v>2016</v>
      </c>
      <c r="C1932" t="s">
        <v>412</v>
      </c>
      <c r="D1932" t="s">
        <v>413</v>
      </c>
      <c r="E1932" t="s">
        <v>822</v>
      </c>
      <c r="F1932" t="s">
        <v>823</v>
      </c>
      <c r="G1932">
        <v>26.4</v>
      </c>
      <c r="H1932">
        <v>6</v>
      </c>
      <c r="I1932">
        <v>211.2</v>
      </c>
      <c r="J1932">
        <v>48</v>
      </c>
      <c r="Q1932"/>
    </row>
    <row r="1933" spans="1:17" x14ac:dyDescent="0.25">
      <c r="A1933">
        <v>7</v>
      </c>
      <c r="B1933">
        <v>2016</v>
      </c>
      <c r="C1933" t="s">
        <v>412</v>
      </c>
      <c r="D1933" t="s">
        <v>413</v>
      </c>
      <c r="E1933" t="s">
        <v>944</v>
      </c>
      <c r="F1933" t="s">
        <v>945</v>
      </c>
      <c r="G1933">
        <v>0</v>
      </c>
      <c r="H1933">
        <v>6</v>
      </c>
      <c r="Q1933"/>
    </row>
    <row r="1934" spans="1:17" x14ac:dyDescent="0.25">
      <c r="A1934">
        <v>7</v>
      </c>
      <c r="B1934">
        <v>2016</v>
      </c>
      <c r="C1934" t="s">
        <v>412</v>
      </c>
      <c r="D1934" t="s">
        <v>413</v>
      </c>
      <c r="E1934" t="s">
        <v>416</v>
      </c>
      <c r="F1934" t="s">
        <v>417</v>
      </c>
      <c r="G1934">
        <v>397.8</v>
      </c>
      <c r="H1934">
        <v>108</v>
      </c>
      <c r="I1934">
        <v>0</v>
      </c>
      <c r="J1934">
        <v>6</v>
      </c>
      <c r="Q1934"/>
    </row>
    <row r="1935" spans="1:17" x14ac:dyDescent="0.25">
      <c r="A1935">
        <v>7</v>
      </c>
      <c r="B1935">
        <v>2016</v>
      </c>
      <c r="C1935" t="s">
        <v>412</v>
      </c>
      <c r="D1935" t="s">
        <v>413</v>
      </c>
      <c r="E1935" t="s">
        <v>824</v>
      </c>
      <c r="F1935" t="s">
        <v>825</v>
      </c>
      <c r="G1935">
        <v>64.8</v>
      </c>
      <c r="H1935">
        <v>12</v>
      </c>
      <c r="I1935">
        <v>64.8</v>
      </c>
      <c r="J1935">
        <v>12</v>
      </c>
      <c r="Q1935"/>
    </row>
    <row r="1936" spans="1:17" x14ac:dyDescent="0.25">
      <c r="A1936">
        <v>7</v>
      </c>
      <c r="B1936">
        <v>2016</v>
      </c>
      <c r="C1936" t="s">
        <v>412</v>
      </c>
      <c r="D1936" t="s">
        <v>413</v>
      </c>
      <c r="E1936" t="s">
        <v>418</v>
      </c>
      <c r="F1936" t="s">
        <v>419</v>
      </c>
      <c r="G1936">
        <v>1032.3</v>
      </c>
      <c r="H1936">
        <v>222</v>
      </c>
      <c r="I1936">
        <v>1004.4</v>
      </c>
      <c r="J1936">
        <v>216</v>
      </c>
      <c r="Q1936"/>
    </row>
    <row r="1937" spans="1:17" x14ac:dyDescent="0.25">
      <c r="A1937">
        <v>7</v>
      </c>
      <c r="B1937">
        <v>2016</v>
      </c>
      <c r="C1937" t="s">
        <v>412</v>
      </c>
      <c r="D1937" t="s">
        <v>413</v>
      </c>
      <c r="E1937" t="s">
        <v>420</v>
      </c>
      <c r="F1937" t="s">
        <v>421</v>
      </c>
      <c r="G1937">
        <v>148.80000000000001</v>
      </c>
      <c r="H1937">
        <v>24</v>
      </c>
      <c r="I1937">
        <v>111.6</v>
      </c>
      <c r="J1937">
        <v>24</v>
      </c>
      <c r="Q1937"/>
    </row>
    <row r="1938" spans="1:17" x14ac:dyDescent="0.25">
      <c r="A1938">
        <v>7</v>
      </c>
      <c r="B1938">
        <v>2016</v>
      </c>
      <c r="C1938" t="s">
        <v>412</v>
      </c>
      <c r="D1938" t="s">
        <v>413</v>
      </c>
      <c r="E1938" t="s">
        <v>757</v>
      </c>
      <c r="F1938" t="s">
        <v>758</v>
      </c>
      <c r="G1938">
        <v>244.8</v>
      </c>
      <c r="H1938">
        <v>36</v>
      </c>
      <c r="I1938">
        <v>408</v>
      </c>
      <c r="J1938">
        <v>60</v>
      </c>
      <c r="Q1938"/>
    </row>
    <row r="1939" spans="1:17" x14ac:dyDescent="0.25">
      <c r="A1939">
        <v>7</v>
      </c>
      <c r="B1939">
        <v>2016</v>
      </c>
      <c r="C1939" t="s">
        <v>412</v>
      </c>
      <c r="D1939" t="s">
        <v>413</v>
      </c>
      <c r="E1939" t="s">
        <v>759</v>
      </c>
      <c r="F1939" t="s">
        <v>758</v>
      </c>
      <c r="G1939">
        <v>42</v>
      </c>
      <c r="H1939">
        <v>6</v>
      </c>
      <c r="Q1939"/>
    </row>
    <row r="1940" spans="1:17" x14ac:dyDescent="0.25">
      <c r="A1940">
        <v>7</v>
      </c>
      <c r="B1940">
        <v>2016</v>
      </c>
      <c r="C1940" t="s">
        <v>412</v>
      </c>
      <c r="D1940" t="s">
        <v>413</v>
      </c>
      <c r="E1940" t="s">
        <v>946</v>
      </c>
      <c r="F1940" t="s">
        <v>425</v>
      </c>
      <c r="G1940">
        <v>390</v>
      </c>
      <c r="H1940">
        <v>79.98</v>
      </c>
      <c r="Q1940"/>
    </row>
    <row r="1941" spans="1:17" x14ac:dyDescent="0.25">
      <c r="A1941">
        <v>7</v>
      </c>
      <c r="B1941">
        <v>2016</v>
      </c>
      <c r="C1941" t="s">
        <v>412</v>
      </c>
      <c r="D1941" t="s">
        <v>413</v>
      </c>
      <c r="E1941" t="s">
        <v>424</v>
      </c>
      <c r="F1941" t="s">
        <v>425</v>
      </c>
      <c r="G1941">
        <v>195</v>
      </c>
      <c r="H1941">
        <v>39.99</v>
      </c>
      <c r="Q1941"/>
    </row>
    <row r="1942" spans="1:17" x14ac:dyDescent="0.25">
      <c r="A1942">
        <v>7</v>
      </c>
      <c r="B1942">
        <v>2016</v>
      </c>
      <c r="C1942" t="s">
        <v>426</v>
      </c>
      <c r="D1942" t="s">
        <v>427</v>
      </c>
      <c r="E1942" t="s">
        <v>428</v>
      </c>
      <c r="F1942" t="s">
        <v>429</v>
      </c>
      <c r="G1942">
        <v>135</v>
      </c>
      <c r="H1942">
        <v>18</v>
      </c>
      <c r="Q1942"/>
    </row>
    <row r="1943" spans="1:17" x14ac:dyDescent="0.25">
      <c r="A1943">
        <v>7</v>
      </c>
      <c r="B1943">
        <v>2016</v>
      </c>
      <c r="C1943" t="s">
        <v>432</v>
      </c>
      <c r="D1943" t="s">
        <v>433</v>
      </c>
      <c r="E1943" t="s">
        <v>434</v>
      </c>
      <c r="F1943" t="s">
        <v>435</v>
      </c>
      <c r="G1943">
        <v>99</v>
      </c>
      <c r="H1943">
        <v>36</v>
      </c>
      <c r="I1943">
        <v>358.8</v>
      </c>
      <c r="J1943">
        <v>138</v>
      </c>
      <c r="Q1943"/>
    </row>
    <row r="1944" spans="1:17" x14ac:dyDescent="0.25">
      <c r="A1944">
        <v>7</v>
      </c>
      <c r="B1944">
        <v>2016</v>
      </c>
      <c r="C1944" t="s">
        <v>432</v>
      </c>
      <c r="D1944" t="s">
        <v>433</v>
      </c>
      <c r="E1944" t="s">
        <v>436</v>
      </c>
      <c r="F1944" t="s">
        <v>437</v>
      </c>
      <c r="G1944">
        <v>932.4</v>
      </c>
      <c r="H1944">
        <v>444</v>
      </c>
      <c r="I1944">
        <v>947.1</v>
      </c>
      <c r="J1944">
        <v>462</v>
      </c>
      <c r="Q1944"/>
    </row>
    <row r="1945" spans="1:17" x14ac:dyDescent="0.25">
      <c r="A1945">
        <v>7</v>
      </c>
      <c r="B1945">
        <v>2016</v>
      </c>
      <c r="C1945" t="s">
        <v>438</v>
      </c>
      <c r="D1945" t="s">
        <v>439</v>
      </c>
      <c r="E1945" t="s">
        <v>440</v>
      </c>
      <c r="F1945" t="s">
        <v>441</v>
      </c>
      <c r="G1945">
        <v>3567.42</v>
      </c>
      <c r="H1945">
        <v>2352</v>
      </c>
      <c r="I1945">
        <v>2337.6</v>
      </c>
      <c r="J1945">
        <v>1536</v>
      </c>
      <c r="Q1945"/>
    </row>
    <row r="1946" spans="1:17" x14ac:dyDescent="0.25">
      <c r="A1946">
        <v>7</v>
      </c>
      <c r="B1946">
        <v>2016</v>
      </c>
      <c r="C1946" t="s">
        <v>438</v>
      </c>
      <c r="D1946" t="s">
        <v>439</v>
      </c>
      <c r="E1946" t="s">
        <v>442</v>
      </c>
      <c r="F1946" t="s">
        <v>441</v>
      </c>
      <c r="G1946">
        <v>12402.58</v>
      </c>
      <c r="H1946">
        <v>8706</v>
      </c>
      <c r="I1946">
        <v>12179.36</v>
      </c>
      <c r="J1946">
        <v>8694</v>
      </c>
      <c r="Q1946"/>
    </row>
    <row r="1947" spans="1:17" x14ac:dyDescent="0.25">
      <c r="A1947">
        <v>7</v>
      </c>
      <c r="B1947">
        <v>2016</v>
      </c>
      <c r="C1947" t="s">
        <v>438</v>
      </c>
      <c r="D1947" t="s">
        <v>439</v>
      </c>
      <c r="E1947" t="s">
        <v>443</v>
      </c>
      <c r="F1947" t="s">
        <v>441</v>
      </c>
      <c r="G1947">
        <v>138.84</v>
      </c>
      <c r="H1947">
        <v>84</v>
      </c>
      <c r="I1947">
        <v>232.32</v>
      </c>
      <c r="J1947">
        <v>138</v>
      </c>
      <c r="Q1947"/>
    </row>
    <row r="1948" spans="1:17" x14ac:dyDescent="0.25">
      <c r="A1948">
        <v>7</v>
      </c>
      <c r="B1948">
        <v>2016</v>
      </c>
      <c r="C1948" t="s">
        <v>438</v>
      </c>
      <c r="D1948" t="s">
        <v>439</v>
      </c>
      <c r="E1948" t="s">
        <v>444</v>
      </c>
      <c r="F1948" t="s">
        <v>445</v>
      </c>
      <c r="G1948">
        <v>320.33999999999997</v>
      </c>
      <c r="H1948">
        <v>114</v>
      </c>
      <c r="I1948">
        <v>168.6</v>
      </c>
      <c r="J1948">
        <v>60</v>
      </c>
      <c r="Q1948"/>
    </row>
    <row r="1949" spans="1:17" x14ac:dyDescent="0.25">
      <c r="A1949">
        <v>7</v>
      </c>
      <c r="B1949">
        <v>2016</v>
      </c>
      <c r="C1949" t="s">
        <v>438</v>
      </c>
      <c r="D1949" t="s">
        <v>439</v>
      </c>
      <c r="E1949" t="s">
        <v>446</v>
      </c>
      <c r="F1949" t="s">
        <v>447</v>
      </c>
      <c r="G1949">
        <v>140.16</v>
      </c>
      <c r="H1949">
        <v>48</v>
      </c>
      <c r="I1949">
        <v>136.80000000000001</v>
      </c>
      <c r="J1949">
        <v>48</v>
      </c>
      <c r="Q1949"/>
    </row>
    <row r="1950" spans="1:17" x14ac:dyDescent="0.25">
      <c r="A1950">
        <v>7</v>
      </c>
      <c r="B1950">
        <v>2016</v>
      </c>
      <c r="C1950" t="s">
        <v>438</v>
      </c>
      <c r="D1950" t="s">
        <v>439</v>
      </c>
      <c r="E1950" t="s">
        <v>966</v>
      </c>
      <c r="F1950" t="s">
        <v>967</v>
      </c>
      <c r="G1950">
        <v>53.76</v>
      </c>
      <c r="H1950">
        <v>24</v>
      </c>
      <c r="Q1950"/>
    </row>
    <row r="1951" spans="1:17" x14ac:dyDescent="0.25">
      <c r="A1951">
        <v>7</v>
      </c>
      <c r="B1951">
        <v>2016</v>
      </c>
      <c r="C1951" t="s">
        <v>448</v>
      </c>
      <c r="D1951" t="s">
        <v>449</v>
      </c>
      <c r="E1951" t="s">
        <v>450</v>
      </c>
      <c r="F1951" t="s">
        <v>451</v>
      </c>
      <c r="G1951">
        <v>336.6</v>
      </c>
      <c r="H1951">
        <v>239.94</v>
      </c>
      <c r="I1951">
        <v>546</v>
      </c>
      <c r="J1951">
        <v>399.9</v>
      </c>
      <c r="Q1951"/>
    </row>
    <row r="1952" spans="1:17" x14ac:dyDescent="0.25">
      <c r="A1952">
        <v>7</v>
      </c>
      <c r="B1952">
        <v>2016</v>
      </c>
      <c r="C1952" t="s">
        <v>448</v>
      </c>
      <c r="D1952" t="s">
        <v>449</v>
      </c>
      <c r="E1952" t="s">
        <v>452</v>
      </c>
      <c r="F1952" t="s">
        <v>451</v>
      </c>
      <c r="G1952">
        <v>334.5</v>
      </c>
      <c r="H1952">
        <v>200.1</v>
      </c>
      <c r="I1952">
        <v>376.25</v>
      </c>
      <c r="J1952">
        <v>233.45</v>
      </c>
      <c r="Q1952"/>
    </row>
    <row r="1953" spans="1:17" x14ac:dyDescent="0.25">
      <c r="A1953">
        <v>7</v>
      </c>
      <c r="B1953">
        <v>2016</v>
      </c>
      <c r="C1953" t="s">
        <v>448</v>
      </c>
      <c r="D1953" t="s">
        <v>449</v>
      </c>
      <c r="E1953" t="s">
        <v>949</v>
      </c>
      <c r="F1953" t="s">
        <v>451</v>
      </c>
      <c r="G1953">
        <v>28.8</v>
      </c>
      <c r="H1953">
        <v>12</v>
      </c>
      <c r="I1953">
        <v>115.2</v>
      </c>
      <c r="J1953">
        <v>48</v>
      </c>
      <c r="Q1953"/>
    </row>
    <row r="1954" spans="1:17" x14ac:dyDescent="0.25">
      <c r="A1954">
        <v>7</v>
      </c>
      <c r="B1954">
        <v>2016</v>
      </c>
      <c r="C1954" t="s">
        <v>448</v>
      </c>
      <c r="D1954" t="s">
        <v>449</v>
      </c>
      <c r="E1954" t="s">
        <v>453</v>
      </c>
      <c r="F1954" t="s">
        <v>454</v>
      </c>
      <c r="G1954">
        <v>18.899999999999999</v>
      </c>
      <c r="H1954">
        <v>6</v>
      </c>
      <c r="I1954">
        <v>585.6</v>
      </c>
      <c r="J1954">
        <v>192</v>
      </c>
      <c r="Q1954"/>
    </row>
    <row r="1955" spans="1:17" x14ac:dyDescent="0.25">
      <c r="A1955">
        <v>7</v>
      </c>
      <c r="B1955">
        <v>2016</v>
      </c>
      <c r="C1955" t="s">
        <v>448</v>
      </c>
      <c r="D1955" t="s">
        <v>449</v>
      </c>
      <c r="E1955" t="s">
        <v>968</v>
      </c>
      <c r="F1955" t="s">
        <v>969</v>
      </c>
      <c r="G1955">
        <v>46.8</v>
      </c>
      <c r="H1955">
        <v>12</v>
      </c>
      <c r="I1955">
        <v>93.6</v>
      </c>
      <c r="J1955">
        <v>24</v>
      </c>
      <c r="Q1955"/>
    </row>
    <row r="1956" spans="1:17" x14ac:dyDescent="0.25">
      <c r="A1956">
        <v>7</v>
      </c>
      <c r="B1956">
        <v>2016</v>
      </c>
      <c r="C1956" t="s">
        <v>455</v>
      </c>
      <c r="D1956" t="s">
        <v>456</v>
      </c>
      <c r="E1956" t="s">
        <v>457</v>
      </c>
      <c r="F1956" t="s">
        <v>458</v>
      </c>
      <c r="G1956">
        <v>923.4</v>
      </c>
      <c r="H1956">
        <v>162</v>
      </c>
      <c r="I1956">
        <v>1188</v>
      </c>
      <c r="J1956">
        <v>216</v>
      </c>
      <c r="Q1956"/>
    </row>
    <row r="1957" spans="1:17" x14ac:dyDescent="0.25">
      <c r="A1957">
        <v>7</v>
      </c>
      <c r="B1957">
        <v>2016</v>
      </c>
      <c r="C1957" t="s">
        <v>455</v>
      </c>
      <c r="D1957" t="s">
        <v>456</v>
      </c>
      <c r="E1957" t="s">
        <v>459</v>
      </c>
      <c r="F1957" t="s">
        <v>458</v>
      </c>
      <c r="G1957">
        <v>264.60000000000002</v>
      </c>
      <c r="H1957">
        <v>42</v>
      </c>
      <c r="I1957">
        <v>0</v>
      </c>
      <c r="J1957">
        <v>0</v>
      </c>
      <c r="Q1957"/>
    </row>
    <row r="1958" spans="1:17" x14ac:dyDescent="0.25">
      <c r="A1958">
        <v>7</v>
      </c>
      <c r="B1958">
        <v>2016</v>
      </c>
      <c r="C1958" t="s">
        <v>455</v>
      </c>
      <c r="D1958" t="s">
        <v>456</v>
      </c>
      <c r="E1958" t="s">
        <v>460</v>
      </c>
      <c r="F1958" t="s">
        <v>458</v>
      </c>
      <c r="G1958">
        <v>684</v>
      </c>
      <c r="H1958">
        <v>114</v>
      </c>
      <c r="I1958">
        <v>1000.5</v>
      </c>
      <c r="J1958">
        <v>174</v>
      </c>
      <c r="Q1958"/>
    </row>
    <row r="1959" spans="1:17" x14ac:dyDescent="0.25">
      <c r="A1959">
        <v>7</v>
      </c>
      <c r="B1959">
        <v>2016</v>
      </c>
      <c r="C1959" t="s">
        <v>455</v>
      </c>
      <c r="D1959" t="s">
        <v>456</v>
      </c>
      <c r="E1959" t="s">
        <v>461</v>
      </c>
      <c r="F1959" t="s">
        <v>458</v>
      </c>
      <c r="G1959">
        <v>198</v>
      </c>
      <c r="H1959">
        <v>30</v>
      </c>
      <c r="I1959">
        <v>38.4</v>
      </c>
      <c r="J1959">
        <v>6</v>
      </c>
      <c r="Q1959"/>
    </row>
    <row r="1960" spans="1:17" x14ac:dyDescent="0.25">
      <c r="A1960">
        <v>7</v>
      </c>
      <c r="B1960">
        <v>2016</v>
      </c>
      <c r="C1960" t="s">
        <v>462</v>
      </c>
      <c r="D1960" t="s">
        <v>463</v>
      </c>
      <c r="E1960" t="s">
        <v>464</v>
      </c>
      <c r="F1960" t="s">
        <v>465</v>
      </c>
      <c r="G1960">
        <v>643.5</v>
      </c>
      <c r="H1960">
        <v>234</v>
      </c>
      <c r="I1960">
        <v>1539</v>
      </c>
      <c r="J1960">
        <v>570</v>
      </c>
      <c r="Q1960"/>
    </row>
    <row r="1961" spans="1:17" x14ac:dyDescent="0.25">
      <c r="A1961">
        <v>7</v>
      </c>
      <c r="B1961">
        <v>2016</v>
      </c>
      <c r="C1961" t="s">
        <v>462</v>
      </c>
      <c r="D1961" t="s">
        <v>463</v>
      </c>
      <c r="E1961" t="s">
        <v>466</v>
      </c>
      <c r="F1961" t="s">
        <v>465</v>
      </c>
      <c r="G1961">
        <v>101.4</v>
      </c>
      <c r="H1961">
        <v>30</v>
      </c>
      <c r="I1961">
        <v>257.39999999999998</v>
      </c>
      <c r="J1961">
        <v>78</v>
      </c>
      <c r="Q1961"/>
    </row>
    <row r="1962" spans="1:17" x14ac:dyDescent="0.25">
      <c r="A1962">
        <v>7</v>
      </c>
      <c r="B1962">
        <v>2016</v>
      </c>
      <c r="C1962" t="s">
        <v>462</v>
      </c>
      <c r="D1962" t="s">
        <v>463</v>
      </c>
      <c r="E1962" t="s">
        <v>467</v>
      </c>
      <c r="F1962" t="s">
        <v>468</v>
      </c>
      <c r="G1962">
        <v>42.3</v>
      </c>
      <c r="H1962">
        <v>18</v>
      </c>
      <c r="I1962">
        <v>310.2</v>
      </c>
      <c r="J1962">
        <v>132</v>
      </c>
      <c r="Q1962"/>
    </row>
    <row r="1963" spans="1:17" x14ac:dyDescent="0.25">
      <c r="A1963">
        <v>7</v>
      </c>
      <c r="B1963">
        <v>2016</v>
      </c>
      <c r="C1963" t="s">
        <v>462</v>
      </c>
      <c r="D1963" t="s">
        <v>463</v>
      </c>
      <c r="E1963" t="s">
        <v>760</v>
      </c>
      <c r="F1963" t="s">
        <v>468</v>
      </c>
      <c r="G1963">
        <v>54.36</v>
      </c>
      <c r="H1963">
        <v>18</v>
      </c>
      <c r="Q1963"/>
    </row>
    <row r="1964" spans="1:17" x14ac:dyDescent="0.25">
      <c r="A1964">
        <v>7</v>
      </c>
      <c r="B1964">
        <v>2016</v>
      </c>
      <c r="C1964" t="s">
        <v>462</v>
      </c>
      <c r="D1964" t="s">
        <v>463</v>
      </c>
      <c r="E1964" t="s">
        <v>469</v>
      </c>
      <c r="F1964" t="s">
        <v>470</v>
      </c>
      <c r="G1964">
        <v>346.5</v>
      </c>
      <c r="H1964">
        <v>199.95</v>
      </c>
      <c r="I1964">
        <v>499.4</v>
      </c>
      <c r="J1964">
        <v>293.26</v>
      </c>
      <c r="Q1964"/>
    </row>
    <row r="1965" spans="1:17" x14ac:dyDescent="0.25">
      <c r="A1965">
        <v>7</v>
      </c>
      <c r="B1965">
        <v>2016</v>
      </c>
      <c r="C1965" t="s">
        <v>462</v>
      </c>
      <c r="D1965" t="s">
        <v>463</v>
      </c>
      <c r="E1965" t="s">
        <v>471</v>
      </c>
      <c r="F1965" t="s">
        <v>470</v>
      </c>
      <c r="G1965">
        <v>607.5</v>
      </c>
      <c r="H1965">
        <v>300.14999999999998</v>
      </c>
      <c r="I1965">
        <v>673.92</v>
      </c>
      <c r="J1965">
        <v>353.51</v>
      </c>
      <c r="Q1965"/>
    </row>
    <row r="1966" spans="1:17" x14ac:dyDescent="0.25">
      <c r="A1966">
        <v>7</v>
      </c>
      <c r="B1966">
        <v>2016</v>
      </c>
      <c r="C1966" t="s">
        <v>462</v>
      </c>
      <c r="D1966" t="s">
        <v>463</v>
      </c>
      <c r="E1966" t="s">
        <v>472</v>
      </c>
      <c r="F1966" t="s">
        <v>473</v>
      </c>
      <c r="G1966">
        <v>140.16</v>
      </c>
      <c r="H1966">
        <v>106.64</v>
      </c>
      <c r="I1966">
        <v>245.28</v>
      </c>
      <c r="J1966">
        <v>186.62</v>
      </c>
      <c r="Q1966"/>
    </row>
    <row r="1967" spans="1:17" x14ac:dyDescent="0.25">
      <c r="A1967">
        <v>7</v>
      </c>
      <c r="B1967">
        <v>2016</v>
      </c>
      <c r="C1967" t="s">
        <v>462</v>
      </c>
      <c r="D1967" t="s">
        <v>463</v>
      </c>
      <c r="E1967" t="s">
        <v>474</v>
      </c>
      <c r="F1967" t="s">
        <v>475</v>
      </c>
      <c r="G1967">
        <v>39.92</v>
      </c>
      <c r="H1967">
        <v>26.68</v>
      </c>
      <c r="I1967">
        <v>19.96</v>
      </c>
      <c r="J1967">
        <v>13.34</v>
      </c>
      <c r="Q1967"/>
    </row>
    <row r="1968" spans="1:17" x14ac:dyDescent="0.25">
      <c r="A1968">
        <v>7</v>
      </c>
      <c r="B1968">
        <v>2016</v>
      </c>
      <c r="C1968" t="s">
        <v>476</v>
      </c>
      <c r="D1968" t="s">
        <v>477</v>
      </c>
      <c r="E1968" t="s">
        <v>478</v>
      </c>
      <c r="F1968" t="s">
        <v>479</v>
      </c>
      <c r="G1968">
        <v>1246.2</v>
      </c>
      <c r="H1968">
        <v>186</v>
      </c>
      <c r="I1968">
        <v>729.6</v>
      </c>
      <c r="J1968">
        <v>114</v>
      </c>
      <c r="Q1968"/>
    </row>
    <row r="1969" spans="1:17" x14ac:dyDescent="0.25">
      <c r="A1969">
        <v>7</v>
      </c>
      <c r="B1969">
        <v>2016</v>
      </c>
      <c r="C1969" t="s">
        <v>476</v>
      </c>
      <c r="D1969" t="s">
        <v>477</v>
      </c>
      <c r="E1969" t="s">
        <v>480</v>
      </c>
      <c r="F1969" t="s">
        <v>481</v>
      </c>
      <c r="G1969">
        <v>42</v>
      </c>
      <c r="H1969">
        <v>6</v>
      </c>
      <c r="Q1969"/>
    </row>
    <row r="1970" spans="1:17" x14ac:dyDescent="0.25">
      <c r="A1970">
        <v>7</v>
      </c>
      <c r="B1970">
        <v>2016</v>
      </c>
      <c r="C1970" t="s">
        <v>476</v>
      </c>
      <c r="D1970" t="s">
        <v>477</v>
      </c>
      <c r="E1970" t="s">
        <v>482</v>
      </c>
      <c r="F1970" t="s">
        <v>483</v>
      </c>
      <c r="G1970">
        <v>43.5</v>
      </c>
      <c r="H1970">
        <v>39.99</v>
      </c>
      <c r="I1970">
        <v>303.60000000000002</v>
      </c>
      <c r="J1970">
        <v>293.26</v>
      </c>
      <c r="Q1970"/>
    </row>
    <row r="1971" spans="1:17" x14ac:dyDescent="0.25">
      <c r="A1971">
        <v>7</v>
      </c>
      <c r="B1971">
        <v>2016</v>
      </c>
      <c r="C1971" t="s">
        <v>485</v>
      </c>
      <c r="D1971" t="s">
        <v>486</v>
      </c>
      <c r="E1971" t="s">
        <v>487</v>
      </c>
      <c r="F1971" t="s">
        <v>488</v>
      </c>
      <c r="G1971">
        <v>690</v>
      </c>
      <c r="H1971">
        <v>150</v>
      </c>
      <c r="I1971">
        <v>1688.05</v>
      </c>
      <c r="J1971">
        <v>372</v>
      </c>
      <c r="Q1971"/>
    </row>
    <row r="1972" spans="1:17" x14ac:dyDescent="0.25">
      <c r="A1972">
        <v>7</v>
      </c>
      <c r="B1972">
        <v>2016</v>
      </c>
      <c r="C1972" t="s">
        <v>489</v>
      </c>
      <c r="D1972" t="s">
        <v>0</v>
      </c>
      <c r="E1972" t="s">
        <v>993</v>
      </c>
      <c r="F1972" t="s">
        <v>994</v>
      </c>
      <c r="G1972">
        <v>154.80000000000001</v>
      </c>
      <c r="H1972">
        <v>9</v>
      </c>
      <c r="I1972">
        <v>307.8</v>
      </c>
      <c r="J1972">
        <v>18</v>
      </c>
      <c r="Q1972"/>
    </row>
    <row r="1973" spans="1:17" x14ac:dyDescent="0.25">
      <c r="A1973">
        <v>7</v>
      </c>
      <c r="B1973">
        <v>2016</v>
      </c>
      <c r="C1973" t="s">
        <v>489</v>
      </c>
      <c r="D1973" t="s">
        <v>0</v>
      </c>
      <c r="E1973" t="s">
        <v>889</v>
      </c>
      <c r="F1973" t="s">
        <v>890</v>
      </c>
      <c r="G1973">
        <v>171.72</v>
      </c>
      <c r="H1973">
        <v>6</v>
      </c>
      <c r="Q1973"/>
    </row>
    <row r="1974" spans="1:17" x14ac:dyDescent="0.25">
      <c r="A1974">
        <v>7</v>
      </c>
      <c r="B1974">
        <v>2016</v>
      </c>
      <c r="C1974" t="s">
        <v>489</v>
      </c>
      <c r="D1974" t="s">
        <v>0</v>
      </c>
      <c r="E1974" t="s">
        <v>891</v>
      </c>
      <c r="F1974" t="s">
        <v>892</v>
      </c>
      <c r="G1974">
        <v>189.18</v>
      </c>
      <c r="H1974">
        <v>6</v>
      </c>
      <c r="Q1974"/>
    </row>
    <row r="1975" spans="1:17" x14ac:dyDescent="0.25">
      <c r="A1975">
        <v>7</v>
      </c>
      <c r="B1975">
        <v>2016</v>
      </c>
      <c r="C1975" t="s">
        <v>489</v>
      </c>
      <c r="D1975" t="s">
        <v>0</v>
      </c>
      <c r="E1975" t="s">
        <v>995</v>
      </c>
      <c r="F1975" t="s">
        <v>996</v>
      </c>
      <c r="G1975">
        <v>56.13</v>
      </c>
      <c r="H1975">
        <v>3</v>
      </c>
      <c r="Q1975"/>
    </row>
    <row r="1976" spans="1:17" x14ac:dyDescent="0.25">
      <c r="A1976">
        <v>7</v>
      </c>
      <c r="B1976">
        <v>2016</v>
      </c>
      <c r="C1976" t="s">
        <v>765</v>
      </c>
      <c r="D1976" t="s">
        <v>766</v>
      </c>
      <c r="E1976" t="s">
        <v>767</v>
      </c>
      <c r="F1976" t="s">
        <v>768</v>
      </c>
      <c r="G1976">
        <v>1188</v>
      </c>
      <c r="H1976">
        <v>264</v>
      </c>
      <c r="I1976">
        <v>2193</v>
      </c>
      <c r="J1976">
        <v>516</v>
      </c>
      <c r="Q1976"/>
    </row>
    <row r="1977" spans="1:17" x14ac:dyDescent="0.25">
      <c r="A1977">
        <v>7</v>
      </c>
      <c r="B1977">
        <v>2016</v>
      </c>
      <c r="C1977" t="s">
        <v>765</v>
      </c>
      <c r="D1977" t="s">
        <v>766</v>
      </c>
      <c r="E1977" t="s">
        <v>769</v>
      </c>
      <c r="F1977" t="s">
        <v>770</v>
      </c>
      <c r="G1977">
        <v>1036.8</v>
      </c>
      <c r="H1977">
        <v>288</v>
      </c>
      <c r="I1977">
        <v>612</v>
      </c>
      <c r="J1977">
        <v>180</v>
      </c>
      <c r="Q1977"/>
    </row>
    <row r="1978" spans="1:17" x14ac:dyDescent="0.25">
      <c r="A1978">
        <v>7</v>
      </c>
      <c r="B1978">
        <v>2016</v>
      </c>
      <c r="C1978" t="s">
        <v>765</v>
      </c>
      <c r="D1978" t="s">
        <v>766</v>
      </c>
      <c r="E1978" t="s">
        <v>771</v>
      </c>
      <c r="F1978" t="s">
        <v>772</v>
      </c>
      <c r="G1978">
        <v>31.2</v>
      </c>
      <c r="H1978">
        <v>6</v>
      </c>
      <c r="I1978">
        <v>356.4</v>
      </c>
      <c r="J1978">
        <v>78</v>
      </c>
      <c r="Q1978"/>
    </row>
    <row r="1979" spans="1:17" x14ac:dyDescent="0.25">
      <c r="A1979">
        <v>7</v>
      </c>
      <c r="B1979">
        <v>2016</v>
      </c>
      <c r="C1979" t="s">
        <v>506</v>
      </c>
      <c r="D1979" t="s">
        <v>507</v>
      </c>
      <c r="E1979" t="s">
        <v>508</v>
      </c>
      <c r="F1979" t="s">
        <v>509</v>
      </c>
      <c r="G1979">
        <v>1539</v>
      </c>
      <c r="H1979">
        <v>348</v>
      </c>
      <c r="I1979">
        <v>686.4</v>
      </c>
      <c r="J1979">
        <v>156</v>
      </c>
      <c r="Q1979"/>
    </row>
    <row r="1980" spans="1:17" x14ac:dyDescent="0.25">
      <c r="A1980">
        <v>7</v>
      </c>
      <c r="B1980">
        <v>2016</v>
      </c>
      <c r="C1980" t="s">
        <v>506</v>
      </c>
      <c r="D1980" t="s">
        <v>507</v>
      </c>
      <c r="E1980" t="s">
        <v>510</v>
      </c>
      <c r="F1980" t="s">
        <v>511</v>
      </c>
      <c r="G1980">
        <v>871.2</v>
      </c>
      <c r="H1980">
        <v>264</v>
      </c>
      <c r="I1980">
        <v>134.4</v>
      </c>
      <c r="J1980">
        <v>42</v>
      </c>
      <c r="Q1980"/>
    </row>
    <row r="1981" spans="1:17" x14ac:dyDescent="0.25">
      <c r="A1981">
        <v>7</v>
      </c>
      <c r="B1981">
        <v>2016</v>
      </c>
      <c r="C1981" t="s">
        <v>506</v>
      </c>
      <c r="D1981" t="s">
        <v>507</v>
      </c>
      <c r="E1981" t="s">
        <v>512</v>
      </c>
      <c r="F1981" t="s">
        <v>513</v>
      </c>
      <c r="G1981">
        <v>37.200000000000003</v>
      </c>
      <c r="H1981">
        <v>6</v>
      </c>
      <c r="I1981">
        <v>55.62</v>
      </c>
      <c r="J1981">
        <v>9</v>
      </c>
      <c r="Q1981"/>
    </row>
    <row r="1982" spans="1:17" x14ac:dyDescent="0.25">
      <c r="A1982">
        <v>7</v>
      </c>
      <c r="B1982">
        <v>2016</v>
      </c>
      <c r="C1982" t="s">
        <v>506</v>
      </c>
      <c r="D1982" t="s">
        <v>507</v>
      </c>
      <c r="E1982" t="s">
        <v>514</v>
      </c>
      <c r="F1982" t="s">
        <v>515</v>
      </c>
      <c r="G1982">
        <v>378</v>
      </c>
      <c r="H1982">
        <v>60</v>
      </c>
      <c r="I1982">
        <v>669.6</v>
      </c>
      <c r="J1982">
        <v>108</v>
      </c>
      <c r="Q1982"/>
    </row>
    <row r="1983" spans="1:17" x14ac:dyDescent="0.25">
      <c r="A1983">
        <v>7</v>
      </c>
      <c r="B1983">
        <v>2016</v>
      </c>
      <c r="C1983" t="s">
        <v>524</v>
      </c>
      <c r="D1983" t="s">
        <v>525</v>
      </c>
      <c r="E1983" t="s">
        <v>526</v>
      </c>
      <c r="F1983" t="s">
        <v>527</v>
      </c>
      <c r="G1983">
        <v>907.2</v>
      </c>
      <c r="H1983">
        <v>324</v>
      </c>
      <c r="I1983">
        <v>413.4</v>
      </c>
      <c r="J1983">
        <v>156</v>
      </c>
      <c r="Q1983"/>
    </row>
    <row r="1984" spans="1:17" x14ac:dyDescent="0.25">
      <c r="A1984">
        <v>7</v>
      </c>
      <c r="B1984">
        <v>2016</v>
      </c>
      <c r="C1984" t="s">
        <v>524</v>
      </c>
      <c r="D1984" t="s">
        <v>525</v>
      </c>
      <c r="E1984" t="s">
        <v>528</v>
      </c>
      <c r="F1984" t="s">
        <v>529</v>
      </c>
      <c r="G1984">
        <v>148.5</v>
      </c>
      <c r="H1984">
        <v>30</v>
      </c>
      <c r="I1984">
        <v>201.6</v>
      </c>
      <c r="J1984">
        <v>42</v>
      </c>
      <c r="Q1984"/>
    </row>
    <row r="1985" spans="1:17" x14ac:dyDescent="0.25">
      <c r="A1985">
        <v>7</v>
      </c>
      <c r="B1985">
        <v>2016</v>
      </c>
      <c r="C1985" t="s">
        <v>530</v>
      </c>
      <c r="D1985" t="s">
        <v>531</v>
      </c>
      <c r="E1985" t="s">
        <v>532</v>
      </c>
      <c r="F1985" t="s">
        <v>533</v>
      </c>
      <c r="G1985">
        <v>1083.5999999999999</v>
      </c>
      <c r="H1985">
        <v>252</v>
      </c>
      <c r="I1985">
        <v>1159.2</v>
      </c>
      <c r="J1985">
        <v>270</v>
      </c>
      <c r="Q1985"/>
    </row>
    <row r="1986" spans="1:17" x14ac:dyDescent="0.25">
      <c r="A1986">
        <v>7</v>
      </c>
      <c r="B1986">
        <v>2016</v>
      </c>
      <c r="C1986" t="s">
        <v>539</v>
      </c>
      <c r="D1986" t="s">
        <v>540</v>
      </c>
      <c r="E1986" t="s">
        <v>541</v>
      </c>
      <c r="F1986" t="s">
        <v>542</v>
      </c>
      <c r="G1986">
        <v>542.4</v>
      </c>
      <c r="H1986">
        <v>96</v>
      </c>
      <c r="I1986">
        <v>865.8</v>
      </c>
      <c r="J1986">
        <v>156</v>
      </c>
      <c r="Q1986"/>
    </row>
    <row r="1987" spans="1:17" x14ac:dyDescent="0.25">
      <c r="A1987">
        <v>7</v>
      </c>
      <c r="B1987">
        <v>2016</v>
      </c>
      <c r="C1987" t="s">
        <v>543</v>
      </c>
      <c r="D1987" t="s">
        <v>544</v>
      </c>
      <c r="E1987" t="s">
        <v>833</v>
      </c>
      <c r="F1987" t="s">
        <v>834</v>
      </c>
      <c r="G1987">
        <v>522</v>
      </c>
      <c r="H1987">
        <v>90</v>
      </c>
      <c r="Q1987"/>
    </row>
    <row r="1988" spans="1:17" x14ac:dyDescent="0.25">
      <c r="A1988">
        <v>7</v>
      </c>
      <c r="B1988">
        <v>2016</v>
      </c>
      <c r="C1988" t="s">
        <v>543</v>
      </c>
      <c r="D1988" t="s">
        <v>544</v>
      </c>
      <c r="E1988" t="s">
        <v>545</v>
      </c>
      <c r="F1988" t="s">
        <v>546</v>
      </c>
      <c r="G1988">
        <v>1283.4000000000001</v>
      </c>
      <c r="H1988">
        <v>186</v>
      </c>
      <c r="Q1988"/>
    </row>
    <row r="1989" spans="1:17" x14ac:dyDescent="0.25">
      <c r="A1989">
        <v>7</v>
      </c>
      <c r="B1989">
        <v>2016</v>
      </c>
      <c r="C1989" t="s">
        <v>543</v>
      </c>
      <c r="D1989" t="s">
        <v>544</v>
      </c>
      <c r="E1989" t="s">
        <v>547</v>
      </c>
      <c r="F1989" t="s">
        <v>546</v>
      </c>
      <c r="G1989">
        <v>237</v>
      </c>
      <c r="H1989">
        <v>30</v>
      </c>
      <c r="Q1989"/>
    </row>
    <row r="1990" spans="1:17" x14ac:dyDescent="0.25">
      <c r="A1990">
        <v>7</v>
      </c>
      <c r="B1990">
        <v>2016</v>
      </c>
      <c r="C1990" t="s">
        <v>543</v>
      </c>
      <c r="D1990" t="s">
        <v>544</v>
      </c>
      <c r="E1990" t="s">
        <v>550</v>
      </c>
      <c r="F1990" t="s">
        <v>551</v>
      </c>
      <c r="G1990">
        <v>316.8</v>
      </c>
      <c r="H1990">
        <v>48</v>
      </c>
      <c r="Q1990"/>
    </row>
    <row r="1991" spans="1:17" x14ac:dyDescent="0.25">
      <c r="A1991">
        <v>7</v>
      </c>
      <c r="B1991">
        <v>2016</v>
      </c>
      <c r="C1991" t="s">
        <v>560</v>
      </c>
      <c r="D1991" t="s">
        <v>561</v>
      </c>
      <c r="E1991" t="s">
        <v>562</v>
      </c>
      <c r="F1991" t="s">
        <v>563</v>
      </c>
      <c r="G1991">
        <v>1705.2</v>
      </c>
      <c r="H1991">
        <v>588</v>
      </c>
      <c r="I1991">
        <v>2688</v>
      </c>
      <c r="J1991">
        <v>960</v>
      </c>
      <c r="Q1991"/>
    </row>
    <row r="1992" spans="1:17" x14ac:dyDescent="0.25">
      <c r="A1992">
        <v>7</v>
      </c>
      <c r="B1992">
        <v>2016</v>
      </c>
      <c r="C1992" t="s">
        <v>560</v>
      </c>
      <c r="D1992" t="s">
        <v>561</v>
      </c>
      <c r="E1992" t="s">
        <v>564</v>
      </c>
      <c r="F1992" t="s">
        <v>565</v>
      </c>
      <c r="G1992">
        <v>335.4</v>
      </c>
      <c r="H1992">
        <v>78</v>
      </c>
      <c r="I1992">
        <v>48</v>
      </c>
      <c r="J1992">
        <v>12</v>
      </c>
      <c r="Q1992"/>
    </row>
    <row r="1993" spans="1:17" x14ac:dyDescent="0.25">
      <c r="A1993">
        <v>7</v>
      </c>
      <c r="B1993">
        <v>2016</v>
      </c>
      <c r="C1993" t="s">
        <v>560</v>
      </c>
      <c r="D1993" t="s">
        <v>561</v>
      </c>
      <c r="E1993" t="s">
        <v>773</v>
      </c>
      <c r="F1993" t="s">
        <v>774</v>
      </c>
      <c r="G1993">
        <v>121.8</v>
      </c>
      <c r="H1993">
        <v>42</v>
      </c>
      <c r="I1993">
        <v>403.2</v>
      </c>
      <c r="J1993">
        <v>144</v>
      </c>
      <c r="Q1993"/>
    </row>
    <row r="1994" spans="1:17" x14ac:dyDescent="0.25">
      <c r="A1994">
        <v>7</v>
      </c>
      <c r="B1994">
        <v>2016</v>
      </c>
      <c r="C1994" t="s">
        <v>571</v>
      </c>
      <c r="D1994" t="s">
        <v>572</v>
      </c>
      <c r="E1994" t="s">
        <v>575</v>
      </c>
      <c r="F1994" t="s">
        <v>574</v>
      </c>
      <c r="G1994">
        <v>514.79999999999995</v>
      </c>
      <c r="H1994">
        <v>78</v>
      </c>
      <c r="Q1994"/>
    </row>
    <row r="1995" spans="1:17" x14ac:dyDescent="0.25">
      <c r="A1995">
        <v>7</v>
      </c>
      <c r="B1995">
        <v>2016</v>
      </c>
      <c r="C1995" t="s">
        <v>571</v>
      </c>
      <c r="D1995" t="s">
        <v>572</v>
      </c>
      <c r="E1995" t="s">
        <v>578</v>
      </c>
      <c r="F1995" t="s">
        <v>579</v>
      </c>
      <c r="G1995">
        <v>432</v>
      </c>
      <c r="H1995">
        <v>48</v>
      </c>
      <c r="Q1995"/>
    </row>
    <row r="1996" spans="1:17" x14ac:dyDescent="0.25">
      <c r="A1996">
        <v>7</v>
      </c>
      <c r="B1996">
        <v>2016</v>
      </c>
      <c r="C1996" t="s">
        <v>571</v>
      </c>
      <c r="D1996" t="s">
        <v>572</v>
      </c>
      <c r="E1996" t="s">
        <v>777</v>
      </c>
      <c r="F1996" t="s">
        <v>778</v>
      </c>
      <c r="G1996">
        <v>361</v>
      </c>
      <c r="H1996">
        <v>126.73</v>
      </c>
      <c r="I1996">
        <v>95</v>
      </c>
      <c r="J1996">
        <v>33.35</v>
      </c>
      <c r="Q1996"/>
    </row>
    <row r="1997" spans="1:17" x14ac:dyDescent="0.25">
      <c r="A1997">
        <v>7</v>
      </c>
      <c r="B1997">
        <v>2016</v>
      </c>
      <c r="C1997" t="s">
        <v>582</v>
      </c>
      <c r="D1997" t="s">
        <v>583</v>
      </c>
      <c r="E1997" t="s">
        <v>584</v>
      </c>
      <c r="F1997" t="s">
        <v>585</v>
      </c>
      <c r="G1997">
        <v>984</v>
      </c>
      <c r="H1997">
        <v>240</v>
      </c>
      <c r="I1997">
        <v>1464</v>
      </c>
      <c r="J1997">
        <v>372</v>
      </c>
      <c r="Q1997"/>
    </row>
    <row r="1998" spans="1:17" x14ac:dyDescent="0.25">
      <c r="A1998">
        <v>7</v>
      </c>
      <c r="B1998">
        <v>2016</v>
      </c>
      <c r="C1998" t="s">
        <v>582</v>
      </c>
      <c r="D1998" t="s">
        <v>583</v>
      </c>
      <c r="E1998" t="s">
        <v>779</v>
      </c>
      <c r="F1998" t="s">
        <v>780</v>
      </c>
      <c r="G1998">
        <v>62.1</v>
      </c>
      <c r="H1998">
        <v>24</v>
      </c>
      <c r="I1998">
        <v>100.5</v>
      </c>
      <c r="J1998">
        <v>30</v>
      </c>
      <c r="Q1998"/>
    </row>
    <row r="1999" spans="1:17" x14ac:dyDescent="0.25">
      <c r="A1999">
        <v>7</v>
      </c>
      <c r="B1999">
        <v>2016</v>
      </c>
      <c r="C1999" t="s">
        <v>588</v>
      </c>
      <c r="D1999" t="s">
        <v>589</v>
      </c>
      <c r="E1999" t="s">
        <v>590</v>
      </c>
      <c r="F1999" t="s">
        <v>591</v>
      </c>
      <c r="G1999">
        <v>1333.4</v>
      </c>
      <c r="H1999">
        <v>452</v>
      </c>
      <c r="I1999">
        <v>1792.2</v>
      </c>
      <c r="J1999">
        <v>630</v>
      </c>
      <c r="Q1999"/>
    </row>
    <row r="2000" spans="1:17" x14ac:dyDescent="0.25">
      <c r="A2000">
        <v>7</v>
      </c>
      <c r="B2000">
        <v>2016</v>
      </c>
      <c r="C2000" t="s">
        <v>588</v>
      </c>
      <c r="D2000" t="s">
        <v>589</v>
      </c>
      <c r="E2000" t="s">
        <v>592</v>
      </c>
      <c r="F2000" t="s">
        <v>593</v>
      </c>
      <c r="G2000">
        <v>1096.68</v>
      </c>
      <c r="H2000">
        <v>444</v>
      </c>
      <c r="I2000">
        <v>1045.44</v>
      </c>
      <c r="J2000">
        <v>438</v>
      </c>
      <c r="Q2000"/>
    </row>
    <row r="2001" spans="1:17" x14ac:dyDescent="0.25">
      <c r="A2001">
        <v>7</v>
      </c>
      <c r="B2001">
        <v>2016</v>
      </c>
      <c r="C2001" t="s">
        <v>588</v>
      </c>
      <c r="D2001" t="s">
        <v>589</v>
      </c>
      <c r="E2001" t="s">
        <v>594</v>
      </c>
      <c r="F2001" t="s">
        <v>595</v>
      </c>
      <c r="G2001">
        <v>721.5</v>
      </c>
      <c r="H2001">
        <v>519.87</v>
      </c>
      <c r="I2001">
        <v>1350.5</v>
      </c>
      <c r="J2001">
        <v>973.09</v>
      </c>
      <c r="Q2001"/>
    </row>
    <row r="2002" spans="1:17" x14ac:dyDescent="0.25">
      <c r="A2002">
        <v>7</v>
      </c>
      <c r="B2002">
        <v>2016</v>
      </c>
      <c r="C2002" t="s">
        <v>588</v>
      </c>
      <c r="D2002" t="s">
        <v>589</v>
      </c>
      <c r="E2002" t="s">
        <v>596</v>
      </c>
      <c r="F2002" t="s">
        <v>595</v>
      </c>
      <c r="G2002">
        <v>262.5</v>
      </c>
      <c r="H2002">
        <v>166.75</v>
      </c>
      <c r="I2002">
        <v>1396.5</v>
      </c>
      <c r="J2002">
        <v>907.12</v>
      </c>
      <c r="Q2002"/>
    </row>
    <row r="2003" spans="1:17" x14ac:dyDescent="0.25">
      <c r="A2003">
        <v>7</v>
      </c>
      <c r="B2003">
        <v>2016</v>
      </c>
      <c r="C2003" t="s">
        <v>588</v>
      </c>
      <c r="D2003" t="s">
        <v>589</v>
      </c>
      <c r="E2003" t="s">
        <v>842</v>
      </c>
      <c r="F2003" t="s">
        <v>843</v>
      </c>
      <c r="G2003">
        <v>150</v>
      </c>
      <c r="H2003">
        <v>60</v>
      </c>
      <c r="Q2003"/>
    </row>
    <row r="2004" spans="1:17" x14ac:dyDescent="0.25">
      <c r="A2004">
        <v>7</v>
      </c>
      <c r="B2004">
        <v>2016</v>
      </c>
      <c r="C2004" t="s">
        <v>605</v>
      </c>
      <c r="D2004" t="s">
        <v>606</v>
      </c>
      <c r="E2004" t="s">
        <v>607</v>
      </c>
      <c r="F2004" t="s">
        <v>608</v>
      </c>
      <c r="G2004">
        <v>2075.7600000000002</v>
      </c>
      <c r="H2004">
        <v>564</v>
      </c>
      <c r="I2004">
        <v>1406.16</v>
      </c>
      <c r="J2004">
        <v>378</v>
      </c>
      <c r="Q2004"/>
    </row>
    <row r="2005" spans="1:17" x14ac:dyDescent="0.25">
      <c r="A2005">
        <v>7</v>
      </c>
      <c r="B2005">
        <v>2016</v>
      </c>
      <c r="C2005" t="s">
        <v>605</v>
      </c>
      <c r="D2005" t="s">
        <v>606</v>
      </c>
      <c r="E2005" t="s">
        <v>609</v>
      </c>
      <c r="F2005" t="s">
        <v>610</v>
      </c>
      <c r="G2005">
        <v>334.8</v>
      </c>
      <c r="H2005">
        <v>54</v>
      </c>
      <c r="I2005">
        <v>257.04000000000002</v>
      </c>
      <c r="J2005">
        <v>42</v>
      </c>
      <c r="Q2005"/>
    </row>
    <row r="2006" spans="1:17" x14ac:dyDescent="0.25">
      <c r="A2006">
        <v>7</v>
      </c>
      <c r="B2006">
        <v>2016</v>
      </c>
      <c r="C2006" t="s">
        <v>605</v>
      </c>
      <c r="D2006" t="s">
        <v>606</v>
      </c>
      <c r="E2006" t="s">
        <v>611</v>
      </c>
      <c r="F2006" t="s">
        <v>612</v>
      </c>
      <c r="G2006">
        <v>1208.4000000000001</v>
      </c>
      <c r="H2006">
        <v>570</v>
      </c>
      <c r="I2006">
        <v>216.24</v>
      </c>
      <c r="J2006">
        <v>102</v>
      </c>
      <c r="Q2006"/>
    </row>
    <row r="2007" spans="1:17" x14ac:dyDescent="0.25">
      <c r="A2007">
        <v>7</v>
      </c>
      <c r="B2007">
        <v>2016</v>
      </c>
      <c r="C2007" t="s">
        <v>605</v>
      </c>
      <c r="D2007" t="s">
        <v>606</v>
      </c>
      <c r="E2007" t="s">
        <v>907</v>
      </c>
      <c r="F2007" t="s">
        <v>908</v>
      </c>
      <c r="G2007">
        <v>1392.6</v>
      </c>
      <c r="H2007">
        <v>678</v>
      </c>
      <c r="Q2007"/>
    </row>
    <row r="2008" spans="1:17" x14ac:dyDescent="0.25">
      <c r="A2008">
        <v>7</v>
      </c>
      <c r="B2008">
        <v>2016</v>
      </c>
      <c r="C2008" t="s">
        <v>605</v>
      </c>
      <c r="D2008" t="s">
        <v>606</v>
      </c>
      <c r="E2008" t="s">
        <v>909</v>
      </c>
      <c r="F2008" t="s">
        <v>908</v>
      </c>
      <c r="G2008">
        <v>1669.8</v>
      </c>
      <c r="H2008">
        <v>804</v>
      </c>
      <c r="Q2008"/>
    </row>
    <row r="2009" spans="1:17" x14ac:dyDescent="0.25">
      <c r="A2009">
        <v>7</v>
      </c>
      <c r="B2009">
        <v>2016</v>
      </c>
      <c r="C2009" t="s">
        <v>605</v>
      </c>
      <c r="D2009" t="s">
        <v>606</v>
      </c>
      <c r="E2009" t="s">
        <v>910</v>
      </c>
      <c r="F2009" t="s">
        <v>908</v>
      </c>
      <c r="G2009">
        <v>1589.3</v>
      </c>
      <c r="H2009">
        <v>708</v>
      </c>
      <c r="Q2009"/>
    </row>
    <row r="2010" spans="1:17" x14ac:dyDescent="0.25">
      <c r="A2010">
        <v>7</v>
      </c>
      <c r="B2010">
        <v>2016</v>
      </c>
      <c r="C2010" t="s">
        <v>605</v>
      </c>
      <c r="D2010" t="s">
        <v>606</v>
      </c>
      <c r="E2010" t="s">
        <v>613</v>
      </c>
      <c r="F2010" t="s">
        <v>614</v>
      </c>
      <c r="G2010">
        <v>1112.2</v>
      </c>
      <c r="H2010">
        <v>1106.3900000000001</v>
      </c>
      <c r="I2010">
        <v>1649.2</v>
      </c>
      <c r="J2010">
        <v>1652.92</v>
      </c>
      <c r="Q2010"/>
    </row>
    <row r="2011" spans="1:17" x14ac:dyDescent="0.25">
      <c r="A2011">
        <v>7</v>
      </c>
      <c r="B2011">
        <v>2016</v>
      </c>
      <c r="C2011" t="s">
        <v>605</v>
      </c>
      <c r="D2011" t="s">
        <v>606</v>
      </c>
      <c r="E2011" t="s">
        <v>615</v>
      </c>
      <c r="F2011" t="s">
        <v>614</v>
      </c>
      <c r="G2011">
        <v>893.76</v>
      </c>
      <c r="H2011">
        <v>780.39</v>
      </c>
      <c r="I2011">
        <v>919.22</v>
      </c>
      <c r="J2011">
        <v>793.73</v>
      </c>
      <c r="Q2011"/>
    </row>
    <row r="2012" spans="1:17" x14ac:dyDescent="0.25">
      <c r="A2012">
        <v>7</v>
      </c>
      <c r="B2012">
        <v>2016</v>
      </c>
      <c r="C2012" t="s">
        <v>605</v>
      </c>
      <c r="D2012" t="s">
        <v>606</v>
      </c>
      <c r="E2012" t="s">
        <v>616</v>
      </c>
      <c r="F2012" t="s">
        <v>617</v>
      </c>
      <c r="G2012">
        <v>333.45</v>
      </c>
      <c r="H2012">
        <v>266.60000000000002</v>
      </c>
      <c r="I2012">
        <v>333.45</v>
      </c>
      <c r="J2012">
        <v>253.27</v>
      </c>
      <c r="Q2012"/>
    </row>
    <row r="2013" spans="1:17" x14ac:dyDescent="0.25">
      <c r="A2013">
        <v>7</v>
      </c>
      <c r="B2013">
        <v>2016</v>
      </c>
      <c r="C2013" t="s">
        <v>605</v>
      </c>
      <c r="D2013" t="s">
        <v>606</v>
      </c>
      <c r="E2013" t="s">
        <v>618</v>
      </c>
      <c r="F2013" t="s">
        <v>617</v>
      </c>
      <c r="G2013">
        <v>278.88</v>
      </c>
      <c r="H2013">
        <v>186.76</v>
      </c>
      <c r="I2013">
        <v>1284.8399999999999</v>
      </c>
      <c r="J2013">
        <v>860.43</v>
      </c>
      <c r="Q2013"/>
    </row>
    <row r="2014" spans="1:17" x14ac:dyDescent="0.25">
      <c r="A2014">
        <v>7</v>
      </c>
      <c r="B2014">
        <v>2016</v>
      </c>
      <c r="C2014" t="s">
        <v>621</v>
      </c>
      <c r="D2014" t="s">
        <v>622</v>
      </c>
      <c r="E2014" t="s">
        <v>623</v>
      </c>
      <c r="F2014" t="s">
        <v>624</v>
      </c>
      <c r="G2014">
        <v>540</v>
      </c>
      <c r="H2014">
        <v>144</v>
      </c>
      <c r="I2014">
        <v>421.8</v>
      </c>
      <c r="J2014">
        <v>114</v>
      </c>
      <c r="Q2014"/>
    </row>
    <row r="2015" spans="1:17" x14ac:dyDescent="0.25">
      <c r="A2015">
        <v>7</v>
      </c>
      <c r="B2015">
        <v>2016</v>
      </c>
      <c r="C2015" t="s">
        <v>621</v>
      </c>
      <c r="D2015" t="s">
        <v>622</v>
      </c>
      <c r="E2015" t="s">
        <v>625</v>
      </c>
      <c r="F2015" t="s">
        <v>624</v>
      </c>
      <c r="G2015">
        <v>225</v>
      </c>
      <c r="H2015">
        <v>60</v>
      </c>
      <c r="Q2015"/>
    </row>
    <row r="2016" spans="1:17" x14ac:dyDescent="0.25">
      <c r="A2016">
        <v>7</v>
      </c>
      <c r="B2016">
        <v>2016</v>
      </c>
      <c r="C2016" t="s">
        <v>630</v>
      </c>
      <c r="D2016" t="s">
        <v>631</v>
      </c>
      <c r="E2016" t="s">
        <v>632</v>
      </c>
      <c r="F2016" t="s">
        <v>633</v>
      </c>
      <c r="G2016">
        <v>643.20000000000005</v>
      </c>
      <c r="H2016">
        <v>96</v>
      </c>
      <c r="I2016">
        <v>520.79999999999995</v>
      </c>
      <c r="J2016">
        <v>84</v>
      </c>
      <c r="Q2016"/>
    </row>
    <row r="2017" spans="1:17" x14ac:dyDescent="0.25">
      <c r="A2017">
        <v>7</v>
      </c>
      <c r="B2017">
        <v>2016</v>
      </c>
      <c r="C2017" t="s">
        <v>630</v>
      </c>
      <c r="D2017" t="s">
        <v>631</v>
      </c>
      <c r="E2017" t="s">
        <v>634</v>
      </c>
      <c r="F2017" t="s">
        <v>635</v>
      </c>
      <c r="G2017">
        <v>489.6</v>
      </c>
      <c r="H2017">
        <v>36</v>
      </c>
      <c r="I2017">
        <v>78</v>
      </c>
      <c r="J2017">
        <v>6</v>
      </c>
      <c r="Q2017"/>
    </row>
    <row r="2018" spans="1:17" x14ac:dyDescent="0.25">
      <c r="A2018">
        <v>7</v>
      </c>
      <c r="B2018">
        <v>2016</v>
      </c>
      <c r="C2018" t="s">
        <v>630</v>
      </c>
      <c r="D2018" t="s">
        <v>631</v>
      </c>
      <c r="E2018" t="s">
        <v>636</v>
      </c>
      <c r="F2018" t="s">
        <v>637</v>
      </c>
      <c r="G2018">
        <v>470.4</v>
      </c>
      <c r="H2018">
        <v>132</v>
      </c>
      <c r="I2018">
        <v>554.4</v>
      </c>
      <c r="J2018">
        <v>138</v>
      </c>
      <c r="Q2018"/>
    </row>
    <row r="2019" spans="1:17" x14ac:dyDescent="0.25">
      <c r="A2019">
        <v>7</v>
      </c>
      <c r="B2019">
        <v>2016</v>
      </c>
      <c r="C2019" t="s">
        <v>638</v>
      </c>
      <c r="D2019" t="s">
        <v>639</v>
      </c>
      <c r="E2019" t="s">
        <v>640</v>
      </c>
      <c r="F2019" t="s">
        <v>641</v>
      </c>
      <c r="G2019">
        <v>206.55</v>
      </c>
      <c r="H2019">
        <v>200.1</v>
      </c>
      <c r="I2019">
        <v>813.2</v>
      </c>
      <c r="J2019">
        <v>713.68999999999994</v>
      </c>
      <c r="Q2019"/>
    </row>
    <row r="2020" spans="1:17" x14ac:dyDescent="0.25">
      <c r="A2020">
        <v>7</v>
      </c>
      <c r="B2020">
        <v>2016</v>
      </c>
      <c r="C2020" t="s">
        <v>638</v>
      </c>
      <c r="D2020" t="s">
        <v>639</v>
      </c>
      <c r="E2020" t="s">
        <v>642</v>
      </c>
      <c r="F2020" t="s">
        <v>641</v>
      </c>
      <c r="G2020">
        <v>467.25</v>
      </c>
      <c r="H2020">
        <v>479.88</v>
      </c>
      <c r="I2020">
        <v>2226</v>
      </c>
      <c r="J2020">
        <v>2239.44</v>
      </c>
      <c r="Q2020"/>
    </row>
    <row r="2021" spans="1:17" x14ac:dyDescent="0.25">
      <c r="A2021">
        <v>7</v>
      </c>
      <c r="B2021">
        <v>2016</v>
      </c>
      <c r="C2021" t="s">
        <v>638</v>
      </c>
      <c r="D2021" t="s">
        <v>639</v>
      </c>
      <c r="E2021" t="s">
        <v>643</v>
      </c>
      <c r="F2021" t="s">
        <v>644</v>
      </c>
      <c r="G2021">
        <v>1415.25</v>
      </c>
      <c r="H2021">
        <v>1293.98</v>
      </c>
      <c r="I2021">
        <v>1808.8</v>
      </c>
      <c r="J2021">
        <v>1594.1299999999999</v>
      </c>
      <c r="Q2021"/>
    </row>
    <row r="2022" spans="1:17" x14ac:dyDescent="0.25">
      <c r="A2022">
        <v>7</v>
      </c>
      <c r="B2022">
        <v>2016</v>
      </c>
      <c r="C2022" t="s">
        <v>638</v>
      </c>
      <c r="D2022" t="s">
        <v>639</v>
      </c>
      <c r="E2022" t="s">
        <v>645</v>
      </c>
      <c r="F2022" t="s">
        <v>644</v>
      </c>
      <c r="G2022">
        <v>1628.7</v>
      </c>
      <c r="H2022">
        <v>1652.92</v>
      </c>
      <c r="I2022">
        <v>4783.25</v>
      </c>
      <c r="J2022">
        <v>4812.13</v>
      </c>
      <c r="Q2022"/>
    </row>
    <row r="2023" spans="1:17" x14ac:dyDescent="0.25">
      <c r="A2023">
        <v>7</v>
      </c>
      <c r="B2023">
        <v>2016</v>
      </c>
      <c r="C2023" t="s">
        <v>638</v>
      </c>
      <c r="D2023" t="s">
        <v>639</v>
      </c>
      <c r="E2023" t="s">
        <v>646</v>
      </c>
      <c r="F2023" t="s">
        <v>647</v>
      </c>
      <c r="G2023">
        <v>840</v>
      </c>
      <c r="H2023">
        <v>366</v>
      </c>
      <c r="I2023">
        <v>1147.2</v>
      </c>
      <c r="J2023">
        <v>486</v>
      </c>
      <c r="Q2023"/>
    </row>
    <row r="2024" spans="1:17" x14ac:dyDescent="0.25">
      <c r="A2024">
        <v>7</v>
      </c>
      <c r="B2024">
        <v>2016</v>
      </c>
      <c r="C2024" t="s">
        <v>638</v>
      </c>
      <c r="D2024" t="s">
        <v>639</v>
      </c>
      <c r="E2024" t="s">
        <v>650</v>
      </c>
      <c r="F2024" t="s">
        <v>651</v>
      </c>
      <c r="G2024">
        <v>164.7</v>
      </c>
      <c r="H2024">
        <v>54</v>
      </c>
      <c r="I2024">
        <v>249.6</v>
      </c>
      <c r="J2024">
        <v>78</v>
      </c>
      <c r="Q2024"/>
    </row>
    <row r="2025" spans="1:17" x14ac:dyDescent="0.25">
      <c r="A2025">
        <v>7</v>
      </c>
      <c r="B2025">
        <v>2016</v>
      </c>
      <c r="C2025" t="s">
        <v>638</v>
      </c>
      <c r="D2025" t="s">
        <v>639</v>
      </c>
      <c r="E2025" t="s">
        <v>785</v>
      </c>
      <c r="F2025" t="s">
        <v>653</v>
      </c>
      <c r="G2025">
        <v>706.8</v>
      </c>
      <c r="H2025">
        <v>506.54</v>
      </c>
      <c r="I2025">
        <v>837</v>
      </c>
      <c r="J2025">
        <v>599.85</v>
      </c>
      <c r="Q2025"/>
    </row>
    <row r="2026" spans="1:17" x14ac:dyDescent="0.25">
      <c r="A2026">
        <v>7</v>
      </c>
      <c r="B2026">
        <v>2016</v>
      </c>
      <c r="C2026" t="s">
        <v>638</v>
      </c>
      <c r="D2026" t="s">
        <v>639</v>
      </c>
      <c r="E2026" t="s">
        <v>652</v>
      </c>
      <c r="F2026" t="s">
        <v>653</v>
      </c>
      <c r="G2026">
        <v>505</v>
      </c>
      <c r="H2026">
        <v>333.5</v>
      </c>
      <c r="I2026">
        <v>464.6</v>
      </c>
      <c r="J2026">
        <v>313.49</v>
      </c>
      <c r="Q2026"/>
    </row>
    <row r="2027" spans="1:17" x14ac:dyDescent="0.25">
      <c r="A2027">
        <v>7</v>
      </c>
      <c r="B2027">
        <v>2016</v>
      </c>
      <c r="C2027" t="s">
        <v>638</v>
      </c>
      <c r="D2027" t="s">
        <v>639</v>
      </c>
      <c r="E2027" t="s">
        <v>654</v>
      </c>
      <c r="F2027" t="s">
        <v>655</v>
      </c>
      <c r="G2027">
        <v>262.8</v>
      </c>
      <c r="H2027">
        <v>78</v>
      </c>
      <c r="I2027">
        <v>237.6</v>
      </c>
      <c r="J2027">
        <v>66</v>
      </c>
      <c r="Q2027"/>
    </row>
    <row r="2028" spans="1:17" x14ac:dyDescent="0.25">
      <c r="A2028">
        <v>7</v>
      </c>
      <c r="B2028">
        <v>2016</v>
      </c>
      <c r="C2028" t="s">
        <v>638</v>
      </c>
      <c r="D2028" t="s">
        <v>639</v>
      </c>
      <c r="E2028" t="s">
        <v>656</v>
      </c>
      <c r="F2028" t="s">
        <v>657</v>
      </c>
      <c r="G2028">
        <v>69.3</v>
      </c>
      <c r="H2028">
        <v>18</v>
      </c>
      <c r="I2028">
        <v>72.900000000000006</v>
      </c>
      <c r="J2028">
        <v>18</v>
      </c>
      <c r="Q2028"/>
    </row>
    <row r="2029" spans="1:17" x14ac:dyDescent="0.25">
      <c r="A2029">
        <v>7</v>
      </c>
      <c r="B2029">
        <v>2016</v>
      </c>
      <c r="C2029" t="s">
        <v>638</v>
      </c>
      <c r="D2029" t="s">
        <v>639</v>
      </c>
      <c r="E2029" t="s">
        <v>658</v>
      </c>
      <c r="F2029" t="s">
        <v>659</v>
      </c>
      <c r="G2029">
        <v>396</v>
      </c>
      <c r="H2029">
        <v>132</v>
      </c>
      <c r="I2029">
        <v>720</v>
      </c>
      <c r="J2029">
        <v>240</v>
      </c>
      <c r="Q2029"/>
    </row>
    <row r="2030" spans="1:17" x14ac:dyDescent="0.25">
      <c r="A2030">
        <v>7</v>
      </c>
      <c r="B2030">
        <v>2016</v>
      </c>
      <c r="C2030" t="s">
        <v>638</v>
      </c>
      <c r="D2030" t="s">
        <v>639</v>
      </c>
      <c r="E2030" t="s">
        <v>660</v>
      </c>
      <c r="F2030" t="s">
        <v>661</v>
      </c>
      <c r="G2030">
        <v>0</v>
      </c>
      <c r="H2030">
        <v>6</v>
      </c>
      <c r="Q2030"/>
    </row>
    <row r="2031" spans="1:17" x14ac:dyDescent="0.25">
      <c r="A2031">
        <v>7</v>
      </c>
      <c r="B2031">
        <v>2016</v>
      </c>
      <c r="C2031" t="s">
        <v>638</v>
      </c>
      <c r="D2031" t="s">
        <v>639</v>
      </c>
      <c r="E2031" t="s">
        <v>786</v>
      </c>
      <c r="F2031" t="s">
        <v>787</v>
      </c>
      <c r="G2031">
        <v>123.84</v>
      </c>
      <c r="H2031">
        <v>36</v>
      </c>
      <c r="I2031">
        <v>20.64</v>
      </c>
      <c r="J2031">
        <v>6</v>
      </c>
      <c r="Q2031"/>
    </row>
    <row r="2032" spans="1:17" x14ac:dyDescent="0.25">
      <c r="A2032">
        <v>7</v>
      </c>
      <c r="B2032">
        <v>2016</v>
      </c>
      <c r="C2032" t="s">
        <v>638</v>
      </c>
      <c r="D2032" t="s">
        <v>639</v>
      </c>
      <c r="E2032" t="s">
        <v>913</v>
      </c>
      <c r="F2032" t="s">
        <v>914</v>
      </c>
      <c r="G2032">
        <v>33</v>
      </c>
      <c r="H2032">
        <v>40.019999999999996</v>
      </c>
      <c r="Q2032"/>
    </row>
    <row r="2033" spans="1:17" x14ac:dyDescent="0.25">
      <c r="A2033">
        <v>7</v>
      </c>
      <c r="B2033">
        <v>2016</v>
      </c>
      <c r="C2033" t="s">
        <v>638</v>
      </c>
      <c r="D2033" t="s">
        <v>639</v>
      </c>
      <c r="E2033" t="s">
        <v>915</v>
      </c>
      <c r="F2033" t="s">
        <v>916</v>
      </c>
      <c r="G2033">
        <v>31.25</v>
      </c>
      <c r="H2033">
        <v>20</v>
      </c>
      <c r="Q2033"/>
    </row>
    <row r="2034" spans="1:17" x14ac:dyDescent="0.25">
      <c r="A2034">
        <v>7</v>
      </c>
      <c r="B2034">
        <v>2016</v>
      </c>
      <c r="C2034" t="s">
        <v>638</v>
      </c>
      <c r="D2034" t="s">
        <v>639</v>
      </c>
      <c r="E2034" t="s">
        <v>845</v>
      </c>
      <c r="F2034" t="s">
        <v>846</v>
      </c>
      <c r="G2034">
        <v>147.69999999999999</v>
      </c>
      <c r="H2034">
        <v>116</v>
      </c>
      <c r="I2034">
        <v>95.95</v>
      </c>
      <c r="J2034">
        <v>76</v>
      </c>
      <c r="Q2034"/>
    </row>
    <row r="2035" spans="1:17" x14ac:dyDescent="0.25">
      <c r="A2035">
        <v>7</v>
      </c>
      <c r="B2035">
        <v>2016</v>
      </c>
      <c r="C2035" t="s">
        <v>638</v>
      </c>
      <c r="D2035" t="s">
        <v>639</v>
      </c>
      <c r="E2035" t="s">
        <v>662</v>
      </c>
      <c r="F2035" t="s">
        <v>663</v>
      </c>
      <c r="G2035">
        <v>19.8</v>
      </c>
      <c r="H2035">
        <v>12</v>
      </c>
      <c r="I2035">
        <v>26.4</v>
      </c>
      <c r="J2035">
        <v>16</v>
      </c>
      <c r="Q2035"/>
    </row>
    <row r="2036" spans="1:17" x14ac:dyDescent="0.25">
      <c r="A2036">
        <v>7</v>
      </c>
      <c r="B2036">
        <v>2016</v>
      </c>
      <c r="C2036" t="s">
        <v>638</v>
      </c>
      <c r="D2036" t="s">
        <v>639</v>
      </c>
      <c r="E2036" t="s">
        <v>664</v>
      </c>
      <c r="F2036" t="s">
        <v>665</v>
      </c>
      <c r="G2036">
        <v>245.76</v>
      </c>
      <c r="H2036">
        <v>138</v>
      </c>
      <c r="I2036">
        <v>114</v>
      </c>
      <c r="J2036">
        <v>60</v>
      </c>
      <c r="Q2036"/>
    </row>
    <row r="2037" spans="1:17" x14ac:dyDescent="0.25">
      <c r="A2037">
        <v>7</v>
      </c>
      <c r="B2037">
        <v>2016</v>
      </c>
      <c r="C2037" t="s">
        <v>638</v>
      </c>
      <c r="D2037" t="s">
        <v>639</v>
      </c>
      <c r="E2037" t="s">
        <v>666</v>
      </c>
      <c r="F2037" t="s">
        <v>665</v>
      </c>
      <c r="G2037">
        <v>197.76</v>
      </c>
      <c r="H2037">
        <v>108</v>
      </c>
      <c r="I2037">
        <v>1003.2</v>
      </c>
      <c r="J2037">
        <v>528</v>
      </c>
      <c r="Q2037"/>
    </row>
    <row r="2038" spans="1:17" x14ac:dyDescent="0.25">
      <c r="A2038">
        <v>7</v>
      </c>
      <c r="B2038">
        <v>2016</v>
      </c>
      <c r="C2038" t="s">
        <v>638</v>
      </c>
      <c r="D2038" t="s">
        <v>639</v>
      </c>
      <c r="E2038" t="s">
        <v>847</v>
      </c>
      <c r="F2038" t="s">
        <v>848</v>
      </c>
      <c r="G2038">
        <v>11.52</v>
      </c>
      <c r="H2038">
        <v>6</v>
      </c>
      <c r="Q2038"/>
    </row>
    <row r="2039" spans="1:17" x14ac:dyDescent="0.25">
      <c r="A2039">
        <v>7</v>
      </c>
      <c r="B2039">
        <v>2016</v>
      </c>
      <c r="C2039" t="s">
        <v>667</v>
      </c>
      <c r="D2039" t="s">
        <v>668</v>
      </c>
      <c r="E2039" t="s">
        <v>669</v>
      </c>
      <c r="F2039" t="s">
        <v>670</v>
      </c>
      <c r="G2039">
        <v>124.2</v>
      </c>
      <c r="H2039">
        <v>60</v>
      </c>
      <c r="I2039">
        <v>110.16</v>
      </c>
      <c r="J2039">
        <v>54</v>
      </c>
      <c r="Q2039"/>
    </row>
    <row r="2040" spans="1:17" x14ac:dyDescent="0.25">
      <c r="A2040">
        <v>7</v>
      </c>
      <c r="B2040">
        <v>2016</v>
      </c>
      <c r="C2040" t="s">
        <v>667</v>
      </c>
      <c r="D2040" t="s">
        <v>668</v>
      </c>
      <c r="E2040" t="s">
        <v>671</v>
      </c>
      <c r="F2040" t="s">
        <v>670</v>
      </c>
      <c r="G2040">
        <v>488.94</v>
      </c>
      <c r="H2040">
        <v>264</v>
      </c>
      <c r="I2040">
        <v>893.52</v>
      </c>
      <c r="J2040">
        <v>438</v>
      </c>
      <c r="Q2040"/>
    </row>
    <row r="2041" spans="1:17" x14ac:dyDescent="0.25">
      <c r="A2041">
        <v>7</v>
      </c>
      <c r="B2041">
        <v>2016</v>
      </c>
      <c r="C2041" t="s">
        <v>667</v>
      </c>
      <c r="D2041" t="s">
        <v>668</v>
      </c>
      <c r="E2041" t="s">
        <v>672</v>
      </c>
      <c r="F2041" t="s">
        <v>670</v>
      </c>
      <c r="G2041">
        <v>74.52</v>
      </c>
      <c r="H2041">
        <v>36</v>
      </c>
      <c r="I2041">
        <v>110.16</v>
      </c>
      <c r="J2041">
        <v>54</v>
      </c>
      <c r="Q2041"/>
    </row>
    <row r="2042" spans="1:17" x14ac:dyDescent="0.25">
      <c r="A2042">
        <v>7</v>
      </c>
      <c r="B2042">
        <v>2016</v>
      </c>
      <c r="C2042" t="s">
        <v>667</v>
      </c>
      <c r="D2042" t="s">
        <v>668</v>
      </c>
      <c r="E2042" t="s">
        <v>849</v>
      </c>
      <c r="F2042" t="s">
        <v>850</v>
      </c>
      <c r="G2042">
        <v>0</v>
      </c>
      <c r="H2042">
        <v>0</v>
      </c>
      <c r="I2042">
        <v>0</v>
      </c>
      <c r="J2042">
        <v>6</v>
      </c>
      <c r="Q2042"/>
    </row>
    <row r="2043" spans="1:17" x14ac:dyDescent="0.25">
      <c r="A2043">
        <v>7</v>
      </c>
      <c r="B2043">
        <v>2016</v>
      </c>
      <c r="C2043" t="s">
        <v>667</v>
      </c>
      <c r="D2043" t="s">
        <v>668</v>
      </c>
      <c r="E2043" t="s">
        <v>679</v>
      </c>
      <c r="F2043" t="s">
        <v>680</v>
      </c>
      <c r="G2043">
        <v>35.6</v>
      </c>
      <c r="H2043">
        <v>26.68</v>
      </c>
      <c r="I2043">
        <v>382.7</v>
      </c>
      <c r="J2043">
        <v>300.14999999999998</v>
      </c>
      <c r="Q2043"/>
    </row>
    <row r="2044" spans="1:17" x14ac:dyDescent="0.25">
      <c r="A2044">
        <v>7</v>
      </c>
      <c r="B2044">
        <v>2016</v>
      </c>
      <c r="C2044" t="s">
        <v>667</v>
      </c>
      <c r="D2044" t="s">
        <v>668</v>
      </c>
      <c r="E2044" t="s">
        <v>788</v>
      </c>
      <c r="F2044" t="s">
        <v>789</v>
      </c>
      <c r="G2044">
        <v>139.30000000000001</v>
      </c>
      <c r="H2044">
        <v>93.38</v>
      </c>
      <c r="Q2044"/>
    </row>
    <row r="2045" spans="1:17" x14ac:dyDescent="0.25">
      <c r="A2045">
        <v>7</v>
      </c>
      <c r="B2045">
        <v>2016</v>
      </c>
      <c r="C2045" t="s">
        <v>681</v>
      </c>
      <c r="D2045" t="s">
        <v>682</v>
      </c>
      <c r="E2045" t="s">
        <v>683</v>
      </c>
      <c r="F2045" t="s">
        <v>684</v>
      </c>
      <c r="G2045">
        <v>310.5</v>
      </c>
      <c r="H2045">
        <v>138</v>
      </c>
      <c r="I2045">
        <v>501.6</v>
      </c>
      <c r="J2045">
        <v>228</v>
      </c>
      <c r="Q2045"/>
    </row>
    <row r="2046" spans="1:17" x14ac:dyDescent="0.25">
      <c r="A2046">
        <v>7</v>
      </c>
      <c r="B2046">
        <v>2016</v>
      </c>
      <c r="C2046" t="s">
        <v>681</v>
      </c>
      <c r="D2046" t="s">
        <v>682</v>
      </c>
      <c r="E2046" t="s">
        <v>685</v>
      </c>
      <c r="F2046" t="s">
        <v>686</v>
      </c>
      <c r="G2046">
        <v>100.8</v>
      </c>
      <c r="H2046">
        <v>42</v>
      </c>
      <c r="I2046">
        <v>902.4</v>
      </c>
      <c r="J2046">
        <v>390</v>
      </c>
      <c r="Q2046"/>
    </row>
    <row r="2047" spans="1:17" x14ac:dyDescent="0.25">
      <c r="A2047">
        <v>7</v>
      </c>
      <c r="B2047">
        <v>2016</v>
      </c>
      <c r="C2047" t="s">
        <v>681</v>
      </c>
      <c r="D2047" t="s">
        <v>682</v>
      </c>
      <c r="E2047" t="s">
        <v>687</v>
      </c>
      <c r="F2047" t="s">
        <v>688</v>
      </c>
      <c r="G2047">
        <v>133.19999999999999</v>
      </c>
      <c r="H2047">
        <v>36</v>
      </c>
      <c r="I2047">
        <v>240.9</v>
      </c>
      <c r="J2047">
        <v>66</v>
      </c>
      <c r="Q2047"/>
    </row>
    <row r="2048" spans="1:17" x14ac:dyDescent="0.25">
      <c r="A2048">
        <v>7</v>
      </c>
      <c r="B2048">
        <v>2016</v>
      </c>
      <c r="C2048" t="s">
        <v>681</v>
      </c>
      <c r="D2048" t="s">
        <v>682</v>
      </c>
      <c r="E2048" t="s">
        <v>689</v>
      </c>
      <c r="F2048" t="s">
        <v>690</v>
      </c>
      <c r="G2048">
        <v>57.6</v>
      </c>
      <c r="H2048">
        <v>24</v>
      </c>
      <c r="Q2048"/>
    </row>
    <row r="2049" spans="1:17" x14ac:dyDescent="0.25">
      <c r="A2049">
        <v>7</v>
      </c>
      <c r="B2049">
        <v>2016</v>
      </c>
      <c r="C2049" t="s">
        <v>790</v>
      </c>
      <c r="D2049" t="s">
        <v>791</v>
      </c>
      <c r="E2049" t="s">
        <v>792</v>
      </c>
      <c r="F2049" t="s">
        <v>793</v>
      </c>
      <c r="G2049">
        <v>1015.8</v>
      </c>
      <c r="H2049">
        <v>204</v>
      </c>
      <c r="Q2049"/>
    </row>
    <row r="2050" spans="1:17" x14ac:dyDescent="0.25">
      <c r="A2050">
        <v>7</v>
      </c>
      <c r="B2050">
        <v>2016</v>
      </c>
      <c r="C2050" t="s">
        <v>691</v>
      </c>
      <c r="D2050" t="s">
        <v>692</v>
      </c>
      <c r="E2050" t="s">
        <v>699</v>
      </c>
      <c r="F2050" t="s">
        <v>700</v>
      </c>
      <c r="G2050">
        <v>68.400000000000006</v>
      </c>
      <c r="H2050">
        <v>18</v>
      </c>
      <c r="Q2050"/>
    </row>
    <row r="2051" spans="1:17" x14ac:dyDescent="0.25">
      <c r="A2051">
        <v>8</v>
      </c>
      <c r="B2051">
        <v>2016</v>
      </c>
      <c r="C2051" t="s">
        <v>34</v>
      </c>
      <c r="D2051" t="s">
        <v>35</v>
      </c>
      <c r="E2051" t="s">
        <v>36</v>
      </c>
      <c r="F2051" t="s">
        <v>37</v>
      </c>
      <c r="G2051">
        <v>2343</v>
      </c>
      <c r="H2051">
        <v>180</v>
      </c>
      <c r="Q2051"/>
    </row>
    <row r="2052" spans="1:17" x14ac:dyDescent="0.25">
      <c r="A2052">
        <v>8</v>
      </c>
      <c r="B2052">
        <v>2016</v>
      </c>
      <c r="C2052" t="s">
        <v>34</v>
      </c>
      <c r="D2052" t="s">
        <v>35</v>
      </c>
      <c r="E2052" t="s">
        <v>38</v>
      </c>
      <c r="F2052" t="s">
        <v>37</v>
      </c>
      <c r="G2052">
        <v>168.52</v>
      </c>
      <c r="H2052">
        <v>12</v>
      </c>
      <c r="Q2052"/>
    </row>
    <row r="2053" spans="1:17" x14ac:dyDescent="0.25">
      <c r="A2053">
        <v>8</v>
      </c>
      <c r="B2053">
        <v>2016</v>
      </c>
      <c r="C2053" t="s">
        <v>34</v>
      </c>
      <c r="D2053" t="s">
        <v>35</v>
      </c>
      <c r="E2053" t="s">
        <v>997</v>
      </c>
      <c r="F2053" t="s">
        <v>998</v>
      </c>
      <c r="G2053">
        <v>412.56</v>
      </c>
      <c r="H2053">
        <v>24</v>
      </c>
      <c r="Q2053"/>
    </row>
    <row r="2054" spans="1:17" x14ac:dyDescent="0.25">
      <c r="A2054">
        <v>8</v>
      </c>
      <c r="B2054">
        <v>2016</v>
      </c>
      <c r="C2054" t="s">
        <v>34</v>
      </c>
      <c r="D2054" t="s">
        <v>35</v>
      </c>
      <c r="E2054" t="s">
        <v>999</v>
      </c>
      <c r="F2054" t="s">
        <v>1000</v>
      </c>
      <c r="G2054">
        <v>659.04</v>
      </c>
      <c r="H2054">
        <v>48</v>
      </c>
      <c r="Q2054"/>
    </row>
    <row r="2055" spans="1:17" x14ac:dyDescent="0.25">
      <c r="A2055">
        <v>8</v>
      </c>
      <c r="B2055">
        <v>2016</v>
      </c>
      <c r="C2055" t="s">
        <v>47</v>
      </c>
      <c r="D2055" t="s">
        <v>48</v>
      </c>
      <c r="E2055" t="s">
        <v>49</v>
      </c>
      <c r="F2055" t="s">
        <v>50</v>
      </c>
      <c r="G2055">
        <v>3639.18</v>
      </c>
      <c r="H2055">
        <v>3094.88</v>
      </c>
      <c r="I2055">
        <v>1640.52</v>
      </c>
      <c r="J2055">
        <v>1447.3899999999999</v>
      </c>
      <c r="Q2055"/>
    </row>
    <row r="2056" spans="1:17" x14ac:dyDescent="0.25">
      <c r="A2056">
        <v>8</v>
      </c>
      <c r="B2056">
        <v>2016</v>
      </c>
      <c r="C2056" t="s">
        <v>47</v>
      </c>
      <c r="D2056" t="s">
        <v>48</v>
      </c>
      <c r="E2056" t="s">
        <v>51</v>
      </c>
      <c r="F2056" t="s">
        <v>52</v>
      </c>
      <c r="G2056">
        <v>10004.280000000001</v>
      </c>
      <c r="H2056">
        <v>9837.5400000000009</v>
      </c>
      <c r="I2056">
        <v>5644.5</v>
      </c>
      <c r="J2056">
        <v>5691.91</v>
      </c>
      <c r="Q2056"/>
    </row>
    <row r="2057" spans="1:17" x14ac:dyDescent="0.25">
      <c r="A2057">
        <v>8</v>
      </c>
      <c r="B2057">
        <v>2016</v>
      </c>
      <c r="C2057" t="s">
        <v>47</v>
      </c>
      <c r="D2057" t="s">
        <v>48</v>
      </c>
      <c r="E2057" t="s">
        <v>53</v>
      </c>
      <c r="F2057" t="s">
        <v>54</v>
      </c>
      <c r="G2057">
        <v>6642.96</v>
      </c>
      <c r="H2057">
        <v>7131.55</v>
      </c>
      <c r="I2057">
        <v>3566.85</v>
      </c>
      <c r="J2057">
        <v>4012.33</v>
      </c>
      <c r="Q2057"/>
    </row>
    <row r="2058" spans="1:17" x14ac:dyDescent="0.25">
      <c r="A2058">
        <v>8</v>
      </c>
      <c r="B2058">
        <v>2016</v>
      </c>
      <c r="C2058" t="s">
        <v>47</v>
      </c>
      <c r="D2058" t="s">
        <v>48</v>
      </c>
      <c r="E2058" t="s">
        <v>55</v>
      </c>
      <c r="F2058" t="s">
        <v>54</v>
      </c>
      <c r="G2058">
        <v>1430.04</v>
      </c>
      <c r="H2058">
        <v>1360.68</v>
      </c>
      <c r="I2058">
        <v>614.54999999999995</v>
      </c>
      <c r="J2058">
        <v>566.95000000000005</v>
      </c>
      <c r="Q2058"/>
    </row>
    <row r="2059" spans="1:17" x14ac:dyDescent="0.25">
      <c r="A2059">
        <v>8</v>
      </c>
      <c r="B2059">
        <v>2016</v>
      </c>
      <c r="C2059" t="s">
        <v>47</v>
      </c>
      <c r="D2059" t="s">
        <v>48</v>
      </c>
      <c r="E2059" t="s">
        <v>56</v>
      </c>
      <c r="F2059" t="s">
        <v>57</v>
      </c>
      <c r="G2059">
        <v>2167.1999999999998</v>
      </c>
      <c r="H2059">
        <v>2399.4</v>
      </c>
      <c r="I2059">
        <v>1123.26</v>
      </c>
      <c r="J2059">
        <v>1306.3399999999999</v>
      </c>
      <c r="Q2059"/>
    </row>
    <row r="2060" spans="1:17" x14ac:dyDescent="0.25">
      <c r="A2060">
        <v>8</v>
      </c>
      <c r="B2060">
        <v>2016</v>
      </c>
      <c r="C2060" t="s">
        <v>47</v>
      </c>
      <c r="D2060" t="s">
        <v>48</v>
      </c>
      <c r="E2060" t="s">
        <v>58</v>
      </c>
      <c r="F2060" t="s">
        <v>59</v>
      </c>
      <c r="G2060">
        <v>1540.44</v>
      </c>
      <c r="H2060">
        <v>1760.22</v>
      </c>
      <c r="I2060">
        <v>1615.85</v>
      </c>
      <c r="J2060">
        <v>1973.5800000000002</v>
      </c>
      <c r="Q2060"/>
    </row>
    <row r="2061" spans="1:17" x14ac:dyDescent="0.25">
      <c r="A2061">
        <v>8</v>
      </c>
      <c r="B2061">
        <v>2016</v>
      </c>
      <c r="C2061" t="s">
        <v>47</v>
      </c>
      <c r="D2061" t="s">
        <v>48</v>
      </c>
      <c r="E2061" t="s">
        <v>60</v>
      </c>
      <c r="F2061" t="s">
        <v>59</v>
      </c>
      <c r="G2061">
        <v>93.36</v>
      </c>
      <c r="H2061">
        <v>106.68</v>
      </c>
      <c r="I2061">
        <v>22.45</v>
      </c>
      <c r="J2061">
        <v>26.67</v>
      </c>
      <c r="Q2061"/>
    </row>
    <row r="2062" spans="1:17" x14ac:dyDescent="0.25">
      <c r="A2062">
        <v>8</v>
      </c>
      <c r="B2062">
        <v>2016</v>
      </c>
      <c r="C2062" t="s">
        <v>47</v>
      </c>
      <c r="D2062" t="s">
        <v>48</v>
      </c>
      <c r="E2062" t="s">
        <v>61</v>
      </c>
      <c r="F2062" t="s">
        <v>62</v>
      </c>
      <c r="G2062">
        <v>1944.8</v>
      </c>
      <c r="H2062">
        <v>1400.7</v>
      </c>
      <c r="I2062">
        <v>1253.04</v>
      </c>
      <c r="J2062">
        <v>920.46</v>
      </c>
      <c r="Q2062"/>
    </row>
    <row r="2063" spans="1:17" x14ac:dyDescent="0.25">
      <c r="A2063">
        <v>8</v>
      </c>
      <c r="B2063">
        <v>2016</v>
      </c>
      <c r="C2063" t="s">
        <v>47</v>
      </c>
      <c r="D2063" t="s">
        <v>48</v>
      </c>
      <c r="E2063" t="s">
        <v>63</v>
      </c>
      <c r="F2063" t="s">
        <v>64</v>
      </c>
      <c r="G2063">
        <v>2733.88</v>
      </c>
      <c r="H2063">
        <v>2186.12</v>
      </c>
      <c r="I2063">
        <v>2151.94</v>
      </c>
      <c r="J2063">
        <v>1772.89</v>
      </c>
      <c r="Q2063"/>
    </row>
    <row r="2064" spans="1:17" x14ac:dyDescent="0.25">
      <c r="A2064">
        <v>8</v>
      </c>
      <c r="B2064">
        <v>2016</v>
      </c>
      <c r="C2064" t="s">
        <v>47</v>
      </c>
      <c r="D2064" t="s">
        <v>48</v>
      </c>
      <c r="E2064" t="s">
        <v>65</v>
      </c>
      <c r="F2064" t="s">
        <v>64</v>
      </c>
      <c r="G2064">
        <v>5084.3500000000004</v>
      </c>
      <c r="H2064">
        <v>4065.65</v>
      </c>
      <c r="I2064">
        <v>4902.54</v>
      </c>
      <c r="J2064">
        <v>4065.65</v>
      </c>
      <c r="Q2064"/>
    </row>
    <row r="2065" spans="1:17" x14ac:dyDescent="0.25">
      <c r="A2065">
        <v>8</v>
      </c>
      <c r="B2065">
        <v>2016</v>
      </c>
      <c r="C2065" t="s">
        <v>47</v>
      </c>
      <c r="D2065" t="s">
        <v>48</v>
      </c>
      <c r="E2065" t="s">
        <v>66</v>
      </c>
      <c r="F2065" t="s">
        <v>64</v>
      </c>
      <c r="G2065">
        <v>4975.55</v>
      </c>
      <c r="H2065">
        <v>3481.74</v>
      </c>
      <c r="I2065">
        <v>2052.08</v>
      </c>
      <c r="J2065">
        <v>1514.09</v>
      </c>
      <c r="Q2065"/>
    </row>
    <row r="2066" spans="1:17" x14ac:dyDescent="0.25">
      <c r="A2066">
        <v>8</v>
      </c>
      <c r="B2066">
        <v>2016</v>
      </c>
      <c r="C2066" t="s">
        <v>47</v>
      </c>
      <c r="D2066" t="s">
        <v>48</v>
      </c>
      <c r="E2066" t="s">
        <v>67</v>
      </c>
      <c r="F2066" t="s">
        <v>68</v>
      </c>
      <c r="G2066">
        <v>5971.2</v>
      </c>
      <c r="H2066">
        <v>6398.4</v>
      </c>
      <c r="I2066">
        <v>4700.28</v>
      </c>
      <c r="J2066">
        <v>5265.35</v>
      </c>
      <c r="Q2066"/>
    </row>
    <row r="2067" spans="1:17" x14ac:dyDescent="0.25">
      <c r="A2067">
        <v>8</v>
      </c>
      <c r="B2067">
        <v>2016</v>
      </c>
      <c r="C2067" t="s">
        <v>47</v>
      </c>
      <c r="D2067" t="s">
        <v>48</v>
      </c>
      <c r="E2067" t="s">
        <v>69</v>
      </c>
      <c r="F2067" t="s">
        <v>68</v>
      </c>
      <c r="G2067">
        <v>3334.44</v>
      </c>
      <c r="H2067">
        <v>2968.15</v>
      </c>
      <c r="I2067">
        <v>2399.75</v>
      </c>
      <c r="J2067">
        <v>2221.11</v>
      </c>
      <c r="Q2067"/>
    </row>
    <row r="2068" spans="1:17" x14ac:dyDescent="0.25">
      <c r="A2068">
        <v>8</v>
      </c>
      <c r="B2068">
        <v>2016</v>
      </c>
      <c r="C2068" t="s">
        <v>47</v>
      </c>
      <c r="D2068" t="s">
        <v>48</v>
      </c>
      <c r="E2068" t="s">
        <v>70</v>
      </c>
      <c r="F2068" t="s">
        <v>71</v>
      </c>
      <c r="G2068">
        <v>1278.9000000000001</v>
      </c>
      <c r="H2068">
        <v>522</v>
      </c>
      <c r="I2068">
        <v>907.2</v>
      </c>
      <c r="J2068">
        <v>378</v>
      </c>
      <c r="Q2068"/>
    </row>
    <row r="2069" spans="1:17" x14ac:dyDescent="0.25">
      <c r="A2069">
        <v>8</v>
      </c>
      <c r="B2069">
        <v>2016</v>
      </c>
      <c r="C2069" t="s">
        <v>47</v>
      </c>
      <c r="D2069" t="s">
        <v>48</v>
      </c>
      <c r="E2069" t="s">
        <v>72</v>
      </c>
      <c r="F2069" t="s">
        <v>73</v>
      </c>
      <c r="G2069">
        <v>144.54</v>
      </c>
      <c r="H2069">
        <v>66</v>
      </c>
      <c r="I2069">
        <v>87.36</v>
      </c>
      <c r="J2069">
        <v>48</v>
      </c>
      <c r="Q2069"/>
    </row>
    <row r="2070" spans="1:17" x14ac:dyDescent="0.25">
      <c r="A2070">
        <v>8</v>
      </c>
      <c r="B2070">
        <v>2016</v>
      </c>
      <c r="C2070" t="s">
        <v>47</v>
      </c>
      <c r="D2070" t="s">
        <v>48</v>
      </c>
      <c r="E2070" t="s">
        <v>78</v>
      </c>
      <c r="F2070" t="s">
        <v>73</v>
      </c>
      <c r="G2070">
        <v>26.28</v>
      </c>
      <c r="H2070">
        <v>12</v>
      </c>
      <c r="I2070">
        <v>131.4</v>
      </c>
      <c r="J2070">
        <v>60</v>
      </c>
      <c r="Q2070"/>
    </row>
    <row r="2071" spans="1:17" x14ac:dyDescent="0.25">
      <c r="A2071">
        <v>8</v>
      </c>
      <c r="B2071">
        <v>2016</v>
      </c>
      <c r="C2071" t="s">
        <v>47</v>
      </c>
      <c r="D2071" t="s">
        <v>48</v>
      </c>
      <c r="E2071" t="s">
        <v>79</v>
      </c>
      <c r="F2071" t="s">
        <v>80</v>
      </c>
      <c r="G2071">
        <v>321.36</v>
      </c>
      <c r="H2071">
        <v>156</v>
      </c>
      <c r="I2071">
        <v>196.32</v>
      </c>
      <c r="J2071">
        <v>96</v>
      </c>
      <c r="Q2071"/>
    </row>
    <row r="2072" spans="1:17" x14ac:dyDescent="0.25">
      <c r="A2072">
        <v>8</v>
      </c>
      <c r="B2072">
        <v>2016</v>
      </c>
      <c r="C2072" t="s">
        <v>47</v>
      </c>
      <c r="D2072" t="s">
        <v>48</v>
      </c>
      <c r="E2072" t="s">
        <v>81</v>
      </c>
      <c r="F2072" t="s">
        <v>82</v>
      </c>
      <c r="G2072">
        <v>696</v>
      </c>
      <c r="H2072">
        <v>348</v>
      </c>
      <c r="I2072">
        <v>44.88</v>
      </c>
      <c r="J2072">
        <v>24</v>
      </c>
      <c r="Q2072"/>
    </row>
    <row r="2073" spans="1:17" x14ac:dyDescent="0.25">
      <c r="A2073">
        <v>8</v>
      </c>
      <c r="B2073">
        <v>2016</v>
      </c>
      <c r="C2073" t="s">
        <v>47</v>
      </c>
      <c r="D2073" t="s">
        <v>48</v>
      </c>
      <c r="E2073" t="s">
        <v>1001</v>
      </c>
      <c r="F2073" t="s">
        <v>1002</v>
      </c>
      <c r="G2073">
        <v>21.58</v>
      </c>
      <c r="H2073">
        <v>26.67</v>
      </c>
      <c r="I2073">
        <v>107.9</v>
      </c>
      <c r="J2073">
        <v>133.35000000000002</v>
      </c>
      <c r="Q2073"/>
    </row>
    <row r="2074" spans="1:17" x14ac:dyDescent="0.25">
      <c r="A2074">
        <v>8</v>
      </c>
      <c r="B2074">
        <v>2016</v>
      </c>
      <c r="C2074" t="s">
        <v>47</v>
      </c>
      <c r="D2074" t="s">
        <v>48</v>
      </c>
      <c r="E2074" t="s">
        <v>85</v>
      </c>
      <c r="F2074" t="s">
        <v>84</v>
      </c>
      <c r="G2074">
        <v>59.4</v>
      </c>
      <c r="H2074">
        <v>36</v>
      </c>
      <c r="I2074">
        <v>74.760000000000005</v>
      </c>
      <c r="J2074">
        <v>48</v>
      </c>
      <c r="Q2074"/>
    </row>
    <row r="2075" spans="1:17" x14ac:dyDescent="0.25">
      <c r="A2075">
        <v>8</v>
      </c>
      <c r="B2075">
        <v>2016</v>
      </c>
      <c r="C2075" t="s">
        <v>47</v>
      </c>
      <c r="D2075" t="s">
        <v>48</v>
      </c>
      <c r="E2075" t="s">
        <v>86</v>
      </c>
      <c r="F2075" t="s">
        <v>84</v>
      </c>
      <c r="G2075">
        <v>52.8</v>
      </c>
      <c r="H2075">
        <v>32</v>
      </c>
      <c r="I2075">
        <v>43.61</v>
      </c>
      <c r="J2075">
        <v>28</v>
      </c>
      <c r="Q2075"/>
    </row>
    <row r="2076" spans="1:17" x14ac:dyDescent="0.25">
      <c r="A2076">
        <v>8</v>
      </c>
      <c r="B2076">
        <v>2016</v>
      </c>
      <c r="C2076" t="s">
        <v>47</v>
      </c>
      <c r="D2076" t="s">
        <v>48</v>
      </c>
      <c r="E2076" t="s">
        <v>704</v>
      </c>
      <c r="F2076" t="s">
        <v>705</v>
      </c>
      <c r="G2076">
        <v>107.28</v>
      </c>
      <c r="H2076">
        <v>36</v>
      </c>
      <c r="Q2076"/>
    </row>
    <row r="2077" spans="1:17" x14ac:dyDescent="0.25">
      <c r="A2077">
        <v>8</v>
      </c>
      <c r="B2077">
        <v>2016</v>
      </c>
      <c r="C2077" t="s">
        <v>47</v>
      </c>
      <c r="D2077" t="s">
        <v>48</v>
      </c>
      <c r="E2077" t="s">
        <v>87</v>
      </c>
      <c r="F2077" t="s">
        <v>88</v>
      </c>
      <c r="G2077">
        <v>289.08</v>
      </c>
      <c r="H2077">
        <v>132</v>
      </c>
      <c r="I2077">
        <v>210.24</v>
      </c>
      <c r="J2077">
        <v>96</v>
      </c>
      <c r="Q2077"/>
    </row>
    <row r="2078" spans="1:17" x14ac:dyDescent="0.25">
      <c r="A2078">
        <v>8</v>
      </c>
      <c r="B2078">
        <v>2016</v>
      </c>
      <c r="C2078" t="s">
        <v>47</v>
      </c>
      <c r="D2078" t="s">
        <v>48</v>
      </c>
      <c r="E2078" t="s">
        <v>89</v>
      </c>
      <c r="F2078" t="s">
        <v>90</v>
      </c>
      <c r="G2078">
        <v>405.84</v>
      </c>
      <c r="H2078">
        <v>228</v>
      </c>
      <c r="I2078">
        <v>653.94000000000005</v>
      </c>
      <c r="J2078">
        <v>378</v>
      </c>
      <c r="Q2078"/>
    </row>
    <row r="2079" spans="1:17" x14ac:dyDescent="0.25">
      <c r="A2079">
        <v>8</v>
      </c>
      <c r="B2079">
        <v>2016</v>
      </c>
      <c r="C2079" t="s">
        <v>47</v>
      </c>
      <c r="D2079" t="s">
        <v>48</v>
      </c>
      <c r="E2079" t="s">
        <v>91</v>
      </c>
      <c r="F2079" t="s">
        <v>92</v>
      </c>
      <c r="G2079">
        <v>117.48</v>
      </c>
      <c r="H2079">
        <v>66</v>
      </c>
      <c r="I2079">
        <v>217.98</v>
      </c>
      <c r="J2079">
        <v>126</v>
      </c>
      <c r="Q2079"/>
    </row>
    <row r="2080" spans="1:17" x14ac:dyDescent="0.25">
      <c r="A2080">
        <v>8</v>
      </c>
      <c r="B2080">
        <v>2016</v>
      </c>
      <c r="C2080" t="s">
        <v>47</v>
      </c>
      <c r="D2080" t="s">
        <v>48</v>
      </c>
      <c r="E2080" t="s">
        <v>794</v>
      </c>
      <c r="F2080" t="s">
        <v>795</v>
      </c>
      <c r="G2080">
        <v>27.8</v>
      </c>
      <c r="H2080">
        <v>16</v>
      </c>
      <c r="Q2080"/>
    </row>
    <row r="2081" spans="1:17" x14ac:dyDescent="0.25">
      <c r="A2081">
        <v>8</v>
      </c>
      <c r="B2081">
        <v>2016</v>
      </c>
      <c r="C2081" t="s">
        <v>47</v>
      </c>
      <c r="D2081" t="s">
        <v>48</v>
      </c>
      <c r="E2081" t="s">
        <v>101</v>
      </c>
      <c r="F2081" t="s">
        <v>102</v>
      </c>
      <c r="G2081">
        <v>1260</v>
      </c>
      <c r="H2081">
        <v>1493.52</v>
      </c>
      <c r="Q2081"/>
    </row>
    <row r="2082" spans="1:17" x14ac:dyDescent="0.25">
      <c r="A2082">
        <v>8</v>
      </c>
      <c r="B2082">
        <v>2016</v>
      </c>
      <c r="C2082" t="s">
        <v>47</v>
      </c>
      <c r="D2082" t="s">
        <v>48</v>
      </c>
      <c r="E2082" t="s">
        <v>103</v>
      </c>
      <c r="F2082" t="s">
        <v>98</v>
      </c>
      <c r="G2082">
        <v>270</v>
      </c>
      <c r="H2082">
        <v>333.25</v>
      </c>
      <c r="Q2082"/>
    </row>
    <row r="2083" spans="1:17" x14ac:dyDescent="0.25">
      <c r="A2083">
        <v>8</v>
      </c>
      <c r="B2083">
        <v>2016</v>
      </c>
      <c r="C2083" t="s">
        <v>104</v>
      </c>
      <c r="D2083" t="s">
        <v>105</v>
      </c>
      <c r="E2083" t="s">
        <v>106</v>
      </c>
      <c r="F2083" t="s">
        <v>107</v>
      </c>
      <c r="G2083">
        <v>138</v>
      </c>
      <c r="H2083">
        <v>30</v>
      </c>
      <c r="I2083">
        <v>147.6</v>
      </c>
      <c r="J2083">
        <v>36</v>
      </c>
      <c r="Q2083"/>
    </row>
    <row r="2084" spans="1:17" x14ac:dyDescent="0.25">
      <c r="A2084">
        <v>8</v>
      </c>
      <c r="B2084">
        <v>2016</v>
      </c>
      <c r="C2084" t="s">
        <v>104</v>
      </c>
      <c r="D2084" t="s">
        <v>105</v>
      </c>
      <c r="E2084" t="s">
        <v>108</v>
      </c>
      <c r="F2084" t="s">
        <v>109</v>
      </c>
      <c r="G2084">
        <v>264</v>
      </c>
      <c r="H2084">
        <v>48</v>
      </c>
      <c r="Q2084"/>
    </row>
    <row r="2085" spans="1:17" x14ac:dyDescent="0.25">
      <c r="A2085">
        <v>8</v>
      </c>
      <c r="B2085">
        <v>2016</v>
      </c>
      <c r="C2085" t="s">
        <v>104</v>
      </c>
      <c r="D2085" t="s">
        <v>105</v>
      </c>
      <c r="E2085" t="s">
        <v>110</v>
      </c>
      <c r="F2085" t="s">
        <v>111</v>
      </c>
      <c r="G2085">
        <v>217.5</v>
      </c>
      <c r="H2085">
        <v>30</v>
      </c>
      <c r="I2085">
        <v>202.5</v>
      </c>
      <c r="J2085">
        <v>30</v>
      </c>
      <c r="Q2085"/>
    </row>
    <row r="2086" spans="1:17" x14ac:dyDescent="0.25">
      <c r="A2086">
        <v>8</v>
      </c>
      <c r="B2086">
        <v>2016</v>
      </c>
      <c r="C2086" t="s">
        <v>104</v>
      </c>
      <c r="D2086" t="s">
        <v>105</v>
      </c>
      <c r="E2086" t="s">
        <v>114</v>
      </c>
      <c r="F2086" t="s">
        <v>115</v>
      </c>
      <c r="G2086">
        <v>113.4</v>
      </c>
      <c r="H2086">
        <v>18</v>
      </c>
      <c r="I2086">
        <v>106.2</v>
      </c>
      <c r="J2086">
        <v>18</v>
      </c>
      <c r="Q2086"/>
    </row>
    <row r="2087" spans="1:17" x14ac:dyDescent="0.25">
      <c r="A2087">
        <v>8</v>
      </c>
      <c r="B2087">
        <v>2016</v>
      </c>
      <c r="C2087" t="s">
        <v>104</v>
      </c>
      <c r="D2087" t="s">
        <v>105</v>
      </c>
      <c r="E2087" t="s">
        <v>856</v>
      </c>
      <c r="F2087" t="s">
        <v>107</v>
      </c>
      <c r="G2087">
        <v>37.200000000000003</v>
      </c>
      <c r="H2087">
        <v>6</v>
      </c>
      <c r="I2087">
        <v>34.200000000000003</v>
      </c>
      <c r="J2087">
        <v>6</v>
      </c>
      <c r="Q2087"/>
    </row>
    <row r="2088" spans="1:17" x14ac:dyDescent="0.25">
      <c r="A2088">
        <v>8</v>
      </c>
      <c r="B2088">
        <v>2016</v>
      </c>
      <c r="C2088" t="s">
        <v>104</v>
      </c>
      <c r="D2088" t="s">
        <v>105</v>
      </c>
      <c r="E2088" t="s">
        <v>857</v>
      </c>
      <c r="F2088" t="s">
        <v>858</v>
      </c>
      <c r="G2088">
        <v>51.6</v>
      </c>
      <c r="H2088">
        <v>6</v>
      </c>
      <c r="Q2088"/>
    </row>
    <row r="2089" spans="1:17" x14ac:dyDescent="0.25">
      <c r="A2089">
        <v>8</v>
      </c>
      <c r="B2089">
        <v>2016</v>
      </c>
      <c r="C2089" t="s">
        <v>116</v>
      </c>
      <c r="D2089" t="s">
        <v>117</v>
      </c>
      <c r="E2089" t="s">
        <v>118</v>
      </c>
      <c r="F2089" t="s">
        <v>119</v>
      </c>
      <c r="G2089">
        <v>604.20000000000005</v>
      </c>
      <c r="H2089">
        <v>114</v>
      </c>
      <c r="I2089">
        <v>561.6</v>
      </c>
      <c r="J2089">
        <v>108</v>
      </c>
      <c r="Q2089"/>
    </row>
    <row r="2090" spans="1:17" x14ac:dyDescent="0.25">
      <c r="A2090">
        <v>8</v>
      </c>
      <c r="B2090">
        <v>2016</v>
      </c>
      <c r="C2090" t="s">
        <v>116</v>
      </c>
      <c r="D2090" t="s">
        <v>117</v>
      </c>
      <c r="E2090" t="s">
        <v>952</v>
      </c>
      <c r="F2090" t="s">
        <v>953</v>
      </c>
      <c r="G2090">
        <v>95.4</v>
      </c>
      <c r="H2090">
        <v>18</v>
      </c>
      <c r="Q2090"/>
    </row>
    <row r="2091" spans="1:17" x14ac:dyDescent="0.25">
      <c r="A2091">
        <v>8</v>
      </c>
      <c r="B2091">
        <v>2016</v>
      </c>
      <c r="C2091" t="s">
        <v>120</v>
      </c>
      <c r="D2091" t="s">
        <v>121</v>
      </c>
      <c r="E2091" t="s">
        <v>122</v>
      </c>
      <c r="F2091" t="s">
        <v>123</v>
      </c>
      <c r="G2091">
        <v>2370.06</v>
      </c>
      <c r="H2091">
        <v>594</v>
      </c>
      <c r="I2091">
        <v>2394</v>
      </c>
      <c r="J2091">
        <v>600</v>
      </c>
      <c r="Q2091"/>
    </row>
    <row r="2092" spans="1:17" x14ac:dyDescent="0.25">
      <c r="A2092">
        <v>8</v>
      </c>
      <c r="B2092">
        <v>2016</v>
      </c>
      <c r="C2092" t="s">
        <v>120</v>
      </c>
      <c r="D2092" t="s">
        <v>121</v>
      </c>
      <c r="E2092" t="s">
        <v>864</v>
      </c>
      <c r="F2092" t="s">
        <v>865</v>
      </c>
      <c r="G2092">
        <v>23.94</v>
      </c>
      <c r="H2092">
        <v>6</v>
      </c>
      <c r="I2092">
        <v>46.2</v>
      </c>
      <c r="J2092">
        <v>12</v>
      </c>
      <c r="Q2092"/>
    </row>
    <row r="2093" spans="1:17" x14ac:dyDescent="0.25">
      <c r="A2093">
        <v>8</v>
      </c>
      <c r="B2093">
        <v>2016</v>
      </c>
      <c r="C2093" t="s">
        <v>120</v>
      </c>
      <c r="D2093" t="s">
        <v>121</v>
      </c>
      <c r="E2093" t="s">
        <v>708</v>
      </c>
      <c r="F2093" t="s">
        <v>709</v>
      </c>
      <c r="G2093">
        <v>898.2</v>
      </c>
      <c r="H2093">
        <v>180</v>
      </c>
      <c r="I2093">
        <v>382.2</v>
      </c>
      <c r="J2093">
        <v>78</v>
      </c>
      <c r="Q2093"/>
    </row>
    <row r="2094" spans="1:17" x14ac:dyDescent="0.25">
      <c r="A2094">
        <v>8</v>
      </c>
      <c r="B2094">
        <v>2016</v>
      </c>
      <c r="C2094" t="s">
        <v>120</v>
      </c>
      <c r="D2094" t="s">
        <v>121</v>
      </c>
      <c r="E2094" t="s">
        <v>124</v>
      </c>
      <c r="F2094" t="s">
        <v>125</v>
      </c>
      <c r="G2094">
        <v>141</v>
      </c>
      <c r="H2094">
        <v>30</v>
      </c>
      <c r="Q2094"/>
    </row>
    <row r="2095" spans="1:17" x14ac:dyDescent="0.25">
      <c r="A2095">
        <v>8</v>
      </c>
      <c r="B2095">
        <v>2016</v>
      </c>
      <c r="C2095" t="s">
        <v>126</v>
      </c>
      <c r="D2095" t="s">
        <v>127</v>
      </c>
      <c r="E2095" t="s">
        <v>128</v>
      </c>
      <c r="F2095" t="s">
        <v>129</v>
      </c>
      <c r="G2095">
        <v>3216.9</v>
      </c>
      <c r="H2095">
        <v>1482</v>
      </c>
      <c r="I2095">
        <v>856.32</v>
      </c>
      <c r="J2095">
        <v>384</v>
      </c>
      <c r="Q2095"/>
    </row>
    <row r="2096" spans="1:17" x14ac:dyDescent="0.25">
      <c r="A2096">
        <v>8</v>
      </c>
      <c r="B2096">
        <v>2016</v>
      </c>
      <c r="C2096" t="s">
        <v>126</v>
      </c>
      <c r="D2096" t="s">
        <v>127</v>
      </c>
      <c r="E2096" t="s">
        <v>710</v>
      </c>
      <c r="F2096" t="s">
        <v>129</v>
      </c>
      <c r="G2096">
        <v>190.56</v>
      </c>
      <c r="H2096">
        <v>66</v>
      </c>
      <c r="Q2096"/>
    </row>
    <row r="2097" spans="1:17" x14ac:dyDescent="0.25">
      <c r="A2097">
        <v>8</v>
      </c>
      <c r="B2097">
        <v>2016</v>
      </c>
      <c r="C2097" t="s">
        <v>126</v>
      </c>
      <c r="D2097" t="s">
        <v>127</v>
      </c>
      <c r="E2097" t="s">
        <v>130</v>
      </c>
      <c r="F2097" t="s">
        <v>131</v>
      </c>
      <c r="G2097">
        <v>415.8</v>
      </c>
      <c r="H2097">
        <v>279.93</v>
      </c>
      <c r="I2097">
        <v>308.8</v>
      </c>
      <c r="J2097">
        <v>226.61</v>
      </c>
      <c r="Q2097"/>
    </row>
    <row r="2098" spans="1:17" x14ac:dyDescent="0.25">
      <c r="A2098">
        <v>8</v>
      </c>
      <c r="B2098">
        <v>2016</v>
      </c>
      <c r="C2098" t="s">
        <v>126</v>
      </c>
      <c r="D2098" t="s">
        <v>127</v>
      </c>
      <c r="E2098" t="s">
        <v>132</v>
      </c>
      <c r="F2098" t="s">
        <v>131</v>
      </c>
      <c r="G2098">
        <v>560</v>
      </c>
      <c r="H2098">
        <v>340.17</v>
      </c>
      <c r="I2098">
        <v>484</v>
      </c>
      <c r="J2098">
        <v>293.48</v>
      </c>
      <c r="Q2098"/>
    </row>
    <row r="2099" spans="1:17" x14ac:dyDescent="0.25">
      <c r="A2099">
        <v>8</v>
      </c>
      <c r="B2099">
        <v>2016</v>
      </c>
      <c r="C2099" t="s">
        <v>126</v>
      </c>
      <c r="D2099" t="s">
        <v>127</v>
      </c>
      <c r="E2099" t="s">
        <v>135</v>
      </c>
      <c r="F2099" t="s">
        <v>136</v>
      </c>
      <c r="G2099">
        <v>828.6</v>
      </c>
      <c r="H2099">
        <v>378</v>
      </c>
      <c r="I2099">
        <v>81</v>
      </c>
      <c r="J2099">
        <v>36</v>
      </c>
      <c r="Q2099"/>
    </row>
    <row r="2100" spans="1:17" x14ac:dyDescent="0.25">
      <c r="A2100">
        <v>8</v>
      </c>
      <c r="B2100">
        <v>2016</v>
      </c>
      <c r="C2100" t="s">
        <v>137</v>
      </c>
      <c r="D2100" t="s">
        <v>138</v>
      </c>
      <c r="E2100" t="s">
        <v>139</v>
      </c>
      <c r="F2100" t="s">
        <v>140</v>
      </c>
      <c r="G2100">
        <v>1262.94</v>
      </c>
      <c r="H2100">
        <v>186</v>
      </c>
      <c r="I2100">
        <v>1344.42</v>
      </c>
      <c r="J2100">
        <v>198</v>
      </c>
      <c r="Q2100"/>
    </row>
    <row r="2101" spans="1:17" x14ac:dyDescent="0.25">
      <c r="A2101">
        <v>8</v>
      </c>
      <c r="B2101">
        <v>2016</v>
      </c>
      <c r="C2101" t="s">
        <v>137</v>
      </c>
      <c r="D2101" t="s">
        <v>138</v>
      </c>
      <c r="E2101" t="s">
        <v>141</v>
      </c>
      <c r="F2101" t="s">
        <v>142</v>
      </c>
      <c r="G2101">
        <v>466.2</v>
      </c>
      <c r="H2101">
        <v>84</v>
      </c>
      <c r="I2101">
        <v>499.5</v>
      </c>
      <c r="J2101">
        <v>90</v>
      </c>
      <c r="Q2101"/>
    </row>
    <row r="2102" spans="1:17" x14ac:dyDescent="0.25">
      <c r="A2102">
        <v>8</v>
      </c>
      <c r="B2102">
        <v>2016</v>
      </c>
      <c r="C2102" t="s">
        <v>137</v>
      </c>
      <c r="D2102" t="s">
        <v>138</v>
      </c>
      <c r="E2102" t="s">
        <v>143</v>
      </c>
      <c r="F2102" t="s">
        <v>144</v>
      </c>
      <c r="G2102">
        <v>552.9</v>
      </c>
      <c r="H2102">
        <v>114</v>
      </c>
      <c r="I2102">
        <v>407.4</v>
      </c>
      <c r="J2102">
        <v>84</v>
      </c>
      <c r="Q2102"/>
    </row>
    <row r="2103" spans="1:17" x14ac:dyDescent="0.25">
      <c r="A2103">
        <v>8</v>
      </c>
      <c r="B2103">
        <v>2016</v>
      </c>
      <c r="C2103" t="s">
        <v>137</v>
      </c>
      <c r="D2103" t="s">
        <v>138</v>
      </c>
      <c r="E2103" t="s">
        <v>145</v>
      </c>
      <c r="F2103" t="s">
        <v>146</v>
      </c>
      <c r="G2103">
        <v>137.88</v>
      </c>
      <c r="H2103">
        <v>42</v>
      </c>
      <c r="I2103">
        <v>137.88</v>
      </c>
      <c r="J2103">
        <v>36</v>
      </c>
      <c r="Q2103"/>
    </row>
    <row r="2104" spans="1:17" x14ac:dyDescent="0.25">
      <c r="A2104">
        <v>8</v>
      </c>
      <c r="B2104">
        <v>2016</v>
      </c>
      <c r="C2104" t="s">
        <v>137</v>
      </c>
      <c r="D2104" t="s">
        <v>138</v>
      </c>
      <c r="E2104" t="s">
        <v>713</v>
      </c>
      <c r="F2104" t="s">
        <v>714</v>
      </c>
      <c r="G2104">
        <v>29.16</v>
      </c>
      <c r="H2104">
        <v>12</v>
      </c>
      <c r="Q2104"/>
    </row>
    <row r="2105" spans="1:17" x14ac:dyDescent="0.25">
      <c r="A2105">
        <v>8</v>
      </c>
      <c r="B2105">
        <v>2016</v>
      </c>
      <c r="C2105" t="s">
        <v>137</v>
      </c>
      <c r="D2105" t="s">
        <v>138</v>
      </c>
      <c r="E2105" t="s">
        <v>147</v>
      </c>
      <c r="F2105" t="s">
        <v>148</v>
      </c>
      <c r="G2105">
        <v>577.79999999999995</v>
      </c>
      <c r="H2105">
        <v>54</v>
      </c>
      <c r="I2105">
        <v>770.4</v>
      </c>
      <c r="J2105">
        <v>72</v>
      </c>
      <c r="Q2105"/>
    </row>
    <row r="2106" spans="1:17" x14ac:dyDescent="0.25">
      <c r="A2106">
        <v>8</v>
      </c>
      <c r="B2106">
        <v>2016</v>
      </c>
      <c r="C2106" t="s">
        <v>137</v>
      </c>
      <c r="D2106" t="s">
        <v>138</v>
      </c>
      <c r="E2106" t="s">
        <v>149</v>
      </c>
      <c r="F2106" t="s">
        <v>150</v>
      </c>
      <c r="G2106">
        <v>2788.32</v>
      </c>
      <c r="H2106">
        <v>948</v>
      </c>
      <c r="I2106">
        <v>1842.24</v>
      </c>
      <c r="J2106">
        <v>606</v>
      </c>
      <c r="Q2106"/>
    </row>
    <row r="2107" spans="1:17" x14ac:dyDescent="0.25">
      <c r="A2107">
        <v>8</v>
      </c>
      <c r="B2107">
        <v>2016</v>
      </c>
      <c r="C2107" t="s">
        <v>137</v>
      </c>
      <c r="D2107" t="s">
        <v>138</v>
      </c>
      <c r="E2107" t="s">
        <v>151</v>
      </c>
      <c r="F2107" t="s">
        <v>152</v>
      </c>
      <c r="G2107">
        <v>699.3</v>
      </c>
      <c r="H2107">
        <v>126</v>
      </c>
      <c r="I2107">
        <v>668.4</v>
      </c>
      <c r="J2107">
        <v>120</v>
      </c>
      <c r="Q2107"/>
    </row>
    <row r="2108" spans="1:17" x14ac:dyDescent="0.25">
      <c r="A2108">
        <v>8</v>
      </c>
      <c r="B2108">
        <v>2016</v>
      </c>
      <c r="C2108" t="s">
        <v>155</v>
      </c>
      <c r="D2108" t="s">
        <v>156</v>
      </c>
      <c r="E2108" t="s">
        <v>157</v>
      </c>
      <c r="F2108" t="s">
        <v>158</v>
      </c>
      <c r="G2108">
        <v>760.5</v>
      </c>
      <c r="H2108">
        <v>234</v>
      </c>
      <c r="I2108">
        <v>468</v>
      </c>
      <c r="J2108">
        <v>144</v>
      </c>
      <c r="Q2108"/>
    </row>
    <row r="2109" spans="1:17" x14ac:dyDescent="0.25">
      <c r="A2109">
        <v>8</v>
      </c>
      <c r="B2109">
        <v>2016</v>
      </c>
      <c r="C2109" t="s">
        <v>155</v>
      </c>
      <c r="D2109" t="s">
        <v>156</v>
      </c>
      <c r="E2109" t="s">
        <v>159</v>
      </c>
      <c r="F2109" t="s">
        <v>160</v>
      </c>
      <c r="G2109">
        <v>33.6</v>
      </c>
      <c r="H2109">
        <v>12</v>
      </c>
      <c r="I2109">
        <v>100.8</v>
      </c>
      <c r="J2109">
        <v>36</v>
      </c>
      <c r="Q2109"/>
    </row>
    <row r="2110" spans="1:17" x14ac:dyDescent="0.25">
      <c r="A2110">
        <v>8</v>
      </c>
      <c r="B2110">
        <v>2016</v>
      </c>
      <c r="C2110" t="s">
        <v>155</v>
      </c>
      <c r="D2110" t="s">
        <v>156</v>
      </c>
      <c r="E2110" t="s">
        <v>161</v>
      </c>
      <c r="F2110" t="s">
        <v>162</v>
      </c>
      <c r="G2110">
        <v>159.6</v>
      </c>
      <c r="H2110">
        <v>93.31</v>
      </c>
      <c r="I2110">
        <v>22.6</v>
      </c>
      <c r="J2110">
        <v>13.33</v>
      </c>
      <c r="Q2110"/>
    </row>
    <row r="2111" spans="1:17" x14ac:dyDescent="0.25">
      <c r="A2111">
        <v>8</v>
      </c>
      <c r="B2111">
        <v>2016</v>
      </c>
      <c r="C2111" t="s">
        <v>155</v>
      </c>
      <c r="D2111" t="s">
        <v>156</v>
      </c>
      <c r="E2111" t="s">
        <v>163</v>
      </c>
      <c r="F2111" t="s">
        <v>164</v>
      </c>
      <c r="G2111">
        <v>243</v>
      </c>
      <c r="H2111">
        <v>120.06</v>
      </c>
      <c r="I2111">
        <v>26.6</v>
      </c>
      <c r="J2111">
        <v>13.34</v>
      </c>
      <c r="Q2111"/>
    </row>
    <row r="2112" spans="1:17" x14ac:dyDescent="0.25">
      <c r="A2112">
        <v>8</v>
      </c>
      <c r="B2112">
        <v>2016</v>
      </c>
      <c r="C2112" t="s">
        <v>155</v>
      </c>
      <c r="D2112" t="s">
        <v>156</v>
      </c>
      <c r="E2112" t="s">
        <v>165</v>
      </c>
      <c r="F2112" t="s">
        <v>166</v>
      </c>
      <c r="G2112">
        <v>320.39999999999998</v>
      </c>
      <c r="H2112">
        <v>72</v>
      </c>
      <c r="I2112">
        <v>427.2</v>
      </c>
      <c r="J2112">
        <v>96</v>
      </c>
      <c r="Q2112"/>
    </row>
    <row r="2113" spans="1:17" x14ac:dyDescent="0.25">
      <c r="A2113">
        <v>8</v>
      </c>
      <c r="B2113">
        <v>2016</v>
      </c>
      <c r="C2113" t="s">
        <v>167</v>
      </c>
      <c r="D2113" t="s">
        <v>168</v>
      </c>
      <c r="E2113" t="s">
        <v>173</v>
      </c>
      <c r="F2113" t="s">
        <v>174</v>
      </c>
      <c r="G2113">
        <v>14.4</v>
      </c>
      <c r="H2113">
        <v>12</v>
      </c>
      <c r="I2113">
        <v>86.4</v>
      </c>
      <c r="J2113">
        <v>36</v>
      </c>
      <c r="Q2113"/>
    </row>
    <row r="2114" spans="1:17" x14ac:dyDescent="0.25">
      <c r="A2114">
        <v>8</v>
      </c>
      <c r="B2114">
        <v>2016</v>
      </c>
      <c r="C2114" t="s">
        <v>175</v>
      </c>
      <c r="D2114" t="s">
        <v>176</v>
      </c>
      <c r="E2114" t="s">
        <v>177</v>
      </c>
      <c r="F2114" t="s">
        <v>178</v>
      </c>
      <c r="G2114">
        <v>4668.42</v>
      </c>
      <c r="H2114">
        <v>1206</v>
      </c>
      <c r="I2114">
        <v>2064</v>
      </c>
      <c r="J2114">
        <v>516</v>
      </c>
      <c r="Q2114"/>
    </row>
    <row r="2115" spans="1:17" x14ac:dyDescent="0.25">
      <c r="A2115">
        <v>8</v>
      </c>
      <c r="B2115">
        <v>2016</v>
      </c>
      <c r="C2115" t="s">
        <v>175</v>
      </c>
      <c r="D2115" t="s">
        <v>176</v>
      </c>
      <c r="E2115" t="s">
        <v>179</v>
      </c>
      <c r="F2115" t="s">
        <v>178</v>
      </c>
      <c r="G2115">
        <v>440.4</v>
      </c>
      <c r="H2115">
        <v>96</v>
      </c>
      <c r="I2115">
        <v>90</v>
      </c>
      <c r="J2115">
        <v>18</v>
      </c>
      <c r="Q2115"/>
    </row>
    <row r="2116" spans="1:17" x14ac:dyDescent="0.25">
      <c r="A2116">
        <v>8</v>
      </c>
      <c r="B2116">
        <v>2016</v>
      </c>
      <c r="C2116" t="s">
        <v>175</v>
      </c>
      <c r="D2116" t="s">
        <v>176</v>
      </c>
      <c r="E2116" t="s">
        <v>180</v>
      </c>
      <c r="F2116" t="s">
        <v>181</v>
      </c>
      <c r="G2116">
        <v>633.36</v>
      </c>
      <c r="H2116">
        <v>174</v>
      </c>
      <c r="I2116">
        <v>342.72</v>
      </c>
      <c r="J2116">
        <v>96</v>
      </c>
      <c r="Q2116"/>
    </row>
    <row r="2117" spans="1:17" x14ac:dyDescent="0.25">
      <c r="A2117">
        <v>8</v>
      </c>
      <c r="B2117">
        <v>2016</v>
      </c>
      <c r="C2117" t="s">
        <v>189</v>
      </c>
      <c r="D2117" t="s">
        <v>190</v>
      </c>
      <c r="E2117" t="s">
        <v>193</v>
      </c>
      <c r="F2117" t="s">
        <v>194</v>
      </c>
      <c r="G2117">
        <v>199.5</v>
      </c>
      <c r="H2117">
        <v>42</v>
      </c>
      <c r="I2117">
        <v>464.1</v>
      </c>
      <c r="J2117">
        <v>102</v>
      </c>
      <c r="Q2117"/>
    </row>
    <row r="2118" spans="1:17" x14ac:dyDescent="0.25">
      <c r="A2118">
        <v>8</v>
      </c>
      <c r="B2118">
        <v>2016</v>
      </c>
      <c r="C2118" t="s">
        <v>195</v>
      </c>
      <c r="D2118" t="s">
        <v>196</v>
      </c>
      <c r="E2118" t="s">
        <v>199</v>
      </c>
      <c r="F2118" t="s">
        <v>200</v>
      </c>
      <c r="G2118">
        <v>84</v>
      </c>
      <c r="H2118">
        <v>24</v>
      </c>
      <c r="I2118">
        <v>126</v>
      </c>
      <c r="J2118">
        <v>36</v>
      </c>
      <c r="Q2118"/>
    </row>
    <row r="2119" spans="1:17" x14ac:dyDescent="0.25">
      <c r="A2119">
        <v>8</v>
      </c>
      <c r="B2119">
        <v>2016</v>
      </c>
      <c r="C2119" t="s">
        <v>195</v>
      </c>
      <c r="D2119" t="s">
        <v>196</v>
      </c>
      <c r="E2119" t="s">
        <v>201</v>
      </c>
      <c r="F2119" t="s">
        <v>202</v>
      </c>
      <c r="G2119">
        <v>73.2</v>
      </c>
      <c r="H2119">
        <v>30</v>
      </c>
      <c r="I2119">
        <v>53.04</v>
      </c>
      <c r="J2119">
        <v>24</v>
      </c>
      <c r="Q2119"/>
    </row>
    <row r="2120" spans="1:17" x14ac:dyDescent="0.25">
      <c r="A2120">
        <v>8</v>
      </c>
      <c r="B2120">
        <v>2016</v>
      </c>
      <c r="C2120" t="s">
        <v>195</v>
      </c>
      <c r="D2120" t="s">
        <v>196</v>
      </c>
      <c r="E2120" t="s">
        <v>203</v>
      </c>
      <c r="F2120" t="s">
        <v>204</v>
      </c>
      <c r="G2120">
        <v>150</v>
      </c>
      <c r="H2120">
        <v>30</v>
      </c>
      <c r="Q2120"/>
    </row>
    <row r="2121" spans="1:17" x14ac:dyDescent="0.25">
      <c r="A2121">
        <v>8</v>
      </c>
      <c r="B2121">
        <v>2016</v>
      </c>
      <c r="C2121" t="s">
        <v>195</v>
      </c>
      <c r="D2121" t="s">
        <v>196</v>
      </c>
      <c r="E2121" t="s">
        <v>205</v>
      </c>
      <c r="F2121" t="s">
        <v>206</v>
      </c>
      <c r="G2121">
        <v>22.68</v>
      </c>
      <c r="H2121">
        <v>6</v>
      </c>
      <c r="Q2121"/>
    </row>
    <row r="2122" spans="1:17" x14ac:dyDescent="0.25">
      <c r="A2122">
        <v>8</v>
      </c>
      <c r="B2122">
        <v>2016</v>
      </c>
      <c r="C2122" t="s">
        <v>207</v>
      </c>
      <c r="D2122" t="s">
        <v>208</v>
      </c>
      <c r="E2122" t="s">
        <v>209</v>
      </c>
      <c r="F2122" t="s">
        <v>210</v>
      </c>
      <c r="G2122">
        <v>1598.7</v>
      </c>
      <c r="H2122">
        <v>438</v>
      </c>
      <c r="I2122">
        <v>2116.8000000000002</v>
      </c>
      <c r="J2122">
        <v>588</v>
      </c>
      <c r="Q2122"/>
    </row>
    <row r="2123" spans="1:17" x14ac:dyDescent="0.25">
      <c r="A2123">
        <v>8</v>
      </c>
      <c r="B2123">
        <v>2016</v>
      </c>
      <c r="C2123" t="s">
        <v>207</v>
      </c>
      <c r="D2123" t="s">
        <v>208</v>
      </c>
      <c r="E2123" t="s">
        <v>211</v>
      </c>
      <c r="F2123" t="s">
        <v>212</v>
      </c>
      <c r="G2123">
        <v>510.6</v>
      </c>
      <c r="H2123">
        <v>246.79</v>
      </c>
      <c r="I2123">
        <v>460.25</v>
      </c>
      <c r="J2123">
        <v>233.45</v>
      </c>
      <c r="Q2123"/>
    </row>
    <row r="2124" spans="1:17" x14ac:dyDescent="0.25">
      <c r="A2124">
        <v>8</v>
      </c>
      <c r="B2124">
        <v>2016</v>
      </c>
      <c r="C2124" t="s">
        <v>207</v>
      </c>
      <c r="D2124" t="s">
        <v>208</v>
      </c>
      <c r="E2124" t="s">
        <v>213</v>
      </c>
      <c r="F2124" t="s">
        <v>212</v>
      </c>
      <c r="G2124">
        <v>132.25</v>
      </c>
      <c r="H2124">
        <v>66.650000000000006</v>
      </c>
      <c r="I2124">
        <v>100.8</v>
      </c>
      <c r="J2124">
        <v>53.32</v>
      </c>
      <c r="Q2124"/>
    </row>
    <row r="2125" spans="1:17" x14ac:dyDescent="0.25">
      <c r="A2125">
        <v>8</v>
      </c>
      <c r="B2125">
        <v>2016</v>
      </c>
      <c r="C2125" t="s">
        <v>207</v>
      </c>
      <c r="D2125" t="s">
        <v>208</v>
      </c>
      <c r="E2125" t="s">
        <v>214</v>
      </c>
      <c r="F2125" t="s">
        <v>215</v>
      </c>
      <c r="G2125">
        <v>135</v>
      </c>
      <c r="H2125">
        <v>30</v>
      </c>
      <c r="Q2125"/>
    </row>
    <row r="2126" spans="1:17" x14ac:dyDescent="0.25">
      <c r="A2126">
        <v>8</v>
      </c>
      <c r="B2126">
        <v>2016</v>
      </c>
      <c r="C2126" t="s">
        <v>207</v>
      </c>
      <c r="D2126" t="s">
        <v>208</v>
      </c>
      <c r="E2126" t="s">
        <v>217</v>
      </c>
      <c r="F2126" t="s">
        <v>218</v>
      </c>
      <c r="G2126">
        <v>61.2</v>
      </c>
      <c r="H2126">
        <v>12</v>
      </c>
      <c r="I2126">
        <v>386.1</v>
      </c>
      <c r="J2126">
        <v>78</v>
      </c>
      <c r="Q2126"/>
    </row>
    <row r="2127" spans="1:17" x14ac:dyDescent="0.25">
      <c r="A2127">
        <v>8</v>
      </c>
      <c r="B2127">
        <v>2016</v>
      </c>
      <c r="C2127" t="s">
        <v>207</v>
      </c>
      <c r="D2127" t="s">
        <v>208</v>
      </c>
      <c r="E2127" t="s">
        <v>804</v>
      </c>
      <c r="F2127" t="s">
        <v>805</v>
      </c>
      <c r="G2127">
        <v>49.2</v>
      </c>
      <c r="H2127">
        <v>6</v>
      </c>
      <c r="I2127">
        <v>49.2</v>
      </c>
      <c r="J2127">
        <v>6</v>
      </c>
      <c r="Q2127"/>
    </row>
    <row r="2128" spans="1:17" x14ac:dyDescent="0.25">
      <c r="A2128">
        <v>8</v>
      </c>
      <c r="B2128">
        <v>2016</v>
      </c>
      <c r="C2128" t="s">
        <v>219</v>
      </c>
      <c r="D2128" t="s">
        <v>220</v>
      </c>
      <c r="E2128" t="s">
        <v>221</v>
      </c>
      <c r="F2128" t="s">
        <v>222</v>
      </c>
      <c r="G2128">
        <v>602.70000000000005</v>
      </c>
      <c r="H2128">
        <v>42</v>
      </c>
      <c r="Q2128"/>
    </row>
    <row r="2129" spans="1:17" x14ac:dyDescent="0.25">
      <c r="A2129">
        <v>8</v>
      </c>
      <c r="B2129">
        <v>2016</v>
      </c>
      <c r="C2129" t="s">
        <v>219</v>
      </c>
      <c r="D2129" t="s">
        <v>220</v>
      </c>
      <c r="E2129" t="s">
        <v>225</v>
      </c>
      <c r="F2129" t="s">
        <v>226</v>
      </c>
      <c r="G2129">
        <v>1562.4</v>
      </c>
      <c r="H2129">
        <v>186</v>
      </c>
      <c r="I2129">
        <v>951.9</v>
      </c>
      <c r="J2129">
        <v>114</v>
      </c>
      <c r="Q2129"/>
    </row>
    <row r="2130" spans="1:17" x14ac:dyDescent="0.25">
      <c r="A2130">
        <v>8</v>
      </c>
      <c r="B2130">
        <v>2016</v>
      </c>
      <c r="C2130" t="s">
        <v>231</v>
      </c>
      <c r="D2130" t="s">
        <v>232</v>
      </c>
      <c r="E2130" t="s">
        <v>239</v>
      </c>
      <c r="F2130" t="s">
        <v>240</v>
      </c>
      <c r="G2130">
        <v>90</v>
      </c>
      <c r="H2130">
        <v>12</v>
      </c>
      <c r="I2130">
        <v>84</v>
      </c>
      <c r="J2130">
        <v>12</v>
      </c>
      <c r="Q2130"/>
    </row>
    <row r="2131" spans="1:17" x14ac:dyDescent="0.25">
      <c r="A2131">
        <v>8</v>
      </c>
      <c r="B2131">
        <v>2016</v>
      </c>
      <c r="C2131" t="s">
        <v>245</v>
      </c>
      <c r="D2131" t="s">
        <v>246</v>
      </c>
      <c r="E2131" t="s">
        <v>247</v>
      </c>
      <c r="F2131" t="s">
        <v>248</v>
      </c>
      <c r="G2131">
        <v>120.6</v>
      </c>
      <c r="H2131">
        <v>42</v>
      </c>
      <c r="I2131">
        <v>316.8</v>
      </c>
      <c r="J2131">
        <v>96</v>
      </c>
      <c r="Q2131"/>
    </row>
    <row r="2132" spans="1:17" x14ac:dyDescent="0.25">
      <c r="A2132">
        <v>8</v>
      </c>
      <c r="B2132">
        <v>2016</v>
      </c>
      <c r="C2132" t="s">
        <v>245</v>
      </c>
      <c r="D2132" t="s">
        <v>246</v>
      </c>
      <c r="E2132" t="s">
        <v>729</v>
      </c>
      <c r="F2132" t="s">
        <v>730</v>
      </c>
      <c r="G2132">
        <v>0</v>
      </c>
      <c r="H2132">
        <v>6</v>
      </c>
      <c r="I2132">
        <v>54</v>
      </c>
      <c r="J2132">
        <v>24</v>
      </c>
      <c r="Q2132"/>
    </row>
    <row r="2133" spans="1:17" x14ac:dyDescent="0.25">
      <c r="A2133">
        <v>8</v>
      </c>
      <c r="B2133">
        <v>2016</v>
      </c>
      <c r="C2133" t="s">
        <v>245</v>
      </c>
      <c r="D2133" t="s">
        <v>246</v>
      </c>
      <c r="E2133" t="s">
        <v>249</v>
      </c>
      <c r="F2133" t="s">
        <v>250</v>
      </c>
      <c r="G2133">
        <v>295.8</v>
      </c>
      <c r="H2133">
        <v>102</v>
      </c>
      <c r="I2133">
        <v>85.5</v>
      </c>
      <c r="J2133">
        <v>30</v>
      </c>
      <c r="Q2133"/>
    </row>
    <row r="2134" spans="1:17" x14ac:dyDescent="0.25">
      <c r="A2134">
        <v>8</v>
      </c>
      <c r="B2134">
        <v>2016</v>
      </c>
      <c r="C2134" t="s">
        <v>245</v>
      </c>
      <c r="D2134" t="s">
        <v>246</v>
      </c>
      <c r="E2134" t="s">
        <v>251</v>
      </c>
      <c r="F2134" t="s">
        <v>250</v>
      </c>
      <c r="G2134">
        <v>177.6</v>
      </c>
      <c r="H2134">
        <v>48</v>
      </c>
      <c r="I2134">
        <v>43.2</v>
      </c>
      <c r="J2134">
        <v>12</v>
      </c>
      <c r="Q2134"/>
    </row>
    <row r="2135" spans="1:17" x14ac:dyDescent="0.25">
      <c r="A2135">
        <v>8</v>
      </c>
      <c r="B2135">
        <v>2016</v>
      </c>
      <c r="C2135" t="s">
        <v>245</v>
      </c>
      <c r="D2135" t="s">
        <v>246</v>
      </c>
      <c r="E2135" t="s">
        <v>252</v>
      </c>
      <c r="F2135" t="s">
        <v>253</v>
      </c>
      <c r="G2135">
        <v>297</v>
      </c>
      <c r="H2135">
        <v>138</v>
      </c>
      <c r="I2135">
        <v>351</v>
      </c>
      <c r="J2135">
        <v>156</v>
      </c>
      <c r="Q2135"/>
    </row>
    <row r="2136" spans="1:17" x14ac:dyDescent="0.25">
      <c r="A2136">
        <v>8</v>
      </c>
      <c r="B2136">
        <v>2016</v>
      </c>
      <c r="C2136" t="s">
        <v>245</v>
      </c>
      <c r="D2136" t="s">
        <v>246</v>
      </c>
      <c r="E2136" t="s">
        <v>809</v>
      </c>
      <c r="F2136" t="s">
        <v>253</v>
      </c>
      <c r="G2136">
        <v>59.4</v>
      </c>
      <c r="H2136">
        <v>18</v>
      </c>
      <c r="Q2136"/>
    </row>
    <row r="2137" spans="1:17" x14ac:dyDescent="0.25">
      <c r="A2137">
        <v>8</v>
      </c>
      <c r="B2137">
        <v>2016</v>
      </c>
      <c r="C2137" t="s">
        <v>254</v>
      </c>
      <c r="D2137" t="s">
        <v>255</v>
      </c>
      <c r="E2137" t="s">
        <v>256</v>
      </c>
      <c r="F2137" t="s">
        <v>257</v>
      </c>
      <c r="G2137">
        <v>1209</v>
      </c>
      <c r="H2137">
        <v>378</v>
      </c>
      <c r="I2137">
        <v>1593.6</v>
      </c>
      <c r="J2137">
        <v>498</v>
      </c>
      <c r="Q2137"/>
    </row>
    <row r="2138" spans="1:17" x14ac:dyDescent="0.25">
      <c r="A2138">
        <v>8</v>
      </c>
      <c r="B2138">
        <v>2016</v>
      </c>
      <c r="C2138" t="s">
        <v>254</v>
      </c>
      <c r="D2138" t="s">
        <v>255</v>
      </c>
      <c r="E2138" t="s">
        <v>258</v>
      </c>
      <c r="F2138" t="s">
        <v>259</v>
      </c>
      <c r="G2138">
        <v>58.5</v>
      </c>
      <c r="H2138">
        <v>24</v>
      </c>
      <c r="Q2138"/>
    </row>
    <row r="2139" spans="1:17" x14ac:dyDescent="0.25">
      <c r="A2139">
        <v>8</v>
      </c>
      <c r="B2139">
        <v>2016</v>
      </c>
      <c r="C2139" t="s">
        <v>254</v>
      </c>
      <c r="D2139" t="s">
        <v>255</v>
      </c>
      <c r="E2139" t="s">
        <v>260</v>
      </c>
      <c r="F2139" t="s">
        <v>261</v>
      </c>
      <c r="G2139">
        <v>211.2</v>
      </c>
      <c r="H2139">
        <v>48</v>
      </c>
      <c r="I2139">
        <v>79.2</v>
      </c>
      <c r="J2139">
        <v>18</v>
      </c>
      <c r="Q2139"/>
    </row>
    <row r="2140" spans="1:17" x14ac:dyDescent="0.25">
      <c r="A2140">
        <v>8</v>
      </c>
      <c r="B2140">
        <v>2016</v>
      </c>
      <c r="C2140" t="s">
        <v>254</v>
      </c>
      <c r="D2140" t="s">
        <v>255</v>
      </c>
      <c r="E2140" t="s">
        <v>732</v>
      </c>
      <c r="F2140" t="s">
        <v>733</v>
      </c>
      <c r="G2140">
        <v>39</v>
      </c>
      <c r="H2140">
        <v>6</v>
      </c>
      <c r="I2140">
        <v>39</v>
      </c>
      <c r="J2140">
        <v>6</v>
      </c>
      <c r="Q2140"/>
    </row>
    <row r="2141" spans="1:17" x14ac:dyDescent="0.25">
      <c r="A2141">
        <v>8</v>
      </c>
      <c r="B2141">
        <v>2016</v>
      </c>
      <c r="C2141" t="s">
        <v>262</v>
      </c>
      <c r="D2141" t="s">
        <v>263</v>
      </c>
      <c r="E2141" t="s">
        <v>264</v>
      </c>
      <c r="F2141" t="s">
        <v>265</v>
      </c>
      <c r="G2141">
        <v>4334.3999999999996</v>
      </c>
      <c r="H2141">
        <v>774</v>
      </c>
      <c r="I2141">
        <v>1911</v>
      </c>
      <c r="J2141">
        <v>342</v>
      </c>
      <c r="Q2141"/>
    </row>
    <row r="2142" spans="1:17" x14ac:dyDescent="0.25">
      <c r="A2142">
        <v>8</v>
      </c>
      <c r="B2142">
        <v>2016</v>
      </c>
      <c r="C2142" t="s">
        <v>262</v>
      </c>
      <c r="D2142" t="s">
        <v>263</v>
      </c>
      <c r="E2142" t="s">
        <v>810</v>
      </c>
      <c r="F2142" t="s">
        <v>811</v>
      </c>
      <c r="G2142">
        <v>141.75</v>
      </c>
      <c r="H2142">
        <v>15</v>
      </c>
      <c r="I2142">
        <v>167.94</v>
      </c>
      <c r="J2142">
        <v>18</v>
      </c>
      <c r="Q2142"/>
    </row>
    <row r="2143" spans="1:17" x14ac:dyDescent="0.25">
      <c r="A2143">
        <v>8</v>
      </c>
      <c r="B2143">
        <v>2016</v>
      </c>
      <c r="C2143" t="s">
        <v>262</v>
      </c>
      <c r="D2143" t="s">
        <v>263</v>
      </c>
      <c r="E2143" t="s">
        <v>266</v>
      </c>
      <c r="F2143" t="s">
        <v>267</v>
      </c>
      <c r="G2143">
        <v>6123.6</v>
      </c>
      <c r="H2143">
        <v>756</v>
      </c>
      <c r="I2143">
        <v>2028.6</v>
      </c>
      <c r="J2143">
        <v>252</v>
      </c>
      <c r="Q2143"/>
    </row>
    <row r="2144" spans="1:17" x14ac:dyDescent="0.25">
      <c r="A2144">
        <v>8</v>
      </c>
      <c r="B2144">
        <v>2016</v>
      </c>
      <c r="C2144" t="s">
        <v>262</v>
      </c>
      <c r="D2144" t="s">
        <v>263</v>
      </c>
      <c r="E2144" t="s">
        <v>962</v>
      </c>
      <c r="F2144" t="s">
        <v>269</v>
      </c>
      <c r="G2144">
        <v>79.2</v>
      </c>
      <c r="H2144">
        <v>12</v>
      </c>
      <c r="Q2144"/>
    </row>
    <row r="2145" spans="1:17" x14ac:dyDescent="0.25">
      <c r="A2145">
        <v>8</v>
      </c>
      <c r="B2145">
        <v>2016</v>
      </c>
      <c r="C2145" t="s">
        <v>262</v>
      </c>
      <c r="D2145" t="s">
        <v>263</v>
      </c>
      <c r="E2145" t="s">
        <v>268</v>
      </c>
      <c r="F2145" t="s">
        <v>269</v>
      </c>
      <c r="G2145">
        <v>381</v>
      </c>
      <c r="H2145">
        <v>60</v>
      </c>
      <c r="I2145">
        <v>457.2</v>
      </c>
      <c r="J2145">
        <v>72</v>
      </c>
      <c r="Q2145"/>
    </row>
    <row r="2146" spans="1:17" x14ac:dyDescent="0.25">
      <c r="A2146">
        <v>8</v>
      </c>
      <c r="B2146">
        <v>2016</v>
      </c>
      <c r="C2146" t="s">
        <v>262</v>
      </c>
      <c r="D2146" t="s">
        <v>263</v>
      </c>
      <c r="E2146" t="s">
        <v>270</v>
      </c>
      <c r="F2146" t="s">
        <v>271</v>
      </c>
      <c r="G2146">
        <v>1362.9</v>
      </c>
      <c r="H2146">
        <v>154</v>
      </c>
      <c r="I2146">
        <v>1689.6</v>
      </c>
      <c r="J2146">
        <v>192</v>
      </c>
      <c r="Q2146"/>
    </row>
    <row r="2147" spans="1:17" x14ac:dyDescent="0.25">
      <c r="A2147">
        <v>8</v>
      </c>
      <c r="B2147">
        <v>2016</v>
      </c>
      <c r="C2147" t="s">
        <v>272</v>
      </c>
      <c r="D2147" t="s">
        <v>273</v>
      </c>
      <c r="E2147" t="s">
        <v>276</v>
      </c>
      <c r="F2147" t="s">
        <v>277</v>
      </c>
      <c r="G2147">
        <v>1728</v>
      </c>
      <c r="H2147">
        <v>180</v>
      </c>
      <c r="I2147">
        <v>172.8</v>
      </c>
      <c r="J2147">
        <v>18</v>
      </c>
      <c r="Q2147"/>
    </row>
    <row r="2148" spans="1:17" x14ac:dyDescent="0.25">
      <c r="A2148">
        <v>8</v>
      </c>
      <c r="B2148">
        <v>2016</v>
      </c>
      <c r="C2148" t="s">
        <v>272</v>
      </c>
      <c r="D2148" t="s">
        <v>273</v>
      </c>
      <c r="E2148" t="s">
        <v>278</v>
      </c>
      <c r="F2148" t="s">
        <v>279</v>
      </c>
      <c r="G2148">
        <v>238.5</v>
      </c>
      <c r="H2148">
        <v>90</v>
      </c>
      <c r="I2148">
        <v>254.4</v>
      </c>
      <c r="J2148">
        <v>96</v>
      </c>
      <c r="Q2148"/>
    </row>
    <row r="2149" spans="1:17" x14ac:dyDescent="0.25">
      <c r="A2149">
        <v>8</v>
      </c>
      <c r="B2149">
        <v>2016</v>
      </c>
      <c r="C2149" t="s">
        <v>272</v>
      </c>
      <c r="D2149" t="s">
        <v>273</v>
      </c>
      <c r="E2149" t="s">
        <v>280</v>
      </c>
      <c r="F2149" t="s">
        <v>281</v>
      </c>
      <c r="G2149">
        <v>904.2</v>
      </c>
      <c r="H2149">
        <v>132</v>
      </c>
      <c r="I2149">
        <v>452.1</v>
      </c>
      <c r="J2149">
        <v>66</v>
      </c>
      <c r="Q2149"/>
    </row>
    <row r="2150" spans="1:17" x14ac:dyDescent="0.25">
      <c r="A2150">
        <v>8</v>
      </c>
      <c r="B2150">
        <v>2016</v>
      </c>
      <c r="C2150" t="s">
        <v>272</v>
      </c>
      <c r="D2150" t="s">
        <v>273</v>
      </c>
      <c r="E2150" t="s">
        <v>282</v>
      </c>
      <c r="F2150" t="s">
        <v>283</v>
      </c>
      <c r="G2150">
        <v>169.8</v>
      </c>
      <c r="H2150">
        <v>24</v>
      </c>
      <c r="I2150">
        <v>169.8</v>
      </c>
      <c r="J2150">
        <v>24</v>
      </c>
      <c r="Q2150"/>
    </row>
    <row r="2151" spans="1:17" x14ac:dyDescent="0.25">
      <c r="A2151">
        <v>8</v>
      </c>
      <c r="B2151">
        <v>2016</v>
      </c>
      <c r="C2151" t="s">
        <v>272</v>
      </c>
      <c r="D2151" t="s">
        <v>273</v>
      </c>
      <c r="E2151" t="s">
        <v>284</v>
      </c>
      <c r="F2151" t="s">
        <v>285</v>
      </c>
      <c r="G2151">
        <v>0</v>
      </c>
      <c r="H2151">
        <v>12</v>
      </c>
      <c r="Q2151"/>
    </row>
    <row r="2152" spans="1:17" x14ac:dyDescent="0.25">
      <c r="A2152">
        <v>8</v>
      </c>
      <c r="B2152">
        <v>2016</v>
      </c>
      <c r="C2152" t="s">
        <v>272</v>
      </c>
      <c r="D2152" t="s">
        <v>273</v>
      </c>
      <c r="E2152" t="s">
        <v>814</v>
      </c>
      <c r="F2152" t="s">
        <v>287</v>
      </c>
      <c r="G2152">
        <v>411</v>
      </c>
      <c r="H2152">
        <v>60</v>
      </c>
      <c r="Q2152"/>
    </row>
    <row r="2153" spans="1:17" x14ac:dyDescent="0.25">
      <c r="A2153">
        <v>8</v>
      </c>
      <c r="B2153">
        <v>2016</v>
      </c>
      <c r="C2153" t="s">
        <v>272</v>
      </c>
      <c r="D2153" t="s">
        <v>273</v>
      </c>
      <c r="E2153" t="s">
        <v>286</v>
      </c>
      <c r="F2153" t="s">
        <v>287</v>
      </c>
      <c r="G2153">
        <v>84.9</v>
      </c>
      <c r="H2153">
        <v>12</v>
      </c>
      <c r="Q2153"/>
    </row>
    <row r="2154" spans="1:17" x14ac:dyDescent="0.25">
      <c r="A2154">
        <v>8</v>
      </c>
      <c r="B2154">
        <v>2016</v>
      </c>
      <c r="C2154" t="s">
        <v>288</v>
      </c>
      <c r="D2154" t="s">
        <v>289</v>
      </c>
      <c r="E2154" t="s">
        <v>290</v>
      </c>
      <c r="F2154" t="s">
        <v>291</v>
      </c>
      <c r="G2154">
        <v>90</v>
      </c>
      <c r="H2154">
        <v>18</v>
      </c>
      <c r="Q2154"/>
    </row>
    <row r="2155" spans="1:17" x14ac:dyDescent="0.25">
      <c r="A2155">
        <v>8</v>
      </c>
      <c r="B2155">
        <v>2016</v>
      </c>
      <c r="C2155" t="s">
        <v>288</v>
      </c>
      <c r="D2155" t="s">
        <v>289</v>
      </c>
      <c r="E2155" t="s">
        <v>292</v>
      </c>
      <c r="F2155" t="s">
        <v>293</v>
      </c>
      <c r="G2155">
        <v>93</v>
      </c>
      <c r="H2155">
        <v>12</v>
      </c>
      <c r="Q2155"/>
    </row>
    <row r="2156" spans="1:17" x14ac:dyDescent="0.25">
      <c r="A2156">
        <v>8</v>
      </c>
      <c r="B2156">
        <v>2016</v>
      </c>
      <c r="C2156" t="s">
        <v>288</v>
      </c>
      <c r="D2156" t="s">
        <v>289</v>
      </c>
      <c r="E2156" t="s">
        <v>294</v>
      </c>
      <c r="F2156" t="s">
        <v>295</v>
      </c>
      <c r="G2156">
        <v>694.2</v>
      </c>
      <c r="H2156">
        <v>78</v>
      </c>
      <c r="Q2156"/>
    </row>
    <row r="2157" spans="1:17" x14ac:dyDescent="0.25">
      <c r="A2157">
        <v>8</v>
      </c>
      <c r="B2157">
        <v>2016</v>
      </c>
      <c r="C2157" t="s">
        <v>296</v>
      </c>
      <c r="D2157" t="s">
        <v>297</v>
      </c>
      <c r="E2157" t="s">
        <v>298</v>
      </c>
      <c r="F2157" t="s">
        <v>299</v>
      </c>
      <c r="G2157">
        <v>277.2</v>
      </c>
      <c r="H2157">
        <v>66</v>
      </c>
      <c r="I2157">
        <v>453.6</v>
      </c>
      <c r="J2157">
        <v>108</v>
      </c>
      <c r="Q2157"/>
    </row>
    <row r="2158" spans="1:17" x14ac:dyDescent="0.25">
      <c r="A2158">
        <v>8</v>
      </c>
      <c r="B2158">
        <v>2016</v>
      </c>
      <c r="C2158" t="s">
        <v>296</v>
      </c>
      <c r="D2158" t="s">
        <v>297</v>
      </c>
      <c r="E2158" t="s">
        <v>300</v>
      </c>
      <c r="F2158" t="s">
        <v>301</v>
      </c>
      <c r="G2158">
        <v>43.2</v>
      </c>
      <c r="H2158">
        <v>12</v>
      </c>
      <c r="I2158">
        <v>21.3</v>
      </c>
      <c r="J2158">
        <v>6</v>
      </c>
      <c r="Q2158"/>
    </row>
    <row r="2159" spans="1:17" x14ac:dyDescent="0.25">
      <c r="A2159">
        <v>8</v>
      </c>
      <c r="B2159">
        <v>2016</v>
      </c>
      <c r="C2159" t="s">
        <v>296</v>
      </c>
      <c r="D2159" t="s">
        <v>297</v>
      </c>
      <c r="E2159" t="s">
        <v>739</v>
      </c>
      <c r="F2159" t="s">
        <v>301</v>
      </c>
      <c r="G2159">
        <v>21.6</v>
      </c>
      <c r="H2159">
        <v>6</v>
      </c>
      <c r="Q2159"/>
    </row>
    <row r="2160" spans="1:17" x14ac:dyDescent="0.25">
      <c r="A2160">
        <v>8</v>
      </c>
      <c r="B2160">
        <v>2016</v>
      </c>
      <c r="C2160" t="s">
        <v>296</v>
      </c>
      <c r="D2160" t="s">
        <v>297</v>
      </c>
      <c r="E2160" t="s">
        <v>304</v>
      </c>
      <c r="F2160" t="s">
        <v>303</v>
      </c>
      <c r="G2160">
        <v>33</v>
      </c>
      <c r="H2160">
        <v>6</v>
      </c>
      <c r="I2160">
        <v>132</v>
      </c>
      <c r="J2160">
        <v>24</v>
      </c>
      <c r="Q2160"/>
    </row>
    <row r="2161" spans="1:17" x14ac:dyDescent="0.25">
      <c r="A2161">
        <v>8</v>
      </c>
      <c r="B2161">
        <v>2016</v>
      </c>
      <c r="C2161" t="s">
        <v>296</v>
      </c>
      <c r="D2161" t="s">
        <v>297</v>
      </c>
      <c r="E2161" t="s">
        <v>305</v>
      </c>
      <c r="F2161" t="s">
        <v>303</v>
      </c>
      <c r="G2161">
        <v>132</v>
      </c>
      <c r="H2161">
        <v>24</v>
      </c>
      <c r="I2161">
        <v>231</v>
      </c>
      <c r="J2161">
        <v>42</v>
      </c>
      <c r="Q2161"/>
    </row>
    <row r="2162" spans="1:17" x14ac:dyDescent="0.25">
      <c r="A2162">
        <v>8</v>
      </c>
      <c r="B2162">
        <v>2016</v>
      </c>
      <c r="C2162" t="s">
        <v>296</v>
      </c>
      <c r="D2162" t="s">
        <v>297</v>
      </c>
      <c r="E2162" t="s">
        <v>1003</v>
      </c>
      <c r="F2162" t="s">
        <v>1004</v>
      </c>
      <c r="G2162">
        <v>66</v>
      </c>
      <c r="H2162">
        <v>12</v>
      </c>
      <c r="I2162">
        <v>66</v>
      </c>
      <c r="J2162">
        <v>12</v>
      </c>
      <c r="Q2162"/>
    </row>
    <row r="2163" spans="1:17" x14ac:dyDescent="0.25">
      <c r="A2163">
        <v>8</v>
      </c>
      <c r="B2163">
        <v>2016</v>
      </c>
      <c r="C2163" t="s">
        <v>296</v>
      </c>
      <c r="D2163" t="s">
        <v>297</v>
      </c>
      <c r="E2163" t="s">
        <v>306</v>
      </c>
      <c r="F2163" t="s">
        <v>307</v>
      </c>
      <c r="G2163">
        <v>447.3</v>
      </c>
      <c r="H2163">
        <v>126</v>
      </c>
      <c r="I2163">
        <v>42.6</v>
      </c>
      <c r="J2163">
        <v>12</v>
      </c>
      <c r="Q2163"/>
    </row>
    <row r="2164" spans="1:17" x14ac:dyDescent="0.25">
      <c r="A2164">
        <v>8</v>
      </c>
      <c r="B2164">
        <v>2016</v>
      </c>
      <c r="C2164" t="s">
        <v>296</v>
      </c>
      <c r="D2164" t="s">
        <v>297</v>
      </c>
      <c r="E2164" t="s">
        <v>308</v>
      </c>
      <c r="F2164" t="s">
        <v>309</v>
      </c>
      <c r="G2164">
        <v>4021.2</v>
      </c>
      <c r="H2164">
        <v>1128</v>
      </c>
      <c r="I2164">
        <v>5040</v>
      </c>
      <c r="J2164">
        <v>1446</v>
      </c>
      <c r="Q2164"/>
    </row>
    <row r="2165" spans="1:17" x14ac:dyDescent="0.25">
      <c r="A2165">
        <v>8</v>
      </c>
      <c r="B2165">
        <v>2016</v>
      </c>
      <c r="C2165" t="s">
        <v>296</v>
      </c>
      <c r="D2165" t="s">
        <v>297</v>
      </c>
      <c r="E2165" t="s">
        <v>310</v>
      </c>
      <c r="F2165" t="s">
        <v>311</v>
      </c>
      <c r="G2165">
        <v>2249.9</v>
      </c>
      <c r="H2165">
        <v>1007.17</v>
      </c>
      <c r="I2165">
        <v>1743.3</v>
      </c>
      <c r="J2165">
        <v>780.39</v>
      </c>
      <c r="Q2165"/>
    </row>
    <row r="2166" spans="1:17" x14ac:dyDescent="0.25">
      <c r="A2166">
        <v>8</v>
      </c>
      <c r="B2166">
        <v>2016</v>
      </c>
      <c r="C2166" t="s">
        <v>296</v>
      </c>
      <c r="D2166" t="s">
        <v>297</v>
      </c>
      <c r="E2166" t="s">
        <v>937</v>
      </c>
      <c r="F2166" t="s">
        <v>315</v>
      </c>
      <c r="G2166">
        <v>126</v>
      </c>
      <c r="H2166">
        <v>42</v>
      </c>
      <c r="I2166">
        <v>180</v>
      </c>
      <c r="J2166">
        <v>60</v>
      </c>
      <c r="Q2166"/>
    </row>
    <row r="2167" spans="1:17" x14ac:dyDescent="0.25">
      <c r="A2167">
        <v>8</v>
      </c>
      <c r="B2167">
        <v>2016</v>
      </c>
      <c r="C2167" t="s">
        <v>296</v>
      </c>
      <c r="D2167" t="s">
        <v>297</v>
      </c>
      <c r="E2167" t="s">
        <v>312</v>
      </c>
      <c r="F2167" t="s">
        <v>313</v>
      </c>
      <c r="G2167">
        <v>4900.5</v>
      </c>
      <c r="H2167">
        <v>2184</v>
      </c>
      <c r="I2167">
        <v>5278.5</v>
      </c>
      <c r="J2167">
        <v>2358</v>
      </c>
      <c r="Q2167"/>
    </row>
    <row r="2168" spans="1:17" x14ac:dyDescent="0.25">
      <c r="A2168">
        <v>8</v>
      </c>
      <c r="B2168">
        <v>2016</v>
      </c>
      <c r="C2168" t="s">
        <v>296</v>
      </c>
      <c r="D2168" t="s">
        <v>297</v>
      </c>
      <c r="E2168" t="s">
        <v>314</v>
      </c>
      <c r="F2168" t="s">
        <v>315</v>
      </c>
      <c r="G2168">
        <v>4346.1000000000004</v>
      </c>
      <c r="H2168">
        <v>2968.15</v>
      </c>
      <c r="I2168">
        <v>3870.9</v>
      </c>
      <c r="J2168">
        <v>2607.9699999999998</v>
      </c>
      <c r="Q2168"/>
    </row>
    <row r="2169" spans="1:17" x14ac:dyDescent="0.25">
      <c r="A2169">
        <v>8</v>
      </c>
      <c r="B2169">
        <v>2016</v>
      </c>
      <c r="C2169" t="s">
        <v>296</v>
      </c>
      <c r="D2169" t="s">
        <v>297</v>
      </c>
      <c r="E2169" t="s">
        <v>740</v>
      </c>
      <c r="F2169" t="s">
        <v>741</v>
      </c>
      <c r="G2169">
        <v>236.6</v>
      </c>
      <c r="H2169">
        <v>186.62</v>
      </c>
      <c r="I2169">
        <v>169</v>
      </c>
      <c r="J2169">
        <v>133.30000000000001</v>
      </c>
      <c r="Q2169"/>
    </row>
    <row r="2170" spans="1:17" x14ac:dyDescent="0.25">
      <c r="A2170">
        <v>8</v>
      </c>
      <c r="B2170">
        <v>2016</v>
      </c>
      <c r="C2170" t="s">
        <v>296</v>
      </c>
      <c r="D2170" t="s">
        <v>297</v>
      </c>
      <c r="E2170" t="s">
        <v>815</v>
      </c>
      <c r="F2170" t="s">
        <v>816</v>
      </c>
      <c r="G2170">
        <v>183.6</v>
      </c>
      <c r="H2170">
        <v>102</v>
      </c>
      <c r="I2170">
        <v>32.4</v>
      </c>
      <c r="J2170">
        <v>18</v>
      </c>
      <c r="Q2170"/>
    </row>
    <row r="2171" spans="1:17" x14ac:dyDescent="0.25">
      <c r="A2171">
        <v>8</v>
      </c>
      <c r="B2171">
        <v>2016</v>
      </c>
      <c r="C2171" t="s">
        <v>296</v>
      </c>
      <c r="D2171" t="s">
        <v>297</v>
      </c>
      <c r="E2171" t="s">
        <v>817</v>
      </c>
      <c r="F2171" t="s">
        <v>818</v>
      </c>
      <c r="G2171">
        <v>377.4</v>
      </c>
      <c r="H2171">
        <v>102</v>
      </c>
      <c r="I2171">
        <v>155.4</v>
      </c>
      <c r="J2171">
        <v>42</v>
      </c>
      <c r="Q2171"/>
    </row>
    <row r="2172" spans="1:17" x14ac:dyDescent="0.25">
      <c r="A2172">
        <v>8</v>
      </c>
      <c r="B2172">
        <v>2016</v>
      </c>
      <c r="C2172" t="s">
        <v>319</v>
      </c>
      <c r="D2172" t="s">
        <v>320</v>
      </c>
      <c r="E2172" t="s">
        <v>321</v>
      </c>
      <c r="F2172" t="s">
        <v>322</v>
      </c>
      <c r="G2172">
        <v>1705.44</v>
      </c>
      <c r="H2172">
        <v>456</v>
      </c>
      <c r="I2172">
        <v>1449.6</v>
      </c>
      <c r="J2172">
        <v>408</v>
      </c>
      <c r="Q2172"/>
    </row>
    <row r="2173" spans="1:17" x14ac:dyDescent="0.25">
      <c r="A2173">
        <v>8</v>
      </c>
      <c r="B2173">
        <v>2016</v>
      </c>
      <c r="C2173" t="s">
        <v>319</v>
      </c>
      <c r="D2173" t="s">
        <v>320</v>
      </c>
      <c r="E2173" t="s">
        <v>323</v>
      </c>
      <c r="F2173" t="s">
        <v>322</v>
      </c>
      <c r="G2173">
        <v>142.19999999999999</v>
      </c>
      <c r="H2173">
        <v>30</v>
      </c>
      <c r="I2173">
        <v>133.19999999999999</v>
      </c>
      <c r="J2173">
        <v>30</v>
      </c>
      <c r="Q2173"/>
    </row>
    <row r="2174" spans="1:17" x14ac:dyDescent="0.25">
      <c r="A2174">
        <v>8</v>
      </c>
      <c r="B2174">
        <v>2016</v>
      </c>
      <c r="C2174" t="s">
        <v>324</v>
      </c>
      <c r="D2174" t="s">
        <v>325</v>
      </c>
      <c r="E2174" t="s">
        <v>742</v>
      </c>
      <c r="F2174" t="s">
        <v>743</v>
      </c>
      <c r="G2174">
        <v>120</v>
      </c>
      <c r="H2174">
        <v>24</v>
      </c>
      <c r="I2174">
        <v>61.2</v>
      </c>
      <c r="J2174">
        <v>12</v>
      </c>
      <c r="Q2174"/>
    </row>
    <row r="2175" spans="1:17" x14ac:dyDescent="0.25">
      <c r="A2175">
        <v>8</v>
      </c>
      <c r="B2175">
        <v>2016</v>
      </c>
      <c r="C2175" t="s">
        <v>324</v>
      </c>
      <c r="D2175" t="s">
        <v>325</v>
      </c>
      <c r="E2175" t="s">
        <v>744</v>
      </c>
      <c r="F2175" t="s">
        <v>327</v>
      </c>
      <c r="G2175">
        <v>165.6</v>
      </c>
      <c r="H2175">
        <v>36</v>
      </c>
      <c r="I2175">
        <v>108</v>
      </c>
      <c r="J2175">
        <v>24</v>
      </c>
      <c r="Q2175"/>
    </row>
    <row r="2176" spans="1:17" x14ac:dyDescent="0.25">
      <c r="A2176">
        <v>8</v>
      </c>
      <c r="B2176">
        <v>2016</v>
      </c>
      <c r="C2176" t="s">
        <v>324</v>
      </c>
      <c r="D2176" t="s">
        <v>325</v>
      </c>
      <c r="E2176" t="s">
        <v>326</v>
      </c>
      <c r="F2176" t="s">
        <v>327</v>
      </c>
      <c r="G2176">
        <v>1584</v>
      </c>
      <c r="H2176">
        <v>360</v>
      </c>
      <c r="I2176">
        <v>2038.2</v>
      </c>
      <c r="J2176">
        <v>474</v>
      </c>
      <c r="Q2176"/>
    </row>
    <row r="2177" spans="1:17" x14ac:dyDescent="0.25">
      <c r="A2177">
        <v>8</v>
      </c>
      <c r="B2177">
        <v>2016</v>
      </c>
      <c r="C2177" t="s">
        <v>324</v>
      </c>
      <c r="D2177" t="s">
        <v>325</v>
      </c>
      <c r="E2177" t="s">
        <v>328</v>
      </c>
      <c r="F2177" t="s">
        <v>327</v>
      </c>
      <c r="G2177">
        <v>614.4</v>
      </c>
      <c r="H2177">
        <v>192</v>
      </c>
      <c r="I2177">
        <v>1171.2</v>
      </c>
      <c r="J2177">
        <v>384</v>
      </c>
      <c r="Q2177"/>
    </row>
    <row r="2178" spans="1:17" x14ac:dyDescent="0.25">
      <c r="A2178">
        <v>8</v>
      </c>
      <c r="B2178">
        <v>2016</v>
      </c>
      <c r="C2178" t="s">
        <v>324</v>
      </c>
      <c r="D2178" t="s">
        <v>325</v>
      </c>
      <c r="E2178" t="s">
        <v>938</v>
      </c>
      <c r="F2178" t="s">
        <v>939</v>
      </c>
      <c r="G2178">
        <v>124.2</v>
      </c>
      <c r="H2178">
        <v>18</v>
      </c>
      <c r="Q2178"/>
    </row>
    <row r="2179" spans="1:17" x14ac:dyDescent="0.25">
      <c r="A2179">
        <v>8</v>
      </c>
      <c r="B2179">
        <v>2016</v>
      </c>
      <c r="C2179" t="s">
        <v>324</v>
      </c>
      <c r="D2179" t="s">
        <v>325</v>
      </c>
      <c r="E2179" t="s">
        <v>332</v>
      </c>
      <c r="F2179" t="s">
        <v>333</v>
      </c>
      <c r="G2179">
        <v>1035</v>
      </c>
      <c r="H2179">
        <v>466.9</v>
      </c>
      <c r="I2179">
        <v>2320</v>
      </c>
      <c r="J2179">
        <v>1080.54</v>
      </c>
      <c r="Q2179"/>
    </row>
    <row r="2180" spans="1:17" x14ac:dyDescent="0.25">
      <c r="A2180">
        <v>8</v>
      </c>
      <c r="B2180">
        <v>2016</v>
      </c>
      <c r="C2180" t="s">
        <v>334</v>
      </c>
      <c r="D2180" t="s">
        <v>335</v>
      </c>
      <c r="E2180" t="s">
        <v>336</v>
      </c>
      <c r="F2180" t="s">
        <v>337</v>
      </c>
      <c r="G2180">
        <v>364.8</v>
      </c>
      <c r="H2180">
        <v>48</v>
      </c>
      <c r="I2180">
        <v>456</v>
      </c>
      <c r="J2180">
        <v>60</v>
      </c>
      <c r="Q2180"/>
    </row>
    <row r="2181" spans="1:17" x14ac:dyDescent="0.25">
      <c r="A2181">
        <v>8</v>
      </c>
      <c r="B2181">
        <v>2016</v>
      </c>
      <c r="C2181" t="s">
        <v>334</v>
      </c>
      <c r="D2181" t="s">
        <v>335</v>
      </c>
      <c r="E2181" t="s">
        <v>338</v>
      </c>
      <c r="F2181" t="s">
        <v>339</v>
      </c>
      <c r="G2181">
        <v>334.8</v>
      </c>
      <c r="H2181">
        <v>72</v>
      </c>
      <c r="I2181">
        <v>524.4</v>
      </c>
      <c r="J2181">
        <v>114</v>
      </c>
      <c r="Q2181"/>
    </row>
    <row r="2182" spans="1:17" x14ac:dyDescent="0.25">
      <c r="A2182">
        <v>8</v>
      </c>
      <c r="B2182">
        <v>2016</v>
      </c>
      <c r="C2182" t="s">
        <v>334</v>
      </c>
      <c r="D2182" t="s">
        <v>335</v>
      </c>
      <c r="E2182" t="s">
        <v>940</v>
      </c>
      <c r="F2182" t="s">
        <v>941</v>
      </c>
      <c r="G2182">
        <v>46.2</v>
      </c>
      <c r="H2182">
        <v>6</v>
      </c>
      <c r="I2182">
        <v>-138.6</v>
      </c>
      <c r="J2182">
        <v>-18</v>
      </c>
      <c r="Q2182"/>
    </row>
    <row r="2183" spans="1:17" x14ac:dyDescent="0.25">
      <c r="A2183">
        <v>8</v>
      </c>
      <c r="B2183">
        <v>2016</v>
      </c>
      <c r="C2183" t="s">
        <v>349</v>
      </c>
      <c r="D2183" t="s">
        <v>350</v>
      </c>
      <c r="E2183" t="s">
        <v>351</v>
      </c>
      <c r="F2183" t="s">
        <v>352</v>
      </c>
      <c r="G2183">
        <v>1238.4000000000001</v>
      </c>
      <c r="H2183">
        <v>192</v>
      </c>
      <c r="I2183">
        <v>1058.4000000000001</v>
      </c>
      <c r="J2183">
        <v>168</v>
      </c>
      <c r="Q2183"/>
    </row>
    <row r="2184" spans="1:17" x14ac:dyDescent="0.25">
      <c r="A2184">
        <v>8</v>
      </c>
      <c r="B2184">
        <v>2016</v>
      </c>
      <c r="C2184" t="s">
        <v>349</v>
      </c>
      <c r="D2184" t="s">
        <v>350</v>
      </c>
      <c r="E2184" t="s">
        <v>353</v>
      </c>
      <c r="F2184" t="s">
        <v>352</v>
      </c>
      <c r="G2184">
        <v>374.4</v>
      </c>
      <c r="H2184">
        <v>48</v>
      </c>
      <c r="I2184">
        <v>323.39999999999998</v>
      </c>
      <c r="J2184">
        <v>42</v>
      </c>
      <c r="Q2184"/>
    </row>
    <row r="2185" spans="1:17" x14ac:dyDescent="0.25">
      <c r="A2185">
        <v>8</v>
      </c>
      <c r="B2185">
        <v>2016</v>
      </c>
      <c r="C2185" t="s">
        <v>349</v>
      </c>
      <c r="D2185" t="s">
        <v>350</v>
      </c>
      <c r="E2185" t="s">
        <v>882</v>
      </c>
      <c r="F2185" t="s">
        <v>352</v>
      </c>
      <c r="G2185">
        <v>37.799999999999997</v>
      </c>
      <c r="H2185">
        <v>6</v>
      </c>
      <c r="Q2185"/>
    </row>
    <row r="2186" spans="1:17" x14ac:dyDescent="0.25">
      <c r="A2186">
        <v>8</v>
      </c>
      <c r="B2186">
        <v>2016</v>
      </c>
      <c r="C2186" t="s">
        <v>349</v>
      </c>
      <c r="D2186" t="s">
        <v>350</v>
      </c>
      <c r="E2186" t="s">
        <v>354</v>
      </c>
      <c r="F2186" t="s">
        <v>352</v>
      </c>
      <c r="G2186">
        <v>562.79999999999995</v>
      </c>
      <c r="H2186">
        <v>84</v>
      </c>
      <c r="I2186">
        <v>475.2</v>
      </c>
      <c r="J2186">
        <v>72</v>
      </c>
      <c r="Q2186"/>
    </row>
    <row r="2187" spans="1:17" x14ac:dyDescent="0.25">
      <c r="A2187">
        <v>8</v>
      </c>
      <c r="B2187">
        <v>2016</v>
      </c>
      <c r="C2187" t="s">
        <v>349</v>
      </c>
      <c r="D2187" t="s">
        <v>350</v>
      </c>
      <c r="E2187" t="s">
        <v>355</v>
      </c>
      <c r="F2187" t="s">
        <v>352</v>
      </c>
      <c r="G2187">
        <v>46.8</v>
      </c>
      <c r="H2187">
        <v>6</v>
      </c>
      <c r="I2187">
        <v>46.2</v>
      </c>
      <c r="J2187">
        <v>6</v>
      </c>
      <c r="Q2187"/>
    </row>
    <row r="2188" spans="1:17" x14ac:dyDescent="0.25">
      <c r="A2188">
        <v>8</v>
      </c>
      <c r="B2188">
        <v>2016</v>
      </c>
      <c r="C2188" t="s">
        <v>349</v>
      </c>
      <c r="D2188" t="s">
        <v>350</v>
      </c>
      <c r="E2188" t="s">
        <v>1005</v>
      </c>
      <c r="F2188" t="s">
        <v>1006</v>
      </c>
      <c r="G2188">
        <v>189</v>
      </c>
      <c r="H2188">
        <v>18</v>
      </c>
      <c r="Q2188"/>
    </row>
    <row r="2189" spans="1:17" x14ac:dyDescent="0.25">
      <c r="A2189">
        <v>8</v>
      </c>
      <c r="B2189">
        <v>2016</v>
      </c>
      <c r="C2189" t="s">
        <v>360</v>
      </c>
      <c r="D2189" t="s">
        <v>361</v>
      </c>
      <c r="E2189" t="s">
        <v>362</v>
      </c>
      <c r="F2189" t="s">
        <v>363</v>
      </c>
      <c r="G2189">
        <v>1309</v>
      </c>
      <c r="H2189">
        <v>906.44</v>
      </c>
      <c r="I2189">
        <v>1482</v>
      </c>
      <c r="J2189">
        <v>1039.74</v>
      </c>
      <c r="Q2189"/>
    </row>
    <row r="2190" spans="1:17" x14ac:dyDescent="0.25">
      <c r="A2190">
        <v>8</v>
      </c>
      <c r="B2190">
        <v>2016</v>
      </c>
      <c r="C2190" t="s">
        <v>360</v>
      </c>
      <c r="D2190" t="s">
        <v>361</v>
      </c>
      <c r="E2190" t="s">
        <v>364</v>
      </c>
      <c r="F2190" t="s">
        <v>363</v>
      </c>
      <c r="G2190">
        <v>1792</v>
      </c>
      <c r="H2190">
        <v>1073.8699999999999</v>
      </c>
      <c r="I2190">
        <v>1562</v>
      </c>
      <c r="J2190">
        <v>953.81</v>
      </c>
      <c r="Q2190"/>
    </row>
    <row r="2191" spans="1:17" x14ac:dyDescent="0.25">
      <c r="A2191">
        <v>8</v>
      </c>
      <c r="B2191">
        <v>2016</v>
      </c>
      <c r="C2191" t="s">
        <v>360</v>
      </c>
      <c r="D2191" t="s">
        <v>361</v>
      </c>
      <c r="E2191" t="s">
        <v>365</v>
      </c>
      <c r="F2191" t="s">
        <v>366</v>
      </c>
      <c r="G2191">
        <v>100.8</v>
      </c>
      <c r="H2191">
        <v>48</v>
      </c>
      <c r="Q2191"/>
    </row>
    <row r="2192" spans="1:17" x14ac:dyDescent="0.25">
      <c r="A2192">
        <v>8</v>
      </c>
      <c r="B2192">
        <v>2016</v>
      </c>
      <c r="C2192" t="s">
        <v>360</v>
      </c>
      <c r="D2192" t="s">
        <v>361</v>
      </c>
      <c r="E2192" t="s">
        <v>367</v>
      </c>
      <c r="F2192" t="s">
        <v>368</v>
      </c>
      <c r="G2192">
        <v>1485</v>
      </c>
      <c r="H2192">
        <v>540</v>
      </c>
      <c r="I2192">
        <v>1393.2</v>
      </c>
      <c r="J2192">
        <v>516</v>
      </c>
      <c r="Q2192"/>
    </row>
    <row r="2193" spans="1:17" x14ac:dyDescent="0.25">
      <c r="A2193">
        <v>8</v>
      </c>
      <c r="B2193">
        <v>2016</v>
      </c>
      <c r="C2193" t="s">
        <v>360</v>
      </c>
      <c r="D2193" t="s">
        <v>361</v>
      </c>
      <c r="E2193" t="s">
        <v>369</v>
      </c>
      <c r="F2193" t="s">
        <v>370</v>
      </c>
      <c r="G2193">
        <v>772.8</v>
      </c>
      <c r="H2193">
        <v>168</v>
      </c>
      <c r="I2193">
        <v>864</v>
      </c>
      <c r="J2193">
        <v>192</v>
      </c>
      <c r="Q2193"/>
    </row>
    <row r="2194" spans="1:17" x14ac:dyDescent="0.25">
      <c r="A2194">
        <v>8</v>
      </c>
      <c r="B2194">
        <v>2016</v>
      </c>
      <c r="C2194" t="s">
        <v>360</v>
      </c>
      <c r="D2194" t="s">
        <v>361</v>
      </c>
      <c r="E2194" t="s">
        <v>371</v>
      </c>
      <c r="F2194" t="s">
        <v>372</v>
      </c>
      <c r="G2194">
        <v>71.760000000000005</v>
      </c>
      <c r="H2194">
        <v>12</v>
      </c>
      <c r="I2194">
        <v>70.2</v>
      </c>
      <c r="J2194">
        <v>12</v>
      </c>
      <c r="Q2194"/>
    </row>
    <row r="2195" spans="1:17" x14ac:dyDescent="0.25">
      <c r="A2195">
        <v>8</v>
      </c>
      <c r="B2195">
        <v>2016</v>
      </c>
      <c r="C2195" t="s">
        <v>360</v>
      </c>
      <c r="D2195" t="s">
        <v>361</v>
      </c>
      <c r="E2195" t="s">
        <v>750</v>
      </c>
      <c r="F2195" t="s">
        <v>751</v>
      </c>
      <c r="G2195">
        <v>64.5</v>
      </c>
      <c r="H2195">
        <v>6</v>
      </c>
      <c r="Q2195"/>
    </row>
    <row r="2196" spans="1:17" x14ac:dyDescent="0.25">
      <c r="A2196">
        <v>8</v>
      </c>
      <c r="B2196">
        <v>2016</v>
      </c>
      <c r="C2196" t="s">
        <v>360</v>
      </c>
      <c r="D2196" t="s">
        <v>361</v>
      </c>
      <c r="E2196" t="s">
        <v>373</v>
      </c>
      <c r="F2196" t="s">
        <v>374</v>
      </c>
      <c r="G2196">
        <v>198</v>
      </c>
      <c r="H2196">
        <v>72</v>
      </c>
      <c r="I2196">
        <v>32.4</v>
      </c>
      <c r="J2196">
        <v>12</v>
      </c>
      <c r="Q2196"/>
    </row>
    <row r="2197" spans="1:17" x14ac:dyDescent="0.25">
      <c r="A2197">
        <v>8</v>
      </c>
      <c r="B2197">
        <v>2016</v>
      </c>
      <c r="C2197" t="s">
        <v>360</v>
      </c>
      <c r="D2197" t="s">
        <v>361</v>
      </c>
      <c r="E2197" t="s">
        <v>942</v>
      </c>
      <c r="F2197" t="s">
        <v>943</v>
      </c>
      <c r="G2197">
        <v>181.5</v>
      </c>
      <c r="H2197">
        <v>66</v>
      </c>
      <c r="Q2197"/>
    </row>
    <row r="2198" spans="1:17" x14ac:dyDescent="0.25">
      <c r="A2198">
        <v>8</v>
      </c>
      <c r="B2198">
        <v>2016</v>
      </c>
      <c r="C2198" t="s">
        <v>360</v>
      </c>
      <c r="D2198" t="s">
        <v>361</v>
      </c>
      <c r="E2198" t="s">
        <v>987</v>
      </c>
      <c r="F2198" t="s">
        <v>988</v>
      </c>
      <c r="G2198">
        <v>491.7</v>
      </c>
      <c r="H2198">
        <v>180</v>
      </c>
      <c r="Q2198"/>
    </row>
    <row r="2199" spans="1:17" x14ac:dyDescent="0.25">
      <c r="A2199">
        <v>8</v>
      </c>
      <c r="B2199">
        <v>2016</v>
      </c>
      <c r="C2199" t="s">
        <v>360</v>
      </c>
      <c r="D2199" t="s">
        <v>361</v>
      </c>
      <c r="E2199" t="s">
        <v>990</v>
      </c>
      <c r="F2199" t="s">
        <v>991</v>
      </c>
      <c r="G2199">
        <v>1353</v>
      </c>
      <c r="H2199">
        <v>360</v>
      </c>
      <c r="Q2199"/>
    </row>
    <row r="2200" spans="1:17" x14ac:dyDescent="0.25">
      <c r="A2200">
        <v>8</v>
      </c>
      <c r="B2200">
        <v>2016</v>
      </c>
      <c r="C2200" t="s">
        <v>360</v>
      </c>
      <c r="D2200" t="s">
        <v>361</v>
      </c>
      <c r="E2200" t="s">
        <v>992</v>
      </c>
      <c r="F2200" t="s">
        <v>991</v>
      </c>
      <c r="G2200">
        <v>180.4</v>
      </c>
      <c r="H2200">
        <v>48</v>
      </c>
      <c r="Q2200"/>
    </row>
    <row r="2201" spans="1:17" x14ac:dyDescent="0.25">
      <c r="A2201">
        <v>8</v>
      </c>
      <c r="B2201">
        <v>2016</v>
      </c>
      <c r="C2201" t="s">
        <v>375</v>
      </c>
      <c r="D2201" t="s">
        <v>376</v>
      </c>
      <c r="E2201" t="s">
        <v>379</v>
      </c>
      <c r="F2201" t="s">
        <v>378</v>
      </c>
      <c r="G2201">
        <v>9.91</v>
      </c>
      <c r="H2201">
        <v>6.67</v>
      </c>
      <c r="I2201">
        <v>74.08</v>
      </c>
      <c r="J2201">
        <v>53.36</v>
      </c>
      <c r="Q2201"/>
    </row>
    <row r="2202" spans="1:17" x14ac:dyDescent="0.25">
      <c r="A2202">
        <v>8</v>
      </c>
      <c r="B2202">
        <v>2016</v>
      </c>
      <c r="C2202" t="s">
        <v>375</v>
      </c>
      <c r="D2202" t="s">
        <v>376</v>
      </c>
      <c r="E2202" t="s">
        <v>380</v>
      </c>
      <c r="F2202" t="s">
        <v>378</v>
      </c>
      <c r="G2202">
        <v>71.88</v>
      </c>
      <c r="H2202">
        <v>53.32</v>
      </c>
      <c r="I2202">
        <v>319.01</v>
      </c>
      <c r="J2202">
        <v>266.60000000000002</v>
      </c>
      <c r="Q2202"/>
    </row>
    <row r="2203" spans="1:17" x14ac:dyDescent="0.25">
      <c r="A2203">
        <v>8</v>
      </c>
      <c r="B2203">
        <v>2016</v>
      </c>
      <c r="C2203" t="s">
        <v>375</v>
      </c>
      <c r="D2203" t="s">
        <v>376</v>
      </c>
      <c r="E2203" t="s">
        <v>381</v>
      </c>
      <c r="F2203" t="s">
        <v>378</v>
      </c>
      <c r="G2203">
        <v>79.28</v>
      </c>
      <c r="H2203">
        <v>60.03</v>
      </c>
      <c r="I2203">
        <v>277.8</v>
      </c>
      <c r="J2203">
        <v>200.1</v>
      </c>
      <c r="Q2203"/>
    </row>
    <row r="2204" spans="1:17" x14ac:dyDescent="0.25">
      <c r="A2204">
        <v>8</v>
      </c>
      <c r="B2204">
        <v>2016</v>
      </c>
      <c r="C2204" t="s">
        <v>404</v>
      </c>
      <c r="D2204" t="s">
        <v>405</v>
      </c>
      <c r="E2204" t="s">
        <v>406</v>
      </c>
      <c r="F2204" t="s">
        <v>407</v>
      </c>
      <c r="G2204">
        <v>381.6</v>
      </c>
      <c r="H2204">
        <v>72</v>
      </c>
      <c r="I2204">
        <v>374.4</v>
      </c>
      <c r="J2204">
        <v>72</v>
      </c>
      <c r="Q2204"/>
    </row>
    <row r="2205" spans="1:17" x14ac:dyDescent="0.25">
      <c r="A2205">
        <v>8</v>
      </c>
      <c r="B2205">
        <v>2016</v>
      </c>
      <c r="C2205" t="s">
        <v>404</v>
      </c>
      <c r="D2205" t="s">
        <v>405</v>
      </c>
      <c r="E2205" t="s">
        <v>410</v>
      </c>
      <c r="F2205" t="s">
        <v>411</v>
      </c>
      <c r="G2205">
        <v>47.7</v>
      </c>
      <c r="H2205">
        <v>6</v>
      </c>
      <c r="Q2205"/>
    </row>
    <row r="2206" spans="1:17" x14ac:dyDescent="0.25">
      <c r="A2206">
        <v>8</v>
      </c>
      <c r="B2206">
        <v>2016</v>
      </c>
      <c r="C2206" t="s">
        <v>412</v>
      </c>
      <c r="D2206" t="s">
        <v>413</v>
      </c>
      <c r="E2206" t="s">
        <v>414</v>
      </c>
      <c r="F2206" t="s">
        <v>415</v>
      </c>
      <c r="G2206">
        <v>1909.2</v>
      </c>
      <c r="H2206">
        <v>516</v>
      </c>
      <c r="I2206">
        <v>1887</v>
      </c>
      <c r="J2206">
        <v>510</v>
      </c>
      <c r="Q2206"/>
    </row>
    <row r="2207" spans="1:17" x14ac:dyDescent="0.25">
      <c r="A2207">
        <v>8</v>
      </c>
      <c r="B2207">
        <v>2016</v>
      </c>
      <c r="C2207" t="s">
        <v>412</v>
      </c>
      <c r="D2207" t="s">
        <v>413</v>
      </c>
      <c r="E2207" t="s">
        <v>944</v>
      </c>
      <c r="F2207" t="s">
        <v>945</v>
      </c>
      <c r="G2207">
        <v>132</v>
      </c>
      <c r="H2207">
        <v>30</v>
      </c>
      <c r="Q2207"/>
    </row>
    <row r="2208" spans="1:17" x14ac:dyDescent="0.25">
      <c r="A2208">
        <v>8</v>
      </c>
      <c r="B2208">
        <v>2016</v>
      </c>
      <c r="C2208" t="s">
        <v>412</v>
      </c>
      <c r="D2208" t="s">
        <v>413</v>
      </c>
      <c r="E2208" t="s">
        <v>416</v>
      </c>
      <c r="F2208" t="s">
        <v>417</v>
      </c>
      <c r="G2208">
        <v>46.8</v>
      </c>
      <c r="H2208">
        <v>12</v>
      </c>
      <c r="I2208">
        <v>187.2</v>
      </c>
      <c r="J2208">
        <v>48</v>
      </c>
      <c r="Q2208"/>
    </row>
    <row r="2209" spans="1:17" x14ac:dyDescent="0.25">
      <c r="A2209">
        <v>8</v>
      </c>
      <c r="B2209">
        <v>2016</v>
      </c>
      <c r="C2209" t="s">
        <v>412</v>
      </c>
      <c r="D2209" t="s">
        <v>413</v>
      </c>
      <c r="E2209" t="s">
        <v>418</v>
      </c>
      <c r="F2209" t="s">
        <v>419</v>
      </c>
      <c r="G2209">
        <v>4318.2</v>
      </c>
      <c r="H2209">
        <v>948</v>
      </c>
      <c r="I2209">
        <v>837</v>
      </c>
      <c r="J2209">
        <v>180</v>
      </c>
      <c r="Q2209"/>
    </row>
    <row r="2210" spans="1:17" x14ac:dyDescent="0.25">
      <c r="A2210">
        <v>8</v>
      </c>
      <c r="B2210">
        <v>2016</v>
      </c>
      <c r="C2210" t="s">
        <v>412</v>
      </c>
      <c r="D2210" t="s">
        <v>413</v>
      </c>
      <c r="E2210" t="s">
        <v>757</v>
      </c>
      <c r="F2210" t="s">
        <v>758</v>
      </c>
      <c r="G2210">
        <v>81.599999999999994</v>
      </c>
      <c r="H2210">
        <v>12</v>
      </c>
      <c r="I2210">
        <v>163.19999999999999</v>
      </c>
      <c r="J2210">
        <v>24</v>
      </c>
      <c r="Q2210"/>
    </row>
    <row r="2211" spans="1:17" x14ac:dyDescent="0.25">
      <c r="A2211">
        <v>8</v>
      </c>
      <c r="B2211">
        <v>2016</v>
      </c>
      <c r="C2211" t="s">
        <v>432</v>
      </c>
      <c r="D2211" t="s">
        <v>433</v>
      </c>
      <c r="E2211" t="s">
        <v>436</v>
      </c>
      <c r="F2211" t="s">
        <v>437</v>
      </c>
      <c r="G2211">
        <v>403.2</v>
      </c>
      <c r="H2211">
        <v>192</v>
      </c>
      <c r="I2211">
        <v>418.2</v>
      </c>
      <c r="J2211">
        <v>204</v>
      </c>
      <c r="Q2211"/>
    </row>
    <row r="2212" spans="1:17" x14ac:dyDescent="0.25">
      <c r="A2212">
        <v>8</v>
      </c>
      <c r="B2212">
        <v>2016</v>
      </c>
      <c r="C2212" t="s">
        <v>438</v>
      </c>
      <c r="D2212" t="s">
        <v>439</v>
      </c>
      <c r="E2212" t="s">
        <v>440</v>
      </c>
      <c r="F2212" t="s">
        <v>441</v>
      </c>
      <c r="G2212">
        <v>2049.12</v>
      </c>
      <c r="H2212">
        <v>1350</v>
      </c>
      <c r="I2212">
        <v>1068.54</v>
      </c>
      <c r="J2212">
        <v>702</v>
      </c>
      <c r="Q2212"/>
    </row>
    <row r="2213" spans="1:17" x14ac:dyDescent="0.25">
      <c r="A2213">
        <v>8</v>
      </c>
      <c r="B2213">
        <v>2016</v>
      </c>
      <c r="C2213" t="s">
        <v>438</v>
      </c>
      <c r="D2213" t="s">
        <v>439</v>
      </c>
      <c r="E2213" t="s">
        <v>442</v>
      </c>
      <c r="F2213" t="s">
        <v>441</v>
      </c>
      <c r="G2213">
        <v>10359.280000000001</v>
      </c>
      <c r="H2213">
        <v>7450</v>
      </c>
      <c r="I2213">
        <v>2108.88</v>
      </c>
      <c r="J2213">
        <v>1266</v>
      </c>
      <c r="Q2213"/>
    </row>
    <row r="2214" spans="1:17" x14ac:dyDescent="0.25">
      <c r="A2214">
        <v>8</v>
      </c>
      <c r="B2214">
        <v>2016</v>
      </c>
      <c r="C2214" t="s">
        <v>438</v>
      </c>
      <c r="D2214" t="s">
        <v>439</v>
      </c>
      <c r="E2214" t="s">
        <v>443</v>
      </c>
      <c r="F2214" t="s">
        <v>441</v>
      </c>
      <c r="G2214">
        <v>320.04000000000002</v>
      </c>
      <c r="H2214">
        <v>198</v>
      </c>
      <c r="I2214">
        <v>651.36</v>
      </c>
      <c r="J2214">
        <v>396</v>
      </c>
      <c r="Q2214"/>
    </row>
    <row r="2215" spans="1:17" x14ac:dyDescent="0.25">
      <c r="A2215">
        <v>8</v>
      </c>
      <c r="B2215">
        <v>2016</v>
      </c>
      <c r="C2215" t="s">
        <v>438</v>
      </c>
      <c r="D2215" t="s">
        <v>439</v>
      </c>
      <c r="E2215" t="s">
        <v>1007</v>
      </c>
      <c r="F2215" t="s">
        <v>1008</v>
      </c>
      <c r="G2215">
        <v>17.100000000000001</v>
      </c>
      <c r="H2215">
        <v>6</v>
      </c>
      <c r="Q2215"/>
    </row>
    <row r="2216" spans="1:17" x14ac:dyDescent="0.25">
      <c r="A2216">
        <v>8</v>
      </c>
      <c r="B2216">
        <v>2016</v>
      </c>
      <c r="C2216" t="s">
        <v>438</v>
      </c>
      <c r="D2216" t="s">
        <v>439</v>
      </c>
      <c r="E2216" t="s">
        <v>446</v>
      </c>
      <c r="F2216" t="s">
        <v>447</v>
      </c>
      <c r="G2216">
        <v>227.76</v>
      </c>
      <c r="H2216">
        <v>78</v>
      </c>
      <c r="I2216">
        <v>153.9</v>
      </c>
      <c r="J2216">
        <v>54</v>
      </c>
      <c r="Q2216"/>
    </row>
    <row r="2217" spans="1:17" x14ac:dyDescent="0.25">
      <c r="A2217">
        <v>8</v>
      </c>
      <c r="B2217">
        <v>2016</v>
      </c>
      <c r="C2217" t="s">
        <v>448</v>
      </c>
      <c r="D2217" t="s">
        <v>449</v>
      </c>
      <c r="E2217" t="s">
        <v>450</v>
      </c>
      <c r="F2217" t="s">
        <v>451</v>
      </c>
      <c r="G2217">
        <v>355.3</v>
      </c>
      <c r="H2217">
        <v>253.27</v>
      </c>
      <c r="I2217">
        <v>637</v>
      </c>
      <c r="J2217">
        <v>466.55</v>
      </c>
      <c r="Q2217"/>
    </row>
    <row r="2218" spans="1:17" x14ac:dyDescent="0.25">
      <c r="A2218">
        <v>8</v>
      </c>
      <c r="B2218">
        <v>2016</v>
      </c>
      <c r="C2218" t="s">
        <v>448</v>
      </c>
      <c r="D2218" t="s">
        <v>449</v>
      </c>
      <c r="E2218" t="s">
        <v>452</v>
      </c>
      <c r="F2218" t="s">
        <v>451</v>
      </c>
      <c r="G2218">
        <v>557.5</v>
      </c>
      <c r="H2218">
        <v>333.5</v>
      </c>
      <c r="I2218">
        <v>569.75</v>
      </c>
      <c r="J2218">
        <v>353.51</v>
      </c>
      <c r="Q2218"/>
    </row>
    <row r="2219" spans="1:17" x14ac:dyDescent="0.25">
      <c r="A2219">
        <v>8</v>
      </c>
      <c r="B2219">
        <v>2016</v>
      </c>
      <c r="C2219" t="s">
        <v>455</v>
      </c>
      <c r="D2219" t="s">
        <v>456</v>
      </c>
      <c r="E2219" t="s">
        <v>457</v>
      </c>
      <c r="F2219" t="s">
        <v>458</v>
      </c>
      <c r="G2219">
        <v>923.4</v>
      </c>
      <c r="H2219">
        <v>162</v>
      </c>
      <c r="I2219">
        <v>759</v>
      </c>
      <c r="J2219">
        <v>138</v>
      </c>
      <c r="Q2219"/>
    </row>
    <row r="2220" spans="1:17" x14ac:dyDescent="0.25">
      <c r="A2220">
        <v>8</v>
      </c>
      <c r="B2220">
        <v>2016</v>
      </c>
      <c r="C2220" t="s">
        <v>455</v>
      </c>
      <c r="D2220" t="s">
        <v>456</v>
      </c>
      <c r="E2220" t="s">
        <v>459</v>
      </c>
      <c r="F2220" t="s">
        <v>458</v>
      </c>
      <c r="G2220">
        <v>151.19999999999999</v>
      </c>
      <c r="H2220">
        <v>24</v>
      </c>
      <c r="Q2220"/>
    </row>
    <row r="2221" spans="1:17" x14ac:dyDescent="0.25">
      <c r="A2221">
        <v>8</v>
      </c>
      <c r="B2221">
        <v>2016</v>
      </c>
      <c r="C2221" t="s">
        <v>455</v>
      </c>
      <c r="D2221" t="s">
        <v>456</v>
      </c>
      <c r="E2221" t="s">
        <v>460</v>
      </c>
      <c r="F2221" t="s">
        <v>458</v>
      </c>
      <c r="G2221">
        <v>612</v>
      </c>
      <c r="H2221">
        <v>102</v>
      </c>
      <c r="I2221">
        <v>483</v>
      </c>
      <c r="J2221">
        <v>84</v>
      </c>
      <c r="Q2221"/>
    </row>
    <row r="2222" spans="1:17" x14ac:dyDescent="0.25">
      <c r="A2222">
        <v>8</v>
      </c>
      <c r="B2222">
        <v>2016</v>
      </c>
      <c r="C2222" t="s">
        <v>455</v>
      </c>
      <c r="D2222" t="s">
        <v>456</v>
      </c>
      <c r="E2222" t="s">
        <v>461</v>
      </c>
      <c r="F2222" t="s">
        <v>458</v>
      </c>
      <c r="G2222">
        <v>118.8</v>
      </c>
      <c r="H2222">
        <v>18</v>
      </c>
      <c r="Q2222"/>
    </row>
    <row r="2223" spans="1:17" x14ac:dyDescent="0.25">
      <c r="A2223">
        <v>8</v>
      </c>
      <c r="B2223">
        <v>2016</v>
      </c>
      <c r="C2223" t="s">
        <v>476</v>
      </c>
      <c r="D2223" t="s">
        <v>477</v>
      </c>
      <c r="E2223" t="s">
        <v>478</v>
      </c>
      <c r="F2223" t="s">
        <v>479</v>
      </c>
      <c r="G2223">
        <v>120.6</v>
      </c>
      <c r="H2223">
        <v>18</v>
      </c>
      <c r="I2223">
        <v>921.6</v>
      </c>
      <c r="J2223">
        <v>144</v>
      </c>
      <c r="Q2223"/>
    </row>
    <row r="2224" spans="1:17" x14ac:dyDescent="0.25">
      <c r="A2224">
        <v>8</v>
      </c>
      <c r="B2224">
        <v>2016</v>
      </c>
      <c r="C2224" t="s">
        <v>485</v>
      </c>
      <c r="D2224" t="s">
        <v>486</v>
      </c>
      <c r="E2224" t="s">
        <v>487</v>
      </c>
      <c r="F2224" t="s">
        <v>488</v>
      </c>
      <c r="G2224">
        <v>386.4</v>
      </c>
      <c r="H2224">
        <v>84</v>
      </c>
      <c r="I2224">
        <v>354.9</v>
      </c>
      <c r="J2224">
        <v>78</v>
      </c>
      <c r="Q2224"/>
    </row>
    <row r="2225" spans="1:17" x14ac:dyDescent="0.25">
      <c r="A2225">
        <v>8</v>
      </c>
      <c r="B2225">
        <v>2016</v>
      </c>
      <c r="C2225" t="s">
        <v>485</v>
      </c>
      <c r="D2225" t="s">
        <v>486</v>
      </c>
      <c r="E2225" t="s">
        <v>763</v>
      </c>
      <c r="F2225" t="s">
        <v>764</v>
      </c>
      <c r="G2225">
        <v>33</v>
      </c>
      <c r="H2225">
        <v>6</v>
      </c>
      <c r="I2225">
        <v>198</v>
      </c>
      <c r="J2225">
        <v>36</v>
      </c>
      <c r="Q2225"/>
    </row>
    <row r="2226" spans="1:17" x14ac:dyDescent="0.25">
      <c r="A2226">
        <v>8</v>
      </c>
      <c r="B2226">
        <v>2016</v>
      </c>
      <c r="C2226" t="s">
        <v>489</v>
      </c>
      <c r="D2226" t="s">
        <v>0</v>
      </c>
      <c r="E2226" t="s">
        <v>1009</v>
      </c>
      <c r="F2226" t="s">
        <v>1010</v>
      </c>
      <c r="G2226">
        <v>58.78</v>
      </c>
      <c r="H2226">
        <v>2</v>
      </c>
      <c r="Q2226"/>
    </row>
    <row r="2227" spans="1:17" x14ac:dyDescent="0.25">
      <c r="A2227">
        <v>8</v>
      </c>
      <c r="B2227">
        <v>2016</v>
      </c>
      <c r="C2227" t="s">
        <v>489</v>
      </c>
      <c r="D2227" t="s">
        <v>0</v>
      </c>
      <c r="E2227" t="s">
        <v>893</v>
      </c>
      <c r="F2227" t="s">
        <v>894</v>
      </c>
      <c r="G2227">
        <v>60.52</v>
      </c>
      <c r="H2227">
        <v>2</v>
      </c>
      <c r="Q2227"/>
    </row>
    <row r="2228" spans="1:17" x14ac:dyDescent="0.25">
      <c r="A2228">
        <v>8</v>
      </c>
      <c r="B2228">
        <v>2016</v>
      </c>
      <c r="C2228" t="s">
        <v>489</v>
      </c>
      <c r="D2228" t="s">
        <v>0</v>
      </c>
      <c r="E2228" t="s">
        <v>490</v>
      </c>
      <c r="F2228" t="s">
        <v>11</v>
      </c>
      <c r="G2228">
        <v>75.38</v>
      </c>
      <c r="H2228">
        <v>2</v>
      </c>
      <c r="Q2228"/>
    </row>
    <row r="2229" spans="1:17" x14ac:dyDescent="0.25">
      <c r="A2229">
        <v>8</v>
      </c>
      <c r="B2229">
        <v>2016</v>
      </c>
      <c r="C2229" t="s">
        <v>489</v>
      </c>
      <c r="D2229" t="s">
        <v>0</v>
      </c>
      <c r="E2229" t="s">
        <v>1011</v>
      </c>
      <c r="F2229" t="s">
        <v>1012</v>
      </c>
      <c r="G2229">
        <v>58.02</v>
      </c>
      <c r="H2229">
        <v>2</v>
      </c>
      <c r="Q2229"/>
    </row>
    <row r="2230" spans="1:17" x14ac:dyDescent="0.25">
      <c r="A2230">
        <v>8</v>
      </c>
      <c r="B2230">
        <v>2016</v>
      </c>
      <c r="C2230" t="s">
        <v>489</v>
      </c>
      <c r="D2230" t="s">
        <v>0</v>
      </c>
      <c r="E2230" t="s">
        <v>491</v>
      </c>
      <c r="F2230" t="s">
        <v>9</v>
      </c>
      <c r="G2230">
        <v>93</v>
      </c>
      <c r="H2230">
        <v>3</v>
      </c>
      <c r="Q2230"/>
    </row>
    <row r="2231" spans="1:17" x14ac:dyDescent="0.25">
      <c r="A2231">
        <v>8</v>
      </c>
      <c r="B2231">
        <v>2016</v>
      </c>
      <c r="C2231" t="s">
        <v>489</v>
      </c>
      <c r="D2231" t="s">
        <v>0</v>
      </c>
      <c r="E2231" t="s">
        <v>895</v>
      </c>
      <c r="F2231" t="s">
        <v>896</v>
      </c>
      <c r="G2231">
        <v>67.22</v>
      </c>
      <c r="H2231">
        <v>2</v>
      </c>
      <c r="Q2231"/>
    </row>
    <row r="2232" spans="1:17" x14ac:dyDescent="0.25">
      <c r="A2232">
        <v>8</v>
      </c>
      <c r="B2232">
        <v>2016</v>
      </c>
      <c r="C2232" t="s">
        <v>489</v>
      </c>
      <c r="D2232" t="s">
        <v>0</v>
      </c>
      <c r="E2232" t="s">
        <v>495</v>
      </c>
      <c r="F2232" t="s">
        <v>12</v>
      </c>
      <c r="G2232">
        <v>111.21</v>
      </c>
      <c r="H2232">
        <v>3</v>
      </c>
      <c r="Q2232"/>
    </row>
    <row r="2233" spans="1:17" x14ac:dyDescent="0.25">
      <c r="A2233">
        <v>8</v>
      </c>
      <c r="B2233">
        <v>2016</v>
      </c>
      <c r="C2233" t="s">
        <v>489</v>
      </c>
      <c r="D2233" t="s">
        <v>0</v>
      </c>
      <c r="E2233" t="s">
        <v>1013</v>
      </c>
      <c r="F2233" t="s">
        <v>1014</v>
      </c>
      <c r="G2233">
        <v>72.53</v>
      </c>
      <c r="H2233">
        <v>1</v>
      </c>
      <c r="Q2233"/>
    </row>
    <row r="2234" spans="1:17" x14ac:dyDescent="0.25">
      <c r="A2234">
        <v>8</v>
      </c>
      <c r="B2234">
        <v>2016</v>
      </c>
      <c r="C2234" t="s">
        <v>489</v>
      </c>
      <c r="D2234" t="s">
        <v>0</v>
      </c>
      <c r="E2234" t="s">
        <v>1015</v>
      </c>
      <c r="F2234" t="s">
        <v>1016</v>
      </c>
      <c r="G2234">
        <v>75.13</v>
      </c>
      <c r="H2234">
        <v>1</v>
      </c>
      <c r="Q2234"/>
    </row>
    <row r="2235" spans="1:17" x14ac:dyDescent="0.25">
      <c r="A2235">
        <v>8</v>
      </c>
      <c r="B2235">
        <v>2016</v>
      </c>
      <c r="C2235" t="s">
        <v>765</v>
      </c>
      <c r="D2235" t="s">
        <v>766</v>
      </c>
      <c r="E2235" t="s">
        <v>767</v>
      </c>
      <c r="F2235" t="s">
        <v>768</v>
      </c>
      <c r="G2235">
        <v>1645.8</v>
      </c>
      <c r="H2235">
        <v>366</v>
      </c>
      <c r="Q2235"/>
    </row>
    <row r="2236" spans="1:17" x14ac:dyDescent="0.25">
      <c r="A2236">
        <v>8</v>
      </c>
      <c r="B2236">
        <v>2016</v>
      </c>
      <c r="C2236" t="s">
        <v>765</v>
      </c>
      <c r="D2236" t="s">
        <v>766</v>
      </c>
      <c r="E2236" t="s">
        <v>769</v>
      </c>
      <c r="F2236" t="s">
        <v>770</v>
      </c>
      <c r="G2236">
        <v>43.2</v>
      </c>
      <c r="H2236">
        <v>12</v>
      </c>
      <c r="Q2236"/>
    </row>
    <row r="2237" spans="1:17" x14ac:dyDescent="0.25">
      <c r="A2237">
        <v>8</v>
      </c>
      <c r="B2237">
        <v>2016</v>
      </c>
      <c r="C2237" t="s">
        <v>506</v>
      </c>
      <c r="D2237" t="s">
        <v>507</v>
      </c>
      <c r="E2237" t="s">
        <v>508</v>
      </c>
      <c r="F2237" t="s">
        <v>509</v>
      </c>
      <c r="G2237">
        <v>702</v>
      </c>
      <c r="H2237">
        <v>156</v>
      </c>
      <c r="I2237">
        <v>924</v>
      </c>
      <c r="J2237">
        <v>210</v>
      </c>
      <c r="Q2237"/>
    </row>
    <row r="2238" spans="1:17" x14ac:dyDescent="0.25">
      <c r="A2238">
        <v>8</v>
      </c>
      <c r="B2238">
        <v>2016</v>
      </c>
      <c r="C2238" t="s">
        <v>506</v>
      </c>
      <c r="D2238" t="s">
        <v>507</v>
      </c>
      <c r="E2238" t="s">
        <v>510</v>
      </c>
      <c r="F2238" t="s">
        <v>511</v>
      </c>
      <c r="G2238">
        <v>99</v>
      </c>
      <c r="H2238">
        <v>30</v>
      </c>
      <c r="I2238">
        <v>153.6</v>
      </c>
      <c r="J2238">
        <v>48</v>
      </c>
      <c r="Q2238"/>
    </row>
    <row r="2239" spans="1:17" x14ac:dyDescent="0.25">
      <c r="A2239">
        <v>8</v>
      </c>
      <c r="B2239">
        <v>2016</v>
      </c>
      <c r="C2239" t="s">
        <v>506</v>
      </c>
      <c r="D2239" t="s">
        <v>507</v>
      </c>
      <c r="E2239" t="s">
        <v>514</v>
      </c>
      <c r="F2239" t="s">
        <v>515</v>
      </c>
      <c r="G2239">
        <v>189</v>
      </c>
      <c r="H2239">
        <v>30</v>
      </c>
      <c r="I2239">
        <v>260.39999999999998</v>
      </c>
      <c r="J2239">
        <v>42</v>
      </c>
      <c r="Q2239"/>
    </row>
    <row r="2240" spans="1:17" x14ac:dyDescent="0.25">
      <c r="A2240">
        <v>8</v>
      </c>
      <c r="B2240">
        <v>2016</v>
      </c>
      <c r="C2240" t="s">
        <v>516</v>
      </c>
      <c r="D2240" t="s">
        <v>517</v>
      </c>
      <c r="E2240" t="s">
        <v>897</v>
      </c>
      <c r="F2240" t="s">
        <v>898</v>
      </c>
      <c r="G2240">
        <v>0</v>
      </c>
      <c r="H2240">
        <v>6</v>
      </c>
      <c r="Q2240"/>
    </row>
    <row r="2241" spans="1:17" x14ac:dyDescent="0.25">
      <c r="A2241">
        <v>8</v>
      </c>
      <c r="B2241">
        <v>2016</v>
      </c>
      <c r="C2241" t="s">
        <v>516</v>
      </c>
      <c r="D2241" t="s">
        <v>517</v>
      </c>
      <c r="E2241" t="s">
        <v>522</v>
      </c>
      <c r="F2241" t="s">
        <v>523</v>
      </c>
      <c r="G2241">
        <v>1294.3800000000001</v>
      </c>
      <c r="H2241">
        <v>282</v>
      </c>
      <c r="I2241">
        <v>1329</v>
      </c>
      <c r="J2241">
        <v>300</v>
      </c>
      <c r="Q2241"/>
    </row>
    <row r="2242" spans="1:17" x14ac:dyDescent="0.25">
      <c r="A2242">
        <v>8</v>
      </c>
      <c r="B2242">
        <v>2016</v>
      </c>
      <c r="C2242" t="s">
        <v>524</v>
      </c>
      <c r="D2242" t="s">
        <v>525</v>
      </c>
      <c r="E2242" t="s">
        <v>526</v>
      </c>
      <c r="F2242" t="s">
        <v>527</v>
      </c>
      <c r="G2242">
        <v>1159.2</v>
      </c>
      <c r="H2242">
        <v>414</v>
      </c>
      <c r="I2242">
        <v>969.9</v>
      </c>
      <c r="J2242">
        <v>366</v>
      </c>
      <c r="Q2242"/>
    </row>
    <row r="2243" spans="1:17" x14ac:dyDescent="0.25">
      <c r="A2243">
        <v>8</v>
      </c>
      <c r="B2243">
        <v>2016</v>
      </c>
      <c r="C2243" t="s">
        <v>524</v>
      </c>
      <c r="D2243" t="s">
        <v>525</v>
      </c>
      <c r="E2243" t="s">
        <v>528</v>
      </c>
      <c r="F2243" t="s">
        <v>529</v>
      </c>
      <c r="G2243">
        <v>118.8</v>
      </c>
      <c r="H2243">
        <v>24</v>
      </c>
      <c r="I2243">
        <v>86.4</v>
      </c>
      <c r="J2243">
        <v>18</v>
      </c>
      <c r="Q2243"/>
    </row>
    <row r="2244" spans="1:17" x14ac:dyDescent="0.25">
      <c r="A2244">
        <v>8</v>
      </c>
      <c r="B2244">
        <v>2016</v>
      </c>
      <c r="C2244" t="s">
        <v>530</v>
      </c>
      <c r="D2244" t="s">
        <v>531</v>
      </c>
      <c r="E2244" t="s">
        <v>532</v>
      </c>
      <c r="F2244" t="s">
        <v>533</v>
      </c>
      <c r="G2244">
        <v>645</v>
      </c>
      <c r="H2244">
        <v>150</v>
      </c>
      <c r="I2244">
        <v>705.6</v>
      </c>
      <c r="J2244">
        <v>174</v>
      </c>
      <c r="Q2244"/>
    </row>
    <row r="2245" spans="1:17" x14ac:dyDescent="0.25">
      <c r="A2245">
        <v>8</v>
      </c>
      <c r="B2245">
        <v>2016</v>
      </c>
      <c r="C2245" t="s">
        <v>534</v>
      </c>
      <c r="D2245" t="s">
        <v>535</v>
      </c>
      <c r="E2245" t="s">
        <v>536</v>
      </c>
      <c r="F2245" t="s">
        <v>537</v>
      </c>
      <c r="G2245">
        <v>168</v>
      </c>
      <c r="H2245">
        <v>42</v>
      </c>
      <c r="I2245">
        <v>117</v>
      </c>
      <c r="J2245">
        <v>30</v>
      </c>
      <c r="Q2245"/>
    </row>
    <row r="2246" spans="1:17" x14ac:dyDescent="0.25">
      <c r="A2246">
        <v>8</v>
      </c>
      <c r="B2246">
        <v>2016</v>
      </c>
      <c r="C2246" t="s">
        <v>534</v>
      </c>
      <c r="D2246" t="s">
        <v>535</v>
      </c>
      <c r="E2246" t="s">
        <v>538</v>
      </c>
      <c r="F2246" t="s">
        <v>537</v>
      </c>
      <c r="G2246">
        <v>768</v>
      </c>
      <c r="H2246">
        <v>192</v>
      </c>
      <c r="I2246">
        <v>140.4</v>
      </c>
      <c r="J2246">
        <v>36</v>
      </c>
      <c r="Q2246"/>
    </row>
    <row r="2247" spans="1:17" x14ac:dyDescent="0.25">
      <c r="A2247">
        <v>8</v>
      </c>
      <c r="B2247">
        <v>2016</v>
      </c>
      <c r="C2247" t="s">
        <v>543</v>
      </c>
      <c r="D2247" t="s">
        <v>544</v>
      </c>
      <c r="E2247" t="s">
        <v>833</v>
      </c>
      <c r="F2247" t="s">
        <v>834</v>
      </c>
      <c r="G2247">
        <v>417.6</v>
      </c>
      <c r="H2247">
        <v>72</v>
      </c>
      <c r="I2247">
        <v>644.1</v>
      </c>
      <c r="J2247">
        <v>120</v>
      </c>
      <c r="Q2247"/>
    </row>
    <row r="2248" spans="1:17" x14ac:dyDescent="0.25">
      <c r="A2248">
        <v>8</v>
      </c>
      <c r="B2248">
        <v>2016</v>
      </c>
      <c r="C2248" t="s">
        <v>543</v>
      </c>
      <c r="D2248" t="s">
        <v>544</v>
      </c>
      <c r="E2248" t="s">
        <v>545</v>
      </c>
      <c r="F2248" t="s">
        <v>546</v>
      </c>
      <c r="G2248">
        <v>1283.4000000000001</v>
      </c>
      <c r="H2248">
        <v>186</v>
      </c>
      <c r="I2248">
        <v>2130.6</v>
      </c>
      <c r="J2248">
        <v>324</v>
      </c>
      <c r="Q2248"/>
    </row>
    <row r="2249" spans="1:17" x14ac:dyDescent="0.25">
      <c r="A2249">
        <v>8</v>
      </c>
      <c r="B2249">
        <v>2016</v>
      </c>
      <c r="C2249" t="s">
        <v>543</v>
      </c>
      <c r="D2249" t="s">
        <v>544</v>
      </c>
      <c r="E2249" t="s">
        <v>547</v>
      </c>
      <c r="F2249" t="s">
        <v>546</v>
      </c>
      <c r="G2249">
        <v>142.19999999999999</v>
      </c>
      <c r="H2249">
        <v>18</v>
      </c>
      <c r="I2249">
        <v>554.4</v>
      </c>
      <c r="J2249">
        <v>72</v>
      </c>
      <c r="Q2249"/>
    </row>
    <row r="2250" spans="1:17" x14ac:dyDescent="0.25">
      <c r="A2250">
        <v>8</v>
      </c>
      <c r="B2250">
        <v>2016</v>
      </c>
      <c r="C2250" t="s">
        <v>543</v>
      </c>
      <c r="D2250" t="s">
        <v>544</v>
      </c>
      <c r="E2250" t="s">
        <v>548</v>
      </c>
      <c r="F2250" t="s">
        <v>549</v>
      </c>
      <c r="G2250">
        <v>453.6</v>
      </c>
      <c r="H2250">
        <v>42</v>
      </c>
      <c r="I2250">
        <v>62.1</v>
      </c>
      <c r="J2250">
        <v>6</v>
      </c>
      <c r="Q2250"/>
    </row>
    <row r="2251" spans="1:17" x14ac:dyDescent="0.25">
      <c r="A2251">
        <v>8</v>
      </c>
      <c r="B2251">
        <v>2016</v>
      </c>
      <c r="C2251" t="s">
        <v>543</v>
      </c>
      <c r="D2251" t="s">
        <v>544</v>
      </c>
      <c r="E2251" t="s">
        <v>550</v>
      </c>
      <c r="F2251" t="s">
        <v>551</v>
      </c>
      <c r="G2251">
        <v>712.8</v>
      </c>
      <c r="H2251">
        <v>108</v>
      </c>
      <c r="Q2251"/>
    </row>
    <row r="2252" spans="1:17" x14ac:dyDescent="0.25">
      <c r="A2252">
        <v>8</v>
      </c>
      <c r="B2252">
        <v>2016</v>
      </c>
      <c r="C2252" t="s">
        <v>554</v>
      </c>
      <c r="D2252" t="s">
        <v>555</v>
      </c>
      <c r="E2252" t="s">
        <v>556</v>
      </c>
      <c r="F2252" t="s">
        <v>557</v>
      </c>
      <c r="G2252">
        <v>494.1</v>
      </c>
      <c r="H2252">
        <v>162</v>
      </c>
      <c r="I2252">
        <v>354</v>
      </c>
      <c r="J2252">
        <v>120</v>
      </c>
      <c r="Q2252"/>
    </row>
    <row r="2253" spans="1:17" x14ac:dyDescent="0.25">
      <c r="A2253">
        <v>8</v>
      </c>
      <c r="B2253">
        <v>2016</v>
      </c>
      <c r="C2253" t="s">
        <v>560</v>
      </c>
      <c r="D2253" t="s">
        <v>561</v>
      </c>
      <c r="E2253" t="s">
        <v>562</v>
      </c>
      <c r="F2253" t="s">
        <v>563</v>
      </c>
      <c r="G2253">
        <v>1096.2</v>
      </c>
      <c r="H2253">
        <v>378</v>
      </c>
      <c r="I2253">
        <v>2116.8000000000002</v>
      </c>
      <c r="J2253">
        <v>756</v>
      </c>
      <c r="Q2253"/>
    </row>
    <row r="2254" spans="1:17" x14ac:dyDescent="0.25">
      <c r="A2254">
        <v>8</v>
      </c>
      <c r="B2254">
        <v>2016</v>
      </c>
      <c r="C2254" t="s">
        <v>560</v>
      </c>
      <c r="D2254" t="s">
        <v>561</v>
      </c>
      <c r="E2254" t="s">
        <v>564</v>
      </c>
      <c r="F2254" t="s">
        <v>565</v>
      </c>
      <c r="G2254">
        <v>154.80000000000001</v>
      </c>
      <c r="H2254">
        <v>36</v>
      </c>
      <c r="I2254">
        <v>216</v>
      </c>
      <c r="J2254">
        <v>54</v>
      </c>
      <c r="Q2254"/>
    </row>
    <row r="2255" spans="1:17" x14ac:dyDescent="0.25">
      <c r="A2255">
        <v>8</v>
      </c>
      <c r="B2255">
        <v>2016</v>
      </c>
      <c r="C2255" t="s">
        <v>560</v>
      </c>
      <c r="D2255" t="s">
        <v>561</v>
      </c>
      <c r="E2255" t="s">
        <v>773</v>
      </c>
      <c r="F2255" t="s">
        <v>774</v>
      </c>
      <c r="G2255">
        <v>69.599999999999994</v>
      </c>
      <c r="H2255">
        <v>24</v>
      </c>
      <c r="I2255">
        <v>100.8</v>
      </c>
      <c r="J2255">
        <v>36</v>
      </c>
      <c r="Q2255"/>
    </row>
    <row r="2256" spans="1:17" x14ac:dyDescent="0.25">
      <c r="A2256">
        <v>8</v>
      </c>
      <c r="B2256">
        <v>2016</v>
      </c>
      <c r="C2256" t="s">
        <v>571</v>
      </c>
      <c r="D2256" t="s">
        <v>572</v>
      </c>
      <c r="E2256" t="s">
        <v>575</v>
      </c>
      <c r="F2256" t="s">
        <v>574</v>
      </c>
      <c r="G2256">
        <v>831.6</v>
      </c>
      <c r="H2256">
        <v>126</v>
      </c>
      <c r="Q2256"/>
    </row>
    <row r="2257" spans="1:17" x14ac:dyDescent="0.25">
      <c r="A2257">
        <v>8</v>
      </c>
      <c r="B2257">
        <v>2016</v>
      </c>
      <c r="C2257" t="s">
        <v>571</v>
      </c>
      <c r="D2257" t="s">
        <v>572</v>
      </c>
      <c r="E2257" t="s">
        <v>777</v>
      </c>
      <c r="F2257" t="s">
        <v>778</v>
      </c>
      <c r="G2257">
        <v>190</v>
      </c>
      <c r="H2257">
        <v>66.7</v>
      </c>
      <c r="I2257">
        <v>38</v>
      </c>
      <c r="J2257">
        <v>13.34</v>
      </c>
      <c r="Q2257"/>
    </row>
    <row r="2258" spans="1:17" x14ac:dyDescent="0.25">
      <c r="A2258">
        <v>8</v>
      </c>
      <c r="B2258">
        <v>2016</v>
      </c>
      <c r="C2258" t="s">
        <v>582</v>
      </c>
      <c r="D2258" t="s">
        <v>583</v>
      </c>
      <c r="E2258" t="s">
        <v>584</v>
      </c>
      <c r="F2258" t="s">
        <v>585</v>
      </c>
      <c r="G2258">
        <v>660.1</v>
      </c>
      <c r="H2258">
        <v>162</v>
      </c>
      <c r="I2258">
        <v>816</v>
      </c>
      <c r="J2258">
        <v>204</v>
      </c>
      <c r="Q2258"/>
    </row>
    <row r="2259" spans="1:17" x14ac:dyDescent="0.25">
      <c r="A2259">
        <v>8</v>
      </c>
      <c r="B2259">
        <v>2016</v>
      </c>
      <c r="C2259" t="s">
        <v>582</v>
      </c>
      <c r="D2259" t="s">
        <v>583</v>
      </c>
      <c r="E2259" t="s">
        <v>779</v>
      </c>
      <c r="F2259" t="s">
        <v>780</v>
      </c>
      <c r="G2259">
        <v>37.950000000000003</v>
      </c>
      <c r="H2259">
        <v>12</v>
      </c>
      <c r="I2259">
        <v>140.69999999999999</v>
      </c>
      <c r="J2259">
        <v>42</v>
      </c>
      <c r="Q2259"/>
    </row>
    <row r="2260" spans="1:17" x14ac:dyDescent="0.25">
      <c r="A2260">
        <v>8</v>
      </c>
      <c r="B2260">
        <v>2016</v>
      </c>
      <c r="C2260" t="s">
        <v>582</v>
      </c>
      <c r="D2260" t="s">
        <v>583</v>
      </c>
      <c r="E2260" t="s">
        <v>840</v>
      </c>
      <c r="F2260" t="s">
        <v>841</v>
      </c>
      <c r="G2260">
        <v>63.84</v>
      </c>
      <c r="H2260">
        <v>12</v>
      </c>
      <c r="Q2260"/>
    </row>
    <row r="2261" spans="1:17" x14ac:dyDescent="0.25">
      <c r="A2261">
        <v>8</v>
      </c>
      <c r="B2261">
        <v>2016</v>
      </c>
      <c r="C2261" t="s">
        <v>588</v>
      </c>
      <c r="D2261" t="s">
        <v>589</v>
      </c>
      <c r="E2261" t="s">
        <v>590</v>
      </c>
      <c r="F2261" t="s">
        <v>591</v>
      </c>
      <c r="G2261">
        <v>407.1</v>
      </c>
      <c r="H2261">
        <v>138</v>
      </c>
      <c r="I2261">
        <v>1218</v>
      </c>
      <c r="J2261">
        <v>420</v>
      </c>
      <c r="Q2261"/>
    </row>
    <row r="2262" spans="1:17" x14ac:dyDescent="0.25">
      <c r="A2262">
        <v>8</v>
      </c>
      <c r="B2262">
        <v>2016</v>
      </c>
      <c r="C2262" t="s">
        <v>588</v>
      </c>
      <c r="D2262" t="s">
        <v>589</v>
      </c>
      <c r="E2262" t="s">
        <v>592</v>
      </c>
      <c r="F2262" t="s">
        <v>593</v>
      </c>
      <c r="G2262">
        <v>1037.4000000000001</v>
      </c>
      <c r="H2262">
        <v>420</v>
      </c>
      <c r="I2262">
        <v>580.79999999999995</v>
      </c>
      <c r="J2262">
        <v>240</v>
      </c>
      <c r="Q2262"/>
    </row>
    <row r="2263" spans="1:17" x14ac:dyDescent="0.25">
      <c r="A2263">
        <v>8</v>
      </c>
      <c r="B2263">
        <v>2016</v>
      </c>
      <c r="C2263" t="s">
        <v>588</v>
      </c>
      <c r="D2263" t="s">
        <v>589</v>
      </c>
      <c r="E2263" t="s">
        <v>903</v>
      </c>
      <c r="F2263" t="s">
        <v>904</v>
      </c>
      <c r="G2263">
        <v>83.76</v>
      </c>
      <c r="H2263">
        <v>12</v>
      </c>
      <c r="Q2263"/>
    </row>
    <row r="2264" spans="1:17" x14ac:dyDescent="0.25">
      <c r="A2264">
        <v>8</v>
      </c>
      <c r="B2264">
        <v>2016</v>
      </c>
      <c r="C2264" t="s">
        <v>588</v>
      </c>
      <c r="D2264" t="s">
        <v>589</v>
      </c>
      <c r="E2264" t="s">
        <v>594</v>
      </c>
      <c r="F2264" t="s">
        <v>595</v>
      </c>
      <c r="G2264">
        <v>407</v>
      </c>
      <c r="H2264">
        <v>293.26</v>
      </c>
      <c r="I2264">
        <v>555</v>
      </c>
      <c r="J2264">
        <v>399.9</v>
      </c>
      <c r="Q2264"/>
    </row>
    <row r="2265" spans="1:17" x14ac:dyDescent="0.25">
      <c r="A2265">
        <v>8</v>
      </c>
      <c r="B2265">
        <v>2016</v>
      </c>
      <c r="C2265" t="s">
        <v>588</v>
      </c>
      <c r="D2265" t="s">
        <v>589</v>
      </c>
      <c r="E2265" t="s">
        <v>596</v>
      </c>
      <c r="F2265" t="s">
        <v>595</v>
      </c>
      <c r="G2265">
        <v>294</v>
      </c>
      <c r="H2265">
        <v>186.76</v>
      </c>
      <c r="I2265">
        <v>493.5</v>
      </c>
      <c r="J2265">
        <v>320.15999999999997</v>
      </c>
      <c r="Q2265"/>
    </row>
    <row r="2266" spans="1:17" x14ac:dyDescent="0.25">
      <c r="A2266">
        <v>8</v>
      </c>
      <c r="B2266">
        <v>2016</v>
      </c>
      <c r="C2266" t="s">
        <v>588</v>
      </c>
      <c r="D2266" t="s">
        <v>589</v>
      </c>
      <c r="E2266" t="s">
        <v>842</v>
      </c>
      <c r="F2266" t="s">
        <v>843</v>
      </c>
      <c r="G2266">
        <v>0</v>
      </c>
      <c r="H2266">
        <v>0</v>
      </c>
      <c r="Q2266"/>
    </row>
    <row r="2267" spans="1:17" x14ac:dyDescent="0.25">
      <c r="A2267">
        <v>8</v>
      </c>
      <c r="B2267">
        <v>2016</v>
      </c>
      <c r="C2267" t="s">
        <v>605</v>
      </c>
      <c r="D2267" t="s">
        <v>606</v>
      </c>
      <c r="E2267" t="s">
        <v>607</v>
      </c>
      <c r="F2267" t="s">
        <v>608</v>
      </c>
      <c r="G2267">
        <v>1919.52</v>
      </c>
      <c r="H2267">
        <v>516</v>
      </c>
      <c r="I2267">
        <v>558</v>
      </c>
      <c r="J2267">
        <v>150</v>
      </c>
      <c r="Q2267"/>
    </row>
    <row r="2268" spans="1:17" x14ac:dyDescent="0.25">
      <c r="A2268">
        <v>8</v>
      </c>
      <c r="B2268">
        <v>2016</v>
      </c>
      <c r="C2268" t="s">
        <v>605</v>
      </c>
      <c r="D2268" t="s">
        <v>606</v>
      </c>
      <c r="E2268" t="s">
        <v>609</v>
      </c>
      <c r="F2268" t="s">
        <v>610</v>
      </c>
      <c r="G2268">
        <v>558</v>
      </c>
      <c r="H2268">
        <v>90</v>
      </c>
      <c r="I2268">
        <v>293.76</v>
      </c>
      <c r="J2268">
        <v>48</v>
      </c>
      <c r="Q2268"/>
    </row>
    <row r="2269" spans="1:17" x14ac:dyDescent="0.25">
      <c r="A2269">
        <v>8</v>
      </c>
      <c r="B2269">
        <v>2016</v>
      </c>
      <c r="C2269" t="s">
        <v>605</v>
      </c>
      <c r="D2269" t="s">
        <v>606</v>
      </c>
      <c r="E2269" t="s">
        <v>611</v>
      </c>
      <c r="F2269" t="s">
        <v>612</v>
      </c>
      <c r="G2269">
        <v>1399.2</v>
      </c>
      <c r="H2269">
        <v>660</v>
      </c>
      <c r="I2269">
        <v>572.4</v>
      </c>
      <c r="J2269">
        <v>270</v>
      </c>
      <c r="Q2269"/>
    </row>
    <row r="2270" spans="1:17" x14ac:dyDescent="0.25">
      <c r="A2270">
        <v>8</v>
      </c>
      <c r="B2270">
        <v>2016</v>
      </c>
      <c r="C2270" t="s">
        <v>605</v>
      </c>
      <c r="D2270" t="s">
        <v>606</v>
      </c>
      <c r="E2270" t="s">
        <v>907</v>
      </c>
      <c r="F2270" t="s">
        <v>908</v>
      </c>
      <c r="G2270">
        <v>739.2</v>
      </c>
      <c r="H2270">
        <v>336</v>
      </c>
      <c r="Q2270"/>
    </row>
    <row r="2271" spans="1:17" x14ac:dyDescent="0.25">
      <c r="A2271">
        <v>8</v>
      </c>
      <c r="B2271">
        <v>2016</v>
      </c>
      <c r="C2271" t="s">
        <v>605</v>
      </c>
      <c r="D2271" t="s">
        <v>606</v>
      </c>
      <c r="E2271" t="s">
        <v>909</v>
      </c>
      <c r="F2271" t="s">
        <v>908</v>
      </c>
      <c r="G2271">
        <v>1953.6</v>
      </c>
      <c r="H2271">
        <v>888</v>
      </c>
      <c r="Q2271"/>
    </row>
    <row r="2272" spans="1:17" x14ac:dyDescent="0.25">
      <c r="A2272">
        <v>8</v>
      </c>
      <c r="B2272">
        <v>2016</v>
      </c>
      <c r="C2272" t="s">
        <v>605</v>
      </c>
      <c r="D2272" t="s">
        <v>606</v>
      </c>
      <c r="E2272" t="s">
        <v>910</v>
      </c>
      <c r="F2272" t="s">
        <v>908</v>
      </c>
      <c r="G2272">
        <v>565.79999999999995</v>
      </c>
      <c r="H2272">
        <v>246</v>
      </c>
      <c r="Q2272"/>
    </row>
    <row r="2273" spans="1:17" x14ac:dyDescent="0.25">
      <c r="A2273">
        <v>8</v>
      </c>
      <c r="B2273">
        <v>2016</v>
      </c>
      <c r="C2273" t="s">
        <v>605</v>
      </c>
      <c r="D2273" t="s">
        <v>606</v>
      </c>
      <c r="E2273" t="s">
        <v>911</v>
      </c>
      <c r="F2273" t="s">
        <v>912</v>
      </c>
      <c r="G2273">
        <v>35.4</v>
      </c>
      <c r="H2273">
        <v>6</v>
      </c>
      <c r="Q2273"/>
    </row>
    <row r="2274" spans="1:17" x14ac:dyDescent="0.25">
      <c r="A2274">
        <v>8</v>
      </c>
      <c r="B2274">
        <v>2016</v>
      </c>
      <c r="C2274" t="s">
        <v>605</v>
      </c>
      <c r="D2274" t="s">
        <v>606</v>
      </c>
      <c r="E2274" t="s">
        <v>613</v>
      </c>
      <c r="F2274" t="s">
        <v>614</v>
      </c>
      <c r="G2274">
        <v>991.6</v>
      </c>
      <c r="H2274">
        <v>986.42</v>
      </c>
      <c r="I2274">
        <v>226.1</v>
      </c>
      <c r="J2274">
        <v>226.61</v>
      </c>
      <c r="Q2274"/>
    </row>
    <row r="2275" spans="1:17" x14ac:dyDescent="0.25">
      <c r="A2275">
        <v>8</v>
      </c>
      <c r="B2275">
        <v>2016</v>
      </c>
      <c r="C2275" t="s">
        <v>605</v>
      </c>
      <c r="D2275" t="s">
        <v>606</v>
      </c>
      <c r="E2275" t="s">
        <v>615</v>
      </c>
      <c r="F2275" t="s">
        <v>614</v>
      </c>
      <c r="G2275">
        <v>478.24</v>
      </c>
      <c r="H2275">
        <v>406.87</v>
      </c>
      <c r="I2275">
        <v>786.79</v>
      </c>
      <c r="J2275">
        <v>673.67</v>
      </c>
      <c r="Q2275"/>
    </row>
    <row r="2276" spans="1:17" x14ac:dyDescent="0.25">
      <c r="A2276">
        <v>8</v>
      </c>
      <c r="B2276">
        <v>2016</v>
      </c>
      <c r="C2276" t="s">
        <v>605</v>
      </c>
      <c r="D2276" t="s">
        <v>606</v>
      </c>
      <c r="E2276" t="s">
        <v>616</v>
      </c>
      <c r="F2276" t="s">
        <v>617</v>
      </c>
      <c r="G2276">
        <v>631.79999999999995</v>
      </c>
      <c r="H2276">
        <v>479.88</v>
      </c>
      <c r="I2276">
        <v>280.8</v>
      </c>
      <c r="J2276">
        <v>213.28</v>
      </c>
      <c r="Q2276"/>
    </row>
    <row r="2277" spans="1:17" x14ac:dyDescent="0.25">
      <c r="A2277">
        <v>8</v>
      </c>
      <c r="B2277">
        <v>2016</v>
      </c>
      <c r="C2277" t="s">
        <v>605</v>
      </c>
      <c r="D2277" t="s">
        <v>606</v>
      </c>
      <c r="E2277" t="s">
        <v>618</v>
      </c>
      <c r="F2277" t="s">
        <v>617</v>
      </c>
      <c r="G2277">
        <v>727.08</v>
      </c>
      <c r="H2277">
        <v>486.90999999999997</v>
      </c>
      <c r="I2277">
        <v>368.52</v>
      </c>
      <c r="J2277">
        <v>246.79</v>
      </c>
      <c r="Q2277"/>
    </row>
    <row r="2278" spans="1:17" x14ac:dyDescent="0.25">
      <c r="A2278">
        <v>8</v>
      </c>
      <c r="B2278">
        <v>2016</v>
      </c>
      <c r="C2278" t="s">
        <v>621</v>
      </c>
      <c r="D2278" t="s">
        <v>622</v>
      </c>
      <c r="E2278" t="s">
        <v>623</v>
      </c>
      <c r="F2278" t="s">
        <v>624</v>
      </c>
      <c r="G2278">
        <v>472.5</v>
      </c>
      <c r="H2278">
        <v>126</v>
      </c>
      <c r="I2278">
        <v>377.4</v>
      </c>
      <c r="J2278">
        <v>108</v>
      </c>
      <c r="Q2278"/>
    </row>
    <row r="2279" spans="1:17" x14ac:dyDescent="0.25">
      <c r="A2279">
        <v>8</v>
      </c>
      <c r="B2279">
        <v>2016</v>
      </c>
      <c r="C2279" t="s">
        <v>621</v>
      </c>
      <c r="D2279" t="s">
        <v>622</v>
      </c>
      <c r="E2279" t="s">
        <v>625</v>
      </c>
      <c r="F2279" t="s">
        <v>624</v>
      </c>
      <c r="G2279">
        <v>292.5</v>
      </c>
      <c r="H2279">
        <v>78</v>
      </c>
      <c r="I2279">
        <v>244.2</v>
      </c>
      <c r="J2279">
        <v>66</v>
      </c>
      <c r="Q2279"/>
    </row>
    <row r="2280" spans="1:17" x14ac:dyDescent="0.25">
      <c r="A2280">
        <v>8</v>
      </c>
      <c r="B2280">
        <v>2016</v>
      </c>
      <c r="C2280" t="s">
        <v>630</v>
      </c>
      <c r="D2280" t="s">
        <v>631</v>
      </c>
      <c r="E2280" t="s">
        <v>632</v>
      </c>
      <c r="F2280" t="s">
        <v>633</v>
      </c>
      <c r="G2280">
        <v>723.6</v>
      </c>
      <c r="H2280">
        <v>108</v>
      </c>
      <c r="Q2280"/>
    </row>
    <row r="2281" spans="1:17" x14ac:dyDescent="0.25">
      <c r="A2281">
        <v>8</v>
      </c>
      <c r="B2281">
        <v>2016</v>
      </c>
      <c r="C2281" t="s">
        <v>630</v>
      </c>
      <c r="D2281" t="s">
        <v>631</v>
      </c>
      <c r="E2281" t="s">
        <v>634</v>
      </c>
      <c r="F2281" t="s">
        <v>635</v>
      </c>
      <c r="G2281">
        <v>652.79999999999995</v>
      </c>
      <c r="H2281">
        <v>48</v>
      </c>
      <c r="Q2281"/>
    </row>
    <row r="2282" spans="1:17" x14ac:dyDescent="0.25">
      <c r="A2282">
        <v>8</v>
      </c>
      <c r="B2282">
        <v>2016</v>
      </c>
      <c r="C2282" t="s">
        <v>630</v>
      </c>
      <c r="D2282" t="s">
        <v>631</v>
      </c>
      <c r="E2282" t="s">
        <v>783</v>
      </c>
      <c r="F2282" t="s">
        <v>784</v>
      </c>
      <c r="G2282">
        <v>73.8</v>
      </c>
      <c r="H2282">
        <v>18</v>
      </c>
      <c r="Q2282"/>
    </row>
    <row r="2283" spans="1:17" x14ac:dyDescent="0.25">
      <c r="A2283">
        <v>8</v>
      </c>
      <c r="B2283">
        <v>2016</v>
      </c>
      <c r="C2283" t="s">
        <v>638</v>
      </c>
      <c r="D2283" t="s">
        <v>639</v>
      </c>
      <c r="E2283" t="s">
        <v>640</v>
      </c>
      <c r="F2283" t="s">
        <v>641</v>
      </c>
      <c r="G2283">
        <v>206.55</v>
      </c>
      <c r="H2283">
        <v>186.76</v>
      </c>
      <c r="I2283">
        <v>152</v>
      </c>
      <c r="J2283">
        <v>133.4</v>
      </c>
      <c r="Q2283"/>
    </row>
    <row r="2284" spans="1:17" x14ac:dyDescent="0.25">
      <c r="A2284">
        <v>8</v>
      </c>
      <c r="B2284">
        <v>2016</v>
      </c>
      <c r="C2284" t="s">
        <v>638</v>
      </c>
      <c r="D2284" t="s">
        <v>639</v>
      </c>
      <c r="E2284" t="s">
        <v>642</v>
      </c>
      <c r="F2284" t="s">
        <v>641</v>
      </c>
      <c r="G2284">
        <v>707.55</v>
      </c>
      <c r="H2284">
        <v>746.48</v>
      </c>
      <c r="I2284">
        <v>1192.5</v>
      </c>
      <c r="J2284">
        <v>1199.7</v>
      </c>
      <c r="Q2284"/>
    </row>
    <row r="2285" spans="1:17" x14ac:dyDescent="0.25">
      <c r="A2285">
        <v>8</v>
      </c>
      <c r="B2285">
        <v>2016</v>
      </c>
      <c r="C2285" t="s">
        <v>638</v>
      </c>
      <c r="D2285" t="s">
        <v>639</v>
      </c>
      <c r="E2285" t="s">
        <v>643</v>
      </c>
      <c r="F2285" t="s">
        <v>644</v>
      </c>
      <c r="G2285">
        <v>2394.4499999999998</v>
      </c>
      <c r="H2285">
        <v>2107.7199999999998</v>
      </c>
      <c r="I2285">
        <v>1580.8</v>
      </c>
      <c r="J2285">
        <v>1387.36</v>
      </c>
      <c r="Q2285"/>
    </row>
    <row r="2286" spans="1:17" x14ac:dyDescent="0.25">
      <c r="A2286">
        <v>8</v>
      </c>
      <c r="B2286">
        <v>2016</v>
      </c>
      <c r="C2286" t="s">
        <v>638</v>
      </c>
      <c r="D2286" t="s">
        <v>639</v>
      </c>
      <c r="E2286" t="s">
        <v>645</v>
      </c>
      <c r="F2286" t="s">
        <v>644</v>
      </c>
      <c r="G2286">
        <v>2683.35</v>
      </c>
      <c r="H2286">
        <v>2679.33</v>
      </c>
      <c r="I2286">
        <v>2597</v>
      </c>
      <c r="J2286">
        <v>2612.6799999999998</v>
      </c>
      <c r="Q2286"/>
    </row>
    <row r="2287" spans="1:17" x14ac:dyDescent="0.25">
      <c r="A2287">
        <v>8</v>
      </c>
      <c r="B2287">
        <v>2016</v>
      </c>
      <c r="C2287" t="s">
        <v>638</v>
      </c>
      <c r="D2287" t="s">
        <v>639</v>
      </c>
      <c r="E2287" t="s">
        <v>646</v>
      </c>
      <c r="F2287" t="s">
        <v>647</v>
      </c>
      <c r="G2287">
        <v>604.79999999999995</v>
      </c>
      <c r="H2287">
        <v>252</v>
      </c>
      <c r="I2287">
        <v>518.4</v>
      </c>
      <c r="J2287">
        <v>216</v>
      </c>
      <c r="Q2287"/>
    </row>
    <row r="2288" spans="1:17" x14ac:dyDescent="0.25">
      <c r="A2288">
        <v>8</v>
      </c>
      <c r="B2288">
        <v>2016</v>
      </c>
      <c r="C2288" t="s">
        <v>638</v>
      </c>
      <c r="D2288" t="s">
        <v>639</v>
      </c>
      <c r="E2288" t="s">
        <v>650</v>
      </c>
      <c r="F2288" t="s">
        <v>651</v>
      </c>
      <c r="G2288">
        <v>439.2</v>
      </c>
      <c r="H2288">
        <v>144</v>
      </c>
      <c r="I2288">
        <v>76.8</v>
      </c>
      <c r="J2288">
        <v>24</v>
      </c>
      <c r="Q2288"/>
    </row>
    <row r="2289" spans="1:17" x14ac:dyDescent="0.25">
      <c r="A2289">
        <v>8</v>
      </c>
      <c r="B2289">
        <v>2016</v>
      </c>
      <c r="C2289" t="s">
        <v>638</v>
      </c>
      <c r="D2289" t="s">
        <v>639</v>
      </c>
      <c r="E2289" t="s">
        <v>785</v>
      </c>
      <c r="F2289" t="s">
        <v>653</v>
      </c>
      <c r="G2289">
        <v>576.6</v>
      </c>
      <c r="H2289">
        <v>413.23</v>
      </c>
      <c r="I2289">
        <v>409.2</v>
      </c>
      <c r="J2289">
        <v>293.26</v>
      </c>
      <c r="Q2289"/>
    </row>
    <row r="2290" spans="1:17" x14ac:dyDescent="0.25">
      <c r="A2290">
        <v>8</v>
      </c>
      <c r="B2290">
        <v>2016</v>
      </c>
      <c r="C2290" t="s">
        <v>638</v>
      </c>
      <c r="D2290" t="s">
        <v>639</v>
      </c>
      <c r="E2290" t="s">
        <v>652</v>
      </c>
      <c r="F2290" t="s">
        <v>653</v>
      </c>
      <c r="G2290">
        <v>393.9</v>
      </c>
      <c r="H2290">
        <v>260.13</v>
      </c>
      <c r="I2290">
        <v>121.2</v>
      </c>
      <c r="J2290">
        <v>80.039999999999992</v>
      </c>
      <c r="Q2290"/>
    </row>
    <row r="2291" spans="1:17" x14ac:dyDescent="0.25">
      <c r="A2291">
        <v>8</v>
      </c>
      <c r="B2291">
        <v>2016</v>
      </c>
      <c r="C2291" t="s">
        <v>638</v>
      </c>
      <c r="D2291" t="s">
        <v>639</v>
      </c>
      <c r="E2291" t="s">
        <v>654</v>
      </c>
      <c r="F2291" t="s">
        <v>655</v>
      </c>
      <c r="G2291">
        <v>175.2</v>
      </c>
      <c r="H2291">
        <v>48</v>
      </c>
      <c r="I2291">
        <v>129.6</v>
      </c>
      <c r="J2291">
        <v>36</v>
      </c>
      <c r="Q2291"/>
    </row>
    <row r="2292" spans="1:17" x14ac:dyDescent="0.25">
      <c r="A2292">
        <v>8</v>
      </c>
      <c r="B2292">
        <v>2016</v>
      </c>
      <c r="C2292" t="s">
        <v>638</v>
      </c>
      <c r="D2292" t="s">
        <v>639</v>
      </c>
      <c r="E2292" t="s">
        <v>656</v>
      </c>
      <c r="F2292" t="s">
        <v>657</v>
      </c>
      <c r="G2292">
        <v>23.1</v>
      </c>
      <c r="H2292">
        <v>6</v>
      </c>
      <c r="I2292">
        <v>48.6</v>
      </c>
      <c r="J2292">
        <v>12</v>
      </c>
      <c r="Q2292"/>
    </row>
    <row r="2293" spans="1:17" x14ac:dyDescent="0.25">
      <c r="A2293">
        <v>8</v>
      </c>
      <c r="B2293">
        <v>2016</v>
      </c>
      <c r="C2293" t="s">
        <v>638</v>
      </c>
      <c r="D2293" t="s">
        <v>639</v>
      </c>
      <c r="E2293" t="s">
        <v>658</v>
      </c>
      <c r="F2293" t="s">
        <v>659</v>
      </c>
      <c r="G2293">
        <v>360</v>
      </c>
      <c r="H2293">
        <v>120</v>
      </c>
      <c r="I2293">
        <v>306</v>
      </c>
      <c r="J2293">
        <v>102</v>
      </c>
      <c r="Q2293"/>
    </row>
    <row r="2294" spans="1:17" x14ac:dyDescent="0.25">
      <c r="A2294">
        <v>8</v>
      </c>
      <c r="B2294">
        <v>2016</v>
      </c>
      <c r="C2294" t="s">
        <v>638</v>
      </c>
      <c r="D2294" t="s">
        <v>639</v>
      </c>
      <c r="E2294" t="s">
        <v>786</v>
      </c>
      <c r="F2294" t="s">
        <v>787</v>
      </c>
      <c r="G2294">
        <v>165.12</v>
      </c>
      <c r="H2294">
        <v>48</v>
      </c>
      <c r="I2294">
        <v>165.12</v>
      </c>
      <c r="J2294">
        <v>48</v>
      </c>
      <c r="Q2294"/>
    </row>
    <row r="2295" spans="1:17" x14ac:dyDescent="0.25">
      <c r="A2295">
        <v>8</v>
      </c>
      <c r="B2295">
        <v>2016</v>
      </c>
      <c r="C2295" t="s">
        <v>638</v>
      </c>
      <c r="D2295" t="s">
        <v>639</v>
      </c>
      <c r="E2295" t="s">
        <v>913</v>
      </c>
      <c r="F2295" t="s">
        <v>914</v>
      </c>
      <c r="G2295">
        <v>41.25</v>
      </c>
      <c r="H2295">
        <v>40.019999999999996</v>
      </c>
      <c r="Q2295"/>
    </row>
    <row r="2296" spans="1:17" x14ac:dyDescent="0.25">
      <c r="A2296">
        <v>8</v>
      </c>
      <c r="B2296">
        <v>2016</v>
      </c>
      <c r="C2296" t="s">
        <v>638</v>
      </c>
      <c r="D2296" t="s">
        <v>639</v>
      </c>
      <c r="E2296" t="s">
        <v>915</v>
      </c>
      <c r="F2296" t="s">
        <v>916</v>
      </c>
      <c r="G2296">
        <v>143.75</v>
      </c>
      <c r="H2296">
        <v>92</v>
      </c>
      <c r="Q2296"/>
    </row>
    <row r="2297" spans="1:17" x14ac:dyDescent="0.25">
      <c r="A2297">
        <v>8</v>
      </c>
      <c r="B2297">
        <v>2016</v>
      </c>
      <c r="C2297" t="s">
        <v>638</v>
      </c>
      <c r="D2297" t="s">
        <v>639</v>
      </c>
      <c r="E2297" t="s">
        <v>845</v>
      </c>
      <c r="F2297" t="s">
        <v>846</v>
      </c>
      <c r="G2297">
        <v>10.199999999999999</v>
      </c>
      <c r="H2297">
        <v>8</v>
      </c>
      <c r="I2297">
        <v>106.05</v>
      </c>
      <c r="J2297">
        <v>84</v>
      </c>
      <c r="Q2297"/>
    </row>
    <row r="2298" spans="1:17" x14ac:dyDescent="0.25">
      <c r="A2298">
        <v>8</v>
      </c>
      <c r="B2298">
        <v>2016</v>
      </c>
      <c r="C2298" t="s">
        <v>638</v>
      </c>
      <c r="D2298" t="s">
        <v>639</v>
      </c>
      <c r="E2298" t="s">
        <v>662</v>
      </c>
      <c r="F2298" t="s">
        <v>663</v>
      </c>
      <c r="G2298">
        <v>26.4</v>
      </c>
      <c r="H2298">
        <v>16</v>
      </c>
      <c r="I2298">
        <v>39.6</v>
      </c>
      <c r="J2298">
        <v>24</v>
      </c>
      <c r="Q2298"/>
    </row>
    <row r="2299" spans="1:17" x14ac:dyDescent="0.25">
      <c r="A2299">
        <v>8</v>
      </c>
      <c r="B2299">
        <v>2016</v>
      </c>
      <c r="C2299" t="s">
        <v>638</v>
      </c>
      <c r="D2299" t="s">
        <v>639</v>
      </c>
      <c r="E2299" t="s">
        <v>664</v>
      </c>
      <c r="F2299" t="s">
        <v>665</v>
      </c>
      <c r="G2299">
        <v>46.08</v>
      </c>
      <c r="H2299">
        <v>24</v>
      </c>
      <c r="I2299">
        <v>229.9</v>
      </c>
      <c r="J2299">
        <v>132</v>
      </c>
      <c r="Q2299"/>
    </row>
    <row r="2300" spans="1:17" x14ac:dyDescent="0.25">
      <c r="A2300">
        <v>8</v>
      </c>
      <c r="B2300">
        <v>2016</v>
      </c>
      <c r="C2300" t="s">
        <v>638</v>
      </c>
      <c r="D2300" t="s">
        <v>639</v>
      </c>
      <c r="E2300" t="s">
        <v>666</v>
      </c>
      <c r="F2300" t="s">
        <v>665</v>
      </c>
      <c r="G2300">
        <v>426.24</v>
      </c>
      <c r="H2300">
        <v>222</v>
      </c>
      <c r="I2300">
        <v>323</v>
      </c>
      <c r="J2300">
        <v>186</v>
      </c>
      <c r="Q2300"/>
    </row>
    <row r="2301" spans="1:17" x14ac:dyDescent="0.25">
      <c r="A2301">
        <v>8</v>
      </c>
      <c r="B2301">
        <v>2016</v>
      </c>
      <c r="C2301" t="s">
        <v>638</v>
      </c>
      <c r="D2301" t="s">
        <v>639</v>
      </c>
      <c r="E2301" t="s">
        <v>847</v>
      </c>
      <c r="F2301" t="s">
        <v>848</v>
      </c>
      <c r="G2301">
        <v>161.28</v>
      </c>
      <c r="H2301">
        <v>90</v>
      </c>
      <c r="Q2301"/>
    </row>
    <row r="2302" spans="1:17" x14ac:dyDescent="0.25">
      <c r="A2302">
        <v>8</v>
      </c>
      <c r="B2302">
        <v>2016</v>
      </c>
      <c r="C2302" t="s">
        <v>667</v>
      </c>
      <c r="D2302" t="s">
        <v>668</v>
      </c>
      <c r="E2302" t="s">
        <v>671</v>
      </c>
      <c r="F2302" t="s">
        <v>670</v>
      </c>
      <c r="G2302">
        <v>286.98</v>
      </c>
      <c r="H2302">
        <v>156</v>
      </c>
      <c r="I2302">
        <v>403.92</v>
      </c>
      <c r="J2302">
        <v>198</v>
      </c>
      <c r="Q2302"/>
    </row>
    <row r="2303" spans="1:17" x14ac:dyDescent="0.25">
      <c r="A2303">
        <v>8</v>
      </c>
      <c r="B2303">
        <v>2016</v>
      </c>
      <c r="C2303" t="s">
        <v>667</v>
      </c>
      <c r="D2303" t="s">
        <v>668</v>
      </c>
      <c r="E2303" t="s">
        <v>672</v>
      </c>
      <c r="F2303" t="s">
        <v>670</v>
      </c>
      <c r="G2303">
        <v>24.84</v>
      </c>
      <c r="H2303">
        <v>12</v>
      </c>
      <c r="I2303">
        <v>97.92</v>
      </c>
      <c r="J2303">
        <v>48</v>
      </c>
      <c r="Q2303"/>
    </row>
    <row r="2304" spans="1:17" x14ac:dyDescent="0.25">
      <c r="A2304">
        <v>8</v>
      </c>
      <c r="B2304">
        <v>2016</v>
      </c>
      <c r="C2304" t="s">
        <v>667</v>
      </c>
      <c r="D2304" t="s">
        <v>668</v>
      </c>
      <c r="E2304" t="s">
        <v>676</v>
      </c>
      <c r="F2304" t="s">
        <v>674</v>
      </c>
      <c r="G2304">
        <v>16.8</v>
      </c>
      <c r="H2304">
        <v>6</v>
      </c>
      <c r="I2304">
        <v>66.48</v>
      </c>
      <c r="J2304">
        <v>30</v>
      </c>
      <c r="Q2304"/>
    </row>
    <row r="2305" spans="1:17" x14ac:dyDescent="0.25">
      <c r="A2305">
        <v>8</v>
      </c>
      <c r="B2305">
        <v>2016</v>
      </c>
      <c r="C2305" t="s">
        <v>667</v>
      </c>
      <c r="D2305" t="s">
        <v>668</v>
      </c>
      <c r="E2305" t="s">
        <v>677</v>
      </c>
      <c r="F2305" t="s">
        <v>678</v>
      </c>
      <c r="G2305">
        <v>26.4</v>
      </c>
      <c r="H2305">
        <v>12</v>
      </c>
      <c r="I2305">
        <v>13.08</v>
      </c>
      <c r="J2305">
        <v>6</v>
      </c>
      <c r="Q2305"/>
    </row>
    <row r="2306" spans="1:17" x14ac:dyDescent="0.25">
      <c r="A2306">
        <v>8</v>
      </c>
      <c r="B2306">
        <v>2016</v>
      </c>
      <c r="C2306" t="s">
        <v>667</v>
      </c>
      <c r="D2306" t="s">
        <v>668</v>
      </c>
      <c r="E2306" t="s">
        <v>679</v>
      </c>
      <c r="F2306" t="s">
        <v>680</v>
      </c>
      <c r="G2306">
        <v>97.9</v>
      </c>
      <c r="H2306">
        <v>73.37</v>
      </c>
      <c r="I2306">
        <v>151.30000000000001</v>
      </c>
      <c r="J2306">
        <v>120.06</v>
      </c>
      <c r="Q2306"/>
    </row>
    <row r="2307" spans="1:17" x14ac:dyDescent="0.25">
      <c r="A2307">
        <v>8</v>
      </c>
      <c r="B2307">
        <v>2016</v>
      </c>
      <c r="C2307" t="s">
        <v>667</v>
      </c>
      <c r="D2307" t="s">
        <v>668</v>
      </c>
      <c r="E2307" t="s">
        <v>788</v>
      </c>
      <c r="F2307" t="s">
        <v>789</v>
      </c>
      <c r="G2307">
        <v>59.7</v>
      </c>
      <c r="H2307">
        <v>40.019999999999996</v>
      </c>
      <c r="I2307">
        <v>118.8</v>
      </c>
      <c r="J2307">
        <v>80.039999999999992</v>
      </c>
      <c r="Q2307"/>
    </row>
    <row r="2308" spans="1:17" x14ac:dyDescent="0.25">
      <c r="A2308">
        <v>8</v>
      </c>
      <c r="B2308">
        <v>2016</v>
      </c>
      <c r="C2308" t="s">
        <v>681</v>
      </c>
      <c r="D2308" t="s">
        <v>682</v>
      </c>
      <c r="E2308" t="s">
        <v>683</v>
      </c>
      <c r="F2308" t="s">
        <v>684</v>
      </c>
      <c r="G2308">
        <v>337.5</v>
      </c>
      <c r="H2308">
        <v>150</v>
      </c>
      <c r="I2308">
        <v>118.8</v>
      </c>
      <c r="J2308">
        <v>54</v>
      </c>
      <c r="Q2308"/>
    </row>
    <row r="2309" spans="1:17" x14ac:dyDescent="0.25">
      <c r="A2309">
        <v>8</v>
      </c>
      <c r="B2309">
        <v>2016</v>
      </c>
      <c r="C2309" t="s">
        <v>681</v>
      </c>
      <c r="D2309" t="s">
        <v>682</v>
      </c>
      <c r="E2309" t="s">
        <v>685</v>
      </c>
      <c r="F2309" t="s">
        <v>686</v>
      </c>
      <c r="G2309">
        <v>187.2</v>
      </c>
      <c r="H2309">
        <v>78</v>
      </c>
      <c r="I2309">
        <v>84.6</v>
      </c>
      <c r="J2309">
        <v>36</v>
      </c>
      <c r="Q2309"/>
    </row>
    <row r="2310" spans="1:17" x14ac:dyDescent="0.25">
      <c r="A2310">
        <v>8</v>
      </c>
      <c r="B2310">
        <v>2016</v>
      </c>
      <c r="C2310" t="s">
        <v>681</v>
      </c>
      <c r="D2310" t="s">
        <v>682</v>
      </c>
      <c r="E2310" t="s">
        <v>687</v>
      </c>
      <c r="F2310" t="s">
        <v>688</v>
      </c>
      <c r="G2310">
        <v>111</v>
      </c>
      <c r="H2310">
        <v>30</v>
      </c>
      <c r="Q2310"/>
    </row>
    <row r="2311" spans="1:17" x14ac:dyDescent="0.25">
      <c r="A2311">
        <v>8</v>
      </c>
      <c r="B2311">
        <v>2016</v>
      </c>
      <c r="C2311" t="s">
        <v>681</v>
      </c>
      <c r="D2311" t="s">
        <v>682</v>
      </c>
      <c r="E2311" t="s">
        <v>689</v>
      </c>
      <c r="F2311" t="s">
        <v>690</v>
      </c>
      <c r="G2311">
        <v>57.6</v>
      </c>
      <c r="H2311">
        <v>24</v>
      </c>
      <c r="I2311">
        <v>42.3</v>
      </c>
      <c r="J2311">
        <v>18</v>
      </c>
      <c r="Q2311"/>
    </row>
    <row r="2312" spans="1:17" x14ac:dyDescent="0.25">
      <c r="A2312">
        <v>8</v>
      </c>
      <c r="B2312">
        <v>2016</v>
      </c>
      <c r="C2312" t="s">
        <v>790</v>
      </c>
      <c r="D2312" t="s">
        <v>791</v>
      </c>
      <c r="E2312" t="s">
        <v>792</v>
      </c>
      <c r="F2312" t="s">
        <v>793</v>
      </c>
      <c r="G2312">
        <v>636.29999999999995</v>
      </c>
      <c r="H2312">
        <v>126</v>
      </c>
      <c r="Q2312"/>
    </row>
    <row r="2313" spans="1:17" x14ac:dyDescent="0.25">
      <c r="A2313">
        <v>8</v>
      </c>
      <c r="B2313">
        <v>2016</v>
      </c>
      <c r="C2313" t="s">
        <v>691</v>
      </c>
      <c r="D2313" t="s">
        <v>692</v>
      </c>
      <c r="E2313" t="s">
        <v>699</v>
      </c>
      <c r="F2313" t="s">
        <v>700</v>
      </c>
      <c r="G2313">
        <v>159.6</v>
      </c>
      <c r="H2313">
        <v>42</v>
      </c>
      <c r="Q2313"/>
    </row>
    <row r="2314" spans="1:17" x14ac:dyDescent="0.25">
      <c r="A2314">
        <v>8</v>
      </c>
      <c r="B2314">
        <v>2016</v>
      </c>
      <c r="C2314" t="s">
        <v>691</v>
      </c>
      <c r="D2314" t="s">
        <v>692</v>
      </c>
      <c r="E2314" t="s">
        <v>701</v>
      </c>
      <c r="F2314" t="s">
        <v>700</v>
      </c>
      <c r="G2314">
        <v>52.2</v>
      </c>
      <c r="H2314">
        <v>12</v>
      </c>
      <c r="Q2314"/>
    </row>
    <row r="2315" spans="1:17" x14ac:dyDescent="0.25">
      <c r="A2315">
        <v>9</v>
      </c>
      <c r="B2315">
        <v>2016</v>
      </c>
      <c r="C2315" t="s">
        <v>47</v>
      </c>
      <c r="D2315" t="s">
        <v>48</v>
      </c>
      <c r="E2315" t="s">
        <v>49</v>
      </c>
      <c r="F2315" t="s">
        <v>50</v>
      </c>
      <c r="G2315">
        <v>3403.38</v>
      </c>
      <c r="H2315">
        <v>2894.7799999999997</v>
      </c>
      <c r="I2315">
        <v>5700.24</v>
      </c>
      <c r="J2315">
        <v>5029.18</v>
      </c>
      <c r="Q2315"/>
    </row>
    <row r="2316" spans="1:17" x14ac:dyDescent="0.25">
      <c r="A2316">
        <v>9</v>
      </c>
      <c r="B2316">
        <v>2016</v>
      </c>
      <c r="C2316" t="s">
        <v>47</v>
      </c>
      <c r="D2316" t="s">
        <v>48</v>
      </c>
      <c r="E2316" t="s">
        <v>51</v>
      </c>
      <c r="F2316" t="s">
        <v>52</v>
      </c>
      <c r="G2316">
        <v>11423.62</v>
      </c>
      <c r="H2316">
        <v>11077.23</v>
      </c>
      <c r="I2316">
        <v>17370.75</v>
      </c>
      <c r="J2316">
        <v>17515.62</v>
      </c>
      <c r="Q2316"/>
    </row>
    <row r="2317" spans="1:17" x14ac:dyDescent="0.25">
      <c r="A2317">
        <v>9</v>
      </c>
      <c r="B2317">
        <v>2016</v>
      </c>
      <c r="C2317" t="s">
        <v>47</v>
      </c>
      <c r="D2317" t="s">
        <v>48</v>
      </c>
      <c r="E2317" t="s">
        <v>53</v>
      </c>
      <c r="F2317" t="s">
        <v>54</v>
      </c>
      <c r="G2317">
        <v>6058.28</v>
      </c>
      <c r="H2317">
        <v>6518.37</v>
      </c>
      <c r="I2317">
        <v>5569.5</v>
      </c>
      <c r="J2317">
        <v>6265.1</v>
      </c>
      <c r="Q2317"/>
    </row>
    <row r="2318" spans="1:17" x14ac:dyDescent="0.25">
      <c r="A2318">
        <v>9</v>
      </c>
      <c r="B2318">
        <v>2016</v>
      </c>
      <c r="C2318" t="s">
        <v>47</v>
      </c>
      <c r="D2318" t="s">
        <v>48</v>
      </c>
      <c r="E2318" t="s">
        <v>55</v>
      </c>
      <c r="F2318" t="s">
        <v>54</v>
      </c>
      <c r="G2318">
        <v>1359.94</v>
      </c>
      <c r="H2318">
        <v>1307.32</v>
      </c>
      <c r="I2318">
        <v>2291.91</v>
      </c>
      <c r="J2318">
        <v>2121.06</v>
      </c>
      <c r="Q2318"/>
    </row>
    <row r="2319" spans="1:17" x14ac:dyDescent="0.25">
      <c r="A2319">
        <v>9</v>
      </c>
      <c r="B2319">
        <v>2016</v>
      </c>
      <c r="C2319" t="s">
        <v>47</v>
      </c>
      <c r="D2319" t="s">
        <v>48</v>
      </c>
      <c r="E2319" t="s">
        <v>56</v>
      </c>
      <c r="F2319" t="s">
        <v>57</v>
      </c>
      <c r="G2319">
        <v>3804.64</v>
      </c>
      <c r="H2319">
        <v>4212.28</v>
      </c>
      <c r="I2319">
        <v>3751.92</v>
      </c>
      <c r="J2319">
        <v>4332.25</v>
      </c>
      <c r="Q2319"/>
    </row>
    <row r="2320" spans="1:17" x14ac:dyDescent="0.25">
      <c r="A2320">
        <v>9</v>
      </c>
      <c r="B2320">
        <v>2016</v>
      </c>
      <c r="C2320" t="s">
        <v>47</v>
      </c>
      <c r="D2320" t="s">
        <v>48</v>
      </c>
      <c r="E2320" t="s">
        <v>58</v>
      </c>
      <c r="F2320" t="s">
        <v>59</v>
      </c>
      <c r="G2320">
        <v>2294.34</v>
      </c>
      <c r="H2320">
        <v>2693.67</v>
      </c>
      <c r="I2320">
        <v>5338.85</v>
      </c>
      <c r="J2320">
        <v>6747.51</v>
      </c>
      <c r="Q2320"/>
    </row>
    <row r="2321" spans="1:17" x14ac:dyDescent="0.25">
      <c r="A2321">
        <v>9</v>
      </c>
      <c r="B2321">
        <v>2016</v>
      </c>
      <c r="C2321" t="s">
        <v>47</v>
      </c>
      <c r="D2321" t="s">
        <v>48</v>
      </c>
      <c r="E2321" t="s">
        <v>60</v>
      </c>
      <c r="F2321" t="s">
        <v>59</v>
      </c>
      <c r="G2321">
        <v>1384.08</v>
      </c>
      <c r="H2321">
        <v>1680.21</v>
      </c>
      <c r="I2321">
        <v>1752.8</v>
      </c>
      <c r="J2321">
        <v>2160.27</v>
      </c>
      <c r="Q2321"/>
    </row>
    <row r="2322" spans="1:17" x14ac:dyDescent="0.25">
      <c r="A2322">
        <v>9</v>
      </c>
      <c r="B2322">
        <v>2016</v>
      </c>
      <c r="C2322" t="s">
        <v>47</v>
      </c>
      <c r="D2322" t="s">
        <v>48</v>
      </c>
      <c r="E2322" t="s">
        <v>61</v>
      </c>
      <c r="F2322" t="s">
        <v>62</v>
      </c>
      <c r="G2322">
        <v>991.1</v>
      </c>
      <c r="H2322">
        <v>713.68999999999994</v>
      </c>
      <c r="I2322">
        <v>2986.12</v>
      </c>
      <c r="J2322">
        <v>2201.1</v>
      </c>
      <c r="Q2322"/>
    </row>
    <row r="2323" spans="1:17" x14ac:dyDescent="0.25">
      <c r="A2323">
        <v>9</v>
      </c>
      <c r="B2323">
        <v>2016</v>
      </c>
      <c r="C2323" t="s">
        <v>47</v>
      </c>
      <c r="D2323" t="s">
        <v>48</v>
      </c>
      <c r="E2323" t="s">
        <v>63</v>
      </c>
      <c r="F2323" t="s">
        <v>64</v>
      </c>
      <c r="G2323">
        <v>2617.19</v>
      </c>
      <c r="H2323">
        <v>2092.81</v>
      </c>
      <c r="I2323">
        <v>4303.88</v>
      </c>
      <c r="J2323">
        <v>3545.78</v>
      </c>
      <c r="Q2323"/>
    </row>
    <row r="2324" spans="1:17" x14ac:dyDescent="0.25">
      <c r="A2324">
        <v>9</v>
      </c>
      <c r="B2324">
        <v>2016</v>
      </c>
      <c r="C2324" t="s">
        <v>47</v>
      </c>
      <c r="D2324" t="s">
        <v>48</v>
      </c>
      <c r="E2324" t="s">
        <v>65</v>
      </c>
      <c r="F2324" t="s">
        <v>64</v>
      </c>
      <c r="G2324">
        <v>3334</v>
      </c>
      <c r="H2324">
        <v>2679.33</v>
      </c>
      <c r="I2324">
        <v>6811.78</v>
      </c>
      <c r="J2324">
        <v>5611.93</v>
      </c>
      <c r="Q2324"/>
    </row>
    <row r="2325" spans="1:17" x14ac:dyDescent="0.25">
      <c r="A2325">
        <v>9</v>
      </c>
      <c r="B2325">
        <v>2016</v>
      </c>
      <c r="C2325" t="s">
        <v>47</v>
      </c>
      <c r="D2325" t="s">
        <v>48</v>
      </c>
      <c r="E2325" t="s">
        <v>66</v>
      </c>
      <c r="F2325" t="s">
        <v>64</v>
      </c>
      <c r="G2325">
        <v>3045.05</v>
      </c>
      <c r="H2325">
        <v>2134.4</v>
      </c>
      <c r="I2325">
        <v>4340.24</v>
      </c>
      <c r="J2325">
        <v>3201.6</v>
      </c>
      <c r="Q2325"/>
    </row>
    <row r="2326" spans="1:17" x14ac:dyDescent="0.25">
      <c r="A2326">
        <v>9</v>
      </c>
      <c r="B2326">
        <v>2016</v>
      </c>
      <c r="C2326" t="s">
        <v>47</v>
      </c>
      <c r="D2326" t="s">
        <v>48</v>
      </c>
      <c r="E2326" t="s">
        <v>67</v>
      </c>
      <c r="F2326" t="s">
        <v>68</v>
      </c>
      <c r="G2326">
        <v>6929.08</v>
      </c>
      <c r="H2326">
        <v>7478.13</v>
      </c>
      <c r="I2326">
        <v>6518.2</v>
      </c>
      <c r="J2326">
        <v>7278.18</v>
      </c>
      <c r="Q2326"/>
    </row>
    <row r="2327" spans="1:17" x14ac:dyDescent="0.25">
      <c r="A2327">
        <v>9</v>
      </c>
      <c r="B2327">
        <v>2016</v>
      </c>
      <c r="C2327" t="s">
        <v>47</v>
      </c>
      <c r="D2327" t="s">
        <v>48</v>
      </c>
      <c r="E2327" t="s">
        <v>69</v>
      </c>
      <c r="F2327" t="s">
        <v>68</v>
      </c>
      <c r="G2327">
        <v>2807.7</v>
      </c>
      <c r="H2327">
        <v>2501.25</v>
      </c>
      <c r="I2327">
        <v>3878.75</v>
      </c>
      <c r="J2327">
        <v>3568.45</v>
      </c>
      <c r="Q2327"/>
    </row>
    <row r="2328" spans="1:17" x14ac:dyDescent="0.25">
      <c r="A2328">
        <v>9</v>
      </c>
      <c r="B2328">
        <v>2016</v>
      </c>
      <c r="C2328" t="s">
        <v>47</v>
      </c>
      <c r="D2328" t="s">
        <v>48</v>
      </c>
      <c r="E2328" t="s">
        <v>70</v>
      </c>
      <c r="F2328" t="s">
        <v>71</v>
      </c>
      <c r="G2328">
        <v>2454.9</v>
      </c>
      <c r="H2328">
        <v>1002</v>
      </c>
      <c r="I2328">
        <v>2404.8000000000002</v>
      </c>
      <c r="J2328">
        <v>1002</v>
      </c>
      <c r="Q2328"/>
    </row>
    <row r="2329" spans="1:17" x14ac:dyDescent="0.25">
      <c r="A2329">
        <v>9</v>
      </c>
      <c r="B2329">
        <v>2016</v>
      </c>
      <c r="C2329" t="s">
        <v>47</v>
      </c>
      <c r="D2329" t="s">
        <v>48</v>
      </c>
      <c r="E2329" t="s">
        <v>78</v>
      </c>
      <c r="F2329" t="s">
        <v>73</v>
      </c>
      <c r="G2329">
        <v>26.28</v>
      </c>
      <c r="H2329">
        <v>12</v>
      </c>
      <c r="I2329">
        <v>118.26</v>
      </c>
      <c r="J2329">
        <v>54</v>
      </c>
      <c r="Q2329"/>
    </row>
    <row r="2330" spans="1:17" x14ac:dyDescent="0.25">
      <c r="A2330">
        <v>9</v>
      </c>
      <c r="B2330">
        <v>2016</v>
      </c>
      <c r="C2330" t="s">
        <v>47</v>
      </c>
      <c r="D2330" t="s">
        <v>48</v>
      </c>
      <c r="E2330" t="s">
        <v>79</v>
      </c>
      <c r="F2330" t="s">
        <v>80</v>
      </c>
      <c r="G2330">
        <v>173.04</v>
      </c>
      <c r="H2330">
        <v>84</v>
      </c>
      <c r="I2330">
        <v>196.32</v>
      </c>
      <c r="J2330">
        <v>96</v>
      </c>
      <c r="Q2330"/>
    </row>
    <row r="2331" spans="1:17" x14ac:dyDescent="0.25">
      <c r="A2331">
        <v>9</v>
      </c>
      <c r="B2331">
        <v>2016</v>
      </c>
      <c r="C2331" t="s">
        <v>47</v>
      </c>
      <c r="D2331" t="s">
        <v>48</v>
      </c>
      <c r="E2331" t="s">
        <v>81</v>
      </c>
      <c r="F2331" t="s">
        <v>82</v>
      </c>
      <c r="G2331">
        <v>264</v>
      </c>
      <c r="H2331">
        <v>132</v>
      </c>
      <c r="I2331">
        <v>1413.72</v>
      </c>
      <c r="J2331">
        <v>756</v>
      </c>
      <c r="Q2331"/>
    </row>
    <row r="2332" spans="1:17" x14ac:dyDescent="0.25">
      <c r="A2332">
        <v>9</v>
      </c>
      <c r="B2332">
        <v>2016</v>
      </c>
      <c r="C2332" t="s">
        <v>47</v>
      </c>
      <c r="D2332" t="s">
        <v>48</v>
      </c>
      <c r="E2332" t="s">
        <v>83</v>
      </c>
      <c r="F2332" t="s">
        <v>84</v>
      </c>
      <c r="G2332">
        <v>39.6</v>
      </c>
      <c r="H2332">
        <v>24</v>
      </c>
      <c r="I2332">
        <v>49.84</v>
      </c>
      <c r="J2332">
        <v>32</v>
      </c>
      <c r="Q2332"/>
    </row>
    <row r="2333" spans="1:17" x14ac:dyDescent="0.25">
      <c r="A2333">
        <v>9</v>
      </c>
      <c r="B2333">
        <v>2016</v>
      </c>
      <c r="C2333" t="s">
        <v>47</v>
      </c>
      <c r="D2333" t="s">
        <v>48</v>
      </c>
      <c r="E2333" t="s">
        <v>85</v>
      </c>
      <c r="F2333" t="s">
        <v>84</v>
      </c>
      <c r="G2333">
        <v>46.2</v>
      </c>
      <c r="H2333">
        <v>28</v>
      </c>
      <c r="I2333">
        <v>118.37</v>
      </c>
      <c r="J2333">
        <v>76</v>
      </c>
      <c r="Q2333"/>
    </row>
    <row r="2334" spans="1:17" x14ac:dyDescent="0.25">
      <c r="A2334">
        <v>9</v>
      </c>
      <c r="B2334">
        <v>2016</v>
      </c>
      <c r="C2334" t="s">
        <v>47</v>
      </c>
      <c r="D2334" t="s">
        <v>48</v>
      </c>
      <c r="E2334" t="s">
        <v>86</v>
      </c>
      <c r="F2334" t="s">
        <v>84</v>
      </c>
      <c r="G2334">
        <v>39.6</v>
      </c>
      <c r="H2334">
        <v>24</v>
      </c>
      <c r="Q2334"/>
    </row>
    <row r="2335" spans="1:17" x14ac:dyDescent="0.25">
      <c r="A2335">
        <v>9</v>
      </c>
      <c r="B2335">
        <v>2016</v>
      </c>
      <c r="C2335" t="s">
        <v>47</v>
      </c>
      <c r="D2335" t="s">
        <v>48</v>
      </c>
      <c r="E2335" t="s">
        <v>704</v>
      </c>
      <c r="F2335" t="s">
        <v>705</v>
      </c>
      <c r="G2335">
        <v>214.56</v>
      </c>
      <c r="H2335">
        <v>72</v>
      </c>
      <c r="I2335">
        <v>275.52</v>
      </c>
      <c r="J2335">
        <v>96</v>
      </c>
      <c r="Q2335"/>
    </row>
    <row r="2336" spans="1:17" x14ac:dyDescent="0.25">
      <c r="A2336">
        <v>9</v>
      </c>
      <c r="B2336">
        <v>2016</v>
      </c>
      <c r="C2336" t="s">
        <v>47</v>
      </c>
      <c r="D2336" t="s">
        <v>48</v>
      </c>
      <c r="E2336" t="s">
        <v>87</v>
      </c>
      <c r="F2336" t="s">
        <v>88</v>
      </c>
      <c r="G2336">
        <v>367.92</v>
      </c>
      <c r="H2336">
        <v>168</v>
      </c>
      <c r="I2336">
        <v>394.2</v>
      </c>
      <c r="J2336">
        <v>186</v>
      </c>
      <c r="Q2336"/>
    </row>
    <row r="2337" spans="1:17" x14ac:dyDescent="0.25">
      <c r="A2337">
        <v>9</v>
      </c>
      <c r="B2337">
        <v>2016</v>
      </c>
      <c r="C2337" t="s">
        <v>47</v>
      </c>
      <c r="D2337" t="s">
        <v>48</v>
      </c>
      <c r="E2337" t="s">
        <v>89</v>
      </c>
      <c r="F2337" t="s">
        <v>90</v>
      </c>
      <c r="G2337">
        <v>523.32000000000005</v>
      </c>
      <c r="H2337">
        <v>300</v>
      </c>
      <c r="I2337">
        <v>581.28</v>
      </c>
      <c r="J2337">
        <v>336</v>
      </c>
      <c r="Q2337"/>
    </row>
    <row r="2338" spans="1:17" x14ac:dyDescent="0.25">
      <c r="A2338">
        <v>9</v>
      </c>
      <c r="B2338">
        <v>2016</v>
      </c>
      <c r="C2338" t="s">
        <v>47</v>
      </c>
      <c r="D2338" t="s">
        <v>48</v>
      </c>
      <c r="E2338" t="s">
        <v>91</v>
      </c>
      <c r="F2338" t="s">
        <v>92</v>
      </c>
      <c r="G2338">
        <v>747.6</v>
      </c>
      <c r="H2338">
        <v>420</v>
      </c>
      <c r="I2338">
        <v>695.46</v>
      </c>
      <c r="J2338">
        <v>402</v>
      </c>
      <c r="Q2338"/>
    </row>
    <row r="2339" spans="1:17" x14ac:dyDescent="0.25">
      <c r="A2339">
        <v>9</v>
      </c>
      <c r="B2339">
        <v>2016</v>
      </c>
      <c r="C2339" t="s">
        <v>47</v>
      </c>
      <c r="D2339" t="s">
        <v>48</v>
      </c>
      <c r="E2339" t="s">
        <v>93</v>
      </c>
      <c r="F2339" t="s">
        <v>94</v>
      </c>
      <c r="G2339">
        <v>43.68</v>
      </c>
      <c r="H2339">
        <v>24</v>
      </c>
      <c r="Q2339"/>
    </row>
    <row r="2340" spans="1:17" x14ac:dyDescent="0.25">
      <c r="A2340">
        <v>9</v>
      </c>
      <c r="B2340">
        <v>2016</v>
      </c>
      <c r="C2340" t="s">
        <v>47</v>
      </c>
      <c r="D2340" t="s">
        <v>48</v>
      </c>
      <c r="E2340" t="s">
        <v>794</v>
      </c>
      <c r="F2340" t="s">
        <v>795</v>
      </c>
      <c r="G2340">
        <v>139</v>
      </c>
      <c r="H2340">
        <v>76</v>
      </c>
      <c r="I2340">
        <v>277.57</v>
      </c>
      <c r="J2340">
        <v>164</v>
      </c>
      <c r="Q2340"/>
    </row>
    <row r="2341" spans="1:17" x14ac:dyDescent="0.25">
      <c r="A2341">
        <v>9</v>
      </c>
      <c r="B2341">
        <v>2016</v>
      </c>
      <c r="C2341" t="s">
        <v>47</v>
      </c>
      <c r="D2341" t="s">
        <v>48</v>
      </c>
      <c r="E2341" t="s">
        <v>95</v>
      </c>
      <c r="F2341" t="s">
        <v>96</v>
      </c>
      <c r="G2341">
        <v>877.5</v>
      </c>
      <c r="H2341">
        <v>1200.1500000000001</v>
      </c>
      <c r="I2341">
        <v>877.5</v>
      </c>
      <c r="J2341">
        <v>1200.1500000000001</v>
      </c>
      <c r="Q2341"/>
    </row>
    <row r="2342" spans="1:17" x14ac:dyDescent="0.25">
      <c r="A2342">
        <v>9</v>
      </c>
      <c r="B2342">
        <v>2016</v>
      </c>
      <c r="C2342" t="s">
        <v>47</v>
      </c>
      <c r="D2342" t="s">
        <v>48</v>
      </c>
      <c r="E2342" t="s">
        <v>97</v>
      </c>
      <c r="F2342" t="s">
        <v>98</v>
      </c>
      <c r="G2342">
        <v>1755</v>
      </c>
      <c r="H2342">
        <v>2400.3000000000002</v>
      </c>
      <c r="I2342">
        <v>2437.5</v>
      </c>
      <c r="J2342">
        <v>3333.75</v>
      </c>
      <c r="Q2342"/>
    </row>
    <row r="2343" spans="1:17" x14ac:dyDescent="0.25">
      <c r="A2343">
        <v>9</v>
      </c>
      <c r="B2343">
        <v>2016</v>
      </c>
      <c r="C2343" t="s">
        <v>47</v>
      </c>
      <c r="D2343" t="s">
        <v>48</v>
      </c>
      <c r="E2343" t="s">
        <v>101</v>
      </c>
      <c r="F2343" t="s">
        <v>102</v>
      </c>
      <c r="G2343">
        <v>1080</v>
      </c>
      <c r="H2343">
        <v>1280.1600000000001</v>
      </c>
      <c r="I2343">
        <v>206.1</v>
      </c>
      <c r="J2343">
        <v>240.03000000000003</v>
      </c>
      <c r="Q2343"/>
    </row>
    <row r="2344" spans="1:17" x14ac:dyDescent="0.25">
      <c r="A2344">
        <v>9</v>
      </c>
      <c r="B2344">
        <v>2016</v>
      </c>
      <c r="C2344" t="s">
        <v>47</v>
      </c>
      <c r="D2344" t="s">
        <v>48</v>
      </c>
      <c r="E2344" t="s">
        <v>103</v>
      </c>
      <c r="F2344" t="s">
        <v>98</v>
      </c>
      <c r="G2344">
        <v>594</v>
      </c>
      <c r="H2344">
        <v>733.15</v>
      </c>
      <c r="I2344">
        <v>486</v>
      </c>
      <c r="J2344">
        <v>599.85</v>
      </c>
      <c r="Q2344"/>
    </row>
    <row r="2345" spans="1:17" x14ac:dyDescent="0.25">
      <c r="A2345">
        <v>9</v>
      </c>
      <c r="B2345">
        <v>2016</v>
      </c>
      <c r="C2345" t="s">
        <v>104</v>
      </c>
      <c r="D2345" t="s">
        <v>105</v>
      </c>
      <c r="E2345" t="s">
        <v>106</v>
      </c>
      <c r="F2345" t="s">
        <v>107</v>
      </c>
      <c r="G2345">
        <v>193.2</v>
      </c>
      <c r="H2345">
        <v>42</v>
      </c>
      <c r="I2345">
        <v>221.4</v>
      </c>
      <c r="J2345">
        <v>54</v>
      </c>
      <c r="Q2345"/>
    </row>
    <row r="2346" spans="1:17" x14ac:dyDescent="0.25">
      <c r="A2346">
        <v>9</v>
      </c>
      <c r="B2346">
        <v>2016</v>
      </c>
      <c r="C2346" t="s">
        <v>104</v>
      </c>
      <c r="D2346" t="s">
        <v>105</v>
      </c>
      <c r="E2346" t="s">
        <v>108</v>
      </c>
      <c r="F2346" t="s">
        <v>109</v>
      </c>
      <c r="G2346">
        <v>231</v>
      </c>
      <c r="H2346">
        <v>42</v>
      </c>
      <c r="I2346">
        <v>405.6</v>
      </c>
      <c r="J2346">
        <v>84</v>
      </c>
      <c r="Q2346"/>
    </row>
    <row r="2347" spans="1:17" x14ac:dyDescent="0.25">
      <c r="A2347">
        <v>9</v>
      </c>
      <c r="B2347">
        <v>2016</v>
      </c>
      <c r="C2347" t="s">
        <v>104</v>
      </c>
      <c r="D2347" t="s">
        <v>105</v>
      </c>
      <c r="E2347" t="s">
        <v>110</v>
      </c>
      <c r="F2347" t="s">
        <v>111</v>
      </c>
      <c r="G2347">
        <v>261</v>
      </c>
      <c r="H2347">
        <v>36</v>
      </c>
      <c r="I2347">
        <v>364.5</v>
      </c>
      <c r="J2347">
        <v>54</v>
      </c>
      <c r="Q2347"/>
    </row>
    <row r="2348" spans="1:17" x14ac:dyDescent="0.25">
      <c r="A2348">
        <v>9</v>
      </c>
      <c r="B2348">
        <v>2016</v>
      </c>
      <c r="C2348" t="s">
        <v>104</v>
      </c>
      <c r="D2348" t="s">
        <v>105</v>
      </c>
      <c r="E2348" t="s">
        <v>112</v>
      </c>
      <c r="F2348" t="s">
        <v>113</v>
      </c>
      <c r="G2348">
        <v>79.8</v>
      </c>
      <c r="H2348">
        <v>12</v>
      </c>
      <c r="Q2348"/>
    </row>
    <row r="2349" spans="1:17" x14ac:dyDescent="0.25">
      <c r="A2349">
        <v>9</v>
      </c>
      <c r="B2349">
        <v>2016</v>
      </c>
      <c r="C2349" t="s">
        <v>104</v>
      </c>
      <c r="D2349" t="s">
        <v>105</v>
      </c>
      <c r="E2349" t="s">
        <v>114</v>
      </c>
      <c r="F2349" t="s">
        <v>115</v>
      </c>
      <c r="G2349">
        <v>113.4</v>
      </c>
      <c r="H2349">
        <v>18</v>
      </c>
      <c r="I2349">
        <v>106.2</v>
      </c>
      <c r="J2349">
        <v>18</v>
      </c>
      <c r="Q2349"/>
    </row>
    <row r="2350" spans="1:17" x14ac:dyDescent="0.25">
      <c r="A2350">
        <v>9</v>
      </c>
      <c r="B2350">
        <v>2016</v>
      </c>
      <c r="C2350" t="s">
        <v>104</v>
      </c>
      <c r="D2350" t="s">
        <v>105</v>
      </c>
      <c r="E2350" t="s">
        <v>856</v>
      </c>
      <c r="F2350" t="s">
        <v>107</v>
      </c>
      <c r="G2350">
        <v>74.400000000000006</v>
      </c>
      <c r="H2350">
        <v>12</v>
      </c>
      <c r="Q2350"/>
    </row>
    <row r="2351" spans="1:17" x14ac:dyDescent="0.25">
      <c r="A2351">
        <v>9</v>
      </c>
      <c r="B2351">
        <v>2016</v>
      </c>
      <c r="C2351" t="s">
        <v>104</v>
      </c>
      <c r="D2351" t="s">
        <v>105</v>
      </c>
      <c r="E2351" t="s">
        <v>857</v>
      </c>
      <c r="F2351" t="s">
        <v>858</v>
      </c>
      <c r="G2351">
        <v>0</v>
      </c>
      <c r="H2351">
        <v>-18</v>
      </c>
      <c r="Q2351"/>
    </row>
    <row r="2352" spans="1:17" x14ac:dyDescent="0.25">
      <c r="A2352">
        <v>9</v>
      </c>
      <c r="B2352">
        <v>2016</v>
      </c>
      <c r="C2352" t="s">
        <v>116</v>
      </c>
      <c r="D2352" t="s">
        <v>117</v>
      </c>
      <c r="E2352" t="s">
        <v>118</v>
      </c>
      <c r="F2352" t="s">
        <v>119</v>
      </c>
      <c r="G2352">
        <v>731.4</v>
      </c>
      <c r="H2352">
        <v>138</v>
      </c>
      <c r="I2352">
        <v>405.6</v>
      </c>
      <c r="J2352">
        <v>78</v>
      </c>
      <c r="Q2352"/>
    </row>
    <row r="2353" spans="1:17" x14ac:dyDescent="0.25">
      <c r="A2353">
        <v>9</v>
      </c>
      <c r="B2353">
        <v>2016</v>
      </c>
      <c r="C2353" t="s">
        <v>116</v>
      </c>
      <c r="D2353" t="s">
        <v>117</v>
      </c>
      <c r="E2353" t="s">
        <v>952</v>
      </c>
      <c r="F2353" t="s">
        <v>953</v>
      </c>
      <c r="G2353">
        <v>127.2</v>
      </c>
      <c r="H2353">
        <v>24</v>
      </c>
      <c r="Q2353"/>
    </row>
    <row r="2354" spans="1:17" x14ac:dyDescent="0.25">
      <c r="A2354">
        <v>9</v>
      </c>
      <c r="B2354">
        <v>2016</v>
      </c>
      <c r="C2354" t="s">
        <v>120</v>
      </c>
      <c r="D2354" t="s">
        <v>121</v>
      </c>
      <c r="E2354" t="s">
        <v>122</v>
      </c>
      <c r="F2354" t="s">
        <v>123</v>
      </c>
      <c r="G2354">
        <v>4428.8999999999996</v>
      </c>
      <c r="H2354">
        <v>1110</v>
      </c>
      <c r="I2354">
        <v>3016.44</v>
      </c>
      <c r="J2354">
        <v>756</v>
      </c>
      <c r="Q2354"/>
    </row>
    <row r="2355" spans="1:17" x14ac:dyDescent="0.25">
      <c r="A2355">
        <v>9</v>
      </c>
      <c r="B2355">
        <v>2016</v>
      </c>
      <c r="C2355" t="s">
        <v>120</v>
      </c>
      <c r="D2355" t="s">
        <v>121</v>
      </c>
      <c r="E2355" t="s">
        <v>708</v>
      </c>
      <c r="F2355" t="s">
        <v>709</v>
      </c>
      <c r="G2355">
        <v>598.79999999999995</v>
      </c>
      <c r="H2355">
        <v>120</v>
      </c>
      <c r="I2355">
        <v>617.4</v>
      </c>
      <c r="J2355">
        <v>126</v>
      </c>
      <c r="Q2355"/>
    </row>
    <row r="2356" spans="1:17" x14ac:dyDescent="0.25">
      <c r="A2356">
        <v>9</v>
      </c>
      <c r="B2356">
        <v>2016</v>
      </c>
      <c r="C2356" t="s">
        <v>120</v>
      </c>
      <c r="D2356" t="s">
        <v>121</v>
      </c>
      <c r="E2356" t="s">
        <v>124</v>
      </c>
      <c r="F2356" t="s">
        <v>125</v>
      </c>
      <c r="G2356">
        <v>282</v>
      </c>
      <c r="H2356">
        <v>60</v>
      </c>
      <c r="I2356">
        <v>134.69999999999999</v>
      </c>
      <c r="J2356">
        <v>30</v>
      </c>
      <c r="Q2356"/>
    </row>
    <row r="2357" spans="1:17" x14ac:dyDescent="0.25">
      <c r="A2357">
        <v>9</v>
      </c>
      <c r="B2357">
        <v>2016</v>
      </c>
      <c r="C2357" t="s">
        <v>126</v>
      </c>
      <c r="D2357" t="s">
        <v>127</v>
      </c>
      <c r="E2357" t="s">
        <v>128</v>
      </c>
      <c r="F2357" t="s">
        <v>129</v>
      </c>
      <c r="G2357">
        <v>3253.5</v>
      </c>
      <c r="H2357">
        <v>1446</v>
      </c>
      <c r="I2357">
        <v>6420.4</v>
      </c>
      <c r="J2357">
        <v>2970</v>
      </c>
      <c r="Q2357"/>
    </row>
    <row r="2358" spans="1:17" x14ac:dyDescent="0.25">
      <c r="A2358">
        <v>9</v>
      </c>
      <c r="B2358">
        <v>2016</v>
      </c>
      <c r="C2358" t="s">
        <v>126</v>
      </c>
      <c r="D2358" t="s">
        <v>127</v>
      </c>
      <c r="E2358" t="s">
        <v>130</v>
      </c>
      <c r="F2358" t="s">
        <v>131</v>
      </c>
      <c r="G2358">
        <v>673.2</v>
      </c>
      <c r="H2358">
        <v>453.22</v>
      </c>
      <c r="I2358">
        <v>617.6</v>
      </c>
      <c r="J2358">
        <v>426.56</v>
      </c>
      <c r="Q2358"/>
    </row>
    <row r="2359" spans="1:17" x14ac:dyDescent="0.25">
      <c r="A2359">
        <v>9</v>
      </c>
      <c r="B2359">
        <v>2016</v>
      </c>
      <c r="C2359" t="s">
        <v>126</v>
      </c>
      <c r="D2359" t="s">
        <v>127</v>
      </c>
      <c r="E2359" t="s">
        <v>132</v>
      </c>
      <c r="F2359" t="s">
        <v>131</v>
      </c>
      <c r="G2359">
        <v>392</v>
      </c>
      <c r="H2359">
        <v>233.45</v>
      </c>
      <c r="I2359">
        <v>539</v>
      </c>
      <c r="J2359">
        <v>326.83</v>
      </c>
      <c r="Q2359"/>
    </row>
    <row r="2360" spans="1:17" x14ac:dyDescent="0.25">
      <c r="A2360">
        <v>9</v>
      </c>
      <c r="B2360">
        <v>2016</v>
      </c>
      <c r="C2360" t="s">
        <v>126</v>
      </c>
      <c r="D2360" t="s">
        <v>127</v>
      </c>
      <c r="E2360" t="s">
        <v>133</v>
      </c>
      <c r="F2360" t="s">
        <v>134</v>
      </c>
      <c r="G2360">
        <v>114.24</v>
      </c>
      <c r="H2360">
        <v>42</v>
      </c>
      <c r="I2360">
        <v>48.6</v>
      </c>
      <c r="J2360">
        <v>18</v>
      </c>
      <c r="Q2360"/>
    </row>
    <row r="2361" spans="1:17" x14ac:dyDescent="0.25">
      <c r="A2361">
        <v>9</v>
      </c>
      <c r="B2361">
        <v>2016</v>
      </c>
      <c r="C2361" t="s">
        <v>126</v>
      </c>
      <c r="D2361" t="s">
        <v>127</v>
      </c>
      <c r="E2361" t="s">
        <v>135</v>
      </c>
      <c r="F2361" t="s">
        <v>136</v>
      </c>
      <c r="G2361">
        <v>69</v>
      </c>
      <c r="H2361">
        <v>30</v>
      </c>
      <c r="I2361">
        <v>162</v>
      </c>
      <c r="J2361">
        <v>72</v>
      </c>
      <c r="Q2361"/>
    </row>
    <row r="2362" spans="1:17" x14ac:dyDescent="0.25">
      <c r="A2362">
        <v>9</v>
      </c>
      <c r="B2362">
        <v>2016</v>
      </c>
      <c r="C2362" t="s">
        <v>137</v>
      </c>
      <c r="D2362" t="s">
        <v>138</v>
      </c>
      <c r="E2362" t="s">
        <v>139</v>
      </c>
      <c r="F2362" t="s">
        <v>140</v>
      </c>
      <c r="G2362">
        <v>2089.02</v>
      </c>
      <c r="H2362">
        <v>318</v>
      </c>
      <c r="I2362">
        <v>1990.2</v>
      </c>
      <c r="J2362">
        <v>306</v>
      </c>
      <c r="Q2362"/>
    </row>
    <row r="2363" spans="1:17" x14ac:dyDescent="0.25">
      <c r="A2363">
        <v>9</v>
      </c>
      <c r="B2363">
        <v>2016</v>
      </c>
      <c r="C2363" t="s">
        <v>137</v>
      </c>
      <c r="D2363" t="s">
        <v>138</v>
      </c>
      <c r="E2363" t="s">
        <v>1017</v>
      </c>
      <c r="F2363" t="s">
        <v>1018</v>
      </c>
      <c r="G2363">
        <v>94.08</v>
      </c>
      <c r="H2363">
        <v>12</v>
      </c>
      <c r="I2363">
        <v>76.08</v>
      </c>
      <c r="J2363">
        <v>12</v>
      </c>
      <c r="Q2363"/>
    </row>
    <row r="2364" spans="1:17" x14ac:dyDescent="0.25">
      <c r="A2364">
        <v>9</v>
      </c>
      <c r="B2364">
        <v>2016</v>
      </c>
      <c r="C2364" t="s">
        <v>137</v>
      </c>
      <c r="D2364" t="s">
        <v>138</v>
      </c>
      <c r="E2364" t="s">
        <v>711</v>
      </c>
      <c r="F2364" t="s">
        <v>712</v>
      </c>
      <c r="G2364">
        <v>137.69999999999999</v>
      </c>
      <c r="H2364">
        <v>18</v>
      </c>
      <c r="I2364">
        <v>275.39999999999998</v>
      </c>
      <c r="J2364">
        <v>36</v>
      </c>
      <c r="Q2364"/>
    </row>
    <row r="2365" spans="1:17" x14ac:dyDescent="0.25">
      <c r="A2365">
        <v>9</v>
      </c>
      <c r="B2365">
        <v>2016</v>
      </c>
      <c r="C2365" t="s">
        <v>137</v>
      </c>
      <c r="D2365" t="s">
        <v>138</v>
      </c>
      <c r="E2365" t="s">
        <v>141</v>
      </c>
      <c r="F2365" t="s">
        <v>142</v>
      </c>
      <c r="G2365">
        <v>1697.4</v>
      </c>
      <c r="H2365">
        <v>324</v>
      </c>
      <c r="I2365">
        <v>1630.8</v>
      </c>
      <c r="J2365">
        <v>318</v>
      </c>
      <c r="Q2365"/>
    </row>
    <row r="2366" spans="1:17" x14ac:dyDescent="0.25">
      <c r="A2366">
        <v>9</v>
      </c>
      <c r="B2366">
        <v>2016</v>
      </c>
      <c r="C2366" t="s">
        <v>137</v>
      </c>
      <c r="D2366" t="s">
        <v>138</v>
      </c>
      <c r="E2366" t="s">
        <v>1019</v>
      </c>
      <c r="F2366" t="s">
        <v>1020</v>
      </c>
      <c r="G2366">
        <v>76.08</v>
      </c>
      <c r="H2366">
        <v>12</v>
      </c>
      <c r="Q2366"/>
    </row>
    <row r="2367" spans="1:17" x14ac:dyDescent="0.25">
      <c r="A2367">
        <v>9</v>
      </c>
      <c r="B2367">
        <v>2016</v>
      </c>
      <c r="C2367" t="s">
        <v>137</v>
      </c>
      <c r="D2367" t="s">
        <v>138</v>
      </c>
      <c r="E2367" t="s">
        <v>143</v>
      </c>
      <c r="F2367" t="s">
        <v>144</v>
      </c>
      <c r="G2367">
        <v>378.3</v>
      </c>
      <c r="H2367">
        <v>72</v>
      </c>
      <c r="I2367">
        <v>58.2</v>
      </c>
      <c r="J2367">
        <v>18</v>
      </c>
      <c r="Q2367"/>
    </row>
    <row r="2368" spans="1:17" x14ac:dyDescent="0.25">
      <c r="A2368">
        <v>9</v>
      </c>
      <c r="B2368">
        <v>2016</v>
      </c>
      <c r="C2368" t="s">
        <v>137</v>
      </c>
      <c r="D2368" t="s">
        <v>138</v>
      </c>
      <c r="E2368" t="s">
        <v>145</v>
      </c>
      <c r="F2368" t="s">
        <v>146</v>
      </c>
      <c r="G2368">
        <v>2249.4299999999998</v>
      </c>
      <c r="H2368">
        <v>654</v>
      </c>
      <c r="I2368">
        <v>877.92</v>
      </c>
      <c r="J2368">
        <v>240</v>
      </c>
      <c r="Q2368"/>
    </row>
    <row r="2369" spans="1:17" x14ac:dyDescent="0.25">
      <c r="A2369">
        <v>9</v>
      </c>
      <c r="B2369">
        <v>2016</v>
      </c>
      <c r="C2369" t="s">
        <v>137</v>
      </c>
      <c r="D2369" t="s">
        <v>138</v>
      </c>
      <c r="E2369" t="s">
        <v>713</v>
      </c>
      <c r="F2369" t="s">
        <v>714</v>
      </c>
      <c r="G2369">
        <v>29.16</v>
      </c>
      <c r="H2369">
        <v>12</v>
      </c>
      <c r="Q2369"/>
    </row>
    <row r="2370" spans="1:17" x14ac:dyDescent="0.25">
      <c r="A2370">
        <v>9</v>
      </c>
      <c r="B2370">
        <v>2016</v>
      </c>
      <c r="C2370" t="s">
        <v>137</v>
      </c>
      <c r="D2370" t="s">
        <v>138</v>
      </c>
      <c r="E2370" t="s">
        <v>147</v>
      </c>
      <c r="F2370" t="s">
        <v>148</v>
      </c>
      <c r="G2370">
        <v>770.4</v>
      </c>
      <c r="H2370">
        <v>72</v>
      </c>
      <c r="I2370">
        <v>963</v>
      </c>
      <c r="J2370">
        <v>90</v>
      </c>
      <c r="Q2370"/>
    </row>
    <row r="2371" spans="1:17" x14ac:dyDescent="0.25">
      <c r="A2371">
        <v>9</v>
      </c>
      <c r="B2371">
        <v>2016</v>
      </c>
      <c r="C2371" t="s">
        <v>137</v>
      </c>
      <c r="D2371" t="s">
        <v>138</v>
      </c>
      <c r="E2371" t="s">
        <v>149</v>
      </c>
      <c r="F2371" t="s">
        <v>150</v>
      </c>
      <c r="G2371">
        <v>5812.32</v>
      </c>
      <c r="H2371">
        <v>2328</v>
      </c>
      <c r="I2371">
        <v>3609.6</v>
      </c>
      <c r="J2371">
        <v>1326</v>
      </c>
      <c r="Q2371"/>
    </row>
    <row r="2372" spans="1:17" x14ac:dyDescent="0.25">
      <c r="A2372">
        <v>9</v>
      </c>
      <c r="B2372">
        <v>2016</v>
      </c>
      <c r="C2372" t="s">
        <v>137</v>
      </c>
      <c r="D2372" t="s">
        <v>138</v>
      </c>
      <c r="E2372" t="s">
        <v>151</v>
      </c>
      <c r="F2372" t="s">
        <v>152</v>
      </c>
      <c r="G2372">
        <v>299.7</v>
      </c>
      <c r="H2372">
        <v>54</v>
      </c>
      <c r="I2372">
        <v>701.82</v>
      </c>
      <c r="J2372">
        <v>132</v>
      </c>
      <c r="Q2372"/>
    </row>
    <row r="2373" spans="1:17" x14ac:dyDescent="0.25">
      <c r="A2373">
        <v>9</v>
      </c>
      <c r="B2373">
        <v>2016</v>
      </c>
      <c r="C2373" t="s">
        <v>137</v>
      </c>
      <c r="D2373" t="s">
        <v>138</v>
      </c>
      <c r="E2373" t="s">
        <v>153</v>
      </c>
      <c r="F2373" t="s">
        <v>154</v>
      </c>
      <c r="G2373">
        <v>99.36</v>
      </c>
      <c r="H2373">
        <v>24</v>
      </c>
      <c r="I2373">
        <v>223.56</v>
      </c>
      <c r="J2373">
        <v>60</v>
      </c>
      <c r="Q2373"/>
    </row>
    <row r="2374" spans="1:17" x14ac:dyDescent="0.25">
      <c r="A2374">
        <v>9</v>
      </c>
      <c r="B2374">
        <v>2016</v>
      </c>
      <c r="C2374" t="s">
        <v>137</v>
      </c>
      <c r="D2374" t="s">
        <v>138</v>
      </c>
      <c r="E2374" t="s">
        <v>1021</v>
      </c>
      <c r="F2374" t="s">
        <v>1022</v>
      </c>
      <c r="G2374">
        <v>1680</v>
      </c>
      <c r="H2374">
        <v>840</v>
      </c>
      <c r="I2374">
        <v>1200</v>
      </c>
      <c r="J2374">
        <v>600</v>
      </c>
      <c r="Q2374"/>
    </row>
    <row r="2375" spans="1:17" x14ac:dyDescent="0.25">
      <c r="A2375">
        <v>9</v>
      </c>
      <c r="B2375">
        <v>2016</v>
      </c>
      <c r="C2375" t="s">
        <v>155</v>
      </c>
      <c r="D2375" t="s">
        <v>156</v>
      </c>
      <c r="E2375" t="s">
        <v>157</v>
      </c>
      <c r="F2375" t="s">
        <v>158</v>
      </c>
      <c r="G2375">
        <v>565.5</v>
      </c>
      <c r="H2375">
        <v>180</v>
      </c>
      <c r="I2375">
        <v>546</v>
      </c>
      <c r="J2375">
        <v>174</v>
      </c>
      <c r="Q2375"/>
    </row>
    <row r="2376" spans="1:17" x14ac:dyDescent="0.25">
      <c r="A2376">
        <v>9</v>
      </c>
      <c r="B2376">
        <v>2016</v>
      </c>
      <c r="C2376" t="s">
        <v>155</v>
      </c>
      <c r="D2376" t="s">
        <v>156</v>
      </c>
      <c r="E2376" t="s">
        <v>159</v>
      </c>
      <c r="F2376" t="s">
        <v>160</v>
      </c>
      <c r="G2376">
        <v>67.2</v>
      </c>
      <c r="H2376">
        <v>24</v>
      </c>
      <c r="I2376">
        <v>151.19999999999999</v>
      </c>
      <c r="J2376">
        <v>54</v>
      </c>
      <c r="Q2376"/>
    </row>
    <row r="2377" spans="1:17" x14ac:dyDescent="0.25">
      <c r="A2377">
        <v>9</v>
      </c>
      <c r="B2377">
        <v>2016</v>
      </c>
      <c r="C2377" t="s">
        <v>155</v>
      </c>
      <c r="D2377" t="s">
        <v>156</v>
      </c>
      <c r="E2377" t="s">
        <v>715</v>
      </c>
      <c r="F2377" t="s">
        <v>716</v>
      </c>
      <c r="G2377">
        <v>243</v>
      </c>
      <c r="H2377">
        <v>60</v>
      </c>
      <c r="I2377">
        <v>145.80000000000001</v>
      </c>
      <c r="J2377">
        <v>36</v>
      </c>
      <c r="Q2377"/>
    </row>
    <row r="2378" spans="1:17" x14ac:dyDescent="0.25">
      <c r="A2378">
        <v>9</v>
      </c>
      <c r="B2378">
        <v>2016</v>
      </c>
      <c r="C2378" t="s">
        <v>155</v>
      </c>
      <c r="D2378" t="s">
        <v>156</v>
      </c>
      <c r="E2378" t="s">
        <v>161</v>
      </c>
      <c r="F2378" t="s">
        <v>162</v>
      </c>
      <c r="G2378">
        <v>615.6</v>
      </c>
      <c r="H2378">
        <v>359.91</v>
      </c>
      <c r="I2378">
        <v>226</v>
      </c>
      <c r="J2378">
        <v>133.30000000000001</v>
      </c>
      <c r="Q2378"/>
    </row>
    <row r="2379" spans="1:17" x14ac:dyDescent="0.25">
      <c r="A2379">
        <v>9</v>
      </c>
      <c r="B2379">
        <v>2016</v>
      </c>
      <c r="C2379" t="s">
        <v>155</v>
      </c>
      <c r="D2379" t="s">
        <v>156</v>
      </c>
      <c r="E2379" t="s">
        <v>163</v>
      </c>
      <c r="F2379" t="s">
        <v>164</v>
      </c>
      <c r="G2379">
        <v>648</v>
      </c>
      <c r="H2379">
        <v>320.15999999999997</v>
      </c>
      <c r="I2379">
        <v>292.60000000000002</v>
      </c>
      <c r="J2379">
        <v>146.74</v>
      </c>
      <c r="Q2379"/>
    </row>
    <row r="2380" spans="1:17" x14ac:dyDescent="0.25">
      <c r="A2380">
        <v>9</v>
      </c>
      <c r="B2380">
        <v>2016</v>
      </c>
      <c r="C2380" t="s">
        <v>155</v>
      </c>
      <c r="D2380" t="s">
        <v>156</v>
      </c>
      <c r="E2380" t="s">
        <v>165</v>
      </c>
      <c r="F2380" t="s">
        <v>166</v>
      </c>
      <c r="G2380">
        <v>534</v>
      </c>
      <c r="H2380">
        <v>120</v>
      </c>
      <c r="I2380">
        <v>427.2</v>
      </c>
      <c r="J2380">
        <v>96</v>
      </c>
      <c r="Q2380"/>
    </row>
    <row r="2381" spans="1:17" x14ac:dyDescent="0.25">
      <c r="A2381">
        <v>9</v>
      </c>
      <c r="B2381">
        <v>2016</v>
      </c>
      <c r="C2381" t="s">
        <v>175</v>
      </c>
      <c r="D2381" t="s">
        <v>176</v>
      </c>
      <c r="E2381" t="s">
        <v>177</v>
      </c>
      <c r="F2381" t="s">
        <v>178</v>
      </c>
      <c r="G2381">
        <v>2394.84</v>
      </c>
      <c r="H2381">
        <v>612</v>
      </c>
      <c r="I2381">
        <v>2136</v>
      </c>
      <c r="J2381">
        <v>534</v>
      </c>
      <c r="Q2381"/>
    </row>
    <row r="2382" spans="1:17" x14ac:dyDescent="0.25">
      <c r="A2382">
        <v>9</v>
      </c>
      <c r="B2382">
        <v>2016</v>
      </c>
      <c r="C2382" t="s">
        <v>175</v>
      </c>
      <c r="D2382" t="s">
        <v>176</v>
      </c>
      <c r="E2382" t="s">
        <v>179</v>
      </c>
      <c r="F2382" t="s">
        <v>178</v>
      </c>
      <c r="G2382">
        <v>331.92</v>
      </c>
      <c r="H2382">
        <v>72</v>
      </c>
      <c r="I2382">
        <v>120</v>
      </c>
      <c r="J2382">
        <v>24</v>
      </c>
      <c r="Q2382"/>
    </row>
    <row r="2383" spans="1:17" x14ac:dyDescent="0.25">
      <c r="A2383">
        <v>9</v>
      </c>
      <c r="B2383">
        <v>2016</v>
      </c>
      <c r="C2383" t="s">
        <v>175</v>
      </c>
      <c r="D2383" t="s">
        <v>176</v>
      </c>
      <c r="E2383" t="s">
        <v>180</v>
      </c>
      <c r="F2383" t="s">
        <v>181</v>
      </c>
      <c r="G2383">
        <v>327.60000000000002</v>
      </c>
      <c r="H2383">
        <v>90</v>
      </c>
      <c r="I2383">
        <v>790.92</v>
      </c>
      <c r="J2383">
        <v>222</v>
      </c>
      <c r="Q2383"/>
    </row>
    <row r="2384" spans="1:17" x14ac:dyDescent="0.25">
      <c r="A2384">
        <v>9</v>
      </c>
      <c r="B2384">
        <v>2016</v>
      </c>
      <c r="C2384" t="s">
        <v>183</v>
      </c>
      <c r="D2384" t="s">
        <v>184</v>
      </c>
      <c r="E2384" t="s">
        <v>185</v>
      </c>
      <c r="F2384" t="s">
        <v>186</v>
      </c>
      <c r="G2384">
        <v>1398.3</v>
      </c>
      <c r="H2384">
        <v>474</v>
      </c>
      <c r="I2384">
        <v>100.8</v>
      </c>
      <c r="J2384">
        <v>36</v>
      </c>
      <c r="Q2384"/>
    </row>
    <row r="2385" spans="1:17" x14ac:dyDescent="0.25">
      <c r="A2385">
        <v>9</v>
      </c>
      <c r="B2385">
        <v>2016</v>
      </c>
      <c r="C2385" t="s">
        <v>183</v>
      </c>
      <c r="D2385" t="s">
        <v>184</v>
      </c>
      <c r="E2385" t="s">
        <v>802</v>
      </c>
      <c r="F2385" t="s">
        <v>803</v>
      </c>
      <c r="G2385">
        <v>35.4</v>
      </c>
      <c r="H2385">
        <v>12</v>
      </c>
      <c r="Q2385"/>
    </row>
    <row r="2386" spans="1:17" x14ac:dyDescent="0.25">
      <c r="A2386">
        <v>9</v>
      </c>
      <c r="B2386">
        <v>2016</v>
      </c>
      <c r="C2386" t="s">
        <v>183</v>
      </c>
      <c r="D2386" t="s">
        <v>184</v>
      </c>
      <c r="E2386" t="s">
        <v>1023</v>
      </c>
      <c r="F2386" t="s">
        <v>718</v>
      </c>
      <c r="G2386">
        <v>62</v>
      </c>
      <c r="H2386">
        <v>66.650000000000006</v>
      </c>
      <c r="Q2386"/>
    </row>
    <row r="2387" spans="1:17" x14ac:dyDescent="0.25">
      <c r="A2387">
        <v>9</v>
      </c>
      <c r="B2387">
        <v>2016</v>
      </c>
      <c r="C2387" t="s">
        <v>183</v>
      </c>
      <c r="D2387" t="s">
        <v>184</v>
      </c>
      <c r="E2387" t="s">
        <v>717</v>
      </c>
      <c r="F2387" t="s">
        <v>718</v>
      </c>
      <c r="G2387">
        <v>303.60000000000002</v>
      </c>
      <c r="H2387">
        <v>319.92</v>
      </c>
      <c r="I2387">
        <v>74.400000000000006</v>
      </c>
      <c r="J2387">
        <v>79.98</v>
      </c>
      <c r="Q2387"/>
    </row>
    <row r="2388" spans="1:17" x14ac:dyDescent="0.25">
      <c r="A2388">
        <v>9</v>
      </c>
      <c r="B2388">
        <v>2016</v>
      </c>
      <c r="C2388" t="s">
        <v>183</v>
      </c>
      <c r="D2388" t="s">
        <v>184</v>
      </c>
      <c r="E2388" t="s">
        <v>187</v>
      </c>
      <c r="F2388" t="s">
        <v>188</v>
      </c>
      <c r="G2388">
        <v>213.15</v>
      </c>
      <c r="H2388">
        <v>206.77</v>
      </c>
      <c r="Q2388"/>
    </row>
    <row r="2389" spans="1:17" x14ac:dyDescent="0.25">
      <c r="A2389">
        <v>9</v>
      </c>
      <c r="B2389">
        <v>2016</v>
      </c>
      <c r="C2389" t="s">
        <v>189</v>
      </c>
      <c r="D2389" t="s">
        <v>190</v>
      </c>
      <c r="E2389" t="s">
        <v>191</v>
      </c>
      <c r="F2389" t="s">
        <v>192</v>
      </c>
      <c r="G2389">
        <v>319.2</v>
      </c>
      <c r="H2389">
        <v>84</v>
      </c>
      <c r="I2389">
        <v>111</v>
      </c>
      <c r="J2389">
        <v>30</v>
      </c>
      <c r="Q2389"/>
    </row>
    <row r="2390" spans="1:17" x14ac:dyDescent="0.25">
      <c r="A2390">
        <v>9</v>
      </c>
      <c r="B2390">
        <v>2016</v>
      </c>
      <c r="C2390" t="s">
        <v>189</v>
      </c>
      <c r="D2390" t="s">
        <v>190</v>
      </c>
      <c r="E2390" t="s">
        <v>193</v>
      </c>
      <c r="F2390" t="s">
        <v>194</v>
      </c>
      <c r="G2390">
        <v>940.5</v>
      </c>
      <c r="H2390">
        <v>204</v>
      </c>
      <c r="I2390">
        <v>81.900000000000006</v>
      </c>
      <c r="J2390">
        <v>18</v>
      </c>
      <c r="Q2390"/>
    </row>
    <row r="2391" spans="1:17" x14ac:dyDescent="0.25">
      <c r="A2391">
        <v>9</v>
      </c>
      <c r="B2391">
        <v>2016</v>
      </c>
      <c r="C2391" t="s">
        <v>195</v>
      </c>
      <c r="D2391" t="s">
        <v>196</v>
      </c>
      <c r="E2391" t="s">
        <v>199</v>
      </c>
      <c r="F2391" t="s">
        <v>200</v>
      </c>
      <c r="G2391">
        <v>42</v>
      </c>
      <c r="H2391">
        <v>12</v>
      </c>
      <c r="I2391">
        <v>105</v>
      </c>
      <c r="J2391">
        <v>30</v>
      </c>
      <c r="Q2391"/>
    </row>
    <row r="2392" spans="1:17" x14ac:dyDescent="0.25">
      <c r="A2392">
        <v>9</v>
      </c>
      <c r="B2392">
        <v>2016</v>
      </c>
      <c r="C2392" t="s">
        <v>195</v>
      </c>
      <c r="D2392" t="s">
        <v>196</v>
      </c>
      <c r="E2392" t="s">
        <v>201</v>
      </c>
      <c r="F2392" t="s">
        <v>202</v>
      </c>
      <c r="G2392">
        <v>117.12</v>
      </c>
      <c r="H2392">
        <v>48</v>
      </c>
      <c r="I2392">
        <v>238.68</v>
      </c>
      <c r="J2392">
        <v>108</v>
      </c>
      <c r="Q2392"/>
    </row>
    <row r="2393" spans="1:17" x14ac:dyDescent="0.25">
      <c r="A2393">
        <v>9</v>
      </c>
      <c r="B2393">
        <v>2016</v>
      </c>
      <c r="C2393" t="s">
        <v>195</v>
      </c>
      <c r="D2393" t="s">
        <v>196</v>
      </c>
      <c r="E2393" t="s">
        <v>203</v>
      </c>
      <c r="F2393" t="s">
        <v>204</v>
      </c>
      <c r="G2393">
        <v>30</v>
      </c>
      <c r="H2393">
        <v>6</v>
      </c>
      <c r="I2393">
        <v>368.16</v>
      </c>
      <c r="J2393">
        <v>78</v>
      </c>
      <c r="Q2393"/>
    </row>
    <row r="2394" spans="1:17" x14ac:dyDescent="0.25">
      <c r="A2394">
        <v>9</v>
      </c>
      <c r="B2394">
        <v>2016</v>
      </c>
      <c r="C2394" t="s">
        <v>195</v>
      </c>
      <c r="D2394" t="s">
        <v>196</v>
      </c>
      <c r="E2394" t="s">
        <v>205</v>
      </c>
      <c r="F2394" t="s">
        <v>206</v>
      </c>
      <c r="G2394">
        <v>45.36</v>
      </c>
      <c r="H2394">
        <v>12</v>
      </c>
      <c r="I2394">
        <v>108.3</v>
      </c>
      <c r="J2394">
        <v>30</v>
      </c>
      <c r="Q2394"/>
    </row>
    <row r="2395" spans="1:17" x14ac:dyDescent="0.25">
      <c r="A2395">
        <v>9</v>
      </c>
      <c r="B2395">
        <v>2016</v>
      </c>
      <c r="C2395" t="s">
        <v>207</v>
      </c>
      <c r="D2395" t="s">
        <v>208</v>
      </c>
      <c r="E2395" t="s">
        <v>934</v>
      </c>
      <c r="F2395" t="s">
        <v>935</v>
      </c>
      <c r="G2395">
        <v>0</v>
      </c>
      <c r="H2395">
        <v>6</v>
      </c>
      <c r="I2395">
        <v>136.80000000000001</v>
      </c>
      <c r="J2395">
        <v>24</v>
      </c>
      <c r="Q2395"/>
    </row>
    <row r="2396" spans="1:17" x14ac:dyDescent="0.25">
      <c r="A2396">
        <v>9</v>
      </c>
      <c r="B2396">
        <v>2016</v>
      </c>
      <c r="C2396" t="s">
        <v>207</v>
      </c>
      <c r="D2396" t="s">
        <v>208</v>
      </c>
      <c r="E2396" t="s">
        <v>209</v>
      </c>
      <c r="F2396" t="s">
        <v>210</v>
      </c>
      <c r="G2396">
        <v>1839.6</v>
      </c>
      <c r="H2396">
        <v>510</v>
      </c>
      <c r="I2396">
        <v>4075.2</v>
      </c>
      <c r="J2396">
        <v>1158</v>
      </c>
      <c r="Q2396"/>
    </row>
    <row r="2397" spans="1:17" x14ac:dyDescent="0.25">
      <c r="A2397">
        <v>9</v>
      </c>
      <c r="B2397">
        <v>2016</v>
      </c>
      <c r="C2397" t="s">
        <v>207</v>
      </c>
      <c r="D2397" t="s">
        <v>208</v>
      </c>
      <c r="E2397" t="s">
        <v>211</v>
      </c>
      <c r="F2397" t="s">
        <v>212</v>
      </c>
      <c r="G2397">
        <v>220.8</v>
      </c>
      <c r="H2397">
        <v>106.72</v>
      </c>
      <c r="I2397">
        <v>789</v>
      </c>
      <c r="J2397">
        <v>400.2</v>
      </c>
      <c r="Q2397"/>
    </row>
    <row r="2398" spans="1:17" x14ac:dyDescent="0.25">
      <c r="A2398">
        <v>9</v>
      </c>
      <c r="B2398">
        <v>2016</v>
      </c>
      <c r="C2398" t="s">
        <v>207</v>
      </c>
      <c r="D2398" t="s">
        <v>208</v>
      </c>
      <c r="E2398" t="s">
        <v>213</v>
      </c>
      <c r="F2398" t="s">
        <v>212</v>
      </c>
      <c r="G2398">
        <v>317.39999999999998</v>
      </c>
      <c r="H2398">
        <v>159.96</v>
      </c>
      <c r="I2398">
        <v>504</v>
      </c>
      <c r="J2398">
        <v>266.60000000000002</v>
      </c>
      <c r="Q2398"/>
    </row>
    <row r="2399" spans="1:17" x14ac:dyDescent="0.25">
      <c r="A2399">
        <v>9</v>
      </c>
      <c r="B2399">
        <v>2016</v>
      </c>
      <c r="C2399" t="s">
        <v>207</v>
      </c>
      <c r="D2399" t="s">
        <v>208</v>
      </c>
      <c r="E2399" t="s">
        <v>214</v>
      </c>
      <c r="F2399" t="s">
        <v>215</v>
      </c>
      <c r="G2399">
        <v>54</v>
      </c>
      <c r="H2399">
        <v>12</v>
      </c>
      <c r="I2399">
        <v>27</v>
      </c>
      <c r="J2399">
        <v>6</v>
      </c>
      <c r="Q2399"/>
    </row>
    <row r="2400" spans="1:17" x14ac:dyDescent="0.25">
      <c r="A2400">
        <v>9</v>
      </c>
      <c r="B2400">
        <v>2016</v>
      </c>
      <c r="C2400" t="s">
        <v>207</v>
      </c>
      <c r="D2400" t="s">
        <v>208</v>
      </c>
      <c r="E2400" t="s">
        <v>216</v>
      </c>
      <c r="F2400" t="s">
        <v>215</v>
      </c>
      <c r="G2400">
        <v>146.69999999999999</v>
      </c>
      <c r="H2400">
        <v>36</v>
      </c>
      <c r="Q2400"/>
    </row>
    <row r="2401" spans="1:17" x14ac:dyDescent="0.25">
      <c r="A2401">
        <v>9</v>
      </c>
      <c r="B2401">
        <v>2016</v>
      </c>
      <c r="C2401" t="s">
        <v>207</v>
      </c>
      <c r="D2401" t="s">
        <v>208</v>
      </c>
      <c r="E2401" t="s">
        <v>217</v>
      </c>
      <c r="F2401" t="s">
        <v>218</v>
      </c>
      <c r="G2401">
        <v>61.2</v>
      </c>
      <c r="H2401">
        <v>12</v>
      </c>
      <c r="Q2401"/>
    </row>
    <row r="2402" spans="1:17" x14ac:dyDescent="0.25">
      <c r="A2402">
        <v>9</v>
      </c>
      <c r="B2402">
        <v>2016</v>
      </c>
      <c r="C2402" t="s">
        <v>207</v>
      </c>
      <c r="D2402" t="s">
        <v>208</v>
      </c>
      <c r="E2402" t="s">
        <v>804</v>
      </c>
      <c r="F2402" t="s">
        <v>805</v>
      </c>
      <c r="G2402">
        <v>49.2</v>
      </c>
      <c r="H2402">
        <v>6</v>
      </c>
      <c r="Q2402"/>
    </row>
    <row r="2403" spans="1:17" x14ac:dyDescent="0.25">
      <c r="A2403">
        <v>9</v>
      </c>
      <c r="B2403">
        <v>2016</v>
      </c>
      <c r="C2403" t="s">
        <v>219</v>
      </c>
      <c r="D2403" t="s">
        <v>220</v>
      </c>
      <c r="E2403" t="s">
        <v>221</v>
      </c>
      <c r="F2403" t="s">
        <v>222</v>
      </c>
      <c r="G2403">
        <v>688.8</v>
      </c>
      <c r="H2403">
        <v>48</v>
      </c>
      <c r="I2403">
        <v>1092</v>
      </c>
      <c r="J2403">
        <v>78</v>
      </c>
      <c r="Q2403"/>
    </row>
    <row r="2404" spans="1:17" x14ac:dyDescent="0.25">
      <c r="A2404">
        <v>9</v>
      </c>
      <c r="B2404">
        <v>2016</v>
      </c>
      <c r="C2404" t="s">
        <v>219</v>
      </c>
      <c r="D2404" t="s">
        <v>220</v>
      </c>
      <c r="E2404" t="s">
        <v>936</v>
      </c>
      <c r="F2404" t="s">
        <v>222</v>
      </c>
      <c r="G2404">
        <v>159</v>
      </c>
      <c r="H2404">
        <v>12</v>
      </c>
      <c r="Q2404"/>
    </row>
    <row r="2405" spans="1:17" x14ac:dyDescent="0.25">
      <c r="A2405">
        <v>9</v>
      </c>
      <c r="B2405">
        <v>2016</v>
      </c>
      <c r="C2405" t="s">
        <v>219</v>
      </c>
      <c r="D2405" t="s">
        <v>220</v>
      </c>
      <c r="E2405" t="s">
        <v>723</v>
      </c>
      <c r="F2405" t="s">
        <v>724</v>
      </c>
      <c r="G2405">
        <v>54.6</v>
      </c>
      <c r="H2405">
        <v>6</v>
      </c>
      <c r="I2405">
        <v>216</v>
      </c>
      <c r="J2405">
        <v>24</v>
      </c>
      <c r="Q2405"/>
    </row>
    <row r="2406" spans="1:17" x14ac:dyDescent="0.25">
      <c r="A2406">
        <v>9</v>
      </c>
      <c r="B2406">
        <v>2016</v>
      </c>
      <c r="C2406" t="s">
        <v>219</v>
      </c>
      <c r="D2406" t="s">
        <v>220</v>
      </c>
      <c r="E2406" t="s">
        <v>225</v>
      </c>
      <c r="F2406" t="s">
        <v>226</v>
      </c>
      <c r="G2406">
        <v>1008</v>
      </c>
      <c r="H2406">
        <v>120</v>
      </c>
      <c r="I2406">
        <v>901.8</v>
      </c>
      <c r="J2406">
        <v>114</v>
      </c>
      <c r="Q2406"/>
    </row>
    <row r="2407" spans="1:17" x14ac:dyDescent="0.25">
      <c r="A2407">
        <v>9</v>
      </c>
      <c r="B2407">
        <v>2016</v>
      </c>
      <c r="C2407" t="s">
        <v>219</v>
      </c>
      <c r="D2407" t="s">
        <v>220</v>
      </c>
      <c r="E2407" t="s">
        <v>875</v>
      </c>
      <c r="F2407" t="s">
        <v>224</v>
      </c>
      <c r="G2407">
        <v>180</v>
      </c>
      <c r="H2407">
        <v>12</v>
      </c>
      <c r="Q2407"/>
    </row>
    <row r="2408" spans="1:17" x14ac:dyDescent="0.25">
      <c r="A2408">
        <v>9</v>
      </c>
      <c r="B2408">
        <v>2016</v>
      </c>
      <c r="C2408" t="s">
        <v>231</v>
      </c>
      <c r="D2408" t="s">
        <v>232</v>
      </c>
      <c r="E2408" t="s">
        <v>233</v>
      </c>
      <c r="F2408" t="s">
        <v>234</v>
      </c>
      <c r="G2408">
        <v>135</v>
      </c>
      <c r="H2408">
        <v>30</v>
      </c>
      <c r="I2408">
        <v>147.6</v>
      </c>
      <c r="J2408">
        <v>36</v>
      </c>
      <c r="Q2408"/>
    </row>
    <row r="2409" spans="1:17" x14ac:dyDescent="0.25">
      <c r="A2409">
        <v>9</v>
      </c>
      <c r="B2409">
        <v>2016</v>
      </c>
      <c r="C2409" t="s">
        <v>231</v>
      </c>
      <c r="D2409" t="s">
        <v>232</v>
      </c>
      <c r="E2409" t="s">
        <v>235</v>
      </c>
      <c r="F2409" t="s">
        <v>236</v>
      </c>
      <c r="G2409">
        <v>786.6</v>
      </c>
      <c r="H2409">
        <v>114</v>
      </c>
      <c r="I2409">
        <v>230.4</v>
      </c>
      <c r="J2409">
        <v>36</v>
      </c>
      <c r="Q2409"/>
    </row>
    <row r="2410" spans="1:17" x14ac:dyDescent="0.25">
      <c r="A2410">
        <v>9</v>
      </c>
      <c r="B2410">
        <v>2016</v>
      </c>
      <c r="C2410" t="s">
        <v>231</v>
      </c>
      <c r="D2410" t="s">
        <v>232</v>
      </c>
      <c r="E2410" t="s">
        <v>237</v>
      </c>
      <c r="F2410" t="s">
        <v>238</v>
      </c>
      <c r="G2410">
        <v>120</v>
      </c>
      <c r="H2410">
        <v>30</v>
      </c>
      <c r="I2410">
        <v>210</v>
      </c>
      <c r="J2410">
        <v>60</v>
      </c>
      <c r="Q2410"/>
    </row>
    <row r="2411" spans="1:17" x14ac:dyDescent="0.25">
      <c r="A2411">
        <v>9</v>
      </c>
      <c r="B2411">
        <v>2016</v>
      </c>
      <c r="C2411" t="s">
        <v>231</v>
      </c>
      <c r="D2411" t="s">
        <v>232</v>
      </c>
      <c r="E2411" t="s">
        <v>239</v>
      </c>
      <c r="F2411" t="s">
        <v>240</v>
      </c>
      <c r="G2411">
        <v>225</v>
      </c>
      <c r="H2411">
        <v>30</v>
      </c>
      <c r="I2411">
        <v>84</v>
      </c>
      <c r="J2411">
        <v>12</v>
      </c>
      <c r="Q2411"/>
    </row>
    <row r="2412" spans="1:17" x14ac:dyDescent="0.25">
      <c r="A2412">
        <v>9</v>
      </c>
      <c r="B2412">
        <v>2016</v>
      </c>
      <c r="C2412" t="s">
        <v>231</v>
      </c>
      <c r="D2412" t="s">
        <v>232</v>
      </c>
      <c r="E2412" t="s">
        <v>727</v>
      </c>
      <c r="F2412" t="s">
        <v>728</v>
      </c>
      <c r="G2412">
        <v>144</v>
      </c>
      <c r="H2412">
        <v>24</v>
      </c>
      <c r="Q2412"/>
    </row>
    <row r="2413" spans="1:17" x14ac:dyDescent="0.25">
      <c r="A2413">
        <v>9</v>
      </c>
      <c r="B2413">
        <v>2016</v>
      </c>
      <c r="C2413" t="s">
        <v>241</v>
      </c>
      <c r="D2413" t="s">
        <v>242</v>
      </c>
      <c r="E2413" t="s">
        <v>243</v>
      </c>
      <c r="F2413" t="s">
        <v>244</v>
      </c>
      <c r="G2413">
        <v>1377.6</v>
      </c>
      <c r="H2413">
        <v>246</v>
      </c>
      <c r="I2413">
        <v>870.6</v>
      </c>
      <c r="J2413">
        <v>156</v>
      </c>
      <c r="Q2413"/>
    </row>
    <row r="2414" spans="1:17" x14ac:dyDescent="0.25">
      <c r="A2414">
        <v>9</v>
      </c>
      <c r="B2414">
        <v>2016</v>
      </c>
      <c r="C2414" t="s">
        <v>241</v>
      </c>
      <c r="D2414" t="s">
        <v>242</v>
      </c>
      <c r="E2414" t="s">
        <v>806</v>
      </c>
      <c r="F2414" t="s">
        <v>807</v>
      </c>
      <c r="G2414">
        <v>360</v>
      </c>
      <c r="H2414">
        <v>60</v>
      </c>
      <c r="Q2414"/>
    </row>
    <row r="2415" spans="1:17" x14ac:dyDescent="0.25">
      <c r="A2415">
        <v>9</v>
      </c>
      <c r="B2415">
        <v>2016</v>
      </c>
      <c r="C2415" t="s">
        <v>245</v>
      </c>
      <c r="D2415" t="s">
        <v>246</v>
      </c>
      <c r="E2415" t="s">
        <v>247</v>
      </c>
      <c r="F2415" t="s">
        <v>248</v>
      </c>
      <c r="G2415">
        <v>821.1</v>
      </c>
      <c r="H2415">
        <v>246</v>
      </c>
      <c r="Q2415"/>
    </row>
    <row r="2416" spans="1:17" x14ac:dyDescent="0.25">
      <c r="A2416">
        <v>9</v>
      </c>
      <c r="B2416">
        <v>2016</v>
      </c>
      <c r="C2416" t="s">
        <v>245</v>
      </c>
      <c r="D2416" t="s">
        <v>246</v>
      </c>
      <c r="E2416" t="s">
        <v>808</v>
      </c>
      <c r="F2416" t="s">
        <v>248</v>
      </c>
      <c r="G2416">
        <v>100.8</v>
      </c>
      <c r="H2416">
        <v>24</v>
      </c>
      <c r="Q2416"/>
    </row>
    <row r="2417" spans="1:17" x14ac:dyDescent="0.25">
      <c r="A2417">
        <v>9</v>
      </c>
      <c r="B2417">
        <v>2016</v>
      </c>
      <c r="C2417" t="s">
        <v>245</v>
      </c>
      <c r="D2417" t="s">
        <v>246</v>
      </c>
      <c r="E2417" t="s">
        <v>729</v>
      </c>
      <c r="F2417" t="s">
        <v>730</v>
      </c>
      <c r="G2417">
        <v>351</v>
      </c>
      <c r="H2417">
        <v>156</v>
      </c>
      <c r="Q2417"/>
    </row>
    <row r="2418" spans="1:17" x14ac:dyDescent="0.25">
      <c r="A2418">
        <v>9</v>
      </c>
      <c r="B2418">
        <v>2016</v>
      </c>
      <c r="C2418" t="s">
        <v>245</v>
      </c>
      <c r="D2418" t="s">
        <v>246</v>
      </c>
      <c r="E2418" t="s">
        <v>249</v>
      </c>
      <c r="F2418" t="s">
        <v>250</v>
      </c>
      <c r="G2418">
        <v>191.4</v>
      </c>
      <c r="H2418">
        <v>66</v>
      </c>
      <c r="I2418">
        <v>0</v>
      </c>
      <c r="J2418">
        <v>6</v>
      </c>
      <c r="Q2418"/>
    </row>
    <row r="2419" spans="1:17" x14ac:dyDescent="0.25">
      <c r="A2419">
        <v>9</v>
      </c>
      <c r="B2419">
        <v>2016</v>
      </c>
      <c r="C2419" t="s">
        <v>245</v>
      </c>
      <c r="D2419" t="s">
        <v>246</v>
      </c>
      <c r="E2419" t="s">
        <v>251</v>
      </c>
      <c r="F2419" t="s">
        <v>250</v>
      </c>
      <c r="G2419">
        <v>66.599999999999994</v>
      </c>
      <c r="H2419">
        <v>18</v>
      </c>
      <c r="I2419">
        <v>0</v>
      </c>
      <c r="J2419">
        <v>6</v>
      </c>
      <c r="Q2419"/>
    </row>
    <row r="2420" spans="1:17" x14ac:dyDescent="0.25">
      <c r="A2420">
        <v>9</v>
      </c>
      <c r="B2420">
        <v>2016</v>
      </c>
      <c r="C2420" t="s">
        <v>245</v>
      </c>
      <c r="D2420" t="s">
        <v>246</v>
      </c>
      <c r="E2420" t="s">
        <v>252</v>
      </c>
      <c r="F2420" t="s">
        <v>253</v>
      </c>
      <c r="G2420">
        <v>310.5</v>
      </c>
      <c r="H2420">
        <v>138</v>
      </c>
      <c r="I2420">
        <v>783</v>
      </c>
      <c r="J2420">
        <v>348</v>
      </c>
      <c r="Q2420"/>
    </row>
    <row r="2421" spans="1:17" x14ac:dyDescent="0.25">
      <c r="A2421">
        <v>9</v>
      </c>
      <c r="B2421">
        <v>2016</v>
      </c>
      <c r="C2421" t="s">
        <v>245</v>
      </c>
      <c r="D2421" t="s">
        <v>246</v>
      </c>
      <c r="E2421" t="s">
        <v>731</v>
      </c>
      <c r="F2421" t="s">
        <v>248</v>
      </c>
      <c r="G2421">
        <v>202.5</v>
      </c>
      <c r="H2421">
        <v>60</v>
      </c>
      <c r="Q2421"/>
    </row>
    <row r="2422" spans="1:17" x14ac:dyDescent="0.25">
      <c r="A2422">
        <v>9</v>
      </c>
      <c r="B2422">
        <v>2016</v>
      </c>
      <c r="C2422" t="s">
        <v>254</v>
      </c>
      <c r="D2422" t="s">
        <v>255</v>
      </c>
      <c r="E2422" t="s">
        <v>256</v>
      </c>
      <c r="F2422" t="s">
        <v>257</v>
      </c>
      <c r="G2422">
        <v>2262</v>
      </c>
      <c r="H2422">
        <v>696</v>
      </c>
      <c r="I2422">
        <v>2176</v>
      </c>
      <c r="J2422">
        <v>690</v>
      </c>
      <c r="Q2422"/>
    </row>
    <row r="2423" spans="1:17" x14ac:dyDescent="0.25">
      <c r="A2423">
        <v>9</v>
      </c>
      <c r="B2423">
        <v>2016</v>
      </c>
      <c r="C2423" t="s">
        <v>254</v>
      </c>
      <c r="D2423" t="s">
        <v>255</v>
      </c>
      <c r="E2423" t="s">
        <v>258</v>
      </c>
      <c r="F2423" t="s">
        <v>259</v>
      </c>
      <c r="G2423">
        <v>19.5</v>
      </c>
      <c r="H2423">
        <v>6</v>
      </c>
      <c r="Q2423"/>
    </row>
    <row r="2424" spans="1:17" x14ac:dyDescent="0.25">
      <c r="A2424">
        <v>9</v>
      </c>
      <c r="B2424">
        <v>2016</v>
      </c>
      <c r="C2424" t="s">
        <v>254</v>
      </c>
      <c r="D2424" t="s">
        <v>255</v>
      </c>
      <c r="E2424" t="s">
        <v>260</v>
      </c>
      <c r="F2424" t="s">
        <v>261</v>
      </c>
      <c r="G2424">
        <v>105.6</v>
      </c>
      <c r="H2424">
        <v>24</v>
      </c>
      <c r="I2424">
        <v>132</v>
      </c>
      <c r="J2424">
        <v>30</v>
      </c>
      <c r="Q2424"/>
    </row>
    <row r="2425" spans="1:17" x14ac:dyDescent="0.25">
      <c r="A2425">
        <v>9</v>
      </c>
      <c r="B2425">
        <v>2016</v>
      </c>
      <c r="C2425" t="s">
        <v>254</v>
      </c>
      <c r="D2425" t="s">
        <v>255</v>
      </c>
      <c r="E2425" t="s">
        <v>732</v>
      </c>
      <c r="F2425" t="s">
        <v>733</v>
      </c>
      <c r="G2425">
        <v>78</v>
      </c>
      <c r="H2425">
        <v>12</v>
      </c>
      <c r="I2425">
        <v>630.5</v>
      </c>
      <c r="J2425">
        <v>102</v>
      </c>
      <c r="Q2425"/>
    </row>
    <row r="2426" spans="1:17" x14ac:dyDescent="0.25">
      <c r="A2426">
        <v>9</v>
      </c>
      <c r="B2426">
        <v>2016</v>
      </c>
      <c r="C2426" t="s">
        <v>262</v>
      </c>
      <c r="D2426" t="s">
        <v>263</v>
      </c>
      <c r="E2426" t="s">
        <v>264</v>
      </c>
      <c r="F2426" t="s">
        <v>265</v>
      </c>
      <c r="G2426">
        <v>3192</v>
      </c>
      <c r="H2426">
        <v>570</v>
      </c>
      <c r="I2426">
        <v>6580.7</v>
      </c>
      <c r="J2426">
        <v>1212</v>
      </c>
      <c r="Q2426"/>
    </row>
    <row r="2427" spans="1:17" x14ac:dyDescent="0.25">
      <c r="A2427">
        <v>9</v>
      </c>
      <c r="B2427">
        <v>2016</v>
      </c>
      <c r="C2427" t="s">
        <v>262</v>
      </c>
      <c r="D2427" t="s">
        <v>263</v>
      </c>
      <c r="E2427" t="s">
        <v>810</v>
      </c>
      <c r="F2427" t="s">
        <v>811</v>
      </c>
      <c r="G2427">
        <v>56.7</v>
      </c>
      <c r="H2427">
        <v>6</v>
      </c>
      <c r="I2427">
        <v>139.94999999999999</v>
      </c>
      <c r="J2427">
        <v>15</v>
      </c>
      <c r="Q2427"/>
    </row>
    <row r="2428" spans="1:17" x14ac:dyDescent="0.25">
      <c r="A2428">
        <v>9</v>
      </c>
      <c r="B2428">
        <v>2016</v>
      </c>
      <c r="C2428" t="s">
        <v>262</v>
      </c>
      <c r="D2428" t="s">
        <v>263</v>
      </c>
      <c r="E2428" t="s">
        <v>266</v>
      </c>
      <c r="F2428" t="s">
        <v>267</v>
      </c>
      <c r="G2428">
        <v>5904.9</v>
      </c>
      <c r="H2428">
        <v>750</v>
      </c>
      <c r="I2428">
        <v>4250.3999999999996</v>
      </c>
      <c r="J2428">
        <v>534</v>
      </c>
      <c r="Q2428"/>
    </row>
    <row r="2429" spans="1:17" x14ac:dyDescent="0.25">
      <c r="A2429">
        <v>9</v>
      </c>
      <c r="B2429">
        <v>2016</v>
      </c>
      <c r="C2429" t="s">
        <v>262</v>
      </c>
      <c r="D2429" t="s">
        <v>263</v>
      </c>
      <c r="E2429" t="s">
        <v>962</v>
      </c>
      <c r="F2429" t="s">
        <v>269</v>
      </c>
      <c r="G2429">
        <v>237.6</v>
      </c>
      <c r="H2429">
        <v>36</v>
      </c>
      <c r="Q2429"/>
    </row>
    <row r="2430" spans="1:17" x14ac:dyDescent="0.25">
      <c r="A2430">
        <v>9</v>
      </c>
      <c r="B2430">
        <v>2016</v>
      </c>
      <c r="C2430" t="s">
        <v>262</v>
      </c>
      <c r="D2430" t="s">
        <v>263</v>
      </c>
      <c r="E2430" t="s">
        <v>268</v>
      </c>
      <c r="F2430" t="s">
        <v>269</v>
      </c>
      <c r="G2430">
        <v>609.6</v>
      </c>
      <c r="H2430">
        <v>96</v>
      </c>
      <c r="I2430">
        <v>758.4</v>
      </c>
      <c r="J2430">
        <v>120</v>
      </c>
      <c r="Q2430"/>
    </row>
    <row r="2431" spans="1:17" x14ac:dyDescent="0.25">
      <c r="A2431">
        <v>9</v>
      </c>
      <c r="B2431">
        <v>2016</v>
      </c>
      <c r="C2431" t="s">
        <v>262</v>
      </c>
      <c r="D2431" t="s">
        <v>263</v>
      </c>
      <c r="E2431" t="s">
        <v>270</v>
      </c>
      <c r="F2431" t="s">
        <v>271</v>
      </c>
      <c r="G2431">
        <v>1486.8</v>
      </c>
      <c r="H2431">
        <v>168</v>
      </c>
      <c r="I2431">
        <v>1372.8</v>
      </c>
      <c r="J2431">
        <v>156</v>
      </c>
      <c r="Q2431"/>
    </row>
    <row r="2432" spans="1:17" x14ac:dyDescent="0.25">
      <c r="A2432">
        <v>9</v>
      </c>
      <c r="B2432">
        <v>2016</v>
      </c>
      <c r="C2432" t="s">
        <v>262</v>
      </c>
      <c r="D2432" t="s">
        <v>263</v>
      </c>
      <c r="E2432" t="s">
        <v>1024</v>
      </c>
      <c r="F2432" t="s">
        <v>1025</v>
      </c>
      <c r="G2432">
        <v>108.48</v>
      </c>
      <c r="H2432">
        <v>12</v>
      </c>
      <c r="Q2432"/>
    </row>
    <row r="2433" spans="1:17" x14ac:dyDescent="0.25">
      <c r="A2433">
        <v>9</v>
      </c>
      <c r="B2433">
        <v>2016</v>
      </c>
      <c r="C2433" t="s">
        <v>272</v>
      </c>
      <c r="D2433" t="s">
        <v>273</v>
      </c>
      <c r="E2433" t="s">
        <v>274</v>
      </c>
      <c r="F2433" t="s">
        <v>275</v>
      </c>
      <c r="G2433">
        <v>707.4</v>
      </c>
      <c r="H2433">
        <v>72</v>
      </c>
      <c r="I2433">
        <v>117.9</v>
      </c>
      <c r="J2433">
        <v>12</v>
      </c>
      <c r="Q2433"/>
    </row>
    <row r="2434" spans="1:17" x14ac:dyDescent="0.25">
      <c r="A2434">
        <v>9</v>
      </c>
      <c r="B2434">
        <v>2016</v>
      </c>
      <c r="C2434" t="s">
        <v>272</v>
      </c>
      <c r="D2434" t="s">
        <v>273</v>
      </c>
      <c r="E2434" t="s">
        <v>276</v>
      </c>
      <c r="F2434" t="s">
        <v>277</v>
      </c>
      <c r="G2434">
        <v>979.2</v>
      </c>
      <c r="H2434">
        <v>102</v>
      </c>
      <c r="I2434">
        <v>1267.2</v>
      </c>
      <c r="J2434">
        <v>132</v>
      </c>
      <c r="Q2434"/>
    </row>
    <row r="2435" spans="1:17" x14ac:dyDescent="0.25">
      <c r="A2435">
        <v>9</v>
      </c>
      <c r="B2435">
        <v>2016</v>
      </c>
      <c r="C2435" t="s">
        <v>272</v>
      </c>
      <c r="D2435" t="s">
        <v>273</v>
      </c>
      <c r="E2435" t="s">
        <v>736</v>
      </c>
      <c r="F2435" t="s">
        <v>735</v>
      </c>
      <c r="G2435">
        <v>126</v>
      </c>
      <c r="H2435">
        <v>12</v>
      </c>
      <c r="Q2435"/>
    </row>
    <row r="2436" spans="1:17" x14ac:dyDescent="0.25">
      <c r="A2436">
        <v>9</v>
      </c>
      <c r="B2436">
        <v>2016</v>
      </c>
      <c r="C2436" t="s">
        <v>272</v>
      </c>
      <c r="D2436" t="s">
        <v>273</v>
      </c>
      <c r="E2436" t="s">
        <v>278</v>
      </c>
      <c r="F2436" t="s">
        <v>279</v>
      </c>
      <c r="G2436">
        <v>333.9</v>
      </c>
      <c r="H2436">
        <v>132</v>
      </c>
      <c r="I2436">
        <v>206.7</v>
      </c>
      <c r="J2436">
        <v>78</v>
      </c>
      <c r="Q2436"/>
    </row>
    <row r="2437" spans="1:17" x14ac:dyDescent="0.25">
      <c r="A2437">
        <v>9</v>
      </c>
      <c r="B2437">
        <v>2016</v>
      </c>
      <c r="C2437" t="s">
        <v>272</v>
      </c>
      <c r="D2437" t="s">
        <v>273</v>
      </c>
      <c r="E2437" t="s">
        <v>280</v>
      </c>
      <c r="F2437" t="s">
        <v>281</v>
      </c>
      <c r="G2437">
        <v>493.2</v>
      </c>
      <c r="H2437">
        <v>72</v>
      </c>
      <c r="I2437">
        <v>205.5</v>
      </c>
      <c r="J2437">
        <v>30</v>
      </c>
      <c r="Q2437"/>
    </row>
    <row r="2438" spans="1:17" x14ac:dyDescent="0.25">
      <c r="A2438">
        <v>9</v>
      </c>
      <c r="B2438">
        <v>2016</v>
      </c>
      <c r="C2438" t="s">
        <v>272</v>
      </c>
      <c r="D2438" t="s">
        <v>273</v>
      </c>
      <c r="E2438" t="s">
        <v>1026</v>
      </c>
      <c r="F2438" t="s">
        <v>1027</v>
      </c>
      <c r="G2438">
        <v>82.2</v>
      </c>
      <c r="H2438">
        <v>12</v>
      </c>
      <c r="Q2438"/>
    </row>
    <row r="2439" spans="1:17" x14ac:dyDescent="0.25">
      <c r="A2439">
        <v>9</v>
      </c>
      <c r="B2439">
        <v>2016</v>
      </c>
      <c r="C2439" t="s">
        <v>272</v>
      </c>
      <c r="D2439" t="s">
        <v>273</v>
      </c>
      <c r="E2439" t="s">
        <v>282</v>
      </c>
      <c r="F2439" t="s">
        <v>283</v>
      </c>
      <c r="G2439">
        <v>339.6</v>
      </c>
      <c r="H2439">
        <v>48</v>
      </c>
      <c r="I2439">
        <v>169.8</v>
      </c>
      <c r="J2439">
        <v>24</v>
      </c>
      <c r="Q2439"/>
    </row>
    <row r="2440" spans="1:17" x14ac:dyDescent="0.25">
      <c r="A2440">
        <v>9</v>
      </c>
      <c r="B2440">
        <v>2016</v>
      </c>
      <c r="C2440" t="s">
        <v>272</v>
      </c>
      <c r="D2440" t="s">
        <v>273</v>
      </c>
      <c r="E2440" t="s">
        <v>814</v>
      </c>
      <c r="F2440" t="s">
        <v>287</v>
      </c>
      <c r="G2440">
        <v>123.3</v>
      </c>
      <c r="H2440">
        <v>18</v>
      </c>
      <c r="I2440">
        <v>123.3</v>
      </c>
      <c r="J2440">
        <v>18</v>
      </c>
      <c r="Q2440"/>
    </row>
    <row r="2441" spans="1:17" x14ac:dyDescent="0.25">
      <c r="A2441">
        <v>9</v>
      </c>
      <c r="B2441">
        <v>2016</v>
      </c>
      <c r="C2441" t="s">
        <v>272</v>
      </c>
      <c r="D2441" t="s">
        <v>273</v>
      </c>
      <c r="E2441" t="s">
        <v>1028</v>
      </c>
      <c r="F2441" t="s">
        <v>1029</v>
      </c>
      <c r="G2441">
        <v>1237.5</v>
      </c>
      <c r="H2441">
        <v>300</v>
      </c>
      <c r="I2441">
        <v>1920</v>
      </c>
      <c r="J2441">
        <v>600</v>
      </c>
      <c r="Q2441"/>
    </row>
    <row r="2442" spans="1:17" x14ac:dyDescent="0.25">
      <c r="A2442">
        <v>9</v>
      </c>
      <c r="B2442">
        <v>2016</v>
      </c>
      <c r="C2442" t="s">
        <v>288</v>
      </c>
      <c r="D2442" t="s">
        <v>289</v>
      </c>
      <c r="E2442" t="s">
        <v>290</v>
      </c>
      <c r="F2442" t="s">
        <v>291</v>
      </c>
      <c r="G2442">
        <v>330</v>
      </c>
      <c r="H2442">
        <v>66</v>
      </c>
      <c r="I2442">
        <v>662.4</v>
      </c>
      <c r="J2442">
        <v>138</v>
      </c>
      <c r="Q2442"/>
    </row>
    <row r="2443" spans="1:17" x14ac:dyDescent="0.25">
      <c r="A2443">
        <v>9</v>
      </c>
      <c r="B2443">
        <v>2016</v>
      </c>
      <c r="C2443" t="s">
        <v>288</v>
      </c>
      <c r="D2443" t="s">
        <v>289</v>
      </c>
      <c r="E2443" t="s">
        <v>292</v>
      </c>
      <c r="F2443" t="s">
        <v>293</v>
      </c>
      <c r="G2443">
        <v>139.5</v>
      </c>
      <c r="H2443">
        <v>18</v>
      </c>
      <c r="I2443">
        <v>661.5</v>
      </c>
      <c r="J2443">
        <v>90</v>
      </c>
      <c r="Q2443"/>
    </row>
    <row r="2444" spans="1:17" x14ac:dyDescent="0.25">
      <c r="A2444">
        <v>9</v>
      </c>
      <c r="B2444">
        <v>2016</v>
      </c>
      <c r="C2444" t="s">
        <v>288</v>
      </c>
      <c r="D2444" t="s">
        <v>289</v>
      </c>
      <c r="E2444" t="s">
        <v>294</v>
      </c>
      <c r="F2444" t="s">
        <v>295</v>
      </c>
      <c r="G2444">
        <v>801</v>
      </c>
      <c r="H2444">
        <v>90</v>
      </c>
      <c r="I2444">
        <v>462</v>
      </c>
      <c r="J2444">
        <v>60</v>
      </c>
      <c r="Q2444"/>
    </row>
    <row r="2445" spans="1:17" x14ac:dyDescent="0.25">
      <c r="A2445">
        <v>9</v>
      </c>
      <c r="B2445">
        <v>2016</v>
      </c>
      <c r="C2445" t="s">
        <v>296</v>
      </c>
      <c r="D2445" t="s">
        <v>297</v>
      </c>
      <c r="E2445" t="s">
        <v>298</v>
      </c>
      <c r="F2445" t="s">
        <v>299</v>
      </c>
      <c r="G2445">
        <v>201.6</v>
      </c>
      <c r="H2445">
        <v>48</v>
      </c>
      <c r="I2445">
        <v>352.8</v>
      </c>
      <c r="J2445">
        <v>84</v>
      </c>
      <c r="Q2445"/>
    </row>
    <row r="2446" spans="1:17" x14ac:dyDescent="0.25">
      <c r="A2446">
        <v>9</v>
      </c>
      <c r="B2446">
        <v>2016</v>
      </c>
      <c r="C2446" t="s">
        <v>296</v>
      </c>
      <c r="D2446" t="s">
        <v>297</v>
      </c>
      <c r="E2446" t="s">
        <v>739</v>
      </c>
      <c r="F2446" t="s">
        <v>301</v>
      </c>
      <c r="G2446">
        <v>129.6</v>
      </c>
      <c r="H2446">
        <v>36</v>
      </c>
      <c r="Q2446"/>
    </row>
    <row r="2447" spans="1:17" x14ac:dyDescent="0.25">
      <c r="A2447">
        <v>9</v>
      </c>
      <c r="B2447">
        <v>2016</v>
      </c>
      <c r="C2447" t="s">
        <v>296</v>
      </c>
      <c r="D2447" t="s">
        <v>297</v>
      </c>
      <c r="E2447" t="s">
        <v>302</v>
      </c>
      <c r="F2447" t="s">
        <v>303</v>
      </c>
      <c r="G2447">
        <v>0</v>
      </c>
      <c r="H2447">
        <v>6</v>
      </c>
      <c r="I2447">
        <v>33</v>
      </c>
      <c r="J2447">
        <v>6</v>
      </c>
      <c r="Q2447"/>
    </row>
    <row r="2448" spans="1:17" x14ac:dyDescent="0.25">
      <c r="A2448">
        <v>9</v>
      </c>
      <c r="B2448">
        <v>2016</v>
      </c>
      <c r="C2448" t="s">
        <v>296</v>
      </c>
      <c r="D2448" t="s">
        <v>297</v>
      </c>
      <c r="E2448" t="s">
        <v>304</v>
      </c>
      <c r="F2448" t="s">
        <v>303</v>
      </c>
      <c r="G2448">
        <v>99</v>
      </c>
      <c r="H2448">
        <v>18</v>
      </c>
      <c r="I2448">
        <v>198</v>
      </c>
      <c r="J2448">
        <v>36</v>
      </c>
      <c r="Q2448"/>
    </row>
    <row r="2449" spans="1:17" x14ac:dyDescent="0.25">
      <c r="A2449">
        <v>9</v>
      </c>
      <c r="B2449">
        <v>2016</v>
      </c>
      <c r="C2449" t="s">
        <v>296</v>
      </c>
      <c r="D2449" t="s">
        <v>297</v>
      </c>
      <c r="E2449" t="s">
        <v>305</v>
      </c>
      <c r="F2449" t="s">
        <v>303</v>
      </c>
      <c r="G2449">
        <v>66</v>
      </c>
      <c r="H2449">
        <v>18</v>
      </c>
      <c r="Q2449"/>
    </row>
    <row r="2450" spans="1:17" x14ac:dyDescent="0.25">
      <c r="A2450">
        <v>9</v>
      </c>
      <c r="B2450">
        <v>2016</v>
      </c>
      <c r="C2450" t="s">
        <v>296</v>
      </c>
      <c r="D2450" t="s">
        <v>297</v>
      </c>
      <c r="E2450" t="s">
        <v>306</v>
      </c>
      <c r="F2450" t="s">
        <v>307</v>
      </c>
      <c r="G2450">
        <v>85.2</v>
      </c>
      <c r="H2450">
        <v>24</v>
      </c>
      <c r="I2450">
        <v>85.2</v>
      </c>
      <c r="J2450">
        <v>24</v>
      </c>
      <c r="Q2450"/>
    </row>
    <row r="2451" spans="1:17" x14ac:dyDescent="0.25">
      <c r="A2451">
        <v>9</v>
      </c>
      <c r="B2451">
        <v>2016</v>
      </c>
      <c r="C2451" t="s">
        <v>296</v>
      </c>
      <c r="D2451" t="s">
        <v>297</v>
      </c>
      <c r="E2451" t="s">
        <v>308</v>
      </c>
      <c r="F2451" t="s">
        <v>309</v>
      </c>
      <c r="G2451">
        <v>5506.2</v>
      </c>
      <c r="H2451">
        <v>1542</v>
      </c>
      <c r="I2451">
        <v>3673.5</v>
      </c>
      <c r="J2451">
        <v>1044</v>
      </c>
      <c r="Q2451"/>
    </row>
    <row r="2452" spans="1:17" x14ac:dyDescent="0.25">
      <c r="A2452">
        <v>9</v>
      </c>
      <c r="B2452">
        <v>2016</v>
      </c>
      <c r="C2452" t="s">
        <v>296</v>
      </c>
      <c r="D2452" t="s">
        <v>297</v>
      </c>
      <c r="E2452" t="s">
        <v>310</v>
      </c>
      <c r="F2452" t="s">
        <v>311</v>
      </c>
      <c r="G2452">
        <v>1892.3</v>
      </c>
      <c r="H2452">
        <v>887.11</v>
      </c>
      <c r="I2452">
        <v>968.5</v>
      </c>
      <c r="J2452">
        <v>433.55</v>
      </c>
      <c r="Q2452"/>
    </row>
    <row r="2453" spans="1:17" x14ac:dyDescent="0.25">
      <c r="A2453">
        <v>9</v>
      </c>
      <c r="B2453">
        <v>2016</v>
      </c>
      <c r="C2453" t="s">
        <v>296</v>
      </c>
      <c r="D2453" t="s">
        <v>297</v>
      </c>
      <c r="E2453" t="s">
        <v>937</v>
      </c>
      <c r="F2453" t="s">
        <v>315</v>
      </c>
      <c r="G2453">
        <v>90</v>
      </c>
      <c r="H2453">
        <v>30</v>
      </c>
      <c r="I2453">
        <v>36</v>
      </c>
      <c r="J2453">
        <v>12</v>
      </c>
      <c r="Q2453"/>
    </row>
    <row r="2454" spans="1:17" x14ac:dyDescent="0.25">
      <c r="A2454">
        <v>9</v>
      </c>
      <c r="B2454">
        <v>2016</v>
      </c>
      <c r="C2454" t="s">
        <v>296</v>
      </c>
      <c r="D2454" t="s">
        <v>297</v>
      </c>
      <c r="E2454" t="s">
        <v>312</v>
      </c>
      <c r="F2454" t="s">
        <v>313</v>
      </c>
      <c r="G2454">
        <v>6277.5</v>
      </c>
      <c r="H2454">
        <v>2808</v>
      </c>
      <c r="I2454">
        <v>4981.5</v>
      </c>
      <c r="J2454">
        <v>2214</v>
      </c>
      <c r="Q2454"/>
    </row>
    <row r="2455" spans="1:17" x14ac:dyDescent="0.25">
      <c r="A2455">
        <v>9</v>
      </c>
      <c r="B2455">
        <v>2016</v>
      </c>
      <c r="C2455" t="s">
        <v>296</v>
      </c>
      <c r="D2455" t="s">
        <v>297</v>
      </c>
      <c r="E2455" t="s">
        <v>314</v>
      </c>
      <c r="F2455" t="s">
        <v>315</v>
      </c>
      <c r="G2455">
        <v>3692.7</v>
      </c>
      <c r="H2455">
        <v>2501.25</v>
      </c>
      <c r="I2455">
        <v>2564.1</v>
      </c>
      <c r="J2455">
        <v>1727.53</v>
      </c>
      <c r="Q2455"/>
    </row>
    <row r="2456" spans="1:17" x14ac:dyDescent="0.25">
      <c r="A2456">
        <v>9</v>
      </c>
      <c r="B2456">
        <v>2016</v>
      </c>
      <c r="C2456" t="s">
        <v>296</v>
      </c>
      <c r="D2456" t="s">
        <v>297</v>
      </c>
      <c r="E2456" t="s">
        <v>740</v>
      </c>
      <c r="F2456" t="s">
        <v>741</v>
      </c>
      <c r="G2456">
        <v>101.4</v>
      </c>
      <c r="H2456">
        <v>79.98</v>
      </c>
      <c r="I2456">
        <v>101.4</v>
      </c>
      <c r="J2456">
        <v>93.31</v>
      </c>
      <c r="Q2456"/>
    </row>
    <row r="2457" spans="1:17" x14ac:dyDescent="0.25">
      <c r="A2457">
        <v>9</v>
      </c>
      <c r="B2457">
        <v>2016</v>
      </c>
      <c r="C2457" t="s">
        <v>296</v>
      </c>
      <c r="D2457" t="s">
        <v>297</v>
      </c>
      <c r="E2457" t="s">
        <v>815</v>
      </c>
      <c r="F2457" t="s">
        <v>816</v>
      </c>
      <c r="G2457">
        <v>21.6</v>
      </c>
      <c r="H2457">
        <v>300</v>
      </c>
      <c r="I2457">
        <v>10.8</v>
      </c>
      <c r="J2457">
        <v>6</v>
      </c>
      <c r="Q2457"/>
    </row>
    <row r="2458" spans="1:17" x14ac:dyDescent="0.25">
      <c r="A2458">
        <v>9</v>
      </c>
      <c r="B2458">
        <v>2016</v>
      </c>
      <c r="C2458" t="s">
        <v>296</v>
      </c>
      <c r="D2458" t="s">
        <v>297</v>
      </c>
      <c r="E2458" t="s">
        <v>817</v>
      </c>
      <c r="F2458" t="s">
        <v>818</v>
      </c>
      <c r="G2458">
        <v>133.19999999999999</v>
      </c>
      <c r="H2458">
        <v>36</v>
      </c>
      <c r="Q2458"/>
    </row>
    <row r="2459" spans="1:17" x14ac:dyDescent="0.25">
      <c r="A2459">
        <v>9</v>
      </c>
      <c r="B2459">
        <v>2016</v>
      </c>
      <c r="C2459" t="s">
        <v>319</v>
      </c>
      <c r="D2459" t="s">
        <v>320</v>
      </c>
      <c r="E2459" t="s">
        <v>321</v>
      </c>
      <c r="F2459" t="s">
        <v>322</v>
      </c>
      <c r="G2459">
        <v>359.04</v>
      </c>
      <c r="H2459">
        <v>102</v>
      </c>
      <c r="I2459">
        <v>734.4</v>
      </c>
      <c r="J2459">
        <v>204</v>
      </c>
      <c r="Q2459"/>
    </row>
    <row r="2460" spans="1:17" x14ac:dyDescent="0.25">
      <c r="A2460">
        <v>9</v>
      </c>
      <c r="B2460">
        <v>2016</v>
      </c>
      <c r="C2460" t="s">
        <v>319</v>
      </c>
      <c r="D2460" t="s">
        <v>320</v>
      </c>
      <c r="E2460" t="s">
        <v>323</v>
      </c>
      <c r="F2460" t="s">
        <v>322</v>
      </c>
      <c r="G2460">
        <v>56.88</v>
      </c>
      <c r="H2460">
        <v>12</v>
      </c>
      <c r="I2460">
        <v>26.64</v>
      </c>
      <c r="J2460">
        <v>6</v>
      </c>
      <c r="Q2460"/>
    </row>
    <row r="2461" spans="1:17" x14ac:dyDescent="0.25">
      <c r="A2461">
        <v>9</v>
      </c>
      <c r="B2461">
        <v>2016</v>
      </c>
      <c r="C2461" t="s">
        <v>324</v>
      </c>
      <c r="D2461" t="s">
        <v>325</v>
      </c>
      <c r="E2461" t="s">
        <v>742</v>
      </c>
      <c r="F2461" t="s">
        <v>743</v>
      </c>
      <c r="G2461">
        <v>180</v>
      </c>
      <c r="H2461">
        <v>36</v>
      </c>
      <c r="I2461">
        <v>122.4</v>
      </c>
      <c r="J2461">
        <v>24</v>
      </c>
      <c r="Q2461"/>
    </row>
    <row r="2462" spans="1:17" x14ac:dyDescent="0.25">
      <c r="A2462">
        <v>9</v>
      </c>
      <c r="B2462">
        <v>2016</v>
      </c>
      <c r="C2462" t="s">
        <v>324</v>
      </c>
      <c r="D2462" t="s">
        <v>325</v>
      </c>
      <c r="E2462" t="s">
        <v>744</v>
      </c>
      <c r="F2462" t="s">
        <v>327</v>
      </c>
      <c r="G2462">
        <v>386.4</v>
      </c>
      <c r="H2462">
        <v>84</v>
      </c>
      <c r="Q2462"/>
    </row>
    <row r="2463" spans="1:17" x14ac:dyDescent="0.25">
      <c r="A2463">
        <v>9</v>
      </c>
      <c r="B2463">
        <v>2016</v>
      </c>
      <c r="C2463" t="s">
        <v>324</v>
      </c>
      <c r="D2463" t="s">
        <v>325</v>
      </c>
      <c r="E2463" t="s">
        <v>326</v>
      </c>
      <c r="F2463" t="s">
        <v>327</v>
      </c>
      <c r="G2463">
        <v>1900.8</v>
      </c>
      <c r="H2463">
        <v>438</v>
      </c>
      <c r="I2463">
        <v>1737.2</v>
      </c>
      <c r="J2463">
        <v>414</v>
      </c>
      <c r="Q2463"/>
    </row>
    <row r="2464" spans="1:17" x14ac:dyDescent="0.25">
      <c r="A2464">
        <v>9</v>
      </c>
      <c r="B2464">
        <v>2016</v>
      </c>
      <c r="C2464" t="s">
        <v>324</v>
      </c>
      <c r="D2464" t="s">
        <v>325</v>
      </c>
      <c r="E2464" t="s">
        <v>328</v>
      </c>
      <c r="F2464" t="s">
        <v>327</v>
      </c>
      <c r="G2464">
        <v>710.4</v>
      </c>
      <c r="H2464">
        <v>222</v>
      </c>
      <c r="I2464">
        <v>677.1</v>
      </c>
      <c r="J2464">
        <v>228</v>
      </c>
      <c r="Q2464"/>
    </row>
    <row r="2465" spans="1:17" x14ac:dyDescent="0.25">
      <c r="A2465">
        <v>9</v>
      </c>
      <c r="B2465">
        <v>2016</v>
      </c>
      <c r="C2465" t="s">
        <v>324</v>
      </c>
      <c r="D2465" t="s">
        <v>325</v>
      </c>
      <c r="E2465" t="s">
        <v>330</v>
      </c>
      <c r="F2465" t="s">
        <v>331</v>
      </c>
      <c r="G2465">
        <v>115.2</v>
      </c>
      <c r="H2465">
        <v>24</v>
      </c>
      <c r="I2465">
        <v>28.8</v>
      </c>
      <c r="J2465">
        <v>12</v>
      </c>
      <c r="Q2465"/>
    </row>
    <row r="2466" spans="1:17" x14ac:dyDescent="0.25">
      <c r="A2466">
        <v>9</v>
      </c>
      <c r="B2466">
        <v>2016</v>
      </c>
      <c r="C2466" t="s">
        <v>324</v>
      </c>
      <c r="D2466" t="s">
        <v>325</v>
      </c>
      <c r="E2466" t="s">
        <v>332</v>
      </c>
      <c r="F2466" t="s">
        <v>333</v>
      </c>
      <c r="G2466">
        <v>1605</v>
      </c>
      <c r="H2466">
        <v>713.68999999999994</v>
      </c>
      <c r="I2466">
        <v>1711</v>
      </c>
      <c r="J2466">
        <v>793.73</v>
      </c>
      <c r="Q2466"/>
    </row>
    <row r="2467" spans="1:17" x14ac:dyDescent="0.25">
      <c r="A2467">
        <v>9</v>
      </c>
      <c r="B2467">
        <v>2016</v>
      </c>
      <c r="C2467" t="s">
        <v>334</v>
      </c>
      <c r="D2467" t="s">
        <v>335</v>
      </c>
      <c r="E2467" t="s">
        <v>336</v>
      </c>
      <c r="F2467" t="s">
        <v>337</v>
      </c>
      <c r="G2467">
        <v>729.6</v>
      </c>
      <c r="H2467">
        <v>96</v>
      </c>
      <c r="I2467">
        <v>547.20000000000005</v>
      </c>
      <c r="J2467">
        <v>72</v>
      </c>
      <c r="Q2467"/>
    </row>
    <row r="2468" spans="1:17" x14ac:dyDescent="0.25">
      <c r="A2468">
        <v>9</v>
      </c>
      <c r="B2468">
        <v>2016</v>
      </c>
      <c r="C2468" t="s">
        <v>334</v>
      </c>
      <c r="D2468" t="s">
        <v>335</v>
      </c>
      <c r="E2468" t="s">
        <v>338</v>
      </c>
      <c r="F2468" t="s">
        <v>339</v>
      </c>
      <c r="G2468">
        <v>697.5</v>
      </c>
      <c r="H2468">
        <v>150</v>
      </c>
      <c r="I2468">
        <v>993.6</v>
      </c>
      <c r="J2468">
        <v>216</v>
      </c>
      <c r="Q2468"/>
    </row>
    <row r="2469" spans="1:17" x14ac:dyDescent="0.25">
      <c r="A2469">
        <v>9</v>
      </c>
      <c r="B2469">
        <v>2016</v>
      </c>
      <c r="C2469" t="s">
        <v>334</v>
      </c>
      <c r="D2469" t="s">
        <v>335</v>
      </c>
      <c r="E2469" t="s">
        <v>940</v>
      </c>
      <c r="F2469" t="s">
        <v>941</v>
      </c>
      <c r="G2469">
        <v>46.2</v>
      </c>
      <c r="H2469">
        <v>6</v>
      </c>
      <c r="Q2469"/>
    </row>
    <row r="2470" spans="1:17" x14ac:dyDescent="0.25">
      <c r="A2470">
        <v>9</v>
      </c>
      <c r="B2470">
        <v>2016</v>
      </c>
      <c r="C2470" t="s">
        <v>349</v>
      </c>
      <c r="D2470" t="s">
        <v>350</v>
      </c>
      <c r="E2470" t="s">
        <v>351</v>
      </c>
      <c r="F2470" t="s">
        <v>352</v>
      </c>
      <c r="G2470">
        <v>1470.6</v>
      </c>
      <c r="H2470">
        <v>228</v>
      </c>
      <c r="I2470">
        <v>793.8</v>
      </c>
      <c r="J2470">
        <v>126</v>
      </c>
      <c r="Q2470"/>
    </row>
    <row r="2471" spans="1:17" x14ac:dyDescent="0.25">
      <c r="A2471">
        <v>9</v>
      </c>
      <c r="B2471">
        <v>2016</v>
      </c>
      <c r="C2471" t="s">
        <v>349</v>
      </c>
      <c r="D2471" t="s">
        <v>350</v>
      </c>
      <c r="E2471" t="s">
        <v>353</v>
      </c>
      <c r="F2471" t="s">
        <v>352</v>
      </c>
      <c r="G2471">
        <v>234</v>
      </c>
      <c r="H2471">
        <v>30</v>
      </c>
      <c r="I2471">
        <v>138.6</v>
      </c>
      <c r="J2471">
        <v>18</v>
      </c>
      <c r="Q2471"/>
    </row>
    <row r="2472" spans="1:17" x14ac:dyDescent="0.25">
      <c r="A2472">
        <v>9</v>
      </c>
      <c r="B2472">
        <v>2016</v>
      </c>
      <c r="C2472" t="s">
        <v>349</v>
      </c>
      <c r="D2472" t="s">
        <v>350</v>
      </c>
      <c r="E2472" t="s">
        <v>882</v>
      </c>
      <c r="F2472" t="s">
        <v>352</v>
      </c>
      <c r="G2472">
        <v>37.799999999999997</v>
      </c>
      <c r="H2472">
        <v>6</v>
      </c>
      <c r="I2472">
        <v>36.6</v>
      </c>
      <c r="J2472">
        <v>6</v>
      </c>
      <c r="Q2472"/>
    </row>
    <row r="2473" spans="1:17" x14ac:dyDescent="0.25">
      <c r="A2473">
        <v>9</v>
      </c>
      <c r="B2473">
        <v>2016</v>
      </c>
      <c r="C2473" t="s">
        <v>349</v>
      </c>
      <c r="D2473" t="s">
        <v>350</v>
      </c>
      <c r="E2473" t="s">
        <v>354</v>
      </c>
      <c r="F2473" t="s">
        <v>352</v>
      </c>
      <c r="G2473">
        <v>603</v>
      </c>
      <c r="H2473">
        <v>90</v>
      </c>
      <c r="I2473">
        <v>237.6</v>
      </c>
      <c r="J2473">
        <v>36</v>
      </c>
      <c r="Q2473"/>
    </row>
    <row r="2474" spans="1:17" x14ac:dyDescent="0.25">
      <c r="A2474">
        <v>9</v>
      </c>
      <c r="B2474">
        <v>2016</v>
      </c>
      <c r="C2474" t="s">
        <v>349</v>
      </c>
      <c r="D2474" t="s">
        <v>350</v>
      </c>
      <c r="E2474" t="s">
        <v>355</v>
      </c>
      <c r="F2474" t="s">
        <v>352</v>
      </c>
      <c r="G2474">
        <v>46.8</v>
      </c>
      <c r="H2474">
        <v>6</v>
      </c>
      <c r="Q2474"/>
    </row>
    <row r="2475" spans="1:17" x14ac:dyDescent="0.25">
      <c r="A2475">
        <v>9</v>
      </c>
      <c r="B2475">
        <v>2016</v>
      </c>
      <c r="C2475" t="s">
        <v>356</v>
      </c>
      <c r="D2475" t="s">
        <v>357</v>
      </c>
      <c r="E2475" t="s">
        <v>358</v>
      </c>
      <c r="F2475" t="s">
        <v>359</v>
      </c>
      <c r="G2475">
        <v>335.4</v>
      </c>
      <c r="H2475">
        <v>156</v>
      </c>
      <c r="I2475">
        <v>390.6</v>
      </c>
      <c r="J2475">
        <v>186</v>
      </c>
      <c r="Q2475"/>
    </row>
    <row r="2476" spans="1:17" x14ac:dyDescent="0.25">
      <c r="A2476">
        <v>9</v>
      </c>
      <c r="B2476">
        <v>2016</v>
      </c>
      <c r="C2476" t="s">
        <v>360</v>
      </c>
      <c r="D2476" t="s">
        <v>361</v>
      </c>
      <c r="E2476" t="s">
        <v>362</v>
      </c>
      <c r="F2476" t="s">
        <v>363</v>
      </c>
      <c r="G2476">
        <v>962.5</v>
      </c>
      <c r="H2476">
        <v>666.5</v>
      </c>
      <c r="I2476">
        <v>1672.75</v>
      </c>
      <c r="J2476">
        <v>1186.3700000000001</v>
      </c>
      <c r="Q2476"/>
    </row>
    <row r="2477" spans="1:17" x14ac:dyDescent="0.25">
      <c r="A2477">
        <v>9</v>
      </c>
      <c r="B2477">
        <v>2016</v>
      </c>
      <c r="C2477" t="s">
        <v>360</v>
      </c>
      <c r="D2477" t="s">
        <v>361</v>
      </c>
      <c r="E2477" t="s">
        <v>364</v>
      </c>
      <c r="F2477" t="s">
        <v>363</v>
      </c>
      <c r="G2477">
        <v>1657.6</v>
      </c>
      <c r="H2477">
        <v>987.16</v>
      </c>
      <c r="I2477">
        <v>1672</v>
      </c>
      <c r="J2477">
        <v>1053.8599999999999</v>
      </c>
      <c r="Q2477"/>
    </row>
    <row r="2478" spans="1:17" x14ac:dyDescent="0.25">
      <c r="A2478">
        <v>9</v>
      </c>
      <c r="B2478">
        <v>2016</v>
      </c>
      <c r="C2478" t="s">
        <v>360</v>
      </c>
      <c r="D2478" t="s">
        <v>361</v>
      </c>
      <c r="E2478" t="s">
        <v>365</v>
      </c>
      <c r="F2478" t="s">
        <v>366</v>
      </c>
      <c r="G2478">
        <v>-441</v>
      </c>
      <c r="H2478">
        <v>-210</v>
      </c>
      <c r="I2478">
        <v>12.3</v>
      </c>
      <c r="J2478">
        <v>6</v>
      </c>
      <c r="Q2478"/>
    </row>
    <row r="2479" spans="1:17" x14ac:dyDescent="0.25">
      <c r="A2479">
        <v>9</v>
      </c>
      <c r="B2479">
        <v>2016</v>
      </c>
      <c r="C2479" t="s">
        <v>360</v>
      </c>
      <c r="D2479" t="s">
        <v>361</v>
      </c>
      <c r="E2479" t="s">
        <v>367</v>
      </c>
      <c r="F2479" t="s">
        <v>368</v>
      </c>
      <c r="G2479">
        <v>2095.5</v>
      </c>
      <c r="H2479">
        <v>768</v>
      </c>
      <c r="I2479">
        <v>2835</v>
      </c>
      <c r="J2479">
        <v>1050</v>
      </c>
      <c r="Q2479"/>
    </row>
    <row r="2480" spans="1:17" x14ac:dyDescent="0.25">
      <c r="A2480">
        <v>9</v>
      </c>
      <c r="B2480">
        <v>2016</v>
      </c>
      <c r="C2480" t="s">
        <v>360</v>
      </c>
      <c r="D2480" t="s">
        <v>361</v>
      </c>
      <c r="E2480" t="s">
        <v>369</v>
      </c>
      <c r="F2480" t="s">
        <v>370</v>
      </c>
      <c r="G2480">
        <v>1435.2</v>
      </c>
      <c r="H2480">
        <v>312</v>
      </c>
      <c r="I2480">
        <v>1048.5</v>
      </c>
      <c r="J2480">
        <v>234</v>
      </c>
      <c r="Q2480"/>
    </row>
    <row r="2481" spans="1:17" x14ac:dyDescent="0.25">
      <c r="A2481">
        <v>9</v>
      </c>
      <c r="B2481">
        <v>2016</v>
      </c>
      <c r="C2481" t="s">
        <v>360</v>
      </c>
      <c r="D2481" t="s">
        <v>361</v>
      </c>
      <c r="E2481" t="s">
        <v>371</v>
      </c>
      <c r="F2481" t="s">
        <v>372</v>
      </c>
      <c r="G2481">
        <v>358.8</v>
      </c>
      <c r="H2481">
        <v>60</v>
      </c>
      <c r="I2481">
        <v>175.5</v>
      </c>
      <c r="J2481">
        <v>30</v>
      </c>
      <c r="Q2481"/>
    </row>
    <row r="2482" spans="1:17" x14ac:dyDescent="0.25">
      <c r="A2482">
        <v>9</v>
      </c>
      <c r="B2482">
        <v>2016</v>
      </c>
      <c r="C2482" t="s">
        <v>360</v>
      </c>
      <c r="D2482" t="s">
        <v>361</v>
      </c>
      <c r="E2482" t="s">
        <v>750</v>
      </c>
      <c r="F2482" t="s">
        <v>751</v>
      </c>
      <c r="G2482">
        <v>322.5</v>
      </c>
      <c r="H2482">
        <v>30</v>
      </c>
      <c r="Q2482"/>
    </row>
    <row r="2483" spans="1:17" x14ac:dyDescent="0.25">
      <c r="A2483">
        <v>9</v>
      </c>
      <c r="B2483">
        <v>2016</v>
      </c>
      <c r="C2483" t="s">
        <v>360</v>
      </c>
      <c r="D2483" t="s">
        <v>361</v>
      </c>
      <c r="E2483" t="s">
        <v>373</v>
      </c>
      <c r="F2483" t="s">
        <v>374</v>
      </c>
      <c r="G2483">
        <v>330</v>
      </c>
      <c r="H2483">
        <v>120</v>
      </c>
      <c r="Q2483"/>
    </row>
    <row r="2484" spans="1:17" x14ac:dyDescent="0.25">
      <c r="A2484">
        <v>9</v>
      </c>
      <c r="B2484">
        <v>2016</v>
      </c>
      <c r="C2484" t="s">
        <v>360</v>
      </c>
      <c r="D2484" t="s">
        <v>361</v>
      </c>
      <c r="E2484" t="s">
        <v>942</v>
      </c>
      <c r="F2484" t="s">
        <v>943</v>
      </c>
      <c r="G2484">
        <v>66</v>
      </c>
      <c r="H2484">
        <v>24</v>
      </c>
      <c r="Q2484"/>
    </row>
    <row r="2485" spans="1:17" x14ac:dyDescent="0.25">
      <c r="A2485">
        <v>9</v>
      </c>
      <c r="B2485">
        <v>2016</v>
      </c>
      <c r="C2485" t="s">
        <v>360</v>
      </c>
      <c r="D2485" t="s">
        <v>361</v>
      </c>
      <c r="E2485" t="s">
        <v>820</v>
      </c>
      <c r="F2485" t="s">
        <v>821</v>
      </c>
      <c r="G2485">
        <v>252</v>
      </c>
      <c r="H2485">
        <v>24</v>
      </c>
      <c r="Q2485"/>
    </row>
    <row r="2486" spans="1:17" x14ac:dyDescent="0.25">
      <c r="A2486">
        <v>9</v>
      </c>
      <c r="B2486">
        <v>2016</v>
      </c>
      <c r="C2486" t="s">
        <v>360</v>
      </c>
      <c r="D2486" t="s">
        <v>361</v>
      </c>
      <c r="E2486" t="s">
        <v>987</v>
      </c>
      <c r="F2486" t="s">
        <v>988</v>
      </c>
      <c r="G2486">
        <v>822.48</v>
      </c>
      <c r="H2486">
        <v>276</v>
      </c>
      <c r="Q2486"/>
    </row>
    <row r="2487" spans="1:17" x14ac:dyDescent="0.25">
      <c r="A2487">
        <v>9</v>
      </c>
      <c r="B2487">
        <v>2016</v>
      </c>
      <c r="C2487" t="s">
        <v>360</v>
      </c>
      <c r="D2487" t="s">
        <v>361</v>
      </c>
      <c r="E2487" t="s">
        <v>989</v>
      </c>
      <c r="F2487" t="s">
        <v>988</v>
      </c>
      <c r="G2487">
        <v>107.28</v>
      </c>
      <c r="H2487">
        <v>36</v>
      </c>
      <c r="Q2487"/>
    </row>
    <row r="2488" spans="1:17" x14ac:dyDescent="0.25">
      <c r="A2488">
        <v>9</v>
      </c>
      <c r="B2488">
        <v>2016</v>
      </c>
      <c r="C2488" t="s">
        <v>360</v>
      </c>
      <c r="D2488" t="s">
        <v>361</v>
      </c>
      <c r="E2488" t="s">
        <v>990</v>
      </c>
      <c r="F2488" t="s">
        <v>991</v>
      </c>
      <c r="G2488">
        <v>1385.8</v>
      </c>
      <c r="H2488">
        <v>342</v>
      </c>
      <c r="Q2488"/>
    </row>
    <row r="2489" spans="1:17" x14ac:dyDescent="0.25">
      <c r="A2489">
        <v>9</v>
      </c>
      <c r="B2489">
        <v>2016</v>
      </c>
      <c r="C2489" t="s">
        <v>360</v>
      </c>
      <c r="D2489" t="s">
        <v>361</v>
      </c>
      <c r="E2489" t="s">
        <v>992</v>
      </c>
      <c r="F2489" t="s">
        <v>991</v>
      </c>
      <c r="G2489">
        <v>147.6</v>
      </c>
      <c r="H2489">
        <v>36</v>
      </c>
      <c r="Q2489"/>
    </row>
    <row r="2490" spans="1:17" x14ac:dyDescent="0.25">
      <c r="A2490">
        <v>9</v>
      </c>
      <c r="B2490">
        <v>2016</v>
      </c>
      <c r="C2490" t="s">
        <v>375</v>
      </c>
      <c r="D2490" t="s">
        <v>376</v>
      </c>
      <c r="E2490" t="s">
        <v>377</v>
      </c>
      <c r="F2490" t="s">
        <v>378</v>
      </c>
      <c r="G2490">
        <v>89.85</v>
      </c>
      <c r="H2490">
        <v>66.650000000000006</v>
      </c>
      <c r="I2490">
        <v>251.85</v>
      </c>
      <c r="J2490">
        <v>199.95</v>
      </c>
      <c r="Q2490"/>
    </row>
    <row r="2491" spans="1:17" x14ac:dyDescent="0.25">
      <c r="A2491">
        <v>9</v>
      </c>
      <c r="B2491">
        <v>2016</v>
      </c>
      <c r="C2491" t="s">
        <v>375</v>
      </c>
      <c r="D2491" t="s">
        <v>376</v>
      </c>
      <c r="E2491" t="s">
        <v>379</v>
      </c>
      <c r="F2491" t="s">
        <v>378</v>
      </c>
      <c r="G2491">
        <v>59.46</v>
      </c>
      <c r="H2491">
        <v>46.69</v>
      </c>
      <c r="I2491">
        <v>148.16</v>
      </c>
      <c r="J2491">
        <v>106.72</v>
      </c>
      <c r="Q2491"/>
    </row>
    <row r="2492" spans="1:17" x14ac:dyDescent="0.25">
      <c r="A2492">
        <v>9</v>
      </c>
      <c r="B2492">
        <v>2016</v>
      </c>
      <c r="C2492" t="s">
        <v>375</v>
      </c>
      <c r="D2492" t="s">
        <v>376</v>
      </c>
      <c r="E2492" t="s">
        <v>380</v>
      </c>
      <c r="F2492" t="s">
        <v>378</v>
      </c>
      <c r="G2492">
        <v>251.58</v>
      </c>
      <c r="H2492">
        <v>186.62</v>
      </c>
      <c r="I2492">
        <v>235.06</v>
      </c>
      <c r="J2492">
        <v>186.62</v>
      </c>
      <c r="Q2492"/>
    </row>
    <row r="2493" spans="1:17" x14ac:dyDescent="0.25">
      <c r="A2493">
        <v>9</v>
      </c>
      <c r="B2493">
        <v>2016</v>
      </c>
      <c r="C2493" t="s">
        <v>375</v>
      </c>
      <c r="D2493" t="s">
        <v>376</v>
      </c>
      <c r="E2493" t="s">
        <v>381</v>
      </c>
      <c r="F2493" t="s">
        <v>378</v>
      </c>
      <c r="G2493">
        <v>227.93</v>
      </c>
      <c r="H2493">
        <v>153.41</v>
      </c>
      <c r="I2493">
        <v>212.98</v>
      </c>
      <c r="J2493">
        <v>160.07999999999998</v>
      </c>
      <c r="Q2493"/>
    </row>
    <row r="2494" spans="1:17" x14ac:dyDescent="0.25">
      <c r="A2494">
        <v>9</v>
      </c>
      <c r="B2494">
        <v>2016</v>
      </c>
      <c r="C2494" t="s">
        <v>382</v>
      </c>
      <c r="D2494" t="s">
        <v>383</v>
      </c>
      <c r="E2494" t="s">
        <v>384</v>
      </c>
      <c r="F2494" t="s">
        <v>385</v>
      </c>
      <c r="G2494">
        <v>250.56</v>
      </c>
      <c r="H2494">
        <v>36</v>
      </c>
      <c r="Q2494"/>
    </row>
    <row r="2495" spans="1:17" x14ac:dyDescent="0.25">
      <c r="A2495">
        <v>9</v>
      </c>
      <c r="B2495">
        <v>2016</v>
      </c>
      <c r="C2495" t="s">
        <v>386</v>
      </c>
      <c r="D2495" t="s">
        <v>387</v>
      </c>
      <c r="E2495" t="s">
        <v>388</v>
      </c>
      <c r="F2495" t="s">
        <v>389</v>
      </c>
      <c r="G2495">
        <v>941.7</v>
      </c>
      <c r="H2495">
        <v>258</v>
      </c>
      <c r="I2495">
        <v>149.1</v>
      </c>
      <c r="J2495">
        <v>42</v>
      </c>
      <c r="Q2495"/>
    </row>
    <row r="2496" spans="1:17" x14ac:dyDescent="0.25">
      <c r="A2496">
        <v>9</v>
      </c>
      <c r="B2496">
        <v>2016</v>
      </c>
      <c r="C2496" t="s">
        <v>386</v>
      </c>
      <c r="D2496" t="s">
        <v>387</v>
      </c>
      <c r="E2496" t="s">
        <v>390</v>
      </c>
      <c r="F2496" t="s">
        <v>391</v>
      </c>
      <c r="G2496">
        <v>466.2</v>
      </c>
      <c r="H2496">
        <v>126</v>
      </c>
      <c r="Q2496"/>
    </row>
    <row r="2497" spans="1:17" x14ac:dyDescent="0.25">
      <c r="A2497">
        <v>9</v>
      </c>
      <c r="B2497">
        <v>2016</v>
      </c>
      <c r="C2497" t="s">
        <v>386</v>
      </c>
      <c r="D2497" t="s">
        <v>387</v>
      </c>
      <c r="E2497" t="s">
        <v>392</v>
      </c>
      <c r="F2497" t="s">
        <v>393</v>
      </c>
      <c r="G2497">
        <v>722.1</v>
      </c>
      <c r="H2497">
        <v>174</v>
      </c>
      <c r="I2497">
        <v>24.6</v>
      </c>
      <c r="J2497">
        <v>6</v>
      </c>
      <c r="Q2497"/>
    </row>
    <row r="2498" spans="1:17" x14ac:dyDescent="0.25">
      <c r="A2498">
        <v>9</v>
      </c>
      <c r="B2498">
        <v>2016</v>
      </c>
      <c r="C2498" t="s">
        <v>386</v>
      </c>
      <c r="D2498" t="s">
        <v>387</v>
      </c>
      <c r="E2498" t="s">
        <v>394</v>
      </c>
      <c r="F2498" t="s">
        <v>395</v>
      </c>
      <c r="G2498">
        <v>1211.25</v>
      </c>
      <c r="H2498">
        <v>759.81000000000006</v>
      </c>
      <c r="I2498">
        <v>243</v>
      </c>
      <c r="J2498">
        <v>159.96</v>
      </c>
      <c r="Q2498"/>
    </row>
    <row r="2499" spans="1:17" x14ac:dyDescent="0.25">
      <c r="A2499">
        <v>9</v>
      </c>
      <c r="B2499">
        <v>2016</v>
      </c>
      <c r="C2499" t="s">
        <v>386</v>
      </c>
      <c r="D2499" t="s">
        <v>387</v>
      </c>
      <c r="E2499" t="s">
        <v>396</v>
      </c>
      <c r="F2499" t="s">
        <v>397</v>
      </c>
      <c r="G2499">
        <v>1491.6</v>
      </c>
      <c r="H2499">
        <v>753.71</v>
      </c>
      <c r="I2499">
        <v>463.6</v>
      </c>
      <c r="J2499">
        <v>253.46</v>
      </c>
      <c r="Q2499"/>
    </row>
    <row r="2500" spans="1:17" x14ac:dyDescent="0.25">
      <c r="A2500">
        <v>9</v>
      </c>
      <c r="B2500">
        <v>2016</v>
      </c>
      <c r="C2500" t="s">
        <v>386</v>
      </c>
      <c r="D2500" t="s">
        <v>387</v>
      </c>
      <c r="E2500" t="s">
        <v>398</v>
      </c>
      <c r="F2500" t="s">
        <v>399</v>
      </c>
      <c r="G2500">
        <v>5338.2</v>
      </c>
      <c r="H2500">
        <v>1302</v>
      </c>
      <c r="I2500">
        <v>607.5</v>
      </c>
      <c r="J2500">
        <v>150</v>
      </c>
      <c r="Q2500"/>
    </row>
    <row r="2501" spans="1:17" x14ac:dyDescent="0.25">
      <c r="A2501">
        <v>9</v>
      </c>
      <c r="B2501">
        <v>2016</v>
      </c>
      <c r="C2501" t="s">
        <v>404</v>
      </c>
      <c r="D2501" t="s">
        <v>405</v>
      </c>
      <c r="E2501" t="s">
        <v>406</v>
      </c>
      <c r="F2501" t="s">
        <v>407</v>
      </c>
      <c r="G2501">
        <v>922.2</v>
      </c>
      <c r="H2501">
        <v>174</v>
      </c>
      <c r="Q2501"/>
    </row>
    <row r="2502" spans="1:17" x14ac:dyDescent="0.25">
      <c r="A2502">
        <v>9</v>
      </c>
      <c r="B2502">
        <v>2016</v>
      </c>
      <c r="C2502" t="s">
        <v>404</v>
      </c>
      <c r="D2502" t="s">
        <v>405</v>
      </c>
      <c r="E2502" t="s">
        <v>408</v>
      </c>
      <c r="F2502" t="s">
        <v>409</v>
      </c>
      <c r="G2502">
        <v>203.4</v>
      </c>
      <c r="H2502">
        <v>36</v>
      </c>
      <c r="Q2502"/>
    </row>
    <row r="2503" spans="1:17" x14ac:dyDescent="0.25">
      <c r="A2503">
        <v>9</v>
      </c>
      <c r="B2503">
        <v>2016</v>
      </c>
      <c r="C2503" t="s">
        <v>404</v>
      </c>
      <c r="D2503" t="s">
        <v>405</v>
      </c>
      <c r="E2503" t="s">
        <v>410</v>
      </c>
      <c r="F2503" t="s">
        <v>411</v>
      </c>
      <c r="G2503">
        <v>572.4</v>
      </c>
      <c r="H2503">
        <v>72</v>
      </c>
      <c r="Q2503"/>
    </row>
    <row r="2504" spans="1:17" x14ac:dyDescent="0.25">
      <c r="A2504">
        <v>9</v>
      </c>
      <c r="B2504">
        <v>2016</v>
      </c>
      <c r="C2504" t="s">
        <v>412</v>
      </c>
      <c r="D2504" t="s">
        <v>413</v>
      </c>
      <c r="E2504" t="s">
        <v>414</v>
      </c>
      <c r="F2504" t="s">
        <v>415</v>
      </c>
      <c r="G2504">
        <v>1198.8</v>
      </c>
      <c r="H2504">
        <v>324</v>
      </c>
      <c r="I2504">
        <v>1176.5999999999999</v>
      </c>
      <c r="J2504">
        <v>318</v>
      </c>
      <c r="Q2504"/>
    </row>
    <row r="2505" spans="1:17" x14ac:dyDescent="0.25">
      <c r="A2505">
        <v>9</v>
      </c>
      <c r="B2505">
        <v>2016</v>
      </c>
      <c r="C2505" t="s">
        <v>412</v>
      </c>
      <c r="D2505" t="s">
        <v>413</v>
      </c>
      <c r="E2505" t="s">
        <v>756</v>
      </c>
      <c r="F2505" t="s">
        <v>415</v>
      </c>
      <c r="G2505">
        <v>132</v>
      </c>
      <c r="H2505">
        <v>30</v>
      </c>
      <c r="Q2505"/>
    </row>
    <row r="2506" spans="1:17" x14ac:dyDescent="0.25">
      <c r="A2506">
        <v>9</v>
      </c>
      <c r="B2506">
        <v>2016</v>
      </c>
      <c r="C2506" t="s">
        <v>412</v>
      </c>
      <c r="D2506" t="s">
        <v>413</v>
      </c>
      <c r="E2506" t="s">
        <v>944</v>
      </c>
      <c r="F2506" t="s">
        <v>945</v>
      </c>
      <c r="G2506">
        <v>0</v>
      </c>
      <c r="H2506">
        <v>18</v>
      </c>
      <c r="Q2506"/>
    </row>
    <row r="2507" spans="1:17" x14ac:dyDescent="0.25">
      <c r="A2507">
        <v>9</v>
      </c>
      <c r="B2507">
        <v>2016</v>
      </c>
      <c r="C2507" t="s">
        <v>412</v>
      </c>
      <c r="D2507" t="s">
        <v>413</v>
      </c>
      <c r="E2507" t="s">
        <v>416</v>
      </c>
      <c r="F2507" t="s">
        <v>417</v>
      </c>
      <c r="G2507">
        <v>46.8</v>
      </c>
      <c r="H2507">
        <v>12</v>
      </c>
      <c r="I2507">
        <v>140.4</v>
      </c>
      <c r="J2507">
        <v>36</v>
      </c>
      <c r="Q2507"/>
    </row>
    <row r="2508" spans="1:17" x14ac:dyDescent="0.25">
      <c r="A2508">
        <v>9</v>
      </c>
      <c r="B2508">
        <v>2016</v>
      </c>
      <c r="C2508" t="s">
        <v>412</v>
      </c>
      <c r="D2508" t="s">
        <v>413</v>
      </c>
      <c r="E2508" t="s">
        <v>824</v>
      </c>
      <c r="F2508" t="s">
        <v>825</v>
      </c>
      <c r="G2508">
        <v>162</v>
      </c>
      <c r="H2508">
        <v>30</v>
      </c>
      <c r="Q2508"/>
    </row>
    <row r="2509" spans="1:17" x14ac:dyDescent="0.25">
      <c r="A2509">
        <v>9</v>
      </c>
      <c r="B2509">
        <v>2016</v>
      </c>
      <c r="C2509" t="s">
        <v>412</v>
      </c>
      <c r="D2509" t="s">
        <v>413</v>
      </c>
      <c r="E2509" t="s">
        <v>418</v>
      </c>
      <c r="F2509" t="s">
        <v>419</v>
      </c>
      <c r="G2509">
        <v>1264.8</v>
      </c>
      <c r="H2509">
        <v>288</v>
      </c>
      <c r="I2509">
        <v>883.5</v>
      </c>
      <c r="J2509">
        <v>204</v>
      </c>
      <c r="Q2509"/>
    </row>
    <row r="2510" spans="1:17" x14ac:dyDescent="0.25">
      <c r="A2510">
        <v>9</v>
      </c>
      <c r="B2510">
        <v>2016</v>
      </c>
      <c r="C2510" t="s">
        <v>412</v>
      </c>
      <c r="D2510" t="s">
        <v>413</v>
      </c>
      <c r="E2510" t="s">
        <v>420</v>
      </c>
      <c r="F2510" t="s">
        <v>421</v>
      </c>
      <c r="G2510">
        <v>756.4</v>
      </c>
      <c r="H2510">
        <v>132</v>
      </c>
      <c r="I2510">
        <v>545.6</v>
      </c>
      <c r="J2510">
        <v>102</v>
      </c>
      <c r="Q2510"/>
    </row>
    <row r="2511" spans="1:17" x14ac:dyDescent="0.25">
      <c r="A2511">
        <v>9</v>
      </c>
      <c r="B2511">
        <v>2016</v>
      </c>
      <c r="C2511" t="s">
        <v>412</v>
      </c>
      <c r="D2511" t="s">
        <v>413</v>
      </c>
      <c r="E2511" t="s">
        <v>422</v>
      </c>
      <c r="F2511" t="s">
        <v>423</v>
      </c>
      <c r="G2511">
        <v>52.2</v>
      </c>
      <c r="H2511">
        <v>6</v>
      </c>
      <c r="I2511">
        <v>365.4</v>
      </c>
      <c r="J2511">
        <v>42</v>
      </c>
      <c r="Q2511"/>
    </row>
    <row r="2512" spans="1:17" x14ac:dyDescent="0.25">
      <c r="A2512">
        <v>9</v>
      </c>
      <c r="B2512">
        <v>2016</v>
      </c>
      <c r="C2512" t="s">
        <v>432</v>
      </c>
      <c r="D2512" t="s">
        <v>433</v>
      </c>
      <c r="E2512" t="s">
        <v>436</v>
      </c>
      <c r="F2512" t="s">
        <v>437</v>
      </c>
      <c r="G2512">
        <v>352.8</v>
      </c>
      <c r="H2512">
        <v>168</v>
      </c>
      <c r="I2512">
        <v>1504.7</v>
      </c>
      <c r="J2512">
        <v>744</v>
      </c>
      <c r="Q2512"/>
    </row>
    <row r="2513" spans="1:17" x14ac:dyDescent="0.25">
      <c r="A2513">
        <v>9</v>
      </c>
      <c r="B2513">
        <v>2016</v>
      </c>
      <c r="C2513" t="s">
        <v>438</v>
      </c>
      <c r="D2513" t="s">
        <v>439</v>
      </c>
      <c r="E2513" t="s">
        <v>440</v>
      </c>
      <c r="F2513" t="s">
        <v>441</v>
      </c>
      <c r="G2513">
        <v>1669.5</v>
      </c>
      <c r="H2513">
        <v>1044</v>
      </c>
      <c r="I2513">
        <v>1497.78</v>
      </c>
      <c r="J2513">
        <v>954</v>
      </c>
      <c r="Q2513"/>
    </row>
    <row r="2514" spans="1:17" x14ac:dyDescent="0.25">
      <c r="A2514">
        <v>9</v>
      </c>
      <c r="B2514">
        <v>2016</v>
      </c>
      <c r="C2514" t="s">
        <v>438</v>
      </c>
      <c r="D2514" t="s">
        <v>439</v>
      </c>
      <c r="E2514" t="s">
        <v>442</v>
      </c>
      <c r="F2514" t="s">
        <v>441</v>
      </c>
      <c r="G2514">
        <v>2330.7600000000002</v>
      </c>
      <c r="H2514">
        <v>1404</v>
      </c>
      <c r="I2514">
        <v>9856.2199999999993</v>
      </c>
      <c r="J2514">
        <v>7176</v>
      </c>
      <c r="Q2514"/>
    </row>
    <row r="2515" spans="1:17" x14ac:dyDescent="0.25">
      <c r="A2515">
        <v>9</v>
      </c>
      <c r="B2515">
        <v>2016</v>
      </c>
      <c r="C2515" t="s">
        <v>438</v>
      </c>
      <c r="D2515" t="s">
        <v>439</v>
      </c>
      <c r="E2515" t="s">
        <v>443</v>
      </c>
      <c r="F2515" t="s">
        <v>441</v>
      </c>
      <c r="G2515">
        <v>555.36</v>
      </c>
      <c r="H2515">
        <v>312</v>
      </c>
      <c r="I2515">
        <v>496.32</v>
      </c>
      <c r="J2515">
        <v>282</v>
      </c>
      <c r="Q2515"/>
    </row>
    <row r="2516" spans="1:17" x14ac:dyDescent="0.25">
      <c r="A2516">
        <v>9</v>
      </c>
      <c r="B2516">
        <v>2016</v>
      </c>
      <c r="C2516" t="s">
        <v>438</v>
      </c>
      <c r="D2516" t="s">
        <v>439</v>
      </c>
      <c r="E2516" t="s">
        <v>444</v>
      </c>
      <c r="F2516" t="s">
        <v>445</v>
      </c>
      <c r="G2516">
        <v>488.94</v>
      </c>
      <c r="H2516">
        <v>180</v>
      </c>
      <c r="I2516">
        <v>168.6</v>
      </c>
      <c r="J2516">
        <v>60</v>
      </c>
      <c r="Q2516"/>
    </row>
    <row r="2517" spans="1:17" x14ac:dyDescent="0.25">
      <c r="A2517">
        <v>9</v>
      </c>
      <c r="B2517">
        <v>2016</v>
      </c>
      <c r="C2517" t="s">
        <v>438</v>
      </c>
      <c r="D2517" t="s">
        <v>439</v>
      </c>
      <c r="E2517" t="s">
        <v>446</v>
      </c>
      <c r="F2517" t="s">
        <v>447</v>
      </c>
      <c r="G2517">
        <v>297.83999999999997</v>
      </c>
      <c r="H2517">
        <v>102</v>
      </c>
      <c r="I2517">
        <v>153.9</v>
      </c>
      <c r="J2517">
        <v>54</v>
      </c>
      <c r="Q2517"/>
    </row>
    <row r="2518" spans="1:17" x14ac:dyDescent="0.25">
      <c r="A2518">
        <v>9</v>
      </c>
      <c r="B2518">
        <v>2016</v>
      </c>
      <c r="C2518" t="s">
        <v>438</v>
      </c>
      <c r="D2518" t="s">
        <v>439</v>
      </c>
      <c r="E2518" t="s">
        <v>966</v>
      </c>
      <c r="F2518" t="s">
        <v>967</v>
      </c>
      <c r="G2518">
        <v>161.28</v>
      </c>
      <c r="H2518">
        <v>72</v>
      </c>
      <c r="Q2518"/>
    </row>
    <row r="2519" spans="1:17" x14ac:dyDescent="0.25">
      <c r="A2519">
        <v>9</v>
      </c>
      <c r="B2519">
        <v>2016</v>
      </c>
      <c r="C2519" t="s">
        <v>448</v>
      </c>
      <c r="D2519" t="s">
        <v>449</v>
      </c>
      <c r="E2519" t="s">
        <v>450</v>
      </c>
      <c r="F2519" t="s">
        <v>451</v>
      </c>
      <c r="G2519">
        <v>523.6</v>
      </c>
      <c r="H2519">
        <v>373.24</v>
      </c>
      <c r="I2519">
        <v>127.4</v>
      </c>
      <c r="J2519">
        <v>93.31</v>
      </c>
      <c r="Q2519"/>
    </row>
    <row r="2520" spans="1:17" x14ac:dyDescent="0.25">
      <c r="A2520">
        <v>9</v>
      </c>
      <c r="B2520">
        <v>2016</v>
      </c>
      <c r="C2520" t="s">
        <v>448</v>
      </c>
      <c r="D2520" t="s">
        <v>449</v>
      </c>
      <c r="E2520" t="s">
        <v>452</v>
      </c>
      <c r="F2520" t="s">
        <v>451</v>
      </c>
      <c r="G2520">
        <v>379.1</v>
      </c>
      <c r="H2520">
        <v>226.78</v>
      </c>
      <c r="I2520">
        <v>333.25</v>
      </c>
      <c r="J2520">
        <v>206.77</v>
      </c>
      <c r="Q2520"/>
    </row>
    <row r="2521" spans="1:17" x14ac:dyDescent="0.25">
      <c r="A2521">
        <v>9</v>
      </c>
      <c r="B2521">
        <v>2016</v>
      </c>
      <c r="C2521" t="s">
        <v>448</v>
      </c>
      <c r="D2521" t="s">
        <v>449</v>
      </c>
      <c r="E2521" t="s">
        <v>453</v>
      </c>
      <c r="F2521" t="s">
        <v>454</v>
      </c>
      <c r="G2521">
        <v>151.19999999999999</v>
      </c>
      <c r="H2521">
        <v>48</v>
      </c>
      <c r="I2521">
        <v>146.4</v>
      </c>
      <c r="J2521">
        <v>48</v>
      </c>
      <c r="Q2521"/>
    </row>
    <row r="2522" spans="1:17" x14ac:dyDescent="0.25">
      <c r="A2522">
        <v>9</v>
      </c>
      <c r="B2522">
        <v>2016</v>
      </c>
      <c r="C2522" t="s">
        <v>455</v>
      </c>
      <c r="D2522" t="s">
        <v>456</v>
      </c>
      <c r="E2522" t="s">
        <v>457</v>
      </c>
      <c r="F2522" t="s">
        <v>458</v>
      </c>
      <c r="G2522">
        <v>1607.4</v>
      </c>
      <c r="H2522">
        <v>282</v>
      </c>
      <c r="I2522">
        <v>759</v>
      </c>
      <c r="J2522">
        <v>138</v>
      </c>
      <c r="Q2522"/>
    </row>
    <row r="2523" spans="1:17" x14ac:dyDescent="0.25">
      <c r="A2523">
        <v>9</v>
      </c>
      <c r="B2523">
        <v>2016</v>
      </c>
      <c r="C2523" t="s">
        <v>455</v>
      </c>
      <c r="D2523" t="s">
        <v>456</v>
      </c>
      <c r="E2523" t="s">
        <v>459</v>
      </c>
      <c r="F2523" t="s">
        <v>458</v>
      </c>
      <c r="G2523">
        <v>189</v>
      </c>
      <c r="H2523">
        <v>30</v>
      </c>
      <c r="I2523">
        <v>109.8</v>
      </c>
      <c r="J2523">
        <v>18</v>
      </c>
      <c r="Q2523"/>
    </row>
    <row r="2524" spans="1:17" x14ac:dyDescent="0.25">
      <c r="A2524">
        <v>9</v>
      </c>
      <c r="B2524">
        <v>2016</v>
      </c>
      <c r="C2524" t="s">
        <v>455</v>
      </c>
      <c r="D2524" t="s">
        <v>456</v>
      </c>
      <c r="E2524" t="s">
        <v>460</v>
      </c>
      <c r="F2524" t="s">
        <v>458</v>
      </c>
      <c r="G2524">
        <v>360</v>
      </c>
      <c r="H2524">
        <v>60</v>
      </c>
      <c r="I2524">
        <v>448.5</v>
      </c>
      <c r="J2524">
        <v>78</v>
      </c>
      <c r="Q2524"/>
    </row>
    <row r="2525" spans="1:17" x14ac:dyDescent="0.25">
      <c r="A2525">
        <v>9</v>
      </c>
      <c r="B2525">
        <v>2016</v>
      </c>
      <c r="C2525" t="s">
        <v>455</v>
      </c>
      <c r="D2525" t="s">
        <v>456</v>
      </c>
      <c r="E2525" t="s">
        <v>461</v>
      </c>
      <c r="F2525" t="s">
        <v>458</v>
      </c>
      <c r="G2525">
        <v>39.6</v>
      </c>
      <c r="H2525">
        <v>6</v>
      </c>
      <c r="I2525">
        <v>153.6</v>
      </c>
      <c r="J2525">
        <v>24</v>
      </c>
      <c r="Q2525"/>
    </row>
    <row r="2526" spans="1:17" x14ac:dyDescent="0.25">
      <c r="A2526">
        <v>9</v>
      </c>
      <c r="B2526">
        <v>2016</v>
      </c>
      <c r="C2526" t="s">
        <v>462</v>
      </c>
      <c r="D2526" t="s">
        <v>463</v>
      </c>
      <c r="E2526" t="s">
        <v>464</v>
      </c>
      <c r="F2526" t="s">
        <v>465</v>
      </c>
      <c r="G2526">
        <v>2079</v>
      </c>
      <c r="H2526">
        <v>756</v>
      </c>
      <c r="I2526">
        <v>702</v>
      </c>
      <c r="J2526">
        <v>270</v>
      </c>
      <c r="Q2526"/>
    </row>
    <row r="2527" spans="1:17" x14ac:dyDescent="0.25">
      <c r="A2527">
        <v>9</v>
      </c>
      <c r="B2527">
        <v>2016</v>
      </c>
      <c r="C2527" t="s">
        <v>462</v>
      </c>
      <c r="D2527" t="s">
        <v>463</v>
      </c>
      <c r="E2527" t="s">
        <v>466</v>
      </c>
      <c r="F2527" t="s">
        <v>465</v>
      </c>
      <c r="G2527">
        <v>162.24</v>
      </c>
      <c r="H2527">
        <v>48</v>
      </c>
      <c r="I2527">
        <v>99</v>
      </c>
      <c r="J2527">
        <v>36</v>
      </c>
      <c r="Q2527"/>
    </row>
    <row r="2528" spans="1:17" x14ac:dyDescent="0.25">
      <c r="A2528">
        <v>9</v>
      </c>
      <c r="B2528">
        <v>2016</v>
      </c>
      <c r="C2528" t="s">
        <v>462</v>
      </c>
      <c r="D2528" t="s">
        <v>463</v>
      </c>
      <c r="E2528" t="s">
        <v>467</v>
      </c>
      <c r="F2528" t="s">
        <v>468</v>
      </c>
      <c r="G2528">
        <v>267.89999999999998</v>
      </c>
      <c r="H2528">
        <v>114</v>
      </c>
      <c r="I2528">
        <v>28.2</v>
      </c>
      <c r="J2528">
        <v>12</v>
      </c>
      <c r="Q2528"/>
    </row>
    <row r="2529" spans="1:17" x14ac:dyDescent="0.25">
      <c r="A2529">
        <v>9</v>
      </c>
      <c r="B2529">
        <v>2016</v>
      </c>
      <c r="C2529" t="s">
        <v>462</v>
      </c>
      <c r="D2529" t="s">
        <v>463</v>
      </c>
      <c r="E2529" t="s">
        <v>760</v>
      </c>
      <c r="F2529" t="s">
        <v>468</v>
      </c>
      <c r="G2529">
        <v>90.6</v>
      </c>
      <c r="H2529">
        <v>30</v>
      </c>
      <c r="Q2529"/>
    </row>
    <row r="2530" spans="1:17" x14ac:dyDescent="0.25">
      <c r="A2530">
        <v>9</v>
      </c>
      <c r="B2530">
        <v>2016</v>
      </c>
      <c r="C2530" t="s">
        <v>462</v>
      </c>
      <c r="D2530" t="s">
        <v>463</v>
      </c>
      <c r="E2530" t="s">
        <v>469</v>
      </c>
      <c r="F2530" t="s">
        <v>470</v>
      </c>
      <c r="G2530">
        <v>1155</v>
      </c>
      <c r="H2530">
        <v>666.5</v>
      </c>
      <c r="I2530">
        <v>726.4</v>
      </c>
      <c r="J2530">
        <v>426.56</v>
      </c>
      <c r="Q2530"/>
    </row>
    <row r="2531" spans="1:17" x14ac:dyDescent="0.25">
      <c r="A2531">
        <v>9</v>
      </c>
      <c r="B2531">
        <v>2016</v>
      </c>
      <c r="C2531" t="s">
        <v>462</v>
      </c>
      <c r="D2531" t="s">
        <v>463</v>
      </c>
      <c r="E2531" t="s">
        <v>471</v>
      </c>
      <c r="F2531" t="s">
        <v>470</v>
      </c>
      <c r="G2531">
        <v>1282.5</v>
      </c>
      <c r="H2531">
        <v>640.31999999999994</v>
      </c>
      <c r="I2531">
        <v>1192.32</v>
      </c>
      <c r="J2531">
        <v>613.64</v>
      </c>
      <c r="Q2531"/>
    </row>
    <row r="2532" spans="1:17" x14ac:dyDescent="0.25">
      <c r="A2532">
        <v>9</v>
      </c>
      <c r="B2532">
        <v>2016</v>
      </c>
      <c r="C2532" t="s">
        <v>476</v>
      </c>
      <c r="D2532" t="s">
        <v>477</v>
      </c>
      <c r="E2532" t="s">
        <v>478</v>
      </c>
      <c r="F2532" t="s">
        <v>479</v>
      </c>
      <c r="G2532">
        <v>361.8</v>
      </c>
      <c r="H2532">
        <v>54</v>
      </c>
      <c r="I2532">
        <v>614.4</v>
      </c>
      <c r="J2532">
        <v>96</v>
      </c>
      <c r="Q2532"/>
    </row>
    <row r="2533" spans="1:17" x14ac:dyDescent="0.25">
      <c r="A2533">
        <v>9</v>
      </c>
      <c r="B2533">
        <v>2016</v>
      </c>
      <c r="C2533" t="s">
        <v>485</v>
      </c>
      <c r="D2533" t="s">
        <v>486</v>
      </c>
      <c r="E2533" t="s">
        <v>487</v>
      </c>
      <c r="F2533" t="s">
        <v>488</v>
      </c>
      <c r="G2533">
        <v>938.4</v>
      </c>
      <c r="H2533">
        <v>204</v>
      </c>
      <c r="I2533">
        <v>737.1</v>
      </c>
      <c r="J2533">
        <v>162</v>
      </c>
      <c r="Q2533"/>
    </row>
    <row r="2534" spans="1:17" x14ac:dyDescent="0.25">
      <c r="A2534">
        <v>9</v>
      </c>
      <c r="B2534">
        <v>2016</v>
      </c>
      <c r="C2534" t="s">
        <v>485</v>
      </c>
      <c r="D2534" t="s">
        <v>486</v>
      </c>
      <c r="E2534" t="s">
        <v>761</v>
      </c>
      <c r="F2534" t="s">
        <v>762</v>
      </c>
      <c r="G2534">
        <v>52.2</v>
      </c>
      <c r="H2534">
        <v>12</v>
      </c>
      <c r="I2534">
        <v>-25.8</v>
      </c>
      <c r="J2534">
        <v>-6</v>
      </c>
      <c r="Q2534"/>
    </row>
    <row r="2535" spans="1:17" x14ac:dyDescent="0.25">
      <c r="A2535">
        <v>9</v>
      </c>
      <c r="B2535">
        <v>2016</v>
      </c>
      <c r="C2535" t="s">
        <v>506</v>
      </c>
      <c r="D2535" t="s">
        <v>507</v>
      </c>
      <c r="E2535" t="s">
        <v>508</v>
      </c>
      <c r="F2535" t="s">
        <v>509</v>
      </c>
      <c r="G2535">
        <v>2898</v>
      </c>
      <c r="H2535">
        <v>660</v>
      </c>
      <c r="I2535">
        <v>1108.8</v>
      </c>
      <c r="J2535">
        <v>252</v>
      </c>
      <c r="Q2535"/>
    </row>
    <row r="2536" spans="1:17" x14ac:dyDescent="0.25">
      <c r="A2536">
        <v>9</v>
      </c>
      <c r="B2536">
        <v>2016</v>
      </c>
      <c r="C2536" t="s">
        <v>506</v>
      </c>
      <c r="D2536" t="s">
        <v>507</v>
      </c>
      <c r="E2536" t="s">
        <v>510</v>
      </c>
      <c r="F2536" t="s">
        <v>511</v>
      </c>
      <c r="G2536">
        <v>277.2</v>
      </c>
      <c r="H2536">
        <v>84</v>
      </c>
      <c r="I2536">
        <v>998.4</v>
      </c>
      <c r="J2536">
        <v>312</v>
      </c>
      <c r="Q2536"/>
    </row>
    <row r="2537" spans="1:17" x14ac:dyDescent="0.25">
      <c r="A2537">
        <v>9</v>
      </c>
      <c r="B2537">
        <v>2016</v>
      </c>
      <c r="C2537" t="s">
        <v>506</v>
      </c>
      <c r="D2537" t="s">
        <v>507</v>
      </c>
      <c r="E2537" t="s">
        <v>514</v>
      </c>
      <c r="F2537" t="s">
        <v>515</v>
      </c>
      <c r="G2537">
        <v>907.2</v>
      </c>
      <c r="H2537">
        <v>144</v>
      </c>
      <c r="I2537">
        <v>446.4</v>
      </c>
      <c r="J2537">
        <v>72</v>
      </c>
      <c r="Q2537"/>
    </row>
    <row r="2538" spans="1:17" x14ac:dyDescent="0.25">
      <c r="A2538">
        <v>9</v>
      </c>
      <c r="B2538">
        <v>2016</v>
      </c>
      <c r="C2538" t="s">
        <v>516</v>
      </c>
      <c r="D2538" t="s">
        <v>517</v>
      </c>
      <c r="E2538" t="s">
        <v>520</v>
      </c>
      <c r="F2538" t="s">
        <v>521</v>
      </c>
      <c r="G2538">
        <v>228.48</v>
      </c>
      <c r="H2538">
        <v>48</v>
      </c>
      <c r="Q2538"/>
    </row>
    <row r="2539" spans="1:17" x14ac:dyDescent="0.25">
      <c r="A2539">
        <v>9</v>
      </c>
      <c r="B2539">
        <v>2016</v>
      </c>
      <c r="C2539" t="s">
        <v>516</v>
      </c>
      <c r="D2539" t="s">
        <v>517</v>
      </c>
      <c r="E2539" t="s">
        <v>522</v>
      </c>
      <c r="F2539" t="s">
        <v>523</v>
      </c>
      <c r="G2539">
        <v>1074.06</v>
      </c>
      <c r="H2539">
        <v>234</v>
      </c>
      <c r="Q2539"/>
    </row>
    <row r="2540" spans="1:17" x14ac:dyDescent="0.25">
      <c r="A2540">
        <v>9</v>
      </c>
      <c r="B2540">
        <v>2016</v>
      </c>
      <c r="C2540" t="s">
        <v>524</v>
      </c>
      <c r="D2540" t="s">
        <v>525</v>
      </c>
      <c r="E2540" t="s">
        <v>526</v>
      </c>
      <c r="F2540" t="s">
        <v>527</v>
      </c>
      <c r="G2540">
        <v>1327.2</v>
      </c>
      <c r="H2540">
        <v>474</v>
      </c>
      <c r="I2540">
        <v>1054.7</v>
      </c>
      <c r="J2540">
        <v>408</v>
      </c>
      <c r="Q2540"/>
    </row>
    <row r="2541" spans="1:17" x14ac:dyDescent="0.25">
      <c r="A2541">
        <v>9</v>
      </c>
      <c r="B2541">
        <v>2016</v>
      </c>
      <c r="C2541" t="s">
        <v>524</v>
      </c>
      <c r="D2541" t="s">
        <v>525</v>
      </c>
      <c r="E2541" t="s">
        <v>528</v>
      </c>
      <c r="F2541" t="s">
        <v>529</v>
      </c>
      <c r="G2541">
        <v>148.5</v>
      </c>
      <c r="H2541">
        <v>30</v>
      </c>
      <c r="I2541">
        <v>57.6</v>
      </c>
      <c r="J2541">
        <v>12</v>
      </c>
      <c r="Q2541"/>
    </row>
    <row r="2542" spans="1:17" x14ac:dyDescent="0.25">
      <c r="A2542">
        <v>9</v>
      </c>
      <c r="B2542">
        <v>2016</v>
      </c>
      <c r="C2542" t="s">
        <v>530</v>
      </c>
      <c r="D2542" t="s">
        <v>531</v>
      </c>
      <c r="E2542" t="s">
        <v>532</v>
      </c>
      <c r="F2542" t="s">
        <v>533</v>
      </c>
      <c r="G2542">
        <v>309.60000000000002</v>
      </c>
      <c r="H2542">
        <v>72</v>
      </c>
      <c r="I2542">
        <v>730.8</v>
      </c>
      <c r="J2542">
        <v>180</v>
      </c>
      <c r="Q2542"/>
    </row>
    <row r="2543" spans="1:17" x14ac:dyDescent="0.25">
      <c r="A2543">
        <v>9</v>
      </c>
      <c r="B2543">
        <v>2016</v>
      </c>
      <c r="C2543" t="s">
        <v>534</v>
      </c>
      <c r="D2543" t="s">
        <v>535</v>
      </c>
      <c r="E2543" t="s">
        <v>536</v>
      </c>
      <c r="F2543" t="s">
        <v>537</v>
      </c>
      <c r="G2543">
        <v>260</v>
      </c>
      <c r="H2543">
        <v>66</v>
      </c>
      <c r="I2543">
        <v>210.6</v>
      </c>
      <c r="J2543">
        <v>54</v>
      </c>
      <c r="Q2543"/>
    </row>
    <row r="2544" spans="1:17" x14ac:dyDescent="0.25">
      <c r="A2544">
        <v>9</v>
      </c>
      <c r="B2544">
        <v>2016</v>
      </c>
      <c r="C2544" t="s">
        <v>534</v>
      </c>
      <c r="D2544" t="s">
        <v>535</v>
      </c>
      <c r="E2544" t="s">
        <v>538</v>
      </c>
      <c r="F2544" t="s">
        <v>537</v>
      </c>
      <c r="G2544">
        <v>648</v>
      </c>
      <c r="H2544">
        <v>162</v>
      </c>
      <c r="I2544">
        <v>210.6</v>
      </c>
      <c r="J2544">
        <v>54</v>
      </c>
      <c r="Q2544"/>
    </row>
    <row r="2545" spans="1:17" x14ac:dyDescent="0.25">
      <c r="A2545">
        <v>9</v>
      </c>
      <c r="B2545">
        <v>2016</v>
      </c>
      <c r="C2545" t="s">
        <v>534</v>
      </c>
      <c r="D2545" t="s">
        <v>535</v>
      </c>
      <c r="E2545" t="s">
        <v>970</v>
      </c>
      <c r="F2545" t="s">
        <v>971</v>
      </c>
      <c r="G2545">
        <v>29.4</v>
      </c>
      <c r="H2545">
        <v>6</v>
      </c>
      <c r="Q2545"/>
    </row>
    <row r="2546" spans="1:17" x14ac:dyDescent="0.25">
      <c r="A2546">
        <v>9</v>
      </c>
      <c r="B2546">
        <v>2016</v>
      </c>
      <c r="C2546" t="s">
        <v>539</v>
      </c>
      <c r="D2546" t="s">
        <v>540</v>
      </c>
      <c r="E2546" t="s">
        <v>541</v>
      </c>
      <c r="F2546" t="s">
        <v>542</v>
      </c>
      <c r="G2546">
        <v>1017</v>
      </c>
      <c r="H2546">
        <v>180</v>
      </c>
      <c r="I2546">
        <v>99.9</v>
      </c>
      <c r="J2546">
        <v>18</v>
      </c>
      <c r="Q2546"/>
    </row>
    <row r="2547" spans="1:17" x14ac:dyDescent="0.25">
      <c r="A2547">
        <v>9</v>
      </c>
      <c r="B2547">
        <v>2016</v>
      </c>
      <c r="C2547" t="s">
        <v>543</v>
      </c>
      <c r="D2547" t="s">
        <v>544</v>
      </c>
      <c r="E2547" t="s">
        <v>833</v>
      </c>
      <c r="F2547" t="s">
        <v>834</v>
      </c>
      <c r="G2547">
        <v>661.2</v>
      </c>
      <c r="H2547">
        <v>114</v>
      </c>
      <c r="I2547">
        <v>1254.3</v>
      </c>
      <c r="J2547">
        <v>222</v>
      </c>
      <c r="Q2547"/>
    </row>
    <row r="2548" spans="1:17" x14ac:dyDescent="0.25">
      <c r="A2548">
        <v>9</v>
      </c>
      <c r="B2548">
        <v>2016</v>
      </c>
      <c r="C2548" t="s">
        <v>543</v>
      </c>
      <c r="D2548" t="s">
        <v>544</v>
      </c>
      <c r="E2548" t="s">
        <v>545</v>
      </c>
      <c r="F2548" t="s">
        <v>546</v>
      </c>
      <c r="G2548">
        <v>1945.8</v>
      </c>
      <c r="H2548">
        <v>282</v>
      </c>
      <c r="I2548">
        <v>1728.6</v>
      </c>
      <c r="J2548">
        <v>258</v>
      </c>
      <c r="Q2548"/>
    </row>
    <row r="2549" spans="1:17" x14ac:dyDescent="0.25">
      <c r="A2549">
        <v>9</v>
      </c>
      <c r="B2549">
        <v>2016</v>
      </c>
      <c r="C2549" t="s">
        <v>543</v>
      </c>
      <c r="D2549" t="s">
        <v>544</v>
      </c>
      <c r="E2549" t="s">
        <v>547</v>
      </c>
      <c r="F2549" t="s">
        <v>546</v>
      </c>
      <c r="G2549">
        <v>47.4</v>
      </c>
      <c r="H2549">
        <v>6</v>
      </c>
      <c r="I2549">
        <v>277.2</v>
      </c>
      <c r="J2549">
        <v>36</v>
      </c>
      <c r="Q2549"/>
    </row>
    <row r="2550" spans="1:17" x14ac:dyDescent="0.25">
      <c r="A2550">
        <v>9</v>
      </c>
      <c r="B2550">
        <v>2016</v>
      </c>
      <c r="C2550" t="s">
        <v>543</v>
      </c>
      <c r="D2550" t="s">
        <v>544</v>
      </c>
      <c r="E2550" t="s">
        <v>550</v>
      </c>
      <c r="F2550" t="s">
        <v>551</v>
      </c>
      <c r="G2550">
        <v>475.2</v>
      </c>
      <c r="H2550">
        <v>72</v>
      </c>
      <c r="Q2550"/>
    </row>
    <row r="2551" spans="1:17" x14ac:dyDescent="0.25">
      <c r="A2551">
        <v>9</v>
      </c>
      <c r="B2551">
        <v>2016</v>
      </c>
      <c r="C2551" t="s">
        <v>554</v>
      </c>
      <c r="D2551" t="s">
        <v>555</v>
      </c>
      <c r="E2551" t="s">
        <v>556</v>
      </c>
      <c r="F2551" t="s">
        <v>557</v>
      </c>
      <c r="G2551">
        <v>91.5</v>
      </c>
      <c r="H2551">
        <v>30</v>
      </c>
      <c r="I2551">
        <v>300.89999999999998</v>
      </c>
      <c r="J2551">
        <v>102</v>
      </c>
      <c r="Q2551"/>
    </row>
    <row r="2552" spans="1:17" x14ac:dyDescent="0.25">
      <c r="A2552">
        <v>9</v>
      </c>
      <c r="B2552">
        <v>2016</v>
      </c>
      <c r="C2552" t="s">
        <v>560</v>
      </c>
      <c r="D2552" t="s">
        <v>561</v>
      </c>
      <c r="E2552" t="s">
        <v>562</v>
      </c>
      <c r="F2552" t="s">
        <v>563</v>
      </c>
      <c r="G2552">
        <v>1009.2</v>
      </c>
      <c r="H2552">
        <v>348</v>
      </c>
      <c r="I2552">
        <v>2338</v>
      </c>
      <c r="J2552">
        <v>840</v>
      </c>
      <c r="Q2552"/>
    </row>
    <row r="2553" spans="1:17" x14ac:dyDescent="0.25">
      <c r="A2553">
        <v>9</v>
      </c>
      <c r="B2553">
        <v>2016</v>
      </c>
      <c r="C2553" t="s">
        <v>560</v>
      </c>
      <c r="D2553" t="s">
        <v>561</v>
      </c>
      <c r="E2553" t="s">
        <v>564</v>
      </c>
      <c r="F2553" t="s">
        <v>565</v>
      </c>
      <c r="G2553">
        <v>103.2</v>
      </c>
      <c r="H2553">
        <v>24</v>
      </c>
      <c r="I2553">
        <v>392</v>
      </c>
      <c r="J2553">
        <v>102</v>
      </c>
      <c r="Q2553"/>
    </row>
    <row r="2554" spans="1:17" x14ac:dyDescent="0.25">
      <c r="A2554">
        <v>9</v>
      </c>
      <c r="B2554">
        <v>2016</v>
      </c>
      <c r="C2554" t="s">
        <v>560</v>
      </c>
      <c r="D2554" t="s">
        <v>561</v>
      </c>
      <c r="E2554" t="s">
        <v>773</v>
      </c>
      <c r="F2554" t="s">
        <v>774</v>
      </c>
      <c r="G2554">
        <v>139.19999999999999</v>
      </c>
      <c r="H2554">
        <v>228</v>
      </c>
      <c r="I2554">
        <v>84</v>
      </c>
      <c r="J2554">
        <v>30</v>
      </c>
      <c r="Q2554"/>
    </row>
    <row r="2555" spans="1:17" x14ac:dyDescent="0.25">
      <c r="A2555">
        <v>9</v>
      </c>
      <c r="B2555">
        <v>2016</v>
      </c>
      <c r="C2555" t="s">
        <v>560</v>
      </c>
      <c r="D2555" t="s">
        <v>561</v>
      </c>
      <c r="E2555" t="s">
        <v>775</v>
      </c>
      <c r="F2555" t="s">
        <v>776</v>
      </c>
      <c r="G2555">
        <v>30</v>
      </c>
      <c r="H2555">
        <v>12</v>
      </c>
      <c r="I2555">
        <v>90</v>
      </c>
      <c r="J2555">
        <v>36</v>
      </c>
      <c r="Q2555"/>
    </row>
    <row r="2556" spans="1:17" x14ac:dyDescent="0.25">
      <c r="A2556">
        <v>9</v>
      </c>
      <c r="B2556">
        <v>2016</v>
      </c>
      <c r="C2556" t="s">
        <v>571</v>
      </c>
      <c r="D2556" t="s">
        <v>572</v>
      </c>
      <c r="E2556" t="s">
        <v>575</v>
      </c>
      <c r="F2556" t="s">
        <v>574</v>
      </c>
      <c r="G2556">
        <v>1148.4000000000001</v>
      </c>
      <c r="H2556">
        <v>174</v>
      </c>
      <c r="Q2556"/>
    </row>
    <row r="2557" spans="1:17" x14ac:dyDescent="0.25">
      <c r="A2557">
        <v>9</v>
      </c>
      <c r="B2557">
        <v>2016</v>
      </c>
      <c r="C2557" t="s">
        <v>571</v>
      </c>
      <c r="D2557" t="s">
        <v>572</v>
      </c>
      <c r="E2557" t="s">
        <v>578</v>
      </c>
      <c r="F2557" t="s">
        <v>579</v>
      </c>
      <c r="G2557">
        <v>540</v>
      </c>
      <c r="H2557">
        <v>60</v>
      </c>
      <c r="Q2557"/>
    </row>
    <row r="2558" spans="1:17" x14ac:dyDescent="0.25">
      <c r="A2558">
        <v>9</v>
      </c>
      <c r="B2558">
        <v>2016</v>
      </c>
      <c r="C2558" t="s">
        <v>571</v>
      </c>
      <c r="D2558" t="s">
        <v>572</v>
      </c>
      <c r="E2558" t="s">
        <v>777</v>
      </c>
      <c r="F2558" t="s">
        <v>778</v>
      </c>
      <c r="G2558">
        <v>114</v>
      </c>
      <c r="H2558">
        <v>40.019999999999996</v>
      </c>
      <c r="Q2558"/>
    </row>
    <row r="2559" spans="1:17" x14ac:dyDescent="0.25">
      <c r="A2559">
        <v>9</v>
      </c>
      <c r="B2559">
        <v>2016</v>
      </c>
      <c r="C2559" t="s">
        <v>582</v>
      </c>
      <c r="D2559" t="s">
        <v>583</v>
      </c>
      <c r="E2559" t="s">
        <v>584</v>
      </c>
      <c r="F2559" t="s">
        <v>585</v>
      </c>
      <c r="G2559">
        <v>516.6</v>
      </c>
      <c r="H2559">
        <v>126</v>
      </c>
      <c r="I2559">
        <v>968</v>
      </c>
      <c r="J2559">
        <v>252</v>
      </c>
      <c r="Q2559"/>
    </row>
    <row r="2560" spans="1:17" x14ac:dyDescent="0.25">
      <c r="A2560">
        <v>9</v>
      </c>
      <c r="B2560">
        <v>2016</v>
      </c>
      <c r="C2560" t="s">
        <v>588</v>
      </c>
      <c r="D2560" t="s">
        <v>589</v>
      </c>
      <c r="E2560" t="s">
        <v>590</v>
      </c>
      <c r="F2560" t="s">
        <v>591</v>
      </c>
      <c r="G2560">
        <v>1628.4</v>
      </c>
      <c r="H2560">
        <v>552</v>
      </c>
      <c r="I2560">
        <v>1392</v>
      </c>
      <c r="J2560">
        <v>480</v>
      </c>
      <c r="Q2560"/>
    </row>
    <row r="2561" spans="1:17" x14ac:dyDescent="0.25">
      <c r="A2561">
        <v>9</v>
      </c>
      <c r="B2561">
        <v>2016</v>
      </c>
      <c r="C2561" t="s">
        <v>588</v>
      </c>
      <c r="D2561" t="s">
        <v>589</v>
      </c>
      <c r="E2561" t="s">
        <v>592</v>
      </c>
      <c r="F2561" t="s">
        <v>593</v>
      </c>
      <c r="G2561">
        <v>1393.08</v>
      </c>
      <c r="H2561">
        <v>564</v>
      </c>
      <c r="I2561">
        <v>1502.82</v>
      </c>
      <c r="J2561">
        <v>636</v>
      </c>
      <c r="Q2561"/>
    </row>
    <row r="2562" spans="1:17" x14ac:dyDescent="0.25">
      <c r="A2562">
        <v>9</v>
      </c>
      <c r="B2562">
        <v>2016</v>
      </c>
      <c r="C2562" t="s">
        <v>588</v>
      </c>
      <c r="D2562" t="s">
        <v>589</v>
      </c>
      <c r="E2562" t="s">
        <v>594</v>
      </c>
      <c r="F2562" t="s">
        <v>595</v>
      </c>
      <c r="G2562">
        <v>296</v>
      </c>
      <c r="H2562">
        <v>213.28</v>
      </c>
      <c r="I2562">
        <v>1295</v>
      </c>
      <c r="J2562">
        <v>933.1</v>
      </c>
      <c r="Q2562"/>
    </row>
    <row r="2563" spans="1:17" x14ac:dyDescent="0.25">
      <c r="A2563">
        <v>9</v>
      </c>
      <c r="B2563">
        <v>2016</v>
      </c>
      <c r="C2563" t="s">
        <v>588</v>
      </c>
      <c r="D2563" t="s">
        <v>589</v>
      </c>
      <c r="E2563" t="s">
        <v>596</v>
      </c>
      <c r="F2563" t="s">
        <v>595</v>
      </c>
      <c r="G2563">
        <v>567</v>
      </c>
      <c r="H2563">
        <v>360.18</v>
      </c>
      <c r="I2563">
        <v>840</v>
      </c>
      <c r="J2563">
        <v>540.27</v>
      </c>
      <c r="Q2563"/>
    </row>
    <row r="2564" spans="1:17" x14ac:dyDescent="0.25">
      <c r="A2564">
        <v>9</v>
      </c>
      <c r="B2564">
        <v>2016</v>
      </c>
      <c r="C2564" t="s">
        <v>588</v>
      </c>
      <c r="D2564" t="s">
        <v>589</v>
      </c>
      <c r="E2564" t="s">
        <v>974</v>
      </c>
      <c r="F2564" t="s">
        <v>975</v>
      </c>
      <c r="G2564">
        <v>0</v>
      </c>
      <c r="H2564">
        <v>6</v>
      </c>
      <c r="Q2564"/>
    </row>
    <row r="2565" spans="1:17" x14ac:dyDescent="0.25">
      <c r="A2565">
        <v>9</v>
      </c>
      <c r="B2565">
        <v>2016</v>
      </c>
      <c r="C2565" t="s">
        <v>605</v>
      </c>
      <c r="D2565" t="s">
        <v>606</v>
      </c>
      <c r="E2565" t="s">
        <v>607</v>
      </c>
      <c r="F2565" t="s">
        <v>608</v>
      </c>
      <c r="G2565">
        <v>2633.76</v>
      </c>
      <c r="H2565">
        <v>708</v>
      </c>
      <c r="I2565">
        <v>1718.64</v>
      </c>
      <c r="J2565">
        <v>462</v>
      </c>
      <c r="Q2565"/>
    </row>
    <row r="2566" spans="1:17" x14ac:dyDescent="0.25">
      <c r="A2566">
        <v>9</v>
      </c>
      <c r="B2566">
        <v>2016</v>
      </c>
      <c r="C2566" t="s">
        <v>605</v>
      </c>
      <c r="D2566" t="s">
        <v>606</v>
      </c>
      <c r="E2566" t="s">
        <v>609</v>
      </c>
      <c r="F2566" t="s">
        <v>610</v>
      </c>
      <c r="G2566">
        <v>520.79999999999995</v>
      </c>
      <c r="H2566">
        <v>84</v>
      </c>
      <c r="I2566">
        <v>183.6</v>
      </c>
      <c r="J2566">
        <v>36</v>
      </c>
      <c r="Q2566"/>
    </row>
    <row r="2567" spans="1:17" x14ac:dyDescent="0.25">
      <c r="A2567">
        <v>9</v>
      </c>
      <c r="B2567">
        <v>2016</v>
      </c>
      <c r="C2567" t="s">
        <v>605</v>
      </c>
      <c r="D2567" t="s">
        <v>606</v>
      </c>
      <c r="E2567" t="s">
        <v>611</v>
      </c>
      <c r="F2567" t="s">
        <v>612</v>
      </c>
      <c r="G2567">
        <v>1778.68</v>
      </c>
      <c r="H2567">
        <v>882</v>
      </c>
      <c r="I2567">
        <v>998.52</v>
      </c>
      <c r="J2567">
        <v>510</v>
      </c>
      <c r="Q2567"/>
    </row>
    <row r="2568" spans="1:17" x14ac:dyDescent="0.25">
      <c r="A2568">
        <v>9</v>
      </c>
      <c r="B2568">
        <v>2016</v>
      </c>
      <c r="C2568" t="s">
        <v>605</v>
      </c>
      <c r="D2568" t="s">
        <v>606</v>
      </c>
      <c r="E2568" t="s">
        <v>907</v>
      </c>
      <c r="F2568" t="s">
        <v>908</v>
      </c>
      <c r="G2568">
        <v>778.8</v>
      </c>
      <c r="H2568">
        <v>354</v>
      </c>
      <c r="Q2568"/>
    </row>
    <row r="2569" spans="1:17" x14ac:dyDescent="0.25">
      <c r="A2569">
        <v>9</v>
      </c>
      <c r="B2569">
        <v>2016</v>
      </c>
      <c r="C2569" t="s">
        <v>605</v>
      </c>
      <c r="D2569" t="s">
        <v>606</v>
      </c>
      <c r="E2569" t="s">
        <v>909</v>
      </c>
      <c r="F2569" t="s">
        <v>908</v>
      </c>
      <c r="G2569">
        <v>1463</v>
      </c>
      <c r="H2569">
        <v>672</v>
      </c>
      <c r="Q2569"/>
    </row>
    <row r="2570" spans="1:17" x14ac:dyDescent="0.25">
      <c r="A2570">
        <v>9</v>
      </c>
      <c r="B2570">
        <v>2016</v>
      </c>
      <c r="C2570" t="s">
        <v>605</v>
      </c>
      <c r="D2570" t="s">
        <v>606</v>
      </c>
      <c r="E2570" t="s">
        <v>910</v>
      </c>
      <c r="F2570" t="s">
        <v>908</v>
      </c>
      <c r="G2570">
        <v>869.4</v>
      </c>
      <c r="H2570">
        <v>384</v>
      </c>
      <c r="Q2570"/>
    </row>
    <row r="2571" spans="1:17" x14ac:dyDescent="0.25">
      <c r="A2571">
        <v>9</v>
      </c>
      <c r="B2571">
        <v>2016</v>
      </c>
      <c r="C2571" t="s">
        <v>605</v>
      </c>
      <c r="D2571" t="s">
        <v>606</v>
      </c>
      <c r="E2571" t="s">
        <v>911</v>
      </c>
      <c r="F2571" t="s">
        <v>912</v>
      </c>
      <c r="G2571">
        <v>389.4</v>
      </c>
      <c r="H2571">
        <v>66</v>
      </c>
      <c r="Q2571"/>
    </row>
    <row r="2572" spans="1:17" x14ac:dyDescent="0.25">
      <c r="A2572">
        <v>9</v>
      </c>
      <c r="B2572">
        <v>2016</v>
      </c>
      <c r="C2572" t="s">
        <v>605</v>
      </c>
      <c r="D2572" t="s">
        <v>606</v>
      </c>
      <c r="E2572" t="s">
        <v>613</v>
      </c>
      <c r="F2572" t="s">
        <v>614</v>
      </c>
      <c r="G2572">
        <v>696.8</v>
      </c>
      <c r="H2572">
        <v>693.16</v>
      </c>
      <c r="I2572">
        <v>1037.4000000000001</v>
      </c>
      <c r="J2572">
        <v>1039.74</v>
      </c>
      <c r="Q2572"/>
    </row>
    <row r="2573" spans="1:17" x14ac:dyDescent="0.25">
      <c r="A2573">
        <v>9</v>
      </c>
      <c r="B2573">
        <v>2016</v>
      </c>
      <c r="C2573" t="s">
        <v>605</v>
      </c>
      <c r="D2573" t="s">
        <v>606</v>
      </c>
      <c r="E2573" t="s">
        <v>615</v>
      </c>
      <c r="F2573" t="s">
        <v>614</v>
      </c>
      <c r="G2573">
        <v>470.4</v>
      </c>
      <c r="H2573">
        <v>400.2</v>
      </c>
      <c r="I2573">
        <v>794.58</v>
      </c>
      <c r="J2573">
        <v>693.68</v>
      </c>
      <c r="Q2573"/>
    </row>
    <row r="2574" spans="1:17" x14ac:dyDescent="0.25">
      <c r="A2574">
        <v>9</v>
      </c>
      <c r="B2574">
        <v>2016</v>
      </c>
      <c r="C2574" t="s">
        <v>605</v>
      </c>
      <c r="D2574" t="s">
        <v>606</v>
      </c>
      <c r="E2574" t="s">
        <v>616</v>
      </c>
      <c r="F2574" t="s">
        <v>617</v>
      </c>
      <c r="G2574">
        <v>280.8</v>
      </c>
      <c r="H2574">
        <v>213.28</v>
      </c>
      <c r="I2574">
        <v>315.89999999999998</v>
      </c>
      <c r="J2574">
        <v>239.94</v>
      </c>
      <c r="Q2574"/>
    </row>
    <row r="2575" spans="1:17" x14ac:dyDescent="0.25">
      <c r="A2575">
        <v>9</v>
      </c>
      <c r="B2575">
        <v>2016</v>
      </c>
      <c r="C2575" t="s">
        <v>605</v>
      </c>
      <c r="D2575" t="s">
        <v>606</v>
      </c>
      <c r="E2575" t="s">
        <v>618</v>
      </c>
      <c r="F2575" t="s">
        <v>617</v>
      </c>
      <c r="G2575">
        <v>288.83999999999997</v>
      </c>
      <c r="H2575">
        <v>193.43</v>
      </c>
      <c r="I2575">
        <v>677.28</v>
      </c>
      <c r="J2575">
        <v>453.56</v>
      </c>
      <c r="Q2575"/>
    </row>
    <row r="2576" spans="1:17" x14ac:dyDescent="0.25">
      <c r="A2576">
        <v>9</v>
      </c>
      <c r="B2576">
        <v>2016</v>
      </c>
      <c r="C2576" t="s">
        <v>621</v>
      </c>
      <c r="D2576" t="s">
        <v>622</v>
      </c>
      <c r="E2576" t="s">
        <v>623</v>
      </c>
      <c r="F2576" t="s">
        <v>624</v>
      </c>
      <c r="G2576">
        <v>967.5</v>
      </c>
      <c r="H2576">
        <v>258</v>
      </c>
      <c r="I2576">
        <v>577.20000000000005</v>
      </c>
      <c r="J2576">
        <v>156</v>
      </c>
      <c r="Q2576"/>
    </row>
    <row r="2577" spans="1:17" x14ac:dyDescent="0.25">
      <c r="A2577">
        <v>9</v>
      </c>
      <c r="B2577">
        <v>2016</v>
      </c>
      <c r="C2577" t="s">
        <v>621</v>
      </c>
      <c r="D2577" t="s">
        <v>622</v>
      </c>
      <c r="E2577" t="s">
        <v>625</v>
      </c>
      <c r="F2577" t="s">
        <v>624</v>
      </c>
      <c r="G2577">
        <v>90</v>
      </c>
      <c r="H2577">
        <v>24</v>
      </c>
      <c r="I2577">
        <v>222</v>
      </c>
      <c r="J2577">
        <v>60</v>
      </c>
      <c r="Q2577"/>
    </row>
    <row r="2578" spans="1:17" x14ac:dyDescent="0.25">
      <c r="A2578">
        <v>9</v>
      </c>
      <c r="B2578">
        <v>2016</v>
      </c>
      <c r="C2578" t="s">
        <v>630</v>
      </c>
      <c r="D2578" t="s">
        <v>631</v>
      </c>
      <c r="E2578" t="s">
        <v>632</v>
      </c>
      <c r="F2578" t="s">
        <v>633</v>
      </c>
      <c r="G2578">
        <v>442.2</v>
      </c>
      <c r="H2578">
        <v>66</v>
      </c>
      <c r="I2578">
        <v>1686.4</v>
      </c>
      <c r="J2578">
        <v>282</v>
      </c>
      <c r="Q2578"/>
    </row>
    <row r="2579" spans="1:17" x14ac:dyDescent="0.25">
      <c r="A2579">
        <v>9</v>
      </c>
      <c r="B2579">
        <v>2016</v>
      </c>
      <c r="C2579" t="s">
        <v>630</v>
      </c>
      <c r="D2579" t="s">
        <v>631</v>
      </c>
      <c r="E2579" t="s">
        <v>634</v>
      </c>
      <c r="F2579" t="s">
        <v>635</v>
      </c>
      <c r="G2579">
        <v>-244.8</v>
      </c>
      <c r="H2579">
        <v>-18</v>
      </c>
      <c r="I2579">
        <v>663</v>
      </c>
      <c r="J2579">
        <v>54</v>
      </c>
      <c r="Q2579"/>
    </row>
    <row r="2580" spans="1:17" x14ac:dyDescent="0.25">
      <c r="A2580">
        <v>9</v>
      </c>
      <c r="B2580">
        <v>2016</v>
      </c>
      <c r="C2580" t="s">
        <v>630</v>
      </c>
      <c r="D2580" t="s">
        <v>631</v>
      </c>
      <c r="E2580" t="s">
        <v>636</v>
      </c>
      <c r="F2580" t="s">
        <v>637</v>
      </c>
      <c r="G2580">
        <v>100.8</v>
      </c>
      <c r="H2580">
        <v>24</v>
      </c>
      <c r="I2580">
        <v>915.6</v>
      </c>
      <c r="J2580">
        <v>234</v>
      </c>
      <c r="Q2580"/>
    </row>
    <row r="2581" spans="1:17" x14ac:dyDescent="0.25">
      <c r="A2581">
        <v>9</v>
      </c>
      <c r="B2581">
        <v>2016</v>
      </c>
      <c r="C2581" t="s">
        <v>638</v>
      </c>
      <c r="D2581" t="s">
        <v>639</v>
      </c>
      <c r="E2581" t="s">
        <v>640</v>
      </c>
      <c r="F2581" t="s">
        <v>641</v>
      </c>
      <c r="G2581">
        <v>1208.7</v>
      </c>
      <c r="H2581">
        <v>1060.53</v>
      </c>
      <c r="I2581">
        <v>326.8</v>
      </c>
      <c r="J2581">
        <v>286.81</v>
      </c>
      <c r="Q2581"/>
    </row>
    <row r="2582" spans="1:17" x14ac:dyDescent="0.25">
      <c r="A2582">
        <v>9</v>
      </c>
      <c r="B2582">
        <v>2016</v>
      </c>
      <c r="C2582" t="s">
        <v>638</v>
      </c>
      <c r="D2582" t="s">
        <v>639</v>
      </c>
      <c r="E2582" t="s">
        <v>642</v>
      </c>
      <c r="F2582" t="s">
        <v>641</v>
      </c>
      <c r="G2582">
        <v>2015.85</v>
      </c>
      <c r="H2582">
        <v>2012.83</v>
      </c>
      <c r="I2582">
        <v>2809</v>
      </c>
      <c r="J2582">
        <v>2825.96</v>
      </c>
      <c r="Q2582"/>
    </row>
    <row r="2583" spans="1:17" x14ac:dyDescent="0.25">
      <c r="A2583">
        <v>9</v>
      </c>
      <c r="B2583">
        <v>2016</v>
      </c>
      <c r="C2583" t="s">
        <v>638</v>
      </c>
      <c r="D2583" t="s">
        <v>639</v>
      </c>
      <c r="E2583" t="s">
        <v>643</v>
      </c>
      <c r="F2583" t="s">
        <v>644</v>
      </c>
      <c r="G2583">
        <v>2295</v>
      </c>
      <c r="H2583">
        <v>2054.36</v>
      </c>
      <c r="I2583">
        <v>805.6</v>
      </c>
      <c r="J2583">
        <v>707.02</v>
      </c>
      <c r="Q2583"/>
    </row>
    <row r="2584" spans="1:17" x14ac:dyDescent="0.25">
      <c r="A2584">
        <v>9</v>
      </c>
      <c r="B2584">
        <v>2016</v>
      </c>
      <c r="C2584" t="s">
        <v>638</v>
      </c>
      <c r="D2584" t="s">
        <v>639</v>
      </c>
      <c r="E2584" t="s">
        <v>645</v>
      </c>
      <c r="F2584" t="s">
        <v>644</v>
      </c>
      <c r="G2584">
        <v>5139.75</v>
      </c>
      <c r="H2584">
        <v>5132.05</v>
      </c>
      <c r="I2584">
        <v>3604</v>
      </c>
      <c r="J2584">
        <v>3625.76</v>
      </c>
      <c r="Q2584"/>
    </row>
    <row r="2585" spans="1:17" x14ac:dyDescent="0.25">
      <c r="A2585">
        <v>9</v>
      </c>
      <c r="B2585">
        <v>2016</v>
      </c>
      <c r="C2585" t="s">
        <v>638</v>
      </c>
      <c r="D2585" t="s">
        <v>639</v>
      </c>
      <c r="E2585" t="s">
        <v>646</v>
      </c>
      <c r="F2585" t="s">
        <v>647</v>
      </c>
      <c r="G2585">
        <v>1915.2</v>
      </c>
      <c r="H2585">
        <v>798</v>
      </c>
      <c r="I2585">
        <v>1188</v>
      </c>
      <c r="J2585">
        <v>510</v>
      </c>
      <c r="Q2585"/>
    </row>
    <row r="2586" spans="1:17" x14ac:dyDescent="0.25">
      <c r="A2586">
        <v>9</v>
      </c>
      <c r="B2586">
        <v>2016</v>
      </c>
      <c r="C2586" t="s">
        <v>638</v>
      </c>
      <c r="D2586" t="s">
        <v>639</v>
      </c>
      <c r="E2586" t="s">
        <v>650</v>
      </c>
      <c r="F2586" t="s">
        <v>651</v>
      </c>
      <c r="G2586">
        <v>622.20000000000005</v>
      </c>
      <c r="H2586">
        <v>204</v>
      </c>
      <c r="I2586">
        <v>134.4</v>
      </c>
      <c r="J2586">
        <v>42</v>
      </c>
      <c r="Q2586"/>
    </row>
    <row r="2587" spans="1:17" x14ac:dyDescent="0.25">
      <c r="A2587">
        <v>9</v>
      </c>
      <c r="B2587">
        <v>2016</v>
      </c>
      <c r="C2587" t="s">
        <v>638</v>
      </c>
      <c r="D2587" t="s">
        <v>639</v>
      </c>
      <c r="E2587" t="s">
        <v>785</v>
      </c>
      <c r="F2587" t="s">
        <v>653</v>
      </c>
      <c r="G2587">
        <v>1134.5999999999999</v>
      </c>
      <c r="H2587">
        <v>813.13</v>
      </c>
      <c r="I2587">
        <v>855.6</v>
      </c>
      <c r="J2587">
        <v>613.17999999999995</v>
      </c>
      <c r="Q2587"/>
    </row>
    <row r="2588" spans="1:17" x14ac:dyDescent="0.25">
      <c r="A2588">
        <v>9</v>
      </c>
      <c r="B2588">
        <v>2016</v>
      </c>
      <c r="C2588" t="s">
        <v>638</v>
      </c>
      <c r="D2588" t="s">
        <v>639</v>
      </c>
      <c r="E2588" t="s">
        <v>652</v>
      </c>
      <c r="F2588" t="s">
        <v>653</v>
      </c>
      <c r="G2588">
        <v>515.1</v>
      </c>
      <c r="H2588">
        <v>400.2</v>
      </c>
      <c r="I2588">
        <v>343.4</v>
      </c>
      <c r="J2588">
        <v>226.78</v>
      </c>
      <c r="Q2588"/>
    </row>
    <row r="2589" spans="1:17" x14ac:dyDescent="0.25">
      <c r="A2589">
        <v>9</v>
      </c>
      <c r="B2589">
        <v>2016</v>
      </c>
      <c r="C2589" t="s">
        <v>638</v>
      </c>
      <c r="D2589" t="s">
        <v>639</v>
      </c>
      <c r="E2589" t="s">
        <v>654</v>
      </c>
      <c r="F2589" t="s">
        <v>655</v>
      </c>
      <c r="G2589">
        <v>262.8</v>
      </c>
      <c r="H2589">
        <v>72</v>
      </c>
      <c r="I2589">
        <v>86.4</v>
      </c>
      <c r="J2589">
        <v>24</v>
      </c>
      <c r="Q2589"/>
    </row>
    <row r="2590" spans="1:17" x14ac:dyDescent="0.25">
      <c r="A2590">
        <v>9</v>
      </c>
      <c r="B2590">
        <v>2016</v>
      </c>
      <c r="C2590" t="s">
        <v>638</v>
      </c>
      <c r="D2590" t="s">
        <v>639</v>
      </c>
      <c r="E2590" t="s">
        <v>656</v>
      </c>
      <c r="F2590" t="s">
        <v>657</v>
      </c>
      <c r="G2590">
        <v>46.2</v>
      </c>
      <c r="H2590">
        <v>12</v>
      </c>
      <c r="I2590">
        <v>48.6</v>
      </c>
      <c r="J2590">
        <v>12</v>
      </c>
      <c r="Q2590"/>
    </row>
    <row r="2591" spans="1:17" x14ac:dyDescent="0.25">
      <c r="A2591">
        <v>9</v>
      </c>
      <c r="B2591">
        <v>2016</v>
      </c>
      <c r="C2591" t="s">
        <v>638</v>
      </c>
      <c r="D2591" t="s">
        <v>639</v>
      </c>
      <c r="E2591" t="s">
        <v>658</v>
      </c>
      <c r="F2591" t="s">
        <v>659</v>
      </c>
      <c r="G2591">
        <v>468</v>
      </c>
      <c r="H2591">
        <v>156</v>
      </c>
      <c r="I2591">
        <v>612</v>
      </c>
      <c r="J2591">
        <v>204</v>
      </c>
      <c r="Q2591"/>
    </row>
    <row r="2592" spans="1:17" x14ac:dyDescent="0.25">
      <c r="A2592">
        <v>9</v>
      </c>
      <c r="B2592">
        <v>2016</v>
      </c>
      <c r="C2592" t="s">
        <v>638</v>
      </c>
      <c r="D2592" t="s">
        <v>639</v>
      </c>
      <c r="E2592" t="s">
        <v>660</v>
      </c>
      <c r="F2592" t="s">
        <v>661</v>
      </c>
      <c r="G2592">
        <v>156</v>
      </c>
      <c r="H2592">
        <v>48</v>
      </c>
      <c r="Q2592"/>
    </row>
    <row r="2593" spans="1:17" x14ac:dyDescent="0.25">
      <c r="A2593">
        <v>9</v>
      </c>
      <c r="B2593">
        <v>2016</v>
      </c>
      <c r="C2593" t="s">
        <v>638</v>
      </c>
      <c r="D2593" t="s">
        <v>639</v>
      </c>
      <c r="E2593" t="s">
        <v>786</v>
      </c>
      <c r="F2593" t="s">
        <v>787</v>
      </c>
      <c r="G2593">
        <v>82.56</v>
      </c>
      <c r="H2593">
        <v>24</v>
      </c>
      <c r="Q2593"/>
    </row>
    <row r="2594" spans="1:17" x14ac:dyDescent="0.25">
      <c r="A2594">
        <v>9</v>
      </c>
      <c r="B2594">
        <v>2016</v>
      </c>
      <c r="C2594" t="s">
        <v>638</v>
      </c>
      <c r="D2594" t="s">
        <v>639</v>
      </c>
      <c r="E2594" t="s">
        <v>913</v>
      </c>
      <c r="F2594" t="s">
        <v>914</v>
      </c>
      <c r="G2594">
        <v>49.5</v>
      </c>
      <c r="H2594">
        <v>40.019999999999996</v>
      </c>
      <c r="Q2594"/>
    </row>
    <row r="2595" spans="1:17" x14ac:dyDescent="0.25">
      <c r="A2595">
        <v>9</v>
      </c>
      <c r="B2595">
        <v>2016</v>
      </c>
      <c r="C2595" t="s">
        <v>638</v>
      </c>
      <c r="D2595" t="s">
        <v>639</v>
      </c>
      <c r="E2595" t="s">
        <v>915</v>
      </c>
      <c r="F2595" t="s">
        <v>916</v>
      </c>
      <c r="G2595">
        <v>12.5</v>
      </c>
      <c r="H2595">
        <v>8</v>
      </c>
      <c r="Q2595"/>
    </row>
    <row r="2596" spans="1:17" x14ac:dyDescent="0.25">
      <c r="A2596">
        <v>9</v>
      </c>
      <c r="B2596">
        <v>2016</v>
      </c>
      <c r="C2596" t="s">
        <v>638</v>
      </c>
      <c r="D2596" t="s">
        <v>639</v>
      </c>
      <c r="E2596" t="s">
        <v>845</v>
      </c>
      <c r="F2596" t="s">
        <v>846</v>
      </c>
      <c r="G2596">
        <v>122.4</v>
      </c>
      <c r="H2596">
        <v>96</v>
      </c>
      <c r="I2596">
        <v>50.5</v>
      </c>
      <c r="J2596">
        <v>40</v>
      </c>
      <c r="Q2596"/>
    </row>
    <row r="2597" spans="1:17" x14ac:dyDescent="0.25">
      <c r="A2597">
        <v>9</v>
      </c>
      <c r="B2597">
        <v>2016</v>
      </c>
      <c r="C2597" t="s">
        <v>638</v>
      </c>
      <c r="D2597" t="s">
        <v>639</v>
      </c>
      <c r="E2597" t="s">
        <v>662</v>
      </c>
      <c r="F2597" t="s">
        <v>663</v>
      </c>
      <c r="G2597">
        <v>26.4</v>
      </c>
      <c r="H2597">
        <v>16</v>
      </c>
      <c r="Q2597"/>
    </row>
    <row r="2598" spans="1:17" x14ac:dyDescent="0.25">
      <c r="A2598">
        <v>9</v>
      </c>
      <c r="B2598">
        <v>2016</v>
      </c>
      <c r="C2598" t="s">
        <v>638</v>
      </c>
      <c r="D2598" t="s">
        <v>639</v>
      </c>
      <c r="E2598" t="s">
        <v>664</v>
      </c>
      <c r="F2598" t="s">
        <v>665</v>
      </c>
      <c r="G2598">
        <v>322.56</v>
      </c>
      <c r="H2598">
        <v>168</v>
      </c>
      <c r="I2598">
        <v>193.8</v>
      </c>
      <c r="J2598">
        <v>102</v>
      </c>
      <c r="Q2598"/>
    </row>
    <row r="2599" spans="1:17" x14ac:dyDescent="0.25">
      <c r="A2599">
        <v>9</v>
      </c>
      <c r="B2599">
        <v>2016</v>
      </c>
      <c r="C2599" t="s">
        <v>638</v>
      </c>
      <c r="D2599" t="s">
        <v>639</v>
      </c>
      <c r="E2599" t="s">
        <v>666</v>
      </c>
      <c r="F2599" t="s">
        <v>665</v>
      </c>
      <c r="G2599">
        <v>253.44</v>
      </c>
      <c r="H2599">
        <v>132</v>
      </c>
      <c r="I2599">
        <v>114</v>
      </c>
      <c r="J2599">
        <v>60</v>
      </c>
      <c r="Q2599"/>
    </row>
    <row r="2600" spans="1:17" x14ac:dyDescent="0.25">
      <c r="A2600">
        <v>9</v>
      </c>
      <c r="B2600">
        <v>2016</v>
      </c>
      <c r="C2600" t="s">
        <v>667</v>
      </c>
      <c r="D2600" t="s">
        <v>668</v>
      </c>
      <c r="E2600" t="s">
        <v>669</v>
      </c>
      <c r="F2600" t="s">
        <v>670</v>
      </c>
      <c r="G2600">
        <v>310.5</v>
      </c>
      <c r="H2600">
        <v>150</v>
      </c>
      <c r="I2600">
        <v>48.96</v>
      </c>
      <c r="J2600">
        <v>24</v>
      </c>
      <c r="Q2600"/>
    </row>
    <row r="2601" spans="1:17" x14ac:dyDescent="0.25">
      <c r="A2601">
        <v>9</v>
      </c>
      <c r="B2601">
        <v>2016</v>
      </c>
      <c r="C2601" t="s">
        <v>667</v>
      </c>
      <c r="D2601" t="s">
        <v>668</v>
      </c>
      <c r="E2601" t="s">
        <v>671</v>
      </c>
      <c r="F2601" t="s">
        <v>670</v>
      </c>
      <c r="G2601">
        <v>415.14</v>
      </c>
      <c r="H2601">
        <v>222</v>
      </c>
      <c r="I2601">
        <v>318.24</v>
      </c>
      <c r="J2601">
        <v>156</v>
      </c>
      <c r="Q2601"/>
    </row>
    <row r="2602" spans="1:17" x14ac:dyDescent="0.25">
      <c r="A2602">
        <v>9</v>
      </c>
      <c r="B2602">
        <v>2016</v>
      </c>
      <c r="C2602" t="s">
        <v>667</v>
      </c>
      <c r="D2602" t="s">
        <v>668</v>
      </c>
      <c r="E2602" t="s">
        <v>672</v>
      </c>
      <c r="F2602" t="s">
        <v>670</v>
      </c>
      <c r="G2602">
        <v>310.5</v>
      </c>
      <c r="H2602">
        <v>150</v>
      </c>
      <c r="I2602">
        <v>85.68</v>
      </c>
      <c r="J2602">
        <v>42</v>
      </c>
      <c r="Q2602"/>
    </row>
    <row r="2603" spans="1:17" x14ac:dyDescent="0.25">
      <c r="A2603">
        <v>9</v>
      </c>
      <c r="B2603">
        <v>2016</v>
      </c>
      <c r="C2603" t="s">
        <v>667</v>
      </c>
      <c r="D2603" t="s">
        <v>668</v>
      </c>
      <c r="E2603" t="s">
        <v>679</v>
      </c>
      <c r="F2603" t="s">
        <v>680</v>
      </c>
      <c r="G2603">
        <v>26.7</v>
      </c>
      <c r="H2603">
        <v>20.009999999999998</v>
      </c>
      <c r="Q2603"/>
    </row>
    <row r="2604" spans="1:17" x14ac:dyDescent="0.25">
      <c r="A2604">
        <v>9</v>
      </c>
      <c r="B2604">
        <v>2016</v>
      </c>
      <c r="C2604" t="s">
        <v>667</v>
      </c>
      <c r="D2604" t="s">
        <v>668</v>
      </c>
      <c r="E2604" t="s">
        <v>788</v>
      </c>
      <c r="F2604" t="s">
        <v>789</v>
      </c>
      <c r="G2604">
        <v>129.35</v>
      </c>
      <c r="H2604">
        <v>86.71</v>
      </c>
      <c r="I2604">
        <v>19.8</v>
      </c>
      <c r="J2604">
        <v>13.34</v>
      </c>
      <c r="Q2604"/>
    </row>
    <row r="2605" spans="1:17" x14ac:dyDescent="0.25">
      <c r="A2605">
        <v>9</v>
      </c>
      <c r="B2605">
        <v>2016</v>
      </c>
      <c r="C2605" t="s">
        <v>681</v>
      </c>
      <c r="D2605" t="s">
        <v>682</v>
      </c>
      <c r="E2605" t="s">
        <v>683</v>
      </c>
      <c r="F2605" t="s">
        <v>684</v>
      </c>
      <c r="G2605">
        <v>175.5</v>
      </c>
      <c r="H2605">
        <v>78</v>
      </c>
      <c r="I2605">
        <v>277.2</v>
      </c>
      <c r="J2605">
        <v>126</v>
      </c>
      <c r="Q2605"/>
    </row>
    <row r="2606" spans="1:17" x14ac:dyDescent="0.25">
      <c r="A2606">
        <v>9</v>
      </c>
      <c r="B2606">
        <v>2016</v>
      </c>
      <c r="C2606" t="s">
        <v>681</v>
      </c>
      <c r="D2606" t="s">
        <v>682</v>
      </c>
      <c r="E2606" t="s">
        <v>685</v>
      </c>
      <c r="F2606" t="s">
        <v>686</v>
      </c>
      <c r="G2606">
        <v>72</v>
      </c>
      <c r="H2606">
        <v>30</v>
      </c>
      <c r="I2606">
        <v>56.4</v>
      </c>
      <c r="J2606">
        <v>24</v>
      </c>
      <c r="Q2606"/>
    </row>
    <row r="2607" spans="1:17" x14ac:dyDescent="0.25">
      <c r="A2607">
        <v>9</v>
      </c>
      <c r="B2607">
        <v>2016</v>
      </c>
      <c r="C2607" t="s">
        <v>681</v>
      </c>
      <c r="D2607" t="s">
        <v>682</v>
      </c>
      <c r="E2607" t="s">
        <v>687</v>
      </c>
      <c r="F2607" t="s">
        <v>688</v>
      </c>
      <c r="G2607">
        <v>621.6</v>
      </c>
      <c r="H2607">
        <v>168</v>
      </c>
      <c r="I2607">
        <v>372.3</v>
      </c>
      <c r="J2607">
        <v>102</v>
      </c>
      <c r="Q2607"/>
    </row>
    <row r="2608" spans="1:17" x14ac:dyDescent="0.25">
      <c r="A2608">
        <v>9</v>
      </c>
      <c r="B2608">
        <v>2016</v>
      </c>
      <c r="C2608" t="s">
        <v>681</v>
      </c>
      <c r="D2608" t="s">
        <v>682</v>
      </c>
      <c r="E2608" t="s">
        <v>689</v>
      </c>
      <c r="F2608" t="s">
        <v>690</v>
      </c>
      <c r="G2608">
        <v>100.8</v>
      </c>
      <c r="H2608">
        <v>48</v>
      </c>
      <c r="Q2608"/>
    </row>
    <row r="2609" spans="1:17" x14ac:dyDescent="0.25">
      <c r="A2609">
        <v>9</v>
      </c>
      <c r="B2609">
        <v>2016</v>
      </c>
      <c r="C2609" t="s">
        <v>691</v>
      </c>
      <c r="D2609" t="s">
        <v>692</v>
      </c>
      <c r="E2609" t="s">
        <v>693</v>
      </c>
      <c r="F2609" t="s">
        <v>694</v>
      </c>
      <c r="G2609">
        <v>108</v>
      </c>
      <c r="H2609">
        <v>24</v>
      </c>
      <c r="Q2609"/>
    </row>
    <row r="2610" spans="1:17" x14ac:dyDescent="0.25">
      <c r="A2610">
        <v>9</v>
      </c>
      <c r="B2610">
        <v>2016</v>
      </c>
      <c r="C2610" t="s">
        <v>691</v>
      </c>
      <c r="D2610" t="s">
        <v>692</v>
      </c>
      <c r="E2610" t="s">
        <v>697</v>
      </c>
      <c r="F2610" t="s">
        <v>698</v>
      </c>
      <c r="G2610">
        <v>93.6</v>
      </c>
      <c r="H2610">
        <v>24</v>
      </c>
      <c r="Q2610"/>
    </row>
    <row r="2611" spans="1:17" x14ac:dyDescent="0.25">
      <c r="A2611">
        <v>9</v>
      </c>
      <c r="B2611">
        <v>2016</v>
      </c>
      <c r="C2611" t="s">
        <v>691</v>
      </c>
      <c r="D2611" t="s">
        <v>692</v>
      </c>
      <c r="E2611" t="s">
        <v>699</v>
      </c>
      <c r="F2611" t="s">
        <v>700</v>
      </c>
      <c r="G2611">
        <v>342</v>
      </c>
      <c r="H2611">
        <v>90</v>
      </c>
      <c r="Q2611"/>
    </row>
    <row r="2612" spans="1:17" x14ac:dyDescent="0.25">
      <c r="A2612">
        <v>10</v>
      </c>
      <c r="B2612">
        <v>2016</v>
      </c>
      <c r="C2612" t="s">
        <v>47</v>
      </c>
      <c r="D2612" t="s">
        <v>48</v>
      </c>
      <c r="E2612" t="s">
        <v>49</v>
      </c>
      <c r="F2612" t="s">
        <v>50</v>
      </c>
      <c r="G2612">
        <v>2420.88</v>
      </c>
      <c r="H2612">
        <v>2067.6999999999998</v>
      </c>
      <c r="I2612">
        <v>2638.44</v>
      </c>
      <c r="J2612">
        <v>2341.17</v>
      </c>
      <c r="Q2612"/>
    </row>
    <row r="2613" spans="1:17" x14ac:dyDescent="0.25">
      <c r="A2613">
        <v>10</v>
      </c>
      <c r="B2613">
        <v>2016</v>
      </c>
      <c r="C2613" t="s">
        <v>47</v>
      </c>
      <c r="D2613" t="s">
        <v>48</v>
      </c>
      <c r="E2613" t="s">
        <v>51</v>
      </c>
      <c r="F2613" t="s">
        <v>52</v>
      </c>
      <c r="G2613">
        <v>9342.84</v>
      </c>
      <c r="H2613">
        <v>9064.4</v>
      </c>
      <c r="I2613">
        <v>8347.5</v>
      </c>
      <c r="J2613">
        <v>8397.9</v>
      </c>
      <c r="Q2613"/>
    </row>
    <row r="2614" spans="1:17" x14ac:dyDescent="0.25">
      <c r="A2614">
        <v>10</v>
      </c>
      <c r="B2614">
        <v>2016</v>
      </c>
      <c r="C2614" t="s">
        <v>47</v>
      </c>
      <c r="D2614" t="s">
        <v>48</v>
      </c>
      <c r="E2614" t="s">
        <v>53</v>
      </c>
      <c r="F2614" t="s">
        <v>54</v>
      </c>
      <c r="G2614">
        <v>4403.76</v>
      </c>
      <c r="H2614">
        <v>4718.82</v>
      </c>
      <c r="I2614">
        <v>6695.25</v>
      </c>
      <c r="J2614">
        <v>7544.78</v>
      </c>
      <c r="Q2614"/>
    </row>
    <row r="2615" spans="1:17" x14ac:dyDescent="0.25">
      <c r="A2615">
        <v>10</v>
      </c>
      <c r="B2615">
        <v>2016</v>
      </c>
      <c r="C2615" t="s">
        <v>47</v>
      </c>
      <c r="D2615" t="s">
        <v>48</v>
      </c>
      <c r="E2615" t="s">
        <v>55</v>
      </c>
      <c r="F2615" t="s">
        <v>54</v>
      </c>
      <c r="G2615">
        <v>864.23</v>
      </c>
      <c r="H2615">
        <v>827.08</v>
      </c>
      <c r="I2615">
        <v>1366.47</v>
      </c>
      <c r="J2615">
        <v>1267.3</v>
      </c>
      <c r="Q2615"/>
    </row>
    <row r="2616" spans="1:17" x14ac:dyDescent="0.25">
      <c r="A2616">
        <v>10</v>
      </c>
      <c r="B2616">
        <v>2016</v>
      </c>
      <c r="C2616" t="s">
        <v>47</v>
      </c>
      <c r="D2616" t="s">
        <v>48</v>
      </c>
      <c r="E2616" t="s">
        <v>56</v>
      </c>
      <c r="F2616" t="s">
        <v>57</v>
      </c>
      <c r="G2616">
        <v>1878.24</v>
      </c>
      <c r="H2616">
        <v>2106.14</v>
      </c>
      <c r="I2616">
        <v>1794.9</v>
      </c>
      <c r="J2616">
        <v>2106.14</v>
      </c>
      <c r="Q2616"/>
    </row>
    <row r="2617" spans="1:17" x14ac:dyDescent="0.25">
      <c r="A2617">
        <v>10</v>
      </c>
      <c r="B2617">
        <v>2016</v>
      </c>
      <c r="C2617" t="s">
        <v>47</v>
      </c>
      <c r="D2617" t="s">
        <v>48</v>
      </c>
      <c r="E2617" t="s">
        <v>58</v>
      </c>
      <c r="F2617" t="s">
        <v>59</v>
      </c>
      <c r="G2617">
        <v>3444.48</v>
      </c>
      <c r="H2617">
        <v>4187.1900000000005</v>
      </c>
      <c r="I2617">
        <v>1795.45</v>
      </c>
      <c r="J2617">
        <v>2186.94</v>
      </c>
      <c r="Q2617"/>
    </row>
    <row r="2618" spans="1:17" x14ac:dyDescent="0.25">
      <c r="A2618">
        <v>10</v>
      </c>
      <c r="B2618">
        <v>2016</v>
      </c>
      <c r="C2618" t="s">
        <v>47</v>
      </c>
      <c r="D2618" t="s">
        <v>48</v>
      </c>
      <c r="E2618" t="s">
        <v>60</v>
      </c>
      <c r="F2618" t="s">
        <v>59</v>
      </c>
      <c r="G2618">
        <v>1478.28</v>
      </c>
      <c r="H2618">
        <v>1786.89</v>
      </c>
      <c r="I2618">
        <v>493.9</v>
      </c>
      <c r="J2618">
        <v>586.74</v>
      </c>
      <c r="Q2618"/>
    </row>
    <row r="2619" spans="1:17" x14ac:dyDescent="0.25">
      <c r="A2619">
        <v>10</v>
      </c>
      <c r="B2619">
        <v>2016</v>
      </c>
      <c r="C2619" t="s">
        <v>47</v>
      </c>
      <c r="D2619" t="s">
        <v>48</v>
      </c>
      <c r="E2619" t="s">
        <v>61</v>
      </c>
      <c r="F2619" t="s">
        <v>62</v>
      </c>
      <c r="G2619">
        <v>925.65</v>
      </c>
      <c r="H2619">
        <v>667</v>
      </c>
      <c r="I2619">
        <v>1805.72</v>
      </c>
      <c r="J2619">
        <v>1340.67</v>
      </c>
      <c r="Q2619"/>
    </row>
    <row r="2620" spans="1:17" x14ac:dyDescent="0.25">
      <c r="A2620">
        <v>10</v>
      </c>
      <c r="B2620">
        <v>2016</v>
      </c>
      <c r="C2620" t="s">
        <v>47</v>
      </c>
      <c r="D2620" t="s">
        <v>48</v>
      </c>
      <c r="E2620" t="s">
        <v>63</v>
      </c>
      <c r="F2620" t="s">
        <v>64</v>
      </c>
      <c r="G2620">
        <v>1783.69</v>
      </c>
      <c r="H2620">
        <v>1439.64</v>
      </c>
      <c r="I2620">
        <v>2588.8000000000002</v>
      </c>
      <c r="J2620">
        <v>2132.8000000000002</v>
      </c>
      <c r="Q2620"/>
    </row>
    <row r="2621" spans="1:17" x14ac:dyDescent="0.25">
      <c r="A2621">
        <v>10</v>
      </c>
      <c r="B2621">
        <v>2016</v>
      </c>
      <c r="C2621" t="s">
        <v>47</v>
      </c>
      <c r="D2621" t="s">
        <v>48</v>
      </c>
      <c r="E2621" t="s">
        <v>65</v>
      </c>
      <c r="F2621" t="s">
        <v>64</v>
      </c>
      <c r="G2621">
        <v>983.53</v>
      </c>
      <c r="H2621">
        <v>799.8</v>
      </c>
      <c r="I2621">
        <v>2604.98</v>
      </c>
      <c r="J2621">
        <v>2239.44</v>
      </c>
      <c r="Q2621"/>
    </row>
    <row r="2622" spans="1:17" x14ac:dyDescent="0.25">
      <c r="A2622">
        <v>10</v>
      </c>
      <c r="B2622">
        <v>2016</v>
      </c>
      <c r="C2622" t="s">
        <v>47</v>
      </c>
      <c r="D2622" t="s">
        <v>48</v>
      </c>
      <c r="E2622" t="s">
        <v>66</v>
      </c>
      <c r="F2622" t="s">
        <v>64</v>
      </c>
      <c r="G2622">
        <v>819.3</v>
      </c>
      <c r="H2622">
        <v>573.62</v>
      </c>
      <c r="I2622">
        <v>1589</v>
      </c>
      <c r="J2622">
        <v>1200.5999999999999</v>
      </c>
      <c r="Q2622"/>
    </row>
    <row r="2623" spans="1:17" x14ac:dyDescent="0.25">
      <c r="A2623">
        <v>10</v>
      </c>
      <c r="B2623">
        <v>2016</v>
      </c>
      <c r="C2623" t="s">
        <v>47</v>
      </c>
      <c r="D2623" t="s">
        <v>48</v>
      </c>
      <c r="E2623" t="s">
        <v>67</v>
      </c>
      <c r="F2623" t="s">
        <v>68</v>
      </c>
      <c r="G2623">
        <v>4229.6000000000004</v>
      </c>
      <c r="H2623">
        <v>4532.2</v>
      </c>
      <c r="I2623">
        <v>3982.68</v>
      </c>
      <c r="J2623">
        <v>4465.55</v>
      </c>
      <c r="Q2623"/>
    </row>
    <row r="2624" spans="1:17" x14ac:dyDescent="0.25">
      <c r="A2624">
        <v>10</v>
      </c>
      <c r="B2624">
        <v>2016</v>
      </c>
      <c r="C2624" t="s">
        <v>47</v>
      </c>
      <c r="D2624" t="s">
        <v>48</v>
      </c>
      <c r="E2624" t="s">
        <v>69</v>
      </c>
      <c r="F2624" t="s">
        <v>68</v>
      </c>
      <c r="G2624">
        <v>2090.09</v>
      </c>
      <c r="H2624">
        <v>1874.27</v>
      </c>
      <c r="I2624">
        <v>1805.25</v>
      </c>
      <c r="J2624">
        <v>1680.84</v>
      </c>
      <c r="Q2624"/>
    </row>
    <row r="2625" spans="1:17" x14ac:dyDescent="0.25">
      <c r="A2625">
        <v>10</v>
      </c>
      <c r="B2625">
        <v>2016</v>
      </c>
      <c r="C2625" t="s">
        <v>47</v>
      </c>
      <c r="D2625" t="s">
        <v>48</v>
      </c>
      <c r="E2625" t="s">
        <v>70</v>
      </c>
      <c r="F2625" t="s">
        <v>71</v>
      </c>
      <c r="G2625">
        <v>3606.4</v>
      </c>
      <c r="H2625">
        <v>1602</v>
      </c>
      <c r="I2625">
        <v>1425.6</v>
      </c>
      <c r="J2625">
        <v>594</v>
      </c>
      <c r="Q2625"/>
    </row>
    <row r="2626" spans="1:17" x14ac:dyDescent="0.25">
      <c r="A2626">
        <v>10</v>
      </c>
      <c r="B2626">
        <v>2016</v>
      </c>
      <c r="C2626" t="s">
        <v>47</v>
      </c>
      <c r="D2626" t="s">
        <v>48</v>
      </c>
      <c r="E2626" t="s">
        <v>78</v>
      </c>
      <c r="F2626" t="s">
        <v>73</v>
      </c>
      <c r="G2626">
        <v>105.12</v>
      </c>
      <c r="H2626">
        <v>48</v>
      </c>
      <c r="Q2626"/>
    </row>
    <row r="2627" spans="1:17" x14ac:dyDescent="0.25">
      <c r="A2627">
        <v>10</v>
      </c>
      <c r="B2627">
        <v>2016</v>
      </c>
      <c r="C2627" t="s">
        <v>47</v>
      </c>
      <c r="D2627" t="s">
        <v>48</v>
      </c>
      <c r="E2627" t="s">
        <v>79</v>
      </c>
      <c r="F2627" t="s">
        <v>80</v>
      </c>
      <c r="G2627">
        <v>197.76</v>
      </c>
      <c r="H2627">
        <v>96</v>
      </c>
      <c r="I2627">
        <v>245.4</v>
      </c>
      <c r="J2627">
        <v>120</v>
      </c>
      <c r="Q2627"/>
    </row>
    <row r="2628" spans="1:17" x14ac:dyDescent="0.25">
      <c r="A2628">
        <v>10</v>
      </c>
      <c r="B2628">
        <v>2016</v>
      </c>
      <c r="C2628" t="s">
        <v>47</v>
      </c>
      <c r="D2628" t="s">
        <v>48</v>
      </c>
      <c r="E2628" t="s">
        <v>81</v>
      </c>
      <c r="F2628" t="s">
        <v>82</v>
      </c>
      <c r="G2628">
        <v>36</v>
      </c>
      <c r="H2628">
        <v>18</v>
      </c>
      <c r="I2628">
        <v>56.1</v>
      </c>
      <c r="J2628">
        <v>30</v>
      </c>
      <c r="Q2628"/>
    </row>
    <row r="2629" spans="1:17" x14ac:dyDescent="0.25">
      <c r="A2629">
        <v>10</v>
      </c>
      <c r="B2629">
        <v>2016</v>
      </c>
      <c r="C2629" t="s">
        <v>47</v>
      </c>
      <c r="D2629" t="s">
        <v>48</v>
      </c>
      <c r="E2629" t="s">
        <v>85</v>
      </c>
      <c r="F2629" t="s">
        <v>84</v>
      </c>
      <c r="G2629">
        <v>6.6</v>
      </c>
      <c r="H2629">
        <v>4</v>
      </c>
      <c r="I2629">
        <v>6.23</v>
      </c>
      <c r="J2629">
        <v>4</v>
      </c>
      <c r="Q2629"/>
    </row>
    <row r="2630" spans="1:17" x14ac:dyDescent="0.25">
      <c r="A2630">
        <v>10</v>
      </c>
      <c r="B2630">
        <v>2016</v>
      </c>
      <c r="C2630" t="s">
        <v>47</v>
      </c>
      <c r="D2630" t="s">
        <v>48</v>
      </c>
      <c r="E2630" t="s">
        <v>704</v>
      </c>
      <c r="F2630" t="s">
        <v>705</v>
      </c>
      <c r="G2630">
        <v>143.04</v>
      </c>
      <c r="H2630">
        <v>48</v>
      </c>
      <c r="I2630">
        <v>309.95999999999998</v>
      </c>
      <c r="J2630">
        <v>108</v>
      </c>
      <c r="Q2630"/>
    </row>
    <row r="2631" spans="1:17" x14ac:dyDescent="0.25">
      <c r="A2631">
        <v>10</v>
      </c>
      <c r="B2631">
        <v>2016</v>
      </c>
      <c r="C2631" t="s">
        <v>47</v>
      </c>
      <c r="D2631" t="s">
        <v>48</v>
      </c>
      <c r="E2631" t="s">
        <v>87</v>
      </c>
      <c r="F2631" t="s">
        <v>88</v>
      </c>
      <c r="G2631">
        <v>210.24</v>
      </c>
      <c r="H2631">
        <v>96</v>
      </c>
      <c r="I2631">
        <v>144.54</v>
      </c>
      <c r="J2631">
        <v>66</v>
      </c>
      <c r="Q2631"/>
    </row>
    <row r="2632" spans="1:17" x14ac:dyDescent="0.25">
      <c r="A2632">
        <v>10</v>
      </c>
      <c r="B2632">
        <v>2016</v>
      </c>
      <c r="C2632" t="s">
        <v>47</v>
      </c>
      <c r="D2632" t="s">
        <v>48</v>
      </c>
      <c r="E2632" t="s">
        <v>89</v>
      </c>
      <c r="F2632" t="s">
        <v>90</v>
      </c>
      <c r="G2632">
        <v>1302.96</v>
      </c>
      <c r="H2632">
        <v>732</v>
      </c>
      <c r="I2632">
        <v>477.48</v>
      </c>
      <c r="J2632">
        <v>276</v>
      </c>
      <c r="Q2632"/>
    </row>
    <row r="2633" spans="1:17" x14ac:dyDescent="0.25">
      <c r="A2633">
        <v>10</v>
      </c>
      <c r="B2633">
        <v>2016</v>
      </c>
      <c r="C2633" t="s">
        <v>47</v>
      </c>
      <c r="D2633" t="s">
        <v>48</v>
      </c>
      <c r="E2633" t="s">
        <v>91</v>
      </c>
      <c r="F2633" t="s">
        <v>92</v>
      </c>
      <c r="G2633">
        <v>128.16</v>
      </c>
      <c r="H2633">
        <v>78</v>
      </c>
      <c r="I2633">
        <v>51.9</v>
      </c>
      <c r="J2633">
        <v>30</v>
      </c>
      <c r="Q2633"/>
    </row>
    <row r="2634" spans="1:17" x14ac:dyDescent="0.25">
      <c r="A2634">
        <v>10</v>
      </c>
      <c r="B2634">
        <v>2016</v>
      </c>
      <c r="C2634" t="s">
        <v>47</v>
      </c>
      <c r="D2634" t="s">
        <v>48</v>
      </c>
      <c r="E2634" t="s">
        <v>794</v>
      </c>
      <c r="F2634" t="s">
        <v>795</v>
      </c>
      <c r="G2634">
        <v>69.5</v>
      </c>
      <c r="H2634">
        <v>40</v>
      </c>
      <c r="I2634">
        <v>27.08</v>
      </c>
      <c r="J2634">
        <v>20</v>
      </c>
      <c r="Q2634"/>
    </row>
    <row r="2635" spans="1:17" x14ac:dyDescent="0.25">
      <c r="A2635">
        <v>10</v>
      </c>
      <c r="B2635">
        <v>2016</v>
      </c>
      <c r="C2635" t="s">
        <v>47</v>
      </c>
      <c r="D2635" t="s">
        <v>48</v>
      </c>
      <c r="E2635" t="s">
        <v>101</v>
      </c>
      <c r="F2635" t="s">
        <v>102</v>
      </c>
      <c r="G2635">
        <v>2726.55</v>
      </c>
      <c r="H2635">
        <v>3253.7400000000002</v>
      </c>
      <c r="I2635">
        <v>114.5</v>
      </c>
      <c r="J2635">
        <v>133.35000000000002</v>
      </c>
      <c r="Q2635"/>
    </row>
    <row r="2636" spans="1:17" x14ac:dyDescent="0.25">
      <c r="A2636">
        <v>10</v>
      </c>
      <c r="B2636">
        <v>2016</v>
      </c>
      <c r="C2636" t="s">
        <v>47</v>
      </c>
      <c r="D2636" t="s">
        <v>48</v>
      </c>
      <c r="E2636" t="s">
        <v>103</v>
      </c>
      <c r="F2636" t="s">
        <v>98</v>
      </c>
      <c r="G2636">
        <v>324</v>
      </c>
      <c r="H2636">
        <v>399.9</v>
      </c>
      <c r="I2636">
        <v>648</v>
      </c>
      <c r="J2636">
        <v>799.8</v>
      </c>
      <c r="Q2636"/>
    </row>
    <row r="2637" spans="1:17" x14ac:dyDescent="0.25">
      <c r="A2637">
        <v>10</v>
      </c>
      <c r="B2637">
        <v>2016</v>
      </c>
      <c r="C2637" t="s">
        <v>104</v>
      </c>
      <c r="D2637" t="s">
        <v>105</v>
      </c>
      <c r="E2637" t="s">
        <v>706</v>
      </c>
      <c r="F2637" t="s">
        <v>707</v>
      </c>
      <c r="G2637">
        <v>72</v>
      </c>
      <c r="H2637">
        <v>18</v>
      </c>
      <c r="I2637">
        <v>65.7</v>
      </c>
      <c r="J2637">
        <v>24</v>
      </c>
      <c r="Q2637"/>
    </row>
    <row r="2638" spans="1:17" x14ac:dyDescent="0.25">
      <c r="A2638">
        <v>10</v>
      </c>
      <c r="B2638">
        <v>2016</v>
      </c>
      <c r="C2638" t="s">
        <v>104</v>
      </c>
      <c r="D2638" t="s">
        <v>105</v>
      </c>
      <c r="E2638" t="s">
        <v>106</v>
      </c>
      <c r="F2638" t="s">
        <v>107</v>
      </c>
      <c r="G2638">
        <v>358.8</v>
      </c>
      <c r="H2638">
        <v>78</v>
      </c>
      <c r="I2638">
        <v>319.8</v>
      </c>
      <c r="J2638">
        <v>84</v>
      </c>
      <c r="Q2638"/>
    </row>
    <row r="2639" spans="1:17" x14ac:dyDescent="0.25">
      <c r="A2639">
        <v>10</v>
      </c>
      <c r="B2639">
        <v>2016</v>
      </c>
      <c r="C2639" t="s">
        <v>104</v>
      </c>
      <c r="D2639" t="s">
        <v>105</v>
      </c>
      <c r="E2639" t="s">
        <v>108</v>
      </c>
      <c r="F2639" t="s">
        <v>109</v>
      </c>
      <c r="G2639">
        <v>363</v>
      </c>
      <c r="H2639">
        <v>66</v>
      </c>
      <c r="I2639">
        <v>280.8</v>
      </c>
      <c r="J2639">
        <v>60</v>
      </c>
      <c r="Q2639"/>
    </row>
    <row r="2640" spans="1:17" x14ac:dyDescent="0.25">
      <c r="A2640">
        <v>10</v>
      </c>
      <c r="B2640">
        <v>2016</v>
      </c>
      <c r="C2640" t="s">
        <v>104</v>
      </c>
      <c r="D2640" t="s">
        <v>105</v>
      </c>
      <c r="E2640" t="s">
        <v>110</v>
      </c>
      <c r="F2640" t="s">
        <v>111</v>
      </c>
      <c r="G2640">
        <v>435</v>
      </c>
      <c r="H2640">
        <v>60</v>
      </c>
      <c r="I2640">
        <v>567</v>
      </c>
      <c r="J2640">
        <v>90</v>
      </c>
      <c r="Q2640"/>
    </row>
    <row r="2641" spans="1:17" x14ac:dyDescent="0.25">
      <c r="A2641">
        <v>10</v>
      </c>
      <c r="B2641">
        <v>2016</v>
      </c>
      <c r="C2641" t="s">
        <v>104</v>
      </c>
      <c r="D2641" t="s">
        <v>105</v>
      </c>
      <c r="E2641" t="s">
        <v>114</v>
      </c>
      <c r="F2641" t="s">
        <v>115</v>
      </c>
      <c r="G2641">
        <v>189</v>
      </c>
      <c r="H2641">
        <v>30</v>
      </c>
      <c r="I2641">
        <v>283.2</v>
      </c>
      <c r="J2641">
        <v>54</v>
      </c>
      <c r="Q2641"/>
    </row>
    <row r="2642" spans="1:17" x14ac:dyDescent="0.25">
      <c r="A2642">
        <v>10</v>
      </c>
      <c r="B2642">
        <v>2016</v>
      </c>
      <c r="C2642" t="s">
        <v>104</v>
      </c>
      <c r="D2642" t="s">
        <v>105</v>
      </c>
      <c r="E2642" t="s">
        <v>856</v>
      </c>
      <c r="F2642" t="s">
        <v>107</v>
      </c>
      <c r="G2642">
        <v>37.200000000000003</v>
      </c>
      <c r="H2642">
        <v>6</v>
      </c>
      <c r="Q2642"/>
    </row>
    <row r="2643" spans="1:17" x14ac:dyDescent="0.25">
      <c r="A2643">
        <v>10</v>
      </c>
      <c r="B2643">
        <v>2016</v>
      </c>
      <c r="C2643" t="s">
        <v>104</v>
      </c>
      <c r="D2643" t="s">
        <v>105</v>
      </c>
      <c r="E2643" t="s">
        <v>857</v>
      </c>
      <c r="F2643" t="s">
        <v>858</v>
      </c>
      <c r="G2643">
        <v>51.6</v>
      </c>
      <c r="H2643">
        <v>6</v>
      </c>
      <c r="I2643">
        <v>112.8</v>
      </c>
      <c r="J2643">
        <v>12</v>
      </c>
      <c r="Q2643"/>
    </row>
    <row r="2644" spans="1:17" x14ac:dyDescent="0.25">
      <c r="A2644">
        <v>10</v>
      </c>
      <c r="B2644">
        <v>2016</v>
      </c>
      <c r="C2644" t="s">
        <v>104</v>
      </c>
      <c r="D2644" t="s">
        <v>105</v>
      </c>
      <c r="E2644" t="s">
        <v>796</v>
      </c>
      <c r="F2644" t="s">
        <v>797</v>
      </c>
      <c r="G2644">
        <v>111.9</v>
      </c>
      <c r="H2644">
        <v>6</v>
      </c>
      <c r="Q2644"/>
    </row>
    <row r="2645" spans="1:17" x14ac:dyDescent="0.25">
      <c r="A2645">
        <v>10</v>
      </c>
      <c r="B2645">
        <v>2016</v>
      </c>
      <c r="C2645" t="s">
        <v>116</v>
      </c>
      <c r="D2645" t="s">
        <v>117</v>
      </c>
      <c r="E2645" t="s">
        <v>118</v>
      </c>
      <c r="F2645" t="s">
        <v>119</v>
      </c>
      <c r="G2645">
        <v>604.20000000000005</v>
      </c>
      <c r="H2645">
        <v>114</v>
      </c>
      <c r="I2645">
        <v>218.4</v>
      </c>
      <c r="J2645">
        <v>42</v>
      </c>
      <c r="Q2645"/>
    </row>
    <row r="2646" spans="1:17" x14ac:dyDescent="0.25">
      <c r="A2646">
        <v>10</v>
      </c>
      <c r="B2646">
        <v>2016</v>
      </c>
      <c r="C2646" t="s">
        <v>116</v>
      </c>
      <c r="D2646" t="s">
        <v>117</v>
      </c>
      <c r="E2646" t="s">
        <v>798</v>
      </c>
      <c r="F2646" t="s">
        <v>799</v>
      </c>
      <c r="G2646">
        <v>75.599999999999994</v>
      </c>
      <c r="H2646">
        <v>12</v>
      </c>
      <c r="Q2646"/>
    </row>
    <row r="2647" spans="1:17" x14ac:dyDescent="0.25">
      <c r="A2647">
        <v>10</v>
      </c>
      <c r="B2647">
        <v>2016</v>
      </c>
      <c r="C2647" t="s">
        <v>120</v>
      </c>
      <c r="D2647" t="s">
        <v>121</v>
      </c>
      <c r="E2647" t="s">
        <v>122</v>
      </c>
      <c r="F2647" t="s">
        <v>123</v>
      </c>
      <c r="G2647">
        <v>3016.44</v>
      </c>
      <c r="H2647">
        <v>756</v>
      </c>
      <c r="I2647">
        <v>1963.08</v>
      </c>
      <c r="J2647">
        <v>492</v>
      </c>
      <c r="Q2647"/>
    </row>
    <row r="2648" spans="1:17" x14ac:dyDescent="0.25">
      <c r="A2648">
        <v>10</v>
      </c>
      <c r="B2648">
        <v>2016</v>
      </c>
      <c r="C2648" t="s">
        <v>120</v>
      </c>
      <c r="D2648" t="s">
        <v>121</v>
      </c>
      <c r="E2648" t="s">
        <v>864</v>
      </c>
      <c r="F2648" t="s">
        <v>865</v>
      </c>
      <c r="G2648">
        <v>406.98</v>
      </c>
      <c r="H2648">
        <v>102</v>
      </c>
      <c r="I2648">
        <v>23.1</v>
      </c>
      <c r="J2648">
        <v>6</v>
      </c>
      <c r="Q2648"/>
    </row>
    <row r="2649" spans="1:17" x14ac:dyDescent="0.25">
      <c r="A2649">
        <v>10</v>
      </c>
      <c r="B2649">
        <v>2016</v>
      </c>
      <c r="C2649" t="s">
        <v>120</v>
      </c>
      <c r="D2649" t="s">
        <v>121</v>
      </c>
      <c r="E2649" t="s">
        <v>124</v>
      </c>
      <c r="F2649" t="s">
        <v>125</v>
      </c>
      <c r="G2649">
        <v>84.6</v>
      </c>
      <c r="H2649">
        <v>18</v>
      </c>
      <c r="I2649">
        <v>161.63999999999999</v>
      </c>
      <c r="J2649">
        <v>36</v>
      </c>
      <c r="Q2649"/>
    </row>
    <row r="2650" spans="1:17" x14ac:dyDescent="0.25">
      <c r="A2650">
        <v>10</v>
      </c>
      <c r="B2650">
        <v>2016</v>
      </c>
      <c r="C2650" t="s">
        <v>126</v>
      </c>
      <c r="D2650" t="s">
        <v>127</v>
      </c>
      <c r="E2650" t="s">
        <v>128</v>
      </c>
      <c r="F2650" t="s">
        <v>129</v>
      </c>
      <c r="G2650">
        <v>1714.5</v>
      </c>
      <c r="H2650">
        <v>768</v>
      </c>
      <c r="I2650">
        <v>4078.56</v>
      </c>
      <c r="J2650">
        <v>1872</v>
      </c>
      <c r="Q2650"/>
    </row>
    <row r="2651" spans="1:17" x14ac:dyDescent="0.25">
      <c r="A2651">
        <v>10</v>
      </c>
      <c r="B2651">
        <v>2016</v>
      </c>
      <c r="C2651" t="s">
        <v>126</v>
      </c>
      <c r="D2651" t="s">
        <v>127</v>
      </c>
      <c r="E2651" t="s">
        <v>130</v>
      </c>
      <c r="F2651" t="s">
        <v>131</v>
      </c>
      <c r="G2651">
        <v>1089</v>
      </c>
      <c r="H2651">
        <v>733.15</v>
      </c>
      <c r="I2651">
        <v>675.5</v>
      </c>
      <c r="J2651">
        <v>466.55</v>
      </c>
      <c r="Q2651"/>
    </row>
    <row r="2652" spans="1:17" x14ac:dyDescent="0.25">
      <c r="A2652">
        <v>10</v>
      </c>
      <c r="B2652">
        <v>2016</v>
      </c>
      <c r="C2652" t="s">
        <v>126</v>
      </c>
      <c r="D2652" t="s">
        <v>127</v>
      </c>
      <c r="E2652" t="s">
        <v>132</v>
      </c>
      <c r="F2652" t="s">
        <v>131</v>
      </c>
      <c r="G2652">
        <v>526.4</v>
      </c>
      <c r="H2652">
        <v>313.49</v>
      </c>
      <c r="I2652">
        <v>517</v>
      </c>
      <c r="J2652">
        <v>326.83</v>
      </c>
      <c r="Q2652"/>
    </row>
    <row r="2653" spans="1:17" x14ac:dyDescent="0.25">
      <c r="A2653">
        <v>10</v>
      </c>
      <c r="B2653">
        <v>2016</v>
      </c>
      <c r="C2653" t="s">
        <v>126</v>
      </c>
      <c r="D2653" t="s">
        <v>127</v>
      </c>
      <c r="E2653" t="s">
        <v>133</v>
      </c>
      <c r="F2653" t="s">
        <v>134</v>
      </c>
      <c r="G2653">
        <v>32.64</v>
      </c>
      <c r="H2653">
        <v>12</v>
      </c>
      <c r="I2653">
        <v>178.2</v>
      </c>
      <c r="J2653">
        <v>72</v>
      </c>
      <c r="Q2653"/>
    </row>
    <row r="2654" spans="1:17" x14ac:dyDescent="0.25">
      <c r="A2654">
        <v>10</v>
      </c>
      <c r="B2654">
        <v>2016</v>
      </c>
      <c r="C2654" t="s">
        <v>126</v>
      </c>
      <c r="D2654" t="s">
        <v>127</v>
      </c>
      <c r="E2654" t="s">
        <v>135</v>
      </c>
      <c r="F2654" t="s">
        <v>136</v>
      </c>
      <c r="G2654">
        <v>96.6</v>
      </c>
      <c r="H2654">
        <v>42</v>
      </c>
      <c r="I2654">
        <v>108</v>
      </c>
      <c r="J2654">
        <v>48</v>
      </c>
      <c r="Q2654"/>
    </row>
    <row r="2655" spans="1:17" x14ac:dyDescent="0.25">
      <c r="A2655">
        <v>10</v>
      </c>
      <c r="B2655">
        <v>2016</v>
      </c>
      <c r="C2655" t="s">
        <v>137</v>
      </c>
      <c r="D2655" t="s">
        <v>138</v>
      </c>
      <c r="E2655" t="s">
        <v>139</v>
      </c>
      <c r="F2655" t="s">
        <v>140</v>
      </c>
      <c r="G2655">
        <v>1099.98</v>
      </c>
      <c r="H2655">
        <v>174</v>
      </c>
      <c r="I2655">
        <v>611.1</v>
      </c>
      <c r="J2655">
        <v>90</v>
      </c>
      <c r="Q2655"/>
    </row>
    <row r="2656" spans="1:17" x14ac:dyDescent="0.25">
      <c r="A2656">
        <v>10</v>
      </c>
      <c r="B2656">
        <v>2016</v>
      </c>
      <c r="C2656" t="s">
        <v>137</v>
      </c>
      <c r="D2656" t="s">
        <v>138</v>
      </c>
      <c r="E2656" t="s">
        <v>711</v>
      </c>
      <c r="F2656" t="s">
        <v>712</v>
      </c>
      <c r="G2656">
        <v>45.9</v>
      </c>
      <c r="H2656">
        <v>12</v>
      </c>
      <c r="I2656">
        <v>0</v>
      </c>
      <c r="J2656">
        <v>6</v>
      </c>
      <c r="Q2656"/>
    </row>
    <row r="2657" spans="1:17" x14ac:dyDescent="0.25">
      <c r="A2657">
        <v>10</v>
      </c>
      <c r="B2657">
        <v>2016</v>
      </c>
      <c r="C2657" t="s">
        <v>137</v>
      </c>
      <c r="D2657" t="s">
        <v>138</v>
      </c>
      <c r="E2657" t="s">
        <v>141</v>
      </c>
      <c r="F2657" t="s">
        <v>142</v>
      </c>
      <c r="G2657">
        <v>1115.55</v>
      </c>
      <c r="H2657">
        <v>216</v>
      </c>
      <c r="Q2657"/>
    </row>
    <row r="2658" spans="1:17" x14ac:dyDescent="0.25">
      <c r="A2658">
        <v>10</v>
      </c>
      <c r="B2658">
        <v>2016</v>
      </c>
      <c r="C2658" t="s">
        <v>137</v>
      </c>
      <c r="D2658" t="s">
        <v>138</v>
      </c>
      <c r="E2658" t="s">
        <v>143</v>
      </c>
      <c r="F2658" t="s">
        <v>144</v>
      </c>
      <c r="G2658">
        <v>261.89999999999998</v>
      </c>
      <c r="H2658">
        <v>66</v>
      </c>
      <c r="I2658">
        <v>145.5</v>
      </c>
      <c r="J2658">
        <v>30</v>
      </c>
      <c r="Q2658"/>
    </row>
    <row r="2659" spans="1:17" x14ac:dyDescent="0.25">
      <c r="A2659">
        <v>10</v>
      </c>
      <c r="B2659">
        <v>2016</v>
      </c>
      <c r="C2659" t="s">
        <v>137</v>
      </c>
      <c r="D2659" t="s">
        <v>138</v>
      </c>
      <c r="E2659" t="s">
        <v>145</v>
      </c>
      <c r="F2659" t="s">
        <v>146</v>
      </c>
      <c r="G2659">
        <v>482.58</v>
      </c>
      <c r="H2659">
        <v>126</v>
      </c>
      <c r="I2659">
        <v>137.88</v>
      </c>
      <c r="J2659">
        <v>42</v>
      </c>
      <c r="Q2659"/>
    </row>
    <row r="2660" spans="1:17" x14ac:dyDescent="0.25">
      <c r="A2660">
        <v>10</v>
      </c>
      <c r="B2660">
        <v>2016</v>
      </c>
      <c r="C2660" t="s">
        <v>137</v>
      </c>
      <c r="D2660" t="s">
        <v>138</v>
      </c>
      <c r="E2660" t="s">
        <v>713</v>
      </c>
      <c r="F2660" t="s">
        <v>714</v>
      </c>
      <c r="G2660">
        <v>116.64</v>
      </c>
      <c r="H2660">
        <v>48</v>
      </c>
      <c r="Q2660"/>
    </row>
    <row r="2661" spans="1:17" x14ac:dyDescent="0.25">
      <c r="A2661">
        <v>10</v>
      </c>
      <c r="B2661">
        <v>2016</v>
      </c>
      <c r="C2661" t="s">
        <v>137</v>
      </c>
      <c r="D2661" t="s">
        <v>138</v>
      </c>
      <c r="E2661" t="s">
        <v>147</v>
      </c>
      <c r="F2661" t="s">
        <v>148</v>
      </c>
      <c r="G2661">
        <v>1198.4000000000001</v>
      </c>
      <c r="H2661">
        <v>126</v>
      </c>
      <c r="I2661">
        <v>321</v>
      </c>
      <c r="J2661">
        <v>36</v>
      </c>
      <c r="Q2661"/>
    </row>
    <row r="2662" spans="1:17" x14ac:dyDescent="0.25">
      <c r="A2662">
        <v>10</v>
      </c>
      <c r="B2662">
        <v>2016</v>
      </c>
      <c r="C2662" t="s">
        <v>137</v>
      </c>
      <c r="D2662" t="s">
        <v>138</v>
      </c>
      <c r="E2662" t="s">
        <v>149</v>
      </c>
      <c r="F2662" t="s">
        <v>150</v>
      </c>
      <c r="G2662">
        <v>2913.36</v>
      </c>
      <c r="H2662">
        <v>1002</v>
      </c>
      <c r="I2662">
        <v>2280</v>
      </c>
      <c r="J2662">
        <v>750</v>
      </c>
      <c r="Q2662"/>
    </row>
    <row r="2663" spans="1:17" x14ac:dyDescent="0.25">
      <c r="A2663">
        <v>10</v>
      </c>
      <c r="B2663">
        <v>2016</v>
      </c>
      <c r="C2663" t="s">
        <v>137</v>
      </c>
      <c r="D2663" t="s">
        <v>138</v>
      </c>
      <c r="E2663" t="s">
        <v>151</v>
      </c>
      <c r="F2663" t="s">
        <v>152</v>
      </c>
      <c r="G2663">
        <v>233.1</v>
      </c>
      <c r="H2663">
        <v>42</v>
      </c>
      <c r="I2663">
        <v>434.46</v>
      </c>
      <c r="J2663">
        <v>78</v>
      </c>
      <c r="Q2663"/>
    </row>
    <row r="2664" spans="1:17" x14ac:dyDescent="0.25">
      <c r="A2664">
        <v>10</v>
      </c>
      <c r="B2664">
        <v>2016</v>
      </c>
      <c r="C2664" t="s">
        <v>137</v>
      </c>
      <c r="D2664" t="s">
        <v>138</v>
      </c>
      <c r="E2664" t="s">
        <v>153</v>
      </c>
      <c r="F2664" t="s">
        <v>154</v>
      </c>
      <c r="G2664">
        <v>124.2</v>
      </c>
      <c r="H2664">
        <v>42</v>
      </c>
      <c r="I2664">
        <v>546.48</v>
      </c>
      <c r="J2664">
        <v>132</v>
      </c>
      <c r="Q2664"/>
    </row>
    <row r="2665" spans="1:17" x14ac:dyDescent="0.25">
      <c r="A2665">
        <v>10</v>
      </c>
      <c r="B2665">
        <v>2016</v>
      </c>
      <c r="C2665" t="s">
        <v>155</v>
      </c>
      <c r="D2665" t="s">
        <v>156</v>
      </c>
      <c r="E2665" t="s">
        <v>157</v>
      </c>
      <c r="F2665" t="s">
        <v>158</v>
      </c>
      <c r="G2665">
        <v>273</v>
      </c>
      <c r="H2665">
        <v>84</v>
      </c>
      <c r="I2665">
        <v>1072.5</v>
      </c>
      <c r="J2665">
        <v>330</v>
      </c>
      <c r="Q2665"/>
    </row>
    <row r="2666" spans="1:17" x14ac:dyDescent="0.25">
      <c r="A2666">
        <v>10</v>
      </c>
      <c r="B2666">
        <v>2016</v>
      </c>
      <c r="C2666" t="s">
        <v>155</v>
      </c>
      <c r="D2666" t="s">
        <v>156</v>
      </c>
      <c r="E2666" t="s">
        <v>159</v>
      </c>
      <c r="F2666" t="s">
        <v>160</v>
      </c>
      <c r="G2666">
        <v>0</v>
      </c>
      <c r="H2666">
        <v>6</v>
      </c>
      <c r="I2666">
        <v>50.4</v>
      </c>
      <c r="J2666">
        <v>18</v>
      </c>
      <c r="Q2666"/>
    </row>
    <row r="2667" spans="1:17" x14ac:dyDescent="0.25">
      <c r="A2667">
        <v>10</v>
      </c>
      <c r="B2667">
        <v>2016</v>
      </c>
      <c r="C2667" t="s">
        <v>155</v>
      </c>
      <c r="D2667" t="s">
        <v>156</v>
      </c>
      <c r="E2667" t="s">
        <v>161</v>
      </c>
      <c r="F2667" t="s">
        <v>162</v>
      </c>
      <c r="G2667">
        <v>45.6</v>
      </c>
      <c r="H2667">
        <v>26.66</v>
      </c>
      <c r="I2667">
        <v>813.6</v>
      </c>
      <c r="J2667">
        <v>479.88</v>
      </c>
      <c r="Q2667"/>
    </row>
    <row r="2668" spans="1:17" x14ac:dyDescent="0.25">
      <c r="A2668">
        <v>10</v>
      </c>
      <c r="B2668">
        <v>2016</v>
      </c>
      <c r="C2668" t="s">
        <v>155</v>
      </c>
      <c r="D2668" t="s">
        <v>156</v>
      </c>
      <c r="E2668" t="s">
        <v>163</v>
      </c>
      <c r="F2668" t="s">
        <v>164</v>
      </c>
      <c r="G2668">
        <v>499.5</v>
      </c>
      <c r="H2668">
        <v>246.79</v>
      </c>
      <c r="I2668">
        <v>1090.5999999999999</v>
      </c>
      <c r="J2668">
        <v>546.93999999999994</v>
      </c>
      <c r="Q2668"/>
    </row>
    <row r="2669" spans="1:17" x14ac:dyDescent="0.25">
      <c r="A2669">
        <v>10</v>
      </c>
      <c r="B2669">
        <v>2016</v>
      </c>
      <c r="C2669" t="s">
        <v>155</v>
      </c>
      <c r="D2669" t="s">
        <v>156</v>
      </c>
      <c r="E2669" t="s">
        <v>165</v>
      </c>
      <c r="F2669" t="s">
        <v>166</v>
      </c>
      <c r="G2669">
        <v>827.7</v>
      </c>
      <c r="H2669">
        <v>186</v>
      </c>
      <c r="I2669">
        <v>694.2</v>
      </c>
      <c r="J2669">
        <v>156</v>
      </c>
      <c r="Q2669"/>
    </row>
    <row r="2670" spans="1:17" x14ac:dyDescent="0.25">
      <c r="A2670">
        <v>10</v>
      </c>
      <c r="B2670">
        <v>2016</v>
      </c>
      <c r="C2670" t="s">
        <v>167</v>
      </c>
      <c r="D2670" t="s">
        <v>168</v>
      </c>
      <c r="E2670" t="s">
        <v>171</v>
      </c>
      <c r="F2670" t="s">
        <v>172</v>
      </c>
      <c r="G2670">
        <v>180</v>
      </c>
      <c r="H2670">
        <v>120</v>
      </c>
      <c r="Q2670"/>
    </row>
    <row r="2671" spans="1:17" x14ac:dyDescent="0.25">
      <c r="A2671">
        <v>10</v>
      </c>
      <c r="B2671">
        <v>2016</v>
      </c>
      <c r="C2671" t="s">
        <v>175</v>
      </c>
      <c r="D2671" t="s">
        <v>176</v>
      </c>
      <c r="E2671" t="s">
        <v>177</v>
      </c>
      <c r="F2671" t="s">
        <v>178</v>
      </c>
      <c r="G2671">
        <v>1758.24</v>
      </c>
      <c r="H2671">
        <v>432</v>
      </c>
      <c r="I2671">
        <v>5139.6000000000004</v>
      </c>
      <c r="J2671">
        <v>1302</v>
      </c>
      <c r="Q2671"/>
    </row>
    <row r="2672" spans="1:17" x14ac:dyDescent="0.25">
      <c r="A2672">
        <v>10</v>
      </c>
      <c r="B2672">
        <v>2016</v>
      </c>
      <c r="C2672" t="s">
        <v>175</v>
      </c>
      <c r="D2672" t="s">
        <v>176</v>
      </c>
      <c r="E2672" t="s">
        <v>179</v>
      </c>
      <c r="F2672" t="s">
        <v>178</v>
      </c>
      <c r="G2672">
        <v>182.16</v>
      </c>
      <c r="H2672">
        <v>36</v>
      </c>
      <c r="I2672">
        <v>150</v>
      </c>
      <c r="J2672">
        <v>30</v>
      </c>
      <c r="Q2672"/>
    </row>
    <row r="2673" spans="1:17" x14ac:dyDescent="0.25">
      <c r="A2673">
        <v>10</v>
      </c>
      <c r="B2673">
        <v>2016</v>
      </c>
      <c r="C2673" t="s">
        <v>175</v>
      </c>
      <c r="D2673" t="s">
        <v>176</v>
      </c>
      <c r="E2673" t="s">
        <v>180</v>
      </c>
      <c r="F2673" t="s">
        <v>181</v>
      </c>
      <c r="G2673">
        <v>546</v>
      </c>
      <c r="H2673">
        <v>150</v>
      </c>
      <c r="I2673">
        <v>406.98</v>
      </c>
      <c r="J2673">
        <v>126</v>
      </c>
      <c r="Q2673"/>
    </row>
    <row r="2674" spans="1:17" x14ac:dyDescent="0.25">
      <c r="A2674">
        <v>10</v>
      </c>
      <c r="B2674">
        <v>2016</v>
      </c>
      <c r="C2674" t="s">
        <v>183</v>
      </c>
      <c r="D2674" t="s">
        <v>184</v>
      </c>
      <c r="E2674" t="s">
        <v>185</v>
      </c>
      <c r="F2674" t="s">
        <v>186</v>
      </c>
      <c r="G2674">
        <v>932.2</v>
      </c>
      <c r="H2674">
        <v>366</v>
      </c>
      <c r="I2674">
        <v>1039.9000000000001</v>
      </c>
      <c r="J2674">
        <v>408</v>
      </c>
      <c r="Q2674"/>
    </row>
    <row r="2675" spans="1:17" x14ac:dyDescent="0.25">
      <c r="A2675">
        <v>10</v>
      </c>
      <c r="B2675">
        <v>2016</v>
      </c>
      <c r="C2675" t="s">
        <v>183</v>
      </c>
      <c r="D2675" t="s">
        <v>184</v>
      </c>
      <c r="E2675" t="s">
        <v>802</v>
      </c>
      <c r="F2675" t="s">
        <v>803</v>
      </c>
      <c r="G2675">
        <v>0</v>
      </c>
      <c r="H2675">
        <v>6</v>
      </c>
      <c r="Q2675"/>
    </row>
    <row r="2676" spans="1:17" x14ac:dyDescent="0.25">
      <c r="A2676">
        <v>10</v>
      </c>
      <c r="B2676">
        <v>2016</v>
      </c>
      <c r="C2676" t="s">
        <v>183</v>
      </c>
      <c r="D2676" t="s">
        <v>184</v>
      </c>
      <c r="E2676" t="s">
        <v>717</v>
      </c>
      <c r="F2676" t="s">
        <v>718</v>
      </c>
      <c r="G2676">
        <v>37.950000000000003</v>
      </c>
      <c r="H2676">
        <v>39.99</v>
      </c>
      <c r="I2676">
        <v>310</v>
      </c>
      <c r="J2676">
        <v>333.25</v>
      </c>
      <c r="Q2676"/>
    </row>
    <row r="2677" spans="1:17" x14ac:dyDescent="0.25">
      <c r="A2677">
        <v>10</v>
      </c>
      <c r="B2677">
        <v>2016</v>
      </c>
      <c r="C2677" t="s">
        <v>183</v>
      </c>
      <c r="D2677" t="s">
        <v>184</v>
      </c>
      <c r="E2677" t="s">
        <v>187</v>
      </c>
      <c r="F2677" t="s">
        <v>188</v>
      </c>
      <c r="G2677">
        <v>36.75</v>
      </c>
      <c r="H2677">
        <v>33.35</v>
      </c>
      <c r="I2677">
        <v>194.4</v>
      </c>
      <c r="J2677">
        <v>186.76</v>
      </c>
      <c r="Q2677"/>
    </row>
    <row r="2678" spans="1:17" x14ac:dyDescent="0.25">
      <c r="A2678">
        <v>10</v>
      </c>
      <c r="B2678">
        <v>2016</v>
      </c>
      <c r="C2678" t="s">
        <v>189</v>
      </c>
      <c r="D2678" t="s">
        <v>190</v>
      </c>
      <c r="E2678" t="s">
        <v>191</v>
      </c>
      <c r="F2678" t="s">
        <v>192</v>
      </c>
      <c r="G2678">
        <v>45.6</v>
      </c>
      <c r="H2678">
        <v>12</v>
      </c>
      <c r="I2678">
        <v>44.4</v>
      </c>
      <c r="J2678">
        <v>12</v>
      </c>
      <c r="Q2678"/>
    </row>
    <row r="2679" spans="1:17" x14ac:dyDescent="0.25">
      <c r="A2679">
        <v>10</v>
      </c>
      <c r="B2679">
        <v>2016</v>
      </c>
      <c r="C2679" t="s">
        <v>189</v>
      </c>
      <c r="D2679" t="s">
        <v>190</v>
      </c>
      <c r="E2679" t="s">
        <v>871</v>
      </c>
      <c r="F2679" t="s">
        <v>872</v>
      </c>
      <c r="G2679">
        <v>0</v>
      </c>
      <c r="H2679">
        <v>240</v>
      </c>
      <c r="I2679">
        <v>44.4</v>
      </c>
      <c r="J2679">
        <v>12</v>
      </c>
      <c r="Q2679"/>
    </row>
    <row r="2680" spans="1:17" x14ac:dyDescent="0.25">
      <c r="A2680">
        <v>10</v>
      </c>
      <c r="B2680">
        <v>2016</v>
      </c>
      <c r="C2680" t="s">
        <v>189</v>
      </c>
      <c r="D2680" t="s">
        <v>190</v>
      </c>
      <c r="E2680" t="s">
        <v>193</v>
      </c>
      <c r="F2680" t="s">
        <v>194</v>
      </c>
      <c r="G2680">
        <v>85.5</v>
      </c>
      <c r="H2680">
        <v>18</v>
      </c>
      <c r="I2680">
        <v>54.6</v>
      </c>
      <c r="J2680">
        <v>12</v>
      </c>
      <c r="Q2680"/>
    </row>
    <row r="2681" spans="1:17" x14ac:dyDescent="0.25">
      <c r="A2681">
        <v>10</v>
      </c>
      <c r="B2681">
        <v>2016</v>
      </c>
      <c r="C2681" t="s">
        <v>195</v>
      </c>
      <c r="D2681" t="s">
        <v>196</v>
      </c>
      <c r="E2681" t="s">
        <v>197</v>
      </c>
      <c r="F2681" t="s">
        <v>198</v>
      </c>
      <c r="G2681">
        <v>38.1</v>
      </c>
      <c r="H2681">
        <v>13.34</v>
      </c>
      <c r="Q2681"/>
    </row>
    <row r="2682" spans="1:17" x14ac:dyDescent="0.25">
      <c r="A2682">
        <v>10</v>
      </c>
      <c r="B2682">
        <v>2016</v>
      </c>
      <c r="C2682" t="s">
        <v>195</v>
      </c>
      <c r="D2682" t="s">
        <v>196</v>
      </c>
      <c r="E2682" t="s">
        <v>719</v>
      </c>
      <c r="F2682" t="s">
        <v>720</v>
      </c>
      <c r="G2682">
        <v>0</v>
      </c>
      <c r="H2682">
        <v>12</v>
      </c>
      <c r="I2682">
        <v>186.48</v>
      </c>
      <c r="J2682">
        <v>42</v>
      </c>
      <c r="Q2682"/>
    </row>
    <row r="2683" spans="1:17" x14ac:dyDescent="0.25">
      <c r="A2683">
        <v>10</v>
      </c>
      <c r="B2683">
        <v>2016</v>
      </c>
      <c r="C2683" t="s">
        <v>195</v>
      </c>
      <c r="D2683" t="s">
        <v>196</v>
      </c>
      <c r="E2683" t="s">
        <v>199</v>
      </c>
      <c r="F2683" t="s">
        <v>200</v>
      </c>
      <c r="G2683">
        <v>168</v>
      </c>
      <c r="H2683">
        <v>54</v>
      </c>
      <c r="I2683">
        <v>546</v>
      </c>
      <c r="J2683">
        <v>156</v>
      </c>
      <c r="Q2683"/>
    </row>
    <row r="2684" spans="1:17" x14ac:dyDescent="0.25">
      <c r="A2684">
        <v>10</v>
      </c>
      <c r="B2684">
        <v>2016</v>
      </c>
      <c r="C2684" t="s">
        <v>195</v>
      </c>
      <c r="D2684" t="s">
        <v>196</v>
      </c>
      <c r="E2684" t="s">
        <v>201</v>
      </c>
      <c r="F2684" t="s">
        <v>202</v>
      </c>
      <c r="G2684">
        <v>380.64</v>
      </c>
      <c r="H2684">
        <v>156</v>
      </c>
      <c r="I2684">
        <v>318.24</v>
      </c>
      <c r="J2684">
        <v>150</v>
      </c>
      <c r="Q2684"/>
    </row>
    <row r="2685" spans="1:17" x14ac:dyDescent="0.25">
      <c r="A2685">
        <v>10</v>
      </c>
      <c r="B2685">
        <v>2016</v>
      </c>
      <c r="C2685" t="s">
        <v>195</v>
      </c>
      <c r="D2685" t="s">
        <v>196</v>
      </c>
      <c r="E2685" t="s">
        <v>203</v>
      </c>
      <c r="F2685" t="s">
        <v>204</v>
      </c>
      <c r="G2685">
        <v>300</v>
      </c>
      <c r="H2685">
        <v>60</v>
      </c>
      <c r="I2685">
        <v>141.6</v>
      </c>
      <c r="J2685">
        <v>36</v>
      </c>
      <c r="Q2685"/>
    </row>
    <row r="2686" spans="1:17" x14ac:dyDescent="0.25">
      <c r="A2686">
        <v>10</v>
      </c>
      <c r="B2686">
        <v>2016</v>
      </c>
      <c r="C2686" t="s">
        <v>195</v>
      </c>
      <c r="D2686" t="s">
        <v>196</v>
      </c>
      <c r="E2686" t="s">
        <v>205</v>
      </c>
      <c r="F2686" t="s">
        <v>206</v>
      </c>
      <c r="G2686">
        <v>294.83999999999997</v>
      </c>
      <c r="H2686">
        <v>78</v>
      </c>
      <c r="I2686">
        <v>108.3</v>
      </c>
      <c r="J2686">
        <v>36</v>
      </c>
      <c r="Q2686"/>
    </row>
    <row r="2687" spans="1:17" x14ac:dyDescent="0.25">
      <c r="A2687">
        <v>10</v>
      </c>
      <c r="B2687">
        <v>2016</v>
      </c>
      <c r="C2687" t="s">
        <v>231</v>
      </c>
      <c r="D2687" t="s">
        <v>232</v>
      </c>
      <c r="E2687" t="s">
        <v>233</v>
      </c>
      <c r="F2687" t="s">
        <v>234</v>
      </c>
      <c r="G2687">
        <v>54</v>
      </c>
      <c r="H2687">
        <v>12</v>
      </c>
      <c r="I2687">
        <v>196.8</v>
      </c>
      <c r="J2687">
        <v>48</v>
      </c>
      <c r="Q2687"/>
    </row>
    <row r="2688" spans="1:17" x14ac:dyDescent="0.25">
      <c r="A2688">
        <v>10</v>
      </c>
      <c r="B2688">
        <v>2016</v>
      </c>
      <c r="C2688" t="s">
        <v>231</v>
      </c>
      <c r="D2688" t="s">
        <v>232</v>
      </c>
      <c r="E2688" t="s">
        <v>235</v>
      </c>
      <c r="F2688" t="s">
        <v>236</v>
      </c>
      <c r="G2688">
        <v>124.2</v>
      </c>
      <c r="H2688">
        <v>18</v>
      </c>
      <c r="I2688">
        <v>76.8</v>
      </c>
      <c r="J2688">
        <v>12</v>
      </c>
      <c r="Q2688"/>
    </row>
    <row r="2689" spans="1:17" x14ac:dyDescent="0.25">
      <c r="A2689">
        <v>10</v>
      </c>
      <c r="B2689">
        <v>2016</v>
      </c>
      <c r="C2689" t="s">
        <v>231</v>
      </c>
      <c r="D2689" t="s">
        <v>232</v>
      </c>
      <c r="E2689" t="s">
        <v>237</v>
      </c>
      <c r="F2689" t="s">
        <v>238</v>
      </c>
      <c r="G2689">
        <v>120</v>
      </c>
      <c r="H2689">
        <v>30</v>
      </c>
      <c r="Q2689"/>
    </row>
    <row r="2690" spans="1:17" x14ac:dyDescent="0.25">
      <c r="A2690">
        <v>10</v>
      </c>
      <c r="B2690">
        <v>2016</v>
      </c>
      <c r="C2690" t="s">
        <v>245</v>
      </c>
      <c r="D2690" t="s">
        <v>246</v>
      </c>
      <c r="E2690" t="s">
        <v>247</v>
      </c>
      <c r="F2690" t="s">
        <v>248</v>
      </c>
      <c r="G2690">
        <v>259.5</v>
      </c>
      <c r="H2690">
        <v>78</v>
      </c>
      <c r="I2690">
        <v>297</v>
      </c>
      <c r="J2690">
        <v>90</v>
      </c>
      <c r="Q2690"/>
    </row>
    <row r="2691" spans="1:17" x14ac:dyDescent="0.25">
      <c r="A2691">
        <v>10</v>
      </c>
      <c r="B2691">
        <v>2016</v>
      </c>
      <c r="C2691" t="s">
        <v>245</v>
      </c>
      <c r="D2691" t="s">
        <v>246</v>
      </c>
      <c r="E2691" t="s">
        <v>808</v>
      </c>
      <c r="F2691" t="s">
        <v>248</v>
      </c>
      <c r="G2691">
        <v>100.8</v>
      </c>
      <c r="H2691">
        <v>24</v>
      </c>
      <c r="Q2691"/>
    </row>
    <row r="2692" spans="1:17" x14ac:dyDescent="0.25">
      <c r="A2692">
        <v>10</v>
      </c>
      <c r="B2692">
        <v>2016</v>
      </c>
      <c r="C2692" t="s">
        <v>245</v>
      </c>
      <c r="D2692" t="s">
        <v>246</v>
      </c>
      <c r="E2692" t="s">
        <v>729</v>
      </c>
      <c r="F2692" t="s">
        <v>730</v>
      </c>
      <c r="G2692">
        <v>108</v>
      </c>
      <c r="H2692">
        <v>48</v>
      </c>
      <c r="I2692">
        <v>54</v>
      </c>
      <c r="J2692">
        <v>30</v>
      </c>
      <c r="Q2692"/>
    </row>
    <row r="2693" spans="1:17" x14ac:dyDescent="0.25">
      <c r="A2693">
        <v>10</v>
      </c>
      <c r="B2693">
        <v>2016</v>
      </c>
      <c r="C2693" t="s">
        <v>245</v>
      </c>
      <c r="D2693" t="s">
        <v>246</v>
      </c>
      <c r="E2693" t="s">
        <v>249</v>
      </c>
      <c r="F2693" t="s">
        <v>250</v>
      </c>
      <c r="G2693">
        <v>191.4</v>
      </c>
      <c r="H2693">
        <v>72</v>
      </c>
      <c r="I2693">
        <v>598.5</v>
      </c>
      <c r="J2693">
        <v>210</v>
      </c>
      <c r="Q2693"/>
    </row>
    <row r="2694" spans="1:17" x14ac:dyDescent="0.25">
      <c r="A2694">
        <v>10</v>
      </c>
      <c r="B2694">
        <v>2016</v>
      </c>
      <c r="C2694" t="s">
        <v>245</v>
      </c>
      <c r="D2694" t="s">
        <v>246</v>
      </c>
      <c r="E2694" t="s">
        <v>252</v>
      </c>
      <c r="F2694" t="s">
        <v>253</v>
      </c>
      <c r="G2694">
        <v>999</v>
      </c>
      <c r="H2694">
        <v>444</v>
      </c>
      <c r="I2694">
        <v>1080</v>
      </c>
      <c r="J2694">
        <v>486</v>
      </c>
      <c r="Q2694"/>
    </row>
    <row r="2695" spans="1:17" x14ac:dyDescent="0.25">
      <c r="A2695">
        <v>10</v>
      </c>
      <c r="B2695">
        <v>2016</v>
      </c>
      <c r="C2695" t="s">
        <v>245</v>
      </c>
      <c r="D2695" t="s">
        <v>246</v>
      </c>
      <c r="E2695" t="s">
        <v>809</v>
      </c>
      <c r="F2695" t="s">
        <v>253</v>
      </c>
      <c r="G2695">
        <v>19.8</v>
      </c>
      <c r="H2695">
        <v>6</v>
      </c>
      <c r="I2695">
        <v>79.2</v>
      </c>
      <c r="J2695">
        <v>24</v>
      </c>
      <c r="Q2695"/>
    </row>
    <row r="2696" spans="1:17" x14ac:dyDescent="0.25">
      <c r="A2696">
        <v>10</v>
      </c>
      <c r="B2696">
        <v>2016</v>
      </c>
      <c r="C2696" t="s">
        <v>245</v>
      </c>
      <c r="D2696" t="s">
        <v>246</v>
      </c>
      <c r="E2696" t="s">
        <v>731</v>
      </c>
      <c r="F2696" t="s">
        <v>248</v>
      </c>
      <c r="G2696">
        <v>81</v>
      </c>
      <c r="H2696">
        <v>24</v>
      </c>
      <c r="Q2696"/>
    </row>
    <row r="2697" spans="1:17" x14ac:dyDescent="0.25">
      <c r="A2697">
        <v>10</v>
      </c>
      <c r="B2697">
        <v>2016</v>
      </c>
      <c r="C2697" t="s">
        <v>254</v>
      </c>
      <c r="D2697" t="s">
        <v>255</v>
      </c>
      <c r="E2697" t="s">
        <v>256</v>
      </c>
      <c r="F2697" t="s">
        <v>257</v>
      </c>
      <c r="G2697">
        <v>39</v>
      </c>
      <c r="H2697">
        <v>12</v>
      </c>
      <c r="I2697">
        <v>1785.6</v>
      </c>
      <c r="J2697">
        <v>564</v>
      </c>
      <c r="Q2697"/>
    </row>
    <row r="2698" spans="1:17" x14ac:dyDescent="0.25">
      <c r="A2698">
        <v>10</v>
      </c>
      <c r="B2698">
        <v>2016</v>
      </c>
      <c r="C2698" t="s">
        <v>254</v>
      </c>
      <c r="D2698" t="s">
        <v>255</v>
      </c>
      <c r="E2698" t="s">
        <v>732</v>
      </c>
      <c r="F2698" t="s">
        <v>733</v>
      </c>
      <c r="G2698">
        <v>78</v>
      </c>
      <c r="H2698">
        <v>12</v>
      </c>
      <c r="I2698">
        <v>78</v>
      </c>
      <c r="J2698">
        <v>12</v>
      </c>
      <c r="Q2698"/>
    </row>
    <row r="2699" spans="1:17" x14ac:dyDescent="0.25">
      <c r="A2699">
        <v>10</v>
      </c>
      <c r="B2699">
        <v>2016</v>
      </c>
      <c r="C2699" t="s">
        <v>262</v>
      </c>
      <c r="D2699" t="s">
        <v>263</v>
      </c>
      <c r="E2699" t="s">
        <v>264</v>
      </c>
      <c r="F2699" t="s">
        <v>265</v>
      </c>
      <c r="G2699">
        <v>403.2</v>
      </c>
      <c r="H2699">
        <v>72</v>
      </c>
      <c r="I2699">
        <v>5237.3999999999996</v>
      </c>
      <c r="J2699">
        <v>948</v>
      </c>
      <c r="Q2699"/>
    </row>
    <row r="2700" spans="1:17" x14ac:dyDescent="0.25">
      <c r="A2700">
        <v>10</v>
      </c>
      <c r="B2700">
        <v>2016</v>
      </c>
      <c r="C2700" t="s">
        <v>262</v>
      </c>
      <c r="D2700" t="s">
        <v>263</v>
      </c>
      <c r="E2700" t="s">
        <v>266</v>
      </c>
      <c r="F2700" t="s">
        <v>267</v>
      </c>
      <c r="G2700">
        <v>194.4</v>
      </c>
      <c r="H2700">
        <v>24</v>
      </c>
      <c r="I2700">
        <v>8066.1</v>
      </c>
      <c r="J2700">
        <v>1008</v>
      </c>
      <c r="Q2700"/>
    </row>
    <row r="2701" spans="1:17" x14ac:dyDescent="0.25">
      <c r="A2701">
        <v>10</v>
      </c>
      <c r="B2701">
        <v>2016</v>
      </c>
      <c r="C2701" t="s">
        <v>262</v>
      </c>
      <c r="D2701" t="s">
        <v>263</v>
      </c>
      <c r="E2701" t="s">
        <v>268</v>
      </c>
      <c r="F2701" t="s">
        <v>269</v>
      </c>
      <c r="G2701">
        <v>76.2</v>
      </c>
      <c r="H2701">
        <v>12</v>
      </c>
      <c r="I2701">
        <v>457.2</v>
      </c>
      <c r="J2701">
        <v>72</v>
      </c>
      <c r="Q2701"/>
    </row>
    <row r="2702" spans="1:17" x14ac:dyDescent="0.25">
      <c r="A2702">
        <v>10</v>
      </c>
      <c r="B2702">
        <v>2016</v>
      </c>
      <c r="C2702" t="s">
        <v>262</v>
      </c>
      <c r="D2702" t="s">
        <v>263</v>
      </c>
      <c r="E2702" t="s">
        <v>270</v>
      </c>
      <c r="F2702" t="s">
        <v>271</v>
      </c>
      <c r="G2702">
        <v>106.2</v>
      </c>
      <c r="H2702">
        <v>12</v>
      </c>
      <c r="I2702">
        <v>2112</v>
      </c>
      <c r="J2702">
        <v>240</v>
      </c>
      <c r="Q2702"/>
    </row>
    <row r="2703" spans="1:17" x14ac:dyDescent="0.25">
      <c r="A2703">
        <v>10</v>
      </c>
      <c r="B2703">
        <v>2016</v>
      </c>
      <c r="C2703" t="s">
        <v>288</v>
      </c>
      <c r="D2703" t="s">
        <v>289</v>
      </c>
      <c r="E2703" t="s">
        <v>290</v>
      </c>
      <c r="F2703" t="s">
        <v>291</v>
      </c>
      <c r="G2703">
        <v>360</v>
      </c>
      <c r="H2703">
        <v>78</v>
      </c>
      <c r="I2703">
        <v>835.2</v>
      </c>
      <c r="J2703">
        <v>174</v>
      </c>
      <c r="Q2703"/>
    </row>
    <row r="2704" spans="1:17" x14ac:dyDescent="0.25">
      <c r="A2704">
        <v>10</v>
      </c>
      <c r="B2704">
        <v>2016</v>
      </c>
      <c r="C2704" t="s">
        <v>288</v>
      </c>
      <c r="D2704" t="s">
        <v>289</v>
      </c>
      <c r="E2704" t="s">
        <v>292</v>
      </c>
      <c r="F2704" t="s">
        <v>293</v>
      </c>
      <c r="G2704">
        <v>139.5</v>
      </c>
      <c r="H2704">
        <v>18</v>
      </c>
      <c r="I2704">
        <v>529.20000000000005</v>
      </c>
      <c r="J2704">
        <v>72</v>
      </c>
      <c r="Q2704"/>
    </row>
    <row r="2705" spans="1:17" x14ac:dyDescent="0.25">
      <c r="A2705">
        <v>10</v>
      </c>
      <c r="B2705">
        <v>2016</v>
      </c>
      <c r="C2705" t="s">
        <v>288</v>
      </c>
      <c r="D2705" t="s">
        <v>289</v>
      </c>
      <c r="E2705" t="s">
        <v>294</v>
      </c>
      <c r="F2705" t="s">
        <v>295</v>
      </c>
      <c r="G2705">
        <v>961.2</v>
      </c>
      <c r="H2705">
        <v>114</v>
      </c>
      <c r="I2705">
        <v>415.8</v>
      </c>
      <c r="J2705">
        <v>54</v>
      </c>
      <c r="Q2705"/>
    </row>
    <row r="2706" spans="1:17" x14ac:dyDescent="0.25">
      <c r="A2706">
        <v>10</v>
      </c>
      <c r="B2706">
        <v>2016</v>
      </c>
      <c r="C2706" t="s">
        <v>288</v>
      </c>
      <c r="D2706" t="s">
        <v>289</v>
      </c>
      <c r="E2706" t="s">
        <v>1030</v>
      </c>
      <c r="F2706" t="s">
        <v>295</v>
      </c>
      <c r="G2706">
        <v>0</v>
      </c>
      <c r="H2706">
        <v>6</v>
      </c>
      <c r="Q2706"/>
    </row>
    <row r="2707" spans="1:17" x14ac:dyDescent="0.25">
      <c r="A2707">
        <v>10</v>
      </c>
      <c r="B2707">
        <v>2016</v>
      </c>
      <c r="C2707" t="s">
        <v>296</v>
      </c>
      <c r="D2707" t="s">
        <v>297</v>
      </c>
      <c r="E2707" t="s">
        <v>298</v>
      </c>
      <c r="F2707" t="s">
        <v>299</v>
      </c>
      <c r="G2707">
        <v>252</v>
      </c>
      <c r="H2707">
        <v>60</v>
      </c>
      <c r="I2707">
        <v>126</v>
      </c>
      <c r="J2707">
        <v>30</v>
      </c>
      <c r="Q2707"/>
    </row>
    <row r="2708" spans="1:17" x14ac:dyDescent="0.25">
      <c r="A2708">
        <v>10</v>
      </c>
      <c r="B2708">
        <v>2016</v>
      </c>
      <c r="C2708" t="s">
        <v>296</v>
      </c>
      <c r="D2708" t="s">
        <v>297</v>
      </c>
      <c r="E2708" t="s">
        <v>300</v>
      </c>
      <c r="F2708" t="s">
        <v>301</v>
      </c>
      <c r="G2708">
        <v>0</v>
      </c>
      <c r="H2708">
        <v>6</v>
      </c>
      <c r="I2708">
        <v>42.6</v>
      </c>
      <c r="J2708">
        <v>12</v>
      </c>
      <c r="Q2708"/>
    </row>
    <row r="2709" spans="1:17" x14ac:dyDescent="0.25">
      <c r="A2709">
        <v>10</v>
      </c>
      <c r="B2709">
        <v>2016</v>
      </c>
      <c r="C2709" t="s">
        <v>296</v>
      </c>
      <c r="D2709" t="s">
        <v>297</v>
      </c>
      <c r="E2709" t="s">
        <v>302</v>
      </c>
      <c r="F2709" t="s">
        <v>303</v>
      </c>
      <c r="G2709">
        <v>0</v>
      </c>
      <c r="H2709">
        <v>6</v>
      </c>
      <c r="Q2709"/>
    </row>
    <row r="2710" spans="1:17" x14ac:dyDescent="0.25">
      <c r="A2710">
        <v>10</v>
      </c>
      <c r="B2710">
        <v>2016</v>
      </c>
      <c r="C2710" t="s">
        <v>296</v>
      </c>
      <c r="D2710" t="s">
        <v>297</v>
      </c>
      <c r="E2710" t="s">
        <v>304</v>
      </c>
      <c r="F2710" t="s">
        <v>303</v>
      </c>
      <c r="G2710">
        <v>0</v>
      </c>
      <c r="H2710">
        <v>6</v>
      </c>
      <c r="Q2710"/>
    </row>
    <row r="2711" spans="1:17" x14ac:dyDescent="0.25">
      <c r="A2711">
        <v>10</v>
      </c>
      <c r="B2711">
        <v>2016</v>
      </c>
      <c r="C2711" t="s">
        <v>296</v>
      </c>
      <c r="D2711" t="s">
        <v>297</v>
      </c>
      <c r="E2711" t="s">
        <v>305</v>
      </c>
      <c r="F2711" t="s">
        <v>303</v>
      </c>
      <c r="G2711">
        <v>132</v>
      </c>
      <c r="H2711">
        <v>24</v>
      </c>
      <c r="Q2711"/>
    </row>
    <row r="2712" spans="1:17" x14ac:dyDescent="0.25">
      <c r="A2712">
        <v>10</v>
      </c>
      <c r="B2712">
        <v>2016</v>
      </c>
      <c r="C2712" t="s">
        <v>296</v>
      </c>
      <c r="D2712" t="s">
        <v>297</v>
      </c>
      <c r="E2712" t="s">
        <v>306</v>
      </c>
      <c r="F2712" t="s">
        <v>307</v>
      </c>
      <c r="G2712">
        <v>21.3</v>
      </c>
      <c r="H2712">
        <v>6</v>
      </c>
      <c r="I2712">
        <v>63.9</v>
      </c>
      <c r="J2712">
        <v>18</v>
      </c>
      <c r="Q2712"/>
    </row>
    <row r="2713" spans="1:17" x14ac:dyDescent="0.25">
      <c r="A2713">
        <v>10</v>
      </c>
      <c r="B2713">
        <v>2016</v>
      </c>
      <c r="C2713" t="s">
        <v>296</v>
      </c>
      <c r="D2713" t="s">
        <v>297</v>
      </c>
      <c r="E2713" t="s">
        <v>308</v>
      </c>
      <c r="F2713" t="s">
        <v>309</v>
      </c>
      <c r="G2713">
        <v>1360.8</v>
      </c>
      <c r="H2713">
        <v>378</v>
      </c>
      <c r="I2713">
        <v>993.6</v>
      </c>
      <c r="J2713">
        <v>282</v>
      </c>
      <c r="Q2713"/>
    </row>
    <row r="2714" spans="1:17" x14ac:dyDescent="0.25">
      <c r="A2714">
        <v>10</v>
      </c>
      <c r="B2714">
        <v>2016</v>
      </c>
      <c r="C2714" t="s">
        <v>296</v>
      </c>
      <c r="D2714" t="s">
        <v>297</v>
      </c>
      <c r="E2714" t="s">
        <v>310</v>
      </c>
      <c r="F2714" t="s">
        <v>311</v>
      </c>
      <c r="G2714">
        <v>268.2</v>
      </c>
      <c r="H2714">
        <v>120.06</v>
      </c>
      <c r="I2714">
        <v>89.4</v>
      </c>
      <c r="J2714">
        <v>40.019999999999996</v>
      </c>
      <c r="Q2714"/>
    </row>
    <row r="2715" spans="1:17" x14ac:dyDescent="0.25">
      <c r="A2715">
        <v>10</v>
      </c>
      <c r="B2715">
        <v>2016</v>
      </c>
      <c r="C2715" t="s">
        <v>296</v>
      </c>
      <c r="D2715" t="s">
        <v>297</v>
      </c>
      <c r="E2715" t="s">
        <v>312</v>
      </c>
      <c r="F2715" t="s">
        <v>313</v>
      </c>
      <c r="G2715">
        <v>3726</v>
      </c>
      <c r="H2715">
        <v>1656</v>
      </c>
      <c r="I2715">
        <v>1512</v>
      </c>
      <c r="J2715">
        <v>672</v>
      </c>
      <c r="Q2715"/>
    </row>
    <row r="2716" spans="1:17" x14ac:dyDescent="0.25">
      <c r="A2716">
        <v>10</v>
      </c>
      <c r="B2716">
        <v>2016</v>
      </c>
      <c r="C2716" t="s">
        <v>296</v>
      </c>
      <c r="D2716" t="s">
        <v>297</v>
      </c>
      <c r="E2716" t="s">
        <v>314</v>
      </c>
      <c r="F2716" t="s">
        <v>315</v>
      </c>
      <c r="G2716">
        <v>1277.0999999999999</v>
      </c>
      <c r="H2716">
        <v>873.77</v>
      </c>
      <c r="I2716">
        <v>1029.5999999999999</v>
      </c>
      <c r="J2716">
        <v>693.68</v>
      </c>
      <c r="Q2716"/>
    </row>
    <row r="2717" spans="1:17" x14ac:dyDescent="0.25">
      <c r="A2717">
        <v>10</v>
      </c>
      <c r="B2717">
        <v>2016</v>
      </c>
      <c r="C2717" t="s">
        <v>296</v>
      </c>
      <c r="D2717" t="s">
        <v>297</v>
      </c>
      <c r="E2717" t="s">
        <v>740</v>
      </c>
      <c r="F2717" t="s">
        <v>741</v>
      </c>
      <c r="G2717">
        <v>84.5</v>
      </c>
      <c r="H2717">
        <v>79.98</v>
      </c>
      <c r="I2717">
        <v>16.899999999999999</v>
      </c>
      <c r="J2717">
        <v>13.33</v>
      </c>
      <c r="Q2717"/>
    </row>
    <row r="2718" spans="1:17" x14ac:dyDescent="0.25">
      <c r="A2718">
        <v>10</v>
      </c>
      <c r="B2718">
        <v>2016</v>
      </c>
      <c r="C2718" t="s">
        <v>296</v>
      </c>
      <c r="D2718" t="s">
        <v>297</v>
      </c>
      <c r="E2718" t="s">
        <v>1031</v>
      </c>
      <c r="F2718" t="s">
        <v>1032</v>
      </c>
      <c r="G2718">
        <v>10.8</v>
      </c>
      <c r="H2718">
        <v>6</v>
      </c>
      <c r="Q2718"/>
    </row>
    <row r="2719" spans="1:17" x14ac:dyDescent="0.25">
      <c r="A2719">
        <v>10</v>
      </c>
      <c r="B2719">
        <v>2016</v>
      </c>
      <c r="C2719" t="s">
        <v>296</v>
      </c>
      <c r="D2719" t="s">
        <v>297</v>
      </c>
      <c r="E2719" t="s">
        <v>817</v>
      </c>
      <c r="F2719" t="s">
        <v>818</v>
      </c>
      <c r="G2719">
        <v>177.6</v>
      </c>
      <c r="H2719">
        <v>48</v>
      </c>
      <c r="I2719">
        <v>111</v>
      </c>
      <c r="J2719">
        <v>30</v>
      </c>
      <c r="Q2719"/>
    </row>
    <row r="2720" spans="1:17" x14ac:dyDescent="0.25">
      <c r="A2720">
        <v>10</v>
      </c>
      <c r="B2720">
        <v>2016</v>
      </c>
      <c r="C2720" t="s">
        <v>319</v>
      </c>
      <c r="D2720" t="s">
        <v>320</v>
      </c>
      <c r="E2720" t="s">
        <v>321</v>
      </c>
      <c r="F2720" t="s">
        <v>322</v>
      </c>
      <c r="G2720">
        <v>1189.32</v>
      </c>
      <c r="H2720">
        <v>318</v>
      </c>
      <c r="I2720">
        <v>734.4</v>
      </c>
      <c r="J2720">
        <v>204</v>
      </c>
      <c r="Q2720"/>
    </row>
    <row r="2721" spans="1:17" x14ac:dyDescent="0.25">
      <c r="A2721">
        <v>10</v>
      </c>
      <c r="B2721">
        <v>2016</v>
      </c>
      <c r="C2721" t="s">
        <v>319</v>
      </c>
      <c r="D2721" t="s">
        <v>320</v>
      </c>
      <c r="E2721" t="s">
        <v>323</v>
      </c>
      <c r="F2721" t="s">
        <v>322</v>
      </c>
      <c r="G2721">
        <v>113.76</v>
      </c>
      <c r="H2721">
        <v>24</v>
      </c>
      <c r="I2721">
        <v>79.92</v>
      </c>
      <c r="J2721">
        <v>18</v>
      </c>
      <c r="Q2721"/>
    </row>
    <row r="2722" spans="1:17" x14ac:dyDescent="0.25">
      <c r="A2722">
        <v>10</v>
      </c>
      <c r="B2722">
        <v>2016</v>
      </c>
      <c r="C2722" t="s">
        <v>324</v>
      </c>
      <c r="D2722" t="s">
        <v>325</v>
      </c>
      <c r="E2722" t="s">
        <v>326</v>
      </c>
      <c r="F2722" t="s">
        <v>327</v>
      </c>
      <c r="G2722">
        <v>132</v>
      </c>
      <c r="H2722">
        <v>36</v>
      </c>
      <c r="I2722">
        <v>774</v>
      </c>
      <c r="J2722">
        <v>180</v>
      </c>
      <c r="Q2722"/>
    </row>
    <row r="2723" spans="1:17" x14ac:dyDescent="0.25">
      <c r="A2723">
        <v>10</v>
      </c>
      <c r="B2723">
        <v>2016</v>
      </c>
      <c r="C2723" t="s">
        <v>324</v>
      </c>
      <c r="D2723" t="s">
        <v>325</v>
      </c>
      <c r="E2723" t="s">
        <v>328</v>
      </c>
      <c r="F2723" t="s">
        <v>327</v>
      </c>
      <c r="G2723">
        <v>0</v>
      </c>
      <c r="H2723">
        <v>-6</v>
      </c>
      <c r="I2723">
        <v>183</v>
      </c>
      <c r="J2723">
        <v>60</v>
      </c>
      <c r="Q2723"/>
    </row>
    <row r="2724" spans="1:17" x14ac:dyDescent="0.25">
      <c r="A2724">
        <v>10</v>
      </c>
      <c r="B2724">
        <v>2016</v>
      </c>
      <c r="C2724" t="s">
        <v>334</v>
      </c>
      <c r="D2724" t="s">
        <v>335</v>
      </c>
      <c r="E2724" t="s">
        <v>336</v>
      </c>
      <c r="F2724" t="s">
        <v>337</v>
      </c>
      <c r="G2724">
        <v>547.20000000000005</v>
      </c>
      <c r="H2724">
        <v>72</v>
      </c>
      <c r="I2724">
        <v>228</v>
      </c>
      <c r="J2724">
        <v>36</v>
      </c>
      <c r="Q2724"/>
    </row>
    <row r="2725" spans="1:17" x14ac:dyDescent="0.25">
      <c r="A2725">
        <v>10</v>
      </c>
      <c r="B2725">
        <v>2016</v>
      </c>
      <c r="C2725" t="s">
        <v>334</v>
      </c>
      <c r="D2725" t="s">
        <v>335</v>
      </c>
      <c r="E2725" t="s">
        <v>338</v>
      </c>
      <c r="F2725" t="s">
        <v>339</v>
      </c>
      <c r="G2725">
        <v>390.6</v>
      </c>
      <c r="H2725">
        <v>84</v>
      </c>
      <c r="I2725">
        <v>579.6</v>
      </c>
      <c r="J2725">
        <v>132</v>
      </c>
      <c r="Q2725"/>
    </row>
    <row r="2726" spans="1:17" x14ac:dyDescent="0.25">
      <c r="A2726">
        <v>10</v>
      </c>
      <c r="B2726">
        <v>2016</v>
      </c>
      <c r="C2726" t="s">
        <v>334</v>
      </c>
      <c r="D2726" t="s">
        <v>335</v>
      </c>
      <c r="E2726" t="s">
        <v>940</v>
      </c>
      <c r="F2726" t="s">
        <v>941</v>
      </c>
      <c r="G2726">
        <v>46.2</v>
      </c>
      <c r="H2726">
        <v>6</v>
      </c>
      <c r="I2726">
        <v>46.2</v>
      </c>
      <c r="J2726">
        <v>12</v>
      </c>
      <c r="Q2726"/>
    </row>
    <row r="2727" spans="1:17" x14ac:dyDescent="0.25">
      <c r="A2727">
        <v>10</v>
      </c>
      <c r="B2727">
        <v>2016</v>
      </c>
      <c r="C2727" t="s">
        <v>340</v>
      </c>
      <c r="D2727" t="s">
        <v>341</v>
      </c>
      <c r="E2727" t="s">
        <v>342</v>
      </c>
      <c r="F2727" t="s">
        <v>343</v>
      </c>
      <c r="G2727">
        <v>1245</v>
      </c>
      <c r="H2727">
        <v>306</v>
      </c>
      <c r="I2727">
        <v>1133.6400000000001</v>
      </c>
      <c r="J2727">
        <v>282</v>
      </c>
      <c r="Q2727"/>
    </row>
    <row r="2728" spans="1:17" x14ac:dyDescent="0.25">
      <c r="A2728">
        <v>10</v>
      </c>
      <c r="B2728">
        <v>2016</v>
      </c>
      <c r="C2728" t="s">
        <v>340</v>
      </c>
      <c r="D2728" t="s">
        <v>341</v>
      </c>
      <c r="E2728" t="s">
        <v>344</v>
      </c>
      <c r="F2728" t="s">
        <v>343</v>
      </c>
      <c r="G2728">
        <v>114.36</v>
      </c>
      <c r="H2728">
        <v>24</v>
      </c>
      <c r="I2728">
        <v>110.4</v>
      </c>
      <c r="J2728">
        <v>24</v>
      </c>
      <c r="Q2728"/>
    </row>
    <row r="2729" spans="1:17" x14ac:dyDescent="0.25">
      <c r="A2729">
        <v>10</v>
      </c>
      <c r="B2729">
        <v>2016</v>
      </c>
      <c r="C2729" t="s">
        <v>340</v>
      </c>
      <c r="D2729" t="s">
        <v>341</v>
      </c>
      <c r="E2729" t="s">
        <v>880</v>
      </c>
      <c r="F2729" t="s">
        <v>881</v>
      </c>
      <c r="G2729">
        <v>83.7</v>
      </c>
      <c r="H2729">
        <v>12</v>
      </c>
      <c r="I2729">
        <v>81</v>
      </c>
      <c r="J2729">
        <v>12</v>
      </c>
      <c r="Q2729"/>
    </row>
    <row r="2730" spans="1:17" x14ac:dyDescent="0.25">
      <c r="A2730">
        <v>10</v>
      </c>
      <c r="B2730">
        <v>2016</v>
      </c>
      <c r="C2730" t="s">
        <v>340</v>
      </c>
      <c r="D2730" t="s">
        <v>341</v>
      </c>
      <c r="E2730" t="s">
        <v>345</v>
      </c>
      <c r="F2730" t="s">
        <v>346</v>
      </c>
      <c r="G2730">
        <v>499.5</v>
      </c>
      <c r="H2730">
        <v>90</v>
      </c>
      <c r="I2730">
        <v>343.2</v>
      </c>
      <c r="J2730">
        <v>66</v>
      </c>
      <c r="Q2730"/>
    </row>
    <row r="2731" spans="1:17" x14ac:dyDescent="0.25">
      <c r="A2731">
        <v>10</v>
      </c>
      <c r="B2731">
        <v>2016</v>
      </c>
      <c r="C2731" t="s">
        <v>340</v>
      </c>
      <c r="D2731" t="s">
        <v>341</v>
      </c>
      <c r="E2731" t="s">
        <v>746</v>
      </c>
      <c r="F2731" t="s">
        <v>747</v>
      </c>
      <c r="G2731">
        <v>60</v>
      </c>
      <c r="H2731">
        <v>8</v>
      </c>
      <c r="Q2731"/>
    </row>
    <row r="2732" spans="1:17" x14ac:dyDescent="0.25">
      <c r="A2732">
        <v>10</v>
      </c>
      <c r="B2732">
        <v>2016</v>
      </c>
      <c r="C2732" t="s">
        <v>349</v>
      </c>
      <c r="D2732" t="s">
        <v>350</v>
      </c>
      <c r="E2732" t="s">
        <v>351</v>
      </c>
      <c r="F2732" t="s">
        <v>352</v>
      </c>
      <c r="G2732">
        <v>425.7</v>
      </c>
      <c r="H2732">
        <v>72</v>
      </c>
      <c r="I2732">
        <v>1096.2</v>
      </c>
      <c r="J2732">
        <v>180</v>
      </c>
      <c r="Q2732"/>
    </row>
    <row r="2733" spans="1:17" x14ac:dyDescent="0.25">
      <c r="A2733">
        <v>10</v>
      </c>
      <c r="B2733">
        <v>2016</v>
      </c>
      <c r="C2733" t="s">
        <v>349</v>
      </c>
      <c r="D2733" t="s">
        <v>350</v>
      </c>
      <c r="E2733" t="s">
        <v>353</v>
      </c>
      <c r="F2733" t="s">
        <v>352</v>
      </c>
      <c r="G2733">
        <v>187.2</v>
      </c>
      <c r="H2733">
        <v>24</v>
      </c>
      <c r="I2733">
        <v>231</v>
      </c>
      <c r="J2733">
        <v>30</v>
      </c>
      <c r="Q2733"/>
    </row>
    <row r="2734" spans="1:17" x14ac:dyDescent="0.25">
      <c r="A2734">
        <v>10</v>
      </c>
      <c r="B2734">
        <v>2016</v>
      </c>
      <c r="C2734" t="s">
        <v>349</v>
      </c>
      <c r="D2734" t="s">
        <v>350</v>
      </c>
      <c r="E2734" t="s">
        <v>354</v>
      </c>
      <c r="F2734" t="s">
        <v>352</v>
      </c>
      <c r="G2734">
        <v>120.6</v>
      </c>
      <c r="H2734">
        <v>18</v>
      </c>
      <c r="I2734">
        <v>237.6</v>
      </c>
      <c r="J2734">
        <v>54</v>
      </c>
      <c r="Q2734"/>
    </row>
    <row r="2735" spans="1:17" x14ac:dyDescent="0.25">
      <c r="A2735">
        <v>10</v>
      </c>
      <c r="B2735">
        <v>2016</v>
      </c>
      <c r="C2735" t="s">
        <v>349</v>
      </c>
      <c r="D2735" t="s">
        <v>350</v>
      </c>
      <c r="E2735" t="s">
        <v>355</v>
      </c>
      <c r="F2735" t="s">
        <v>352</v>
      </c>
      <c r="G2735">
        <v>46.8</v>
      </c>
      <c r="H2735">
        <v>6</v>
      </c>
      <c r="I2735">
        <v>46.2</v>
      </c>
      <c r="J2735">
        <v>6</v>
      </c>
      <c r="Q2735"/>
    </row>
    <row r="2736" spans="1:17" x14ac:dyDescent="0.25">
      <c r="A2736">
        <v>10</v>
      </c>
      <c r="B2736">
        <v>2016</v>
      </c>
      <c r="C2736" t="s">
        <v>356</v>
      </c>
      <c r="D2736" t="s">
        <v>357</v>
      </c>
      <c r="E2736" t="s">
        <v>358</v>
      </c>
      <c r="F2736" t="s">
        <v>359</v>
      </c>
      <c r="G2736">
        <v>857.85</v>
      </c>
      <c r="H2736">
        <v>414</v>
      </c>
      <c r="I2736">
        <v>176.4</v>
      </c>
      <c r="J2736">
        <v>84</v>
      </c>
      <c r="Q2736"/>
    </row>
    <row r="2737" spans="1:17" x14ac:dyDescent="0.25">
      <c r="A2737">
        <v>10</v>
      </c>
      <c r="B2737">
        <v>2016</v>
      </c>
      <c r="C2737" t="s">
        <v>360</v>
      </c>
      <c r="D2737" t="s">
        <v>361</v>
      </c>
      <c r="E2737" t="s">
        <v>362</v>
      </c>
      <c r="F2737" t="s">
        <v>363</v>
      </c>
      <c r="G2737">
        <v>596.75</v>
      </c>
      <c r="H2737">
        <v>413.23</v>
      </c>
      <c r="I2737">
        <v>817</v>
      </c>
      <c r="J2737">
        <v>573.19000000000005</v>
      </c>
      <c r="Q2737"/>
    </row>
    <row r="2738" spans="1:17" x14ac:dyDescent="0.25">
      <c r="A2738">
        <v>10</v>
      </c>
      <c r="B2738">
        <v>2016</v>
      </c>
      <c r="C2738" t="s">
        <v>360</v>
      </c>
      <c r="D2738" t="s">
        <v>361</v>
      </c>
      <c r="E2738" t="s">
        <v>364</v>
      </c>
      <c r="F2738" t="s">
        <v>363</v>
      </c>
      <c r="G2738">
        <v>1243.2</v>
      </c>
      <c r="H2738">
        <v>740.37</v>
      </c>
      <c r="I2738">
        <v>1639</v>
      </c>
      <c r="J2738">
        <v>1007.17</v>
      </c>
      <c r="Q2738"/>
    </row>
    <row r="2739" spans="1:17" x14ac:dyDescent="0.25">
      <c r="A2739">
        <v>10</v>
      </c>
      <c r="B2739">
        <v>2016</v>
      </c>
      <c r="C2739" t="s">
        <v>360</v>
      </c>
      <c r="D2739" t="s">
        <v>361</v>
      </c>
      <c r="E2739" t="s">
        <v>365</v>
      </c>
      <c r="F2739" t="s">
        <v>366</v>
      </c>
      <c r="G2739">
        <v>327.60000000000002</v>
      </c>
      <c r="H2739">
        <v>162</v>
      </c>
      <c r="I2739">
        <v>110.7</v>
      </c>
      <c r="J2739">
        <v>54</v>
      </c>
      <c r="Q2739"/>
    </row>
    <row r="2740" spans="1:17" x14ac:dyDescent="0.25">
      <c r="A2740">
        <v>10</v>
      </c>
      <c r="B2740">
        <v>2016</v>
      </c>
      <c r="C2740" t="s">
        <v>360</v>
      </c>
      <c r="D2740" t="s">
        <v>361</v>
      </c>
      <c r="E2740" t="s">
        <v>367</v>
      </c>
      <c r="F2740" t="s">
        <v>368</v>
      </c>
      <c r="G2740">
        <v>1452</v>
      </c>
      <c r="H2740">
        <v>528</v>
      </c>
      <c r="I2740">
        <v>1814.4</v>
      </c>
      <c r="J2740">
        <v>678</v>
      </c>
      <c r="Q2740"/>
    </row>
    <row r="2741" spans="1:17" x14ac:dyDescent="0.25">
      <c r="A2741">
        <v>10</v>
      </c>
      <c r="B2741">
        <v>2016</v>
      </c>
      <c r="C2741" t="s">
        <v>360</v>
      </c>
      <c r="D2741" t="s">
        <v>361</v>
      </c>
      <c r="E2741" t="s">
        <v>369</v>
      </c>
      <c r="F2741" t="s">
        <v>370</v>
      </c>
      <c r="G2741">
        <v>220.8</v>
      </c>
      <c r="H2741">
        <v>48</v>
      </c>
      <c r="I2741">
        <v>972</v>
      </c>
      <c r="J2741">
        <v>222</v>
      </c>
      <c r="Q2741"/>
    </row>
    <row r="2742" spans="1:17" x14ac:dyDescent="0.25">
      <c r="A2742">
        <v>10</v>
      </c>
      <c r="B2742">
        <v>2016</v>
      </c>
      <c r="C2742" t="s">
        <v>360</v>
      </c>
      <c r="D2742" t="s">
        <v>361</v>
      </c>
      <c r="E2742" t="s">
        <v>371</v>
      </c>
      <c r="F2742" t="s">
        <v>372</v>
      </c>
      <c r="G2742">
        <v>71.760000000000005</v>
      </c>
      <c r="H2742">
        <v>18</v>
      </c>
      <c r="I2742">
        <v>315.89999999999998</v>
      </c>
      <c r="J2742">
        <v>60</v>
      </c>
      <c r="Q2742"/>
    </row>
    <row r="2743" spans="1:17" x14ac:dyDescent="0.25">
      <c r="A2743">
        <v>10</v>
      </c>
      <c r="B2743">
        <v>2016</v>
      </c>
      <c r="C2743" t="s">
        <v>360</v>
      </c>
      <c r="D2743" t="s">
        <v>361</v>
      </c>
      <c r="E2743" t="s">
        <v>750</v>
      </c>
      <c r="F2743" t="s">
        <v>751</v>
      </c>
      <c r="G2743">
        <v>387</v>
      </c>
      <c r="H2743">
        <v>42</v>
      </c>
      <c r="I2743">
        <v>567</v>
      </c>
      <c r="J2743">
        <v>54</v>
      </c>
      <c r="Q2743"/>
    </row>
    <row r="2744" spans="1:17" x14ac:dyDescent="0.25">
      <c r="A2744">
        <v>10</v>
      </c>
      <c r="B2744">
        <v>2016</v>
      </c>
      <c r="C2744" t="s">
        <v>360</v>
      </c>
      <c r="D2744" t="s">
        <v>361</v>
      </c>
      <c r="E2744" t="s">
        <v>373</v>
      </c>
      <c r="F2744" t="s">
        <v>374</v>
      </c>
      <c r="G2744">
        <v>99</v>
      </c>
      <c r="H2744">
        <v>36</v>
      </c>
      <c r="Q2744"/>
    </row>
    <row r="2745" spans="1:17" x14ac:dyDescent="0.25">
      <c r="A2745">
        <v>10</v>
      </c>
      <c r="B2745">
        <v>2016</v>
      </c>
      <c r="C2745" t="s">
        <v>360</v>
      </c>
      <c r="D2745" t="s">
        <v>361</v>
      </c>
      <c r="E2745" t="s">
        <v>942</v>
      </c>
      <c r="F2745" t="s">
        <v>943</v>
      </c>
      <c r="G2745">
        <v>0</v>
      </c>
      <c r="H2745">
        <v>6</v>
      </c>
      <c r="Q2745"/>
    </row>
    <row r="2746" spans="1:17" x14ac:dyDescent="0.25">
      <c r="A2746">
        <v>10</v>
      </c>
      <c r="B2746">
        <v>2016</v>
      </c>
      <c r="C2746" t="s">
        <v>360</v>
      </c>
      <c r="D2746" t="s">
        <v>361</v>
      </c>
      <c r="E2746" t="s">
        <v>820</v>
      </c>
      <c r="F2746" t="s">
        <v>821</v>
      </c>
      <c r="G2746">
        <v>0</v>
      </c>
      <c r="H2746">
        <v>6</v>
      </c>
      <c r="Q2746"/>
    </row>
    <row r="2747" spans="1:17" x14ac:dyDescent="0.25">
      <c r="A2747">
        <v>10</v>
      </c>
      <c r="B2747">
        <v>2016</v>
      </c>
      <c r="C2747" t="s">
        <v>386</v>
      </c>
      <c r="D2747" t="s">
        <v>387</v>
      </c>
      <c r="E2747" t="s">
        <v>388</v>
      </c>
      <c r="F2747" t="s">
        <v>389</v>
      </c>
      <c r="G2747">
        <v>284.7</v>
      </c>
      <c r="H2747">
        <v>78</v>
      </c>
      <c r="I2747">
        <v>191.7</v>
      </c>
      <c r="J2747">
        <v>54</v>
      </c>
      <c r="Q2747"/>
    </row>
    <row r="2748" spans="1:17" x14ac:dyDescent="0.25">
      <c r="A2748">
        <v>10</v>
      </c>
      <c r="B2748">
        <v>2016</v>
      </c>
      <c r="C2748" t="s">
        <v>386</v>
      </c>
      <c r="D2748" t="s">
        <v>387</v>
      </c>
      <c r="E2748" t="s">
        <v>390</v>
      </c>
      <c r="F2748" t="s">
        <v>391</v>
      </c>
      <c r="G2748">
        <v>22.2</v>
      </c>
      <c r="H2748">
        <v>6</v>
      </c>
      <c r="I2748">
        <v>64.8</v>
      </c>
      <c r="J2748">
        <v>18</v>
      </c>
      <c r="Q2748"/>
    </row>
    <row r="2749" spans="1:17" x14ac:dyDescent="0.25">
      <c r="A2749">
        <v>10</v>
      </c>
      <c r="B2749">
        <v>2016</v>
      </c>
      <c r="C2749" t="s">
        <v>386</v>
      </c>
      <c r="D2749" t="s">
        <v>387</v>
      </c>
      <c r="E2749" t="s">
        <v>392</v>
      </c>
      <c r="F2749" t="s">
        <v>393</v>
      </c>
      <c r="G2749">
        <v>348.6</v>
      </c>
      <c r="H2749">
        <v>84</v>
      </c>
      <c r="I2749">
        <v>1008.6</v>
      </c>
      <c r="J2749">
        <v>246</v>
      </c>
      <c r="Q2749"/>
    </row>
    <row r="2750" spans="1:17" x14ac:dyDescent="0.25">
      <c r="A2750">
        <v>10</v>
      </c>
      <c r="B2750">
        <v>2016</v>
      </c>
      <c r="C2750" t="s">
        <v>386</v>
      </c>
      <c r="D2750" t="s">
        <v>387</v>
      </c>
      <c r="E2750" t="s">
        <v>394</v>
      </c>
      <c r="F2750" t="s">
        <v>395</v>
      </c>
      <c r="G2750">
        <v>212.5</v>
      </c>
      <c r="H2750">
        <v>133.30000000000001</v>
      </c>
      <c r="I2750">
        <v>384.75</v>
      </c>
      <c r="J2750">
        <v>253.27</v>
      </c>
      <c r="Q2750"/>
    </row>
    <row r="2751" spans="1:17" x14ac:dyDescent="0.25">
      <c r="A2751">
        <v>10</v>
      </c>
      <c r="B2751">
        <v>2016</v>
      </c>
      <c r="C2751" t="s">
        <v>386</v>
      </c>
      <c r="D2751" t="s">
        <v>387</v>
      </c>
      <c r="E2751" t="s">
        <v>396</v>
      </c>
      <c r="F2751" t="s">
        <v>397</v>
      </c>
      <c r="G2751">
        <v>752.4</v>
      </c>
      <c r="H2751">
        <v>380.19</v>
      </c>
      <c r="I2751">
        <v>475.8</v>
      </c>
      <c r="J2751">
        <v>260.13</v>
      </c>
      <c r="Q2751"/>
    </row>
    <row r="2752" spans="1:17" x14ac:dyDescent="0.25">
      <c r="A2752">
        <v>10</v>
      </c>
      <c r="B2752">
        <v>2016</v>
      </c>
      <c r="C2752" t="s">
        <v>386</v>
      </c>
      <c r="D2752" t="s">
        <v>387</v>
      </c>
      <c r="E2752" t="s">
        <v>398</v>
      </c>
      <c r="F2752" t="s">
        <v>399</v>
      </c>
      <c r="G2752">
        <v>2017.2</v>
      </c>
      <c r="H2752">
        <v>492</v>
      </c>
      <c r="I2752">
        <v>704.7</v>
      </c>
      <c r="J2752">
        <v>174</v>
      </c>
      <c r="Q2752"/>
    </row>
    <row r="2753" spans="1:17" x14ac:dyDescent="0.25">
      <c r="A2753">
        <v>10</v>
      </c>
      <c r="B2753">
        <v>2016</v>
      </c>
      <c r="C2753" t="s">
        <v>438</v>
      </c>
      <c r="D2753" t="s">
        <v>439</v>
      </c>
      <c r="E2753" t="s">
        <v>440</v>
      </c>
      <c r="F2753" t="s">
        <v>441</v>
      </c>
      <c r="G2753">
        <v>1568.04</v>
      </c>
      <c r="H2753">
        <v>1020</v>
      </c>
      <c r="I2753">
        <v>1049.28</v>
      </c>
      <c r="J2753">
        <v>672</v>
      </c>
      <c r="Q2753"/>
    </row>
    <row r="2754" spans="1:17" x14ac:dyDescent="0.25">
      <c r="A2754">
        <v>10</v>
      </c>
      <c r="B2754">
        <v>2016</v>
      </c>
      <c r="C2754" t="s">
        <v>438</v>
      </c>
      <c r="D2754" t="s">
        <v>439</v>
      </c>
      <c r="E2754" t="s">
        <v>442</v>
      </c>
      <c r="F2754" t="s">
        <v>441</v>
      </c>
      <c r="G2754">
        <v>10760.16</v>
      </c>
      <c r="H2754">
        <v>6684</v>
      </c>
      <c r="I2754">
        <v>1518.24</v>
      </c>
      <c r="J2754">
        <v>912</v>
      </c>
      <c r="Q2754"/>
    </row>
    <row r="2755" spans="1:17" x14ac:dyDescent="0.25">
      <c r="A2755">
        <v>10</v>
      </c>
      <c r="B2755">
        <v>2016</v>
      </c>
      <c r="C2755" t="s">
        <v>438</v>
      </c>
      <c r="D2755" t="s">
        <v>439</v>
      </c>
      <c r="E2755" t="s">
        <v>443</v>
      </c>
      <c r="F2755" t="s">
        <v>441</v>
      </c>
      <c r="G2755">
        <v>416.52</v>
      </c>
      <c r="H2755">
        <v>234</v>
      </c>
      <c r="I2755">
        <v>385.68</v>
      </c>
      <c r="J2755">
        <v>228</v>
      </c>
      <c r="Q2755"/>
    </row>
    <row r="2756" spans="1:17" x14ac:dyDescent="0.25">
      <c r="A2756">
        <v>10</v>
      </c>
      <c r="B2756">
        <v>2016</v>
      </c>
      <c r="C2756" t="s">
        <v>438</v>
      </c>
      <c r="D2756" t="s">
        <v>439</v>
      </c>
      <c r="E2756" t="s">
        <v>444</v>
      </c>
      <c r="F2756" t="s">
        <v>445</v>
      </c>
      <c r="G2756">
        <v>101.16</v>
      </c>
      <c r="H2756">
        <v>36</v>
      </c>
      <c r="I2756">
        <v>101.16</v>
      </c>
      <c r="J2756">
        <v>36</v>
      </c>
      <c r="Q2756"/>
    </row>
    <row r="2757" spans="1:17" x14ac:dyDescent="0.25">
      <c r="A2757">
        <v>10</v>
      </c>
      <c r="B2757">
        <v>2016</v>
      </c>
      <c r="C2757" t="s">
        <v>438</v>
      </c>
      <c r="D2757" t="s">
        <v>439</v>
      </c>
      <c r="E2757" t="s">
        <v>446</v>
      </c>
      <c r="F2757" t="s">
        <v>447</v>
      </c>
      <c r="G2757">
        <v>443.84</v>
      </c>
      <c r="H2757">
        <v>168</v>
      </c>
      <c r="Q2757"/>
    </row>
    <row r="2758" spans="1:17" x14ac:dyDescent="0.25">
      <c r="A2758">
        <v>10</v>
      </c>
      <c r="B2758">
        <v>2016</v>
      </c>
      <c r="C2758" t="s">
        <v>438</v>
      </c>
      <c r="D2758" t="s">
        <v>439</v>
      </c>
      <c r="E2758" t="s">
        <v>966</v>
      </c>
      <c r="F2758" t="s">
        <v>967</v>
      </c>
      <c r="G2758">
        <v>80.64</v>
      </c>
      <c r="H2758">
        <v>42</v>
      </c>
      <c r="Q2758"/>
    </row>
    <row r="2759" spans="1:17" x14ac:dyDescent="0.25">
      <c r="A2759">
        <v>10</v>
      </c>
      <c r="B2759">
        <v>2016</v>
      </c>
      <c r="C2759" t="s">
        <v>438</v>
      </c>
      <c r="D2759" t="s">
        <v>439</v>
      </c>
      <c r="E2759" t="s">
        <v>947</v>
      </c>
      <c r="F2759" t="s">
        <v>948</v>
      </c>
      <c r="G2759">
        <v>0</v>
      </c>
      <c r="H2759">
        <v>6</v>
      </c>
      <c r="Q2759"/>
    </row>
    <row r="2760" spans="1:17" x14ac:dyDescent="0.25">
      <c r="A2760">
        <v>10</v>
      </c>
      <c r="B2760">
        <v>2016</v>
      </c>
      <c r="C2760" t="s">
        <v>448</v>
      </c>
      <c r="D2760" t="s">
        <v>449</v>
      </c>
      <c r="E2760" t="s">
        <v>450</v>
      </c>
      <c r="F2760" t="s">
        <v>451</v>
      </c>
      <c r="G2760">
        <v>93.5</v>
      </c>
      <c r="H2760">
        <v>66.650000000000006</v>
      </c>
      <c r="I2760">
        <v>491.4</v>
      </c>
      <c r="J2760">
        <v>359.91</v>
      </c>
      <c r="Q2760"/>
    </row>
    <row r="2761" spans="1:17" x14ac:dyDescent="0.25">
      <c r="A2761">
        <v>10</v>
      </c>
      <c r="B2761">
        <v>2016</v>
      </c>
      <c r="C2761" t="s">
        <v>448</v>
      </c>
      <c r="D2761" t="s">
        <v>449</v>
      </c>
      <c r="E2761" t="s">
        <v>453</v>
      </c>
      <c r="F2761" t="s">
        <v>454</v>
      </c>
      <c r="G2761">
        <v>75.599999999999994</v>
      </c>
      <c r="H2761">
        <v>24</v>
      </c>
      <c r="I2761">
        <v>18.3</v>
      </c>
      <c r="J2761">
        <v>12</v>
      </c>
      <c r="Q2761"/>
    </row>
    <row r="2762" spans="1:17" x14ac:dyDescent="0.25">
      <c r="A2762">
        <v>10</v>
      </c>
      <c r="B2762">
        <v>2016</v>
      </c>
      <c r="C2762" t="s">
        <v>455</v>
      </c>
      <c r="D2762" t="s">
        <v>456</v>
      </c>
      <c r="E2762" t="s">
        <v>457</v>
      </c>
      <c r="F2762" t="s">
        <v>458</v>
      </c>
      <c r="G2762">
        <v>923.4</v>
      </c>
      <c r="H2762">
        <v>162</v>
      </c>
      <c r="I2762">
        <v>1452</v>
      </c>
      <c r="J2762">
        <v>264</v>
      </c>
      <c r="Q2762"/>
    </row>
    <row r="2763" spans="1:17" x14ac:dyDescent="0.25">
      <c r="A2763">
        <v>10</v>
      </c>
      <c r="B2763">
        <v>2016</v>
      </c>
      <c r="C2763" t="s">
        <v>455</v>
      </c>
      <c r="D2763" t="s">
        <v>456</v>
      </c>
      <c r="E2763" t="s">
        <v>459</v>
      </c>
      <c r="F2763" t="s">
        <v>458</v>
      </c>
      <c r="G2763">
        <v>151.19999999999999</v>
      </c>
      <c r="H2763">
        <v>24</v>
      </c>
      <c r="I2763">
        <v>109.8</v>
      </c>
      <c r="J2763">
        <v>18</v>
      </c>
      <c r="Q2763"/>
    </row>
    <row r="2764" spans="1:17" x14ac:dyDescent="0.25">
      <c r="A2764">
        <v>10</v>
      </c>
      <c r="B2764">
        <v>2016</v>
      </c>
      <c r="C2764" t="s">
        <v>455</v>
      </c>
      <c r="D2764" t="s">
        <v>456</v>
      </c>
      <c r="E2764" t="s">
        <v>460</v>
      </c>
      <c r="F2764" t="s">
        <v>458</v>
      </c>
      <c r="G2764">
        <v>936</v>
      </c>
      <c r="H2764">
        <v>156</v>
      </c>
      <c r="I2764">
        <v>448.5</v>
      </c>
      <c r="J2764">
        <v>78</v>
      </c>
      <c r="Q2764"/>
    </row>
    <row r="2765" spans="1:17" x14ac:dyDescent="0.25">
      <c r="A2765">
        <v>10</v>
      </c>
      <c r="B2765">
        <v>2016</v>
      </c>
      <c r="C2765" t="s">
        <v>455</v>
      </c>
      <c r="D2765" t="s">
        <v>456</v>
      </c>
      <c r="E2765" t="s">
        <v>461</v>
      </c>
      <c r="F2765" t="s">
        <v>458</v>
      </c>
      <c r="G2765">
        <v>118.8</v>
      </c>
      <c r="H2765">
        <v>18</v>
      </c>
      <c r="I2765">
        <v>38.4</v>
      </c>
      <c r="J2765">
        <v>6</v>
      </c>
      <c r="Q2765"/>
    </row>
    <row r="2766" spans="1:17" x14ac:dyDescent="0.25">
      <c r="A2766">
        <v>10</v>
      </c>
      <c r="B2766">
        <v>2016</v>
      </c>
      <c r="C2766" t="s">
        <v>476</v>
      </c>
      <c r="D2766" t="s">
        <v>477</v>
      </c>
      <c r="E2766" t="s">
        <v>478</v>
      </c>
      <c r="F2766" t="s">
        <v>479</v>
      </c>
      <c r="G2766">
        <v>482.4</v>
      </c>
      <c r="H2766">
        <v>78</v>
      </c>
      <c r="I2766">
        <v>614.4</v>
      </c>
      <c r="J2766">
        <v>120</v>
      </c>
      <c r="Q2766"/>
    </row>
    <row r="2767" spans="1:17" x14ac:dyDescent="0.25">
      <c r="A2767">
        <v>10</v>
      </c>
      <c r="B2767">
        <v>2016</v>
      </c>
      <c r="C2767" t="s">
        <v>476</v>
      </c>
      <c r="D2767" t="s">
        <v>477</v>
      </c>
      <c r="E2767" t="s">
        <v>484</v>
      </c>
      <c r="F2767" t="s">
        <v>483</v>
      </c>
      <c r="G2767">
        <v>42.5</v>
      </c>
      <c r="H2767">
        <v>33.35</v>
      </c>
      <c r="I2767">
        <v>240</v>
      </c>
      <c r="J2767">
        <v>206.77</v>
      </c>
      <c r="Q2767"/>
    </row>
    <row r="2768" spans="1:17" x14ac:dyDescent="0.25">
      <c r="A2768">
        <v>10</v>
      </c>
      <c r="B2768">
        <v>2016</v>
      </c>
      <c r="C2768" t="s">
        <v>485</v>
      </c>
      <c r="D2768" t="s">
        <v>486</v>
      </c>
      <c r="E2768" t="s">
        <v>487</v>
      </c>
      <c r="F2768" t="s">
        <v>488</v>
      </c>
      <c r="G2768">
        <v>800.4</v>
      </c>
      <c r="H2768">
        <v>174</v>
      </c>
      <c r="I2768">
        <v>109.2</v>
      </c>
      <c r="J2768">
        <v>30</v>
      </c>
      <c r="Q2768"/>
    </row>
    <row r="2769" spans="1:17" x14ac:dyDescent="0.25">
      <c r="A2769">
        <v>10</v>
      </c>
      <c r="B2769">
        <v>2016</v>
      </c>
      <c r="C2769" t="s">
        <v>506</v>
      </c>
      <c r="D2769" t="s">
        <v>507</v>
      </c>
      <c r="E2769" t="s">
        <v>508</v>
      </c>
      <c r="F2769" t="s">
        <v>509</v>
      </c>
      <c r="G2769">
        <v>1863</v>
      </c>
      <c r="H2769">
        <v>420</v>
      </c>
      <c r="I2769">
        <v>2244</v>
      </c>
      <c r="J2769">
        <v>516</v>
      </c>
      <c r="Q2769"/>
    </row>
    <row r="2770" spans="1:17" x14ac:dyDescent="0.25">
      <c r="A2770">
        <v>10</v>
      </c>
      <c r="B2770">
        <v>2016</v>
      </c>
      <c r="C2770" t="s">
        <v>506</v>
      </c>
      <c r="D2770" t="s">
        <v>507</v>
      </c>
      <c r="E2770" t="s">
        <v>510</v>
      </c>
      <c r="F2770" t="s">
        <v>511</v>
      </c>
      <c r="G2770">
        <v>297</v>
      </c>
      <c r="H2770">
        <v>90</v>
      </c>
      <c r="I2770">
        <v>268.8</v>
      </c>
      <c r="J2770">
        <v>84</v>
      </c>
      <c r="Q2770"/>
    </row>
    <row r="2771" spans="1:17" x14ac:dyDescent="0.25">
      <c r="A2771">
        <v>10</v>
      </c>
      <c r="B2771">
        <v>2016</v>
      </c>
      <c r="C2771" t="s">
        <v>506</v>
      </c>
      <c r="D2771" t="s">
        <v>507</v>
      </c>
      <c r="E2771" t="s">
        <v>514</v>
      </c>
      <c r="F2771" t="s">
        <v>515</v>
      </c>
      <c r="G2771">
        <v>831.6</v>
      </c>
      <c r="H2771">
        <v>138</v>
      </c>
      <c r="I2771">
        <v>1004.4</v>
      </c>
      <c r="J2771">
        <v>168</v>
      </c>
      <c r="Q2771"/>
    </row>
    <row r="2772" spans="1:17" x14ac:dyDescent="0.25">
      <c r="A2772">
        <v>10</v>
      </c>
      <c r="B2772">
        <v>2016</v>
      </c>
      <c r="C2772" t="s">
        <v>524</v>
      </c>
      <c r="D2772" t="s">
        <v>525</v>
      </c>
      <c r="E2772" t="s">
        <v>526</v>
      </c>
      <c r="F2772" t="s">
        <v>527</v>
      </c>
      <c r="G2772">
        <v>1814.4</v>
      </c>
      <c r="H2772">
        <v>648</v>
      </c>
      <c r="I2772">
        <v>938.1</v>
      </c>
      <c r="J2772">
        <v>354</v>
      </c>
      <c r="Q2772"/>
    </row>
    <row r="2773" spans="1:17" x14ac:dyDescent="0.25">
      <c r="A2773">
        <v>10</v>
      </c>
      <c r="B2773">
        <v>2016</v>
      </c>
      <c r="C2773" t="s">
        <v>524</v>
      </c>
      <c r="D2773" t="s">
        <v>525</v>
      </c>
      <c r="E2773" t="s">
        <v>528</v>
      </c>
      <c r="F2773" t="s">
        <v>529</v>
      </c>
      <c r="G2773">
        <v>-89.1</v>
      </c>
      <c r="H2773">
        <v>-18</v>
      </c>
      <c r="I2773">
        <v>432</v>
      </c>
      <c r="J2773">
        <v>90</v>
      </c>
      <c r="Q2773"/>
    </row>
    <row r="2774" spans="1:17" x14ac:dyDescent="0.25">
      <c r="A2774">
        <v>10</v>
      </c>
      <c r="B2774">
        <v>2016</v>
      </c>
      <c r="C2774" t="s">
        <v>524</v>
      </c>
      <c r="D2774" t="s">
        <v>525</v>
      </c>
      <c r="E2774" t="s">
        <v>1033</v>
      </c>
      <c r="F2774" t="s">
        <v>1034</v>
      </c>
      <c r="G2774">
        <v>0</v>
      </c>
      <c r="H2774">
        <v>12</v>
      </c>
      <c r="Q2774"/>
    </row>
    <row r="2775" spans="1:17" x14ac:dyDescent="0.25">
      <c r="A2775">
        <v>10</v>
      </c>
      <c r="B2775">
        <v>2016</v>
      </c>
      <c r="C2775" t="s">
        <v>530</v>
      </c>
      <c r="D2775" t="s">
        <v>531</v>
      </c>
      <c r="E2775" t="s">
        <v>532</v>
      </c>
      <c r="F2775" t="s">
        <v>533</v>
      </c>
      <c r="G2775">
        <v>309.60000000000002</v>
      </c>
      <c r="H2775">
        <v>72</v>
      </c>
      <c r="I2775">
        <v>1587.6</v>
      </c>
      <c r="J2775">
        <v>378</v>
      </c>
      <c r="Q2775"/>
    </row>
    <row r="2776" spans="1:17" x14ac:dyDescent="0.25">
      <c r="A2776">
        <v>10</v>
      </c>
      <c r="B2776">
        <v>2016</v>
      </c>
      <c r="C2776" t="s">
        <v>539</v>
      </c>
      <c r="D2776" t="s">
        <v>540</v>
      </c>
      <c r="E2776" t="s">
        <v>541</v>
      </c>
      <c r="F2776" t="s">
        <v>542</v>
      </c>
      <c r="G2776">
        <v>1864.5</v>
      </c>
      <c r="H2776">
        <v>342</v>
      </c>
      <c r="I2776">
        <v>699.3</v>
      </c>
      <c r="J2776">
        <v>126</v>
      </c>
      <c r="Q2776"/>
    </row>
    <row r="2777" spans="1:17" x14ac:dyDescent="0.25">
      <c r="A2777">
        <v>10</v>
      </c>
      <c r="B2777">
        <v>2016</v>
      </c>
      <c r="C2777" t="s">
        <v>543</v>
      </c>
      <c r="D2777" t="s">
        <v>544</v>
      </c>
      <c r="E2777" t="s">
        <v>833</v>
      </c>
      <c r="F2777" t="s">
        <v>834</v>
      </c>
      <c r="G2777">
        <v>348</v>
      </c>
      <c r="H2777">
        <v>60</v>
      </c>
      <c r="I2777">
        <v>339</v>
      </c>
      <c r="J2777">
        <v>60</v>
      </c>
      <c r="Q2777"/>
    </row>
    <row r="2778" spans="1:17" x14ac:dyDescent="0.25">
      <c r="A2778">
        <v>10</v>
      </c>
      <c r="B2778">
        <v>2016</v>
      </c>
      <c r="C2778" t="s">
        <v>543</v>
      </c>
      <c r="D2778" t="s">
        <v>544</v>
      </c>
      <c r="E2778" t="s">
        <v>545</v>
      </c>
      <c r="F2778" t="s">
        <v>546</v>
      </c>
      <c r="G2778">
        <v>414</v>
      </c>
      <c r="H2778">
        <v>60</v>
      </c>
      <c r="I2778">
        <v>924.6</v>
      </c>
      <c r="J2778">
        <v>138</v>
      </c>
      <c r="Q2778"/>
    </row>
    <row r="2779" spans="1:17" x14ac:dyDescent="0.25">
      <c r="A2779">
        <v>10</v>
      </c>
      <c r="B2779">
        <v>2016</v>
      </c>
      <c r="C2779" t="s">
        <v>554</v>
      </c>
      <c r="D2779" t="s">
        <v>555</v>
      </c>
      <c r="E2779" t="s">
        <v>556</v>
      </c>
      <c r="F2779" t="s">
        <v>557</v>
      </c>
      <c r="G2779">
        <v>256.2</v>
      </c>
      <c r="H2779">
        <v>84</v>
      </c>
      <c r="I2779">
        <v>194.7</v>
      </c>
      <c r="J2779">
        <v>66</v>
      </c>
      <c r="Q2779"/>
    </row>
    <row r="2780" spans="1:17" x14ac:dyDescent="0.25">
      <c r="A2780">
        <v>10</v>
      </c>
      <c r="B2780">
        <v>2016</v>
      </c>
      <c r="C2780" t="s">
        <v>571</v>
      </c>
      <c r="D2780" t="s">
        <v>572</v>
      </c>
      <c r="E2780" t="s">
        <v>575</v>
      </c>
      <c r="F2780" t="s">
        <v>574</v>
      </c>
      <c r="G2780">
        <v>633.6</v>
      </c>
      <c r="H2780">
        <v>102</v>
      </c>
      <c r="Q2780"/>
    </row>
    <row r="2781" spans="1:17" x14ac:dyDescent="0.25">
      <c r="A2781">
        <v>10</v>
      </c>
      <c r="B2781">
        <v>2016</v>
      </c>
      <c r="C2781" t="s">
        <v>571</v>
      </c>
      <c r="D2781" t="s">
        <v>572</v>
      </c>
      <c r="E2781" t="s">
        <v>578</v>
      </c>
      <c r="F2781" t="s">
        <v>579</v>
      </c>
      <c r="G2781">
        <v>108</v>
      </c>
      <c r="H2781">
        <v>12</v>
      </c>
      <c r="I2781">
        <v>0</v>
      </c>
      <c r="J2781">
        <v>6</v>
      </c>
      <c r="Q2781"/>
    </row>
    <row r="2782" spans="1:17" x14ac:dyDescent="0.25">
      <c r="A2782">
        <v>10</v>
      </c>
      <c r="B2782">
        <v>2016</v>
      </c>
      <c r="C2782" t="s">
        <v>571</v>
      </c>
      <c r="D2782" t="s">
        <v>572</v>
      </c>
      <c r="E2782" t="s">
        <v>777</v>
      </c>
      <c r="F2782" t="s">
        <v>778</v>
      </c>
      <c r="G2782">
        <v>304</v>
      </c>
      <c r="H2782">
        <v>106.72</v>
      </c>
      <c r="I2782">
        <v>0</v>
      </c>
      <c r="J2782">
        <v>6.67</v>
      </c>
      <c r="Q2782"/>
    </row>
    <row r="2783" spans="1:17" x14ac:dyDescent="0.25">
      <c r="A2783">
        <v>10</v>
      </c>
      <c r="B2783">
        <v>2016</v>
      </c>
      <c r="C2783" t="s">
        <v>582</v>
      </c>
      <c r="D2783" t="s">
        <v>583</v>
      </c>
      <c r="E2783" t="s">
        <v>584</v>
      </c>
      <c r="F2783" t="s">
        <v>585</v>
      </c>
      <c r="G2783">
        <v>1250.5</v>
      </c>
      <c r="H2783">
        <v>306</v>
      </c>
      <c r="I2783">
        <v>1776</v>
      </c>
      <c r="J2783">
        <v>456</v>
      </c>
      <c r="Q2783"/>
    </row>
    <row r="2784" spans="1:17" x14ac:dyDescent="0.25">
      <c r="A2784">
        <v>10</v>
      </c>
      <c r="B2784">
        <v>2016</v>
      </c>
      <c r="C2784" t="s">
        <v>582</v>
      </c>
      <c r="D2784" t="s">
        <v>583</v>
      </c>
      <c r="E2784" t="s">
        <v>779</v>
      </c>
      <c r="F2784" t="s">
        <v>780</v>
      </c>
      <c r="G2784">
        <v>103.5</v>
      </c>
      <c r="H2784">
        <v>30</v>
      </c>
      <c r="I2784">
        <v>261.3</v>
      </c>
      <c r="J2784">
        <v>78</v>
      </c>
      <c r="Q2784"/>
    </row>
    <row r="2785" spans="1:17" x14ac:dyDescent="0.25">
      <c r="A2785">
        <v>10</v>
      </c>
      <c r="B2785">
        <v>2016</v>
      </c>
      <c r="C2785" t="s">
        <v>588</v>
      </c>
      <c r="D2785" t="s">
        <v>589</v>
      </c>
      <c r="E2785" t="s">
        <v>590</v>
      </c>
      <c r="F2785" t="s">
        <v>591</v>
      </c>
      <c r="G2785">
        <v>654.9</v>
      </c>
      <c r="H2785">
        <v>228</v>
      </c>
      <c r="I2785">
        <v>1418.1</v>
      </c>
      <c r="J2785">
        <v>500</v>
      </c>
      <c r="Q2785"/>
    </row>
    <row r="2786" spans="1:17" x14ac:dyDescent="0.25">
      <c r="A2786">
        <v>10</v>
      </c>
      <c r="B2786">
        <v>2016</v>
      </c>
      <c r="C2786" t="s">
        <v>588</v>
      </c>
      <c r="D2786" t="s">
        <v>589</v>
      </c>
      <c r="E2786" t="s">
        <v>592</v>
      </c>
      <c r="F2786" t="s">
        <v>593</v>
      </c>
      <c r="G2786">
        <v>607.62</v>
      </c>
      <c r="H2786">
        <v>252</v>
      </c>
      <c r="I2786">
        <v>8811.2199999999993</v>
      </c>
      <c r="J2786">
        <v>3684</v>
      </c>
      <c r="Q2786"/>
    </row>
    <row r="2787" spans="1:17" x14ac:dyDescent="0.25">
      <c r="A2787">
        <v>10</v>
      </c>
      <c r="B2787">
        <v>2016</v>
      </c>
      <c r="C2787" t="s">
        <v>588</v>
      </c>
      <c r="D2787" t="s">
        <v>589</v>
      </c>
      <c r="E2787" t="s">
        <v>594</v>
      </c>
      <c r="F2787" t="s">
        <v>595</v>
      </c>
      <c r="G2787">
        <v>906.5</v>
      </c>
      <c r="H2787">
        <v>653.16999999999996</v>
      </c>
      <c r="I2787">
        <v>481</v>
      </c>
      <c r="J2787">
        <v>346.58</v>
      </c>
      <c r="Q2787"/>
    </row>
    <row r="2788" spans="1:17" x14ac:dyDescent="0.25">
      <c r="A2788">
        <v>10</v>
      </c>
      <c r="B2788">
        <v>2016</v>
      </c>
      <c r="C2788" t="s">
        <v>588</v>
      </c>
      <c r="D2788" t="s">
        <v>589</v>
      </c>
      <c r="E2788" t="s">
        <v>596</v>
      </c>
      <c r="F2788" t="s">
        <v>595</v>
      </c>
      <c r="G2788">
        <v>189</v>
      </c>
      <c r="H2788">
        <v>126.73</v>
      </c>
      <c r="I2788">
        <v>609</v>
      </c>
      <c r="J2788">
        <v>393.53</v>
      </c>
      <c r="Q2788"/>
    </row>
    <row r="2789" spans="1:17" x14ac:dyDescent="0.25">
      <c r="A2789">
        <v>10</v>
      </c>
      <c r="B2789">
        <v>2016</v>
      </c>
      <c r="C2789" t="s">
        <v>605</v>
      </c>
      <c r="D2789" t="s">
        <v>606</v>
      </c>
      <c r="E2789" t="s">
        <v>607</v>
      </c>
      <c r="F2789" t="s">
        <v>608</v>
      </c>
      <c r="G2789">
        <v>2656.08</v>
      </c>
      <c r="H2789">
        <v>726</v>
      </c>
      <c r="I2789">
        <v>1339.2</v>
      </c>
      <c r="J2789">
        <v>366</v>
      </c>
      <c r="Q2789"/>
    </row>
    <row r="2790" spans="1:17" x14ac:dyDescent="0.25">
      <c r="A2790">
        <v>10</v>
      </c>
      <c r="B2790">
        <v>2016</v>
      </c>
      <c r="C2790" t="s">
        <v>605</v>
      </c>
      <c r="D2790" t="s">
        <v>606</v>
      </c>
      <c r="E2790" t="s">
        <v>609</v>
      </c>
      <c r="F2790" t="s">
        <v>610</v>
      </c>
      <c r="G2790">
        <v>148.80000000000001</v>
      </c>
      <c r="H2790">
        <v>24</v>
      </c>
      <c r="I2790">
        <v>36.72</v>
      </c>
      <c r="J2790">
        <v>6</v>
      </c>
      <c r="Q2790"/>
    </row>
    <row r="2791" spans="1:17" x14ac:dyDescent="0.25">
      <c r="A2791">
        <v>10</v>
      </c>
      <c r="B2791">
        <v>2016</v>
      </c>
      <c r="C2791" t="s">
        <v>605</v>
      </c>
      <c r="D2791" t="s">
        <v>606</v>
      </c>
      <c r="E2791" t="s">
        <v>611</v>
      </c>
      <c r="F2791" t="s">
        <v>612</v>
      </c>
      <c r="G2791">
        <v>2035.2</v>
      </c>
      <c r="H2791">
        <v>972</v>
      </c>
      <c r="I2791">
        <v>750.48</v>
      </c>
      <c r="J2791">
        <v>372</v>
      </c>
      <c r="Q2791"/>
    </row>
    <row r="2792" spans="1:17" x14ac:dyDescent="0.25">
      <c r="A2792">
        <v>10</v>
      </c>
      <c r="B2792">
        <v>2016</v>
      </c>
      <c r="C2792" t="s">
        <v>605</v>
      </c>
      <c r="D2792" t="s">
        <v>606</v>
      </c>
      <c r="E2792" t="s">
        <v>907</v>
      </c>
      <c r="F2792" t="s">
        <v>908</v>
      </c>
      <c r="G2792">
        <v>1544.4</v>
      </c>
      <c r="H2792">
        <v>702</v>
      </c>
      <c r="Q2792"/>
    </row>
    <row r="2793" spans="1:17" x14ac:dyDescent="0.25">
      <c r="A2793">
        <v>10</v>
      </c>
      <c r="B2793">
        <v>2016</v>
      </c>
      <c r="C2793" t="s">
        <v>605</v>
      </c>
      <c r="D2793" t="s">
        <v>606</v>
      </c>
      <c r="E2793" t="s">
        <v>909</v>
      </c>
      <c r="F2793" t="s">
        <v>908</v>
      </c>
      <c r="G2793">
        <v>1232</v>
      </c>
      <c r="H2793">
        <v>570</v>
      </c>
      <c r="Q2793"/>
    </row>
    <row r="2794" spans="1:17" x14ac:dyDescent="0.25">
      <c r="A2794">
        <v>10</v>
      </c>
      <c r="B2794">
        <v>2016</v>
      </c>
      <c r="C2794" t="s">
        <v>605</v>
      </c>
      <c r="D2794" t="s">
        <v>606</v>
      </c>
      <c r="E2794" t="s">
        <v>910</v>
      </c>
      <c r="F2794" t="s">
        <v>908</v>
      </c>
      <c r="G2794">
        <v>570.4</v>
      </c>
      <c r="H2794">
        <v>258</v>
      </c>
      <c r="Q2794"/>
    </row>
    <row r="2795" spans="1:17" x14ac:dyDescent="0.25">
      <c r="A2795">
        <v>10</v>
      </c>
      <c r="B2795">
        <v>2016</v>
      </c>
      <c r="C2795" t="s">
        <v>605</v>
      </c>
      <c r="D2795" t="s">
        <v>606</v>
      </c>
      <c r="E2795" t="s">
        <v>911</v>
      </c>
      <c r="F2795" t="s">
        <v>912</v>
      </c>
      <c r="G2795">
        <v>0</v>
      </c>
      <c r="H2795">
        <v>6</v>
      </c>
      <c r="Q2795"/>
    </row>
    <row r="2796" spans="1:17" x14ac:dyDescent="0.25">
      <c r="A2796">
        <v>10</v>
      </c>
      <c r="B2796">
        <v>2016</v>
      </c>
      <c r="C2796" t="s">
        <v>605</v>
      </c>
      <c r="D2796" t="s">
        <v>606</v>
      </c>
      <c r="E2796" t="s">
        <v>613</v>
      </c>
      <c r="F2796" t="s">
        <v>614</v>
      </c>
      <c r="G2796">
        <v>964.8</v>
      </c>
      <c r="H2796">
        <v>959.76</v>
      </c>
      <c r="I2796">
        <v>957.6</v>
      </c>
      <c r="J2796">
        <v>959.76</v>
      </c>
      <c r="Q2796"/>
    </row>
    <row r="2797" spans="1:17" x14ac:dyDescent="0.25">
      <c r="A2797">
        <v>10</v>
      </c>
      <c r="B2797">
        <v>2016</v>
      </c>
      <c r="C2797" t="s">
        <v>605</v>
      </c>
      <c r="D2797" t="s">
        <v>606</v>
      </c>
      <c r="E2797" t="s">
        <v>615</v>
      </c>
      <c r="F2797" t="s">
        <v>614</v>
      </c>
      <c r="G2797">
        <v>219.52</v>
      </c>
      <c r="H2797">
        <v>193.43</v>
      </c>
      <c r="I2797">
        <v>856.9</v>
      </c>
      <c r="J2797">
        <v>760.38</v>
      </c>
      <c r="Q2797"/>
    </row>
    <row r="2798" spans="1:17" x14ac:dyDescent="0.25">
      <c r="A2798">
        <v>10</v>
      </c>
      <c r="B2798">
        <v>2016</v>
      </c>
      <c r="C2798" t="s">
        <v>605</v>
      </c>
      <c r="D2798" t="s">
        <v>606</v>
      </c>
      <c r="E2798" t="s">
        <v>616</v>
      </c>
      <c r="F2798" t="s">
        <v>617</v>
      </c>
      <c r="G2798">
        <v>596.70000000000005</v>
      </c>
      <c r="H2798">
        <v>453.22</v>
      </c>
      <c r="I2798">
        <v>140.4</v>
      </c>
      <c r="J2798">
        <v>106.64</v>
      </c>
      <c r="Q2798"/>
    </row>
    <row r="2799" spans="1:17" x14ac:dyDescent="0.25">
      <c r="A2799">
        <v>10</v>
      </c>
      <c r="B2799">
        <v>2016</v>
      </c>
      <c r="C2799" t="s">
        <v>605</v>
      </c>
      <c r="D2799" t="s">
        <v>606</v>
      </c>
      <c r="E2799" t="s">
        <v>618</v>
      </c>
      <c r="F2799" t="s">
        <v>617</v>
      </c>
      <c r="G2799">
        <v>627.48</v>
      </c>
      <c r="H2799">
        <v>426.88</v>
      </c>
      <c r="I2799">
        <v>677.28</v>
      </c>
      <c r="J2799">
        <v>460.23</v>
      </c>
      <c r="Q2799"/>
    </row>
    <row r="2800" spans="1:17" x14ac:dyDescent="0.25">
      <c r="A2800">
        <v>10</v>
      </c>
      <c r="B2800">
        <v>2016</v>
      </c>
      <c r="C2800" t="s">
        <v>621</v>
      </c>
      <c r="D2800" t="s">
        <v>622</v>
      </c>
      <c r="E2800" t="s">
        <v>623</v>
      </c>
      <c r="F2800" t="s">
        <v>624</v>
      </c>
      <c r="G2800">
        <v>270</v>
      </c>
      <c r="H2800">
        <v>72</v>
      </c>
      <c r="I2800">
        <v>310.8</v>
      </c>
      <c r="J2800">
        <v>84</v>
      </c>
      <c r="Q2800"/>
    </row>
    <row r="2801" spans="1:17" x14ac:dyDescent="0.25">
      <c r="A2801">
        <v>10</v>
      </c>
      <c r="B2801">
        <v>2016</v>
      </c>
      <c r="C2801" t="s">
        <v>621</v>
      </c>
      <c r="D2801" t="s">
        <v>622</v>
      </c>
      <c r="E2801" t="s">
        <v>625</v>
      </c>
      <c r="F2801" t="s">
        <v>624</v>
      </c>
      <c r="G2801">
        <v>90</v>
      </c>
      <c r="H2801">
        <v>24</v>
      </c>
      <c r="I2801">
        <v>732.6</v>
      </c>
      <c r="J2801">
        <v>198</v>
      </c>
      <c r="Q2801"/>
    </row>
    <row r="2802" spans="1:17" x14ac:dyDescent="0.25">
      <c r="A2802">
        <v>10</v>
      </c>
      <c r="B2802">
        <v>2016</v>
      </c>
      <c r="C2802" t="s">
        <v>638</v>
      </c>
      <c r="D2802" t="s">
        <v>639</v>
      </c>
      <c r="E2802" t="s">
        <v>640</v>
      </c>
      <c r="F2802" t="s">
        <v>641</v>
      </c>
      <c r="G2802">
        <v>910.35</v>
      </c>
      <c r="H2802">
        <v>820.41</v>
      </c>
      <c r="I2802">
        <v>706.8</v>
      </c>
      <c r="J2802">
        <v>620.30999999999995</v>
      </c>
      <c r="Q2802"/>
    </row>
    <row r="2803" spans="1:17" x14ac:dyDescent="0.25">
      <c r="A2803">
        <v>10</v>
      </c>
      <c r="B2803">
        <v>2016</v>
      </c>
      <c r="C2803" t="s">
        <v>638</v>
      </c>
      <c r="D2803" t="s">
        <v>639</v>
      </c>
      <c r="E2803" t="s">
        <v>642</v>
      </c>
      <c r="F2803" t="s">
        <v>641</v>
      </c>
      <c r="G2803">
        <v>2509.8000000000002</v>
      </c>
      <c r="H2803">
        <v>2586.02</v>
      </c>
      <c r="I2803">
        <v>238.5</v>
      </c>
      <c r="J2803">
        <v>239.94</v>
      </c>
      <c r="Q2803"/>
    </row>
    <row r="2804" spans="1:17" x14ac:dyDescent="0.25">
      <c r="A2804">
        <v>10</v>
      </c>
      <c r="B2804">
        <v>2016</v>
      </c>
      <c r="C2804" t="s">
        <v>638</v>
      </c>
      <c r="D2804" t="s">
        <v>639</v>
      </c>
      <c r="E2804" t="s">
        <v>643</v>
      </c>
      <c r="F2804" t="s">
        <v>644</v>
      </c>
      <c r="G2804">
        <v>780.3</v>
      </c>
      <c r="H2804">
        <v>707.02</v>
      </c>
      <c r="I2804">
        <v>532</v>
      </c>
      <c r="J2804">
        <v>473.57</v>
      </c>
      <c r="Q2804"/>
    </row>
    <row r="2805" spans="1:17" x14ac:dyDescent="0.25">
      <c r="A2805">
        <v>10</v>
      </c>
      <c r="B2805">
        <v>2016</v>
      </c>
      <c r="C2805" t="s">
        <v>638</v>
      </c>
      <c r="D2805" t="s">
        <v>639</v>
      </c>
      <c r="E2805" t="s">
        <v>645</v>
      </c>
      <c r="F2805" t="s">
        <v>644</v>
      </c>
      <c r="G2805">
        <v>2736.75</v>
      </c>
      <c r="H2805">
        <v>2759.31</v>
      </c>
      <c r="I2805">
        <v>662.5</v>
      </c>
      <c r="J2805">
        <v>666.5</v>
      </c>
      <c r="Q2805"/>
    </row>
    <row r="2806" spans="1:17" x14ac:dyDescent="0.25">
      <c r="A2806">
        <v>10</v>
      </c>
      <c r="B2806">
        <v>2016</v>
      </c>
      <c r="C2806" t="s">
        <v>638</v>
      </c>
      <c r="D2806" t="s">
        <v>639</v>
      </c>
      <c r="E2806" t="s">
        <v>646</v>
      </c>
      <c r="F2806" t="s">
        <v>647</v>
      </c>
      <c r="G2806">
        <v>1656</v>
      </c>
      <c r="H2806">
        <v>732</v>
      </c>
      <c r="I2806">
        <v>964.8</v>
      </c>
      <c r="J2806">
        <v>408</v>
      </c>
      <c r="Q2806"/>
    </row>
    <row r="2807" spans="1:17" x14ac:dyDescent="0.25">
      <c r="A2807">
        <v>10</v>
      </c>
      <c r="B2807">
        <v>2016</v>
      </c>
      <c r="C2807" t="s">
        <v>638</v>
      </c>
      <c r="D2807" t="s">
        <v>639</v>
      </c>
      <c r="E2807" t="s">
        <v>648</v>
      </c>
      <c r="F2807" t="s">
        <v>649</v>
      </c>
      <c r="G2807">
        <v>33.6</v>
      </c>
      <c r="H2807">
        <v>12</v>
      </c>
      <c r="I2807">
        <v>865.8</v>
      </c>
      <c r="J2807">
        <v>162</v>
      </c>
      <c r="Q2807"/>
    </row>
    <row r="2808" spans="1:17" x14ac:dyDescent="0.25">
      <c r="A2808">
        <v>10</v>
      </c>
      <c r="B2808">
        <v>2016</v>
      </c>
      <c r="C2808" t="s">
        <v>638</v>
      </c>
      <c r="D2808" t="s">
        <v>639</v>
      </c>
      <c r="E2808" t="s">
        <v>650</v>
      </c>
      <c r="F2808" t="s">
        <v>651</v>
      </c>
      <c r="G2808">
        <v>640.5</v>
      </c>
      <c r="H2808">
        <v>216</v>
      </c>
      <c r="I2808">
        <v>403.2</v>
      </c>
      <c r="J2808">
        <v>132</v>
      </c>
      <c r="Q2808"/>
    </row>
    <row r="2809" spans="1:17" x14ac:dyDescent="0.25">
      <c r="A2809">
        <v>10</v>
      </c>
      <c r="B2809">
        <v>2016</v>
      </c>
      <c r="C2809" t="s">
        <v>638</v>
      </c>
      <c r="D2809" t="s">
        <v>639</v>
      </c>
      <c r="E2809" t="s">
        <v>785</v>
      </c>
      <c r="F2809" t="s">
        <v>653</v>
      </c>
      <c r="G2809">
        <v>279</v>
      </c>
      <c r="H2809">
        <v>199.95</v>
      </c>
      <c r="I2809">
        <v>186</v>
      </c>
      <c r="J2809">
        <v>133.30000000000001</v>
      </c>
      <c r="Q2809"/>
    </row>
    <row r="2810" spans="1:17" x14ac:dyDescent="0.25">
      <c r="A2810">
        <v>10</v>
      </c>
      <c r="B2810">
        <v>2016</v>
      </c>
      <c r="C2810" t="s">
        <v>638</v>
      </c>
      <c r="D2810" t="s">
        <v>639</v>
      </c>
      <c r="E2810" t="s">
        <v>652</v>
      </c>
      <c r="F2810" t="s">
        <v>653</v>
      </c>
      <c r="G2810">
        <v>131.30000000000001</v>
      </c>
      <c r="H2810">
        <v>93.38</v>
      </c>
      <c r="I2810">
        <v>60.6</v>
      </c>
      <c r="J2810">
        <v>40.019999999999996</v>
      </c>
      <c r="Q2810"/>
    </row>
    <row r="2811" spans="1:17" x14ac:dyDescent="0.25">
      <c r="A2811">
        <v>10</v>
      </c>
      <c r="B2811">
        <v>2016</v>
      </c>
      <c r="C2811" t="s">
        <v>638</v>
      </c>
      <c r="D2811" t="s">
        <v>639</v>
      </c>
      <c r="E2811" t="s">
        <v>654</v>
      </c>
      <c r="F2811" t="s">
        <v>655</v>
      </c>
      <c r="G2811">
        <v>438</v>
      </c>
      <c r="H2811">
        <v>120</v>
      </c>
      <c r="I2811">
        <v>1144.8</v>
      </c>
      <c r="J2811">
        <v>318</v>
      </c>
      <c r="Q2811"/>
    </row>
    <row r="2812" spans="1:17" x14ac:dyDescent="0.25">
      <c r="A2812">
        <v>10</v>
      </c>
      <c r="B2812">
        <v>2016</v>
      </c>
      <c r="C2812" t="s">
        <v>638</v>
      </c>
      <c r="D2812" t="s">
        <v>639</v>
      </c>
      <c r="E2812" t="s">
        <v>656</v>
      </c>
      <c r="F2812" t="s">
        <v>657</v>
      </c>
      <c r="G2812">
        <v>23.1</v>
      </c>
      <c r="H2812">
        <v>6</v>
      </c>
      <c r="Q2812"/>
    </row>
    <row r="2813" spans="1:17" x14ac:dyDescent="0.25">
      <c r="A2813">
        <v>10</v>
      </c>
      <c r="B2813">
        <v>2016</v>
      </c>
      <c r="C2813" t="s">
        <v>638</v>
      </c>
      <c r="D2813" t="s">
        <v>639</v>
      </c>
      <c r="E2813" t="s">
        <v>658</v>
      </c>
      <c r="F2813" t="s">
        <v>659</v>
      </c>
      <c r="G2813">
        <v>630</v>
      </c>
      <c r="H2813">
        <v>210</v>
      </c>
      <c r="I2813">
        <v>594</v>
      </c>
      <c r="J2813">
        <v>198</v>
      </c>
      <c r="Q2813"/>
    </row>
    <row r="2814" spans="1:17" x14ac:dyDescent="0.25">
      <c r="A2814">
        <v>10</v>
      </c>
      <c r="B2814">
        <v>2016</v>
      </c>
      <c r="C2814" t="s">
        <v>638</v>
      </c>
      <c r="D2814" t="s">
        <v>639</v>
      </c>
      <c r="E2814" t="s">
        <v>786</v>
      </c>
      <c r="F2814" t="s">
        <v>787</v>
      </c>
      <c r="G2814">
        <v>144.47999999999999</v>
      </c>
      <c r="H2814">
        <v>42</v>
      </c>
      <c r="Q2814"/>
    </row>
    <row r="2815" spans="1:17" x14ac:dyDescent="0.25">
      <c r="A2815">
        <v>10</v>
      </c>
      <c r="B2815">
        <v>2016</v>
      </c>
      <c r="C2815" t="s">
        <v>638</v>
      </c>
      <c r="D2815" t="s">
        <v>639</v>
      </c>
      <c r="E2815" t="s">
        <v>845</v>
      </c>
      <c r="F2815" t="s">
        <v>846</v>
      </c>
      <c r="G2815">
        <v>25.5</v>
      </c>
      <c r="H2815">
        <v>20</v>
      </c>
      <c r="I2815">
        <v>40.4</v>
      </c>
      <c r="J2815">
        <v>32</v>
      </c>
      <c r="Q2815"/>
    </row>
    <row r="2816" spans="1:17" x14ac:dyDescent="0.25">
      <c r="A2816">
        <v>10</v>
      </c>
      <c r="B2816">
        <v>2016</v>
      </c>
      <c r="C2816" t="s">
        <v>638</v>
      </c>
      <c r="D2816" t="s">
        <v>639</v>
      </c>
      <c r="E2816" t="s">
        <v>664</v>
      </c>
      <c r="F2816" t="s">
        <v>665</v>
      </c>
      <c r="G2816">
        <v>46.08</v>
      </c>
      <c r="H2816">
        <v>24</v>
      </c>
      <c r="I2816">
        <v>182.4</v>
      </c>
      <c r="J2816">
        <v>96</v>
      </c>
      <c r="Q2816"/>
    </row>
    <row r="2817" spans="1:17" x14ac:dyDescent="0.25">
      <c r="A2817">
        <v>10</v>
      </c>
      <c r="B2817">
        <v>2016</v>
      </c>
      <c r="C2817" t="s">
        <v>638</v>
      </c>
      <c r="D2817" t="s">
        <v>639</v>
      </c>
      <c r="E2817" t="s">
        <v>666</v>
      </c>
      <c r="F2817" t="s">
        <v>665</v>
      </c>
      <c r="G2817">
        <v>115.2</v>
      </c>
      <c r="H2817">
        <v>60</v>
      </c>
      <c r="I2817">
        <v>79.8</v>
      </c>
      <c r="J2817">
        <v>48</v>
      </c>
      <c r="Q2817"/>
    </row>
    <row r="2818" spans="1:17" x14ac:dyDescent="0.25">
      <c r="A2818">
        <v>10</v>
      </c>
      <c r="B2818">
        <v>2016</v>
      </c>
      <c r="C2818" t="s">
        <v>638</v>
      </c>
      <c r="D2818" t="s">
        <v>639</v>
      </c>
      <c r="E2818" t="s">
        <v>847</v>
      </c>
      <c r="F2818" t="s">
        <v>848</v>
      </c>
      <c r="G2818">
        <v>80.64</v>
      </c>
      <c r="H2818">
        <v>42</v>
      </c>
      <c r="Q2818"/>
    </row>
    <row r="2819" spans="1:17" x14ac:dyDescent="0.25">
      <c r="A2819">
        <v>10</v>
      </c>
      <c r="B2819">
        <v>2016</v>
      </c>
      <c r="C2819" t="s">
        <v>667</v>
      </c>
      <c r="D2819" t="s">
        <v>668</v>
      </c>
      <c r="E2819" t="s">
        <v>669</v>
      </c>
      <c r="F2819" t="s">
        <v>670</v>
      </c>
      <c r="G2819">
        <v>37.26</v>
      </c>
      <c r="H2819">
        <v>18</v>
      </c>
      <c r="I2819">
        <v>318.24</v>
      </c>
      <c r="J2819">
        <v>156</v>
      </c>
      <c r="Q2819"/>
    </row>
    <row r="2820" spans="1:17" x14ac:dyDescent="0.25">
      <c r="A2820">
        <v>10</v>
      </c>
      <c r="B2820">
        <v>2016</v>
      </c>
      <c r="C2820" t="s">
        <v>667</v>
      </c>
      <c r="D2820" t="s">
        <v>668</v>
      </c>
      <c r="E2820" t="s">
        <v>671</v>
      </c>
      <c r="F2820" t="s">
        <v>670</v>
      </c>
      <c r="G2820">
        <v>172.5</v>
      </c>
      <c r="H2820">
        <v>102</v>
      </c>
      <c r="I2820">
        <v>97.92</v>
      </c>
      <c r="J2820">
        <v>48</v>
      </c>
      <c r="Q2820"/>
    </row>
    <row r="2821" spans="1:17" x14ac:dyDescent="0.25">
      <c r="A2821">
        <v>10</v>
      </c>
      <c r="B2821">
        <v>2016</v>
      </c>
      <c r="C2821" t="s">
        <v>667</v>
      </c>
      <c r="D2821" t="s">
        <v>668</v>
      </c>
      <c r="E2821" t="s">
        <v>672</v>
      </c>
      <c r="F2821" t="s">
        <v>670</v>
      </c>
      <c r="G2821">
        <v>24.84</v>
      </c>
      <c r="H2821">
        <v>12</v>
      </c>
      <c r="I2821">
        <v>306</v>
      </c>
      <c r="J2821">
        <v>150</v>
      </c>
      <c r="Q2821"/>
    </row>
    <row r="2822" spans="1:17" x14ac:dyDescent="0.25">
      <c r="A2822">
        <v>10</v>
      </c>
      <c r="B2822">
        <v>2016</v>
      </c>
      <c r="C2822" t="s">
        <v>667</v>
      </c>
      <c r="D2822" t="s">
        <v>668</v>
      </c>
      <c r="E2822" t="s">
        <v>677</v>
      </c>
      <c r="F2822" t="s">
        <v>678</v>
      </c>
      <c r="G2822">
        <v>26.4</v>
      </c>
      <c r="H2822">
        <v>12</v>
      </c>
      <c r="I2822">
        <v>196.2</v>
      </c>
      <c r="J2822">
        <v>96</v>
      </c>
      <c r="Q2822"/>
    </row>
    <row r="2823" spans="1:17" x14ac:dyDescent="0.25">
      <c r="A2823">
        <v>10</v>
      </c>
      <c r="B2823">
        <v>2016</v>
      </c>
      <c r="C2823" t="s">
        <v>667</v>
      </c>
      <c r="D2823" t="s">
        <v>668</v>
      </c>
      <c r="E2823" t="s">
        <v>679</v>
      </c>
      <c r="F2823" t="s">
        <v>680</v>
      </c>
      <c r="G2823">
        <v>89</v>
      </c>
      <c r="H2823">
        <v>93.38</v>
      </c>
      <c r="I2823">
        <v>26.7</v>
      </c>
      <c r="J2823">
        <v>26.68</v>
      </c>
      <c r="Q2823"/>
    </row>
    <row r="2824" spans="1:17" x14ac:dyDescent="0.25">
      <c r="A2824">
        <v>10</v>
      </c>
      <c r="B2824">
        <v>2016</v>
      </c>
      <c r="C2824" t="s">
        <v>681</v>
      </c>
      <c r="D2824" t="s">
        <v>682</v>
      </c>
      <c r="E2824" t="s">
        <v>683</v>
      </c>
      <c r="F2824" t="s">
        <v>684</v>
      </c>
      <c r="G2824">
        <v>121.5</v>
      </c>
      <c r="H2824">
        <v>60</v>
      </c>
      <c r="I2824">
        <v>158.4</v>
      </c>
      <c r="J2824">
        <v>78</v>
      </c>
      <c r="Q2824"/>
    </row>
    <row r="2825" spans="1:17" x14ac:dyDescent="0.25">
      <c r="A2825">
        <v>10</v>
      </c>
      <c r="B2825">
        <v>2016</v>
      </c>
      <c r="C2825" t="s">
        <v>681</v>
      </c>
      <c r="D2825" t="s">
        <v>682</v>
      </c>
      <c r="E2825" t="s">
        <v>685</v>
      </c>
      <c r="F2825" t="s">
        <v>686</v>
      </c>
      <c r="G2825">
        <v>14.4</v>
      </c>
      <c r="H2825">
        <v>6</v>
      </c>
      <c r="I2825">
        <v>28.2</v>
      </c>
      <c r="J2825">
        <v>12</v>
      </c>
      <c r="Q2825"/>
    </row>
    <row r="2826" spans="1:17" x14ac:dyDescent="0.25">
      <c r="A2826">
        <v>10</v>
      </c>
      <c r="B2826">
        <v>2016</v>
      </c>
      <c r="C2826" t="s">
        <v>681</v>
      </c>
      <c r="D2826" t="s">
        <v>682</v>
      </c>
      <c r="E2826" t="s">
        <v>687</v>
      </c>
      <c r="F2826" t="s">
        <v>688</v>
      </c>
      <c r="G2826">
        <v>333</v>
      </c>
      <c r="H2826">
        <v>102</v>
      </c>
      <c r="I2826">
        <v>0</v>
      </c>
      <c r="J2826">
        <v>12</v>
      </c>
      <c r="Q2826"/>
    </row>
    <row r="2827" spans="1:17" x14ac:dyDescent="0.25">
      <c r="A2827">
        <v>10</v>
      </c>
      <c r="B2827">
        <v>2016</v>
      </c>
      <c r="C2827" t="s">
        <v>681</v>
      </c>
      <c r="D2827" t="s">
        <v>682</v>
      </c>
      <c r="E2827" t="s">
        <v>689</v>
      </c>
      <c r="F2827" t="s">
        <v>690</v>
      </c>
      <c r="G2827">
        <v>0</v>
      </c>
      <c r="H2827">
        <v>6</v>
      </c>
      <c r="I2827">
        <v>0</v>
      </c>
      <c r="J2827">
        <v>6</v>
      </c>
      <c r="Q2827"/>
    </row>
    <row r="2828" spans="1:17" x14ac:dyDescent="0.25">
      <c r="A2828">
        <v>11</v>
      </c>
      <c r="B2828">
        <v>2016</v>
      </c>
      <c r="C2828" t="s">
        <v>47</v>
      </c>
      <c r="D2828" t="s">
        <v>48</v>
      </c>
      <c r="E2828" t="s">
        <v>49</v>
      </c>
      <c r="F2828" t="s">
        <v>50</v>
      </c>
      <c r="G2828">
        <v>314.39999999999998</v>
      </c>
      <c r="H2828">
        <v>266.8</v>
      </c>
      <c r="I2828">
        <v>2555.2800000000002</v>
      </c>
      <c r="J2828">
        <v>2267.8000000000002</v>
      </c>
      <c r="Q2828"/>
    </row>
    <row r="2829" spans="1:17" x14ac:dyDescent="0.25">
      <c r="A2829">
        <v>11</v>
      </c>
      <c r="B2829">
        <v>2016</v>
      </c>
      <c r="C2829" t="s">
        <v>47</v>
      </c>
      <c r="D2829" t="s">
        <v>48</v>
      </c>
      <c r="E2829" t="s">
        <v>51</v>
      </c>
      <c r="F2829" t="s">
        <v>52</v>
      </c>
      <c r="G2829">
        <v>1157.52</v>
      </c>
      <c r="H2829">
        <v>1119.72</v>
      </c>
      <c r="I2829">
        <v>8453.5</v>
      </c>
      <c r="J2829">
        <v>8531.2000000000007</v>
      </c>
      <c r="Q2829"/>
    </row>
    <row r="2830" spans="1:17" x14ac:dyDescent="0.25">
      <c r="A2830">
        <v>11</v>
      </c>
      <c r="B2830">
        <v>2016</v>
      </c>
      <c r="C2830" t="s">
        <v>47</v>
      </c>
      <c r="D2830" t="s">
        <v>48</v>
      </c>
      <c r="E2830" t="s">
        <v>53</v>
      </c>
      <c r="F2830" t="s">
        <v>54</v>
      </c>
      <c r="G2830">
        <v>622</v>
      </c>
      <c r="H2830">
        <v>679.83</v>
      </c>
      <c r="I2830">
        <v>4420.05</v>
      </c>
      <c r="J2830">
        <v>4972.09</v>
      </c>
      <c r="Q2830"/>
    </row>
    <row r="2831" spans="1:17" x14ac:dyDescent="0.25">
      <c r="A2831">
        <v>11</v>
      </c>
      <c r="B2831">
        <v>2016</v>
      </c>
      <c r="C2831" t="s">
        <v>47</v>
      </c>
      <c r="D2831" t="s">
        <v>48</v>
      </c>
      <c r="E2831" t="s">
        <v>55</v>
      </c>
      <c r="F2831" t="s">
        <v>54</v>
      </c>
      <c r="G2831">
        <v>224.32</v>
      </c>
      <c r="H2831">
        <v>213.44</v>
      </c>
      <c r="I2831">
        <v>954.36</v>
      </c>
      <c r="J2831">
        <v>880.43999999999994</v>
      </c>
      <c r="Q2831"/>
    </row>
    <row r="2832" spans="1:17" x14ac:dyDescent="0.25">
      <c r="A2832">
        <v>11</v>
      </c>
      <c r="B2832">
        <v>2016</v>
      </c>
      <c r="C2832" t="s">
        <v>47</v>
      </c>
      <c r="D2832" t="s">
        <v>48</v>
      </c>
      <c r="E2832" t="s">
        <v>56</v>
      </c>
      <c r="F2832" t="s">
        <v>57</v>
      </c>
      <c r="G2832">
        <v>216.72</v>
      </c>
      <c r="H2832">
        <v>239.94</v>
      </c>
      <c r="I2832">
        <v>4273.0200000000004</v>
      </c>
      <c r="J2832">
        <v>4945.43</v>
      </c>
      <c r="Q2832"/>
    </row>
    <row r="2833" spans="1:17" x14ac:dyDescent="0.25">
      <c r="A2833">
        <v>11</v>
      </c>
      <c r="B2833">
        <v>2016</v>
      </c>
      <c r="C2833" t="s">
        <v>47</v>
      </c>
      <c r="D2833" t="s">
        <v>48</v>
      </c>
      <c r="E2833" t="s">
        <v>58</v>
      </c>
      <c r="F2833" t="s">
        <v>59</v>
      </c>
      <c r="G2833">
        <v>-61.62</v>
      </c>
      <c r="H2833">
        <v>-80.010000000000005</v>
      </c>
      <c r="I2833">
        <v>2266.9</v>
      </c>
      <c r="J2833">
        <v>2747.01</v>
      </c>
      <c r="Q2833"/>
    </row>
    <row r="2834" spans="1:17" x14ac:dyDescent="0.25">
      <c r="A2834">
        <v>11</v>
      </c>
      <c r="B2834">
        <v>2016</v>
      </c>
      <c r="C2834" t="s">
        <v>47</v>
      </c>
      <c r="D2834" t="s">
        <v>48</v>
      </c>
      <c r="E2834" t="s">
        <v>61</v>
      </c>
      <c r="F2834" t="s">
        <v>62</v>
      </c>
      <c r="G2834">
        <v>46.75</v>
      </c>
      <c r="H2834">
        <v>33.35</v>
      </c>
      <c r="I2834">
        <v>1053.28</v>
      </c>
      <c r="J2834">
        <v>773.72</v>
      </c>
      <c r="Q2834"/>
    </row>
    <row r="2835" spans="1:17" x14ac:dyDescent="0.25">
      <c r="A2835">
        <v>11</v>
      </c>
      <c r="B2835">
        <v>2016</v>
      </c>
      <c r="C2835" t="s">
        <v>47</v>
      </c>
      <c r="D2835" t="s">
        <v>48</v>
      </c>
      <c r="E2835" t="s">
        <v>63</v>
      </c>
      <c r="F2835" t="s">
        <v>64</v>
      </c>
      <c r="G2835">
        <v>66.680000000000007</v>
      </c>
      <c r="H2835">
        <v>53.32</v>
      </c>
      <c r="I2835">
        <v>2006.32</v>
      </c>
      <c r="J2835">
        <v>1652.92</v>
      </c>
      <c r="Q2835"/>
    </row>
    <row r="2836" spans="1:17" x14ac:dyDescent="0.25">
      <c r="A2836">
        <v>11</v>
      </c>
      <c r="B2836">
        <v>2016</v>
      </c>
      <c r="C2836" t="s">
        <v>47</v>
      </c>
      <c r="D2836" t="s">
        <v>48</v>
      </c>
      <c r="E2836" t="s">
        <v>65</v>
      </c>
      <c r="F2836" t="s">
        <v>64</v>
      </c>
      <c r="G2836">
        <v>50.01</v>
      </c>
      <c r="H2836">
        <v>39.99</v>
      </c>
      <c r="I2836">
        <v>2135.7600000000002</v>
      </c>
      <c r="J2836">
        <v>1852.8700000000001</v>
      </c>
      <c r="Q2836"/>
    </row>
    <row r="2837" spans="1:17" x14ac:dyDescent="0.25">
      <c r="A2837">
        <v>11</v>
      </c>
      <c r="B2837">
        <v>2016</v>
      </c>
      <c r="C2837" t="s">
        <v>47</v>
      </c>
      <c r="D2837" t="s">
        <v>48</v>
      </c>
      <c r="E2837" t="s">
        <v>66</v>
      </c>
      <c r="F2837" t="s">
        <v>64</v>
      </c>
      <c r="G2837">
        <v>95.5</v>
      </c>
      <c r="H2837">
        <v>66.7</v>
      </c>
      <c r="I2837">
        <v>1352.92</v>
      </c>
      <c r="J2837">
        <v>1000.5</v>
      </c>
      <c r="Q2837"/>
    </row>
    <row r="2838" spans="1:17" x14ac:dyDescent="0.25">
      <c r="A2838">
        <v>11</v>
      </c>
      <c r="B2838">
        <v>2016</v>
      </c>
      <c r="C2838" t="s">
        <v>47</v>
      </c>
      <c r="D2838" t="s">
        <v>48</v>
      </c>
      <c r="E2838" t="s">
        <v>67</v>
      </c>
      <c r="F2838" t="s">
        <v>68</v>
      </c>
      <c r="G2838">
        <v>360.76</v>
      </c>
      <c r="H2838">
        <v>386.57</v>
      </c>
      <c r="I2838">
        <v>4138.16</v>
      </c>
      <c r="J2838">
        <v>4625.51</v>
      </c>
      <c r="Q2838"/>
    </row>
    <row r="2839" spans="1:17" x14ac:dyDescent="0.25">
      <c r="A2839">
        <v>11</v>
      </c>
      <c r="B2839">
        <v>2016</v>
      </c>
      <c r="C2839" t="s">
        <v>47</v>
      </c>
      <c r="D2839" t="s">
        <v>48</v>
      </c>
      <c r="E2839" t="s">
        <v>69</v>
      </c>
      <c r="F2839" t="s">
        <v>68</v>
      </c>
      <c r="G2839">
        <v>142.69</v>
      </c>
      <c r="H2839">
        <v>126.73</v>
      </c>
      <c r="I2839">
        <v>1689.25</v>
      </c>
      <c r="J2839">
        <v>1567.45</v>
      </c>
      <c r="Q2839"/>
    </row>
    <row r="2840" spans="1:17" x14ac:dyDescent="0.25">
      <c r="A2840">
        <v>11</v>
      </c>
      <c r="B2840">
        <v>2016</v>
      </c>
      <c r="C2840" t="s">
        <v>47</v>
      </c>
      <c r="D2840" t="s">
        <v>48</v>
      </c>
      <c r="E2840" t="s">
        <v>70</v>
      </c>
      <c r="F2840" t="s">
        <v>71</v>
      </c>
      <c r="G2840">
        <v>264.60000000000002</v>
      </c>
      <c r="H2840">
        <v>108</v>
      </c>
      <c r="I2840">
        <v>1353.6</v>
      </c>
      <c r="J2840">
        <v>564</v>
      </c>
      <c r="Q2840"/>
    </row>
    <row r="2841" spans="1:17" x14ac:dyDescent="0.25">
      <c r="A2841">
        <v>11</v>
      </c>
      <c r="B2841">
        <v>2016</v>
      </c>
      <c r="C2841" t="s">
        <v>47</v>
      </c>
      <c r="D2841" t="s">
        <v>48</v>
      </c>
      <c r="E2841" t="s">
        <v>72</v>
      </c>
      <c r="F2841" t="s">
        <v>73</v>
      </c>
      <c r="G2841">
        <v>0</v>
      </c>
      <c r="H2841">
        <v>6</v>
      </c>
      <c r="I2841">
        <v>54.6</v>
      </c>
      <c r="J2841">
        <v>30</v>
      </c>
      <c r="Q2841"/>
    </row>
    <row r="2842" spans="1:17" x14ac:dyDescent="0.25">
      <c r="A2842">
        <v>11</v>
      </c>
      <c r="B2842">
        <v>2016</v>
      </c>
      <c r="C2842" t="s">
        <v>47</v>
      </c>
      <c r="D2842" t="s">
        <v>48</v>
      </c>
      <c r="E2842" t="s">
        <v>78</v>
      </c>
      <c r="F2842" t="s">
        <v>73</v>
      </c>
      <c r="G2842">
        <v>0</v>
      </c>
      <c r="H2842">
        <v>6</v>
      </c>
      <c r="Q2842"/>
    </row>
    <row r="2843" spans="1:17" x14ac:dyDescent="0.25">
      <c r="A2843">
        <v>11</v>
      </c>
      <c r="B2843">
        <v>2016</v>
      </c>
      <c r="C2843" t="s">
        <v>47</v>
      </c>
      <c r="D2843" t="s">
        <v>48</v>
      </c>
      <c r="E2843" t="s">
        <v>704</v>
      </c>
      <c r="F2843" t="s">
        <v>705</v>
      </c>
      <c r="G2843">
        <v>143.04</v>
      </c>
      <c r="H2843">
        <v>48</v>
      </c>
      <c r="I2843">
        <v>344.4</v>
      </c>
      <c r="J2843">
        <v>120</v>
      </c>
      <c r="Q2843"/>
    </row>
    <row r="2844" spans="1:17" x14ac:dyDescent="0.25">
      <c r="A2844">
        <v>11</v>
      </c>
      <c r="B2844">
        <v>2016</v>
      </c>
      <c r="C2844" t="s">
        <v>47</v>
      </c>
      <c r="D2844" t="s">
        <v>48</v>
      </c>
      <c r="E2844" t="s">
        <v>103</v>
      </c>
      <c r="F2844" t="s">
        <v>98</v>
      </c>
      <c r="G2844">
        <v>378</v>
      </c>
      <c r="H2844">
        <v>466.55</v>
      </c>
      <c r="I2844">
        <v>151.19999999999999</v>
      </c>
      <c r="J2844">
        <v>186.62</v>
      </c>
      <c r="Q2844"/>
    </row>
    <row r="2845" spans="1:17" x14ac:dyDescent="0.25">
      <c r="A2845">
        <v>11</v>
      </c>
      <c r="B2845">
        <v>2016</v>
      </c>
      <c r="C2845" t="s">
        <v>189</v>
      </c>
      <c r="D2845" t="s">
        <v>190</v>
      </c>
      <c r="E2845" t="s">
        <v>191</v>
      </c>
      <c r="F2845" t="s">
        <v>192</v>
      </c>
      <c r="G2845">
        <v>114</v>
      </c>
      <c r="H2845">
        <v>30</v>
      </c>
      <c r="I2845">
        <v>199.8</v>
      </c>
      <c r="J2845">
        <v>60</v>
      </c>
      <c r="Q2845"/>
    </row>
    <row r="2846" spans="1:17" x14ac:dyDescent="0.25">
      <c r="A2846">
        <v>11</v>
      </c>
      <c r="B2846">
        <v>2016</v>
      </c>
      <c r="C2846" t="s">
        <v>231</v>
      </c>
      <c r="D2846" t="s">
        <v>232</v>
      </c>
      <c r="E2846" t="s">
        <v>233</v>
      </c>
      <c r="F2846" t="s">
        <v>234</v>
      </c>
      <c r="G2846">
        <v>54</v>
      </c>
      <c r="H2846">
        <v>12</v>
      </c>
      <c r="I2846">
        <v>319.8</v>
      </c>
      <c r="J2846">
        <v>78</v>
      </c>
      <c r="Q2846"/>
    </row>
    <row r="2847" spans="1:17" x14ac:dyDescent="0.25">
      <c r="A2847">
        <v>11</v>
      </c>
      <c r="B2847">
        <v>2016</v>
      </c>
      <c r="C2847" t="s">
        <v>231</v>
      </c>
      <c r="D2847" t="s">
        <v>232</v>
      </c>
      <c r="E2847" t="s">
        <v>237</v>
      </c>
      <c r="F2847" t="s">
        <v>238</v>
      </c>
      <c r="G2847">
        <v>24</v>
      </c>
      <c r="H2847">
        <v>6</v>
      </c>
      <c r="Q2847"/>
    </row>
    <row r="2848" spans="1:17" x14ac:dyDescent="0.25">
      <c r="A2848">
        <v>11</v>
      </c>
      <c r="B2848">
        <v>2016</v>
      </c>
      <c r="C2848" t="s">
        <v>231</v>
      </c>
      <c r="D2848" t="s">
        <v>232</v>
      </c>
      <c r="E2848" t="s">
        <v>239</v>
      </c>
      <c r="F2848" t="s">
        <v>240</v>
      </c>
      <c r="G2848">
        <v>45</v>
      </c>
      <c r="H2848">
        <v>6</v>
      </c>
      <c r="I2848">
        <v>294</v>
      </c>
      <c r="J2848">
        <v>42</v>
      </c>
      <c r="Q2848"/>
    </row>
    <row r="2849" spans="1:17" x14ac:dyDescent="0.25">
      <c r="A2849">
        <v>11</v>
      </c>
      <c r="B2849">
        <v>2016</v>
      </c>
      <c r="C2849" t="s">
        <v>231</v>
      </c>
      <c r="D2849" t="s">
        <v>232</v>
      </c>
      <c r="E2849" t="s">
        <v>727</v>
      </c>
      <c r="F2849" t="s">
        <v>728</v>
      </c>
      <c r="G2849">
        <v>36</v>
      </c>
      <c r="H2849">
        <v>6</v>
      </c>
      <c r="I2849">
        <v>69.599999999999994</v>
      </c>
      <c r="J2849">
        <v>12</v>
      </c>
      <c r="Q2849"/>
    </row>
    <row r="2850" spans="1:17" x14ac:dyDescent="0.25">
      <c r="A2850">
        <v>11</v>
      </c>
      <c r="B2850">
        <v>2016</v>
      </c>
      <c r="C2850" t="s">
        <v>262</v>
      </c>
      <c r="D2850" t="s">
        <v>263</v>
      </c>
      <c r="E2850" t="s">
        <v>266</v>
      </c>
      <c r="F2850" t="s">
        <v>267</v>
      </c>
      <c r="G2850">
        <v>97.2</v>
      </c>
      <c r="H2850">
        <v>12</v>
      </c>
      <c r="I2850">
        <v>6713.7</v>
      </c>
      <c r="J2850">
        <v>840</v>
      </c>
      <c r="Q2850"/>
    </row>
    <row r="2851" spans="1:17" x14ac:dyDescent="0.25">
      <c r="A2851">
        <v>11</v>
      </c>
      <c r="B2851">
        <v>2016</v>
      </c>
      <c r="C2851" t="s">
        <v>288</v>
      </c>
      <c r="D2851" t="s">
        <v>289</v>
      </c>
      <c r="E2851" t="s">
        <v>294</v>
      </c>
      <c r="F2851" t="s">
        <v>295</v>
      </c>
      <c r="G2851">
        <v>160.19999999999999</v>
      </c>
      <c r="H2851">
        <v>18</v>
      </c>
      <c r="I2851">
        <v>1293.5999999999999</v>
      </c>
      <c r="J2851">
        <v>174</v>
      </c>
      <c r="Q2851"/>
    </row>
    <row r="2852" spans="1:17" x14ac:dyDescent="0.25">
      <c r="A2852">
        <v>11</v>
      </c>
      <c r="B2852">
        <v>2016</v>
      </c>
      <c r="C2852" t="s">
        <v>349</v>
      </c>
      <c r="D2852" t="s">
        <v>350</v>
      </c>
      <c r="E2852" t="s">
        <v>351</v>
      </c>
      <c r="F2852" t="s">
        <v>352</v>
      </c>
      <c r="G2852">
        <v>77.400000000000006</v>
      </c>
      <c r="H2852">
        <v>12</v>
      </c>
      <c r="I2852">
        <v>756</v>
      </c>
      <c r="J2852">
        <v>120</v>
      </c>
      <c r="Q2852"/>
    </row>
    <row r="2853" spans="1:17" x14ac:dyDescent="0.25">
      <c r="A2853">
        <v>11</v>
      </c>
      <c r="B2853">
        <v>2016</v>
      </c>
      <c r="C2853" t="s">
        <v>360</v>
      </c>
      <c r="D2853" t="s">
        <v>361</v>
      </c>
      <c r="E2853" t="s">
        <v>362</v>
      </c>
      <c r="F2853" t="s">
        <v>363</v>
      </c>
      <c r="G2853">
        <v>250.25</v>
      </c>
      <c r="H2853">
        <v>173.29</v>
      </c>
      <c r="I2853">
        <v>931</v>
      </c>
      <c r="J2853">
        <v>666.5</v>
      </c>
      <c r="Q2853"/>
    </row>
    <row r="2854" spans="1:17" x14ac:dyDescent="0.25">
      <c r="A2854">
        <v>11</v>
      </c>
      <c r="B2854">
        <v>2016</v>
      </c>
      <c r="C2854" t="s">
        <v>360</v>
      </c>
      <c r="D2854" t="s">
        <v>361</v>
      </c>
      <c r="E2854" t="s">
        <v>364</v>
      </c>
      <c r="F2854" t="s">
        <v>363</v>
      </c>
      <c r="G2854">
        <v>369.6</v>
      </c>
      <c r="H2854">
        <v>220.10999999999999</v>
      </c>
      <c r="I2854">
        <v>1914</v>
      </c>
      <c r="J2854">
        <v>1173.92</v>
      </c>
      <c r="Q2854"/>
    </row>
    <row r="2855" spans="1:17" x14ac:dyDescent="0.25">
      <c r="A2855">
        <v>11</v>
      </c>
      <c r="B2855">
        <v>2016</v>
      </c>
      <c r="C2855" t="s">
        <v>360</v>
      </c>
      <c r="D2855" t="s">
        <v>361</v>
      </c>
      <c r="E2855" t="s">
        <v>365</v>
      </c>
      <c r="F2855" t="s">
        <v>366</v>
      </c>
      <c r="G2855">
        <v>113.4</v>
      </c>
      <c r="H2855">
        <v>54</v>
      </c>
      <c r="I2855">
        <v>36.9</v>
      </c>
      <c r="J2855">
        <v>18</v>
      </c>
      <c r="Q2855"/>
    </row>
    <row r="2856" spans="1:17" x14ac:dyDescent="0.25">
      <c r="A2856">
        <v>11</v>
      </c>
      <c r="B2856">
        <v>2016</v>
      </c>
      <c r="C2856" t="s">
        <v>360</v>
      </c>
      <c r="D2856" t="s">
        <v>361</v>
      </c>
      <c r="E2856" t="s">
        <v>367</v>
      </c>
      <c r="F2856" t="s">
        <v>368</v>
      </c>
      <c r="G2856">
        <v>940.5</v>
      </c>
      <c r="H2856">
        <v>342</v>
      </c>
      <c r="I2856">
        <v>2754</v>
      </c>
      <c r="J2856">
        <v>1020</v>
      </c>
      <c r="Q2856"/>
    </row>
    <row r="2857" spans="1:17" x14ac:dyDescent="0.25">
      <c r="A2857">
        <v>11</v>
      </c>
      <c r="B2857">
        <v>2016</v>
      </c>
      <c r="C2857" t="s">
        <v>360</v>
      </c>
      <c r="D2857" t="s">
        <v>361</v>
      </c>
      <c r="E2857" t="s">
        <v>369</v>
      </c>
      <c r="F2857" t="s">
        <v>370</v>
      </c>
      <c r="G2857">
        <v>496.8</v>
      </c>
      <c r="H2857">
        <v>114</v>
      </c>
      <c r="I2857">
        <v>1647</v>
      </c>
      <c r="J2857">
        <v>366</v>
      </c>
      <c r="Q2857"/>
    </row>
    <row r="2858" spans="1:17" x14ac:dyDescent="0.25">
      <c r="A2858">
        <v>11</v>
      </c>
      <c r="B2858">
        <v>2016</v>
      </c>
      <c r="C2858" t="s">
        <v>360</v>
      </c>
      <c r="D2858" t="s">
        <v>361</v>
      </c>
      <c r="E2858" t="s">
        <v>371</v>
      </c>
      <c r="F2858" t="s">
        <v>372</v>
      </c>
      <c r="G2858">
        <v>179.4</v>
      </c>
      <c r="H2858">
        <v>30</v>
      </c>
      <c r="I2858">
        <v>315.89999999999998</v>
      </c>
      <c r="J2858">
        <v>54</v>
      </c>
      <c r="Q2858"/>
    </row>
    <row r="2859" spans="1:17" x14ac:dyDescent="0.25">
      <c r="A2859">
        <v>11</v>
      </c>
      <c r="B2859">
        <v>2016</v>
      </c>
      <c r="C2859" t="s">
        <v>360</v>
      </c>
      <c r="D2859" t="s">
        <v>361</v>
      </c>
      <c r="E2859" t="s">
        <v>750</v>
      </c>
      <c r="F2859" t="s">
        <v>751</v>
      </c>
      <c r="G2859">
        <v>193.5</v>
      </c>
      <c r="H2859">
        <v>18</v>
      </c>
      <c r="I2859">
        <v>693</v>
      </c>
      <c r="J2859">
        <v>66</v>
      </c>
      <c r="Q2859"/>
    </row>
    <row r="2860" spans="1:17" x14ac:dyDescent="0.25">
      <c r="A2860">
        <v>11</v>
      </c>
      <c r="B2860">
        <v>2016</v>
      </c>
      <c r="C2860" t="s">
        <v>360</v>
      </c>
      <c r="D2860" t="s">
        <v>361</v>
      </c>
      <c r="E2860" t="s">
        <v>820</v>
      </c>
      <c r="F2860" t="s">
        <v>821</v>
      </c>
      <c r="G2860">
        <v>63</v>
      </c>
      <c r="H2860">
        <v>6</v>
      </c>
      <c r="Q2860"/>
    </row>
    <row r="2861" spans="1:17" x14ac:dyDescent="0.25">
      <c r="A2861">
        <v>11</v>
      </c>
      <c r="B2861">
        <v>2016</v>
      </c>
      <c r="C2861" t="s">
        <v>455</v>
      </c>
      <c r="D2861" t="s">
        <v>456</v>
      </c>
      <c r="E2861" t="s">
        <v>459</v>
      </c>
      <c r="F2861" t="s">
        <v>458</v>
      </c>
      <c r="G2861">
        <v>37.799999999999997</v>
      </c>
      <c r="H2861">
        <v>6</v>
      </c>
      <c r="I2861">
        <v>36.6</v>
      </c>
      <c r="J2861">
        <v>6</v>
      </c>
      <c r="Q2861"/>
    </row>
    <row r="2862" spans="1:17" x14ac:dyDescent="0.25">
      <c r="A2862">
        <v>11</v>
      </c>
      <c r="B2862">
        <v>2016</v>
      </c>
      <c r="C2862" t="s">
        <v>455</v>
      </c>
      <c r="D2862" t="s">
        <v>456</v>
      </c>
      <c r="E2862" t="s">
        <v>460</v>
      </c>
      <c r="F2862" t="s">
        <v>458</v>
      </c>
      <c r="G2862">
        <v>108</v>
      </c>
      <c r="H2862">
        <v>18</v>
      </c>
      <c r="I2862">
        <v>966</v>
      </c>
      <c r="J2862">
        <v>168</v>
      </c>
      <c r="Q2862"/>
    </row>
    <row r="2863" spans="1:17" x14ac:dyDescent="0.25">
      <c r="A2863">
        <v>11</v>
      </c>
      <c r="B2863">
        <v>2016</v>
      </c>
      <c r="C2863" t="s">
        <v>455</v>
      </c>
      <c r="D2863" t="s">
        <v>456</v>
      </c>
      <c r="E2863" t="s">
        <v>461</v>
      </c>
      <c r="F2863" t="s">
        <v>458</v>
      </c>
      <c r="G2863">
        <v>79.2</v>
      </c>
      <c r="H2863">
        <v>12</v>
      </c>
      <c r="I2863">
        <v>38.4</v>
      </c>
      <c r="J2863">
        <v>6</v>
      </c>
      <c r="Q2863"/>
    </row>
    <row r="2864" spans="1:17" x14ac:dyDescent="0.25">
      <c r="A2864">
        <v>11</v>
      </c>
      <c r="B2864">
        <v>2016</v>
      </c>
      <c r="C2864" t="s">
        <v>506</v>
      </c>
      <c r="D2864" t="s">
        <v>507</v>
      </c>
      <c r="E2864" t="s">
        <v>508</v>
      </c>
      <c r="F2864" t="s">
        <v>509</v>
      </c>
      <c r="G2864">
        <v>162</v>
      </c>
      <c r="H2864">
        <v>36</v>
      </c>
      <c r="I2864">
        <v>866.8</v>
      </c>
      <c r="J2864">
        <v>198</v>
      </c>
      <c r="Q2864"/>
    </row>
    <row r="2865" spans="1:17" x14ac:dyDescent="0.25">
      <c r="A2865">
        <v>11</v>
      </c>
      <c r="B2865">
        <v>2016</v>
      </c>
      <c r="C2865" t="s">
        <v>506</v>
      </c>
      <c r="D2865" t="s">
        <v>507</v>
      </c>
      <c r="E2865" t="s">
        <v>512</v>
      </c>
      <c r="F2865" t="s">
        <v>513</v>
      </c>
      <c r="G2865">
        <v>0</v>
      </c>
      <c r="H2865">
        <v>3</v>
      </c>
      <c r="Q2865"/>
    </row>
    <row r="2866" spans="1:17" x14ac:dyDescent="0.25">
      <c r="A2866">
        <v>12</v>
      </c>
      <c r="B2866">
        <v>2016</v>
      </c>
      <c r="C2866" t="s">
        <v>605</v>
      </c>
      <c r="D2866" t="s">
        <v>606</v>
      </c>
      <c r="E2866" t="s">
        <v>613</v>
      </c>
      <c r="F2866" t="s">
        <v>614</v>
      </c>
      <c r="G2866">
        <v>26.8</v>
      </c>
      <c r="H2866">
        <v>26.66</v>
      </c>
      <c r="I2866">
        <v>957.6</v>
      </c>
      <c r="J2866">
        <v>959.76</v>
      </c>
      <c r="Q2866"/>
    </row>
    <row r="2867" spans="1:17" x14ac:dyDescent="0.25">
      <c r="A2867">
        <v>12</v>
      </c>
      <c r="B2867">
        <v>2016</v>
      </c>
      <c r="C2867" t="s">
        <v>605</v>
      </c>
      <c r="D2867" t="s">
        <v>606</v>
      </c>
      <c r="E2867" t="s">
        <v>615</v>
      </c>
      <c r="F2867" t="s">
        <v>614</v>
      </c>
      <c r="G2867">
        <v>39.200000000000003</v>
      </c>
      <c r="H2867">
        <v>33.35</v>
      </c>
      <c r="I2867">
        <v>716.68</v>
      </c>
      <c r="J2867">
        <v>613.64</v>
      </c>
      <c r="Q286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T2869"/>
  <sheetViews>
    <sheetView workbookViewId="0">
      <selection activeCell="A3" sqref="A3"/>
    </sheetView>
  </sheetViews>
  <sheetFormatPr baseColWidth="10" defaultRowHeight="15" x14ac:dyDescent="0.25"/>
  <cols>
    <col min="1" max="1" width="10.7109375" bestFit="1" customWidth="1"/>
    <col min="2" max="2" width="6.5703125" bestFit="1" customWidth="1"/>
    <col min="3" max="3" width="10.42578125" bestFit="1" customWidth="1"/>
    <col min="4" max="4" width="40.7109375" bestFit="1" customWidth="1"/>
    <col min="5" max="5" width="11.42578125" bestFit="1" customWidth="1"/>
    <col min="6" max="6" width="56.28515625" bestFit="1" customWidth="1"/>
    <col min="7" max="8" width="14.28515625" style="10" bestFit="1" customWidth="1"/>
    <col min="9" max="9" width="12.85546875" style="10" bestFit="1" customWidth="1"/>
    <col min="10" max="11" width="10.5703125" style="11" bestFit="1" customWidth="1"/>
    <col min="12" max="12" width="8.7109375" style="11" bestFit="1" customWidth="1"/>
    <col min="13" max="13" width="9.85546875" style="9" bestFit="1" customWidth="1"/>
    <col min="14" max="14" width="10.85546875" style="9" bestFit="1" customWidth="1"/>
    <col min="15" max="15" width="11.42578125" style="10"/>
    <col min="16" max="18" width="11.42578125" style="11"/>
    <col min="19" max="20" width="11.42578125" style="9"/>
  </cols>
  <sheetData>
    <row r="1" spans="1:15" x14ac:dyDescent="0.25">
      <c r="A1" t="str">
        <f>data!A1</f>
        <v>mois</v>
      </c>
      <c r="B1" t="str">
        <f>data!B1</f>
        <v>annee</v>
      </c>
      <c r="C1" t="str">
        <f>data!C1</f>
        <v>FRN_CODE</v>
      </c>
      <c r="D1" t="str">
        <f>data!D1</f>
        <v>FRN_NOM</v>
      </c>
      <c r="E1" t="str">
        <f>data!E1</f>
        <v>PRD_CODE</v>
      </c>
      <c r="F1" t="str">
        <f>data!F1</f>
        <v>PRD_LIBELLE</v>
      </c>
      <c r="G1" s="10" t="str">
        <f>data!G1</f>
        <v>CA_HT</v>
      </c>
      <c r="H1" s="10" t="str">
        <f>data!I1</f>
        <v>CA1</v>
      </c>
      <c r="I1" s="10" t="s">
        <v>16</v>
      </c>
      <c r="J1" s="11" t="str">
        <f>data!H1</f>
        <v>ColsN</v>
      </c>
      <c r="K1" s="11" t="str">
        <f>data!J1</f>
        <v>ColsN1</v>
      </c>
      <c r="L1" s="11" t="s">
        <v>24</v>
      </c>
      <c r="M1" s="9" t="s">
        <v>22</v>
      </c>
      <c r="N1" s="9" t="s">
        <v>23</v>
      </c>
      <c r="O1"/>
    </row>
    <row r="2" spans="1:15" x14ac:dyDescent="0.25">
      <c r="A2" t="str">
        <f>TEXT("1/"&amp;data!A2,"mmmm")</f>
        <v>janvier</v>
      </c>
      <c r="B2">
        <f>data!B2</f>
        <v>2016</v>
      </c>
      <c r="C2" t="str">
        <f>data!C2</f>
        <v>001</v>
      </c>
      <c r="D2" t="str">
        <f>data!D2</f>
        <v>CHAMPAGNE PANNIER</v>
      </c>
      <c r="E2" t="str">
        <f>data!E2</f>
        <v>001001</v>
      </c>
      <c r="F2" t="str">
        <f>data!F2</f>
        <v>PANNIER AC CHAMP SELECTION BRUT</v>
      </c>
      <c r="G2" s="10">
        <f>data!G2</f>
        <v>7263.85</v>
      </c>
      <c r="H2" s="10">
        <f>data!I2</f>
        <v>0</v>
      </c>
      <c r="I2" s="10">
        <f>G2-H2</f>
        <v>7263.85</v>
      </c>
      <c r="J2" s="11">
        <f>data!H2</f>
        <v>562</v>
      </c>
      <c r="K2" s="11">
        <f>data!J2</f>
        <v>0</v>
      </c>
      <c r="L2" s="11">
        <f>J2-K2</f>
        <v>562</v>
      </c>
      <c r="M2" s="9" t="str">
        <f>IF(ISERR(I2/H2),"",I2/H2)</f>
        <v/>
      </c>
      <c r="N2" s="9" t="str">
        <f>IF(ISERR(L2/K2),"",L2/K2)</f>
        <v/>
      </c>
    </row>
    <row r="3" spans="1:15" x14ac:dyDescent="0.25">
      <c r="A3" t="str">
        <f>TEXT("1/"&amp;data!A3,"mmmm")</f>
        <v>janvier</v>
      </c>
      <c r="B3">
        <f>data!B3</f>
        <v>2016</v>
      </c>
      <c r="C3" t="str">
        <f>data!C3</f>
        <v>001</v>
      </c>
      <c r="D3" t="str">
        <f>data!D3</f>
        <v>CHAMPAGNE PANNIER</v>
      </c>
      <c r="E3" t="str">
        <f>data!E3</f>
        <v>001002</v>
      </c>
      <c r="F3" t="str">
        <f>data!F3</f>
        <v>PANNIER AC CHAMP SELECTION BRUT</v>
      </c>
      <c r="G3" s="10">
        <f>data!G3</f>
        <v>166.54</v>
      </c>
      <c r="H3" s="10">
        <f>data!I3</f>
        <v>0</v>
      </c>
      <c r="I3" s="10">
        <f t="shared" ref="I3:I66" si="0">G3-H3</f>
        <v>166.54</v>
      </c>
      <c r="J3" s="11">
        <f>data!H3</f>
        <v>12</v>
      </c>
      <c r="K3" s="11">
        <f>data!J3</f>
        <v>0</v>
      </c>
      <c r="L3" s="11">
        <f t="shared" ref="L3:L66" si="1">J3-K3</f>
        <v>12</v>
      </c>
      <c r="M3" s="9" t="str">
        <f t="shared" ref="M3:M66" si="2">IF(ISERR(I3/H3),"",I3/H3)</f>
        <v/>
      </c>
      <c r="N3" s="9" t="str">
        <f t="shared" ref="N3:N66" si="3">IF(ISERR(L3/K3),"",L3/K3)</f>
        <v/>
      </c>
    </row>
    <row r="4" spans="1:15" x14ac:dyDescent="0.25">
      <c r="A4" t="str">
        <f>TEXT("1/"&amp;data!A4,"mmmm")</f>
        <v>janvier</v>
      </c>
      <c r="B4">
        <f>data!B4</f>
        <v>2016</v>
      </c>
      <c r="C4" t="str">
        <f>data!C4</f>
        <v>001</v>
      </c>
      <c r="D4" t="str">
        <f>data!D4</f>
        <v>CHAMPAGNE PANNIER</v>
      </c>
      <c r="E4" t="str">
        <f>data!E4</f>
        <v>001005</v>
      </c>
      <c r="F4" t="str">
        <f>data!F4</f>
        <v>PANNIER AC CHAMP ROSE BRUT</v>
      </c>
      <c r="G4" s="10">
        <f>data!G4</f>
        <v>2477.64</v>
      </c>
      <c r="H4" s="10">
        <f>data!I4</f>
        <v>0</v>
      </c>
      <c r="I4" s="10">
        <f t="shared" si="0"/>
        <v>2477.64</v>
      </c>
      <c r="J4" s="11">
        <f>data!H4</f>
        <v>168</v>
      </c>
      <c r="K4" s="11">
        <f>data!J4</f>
        <v>0</v>
      </c>
      <c r="L4" s="11">
        <f t="shared" si="1"/>
        <v>168</v>
      </c>
      <c r="M4" s="9" t="str">
        <f t="shared" si="2"/>
        <v/>
      </c>
      <c r="N4" s="9" t="str">
        <f t="shared" si="3"/>
        <v/>
      </c>
    </row>
    <row r="5" spans="1:15" x14ac:dyDescent="0.25">
      <c r="A5" t="str">
        <f>TEXT("1/"&amp;data!A5,"mmmm")</f>
        <v>janvier</v>
      </c>
      <c r="B5">
        <f>data!B5</f>
        <v>2016</v>
      </c>
      <c r="C5" t="str">
        <f>data!C5</f>
        <v>001</v>
      </c>
      <c r="D5" t="str">
        <f>data!D5</f>
        <v>CHAMPAGNE PANNIER</v>
      </c>
      <c r="E5" t="str">
        <f>data!E5</f>
        <v>001013</v>
      </c>
      <c r="F5" t="str">
        <f>data!F5</f>
        <v>PANNIER AC CHAMP SEDUCTION DEMI SEC</v>
      </c>
      <c r="G5" s="10">
        <f>data!G5</f>
        <v>159.5</v>
      </c>
      <c r="H5" s="10">
        <f>data!I5</f>
        <v>0</v>
      </c>
      <c r="I5" s="10">
        <f t="shared" si="0"/>
        <v>159.5</v>
      </c>
      <c r="J5" s="11">
        <f>data!H5</f>
        <v>12</v>
      </c>
      <c r="K5" s="11">
        <f>data!J5</f>
        <v>0</v>
      </c>
      <c r="L5" s="11">
        <f t="shared" si="1"/>
        <v>12</v>
      </c>
      <c r="M5" s="9" t="str">
        <f t="shared" si="2"/>
        <v/>
      </c>
      <c r="N5" s="9" t="str">
        <f t="shared" si="3"/>
        <v/>
      </c>
    </row>
    <row r="6" spans="1:15" x14ac:dyDescent="0.25">
      <c r="A6" t="str">
        <f>TEXT("1/"&amp;data!A6,"mmmm")</f>
        <v>janvier</v>
      </c>
      <c r="B6">
        <f>data!B6</f>
        <v>2016</v>
      </c>
      <c r="C6" t="str">
        <f>data!C6</f>
        <v>001</v>
      </c>
      <c r="D6" t="str">
        <f>data!D6</f>
        <v>CHAMPAGNE PANNIER</v>
      </c>
      <c r="E6" t="str">
        <f>data!E6</f>
        <v>001021</v>
      </c>
      <c r="F6" t="str">
        <f>data!F6</f>
        <v>PANNIER AC CHAMP BRUT SELECTION EN ETUIS</v>
      </c>
      <c r="G6" s="10">
        <f>data!G6</f>
        <v>463.65</v>
      </c>
      <c r="H6" s="10">
        <f>data!I6</f>
        <v>0</v>
      </c>
      <c r="I6" s="10">
        <f t="shared" si="0"/>
        <v>463.65</v>
      </c>
      <c r="J6" s="11">
        <f>data!H6</f>
        <v>36</v>
      </c>
      <c r="K6" s="11">
        <f>data!J6</f>
        <v>0</v>
      </c>
      <c r="L6" s="11">
        <f t="shared" si="1"/>
        <v>36</v>
      </c>
      <c r="M6" s="9" t="str">
        <f t="shared" si="2"/>
        <v/>
      </c>
      <c r="N6" s="9" t="str">
        <f t="shared" si="3"/>
        <v/>
      </c>
    </row>
    <row r="7" spans="1:15" x14ac:dyDescent="0.25">
      <c r="A7" t="str">
        <f>TEXT("1/"&amp;data!A7,"mmmm")</f>
        <v>janvier</v>
      </c>
      <c r="B7">
        <f>data!B7</f>
        <v>2016</v>
      </c>
      <c r="C7" t="str">
        <f>data!C7</f>
        <v>001</v>
      </c>
      <c r="D7" t="str">
        <f>data!D7</f>
        <v>CHAMPAGNE PANNIER</v>
      </c>
      <c r="E7" t="str">
        <f>data!E7</f>
        <v>001034</v>
      </c>
      <c r="F7" t="str">
        <f>data!F7</f>
        <v>AC CHAMPAGNE EXTRA BRUT</v>
      </c>
      <c r="G7" s="10">
        <f>data!G7</f>
        <v>742.08</v>
      </c>
      <c r="H7" s="10">
        <f>data!I7</f>
        <v>0</v>
      </c>
      <c r="I7" s="10">
        <f t="shared" si="0"/>
        <v>742.08</v>
      </c>
      <c r="J7" s="11">
        <f>data!H7</f>
        <v>48</v>
      </c>
      <c r="K7" s="11">
        <f>data!J7</f>
        <v>0</v>
      </c>
      <c r="L7" s="11">
        <f t="shared" si="1"/>
        <v>48</v>
      </c>
      <c r="M7" s="9" t="str">
        <f t="shared" si="2"/>
        <v/>
      </c>
      <c r="N7" s="9" t="str">
        <f t="shared" si="3"/>
        <v/>
      </c>
    </row>
    <row r="8" spans="1:15" x14ac:dyDescent="0.25">
      <c r="A8" t="str">
        <f>TEXT("1/"&amp;data!A8,"mmmm")</f>
        <v>janvier</v>
      </c>
      <c r="B8">
        <f>data!B8</f>
        <v>2016</v>
      </c>
      <c r="C8" t="str">
        <f>data!C8</f>
        <v>002</v>
      </c>
      <c r="D8" t="str">
        <f>data!D8</f>
        <v>CAVE DE GALLICIAN</v>
      </c>
      <c r="E8" t="str">
        <f>data!E8</f>
        <v>002001</v>
      </c>
      <c r="F8" t="str">
        <f>data!F8</f>
        <v>VDP MERLOT C.GALLICIAN</v>
      </c>
      <c r="G8" s="10">
        <f>data!G8</f>
        <v>3129.84</v>
      </c>
      <c r="H8" s="10">
        <f>data!I8</f>
        <v>3007.6</v>
      </c>
      <c r="I8" s="10">
        <f t="shared" si="0"/>
        <v>122.24000000000024</v>
      </c>
      <c r="J8" s="11">
        <f>data!H8</f>
        <v>2774.72</v>
      </c>
      <c r="K8" s="11">
        <f>data!J8</f>
        <v>2801.4</v>
      </c>
      <c r="L8" s="11">
        <f t="shared" si="1"/>
        <v>-26.680000000000291</v>
      </c>
      <c r="M8" s="9">
        <f t="shared" si="2"/>
        <v>4.0643702620029337E-2</v>
      </c>
      <c r="N8" s="9">
        <f t="shared" si="3"/>
        <v>-9.523809523809627E-3</v>
      </c>
    </row>
    <row r="9" spans="1:15" x14ac:dyDescent="0.25">
      <c r="A9" t="str">
        <f>TEXT("1/"&amp;data!A9,"mmmm")</f>
        <v>janvier</v>
      </c>
      <c r="B9">
        <f>data!B9</f>
        <v>2016</v>
      </c>
      <c r="C9" t="str">
        <f>data!C9</f>
        <v>002</v>
      </c>
      <c r="D9" t="str">
        <f>data!D9</f>
        <v>CAVE DE GALLICIAN</v>
      </c>
      <c r="E9" t="str">
        <f>data!E9</f>
        <v>002002</v>
      </c>
      <c r="F9" t="str">
        <f>data!F9</f>
        <v>VDP MERLOT. C GALLICIAN</v>
      </c>
      <c r="G9" s="10">
        <f>data!G9</f>
        <v>9275</v>
      </c>
      <c r="H9" s="10">
        <f>data!I9</f>
        <v>8921.6</v>
      </c>
      <c r="I9" s="10">
        <f t="shared" si="0"/>
        <v>353.39999999999964</v>
      </c>
      <c r="J9" s="11">
        <f>data!H9</f>
        <v>9370.99</v>
      </c>
      <c r="K9" s="11">
        <f>data!J9</f>
        <v>9370.99</v>
      </c>
      <c r="L9" s="11">
        <f t="shared" si="1"/>
        <v>0</v>
      </c>
      <c r="M9" s="9">
        <f t="shared" si="2"/>
        <v>3.9611728837876573E-2</v>
      </c>
      <c r="N9" s="9">
        <f t="shared" si="3"/>
        <v>0</v>
      </c>
    </row>
    <row r="10" spans="1:15" x14ac:dyDescent="0.25">
      <c r="A10" t="str">
        <f>TEXT("1/"&amp;data!A10,"mmmm")</f>
        <v>janvier</v>
      </c>
      <c r="B10">
        <f>data!B10</f>
        <v>2016</v>
      </c>
      <c r="C10" t="str">
        <f>data!C10</f>
        <v>002</v>
      </c>
      <c r="D10" t="str">
        <f>data!D10</f>
        <v>CAVE DE GALLICIAN</v>
      </c>
      <c r="E10" t="str">
        <f>data!E10</f>
        <v>002003</v>
      </c>
      <c r="F10" t="str">
        <f>data!F10</f>
        <v>VDP GARD. C GALLICIAN</v>
      </c>
      <c r="G10" s="10">
        <f>data!G10</f>
        <v>6185.7</v>
      </c>
      <c r="H10" s="10">
        <f>data!I10</f>
        <v>4229.3999999999996</v>
      </c>
      <c r="I10" s="10">
        <f t="shared" si="0"/>
        <v>1956.3000000000002</v>
      </c>
      <c r="J10" s="11">
        <f>data!H10</f>
        <v>6984.92</v>
      </c>
      <c r="K10" s="11">
        <f>data!J10</f>
        <v>4958.76</v>
      </c>
      <c r="L10" s="11">
        <f t="shared" si="1"/>
        <v>2026.1599999999999</v>
      </c>
      <c r="M10" s="9">
        <f t="shared" si="2"/>
        <v>0.46254787913179185</v>
      </c>
      <c r="N10" s="9">
        <f t="shared" si="3"/>
        <v>0.40860215053763438</v>
      </c>
    </row>
    <row r="11" spans="1:15" x14ac:dyDescent="0.25">
      <c r="A11" t="str">
        <f>TEXT("1/"&amp;data!A11,"mmmm")</f>
        <v>janvier</v>
      </c>
      <c r="B11">
        <f>data!B11</f>
        <v>2016</v>
      </c>
      <c r="C11" t="str">
        <f>data!C11</f>
        <v>002</v>
      </c>
      <c r="D11" t="str">
        <f>data!D11</f>
        <v>CAVE DE GALLICIAN</v>
      </c>
      <c r="E11" t="str">
        <f>data!E11</f>
        <v>002004</v>
      </c>
      <c r="F11" t="str">
        <f>data!F11</f>
        <v>VDP GARD. C GALLICIAN</v>
      </c>
      <c r="G11" s="10">
        <f>data!G11</f>
        <v>1113.42</v>
      </c>
      <c r="H11" s="10">
        <f>data!I11</f>
        <v>959.1</v>
      </c>
      <c r="I11" s="10">
        <f t="shared" si="0"/>
        <v>154.32000000000005</v>
      </c>
      <c r="J11" s="11">
        <f>data!H11</f>
        <v>1040.52</v>
      </c>
      <c r="K11" s="11">
        <f>data!J11</f>
        <v>953.81</v>
      </c>
      <c r="L11" s="11">
        <f t="shared" si="1"/>
        <v>86.710000000000036</v>
      </c>
      <c r="M11" s="9">
        <f t="shared" si="2"/>
        <v>0.16090084454175796</v>
      </c>
      <c r="N11" s="9">
        <f t="shared" si="3"/>
        <v>9.0909090909090953E-2</v>
      </c>
    </row>
    <row r="12" spans="1:15" x14ac:dyDescent="0.25">
      <c r="A12" t="str">
        <f>TEXT("1/"&amp;data!A12,"mmmm")</f>
        <v>janvier</v>
      </c>
      <c r="B12">
        <f>data!B12</f>
        <v>2016</v>
      </c>
      <c r="C12" t="str">
        <f>data!C12</f>
        <v>002</v>
      </c>
      <c r="D12" t="str">
        <f>data!D12</f>
        <v>CAVE DE GALLICIAN</v>
      </c>
      <c r="E12" t="str">
        <f>data!E12</f>
        <v>002007</v>
      </c>
      <c r="F12" t="str">
        <f>data!F12</f>
        <v>VDT C GALLICIAN</v>
      </c>
      <c r="G12" s="10">
        <f>data!G12</f>
        <v>3358.2</v>
      </c>
      <c r="H12" s="10">
        <f>data!I12</f>
        <v>3088.8</v>
      </c>
      <c r="I12" s="10">
        <f t="shared" si="0"/>
        <v>269.39999999999964</v>
      </c>
      <c r="J12" s="11">
        <f>data!H12</f>
        <v>3879.03</v>
      </c>
      <c r="K12" s="11">
        <f>data!J12</f>
        <v>3879.03</v>
      </c>
      <c r="L12" s="11">
        <f t="shared" si="1"/>
        <v>0</v>
      </c>
      <c r="M12" s="9">
        <f t="shared" si="2"/>
        <v>8.7218337218337091E-2</v>
      </c>
      <c r="N12" s="9">
        <f t="shared" si="3"/>
        <v>0</v>
      </c>
    </row>
    <row r="13" spans="1:15" x14ac:dyDescent="0.25">
      <c r="A13" t="str">
        <f>TEXT("1/"&amp;data!A13,"mmmm")</f>
        <v>janvier</v>
      </c>
      <c r="B13">
        <f>data!B13</f>
        <v>2016</v>
      </c>
      <c r="C13" t="str">
        <f>data!C13</f>
        <v>002</v>
      </c>
      <c r="D13" t="str">
        <f>data!D13</f>
        <v>CAVE DE GALLICIAN</v>
      </c>
      <c r="E13" t="str">
        <f>data!E13</f>
        <v>002008</v>
      </c>
      <c r="F13" t="str">
        <f>data!F13</f>
        <v>VDT. C GALLICIAN</v>
      </c>
      <c r="G13" s="10">
        <f>data!G13</f>
        <v>3098.1</v>
      </c>
      <c r="H13" s="10">
        <f>data!I13</f>
        <v>3900</v>
      </c>
      <c r="I13" s="10">
        <f t="shared" si="0"/>
        <v>-801.90000000000009</v>
      </c>
      <c r="J13" s="11">
        <f>data!H13</f>
        <v>3680.46</v>
      </c>
      <c r="K13" s="11">
        <f>data!J13</f>
        <v>5440.68</v>
      </c>
      <c r="L13" s="11">
        <f t="shared" si="1"/>
        <v>-1760.2200000000003</v>
      </c>
      <c r="M13" s="9">
        <f t="shared" si="2"/>
        <v>-0.20561538461538464</v>
      </c>
      <c r="N13" s="9">
        <f t="shared" si="3"/>
        <v>-0.3235294117647059</v>
      </c>
    </row>
    <row r="14" spans="1:15" x14ac:dyDescent="0.25">
      <c r="A14" t="str">
        <f>TEXT("1/"&amp;data!A14,"mmmm")</f>
        <v>janvier</v>
      </c>
      <c r="B14">
        <f>data!B14</f>
        <v>2016</v>
      </c>
      <c r="C14" t="str">
        <f>data!C14</f>
        <v>002</v>
      </c>
      <c r="D14" t="str">
        <f>data!D14</f>
        <v>CAVE DE GALLICIAN</v>
      </c>
      <c r="E14" t="str">
        <f>data!E14</f>
        <v>002009</v>
      </c>
      <c r="F14" t="str">
        <f>data!F14</f>
        <v>VDT. C GALLICIAN</v>
      </c>
      <c r="G14" s="10">
        <f>data!G14</f>
        <v>1549.05</v>
      </c>
      <c r="H14" s="10">
        <f>data!I14</f>
        <v>1423.5</v>
      </c>
      <c r="I14" s="10">
        <f t="shared" si="0"/>
        <v>125.54999999999995</v>
      </c>
      <c r="J14" s="11">
        <f>data!H14</f>
        <v>1840.23</v>
      </c>
      <c r="K14" s="11">
        <f>data!J14</f>
        <v>1946.91</v>
      </c>
      <c r="L14" s="11">
        <f t="shared" si="1"/>
        <v>-106.68000000000006</v>
      </c>
      <c r="M14" s="9">
        <f t="shared" si="2"/>
        <v>8.8198103266596384E-2</v>
      </c>
      <c r="N14" s="9">
        <f t="shared" si="3"/>
        <v>-5.4794520547945237E-2</v>
      </c>
    </row>
    <row r="15" spans="1:15" x14ac:dyDescent="0.25">
      <c r="A15" t="str">
        <f>TEXT("1/"&amp;data!A15,"mmmm")</f>
        <v>janvier</v>
      </c>
      <c r="B15">
        <f>data!B15</f>
        <v>2016</v>
      </c>
      <c r="C15" t="str">
        <f>data!C15</f>
        <v>002</v>
      </c>
      <c r="D15" t="str">
        <f>data!D15</f>
        <v>CAVE DE GALLICIAN</v>
      </c>
      <c r="E15" t="str">
        <f>data!E15</f>
        <v>002010</v>
      </c>
      <c r="F15" t="str">
        <f>data!F15</f>
        <v>AC C. DE NIMES. C GALLICIAN</v>
      </c>
      <c r="G15" s="10">
        <f>data!G15</f>
        <v>2069.34</v>
      </c>
      <c r="H15" s="10">
        <f>data!I15</f>
        <v>1399.2</v>
      </c>
      <c r="I15" s="10">
        <f t="shared" si="0"/>
        <v>670.1400000000001</v>
      </c>
      <c r="J15" s="11">
        <f>data!H15</f>
        <v>1527.43</v>
      </c>
      <c r="K15" s="11">
        <f>data!J15</f>
        <v>1073.8699999999999</v>
      </c>
      <c r="L15" s="11">
        <f t="shared" si="1"/>
        <v>453.56000000000017</v>
      </c>
      <c r="M15" s="9">
        <f t="shared" si="2"/>
        <v>0.47894511149228136</v>
      </c>
      <c r="N15" s="9">
        <f t="shared" si="3"/>
        <v>0.42236024844720516</v>
      </c>
    </row>
    <row r="16" spans="1:15" x14ac:dyDescent="0.25">
      <c r="A16" t="str">
        <f>TEXT("1/"&amp;data!A16,"mmmm")</f>
        <v>janvier</v>
      </c>
      <c r="B16">
        <f>data!B16</f>
        <v>2016</v>
      </c>
      <c r="C16" t="str">
        <f>data!C16</f>
        <v>002</v>
      </c>
      <c r="D16" t="str">
        <f>data!D16</f>
        <v>CAVE DE GALLICIAN</v>
      </c>
      <c r="E16" t="str">
        <f>data!E16</f>
        <v>002011</v>
      </c>
      <c r="F16" t="str">
        <f>data!F16</f>
        <v>AC C DE NIMES C. GALLICIAN</v>
      </c>
      <c r="G16" s="10">
        <f>data!G16</f>
        <v>2831.5</v>
      </c>
      <c r="H16" s="10">
        <f>data!I16</f>
        <v>2826</v>
      </c>
      <c r="I16" s="10">
        <f t="shared" si="0"/>
        <v>5.5</v>
      </c>
      <c r="J16" s="11">
        <f>data!H16</f>
        <v>2332.75</v>
      </c>
      <c r="K16" s="11">
        <f>data!J16</f>
        <v>2399.4</v>
      </c>
      <c r="L16" s="11">
        <f t="shared" si="1"/>
        <v>-66.650000000000091</v>
      </c>
      <c r="M16" s="9">
        <f t="shared" si="2"/>
        <v>1.94621372965322E-3</v>
      </c>
      <c r="N16" s="9">
        <f t="shared" si="3"/>
        <v>-2.7777777777777814E-2</v>
      </c>
    </row>
    <row r="17" spans="1:14" x14ac:dyDescent="0.25">
      <c r="A17" t="str">
        <f>TEXT("1/"&amp;data!A17,"mmmm")</f>
        <v>janvier</v>
      </c>
      <c r="B17">
        <f>data!B17</f>
        <v>2016</v>
      </c>
      <c r="C17" t="str">
        <f>data!C17</f>
        <v>002</v>
      </c>
      <c r="D17" t="str">
        <f>data!D17</f>
        <v>CAVE DE GALLICIAN</v>
      </c>
      <c r="E17" t="str">
        <f>data!E17</f>
        <v>002015</v>
      </c>
      <c r="F17" t="str">
        <f>data!F17</f>
        <v>AC C DE NIMES C. GALLICIAN</v>
      </c>
      <c r="G17" s="10">
        <f>data!G17</f>
        <v>1472.38</v>
      </c>
      <c r="H17" s="10">
        <f>data!I17</f>
        <v>1208.9000000000001</v>
      </c>
      <c r="I17" s="10">
        <f t="shared" si="0"/>
        <v>263.48</v>
      </c>
      <c r="J17" s="11">
        <f>data!H17</f>
        <v>1213.03</v>
      </c>
      <c r="K17" s="11">
        <f>data!J17</f>
        <v>1026.4100000000001</v>
      </c>
      <c r="L17" s="11">
        <f t="shared" si="1"/>
        <v>186.61999999999989</v>
      </c>
      <c r="M17" s="9">
        <f t="shared" si="2"/>
        <v>0.21795020266357845</v>
      </c>
      <c r="N17" s="9">
        <f t="shared" si="3"/>
        <v>0.18181818181818168</v>
      </c>
    </row>
    <row r="18" spans="1:14" x14ac:dyDescent="0.25">
      <c r="A18" t="str">
        <f>TEXT("1/"&amp;data!A18,"mmmm")</f>
        <v>janvier</v>
      </c>
      <c r="B18">
        <f>data!B18</f>
        <v>2016</v>
      </c>
      <c r="C18" t="str">
        <f>data!C18</f>
        <v>002</v>
      </c>
      <c r="D18" t="str">
        <f>data!D18</f>
        <v>CAVE DE GALLICIAN</v>
      </c>
      <c r="E18" t="str">
        <f>data!E18</f>
        <v>002016</v>
      </c>
      <c r="F18" t="str">
        <f>data!F18</f>
        <v>AC C DE NIMES C. GALLICIAN</v>
      </c>
      <c r="G18" s="10">
        <f>data!G18</f>
        <v>1480.04</v>
      </c>
      <c r="H18" s="10">
        <f>data!I18</f>
        <v>1152.8</v>
      </c>
      <c r="I18" s="10">
        <f t="shared" si="0"/>
        <v>327.24</v>
      </c>
      <c r="J18" s="11">
        <f>data!H18</f>
        <v>1087.21</v>
      </c>
      <c r="K18" s="11">
        <f>data!J18</f>
        <v>887.11</v>
      </c>
      <c r="L18" s="11">
        <f t="shared" si="1"/>
        <v>200.10000000000002</v>
      </c>
      <c r="M18" s="9">
        <f t="shared" si="2"/>
        <v>0.28386537126995143</v>
      </c>
      <c r="N18" s="9">
        <f t="shared" si="3"/>
        <v>0.22556390977443611</v>
      </c>
    </row>
    <row r="19" spans="1:14" x14ac:dyDescent="0.25">
      <c r="A19" t="str">
        <f>TEXT("1/"&amp;data!A19,"mmmm")</f>
        <v>janvier</v>
      </c>
      <c r="B19">
        <f>data!B19</f>
        <v>2016</v>
      </c>
      <c r="C19" t="str">
        <f>data!C19</f>
        <v>002</v>
      </c>
      <c r="D19" t="str">
        <f>data!D19</f>
        <v>CAVE DE GALLICIAN</v>
      </c>
      <c r="E19" t="str">
        <f>data!E19</f>
        <v>002017</v>
      </c>
      <c r="F19" t="str">
        <f>data!F19</f>
        <v>VDP GARD C. GALLICIAN</v>
      </c>
      <c r="G19" s="10">
        <f>data!G19</f>
        <v>6219.2</v>
      </c>
      <c r="H19" s="10">
        <f>data!I19</f>
        <v>3266</v>
      </c>
      <c r="I19" s="10">
        <f t="shared" si="0"/>
        <v>2953.2</v>
      </c>
      <c r="J19" s="11">
        <f>data!H19</f>
        <v>6944.93</v>
      </c>
      <c r="K19" s="11">
        <f>data!J19</f>
        <v>3812.38</v>
      </c>
      <c r="L19" s="11">
        <f t="shared" si="1"/>
        <v>3132.55</v>
      </c>
      <c r="M19" s="9">
        <f t="shared" si="2"/>
        <v>0.90422535211267596</v>
      </c>
      <c r="N19" s="9">
        <f t="shared" si="3"/>
        <v>0.82167832167832167</v>
      </c>
    </row>
    <row r="20" spans="1:14" x14ac:dyDescent="0.25">
      <c r="A20" t="str">
        <f>TEXT("1/"&amp;data!A20,"mmmm")</f>
        <v>janvier</v>
      </c>
      <c r="B20">
        <f>data!B20</f>
        <v>2016</v>
      </c>
      <c r="C20" t="str">
        <f>data!C20</f>
        <v>002</v>
      </c>
      <c r="D20" t="str">
        <f>data!D20</f>
        <v>CAVE DE GALLICIAN</v>
      </c>
      <c r="E20" t="str">
        <f>data!E20</f>
        <v>002018</v>
      </c>
      <c r="F20" t="str">
        <f>data!F20</f>
        <v>VDP GARD C. GALLICIAN</v>
      </c>
      <c r="G20" s="10">
        <f>data!G20</f>
        <v>1653</v>
      </c>
      <c r="H20" s="10">
        <f>data!I20</f>
        <v>1668</v>
      </c>
      <c r="I20" s="10">
        <f t="shared" si="0"/>
        <v>-15</v>
      </c>
      <c r="J20" s="11">
        <f>data!H20</f>
        <v>1527.43</v>
      </c>
      <c r="K20" s="11">
        <f>data!J20</f>
        <v>1614.1399999999999</v>
      </c>
      <c r="L20" s="11">
        <f t="shared" si="1"/>
        <v>-86.709999999999809</v>
      </c>
      <c r="M20" s="9">
        <f t="shared" si="2"/>
        <v>-8.9928057553956831E-3</v>
      </c>
      <c r="N20" s="9">
        <f t="shared" si="3"/>
        <v>-5.3719008264462693E-2</v>
      </c>
    </row>
    <row r="21" spans="1:14" x14ac:dyDescent="0.25">
      <c r="A21" t="str">
        <f>TEXT("1/"&amp;data!A21,"mmmm")</f>
        <v>janvier</v>
      </c>
      <c r="B21">
        <f>data!B21</f>
        <v>2016</v>
      </c>
      <c r="C21" t="str">
        <f>data!C21</f>
        <v>002</v>
      </c>
      <c r="D21" t="str">
        <f>data!D21</f>
        <v>CAVE DE GALLICIAN</v>
      </c>
      <c r="E21" t="str">
        <f>data!E21</f>
        <v>002020</v>
      </c>
      <c r="F21" t="str">
        <f>data!F21</f>
        <v>AC C DE NIMES C DES LAUNES</v>
      </c>
      <c r="G21" s="10">
        <f>data!G21</f>
        <v>2448</v>
      </c>
      <c r="H21" s="10">
        <f>data!I21</f>
        <v>1894.3</v>
      </c>
      <c r="I21" s="10">
        <f t="shared" si="0"/>
        <v>553.70000000000005</v>
      </c>
      <c r="J21" s="11">
        <f>data!H21</f>
        <v>1032</v>
      </c>
      <c r="K21" s="11">
        <f>data!J21</f>
        <v>840</v>
      </c>
      <c r="L21" s="11">
        <f t="shared" si="1"/>
        <v>192</v>
      </c>
      <c r="M21" s="9">
        <f t="shared" si="2"/>
        <v>0.29229794647099194</v>
      </c>
      <c r="N21" s="9">
        <f t="shared" si="3"/>
        <v>0.22857142857142856</v>
      </c>
    </row>
    <row r="22" spans="1:14" x14ac:dyDescent="0.25">
      <c r="A22" t="str">
        <f>TEXT("1/"&amp;data!A22,"mmmm")</f>
        <v>janvier</v>
      </c>
      <c r="B22">
        <f>data!B22</f>
        <v>2016</v>
      </c>
      <c r="C22" t="str">
        <f>data!C22</f>
        <v>002</v>
      </c>
      <c r="D22" t="str">
        <f>data!D22</f>
        <v>CAVE DE GALLICIAN</v>
      </c>
      <c r="E22" t="str">
        <f>data!E22</f>
        <v>002021</v>
      </c>
      <c r="F22" t="str">
        <f>data!F22</f>
        <v>AC COSTIERES DE NIMES CUVEE PRESTIGE</v>
      </c>
      <c r="G22" s="10">
        <f>data!G22</f>
        <v>43.68</v>
      </c>
      <c r="H22" s="10">
        <f>data!I22</f>
        <v>0</v>
      </c>
      <c r="I22" s="10">
        <f t="shared" si="0"/>
        <v>43.68</v>
      </c>
      <c r="J22" s="11">
        <f>data!H22</f>
        <v>30</v>
      </c>
      <c r="K22" s="11">
        <f>data!J22</f>
        <v>0</v>
      </c>
      <c r="L22" s="11">
        <f t="shared" si="1"/>
        <v>30</v>
      </c>
      <c r="M22" s="9" t="str">
        <f t="shared" si="2"/>
        <v/>
      </c>
      <c r="N22" s="9" t="str">
        <f t="shared" si="3"/>
        <v/>
      </c>
    </row>
    <row r="23" spans="1:14" x14ac:dyDescent="0.25">
      <c r="A23" t="str">
        <f>TEXT("1/"&amp;data!A23,"mmmm")</f>
        <v>janvier</v>
      </c>
      <c r="B23">
        <f>data!B23</f>
        <v>2016</v>
      </c>
      <c r="C23" t="str">
        <f>data!C23</f>
        <v>002</v>
      </c>
      <c r="D23" t="str">
        <f>data!D23</f>
        <v>CAVE DE GALLICIAN</v>
      </c>
      <c r="E23" t="str">
        <f>data!E23</f>
        <v>002023</v>
      </c>
      <c r="F23" t="str">
        <f>data!F23</f>
        <v>AC COSTIERES DE NIMES LES COMBES DE MEZIERES</v>
      </c>
      <c r="G23" s="10">
        <f>data!G23</f>
        <v>99.36</v>
      </c>
      <c r="H23" s="10">
        <f>data!I23</f>
        <v>0</v>
      </c>
      <c r="I23" s="10">
        <f t="shared" si="0"/>
        <v>99.36</v>
      </c>
      <c r="J23" s="11">
        <f>data!H23</f>
        <v>42</v>
      </c>
      <c r="K23" s="11">
        <f>data!J23</f>
        <v>6</v>
      </c>
      <c r="L23" s="11">
        <f t="shared" si="1"/>
        <v>36</v>
      </c>
      <c r="M23" s="9" t="str">
        <f t="shared" si="2"/>
        <v/>
      </c>
      <c r="N23" s="9">
        <f t="shared" si="3"/>
        <v>6</v>
      </c>
    </row>
    <row r="24" spans="1:14" x14ac:dyDescent="0.25">
      <c r="A24" t="str">
        <f>TEXT("1/"&amp;data!A24,"mmmm")</f>
        <v>janvier</v>
      </c>
      <c r="B24">
        <f>data!B24</f>
        <v>2016</v>
      </c>
      <c r="C24" t="str">
        <f>data!C24</f>
        <v>002</v>
      </c>
      <c r="D24" t="str">
        <f>data!D24</f>
        <v>CAVE DE GALLICIAN</v>
      </c>
      <c r="E24" t="str">
        <f>data!E24</f>
        <v>002024</v>
      </c>
      <c r="F24" t="str">
        <f>data!F24</f>
        <v>IGP MERLOT D'OC Cave Gallician</v>
      </c>
      <c r="G24" s="10">
        <f>data!G24</f>
        <v>60</v>
      </c>
      <c r="H24" s="10">
        <f>data!I24</f>
        <v>0</v>
      </c>
      <c r="I24" s="10">
        <f t="shared" si="0"/>
        <v>60</v>
      </c>
      <c r="J24" s="11">
        <f>data!H24</f>
        <v>36</v>
      </c>
      <c r="K24" s="11">
        <f>data!J24</f>
        <v>0</v>
      </c>
      <c r="L24" s="11">
        <f t="shared" si="1"/>
        <v>36</v>
      </c>
      <c r="M24" s="9" t="str">
        <f t="shared" si="2"/>
        <v/>
      </c>
      <c r="N24" s="9" t="str">
        <f t="shared" si="3"/>
        <v/>
      </c>
    </row>
    <row r="25" spans="1:14" x14ac:dyDescent="0.25">
      <c r="A25" t="str">
        <f>TEXT("1/"&amp;data!A25,"mmmm")</f>
        <v>janvier</v>
      </c>
      <c r="B25">
        <f>data!B25</f>
        <v>2016</v>
      </c>
      <c r="C25" t="str">
        <f>data!C25</f>
        <v>002</v>
      </c>
      <c r="D25" t="str">
        <f>data!D25</f>
        <v>CAVE DE GALLICIAN</v>
      </c>
      <c r="E25" t="str">
        <f>data!E25</f>
        <v>002025</v>
      </c>
      <c r="F25" t="str">
        <f>data!F25</f>
        <v>AC COSTIERES DE NIMES CUVEE PRESTIGE</v>
      </c>
      <c r="G25" s="10">
        <f>data!G25</f>
        <v>170.82</v>
      </c>
      <c r="H25" s="10">
        <f>data!I25</f>
        <v>63.6</v>
      </c>
      <c r="I25" s="10">
        <f t="shared" si="0"/>
        <v>107.22</v>
      </c>
      <c r="J25" s="11">
        <f>data!H25</f>
        <v>78</v>
      </c>
      <c r="K25" s="11">
        <f>data!J25</f>
        <v>30</v>
      </c>
      <c r="L25" s="11">
        <f t="shared" si="1"/>
        <v>48</v>
      </c>
      <c r="M25" s="9">
        <f t="shared" si="2"/>
        <v>1.6858490566037736</v>
      </c>
      <c r="N25" s="9">
        <f t="shared" si="3"/>
        <v>1.6</v>
      </c>
    </row>
    <row r="26" spans="1:14" x14ac:dyDescent="0.25">
      <c r="A26" t="str">
        <f>TEXT("1/"&amp;data!A26,"mmmm")</f>
        <v>janvier</v>
      </c>
      <c r="B26">
        <f>data!B26</f>
        <v>2016</v>
      </c>
      <c r="C26" t="str">
        <f>data!C26</f>
        <v>002</v>
      </c>
      <c r="D26" t="str">
        <f>data!D26</f>
        <v>CAVE DE GALLICIAN</v>
      </c>
      <c r="E26" t="str">
        <f>data!E26</f>
        <v>002026</v>
      </c>
      <c r="F26" t="str">
        <f>data!F26</f>
        <v>IGP GARD GRES D'OR</v>
      </c>
      <c r="G26" s="10">
        <f>data!G26</f>
        <v>245.4</v>
      </c>
      <c r="H26" s="10">
        <f>data!I26</f>
        <v>143.28</v>
      </c>
      <c r="I26" s="10">
        <f t="shared" si="0"/>
        <v>102.12</v>
      </c>
      <c r="J26" s="11">
        <f>data!H26</f>
        <v>120</v>
      </c>
      <c r="K26" s="11">
        <f>data!J26</f>
        <v>72</v>
      </c>
      <c r="L26" s="11">
        <f t="shared" si="1"/>
        <v>48</v>
      </c>
      <c r="M26" s="9">
        <f t="shared" si="2"/>
        <v>0.71273031825795652</v>
      </c>
      <c r="N26" s="9">
        <f t="shared" si="3"/>
        <v>0.66666666666666663</v>
      </c>
    </row>
    <row r="27" spans="1:14" x14ac:dyDescent="0.25">
      <c r="A27" t="str">
        <f>TEXT("1/"&amp;data!A27,"mmmm")</f>
        <v>janvier</v>
      </c>
      <c r="B27">
        <f>data!B27</f>
        <v>2016</v>
      </c>
      <c r="C27" t="str">
        <f>data!C27</f>
        <v>002</v>
      </c>
      <c r="D27" t="str">
        <f>data!D27</f>
        <v>CAVE DE GALLICIAN</v>
      </c>
      <c r="E27" t="str">
        <f>data!E27</f>
        <v>002027</v>
      </c>
      <c r="F27" t="str">
        <f>data!F27</f>
        <v>IGP D'OC  GRIS DES LAUNES  GALLICIAN</v>
      </c>
      <c r="G27" s="10">
        <f>data!G27</f>
        <v>332.2</v>
      </c>
      <c r="H27" s="10">
        <f>data!I27</f>
        <v>133.19999999999999</v>
      </c>
      <c r="I27" s="10">
        <f t="shared" si="0"/>
        <v>199</v>
      </c>
      <c r="J27" s="11">
        <f>data!H27</f>
        <v>186</v>
      </c>
      <c r="K27" s="11">
        <f>data!J27</f>
        <v>72</v>
      </c>
      <c r="L27" s="11">
        <f t="shared" si="1"/>
        <v>114</v>
      </c>
      <c r="M27" s="9">
        <f t="shared" si="2"/>
        <v>1.4939939939939941</v>
      </c>
      <c r="N27" s="9">
        <f t="shared" si="3"/>
        <v>1.5833333333333333</v>
      </c>
    </row>
    <row r="28" spans="1:14" x14ac:dyDescent="0.25">
      <c r="A28" t="str">
        <f>TEXT("1/"&amp;data!A28,"mmmm")</f>
        <v>janvier</v>
      </c>
      <c r="B28">
        <f>data!B28</f>
        <v>2016</v>
      </c>
      <c r="C28" t="str">
        <f>data!C28</f>
        <v>002</v>
      </c>
      <c r="D28" t="str">
        <f>data!D28</f>
        <v>CAVE DE GALLICIAN</v>
      </c>
      <c r="E28" t="str">
        <f>data!E28</f>
        <v>002033</v>
      </c>
      <c r="F28" t="str">
        <f>data!F28</f>
        <v>AOP COSTIERES DE NIMES</v>
      </c>
      <c r="G28" s="10">
        <f>data!G28</f>
        <v>18.690000000000001</v>
      </c>
      <c r="H28" s="10">
        <f>data!I28</f>
        <v>0</v>
      </c>
      <c r="I28" s="10">
        <f t="shared" si="0"/>
        <v>18.690000000000001</v>
      </c>
      <c r="J28" s="11">
        <f>data!H28</f>
        <v>12</v>
      </c>
      <c r="K28" s="11">
        <f>data!J28</f>
        <v>0</v>
      </c>
      <c r="L28" s="11">
        <f t="shared" si="1"/>
        <v>12</v>
      </c>
      <c r="M28" s="9" t="str">
        <f t="shared" si="2"/>
        <v/>
      </c>
      <c r="N28" s="9" t="str">
        <f t="shared" si="3"/>
        <v/>
      </c>
    </row>
    <row r="29" spans="1:14" x14ac:dyDescent="0.25">
      <c r="A29" t="str">
        <f>TEXT("1/"&amp;data!A29,"mmmm")</f>
        <v>janvier</v>
      </c>
      <c r="B29">
        <f>data!B29</f>
        <v>2016</v>
      </c>
      <c r="C29" t="str">
        <f>data!C29</f>
        <v>002</v>
      </c>
      <c r="D29" t="str">
        <f>data!D29</f>
        <v>CAVE DE GALLICIAN</v>
      </c>
      <c r="E29" t="str">
        <f>data!E29</f>
        <v>002034</v>
      </c>
      <c r="F29" t="str">
        <f>data!F29</f>
        <v>AOP COSTIERES DE NIMES</v>
      </c>
      <c r="G29" s="10">
        <f>data!G29</f>
        <v>31.15</v>
      </c>
      <c r="H29" s="10">
        <f>data!I29</f>
        <v>0</v>
      </c>
      <c r="I29" s="10">
        <f t="shared" si="0"/>
        <v>31.15</v>
      </c>
      <c r="J29" s="11">
        <f>data!H29</f>
        <v>20</v>
      </c>
      <c r="K29" s="11">
        <f>data!J29</f>
        <v>0</v>
      </c>
      <c r="L29" s="11">
        <f t="shared" si="1"/>
        <v>20</v>
      </c>
      <c r="M29" s="9" t="str">
        <f t="shared" si="2"/>
        <v/>
      </c>
      <c r="N29" s="9" t="str">
        <f t="shared" si="3"/>
        <v/>
      </c>
    </row>
    <row r="30" spans="1:14" x14ac:dyDescent="0.25">
      <c r="A30" t="str">
        <f>TEXT("1/"&amp;data!A30,"mmmm")</f>
        <v>janvier</v>
      </c>
      <c r="B30">
        <f>data!B30</f>
        <v>2016</v>
      </c>
      <c r="C30" t="str">
        <f>data!C30</f>
        <v>002</v>
      </c>
      <c r="D30" t="str">
        <f>data!D30</f>
        <v>CAVE DE GALLICIAN</v>
      </c>
      <c r="E30" t="str">
        <f>data!E30</f>
        <v>002035</v>
      </c>
      <c r="F30" t="str">
        <f>data!F30</f>
        <v>AOP COSTIERES DE NIMES</v>
      </c>
      <c r="G30" s="10">
        <f>data!G30</f>
        <v>31.15</v>
      </c>
      <c r="H30" s="10">
        <f>data!I30</f>
        <v>0</v>
      </c>
      <c r="I30" s="10">
        <f t="shared" si="0"/>
        <v>31.15</v>
      </c>
      <c r="J30" s="11">
        <f>data!H30</f>
        <v>20</v>
      </c>
      <c r="K30" s="11">
        <f>data!J30</f>
        <v>0</v>
      </c>
      <c r="L30" s="11">
        <f t="shared" si="1"/>
        <v>20</v>
      </c>
      <c r="M30" s="9" t="str">
        <f t="shared" si="2"/>
        <v/>
      </c>
      <c r="N30" s="9" t="str">
        <f t="shared" si="3"/>
        <v/>
      </c>
    </row>
    <row r="31" spans="1:14" x14ac:dyDescent="0.25">
      <c r="A31" t="str">
        <f>TEXT("1/"&amp;data!A31,"mmmm")</f>
        <v>janvier</v>
      </c>
      <c r="B31">
        <f>data!B31</f>
        <v>2016</v>
      </c>
      <c r="C31" t="str">
        <f>data!C31</f>
        <v>002</v>
      </c>
      <c r="D31" t="str">
        <f>data!D31</f>
        <v>CAVE DE GALLICIAN</v>
      </c>
      <c r="E31" t="str">
        <f>data!E31</f>
        <v>002040</v>
      </c>
      <c r="F31" t="str">
        <f>data!F31</f>
        <v>AOP COSTIERES DE NIMES PRESTIGE</v>
      </c>
      <c r="G31" s="10">
        <f>data!G31</f>
        <v>144.54</v>
      </c>
      <c r="H31" s="10">
        <f>data!I31</f>
        <v>0</v>
      </c>
      <c r="I31" s="10">
        <f t="shared" si="0"/>
        <v>144.54</v>
      </c>
      <c r="J31" s="11">
        <f>data!H31</f>
        <v>66</v>
      </c>
      <c r="K31" s="11">
        <f>data!J31</f>
        <v>0</v>
      </c>
      <c r="L31" s="11">
        <f t="shared" si="1"/>
        <v>66</v>
      </c>
      <c r="M31" s="9" t="str">
        <f t="shared" si="2"/>
        <v/>
      </c>
      <c r="N31" s="9" t="str">
        <f t="shared" si="3"/>
        <v/>
      </c>
    </row>
    <row r="32" spans="1:14" x14ac:dyDescent="0.25">
      <c r="A32" t="str">
        <f>TEXT("1/"&amp;data!A32,"mmmm")</f>
        <v>janvier</v>
      </c>
      <c r="B32">
        <f>data!B32</f>
        <v>2016</v>
      </c>
      <c r="C32" t="str">
        <f>data!C32</f>
        <v>002</v>
      </c>
      <c r="D32" t="str">
        <f>data!D32</f>
        <v>CAVE DE GALLICIAN</v>
      </c>
      <c r="E32" t="str">
        <f>data!E32</f>
        <v>002100</v>
      </c>
      <c r="F32" t="str">
        <f>data!F32</f>
        <v>VDP DU GARD. LOU GRES D'OR</v>
      </c>
      <c r="G32" s="10">
        <f>data!G32</f>
        <v>415.2</v>
      </c>
      <c r="H32" s="10">
        <f>data!I32</f>
        <v>1215.1199999999999</v>
      </c>
      <c r="I32" s="10">
        <f t="shared" si="0"/>
        <v>-799.91999999999985</v>
      </c>
      <c r="J32" s="11">
        <f>data!H32</f>
        <v>246</v>
      </c>
      <c r="K32" s="11">
        <f>data!J32</f>
        <v>732</v>
      </c>
      <c r="L32" s="11">
        <f t="shared" si="1"/>
        <v>-486</v>
      </c>
      <c r="M32" s="9">
        <f t="shared" si="2"/>
        <v>-0.65830535255777201</v>
      </c>
      <c r="N32" s="9">
        <f t="shared" si="3"/>
        <v>-0.66393442622950816</v>
      </c>
    </row>
    <row r="33" spans="1:14" x14ac:dyDescent="0.25">
      <c r="A33" t="str">
        <f>TEXT("1/"&amp;data!A33,"mmmm")</f>
        <v>janvier</v>
      </c>
      <c r="B33">
        <f>data!B33</f>
        <v>2016</v>
      </c>
      <c r="C33" t="str">
        <f>data!C33</f>
        <v>002</v>
      </c>
      <c r="D33" t="str">
        <f>data!D33</f>
        <v>CAVE DE GALLICIAN</v>
      </c>
      <c r="E33" t="str">
        <f>data!E33</f>
        <v>002101</v>
      </c>
      <c r="F33" t="str">
        <f>data!F33</f>
        <v>IGP DU GARD LOU GRES D'OR</v>
      </c>
      <c r="G33" s="10">
        <f>data!G33</f>
        <v>269.88</v>
      </c>
      <c r="H33" s="10">
        <f>data!I33</f>
        <v>1115.52</v>
      </c>
      <c r="I33" s="10">
        <f t="shared" si="0"/>
        <v>-845.64</v>
      </c>
      <c r="J33" s="11">
        <f>data!H33</f>
        <v>156</v>
      </c>
      <c r="K33" s="11">
        <f>data!J33</f>
        <v>672</v>
      </c>
      <c r="L33" s="11">
        <f t="shared" si="1"/>
        <v>-516</v>
      </c>
      <c r="M33" s="9">
        <f t="shared" si="2"/>
        <v>-0.75806798623063687</v>
      </c>
      <c r="N33" s="9">
        <f t="shared" si="3"/>
        <v>-0.7678571428571429</v>
      </c>
    </row>
    <row r="34" spans="1:14" x14ac:dyDescent="0.25">
      <c r="A34" t="str">
        <f>TEXT("1/"&amp;data!A34,"mmmm")</f>
        <v>janvier</v>
      </c>
      <c r="B34">
        <f>data!B34</f>
        <v>2016</v>
      </c>
      <c r="C34" t="str">
        <f>data!C34</f>
        <v>002</v>
      </c>
      <c r="D34" t="str">
        <f>data!D34</f>
        <v>CAVE DE GALLICIAN</v>
      </c>
      <c r="E34" t="str">
        <f>data!E34</f>
        <v>002102</v>
      </c>
      <c r="F34" t="str">
        <f>data!F34</f>
        <v>VDP GARD LOU GRES D'OR</v>
      </c>
      <c r="G34" s="10">
        <f>data!G34</f>
        <v>0</v>
      </c>
      <c r="H34" s="10">
        <f>data!I34</f>
        <v>164.16</v>
      </c>
      <c r="I34" s="10">
        <f t="shared" si="0"/>
        <v>-164.16</v>
      </c>
      <c r="J34" s="11">
        <f>data!H34</f>
        <v>6</v>
      </c>
      <c r="K34" s="11">
        <f>data!J34</f>
        <v>96</v>
      </c>
      <c r="L34" s="11">
        <f t="shared" si="1"/>
        <v>-90</v>
      </c>
      <c r="M34" s="9">
        <f t="shared" si="2"/>
        <v>-1</v>
      </c>
      <c r="N34" s="9">
        <f t="shared" si="3"/>
        <v>-0.9375</v>
      </c>
    </row>
    <row r="35" spans="1:14" x14ac:dyDescent="0.25">
      <c r="A35" t="str">
        <f>TEXT("1/"&amp;data!A35,"mmmm")</f>
        <v>janvier</v>
      </c>
      <c r="B35">
        <f>data!B35</f>
        <v>2016</v>
      </c>
      <c r="C35" t="str">
        <f>data!C35</f>
        <v>002</v>
      </c>
      <c r="D35" t="str">
        <f>data!D35</f>
        <v>CAVE DE GALLICIAN</v>
      </c>
      <c r="E35" t="str">
        <f>data!E35</f>
        <v>002900</v>
      </c>
      <c r="F35" t="str">
        <f>data!F35</f>
        <v>VDT CUVEE PRINCIE étiq perso scaeL</v>
      </c>
      <c r="G35" s="10">
        <f>data!G35</f>
        <v>1462.5</v>
      </c>
      <c r="H35" s="10">
        <f>data!I35</f>
        <v>877.5</v>
      </c>
      <c r="I35" s="10">
        <f t="shared" si="0"/>
        <v>585</v>
      </c>
      <c r="J35" s="11">
        <f>data!H35</f>
        <v>2000.2500000000002</v>
      </c>
      <c r="K35" s="11">
        <f>data!J35</f>
        <v>1200.1500000000001</v>
      </c>
      <c r="L35" s="11">
        <f t="shared" si="1"/>
        <v>800.10000000000014</v>
      </c>
      <c r="M35" s="9">
        <f t="shared" si="2"/>
        <v>0.66666666666666663</v>
      </c>
      <c r="N35" s="9">
        <f t="shared" si="3"/>
        <v>0.66666666666666674</v>
      </c>
    </row>
    <row r="36" spans="1:14" x14ac:dyDescent="0.25">
      <c r="A36" t="str">
        <f>TEXT("1/"&amp;data!A36,"mmmm")</f>
        <v>janvier</v>
      </c>
      <c r="B36">
        <f>data!B36</f>
        <v>2016</v>
      </c>
      <c r="C36" t="str">
        <f>data!C36</f>
        <v>002</v>
      </c>
      <c r="D36" t="str">
        <f>data!D36</f>
        <v>CAVE DE GALLICIAN</v>
      </c>
      <c r="E36" t="str">
        <f>data!E36</f>
        <v>002901</v>
      </c>
      <c r="F36" t="str">
        <f>data!F36</f>
        <v>VDT. CUVEE FIOJOLI étiq perso scaeL</v>
      </c>
      <c r="G36" s="10">
        <f>data!G36</f>
        <v>3022.5</v>
      </c>
      <c r="H36" s="10">
        <f>data!I36</f>
        <v>97.5</v>
      </c>
      <c r="I36" s="10">
        <f t="shared" si="0"/>
        <v>2925</v>
      </c>
      <c r="J36" s="11">
        <f>data!H36</f>
        <v>4133.8500000000004</v>
      </c>
      <c r="K36" s="11">
        <f>data!J36</f>
        <v>133.35000000000002</v>
      </c>
      <c r="L36" s="11">
        <f t="shared" si="1"/>
        <v>4000.5000000000005</v>
      </c>
      <c r="M36" s="9">
        <f t="shared" si="2"/>
        <v>30</v>
      </c>
      <c r="N36" s="9">
        <f t="shared" si="3"/>
        <v>30</v>
      </c>
    </row>
    <row r="37" spans="1:14" x14ac:dyDescent="0.25">
      <c r="A37" t="str">
        <f>TEXT("1/"&amp;data!A37,"mmmm")</f>
        <v>janvier</v>
      </c>
      <c r="B37">
        <f>data!B37</f>
        <v>2016</v>
      </c>
      <c r="C37" t="str">
        <f>data!C37</f>
        <v>002</v>
      </c>
      <c r="D37" t="str">
        <f>data!D37</f>
        <v>CAVE DE GALLICIAN</v>
      </c>
      <c r="E37" t="str">
        <f>data!E37</f>
        <v>002902</v>
      </c>
      <c r="F37" t="str">
        <f>data!F37</f>
        <v>VDT. CUVEE LEON étiq perso scaeL</v>
      </c>
      <c r="G37" s="10">
        <f>data!G37</f>
        <v>311.10000000000002</v>
      </c>
      <c r="H37" s="10">
        <f>data!I37</f>
        <v>933.3</v>
      </c>
      <c r="I37" s="10">
        <f t="shared" si="0"/>
        <v>-622.19999999999993</v>
      </c>
      <c r="J37" s="11">
        <f>data!H37</f>
        <v>400.05</v>
      </c>
      <c r="K37" s="11">
        <f>data!J37</f>
        <v>1733.5500000000002</v>
      </c>
      <c r="L37" s="11">
        <f t="shared" si="1"/>
        <v>-1333.5000000000002</v>
      </c>
      <c r="M37" s="9">
        <f t="shared" si="2"/>
        <v>-0.66666666666666663</v>
      </c>
      <c r="N37" s="9">
        <f t="shared" si="3"/>
        <v>-0.76923076923076927</v>
      </c>
    </row>
    <row r="38" spans="1:14" x14ac:dyDescent="0.25">
      <c r="A38" t="str">
        <f>TEXT("1/"&amp;data!A38,"mmmm")</f>
        <v>janvier</v>
      </c>
      <c r="B38">
        <f>data!B38</f>
        <v>2016</v>
      </c>
      <c r="C38" t="str">
        <f>data!C38</f>
        <v>002</v>
      </c>
      <c r="D38" t="str">
        <f>data!D38</f>
        <v>CAVE DE GALLICIAN</v>
      </c>
      <c r="E38" t="str">
        <f>data!E38</f>
        <v>002903</v>
      </c>
      <c r="F38" t="str">
        <f>data!F38</f>
        <v>VDP MERLOT C. GALLICIAN</v>
      </c>
      <c r="G38" s="10">
        <f>data!G38</f>
        <v>1877.8</v>
      </c>
      <c r="H38" s="10">
        <f>data!I38</f>
        <v>0</v>
      </c>
      <c r="I38" s="10">
        <f t="shared" si="0"/>
        <v>1877.8</v>
      </c>
      <c r="J38" s="11">
        <f>data!H38</f>
        <v>2186.94</v>
      </c>
      <c r="K38" s="11">
        <f>data!J38</f>
        <v>0</v>
      </c>
      <c r="L38" s="11">
        <f t="shared" si="1"/>
        <v>2186.94</v>
      </c>
      <c r="M38" s="9" t="str">
        <f t="shared" si="2"/>
        <v/>
      </c>
      <c r="N38" s="9" t="str">
        <f t="shared" si="3"/>
        <v/>
      </c>
    </row>
    <row r="39" spans="1:14" x14ac:dyDescent="0.25">
      <c r="A39" t="str">
        <f>TEXT("1/"&amp;data!A39,"mmmm")</f>
        <v>janvier</v>
      </c>
      <c r="B39">
        <f>data!B39</f>
        <v>2016</v>
      </c>
      <c r="C39" t="str">
        <f>data!C39</f>
        <v>002</v>
      </c>
      <c r="D39" t="str">
        <f>data!D39</f>
        <v>CAVE DE GALLICIAN</v>
      </c>
      <c r="E39" t="str">
        <f>data!E39</f>
        <v>002905</v>
      </c>
      <c r="F39" t="str">
        <f>data!F39</f>
        <v>VDT. CUVEE FIOJOLI étiq perso scaeL</v>
      </c>
      <c r="G39" s="10">
        <f>data!G39</f>
        <v>162</v>
      </c>
      <c r="H39" s="10">
        <f>data!I39</f>
        <v>378</v>
      </c>
      <c r="I39" s="10">
        <f t="shared" si="0"/>
        <v>-216</v>
      </c>
      <c r="J39" s="11">
        <f>data!H39</f>
        <v>199.95</v>
      </c>
      <c r="K39" s="11">
        <f>data!J39</f>
        <v>466.55</v>
      </c>
      <c r="L39" s="11">
        <f t="shared" si="1"/>
        <v>-266.60000000000002</v>
      </c>
      <c r="M39" s="9">
        <f t="shared" si="2"/>
        <v>-0.5714285714285714</v>
      </c>
      <c r="N39" s="9">
        <f t="shared" si="3"/>
        <v>-0.57142857142857151</v>
      </c>
    </row>
    <row r="40" spans="1:14" x14ac:dyDescent="0.25">
      <c r="A40" t="str">
        <f>TEXT("1/"&amp;data!A40,"mmmm")</f>
        <v>janvier</v>
      </c>
      <c r="B40">
        <f>data!B40</f>
        <v>2016</v>
      </c>
      <c r="C40" t="str">
        <f>data!C40</f>
        <v>007</v>
      </c>
      <c r="D40" t="str">
        <f>data!D40</f>
        <v>DOMAINE ANDRE DUSSOURT</v>
      </c>
      <c r="E40" t="str">
        <f>data!E40</f>
        <v>007002</v>
      </c>
      <c r="F40" t="str">
        <f>data!F40</f>
        <v>AC RIESLING D. DUSSOURT</v>
      </c>
      <c r="G40" s="10">
        <f>data!G40</f>
        <v>98.4</v>
      </c>
      <c r="H40" s="10">
        <f>data!I40</f>
        <v>70.2</v>
      </c>
      <c r="I40" s="10">
        <f t="shared" si="0"/>
        <v>28.200000000000003</v>
      </c>
      <c r="J40" s="11">
        <f>data!H40</f>
        <v>24</v>
      </c>
      <c r="K40" s="11">
        <f>data!J40</f>
        <v>18</v>
      </c>
      <c r="L40" s="11">
        <f t="shared" si="1"/>
        <v>6</v>
      </c>
      <c r="M40" s="9">
        <f t="shared" si="2"/>
        <v>0.40170940170940173</v>
      </c>
      <c r="N40" s="9">
        <f t="shared" si="3"/>
        <v>0.33333333333333331</v>
      </c>
    </row>
    <row r="41" spans="1:14" x14ac:dyDescent="0.25">
      <c r="A41" t="str">
        <f>TEXT("1/"&amp;data!A41,"mmmm")</f>
        <v>janvier</v>
      </c>
      <c r="B41">
        <f>data!B41</f>
        <v>2016</v>
      </c>
      <c r="C41" t="str">
        <f>data!C41</f>
        <v>007</v>
      </c>
      <c r="D41" t="str">
        <f>data!D41</f>
        <v>DOMAINE ANDRE DUSSOURT</v>
      </c>
      <c r="E41" t="str">
        <f>data!E41</f>
        <v>007003</v>
      </c>
      <c r="F41" t="str">
        <f>data!F41</f>
        <v>AC PINOT GRIS D. DUSSOURT</v>
      </c>
      <c r="G41" s="10">
        <f>data!G41</f>
        <v>31.2</v>
      </c>
      <c r="H41" s="10">
        <f>data!I41</f>
        <v>0</v>
      </c>
      <c r="I41" s="10">
        <f t="shared" si="0"/>
        <v>31.2</v>
      </c>
      <c r="J41" s="11">
        <f>data!H41</f>
        <v>6</v>
      </c>
      <c r="K41" s="11">
        <f>data!J41</f>
        <v>0</v>
      </c>
      <c r="L41" s="11">
        <f t="shared" si="1"/>
        <v>6</v>
      </c>
      <c r="M41" s="9" t="str">
        <f t="shared" si="2"/>
        <v/>
      </c>
      <c r="N41" s="9" t="str">
        <f t="shared" si="3"/>
        <v/>
      </c>
    </row>
    <row r="42" spans="1:14" x14ac:dyDescent="0.25">
      <c r="A42" t="str">
        <f>TEXT("1/"&amp;data!A42,"mmmm")</f>
        <v>janvier</v>
      </c>
      <c r="B42">
        <f>data!B42</f>
        <v>2016</v>
      </c>
      <c r="C42" t="str">
        <f>data!C42</f>
        <v>007</v>
      </c>
      <c r="D42" t="str">
        <f>data!D42</f>
        <v>DOMAINE ANDRE DUSSOURT</v>
      </c>
      <c r="E42" t="str">
        <f>data!E42</f>
        <v>007004</v>
      </c>
      <c r="F42" t="str">
        <f>data!F42</f>
        <v>AC GEWURZTRAMINER D. DUSSOURT</v>
      </c>
      <c r="G42" s="10">
        <f>data!G42</f>
        <v>121.5</v>
      </c>
      <c r="H42" s="10">
        <f>data!I42</f>
        <v>0</v>
      </c>
      <c r="I42" s="10">
        <f t="shared" si="0"/>
        <v>121.5</v>
      </c>
      <c r="J42" s="11">
        <f>data!H42</f>
        <v>18</v>
      </c>
      <c r="K42" s="11">
        <f>data!J42</f>
        <v>0</v>
      </c>
      <c r="L42" s="11">
        <f t="shared" si="1"/>
        <v>18</v>
      </c>
      <c r="M42" s="9" t="str">
        <f t="shared" si="2"/>
        <v/>
      </c>
      <c r="N42" s="9" t="str">
        <f t="shared" si="3"/>
        <v/>
      </c>
    </row>
    <row r="43" spans="1:14" x14ac:dyDescent="0.25">
      <c r="A43" t="str">
        <f>TEXT("1/"&amp;data!A43,"mmmm")</f>
        <v>janvier</v>
      </c>
      <c r="B43">
        <f>data!B43</f>
        <v>2016</v>
      </c>
      <c r="C43" t="str">
        <f>data!C43</f>
        <v>007</v>
      </c>
      <c r="D43" t="str">
        <f>data!D43</f>
        <v>DOMAINE ANDRE DUSSOURT</v>
      </c>
      <c r="E43" t="str">
        <f>data!E43</f>
        <v>007005</v>
      </c>
      <c r="F43" t="str">
        <f>data!F43</f>
        <v>AC CREMANT D'ALSACE RIESLING M.TRAD</v>
      </c>
      <c r="G43" s="10">
        <f>data!G43</f>
        <v>73.8</v>
      </c>
      <c r="H43" s="10">
        <f>data!I43</f>
        <v>36</v>
      </c>
      <c r="I43" s="10">
        <f t="shared" si="0"/>
        <v>37.799999999999997</v>
      </c>
      <c r="J43" s="11">
        <f>data!H43</f>
        <v>12</v>
      </c>
      <c r="K43" s="11">
        <f>data!J43</f>
        <v>6</v>
      </c>
      <c r="L43" s="11">
        <f t="shared" si="1"/>
        <v>6</v>
      </c>
      <c r="M43" s="9">
        <f t="shared" si="2"/>
        <v>1.0499999999999998</v>
      </c>
      <c r="N43" s="9">
        <f t="shared" si="3"/>
        <v>1</v>
      </c>
    </row>
    <row r="44" spans="1:14" x14ac:dyDescent="0.25">
      <c r="A44" t="str">
        <f>TEXT("1/"&amp;data!A44,"mmmm")</f>
        <v>janvier</v>
      </c>
      <c r="B44">
        <f>data!B44</f>
        <v>2016</v>
      </c>
      <c r="C44" t="str">
        <f>data!C44</f>
        <v>007</v>
      </c>
      <c r="D44" t="str">
        <f>data!D44</f>
        <v>DOMAINE ANDRE DUSSOURT</v>
      </c>
      <c r="E44" t="str">
        <f>data!E44</f>
        <v>007006</v>
      </c>
      <c r="F44" t="str">
        <f>data!F44</f>
        <v>AC PINOT NOIR D. DUSSOURT</v>
      </c>
      <c r="G44" s="10">
        <f>data!G44</f>
        <v>70.8</v>
      </c>
      <c r="H44" s="10">
        <f>data!I44</f>
        <v>67.2</v>
      </c>
      <c r="I44" s="10">
        <f t="shared" si="0"/>
        <v>3.5999999999999943</v>
      </c>
      <c r="J44" s="11">
        <f>data!H44</f>
        <v>12</v>
      </c>
      <c r="K44" s="11">
        <f>data!J44</f>
        <v>12</v>
      </c>
      <c r="L44" s="11">
        <f t="shared" si="1"/>
        <v>0</v>
      </c>
      <c r="M44" s="9">
        <f t="shared" si="2"/>
        <v>5.3571428571428485E-2</v>
      </c>
      <c r="N44" s="9">
        <f t="shared" si="3"/>
        <v>0</v>
      </c>
    </row>
    <row r="45" spans="1:14" x14ac:dyDescent="0.25">
      <c r="A45" t="str">
        <f>TEXT("1/"&amp;data!A45,"mmmm")</f>
        <v>janvier</v>
      </c>
      <c r="B45">
        <f>data!B45</f>
        <v>2016</v>
      </c>
      <c r="C45" t="str">
        <f>data!C45</f>
        <v>010</v>
      </c>
      <c r="D45" t="str">
        <f>data!D45</f>
        <v>DOMAINE VIGNEAU CHEVRAU</v>
      </c>
      <c r="E45" t="str">
        <f>data!E45</f>
        <v>010001</v>
      </c>
      <c r="F45" t="str">
        <f>data!F45</f>
        <v>AC VOUVRAY SEC.C.SILEX  V.CHEV</v>
      </c>
      <c r="G45" s="10">
        <f>data!G45</f>
        <v>748.8</v>
      </c>
      <c r="H45" s="10">
        <f>data!I45</f>
        <v>441</v>
      </c>
      <c r="I45" s="10">
        <f t="shared" si="0"/>
        <v>307.79999999999995</v>
      </c>
      <c r="J45" s="11">
        <f>data!H45</f>
        <v>144</v>
      </c>
      <c r="K45" s="11">
        <f>data!J45</f>
        <v>90</v>
      </c>
      <c r="L45" s="11">
        <f t="shared" si="1"/>
        <v>54</v>
      </c>
      <c r="M45" s="9">
        <f t="shared" si="2"/>
        <v>0.69795918367346932</v>
      </c>
      <c r="N45" s="9">
        <f t="shared" si="3"/>
        <v>0.6</v>
      </c>
    </row>
    <row r="46" spans="1:14" x14ac:dyDescent="0.25">
      <c r="A46" t="str">
        <f>TEXT("1/"&amp;data!A46,"mmmm")</f>
        <v>janvier</v>
      </c>
      <c r="B46">
        <f>data!B46</f>
        <v>2016</v>
      </c>
      <c r="C46" t="str">
        <f>data!C46</f>
        <v>011</v>
      </c>
      <c r="D46" t="str">
        <f>data!D46</f>
        <v>CAVE GAUTIER</v>
      </c>
      <c r="E46" t="str">
        <f>data!E46</f>
        <v>011001</v>
      </c>
      <c r="F46" t="str">
        <f>data!F46</f>
        <v>AC VOUVRAY METH TRAD BRUT  D.CHATAIGNERAIE</v>
      </c>
      <c r="G46" s="10">
        <f>data!G46</f>
        <v>1891.26</v>
      </c>
      <c r="H46" s="10">
        <f>data!I46</f>
        <v>2250.36</v>
      </c>
      <c r="I46" s="10">
        <f t="shared" si="0"/>
        <v>-359.10000000000014</v>
      </c>
      <c r="J46" s="11">
        <f>data!H46</f>
        <v>468</v>
      </c>
      <c r="K46" s="11">
        <f>data!J46</f>
        <v>564</v>
      </c>
      <c r="L46" s="11">
        <f t="shared" si="1"/>
        <v>-96</v>
      </c>
      <c r="M46" s="9">
        <f t="shared" si="2"/>
        <v>-0.15957446808510645</v>
      </c>
      <c r="N46" s="9">
        <f t="shared" si="3"/>
        <v>-0.1702127659574468</v>
      </c>
    </row>
    <row r="47" spans="1:14" x14ac:dyDescent="0.25">
      <c r="A47" t="str">
        <f>TEXT("1/"&amp;data!A47,"mmmm")</f>
        <v>janvier</v>
      </c>
      <c r="B47">
        <f>data!B47</f>
        <v>2016</v>
      </c>
      <c r="C47" t="str">
        <f>data!C47</f>
        <v>011</v>
      </c>
      <c r="D47" t="str">
        <f>data!D47</f>
        <v>CAVE GAUTIER</v>
      </c>
      <c r="E47" t="str">
        <f>data!E47</f>
        <v>011006</v>
      </c>
      <c r="F47" t="str">
        <f>data!F47</f>
        <v>AC VOUVRAY ARGILEX</v>
      </c>
      <c r="G47" s="10">
        <f>data!G47</f>
        <v>80.819999999999993</v>
      </c>
      <c r="H47" s="10">
        <f>data!I47</f>
        <v>51.48</v>
      </c>
      <c r="I47" s="10">
        <f t="shared" si="0"/>
        <v>29.339999999999996</v>
      </c>
      <c r="J47" s="11">
        <f>data!H47</f>
        <v>24</v>
      </c>
      <c r="K47" s="11">
        <f>data!J47</f>
        <v>12</v>
      </c>
      <c r="L47" s="11">
        <f t="shared" si="1"/>
        <v>12</v>
      </c>
      <c r="M47" s="9">
        <f t="shared" si="2"/>
        <v>0.56993006993006989</v>
      </c>
      <c r="N47" s="9">
        <f t="shared" si="3"/>
        <v>1</v>
      </c>
    </row>
    <row r="48" spans="1:14" x14ac:dyDescent="0.25">
      <c r="A48" t="str">
        <f>TEXT("1/"&amp;data!A48,"mmmm")</f>
        <v>janvier</v>
      </c>
      <c r="B48">
        <f>data!B48</f>
        <v>2016</v>
      </c>
      <c r="C48" t="str">
        <f>data!C48</f>
        <v>019</v>
      </c>
      <c r="D48" t="str">
        <f>data!D48</f>
        <v>VIGNOBLES YON</v>
      </c>
      <c r="E48" t="str">
        <f>data!E48</f>
        <v>019003</v>
      </c>
      <c r="F48" t="str">
        <f>data!F48</f>
        <v>AC BDX SUP. CH LES HAUTS DE PEREY</v>
      </c>
      <c r="G48" s="10">
        <f>data!G48</f>
        <v>2622.48</v>
      </c>
      <c r="H48" s="10">
        <f>data!I48</f>
        <v>7889.16</v>
      </c>
      <c r="I48" s="10">
        <f t="shared" si="0"/>
        <v>-5266.68</v>
      </c>
      <c r="J48" s="11">
        <f>data!H48</f>
        <v>1176</v>
      </c>
      <c r="K48" s="11">
        <f>data!J48</f>
        <v>3762</v>
      </c>
      <c r="L48" s="11">
        <f t="shared" si="1"/>
        <v>-2586</v>
      </c>
      <c r="M48" s="9">
        <f t="shared" si="2"/>
        <v>-0.66758438160716738</v>
      </c>
      <c r="N48" s="9">
        <f t="shared" si="3"/>
        <v>-0.68740031897926634</v>
      </c>
    </row>
    <row r="49" spans="1:14" x14ac:dyDescent="0.25">
      <c r="A49" t="str">
        <f>TEXT("1/"&amp;data!A49,"mmmm")</f>
        <v>janvier</v>
      </c>
      <c r="B49">
        <f>data!B49</f>
        <v>2016</v>
      </c>
      <c r="C49" t="str">
        <f>data!C49</f>
        <v>019</v>
      </c>
      <c r="D49" t="str">
        <f>data!D49</f>
        <v>VIGNOBLES YON</v>
      </c>
      <c r="E49" t="str">
        <f>data!E49</f>
        <v>019008</v>
      </c>
      <c r="F49" t="str">
        <f>data!F49</f>
        <v>AC BDX. CH LES HAUTS DE PEREY</v>
      </c>
      <c r="G49" s="10">
        <f>data!G49</f>
        <v>482.5</v>
      </c>
      <c r="H49" s="10">
        <f>data!I49</f>
        <v>472.5</v>
      </c>
      <c r="I49" s="10">
        <f t="shared" si="0"/>
        <v>10</v>
      </c>
      <c r="J49" s="11">
        <f>data!H49</f>
        <v>333.25</v>
      </c>
      <c r="K49" s="11">
        <f>data!J49</f>
        <v>333.25</v>
      </c>
      <c r="L49" s="11">
        <f t="shared" si="1"/>
        <v>0</v>
      </c>
      <c r="M49" s="9">
        <f t="shared" si="2"/>
        <v>2.1164021164021163E-2</v>
      </c>
      <c r="N49" s="9">
        <f t="shared" si="3"/>
        <v>0</v>
      </c>
    </row>
    <row r="50" spans="1:14" x14ac:dyDescent="0.25">
      <c r="A50" t="str">
        <f>TEXT("1/"&amp;data!A50,"mmmm")</f>
        <v>janvier</v>
      </c>
      <c r="B50">
        <f>data!B50</f>
        <v>2016</v>
      </c>
      <c r="C50" t="str">
        <f>data!C50</f>
        <v>019</v>
      </c>
      <c r="D50" t="str">
        <f>data!D50</f>
        <v>VIGNOBLES YON</v>
      </c>
      <c r="E50" t="str">
        <f>data!E50</f>
        <v>019009</v>
      </c>
      <c r="F50" t="str">
        <f>data!F50</f>
        <v>AC BDX. CH LES HAUTS DE PEREY</v>
      </c>
      <c r="G50" s="10">
        <f>data!G50</f>
        <v>550</v>
      </c>
      <c r="H50" s="10">
        <f>data!I50</f>
        <v>216</v>
      </c>
      <c r="I50" s="10">
        <f t="shared" si="0"/>
        <v>334</v>
      </c>
      <c r="J50" s="11">
        <f>data!H50</f>
        <v>333.5</v>
      </c>
      <c r="K50" s="11">
        <f>data!J50</f>
        <v>133.4</v>
      </c>
      <c r="L50" s="11">
        <f t="shared" si="1"/>
        <v>200.1</v>
      </c>
      <c r="M50" s="9">
        <f t="shared" si="2"/>
        <v>1.5462962962962963</v>
      </c>
      <c r="N50" s="9">
        <f t="shared" si="3"/>
        <v>1.5</v>
      </c>
    </row>
    <row r="51" spans="1:14" x14ac:dyDescent="0.25">
      <c r="A51" t="str">
        <f>TEXT("1/"&amp;data!A51,"mmmm")</f>
        <v>janvier</v>
      </c>
      <c r="B51">
        <f>data!B51</f>
        <v>2016</v>
      </c>
      <c r="C51" t="str">
        <f>data!C51</f>
        <v>019</v>
      </c>
      <c r="D51" t="str">
        <f>data!D51</f>
        <v>VIGNOBLES YON</v>
      </c>
      <c r="E51" t="str">
        <f>data!E51</f>
        <v>019011</v>
      </c>
      <c r="F51" t="str">
        <f>data!F51</f>
        <v>AC BX SUP. CH GAURY-BALETTE</v>
      </c>
      <c r="G51" s="10">
        <f>data!G51</f>
        <v>210.6</v>
      </c>
      <c r="H51" s="10">
        <f>data!I51</f>
        <v>0</v>
      </c>
      <c r="I51" s="10">
        <f t="shared" si="0"/>
        <v>210.6</v>
      </c>
      <c r="J51" s="11">
        <f>data!H51</f>
        <v>78</v>
      </c>
      <c r="K51" s="11">
        <f>data!J51</f>
        <v>0</v>
      </c>
      <c r="L51" s="11">
        <f t="shared" si="1"/>
        <v>78</v>
      </c>
      <c r="M51" s="9" t="str">
        <f t="shared" si="2"/>
        <v/>
      </c>
      <c r="N51" s="9" t="str">
        <f t="shared" si="3"/>
        <v/>
      </c>
    </row>
    <row r="52" spans="1:14" x14ac:dyDescent="0.25">
      <c r="A52" t="str">
        <f>TEXT("1/"&amp;data!A52,"mmmm")</f>
        <v>janvier</v>
      </c>
      <c r="B52">
        <f>data!B52</f>
        <v>2016</v>
      </c>
      <c r="C52" t="str">
        <f>data!C52</f>
        <v>019</v>
      </c>
      <c r="D52" t="str">
        <f>data!D52</f>
        <v>VIGNOBLES YON</v>
      </c>
      <c r="E52" t="str">
        <f>data!E52</f>
        <v>019015</v>
      </c>
      <c r="F52" t="str">
        <f>data!F52</f>
        <v>AC E2MERS. CH GAURY-BALETTE</v>
      </c>
      <c r="G52" s="10">
        <f>data!G52</f>
        <v>148.5</v>
      </c>
      <c r="H52" s="10">
        <f>data!I52</f>
        <v>1393.26</v>
      </c>
      <c r="I52" s="10">
        <f t="shared" si="0"/>
        <v>-1244.76</v>
      </c>
      <c r="J52" s="11">
        <f>data!H52</f>
        <v>66</v>
      </c>
      <c r="K52" s="11">
        <f>data!J52</f>
        <v>642</v>
      </c>
      <c r="L52" s="11">
        <f t="shared" si="1"/>
        <v>-576</v>
      </c>
      <c r="M52" s="9">
        <f t="shared" si="2"/>
        <v>-0.89341544291804831</v>
      </c>
      <c r="N52" s="9">
        <f t="shared" si="3"/>
        <v>-0.89719626168224298</v>
      </c>
    </row>
    <row r="53" spans="1:14" x14ac:dyDescent="0.25">
      <c r="A53" t="str">
        <f>TEXT("1/"&amp;data!A53,"mmmm")</f>
        <v>janvier</v>
      </c>
      <c r="B53">
        <f>data!B53</f>
        <v>2016</v>
      </c>
      <c r="C53" t="str">
        <f>data!C53</f>
        <v>025</v>
      </c>
      <c r="D53" t="str">
        <f>data!D53</f>
        <v>COLLOVRAY &amp; TERRIER</v>
      </c>
      <c r="E53" t="str">
        <f>data!E53</f>
        <v>025001</v>
      </c>
      <c r="F53" t="str">
        <f>data!F53</f>
        <v>AC SAINT VERAN TRAD. COLLOVRAY&amp;TERRIER</v>
      </c>
      <c r="G53" s="10">
        <f>data!G53</f>
        <v>896.28</v>
      </c>
      <c r="H53" s="10">
        <f>data!I53</f>
        <v>979.44</v>
      </c>
      <c r="I53" s="10">
        <f t="shared" si="0"/>
        <v>-83.160000000000082</v>
      </c>
      <c r="J53" s="11">
        <f>data!H53</f>
        <v>132</v>
      </c>
      <c r="K53" s="11">
        <f>data!J53</f>
        <v>168</v>
      </c>
      <c r="L53" s="11">
        <f t="shared" si="1"/>
        <v>-36</v>
      </c>
      <c r="M53" s="9">
        <f t="shared" si="2"/>
        <v>-8.4905660377358569E-2</v>
      </c>
      <c r="N53" s="9">
        <f t="shared" si="3"/>
        <v>-0.21428571428571427</v>
      </c>
    </row>
    <row r="54" spans="1:14" x14ac:dyDescent="0.25">
      <c r="A54" t="str">
        <f>TEXT("1/"&amp;data!A54,"mmmm")</f>
        <v>janvier</v>
      </c>
      <c r="B54">
        <f>data!B54</f>
        <v>2016</v>
      </c>
      <c r="C54" t="str">
        <f>data!C54</f>
        <v>025</v>
      </c>
      <c r="D54" t="str">
        <f>data!D54</f>
        <v>COLLOVRAY &amp; TERRIER</v>
      </c>
      <c r="E54" t="str">
        <f>data!E54</f>
        <v>025010</v>
      </c>
      <c r="F54" t="str">
        <f>data!F54</f>
        <v>AC MACON VILL TRAD. COLLOVRAY &amp;</v>
      </c>
      <c r="G54" s="10">
        <f>data!G54</f>
        <v>399.6</v>
      </c>
      <c r="H54" s="10">
        <f>data!I54</f>
        <v>604.20000000000005</v>
      </c>
      <c r="I54" s="10">
        <f t="shared" si="0"/>
        <v>-204.60000000000002</v>
      </c>
      <c r="J54" s="11">
        <f>data!H54</f>
        <v>72</v>
      </c>
      <c r="K54" s="11">
        <f>data!J54</f>
        <v>114</v>
      </c>
      <c r="L54" s="11">
        <f t="shared" si="1"/>
        <v>-42</v>
      </c>
      <c r="M54" s="9">
        <f t="shared" si="2"/>
        <v>-0.33862959285004968</v>
      </c>
      <c r="N54" s="9">
        <f t="shared" si="3"/>
        <v>-0.36842105263157893</v>
      </c>
    </row>
    <row r="55" spans="1:14" x14ac:dyDescent="0.25">
      <c r="A55" t="str">
        <f>TEXT("1/"&amp;data!A55,"mmmm")</f>
        <v>janvier</v>
      </c>
      <c r="B55">
        <f>data!B55</f>
        <v>2016</v>
      </c>
      <c r="C55" t="str">
        <f>data!C55</f>
        <v>025</v>
      </c>
      <c r="D55" t="str">
        <f>data!D55</f>
        <v>COLLOVRAY &amp; TERRIER</v>
      </c>
      <c r="E55" t="str">
        <f>data!E55</f>
        <v>025013</v>
      </c>
      <c r="F55" t="str">
        <f>data!F55</f>
        <v>AC MACON. VERGER DES FEUILLANTS</v>
      </c>
      <c r="G55" s="10">
        <f>data!G55</f>
        <v>174.6</v>
      </c>
      <c r="H55" s="10">
        <f>data!I55</f>
        <v>183.54</v>
      </c>
      <c r="I55" s="10">
        <f t="shared" si="0"/>
        <v>-8.9399999999999977</v>
      </c>
      <c r="J55" s="11">
        <f>data!H55</f>
        <v>36</v>
      </c>
      <c r="K55" s="11">
        <f>data!J55</f>
        <v>42</v>
      </c>
      <c r="L55" s="11">
        <f t="shared" si="1"/>
        <v>-6</v>
      </c>
      <c r="M55" s="9">
        <f t="shared" si="2"/>
        <v>-4.8708728342595611E-2</v>
      </c>
      <c r="N55" s="9">
        <f t="shared" si="3"/>
        <v>-0.14285714285714285</v>
      </c>
    </row>
    <row r="56" spans="1:14" x14ac:dyDescent="0.25">
      <c r="A56" t="str">
        <f>TEXT("1/"&amp;data!A56,"mmmm")</f>
        <v>janvier</v>
      </c>
      <c r="B56">
        <f>data!B56</f>
        <v>2016</v>
      </c>
      <c r="C56" t="str">
        <f>data!C56</f>
        <v>025</v>
      </c>
      <c r="D56" t="str">
        <f>data!D56</f>
        <v>COLLOVRAY &amp; TERRIER</v>
      </c>
      <c r="E56" t="str">
        <f>data!E56</f>
        <v>025015</v>
      </c>
      <c r="F56" t="str">
        <f>data!F56</f>
        <v>VDP PINOT NOIR . D.D'ANTUGNIAC</v>
      </c>
      <c r="G56" s="10">
        <f>data!G56</f>
        <v>137.88</v>
      </c>
      <c r="H56" s="10">
        <f>data!I56</f>
        <v>0</v>
      </c>
      <c r="I56" s="10">
        <f t="shared" si="0"/>
        <v>137.88</v>
      </c>
      <c r="J56" s="11">
        <f>data!H56</f>
        <v>36</v>
      </c>
      <c r="K56" s="11">
        <f>data!J56</f>
        <v>0</v>
      </c>
      <c r="L56" s="11">
        <f t="shared" si="1"/>
        <v>36</v>
      </c>
      <c r="M56" s="9" t="str">
        <f t="shared" si="2"/>
        <v/>
      </c>
      <c r="N56" s="9" t="str">
        <f t="shared" si="3"/>
        <v/>
      </c>
    </row>
    <row r="57" spans="1:14" x14ac:dyDescent="0.25">
      <c r="A57" t="str">
        <f>TEXT("1/"&amp;data!A57,"mmmm")</f>
        <v>janvier</v>
      </c>
      <c r="B57">
        <f>data!B57</f>
        <v>2016</v>
      </c>
      <c r="C57" t="str">
        <f>data!C57</f>
        <v>025</v>
      </c>
      <c r="D57" t="str">
        <f>data!D57</f>
        <v>COLLOVRAY &amp; TERRIER</v>
      </c>
      <c r="E57" t="str">
        <f>data!E57</f>
        <v>025021</v>
      </c>
      <c r="F57" t="str">
        <f>data!F57</f>
        <v>AC POUILLY-FUISSE. V.VIGNES</v>
      </c>
      <c r="G57" s="10">
        <f>data!G57</f>
        <v>963</v>
      </c>
      <c r="H57" s="10">
        <f>data!I57</f>
        <v>417.48</v>
      </c>
      <c r="I57" s="10">
        <f t="shared" si="0"/>
        <v>545.52</v>
      </c>
      <c r="J57" s="11">
        <f>data!H57</f>
        <v>90</v>
      </c>
      <c r="K57" s="11">
        <f>data!J57</f>
        <v>42</v>
      </c>
      <c r="L57" s="11">
        <f t="shared" si="1"/>
        <v>48</v>
      </c>
      <c r="M57" s="9">
        <f t="shared" si="2"/>
        <v>1.3066973268180511</v>
      </c>
      <c r="N57" s="9">
        <f t="shared" si="3"/>
        <v>1.1428571428571428</v>
      </c>
    </row>
    <row r="58" spans="1:14" x14ac:dyDescent="0.25">
      <c r="A58" t="str">
        <f>TEXT("1/"&amp;data!A58,"mmmm")</f>
        <v>janvier</v>
      </c>
      <c r="B58">
        <f>data!B58</f>
        <v>2016</v>
      </c>
      <c r="C58" t="str">
        <f>data!C58</f>
        <v>025</v>
      </c>
      <c r="D58" t="str">
        <f>data!D58</f>
        <v>COLLOVRAY &amp; TERRIER</v>
      </c>
      <c r="E58" t="str">
        <f>data!E58</f>
        <v>025026</v>
      </c>
      <c r="F58" t="str">
        <f>data!F58</f>
        <v>VDP CHARDONNAY. D.D'ANTUGNAC</v>
      </c>
      <c r="G58" s="10">
        <f>data!G58</f>
        <v>1969.92</v>
      </c>
      <c r="H58" s="10">
        <f>data!I58</f>
        <v>528.96</v>
      </c>
      <c r="I58" s="10">
        <f t="shared" si="0"/>
        <v>1440.96</v>
      </c>
      <c r="J58" s="11">
        <f>data!H58</f>
        <v>654</v>
      </c>
      <c r="K58" s="11">
        <f>data!J58</f>
        <v>174</v>
      </c>
      <c r="L58" s="11">
        <f t="shared" si="1"/>
        <v>480</v>
      </c>
      <c r="M58" s="9">
        <f t="shared" si="2"/>
        <v>2.7241379310344827</v>
      </c>
      <c r="N58" s="9">
        <f t="shared" si="3"/>
        <v>2.7586206896551726</v>
      </c>
    </row>
    <row r="59" spans="1:14" x14ac:dyDescent="0.25">
      <c r="A59" t="str">
        <f>TEXT("1/"&amp;data!A59,"mmmm")</f>
        <v>janvier</v>
      </c>
      <c r="B59">
        <f>data!B59</f>
        <v>2016</v>
      </c>
      <c r="C59" t="str">
        <f>data!C59</f>
        <v>025</v>
      </c>
      <c r="D59" t="str">
        <f>data!D59</f>
        <v>COLLOVRAY &amp; TERRIER</v>
      </c>
      <c r="E59" t="str">
        <f>data!E59</f>
        <v>025031</v>
      </c>
      <c r="F59" t="str">
        <f>data!F59</f>
        <v>AC LIMOUX. Terres Amoureuses D.D'ANTUGNAC</v>
      </c>
      <c r="G59" s="10">
        <f>data!G59</f>
        <v>334.2</v>
      </c>
      <c r="H59" s="10">
        <f>data!I59</f>
        <v>192.96</v>
      </c>
      <c r="I59" s="10">
        <f t="shared" si="0"/>
        <v>141.23999999999998</v>
      </c>
      <c r="J59" s="11">
        <f>data!H59</f>
        <v>66</v>
      </c>
      <c r="K59" s="11">
        <f>data!J59</f>
        <v>36</v>
      </c>
      <c r="L59" s="11">
        <f t="shared" si="1"/>
        <v>30</v>
      </c>
      <c r="M59" s="9">
        <f t="shared" si="2"/>
        <v>0.73196517412935314</v>
      </c>
      <c r="N59" s="9">
        <f t="shared" si="3"/>
        <v>0.83333333333333337</v>
      </c>
    </row>
    <row r="60" spans="1:14" x14ac:dyDescent="0.25">
      <c r="A60" t="str">
        <f>TEXT("1/"&amp;data!A60,"mmmm")</f>
        <v>janvier</v>
      </c>
      <c r="B60">
        <f>data!B60</f>
        <v>2016</v>
      </c>
      <c r="C60" t="str">
        <f>data!C60</f>
        <v>025</v>
      </c>
      <c r="D60" t="str">
        <f>data!D60</f>
        <v>COLLOVRAY &amp; TERRIER</v>
      </c>
      <c r="E60" t="str">
        <f>data!E60</f>
        <v>025033</v>
      </c>
      <c r="F60" t="str">
        <f>data!F60</f>
        <v>AC LIMOUX Aux Bons Hommes D.D'ANTUGNAC</v>
      </c>
      <c r="G60" s="10">
        <f>data!G60</f>
        <v>149.04</v>
      </c>
      <c r="H60" s="10">
        <f>data!I60</f>
        <v>151.56</v>
      </c>
      <c r="I60" s="10">
        <f t="shared" si="0"/>
        <v>-2.5200000000000102</v>
      </c>
      <c r="J60" s="11">
        <f>data!H60</f>
        <v>42</v>
      </c>
      <c r="K60" s="11">
        <f>data!J60</f>
        <v>36</v>
      </c>
      <c r="L60" s="11">
        <f t="shared" si="1"/>
        <v>6</v>
      </c>
      <c r="M60" s="9">
        <f t="shared" si="2"/>
        <v>-1.6627078384798166E-2</v>
      </c>
      <c r="N60" s="9">
        <f t="shared" si="3"/>
        <v>0.16666666666666666</v>
      </c>
    </row>
    <row r="61" spans="1:14" x14ac:dyDescent="0.25">
      <c r="A61" t="str">
        <f>TEXT("1/"&amp;data!A61,"mmmm")</f>
        <v>janvier</v>
      </c>
      <c r="B61">
        <f>data!B61</f>
        <v>2016</v>
      </c>
      <c r="C61" t="str">
        <f>data!C61</f>
        <v>028</v>
      </c>
      <c r="D61" t="str">
        <f>data!D61</f>
        <v>VIGNOBLES DUBOIS ET FILS</v>
      </c>
      <c r="E61" t="str">
        <f>data!E61</f>
        <v>028001</v>
      </c>
      <c r="F61" t="str">
        <f>data!F61</f>
        <v>AC 1ERES C.DE BLAYE. TRADITION  CH L.BERTRANDS</v>
      </c>
      <c r="G61" s="10">
        <f>data!G61</f>
        <v>195</v>
      </c>
      <c r="H61" s="10">
        <f>data!I61</f>
        <v>897</v>
      </c>
      <c r="I61" s="10">
        <f t="shared" si="0"/>
        <v>-702</v>
      </c>
      <c r="J61" s="11">
        <f>data!H61</f>
        <v>60</v>
      </c>
      <c r="K61" s="11">
        <f>data!J61</f>
        <v>276</v>
      </c>
      <c r="L61" s="11">
        <f t="shared" si="1"/>
        <v>-216</v>
      </c>
      <c r="M61" s="9">
        <f t="shared" si="2"/>
        <v>-0.78260869565217395</v>
      </c>
      <c r="N61" s="9">
        <f t="shared" si="3"/>
        <v>-0.78260869565217395</v>
      </c>
    </row>
    <row r="62" spans="1:14" x14ac:dyDescent="0.25">
      <c r="A62" t="str">
        <f>TEXT("1/"&amp;data!A62,"mmmm")</f>
        <v>janvier</v>
      </c>
      <c r="B62">
        <f>data!B62</f>
        <v>2016</v>
      </c>
      <c r="C62" t="str">
        <f>data!C62</f>
        <v>028</v>
      </c>
      <c r="D62" t="str">
        <f>data!D62</f>
        <v>VIGNOBLES DUBOIS ET FILS</v>
      </c>
      <c r="E62" t="str">
        <f>data!E62</f>
        <v>028005</v>
      </c>
      <c r="F62" t="str">
        <f>data!F62</f>
        <v>AC 1ERES C.BLAYE TRAD. CH L.BERTRANDS</v>
      </c>
      <c r="G62" s="10">
        <f>data!G62</f>
        <v>67.2</v>
      </c>
      <c r="H62" s="10">
        <f>data!I62</f>
        <v>168</v>
      </c>
      <c r="I62" s="10">
        <f t="shared" si="0"/>
        <v>-100.8</v>
      </c>
      <c r="J62" s="11">
        <f>data!H62</f>
        <v>24</v>
      </c>
      <c r="K62" s="11">
        <f>data!J62</f>
        <v>66</v>
      </c>
      <c r="L62" s="11">
        <f t="shared" si="1"/>
        <v>-42</v>
      </c>
      <c r="M62" s="9">
        <f t="shared" si="2"/>
        <v>-0.6</v>
      </c>
      <c r="N62" s="9">
        <f t="shared" si="3"/>
        <v>-0.63636363636363635</v>
      </c>
    </row>
    <row r="63" spans="1:14" x14ac:dyDescent="0.25">
      <c r="A63" t="str">
        <f>TEXT("1/"&amp;data!A63,"mmmm")</f>
        <v>janvier</v>
      </c>
      <c r="B63">
        <f>data!B63</f>
        <v>2016</v>
      </c>
      <c r="C63" t="str">
        <f>data!C63</f>
        <v>028</v>
      </c>
      <c r="D63" t="str">
        <f>data!D63</f>
        <v>VIGNOBLES DUBOIS ET FILS</v>
      </c>
      <c r="E63" t="str">
        <f>data!E63</f>
        <v>028007</v>
      </c>
      <c r="F63" t="str">
        <f>data!F63</f>
        <v>AC 1ERES C BLAYE TRAD. CH L.BERTRANDS</v>
      </c>
      <c r="G63" s="10">
        <f>data!G63</f>
        <v>316.39999999999998</v>
      </c>
      <c r="H63" s="10">
        <f>data!I63</f>
        <v>113</v>
      </c>
      <c r="I63" s="10">
        <f t="shared" si="0"/>
        <v>203.39999999999998</v>
      </c>
      <c r="J63" s="11">
        <f>data!H63</f>
        <v>186.62</v>
      </c>
      <c r="K63" s="11">
        <f>data!J63</f>
        <v>66.650000000000006</v>
      </c>
      <c r="L63" s="11">
        <f t="shared" si="1"/>
        <v>119.97</v>
      </c>
      <c r="M63" s="9">
        <f t="shared" si="2"/>
        <v>1.7999999999999998</v>
      </c>
      <c r="N63" s="9">
        <f t="shared" si="3"/>
        <v>1.7999999999999998</v>
      </c>
    </row>
    <row r="64" spans="1:14" x14ac:dyDescent="0.25">
      <c r="A64" t="str">
        <f>TEXT("1/"&amp;data!A64,"mmmm")</f>
        <v>janvier</v>
      </c>
      <c r="B64">
        <f>data!B64</f>
        <v>2016</v>
      </c>
      <c r="C64" t="str">
        <f>data!C64</f>
        <v>028</v>
      </c>
      <c r="D64" t="str">
        <f>data!D64</f>
        <v>VIGNOBLES DUBOIS ET FILS</v>
      </c>
      <c r="E64" t="str">
        <f>data!E64</f>
        <v>028008</v>
      </c>
      <c r="F64" t="str">
        <f>data!F64</f>
        <v>AC C. DE BLAYE CH L.BERTRANDS</v>
      </c>
      <c r="G64" s="10">
        <f>data!G64</f>
        <v>119.7</v>
      </c>
      <c r="H64" s="10">
        <f>data!I64</f>
        <v>93.1</v>
      </c>
      <c r="I64" s="10">
        <f t="shared" si="0"/>
        <v>26.600000000000009</v>
      </c>
      <c r="J64" s="11">
        <f>data!H64</f>
        <v>66.7</v>
      </c>
      <c r="K64" s="11">
        <f>data!J64</f>
        <v>46.69</v>
      </c>
      <c r="L64" s="11">
        <f t="shared" si="1"/>
        <v>20.010000000000005</v>
      </c>
      <c r="M64" s="9">
        <f t="shared" si="2"/>
        <v>0.28571428571428581</v>
      </c>
      <c r="N64" s="9">
        <f t="shared" si="3"/>
        <v>0.42857142857142871</v>
      </c>
    </row>
    <row r="65" spans="1:14" x14ac:dyDescent="0.25">
      <c r="A65" t="str">
        <f>TEXT("1/"&amp;data!A65,"mmmm")</f>
        <v>janvier</v>
      </c>
      <c r="B65">
        <f>data!B65</f>
        <v>2016</v>
      </c>
      <c r="C65" t="str">
        <f>data!C65</f>
        <v>028</v>
      </c>
      <c r="D65" t="str">
        <f>data!D65</f>
        <v>VIGNOBLES DUBOIS ET FILS</v>
      </c>
      <c r="E65" t="str">
        <f>data!E65</f>
        <v>028013</v>
      </c>
      <c r="F65" t="str">
        <f>data!F65</f>
        <v>AC 1ERES COTES DE BLAYE PRESTIGE</v>
      </c>
      <c r="G65" s="10">
        <f>data!G65</f>
        <v>427.2</v>
      </c>
      <c r="H65" s="10">
        <f>data!I65</f>
        <v>400.5</v>
      </c>
      <c r="I65" s="10">
        <f t="shared" si="0"/>
        <v>26.699999999999989</v>
      </c>
      <c r="J65" s="11">
        <f>data!H65</f>
        <v>96</v>
      </c>
      <c r="K65" s="11">
        <f>data!J65</f>
        <v>90</v>
      </c>
      <c r="L65" s="11">
        <f t="shared" si="1"/>
        <v>6</v>
      </c>
      <c r="M65" s="9">
        <f t="shared" si="2"/>
        <v>6.6666666666666638E-2</v>
      </c>
      <c r="N65" s="9">
        <f t="shared" si="3"/>
        <v>6.6666666666666666E-2</v>
      </c>
    </row>
    <row r="66" spans="1:14" x14ac:dyDescent="0.25">
      <c r="A66" t="str">
        <f>TEXT("1/"&amp;data!A66,"mmmm")</f>
        <v>janvier</v>
      </c>
      <c r="B66">
        <f>data!B66</f>
        <v>2016</v>
      </c>
      <c r="C66" t="str">
        <f>data!C66</f>
        <v>029</v>
      </c>
      <c r="D66" t="str">
        <f>data!D66</f>
        <v>DOMAINE DE BELLE MARE</v>
      </c>
      <c r="E66" t="str">
        <f>data!E66</f>
        <v>029002</v>
      </c>
      <c r="F66" t="str">
        <f>data!F66</f>
        <v>IGP OC  VIOGNIER DME DE BELLE-MARE</v>
      </c>
      <c r="G66" s="10">
        <f>data!G66</f>
        <v>14.76</v>
      </c>
      <c r="H66" s="10">
        <f>data!I66</f>
        <v>44.1</v>
      </c>
      <c r="I66" s="10">
        <f t="shared" si="0"/>
        <v>-29.340000000000003</v>
      </c>
      <c r="J66" s="11">
        <f>data!H66</f>
        <v>6</v>
      </c>
      <c r="K66" s="11">
        <f>data!J66</f>
        <v>18</v>
      </c>
      <c r="L66" s="11">
        <f t="shared" si="1"/>
        <v>-12</v>
      </c>
      <c r="M66" s="9">
        <f t="shared" si="2"/>
        <v>-0.66530612244897969</v>
      </c>
      <c r="N66" s="9">
        <f t="shared" si="3"/>
        <v>-0.66666666666666663</v>
      </c>
    </row>
    <row r="67" spans="1:14" x14ac:dyDescent="0.25">
      <c r="A67" t="str">
        <f>TEXT("1/"&amp;data!A67,"mmmm")</f>
        <v>janvier</v>
      </c>
      <c r="B67">
        <f>data!B67</f>
        <v>2016</v>
      </c>
      <c r="C67" t="str">
        <f>data!C67</f>
        <v>029</v>
      </c>
      <c r="D67" t="str">
        <f>data!D67</f>
        <v>DOMAINE DE BELLE MARE</v>
      </c>
      <c r="E67" t="str">
        <f>data!E67</f>
        <v>029010</v>
      </c>
      <c r="F67" t="str">
        <f>data!F67</f>
        <v>VDP COLLINES DE LA MOURE. D.BEL MARE</v>
      </c>
      <c r="G67" s="10">
        <f>data!G67</f>
        <v>-25.92</v>
      </c>
      <c r="H67" s="10">
        <f>data!I67</f>
        <v>25.68</v>
      </c>
      <c r="I67" s="10">
        <f t="shared" ref="I67:I130" si="4">G67-H67</f>
        <v>-51.6</v>
      </c>
      <c r="J67" s="11">
        <f>data!H67</f>
        <v>-12</v>
      </c>
      <c r="K67" s="11">
        <f>data!J67</f>
        <v>12</v>
      </c>
      <c r="L67" s="11">
        <f t="shared" ref="L67:L130" si="5">J67-K67</f>
        <v>-24</v>
      </c>
      <c r="M67" s="9">
        <f t="shared" ref="M67:M130" si="6">IF(ISERR(I67/H67),"",I67/H67)</f>
        <v>-2.0093457943925235</v>
      </c>
      <c r="N67" s="9">
        <f t="shared" ref="N67:N130" si="7">IF(ISERR(L67/K67),"",L67/K67)</f>
        <v>-2</v>
      </c>
    </row>
    <row r="68" spans="1:14" x14ac:dyDescent="0.25">
      <c r="A68" t="str">
        <f>TEXT("1/"&amp;data!A68,"mmmm")</f>
        <v>janvier</v>
      </c>
      <c r="B68">
        <f>data!B68</f>
        <v>2016</v>
      </c>
      <c r="C68" t="str">
        <f>data!C68</f>
        <v>029</v>
      </c>
      <c r="D68" t="str">
        <f>data!D68</f>
        <v>DOMAINE DE BELLE MARE</v>
      </c>
      <c r="E68" t="str">
        <f>data!E68</f>
        <v>029015</v>
      </c>
      <c r="F68" t="str">
        <f>data!F68</f>
        <v>DME BELLE MARE VDPOC CHARDONNAY</v>
      </c>
      <c r="G68" s="10">
        <f>data!G68</f>
        <v>14.4</v>
      </c>
      <c r="H68" s="10">
        <f>data!I68</f>
        <v>14.34</v>
      </c>
      <c r="I68" s="10">
        <f t="shared" si="4"/>
        <v>6.0000000000000497E-2</v>
      </c>
      <c r="J68" s="11">
        <f>data!H68</f>
        <v>6</v>
      </c>
      <c r="K68" s="11">
        <f>data!J68</f>
        <v>6</v>
      </c>
      <c r="L68" s="11">
        <f t="shared" si="5"/>
        <v>0</v>
      </c>
      <c r="M68" s="9">
        <f t="shared" si="6"/>
        <v>4.1841004184100762E-3</v>
      </c>
      <c r="N68" s="9">
        <f t="shared" si="7"/>
        <v>0</v>
      </c>
    </row>
    <row r="69" spans="1:14" x14ac:dyDescent="0.25">
      <c r="A69" t="str">
        <f>TEXT("1/"&amp;data!A69,"mmmm")</f>
        <v>janvier</v>
      </c>
      <c r="B69">
        <f>data!B69</f>
        <v>2016</v>
      </c>
      <c r="C69" t="str">
        <f>data!C69</f>
        <v>035</v>
      </c>
      <c r="D69" t="str">
        <f>data!D69</f>
        <v>DOMAINE OLIVIER</v>
      </c>
      <c r="E69" t="str">
        <f>data!E69</f>
        <v>035001</v>
      </c>
      <c r="F69" t="str">
        <f>data!F69</f>
        <v>AC ST NICOLAS DE BOURG D.OLIVIER</v>
      </c>
      <c r="G69" s="10">
        <f>data!G69</f>
        <v>2742</v>
      </c>
      <c r="H69" s="10">
        <f>data!I69</f>
        <v>1629.6</v>
      </c>
      <c r="I69" s="10">
        <f t="shared" si="4"/>
        <v>1112.4000000000001</v>
      </c>
      <c r="J69" s="11">
        <f>data!H69</f>
        <v>720</v>
      </c>
      <c r="K69" s="11">
        <f>data!J69</f>
        <v>432</v>
      </c>
      <c r="L69" s="11">
        <f t="shared" si="5"/>
        <v>288</v>
      </c>
      <c r="M69" s="9">
        <f t="shared" si="6"/>
        <v>0.6826215022091312</v>
      </c>
      <c r="N69" s="9">
        <f t="shared" si="7"/>
        <v>0.66666666666666663</v>
      </c>
    </row>
    <row r="70" spans="1:14" x14ac:dyDescent="0.25">
      <c r="A70" t="str">
        <f>TEXT("1/"&amp;data!A70,"mmmm")</f>
        <v>janvier</v>
      </c>
      <c r="B70">
        <f>data!B70</f>
        <v>2016</v>
      </c>
      <c r="C70" t="str">
        <f>data!C70</f>
        <v>035</v>
      </c>
      <c r="D70" t="str">
        <f>data!D70</f>
        <v>DOMAINE OLIVIER</v>
      </c>
      <c r="E70" t="str">
        <f>data!E70</f>
        <v>035002</v>
      </c>
      <c r="F70" t="str">
        <f>data!F70</f>
        <v>AC ST NICOLAS DE BOURG D.OLIVIER</v>
      </c>
      <c r="G70" s="10">
        <f>data!G70</f>
        <v>425.64</v>
      </c>
      <c r="H70" s="10">
        <f>data!I70</f>
        <v>162</v>
      </c>
      <c r="I70" s="10">
        <f t="shared" si="4"/>
        <v>263.64</v>
      </c>
      <c r="J70" s="11">
        <f>data!H70</f>
        <v>90</v>
      </c>
      <c r="K70" s="11">
        <f>data!J70</f>
        <v>36</v>
      </c>
      <c r="L70" s="11">
        <f t="shared" si="5"/>
        <v>54</v>
      </c>
      <c r="M70" s="9">
        <f t="shared" si="6"/>
        <v>1.6274074074074074</v>
      </c>
      <c r="N70" s="9">
        <f t="shared" si="7"/>
        <v>1.5</v>
      </c>
    </row>
    <row r="71" spans="1:14" x14ac:dyDescent="0.25">
      <c r="A71" t="str">
        <f>TEXT("1/"&amp;data!A71,"mmmm")</f>
        <v>janvier</v>
      </c>
      <c r="B71">
        <f>data!B71</f>
        <v>2016</v>
      </c>
      <c r="C71" t="str">
        <f>data!C71</f>
        <v>035</v>
      </c>
      <c r="D71" t="str">
        <f>data!D71</f>
        <v>DOMAINE OLIVIER</v>
      </c>
      <c r="E71" t="str">
        <f>data!E71</f>
        <v>035010</v>
      </c>
      <c r="F71" t="str">
        <f>data!F71</f>
        <v>AC BOURGUEIL V.VIGNES D.OLIVIER</v>
      </c>
      <c r="G71" s="10">
        <f>data!G71</f>
        <v>599.76</v>
      </c>
      <c r="H71" s="10">
        <f>data!I71</f>
        <v>473.34</v>
      </c>
      <c r="I71" s="10">
        <f t="shared" si="4"/>
        <v>126.42000000000002</v>
      </c>
      <c r="J71" s="11">
        <f>data!H71</f>
        <v>168</v>
      </c>
      <c r="K71" s="11">
        <f>data!J71</f>
        <v>144</v>
      </c>
      <c r="L71" s="11">
        <f t="shared" si="5"/>
        <v>24</v>
      </c>
      <c r="M71" s="9">
        <f t="shared" si="6"/>
        <v>0.26708074534161497</v>
      </c>
      <c r="N71" s="9">
        <f t="shared" si="7"/>
        <v>0.16666666666666666</v>
      </c>
    </row>
    <row r="72" spans="1:14" x14ac:dyDescent="0.25">
      <c r="A72" t="str">
        <f>TEXT("1/"&amp;data!A72,"mmmm")</f>
        <v>janvier</v>
      </c>
      <c r="B72">
        <f>data!B72</f>
        <v>2016</v>
      </c>
      <c r="C72" t="str">
        <f>data!C72</f>
        <v>035</v>
      </c>
      <c r="D72" t="str">
        <f>data!D72</f>
        <v>DOMAINE OLIVIER</v>
      </c>
      <c r="E72" t="str">
        <f>data!E72</f>
        <v>035015</v>
      </c>
      <c r="F72" t="str">
        <f>data!F72</f>
        <v>AC ST NICOLAS DE BOURG D.OLIVIER</v>
      </c>
      <c r="G72" s="10">
        <f>data!G72</f>
        <v>39.9</v>
      </c>
      <c r="H72" s="10">
        <f>data!I72</f>
        <v>0</v>
      </c>
      <c r="I72" s="10">
        <f t="shared" si="4"/>
        <v>39.9</v>
      </c>
      <c r="J72" s="11">
        <f>data!H72</f>
        <v>12</v>
      </c>
      <c r="K72" s="11">
        <f>data!J72</f>
        <v>0</v>
      </c>
      <c r="L72" s="11">
        <f t="shared" si="5"/>
        <v>12</v>
      </c>
      <c r="M72" s="9" t="str">
        <f t="shared" si="6"/>
        <v/>
      </c>
      <c r="N72" s="9" t="str">
        <f t="shared" si="7"/>
        <v/>
      </c>
    </row>
    <row r="73" spans="1:14" x14ac:dyDescent="0.25">
      <c r="A73" t="str">
        <f>TEXT("1/"&amp;data!A73,"mmmm")</f>
        <v>janvier</v>
      </c>
      <c r="B73">
        <f>data!B73</f>
        <v>2016</v>
      </c>
      <c r="C73" t="str">
        <f>data!C73</f>
        <v>036</v>
      </c>
      <c r="D73" t="str">
        <f>data!D73</f>
        <v>CASTELBARRY</v>
      </c>
      <c r="E73" t="str">
        <f>data!E73</f>
        <v>036001</v>
      </c>
      <c r="F73" t="str">
        <f>data!F73</f>
        <v>AC CTX DU LANG .COL DU VENT</v>
      </c>
      <c r="G73" s="10">
        <f>data!G73</f>
        <v>403.2</v>
      </c>
      <c r="H73" s="10">
        <f>data!I73</f>
        <v>403.2</v>
      </c>
      <c r="I73" s="10">
        <f t="shared" si="4"/>
        <v>0</v>
      </c>
      <c r="J73" s="11">
        <f>data!H73</f>
        <v>150</v>
      </c>
      <c r="K73" s="11">
        <f>data!J73</f>
        <v>168</v>
      </c>
      <c r="L73" s="11">
        <f t="shared" si="5"/>
        <v>-18</v>
      </c>
      <c r="M73" s="9">
        <f t="shared" si="6"/>
        <v>0</v>
      </c>
      <c r="N73" s="9">
        <f t="shared" si="7"/>
        <v>-0.10714285714285714</v>
      </c>
    </row>
    <row r="74" spans="1:14" x14ac:dyDescent="0.25">
      <c r="A74" t="str">
        <f>TEXT("1/"&amp;data!A74,"mmmm")</f>
        <v>janvier</v>
      </c>
      <c r="B74">
        <f>data!B74</f>
        <v>2016</v>
      </c>
      <c r="C74" t="str">
        <f>data!C74</f>
        <v>036</v>
      </c>
      <c r="D74" t="str">
        <f>data!D74</f>
        <v>CASTELBARRY</v>
      </c>
      <c r="E74" t="str">
        <f>data!E74</f>
        <v>036011</v>
      </c>
      <c r="F74" t="str">
        <f>data!F74</f>
        <v>IGP ST GUILHEM LE DESERT</v>
      </c>
      <c r="G74" s="10">
        <f>data!G74</f>
        <v>43.2</v>
      </c>
      <c r="H74" s="10">
        <f>data!I74</f>
        <v>7</v>
      </c>
      <c r="I74" s="10">
        <f t="shared" si="4"/>
        <v>36.200000000000003</v>
      </c>
      <c r="J74" s="11">
        <f>data!H74</f>
        <v>40.019999999999996</v>
      </c>
      <c r="K74" s="11">
        <f>data!J74</f>
        <v>6.67</v>
      </c>
      <c r="L74" s="11">
        <f t="shared" si="5"/>
        <v>33.349999999999994</v>
      </c>
      <c r="M74" s="9">
        <f t="shared" si="6"/>
        <v>5.1714285714285717</v>
      </c>
      <c r="N74" s="9">
        <f t="shared" si="7"/>
        <v>4.9999999999999991</v>
      </c>
    </row>
    <row r="75" spans="1:14" x14ac:dyDescent="0.25">
      <c r="A75" t="str">
        <f>TEXT("1/"&amp;data!A75,"mmmm")</f>
        <v>janvier</v>
      </c>
      <c r="B75">
        <f>data!B75</f>
        <v>2016</v>
      </c>
      <c r="C75" t="str">
        <f>data!C75</f>
        <v>037</v>
      </c>
      <c r="D75" t="str">
        <f>data!D75</f>
        <v>SARL RAFFAULT</v>
      </c>
      <c r="E75" t="str">
        <f>data!E75</f>
        <v>037003</v>
      </c>
      <c r="F75" t="str">
        <f>data!F75</f>
        <v>AC CHINON</v>
      </c>
      <c r="G75" s="10">
        <f>data!G75</f>
        <v>244.2</v>
      </c>
      <c r="H75" s="10">
        <f>data!I75</f>
        <v>66.599999999999994</v>
      </c>
      <c r="I75" s="10">
        <f t="shared" si="4"/>
        <v>177.6</v>
      </c>
      <c r="J75" s="11">
        <f>data!H75</f>
        <v>66</v>
      </c>
      <c r="K75" s="11">
        <f>data!J75</f>
        <v>24</v>
      </c>
      <c r="L75" s="11">
        <f t="shared" si="5"/>
        <v>42</v>
      </c>
      <c r="M75" s="9">
        <f t="shared" si="6"/>
        <v>2.666666666666667</v>
      </c>
      <c r="N75" s="9">
        <f t="shared" si="7"/>
        <v>1.75</v>
      </c>
    </row>
    <row r="76" spans="1:14" x14ac:dyDescent="0.25">
      <c r="A76" t="str">
        <f>TEXT("1/"&amp;data!A76,"mmmm")</f>
        <v>janvier</v>
      </c>
      <c r="B76">
        <f>data!B76</f>
        <v>2016</v>
      </c>
      <c r="C76" t="str">
        <f>data!C76</f>
        <v>037</v>
      </c>
      <c r="D76" t="str">
        <f>data!D76</f>
        <v>SARL RAFFAULT</v>
      </c>
      <c r="E76" t="str">
        <f>data!E76</f>
        <v>037010</v>
      </c>
      <c r="F76" t="str">
        <f>data!F76</f>
        <v>AC CHINON SEC</v>
      </c>
      <c r="G76" s="10">
        <f>data!G76</f>
        <v>109.2</v>
      </c>
      <c r="H76" s="10">
        <f>data!I76</f>
        <v>0</v>
      </c>
      <c r="I76" s="10">
        <f t="shared" si="4"/>
        <v>109.2</v>
      </c>
      <c r="J76" s="11">
        <f>data!H76</f>
        <v>30</v>
      </c>
      <c r="K76" s="11">
        <f>data!J76</f>
        <v>0</v>
      </c>
      <c r="L76" s="11">
        <f t="shared" si="5"/>
        <v>30</v>
      </c>
      <c r="M76" s="9" t="str">
        <f t="shared" si="6"/>
        <v/>
      </c>
      <c r="N76" s="9" t="str">
        <f t="shared" si="7"/>
        <v/>
      </c>
    </row>
    <row r="77" spans="1:14" x14ac:dyDescent="0.25">
      <c r="A77" t="str">
        <f>TEXT("1/"&amp;data!A77,"mmmm")</f>
        <v>janvier</v>
      </c>
      <c r="B77">
        <f>data!B77</f>
        <v>2016</v>
      </c>
      <c r="C77" t="str">
        <f>data!C77</f>
        <v>039</v>
      </c>
      <c r="D77" t="str">
        <f>data!D77</f>
        <v>LES VIGNERONS DES COTES D'AGLY</v>
      </c>
      <c r="E77" t="str">
        <f>data!E77</f>
        <v>039002</v>
      </c>
      <c r="F77" t="str">
        <f>data!F77</f>
        <v>VIGNERONS ALGLY AC MUSCAT DE RIVESALTES</v>
      </c>
      <c r="G77" s="10">
        <f>data!G77</f>
        <v>38.1</v>
      </c>
      <c r="H77" s="10">
        <f>data!I77</f>
        <v>95.25</v>
      </c>
      <c r="I77" s="10">
        <f t="shared" si="4"/>
        <v>-57.15</v>
      </c>
      <c r="J77" s="11">
        <f>data!H77</f>
        <v>13.34</v>
      </c>
      <c r="K77" s="11">
        <f>data!J77</f>
        <v>33.35</v>
      </c>
      <c r="L77" s="11">
        <f t="shared" si="5"/>
        <v>-20.010000000000002</v>
      </c>
      <c r="M77" s="9">
        <f t="shared" si="6"/>
        <v>-0.6</v>
      </c>
      <c r="N77" s="9">
        <f t="shared" si="7"/>
        <v>-0.6</v>
      </c>
    </row>
    <row r="78" spans="1:14" x14ac:dyDescent="0.25">
      <c r="A78" t="str">
        <f>TEXT("1/"&amp;data!A78,"mmmm")</f>
        <v>janvier</v>
      </c>
      <c r="B78">
        <f>data!B78</f>
        <v>2016</v>
      </c>
      <c r="C78" t="str">
        <f>data!C78</f>
        <v>039</v>
      </c>
      <c r="D78" t="str">
        <f>data!D78</f>
        <v>LES VIGNERONS DES COTES D'AGLY</v>
      </c>
      <c r="E78" t="str">
        <f>data!E78</f>
        <v>039017</v>
      </c>
      <c r="F78" t="str">
        <f>data!F78</f>
        <v>AC C.ROUSSILLON VILL ARAGO</v>
      </c>
      <c r="G78" s="10">
        <f>data!G78</f>
        <v>210</v>
      </c>
      <c r="H78" s="10">
        <f>data!I78</f>
        <v>336</v>
      </c>
      <c r="I78" s="10">
        <f t="shared" si="4"/>
        <v>-126</v>
      </c>
      <c r="J78" s="11">
        <f>data!H78</f>
        <v>60</v>
      </c>
      <c r="K78" s="11">
        <f>data!J78</f>
        <v>96</v>
      </c>
      <c r="L78" s="11">
        <f t="shared" si="5"/>
        <v>-36</v>
      </c>
      <c r="M78" s="9">
        <f t="shared" si="6"/>
        <v>-0.375</v>
      </c>
      <c r="N78" s="9">
        <f t="shared" si="7"/>
        <v>-0.375</v>
      </c>
    </row>
    <row r="79" spans="1:14" x14ac:dyDescent="0.25">
      <c r="A79" t="str">
        <f>TEXT("1/"&amp;data!A79,"mmmm")</f>
        <v>janvier</v>
      </c>
      <c r="B79">
        <f>data!B79</f>
        <v>2016</v>
      </c>
      <c r="C79" t="str">
        <f>data!C79</f>
        <v>039</v>
      </c>
      <c r="D79" t="str">
        <f>data!D79</f>
        <v>LES VIGNERONS DES COTES D'AGLY</v>
      </c>
      <c r="E79" t="str">
        <f>data!E79</f>
        <v>039018</v>
      </c>
      <c r="F79" t="str">
        <f>data!F79</f>
        <v>AC C. ROUSSILLON N D LAVAL</v>
      </c>
      <c r="G79" s="10">
        <f>data!G79</f>
        <v>331.5</v>
      </c>
      <c r="H79" s="10">
        <f>data!I79</f>
        <v>676.26</v>
      </c>
      <c r="I79" s="10">
        <f t="shared" si="4"/>
        <v>-344.76</v>
      </c>
      <c r="J79" s="11">
        <f>data!H79</f>
        <v>150</v>
      </c>
      <c r="K79" s="11">
        <f>data!J79</f>
        <v>306</v>
      </c>
      <c r="L79" s="11">
        <f t="shared" si="5"/>
        <v>-156</v>
      </c>
      <c r="M79" s="9">
        <f t="shared" si="6"/>
        <v>-0.50980392156862742</v>
      </c>
      <c r="N79" s="9">
        <f t="shared" si="7"/>
        <v>-0.50980392156862742</v>
      </c>
    </row>
    <row r="80" spans="1:14" x14ac:dyDescent="0.25">
      <c r="A80" t="str">
        <f>TEXT("1/"&amp;data!A80,"mmmm")</f>
        <v>janvier</v>
      </c>
      <c r="B80">
        <f>data!B80</f>
        <v>2016</v>
      </c>
      <c r="C80" t="str">
        <f>data!C80</f>
        <v>039</v>
      </c>
      <c r="D80" t="str">
        <f>data!D80</f>
        <v>LES VIGNERONS DES COTES D'AGLY</v>
      </c>
      <c r="E80" t="str">
        <f>data!E80</f>
        <v>039028</v>
      </c>
      <c r="F80" t="str">
        <f>data!F80</f>
        <v>VDN MAURY</v>
      </c>
      <c r="G80" s="10">
        <f>data!G80</f>
        <v>28.32</v>
      </c>
      <c r="H80" s="10">
        <f>data!I80</f>
        <v>368.16</v>
      </c>
      <c r="I80" s="10">
        <f t="shared" si="4"/>
        <v>-339.84000000000003</v>
      </c>
      <c r="J80" s="11">
        <f>data!H80</f>
        <v>6</v>
      </c>
      <c r="K80" s="11">
        <f>data!J80</f>
        <v>78</v>
      </c>
      <c r="L80" s="11">
        <f t="shared" si="5"/>
        <v>-72</v>
      </c>
      <c r="M80" s="9">
        <f t="shared" si="6"/>
        <v>-0.92307692307692313</v>
      </c>
      <c r="N80" s="9">
        <f t="shared" si="7"/>
        <v>-0.92307692307692313</v>
      </c>
    </row>
    <row r="81" spans="1:14" x14ac:dyDescent="0.25">
      <c r="A81" t="str">
        <f>TEXT("1/"&amp;data!A81,"mmmm")</f>
        <v>janvier</v>
      </c>
      <c r="B81">
        <f>data!B81</f>
        <v>2016</v>
      </c>
      <c r="C81" t="str">
        <f>data!C81</f>
        <v>039</v>
      </c>
      <c r="D81" t="str">
        <f>data!D81</f>
        <v>LES VIGNERONS DES COTES D'AGLY</v>
      </c>
      <c r="E81" t="str">
        <f>data!E81</f>
        <v>039030</v>
      </c>
      <c r="F81" t="str">
        <f>data!F81</f>
        <v>VDN MUSCAT DE RIVESALTES</v>
      </c>
      <c r="G81" s="10">
        <f>data!G81</f>
        <v>151.62</v>
      </c>
      <c r="H81" s="10">
        <f>data!I81</f>
        <v>1018.02</v>
      </c>
      <c r="I81" s="10">
        <f t="shared" si="4"/>
        <v>-866.4</v>
      </c>
      <c r="J81" s="11">
        <f>data!H81</f>
        <v>42</v>
      </c>
      <c r="K81" s="11">
        <f>data!J81</f>
        <v>282</v>
      </c>
      <c r="L81" s="11">
        <f t="shared" si="5"/>
        <v>-240</v>
      </c>
      <c r="M81" s="9">
        <f t="shared" si="6"/>
        <v>-0.85106382978723405</v>
      </c>
      <c r="N81" s="9">
        <f t="shared" si="7"/>
        <v>-0.85106382978723405</v>
      </c>
    </row>
    <row r="82" spans="1:14" x14ac:dyDescent="0.25">
      <c r="A82" t="str">
        <f>TEXT("1/"&amp;data!A82,"mmmm")</f>
        <v>janvier</v>
      </c>
      <c r="B82">
        <f>data!B82</f>
        <v>2016</v>
      </c>
      <c r="C82" t="str">
        <f>data!C82</f>
        <v>040</v>
      </c>
      <c r="D82" t="str">
        <f>data!D82</f>
        <v>CHÂTEAU DE LA GRAVE</v>
      </c>
      <c r="E82" t="str">
        <f>data!E82</f>
        <v>040006</v>
      </c>
      <c r="F82" t="str">
        <f>data!F82</f>
        <v>AC COTES DE BOURG CHATEAU DE LA GRAVE</v>
      </c>
      <c r="G82" s="10">
        <f>data!G82</f>
        <v>1274.4000000000001</v>
      </c>
      <c r="H82" s="10">
        <f>data!I82</f>
        <v>2008.8</v>
      </c>
      <c r="I82" s="10">
        <f t="shared" si="4"/>
        <v>-734.39999999999986</v>
      </c>
      <c r="J82" s="11">
        <f>data!H82</f>
        <v>354</v>
      </c>
      <c r="K82" s="11">
        <f>data!J82</f>
        <v>558</v>
      </c>
      <c r="L82" s="11">
        <f t="shared" si="5"/>
        <v>-204</v>
      </c>
      <c r="M82" s="9">
        <f t="shared" si="6"/>
        <v>-0.36559139784946232</v>
      </c>
      <c r="N82" s="9">
        <f t="shared" si="7"/>
        <v>-0.36559139784946237</v>
      </c>
    </row>
    <row r="83" spans="1:14" x14ac:dyDescent="0.25">
      <c r="A83" t="str">
        <f>TEXT("1/"&amp;data!A83,"mmmm")</f>
        <v>janvier</v>
      </c>
      <c r="B83">
        <f>data!B83</f>
        <v>2016</v>
      </c>
      <c r="C83" t="str">
        <f>data!C83</f>
        <v>040</v>
      </c>
      <c r="D83" t="str">
        <f>data!D83</f>
        <v>CHÂTEAU DE LA GRAVE</v>
      </c>
      <c r="E83" t="str">
        <f>data!E83</f>
        <v>040007</v>
      </c>
      <c r="F83" t="str">
        <f>data!F83</f>
        <v>AC COTES DE BOURG G DE LA GRAVE</v>
      </c>
      <c r="G83" s="10">
        <f>data!G83</f>
        <v>644.35</v>
      </c>
      <c r="H83" s="10">
        <f>data!I83</f>
        <v>543.9</v>
      </c>
      <c r="I83" s="10">
        <f t="shared" si="4"/>
        <v>100.45000000000005</v>
      </c>
      <c r="J83" s="11">
        <f>data!H83</f>
        <v>326.83</v>
      </c>
      <c r="K83" s="11">
        <f>data!J83</f>
        <v>280.14</v>
      </c>
      <c r="L83" s="11">
        <f t="shared" si="5"/>
        <v>46.69</v>
      </c>
      <c r="M83" s="9">
        <f t="shared" si="6"/>
        <v>0.18468468468468477</v>
      </c>
      <c r="N83" s="9">
        <f t="shared" si="7"/>
        <v>0.16666666666666666</v>
      </c>
    </row>
    <row r="84" spans="1:14" x14ac:dyDescent="0.25">
      <c r="A84" t="str">
        <f>TEXT("1/"&amp;data!A84,"mmmm")</f>
        <v>janvier</v>
      </c>
      <c r="B84">
        <f>data!B84</f>
        <v>2016</v>
      </c>
      <c r="C84" t="str">
        <f>data!C84</f>
        <v>040</v>
      </c>
      <c r="D84" t="str">
        <f>data!D84</f>
        <v>CHÂTEAU DE LA GRAVE</v>
      </c>
      <c r="E84" t="str">
        <f>data!E84</f>
        <v>040008</v>
      </c>
      <c r="F84" t="str">
        <f>data!F84</f>
        <v>AC COTES DE BOURG G DE LA GRAVE</v>
      </c>
      <c r="G84" s="10">
        <f>data!G84</f>
        <v>151.19999999999999</v>
      </c>
      <c r="H84" s="10">
        <f>data!I84</f>
        <v>273.35000000000002</v>
      </c>
      <c r="I84" s="10">
        <f t="shared" si="4"/>
        <v>-122.15000000000003</v>
      </c>
      <c r="J84" s="11">
        <f>data!H84</f>
        <v>79.98</v>
      </c>
      <c r="K84" s="11">
        <f>data!J84</f>
        <v>146.63</v>
      </c>
      <c r="L84" s="11">
        <f t="shared" si="5"/>
        <v>-66.649999999999991</v>
      </c>
      <c r="M84" s="9">
        <f t="shared" si="6"/>
        <v>-0.4468629961587709</v>
      </c>
      <c r="N84" s="9">
        <f t="shared" si="7"/>
        <v>-0.45454545454545447</v>
      </c>
    </row>
    <row r="85" spans="1:14" x14ac:dyDescent="0.25">
      <c r="A85" t="str">
        <f>TEXT("1/"&amp;data!A85,"mmmm")</f>
        <v>janvier</v>
      </c>
      <c r="B85">
        <f>data!B85</f>
        <v>2016</v>
      </c>
      <c r="C85" t="str">
        <f>data!C85</f>
        <v>040</v>
      </c>
      <c r="D85" t="str">
        <f>data!D85</f>
        <v>CHÂTEAU DE LA GRAVE</v>
      </c>
      <c r="E85" t="str">
        <f>data!E85</f>
        <v>040011</v>
      </c>
      <c r="F85" t="str">
        <f>data!F85</f>
        <v>AC C DE BOURG BEL AIR</v>
      </c>
      <c r="G85" s="10">
        <f>data!G85</f>
        <v>54</v>
      </c>
      <c r="H85" s="10">
        <f>data!I85</f>
        <v>54</v>
      </c>
      <c r="I85" s="10">
        <f t="shared" si="4"/>
        <v>0</v>
      </c>
      <c r="J85" s="11">
        <f>data!H85</f>
        <v>12</v>
      </c>
      <c r="K85" s="11">
        <f>data!J85</f>
        <v>12</v>
      </c>
      <c r="L85" s="11">
        <f t="shared" si="5"/>
        <v>0</v>
      </c>
      <c r="M85" s="9">
        <f t="shared" si="6"/>
        <v>0</v>
      </c>
      <c r="N85" s="9">
        <f t="shared" si="7"/>
        <v>0</v>
      </c>
    </row>
    <row r="86" spans="1:14" x14ac:dyDescent="0.25">
      <c r="A86" t="str">
        <f>TEXT("1/"&amp;data!A86,"mmmm")</f>
        <v>janvier</v>
      </c>
      <c r="B86">
        <f>data!B86</f>
        <v>2016</v>
      </c>
      <c r="C86" t="str">
        <f>data!C86</f>
        <v>040</v>
      </c>
      <c r="D86" t="str">
        <f>data!D86</f>
        <v>CHÂTEAU DE LA GRAVE</v>
      </c>
      <c r="E86" t="str">
        <f>data!E86</f>
        <v>040012</v>
      </c>
      <c r="F86" t="str">
        <f>data!F86</f>
        <v>AC C DE BOURG BEL AIR</v>
      </c>
      <c r="G86" s="10">
        <f>data!G86</f>
        <v>48.3</v>
      </c>
      <c r="H86" s="10">
        <f>data!I86</f>
        <v>144.9</v>
      </c>
      <c r="I86" s="10">
        <f t="shared" si="4"/>
        <v>-96.600000000000009</v>
      </c>
      <c r="J86" s="11">
        <f>data!H86</f>
        <v>12</v>
      </c>
      <c r="K86" s="11">
        <f>data!J86</f>
        <v>36</v>
      </c>
      <c r="L86" s="11">
        <f t="shared" si="5"/>
        <v>-24</v>
      </c>
      <c r="M86" s="9">
        <f t="shared" si="6"/>
        <v>-0.66666666666666674</v>
      </c>
      <c r="N86" s="9">
        <f t="shared" si="7"/>
        <v>-0.66666666666666663</v>
      </c>
    </row>
    <row r="87" spans="1:14" x14ac:dyDescent="0.25">
      <c r="A87" t="str">
        <f>TEXT("1/"&amp;data!A87,"mmmm")</f>
        <v>janvier</v>
      </c>
      <c r="B87">
        <f>data!B87</f>
        <v>2016</v>
      </c>
      <c r="C87" t="str">
        <f>data!C87</f>
        <v>040</v>
      </c>
      <c r="D87" t="str">
        <f>data!D87</f>
        <v>CHÂTEAU DE LA GRAVE</v>
      </c>
      <c r="E87" t="str">
        <f>data!E87</f>
        <v>040015</v>
      </c>
      <c r="F87" t="str">
        <f>data!F87</f>
        <v>AC C DE BOURG. CARACTERE</v>
      </c>
      <c r="G87" s="10">
        <f>data!G87</f>
        <v>59.4</v>
      </c>
      <c r="H87" s="10">
        <f>data!I87</f>
        <v>171</v>
      </c>
      <c r="I87" s="10">
        <f t="shared" si="4"/>
        <v>-111.6</v>
      </c>
      <c r="J87" s="11">
        <f>data!H87</f>
        <v>12</v>
      </c>
      <c r="K87" s="11">
        <f>data!J87</f>
        <v>36</v>
      </c>
      <c r="L87" s="11">
        <f t="shared" si="5"/>
        <v>-24</v>
      </c>
      <c r="M87" s="9">
        <f t="shared" si="6"/>
        <v>-0.65263157894736834</v>
      </c>
      <c r="N87" s="9">
        <f t="shared" si="7"/>
        <v>-0.66666666666666663</v>
      </c>
    </row>
    <row r="88" spans="1:14" x14ac:dyDescent="0.25">
      <c r="A88" t="str">
        <f>TEXT("1/"&amp;data!A88,"mmmm")</f>
        <v>janvier</v>
      </c>
      <c r="B88">
        <f>data!B88</f>
        <v>2016</v>
      </c>
      <c r="C88" t="str">
        <f>data!C88</f>
        <v>041</v>
      </c>
      <c r="D88" t="str">
        <f>data!D88</f>
        <v>CHATEAU TOUR DE PEZ</v>
      </c>
      <c r="E88" t="str">
        <f>data!E88</f>
        <v>041001/10</v>
      </c>
      <c r="F88" t="str">
        <f>data!F88</f>
        <v>AC ST ESTEPHE CH TOUR DE PEZ</v>
      </c>
      <c r="G88" s="10">
        <f>data!G88</f>
        <v>747.9</v>
      </c>
      <c r="H88" s="10">
        <f>data!I88</f>
        <v>0</v>
      </c>
      <c r="I88" s="10">
        <f t="shared" si="4"/>
        <v>747.9</v>
      </c>
      <c r="J88" s="11">
        <f>data!H88</f>
        <v>54</v>
      </c>
      <c r="K88" s="11">
        <f>data!J88</f>
        <v>0</v>
      </c>
      <c r="L88" s="11">
        <f t="shared" si="5"/>
        <v>54</v>
      </c>
      <c r="M88" s="9" t="str">
        <f t="shared" si="6"/>
        <v/>
      </c>
      <c r="N88" s="9" t="str">
        <f t="shared" si="7"/>
        <v/>
      </c>
    </row>
    <row r="89" spans="1:14" x14ac:dyDescent="0.25">
      <c r="A89" t="str">
        <f>TEXT("1/"&amp;data!A89,"mmmm")</f>
        <v>janvier</v>
      </c>
      <c r="B89">
        <f>data!B89</f>
        <v>2016</v>
      </c>
      <c r="C89" t="str">
        <f>data!C89</f>
        <v>041</v>
      </c>
      <c r="D89" t="str">
        <f>data!D89</f>
        <v>CHATEAU TOUR DE PEZ</v>
      </c>
      <c r="E89" t="str">
        <f>data!E89</f>
        <v>041002</v>
      </c>
      <c r="F89" t="str">
        <f>data!F89</f>
        <v>AC ST ESTEPHE C.TOUR DE PEZ</v>
      </c>
      <c r="G89" s="10">
        <f>data!G89</f>
        <v>-1247.4000000000001</v>
      </c>
      <c r="H89" s="10">
        <f>data!I89</f>
        <v>203.4</v>
      </c>
      <c r="I89" s="10">
        <f t="shared" si="4"/>
        <v>-1450.8000000000002</v>
      </c>
      <c r="J89" s="11">
        <f>data!H89</f>
        <v>-108</v>
      </c>
      <c r="K89" s="11">
        <f>data!J89</f>
        <v>18</v>
      </c>
      <c r="L89" s="11">
        <f t="shared" si="5"/>
        <v>-126</v>
      </c>
      <c r="M89" s="9">
        <f t="shared" si="6"/>
        <v>-7.1327433628318593</v>
      </c>
      <c r="N89" s="9">
        <f t="shared" si="7"/>
        <v>-7</v>
      </c>
    </row>
    <row r="90" spans="1:14" x14ac:dyDescent="0.25">
      <c r="A90" t="str">
        <f>TEXT("1/"&amp;data!A90,"mmmm")</f>
        <v>janvier</v>
      </c>
      <c r="B90">
        <f>data!B90</f>
        <v>2016</v>
      </c>
      <c r="C90" t="str">
        <f>data!C90</f>
        <v>041</v>
      </c>
      <c r="D90" t="str">
        <f>data!D90</f>
        <v>CHATEAU TOUR DE PEZ</v>
      </c>
      <c r="E90" t="str">
        <f>data!E90</f>
        <v>041016</v>
      </c>
      <c r="F90" t="str">
        <f>data!F90</f>
        <v>AOP SAINT- ESTEPHE CH LES HAUTS DE PEZ</v>
      </c>
      <c r="G90" s="10">
        <f>data!G90</f>
        <v>1853.7</v>
      </c>
      <c r="H90" s="10">
        <f>data!I90</f>
        <v>0</v>
      </c>
      <c r="I90" s="10">
        <f t="shared" si="4"/>
        <v>1853.7</v>
      </c>
      <c r="J90" s="11">
        <f>data!H90</f>
        <v>222</v>
      </c>
      <c r="K90" s="11">
        <f>data!J90</f>
        <v>0</v>
      </c>
      <c r="L90" s="11">
        <f t="shared" si="5"/>
        <v>222</v>
      </c>
      <c r="M90" s="9" t="str">
        <f t="shared" si="6"/>
        <v/>
      </c>
      <c r="N90" s="9" t="str">
        <f t="shared" si="7"/>
        <v/>
      </c>
    </row>
    <row r="91" spans="1:14" x14ac:dyDescent="0.25">
      <c r="A91" t="str">
        <f>TEXT("1/"&amp;data!A91,"mmmm")</f>
        <v>janvier</v>
      </c>
      <c r="B91">
        <f>data!B91</f>
        <v>2016</v>
      </c>
      <c r="C91" t="str">
        <f>data!C91</f>
        <v>042</v>
      </c>
      <c r="D91" t="str">
        <f>data!D91</f>
        <v>LE CELLIER DES PRINCES</v>
      </c>
      <c r="E91" t="str">
        <f>data!E91</f>
        <v>042100</v>
      </c>
      <c r="F91" t="str">
        <f>data!F91</f>
        <v>IGP VAUCLUSE</v>
      </c>
      <c r="G91" s="10">
        <f>data!G91</f>
        <v>595.20000000000005</v>
      </c>
      <c r="H91" s="10">
        <f>data!I91</f>
        <v>598.5</v>
      </c>
      <c r="I91" s="10">
        <f t="shared" si="4"/>
        <v>-3.2999999999999545</v>
      </c>
      <c r="J91" s="11">
        <f>data!H91</f>
        <v>82664.600000000006</v>
      </c>
      <c r="K91" s="11">
        <f>data!J91</f>
        <v>83997.900000000009</v>
      </c>
      <c r="L91" s="11">
        <f t="shared" si="5"/>
        <v>-1333.3000000000029</v>
      </c>
      <c r="M91" s="9">
        <f t="shared" si="6"/>
        <v>-5.5137844611528059E-3</v>
      </c>
      <c r="N91" s="9">
        <f t="shared" si="7"/>
        <v>-1.5873015873015907E-2</v>
      </c>
    </row>
    <row r="92" spans="1:14" x14ac:dyDescent="0.25">
      <c r="A92" t="str">
        <f>TEXT("1/"&amp;data!A92,"mmmm")</f>
        <v>janvier</v>
      </c>
      <c r="B92">
        <f>data!B92</f>
        <v>2016</v>
      </c>
      <c r="C92" t="str">
        <f>data!C92</f>
        <v>046</v>
      </c>
      <c r="D92" t="str">
        <f>data!D92</f>
        <v>MR JEAN PIERRE CABANES</v>
      </c>
      <c r="E92" t="str">
        <f>data!E92</f>
        <v>046001</v>
      </c>
      <c r="F92" t="str">
        <f>data!F92</f>
        <v>AC CTX DU LANGU TRAD D.ARCHIMBAUD</v>
      </c>
      <c r="G92" s="10">
        <f>data!G92</f>
        <v>196.8</v>
      </c>
      <c r="H92" s="10">
        <f>data!I92</f>
        <v>661.2</v>
      </c>
      <c r="I92" s="10">
        <f t="shared" si="4"/>
        <v>-464.40000000000003</v>
      </c>
      <c r="J92" s="11">
        <f>data!H92</f>
        <v>48</v>
      </c>
      <c r="K92" s="11">
        <f>data!J92</f>
        <v>174</v>
      </c>
      <c r="L92" s="11">
        <f t="shared" si="5"/>
        <v>-126</v>
      </c>
      <c r="M92" s="9">
        <f t="shared" si="6"/>
        <v>-0.70235934664246824</v>
      </c>
      <c r="N92" s="9">
        <f t="shared" si="7"/>
        <v>-0.72413793103448276</v>
      </c>
    </row>
    <row r="93" spans="1:14" x14ac:dyDescent="0.25">
      <c r="A93" t="str">
        <f>TEXT("1/"&amp;data!A93,"mmmm")</f>
        <v>janvier</v>
      </c>
      <c r="B93">
        <f>data!B93</f>
        <v>2016</v>
      </c>
      <c r="C93" t="str">
        <f>data!C93</f>
        <v>046</v>
      </c>
      <c r="D93" t="str">
        <f>data!D93</f>
        <v>MR JEAN PIERRE CABANES</v>
      </c>
      <c r="E93" t="str">
        <f>data!E93</f>
        <v>046010</v>
      </c>
      <c r="F93" t="str">
        <f>data!F93</f>
        <v>AC COT DU LANG ROBE POURPRE</v>
      </c>
      <c r="G93" s="10">
        <f>data!G93</f>
        <v>345.6</v>
      </c>
      <c r="H93" s="10">
        <f>data!I93</f>
        <v>292.8</v>
      </c>
      <c r="I93" s="10">
        <f t="shared" si="4"/>
        <v>52.800000000000011</v>
      </c>
      <c r="J93" s="11">
        <f>data!H93</f>
        <v>54</v>
      </c>
      <c r="K93" s="11">
        <f>data!J93</f>
        <v>48</v>
      </c>
      <c r="L93" s="11">
        <f t="shared" si="5"/>
        <v>6</v>
      </c>
      <c r="M93" s="9">
        <f t="shared" si="6"/>
        <v>0.18032786885245905</v>
      </c>
      <c r="N93" s="9">
        <f t="shared" si="7"/>
        <v>0.125</v>
      </c>
    </row>
    <row r="94" spans="1:14" x14ac:dyDescent="0.25">
      <c r="A94" t="str">
        <f>TEXT("1/"&amp;data!A94,"mmmm")</f>
        <v>janvier</v>
      </c>
      <c r="B94">
        <f>data!B94</f>
        <v>2016</v>
      </c>
      <c r="C94" t="str">
        <f>data!C94</f>
        <v>046</v>
      </c>
      <c r="D94" t="str">
        <f>data!D94</f>
        <v>MR JEAN PIERRE CABANES</v>
      </c>
      <c r="E94" t="str">
        <f>data!E94</f>
        <v>046015</v>
      </c>
      <c r="F94" t="str">
        <f>data!F94</f>
        <v>AC COT DU LANGU D.ARCHIMBAUD</v>
      </c>
      <c r="G94" s="10">
        <f>data!G94</f>
        <v>231</v>
      </c>
      <c r="H94" s="10">
        <f>data!I94</f>
        <v>192</v>
      </c>
      <c r="I94" s="10">
        <f t="shared" si="4"/>
        <v>39</v>
      </c>
      <c r="J94" s="11">
        <f>data!H94</f>
        <v>66</v>
      </c>
      <c r="K94" s="11">
        <f>data!J94</f>
        <v>60</v>
      </c>
      <c r="L94" s="11">
        <f t="shared" si="5"/>
        <v>6</v>
      </c>
      <c r="M94" s="9">
        <f t="shared" si="6"/>
        <v>0.203125</v>
      </c>
      <c r="N94" s="9">
        <f t="shared" si="7"/>
        <v>0.1</v>
      </c>
    </row>
    <row r="95" spans="1:14" x14ac:dyDescent="0.25">
      <c r="A95" t="str">
        <f>TEXT("1/"&amp;data!A95,"mmmm")</f>
        <v>janvier</v>
      </c>
      <c r="B95">
        <f>data!B95</f>
        <v>2016</v>
      </c>
      <c r="C95" t="str">
        <f>data!C95</f>
        <v>046</v>
      </c>
      <c r="D95" t="str">
        <f>data!D95</f>
        <v>MR JEAN PIERRE CABANES</v>
      </c>
      <c r="E95" t="str">
        <f>data!E95</f>
        <v>046020</v>
      </c>
      <c r="F95" t="str">
        <f>data!F95</f>
        <v>AC COTEAUX DU LANGUEDOC ENFANT TERRIBLE</v>
      </c>
      <c r="G95" s="10">
        <f>data!G95</f>
        <v>126</v>
      </c>
      <c r="H95" s="10">
        <f>data!I95</f>
        <v>0</v>
      </c>
      <c r="I95" s="10">
        <f t="shared" si="4"/>
        <v>126</v>
      </c>
      <c r="J95" s="11">
        <f>data!H95</f>
        <v>18</v>
      </c>
      <c r="K95" s="11">
        <f>data!J95</f>
        <v>0</v>
      </c>
      <c r="L95" s="11">
        <f t="shared" si="5"/>
        <v>18</v>
      </c>
      <c r="M95" s="9" t="str">
        <f t="shared" si="6"/>
        <v/>
      </c>
      <c r="N95" s="9" t="str">
        <f t="shared" si="7"/>
        <v/>
      </c>
    </row>
    <row r="96" spans="1:14" x14ac:dyDescent="0.25">
      <c r="A96" t="str">
        <f>TEXT("1/"&amp;data!A96,"mmmm")</f>
        <v>janvier</v>
      </c>
      <c r="B96">
        <f>data!B96</f>
        <v>2016</v>
      </c>
      <c r="C96" t="str">
        <f>data!C96</f>
        <v>048B</v>
      </c>
      <c r="D96" t="str">
        <f>data!D96</f>
        <v>SCEA BOURLON DESTOUEST</v>
      </c>
      <c r="E96" t="str">
        <f>data!E96</f>
        <v>048003B</v>
      </c>
      <c r="F96" t="str">
        <f>data!F96</f>
        <v>AC PUISSEGUIN ST EMILION</v>
      </c>
      <c r="G96" s="10">
        <f>data!G96</f>
        <v>1461.6</v>
      </c>
      <c r="H96" s="10">
        <f>data!I96</f>
        <v>0</v>
      </c>
      <c r="I96" s="10">
        <f t="shared" si="4"/>
        <v>1461.6</v>
      </c>
      <c r="J96" s="11">
        <f>data!H96</f>
        <v>252</v>
      </c>
      <c r="K96" s="11">
        <f>data!J96</f>
        <v>0</v>
      </c>
      <c r="L96" s="11">
        <f t="shared" si="5"/>
        <v>252</v>
      </c>
      <c r="M96" s="9" t="str">
        <f t="shared" si="6"/>
        <v/>
      </c>
      <c r="N96" s="9" t="str">
        <f t="shared" si="7"/>
        <v/>
      </c>
    </row>
    <row r="97" spans="1:14" x14ac:dyDescent="0.25">
      <c r="A97" t="str">
        <f>TEXT("1/"&amp;data!A97,"mmmm")</f>
        <v>janvier</v>
      </c>
      <c r="B97">
        <f>data!B97</f>
        <v>2016</v>
      </c>
      <c r="C97" t="str">
        <f>data!C97</f>
        <v>049</v>
      </c>
      <c r="D97" t="str">
        <f>data!D97</f>
        <v>MAISON GRANDEAU</v>
      </c>
      <c r="E97" t="str">
        <f>data!E97</f>
        <v>049007</v>
      </c>
      <c r="F97" t="str">
        <f>data!F97</f>
        <v>AC BX SUP Tradi  CH LAUDUC</v>
      </c>
      <c r="G97" s="10">
        <f>data!G97</f>
        <v>138.6</v>
      </c>
      <c r="H97" s="10">
        <f>data!I97</f>
        <v>396</v>
      </c>
      <c r="I97" s="10">
        <f t="shared" si="4"/>
        <v>-257.39999999999998</v>
      </c>
      <c r="J97" s="11">
        <f>data!H97</f>
        <v>42</v>
      </c>
      <c r="K97" s="11">
        <f>data!J97</f>
        <v>120</v>
      </c>
      <c r="L97" s="11">
        <f t="shared" si="5"/>
        <v>-78</v>
      </c>
      <c r="M97" s="9">
        <f t="shared" si="6"/>
        <v>-0.64999999999999991</v>
      </c>
      <c r="N97" s="9">
        <f t="shared" si="7"/>
        <v>-0.65</v>
      </c>
    </row>
    <row r="98" spans="1:14" x14ac:dyDescent="0.25">
      <c r="A98" t="str">
        <f>TEXT("1/"&amp;data!A98,"mmmm")</f>
        <v>janvier</v>
      </c>
      <c r="B98">
        <f>data!B98</f>
        <v>2016</v>
      </c>
      <c r="C98" t="str">
        <f>data!C98</f>
        <v>049</v>
      </c>
      <c r="D98" t="str">
        <f>data!D98</f>
        <v>MAISON GRANDEAU</v>
      </c>
      <c r="E98" t="str">
        <f>data!E98</f>
        <v>049015</v>
      </c>
      <c r="F98" t="str">
        <f>data!F98</f>
        <v>AC BDX Classic CH LAUDUC</v>
      </c>
      <c r="G98" s="10">
        <f>data!G98</f>
        <v>615.6</v>
      </c>
      <c r="H98" s="10">
        <f>data!I98</f>
        <v>256.5</v>
      </c>
      <c r="I98" s="10">
        <f t="shared" si="4"/>
        <v>359.1</v>
      </c>
      <c r="J98" s="11">
        <f>data!H98</f>
        <v>216</v>
      </c>
      <c r="K98" s="11">
        <f>data!J98</f>
        <v>90</v>
      </c>
      <c r="L98" s="11">
        <f t="shared" si="5"/>
        <v>126</v>
      </c>
      <c r="M98" s="9">
        <f t="shared" si="6"/>
        <v>1.4000000000000001</v>
      </c>
      <c r="N98" s="9">
        <f t="shared" si="7"/>
        <v>1.4</v>
      </c>
    </row>
    <row r="99" spans="1:14" x14ac:dyDescent="0.25">
      <c r="A99" t="str">
        <f>TEXT("1/"&amp;data!A99,"mmmm")</f>
        <v>janvier</v>
      </c>
      <c r="B99">
        <f>data!B99</f>
        <v>2016</v>
      </c>
      <c r="C99" t="str">
        <f>data!C99</f>
        <v>049</v>
      </c>
      <c r="D99" t="str">
        <f>data!D99</f>
        <v>MAISON GRANDEAU</v>
      </c>
      <c r="E99" t="str">
        <f>data!E99</f>
        <v>049016</v>
      </c>
      <c r="F99" t="str">
        <f>data!F99</f>
        <v>AC BDX Classic CH LAUDUC</v>
      </c>
      <c r="G99" s="10">
        <f>data!G99</f>
        <v>86.4</v>
      </c>
      <c r="H99" s="10">
        <f>data!I99</f>
        <v>126</v>
      </c>
      <c r="I99" s="10">
        <f t="shared" si="4"/>
        <v>-39.599999999999994</v>
      </c>
      <c r="J99" s="11">
        <f>data!H99</f>
        <v>24</v>
      </c>
      <c r="K99" s="11">
        <f>data!J99</f>
        <v>36</v>
      </c>
      <c r="L99" s="11">
        <f t="shared" si="5"/>
        <v>-12</v>
      </c>
      <c r="M99" s="9">
        <f t="shared" si="6"/>
        <v>-0.31428571428571422</v>
      </c>
      <c r="N99" s="9">
        <f t="shared" si="7"/>
        <v>-0.33333333333333331</v>
      </c>
    </row>
    <row r="100" spans="1:14" x14ac:dyDescent="0.25">
      <c r="A100" t="str">
        <f>TEXT("1/"&amp;data!A100,"mmmm")</f>
        <v>janvier</v>
      </c>
      <c r="B100">
        <f>data!B100</f>
        <v>2016</v>
      </c>
      <c r="C100" t="str">
        <f>data!C100</f>
        <v>049</v>
      </c>
      <c r="D100" t="str">
        <f>data!D100</f>
        <v>MAISON GRANDEAU</v>
      </c>
      <c r="E100" t="str">
        <f>data!E100</f>
        <v>049020</v>
      </c>
      <c r="F100" t="str">
        <f>data!F100</f>
        <v>AC BDX CH.FLAMAND BELLEVUE</v>
      </c>
      <c r="G100" s="10">
        <f>data!G100</f>
        <v>1012.5</v>
      </c>
      <c r="H100" s="10">
        <f>data!I100</f>
        <v>791.04</v>
      </c>
      <c r="I100" s="10">
        <f t="shared" si="4"/>
        <v>221.46000000000004</v>
      </c>
      <c r="J100" s="11">
        <f>data!H100</f>
        <v>450</v>
      </c>
      <c r="K100" s="11">
        <f>data!J100</f>
        <v>402</v>
      </c>
      <c r="L100" s="11">
        <f t="shared" si="5"/>
        <v>48</v>
      </c>
      <c r="M100" s="9">
        <f t="shared" si="6"/>
        <v>0.27996055825242722</v>
      </c>
      <c r="N100" s="9">
        <f t="shared" si="7"/>
        <v>0.11940298507462686</v>
      </c>
    </row>
    <row r="101" spans="1:14" x14ac:dyDescent="0.25">
      <c r="A101" t="str">
        <f>TEXT("1/"&amp;data!A101,"mmmm")</f>
        <v>janvier</v>
      </c>
      <c r="B101">
        <f>data!B101</f>
        <v>2016</v>
      </c>
      <c r="C101" t="str">
        <f>data!C101</f>
        <v>050</v>
      </c>
      <c r="D101" t="str">
        <f>data!D101</f>
        <v>CHÂTEAU HAUT LIGNIERES</v>
      </c>
      <c r="E101" t="str">
        <f>data!E101</f>
        <v>050001</v>
      </c>
      <c r="F101" t="str">
        <f>data!F101</f>
        <v>AC FAUGERES LE 1ER CH HAUT LIGNIERES</v>
      </c>
      <c r="G101" s="10">
        <f>data!G101</f>
        <v>1881.6</v>
      </c>
      <c r="H101" s="10">
        <f>data!I101</f>
        <v>1209.5999999999999</v>
      </c>
      <c r="I101" s="10">
        <f t="shared" si="4"/>
        <v>672</v>
      </c>
      <c r="J101" s="11">
        <f>data!H101</f>
        <v>588</v>
      </c>
      <c r="K101" s="11">
        <f>data!J101</f>
        <v>390</v>
      </c>
      <c r="L101" s="11">
        <f t="shared" si="5"/>
        <v>198</v>
      </c>
      <c r="M101" s="9">
        <f t="shared" si="6"/>
        <v>0.55555555555555558</v>
      </c>
      <c r="N101" s="9">
        <f t="shared" si="7"/>
        <v>0.50769230769230766</v>
      </c>
    </row>
    <row r="102" spans="1:14" x14ac:dyDescent="0.25">
      <c r="A102" t="str">
        <f>TEXT("1/"&amp;data!A102,"mmmm")</f>
        <v>janvier</v>
      </c>
      <c r="B102">
        <f>data!B102</f>
        <v>2016</v>
      </c>
      <c r="C102" t="str">
        <f>data!C102</f>
        <v>050</v>
      </c>
      <c r="D102" t="str">
        <f>data!D102</f>
        <v>CHÂTEAU HAUT LIGNIERES</v>
      </c>
      <c r="E102" t="str">
        <f>data!E102</f>
        <v>050003</v>
      </c>
      <c r="F102" t="str">
        <f>data!F102</f>
        <v>AC FAUGERES HT LIGNIERES</v>
      </c>
      <c r="G102" s="10">
        <f>data!G102</f>
        <v>211.2</v>
      </c>
      <c r="H102" s="10">
        <f>data!I102</f>
        <v>0</v>
      </c>
      <c r="I102" s="10">
        <f t="shared" si="4"/>
        <v>211.2</v>
      </c>
      <c r="J102" s="11">
        <f>data!H102</f>
        <v>66</v>
      </c>
      <c r="K102" s="11">
        <f>data!J102</f>
        <v>0</v>
      </c>
      <c r="L102" s="11">
        <f t="shared" si="5"/>
        <v>66</v>
      </c>
      <c r="M102" s="9" t="str">
        <f t="shared" si="6"/>
        <v/>
      </c>
      <c r="N102" s="9" t="str">
        <f t="shared" si="7"/>
        <v/>
      </c>
    </row>
    <row r="103" spans="1:14" x14ac:dyDescent="0.25">
      <c r="A103" t="str">
        <f>TEXT("1/"&amp;data!A103,"mmmm")</f>
        <v>janvier</v>
      </c>
      <c r="B103">
        <f>data!B103</f>
        <v>2016</v>
      </c>
      <c r="C103" t="str">
        <f>data!C103</f>
        <v>050</v>
      </c>
      <c r="D103" t="str">
        <f>data!D103</f>
        <v>CHÂTEAU HAUT LIGNIERES</v>
      </c>
      <c r="E103" t="str">
        <f>data!E103</f>
        <v>050005</v>
      </c>
      <c r="F103" t="str">
        <f>data!F103</f>
        <v>AC FAUGERES ROMY CH HAUT LIGNIERES</v>
      </c>
      <c r="G103" s="10">
        <f>data!G103</f>
        <v>52.8</v>
      </c>
      <c r="H103" s="10">
        <f>data!I103</f>
        <v>0</v>
      </c>
      <c r="I103" s="10">
        <f t="shared" si="4"/>
        <v>52.8</v>
      </c>
      <c r="J103" s="11">
        <f>data!H103</f>
        <v>12</v>
      </c>
      <c r="K103" s="11">
        <f>data!J103</f>
        <v>0</v>
      </c>
      <c r="L103" s="11">
        <f t="shared" si="5"/>
        <v>12</v>
      </c>
      <c r="M103" s="9" t="str">
        <f t="shared" si="6"/>
        <v/>
      </c>
      <c r="N103" s="9" t="str">
        <f t="shared" si="7"/>
        <v/>
      </c>
    </row>
    <row r="104" spans="1:14" x14ac:dyDescent="0.25">
      <c r="A104" t="str">
        <f>TEXT("1/"&amp;data!A104,"mmmm")</f>
        <v>janvier</v>
      </c>
      <c r="B104">
        <f>data!B104</f>
        <v>2016</v>
      </c>
      <c r="C104" t="str">
        <f>data!C104</f>
        <v>051</v>
      </c>
      <c r="D104" t="str">
        <f>data!D104</f>
        <v>CLOS TRIMOULET</v>
      </c>
      <c r="E104" t="str">
        <f>data!E104</f>
        <v>051000</v>
      </c>
      <c r="F104" t="str">
        <f>data!F104</f>
        <v>AC MONTAGNE ST EMILION .CH ST GEORGES</v>
      </c>
      <c r="G104" s="10">
        <f>data!G104</f>
        <v>5833.8</v>
      </c>
      <c r="H104" s="10">
        <f>data!I104</f>
        <v>3897.6</v>
      </c>
      <c r="I104" s="10">
        <f t="shared" si="4"/>
        <v>1936.2000000000003</v>
      </c>
      <c r="J104" s="11">
        <f>data!H104</f>
        <v>1092</v>
      </c>
      <c r="K104" s="11">
        <f>data!J104</f>
        <v>696</v>
      </c>
      <c r="L104" s="11">
        <f t="shared" si="5"/>
        <v>396</v>
      </c>
      <c r="M104" s="9">
        <f t="shared" si="6"/>
        <v>0.49676724137931044</v>
      </c>
      <c r="N104" s="9">
        <f t="shared" si="7"/>
        <v>0.56896551724137934</v>
      </c>
    </row>
    <row r="105" spans="1:14" x14ac:dyDescent="0.25">
      <c r="A105" t="str">
        <f>TEXT("1/"&amp;data!A105,"mmmm")</f>
        <v>janvier</v>
      </c>
      <c r="B105">
        <f>data!B105</f>
        <v>2016</v>
      </c>
      <c r="C105" t="str">
        <f>data!C105</f>
        <v>051</v>
      </c>
      <c r="D105" t="str">
        <f>data!D105</f>
        <v>CLOS TRIMOULET</v>
      </c>
      <c r="E105" t="str">
        <f>data!E105</f>
        <v>051010/11</v>
      </c>
      <c r="F105" t="str">
        <f>data!F105</f>
        <v>CLOS TRIMOULET AC ST EMILION GD CRU</v>
      </c>
      <c r="G105" s="10">
        <f>data!G105</f>
        <v>4436.1000000000004</v>
      </c>
      <c r="H105" s="10">
        <f>data!I105</f>
        <v>0</v>
      </c>
      <c r="I105" s="10">
        <f t="shared" si="4"/>
        <v>4436.1000000000004</v>
      </c>
      <c r="J105" s="11">
        <f>data!H105</f>
        <v>564</v>
      </c>
      <c r="K105" s="11">
        <f>data!J105</f>
        <v>0</v>
      </c>
      <c r="L105" s="11">
        <f t="shared" si="5"/>
        <v>564</v>
      </c>
      <c r="M105" s="9" t="str">
        <f t="shared" si="6"/>
        <v/>
      </c>
      <c r="N105" s="9" t="str">
        <f t="shared" si="7"/>
        <v/>
      </c>
    </row>
    <row r="106" spans="1:14" x14ac:dyDescent="0.25">
      <c r="A106" t="str">
        <f>TEXT("1/"&amp;data!A106,"mmmm")</f>
        <v>janvier</v>
      </c>
      <c r="B106">
        <f>data!B106</f>
        <v>2016</v>
      </c>
      <c r="C106" t="str">
        <f>data!C106</f>
        <v>051</v>
      </c>
      <c r="D106" t="str">
        <f>data!D106</f>
        <v>CLOS TRIMOULET</v>
      </c>
      <c r="E106" t="str">
        <f>data!E106</f>
        <v>051017</v>
      </c>
      <c r="F106" t="str">
        <f>data!F106</f>
        <v>AC MONTAGNE ST EMILION CH ST GEORGES</v>
      </c>
      <c r="G106" s="10">
        <f>data!G106</f>
        <v>304.8</v>
      </c>
      <c r="H106" s="10">
        <f>data!I106</f>
        <v>831</v>
      </c>
      <c r="I106" s="10">
        <f t="shared" si="4"/>
        <v>-526.20000000000005</v>
      </c>
      <c r="J106" s="11">
        <f>data!H106</f>
        <v>48</v>
      </c>
      <c r="K106" s="11">
        <f>data!J106</f>
        <v>132</v>
      </c>
      <c r="L106" s="11">
        <f t="shared" si="5"/>
        <v>-84</v>
      </c>
      <c r="M106" s="9">
        <f t="shared" si="6"/>
        <v>-0.6332129963898917</v>
      </c>
      <c r="N106" s="9">
        <f t="shared" si="7"/>
        <v>-0.63636363636363635</v>
      </c>
    </row>
    <row r="107" spans="1:14" x14ac:dyDescent="0.25">
      <c r="A107" t="str">
        <f>TEXT("1/"&amp;data!A107,"mmmm")</f>
        <v>janvier</v>
      </c>
      <c r="B107">
        <f>data!B107</f>
        <v>2016</v>
      </c>
      <c r="C107" t="str">
        <f>data!C107</f>
        <v>051</v>
      </c>
      <c r="D107" t="str">
        <f>data!D107</f>
        <v>CLOS TRIMOULET</v>
      </c>
      <c r="E107" t="str">
        <f>data!E107</f>
        <v>051133</v>
      </c>
      <c r="F107" t="str">
        <f>data!F107</f>
        <v>CLOS TRIMOULET AC ST EMILION GRAND CRU</v>
      </c>
      <c r="G107" s="10">
        <f>data!G107</f>
        <v>633.6</v>
      </c>
      <c r="H107" s="10">
        <f>data!I107</f>
        <v>918</v>
      </c>
      <c r="I107" s="10">
        <f t="shared" si="4"/>
        <v>-284.39999999999998</v>
      </c>
      <c r="J107" s="11">
        <f>data!H107</f>
        <v>72</v>
      </c>
      <c r="K107" s="11">
        <f>data!J107</f>
        <v>108</v>
      </c>
      <c r="L107" s="11">
        <f t="shared" si="5"/>
        <v>-36</v>
      </c>
      <c r="M107" s="9">
        <f t="shared" si="6"/>
        <v>-0.30980392156862741</v>
      </c>
      <c r="N107" s="9">
        <f t="shared" si="7"/>
        <v>-0.33333333333333331</v>
      </c>
    </row>
    <row r="108" spans="1:14" x14ac:dyDescent="0.25">
      <c r="A108" t="str">
        <f>TEXT("1/"&amp;data!A108,"mmmm")</f>
        <v>janvier</v>
      </c>
      <c r="B108">
        <f>data!B108</f>
        <v>2016</v>
      </c>
      <c r="C108" t="str">
        <f>data!C108</f>
        <v>052</v>
      </c>
      <c r="D108" t="str">
        <f>data!D108</f>
        <v>GIRONDE ET GASCOGNE SARL</v>
      </c>
      <c r="E108" t="str">
        <f>data!E108</f>
        <v>052017</v>
      </c>
      <c r="F108" t="str">
        <f>data!F108</f>
        <v>AC HT MEDOC CRU B CH RAMAGE LA BATISSE</v>
      </c>
      <c r="G108" s="10">
        <f>data!G108</f>
        <v>471.6</v>
      </c>
      <c r="H108" s="10">
        <f>data!I108</f>
        <v>235.8</v>
      </c>
      <c r="I108" s="10">
        <f t="shared" si="4"/>
        <v>235.8</v>
      </c>
      <c r="J108" s="11">
        <f>data!H108</f>
        <v>48</v>
      </c>
      <c r="K108" s="11">
        <f>data!J108</f>
        <v>24</v>
      </c>
      <c r="L108" s="11">
        <f t="shared" si="5"/>
        <v>24</v>
      </c>
      <c r="M108" s="9">
        <f t="shared" si="6"/>
        <v>1</v>
      </c>
      <c r="N108" s="9">
        <f t="shared" si="7"/>
        <v>1</v>
      </c>
    </row>
    <row r="109" spans="1:14" x14ac:dyDescent="0.25">
      <c r="A109" t="str">
        <f>TEXT("1/"&amp;data!A109,"mmmm")</f>
        <v>janvier</v>
      </c>
      <c r="B109">
        <f>data!B109</f>
        <v>2016</v>
      </c>
      <c r="C109" t="str">
        <f>data!C109</f>
        <v>052</v>
      </c>
      <c r="D109" t="str">
        <f>data!D109</f>
        <v>GIRONDE ET GASCOGNE SARL</v>
      </c>
      <c r="E109" t="str">
        <f>data!E109</f>
        <v>052021</v>
      </c>
      <c r="F109" t="str">
        <f>data!F109</f>
        <v>CH RAMAGE LA BATISSE AC HAUT MEDOC CRU BOURGEOIS C</v>
      </c>
      <c r="G109" s="10">
        <f>data!G109</f>
        <v>345.6</v>
      </c>
      <c r="H109" s="10">
        <f>data!I109</f>
        <v>345.6</v>
      </c>
      <c r="I109" s="10">
        <f t="shared" si="4"/>
        <v>0</v>
      </c>
      <c r="J109" s="11">
        <f>data!H109</f>
        <v>36</v>
      </c>
      <c r="K109" s="11">
        <f>data!J109</f>
        <v>36</v>
      </c>
      <c r="L109" s="11">
        <f t="shared" si="5"/>
        <v>0</v>
      </c>
      <c r="M109" s="9">
        <f t="shared" si="6"/>
        <v>0</v>
      </c>
      <c r="N109" s="9">
        <f t="shared" si="7"/>
        <v>0</v>
      </c>
    </row>
    <row r="110" spans="1:14" x14ac:dyDescent="0.25">
      <c r="A110" t="str">
        <f>TEXT("1/"&amp;data!A110,"mmmm")</f>
        <v>janvier</v>
      </c>
      <c r="B110">
        <f>data!B110</f>
        <v>2016</v>
      </c>
      <c r="C110" t="str">
        <f>data!C110</f>
        <v>052</v>
      </c>
      <c r="D110" t="str">
        <f>data!D110</f>
        <v>GIRONDE ET GASCOGNE SARL</v>
      </c>
      <c r="E110" t="str">
        <f>data!E110</f>
        <v>052028</v>
      </c>
      <c r="F110" t="str">
        <f>data!F110</f>
        <v>AC BX LA ROSEE DE RAMAGE</v>
      </c>
      <c r="G110" s="10">
        <f>data!G110</f>
        <v>95.4</v>
      </c>
      <c r="H110" s="10">
        <f>data!I110</f>
        <v>143.1</v>
      </c>
      <c r="I110" s="10">
        <f t="shared" si="4"/>
        <v>-47.699999999999989</v>
      </c>
      <c r="J110" s="11">
        <f>data!H110</f>
        <v>42</v>
      </c>
      <c r="K110" s="11">
        <f>data!J110</f>
        <v>54</v>
      </c>
      <c r="L110" s="11">
        <f t="shared" si="5"/>
        <v>-12</v>
      </c>
      <c r="M110" s="9">
        <f t="shared" si="6"/>
        <v>-0.33333333333333326</v>
      </c>
      <c r="N110" s="9">
        <f t="shared" si="7"/>
        <v>-0.22222222222222221</v>
      </c>
    </row>
    <row r="111" spans="1:14" x14ac:dyDescent="0.25">
      <c r="A111" t="str">
        <f>TEXT("1/"&amp;data!A111,"mmmm")</f>
        <v>janvier</v>
      </c>
      <c r="B111">
        <f>data!B111</f>
        <v>2016</v>
      </c>
      <c r="C111" t="str">
        <f>data!C111</f>
        <v>052</v>
      </c>
      <c r="D111" t="str">
        <f>data!D111</f>
        <v>GIRONDE ET GASCOGNE SARL</v>
      </c>
      <c r="E111" t="str">
        <f>data!E111</f>
        <v>052039</v>
      </c>
      <c r="F111" t="str">
        <f>data!F111</f>
        <v>AC HT-MEDOC CLOS DE RAMAGE</v>
      </c>
      <c r="G111" s="10">
        <f>data!G111</f>
        <v>822</v>
      </c>
      <c r="H111" s="10">
        <f>data!I111</f>
        <v>616.5</v>
      </c>
      <c r="I111" s="10">
        <f t="shared" si="4"/>
        <v>205.5</v>
      </c>
      <c r="J111" s="11">
        <f>data!H111</f>
        <v>120</v>
      </c>
      <c r="K111" s="11">
        <f>data!J111</f>
        <v>90</v>
      </c>
      <c r="L111" s="11">
        <f t="shared" si="5"/>
        <v>30</v>
      </c>
      <c r="M111" s="9">
        <f t="shared" si="6"/>
        <v>0.33333333333333331</v>
      </c>
      <c r="N111" s="9">
        <f t="shared" si="7"/>
        <v>0.33333333333333331</v>
      </c>
    </row>
    <row r="112" spans="1:14" x14ac:dyDescent="0.25">
      <c r="A112" t="str">
        <f>TEXT("1/"&amp;data!A112,"mmmm")</f>
        <v>janvier</v>
      </c>
      <c r="B112">
        <f>data!B112</f>
        <v>2016</v>
      </c>
      <c r="C112" t="str">
        <f>data!C112</f>
        <v>052</v>
      </c>
      <c r="D112" t="str">
        <f>data!D112</f>
        <v>GIRONDE ET GASCOGNE SARL</v>
      </c>
      <c r="E112" t="str">
        <f>data!E112</f>
        <v>052046</v>
      </c>
      <c r="F112" t="str">
        <f>data!F112</f>
        <v>CLOS DE RAMAGE AC HAUT-MEDOC</v>
      </c>
      <c r="G112" s="10">
        <f>data!G112</f>
        <v>84.9</v>
      </c>
      <c r="H112" s="10">
        <f>data!I112</f>
        <v>169.8</v>
      </c>
      <c r="I112" s="10">
        <f t="shared" si="4"/>
        <v>-84.9</v>
      </c>
      <c r="J112" s="11">
        <f>data!H112</f>
        <v>12</v>
      </c>
      <c r="K112" s="11">
        <f>data!J112</f>
        <v>36</v>
      </c>
      <c r="L112" s="11">
        <f t="shared" si="5"/>
        <v>-24</v>
      </c>
      <c r="M112" s="9">
        <f t="shared" si="6"/>
        <v>-0.5</v>
      </c>
      <c r="N112" s="9">
        <f t="shared" si="7"/>
        <v>-0.66666666666666663</v>
      </c>
    </row>
    <row r="113" spans="1:14" x14ac:dyDescent="0.25">
      <c r="A113" t="str">
        <f>TEXT("1/"&amp;data!A113,"mmmm")</f>
        <v>janvier</v>
      </c>
      <c r="B113">
        <f>data!B113</f>
        <v>2016</v>
      </c>
      <c r="C113" t="str">
        <f>data!C113</f>
        <v>052</v>
      </c>
      <c r="D113" t="str">
        <f>data!D113</f>
        <v>GIRONDE ET GASCOGNE SARL</v>
      </c>
      <c r="E113" t="str">
        <f>data!E113</f>
        <v>052054</v>
      </c>
      <c r="F113" t="str">
        <f>data!F113</f>
        <v>CH DE BELCIER AC COTES DE CASTILLON</v>
      </c>
      <c r="G113" s="10">
        <f>data!G113</f>
        <v>214.2</v>
      </c>
      <c r="H113" s="10">
        <f>data!I113</f>
        <v>0</v>
      </c>
      <c r="I113" s="10">
        <f t="shared" si="4"/>
        <v>214.2</v>
      </c>
      <c r="J113" s="11">
        <f>data!H113</f>
        <v>36</v>
      </c>
      <c r="K113" s="11">
        <f>data!J113</f>
        <v>0</v>
      </c>
      <c r="L113" s="11">
        <f t="shared" si="5"/>
        <v>36</v>
      </c>
      <c r="M113" s="9" t="str">
        <f t="shared" si="6"/>
        <v/>
      </c>
      <c r="N113" s="9" t="str">
        <f t="shared" si="7"/>
        <v/>
      </c>
    </row>
    <row r="114" spans="1:14" x14ac:dyDescent="0.25">
      <c r="A114" t="str">
        <f>TEXT("1/"&amp;data!A114,"mmmm")</f>
        <v>janvier</v>
      </c>
      <c r="B114">
        <f>data!B114</f>
        <v>2016</v>
      </c>
      <c r="C114" t="str">
        <f>data!C114</f>
        <v>052</v>
      </c>
      <c r="D114" t="str">
        <f>data!D114</f>
        <v>GIRONDE ET GASCOGNE SARL</v>
      </c>
      <c r="E114" t="str">
        <f>data!E114</f>
        <v>052062</v>
      </c>
      <c r="F114" t="str">
        <f>data!F114</f>
        <v>AC C CASTILLON. CH BELCIER</v>
      </c>
      <c r="G114" s="10">
        <f>data!G114</f>
        <v>84.9</v>
      </c>
      <c r="H114" s="10">
        <f>data!I114</f>
        <v>0</v>
      </c>
      <c r="I114" s="10">
        <f t="shared" si="4"/>
        <v>84.9</v>
      </c>
      <c r="J114" s="11">
        <f>data!H114</f>
        <v>12</v>
      </c>
      <c r="K114" s="11">
        <f>data!J114</f>
        <v>0</v>
      </c>
      <c r="L114" s="11">
        <f t="shared" si="5"/>
        <v>12</v>
      </c>
      <c r="M114" s="9" t="str">
        <f t="shared" si="6"/>
        <v/>
      </c>
      <c r="N114" s="9" t="str">
        <f t="shared" si="7"/>
        <v/>
      </c>
    </row>
    <row r="115" spans="1:14" x14ac:dyDescent="0.25">
      <c r="A115" t="str">
        <f>TEXT("1/"&amp;data!A115,"mmmm")</f>
        <v>janvier</v>
      </c>
      <c r="B115">
        <f>data!B115</f>
        <v>2016</v>
      </c>
      <c r="C115" t="str">
        <f>data!C115</f>
        <v>054</v>
      </c>
      <c r="D115" t="str">
        <f>data!D115</f>
        <v>CHÂTEAU JEANDEMAN</v>
      </c>
      <c r="E115" t="str">
        <f>data!E115</f>
        <v>054002</v>
      </c>
      <c r="F115" t="str">
        <f>data!F115</f>
        <v>AC FRONSAC CH JEANDEMAN</v>
      </c>
      <c r="G115" s="10">
        <f>data!G115</f>
        <v>57.6</v>
      </c>
      <c r="H115" s="10">
        <f>data!I115</f>
        <v>0</v>
      </c>
      <c r="I115" s="10">
        <f t="shared" si="4"/>
        <v>57.6</v>
      </c>
      <c r="J115" s="11">
        <f>data!H115</f>
        <v>12</v>
      </c>
      <c r="K115" s="11">
        <f>data!J115</f>
        <v>0</v>
      </c>
      <c r="L115" s="11">
        <f t="shared" si="5"/>
        <v>12</v>
      </c>
      <c r="M115" s="9" t="str">
        <f t="shared" si="6"/>
        <v/>
      </c>
      <c r="N115" s="9" t="str">
        <f t="shared" si="7"/>
        <v/>
      </c>
    </row>
    <row r="116" spans="1:14" x14ac:dyDescent="0.25">
      <c r="A116" t="str">
        <f>TEXT("1/"&amp;data!A116,"mmmm")</f>
        <v>janvier</v>
      </c>
      <c r="B116">
        <f>data!B116</f>
        <v>2016</v>
      </c>
      <c r="C116" t="str">
        <f>data!C116</f>
        <v>054</v>
      </c>
      <c r="D116" t="str">
        <f>data!D116</f>
        <v>CHÂTEAU JEANDEMAN</v>
      </c>
      <c r="E116" t="str">
        <f>data!E116</f>
        <v>054005</v>
      </c>
      <c r="F116" t="str">
        <f>data!F116</f>
        <v>AC LALANDE DE POMEROL. CH LABORDE</v>
      </c>
      <c r="G116" s="10">
        <f>data!G116</f>
        <v>793.8</v>
      </c>
      <c r="H116" s="10">
        <f>data!I116</f>
        <v>0</v>
      </c>
      <c r="I116" s="10">
        <f t="shared" si="4"/>
        <v>793.8</v>
      </c>
      <c r="J116" s="11">
        <f>data!H116</f>
        <v>108</v>
      </c>
      <c r="K116" s="11">
        <f>data!J116</f>
        <v>0</v>
      </c>
      <c r="L116" s="11">
        <f t="shared" si="5"/>
        <v>108</v>
      </c>
      <c r="M116" s="9" t="str">
        <f t="shared" si="6"/>
        <v/>
      </c>
      <c r="N116" s="9" t="str">
        <f t="shared" si="7"/>
        <v/>
      </c>
    </row>
    <row r="117" spans="1:14" x14ac:dyDescent="0.25">
      <c r="A117" t="str">
        <f>TEXT("1/"&amp;data!A117,"mmmm")</f>
        <v>janvier</v>
      </c>
      <c r="B117">
        <f>data!B117</f>
        <v>2016</v>
      </c>
      <c r="C117" t="str">
        <f>data!C117</f>
        <v>054</v>
      </c>
      <c r="D117" t="str">
        <f>data!D117</f>
        <v>CHÂTEAU JEANDEMAN</v>
      </c>
      <c r="E117" t="str">
        <f>data!E117</f>
        <v>054011</v>
      </c>
      <c r="F117" t="str">
        <f>data!F117</f>
        <v>AC PESSAC LEOGNAN. CH MANCEDRE</v>
      </c>
      <c r="G117" s="10">
        <f>data!G117</f>
        <v>415.8</v>
      </c>
      <c r="H117" s="10">
        <f>data!I117</f>
        <v>0</v>
      </c>
      <c r="I117" s="10">
        <f t="shared" si="4"/>
        <v>415.8</v>
      </c>
      <c r="J117" s="11">
        <f>data!H117</f>
        <v>54</v>
      </c>
      <c r="K117" s="11">
        <f>data!J117</f>
        <v>0</v>
      </c>
      <c r="L117" s="11">
        <f t="shared" si="5"/>
        <v>54</v>
      </c>
      <c r="M117" s="9" t="str">
        <f t="shared" si="6"/>
        <v/>
      </c>
      <c r="N117" s="9" t="str">
        <f t="shared" si="7"/>
        <v/>
      </c>
    </row>
    <row r="118" spans="1:14" x14ac:dyDescent="0.25">
      <c r="A118" t="str">
        <f>TEXT("1/"&amp;data!A118,"mmmm")</f>
        <v>janvier</v>
      </c>
      <c r="B118">
        <f>data!B118</f>
        <v>2016</v>
      </c>
      <c r="C118" t="str">
        <f>data!C118</f>
        <v>059</v>
      </c>
      <c r="D118" t="str">
        <f>data!D118</f>
        <v>CH DU ROUET</v>
      </c>
      <c r="E118" t="str">
        <f>data!E118</f>
        <v>059002</v>
      </c>
      <c r="F118" t="str">
        <f>data!F118</f>
        <v>AC C.PROVENCE. ESTERELLE .ROUET</v>
      </c>
      <c r="G118" s="10">
        <f>data!G118</f>
        <v>75.599999999999994</v>
      </c>
      <c r="H118" s="10">
        <f>data!I118</f>
        <v>73.8</v>
      </c>
      <c r="I118" s="10">
        <f t="shared" si="4"/>
        <v>1.7999999999999972</v>
      </c>
      <c r="J118" s="11">
        <f>data!H118</f>
        <v>18</v>
      </c>
      <c r="K118" s="11">
        <f>data!J118</f>
        <v>18</v>
      </c>
      <c r="L118" s="11">
        <f t="shared" si="5"/>
        <v>0</v>
      </c>
      <c r="M118" s="9">
        <f t="shared" si="6"/>
        <v>2.4390243902438987E-2</v>
      </c>
      <c r="N118" s="9">
        <f t="shared" si="7"/>
        <v>0</v>
      </c>
    </row>
    <row r="119" spans="1:14" x14ac:dyDescent="0.25">
      <c r="A119" t="str">
        <f>TEXT("1/"&amp;data!A119,"mmmm")</f>
        <v>janvier</v>
      </c>
      <c r="B119">
        <f>data!B119</f>
        <v>2016</v>
      </c>
      <c r="C119" t="str">
        <f>data!C119</f>
        <v>059</v>
      </c>
      <c r="D119" t="str">
        <f>data!D119</f>
        <v>CH DU ROUET</v>
      </c>
      <c r="E119" t="str">
        <f>data!E119</f>
        <v>059004</v>
      </c>
      <c r="F119" t="str">
        <f>data!F119</f>
        <v>AP COTES DE PROVENCE ESTERELLE</v>
      </c>
      <c r="G119" s="10">
        <f>data!G119</f>
        <v>42.6</v>
      </c>
      <c r="H119" s="10">
        <f>data!I119</f>
        <v>40.799999999999997</v>
      </c>
      <c r="I119" s="10">
        <f t="shared" si="4"/>
        <v>1.8000000000000043</v>
      </c>
      <c r="J119" s="11">
        <f>data!H119</f>
        <v>12</v>
      </c>
      <c r="K119" s="11">
        <f>data!J119</f>
        <v>12</v>
      </c>
      <c r="L119" s="11">
        <f t="shared" si="5"/>
        <v>0</v>
      </c>
      <c r="M119" s="9">
        <f t="shared" si="6"/>
        <v>4.4117647058823636E-2</v>
      </c>
      <c r="N119" s="9">
        <f t="shared" si="7"/>
        <v>0</v>
      </c>
    </row>
    <row r="120" spans="1:14" x14ac:dyDescent="0.25">
      <c r="A120" t="str">
        <f>TEXT("1/"&amp;data!A120,"mmmm")</f>
        <v>janvier</v>
      </c>
      <c r="B120">
        <f>data!B120</f>
        <v>2016</v>
      </c>
      <c r="C120" t="str">
        <f>data!C120</f>
        <v>059</v>
      </c>
      <c r="D120" t="str">
        <f>data!D120</f>
        <v>CH DU ROUET</v>
      </c>
      <c r="E120" t="str">
        <f>data!E120</f>
        <v>059006</v>
      </c>
      <c r="F120" t="str">
        <f>data!F120</f>
        <v>AC C.PROVENCE. BELLE POULE</v>
      </c>
      <c r="G120" s="10">
        <f>data!G120</f>
        <v>66</v>
      </c>
      <c r="H120" s="10">
        <f>data!I120</f>
        <v>0</v>
      </c>
      <c r="I120" s="10">
        <f t="shared" si="4"/>
        <v>66</v>
      </c>
      <c r="J120" s="11">
        <f>data!H120</f>
        <v>12</v>
      </c>
      <c r="K120" s="11">
        <f>data!J120</f>
        <v>0</v>
      </c>
      <c r="L120" s="11">
        <f t="shared" si="5"/>
        <v>12</v>
      </c>
      <c r="M120" s="9" t="str">
        <f t="shared" si="6"/>
        <v/>
      </c>
      <c r="N120" s="9" t="str">
        <f t="shared" si="7"/>
        <v/>
      </c>
    </row>
    <row r="121" spans="1:14" x14ac:dyDescent="0.25">
      <c r="A121" t="str">
        <f>TEXT("1/"&amp;data!A121,"mmmm")</f>
        <v>janvier</v>
      </c>
      <c r="B121">
        <f>data!B121</f>
        <v>2016</v>
      </c>
      <c r="C121" t="str">
        <f>data!C121</f>
        <v>059</v>
      </c>
      <c r="D121" t="str">
        <f>data!D121</f>
        <v>CH DU ROUET</v>
      </c>
      <c r="E121" t="str">
        <f>data!E121</f>
        <v>059008</v>
      </c>
      <c r="F121" t="str">
        <f>data!F121</f>
        <v>AC C.PROVENCE. BELLE POULE</v>
      </c>
      <c r="G121" s="10">
        <f>data!G121</f>
        <v>33</v>
      </c>
      <c r="H121" s="10">
        <f>data!I121</f>
        <v>0</v>
      </c>
      <c r="I121" s="10">
        <f t="shared" si="4"/>
        <v>33</v>
      </c>
      <c r="J121" s="11">
        <f>data!H121</f>
        <v>6</v>
      </c>
      <c r="K121" s="11">
        <f>data!J121</f>
        <v>0</v>
      </c>
      <c r="L121" s="11">
        <f t="shared" si="5"/>
        <v>6</v>
      </c>
      <c r="M121" s="9" t="str">
        <f t="shared" si="6"/>
        <v/>
      </c>
      <c r="N121" s="9" t="str">
        <f t="shared" si="7"/>
        <v/>
      </c>
    </row>
    <row r="122" spans="1:14" x14ac:dyDescent="0.25">
      <c r="A122" t="str">
        <f>TEXT("1/"&amp;data!A122,"mmmm")</f>
        <v>janvier</v>
      </c>
      <c r="B122">
        <f>data!B122</f>
        <v>2016</v>
      </c>
      <c r="C122" t="str">
        <f>data!C122</f>
        <v>059</v>
      </c>
      <c r="D122" t="str">
        <f>data!D122</f>
        <v>CH DU ROUET</v>
      </c>
      <c r="E122" t="str">
        <f>data!E122</f>
        <v>059010</v>
      </c>
      <c r="F122" t="str">
        <f>data!F122</f>
        <v>AC C.PROVENCE. BELLE POULE</v>
      </c>
      <c r="G122" s="10">
        <f>data!G122</f>
        <v>33</v>
      </c>
      <c r="H122" s="10">
        <f>data!I122</f>
        <v>97.2</v>
      </c>
      <c r="I122" s="10">
        <f t="shared" si="4"/>
        <v>-64.2</v>
      </c>
      <c r="J122" s="11">
        <f>data!H122</f>
        <v>6</v>
      </c>
      <c r="K122" s="11">
        <f>data!J122</f>
        <v>18</v>
      </c>
      <c r="L122" s="11">
        <f t="shared" si="5"/>
        <v>-12</v>
      </c>
      <c r="M122" s="9">
        <f t="shared" si="6"/>
        <v>-0.66049382716049387</v>
      </c>
      <c r="N122" s="9">
        <f t="shared" si="7"/>
        <v>-0.66666666666666663</v>
      </c>
    </row>
    <row r="123" spans="1:14" x14ac:dyDescent="0.25">
      <c r="A123" t="str">
        <f>TEXT("1/"&amp;data!A123,"mmmm")</f>
        <v>janvier</v>
      </c>
      <c r="B123">
        <f>data!B123</f>
        <v>2016</v>
      </c>
      <c r="C123" t="str">
        <f>data!C123</f>
        <v>059</v>
      </c>
      <c r="D123" t="str">
        <f>data!D123</f>
        <v>CH DU ROUET</v>
      </c>
      <c r="E123" t="str">
        <f>data!E123</f>
        <v>059019</v>
      </c>
      <c r="F123" t="str">
        <f>data!F123</f>
        <v>AC COTES DE PROVENCE ESTERELLE</v>
      </c>
      <c r="G123" s="10">
        <f>data!G123</f>
        <v>21.3</v>
      </c>
      <c r="H123" s="10">
        <f>data!I123</f>
        <v>0</v>
      </c>
      <c r="I123" s="10">
        <f t="shared" si="4"/>
        <v>21.3</v>
      </c>
      <c r="J123" s="11">
        <f>data!H123</f>
        <v>6</v>
      </c>
      <c r="K123" s="11">
        <f>data!J123</f>
        <v>0</v>
      </c>
      <c r="L123" s="11">
        <f t="shared" si="5"/>
        <v>6</v>
      </c>
      <c r="M123" s="9" t="str">
        <f t="shared" si="6"/>
        <v/>
      </c>
      <c r="N123" s="9" t="str">
        <f t="shared" si="7"/>
        <v/>
      </c>
    </row>
    <row r="124" spans="1:14" x14ac:dyDescent="0.25">
      <c r="A124" t="str">
        <f>TEXT("1/"&amp;data!A124,"mmmm")</f>
        <v>janvier</v>
      </c>
      <c r="B124">
        <f>data!B124</f>
        <v>2016</v>
      </c>
      <c r="C124" t="str">
        <f>data!C124</f>
        <v>059</v>
      </c>
      <c r="D124" t="str">
        <f>data!D124</f>
        <v>CH DU ROUET</v>
      </c>
      <c r="E124" t="str">
        <f>data!E124</f>
        <v>059020</v>
      </c>
      <c r="F124" t="str">
        <f>data!F124</f>
        <v>AC C.PROVENCE ESTERELLE</v>
      </c>
      <c r="G124" s="10">
        <f>data!G124</f>
        <v>1895.7</v>
      </c>
      <c r="H124" s="10">
        <f>data!I124</f>
        <v>2488.8000000000002</v>
      </c>
      <c r="I124" s="10">
        <f t="shared" si="4"/>
        <v>-593.10000000000014</v>
      </c>
      <c r="J124" s="11">
        <f>data!H124</f>
        <v>540</v>
      </c>
      <c r="K124" s="11">
        <f>data!J124</f>
        <v>738</v>
      </c>
      <c r="L124" s="11">
        <f t="shared" si="5"/>
        <v>-198</v>
      </c>
      <c r="M124" s="9">
        <f t="shared" si="6"/>
        <v>-0.23830761812921894</v>
      </c>
      <c r="N124" s="9">
        <f t="shared" si="7"/>
        <v>-0.26829268292682928</v>
      </c>
    </row>
    <row r="125" spans="1:14" x14ac:dyDescent="0.25">
      <c r="A125" t="str">
        <f>TEXT("1/"&amp;data!A125,"mmmm")</f>
        <v>janvier</v>
      </c>
      <c r="B125">
        <f>data!B125</f>
        <v>2016</v>
      </c>
      <c r="C125" t="str">
        <f>data!C125</f>
        <v>059</v>
      </c>
      <c r="D125" t="str">
        <f>data!D125</f>
        <v>CH DU ROUET</v>
      </c>
      <c r="E125" t="str">
        <f>data!E125</f>
        <v>059021</v>
      </c>
      <c r="F125" t="str">
        <f>data!F125</f>
        <v>AC COTES DE PROVENCE</v>
      </c>
      <c r="G125" s="10">
        <f>data!G125</f>
        <v>208.6</v>
      </c>
      <c r="H125" s="10">
        <f>data!I125</f>
        <v>476.8</v>
      </c>
      <c r="I125" s="10">
        <f t="shared" si="4"/>
        <v>-268.20000000000005</v>
      </c>
      <c r="J125" s="11">
        <f>data!H125</f>
        <v>93.38</v>
      </c>
      <c r="K125" s="11">
        <f>data!J125</f>
        <v>220.10999999999999</v>
      </c>
      <c r="L125" s="11">
        <f t="shared" si="5"/>
        <v>-126.72999999999999</v>
      </c>
      <c r="M125" s="9">
        <f t="shared" si="6"/>
        <v>-0.56250000000000011</v>
      </c>
      <c r="N125" s="9">
        <f t="shared" si="7"/>
        <v>-0.5757575757575758</v>
      </c>
    </row>
    <row r="126" spans="1:14" x14ac:dyDescent="0.25">
      <c r="A126" t="str">
        <f>TEXT("1/"&amp;data!A126,"mmmm")</f>
        <v>janvier</v>
      </c>
      <c r="B126">
        <f>data!B126</f>
        <v>2016</v>
      </c>
      <c r="C126" t="str">
        <f>data!C126</f>
        <v>059</v>
      </c>
      <c r="D126" t="str">
        <f>data!D126</f>
        <v>CH DU ROUET</v>
      </c>
      <c r="E126" t="str">
        <f>data!E126</f>
        <v>059025</v>
      </c>
      <c r="F126" t="str">
        <f>data!F126</f>
        <v>VDP MEDITERRANEE TERES</v>
      </c>
      <c r="G126" s="10">
        <f>data!G126</f>
        <v>2821.5</v>
      </c>
      <c r="H126" s="10">
        <f>data!I126</f>
        <v>3273.6</v>
      </c>
      <c r="I126" s="10">
        <f t="shared" si="4"/>
        <v>-452.09999999999991</v>
      </c>
      <c r="J126" s="11">
        <f>data!H126</f>
        <v>1254</v>
      </c>
      <c r="K126" s="11">
        <f>data!J126</f>
        <v>1488</v>
      </c>
      <c r="L126" s="11">
        <f t="shared" si="5"/>
        <v>-234</v>
      </c>
      <c r="M126" s="9">
        <f t="shared" si="6"/>
        <v>-0.13810483870967741</v>
      </c>
      <c r="N126" s="9">
        <f t="shared" si="7"/>
        <v>-0.15725806451612903</v>
      </c>
    </row>
    <row r="127" spans="1:14" x14ac:dyDescent="0.25">
      <c r="A127" t="str">
        <f>TEXT("1/"&amp;data!A127,"mmmm")</f>
        <v>janvier</v>
      </c>
      <c r="B127">
        <f>data!B127</f>
        <v>2016</v>
      </c>
      <c r="C127" t="str">
        <f>data!C127</f>
        <v>059</v>
      </c>
      <c r="D127" t="str">
        <f>data!D127</f>
        <v>CH DU ROUET</v>
      </c>
      <c r="E127" t="str">
        <f>data!E127</f>
        <v>059026</v>
      </c>
      <c r="F127" t="str">
        <f>data!F127</f>
        <v>VDP MEDITERRANEE. TERES</v>
      </c>
      <c r="G127" s="10">
        <f>data!G127</f>
        <v>1366.2</v>
      </c>
      <c r="H127" s="10">
        <f>data!I127</f>
        <v>1079.0999999999999</v>
      </c>
      <c r="I127" s="10">
        <f t="shared" si="4"/>
        <v>287.10000000000014</v>
      </c>
      <c r="J127" s="11">
        <f>data!H127</f>
        <v>927.13</v>
      </c>
      <c r="K127" s="11">
        <f>data!J127</f>
        <v>760.38</v>
      </c>
      <c r="L127" s="11">
        <f t="shared" si="5"/>
        <v>166.75</v>
      </c>
      <c r="M127" s="9">
        <f t="shared" si="6"/>
        <v>0.26605504587155976</v>
      </c>
      <c r="N127" s="9">
        <f t="shared" si="7"/>
        <v>0.21929824561403508</v>
      </c>
    </row>
    <row r="128" spans="1:14" x14ac:dyDescent="0.25">
      <c r="A128" t="str">
        <f>TEXT("1/"&amp;data!A128,"mmmm")</f>
        <v>janvier</v>
      </c>
      <c r="B128">
        <f>data!B128</f>
        <v>2016</v>
      </c>
      <c r="C128" t="str">
        <f>data!C128</f>
        <v>059</v>
      </c>
      <c r="D128" t="str">
        <f>data!D128</f>
        <v>CH DU ROUET</v>
      </c>
      <c r="E128" t="str">
        <f>data!E128</f>
        <v>CDV059005</v>
      </c>
      <c r="F128" t="str">
        <f>data!F128</f>
        <v>AOP COTES DE PROVENCE ESTERELLE</v>
      </c>
      <c r="G128" s="10">
        <f>data!G128</f>
        <v>81.599999999999994</v>
      </c>
      <c r="H128" s="10">
        <f>data!I128</f>
        <v>0</v>
      </c>
      <c r="I128" s="10">
        <f t="shared" si="4"/>
        <v>81.599999999999994</v>
      </c>
      <c r="J128" s="11">
        <f>data!H128</f>
        <v>24</v>
      </c>
      <c r="K128" s="11">
        <f>data!J128</f>
        <v>0</v>
      </c>
      <c r="L128" s="11">
        <f t="shared" si="5"/>
        <v>24</v>
      </c>
      <c r="M128" s="9" t="str">
        <f t="shared" si="6"/>
        <v/>
      </c>
      <c r="N128" s="9" t="str">
        <f t="shared" si="7"/>
        <v/>
      </c>
    </row>
    <row r="129" spans="1:14" x14ac:dyDescent="0.25">
      <c r="A129" t="str">
        <f>TEXT("1/"&amp;data!A129,"mmmm")</f>
        <v>janvier</v>
      </c>
      <c r="B129">
        <f>data!B129</f>
        <v>2016</v>
      </c>
      <c r="C129" t="str">
        <f>data!C129</f>
        <v>059</v>
      </c>
      <c r="D129" t="str">
        <f>data!D129</f>
        <v>CH DU ROUET</v>
      </c>
      <c r="E129" t="str">
        <f>data!E129</f>
        <v>CDV059012</v>
      </c>
      <c r="F129" t="str">
        <f>data!F129</f>
        <v>AC C.PROVENCE. BELLE POULE</v>
      </c>
      <c r="G129" s="10">
        <f>data!G129</f>
        <v>0</v>
      </c>
      <c r="H129" s="10">
        <f>data!I129</f>
        <v>0</v>
      </c>
      <c r="I129" s="10">
        <f t="shared" si="4"/>
        <v>0</v>
      </c>
      <c r="J129" s="11">
        <f>data!H129</f>
        <v>60</v>
      </c>
      <c r="K129" s="11">
        <f>data!J129</f>
        <v>0</v>
      </c>
      <c r="L129" s="11">
        <f t="shared" si="5"/>
        <v>60</v>
      </c>
      <c r="M129" s="9" t="str">
        <f t="shared" si="6"/>
        <v/>
      </c>
      <c r="N129" s="9" t="str">
        <f t="shared" si="7"/>
        <v/>
      </c>
    </row>
    <row r="130" spans="1:14" x14ac:dyDescent="0.25">
      <c r="A130" t="str">
        <f>TEXT("1/"&amp;data!A130,"mmmm")</f>
        <v>janvier</v>
      </c>
      <c r="B130">
        <f>data!B130</f>
        <v>2016</v>
      </c>
      <c r="C130" t="str">
        <f>data!C130</f>
        <v>060</v>
      </c>
      <c r="D130" t="str">
        <f>data!D130</f>
        <v>GIRARD JM ET NOEL</v>
      </c>
      <c r="E130" t="str">
        <f>data!E130</f>
        <v>060015</v>
      </c>
      <c r="F130" t="str">
        <f>data!F130</f>
        <v>AC SAUMUR CHAMP. D VX BOURG</v>
      </c>
      <c r="G130" s="10">
        <f>data!G130</f>
        <v>583.20000000000005</v>
      </c>
      <c r="H130" s="10">
        <f>data!I130</f>
        <v>756</v>
      </c>
      <c r="I130" s="10">
        <f t="shared" si="4"/>
        <v>-172.79999999999995</v>
      </c>
      <c r="J130" s="11">
        <f>data!H130</f>
        <v>162</v>
      </c>
      <c r="K130" s="11">
        <f>data!J130</f>
        <v>210</v>
      </c>
      <c r="L130" s="11">
        <f t="shared" si="5"/>
        <v>-48</v>
      </c>
      <c r="M130" s="9">
        <f t="shared" si="6"/>
        <v>-0.22857142857142851</v>
      </c>
      <c r="N130" s="9">
        <f t="shared" si="7"/>
        <v>-0.22857142857142856</v>
      </c>
    </row>
    <row r="131" spans="1:14" x14ac:dyDescent="0.25">
      <c r="A131" t="str">
        <f>TEXT("1/"&amp;data!A131,"mmmm")</f>
        <v>janvier</v>
      </c>
      <c r="B131">
        <f>data!B131</f>
        <v>2016</v>
      </c>
      <c r="C131" t="str">
        <f>data!C131</f>
        <v>060</v>
      </c>
      <c r="D131" t="str">
        <f>data!D131</f>
        <v>GIRARD JM ET NOEL</v>
      </c>
      <c r="E131" t="str">
        <f>data!E131</f>
        <v>060016</v>
      </c>
      <c r="F131" t="str">
        <f>data!F131</f>
        <v>AC SAUMUR CHAMP. D VX BOURG</v>
      </c>
      <c r="G131" s="10">
        <f>data!G131</f>
        <v>26.64</v>
      </c>
      <c r="H131" s="10">
        <f>data!I131</f>
        <v>0</v>
      </c>
      <c r="I131" s="10">
        <f t="shared" ref="I131:I194" si="8">G131-H131</f>
        <v>26.64</v>
      </c>
      <c r="J131" s="11">
        <f>data!H131</f>
        <v>6</v>
      </c>
      <c r="K131" s="11">
        <f>data!J131</f>
        <v>0</v>
      </c>
      <c r="L131" s="11">
        <f t="shared" ref="L131:L194" si="9">J131-K131</f>
        <v>6</v>
      </c>
      <c r="M131" s="9" t="str">
        <f t="shared" ref="M131:M194" si="10">IF(ISERR(I131/H131),"",I131/H131)</f>
        <v/>
      </c>
      <c r="N131" s="9" t="str">
        <f t="shared" ref="N131:N194" si="11">IF(ISERR(L131/K131),"",L131/K131)</f>
        <v/>
      </c>
    </row>
    <row r="132" spans="1:14" x14ac:dyDescent="0.25">
      <c r="A132" t="str">
        <f>TEXT("1/"&amp;data!A132,"mmmm")</f>
        <v>janvier</v>
      </c>
      <c r="B132">
        <f>data!B132</f>
        <v>2016</v>
      </c>
      <c r="C132" t="str">
        <f>data!C132</f>
        <v>062</v>
      </c>
      <c r="D132" t="str">
        <f>data!D132</f>
        <v>CHATEAU CARBON D'ARTIGUES</v>
      </c>
      <c r="E132" t="str">
        <f>data!E132</f>
        <v>062003</v>
      </c>
      <c r="F132" t="str">
        <f>data!F132</f>
        <v>AC GRAVES. CARBON D'ARTIGUES</v>
      </c>
      <c r="G132" s="10">
        <f>data!G132</f>
        <v>1290</v>
      </c>
      <c r="H132" s="10">
        <f>data!I132</f>
        <v>954.6</v>
      </c>
      <c r="I132" s="10">
        <f t="shared" si="8"/>
        <v>335.4</v>
      </c>
      <c r="J132" s="11">
        <f>data!H132</f>
        <v>300</v>
      </c>
      <c r="K132" s="11">
        <f>data!J132</f>
        <v>222</v>
      </c>
      <c r="L132" s="11">
        <f t="shared" si="9"/>
        <v>78</v>
      </c>
      <c r="M132" s="9">
        <f t="shared" si="10"/>
        <v>0.35135135135135132</v>
      </c>
      <c r="N132" s="9">
        <f t="shared" si="11"/>
        <v>0.35135135135135137</v>
      </c>
    </row>
    <row r="133" spans="1:14" x14ac:dyDescent="0.25">
      <c r="A133" t="str">
        <f>TEXT("1/"&amp;data!A133,"mmmm")</f>
        <v>janvier</v>
      </c>
      <c r="B133">
        <f>data!B133</f>
        <v>2016</v>
      </c>
      <c r="C133" t="str">
        <f>data!C133</f>
        <v>062</v>
      </c>
      <c r="D133" t="str">
        <f>data!D133</f>
        <v>CHATEAU CARBON D'ARTIGUES</v>
      </c>
      <c r="E133" t="str">
        <f>data!E133</f>
        <v>062021</v>
      </c>
      <c r="F133" t="str">
        <f>data!F133</f>
        <v>AC GRAVES. CARBON D'ARTIGUES</v>
      </c>
      <c r="G133" s="10">
        <f>data!G133</f>
        <v>585.6</v>
      </c>
      <c r="H133" s="10">
        <f>data!I133</f>
        <v>36.6</v>
      </c>
      <c r="I133" s="10">
        <f t="shared" si="8"/>
        <v>549</v>
      </c>
      <c r="J133" s="11">
        <f>data!H133</f>
        <v>192</v>
      </c>
      <c r="K133" s="11">
        <f>data!J133</f>
        <v>12</v>
      </c>
      <c r="L133" s="11">
        <f t="shared" si="9"/>
        <v>180</v>
      </c>
      <c r="M133" s="9">
        <f t="shared" si="10"/>
        <v>15</v>
      </c>
      <c r="N133" s="9">
        <f t="shared" si="11"/>
        <v>15</v>
      </c>
    </row>
    <row r="134" spans="1:14" x14ac:dyDescent="0.25">
      <c r="A134" t="str">
        <f>TEXT("1/"&amp;data!A134,"mmmm")</f>
        <v>janvier</v>
      </c>
      <c r="B134">
        <f>data!B134</f>
        <v>2016</v>
      </c>
      <c r="C134" t="str">
        <f>data!C134</f>
        <v>062</v>
      </c>
      <c r="D134" t="str">
        <f>data!D134</f>
        <v>CHATEAU CARBON D'ARTIGUES</v>
      </c>
      <c r="E134" t="str">
        <f>data!E134</f>
        <v>062022</v>
      </c>
      <c r="F134" t="str">
        <f>data!F134</f>
        <v>AC GRAVES. CARBON D'ARTIGUES</v>
      </c>
      <c r="G134" s="10">
        <f>data!G134</f>
        <v>22.8</v>
      </c>
      <c r="H134" s="10">
        <f>data!I134</f>
        <v>0</v>
      </c>
      <c r="I134" s="10">
        <f t="shared" si="8"/>
        <v>22.8</v>
      </c>
      <c r="J134" s="11">
        <f>data!H134</f>
        <v>6</v>
      </c>
      <c r="K134" s="11">
        <f>data!J134</f>
        <v>0</v>
      </c>
      <c r="L134" s="11">
        <f t="shared" si="9"/>
        <v>6</v>
      </c>
      <c r="M134" s="9" t="str">
        <f t="shared" si="10"/>
        <v/>
      </c>
      <c r="N134" s="9" t="str">
        <f t="shared" si="11"/>
        <v/>
      </c>
    </row>
    <row r="135" spans="1:14" x14ac:dyDescent="0.25">
      <c r="A135" t="str">
        <f>TEXT("1/"&amp;data!A135,"mmmm")</f>
        <v>janvier</v>
      </c>
      <c r="B135">
        <f>data!B135</f>
        <v>2016</v>
      </c>
      <c r="C135" t="str">
        <f>data!C135</f>
        <v>062</v>
      </c>
      <c r="D135" t="str">
        <f>data!D135</f>
        <v>CHATEAU CARBON D'ARTIGUES</v>
      </c>
      <c r="E135" t="str">
        <f>data!E135</f>
        <v>062030</v>
      </c>
      <c r="F135" t="str">
        <f>data!F135</f>
        <v>AC CADILLAC CH LA PASSONNE</v>
      </c>
      <c r="G135" s="10">
        <f>data!G135</f>
        <v>57.6</v>
      </c>
      <c r="H135" s="10">
        <f>data!I135</f>
        <v>0</v>
      </c>
      <c r="I135" s="10">
        <f t="shared" si="8"/>
        <v>57.6</v>
      </c>
      <c r="J135" s="11">
        <f>data!H135</f>
        <v>12</v>
      </c>
      <c r="K135" s="11">
        <f>data!J135</f>
        <v>0</v>
      </c>
      <c r="L135" s="11">
        <f t="shared" si="9"/>
        <v>12</v>
      </c>
      <c r="M135" s="9" t="str">
        <f t="shared" si="10"/>
        <v/>
      </c>
      <c r="N135" s="9" t="str">
        <f t="shared" si="11"/>
        <v/>
      </c>
    </row>
    <row r="136" spans="1:14" x14ac:dyDescent="0.25">
      <c r="A136" t="str">
        <f>TEXT("1/"&amp;data!A136,"mmmm")</f>
        <v>janvier</v>
      </c>
      <c r="B136">
        <f>data!B136</f>
        <v>2016</v>
      </c>
      <c r="C136" t="str">
        <f>data!C136</f>
        <v>062</v>
      </c>
      <c r="D136" t="str">
        <f>data!D136</f>
        <v>CHATEAU CARBON D'ARTIGUES</v>
      </c>
      <c r="E136" t="str">
        <f>data!E136</f>
        <v>062032</v>
      </c>
      <c r="F136" t="str">
        <f>data!F136</f>
        <v>AOP GRAVES CH CARBON D'ARTIGUES</v>
      </c>
      <c r="G136" s="10">
        <f>data!G136</f>
        <v>203</v>
      </c>
      <c r="H136" s="10">
        <f>data!I136</f>
        <v>870</v>
      </c>
      <c r="I136" s="10">
        <f t="shared" si="8"/>
        <v>-667</v>
      </c>
      <c r="J136" s="11">
        <f>data!H136</f>
        <v>100.05</v>
      </c>
      <c r="K136" s="11">
        <f>data!J136</f>
        <v>400.2</v>
      </c>
      <c r="L136" s="11">
        <f t="shared" si="9"/>
        <v>-300.14999999999998</v>
      </c>
      <c r="M136" s="9">
        <f t="shared" si="10"/>
        <v>-0.76666666666666672</v>
      </c>
      <c r="N136" s="9">
        <f t="shared" si="11"/>
        <v>-0.75</v>
      </c>
    </row>
    <row r="137" spans="1:14" x14ac:dyDescent="0.25">
      <c r="A137" t="str">
        <f>TEXT("1/"&amp;data!A137,"mmmm")</f>
        <v>janvier</v>
      </c>
      <c r="B137">
        <f>data!B137</f>
        <v>2016</v>
      </c>
      <c r="C137" t="str">
        <f>data!C137</f>
        <v>074</v>
      </c>
      <c r="D137" t="str">
        <f>data!D137</f>
        <v>CAVE DE GIGONDAS</v>
      </c>
      <c r="E137" t="str">
        <f>data!E137</f>
        <v>074012</v>
      </c>
      <c r="F137" t="str">
        <f>data!F137</f>
        <v>AC GIGONDAS LA REFENCE</v>
      </c>
      <c r="G137" s="10">
        <f>data!G137</f>
        <v>729.6</v>
      </c>
      <c r="H137" s="10">
        <f>data!I137</f>
        <v>638.4</v>
      </c>
      <c r="I137" s="10">
        <f t="shared" si="8"/>
        <v>91.200000000000045</v>
      </c>
      <c r="J137" s="11">
        <f>data!H137</f>
        <v>96</v>
      </c>
      <c r="K137" s="11">
        <f>data!J137</f>
        <v>84</v>
      </c>
      <c r="L137" s="11">
        <f t="shared" si="9"/>
        <v>12</v>
      </c>
      <c r="M137" s="9">
        <f t="shared" si="10"/>
        <v>0.14285714285714293</v>
      </c>
      <c r="N137" s="9">
        <f t="shared" si="11"/>
        <v>0.14285714285714285</v>
      </c>
    </row>
    <row r="138" spans="1:14" x14ac:dyDescent="0.25">
      <c r="A138" t="str">
        <f>TEXT("1/"&amp;data!A138,"mmmm")</f>
        <v>janvier</v>
      </c>
      <c r="B138">
        <f>data!B138</f>
        <v>2016</v>
      </c>
      <c r="C138" t="str">
        <f>data!C138</f>
        <v>074</v>
      </c>
      <c r="D138" t="str">
        <f>data!D138</f>
        <v>CAVE DE GIGONDAS</v>
      </c>
      <c r="E138" t="str">
        <f>data!E138</f>
        <v>074013</v>
      </c>
      <c r="F138" t="str">
        <f>data!F138</f>
        <v>AC B DE VENISE TERRISSIMO</v>
      </c>
      <c r="G138" s="10">
        <f>data!G138</f>
        <v>1104</v>
      </c>
      <c r="H138" s="10">
        <f>data!I138</f>
        <v>491.4</v>
      </c>
      <c r="I138" s="10">
        <f t="shared" si="8"/>
        <v>612.6</v>
      </c>
      <c r="J138" s="11">
        <f>data!H138</f>
        <v>240</v>
      </c>
      <c r="K138" s="11">
        <f>data!J138</f>
        <v>108</v>
      </c>
      <c r="L138" s="11">
        <f t="shared" si="9"/>
        <v>132</v>
      </c>
      <c r="M138" s="9">
        <f t="shared" si="10"/>
        <v>1.2466422466422467</v>
      </c>
      <c r="N138" s="9">
        <f t="shared" si="11"/>
        <v>1.2222222222222223</v>
      </c>
    </row>
    <row r="139" spans="1:14" x14ac:dyDescent="0.25">
      <c r="A139" t="str">
        <f>TEXT("1/"&amp;data!A139,"mmmm")</f>
        <v>janvier</v>
      </c>
      <c r="B139">
        <f>data!B139</f>
        <v>2016</v>
      </c>
      <c r="C139" t="str">
        <f>data!C139</f>
        <v>075</v>
      </c>
      <c r="D139" t="str">
        <f>data!D139</f>
        <v>CHATEAU LE BREUIL RENAISSANCE</v>
      </c>
      <c r="E139" t="str">
        <f>data!E139</f>
        <v>075002</v>
      </c>
      <c r="F139" t="str">
        <f>data!F139</f>
        <v>AC MEDOC. CH.BREUIL RENAISSANCE</v>
      </c>
      <c r="G139" s="10">
        <f>data!G139</f>
        <v>1302.48</v>
      </c>
      <c r="H139" s="10">
        <f>data!I139</f>
        <v>284.39999999999998</v>
      </c>
      <c r="I139" s="10">
        <f t="shared" si="8"/>
        <v>1018.08</v>
      </c>
      <c r="J139" s="11">
        <f>data!H139</f>
        <v>324</v>
      </c>
      <c r="K139" s="11">
        <f>data!J139</f>
        <v>72</v>
      </c>
      <c r="L139" s="11">
        <f t="shared" si="9"/>
        <v>252</v>
      </c>
      <c r="M139" s="9">
        <f t="shared" si="10"/>
        <v>3.5797468354430384</v>
      </c>
      <c r="N139" s="9">
        <f t="shared" si="11"/>
        <v>3.5</v>
      </c>
    </row>
    <row r="140" spans="1:14" x14ac:dyDescent="0.25">
      <c r="A140" t="str">
        <f>TEXT("1/"&amp;data!A140,"mmmm")</f>
        <v>janvier</v>
      </c>
      <c r="B140">
        <f>data!B140</f>
        <v>2016</v>
      </c>
      <c r="C140" t="str">
        <f>data!C140</f>
        <v>075</v>
      </c>
      <c r="D140" t="str">
        <f>data!D140</f>
        <v>CHATEAU LE BREUIL RENAISSANCE</v>
      </c>
      <c r="E140" t="str">
        <f>data!E140</f>
        <v>075004</v>
      </c>
      <c r="F140" t="str">
        <f>data!F140</f>
        <v>AC MEDOC. CH.BREUIL RENAISSANCE</v>
      </c>
      <c r="G140" s="10">
        <f>data!G140</f>
        <v>55.2</v>
      </c>
      <c r="H140" s="10">
        <f>data!I140</f>
        <v>54</v>
      </c>
      <c r="I140" s="10">
        <f t="shared" si="8"/>
        <v>1.2000000000000028</v>
      </c>
      <c r="J140" s="11">
        <f>data!H140</f>
        <v>12</v>
      </c>
      <c r="K140" s="11">
        <f>data!J140</f>
        <v>12</v>
      </c>
      <c r="L140" s="11">
        <f t="shared" si="9"/>
        <v>0</v>
      </c>
      <c r="M140" s="9">
        <f t="shared" si="10"/>
        <v>2.2222222222222275E-2</v>
      </c>
      <c r="N140" s="9">
        <f t="shared" si="11"/>
        <v>0</v>
      </c>
    </row>
    <row r="141" spans="1:14" x14ac:dyDescent="0.25">
      <c r="A141" t="str">
        <f>TEXT("1/"&amp;data!A141,"mmmm")</f>
        <v>janvier</v>
      </c>
      <c r="B141">
        <f>data!B141</f>
        <v>2016</v>
      </c>
      <c r="C141" t="str">
        <f>data!C141</f>
        <v>075</v>
      </c>
      <c r="D141" t="str">
        <f>data!D141</f>
        <v>CHATEAU LE BREUIL RENAISSANCE</v>
      </c>
      <c r="E141" t="str">
        <f>data!E141</f>
        <v>075013</v>
      </c>
      <c r="F141" t="str">
        <f>data!F141</f>
        <v>AC MEDOC CRU BOURGEOIS CHATEAU DES CABANS</v>
      </c>
      <c r="G141" s="10">
        <f>data!G141</f>
        <v>686.4</v>
      </c>
      <c r="H141" s="10">
        <f>data!I141</f>
        <v>499.2</v>
      </c>
      <c r="I141" s="10">
        <f t="shared" si="8"/>
        <v>187.2</v>
      </c>
      <c r="J141" s="11">
        <f>data!H141</f>
        <v>132</v>
      </c>
      <c r="K141" s="11">
        <f>data!J141</f>
        <v>96</v>
      </c>
      <c r="L141" s="11">
        <f t="shared" si="9"/>
        <v>36</v>
      </c>
      <c r="M141" s="9">
        <f t="shared" si="10"/>
        <v>0.375</v>
      </c>
      <c r="N141" s="9">
        <f t="shared" si="11"/>
        <v>0.375</v>
      </c>
    </row>
    <row r="142" spans="1:14" x14ac:dyDescent="0.25">
      <c r="A142" t="str">
        <f>TEXT("1/"&amp;data!A142,"mmmm")</f>
        <v>janvier</v>
      </c>
      <c r="B142">
        <f>data!B142</f>
        <v>2016</v>
      </c>
      <c r="C142" t="str">
        <f>data!C142</f>
        <v>075</v>
      </c>
      <c r="D142" t="str">
        <f>data!D142</f>
        <v>CHATEAU LE BREUIL RENAISSANCE</v>
      </c>
      <c r="E142" t="str">
        <f>data!E142</f>
        <v>CDV075003</v>
      </c>
      <c r="F142" t="str">
        <f>data!F142</f>
        <v>AC MEDOC CHATEAU BREUIL RENAISSANCE</v>
      </c>
      <c r="G142" s="10">
        <f>data!G142</f>
        <v>-52.8</v>
      </c>
      <c r="H142" s="10">
        <f>data!I142</f>
        <v>0</v>
      </c>
      <c r="I142" s="10">
        <f t="shared" si="8"/>
        <v>-52.8</v>
      </c>
      <c r="J142" s="11">
        <f>data!H142</f>
        <v>-12</v>
      </c>
      <c r="K142" s="11">
        <f>data!J142</f>
        <v>0</v>
      </c>
      <c r="L142" s="11">
        <f t="shared" si="9"/>
        <v>-12</v>
      </c>
      <c r="M142" s="9" t="str">
        <f t="shared" si="10"/>
        <v/>
      </c>
      <c r="N142" s="9" t="str">
        <f t="shared" si="11"/>
        <v/>
      </c>
    </row>
    <row r="143" spans="1:14" x14ac:dyDescent="0.25">
      <c r="A143" t="str">
        <f>TEXT("1/"&amp;data!A143,"mmmm")</f>
        <v>janvier</v>
      </c>
      <c r="B143">
        <f>data!B143</f>
        <v>2016</v>
      </c>
      <c r="C143" t="str">
        <f>data!C143</f>
        <v>080</v>
      </c>
      <c r="D143" t="str">
        <f>data!D143</f>
        <v>DOMAINE DE ST PIERRE</v>
      </c>
      <c r="E143" t="str">
        <f>data!E143</f>
        <v>080010</v>
      </c>
      <c r="F143" t="str">
        <f>data!F143</f>
        <v>AC SANCERRE D.DE ST PIERRE</v>
      </c>
      <c r="G143" s="10">
        <f>data!G143</f>
        <v>642.6</v>
      </c>
      <c r="H143" s="10">
        <f>data!I143</f>
        <v>1134</v>
      </c>
      <c r="I143" s="10">
        <f t="shared" si="8"/>
        <v>-491.4</v>
      </c>
      <c r="J143" s="11">
        <f>data!H143</f>
        <v>108</v>
      </c>
      <c r="K143" s="11">
        <f>data!J143</f>
        <v>180</v>
      </c>
      <c r="L143" s="11">
        <f t="shared" si="9"/>
        <v>-72</v>
      </c>
      <c r="M143" s="9">
        <f t="shared" si="10"/>
        <v>-0.43333333333333329</v>
      </c>
      <c r="N143" s="9">
        <f t="shared" si="11"/>
        <v>-0.4</v>
      </c>
    </row>
    <row r="144" spans="1:14" x14ac:dyDescent="0.25">
      <c r="A144" t="str">
        <f>TEXT("1/"&amp;data!A144,"mmmm")</f>
        <v>janvier</v>
      </c>
      <c r="B144">
        <f>data!B144</f>
        <v>2016</v>
      </c>
      <c r="C144" t="str">
        <f>data!C144</f>
        <v>080</v>
      </c>
      <c r="D144" t="str">
        <f>data!D144</f>
        <v>DOMAINE DE ST PIERRE</v>
      </c>
      <c r="E144" t="str">
        <f>data!E144</f>
        <v>080011</v>
      </c>
      <c r="F144" t="str">
        <f>data!F144</f>
        <v>AC SANCERRE D.DE ST PIERRE</v>
      </c>
      <c r="G144" s="10">
        <f>data!G144</f>
        <v>92.4</v>
      </c>
      <c r="H144" s="10">
        <f>data!I144</f>
        <v>277.2</v>
      </c>
      <c r="I144" s="10">
        <f t="shared" si="8"/>
        <v>-184.79999999999998</v>
      </c>
      <c r="J144" s="11">
        <f>data!H144</f>
        <v>12</v>
      </c>
      <c r="K144" s="11">
        <f>data!J144</f>
        <v>36</v>
      </c>
      <c r="L144" s="11">
        <f t="shared" si="9"/>
        <v>-24</v>
      </c>
      <c r="M144" s="9">
        <f t="shared" si="10"/>
        <v>-0.66666666666666663</v>
      </c>
      <c r="N144" s="9">
        <f t="shared" si="11"/>
        <v>-0.66666666666666663</v>
      </c>
    </row>
    <row r="145" spans="1:14" x14ac:dyDescent="0.25">
      <c r="A145" t="str">
        <f>TEXT("1/"&amp;data!A145,"mmmm")</f>
        <v>janvier</v>
      </c>
      <c r="B145">
        <f>data!B145</f>
        <v>2016</v>
      </c>
      <c r="C145" t="str">
        <f>data!C145</f>
        <v>080</v>
      </c>
      <c r="D145" t="str">
        <f>data!D145</f>
        <v>DOMAINE DE ST PIERRE</v>
      </c>
      <c r="E145" t="str">
        <f>data!E145</f>
        <v>080015</v>
      </c>
      <c r="F145" t="str">
        <f>data!F145</f>
        <v>AC SANCERRE D.DE ST PIERRE</v>
      </c>
      <c r="G145" s="10">
        <f>data!G145</f>
        <v>79.2</v>
      </c>
      <c r="H145" s="10">
        <f>data!I145</f>
        <v>712.8</v>
      </c>
      <c r="I145" s="10">
        <f t="shared" si="8"/>
        <v>-633.59999999999991</v>
      </c>
      <c r="J145" s="11">
        <f>data!H145</f>
        <v>18</v>
      </c>
      <c r="K145" s="11">
        <f>data!J145</f>
        <v>114</v>
      </c>
      <c r="L145" s="11">
        <f t="shared" si="9"/>
        <v>-96</v>
      </c>
      <c r="M145" s="9">
        <f t="shared" si="10"/>
        <v>-0.88888888888888884</v>
      </c>
      <c r="N145" s="9">
        <f t="shared" si="11"/>
        <v>-0.84210526315789469</v>
      </c>
    </row>
    <row r="146" spans="1:14" x14ac:dyDescent="0.25">
      <c r="A146" t="str">
        <f>TEXT("1/"&amp;data!A146,"mmmm")</f>
        <v>janvier</v>
      </c>
      <c r="B146">
        <f>data!B146</f>
        <v>2016</v>
      </c>
      <c r="C146" t="str">
        <f>data!C146</f>
        <v>080</v>
      </c>
      <c r="D146" t="str">
        <f>data!D146</f>
        <v>DOMAINE DE ST PIERRE</v>
      </c>
      <c r="E146" t="str">
        <f>data!E146</f>
        <v>080016</v>
      </c>
      <c r="F146" t="str">
        <f>data!F146</f>
        <v>AC SANCERRE D.DE ST PIERRE</v>
      </c>
      <c r="G146" s="10">
        <f>data!G146</f>
        <v>92.4</v>
      </c>
      <c r="H146" s="10">
        <f>data!I146</f>
        <v>231</v>
      </c>
      <c r="I146" s="10">
        <f t="shared" si="8"/>
        <v>-138.6</v>
      </c>
      <c r="J146" s="11">
        <f>data!H146</f>
        <v>12</v>
      </c>
      <c r="K146" s="11">
        <f>data!J146</f>
        <v>30</v>
      </c>
      <c r="L146" s="11">
        <f t="shared" si="9"/>
        <v>-18</v>
      </c>
      <c r="M146" s="9">
        <f t="shared" si="10"/>
        <v>-0.6</v>
      </c>
      <c r="N146" s="9">
        <f t="shared" si="11"/>
        <v>-0.6</v>
      </c>
    </row>
    <row r="147" spans="1:14" x14ac:dyDescent="0.25">
      <c r="A147" t="str">
        <f>TEXT("1/"&amp;data!A147,"mmmm")</f>
        <v>janvier</v>
      </c>
      <c r="B147">
        <f>data!B147</f>
        <v>2016</v>
      </c>
      <c r="C147" t="str">
        <f>data!C147</f>
        <v>083</v>
      </c>
      <c r="D147" t="str">
        <f>data!D147</f>
        <v>LES TERROIRS D'OCCITANIE</v>
      </c>
      <c r="E147" t="str">
        <f>data!E147</f>
        <v>083003</v>
      </c>
      <c r="F147" t="str">
        <f>data!F147</f>
        <v>AC FAUGERES C.PREST DE LAURENS</v>
      </c>
      <c r="G147" s="10">
        <f>data!G147</f>
        <v>592.20000000000005</v>
      </c>
      <c r="H147" s="10">
        <f>data!I147</f>
        <v>159.9</v>
      </c>
      <c r="I147" s="10">
        <f t="shared" si="8"/>
        <v>432.30000000000007</v>
      </c>
      <c r="J147" s="11">
        <f>data!H147</f>
        <v>294</v>
      </c>
      <c r="K147" s="11">
        <f>data!J147</f>
        <v>78</v>
      </c>
      <c r="L147" s="11">
        <f t="shared" si="9"/>
        <v>216</v>
      </c>
      <c r="M147" s="9">
        <f t="shared" si="10"/>
        <v>2.7035647279549724</v>
      </c>
      <c r="N147" s="9">
        <f t="shared" si="11"/>
        <v>2.7692307692307692</v>
      </c>
    </row>
    <row r="148" spans="1:14" x14ac:dyDescent="0.25">
      <c r="A148" t="str">
        <f>TEXT("1/"&amp;data!A148,"mmmm")</f>
        <v>janvier</v>
      </c>
      <c r="B148">
        <f>data!B148</f>
        <v>2016</v>
      </c>
      <c r="C148" t="str">
        <f>data!C148</f>
        <v>084</v>
      </c>
      <c r="D148" t="str">
        <f>data!D148</f>
        <v>VIGNOBLE CASTELMAURE</v>
      </c>
      <c r="E148" t="str">
        <f>data!E148</f>
        <v>084001</v>
      </c>
      <c r="F148" t="str">
        <f>data!F148</f>
        <v>AC CORBIERES CASTELMAURE</v>
      </c>
      <c r="G148" s="10">
        <f>data!G148</f>
        <v>1330</v>
      </c>
      <c r="H148" s="10">
        <f>data!I148</f>
        <v>304</v>
      </c>
      <c r="I148" s="10">
        <f t="shared" si="8"/>
        <v>1026</v>
      </c>
      <c r="J148" s="11">
        <f>data!H148</f>
        <v>933.1</v>
      </c>
      <c r="K148" s="11">
        <f>data!J148</f>
        <v>213.28</v>
      </c>
      <c r="L148" s="11">
        <f t="shared" si="9"/>
        <v>719.82</v>
      </c>
      <c r="M148" s="9">
        <f t="shared" si="10"/>
        <v>3.375</v>
      </c>
      <c r="N148" s="9">
        <f t="shared" si="11"/>
        <v>3.375</v>
      </c>
    </row>
    <row r="149" spans="1:14" x14ac:dyDescent="0.25">
      <c r="A149" t="str">
        <f>TEXT("1/"&amp;data!A149,"mmmm")</f>
        <v>janvier</v>
      </c>
      <c r="B149">
        <f>data!B149</f>
        <v>2016</v>
      </c>
      <c r="C149" t="str">
        <f>data!C149</f>
        <v>084</v>
      </c>
      <c r="D149" t="str">
        <f>data!D149</f>
        <v>VIGNOBLE CASTELMAURE</v>
      </c>
      <c r="E149" t="str">
        <f>data!E149</f>
        <v>084002</v>
      </c>
      <c r="F149" t="str">
        <f>data!F149</f>
        <v>AC CORBIERES CASTELMAURE</v>
      </c>
      <c r="G149" s="10">
        <f>data!G149</f>
        <v>1826</v>
      </c>
      <c r="H149" s="10">
        <f>data!I149</f>
        <v>810.3</v>
      </c>
      <c r="I149" s="10">
        <f t="shared" si="8"/>
        <v>1015.7</v>
      </c>
      <c r="J149" s="11">
        <f>data!H149</f>
        <v>1120.56</v>
      </c>
      <c r="K149" s="11">
        <f>data!J149</f>
        <v>506.92</v>
      </c>
      <c r="L149" s="11">
        <f t="shared" si="9"/>
        <v>613.63999999999987</v>
      </c>
      <c r="M149" s="9">
        <f t="shared" si="10"/>
        <v>1.2534863630754043</v>
      </c>
      <c r="N149" s="9">
        <f t="shared" si="11"/>
        <v>1.2105263157894735</v>
      </c>
    </row>
    <row r="150" spans="1:14" x14ac:dyDescent="0.25">
      <c r="A150" t="str">
        <f>TEXT("1/"&amp;data!A150,"mmmm")</f>
        <v>janvier</v>
      </c>
      <c r="B150">
        <f>data!B150</f>
        <v>2016</v>
      </c>
      <c r="C150" t="str">
        <f>data!C150</f>
        <v>084</v>
      </c>
      <c r="D150" t="str">
        <f>data!D150</f>
        <v>VIGNOBLE CASTELMAURE</v>
      </c>
      <c r="E150" t="str">
        <f>data!E150</f>
        <v>084004</v>
      </c>
      <c r="F150" t="str">
        <f>data!F150</f>
        <v>VDT BUVETTE CASTELMAURE (x6)</v>
      </c>
      <c r="G150" s="10">
        <f>data!G150</f>
        <v>393.6</v>
      </c>
      <c r="H150" s="10">
        <f>data!I150</f>
        <v>246</v>
      </c>
      <c r="I150" s="10">
        <f t="shared" si="8"/>
        <v>147.60000000000002</v>
      </c>
      <c r="J150" s="11">
        <f>data!H150</f>
        <v>198</v>
      </c>
      <c r="K150" s="11">
        <f>data!J150</f>
        <v>120</v>
      </c>
      <c r="L150" s="11">
        <f t="shared" si="9"/>
        <v>78</v>
      </c>
      <c r="M150" s="9">
        <f t="shared" si="10"/>
        <v>0.60000000000000009</v>
      </c>
      <c r="N150" s="9">
        <f t="shared" si="11"/>
        <v>0.65</v>
      </c>
    </row>
    <row r="151" spans="1:14" x14ac:dyDescent="0.25">
      <c r="A151" t="str">
        <f>TEXT("1/"&amp;data!A151,"mmmm")</f>
        <v>janvier</v>
      </c>
      <c r="B151">
        <f>data!B151</f>
        <v>2016</v>
      </c>
      <c r="C151" t="str">
        <f>data!C151</f>
        <v>084</v>
      </c>
      <c r="D151" t="str">
        <f>data!D151</f>
        <v>VIGNOBLE CASTELMAURE</v>
      </c>
      <c r="E151" t="str">
        <f>data!E151</f>
        <v>084006</v>
      </c>
      <c r="F151" t="str">
        <f>data!F151</f>
        <v>AOP CORBIERES LE CASTELMAURE</v>
      </c>
      <c r="G151" s="10">
        <f>data!G151</f>
        <v>3483</v>
      </c>
      <c r="H151" s="10">
        <f>data!I151</f>
        <v>939.6</v>
      </c>
      <c r="I151" s="10">
        <f t="shared" si="8"/>
        <v>2543.4</v>
      </c>
      <c r="J151" s="11">
        <f>data!H151</f>
        <v>1296</v>
      </c>
      <c r="K151" s="11">
        <f>data!J151</f>
        <v>348</v>
      </c>
      <c r="L151" s="11">
        <f t="shared" si="9"/>
        <v>948</v>
      </c>
      <c r="M151" s="9">
        <f t="shared" si="10"/>
        <v>2.7068965517241379</v>
      </c>
      <c r="N151" s="9">
        <f t="shared" si="11"/>
        <v>2.7241379310344827</v>
      </c>
    </row>
    <row r="152" spans="1:14" x14ac:dyDescent="0.25">
      <c r="A152" t="str">
        <f>TEXT("1/"&amp;data!A152,"mmmm")</f>
        <v>janvier</v>
      </c>
      <c r="B152">
        <f>data!B152</f>
        <v>2016</v>
      </c>
      <c r="C152" t="str">
        <f>data!C152</f>
        <v>084</v>
      </c>
      <c r="D152" t="str">
        <f>data!D152</f>
        <v>VIGNOBLE CASTELMAURE</v>
      </c>
      <c r="E152" t="str">
        <f>data!E152</f>
        <v>084007</v>
      </c>
      <c r="F152" t="str">
        <f>data!F152</f>
        <v>AC CORBIERES LA POMPADOUR</v>
      </c>
      <c r="G152" s="10">
        <f>data!G152</f>
        <v>324</v>
      </c>
      <c r="H152" s="10">
        <f>data!I152</f>
        <v>376.32</v>
      </c>
      <c r="I152" s="10">
        <f t="shared" si="8"/>
        <v>-52.319999999999993</v>
      </c>
      <c r="J152" s="11">
        <f>data!H152</f>
        <v>72</v>
      </c>
      <c r="K152" s="11">
        <f>data!J152</f>
        <v>84</v>
      </c>
      <c r="L152" s="11">
        <f t="shared" si="9"/>
        <v>-12</v>
      </c>
      <c r="M152" s="9">
        <f t="shared" si="10"/>
        <v>-0.13903061224489793</v>
      </c>
      <c r="N152" s="9">
        <f t="shared" si="11"/>
        <v>-0.14285714285714285</v>
      </c>
    </row>
    <row r="153" spans="1:14" x14ac:dyDescent="0.25">
      <c r="A153" t="str">
        <f>TEXT("1/"&amp;data!A153,"mmmm")</f>
        <v>janvier</v>
      </c>
      <c r="B153">
        <f>data!B153</f>
        <v>2016</v>
      </c>
      <c r="C153" t="str">
        <f>data!C153</f>
        <v>084</v>
      </c>
      <c r="D153" t="str">
        <f>data!D153</f>
        <v>VIGNOBLE CASTELMAURE</v>
      </c>
      <c r="E153" t="str">
        <f>data!E153</f>
        <v>084008</v>
      </c>
      <c r="F153" t="str">
        <f>data!F153</f>
        <v>AC CORBIERES LA GDE CUVEE</v>
      </c>
      <c r="G153" s="10">
        <f>data!G153</f>
        <v>105.3</v>
      </c>
      <c r="H153" s="10">
        <f>data!I153</f>
        <v>244.86</v>
      </c>
      <c r="I153" s="10">
        <f t="shared" si="8"/>
        <v>-139.56</v>
      </c>
      <c r="J153" s="11">
        <f>data!H153</f>
        <v>24</v>
      </c>
      <c r="K153" s="11">
        <f>data!J153</f>
        <v>42</v>
      </c>
      <c r="L153" s="11">
        <f t="shared" si="9"/>
        <v>-18</v>
      </c>
      <c r="M153" s="9">
        <f t="shared" si="10"/>
        <v>-0.56995834354324915</v>
      </c>
      <c r="N153" s="9">
        <f t="shared" si="11"/>
        <v>-0.42857142857142855</v>
      </c>
    </row>
    <row r="154" spans="1:14" x14ac:dyDescent="0.25">
      <c r="A154" t="str">
        <f>TEXT("1/"&amp;data!A154,"mmmm")</f>
        <v>janvier</v>
      </c>
      <c r="B154">
        <f>data!B154</f>
        <v>2016</v>
      </c>
      <c r="C154" t="str">
        <f>data!C154</f>
        <v>084</v>
      </c>
      <c r="D154" t="str">
        <f>data!D154</f>
        <v>VIGNOBLE CASTELMAURE</v>
      </c>
      <c r="E154" t="str">
        <f>data!E154</f>
        <v>084032</v>
      </c>
      <c r="F154" t="str">
        <f>data!F154</f>
        <v>AC CORBIERE CASTELMAURE</v>
      </c>
      <c r="G154" s="10">
        <f>data!G154</f>
        <v>518.4</v>
      </c>
      <c r="H154" s="10">
        <f>data!I154</f>
        <v>0</v>
      </c>
      <c r="I154" s="10">
        <f t="shared" si="8"/>
        <v>518.4</v>
      </c>
      <c r="J154" s="11">
        <f>data!H154</f>
        <v>204</v>
      </c>
      <c r="K154" s="11">
        <f>data!J154</f>
        <v>0</v>
      </c>
      <c r="L154" s="11">
        <f t="shared" si="9"/>
        <v>204</v>
      </c>
      <c r="M154" s="9" t="str">
        <f t="shared" si="10"/>
        <v/>
      </c>
      <c r="N154" s="9" t="str">
        <f t="shared" si="11"/>
        <v/>
      </c>
    </row>
    <row r="155" spans="1:14" x14ac:dyDescent="0.25">
      <c r="A155" t="str">
        <f>TEXT("1/"&amp;data!A155,"mmmm")</f>
        <v>janvier</v>
      </c>
      <c r="B155">
        <f>data!B155</f>
        <v>2016</v>
      </c>
      <c r="C155" t="str">
        <f>data!C155</f>
        <v>086B</v>
      </c>
      <c r="D155" t="str">
        <f>data!D155</f>
        <v>PRODIFFU - TERRE DE VIGNERONS</v>
      </c>
      <c r="E155" t="str">
        <f>data!E155</f>
        <v>086001P</v>
      </c>
      <c r="F155" t="str">
        <f>data!F155</f>
        <v>AC C.DE DURAS BERTICOT</v>
      </c>
      <c r="G155" s="10">
        <f>data!G155</f>
        <v>67.16</v>
      </c>
      <c r="H155" s="10">
        <f>data!I155</f>
        <v>325.39999999999998</v>
      </c>
      <c r="I155" s="10">
        <f t="shared" si="8"/>
        <v>-258.24</v>
      </c>
      <c r="J155" s="11">
        <f>data!H155</f>
        <v>186.62</v>
      </c>
      <c r="K155" s="11">
        <f>data!J155</f>
        <v>266.60000000000002</v>
      </c>
      <c r="L155" s="11">
        <f t="shared" si="9"/>
        <v>-79.980000000000018</v>
      </c>
      <c r="M155" s="9">
        <f t="shared" si="10"/>
        <v>-0.79360786724031973</v>
      </c>
      <c r="N155" s="9">
        <f t="shared" si="11"/>
        <v>-0.30000000000000004</v>
      </c>
    </row>
    <row r="156" spans="1:14" x14ac:dyDescent="0.25">
      <c r="A156" t="str">
        <f>TEXT("1/"&amp;data!A156,"mmmm")</f>
        <v>janvier</v>
      </c>
      <c r="B156">
        <f>data!B156</f>
        <v>2016</v>
      </c>
      <c r="C156" t="str">
        <f>data!C156</f>
        <v>086B</v>
      </c>
      <c r="D156" t="str">
        <f>data!D156</f>
        <v>PRODIFFU - TERRE DE VIGNERONS</v>
      </c>
      <c r="E156" t="str">
        <f>data!E156</f>
        <v>086002P</v>
      </c>
      <c r="F156" t="str">
        <f>data!F156</f>
        <v>AC C.DE DURAS BERTICOT</v>
      </c>
      <c r="G156" s="10">
        <f>data!G156</f>
        <v>0</v>
      </c>
      <c r="H156" s="10">
        <f>data!I156</f>
        <v>179.6</v>
      </c>
      <c r="I156" s="10">
        <f t="shared" si="8"/>
        <v>-179.6</v>
      </c>
      <c r="J156" s="11">
        <f>data!H156</f>
        <v>440.21999999999997</v>
      </c>
      <c r="K156" s="11">
        <f>data!J156</f>
        <v>133.4</v>
      </c>
      <c r="L156" s="11">
        <f t="shared" si="9"/>
        <v>306.81999999999994</v>
      </c>
      <c r="M156" s="9">
        <f t="shared" si="10"/>
        <v>-1</v>
      </c>
      <c r="N156" s="9">
        <f t="shared" si="11"/>
        <v>2.2999999999999994</v>
      </c>
    </row>
    <row r="157" spans="1:14" x14ac:dyDescent="0.25">
      <c r="A157" t="str">
        <f>TEXT("1/"&amp;data!A157,"mmmm")</f>
        <v>janvier</v>
      </c>
      <c r="B157">
        <f>data!B157</f>
        <v>2016</v>
      </c>
      <c r="C157" t="str">
        <f>data!C157</f>
        <v>086B</v>
      </c>
      <c r="D157" t="str">
        <f>data!D157</f>
        <v>PRODIFFU - TERRE DE VIGNERONS</v>
      </c>
      <c r="E157" t="str">
        <f>data!E157</f>
        <v>086011P</v>
      </c>
      <c r="F157" t="str">
        <f>data!F157</f>
        <v>AC C.DE DURAS BERTICOT</v>
      </c>
      <c r="G157" s="10">
        <f>data!G157</f>
        <v>151.11000000000001</v>
      </c>
      <c r="H157" s="10">
        <f>data!I157</f>
        <v>65.08</v>
      </c>
      <c r="I157" s="10">
        <f t="shared" si="8"/>
        <v>86.030000000000015</v>
      </c>
      <c r="J157" s="11">
        <f>data!H157</f>
        <v>119.97</v>
      </c>
      <c r="K157" s="11">
        <f>data!J157</f>
        <v>53.32</v>
      </c>
      <c r="L157" s="11">
        <f t="shared" si="9"/>
        <v>66.650000000000006</v>
      </c>
      <c r="M157" s="9">
        <f t="shared" si="10"/>
        <v>1.3219114935464047</v>
      </c>
      <c r="N157" s="9">
        <f t="shared" si="11"/>
        <v>1.25</v>
      </c>
    </row>
    <row r="158" spans="1:14" x14ac:dyDescent="0.25">
      <c r="A158" t="str">
        <f>TEXT("1/"&amp;data!A158,"mmmm")</f>
        <v>janvier</v>
      </c>
      <c r="B158">
        <f>data!B158</f>
        <v>2016</v>
      </c>
      <c r="C158" t="str">
        <f>data!C158</f>
        <v>086B</v>
      </c>
      <c r="D158" t="str">
        <f>data!D158</f>
        <v>PRODIFFU - TERRE DE VIGNERONS</v>
      </c>
      <c r="E158" t="str">
        <f>data!E158</f>
        <v>086012P</v>
      </c>
      <c r="F158" t="str">
        <f>data!F158</f>
        <v>AC C.DE DURAS BERTICOT</v>
      </c>
      <c r="G158" s="10">
        <f>data!G158</f>
        <v>55.56</v>
      </c>
      <c r="H158" s="10">
        <f>data!I158</f>
        <v>224.5</v>
      </c>
      <c r="I158" s="10">
        <f t="shared" si="8"/>
        <v>-168.94</v>
      </c>
      <c r="J158" s="11">
        <f>data!H158</f>
        <v>40.019999999999996</v>
      </c>
      <c r="K158" s="11">
        <f>data!J158</f>
        <v>180.09</v>
      </c>
      <c r="L158" s="11">
        <f t="shared" si="9"/>
        <v>-140.07</v>
      </c>
      <c r="M158" s="9">
        <f t="shared" si="10"/>
        <v>-0.75251670378619151</v>
      </c>
      <c r="N158" s="9">
        <f t="shared" si="11"/>
        <v>-0.77777777777777768</v>
      </c>
    </row>
    <row r="159" spans="1:14" x14ac:dyDescent="0.25">
      <c r="A159" t="str">
        <f>TEXT("1/"&amp;data!A159,"mmmm")</f>
        <v>janvier</v>
      </c>
      <c r="B159">
        <f>data!B159</f>
        <v>2016</v>
      </c>
      <c r="C159" t="str">
        <f>data!C159</f>
        <v>088</v>
      </c>
      <c r="D159" t="str">
        <f>data!D159</f>
        <v>MR PORTIER</v>
      </c>
      <c r="E159" t="str">
        <f>data!E159</f>
        <v>088001</v>
      </c>
      <c r="F159" t="str">
        <f>data!F159</f>
        <v>DOMAINE PORTIER AC QUINCY</v>
      </c>
      <c r="G159" s="10">
        <f>data!G159</f>
        <v>250.56</v>
      </c>
      <c r="H159" s="10">
        <f>data!I159</f>
        <v>0</v>
      </c>
      <c r="I159" s="10">
        <f t="shared" si="8"/>
        <v>250.56</v>
      </c>
      <c r="J159" s="11">
        <f>data!H159</f>
        <v>36</v>
      </c>
      <c r="K159" s="11">
        <f>data!J159</f>
        <v>0</v>
      </c>
      <c r="L159" s="11">
        <f t="shared" si="9"/>
        <v>36</v>
      </c>
      <c r="M159" s="9" t="str">
        <f t="shared" si="10"/>
        <v/>
      </c>
      <c r="N159" s="9" t="str">
        <f t="shared" si="11"/>
        <v/>
      </c>
    </row>
    <row r="160" spans="1:14" x14ac:dyDescent="0.25">
      <c r="A160" t="str">
        <f>TEXT("1/"&amp;data!A160,"mmmm")</f>
        <v>janvier</v>
      </c>
      <c r="B160">
        <f>data!B160</f>
        <v>2016</v>
      </c>
      <c r="C160" t="str">
        <f>data!C160</f>
        <v>089</v>
      </c>
      <c r="D160" t="str">
        <f>data!D160</f>
        <v>DOMAINE DE LA PALEINE</v>
      </c>
      <c r="E160" t="str">
        <f>data!E160</f>
        <v>089002</v>
      </c>
      <c r="F160" t="str">
        <f>data!F160</f>
        <v>AC SAUMUR C.DU PRINTEMPS LA PALEINE</v>
      </c>
      <c r="G160" s="10">
        <f>data!G160</f>
        <v>298.2</v>
      </c>
      <c r="H160" s="10">
        <f>data!I160</f>
        <v>21</v>
      </c>
      <c r="I160" s="10">
        <f t="shared" si="8"/>
        <v>277.2</v>
      </c>
      <c r="J160" s="11">
        <f>data!H160</f>
        <v>84</v>
      </c>
      <c r="K160" s="11">
        <f>data!J160</f>
        <v>6</v>
      </c>
      <c r="L160" s="11">
        <f t="shared" si="9"/>
        <v>78</v>
      </c>
      <c r="M160" s="9">
        <f t="shared" si="10"/>
        <v>13.2</v>
      </c>
      <c r="N160" s="9">
        <f t="shared" si="11"/>
        <v>13</v>
      </c>
    </row>
    <row r="161" spans="1:14" x14ac:dyDescent="0.25">
      <c r="A161" t="str">
        <f>TEXT("1/"&amp;data!A161,"mmmm")</f>
        <v>janvier</v>
      </c>
      <c r="B161">
        <f>data!B161</f>
        <v>2016</v>
      </c>
      <c r="C161" t="str">
        <f>data!C161</f>
        <v>089</v>
      </c>
      <c r="D161" t="str">
        <f>data!D161</f>
        <v>DOMAINE DE LA PALEINE</v>
      </c>
      <c r="E161" t="str">
        <f>data!E161</f>
        <v>089010</v>
      </c>
      <c r="F161" t="str">
        <f>data!F161</f>
        <v>AC SAUMUR DLA PALEINE</v>
      </c>
      <c r="G161" s="10">
        <f>data!G161</f>
        <v>108</v>
      </c>
      <c r="H161" s="10">
        <f>data!I161</f>
        <v>0</v>
      </c>
      <c r="I161" s="10">
        <f t="shared" si="8"/>
        <v>108</v>
      </c>
      <c r="J161" s="11">
        <f>data!H161</f>
        <v>36</v>
      </c>
      <c r="K161" s="11">
        <f>data!J161</f>
        <v>-6</v>
      </c>
      <c r="L161" s="11">
        <f t="shared" si="9"/>
        <v>42</v>
      </c>
      <c r="M161" s="9" t="str">
        <f t="shared" si="10"/>
        <v/>
      </c>
      <c r="N161" s="9">
        <f t="shared" si="11"/>
        <v>-7</v>
      </c>
    </row>
    <row r="162" spans="1:14" x14ac:dyDescent="0.25">
      <c r="A162" t="str">
        <f>TEXT("1/"&amp;data!A162,"mmmm")</f>
        <v>janvier</v>
      </c>
      <c r="B162">
        <f>data!B162</f>
        <v>2016</v>
      </c>
      <c r="C162" t="str">
        <f>data!C162</f>
        <v>089</v>
      </c>
      <c r="D162" t="str">
        <f>data!D162</f>
        <v>DOMAINE DE LA PALEINE</v>
      </c>
      <c r="E162" t="str">
        <f>data!E162</f>
        <v>089800</v>
      </c>
      <c r="F162" t="str">
        <f>data!F162</f>
        <v>AC SAUMUR BRUT D.DE LA PALEINE</v>
      </c>
      <c r="G162" s="10">
        <f>data!G162</f>
        <v>-1353</v>
      </c>
      <c r="H162" s="10">
        <f>data!I162</f>
        <v>0</v>
      </c>
      <c r="I162" s="10">
        <f t="shared" si="8"/>
        <v>-1353</v>
      </c>
      <c r="J162" s="11">
        <f>data!H162</f>
        <v>-330</v>
      </c>
      <c r="K162" s="11">
        <f>data!J162</f>
        <v>0</v>
      </c>
      <c r="L162" s="11">
        <f t="shared" si="9"/>
        <v>-330</v>
      </c>
      <c r="M162" s="9" t="str">
        <f t="shared" si="10"/>
        <v/>
      </c>
      <c r="N162" s="9" t="str">
        <f t="shared" si="11"/>
        <v/>
      </c>
    </row>
    <row r="163" spans="1:14" x14ac:dyDescent="0.25">
      <c r="A163" t="str">
        <f>TEXT("1/"&amp;data!A163,"mmmm")</f>
        <v>janvier</v>
      </c>
      <c r="B163">
        <f>data!B163</f>
        <v>2016</v>
      </c>
      <c r="C163" t="str">
        <f>data!C163</f>
        <v>089</v>
      </c>
      <c r="D163" t="str">
        <f>data!D163</f>
        <v>DOMAINE DE LA PALEINE</v>
      </c>
      <c r="E163" t="str">
        <f>data!E163</f>
        <v>089900</v>
      </c>
      <c r="F163" t="str">
        <f>data!F163</f>
        <v>AC SAUMUR RESERVE D.LA PALEINE</v>
      </c>
      <c r="G163" s="10">
        <f>data!G163</f>
        <v>789.75</v>
      </c>
      <c r="H163" s="10">
        <f>data!I163</f>
        <v>222.75</v>
      </c>
      <c r="I163" s="10">
        <f t="shared" si="8"/>
        <v>567</v>
      </c>
      <c r="J163" s="11">
        <f>data!H163</f>
        <v>519.87</v>
      </c>
      <c r="K163" s="11">
        <f>data!J163</f>
        <v>146.63</v>
      </c>
      <c r="L163" s="11">
        <f t="shared" si="9"/>
        <v>373.24</v>
      </c>
      <c r="M163" s="9">
        <f t="shared" si="10"/>
        <v>2.5454545454545454</v>
      </c>
      <c r="N163" s="9">
        <f t="shared" si="11"/>
        <v>2.5454545454545454</v>
      </c>
    </row>
    <row r="164" spans="1:14" x14ac:dyDescent="0.25">
      <c r="A164" t="str">
        <f>TEXT("1/"&amp;data!A164,"mmmm")</f>
        <v>janvier</v>
      </c>
      <c r="B164">
        <f>data!B164</f>
        <v>2016</v>
      </c>
      <c r="C164" t="str">
        <f>data!C164</f>
        <v>089</v>
      </c>
      <c r="D164" t="str">
        <f>data!D164</f>
        <v>DOMAINE DE LA PALEINE</v>
      </c>
      <c r="E164" t="str">
        <f>data!E164</f>
        <v>089901</v>
      </c>
      <c r="F164" t="str">
        <f>data!F164</f>
        <v>AC SAUMUR D.LA PALEINE</v>
      </c>
      <c r="G164" s="10">
        <f>data!G164</f>
        <v>805.2</v>
      </c>
      <c r="H164" s="10">
        <f>data!I164</f>
        <v>378.2</v>
      </c>
      <c r="I164" s="10">
        <f t="shared" si="8"/>
        <v>427.00000000000006</v>
      </c>
      <c r="J164" s="11">
        <f>data!H164</f>
        <v>446.89</v>
      </c>
      <c r="K164" s="11">
        <f>data!J164</f>
        <v>206.77</v>
      </c>
      <c r="L164" s="11">
        <f t="shared" si="9"/>
        <v>240.11999999999998</v>
      </c>
      <c r="M164" s="9">
        <f t="shared" si="10"/>
        <v>1.1290322580645162</v>
      </c>
      <c r="N164" s="9">
        <f t="shared" si="11"/>
        <v>1.161290322580645</v>
      </c>
    </row>
    <row r="165" spans="1:14" x14ac:dyDescent="0.25">
      <c r="A165" t="str">
        <f>TEXT("1/"&amp;data!A165,"mmmm")</f>
        <v>janvier</v>
      </c>
      <c r="B165">
        <f>data!B165</f>
        <v>2016</v>
      </c>
      <c r="C165" t="str">
        <f>data!C165</f>
        <v>089</v>
      </c>
      <c r="D165" t="str">
        <f>data!D165</f>
        <v>DOMAINE DE LA PALEINE</v>
      </c>
      <c r="E165" t="str">
        <f>data!E165</f>
        <v>089903</v>
      </c>
      <c r="F165" t="str">
        <f>data!F165</f>
        <v>AC SAUMUR BRUT M.TRAD LA PALEINE</v>
      </c>
      <c r="G165" s="10">
        <f>data!G165</f>
        <v>1385.1</v>
      </c>
      <c r="H165" s="10">
        <f>data!I165</f>
        <v>456</v>
      </c>
      <c r="I165" s="10">
        <f t="shared" si="8"/>
        <v>929.09999999999991</v>
      </c>
      <c r="J165" s="11">
        <f>data!H165</f>
        <v>348</v>
      </c>
      <c r="K165" s="11">
        <f>data!J165</f>
        <v>114</v>
      </c>
      <c r="L165" s="11">
        <f t="shared" si="9"/>
        <v>234</v>
      </c>
      <c r="M165" s="9">
        <f t="shared" si="10"/>
        <v>2.0374999999999996</v>
      </c>
      <c r="N165" s="9">
        <f t="shared" si="11"/>
        <v>2.0526315789473686</v>
      </c>
    </row>
    <row r="166" spans="1:14" x14ac:dyDescent="0.25">
      <c r="A166" t="str">
        <f>TEXT("1/"&amp;data!A166,"mmmm")</f>
        <v>janvier</v>
      </c>
      <c r="B166">
        <f>data!B166</f>
        <v>2016</v>
      </c>
      <c r="C166" t="str">
        <f>data!C166</f>
        <v>092</v>
      </c>
      <c r="D166" t="str">
        <f>data!D166</f>
        <v/>
      </c>
      <c r="E166" t="str">
        <f>data!E166</f>
        <v>092002</v>
      </c>
      <c r="F166" t="str">
        <f>data!F166</f>
        <v>AC CX LANG P.ST LOUP.M DES COSTES</v>
      </c>
      <c r="G166" s="10">
        <f>data!G166</f>
        <v>72.599999999999994</v>
      </c>
      <c r="H166" s="10">
        <f>data!I166</f>
        <v>471.9</v>
      </c>
      <c r="I166" s="10">
        <f t="shared" si="8"/>
        <v>-399.29999999999995</v>
      </c>
      <c r="J166" s="11">
        <f>data!H166</f>
        <v>12</v>
      </c>
      <c r="K166" s="11">
        <f>data!J166</f>
        <v>78</v>
      </c>
      <c r="L166" s="11">
        <f t="shared" si="9"/>
        <v>-66</v>
      </c>
      <c r="M166" s="9">
        <f t="shared" si="10"/>
        <v>-0.84615384615384615</v>
      </c>
      <c r="N166" s="9">
        <f t="shared" si="11"/>
        <v>-0.84615384615384615</v>
      </c>
    </row>
    <row r="167" spans="1:14" x14ac:dyDescent="0.25">
      <c r="A167" t="str">
        <f>TEXT("1/"&amp;data!A167,"mmmm")</f>
        <v>janvier</v>
      </c>
      <c r="B167">
        <f>data!B167</f>
        <v>2016</v>
      </c>
      <c r="C167" t="str">
        <f>data!C167</f>
        <v>094</v>
      </c>
      <c r="D167" t="str">
        <f>data!D167</f>
        <v>CHATEAU TOUR GRANINS-GRAND POUJEAUX</v>
      </c>
      <c r="E167" t="str">
        <f>data!E167</f>
        <v>094001</v>
      </c>
      <c r="F167" t="str">
        <f>data!F167</f>
        <v>AC MOULIS EN MEDOC TOUR GRANINS GD-POUJEAUX</v>
      </c>
      <c r="G167" s="10">
        <f>data!G167</f>
        <v>1466.4</v>
      </c>
      <c r="H167" s="10">
        <f>data!I167</f>
        <v>581.4</v>
      </c>
      <c r="I167" s="10">
        <f t="shared" si="8"/>
        <v>885.00000000000011</v>
      </c>
      <c r="J167" s="11">
        <f>data!H167</f>
        <v>288</v>
      </c>
      <c r="K167" s="11">
        <f>data!J167</f>
        <v>114</v>
      </c>
      <c r="L167" s="11">
        <f t="shared" si="9"/>
        <v>174</v>
      </c>
      <c r="M167" s="9">
        <f t="shared" si="10"/>
        <v>1.5221878224974204</v>
      </c>
      <c r="N167" s="9">
        <f t="shared" si="11"/>
        <v>1.5263157894736843</v>
      </c>
    </row>
    <row r="168" spans="1:14" x14ac:dyDescent="0.25">
      <c r="A168" t="str">
        <f>TEXT("1/"&amp;data!A168,"mmmm")</f>
        <v>janvier</v>
      </c>
      <c r="B168">
        <f>data!B168</f>
        <v>2016</v>
      </c>
      <c r="C168" t="str">
        <f>data!C168</f>
        <v>094</v>
      </c>
      <c r="D168" t="str">
        <f>data!D168</f>
        <v>CHATEAU TOUR GRANINS-GRAND POUJEAUX</v>
      </c>
      <c r="E168" t="str">
        <f>data!E168</f>
        <v>094003</v>
      </c>
      <c r="F168" t="str">
        <f>data!F168</f>
        <v>AC MOULIS EN MEDOC GD POUJEAUX</v>
      </c>
      <c r="G168" s="10">
        <f>data!G168</f>
        <v>66.599999999999994</v>
      </c>
      <c r="H168" s="10">
        <f>data!I168</f>
        <v>0</v>
      </c>
      <c r="I168" s="10">
        <f t="shared" si="8"/>
        <v>66.599999999999994</v>
      </c>
      <c r="J168" s="11">
        <f>data!H168</f>
        <v>12</v>
      </c>
      <c r="K168" s="11">
        <f>data!J168</f>
        <v>0</v>
      </c>
      <c r="L168" s="11">
        <f t="shared" si="9"/>
        <v>12</v>
      </c>
      <c r="M168" s="9" t="str">
        <f t="shared" si="10"/>
        <v/>
      </c>
      <c r="N168" s="9" t="str">
        <f t="shared" si="11"/>
        <v/>
      </c>
    </row>
    <row r="169" spans="1:14" x14ac:dyDescent="0.25">
      <c r="A169" t="str">
        <f>TEXT("1/"&amp;data!A169,"mmmm")</f>
        <v>janvier</v>
      </c>
      <c r="B169">
        <f>data!B169</f>
        <v>2016</v>
      </c>
      <c r="C169" t="str">
        <f>data!C169</f>
        <v>094</v>
      </c>
      <c r="D169" t="str">
        <f>data!D169</f>
        <v>CHATEAU TOUR GRANINS-GRAND POUJEAUX</v>
      </c>
      <c r="E169" t="str">
        <f>data!E169</f>
        <v>094004</v>
      </c>
      <c r="F169" t="str">
        <f>data!F169</f>
        <v>AOP MOULIS EN MEDOC CH GRANINS GD POUJEAUX</v>
      </c>
      <c r="G169" s="10">
        <f>data!G169</f>
        <v>0</v>
      </c>
      <c r="H169" s="10">
        <f>data!I169</f>
        <v>0</v>
      </c>
      <c r="I169" s="10">
        <f t="shared" si="8"/>
        <v>0</v>
      </c>
      <c r="J169" s="11">
        <f>data!H169</f>
        <v>6</v>
      </c>
      <c r="K169" s="11">
        <f>data!J169</f>
        <v>0</v>
      </c>
      <c r="L169" s="11">
        <f t="shared" si="9"/>
        <v>6</v>
      </c>
      <c r="M169" s="9" t="str">
        <f t="shared" si="10"/>
        <v/>
      </c>
      <c r="N169" s="9" t="str">
        <f t="shared" si="11"/>
        <v/>
      </c>
    </row>
    <row r="170" spans="1:14" x14ac:dyDescent="0.25">
      <c r="A170" t="str">
        <f>TEXT("1/"&amp;data!A170,"mmmm")</f>
        <v>janvier</v>
      </c>
      <c r="B170">
        <f>data!B170</f>
        <v>2016</v>
      </c>
      <c r="C170" t="str">
        <f>data!C170</f>
        <v>095</v>
      </c>
      <c r="D170" t="str">
        <f>data!D170</f>
        <v>MR FILLON</v>
      </c>
      <c r="E170" t="str">
        <f>data!E170</f>
        <v>095001</v>
      </c>
      <c r="F170" t="str">
        <f>data!F170</f>
        <v>AC BOURG ALIG D.FILLON</v>
      </c>
      <c r="G170" s="10">
        <f>data!G170</f>
        <v>799.2</v>
      </c>
      <c r="H170" s="10">
        <f>data!I170</f>
        <v>1052.0999999999999</v>
      </c>
      <c r="I170" s="10">
        <f t="shared" si="8"/>
        <v>-252.89999999999986</v>
      </c>
      <c r="J170" s="11">
        <f>data!H170</f>
        <v>216</v>
      </c>
      <c r="K170" s="11">
        <f>data!J170</f>
        <v>294</v>
      </c>
      <c r="L170" s="11">
        <f t="shared" si="9"/>
        <v>-78</v>
      </c>
      <c r="M170" s="9">
        <f t="shared" si="10"/>
        <v>-0.24037639007698877</v>
      </c>
      <c r="N170" s="9">
        <f t="shared" si="11"/>
        <v>-0.26530612244897961</v>
      </c>
    </row>
    <row r="171" spans="1:14" x14ac:dyDescent="0.25">
      <c r="A171" t="str">
        <f>TEXT("1/"&amp;data!A171,"mmmm")</f>
        <v>janvier</v>
      </c>
      <c r="B171">
        <f>data!B171</f>
        <v>2016</v>
      </c>
      <c r="C171" t="str">
        <f>data!C171</f>
        <v>095</v>
      </c>
      <c r="D171" t="str">
        <f>data!D171</f>
        <v>MR FILLON</v>
      </c>
      <c r="E171" t="str">
        <f>data!E171</f>
        <v>095005</v>
      </c>
      <c r="F171" t="str">
        <f>data!F171</f>
        <v>DOM FILLON AC SAUVIGNON DE ST BRIS</v>
      </c>
      <c r="G171" s="10">
        <f>data!G171</f>
        <v>46.8</v>
      </c>
      <c r="H171" s="10">
        <f>data!I171</f>
        <v>0</v>
      </c>
      <c r="I171" s="10">
        <f t="shared" si="8"/>
        <v>46.8</v>
      </c>
      <c r="J171" s="11">
        <f>data!H171</f>
        <v>12</v>
      </c>
      <c r="K171" s="11">
        <f>data!J171</f>
        <v>0</v>
      </c>
      <c r="L171" s="11">
        <f t="shared" si="9"/>
        <v>12</v>
      </c>
      <c r="M171" s="9" t="str">
        <f t="shared" si="10"/>
        <v/>
      </c>
      <c r="N171" s="9" t="str">
        <f t="shared" si="11"/>
        <v/>
      </c>
    </row>
    <row r="172" spans="1:14" x14ac:dyDescent="0.25">
      <c r="A172" t="str">
        <f>TEXT("1/"&amp;data!A172,"mmmm")</f>
        <v>janvier</v>
      </c>
      <c r="B172">
        <f>data!B172</f>
        <v>2016</v>
      </c>
      <c r="C172" t="str">
        <f>data!C172</f>
        <v>095</v>
      </c>
      <c r="D172" t="str">
        <f>data!D172</f>
        <v>MR FILLON</v>
      </c>
      <c r="E172" t="str">
        <f>data!E172</f>
        <v>095010</v>
      </c>
      <c r="F172" t="str">
        <f>data!F172</f>
        <v>DOM FILLON AC PETIT CHABLIS</v>
      </c>
      <c r="G172" s="10">
        <f>data!G172</f>
        <v>1116</v>
      </c>
      <c r="H172" s="10">
        <f>data!I172</f>
        <v>2754.9</v>
      </c>
      <c r="I172" s="10">
        <f t="shared" si="8"/>
        <v>-1638.9</v>
      </c>
      <c r="J172" s="11">
        <f>data!H172</f>
        <v>246</v>
      </c>
      <c r="K172" s="11">
        <f>data!J172</f>
        <v>660</v>
      </c>
      <c r="L172" s="11">
        <f t="shared" si="9"/>
        <v>-414</v>
      </c>
      <c r="M172" s="9">
        <f t="shared" si="10"/>
        <v>-0.59490362626592619</v>
      </c>
      <c r="N172" s="9">
        <f t="shared" si="11"/>
        <v>-0.62727272727272732</v>
      </c>
    </row>
    <row r="173" spans="1:14" x14ac:dyDescent="0.25">
      <c r="A173" t="str">
        <f>TEXT("1/"&amp;data!A173,"mmmm")</f>
        <v>janvier</v>
      </c>
      <c r="B173">
        <f>data!B173</f>
        <v>2016</v>
      </c>
      <c r="C173" t="str">
        <f>data!C173</f>
        <v>095</v>
      </c>
      <c r="D173" t="str">
        <f>data!D173</f>
        <v>MR FILLON</v>
      </c>
      <c r="E173" t="str">
        <f>data!E173</f>
        <v>095012</v>
      </c>
      <c r="F173" t="str">
        <f>data!F173</f>
        <v>DOM FILLON AC CHABLIS</v>
      </c>
      <c r="G173" s="10">
        <f>data!G173</f>
        <v>148.80000000000001</v>
      </c>
      <c r="H173" s="10">
        <f>data!I173</f>
        <v>0</v>
      </c>
      <c r="I173" s="10">
        <f t="shared" si="8"/>
        <v>148.80000000000001</v>
      </c>
      <c r="J173" s="11">
        <f>data!H173</f>
        <v>24</v>
      </c>
      <c r="K173" s="11">
        <f>data!J173</f>
        <v>0</v>
      </c>
      <c r="L173" s="11">
        <f t="shared" si="9"/>
        <v>24</v>
      </c>
      <c r="M173" s="9" t="str">
        <f t="shared" si="10"/>
        <v/>
      </c>
      <c r="N173" s="9" t="str">
        <f t="shared" si="11"/>
        <v/>
      </c>
    </row>
    <row r="174" spans="1:14" x14ac:dyDescent="0.25">
      <c r="A174" t="str">
        <f>TEXT("1/"&amp;data!A174,"mmmm")</f>
        <v>janvier</v>
      </c>
      <c r="B174">
        <f>data!B174</f>
        <v>2016</v>
      </c>
      <c r="C174" t="str">
        <f>data!C174</f>
        <v>095</v>
      </c>
      <c r="D174" t="str">
        <f>data!D174</f>
        <v>MR FILLON</v>
      </c>
      <c r="E174" t="str">
        <f>data!E174</f>
        <v>095016</v>
      </c>
      <c r="F174" t="str">
        <f>data!F174</f>
        <v>DOM FILLON AC CHABLIS 1ER CRU "BEAUREGARD"</v>
      </c>
      <c r="G174" s="10">
        <f>data!G174</f>
        <v>104.4</v>
      </c>
      <c r="H174" s="10">
        <f>data!I174</f>
        <v>0</v>
      </c>
      <c r="I174" s="10">
        <f t="shared" si="8"/>
        <v>104.4</v>
      </c>
      <c r="J174" s="11">
        <f>data!H174</f>
        <v>18</v>
      </c>
      <c r="K174" s="11">
        <f>data!J174</f>
        <v>0</v>
      </c>
      <c r="L174" s="11">
        <f t="shared" si="9"/>
        <v>18</v>
      </c>
      <c r="M174" s="9" t="str">
        <f t="shared" si="10"/>
        <v/>
      </c>
      <c r="N174" s="9" t="str">
        <f t="shared" si="11"/>
        <v/>
      </c>
    </row>
    <row r="175" spans="1:14" x14ac:dyDescent="0.25">
      <c r="A175" t="str">
        <f>TEXT("1/"&amp;data!A175,"mmmm")</f>
        <v>janvier</v>
      </c>
      <c r="B175">
        <f>data!B175</f>
        <v>2016</v>
      </c>
      <c r="C175" t="str">
        <f>data!C175</f>
        <v>095</v>
      </c>
      <c r="D175" t="str">
        <f>data!D175</f>
        <v>MR FILLON</v>
      </c>
      <c r="E175" t="str">
        <f>data!E175</f>
        <v>CDV095017</v>
      </c>
      <c r="F175" t="str">
        <f>data!F175</f>
        <v>AC CHABLIS</v>
      </c>
      <c r="G175" s="10">
        <f>data!G175</f>
        <v>390</v>
      </c>
      <c r="H175" s="10">
        <f>data!I175</f>
        <v>0</v>
      </c>
      <c r="I175" s="10">
        <f t="shared" si="8"/>
        <v>390</v>
      </c>
      <c r="J175" s="11">
        <f>data!H175</f>
        <v>79.98</v>
      </c>
      <c r="K175" s="11">
        <f>data!J175</f>
        <v>0</v>
      </c>
      <c r="L175" s="11">
        <f t="shared" si="9"/>
        <v>79.98</v>
      </c>
      <c r="M175" s="9" t="str">
        <f t="shared" si="10"/>
        <v/>
      </c>
      <c r="N175" s="9" t="str">
        <f t="shared" si="11"/>
        <v/>
      </c>
    </row>
    <row r="176" spans="1:14" x14ac:dyDescent="0.25">
      <c r="A176" t="str">
        <f>TEXT("1/"&amp;data!A176,"mmmm")</f>
        <v>janvier</v>
      </c>
      <c r="B176">
        <f>data!B176</f>
        <v>2016</v>
      </c>
      <c r="C176" t="str">
        <f>data!C176</f>
        <v>096</v>
      </c>
      <c r="D176" t="str">
        <f>data!D176</f>
        <v>L DE L</v>
      </c>
      <c r="E176" t="str">
        <f>data!E176</f>
        <v>096003</v>
      </c>
      <c r="F176" t="str">
        <f>data!F176</f>
        <v>AC MEDOC CH LOUDENNE</v>
      </c>
      <c r="G176" s="10">
        <f>data!G176</f>
        <v>45</v>
      </c>
      <c r="H176" s="10">
        <f>data!I176</f>
        <v>0</v>
      </c>
      <c r="I176" s="10">
        <f t="shared" si="8"/>
        <v>45</v>
      </c>
      <c r="J176" s="11">
        <f>data!H176</f>
        <v>6</v>
      </c>
      <c r="K176" s="11">
        <f>data!J176</f>
        <v>0</v>
      </c>
      <c r="L176" s="11">
        <f t="shared" si="9"/>
        <v>6</v>
      </c>
      <c r="M176" s="9" t="str">
        <f t="shared" si="10"/>
        <v/>
      </c>
      <c r="N176" s="9" t="str">
        <f t="shared" si="11"/>
        <v/>
      </c>
    </row>
    <row r="177" spans="1:14" x14ac:dyDescent="0.25">
      <c r="A177" t="str">
        <f>TEXT("1/"&amp;data!A177,"mmmm")</f>
        <v>janvier</v>
      </c>
      <c r="B177">
        <f>data!B177</f>
        <v>2016</v>
      </c>
      <c r="C177" t="str">
        <f>data!C177</f>
        <v>096</v>
      </c>
      <c r="D177" t="str">
        <f>data!D177</f>
        <v>L DE L</v>
      </c>
      <c r="E177" t="str">
        <f>data!E177</f>
        <v>096008</v>
      </c>
      <c r="F177" t="str">
        <f>data!F177</f>
        <v>AC GRAVES HOSPITAL</v>
      </c>
      <c r="G177" s="10">
        <f>data!G177</f>
        <v>0</v>
      </c>
      <c r="H177" s="10">
        <f>data!I177</f>
        <v>0</v>
      </c>
      <c r="I177" s="10">
        <f t="shared" si="8"/>
        <v>0</v>
      </c>
      <c r="J177" s="11">
        <f>data!H177</f>
        <v>6</v>
      </c>
      <c r="K177" s="11">
        <f>data!J177</f>
        <v>0</v>
      </c>
      <c r="L177" s="11">
        <f t="shared" si="9"/>
        <v>6</v>
      </c>
      <c r="M177" s="9" t="str">
        <f t="shared" si="10"/>
        <v/>
      </c>
      <c r="N177" s="9" t="str">
        <f t="shared" si="11"/>
        <v/>
      </c>
    </row>
    <row r="178" spans="1:14" x14ac:dyDescent="0.25">
      <c r="A178" t="str">
        <f>TEXT("1/"&amp;data!A178,"mmmm")</f>
        <v>janvier</v>
      </c>
      <c r="B178">
        <f>data!B178</f>
        <v>2016</v>
      </c>
      <c r="C178" t="str">
        <f>data!C178</f>
        <v>097</v>
      </c>
      <c r="D178" t="str">
        <f>data!D178</f>
        <v>CHATEAU DE COINTES</v>
      </c>
      <c r="E178" t="str">
        <f>data!E178</f>
        <v>097003</v>
      </c>
      <c r="F178" t="str">
        <f>data!F178</f>
        <v>AC C.MALEPERE C.COINTES</v>
      </c>
      <c r="G178" s="10">
        <f>data!G178</f>
        <v>218.4</v>
      </c>
      <c r="H178" s="10">
        <f>data!I178</f>
        <v>230.4</v>
      </c>
      <c r="I178" s="10">
        <f t="shared" si="8"/>
        <v>-12</v>
      </c>
      <c r="J178" s="11">
        <f>data!H178</f>
        <v>84</v>
      </c>
      <c r="K178" s="11">
        <f>data!J178</f>
        <v>96</v>
      </c>
      <c r="L178" s="11">
        <f t="shared" si="9"/>
        <v>-12</v>
      </c>
      <c r="M178" s="9">
        <f t="shared" si="10"/>
        <v>-5.2083333333333329E-2</v>
      </c>
      <c r="N178" s="9">
        <f t="shared" si="11"/>
        <v>-0.125</v>
      </c>
    </row>
    <row r="179" spans="1:14" x14ac:dyDescent="0.25">
      <c r="A179" t="str">
        <f>TEXT("1/"&amp;data!A179,"mmmm")</f>
        <v>janvier</v>
      </c>
      <c r="B179">
        <f>data!B179</f>
        <v>2016</v>
      </c>
      <c r="C179" t="str">
        <f>data!C179</f>
        <v>097</v>
      </c>
      <c r="D179" t="str">
        <f>data!D179</f>
        <v>CHATEAU DE COINTES</v>
      </c>
      <c r="E179" t="str">
        <f>data!E179</f>
        <v>097004</v>
      </c>
      <c r="F179" t="str">
        <f>data!F179</f>
        <v>VDP MERLOT D.DES CONSULS</v>
      </c>
      <c r="G179" s="10">
        <f>data!G179</f>
        <v>369</v>
      </c>
      <c r="H179" s="10">
        <f>data!I179</f>
        <v>420</v>
      </c>
      <c r="I179" s="10">
        <f t="shared" si="8"/>
        <v>-51</v>
      </c>
      <c r="J179" s="11">
        <f>data!H179</f>
        <v>180</v>
      </c>
      <c r="K179" s="11">
        <f>data!J179</f>
        <v>210</v>
      </c>
      <c r="L179" s="11">
        <f t="shared" si="9"/>
        <v>-30</v>
      </c>
      <c r="M179" s="9">
        <f t="shared" si="10"/>
        <v>-0.12142857142857143</v>
      </c>
      <c r="N179" s="9">
        <f t="shared" si="11"/>
        <v>-0.14285714285714285</v>
      </c>
    </row>
    <row r="180" spans="1:14" x14ac:dyDescent="0.25">
      <c r="A180" t="str">
        <f>TEXT("1/"&amp;data!A180,"mmmm")</f>
        <v>janvier</v>
      </c>
      <c r="B180">
        <f>data!B180</f>
        <v>2016</v>
      </c>
      <c r="C180" t="str">
        <f>data!C180</f>
        <v>099</v>
      </c>
      <c r="D180" t="str">
        <f>data!D180</f>
        <v>CAVE DE L'ORMARINE</v>
      </c>
      <c r="E180" t="str">
        <f>data!E180</f>
        <v>099001</v>
      </c>
      <c r="F180" t="str">
        <f>data!F180</f>
        <v>VDP C DE THAU D.VILLEMARIN</v>
      </c>
      <c r="G180" s="10">
        <f>data!G180</f>
        <v>1900.38</v>
      </c>
      <c r="H180" s="10">
        <f>data!I180</f>
        <v>684.96</v>
      </c>
      <c r="I180" s="10">
        <f t="shared" si="8"/>
        <v>1215.42</v>
      </c>
      <c r="J180" s="11">
        <f>data!H180</f>
        <v>1230</v>
      </c>
      <c r="K180" s="11">
        <f>data!J180</f>
        <v>552</v>
      </c>
      <c r="L180" s="11">
        <f t="shared" si="9"/>
        <v>678</v>
      </c>
      <c r="M180" s="9">
        <f t="shared" si="10"/>
        <v>1.7744393833216539</v>
      </c>
      <c r="N180" s="9">
        <f t="shared" si="11"/>
        <v>1.2282608695652173</v>
      </c>
    </row>
    <row r="181" spans="1:14" x14ac:dyDescent="0.25">
      <c r="A181" t="str">
        <f>TEXT("1/"&amp;data!A181,"mmmm")</f>
        <v>janvier</v>
      </c>
      <c r="B181">
        <f>data!B181</f>
        <v>2016</v>
      </c>
      <c r="C181" t="str">
        <f>data!C181</f>
        <v>099</v>
      </c>
      <c r="D181" t="str">
        <f>data!D181</f>
        <v>CAVE DE L'ORMARINE</v>
      </c>
      <c r="E181" t="str">
        <f>data!E181</f>
        <v>099002</v>
      </c>
      <c r="F181" t="str">
        <f>data!F181</f>
        <v>VDP C DE THAU D.VILLEMARIN</v>
      </c>
      <c r="G181" s="10">
        <f>data!G181</f>
        <v>10488.26</v>
      </c>
      <c r="H181" s="10">
        <f>data!I181</f>
        <v>8617.66</v>
      </c>
      <c r="I181" s="10">
        <f t="shared" si="8"/>
        <v>1870.6000000000004</v>
      </c>
      <c r="J181" s="11">
        <f>data!H181</f>
        <v>7674</v>
      </c>
      <c r="K181" s="11">
        <f>data!J181</f>
        <v>7008</v>
      </c>
      <c r="L181" s="11">
        <f t="shared" si="9"/>
        <v>666</v>
      </c>
      <c r="M181" s="9">
        <f t="shared" si="10"/>
        <v>0.21706588563484755</v>
      </c>
      <c r="N181" s="9">
        <f t="shared" si="11"/>
        <v>9.5034246575342471E-2</v>
      </c>
    </row>
    <row r="182" spans="1:14" x14ac:dyDescent="0.25">
      <c r="A182" t="str">
        <f>TEXT("1/"&amp;data!A182,"mmmm")</f>
        <v>janvier</v>
      </c>
      <c r="B182">
        <f>data!B182</f>
        <v>2016</v>
      </c>
      <c r="C182" t="str">
        <f>data!C182</f>
        <v>099</v>
      </c>
      <c r="D182" t="str">
        <f>data!D182</f>
        <v>CAVE DE L'ORMARINE</v>
      </c>
      <c r="E182" t="str">
        <f>data!E182</f>
        <v>099003</v>
      </c>
      <c r="F182" t="str">
        <f>data!F182</f>
        <v>VDP C DE THAU D.VILLEMARIN</v>
      </c>
      <c r="G182" s="10">
        <f>data!G182</f>
        <v>454.08</v>
      </c>
      <c r="H182" s="10">
        <f>data!I182</f>
        <v>179.28</v>
      </c>
      <c r="I182" s="10">
        <f t="shared" si="8"/>
        <v>274.79999999999995</v>
      </c>
      <c r="J182" s="11">
        <f>data!H182</f>
        <v>264</v>
      </c>
      <c r="K182" s="11">
        <f>data!J182</f>
        <v>108</v>
      </c>
      <c r="L182" s="11">
        <f t="shared" si="9"/>
        <v>156</v>
      </c>
      <c r="M182" s="9">
        <f t="shared" si="10"/>
        <v>1.5327978580990627</v>
      </c>
      <c r="N182" s="9">
        <f t="shared" si="11"/>
        <v>1.4444444444444444</v>
      </c>
    </row>
    <row r="183" spans="1:14" x14ac:dyDescent="0.25">
      <c r="A183" t="str">
        <f>TEXT("1/"&amp;data!A183,"mmmm")</f>
        <v>janvier</v>
      </c>
      <c r="B183">
        <f>data!B183</f>
        <v>2016</v>
      </c>
      <c r="C183" t="str">
        <f>data!C183</f>
        <v>099</v>
      </c>
      <c r="D183" t="str">
        <f>data!D183</f>
        <v>CAVE DE L'ORMARINE</v>
      </c>
      <c r="E183" t="str">
        <f>data!E183</f>
        <v>099013</v>
      </c>
      <c r="F183" t="str">
        <f>data!F183</f>
        <v>IGP PAYS D'OC MUSCAT MOELLEUX DOUCEUR DU SUD</v>
      </c>
      <c r="G183" s="10">
        <f>data!G183</f>
        <v>101.16</v>
      </c>
      <c r="H183" s="10">
        <f>data!I183</f>
        <v>0</v>
      </c>
      <c r="I183" s="10">
        <f t="shared" si="8"/>
        <v>101.16</v>
      </c>
      <c r="J183" s="11">
        <f>data!H183</f>
        <v>36</v>
      </c>
      <c r="K183" s="11">
        <f>data!J183</f>
        <v>6</v>
      </c>
      <c r="L183" s="11">
        <f t="shared" si="9"/>
        <v>30</v>
      </c>
      <c r="M183" s="9" t="str">
        <f t="shared" si="10"/>
        <v/>
      </c>
      <c r="N183" s="9">
        <f t="shared" si="11"/>
        <v>5</v>
      </c>
    </row>
    <row r="184" spans="1:14" x14ac:dyDescent="0.25">
      <c r="A184" t="str">
        <f>TEXT("1/"&amp;data!A184,"mmmm")</f>
        <v>janvier</v>
      </c>
      <c r="B184">
        <f>data!B184</f>
        <v>2016</v>
      </c>
      <c r="C184" t="str">
        <f>data!C184</f>
        <v>099</v>
      </c>
      <c r="D184" t="str">
        <f>data!D184</f>
        <v>CAVE DE L'ORMARINE</v>
      </c>
      <c r="E184" t="str">
        <f>data!E184</f>
        <v>099016</v>
      </c>
      <c r="F184" t="str">
        <f>data!F184</f>
        <v>AC PICPOUL PINET CARTE NOIRE</v>
      </c>
      <c r="G184" s="10">
        <f>data!G184</f>
        <v>85.5</v>
      </c>
      <c r="H184" s="10">
        <f>data!I184</f>
        <v>0</v>
      </c>
      <c r="I184" s="10">
        <f t="shared" si="8"/>
        <v>85.5</v>
      </c>
      <c r="J184" s="11">
        <f>data!H184</f>
        <v>30</v>
      </c>
      <c r="K184" s="11">
        <f>data!J184</f>
        <v>0</v>
      </c>
      <c r="L184" s="11">
        <f t="shared" si="9"/>
        <v>30</v>
      </c>
      <c r="M184" s="9" t="str">
        <f t="shared" si="10"/>
        <v/>
      </c>
      <c r="N184" s="9" t="str">
        <f t="shared" si="11"/>
        <v/>
      </c>
    </row>
    <row r="185" spans="1:14" x14ac:dyDescent="0.25">
      <c r="A185" t="str">
        <f>TEXT("1/"&amp;data!A185,"mmmm")</f>
        <v>janvier</v>
      </c>
      <c r="B185">
        <f>data!B185</f>
        <v>2016</v>
      </c>
      <c r="C185" t="str">
        <f>data!C185</f>
        <v>110</v>
      </c>
      <c r="D185" t="str">
        <f>data!D185</f>
        <v>CHATEAU LES MARNIERES</v>
      </c>
      <c r="E185" t="str">
        <f>data!E185</f>
        <v>110500</v>
      </c>
      <c r="F185" t="str">
        <f>data!F185</f>
        <v>AC BERGERAC CH LES MARNIERES</v>
      </c>
      <c r="G185" s="10">
        <f>data!G185</f>
        <v>327.60000000000002</v>
      </c>
      <c r="H185" s="10">
        <f>data!I185</f>
        <v>451.1</v>
      </c>
      <c r="I185" s="10">
        <f t="shared" si="8"/>
        <v>-123.5</v>
      </c>
      <c r="J185" s="11">
        <f>data!H185</f>
        <v>239.94</v>
      </c>
      <c r="K185" s="11">
        <f>data!J185</f>
        <v>346.58</v>
      </c>
      <c r="L185" s="11">
        <f t="shared" si="9"/>
        <v>-106.63999999999999</v>
      </c>
      <c r="M185" s="9">
        <f t="shared" si="10"/>
        <v>-0.2737752161383285</v>
      </c>
      <c r="N185" s="9">
        <f t="shared" si="11"/>
        <v>-0.30769230769230765</v>
      </c>
    </row>
    <row r="186" spans="1:14" x14ac:dyDescent="0.25">
      <c r="A186" t="str">
        <f>TEXT("1/"&amp;data!A186,"mmmm")</f>
        <v>janvier</v>
      </c>
      <c r="B186">
        <f>data!B186</f>
        <v>2016</v>
      </c>
      <c r="C186" t="str">
        <f>data!C186</f>
        <v>110</v>
      </c>
      <c r="D186" t="str">
        <f>data!D186</f>
        <v>CHATEAU LES MARNIERES</v>
      </c>
      <c r="E186" t="str">
        <f>data!E186</f>
        <v>110501</v>
      </c>
      <c r="F186" t="str">
        <f>data!F186</f>
        <v>AC BERGERAC CH LES MARNIERES</v>
      </c>
      <c r="G186" s="10">
        <f>data!G186</f>
        <v>333.25</v>
      </c>
      <c r="H186" s="10">
        <f>data!I186</f>
        <v>326.39999999999998</v>
      </c>
      <c r="I186" s="10">
        <f t="shared" si="8"/>
        <v>6.8500000000000227</v>
      </c>
      <c r="J186" s="11">
        <f>data!H186</f>
        <v>206.77</v>
      </c>
      <c r="K186" s="11">
        <f>data!J186</f>
        <v>213.44</v>
      </c>
      <c r="L186" s="11">
        <f t="shared" si="9"/>
        <v>-6.6699999999999875</v>
      </c>
      <c r="M186" s="9">
        <f t="shared" si="10"/>
        <v>2.0986519607843208E-2</v>
      </c>
      <c r="N186" s="9">
        <f t="shared" si="11"/>
        <v>-3.1249999999999941E-2</v>
      </c>
    </row>
    <row r="187" spans="1:14" x14ac:dyDescent="0.25">
      <c r="A187" t="str">
        <f>TEXT("1/"&amp;data!A187,"mmmm")</f>
        <v>janvier</v>
      </c>
      <c r="B187">
        <f>data!B187</f>
        <v>2016</v>
      </c>
      <c r="C187" t="str">
        <f>data!C187</f>
        <v>110</v>
      </c>
      <c r="D187" t="str">
        <f>data!D187</f>
        <v>CHATEAU LES MARNIERES</v>
      </c>
      <c r="E187" t="str">
        <f>data!E187</f>
        <v>110600</v>
      </c>
      <c r="F187" t="str">
        <f>data!F187</f>
        <v>CH LES MARNIERES AC COTES DE BERGERAC MOELLEUX</v>
      </c>
      <c r="G187" s="10">
        <f>data!G187</f>
        <v>128.1</v>
      </c>
      <c r="H187" s="10">
        <f>data!I187</f>
        <v>208.8</v>
      </c>
      <c r="I187" s="10">
        <f t="shared" si="8"/>
        <v>-80.700000000000017</v>
      </c>
      <c r="J187" s="11">
        <f>data!H187</f>
        <v>42</v>
      </c>
      <c r="K187" s="11">
        <f>data!J187</f>
        <v>72</v>
      </c>
      <c r="L187" s="11">
        <f t="shared" si="9"/>
        <v>-30</v>
      </c>
      <c r="M187" s="9">
        <f t="shared" si="10"/>
        <v>-0.38649425287356326</v>
      </c>
      <c r="N187" s="9">
        <f t="shared" si="11"/>
        <v>-0.41666666666666669</v>
      </c>
    </row>
    <row r="188" spans="1:14" x14ac:dyDescent="0.25">
      <c r="A188" t="str">
        <f>TEXT("1/"&amp;data!A188,"mmmm")</f>
        <v>janvier</v>
      </c>
      <c r="B188">
        <f>data!B188</f>
        <v>2016</v>
      </c>
      <c r="C188" t="str">
        <f>data!C188</f>
        <v>113</v>
      </c>
      <c r="D188" t="str">
        <f>data!D188</f>
        <v>DOMAINE DU PRIEURE</v>
      </c>
      <c r="E188" t="str">
        <f>data!E188</f>
        <v>113001</v>
      </c>
      <c r="F188" t="str">
        <f>data!F188</f>
        <v>AC MENETOU SALON. DME PRIEURE</v>
      </c>
      <c r="G188" s="10">
        <f>data!G188</f>
        <v>132</v>
      </c>
      <c r="H188" s="10">
        <f>data!I188</f>
        <v>190.8</v>
      </c>
      <c r="I188" s="10">
        <f t="shared" si="8"/>
        <v>-58.800000000000011</v>
      </c>
      <c r="J188" s="11">
        <f>data!H188</f>
        <v>24</v>
      </c>
      <c r="K188" s="11">
        <f>data!J188</f>
        <v>42</v>
      </c>
      <c r="L188" s="11">
        <f t="shared" si="9"/>
        <v>-18</v>
      </c>
      <c r="M188" s="9">
        <f t="shared" si="10"/>
        <v>-0.30817610062893086</v>
      </c>
      <c r="N188" s="9">
        <f t="shared" si="11"/>
        <v>-0.42857142857142855</v>
      </c>
    </row>
    <row r="189" spans="1:14" x14ac:dyDescent="0.25">
      <c r="A189" t="str">
        <f>TEXT("1/"&amp;data!A189,"mmmm")</f>
        <v>janvier</v>
      </c>
      <c r="B189">
        <f>data!B189</f>
        <v>2016</v>
      </c>
      <c r="C189" t="str">
        <f>data!C189</f>
        <v>113</v>
      </c>
      <c r="D189" t="str">
        <f>data!D189</f>
        <v>DOMAINE DU PRIEURE</v>
      </c>
      <c r="E189" t="str">
        <f>data!E189</f>
        <v>113002</v>
      </c>
      <c r="F189" t="str">
        <f>data!F189</f>
        <v>AC MENETOU SALON. DME PRIEURE</v>
      </c>
      <c r="G189" s="10">
        <f>data!G189</f>
        <v>109.8</v>
      </c>
      <c r="H189" s="10">
        <f>data!I189</f>
        <v>0</v>
      </c>
      <c r="I189" s="10">
        <f t="shared" si="8"/>
        <v>109.8</v>
      </c>
      <c r="J189" s="11">
        <f>data!H189</f>
        <v>18</v>
      </c>
      <c r="K189" s="11">
        <f>data!J189</f>
        <v>0</v>
      </c>
      <c r="L189" s="11">
        <f t="shared" si="9"/>
        <v>18</v>
      </c>
      <c r="M189" s="9" t="str">
        <f t="shared" si="10"/>
        <v/>
      </c>
      <c r="N189" s="9" t="str">
        <f t="shared" si="11"/>
        <v/>
      </c>
    </row>
    <row r="190" spans="1:14" x14ac:dyDescent="0.25">
      <c r="A190" t="str">
        <f>TEXT("1/"&amp;data!A190,"mmmm")</f>
        <v>janvier</v>
      </c>
      <c r="B190">
        <f>data!B190</f>
        <v>2016</v>
      </c>
      <c r="C190" t="str">
        <f>data!C190</f>
        <v>113</v>
      </c>
      <c r="D190" t="str">
        <f>data!D190</f>
        <v>DOMAINE DU PRIEURE</v>
      </c>
      <c r="E190" t="str">
        <f>data!E190</f>
        <v>113005</v>
      </c>
      <c r="F190" t="str">
        <f>data!F190</f>
        <v>AC MENETOU SALON. DME PRIEURE</v>
      </c>
      <c r="G190" s="10">
        <f>data!G190</f>
        <v>759</v>
      </c>
      <c r="H190" s="10">
        <f>data!I190</f>
        <v>699.3</v>
      </c>
      <c r="I190" s="10">
        <f t="shared" si="8"/>
        <v>59.700000000000045</v>
      </c>
      <c r="J190" s="11">
        <f>data!H190</f>
        <v>132</v>
      </c>
      <c r="K190" s="11">
        <f>data!J190</f>
        <v>126</v>
      </c>
      <c r="L190" s="11">
        <f t="shared" si="9"/>
        <v>6</v>
      </c>
      <c r="M190" s="9">
        <f t="shared" si="10"/>
        <v>8.5371085371085439E-2</v>
      </c>
      <c r="N190" s="9">
        <f t="shared" si="11"/>
        <v>4.7619047619047616E-2</v>
      </c>
    </row>
    <row r="191" spans="1:14" x14ac:dyDescent="0.25">
      <c r="A191" t="str">
        <f>TEXT("1/"&amp;data!A191,"mmmm")</f>
        <v>janvier</v>
      </c>
      <c r="B191">
        <f>data!B191</f>
        <v>2016</v>
      </c>
      <c r="C191" t="str">
        <f>data!C191</f>
        <v>113</v>
      </c>
      <c r="D191" t="str">
        <f>data!D191</f>
        <v>DOMAINE DU PRIEURE</v>
      </c>
      <c r="E191" t="str">
        <f>data!E191</f>
        <v>113006</v>
      </c>
      <c r="F191" t="str">
        <f>data!F191</f>
        <v>AC MENETOU SALON. DME PRIEURE</v>
      </c>
      <c r="G191" s="10">
        <f>data!G191</f>
        <v>115.2</v>
      </c>
      <c r="H191" s="10">
        <f>data!I191</f>
        <v>0</v>
      </c>
      <c r="I191" s="10">
        <f t="shared" si="8"/>
        <v>115.2</v>
      </c>
      <c r="J191" s="11">
        <f>data!H191</f>
        <v>18</v>
      </c>
      <c r="K191" s="11">
        <f>data!J191</f>
        <v>0</v>
      </c>
      <c r="L191" s="11">
        <f t="shared" si="9"/>
        <v>18</v>
      </c>
      <c r="M191" s="9" t="str">
        <f t="shared" si="10"/>
        <v/>
      </c>
      <c r="N191" s="9" t="str">
        <f t="shared" si="11"/>
        <v/>
      </c>
    </row>
    <row r="192" spans="1:14" x14ac:dyDescent="0.25">
      <c r="A192" t="str">
        <f>TEXT("1/"&amp;data!A192,"mmmm")</f>
        <v>janvier</v>
      </c>
      <c r="B192">
        <f>data!B192</f>
        <v>2016</v>
      </c>
      <c r="C192" t="str">
        <f>data!C192</f>
        <v>114</v>
      </c>
      <c r="D192" t="str">
        <f>data!D192</f>
        <v>DAVAULT VIGNERONS</v>
      </c>
      <c r="E192" t="str">
        <f>data!E192</f>
        <v>114001</v>
      </c>
      <c r="F192" t="str">
        <f>data!F192</f>
        <v>AC TOURAINE D.LA CHAISE</v>
      </c>
      <c r="G192" s="10">
        <f>data!G192</f>
        <v>291.60000000000002</v>
      </c>
      <c r="H192" s="10">
        <f>data!I192</f>
        <v>521.4</v>
      </c>
      <c r="I192" s="10">
        <f t="shared" si="8"/>
        <v>-229.79999999999995</v>
      </c>
      <c r="J192" s="11">
        <f>data!H192</f>
        <v>108</v>
      </c>
      <c r="K192" s="11">
        <f>data!J192</f>
        <v>204</v>
      </c>
      <c r="L192" s="11">
        <f t="shared" si="9"/>
        <v>-96</v>
      </c>
      <c r="M192" s="9">
        <f t="shared" si="10"/>
        <v>-0.44073647871116217</v>
      </c>
      <c r="N192" s="9">
        <f t="shared" si="11"/>
        <v>-0.47058823529411764</v>
      </c>
    </row>
    <row r="193" spans="1:14" x14ac:dyDescent="0.25">
      <c r="A193" t="str">
        <f>TEXT("1/"&amp;data!A193,"mmmm")</f>
        <v>janvier</v>
      </c>
      <c r="B193">
        <f>data!B193</f>
        <v>2016</v>
      </c>
      <c r="C193" t="str">
        <f>data!C193</f>
        <v>114</v>
      </c>
      <c r="D193" t="str">
        <f>data!D193</f>
        <v>DAVAULT VIGNERONS</v>
      </c>
      <c r="E193" t="str">
        <f>data!E193</f>
        <v>114002</v>
      </c>
      <c r="F193" t="str">
        <f>data!F193</f>
        <v>AC TOURAINE D.LA CHAISE</v>
      </c>
      <c r="G193" s="10">
        <f>data!G193</f>
        <v>19.8</v>
      </c>
      <c r="H193" s="10">
        <f>data!I193</f>
        <v>38.4</v>
      </c>
      <c r="I193" s="10">
        <f t="shared" si="8"/>
        <v>-18.599999999999998</v>
      </c>
      <c r="J193" s="11">
        <f>data!H193</f>
        <v>6</v>
      </c>
      <c r="K193" s="11">
        <f>data!J193</f>
        <v>12</v>
      </c>
      <c r="L193" s="11">
        <f t="shared" si="9"/>
        <v>-6</v>
      </c>
      <c r="M193" s="9">
        <f t="shared" si="10"/>
        <v>-0.48437499999999994</v>
      </c>
      <c r="N193" s="9">
        <f t="shared" si="11"/>
        <v>-0.5</v>
      </c>
    </row>
    <row r="194" spans="1:14" x14ac:dyDescent="0.25">
      <c r="A194" t="str">
        <f>TEXT("1/"&amp;data!A194,"mmmm")</f>
        <v>janvier</v>
      </c>
      <c r="B194">
        <f>data!B194</f>
        <v>2016</v>
      </c>
      <c r="C194" t="str">
        <f>data!C194</f>
        <v>114</v>
      </c>
      <c r="D194" t="str">
        <f>data!D194</f>
        <v>DAVAULT VIGNERONS</v>
      </c>
      <c r="E194" t="str">
        <f>data!E194</f>
        <v>114005</v>
      </c>
      <c r="F194" t="str">
        <f>data!F194</f>
        <v>AC GAMAY TOURAINE D.LA CHAISE</v>
      </c>
      <c r="G194" s="10">
        <f>data!G194</f>
        <v>183.3</v>
      </c>
      <c r="H194" s="10">
        <f>data!I194</f>
        <v>136.68</v>
      </c>
      <c r="I194" s="10">
        <f t="shared" si="8"/>
        <v>46.620000000000005</v>
      </c>
      <c r="J194" s="11">
        <f>data!H194</f>
        <v>78</v>
      </c>
      <c r="K194" s="11">
        <f>data!J194</f>
        <v>66</v>
      </c>
      <c r="L194" s="11">
        <f t="shared" si="9"/>
        <v>12</v>
      </c>
      <c r="M194" s="9">
        <f t="shared" si="10"/>
        <v>0.34108867427568046</v>
      </c>
      <c r="N194" s="9">
        <f t="shared" si="11"/>
        <v>0.18181818181818182</v>
      </c>
    </row>
    <row r="195" spans="1:14" x14ac:dyDescent="0.25">
      <c r="A195" t="str">
        <f>TEXT("1/"&amp;data!A195,"mmmm")</f>
        <v>janvier</v>
      </c>
      <c r="B195">
        <f>data!B195</f>
        <v>2016</v>
      </c>
      <c r="C195" t="str">
        <f>data!C195</f>
        <v>114</v>
      </c>
      <c r="D195" t="str">
        <f>data!D195</f>
        <v>DAVAULT VIGNERONS</v>
      </c>
      <c r="E195" t="str">
        <f>data!E195</f>
        <v>114010</v>
      </c>
      <c r="F195" t="str">
        <f>data!F195</f>
        <v>AC TOURAINE SAUV D.LA CHAISE</v>
      </c>
      <c r="G195" s="10">
        <f>data!G195</f>
        <v>295.10000000000002</v>
      </c>
      <c r="H195" s="10">
        <f>data!I195</f>
        <v>533.84</v>
      </c>
      <c r="I195" s="10">
        <f t="shared" ref="I195:I258" si="12">G195-H195</f>
        <v>-238.74</v>
      </c>
      <c r="J195" s="11">
        <f>data!H195</f>
        <v>173.29</v>
      </c>
      <c r="K195" s="11">
        <f>data!J195</f>
        <v>373.24</v>
      </c>
      <c r="L195" s="11">
        <f t="shared" ref="L195:L258" si="13">J195-K195</f>
        <v>-199.95000000000002</v>
      </c>
      <c r="M195" s="9">
        <f t="shared" ref="M195:M258" si="14">IF(ISERR(I195/H195),"",I195/H195)</f>
        <v>-0.44721264798441479</v>
      </c>
      <c r="N195" s="9">
        <f t="shared" ref="N195:N258" si="15">IF(ISERR(L195/K195),"",L195/K195)</f>
        <v>-0.5357142857142857</v>
      </c>
    </row>
    <row r="196" spans="1:14" x14ac:dyDescent="0.25">
      <c r="A196" t="str">
        <f>TEXT("1/"&amp;data!A196,"mmmm")</f>
        <v>janvier</v>
      </c>
      <c r="B196">
        <f>data!B196</f>
        <v>2016</v>
      </c>
      <c r="C196" t="str">
        <f>data!C196</f>
        <v>114</v>
      </c>
      <c r="D196" t="str">
        <f>data!D196</f>
        <v>DAVAULT VIGNERONS</v>
      </c>
      <c r="E196" t="str">
        <f>data!E196</f>
        <v>114011</v>
      </c>
      <c r="F196" t="str">
        <f>data!F196</f>
        <v>AC TOURAINE SAUV D.LA CHAISE</v>
      </c>
      <c r="G196" s="10">
        <f>data!G196</f>
        <v>738.72</v>
      </c>
      <c r="H196" s="10">
        <f>data!I196</f>
        <v>979</v>
      </c>
      <c r="I196" s="10">
        <f t="shared" si="12"/>
        <v>-240.27999999999997</v>
      </c>
      <c r="J196" s="11">
        <f>data!H196</f>
        <v>380.19</v>
      </c>
      <c r="K196" s="11">
        <f>data!J196</f>
        <v>593.63</v>
      </c>
      <c r="L196" s="11">
        <f t="shared" si="13"/>
        <v>-213.44</v>
      </c>
      <c r="M196" s="9">
        <f t="shared" si="14"/>
        <v>-0.24543411644535237</v>
      </c>
      <c r="N196" s="9">
        <f t="shared" si="15"/>
        <v>-0.3595505617977528</v>
      </c>
    </row>
    <row r="197" spans="1:14" x14ac:dyDescent="0.25">
      <c r="A197" t="str">
        <f>TEXT("1/"&amp;data!A197,"mmmm")</f>
        <v>janvier</v>
      </c>
      <c r="B197">
        <f>data!B197</f>
        <v>2016</v>
      </c>
      <c r="C197" t="str">
        <f>data!C197</f>
        <v>114</v>
      </c>
      <c r="D197" t="str">
        <f>data!D197</f>
        <v>DAVAULT VIGNERONS</v>
      </c>
      <c r="E197" t="str">
        <f>data!E197</f>
        <v>114012</v>
      </c>
      <c r="F197" t="str">
        <f>data!F197</f>
        <v>AC TOURAINE GAMAY D.LA CHAISE</v>
      </c>
      <c r="G197" s="10">
        <f>data!G197</f>
        <v>17.52</v>
      </c>
      <c r="H197" s="10">
        <f>data!I197</f>
        <v>0</v>
      </c>
      <c r="I197" s="10">
        <f t="shared" si="12"/>
        <v>17.52</v>
      </c>
      <c r="J197" s="11">
        <f>data!H197</f>
        <v>13.33</v>
      </c>
      <c r="K197" s="11">
        <f>data!J197</f>
        <v>0</v>
      </c>
      <c r="L197" s="11">
        <f t="shared" si="13"/>
        <v>13.33</v>
      </c>
      <c r="M197" s="9" t="str">
        <f t="shared" si="14"/>
        <v/>
      </c>
      <c r="N197" s="9" t="str">
        <f t="shared" si="15"/>
        <v/>
      </c>
    </row>
    <row r="198" spans="1:14" x14ac:dyDescent="0.25">
      <c r="A198" t="str">
        <f>TEXT("1/"&amp;data!A198,"mmmm")</f>
        <v>janvier</v>
      </c>
      <c r="B198">
        <f>data!B198</f>
        <v>2016</v>
      </c>
      <c r="C198" t="str">
        <f>data!C198</f>
        <v>114</v>
      </c>
      <c r="D198" t="str">
        <f>data!D198</f>
        <v>DAVAULT VIGNERONS</v>
      </c>
      <c r="E198" t="str">
        <f>data!E198</f>
        <v>114013</v>
      </c>
      <c r="F198" t="str">
        <f>data!F198</f>
        <v>AC TOURAINE GAMAY</v>
      </c>
      <c r="G198" s="10">
        <f>data!G198</f>
        <v>9.98</v>
      </c>
      <c r="H198" s="10">
        <f>data!I198</f>
        <v>48.15</v>
      </c>
      <c r="I198" s="10">
        <f t="shared" si="12"/>
        <v>-38.17</v>
      </c>
      <c r="J198" s="11">
        <f>data!H198</f>
        <v>6.67</v>
      </c>
      <c r="K198" s="11">
        <f>data!J198</f>
        <v>40.019999999999996</v>
      </c>
      <c r="L198" s="11">
        <f t="shared" si="13"/>
        <v>-33.349999999999994</v>
      </c>
      <c r="M198" s="9">
        <f t="shared" si="14"/>
        <v>-0.79273104880581524</v>
      </c>
      <c r="N198" s="9">
        <f t="shared" si="15"/>
        <v>-0.83333333333333326</v>
      </c>
    </row>
    <row r="199" spans="1:14" x14ac:dyDescent="0.25">
      <c r="A199" t="str">
        <f>TEXT("1/"&amp;data!A199,"mmmm")</f>
        <v>janvier</v>
      </c>
      <c r="B199">
        <f>data!B199</f>
        <v>2016</v>
      </c>
      <c r="C199" t="str">
        <f>data!C199</f>
        <v>115</v>
      </c>
      <c r="D199" t="str">
        <f>data!D199</f>
        <v>SCEA CHATEAU DES ROQUES</v>
      </c>
      <c r="E199" t="str">
        <f>data!E199</f>
        <v>115005</v>
      </c>
      <c r="F199" t="str">
        <f>data!F199</f>
        <v>AC VACQUEYRAS CH DES ROQUES</v>
      </c>
      <c r="G199" s="10">
        <f>data!G199</f>
        <v>883.2</v>
      </c>
      <c r="H199" s="10">
        <f>data!I199</f>
        <v>2664</v>
      </c>
      <c r="I199" s="10">
        <f t="shared" si="12"/>
        <v>-1780.8</v>
      </c>
      <c r="J199" s="11">
        <f>data!H199</f>
        <v>144</v>
      </c>
      <c r="K199" s="11">
        <f>data!J199</f>
        <v>444</v>
      </c>
      <c r="L199" s="11">
        <f t="shared" si="13"/>
        <v>-300</v>
      </c>
      <c r="M199" s="9">
        <f t="shared" si="14"/>
        <v>-0.66846846846846841</v>
      </c>
      <c r="N199" s="9">
        <f t="shared" si="15"/>
        <v>-0.67567567567567566</v>
      </c>
    </row>
    <row r="200" spans="1:14" x14ac:dyDescent="0.25">
      <c r="A200" t="str">
        <f>TEXT("1/"&amp;data!A200,"mmmm")</f>
        <v>janvier</v>
      </c>
      <c r="B200">
        <f>data!B200</f>
        <v>2016</v>
      </c>
      <c r="C200" t="str">
        <f>data!C200</f>
        <v>115</v>
      </c>
      <c r="D200" t="str">
        <f>data!D200</f>
        <v>SCEA CHATEAU DES ROQUES</v>
      </c>
      <c r="E200" t="str">
        <f>data!E200</f>
        <v>115007</v>
      </c>
      <c r="F200" t="str">
        <f>data!F200</f>
        <v>Château des Roques AC VACQUEYRAS</v>
      </c>
      <c r="G200" s="10">
        <f>data!G200</f>
        <v>281.39999999999998</v>
      </c>
      <c r="H200" s="10">
        <f>data!I200</f>
        <v>151.68</v>
      </c>
      <c r="I200" s="10">
        <f t="shared" si="12"/>
        <v>129.71999999999997</v>
      </c>
      <c r="J200" s="11">
        <f>data!H200</f>
        <v>42</v>
      </c>
      <c r="K200" s="11">
        <f>data!J200</f>
        <v>24</v>
      </c>
      <c r="L200" s="11">
        <f t="shared" si="13"/>
        <v>18</v>
      </c>
      <c r="M200" s="9">
        <f t="shared" si="14"/>
        <v>0.85522151898734156</v>
      </c>
      <c r="N200" s="9">
        <f t="shared" si="15"/>
        <v>0.75</v>
      </c>
    </row>
    <row r="201" spans="1:14" x14ac:dyDescent="0.25">
      <c r="A201" t="str">
        <f>TEXT("1/"&amp;data!A201,"mmmm")</f>
        <v>janvier</v>
      </c>
      <c r="B201">
        <f>data!B201</f>
        <v>2016</v>
      </c>
      <c r="C201" t="str">
        <f>data!C201</f>
        <v>115</v>
      </c>
      <c r="D201" t="str">
        <f>data!D201</f>
        <v>SCEA CHATEAU DES ROQUES</v>
      </c>
      <c r="E201" t="str">
        <f>data!E201</f>
        <v>115010</v>
      </c>
      <c r="F201" t="str">
        <f>data!F201</f>
        <v>VDP VAUCLUSE G.DES ROQUES</v>
      </c>
      <c r="G201" s="10">
        <f>data!G201</f>
        <v>138</v>
      </c>
      <c r="H201" s="10">
        <f>data!I201</f>
        <v>771.72</v>
      </c>
      <c r="I201" s="10">
        <f t="shared" si="12"/>
        <v>-633.72</v>
      </c>
      <c r="J201" s="11">
        <f>data!H201</f>
        <v>133.30000000000001</v>
      </c>
      <c r="K201" s="11">
        <f>data!J201</f>
        <v>799.8</v>
      </c>
      <c r="L201" s="11">
        <f t="shared" si="13"/>
        <v>-666.5</v>
      </c>
      <c r="M201" s="9">
        <f t="shared" si="14"/>
        <v>-0.82117866583735033</v>
      </c>
      <c r="N201" s="9">
        <f t="shared" si="15"/>
        <v>-0.83333333333333337</v>
      </c>
    </row>
    <row r="202" spans="1:14" x14ac:dyDescent="0.25">
      <c r="A202" t="str">
        <f>TEXT("1/"&amp;data!A202,"mmmm")</f>
        <v>janvier</v>
      </c>
      <c r="B202">
        <f>data!B202</f>
        <v>2016</v>
      </c>
      <c r="C202" t="str">
        <f>data!C202</f>
        <v>115</v>
      </c>
      <c r="D202" t="str">
        <f>data!D202</f>
        <v>SCEA CHATEAU DES ROQUES</v>
      </c>
      <c r="E202" t="str">
        <f>data!E202</f>
        <v>115011</v>
      </c>
      <c r="F202" t="str">
        <f>data!F202</f>
        <v>VDP VAUCLUSE G.DES ROQUES</v>
      </c>
      <c r="G202" s="10">
        <f>data!G202</f>
        <v>24</v>
      </c>
      <c r="H202" s="10">
        <f>data!I202</f>
        <v>419.65</v>
      </c>
      <c r="I202" s="10">
        <f t="shared" si="12"/>
        <v>-395.65</v>
      </c>
      <c r="J202" s="11">
        <f>data!H202</f>
        <v>20.009999999999998</v>
      </c>
      <c r="K202" s="11">
        <f>data!J202</f>
        <v>373.52</v>
      </c>
      <c r="L202" s="11">
        <f t="shared" si="13"/>
        <v>-353.51</v>
      </c>
      <c r="M202" s="9">
        <f t="shared" si="14"/>
        <v>-0.94280948409388776</v>
      </c>
      <c r="N202" s="9">
        <f t="shared" si="15"/>
        <v>-0.9464285714285714</v>
      </c>
    </row>
    <row r="203" spans="1:14" x14ac:dyDescent="0.25">
      <c r="A203" t="str">
        <f>TEXT("1/"&amp;data!A203,"mmmm")</f>
        <v>janvier</v>
      </c>
      <c r="B203">
        <f>data!B203</f>
        <v>2016</v>
      </c>
      <c r="C203" t="str">
        <f>data!C203</f>
        <v>116</v>
      </c>
      <c r="D203" t="str">
        <f>data!D203</f>
        <v>VIGNOBLE GASNIER</v>
      </c>
      <c r="E203" t="str">
        <f>data!E203</f>
        <v>116001</v>
      </c>
      <c r="F203" t="str">
        <f>data!F203</f>
        <v>AC CHINON LES GRAVES</v>
      </c>
      <c r="G203" s="10">
        <f>data!G203</f>
        <v>573.29999999999995</v>
      </c>
      <c r="H203" s="10">
        <f>data!I203</f>
        <v>792</v>
      </c>
      <c r="I203" s="10">
        <f t="shared" si="12"/>
        <v>-218.70000000000005</v>
      </c>
      <c r="J203" s="11">
        <f>data!H203</f>
        <v>126</v>
      </c>
      <c r="K203" s="11">
        <f>data!J203</f>
        <v>180</v>
      </c>
      <c r="L203" s="11">
        <f t="shared" si="13"/>
        <v>-54</v>
      </c>
      <c r="M203" s="9">
        <f t="shared" si="14"/>
        <v>-0.27613636363636368</v>
      </c>
      <c r="N203" s="9">
        <f t="shared" si="15"/>
        <v>-0.3</v>
      </c>
    </row>
    <row r="204" spans="1:14" x14ac:dyDescent="0.25">
      <c r="A204" t="str">
        <f>TEXT("1/"&amp;data!A204,"mmmm")</f>
        <v>janvier</v>
      </c>
      <c r="B204">
        <f>data!B204</f>
        <v>2016</v>
      </c>
      <c r="C204" t="str">
        <f>data!C204</f>
        <v>118</v>
      </c>
      <c r="D204" t="str">
        <f>data!D204</f>
        <v>ARMAGNAC DELORD</v>
      </c>
      <c r="E204" t="str">
        <f>data!E204</f>
        <v>118016</v>
      </c>
      <c r="F204" t="str">
        <f>data!F204</f>
        <v>ARMAGNAC RECOLTE 1976 ARIANE</v>
      </c>
      <c r="G204" s="10">
        <f>data!G204</f>
        <v>36.799999999999997</v>
      </c>
      <c r="H204" s="10">
        <f>data!I204</f>
        <v>0</v>
      </c>
      <c r="I204" s="10">
        <f t="shared" si="12"/>
        <v>36.799999999999997</v>
      </c>
      <c r="J204" s="11">
        <f>data!H204</f>
        <v>1</v>
      </c>
      <c r="K204" s="11">
        <f>data!J204</f>
        <v>0</v>
      </c>
      <c r="L204" s="11">
        <f t="shared" si="13"/>
        <v>1</v>
      </c>
      <c r="M204" s="9" t="str">
        <f t="shared" si="14"/>
        <v/>
      </c>
      <c r="N204" s="9" t="str">
        <f t="shared" si="15"/>
        <v/>
      </c>
    </row>
    <row r="205" spans="1:14" x14ac:dyDescent="0.25">
      <c r="A205" t="str">
        <f>TEXT("1/"&amp;data!A205,"mmmm")</f>
        <v>janvier</v>
      </c>
      <c r="B205">
        <f>data!B205</f>
        <v>2016</v>
      </c>
      <c r="C205" t="str">
        <f>data!C205</f>
        <v>118</v>
      </c>
      <c r="D205" t="str">
        <f>data!D205</f>
        <v>ARMAGNAC DELORD</v>
      </c>
      <c r="E205" t="str">
        <f>data!E205</f>
        <v>118020</v>
      </c>
      <c r="F205" t="str">
        <f>data!F205</f>
        <v>ARMAGNAC RECOLTE 1986 ARIANE</v>
      </c>
      <c r="G205" s="10">
        <f>data!G205</f>
        <v>30.31</v>
      </c>
      <c r="H205" s="10">
        <f>data!I205</f>
        <v>0</v>
      </c>
      <c r="I205" s="10">
        <f t="shared" si="12"/>
        <v>30.31</v>
      </c>
      <c r="J205" s="11">
        <f>data!H205</f>
        <v>1</v>
      </c>
      <c r="K205" s="11">
        <f>data!J205</f>
        <v>0</v>
      </c>
      <c r="L205" s="11">
        <f t="shared" si="13"/>
        <v>1</v>
      </c>
      <c r="M205" s="9" t="str">
        <f t="shared" si="14"/>
        <v/>
      </c>
      <c r="N205" s="9" t="str">
        <f t="shared" si="15"/>
        <v/>
      </c>
    </row>
    <row r="206" spans="1:14" x14ac:dyDescent="0.25">
      <c r="A206" t="str">
        <f>TEXT("1/"&amp;data!A206,"mmmm")</f>
        <v>janvier</v>
      </c>
      <c r="B206">
        <f>data!B206</f>
        <v>2016</v>
      </c>
      <c r="C206" t="str">
        <f>data!C206</f>
        <v>118</v>
      </c>
      <c r="D206" t="str">
        <f>data!D206</f>
        <v>ARMAGNAC DELORD</v>
      </c>
      <c r="E206" t="str">
        <f>data!E206</f>
        <v>118021</v>
      </c>
      <c r="F206" t="str">
        <f>data!F206</f>
        <v>ARMAGNAC RECOLTE 1985 ARIANE</v>
      </c>
      <c r="G206" s="10">
        <f>data!G206</f>
        <v>30.67</v>
      </c>
      <c r="H206" s="10">
        <f>data!I206</f>
        <v>122.66</v>
      </c>
      <c r="I206" s="10">
        <f t="shared" si="12"/>
        <v>-91.99</v>
      </c>
      <c r="J206" s="11">
        <f>data!H206</f>
        <v>1</v>
      </c>
      <c r="K206" s="11">
        <f>data!J206</f>
        <v>4</v>
      </c>
      <c r="L206" s="11">
        <f t="shared" si="13"/>
        <v>-3</v>
      </c>
      <c r="M206" s="9">
        <f t="shared" si="14"/>
        <v>-0.74995923691504973</v>
      </c>
      <c r="N206" s="9">
        <f t="shared" si="15"/>
        <v>-0.75</v>
      </c>
    </row>
    <row r="207" spans="1:14" x14ac:dyDescent="0.25">
      <c r="A207" t="str">
        <f>TEXT("1/"&amp;data!A207,"mmmm")</f>
        <v>janvier</v>
      </c>
      <c r="B207">
        <f>data!B207</f>
        <v>2016</v>
      </c>
      <c r="C207" t="str">
        <f>data!C207</f>
        <v>118</v>
      </c>
      <c r="D207" t="str">
        <f>data!D207</f>
        <v>ARMAGNAC DELORD</v>
      </c>
      <c r="E207" t="str">
        <f>data!E207</f>
        <v>118026</v>
      </c>
      <c r="F207" t="str">
        <f>data!F207</f>
        <v>ARMAGNAC MILLESIME 40% VOL</v>
      </c>
      <c r="G207" s="10">
        <f>data!G207</f>
        <v>33.44</v>
      </c>
      <c r="H207" s="10">
        <f>data!I207</f>
        <v>0</v>
      </c>
      <c r="I207" s="10">
        <f t="shared" si="12"/>
        <v>33.44</v>
      </c>
      <c r="J207" s="11">
        <f>data!H207</f>
        <v>1</v>
      </c>
      <c r="K207" s="11">
        <f>data!J207</f>
        <v>0</v>
      </c>
      <c r="L207" s="11">
        <f t="shared" si="13"/>
        <v>1</v>
      </c>
      <c r="M207" s="9" t="str">
        <f t="shared" si="14"/>
        <v/>
      </c>
      <c r="N207" s="9" t="str">
        <f t="shared" si="15"/>
        <v/>
      </c>
    </row>
    <row r="208" spans="1:14" x14ac:dyDescent="0.25">
      <c r="A208" t="str">
        <f>TEXT("1/"&amp;data!A208,"mmmm")</f>
        <v>janvier</v>
      </c>
      <c r="B208">
        <f>data!B208</f>
        <v>2016</v>
      </c>
      <c r="C208" t="str">
        <f>data!C208</f>
        <v>118</v>
      </c>
      <c r="D208" t="str">
        <f>data!D208</f>
        <v>ARMAGNAC DELORD</v>
      </c>
      <c r="E208" t="str">
        <f>data!E208</f>
        <v>118027</v>
      </c>
      <c r="F208" t="str">
        <f>data!F208</f>
        <v>ARMAGNAC MILLESIME 40% VOL</v>
      </c>
      <c r="G208" s="10">
        <f>data!G208</f>
        <v>34.65</v>
      </c>
      <c r="H208" s="10">
        <f>data!I208</f>
        <v>0</v>
      </c>
      <c r="I208" s="10">
        <f t="shared" si="12"/>
        <v>34.65</v>
      </c>
      <c r="J208" s="11">
        <f>data!H208</f>
        <v>1</v>
      </c>
      <c r="K208" s="11">
        <f>data!J208</f>
        <v>0</v>
      </c>
      <c r="L208" s="11">
        <f t="shared" si="13"/>
        <v>1</v>
      </c>
      <c r="M208" s="9" t="str">
        <f t="shared" si="14"/>
        <v/>
      </c>
      <c r="N208" s="9" t="str">
        <f t="shared" si="15"/>
        <v/>
      </c>
    </row>
    <row r="209" spans="1:14" x14ac:dyDescent="0.25">
      <c r="A209" t="str">
        <f>TEXT("1/"&amp;data!A209,"mmmm")</f>
        <v>janvier</v>
      </c>
      <c r="B209">
        <f>data!B209</f>
        <v>2016</v>
      </c>
      <c r="C209" t="str">
        <f>data!C209</f>
        <v>118</v>
      </c>
      <c r="D209" t="str">
        <f>data!D209</f>
        <v>ARMAGNAC DELORD</v>
      </c>
      <c r="E209" t="str">
        <f>data!E209</f>
        <v>118028</v>
      </c>
      <c r="F209" t="str">
        <f>data!F209</f>
        <v>ARMAGNAC RECOLTE 1977 ARIANE</v>
      </c>
      <c r="G209" s="10">
        <f>data!G209</f>
        <v>71.84</v>
      </c>
      <c r="H209" s="10">
        <f>data!I209</f>
        <v>0</v>
      </c>
      <c r="I209" s="10">
        <f t="shared" si="12"/>
        <v>71.84</v>
      </c>
      <c r="J209" s="11">
        <f>data!H209</f>
        <v>2</v>
      </c>
      <c r="K209" s="11">
        <f>data!J209</f>
        <v>0</v>
      </c>
      <c r="L209" s="11">
        <f t="shared" si="13"/>
        <v>2</v>
      </c>
      <c r="M209" s="9" t="str">
        <f t="shared" si="14"/>
        <v/>
      </c>
      <c r="N209" s="9" t="str">
        <f t="shared" si="15"/>
        <v/>
      </c>
    </row>
    <row r="210" spans="1:14" x14ac:dyDescent="0.25">
      <c r="A210" t="str">
        <f>TEXT("1/"&amp;data!A210,"mmmm")</f>
        <v>janvier</v>
      </c>
      <c r="B210">
        <f>data!B210</f>
        <v>2016</v>
      </c>
      <c r="C210" t="str">
        <f>data!C210</f>
        <v>118</v>
      </c>
      <c r="D210" t="str">
        <f>data!D210</f>
        <v>ARMAGNAC DELORD</v>
      </c>
      <c r="E210" t="str">
        <f>data!E210</f>
        <v>118029</v>
      </c>
      <c r="F210" t="str">
        <f>data!F210</f>
        <v>ARMAGNAC RECOLTE 1975 ARIANE en caissette bois</v>
      </c>
      <c r="G210" s="10">
        <f>data!G210</f>
        <v>37.69</v>
      </c>
      <c r="H210" s="10">
        <f>data!I210</f>
        <v>38.56</v>
      </c>
      <c r="I210" s="10">
        <f t="shared" si="12"/>
        <v>-0.87000000000000455</v>
      </c>
      <c r="J210" s="11">
        <f>data!H210</f>
        <v>1</v>
      </c>
      <c r="K210" s="11">
        <f>data!J210</f>
        <v>1</v>
      </c>
      <c r="L210" s="11">
        <f t="shared" si="13"/>
        <v>0</v>
      </c>
      <c r="M210" s="9">
        <f t="shared" si="14"/>
        <v>-2.2562240663900533E-2</v>
      </c>
      <c r="N210" s="9">
        <f t="shared" si="15"/>
        <v>0</v>
      </c>
    </row>
    <row r="211" spans="1:14" x14ac:dyDescent="0.25">
      <c r="A211" t="str">
        <f>TEXT("1/"&amp;data!A211,"mmmm")</f>
        <v>janvier</v>
      </c>
      <c r="B211">
        <f>data!B211</f>
        <v>2016</v>
      </c>
      <c r="C211" t="str">
        <f>data!C211</f>
        <v>118</v>
      </c>
      <c r="D211" t="str">
        <f>data!D211</f>
        <v>ARMAGNAC DELORD</v>
      </c>
      <c r="E211" t="str">
        <f>data!E211</f>
        <v>118030</v>
      </c>
      <c r="F211" t="str">
        <f>data!F211</f>
        <v>ARMAGNAC RECOLTE 1974 ARIANE en étui</v>
      </c>
      <c r="G211" s="10">
        <f>data!G211</f>
        <v>84.22</v>
      </c>
      <c r="H211" s="10">
        <f>data!I211</f>
        <v>0</v>
      </c>
      <c r="I211" s="10">
        <f t="shared" si="12"/>
        <v>84.22</v>
      </c>
      <c r="J211" s="11">
        <f>data!H211</f>
        <v>2</v>
      </c>
      <c r="K211" s="11">
        <f>data!J211</f>
        <v>0</v>
      </c>
      <c r="L211" s="11">
        <f t="shared" si="13"/>
        <v>2</v>
      </c>
      <c r="M211" s="9" t="str">
        <f t="shared" si="14"/>
        <v/>
      </c>
      <c r="N211" s="9" t="str">
        <f t="shared" si="15"/>
        <v/>
      </c>
    </row>
    <row r="212" spans="1:14" x14ac:dyDescent="0.25">
      <c r="A212" t="str">
        <f>TEXT("1/"&amp;data!A212,"mmmm")</f>
        <v>janvier</v>
      </c>
      <c r="B212">
        <f>data!B212</f>
        <v>2016</v>
      </c>
      <c r="C212" t="str">
        <f>data!C212</f>
        <v>118</v>
      </c>
      <c r="D212" t="str">
        <f>data!D212</f>
        <v>ARMAGNAC DELORD</v>
      </c>
      <c r="E212" t="str">
        <f>data!E212</f>
        <v>118032</v>
      </c>
      <c r="F212" t="str">
        <f>data!F212</f>
        <v>ARMAGNAC RECOLTE 1973 ARIANE en caissette bois</v>
      </c>
      <c r="G212" s="10">
        <f>data!G212</f>
        <v>49.07</v>
      </c>
      <c r="H212" s="10">
        <f>data!I212</f>
        <v>0</v>
      </c>
      <c r="I212" s="10">
        <f t="shared" si="12"/>
        <v>49.07</v>
      </c>
      <c r="J212" s="11">
        <f>data!H212</f>
        <v>1</v>
      </c>
      <c r="K212" s="11">
        <f>data!J212</f>
        <v>0</v>
      </c>
      <c r="L212" s="11">
        <f t="shared" si="13"/>
        <v>1</v>
      </c>
      <c r="M212" s="9" t="str">
        <f t="shared" si="14"/>
        <v/>
      </c>
      <c r="N212" s="9" t="str">
        <f t="shared" si="15"/>
        <v/>
      </c>
    </row>
    <row r="213" spans="1:14" x14ac:dyDescent="0.25">
      <c r="A213" t="str">
        <f>TEXT("1/"&amp;data!A213,"mmmm")</f>
        <v>janvier</v>
      </c>
      <c r="B213">
        <f>data!B213</f>
        <v>2016</v>
      </c>
      <c r="C213" t="str">
        <f>data!C213</f>
        <v>118</v>
      </c>
      <c r="D213" t="str">
        <f>data!D213</f>
        <v>ARMAGNAC DELORD</v>
      </c>
      <c r="E213" t="str">
        <f>data!E213</f>
        <v>118035</v>
      </c>
      <c r="F213" t="str">
        <f>data!F213</f>
        <v>ARMAGNAC RECOLTE 1970 ARIANE en caissette bois</v>
      </c>
      <c r="G213" s="10">
        <f>data!G213</f>
        <v>62.21</v>
      </c>
      <c r="H213" s="10">
        <f>data!I213</f>
        <v>0</v>
      </c>
      <c r="I213" s="10">
        <f t="shared" si="12"/>
        <v>62.21</v>
      </c>
      <c r="J213" s="11">
        <f>data!H213</f>
        <v>1</v>
      </c>
      <c r="K213" s="11">
        <f>data!J213</f>
        <v>0</v>
      </c>
      <c r="L213" s="11">
        <f t="shared" si="13"/>
        <v>1</v>
      </c>
      <c r="M213" s="9" t="str">
        <f t="shared" si="14"/>
        <v/>
      </c>
      <c r="N213" s="9" t="str">
        <f t="shared" si="15"/>
        <v/>
      </c>
    </row>
    <row r="214" spans="1:14" x14ac:dyDescent="0.25">
      <c r="A214" t="str">
        <f>TEXT("1/"&amp;data!A214,"mmmm")</f>
        <v>janvier</v>
      </c>
      <c r="B214">
        <f>data!B214</f>
        <v>2016</v>
      </c>
      <c r="C214" t="str">
        <f>data!C214</f>
        <v>118</v>
      </c>
      <c r="D214" t="str">
        <f>data!D214</f>
        <v>ARMAGNAC DELORD</v>
      </c>
      <c r="E214" t="str">
        <f>data!E214</f>
        <v>118036</v>
      </c>
      <c r="F214" t="str">
        <f>data!F214</f>
        <v>ARMAGNAC MILLESIME 40% VOL</v>
      </c>
      <c r="G214" s="10">
        <f>data!G214</f>
        <v>140.28</v>
      </c>
      <c r="H214" s="10">
        <f>data!I214</f>
        <v>0</v>
      </c>
      <c r="I214" s="10">
        <f t="shared" si="12"/>
        <v>140.28</v>
      </c>
      <c r="J214" s="11">
        <f>data!H214</f>
        <v>1</v>
      </c>
      <c r="K214" s="11">
        <f>data!J214</f>
        <v>0</v>
      </c>
      <c r="L214" s="11">
        <f t="shared" si="13"/>
        <v>1</v>
      </c>
      <c r="M214" s="9" t="str">
        <f t="shared" si="14"/>
        <v/>
      </c>
      <c r="N214" s="9" t="str">
        <f t="shared" si="15"/>
        <v/>
      </c>
    </row>
    <row r="215" spans="1:14" x14ac:dyDescent="0.25">
      <c r="A215" t="str">
        <f>TEXT("1/"&amp;data!A215,"mmmm")</f>
        <v>janvier</v>
      </c>
      <c r="B215">
        <f>data!B215</f>
        <v>2016</v>
      </c>
      <c r="C215" t="str">
        <f>data!C215</f>
        <v>118</v>
      </c>
      <c r="D215" t="str">
        <f>data!D215</f>
        <v>ARMAGNAC DELORD</v>
      </c>
      <c r="E215" t="str">
        <f>data!E215</f>
        <v>118037</v>
      </c>
      <c r="F215" t="str">
        <f>data!F215</f>
        <v>ARMAGNAC RECOLTE 1968 ARIANE en caissette bois</v>
      </c>
      <c r="G215" s="10">
        <f>data!G215</f>
        <v>69.17</v>
      </c>
      <c r="H215" s="10">
        <f>data!I215</f>
        <v>0</v>
      </c>
      <c r="I215" s="10">
        <f t="shared" si="12"/>
        <v>69.17</v>
      </c>
      <c r="J215" s="11">
        <f>data!H215</f>
        <v>1</v>
      </c>
      <c r="K215" s="11">
        <f>data!J215</f>
        <v>0</v>
      </c>
      <c r="L215" s="11">
        <f t="shared" si="13"/>
        <v>1</v>
      </c>
      <c r="M215" s="9" t="str">
        <f t="shared" si="14"/>
        <v/>
      </c>
      <c r="N215" s="9" t="str">
        <f t="shared" si="15"/>
        <v/>
      </c>
    </row>
    <row r="216" spans="1:14" x14ac:dyDescent="0.25">
      <c r="A216" t="str">
        <f>TEXT("1/"&amp;data!A216,"mmmm")</f>
        <v>janvier</v>
      </c>
      <c r="B216">
        <f>data!B216</f>
        <v>2016</v>
      </c>
      <c r="C216" t="str">
        <f>data!C216</f>
        <v>118</v>
      </c>
      <c r="D216" t="str">
        <f>data!D216</f>
        <v>ARMAGNAC DELORD</v>
      </c>
      <c r="E216" t="str">
        <f>data!E216</f>
        <v>118041</v>
      </c>
      <c r="F216" t="str">
        <f>data!F216</f>
        <v>ARMAGNAC ARIANNE 40% VOL COFFRET BOIS</v>
      </c>
      <c r="G216" s="10">
        <f>data!G216</f>
        <v>79.790000000000006</v>
      </c>
      <c r="H216" s="10">
        <f>data!I216</f>
        <v>0</v>
      </c>
      <c r="I216" s="10">
        <f t="shared" si="12"/>
        <v>79.790000000000006</v>
      </c>
      <c r="J216" s="11">
        <f>data!H216</f>
        <v>1</v>
      </c>
      <c r="K216" s="11">
        <f>data!J216</f>
        <v>0</v>
      </c>
      <c r="L216" s="11">
        <f t="shared" si="13"/>
        <v>1</v>
      </c>
      <c r="M216" s="9" t="str">
        <f t="shared" si="14"/>
        <v/>
      </c>
      <c r="N216" s="9" t="str">
        <f t="shared" si="15"/>
        <v/>
      </c>
    </row>
    <row r="217" spans="1:14" x14ac:dyDescent="0.25">
      <c r="A217" t="str">
        <f>TEXT("1/"&amp;data!A217,"mmmm")</f>
        <v>janvier</v>
      </c>
      <c r="B217">
        <f>data!B217</f>
        <v>2016</v>
      </c>
      <c r="C217" t="str">
        <f>data!C217</f>
        <v>118</v>
      </c>
      <c r="D217" t="str">
        <f>data!D217</f>
        <v>ARMAGNAC DELORD</v>
      </c>
      <c r="E217" t="str">
        <f>data!E217</f>
        <v>118044</v>
      </c>
      <c r="F217" t="str">
        <f>data!F217</f>
        <v>ARMAGNAC MILLESIME 40% VOL</v>
      </c>
      <c r="G217" s="10">
        <f>data!G217</f>
        <v>169.02</v>
      </c>
      <c r="H217" s="10">
        <f>data!I217</f>
        <v>0</v>
      </c>
      <c r="I217" s="10">
        <f t="shared" si="12"/>
        <v>169.02</v>
      </c>
      <c r="J217" s="11">
        <f>data!H217</f>
        <v>1</v>
      </c>
      <c r="K217" s="11">
        <f>data!J217</f>
        <v>0</v>
      </c>
      <c r="L217" s="11">
        <f t="shared" si="13"/>
        <v>1</v>
      </c>
      <c r="M217" s="9" t="str">
        <f t="shared" si="14"/>
        <v/>
      </c>
      <c r="N217" s="9" t="str">
        <f t="shared" si="15"/>
        <v/>
      </c>
    </row>
    <row r="218" spans="1:14" x14ac:dyDescent="0.25">
      <c r="A218" t="str">
        <f>TEXT("1/"&amp;data!A218,"mmmm")</f>
        <v>janvier</v>
      </c>
      <c r="B218">
        <f>data!B218</f>
        <v>2016</v>
      </c>
      <c r="C218" t="str">
        <f>data!C218</f>
        <v>118</v>
      </c>
      <c r="D218" t="str">
        <f>data!D218</f>
        <v>ARMAGNAC DELORD</v>
      </c>
      <c r="E218" t="str">
        <f>data!E218</f>
        <v>118045</v>
      </c>
      <c r="F218" t="str">
        <f>data!F218</f>
        <v>ARMAGNAC MILLESIME 40% VOL</v>
      </c>
      <c r="G218" s="10">
        <f>data!G218</f>
        <v>189.71</v>
      </c>
      <c r="H218" s="10">
        <f>data!I218</f>
        <v>0</v>
      </c>
      <c r="I218" s="10">
        <f t="shared" si="12"/>
        <v>189.71</v>
      </c>
      <c r="J218" s="11">
        <f>data!H218</f>
        <v>1</v>
      </c>
      <c r="K218" s="11">
        <f>data!J218</f>
        <v>0</v>
      </c>
      <c r="L218" s="11">
        <f t="shared" si="13"/>
        <v>1</v>
      </c>
      <c r="M218" s="9" t="str">
        <f t="shared" si="14"/>
        <v/>
      </c>
      <c r="N218" s="9" t="str">
        <f t="shared" si="15"/>
        <v/>
      </c>
    </row>
    <row r="219" spans="1:14" x14ac:dyDescent="0.25">
      <c r="A219" t="str">
        <f>TEXT("1/"&amp;data!A219,"mmmm")</f>
        <v>janvier</v>
      </c>
      <c r="B219">
        <f>data!B219</f>
        <v>2016</v>
      </c>
      <c r="C219" t="str">
        <f>data!C219</f>
        <v>118</v>
      </c>
      <c r="D219" t="str">
        <f>data!D219</f>
        <v>ARMAGNAC DELORD</v>
      </c>
      <c r="E219" t="str">
        <f>data!E219</f>
        <v>118200</v>
      </c>
      <c r="F219" t="str">
        <f>data!F219</f>
        <v>ARMAGNAC 40% VOL EN CAISSE BOIS</v>
      </c>
      <c r="G219" s="10">
        <f>data!G219</f>
        <v>35.28</v>
      </c>
      <c r="H219" s="10">
        <f>data!I219</f>
        <v>0</v>
      </c>
      <c r="I219" s="10">
        <f t="shared" si="12"/>
        <v>35.28</v>
      </c>
      <c r="J219" s="11">
        <f>data!H219</f>
        <v>1</v>
      </c>
      <c r="K219" s="11">
        <f>data!J219</f>
        <v>0</v>
      </c>
      <c r="L219" s="11">
        <f t="shared" si="13"/>
        <v>1</v>
      </c>
      <c r="M219" s="9" t="str">
        <f t="shared" si="14"/>
        <v/>
      </c>
      <c r="N219" s="9" t="str">
        <f t="shared" si="15"/>
        <v/>
      </c>
    </row>
    <row r="220" spans="1:14" x14ac:dyDescent="0.25">
      <c r="A220" t="str">
        <f>TEXT("1/"&amp;data!A220,"mmmm")</f>
        <v>janvier</v>
      </c>
      <c r="B220">
        <f>data!B220</f>
        <v>2016</v>
      </c>
      <c r="C220" t="str">
        <f>data!C220</f>
        <v>124</v>
      </c>
      <c r="D220" t="str">
        <f>data!D220</f>
        <v>CHATEAU BECHEREAU</v>
      </c>
      <c r="E220" t="str">
        <f>data!E220</f>
        <v>124001</v>
      </c>
      <c r="F220" t="str">
        <f>data!F220</f>
        <v>AC M ST EMILION CH BECHEREAU</v>
      </c>
      <c r="G220" s="10">
        <f>data!G220</f>
        <v>765.6</v>
      </c>
      <c r="H220" s="10">
        <f>data!I220</f>
        <v>897.6</v>
      </c>
      <c r="I220" s="10">
        <f t="shared" si="12"/>
        <v>-132</v>
      </c>
      <c r="J220" s="11">
        <f>data!H220</f>
        <v>174</v>
      </c>
      <c r="K220" s="11">
        <f>data!J220</f>
        <v>204</v>
      </c>
      <c r="L220" s="11">
        <f t="shared" si="13"/>
        <v>-30</v>
      </c>
      <c r="M220" s="9">
        <f t="shared" si="14"/>
        <v>-0.14705882352941177</v>
      </c>
      <c r="N220" s="9">
        <f t="shared" si="15"/>
        <v>-0.14705882352941177</v>
      </c>
    </row>
    <row r="221" spans="1:14" x14ac:dyDescent="0.25">
      <c r="A221" t="str">
        <f>TEXT("1/"&amp;data!A221,"mmmm")</f>
        <v>janvier</v>
      </c>
      <c r="B221">
        <f>data!B221</f>
        <v>2016</v>
      </c>
      <c r="C221" t="str">
        <f>data!C221</f>
        <v>124</v>
      </c>
      <c r="D221" t="str">
        <f>data!D221</f>
        <v>CHATEAU BECHEREAU</v>
      </c>
      <c r="E221" t="str">
        <f>data!E221</f>
        <v>124002</v>
      </c>
      <c r="F221" t="str">
        <f>data!F221</f>
        <v>AC BORDEAUX SUP TRADITION CH BECHEREAU</v>
      </c>
      <c r="G221" s="10">
        <f>data!G221</f>
        <v>249.6</v>
      </c>
      <c r="H221" s="10">
        <f>data!I221</f>
        <v>153.6</v>
      </c>
      <c r="I221" s="10">
        <f t="shared" si="12"/>
        <v>96</v>
      </c>
      <c r="J221" s="11">
        <f>data!H221</f>
        <v>78</v>
      </c>
      <c r="K221" s="11">
        <f>data!J221</f>
        <v>48</v>
      </c>
      <c r="L221" s="11">
        <f t="shared" si="13"/>
        <v>30</v>
      </c>
      <c r="M221" s="9">
        <f t="shared" si="14"/>
        <v>0.625</v>
      </c>
      <c r="N221" s="9">
        <f t="shared" si="15"/>
        <v>0.625</v>
      </c>
    </row>
    <row r="222" spans="1:14" x14ac:dyDescent="0.25">
      <c r="A222" t="str">
        <f>TEXT("1/"&amp;data!A222,"mmmm")</f>
        <v>janvier</v>
      </c>
      <c r="B222">
        <f>data!B222</f>
        <v>2016</v>
      </c>
      <c r="C222" t="str">
        <f>data!C222</f>
        <v>124</v>
      </c>
      <c r="D222" t="str">
        <f>data!D222</f>
        <v>CHATEAU BECHEREAU</v>
      </c>
      <c r="E222" t="str">
        <f>data!E222</f>
        <v>124005CB</v>
      </c>
      <c r="F222" t="str">
        <f>data!F222</f>
        <v>AC MONTAGNE CH BECHEREAU CB</v>
      </c>
      <c r="G222" s="10">
        <f>data!G222</f>
        <v>92.7</v>
      </c>
      <c r="H222" s="10">
        <f>data!I222</f>
        <v>0</v>
      </c>
      <c r="I222" s="10">
        <f t="shared" si="12"/>
        <v>92.7</v>
      </c>
      <c r="J222" s="11">
        <f>data!H222</f>
        <v>15</v>
      </c>
      <c r="K222" s="11">
        <f>data!J222</f>
        <v>0</v>
      </c>
      <c r="L222" s="11">
        <f t="shared" si="13"/>
        <v>15</v>
      </c>
      <c r="M222" s="9" t="str">
        <f t="shared" si="14"/>
        <v/>
      </c>
      <c r="N222" s="9" t="str">
        <f t="shared" si="15"/>
        <v/>
      </c>
    </row>
    <row r="223" spans="1:14" x14ac:dyDescent="0.25">
      <c r="A223" t="str">
        <f>TEXT("1/"&amp;data!A223,"mmmm")</f>
        <v>janvier</v>
      </c>
      <c r="B223">
        <f>data!B223</f>
        <v>2016</v>
      </c>
      <c r="C223" t="str">
        <f>data!C223</f>
        <v>124</v>
      </c>
      <c r="D223" t="str">
        <f>data!D223</f>
        <v>CHATEAU BECHEREAU</v>
      </c>
      <c r="E223" t="str">
        <f>data!E223</f>
        <v>124010</v>
      </c>
      <c r="F223" t="str">
        <f>data!F223</f>
        <v>AC LALANDE POMEROL BECH</v>
      </c>
      <c r="G223" s="10">
        <f>data!G223</f>
        <v>1760.8</v>
      </c>
      <c r="H223" s="10">
        <f>data!I223</f>
        <v>855.6</v>
      </c>
      <c r="I223" s="10">
        <f t="shared" si="12"/>
        <v>905.19999999999993</v>
      </c>
      <c r="J223" s="11">
        <f>data!H223</f>
        <v>294</v>
      </c>
      <c r="K223" s="11">
        <f>data!J223</f>
        <v>138</v>
      </c>
      <c r="L223" s="11">
        <f t="shared" si="13"/>
        <v>156</v>
      </c>
      <c r="M223" s="9">
        <f t="shared" si="14"/>
        <v>1.0579710144927534</v>
      </c>
      <c r="N223" s="9">
        <f t="shared" si="15"/>
        <v>1.1304347826086956</v>
      </c>
    </row>
    <row r="224" spans="1:14" x14ac:dyDescent="0.25">
      <c r="A224" t="str">
        <f>TEXT("1/"&amp;data!A224,"mmmm")</f>
        <v>janvier</v>
      </c>
      <c r="B224">
        <f>data!B224</f>
        <v>2016</v>
      </c>
      <c r="C224" t="str">
        <f>data!C224</f>
        <v>134</v>
      </c>
      <c r="D224" t="str">
        <f>data!D224</f>
        <v>DOMAINE GALEVAN</v>
      </c>
      <c r="E224" t="str">
        <f>data!E224</f>
        <v>134002</v>
      </c>
      <c r="F224" t="str">
        <f>data!F224</f>
        <v>AC C.DU RHONE D.GALEVAN</v>
      </c>
      <c r="G224" s="10">
        <f>data!G224</f>
        <v>-97.2</v>
      </c>
      <c r="H224" s="10">
        <f>data!I224</f>
        <v>0</v>
      </c>
      <c r="I224" s="10">
        <f t="shared" si="12"/>
        <v>-97.2</v>
      </c>
      <c r="J224" s="11">
        <f>data!H224</f>
        <v>-53.36</v>
      </c>
      <c r="K224" s="11">
        <f>data!J224</f>
        <v>0</v>
      </c>
      <c r="L224" s="11">
        <f t="shared" si="13"/>
        <v>-53.36</v>
      </c>
      <c r="M224" s="9" t="str">
        <f t="shared" si="14"/>
        <v/>
      </c>
      <c r="N224" s="9" t="str">
        <f t="shared" si="15"/>
        <v/>
      </c>
    </row>
    <row r="225" spans="1:14" x14ac:dyDescent="0.25">
      <c r="A225" t="str">
        <f>TEXT("1/"&amp;data!A225,"mmmm")</f>
        <v>janvier</v>
      </c>
      <c r="B225">
        <f>data!B225</f>
        <v>2016</v>
      </c>
      <c r="C225" t="str">
        <f>data!C225</f>
        <v>134</v>
      </c>
      <c r="D225" t="str">
        <f>data!D225</f>
        <v>DOMAINE GALEVAN</v>
      </c>
      <c r="E225" t="str">
        <f>data!E225</f>
        <v>134004</v>
      </c>
      <c r="F225" t="str">
        <f>data!F225</f>
        <v>AC C.DU RHONE LIBRE EXPRESSION</v>
      </c>
      <c r="G225" s="10">
        <f>data!G225</f>
        <v>220.8</v>
      </c>
      <c r="H225" s="10">
        <f>data!I225</f>
        <v>0</v>
      </c>
      <c r="I225" s="10">
        <f t="shared" si="12"/>
        <v>220.8</v>
      </c>
      <c r="J225" s="11">
        <f>data!H225</f>
        <v>48</v>
      </c>
      <c r="K225" s="11">
        <f>data!J225</f>
        <v>0</v>
      </c>
      <c r="L225" s="11">
        <f t="shared" si="13"/>
        <v>48</v>
      </c>
      <c r="M225" s="9" t="str">
        <f t="shared" si="14"/>
        <v/>
      </c>
      <c r="N225" s="9" t="str">
        <f t="shared" si="15"/>
        <v/>
      </c>
    </row>
    <row r="226" spans="1:14" x14ac:dyDescent="0.25">
      <c r="A226" t="str">
        <f>TEXT("1/"&amp;data!A226,"mmmm")</f>
        <v>janvier</v>
      </c>
      <c r="B226">
        <f>data!B226</f>
        <v>2016</v>
      </c>
      <c r="C226" t="str">
        <f>data!C226</f>
        <v>134</v>
      </c>
      <c r="D226" t="str">
        <f>data!D226</f>
        <v>DOMAINE GALEVAN</v>
      </c>
      <c r="E226" t="str">
        <f>data!E226</f>
        <v>134005</v>
      </c>
      <c r="F226" t="str">
        <f>data!F226</f>
        <v>AC C DU RHONE PAROLES DE FEMME</v>
      </c>
      <c r="G226" s="10">
        <f>data!G226</f>
        <v>903.72</v>
      </c>
      <c r="H226" s="10">
        <f>data!I226</f>
        <v>0</v>
      </c>
      <c r="I226" s="10">
        <f t="shared" si="12"/>
        <v>903.72</v>
      </c>
      <c r="J226" s="11">
        <f>data!H226</f>
        <v>204</v>
      </c>
      <c r="K226" s="11">
        <f>data!J226</f>
        <v>0</v>
      </c>
      <c r="L226" s="11">
        <f t="shared" si="13"/>
        <v>204</v>
      </c>
      <c r="M226" s="9" t="str">
        <f t="shared" si="14"/>
        <v/>
      </c>
      <c r="N226" s="9" t="str">
        <f t="shared" si="15"/>
        <v/>
      </c>
    </row>
    <row r="227" spans="1:14" x14ac:dyDescent="0.25">
      <c r="A227" t="str">
        <f>TEXT("1/"&amp;data!A227,"mmmm")</f>
        <v>janvier</v>
      </c>
      <c r="B227">
        <f>data!B227</f>
        <v>2016</v>
      </c>
      <c r="C227" t="str">
        <f>data!C227</f>
        <v>137</v>
      </c>
      <c r="D227" t="str">
        <f>data!D227</f>
        <v>CHATEAU MAS DES CABRES</v>
      </c>
      <c r="E227" t="str">
        <f>data!E227</f>
        <v>137001</v>
      </c>
      <c r="F227" t="str">
        <f>data!F227</f>
        <v>AC CTX LANGUEDOC TERRES D'ASPERES M.DES CABRES</v>
      </c>
      <c r="G227" s="10">
        <f>data!G227</f>
        <v>540.6</v>
      </c>
      <c r="H227" s="10">
        <f>data!I227</f>
        <v>306</v>
      </c>
      <c r="I227" s="10">
        <f t="shared" si="12"/>
        <v>234.60000000000002</v>
      </c>
      <c r="J227" s="11">
        <f>data!H227</f>
        <v>204</v>
      </c>
      <c r="K227" s="11">
        <f>data!J227</f>
        <v>120</v>
      </c>
      <c r="L227" s="11">
        <f t="shared" si="13"/>
        <v>84</v>
      </c>
      <c r="M227" s="9">
        <f t="shared" si="14"/>
        <v>0.76666666666666672</v>
      </c>
      <c r="N227" s="9">
        <f t="shared" si="15"/>
        <v>0.7</v>
      </c>
    </row>
    <row r="228" spans="1:14" x14ac:dyDescent="0.25">
      <c r="A228" t="str">
        <f>TEXT("1/"&amp;data!A228,"mmmm")</f>
        <v>janvier</v>
      </c>
      <c r="B228">
        <f>data!B228</f>
        <v>2016</v>
      </c>
      <c r="C228" t="str">
        <f>data!C228</f>
        <v>137</v>
      </c>
      <c r="D228" t="str">
        <f>data!D228</f>
        <v>CHATEAU MAS DES CABRES</v>
      </c>
      <c r="E228" t="str">
        <f>data!E228</f>
        <v>137003</v>
      </c>
      <c r="F228" t="str">
        <f>data!F228</f>
        <v>AC CTX DU LANGUEDOC LA DRAILLE</v>
      </c>
      <c r="G228" s="10">
        <f>data!G228</f>
        <v>57.6</v>
      </c>
      <c r="H228" s="10">
        <f>data!I228</f>
        <v>199.5</v>
      </c>
      <c r="I228" s="10">
        <f t="shared" si="12"/>
        <v>-141.9</v>
      </c>
      <c r="J228" s="11">
        <f>data!H228</f>
        <v>12</v>
      </c>
      <c r="K228" s="11">
        <f>data!J228</f>
        <v>42</v>
      </c>
      <c r="L228" s="11">
        <f t="shared" si="13"/>
        <v>-30</v>
      </c>
      <c r="M228" s="9">
        <f t="shared" si="14"/>
        <v>-0.71127819548872184</v>
      </c>
      <c r="N228" s="9">
        <f t="shared" si="15"/>
        <v>-0.7142857142857143</v>
      </c>
    </row>
    <row r="229" spans="1:14" x14ac:dyDescent="0.25">
      <c r="A229" t="str">
        <f>TEXT("1/"&amp;data!A229,"mmmm")</f>
        <v>janvier</v>
      </c>
      <c r="B229">
        <f>data!B229</f>
        <v>2016</v>
      </c>
      <c r="C229" t="str">
        <f>data!C229</f>
        <v>140</v>
      </c>
      <c r="D229" t="str">
        <f>data!D229</f>
        <v>PHILIPPE GAULTIER</v>
      </c>
      <c r="E229" t="str">
        <f>data!E229</f>
        <v>140001</v>
      </c>
      <c r="F229" t="str">
        <f>data!F229</f>
        <v>AC VOUVRAY M.TRAD.BR C.DES AUMONES</v>
      </c>
      <c r="G229" s="10">
        <f>data!G229</f>
        <v>604.79999999999995</v>
      </c>
      <c r="H229" s="10">
        <f>data!I229</f>
        <v>170.1</v>
      </c>
      <c r="I229" s="10">
        <f t="shared" si="12"/>
        <v>434.69999999999993</v>
      </c>
      <c r="J229" s="11">
        <f>data!H229</f>
        <v>144</v>
      </c>
      <c r="K229" s="11">
        <f>data!J229</f>
        <v>42</v>
      </c>
      <c r="L229" s="11">
        <f t="shared" si="13"/>
        <v>102</v>
      </c>
      <c r="M229" s="9">
        <f t="shared" si="14"/>
        <v>2.5555555555555554</v>
      </c>
      <c r="N229" s="9">
        <f t="shared" si="15"/>
        <v>2.4285714285714284</v>
      </c>
    </row>
    <row r="230" spans="1:14" x14ac:dyDescent="0.25">
      <c r="A230" t="str">
        <f>TEXT("1/"&amp;data!A230,"mmmm")</f>
        <v>janvier</v>
      </c>
      <c r="B230">
        <f>data!B230</f>
        <v>2016</v>
      </c>
      <c r="C230" t="str">
        <f>data!C230</f>
        <v>143</v>
      </c>
      <c r="D230" t="str">
        <f>data!D230</f>
        <v>DOMAINE DE VILLARGEAU</v>
      </c>
      <c r="E230" t="str">
        <f>data!E230</f>
        <v>143001</v>
      </c>
      <c r="F230" t="str">
        <f>data!F230</f>
        <v>AC CX DU GIENNOIS G.THIEBAULT</v>
      </c>
      <c r="G230" s="10">
        <f>data!G230</f>
        <v>117</v>
      </c>
      <c r="H230" s="10">
        <f>data!I230</f>
        <v>0</v>
      </c>
      <c r="I230" s="10">
        <f t="shared" si="12"/>
        <v>117</v>
      </c>
      <c r="J230" s="11">
        <f>data!H230</f>
        <v>30</v>
      </c>
      <c r="K230" s="11">
        <f>data!J230</f>
        <v>0</v>
      </c>
      <c r="L230" s="11">
        <f t="shared" si="13"/>
        <v>30</v>
      </c>
      <c r="M230" s="9" t="str">
        <f t="shared" si="14"/>
        <v/>
      </c>
      <c r="N230" s="9" t="str">
        <f t="shared" si="15"/>
        <v/>
      </c>
    </row>
    <row r="231" spans="1:14" x14ac:dyDescent="0.25">
      <c r="A231" t="str">
        <f>TEXT("1/"&amp;data!A231,"mmmm")</f>
        <v>janvier</v>
      </c>
      <c r="B231">
        <f>data!B231</f>
        <v>2016</v>
      </c>
      <c r="C231" t="str">
        <f>data!C231</f>
        <v>143</v>
      </c>
      <c r="D231" t="str">
        <f>data!D231</f>
        <v>DOMAINE DE VILLARGEAU</v>
      </c>
      <c r="E231" t="str">
        <f>data!E231</f>
        <v>143002</v>
      </c>
      <c r="F231" t="str">
        <f>data!F231</f>
        <v>AC CX DU GIENNOIS G.THIEBAULT</v>
      </c>
      <c r="G231" s="10">
        <f>data!G231</f>
        <v>444.6</v>
      </c>
      <c r="H231" s="10">
        <f>data!I231</f>
        <v>0</v>
      </c>
      <c r="I231" s="10">
        <f t="shared" si="12"/>
        <v>444.6</v>
      </c>
      <c r="J231" s="11">
        <f>data!H231</f>
        <v>114</v>
      </c>
      <c r="K231" s="11">
        <f>data!J231</f>
        <v>0</v>
      </c>
      <c r="L231" s="11">
        <f t="shared" si="13"/>
        <v>114</v>
      </c>
      <c r="M231" s="9" t="str">
        <f t="shared" si="14"/>
        <v/>
      </c>
      <c r="N231" s="9" t="str">
        <f t="shared" si="15"/>
        <v/>
      </c>
    </row>
    <row r="232" spans="1:14" x14ac:dyDescent="0.25">
      <c r="A232" t="str">
        <f>TEXT("1/"&amp;data!A232,"mmmm")</f>
        <v>janvier</v>
      </c>
      <c r="B232">
        <f>data!B232</f>
        <v>2016</v>
      </c>
      <c r="C232" t="str">
        <f>data!C232</f>
        <v>152</v>
      </c>
      <c r="D232" t="str">
        <f>data!D232</f>
        <v>VINCENT SIRET COURTAUD</v>
      </c>
      <c r="E232" t="str">
        <f>data!E232</f>
        <v>152001</v>
      </c>
      <c r="F232" t="str">
        <f>data!F232</f>
        <v>AC QUINCY D.SIRET COURTAUD</v>
      </c>
      <c r="G232" s="10">
        <f>data!G232</f>
        <v>1198.8</v>
      </c>
      <c r="H232" s="10">
        <f>data!I232</f>
        <v>852.6</v>
      </c>
      <c r="I232" s="10">
        <f t="shared" si="12"/>
        <v>346.19999999999993</v>
      </c>
      <c r="J232" s="11">
        <f>data!H232</f>
        <v>216</v>
      </c>
      <c r="K232" s="11">
        <f>data!J232</f>
        <v>162</v>
      </c>
      <c r="L232" s="11">
        <f t="shared" si="13"/>
        <v>54</v>
      </c>
      <c r="M232" s="9">
        <f t="shared" si="14"/>
        <v>0.40605207600281484</v>
      </c>
      <c r="N232" s="9">
        <f t="shared" si="15"/>
        <v>0.33333333333333331</v>
      </c>
    </row>
    <row r="233" spans="1:14" x14ac:dyDescent="0.25">
      <c r="A233" t="str">
        <f>TEXT("1/"&amp;data!A233,"mmmm")</f>
        <v>janvier</v>
      </c>
      <c r="B233">
        <f>data!B233</f>
        <v>2016</v>
      </c>
      <c r="C233" t="str">
        <f>data!C233</f>
        <v>153</v>
      </c>
      <c r="D233" t="str">
        <f>data!D233</f>
        <v>SARL GARNIER ET FILS</v>
      </c>
      <c r="E233" t="str">
        <f>data!E233</f>
        <v>153003</v>
      </c>
      <c r="F233" t="str">
        <f>data!F233</f>
        <v>AC CHABLIS DME GARNIER</v>
      </c>
      <c r="G233" s="10">
        <f>data!G233</f>
        <v>201</v>
      </c>
      <c r="H233" s="10">
        <f>data!I233</f>
        <v>774.9</v>
      </c>
      <c r="I233" s="10">
        <f t="shared" si="12"/>
        <v>-573.9</v>
      </c>
      <c r="J233" s="11">
        <f>data!H233</f>
        <v>30</v>
      </c>
      <c r="K233" s="11">
        <f>data!J233</f>
        <v>132</v>
      </c>
      <c r="L233" s="11">
        <f t="shared" si="13"/>
        <v>-102</v>
      </c>
      <c r="M233" s="9">
        <f t="shared" si="14"/>
        <v>-0.74061169183120401</v>
      </c>
      <c r="N233" s="9">
        <f t="shared" si="15"/>
        <v>-0.77272727272727271</v>
      </c>
    </row>
    <row r="234" spans="1:14" x14ac:dyDescent="0.25">
      <c r="A234" t="str">
        <f>TEXT("1/"&amp;data!A234,"mmmm")</f>
        <v>janvier</v>
      </c>
      <c r="B234">
        <f>data!B234</f>
        <v>2016</v>
      </c>
      <c r="C234" t="str">
        <f>data!C234</f>
        <v>153</v>
      </c>
      <c r="D234" t="str">
        <f>data!D234</f>
        <v>SARL GARNIER ET FILS</v>
      </c>
      <c r="E234" t="str">
        <f>data!E234</f>
        <v>153004</v>
      </c>
      <c r="F234" t="str">
        <f>data!F234</f>
        <v>AC CHABLIS DME GARNIER</v>
      </c>
      <c r="G234" s="10">
        <f>data!G234</f>
        <v>138.6</v>
      </c>
      <c r="H234" s="10">
        <f>data!I234</f>
        <v>0</v>
      </c>
      <c r="I234" s="10">
        <f t="shared" si="12"/>
        <v>138.6</v>
      </c>
      <c r="J234" s="11">
        <f>data!H234</f>
        <v>18</v>
      </c>
      <c r="K234" s="11">
        <f>data!J234</f>
        <v>0</v>
      </c>
      <c r="L234" s="11">
        <f t="shared" si="13"/>
        <v>18</v>
      </c>
      <c r="M234" s="9" t="str">
        <f t="shared" si="14"/>
        <v/>
      </c>
      <c r="N234" s="9" t="str">
        <f t="shared" si="15"/>
        <v/>
      </c>
    </row>
    <row r="235" spans="1:14" x14ac:dyDescent="0.25">
      <c r="A235" t="str">
        <f>TEXT("1/"&amp;data!A235,"mmmm")</f>
        <v>janvier</v>
      </c>
      <c r="B235">
        <f>data!B235</f>
        <v>2016</v>
      </c>
      <c r="C235" t="str">
        <f>data!C235</f>
        <v>153</v>
      </c>
      <c r="D235" t="str">
        <f>data!D235</f>
        <v>SARL GARNIER ET FILS</v>
      </c>
      <c r="E235" t="str">
        <f>data!E235</f>
        <v>153005</v>
      </c>
      <c r="F235" t="str">
        <f>data!F235</f>
        <v>AC CHABLIS 1ER CRU MT DE MILIEU</v>
      </c>
      <c r="G235" s="10">
        <f>data!G235</f>
        <v>62.1</v>
      </c>
      <c r="H235" s="10">
        <f>data!I235</f>
        <v>57</v>
      </c>
      <c r="I235" s="10">
        <f t="shared" si="12"/>
        <v>5.1000000000000014</v>
      </c>
      <c r="J235" s="11">
        <f>data!H235</f>
        <v>6</v>
      </c>
      <c r="K235" s="11">
        <f>data!J235</f>
        <v>6</v>
      </c>
      <c r="L235" s="11">
        <f t="shared" si="13"/>
        <v>0</v>
      </c>
      <c r="M235" s="9">
        <f t="shared" si="14"/>
        <v>8.9473684210526344E-2</v>
      </c>
      <c r="N235" s="9">
        <f t="shared" si="15"/>
        <v>0</v>
      </c>
    </row>
    <row r="236" spans="1:14" x14ac:dyDescent="0.25">
      <c r="A236" t="str">
        <f>TEXT("1/"&amp;data!A236,"mmmm")</f>
        <v>janvier</v>
      </c>
      <c r="B236">
        <f>data!B236</f>
        <v>2016</v>
      </c>
      <c r="C236" t="str">
        <f>data!C236</f>
        <v>153</v>
      </c>
      <c r="D236" t="str">
        <f>data!D236</f>
        <v>SARL GARNIER ET FILS</v>
      </c>
      <c r="E236" t="str">
        <f>data!E236</f>
        <v>153012</v>
      </c>
      <c r="F236" t="str">
        <f>data!F236</f>
        <v>BOURGOGNE EPINEUIL PINOT NOIR GARNIER</v>
      </c>
      <c r="G236" s="10">
        <f>data!G236</f>
        <v>0</v>
      </c>
      <c r="H236" s="10">
        <f>data!I236</f>
        <v>0</v>
      </c>
      <c r="I236" s="10">
        <f t="shared" si="12"/>
        <v>0</v>
      </c>
      <c r="J236" s="11">
        <f>data!H236</f>
        <v>24</v>
      </c>
      <c r="K236" s="11">
        <f>data!J236</f>
        <v>0</v>
      </c>
      <c r="L236" s="11">
        <f t="shared" si="13"/>
        <v>24</v>
      </c>
      <c r="M236" s="9" t="str">
        <f t="shared" si="14"/>
        <v/>
      </c>
      <c r="N236" s="9" t="str">
        <f t="shared" si="15"/>
        <v/>
      </c>
    </row>
    <row r="237" spans="1:14" x14ac:dyDescent="0.25">
      <c r="A237" t="str">
        <f>TEXT("1/"&amp;data!A237,"mmmm")</f>
        <v>janvier</v>
      </c>
      <c r="B237">
        <f>data!B237</f>
        <v>2016</v>
      </c>
      <c r="C237" t="str">
        <f>data!C237</f>
        <v>153</v>
      </c>
      <c r="D237" t="str">
        <f>data!D237</f>
        <v>SARL GARNIER ET FILS</v>
      </c>
      <c r="E237" t="str">
        <f>data!E237</f>
        <v>CDV153005</v>
      </c>
      <c r="F237" t="str">
        <f>data!F237</f>
        <v>AC CHABLIS 1ER CRU MONT DE MILIEU DOMAINE GARNIER</v>
      </c>
      <c r="G237" s="10">
        <f>data!G237</f>
        <v>36</v>
      </c>
      <c r="H237" s="10">
        <f>data!I237</f>
        <v>0</v>
      </c>
      <c r="I237" s="10">
        <f t="shared" si="12"/>
        <v>36</v>
      </c>
      <c r="J237" s="11">
        <f>data!H237</f>
        <v>4</v>
      </c>
      <c r="K237" s="11">
        <f>data!J237</f>
        <v>6</v>
      </c>
      <c r="L237" s="11">
        <f t="shared" si="13"/>
        <v>-2</v>
      </c>
      <c r="M237" s="9" t="str">
        <f t="shared" si="14"/>
        <v/>
      </c>
      <c r="N237" s="9">
        <f t="shared" si="15"/>
        <v>-0.33333333333333331</v>
      </c>
    </row>
    <row r="238" spans="1:14" x14ac:dyDescent="0.25">
      <c r="A238" t="str">
        <f>TEXT("1/"&amp;data!A238,"mmmm")</f>
        <v>janvier</v>
      </c>
      <c r="B238">
        <f>data!B238</f>
        <v>2016</v>
      </c>
      <c r="C238" t="str">
        <f>data!C238</f>
        <v>157</v>
      </c>
      <c r="D238" t="str">
        <f>data!D238</f>
        <v>DOMAINE DE LA FOLIETTE</v>
      </c>
      <c r="E238" t="str">
        <f>data!E238</f>
        <v>157001</v>
      </c>
      <c r="F238" t="str">
        <f>data!F238</f>
        <v>AC MUSCADET S&amp;MAINE/LIE FOLIETTES</v>
      </c>
      <c r="G238" s="10">
        <f>data!G238</f>
        <v>17.7</v>
      </c>
      <c r="H238" s="10">
        <f>data!I238</f>
        <v>148.5</v>
      </c>
      <c r="I238" s="10">
        <f t="shared" si="12"/>
        <v>-130.80000000000001</v>
      </c>
      <c r="J238" s="11">
        <f>data!H238</f>
        <v>6</v>
      </c>
      <c r="K238" s="11">
        <f>data!J238</f>
        <v>54</v>
      </c>
      <c r="L238" s="11">
        <f t="shared" si="13"/>
        <v>-48</v>
      </c>
      <c r="M238" s="9">
        <f t="shared" si="14"/>
        <v>-0.88080808080808093</v>
      </c>
      <c r="N238" s="9">
        <f t="shared" si="15"/>
        <v>-0.88888888888888884</v>
      </c>
    </row>
    <row r="239" spans="1:14" x14ac:dyDescent="0.25">
      <c r="A239" t="str">
        <f>TEXT("1/"&amp;data!A239,"mmmm")</f>
        <v>janvier</v>
      </c>
      <c r="B239">
        <f>data!B239</f>
        <v>2016</v>
      </c>
      <c r="C239" t="str">
        <f>data!C239</f>
        <v>157</v>
      </c>
      <c r="D239" t="str">
        <f>data!D239</f>
        <v>DOMAINE DE LA FOLIETTE</v>
      </c>
      <c r="E239" t="str">
        <f>data!E239</f>
        <v>157004</v>
      </c>
      <c r="F239" t="str">
        <f>data!F239</f>
        <v>AC MUSCADET DE SEVRES ET MAINE SUR LIE</v>
      </c>
      <c r="G239" s="10">
        <f>data!G239</f>
        <v>-42.75</v>
      </c>
      <c r="H239" s="10">
        <f>data!I239</f>
        <v>0</v>
      </c>
      <c r="I239" s="10">
        <f t="shared" si="12"/>
        <v>-42.75</v>
      </c>
      <c r="J239" s="11">
        <f>data!H239</f>
        <v>-33.35</v>
      </c>
      <c r="K239" s="11">
        <f>data!J239</f>
        <v>0</v>
      </c>
      <c r="L239" s="11">
        <f t="shared" si="13"/>
        <v>-33.35</v>
      </c>
      <c r="M239" s="9" t="str">
        <f t="shared" si="14"/>
        <v/>
      </c>
      <c r="N239" s="9" t="str">
        <f t="shared" si="15"/>
        <v/>
      </c>
    </row>
    <row r="240" spans="1:14" x14ac:dyDescent="0.25">
      <c r="A240" t="str">
        <f>TEXT("1/"&amp;data!A240,"mmmm")</f>
        <v>janvier</v>
      </c>
      <c r="B240">
        <f>data!B240</f>
        <v>2016</v>
      </c>
      <c r="C240" t="str">
        <f>data!C240</f>
        <v>162</v>
      </c>
      <c r="D240" t="str">
        <f>data!D240</f>
        <v>CHATEAU JOUCLARY</v>
      </c>
      <c r="E240" t="str">
        <f>data!E240</f>
        <v>162001</v>
      </c>
      <c r="F240" t="str">
        <f>data!F240</f>
        <v>AC CABARDES CH JOUCLARY</v>
      </c>
      <c r="G240" s="10">
        <f>data!G240</f>
        <v>1024.8</v>
      </c>
      <c r="H240" s="10">
        <f>data!I240</f>
        <v>1518</v>
      </c>
      <c r="I240" s="10">
        <f t="shared" si="12"/>
        <v>-493.20000000000005</v>
      </c>
      <c r="J240" s="11">
        <f>data!H240</f>
        <v>366</v>
      </c>
      <c r="K240" s="11">
        <f>data!J240</f>
        <v>558</v>
      </c>
      <c r="L240" s="11">
        <f t="shared" si="13"/>
        <v>-192</v>
      </c>
      <c r="M240" s="9">
        <f t="shared" si="14"/>
        <v>-0.324901185770751</v>
      </c>
      <c r="N240" s="9">
        <f t="shared" si="15"/>
        <v>-0.34408602150537637</v>
      </c>
    </row>
    <row r="241" spans="1:14" x14ac:dyDescent="0.25">
      <c r="A241" t="str">
        <f>TEXT("1/"&amp;data!A241,"mmmm")</f>
        <v>janvier</v>
      </c>
      <c r="B241">
        <f>data!B241</f>
        <v>2016</v>
      </c>
      <c r="C241" t="str">
        <f>data!C241</f>
        <v>162</v>
      </c>
      <c r="D241" t="str">
        <f>data!D241</f>
        <v>CHATEAU JOUCLARY</v>
      </c>
      <c r="E241" t="str">
        <f>data!E241</f>
        <v>162002</v>
      </c>
      <c r="F241" t="str">
        <f>data!F241</f>
        <v>AC CABARDES JOUCLARY CUVEE AMANDIERS</v>
      </c>
      <c r="G241" s="10">
        <f>data!G241</f>
        <v>456</v>
      </c>
      <c r="H241" s="10">
        <f>data!I241</f>
        <v>189.6</v>
      </c>
      <c r="I241" s="10">
        <f t="shared" si="12"/>
        <v>266.39999999999998</v>
      </c>
      <c r="J241" s="11">
        <f>data!H241</f>
        <v>114</v>
      </c>
      <c r="K241" s="11">
        <f>data!J241</f>
        <v>48</v>
      </c>
      <c r="L241" s="11">
        <f t="shared" si="13"/>
        <v>66</v>
      </c>
      <c r="M241" s="9">
        <f t="shared" si="14"/>
        <v>1.4050632911392404</v>
      </c>
      <c r="N241" s="9">
        <f t="shared" si="15"/>
        <v>1.375</v>
      </c>
    </row>
    <row r="242" spans="1:14" x14ac:dyDescent="0.25">
      <c r="A242" t="str">
        <f>TEXT("1/"&amp;data!A242,"mmmm")</f>
        <v>janvier</v>
      </c>
      <c r="B242">
        <f>data!B242</f>
        <v>2016</v>
      </c>
      <c r="C242" t="str">
        <f>data!C242</f>
        <v>163</v>
      </c>
      <c r="D242" t="str">
        <f>data!D242</f>
        <v>DOMAINE FAYOLLE</v>
      </c>
      <c r="E242" t="str">
        <f>data!E242</f>
        <v>163001</v>
      </c>
      <c r="F242" t="str">
        <f>data!F242</f>
        <v>AC CROZE HERMITAGE SENS</v>
      </c>
      <c r="G242" s="10">
        <f>data!G242</f>
        <v>195</v>
      </c>
      <c r="H242" s="10">
        <f>data!I242</f>
        <v>0</v>
      </c>
      <c r="I242" s="10">
        <f t="shared" si="12"/>
        <v>195</v>
      </c>
      <c r="J242" s="11">
        <f>data!H242</f>
        <v>30</v>
      </c>
      <c r="K242" s="11">
        <f>data!J242</f>
        <v>0</v>
      </c>
      <c r="L242" s="11">
        <f t="shared" si="13"/>
        <v>30</v>
      </c>
      <c r="M242" s="9" t="str">
        <f t="shared" si="14"/>
        <v/>
      </c>
      <c r="N242" s="9" t="str">
        <f t="shared" si="15"/>
        <v/>
      </c>
    </row>
    <row r="243" spans="1:14" x14ac:dyDescent="0.25">
      <c r="A243" t="str">
        <f>TEXT("1/"&amp;data!A243,"mmmm")</f>
        <v>janvier</v>
      </c>
      <c r="B243">
        <f>data!B243</f>
        <v>2016</v>
      </c>
      <c r="C243" t="str">
        <f>data!C243</f>
        <v>163</v>
      </c>
      <c r="D243" t="str">
        <f>data!D243</f>
        <v>DOMAINE FAYOLLE</v>
      </c>
      <c r="E243" t="str">
        <f>data!E243</f>
        <v>163002</v>
      </c>
      <c r="F243" t="str">
        <f>data!F243</f>
        <v>AC CROZE HERMITAGE SENS</v>
      </c>
      <c r="G243" s="10">
        <f>data!G243</f>
        <v>585</v>
      </c>
      <c r="H243" s="10">
        <f>data!I243</f>
        <v>381</v>
      </c>
      <c r="I243" s="10">
        <f t="shared" si="12"/>
        <v>204</v>
      </c>
      <c r="J243" s="11">
        <f>data!H243</f>
        <v>90</v>
      </c>
      <c r="K243" s="11">
        <f>data!J243</f>
        <v>60</v>
      </c>
      <c r="L243" s="11">
        <f t="shared" si="13"/>
        <v>30</v>
      </c>
      <c r="M243" s="9">
        <f t="shared" si="14"/>
        <v>0.53543307086614178</v>
      </c>
      <c r="N243" s="9">
        <f t="shared" si="15"/>
        <v>0.5</v>
      </c>
    </row>
    <row r="244" spans="1:14" x14ac:dyDescent="0.25">
      <c r="A244" t="str">
        <f>TEXT("1/"&amp;data!A244,"mmmm")</f>
        <v>janvier</v>
      </c>
      <c r="B244">
        <f>data!B244</f>
        <v>2016</v>
      </c>
      <c r="C244" t="str">
        <f>data!C244</f>
        <v>164</v>
      </c>
      <c r="D244" t="str">
        <f>data!D244</f>
        <v>CHATEAU JUPILLE</v>
      </c>
      <c r="E244" t="str">
        <f>data!E244</f>
        <v>164001</v>
      </c>
      <c r="F244" t="str">
        <f>data!F244</f>
        <v>AC ST EMILION CH JUPILLE CARILLON</v>
      </c>
      <c r="G244" s="10">
        <f>data!G244</f>
        <v>223.2</v>
      </c>
      <c r="H244" s="10">
        <f>data!I244</f>
        <v>37.200000000000003</v>
      </c>
      <c r="I244" s="10">
        <f t="shared" si="12"/>
        <v>186</v>
      </c>
      <c r="J244" s="11">
        <f>data!H244</f>
        <v>36</v>
      </c>
      <c r="K244" s="11">
        <f>data!J244</f>
        <v>6</v>
      </c>
      <c r="L244" s="11">
        <f t="shared" si="13"/>
        <v>30</v>
      </c>
      <c r="M244" s="9">
        <f t="shared" si="14"/>
        <v>5</v>
      </c>
      <c r="N244" s="9">
        <f t="shared" si="15"/>
        <v>5</v>
      </c>
    </row>
    <row r="245" spans="1:14" x14ac:dyDescent="0.25">
      <c r="A245" t="str">
        <f>TEXT("1/"&amp;data!A245,"mmmm")</f>
        <v>janvier</v>
      </c>
      <c r="B245">
        <f>data!B245</f>
        <v>2016</v>
      </c>
      <c r="C245" t="str">
        <f>data!C245</f>
        <v>164</v>
      </c>
      <c r="D245" t="str">
        <f>data!D245</f>
        <v>CHATEAU JUPILLE</v>
      </c>
      <c r="E245" t="str">
        <f>data!E245</f>
        <v>164002</v>
      </c>
      <c r="F245" t="str">
        <f>data!F245</f>
        <v>AC ST EMILION CH JUPILLE CARILLON</v>
      </c>
      <c r="G245" s="10">
        <f>data!G245</f>
        <v>910.8</v>
      </c>
      <c r="H245" s="10">
        <f>data!I245</f>
        <v>0</v>
      </c>
      <c r="I245" s="10">
        <f t="shared" si="12"/>
        <v>910.8</v>
      </c>
      <c r="J245" s="11">
        <f>data!H245</f>
        <v>138</v>
      </c>
      <c r="K245" s="11">
        <f>data!J245</f>
        <v>0</v>
      </c>
      <c r="L245" s="11">
        <f t="shared" si="13"/>
        <v>138</v>
      </c>
      <c r="M245" s="9" t="str">
        <f t="shared" si="14"/>
        <v/>
      </c>
      <c r="N245" s="9" t="str">
        <f t="shared" si="15"/>
        <v/>
      </c>
    </row>
    <row r="246" spans="1:14" x14ac:dyDescent="0.25">
      <c r="A246" t="str">
        <f>TEXT("1/"&amp;data!A246,"mmmm")</f>
        <v>janvier</v>
      </c>
      <c r="B246">
        <f>data!B246</f>
        <v>2016</v>
      </c>
      <c r="C246" t="str">
        <f>data!C246</f>
        <v>164</v>
      </c>
      <c r="D246" t="str">
        <f>data!D246</f>
        <v>CHATEAU JUPILLE</v>
      </c>
      <c r="E246" t="str">
        <f>data!E246</f>
        <v>164005/10</v>
      </c>
      <c r="F246" t="str">
        <f>data!F246</f>
        <v>AC ST EMILION G. CRU CH JUCALIS</v>
      </c>
      <c r="G246" s="10">
        <f>data!G246</f>
        <v>54</v>
      </c>
      <c r="H246" s="10">
        <f>data!I246</f>
        <v>972</v>
      </c>
      <c r="I246" s="10">
        <f t="shared" si="12"/>
        <v>-918</v>
      </c>
      <c r="J246" s="11">
        <f>data!H246</f>
        <v>6</v>
      </c>
      <c r="K246" s="11">
        <f>data!J246</f>
        <v>108</v>
      </c>
      <c r="L246" s="11">
        <f t="shared" si="13"/>
        <v>-102</v>
      </c>
      <c r="M246" s="9">
        <f t="shared" si="14"/>
        <v>-0.94444444444444442</v>
      </c>
      <c r="N246" s="9">
        <f t="shared" si="15"/>
        <v>-0.94444444444444442</v>
      </c>
    </row>
    <row r="247" spans="1:14" x14ac:dyDescent="0.25">
      <c r="A247" t="str">
        <f>TEXT("1/"&amp;data!A247,"mmmm")</f>
        <v>janvier</v>
      </c>
      <c r="B247">
        <f>data!B247</f>
        <v>2016</v>
      </c>
      <c r="C247" t="str">
        <f>data!C247</f>
        <v>164</v>
      </c>
      <c r="D247" t="str">
        <f>data!D247</f>
        <v>CHATEAU JUPILLE</v>
      </c>
      <c r="E247" t="str">
        <f>data!E247</f>
        <v>164005/12</v>
      </c>
      <c r="F247" t="str">
        <f>data!F247</f>
        <v>AC ST EMILION GD CRU CH JUCALIS</v>
      </c>
      <c r="G247" s="10">
        <f>data!G247</f>
        <v>486</v>
      </c>
      <c r="H247" s="10">
        <f>data!I247</f>
        <v>0</v>
      </c>
      <c r="I247" s="10">
        <f t="shared" si="12"/>
        <v>486</v>
      </c>
      <c r="J247" s="11">
        <f>data!H247</f>
        <v>54</v>
      </c>
      <c r="K247" s="11">
        <f>data!J247</f>
        <v>0</v>
      </c>
      <c r="L247" s="11">
        <f t="shared" si="13"/>
        <v>54</v>
      </c>
      <c r="M247" s="9" t="str">
        <f t="shared" si="14"/>
        <v/>
      </c>
      <c r="N247" s="9" t="str">
        <f t="shared" si="15"/>
        <v/>
      </c>
    </row>
    <row r="248" spans="1:14" x14ac:dyDescent="0.25">
      <c r="A248" t="str">
        <f>TEXT("1/"&amp;data!A248,"mmmm")</f>
        <v>janvier</v>
      </c>
      <c r="B248">
        <f>data!B248</f>
        <v>2016</v>
      </c>
      <c r="C248" t="str">
        <f>data!C248</f>
        <v>164</v>
      </c>
      <c r="D248" t="str">
        <f>data!D248</f>
        <v>CHATEAU JUPILLE</v>
      </c>
      <c r="E248" t="str">
        <f>data!E248</f>
        <v>CDV164011</v>
      </c>
      <c r="F248" t="str">
        <f>data!F248</f>
        <v>MAGNUM JUPILLE CARILLON</v>
      </c>
      <c r="G248" s="10">
        <f>data!G248</f>
        <v>159.30000000000001</v>
      </c>
      <c r="H248" s="10">
        <f>data!I248</f>
        <v>0</v>
      </c>
      <c r="I248" s="10">
        <f t="shared" si="12"/>
        <v>159.30000000000001</v>
      </c>
      <c r="J248" s="11">
        <f>data!H248</f>
        <v>18</v>
      </c>
      <c r="K248" s="11">
        <f>data!J248</f>
        <v>0</v>
      </c>
      <c r="L248" s="11">
        <f t="shared" si="13"/>
        <v>18</v>
      </c>
      <c r="M248" s="9" t="str">
        <f t="shared" si="14"/>
        <v/>
      </c>
      <c r="N248" s="9" t="str">
        <f t="shared" si="15"/>
        <v/>
      </c>
    </row>
    <row r="249" spans="1:14" x14ac:dyDescent="0.25">
      <c r="A249" t="str">
        <f>TEXT("1/"&amp;data!A249,"mmmm")</f>
        <v>janvier</v>
      </c>
      <c r="B249">
        <f>data!B249</f>
        <v>2016</v>
      </c>
      <c r="C249" t="str">
        <f>data!C249</f>
        <v>168</v>
      </c>
      <c r="D249" t="str">
        <f>data!D249</f>
        <v>CHATEAU LA ROSE SARRON</v>
      </c>
      <c r="E249" t="str">
        <f>data!E249</f>
        <v>168001</v>
      </c>
      <c r="F249" t="str">
        <f>data!F249</f>
        <v>AC GRAVES CH LA ROSE SARRON</v>
      </c>
      <c r="G249" s="10">
        <f>data!G249</f>
        <v>648</v>
      </c>
      <c r="H249" s="10">
        <f>data!I249</f>
        <v>768</v>
      </c>
      <c r="I249" s="10">
        <f t="shared" si="12"/>
        <v>-120</v>
      </c>
      <c r="J249" s="11">
        <f>data!H249</f>
        <v>162</v>
      </c>
      <c r="K249" s="11">
        <f>data!J249</f>
        <v>192</v>
      </c>
      <c r="L249" s="11">
        <f t="shared" si="13"/>
        <v>-30</v>
      </c>
      <c r="M249" s="9">
        <f t="shared" si="14"/>
        <v>-0.15625</v>
      </c>
      <c r="N249" s="9">
        <f t="shared" si="15"/>
        <v>-0.15625</v>
      </c>
    </row>
    <row r="250" spans="1:14" x14ac:dyDescent="0.25">
      <c r="A250" t="str">
        <f>TEXT("1/"&amp;data!A250,"mmmm")</f>
        <v>janvier</v>
      </c>
      <c r="B250">
        <f>data!B250</f>
        <v>2016</v>
      </c>
      <c r="C250" t="str">
        <f>data!C250</f>
        <v>168</v>
      </c>
      <c r="D250" t="str">
        <f>data!D250</f>
        <v>CHATEAU LA ROSE SARRON</v>
      </c>
      <c r="E250" t="str">
        <f>data!E250</f>
        <v>168020CB</v>
      </c>
      <c r="F250" t="str">
        <f>data!F250</f>
        <v>AOP GRAVES CH LA ROSE SARRON CAISSE BOIS 3 BLLES</v>
      </c>
      <c r="G250" s="10">
        <f>data!G250</f>
        <v>77.400000000000006</v>
      </c>
      <c r="H250" s="10">
        <f>data!I250</f>
        <v>0</v>
      </c>
      <c r="I250" s="10">
        <f t="shared" si="12"/>
        <v>77.400000000000006</v>
      </c>
      <c r="J250" s="11">
        <f>data!H250</f>
        <v>15</v>
      </c>
      <c r="K250" s="11">
        <f>data!J250</f>
        <v>0</v>
      </c>
      <c r="L250" s="11">
        <f t="shared" si="13"/>
        <v>15</v>
      </c>
      <c r="M250" s="9" t="str">
        <f t="shared" si="14"/>
        <v/>
      </c>
      <c r="N250" s="9" t="str">
        <f t="shared" si="15"/>
        <v/>
      </c>
    </row>
    <row r="251" spans="1:14" x14ac:dyDescent="0.25">
      <c r="A251" t="str">
        <f>TEXT("1/"&amp;data!A251,"mmmm")</f>
        <v>janvier</v>
      </c>
      <c r="B251">
        <f>data!B251</f>
        <v>2016</v>
      </c>
      <c r="C251" t="str">
        <f>data!C251</f>
        <v>169</v>
      </c>
      <c r="D251" t="str">
        <f>data!D251</f>
        <v>CHATEAU PERREAU BEL AIR</v>
      </c>
      <c r="E251" t="str">
        <f>data!E251</f>
        <v>169001</v>
      </c>
      <c r="F251" t="str">
        <f>data!F251</f>
        <v>AC COTES DE CASTILLON CH PERREAU BEL AIR</v>
      </c>
      <c r="G251" s="10">
        <f>data!G251</f>
        <v>835.2</v>
      </c>
      <c r="H251" s="10">
        <f>data!I251</f>
        <v>722.4</v>
      </c>
      <c r="I251" s="10">
        <f t="shared" si="12"/>
        <v>112.80000000000007</v>
      </c>
      <c r="J251" s="11">
        <f>data!H251</f>
        <v>294</v>
      </c>
      <c r="K251" s="11">
        <f>data!J251</f>
        <v>258</v>
      </c>
      <c r="L251" s="11">
        <f t="shared" si="13"/>
        <v>36</v>
      </c>
      <c r="M251" s="9">
        <f t="shared" si="14"/>
        <v>0.15614617940199346</v>
      </c>
      <c r="N251" s="9">
        <f t="shared" si="15"/>
        <v>0.13953488372093023</v>
      </c>
    </row>
    <row r="252" spans="1:14" x14ac:dyDescent="0.25">
      <c r="A252" t="str">
        <f>TEXT("1/"&amp;data!A252,"mmmm")</f>
        <v>janvier</v>
      </c>
      <c r="B252">
        <f>data!B252</f>
        <v>2016</v>
      </c>
      <c r="C252" t="str">
        <f>data!C252</f>
        <v>169</v>
      </c>
      <c r="D252" t="str">
        <f>data!D252</f>
        <v>CHATEAU PERREAU BEL AIR</v>
      </c>
      <c r="E252" t="str">
        <f>data!E252</f>
        <v>169002</v>
      </c>
      <c r="F252" t="str">
        <f>data!F252</f>
        <v>AC BORDEAUX SUPERIEUR CHATEAU MESSAYA</v>
      </c>
      <c r="G252" s="10">
        <f>data!G252</f>
        <v>406.56</v>
      </c>
      <c r="H252" s="10">
        <f>data!I252</f>
        <v>365.04</v>
      </c>
      <c r="I252" s="10">
        <f t="shared" si="12"/>
        <v>41.519999999999982</v>
      </c>
      <c r="J252" s="11">
        <f>data!H252</f>
        <v>168</v>
      </c>
      <c r="K252" s="11">
        <f>data!J252</f>
        <v>156</v>
      </c>
      <c r="L252" s="11">
        <f t="shared" si="13"/>
        <v>12</v>
      </c>
      <c r="M252" s="9">
        <f t="shared" si="14"/>
        <v>0.113740959894806</v>
      </c>
      <c r="N252" s="9">
        <f t="shared" si="15"/>
        <v>7.6923076923076927E-2</v>
      </c>
    </row>
    <row r="253" spans="1:14" x14ac:dyDescent="0.25">
      <c r="A253" t="str">
        <f>TEXT("1/"&amp;data!A253,"mmmm")</f>
        <v>janvier</v>
      </c>
      <c r="B253">
        <f>data!B253</f>
        <v>2016</v>
      </c>
      <c r="C253" t="str">
        <f>data!C253</f>
        <v>169</v>
      </c>
      <c r="D253" t="str">
        <f>data!D253</f>
        <v>CHATEAU PERREAU BEL AIR</v>
      </c>
      <c r="E253" t="str">
        <f>data!E253</f>
        <v>169009</v>
      </c>
      <c r="F253" t="str">
        <f>data!F253</f>
        <v>AOP COTES DE BORDEAUX LES HAUTS DE PERREAU BEL AIR</v>
      </c>
      <c r="G253" s="10">
        <f>data!G253</f>
        <v>518</v>
      </c>
      <c r="H253" s="10">
        <f>data!I253</f>
        <v>1148.8</v>
      </c>
      <c r="I253" s="10">
        <f t="shared" si="12"/>
        <v>-630.79999999999995</v>
      </c>
      <c r="J253" s="11">
        <f>data!H253</f>
        <v>373.24</v>
      </c>
      <c r="K253" s="11">
        <f>data!J253</f>
        <v>853.12</v>
      </c>
      <c r="L253" s="11">
        <f t="shared" si="13"/>
        <v>-479.88</v>
      </c>
      <c r="M253" s="9">
        <f t="shared" si="14"/>
        <v>-0.5490947075208914</v>
      </c>
      <c r="N253" s="9">
        <f t="shared" si="15"/>
        <v>-0.5625</v>
      </c>
    </row>
    <row r="254" spans="1:14" x14ac:dyDescent="0.25">
      <c r="A254" t="str">
        <f>TEXT("1/"&amp;data!A254,"mmmm")</f>
        <v>janvier</v>
      </c>
      <c r="B254">
        <f>data!B254</f>
        <v>2016</v>
      </c>
      <c r="C254" t="str">
        <f>data!C254</f>
        <v>169</v>
      </c>
      <c r="D254" t="str">
        <f>data!D254</f>
        <v>CHATEAU PERREAU BEL AIR</v>
      </c>
      <c r="E254" t="str">
        <f>data!E254</f>
        <v>169010</v>
      </c>
      <c r="F254" t="str">
        <f>data!F254</f>
        <v>AOP COTES DE BORDEAUX LES HAUTS DE PERREAU BEL AIR</v>
      </c>
      <c r="G254" s="10">
        <f>data!G254</f>
        <v>336</v>
      </c>
      <c r="H254" s="10">
        <f>data!I254</f>
        <v>563.45000000000005</v>
      </c>
      <c r="I254" s="10">
        <f t="shared" si="12"/>
        <v>-227.45000000000005</v>
      </c>
      <c r="J254" s="11">
        <f>data!H254</f>
        <v>213.44</v>
      </c>
      <c r="K254" s="11">
        <f>data!J254</f>
        <v>393.53</v>
      </c>
      <c r="L254" s="11">
        <f t="shared" si="13"/>
        <v>-180.08999999999997</v>
      </c>
      <c r="M254" s="9">
        <f t="shared" si="14"/>
        <v>-0.40367379536782327</v>
      </c>
      <c r="N254" s="9">
        <f t="shared" si="15"/>
        <v>-0.45762711864406774</v>
      </c>
    </row>
    <row r="255" spans="1:14" x14ac:dyDescent="0.25">
      <c r="A255" t="str">
        <f>TEXT("1/"&amp;data!A255,"mmmm")</f>
        <v>janvier</v>
      </c>
      <c r="B255">
        <f>data!B255</f>
        <v>2016</v>
      </c>
      <c r="C255" t="str">
        <f>data!C255</f>
        <v>170</v>
      </c>
      <c r="D255" t="str">
        <f>data!D255</f>
        <v>DOMAINE DE POULVAREL</v>
      </c>
      <c r="E255" t="str">
        <f>data!E255</f>
        <v>170001</v>
      </c>
      <c r="F255" t="str">
        <f>data!F255</f>
        <v>LES GRES AC COSTIERES DE NIMES</v>
      </c>
      <c r="G255" s="10">
        <f>data!G255</f>
        <v>97.5</v>
      </c>
      <c r="H255" s="10">
        <f>data!I255</f>
        <v>0</v>
      </c>
      <c r="I255" s="10">
        <f t="shared" si="12"/>
        <v>97.5</v>
      </c>
      <c r="J255" s="11">
        <f>data!H255</f>
        <v>30</v>
      </c>
      <c r="K255" s="11">
        <f>data!J255</f>
        <v>0</v>
      </c>
      <c r="L255" s="11">
        <f t="shared" si="13"/>
        <v>30</v>
      </c>
      <c r="M255" s="9" t="str">
        <f t="shared" si="14"/>
        <v/>
      </c>
      <c r="N255" s="9" t="str">
        <f t="shared" si="15"/>
        <v/>
      </c>
    </row>
    <row r="256" spans="1:14" x14ac:dyDescent="0.25">
      <c r="A256" t="str">
        <f>TEXT("1/"&amp;data!A256,"mmmm")</f>
        <v>janvier</v>
      </c>
      <c r="B256">
        <f>data!B256</f>
        <v>2016</v>
      </c>
      <c r="C256" t="str">
        <f>data!C256</f>
        <v>173</v>
      </c>
      <c r="D256" t="str">
        <f>data!D256</f>
        <v>DOMAINE FREYBURGER</v>
      </c>
      <c r="E256" t="str">
        <f>data!E256</f>
        <v>CDV173007</v>
      </c>
      <c r="F256" t="str">
        <f>data!F256</f>
        <v>AC ALSACE PINOT BLANC</v>
      </c>
      <c r="G256" s="10">
        <f>data!G256</f>
        <v>43.2</v>
      </c>
      <c r="H256" s="10">
        <f>data!I256</f>
        <v>0</v>
      </c>
      <c r="I256" s="10">
        <f t="shared" si="12"/>
        <v>43.2</v>
      </c>
      <c r="J256" s="11">
        <f>data!H256</f>
        <v>12</v>
      </c>
      <c r="K256" s="11">
        <f>data!J256</f>
        <v>6</v>
      </c>
      <c r="L256" s="11">
        <f t="shared" si="13"/>
        <v>6</v>
      </c>
      <c r="M256" s="9" t="str">
        <f t="shared" si="14"/>
        <v/>
      </c>
      <c r="N256" s="9">
        <f t="shared" si="15"/>
        <v>1</v>
      </c>
    </row>
    <row r="257" spans="1:14" x14ac:dyDescent="0.25">
      <c r="A257" t="str">
        <f>TEXT("1/"&amp;data!A257,"mmmm")</f>
        <v>janvier</v>
      </c>
      <c r="B257">
        <f>data!B257</f>
        <v>2016</v>
      </c>
      <c r="C257" t="str">
        <f>data!C257</f>
        <v>174</v>
      </c>
      <c r="D257" t="str">
        <f>data!D257</f>
        <v>SAS VIGNOBLES DES 3 CHATEAUX</v>
      </c>
      <c r="E257" t="str">
        <f>data!E257</f>
        <v>174001</v>
      </c>
      <c r="F257" t="str">
        <f>data!F257</f>
        <v>AC PIC SAINT LOUP LES DEESSES MUETTES EMOTION</v>
      </c>
      <c r="G257" s="10">
        <f>data!G257</f>
        <v>1138.32</v>
      </c>
      <c r="H257" s="10">
        <f>data!I257</f>
        <v>736.56</v>
      </c>
      <c r="I257" s="10">
        <f t="shared" si="12"/>
        <v>401.76</v>
      </c>
      <c r="J257" s="11">
        <f>data!H257</f>
        <v>312</v>
      </c>
      <c r="K257" s="11">
        <f>data!J257</f>
        <v>198</v>
      </c>
      <c r="L257" s="11">
        <f t="shared" si="13"/>
        <v>114</v>
      </c>
      <c r="M257" s="9">
        <f t="shared" si="14"/>
        <v>0.54545454545454553</v>
      </c>
      <c r="N257" s="9">
        <f t="shared" si="15"/>
        <v>0.5757575757575758</v>
      </c>
    </row>
    <row r="258" spans="1:14" x14ac:dyDescent="0.25">
      <c r="A258" t="str">
        <f>TEXT("1/"&amp;data!A258,"mmmm")</f>
        <v>janvier</v>
      </c>
      <c r="B258">
        <f>data!B258</f>
        <v>2016</v>
      </c>
      <c r="C258" t="str">
        <f>data!C258</f>
        <v>174</v>
      </c>
      <c r="D258" t="str">
        <f>data!D258</f>
        <v>SAS VIGNOBLES DES 3 CHATEAUX</v>
      </c>
      <c r="E258" t="str">
        <f>data!E258</f>
        <v>174002</v>
      </c>
      <c r="F258" t="str">
        <f>data!F258</f>
        <v>AC PIC SAINT LOUP CUVEE SPECIALE VIEILLI FUT DE CH</v>
      </c>
      <c r="G258" s="10">
        <f>data!G258</f>
        <v>257.04000000000002</v>
      </c>
      <c r="H258" s="10">
        <f>data!I258</f>
        <v>109.98</v>
      </c>
      <c r="I258" s="10">
        <f t="shared" si="12"/>
        <v>147.06</v>
      </c>
      <c r="J258" s="11">
        <f>data!H258</f>
        <v>48</v>
      </c>
      <c r="K258" s="11">
        <f>data!J258</f>
        <v>18</v>
      </c>
      <c r="L258" s="11">
        <f t="shared" si="13"/>
        <v>30</v>
      </c>
      <c r="M258" s="9">
        <f t="shared" si="14"/>
        <v>1.3371522094926349</v>
      </c>
      <c r="N258" s="9">
        <f t="shared" si="15"/>
        <v>1.6666666666666667</v>
      </c>
    </row>
    <row r="259" spans="1:14" x14ac:dyDescent="0.25">
      <c r="A259" t="str">
        <f>TEXT("1/"&amp;data!A259,"mmmm")</f>
        <v>janvier</v>
      </c>
      <c r="B259">
        <f>data!B259</f>
        <v>2016</v>
      </c>
      <c r="C259" t="str">
        <f>data!C259</f>
        <v>174</v>
      </c>
      <c r="D259" t="str">
        <f>data!D259</f>
        <v>SAS VIGNOBLES DES 3 CHATEAUX</v>
      </c>
      <c r="E259" t="str">
        <f>data!E259</f>
        <v>174003</v>
      </c>
      <c r="F259" t="str">
        <f>data!F259</f>
        <v>IGP CARIGNAN - PETIT LOUP</v>
      </c>
      <c r="G259" s="10">
        <f>data!G259</f>
        <v>1081.2</v>
      </c>
      <c r="H259" s="10">
        <f>data!I259</f>
        <v>0</v>
      </c>
      <c r="I259" s="10">
        <f t="shared" ref="I259:I322" si="16">G259-H259</f>
        <v>1081.2</v>
      </c>
      <c r="J259" s="11">
        <f>data!H259</f>
        <v>528</v>
      </c>
      <c r="K259" s="11">
        <f>data!J259</f>
        <v>0</v>
      </c>
      <c r="L259" s="11">
        <f t="shared" ref="L259:L322" si="17">J259-K259</f>
        <v>528</v>
      </c>
      <c r="M259" s="9" t="str">
        <f t="shared" ref="M259:M322" si="18">IF(ISERR(I259/H259),"",I259/H259)</f>
        <v/>
      </c>
      <c r="N259" s="9" t="str">
        <f t="shared" ref="N259:N322" si="19">IF(ISERR(L259/K259),"",L259/K259)</f>
        <v/>
      </c>
    </row>
    <row r="260" spans="1:14" x14ac:dyDescent="0.25">
      <c r="A260" t="str">
        <f>TEXT("1/"&amp;data!A260,"mmmm")</f>
        <v>janvier</v>
      </c>
      <c r="B260">
        <f>data!B260</f>
        <v>2016</v>
      </c>
      <c r="C260" t="str">
        <f>data!C260</f>
        <v>174</v>
      </c>
      <c r="D260" t="str">
        <f>data!D260</f>
        <v>SAS VIGNOBLES DES 3 CHATEAUX</v>
      </c>
      <c r="E260" t="str">
        <f>data!E260</f>
        <v>174010</v>
      </c>
      <c r="F260" t="str">
        <f>data!F260</f>
        <v>IGP OC MERLOT CABERNET TERROIR DES CIGALES</v>
      </c>
      <c r="G260" s="10">
        <f>data!G260</f>
        <v>266</v>
      </c>
      <c r="H260" s="10">
        <f>data!I260</f>
        <v>359.1</v>
      </c>
      <c r="I260" s="10">
        <f t="shared" si="16"/>
        <v>-93.100000000000023</v>
      </c>
      <c r="J260" s="11">
        <f>data!H260</f>
        <v>266.60000000000002</v>
      </c>
      <c r="K260" s="11">
        <f>data!J260</f>
        <v>359.91</v>
      </c>
      <c r="L260" s="11">
        <f t="shared" si="17"/>
        <v>-93.31</v>
      </c>
      <c r="M260" s="9">
        <f t="shared" si="18"/>
        <v>-0.2592592592592593</v>
      </c>
      <c r="N260" s="9">
        <f t="shared" si="19"/>
        <v>-0.25925925925925924</v>
      </c>
    </row>
    <row r="261" spans="1:14" x14ac:dyDescent="0.25">
      <c r="A261" t="str">
        <f>TEXT("1/"&amp;data!A261,"mmmm")</f>
        <v>janvier</v>
      </c>
      <c r="B261">
        <f>data!B261</f>
        <v>2016</v>
      </c>
      <c r="C261" t="str">
        <f>data!C261</f>
        <v>174</v>
      </c>
      <c r="D261" t="str">
        <f>data!D261</f>
        <v>SAS VIGNOBLES DES 3 CHATEAUX</v>
      </c>
      <c r="E261" t="str">
        <f>data!E261</f>
        <v>174011</v>
      </c>
      <c r="F261" t="str">
        <f>data!F261</f>
        <v>IGP OC MERLOT CABERNET TERROIR DES CIGALES</v>
      </c>
      <c r="G261" s="10">
        <f>data!G261</f>
        <v>412.87</v>
      </c>
      <c r="H261" s="10">
        <f>data!I261</f>
        <v>420.66</v>
      </c>
      <c r="I261" s="10">
        <f t="shared" si="16"/>
        <v>-7.7900000000000205</v>
      </c>
      <c r="J261" s="11">
        <f>data!H261</f>
        <v>360.18</v>
      </c>
      <c r="K261" s="11">
        <f>data!J261</f>
        <v>366.85</v>
      </c>
      <c r="L261" s="11">
        <f t="shared" si="17"/>
        <v>-6.6700000000000159</v>
      </c>
      <c r="M261" s="9">
        <f t="shared" si="18"/>
        <v>-1.8518518518518566E-2</v>
      </c>
      <c r="N261" s="9">
        <f t="shared" si="19"/>
        <v>-1.8181818181818223E-2</v>
      </c>
    </row>
    <row r="262" spans="1:14" x14ac:dyDescent="0.25">
      <c r="A262" t="str">
        <f>TEXT("1/"&amp;data!A262,"mmmm")</f>
        <v>janvier</v>
      </c>
      <c r="B262">
        <f>data!B262</f>
        <v>2016</v>
      </c>
      <c r="C262" t="str">
        <f>data!C262</f>
        <v>174</v>
      </c>
      <c r="D262" t="str">
        <f>data!D262</f>
        <v>SAS VIGNOBLES DES 3 CHATEAUX</v>
      </c>
      <c r="E262" t="str">
        <f>data!E262</f>
        <v>174015</v>
      </c>
      <c r="F262" t="str">
        <f>data!F262</f>
        <v>IGP OC CHARDONNAY LES CITELLES</v>
      </c>
      <c r="G262" s="10">
        <f>data!G262</f>
        <v>702</v>
      </c>
      <c r="H262" s="10">
        <f>data!I262</f>
        <v>169.84</v>
      </c>
      <c r="I262" s="10">
        <f t="shared" si="16"/>
        <v>532.16</v>
      </c>
      <c r="J262" s="11">
        <f>data!H262</f>
        <v>533.20000000000005</v>
      </c>
      <c r="K262" s="11">
        <f>data!J262</f>
        <v>146.63</v>
      </c>
      <c r="L262" s="11">
        <f t="shared" si="17"/>
        <v>386.57000000000005</v>
      </c>
      <c r="M262" s="9">
        <f t="shared" si="18"/>
        <v>3.1333019312293922</v>
      </c>
      <c r="N262" s="9">
        <f t="shared" si="19"/>
        <v>2.6363636363636367</v>
      </c>
    </row>
    <row r="263" spans="1:14" x14ac:dyDescent="0.25">
      <c r="A263" t="str">
        <f>TEXT("1/"&amp;data!A263,"mmmm")</f>
        <v>janvier</v>
      </c>
      <c r="B263">
        <f>data!B263</f>
        <v>2016</v>
      </c>
      <c r="C263" t="str">
        <f>data!C263</f>
        <v>174</v>
      </c>
      <c r="D263" t="str">
        <f>data!D263</f>
        <v>SAS VIGNOBLES DES 3 CHATEAUX</v>
      </c>
      <c r="E263" t="str">
        <f>data!E263</f>
        <v>174016</v>
      </c>
      <c r="F263" t="str">
        <f>data!F263</f>
        <v>IGP OC CHARDONNAY LES CITELLES</v>
      </c>
      <c r="G263" s="10">
        <f>data!G263</f>
        <v>229.08</v>
      </c>
      <c r="H263" s="10">
        <f>data!I263</f>
        <v>630.72</v>
      </c>
      <c r="I263" s="10">
        <f t="shared" si="16"/>
        <v>-401.64</v>
      </c>
      <c r="J263" s="11">
        <f>data!H263</f>
        <v>153.41</v>
      </c>
      <c r="K263" s="11">
        <f>data!J263</f>
        <v>480.24</v>
      </c>
      <c r="L263" s="11">
        <f t="shared" si="17"/>
        <v>-326.83000000000004</v>
      </c>
      <c r="M263" s="9">
        <f t="shared" si="18"/>
        <v>-0.63679604261796041</v>
      </c>
      <c r="N263" s="9">
        <f t="shared" si="19"/>
        <v>-0.68055555555555558</v>
      </c>
    </row>
    <row r="264" spans="1:14" x14ac:dyDescent="0.25">
      <c r="A264" t="str">
        <f>TEXT("1/"&amp;data!A264,"mmmm")</f>
        <v>janvier</v>
      </c>
      <c r="B264">
        <f>data!B264</f>
        <v>2016</v>
      </c>
      <c r="C264" t="str">
        <f>data!C264</f>
        <v>174</v>
      </c>
      <c r="D264" t="str">
        <f>data!D264</f>
        <v>SAS VIGNOBLES DES 3 CHATEAUX</v>
      </c>
      <c r="E264" t="str">
        <f>data!E264</f>
        <v>174020</v>
      </c>
      <c r="F264" t="str">
        <f>data!F264</f>
        <v>(x4) AOP COTEAUX DU LANGUEDOC GARUS</v>
      </c>
      <c r="G264" s="10">
        <f>data!G264</f>
        <v>0</v>
      </c>
      <c r="H264" s="10">
        <f>data!I264</f>
        <v>0</v>
      </c>
      <c r="I264" s="10">
        <f t="shared" si="16"/>
        <v>0</v>
      </c>
      <c r="J264" s="11">
        <f>data!H264</f>
        <v>6.67</v>
      </c>
      <c r="K264" s="11">
        <f>data!J264</f>
        <v>0</v>
      </c>
      <c r="L264" s="11">
        <f t="shared" si="17"/>
        <v>6.67</v>
      </c>
      <c r="M264" s="9" t="str">
        <f t="shared" si="18"/>
        <v/>
      </c>
      <c r="N264" s="9" t="str">
        <f t="shared" si="19"/>
        <v/>
      </c>
    </row>
    <row r="265" spans="1:14" x14ac:dyDescent="0.25">
      <c r="A265" t="str">
        <f>TEXT("1/"&amp;data!A265,"mmmm")</f>
        <v>janvier</v>
      </c>
      <c r="B265">
        <f>data!B265</f>
        <v>2016</v>
      </c>
      <c r="C265" t="str">
        <f>data!C265</f>
        <v>175</v>
      </c>
      <c r="D265" t="str">
        <f>data!D265</f>
        <v>SARL MAISON PERE &amp; FILS</v>
      </c>
      <c r="E265" t="str">
        <f>data!E265</f>
        <v>175001</v>
      </c>
      <c r="F265" t="str">
        <f>data!F265</f>
        <v>AC CHEVERNY DME MAISON</v>
      </c>
      <c r="G265" s="10">
        <f>data!G265</f>
        <v>1043.4000000000001</v>
      </c>
      <c r="H265" s="10">
        <f>data!I265</f>
        <v>691.2</v>
      </c>
      <c r="I265" s="10">
        <f t="shared" si="16"/>
        <v>352.20000000000005</v>
      </c>
      <c r="J265" s="11">
        <f>data!H265</f>
        <v>288</v>
      </c>
      <c r="K265" s="11">
        <f>data!J265</f>
        <v>192</v>
      </c>
      <c r="L265" s="11">
        <f t="shared" si="17"/>
        <v>96</v>
      </c>
      <c r="M265" s="9">
        <f t="shared" si="18"/>
        <v>0.50954861111111116</v>
      </c>
      <c r="N265" s="9">
        <f t="shared" si="19"/>
        <v>0.5</v>
      </c>
    </row>
    <row r="266" spans="1:14" x14ac:dyDescent="0.25">
      <c r="A266" t="str">
        <f>TEXT("1/"&amp;data!A266,"mmmm")</f>
        <v>janvier</v>
      </c>
      <c r="B266">
        <f>data!B266</f>
        <v>2016</v>
      </c>
      <c r="C266" t="str">
        <f>data!C266</f>
        <v>175</v>
      </c>
      <c r="D266" t="str">
        <f>data!D266</f>
        <v>SARL MAISON PERE &amp; FILS</v>
      </c>
      <c r="E266" t="str">
        <f>data!E266</f>
        <v>175002</v>
      </c>
      <c r="F266" t="str">
        <f>data!F266</f>
        <v>AC CHEVERNY DME MAISON</v>
      </c>
      <c r="G266" s="10">
        <f>data!G266</f>
        <v>421.8</v>
      </c>
      <c r="H266" s="10">
        <f>data!I266</f>
        <v>712.8</v>
      </c>
      <c r="I266" s="10">
        <f t="shared" si="16"/>
        <v>-290.99999999999994</v>
      </c>
      <c r="J266" s="11">
        <f>data!H266</f>
        <v>114</v>
      </c>
      <c r="K266" s="11">
        <f>data!J266</f>
        <v>192</v>
      </c>
      <c r="L266" s="11">
        <f t="shared" si="17"/>
        <v>-78</v>
      </c>
      <c r="M266" s="9">
        <f t="shared" si="18"/>
        <v>-0.40824915824915819</v>
      </c>
      <c r="N266" s="9">
        <f t="shared" si="19"/>
        <v>-0.40625</v>
      </c>
    </row>
    <row r="267" spans="1:14" x14ac:dyDescent="0.25">
      <c r="A267" t="str">
        <f>TEXT("1/"&amp;data!A267,"mmmm")</f>
        <v>janvier</v>
      </c>
      <c r="B267">
        <f>data!B267</f>
        <v>2016</v>
      </c>
      <c r="C267" t="str">
        <f>data!C267</f>
        <v>190</v>
      </c>
      <c r="D267" t="str">
        <f>data!D267</f>
        <v>CHATEAU PIQUE PERLOU</v>
      </c>
      <c r="E267" t="str">
        <f>data!E267</f>
        <v>190001</v>
      </c>
      <c r="F267" t="str">
        <f>data!F267</f>
        <v>AOP MINERVOIS LES TERASSES</v>
      </c>
      <c r="G267" s="10">
        <f>data!G267</f>
        <v>618.24</v>
      </c>
      <c r="H267" s="10">
        <f>data!I267</f>
        <v>37.92</v>
      </c>
      <c r="I267" s="10">
        <f t="shared" si="16"/>
        <v>580.32000000000005</v>
      </c>
      <c r="J267" s="11">
        <f>data!H267</f>
        <v>192</v>
      </c>
      <c r="K267" s="11">
        <f>data!J267</f>
        <v>12</v>
      </c>
      <c r="L267" s="11">
        <f t="shared" si="17"/>
        <v>180</v>
      </c>
      <c r="M267" s="9">
        <f t="shared" si="18"/>
        <v>15.30379746835443</v>
      </c>
      <c r="N267" s="9">
        <f t="shared" si="19"/>
        <v>15</v>
      </c>
    </row>
    <row r="268" spans="1:14" x14ac:dyDescent="0.25">
      <c r="A268" t="str">
        <f>TEXT("1/"&amp;data!A268,"mmmm")</f>
        <v>janvier</v>
      </c>
      <c r="B268">
        <f>data!B268</f>
        <v>2016</v>
      </c>
      <c r="C268" t="str">
        <f>data!C268</f>
        <v>199</v>
      </c>
      <c r="D268" t="str">
        <f>data!D268</f>
        <v>PRIEURE SAINT JEAN DE BEBIAN</v>
      </c>
      <c r="E268" t="str">
        <f>data!E268</f>
        <v>199001</v>
      </c>
      <c r="F268" t="str">
        <f>data!F268</f>
        <v>AC COTEAUX DU LANGUEDOC CHAPELLE</v>
      </c>
      <c r="G268" s="10">
        <f>data!G268</f>
        <v>483.6</v>
      </c>
      <c r="H268" s="10">
        <f>data!I268</f>
        <v>216</v>
      </c>
      <c r="I268" s="10">
        <f t="shared" si="16"/>
        <v>267.60000000000002</v>
      </c>
      <c r="J268" s="11">
        <f>data!H268</f>
        <v>78</v>
      </c>
      <c r="K268" s="11">
        <f>data!J268</f>
        <v>36</v>
      </c>
      <c r="L268" s="11">
        <f t="shared" si="17"/>
        <v>42</v>
      </c>
      <c r="M268" s="9">
        <f t="shared" si="18"/>
        <v>1.2388888888888889</v>
      </c>
      <c r="N268" s="9">
        <f t="shared" si="19"/>
        <v>1.1666666666666667</v>
      </c>
    </row>
    <row r="269" spans="1:14" x14ac:dyDescent="0.25">
      <c r="A269" t="str">
        <f>TEXT("1/"&amp;data!A269,"mmmm")</f>
        <v>janvier</v>
      </c>
      <c r="B269">
        <f>data!B269</f>
        <v>2016</v>
      </c>
      <c r="C269" t="str">
        <f>data!C269</f>
        <v>199</v>
      </c>
      <c r="D269" t="str">
        <f>data!D269</f>
        <v>PRIEURE SAINT JEAN DE BEBIAN</v>
      </c>
      <c r="E269" t="str">
        <f>data!E269</f>
        <v>199002</v>
      </c>
      <c r="F269" t="str">
        <f>data!F269</f>
        <v>AC COTEAUX DU LANGUEDOC PRIEURE ST JEAN</v>
      </c>
      <c r="G269" s="10">
        <f>data!G269</f>
        <v>78</v>
      </c>
      <c r="H269" s="10">
        <f>data!I269</f>
        <v>0</v>
      </c>
      <c r="I269" s="10">
        <f t="shared" si="16"/>
        <v>78</v>
      </c>
      <c r="J269" s="11">
        <f>data!H269</f>
        <v>6</v>
      </c>
      <c r="K269" s="11">
        <f>data!J269</f>
        <v>0</v>
      </c>
      <c r="L269" s="11">
        <f t="shared" si="17"/>
        <v>6</v>
      </c>
      <c r="M269" s="9" t="str">
        <f t="shared" si="18"/>
        <v/>
      </c>
      <c r="N269" s="9" t="str">
        <f t="shared" si="19"/>
        <v/>
      </c>
    </row>
    <row r="270" spans="1:14" x14ac:dyDescent="0.25">
      <c r="A270" t="str">
        <f>TEXT("1/"&amp;data!A270,"mmmm")</f>
        <v>janvier</v>
      </c>
      <c r="B270">
        <f>data!B270</f>
        <v>2016</v>
      </c>
      <c r="C270" t="str">
        <f>data!C270</f>
        <v>199</v>
      </c>
      <c r="D270" t="str">
        <f>data!D270</f>
        <v>PRIEURE SAINT JEAN DE BEBIAN</v>
      </c>
      <c r="E270" t="str">
        <f>data!E270</f>
        <v>199003</v>
      </c>
      <c r="F270" t="str">
        <f>data!F270</f>
        <v>AC COTEAUX DU LANGUEDOC LA CROIX DE BEBIAN</v>
      </c>
      <c r="G270" s="10">
        <f>data!G270</f>
        <v>100.8</v>
      </c>
      <c r="H270" s="10">
        <f>data!I270</f>
        <v>0</v>
      </c>
      <c r="I270" s="10">
        <f t="shared" si="16"/>
        <v>100.8</v>
      </c>
      <c r="J270" s="11">
        <f>data!H270</f>
        <v>24</v>
      </c>
      <c r="K270" s="11">
        <f>data!J270</f>
        <v>0</v>
      </c>
      <c r="L270" s="11">
        <f t="shared" si="17"/>
        <v>24</v>
      </c>
      <c r="M270" s="9" t="str">
        <f t="shared" si="18"/>
        <v/>
      </c>
      <c r="N270" s="9" t="str">
        <f t="shared" si="19"/>
        <v/>
      </c>
    </row>
    <row r="271" spans="1:14" x14ac:dyDescent="0.25">
      <c r="A271" t="str">
        <f>TEXT("1/"&amp;data!A271,"mmmm")</f>
        <v>janvier</v>
      </c>
      <c r="B271">
        <f>data!B271</f>
        <v>2016</v>
      </c>
      <c r="C271" t="str">
        <f>data!C271</f>
        <v>201</v>
      </c>
      <c r="D271" t="str">
        <f>data!D271</f>
        <v>CAVE LES COTEAUX DU RHONE</v>
      </c>
      <c r="E271" t="str">
        <f>data!E271</f>
        <v>201001</v>
      </c>
      <c r="F271" t="str">
        <f>data!F271</f>
        <v>IGP VAUCLUSE D'ORANGE CAVE LES COTEAUX DU RHONE</v>
      </c>
      <c r="G271" s="10">
        <f>data!G271</f>
        <v>235.6</v>
      </c>
      <c r="H271" s="10">
        <f>data!I271</f>
        <v>285.87</v>
      </c>
      <c r="I271" s="10">
        <f t="shared" si="16"/>
        <v>-50.27000000000001</v>
      </c>
      <c r="J271" s="11">
        <f>data!H271</f>
        <v>213.44</v>
      </c>
      <c r="K271" s="11">
        <f>data!J271</f>
        <v>546.93999999999994</v>
      </c>
      <c r="L271" s="11">
        <f t="shared" si="17"/>
        <v>-333.49999999999994</v>
      </c>
      <c r="M271" s="9">
        <f t="shared" si="18"/>
        <v>-0.17584916220659744</v>
      </c>
      <c r="N271" s="9">
        <f t="shared" si="19"/>
        <v>-0.6097560975609756</v>
      </c>
    </row>
    <row r="272" spans="1:14" x14ac:dyDescent="0.25">
      <c r="A272" t="str">
        <f>TEXT("1/"&amp;data!A272,"mmmm")</f>
        <v>janvier</v>
      </c>
      <c r="B272">
        <f>data!B272</f>
        <v>2016</v>
      </c>
      <c r="C272" t="str">
        <f>data!C272</f>
        <v>201</v>
      </c>
      <c r="D272" t="str">
        <f>data!D272</f>
        <v>CAVE LES COTEAUX DU RHONE</v>
      </c>
      <c r="E272" t="str">
        <f>data!E272</f>
        <v>201002</v>
      </c>
      <c r="F272" t="str">
        <f>data!F272</f>
        <v>IGP VAUCLUSE D'ORANGE CAVE LES COTEAUX DU RHONE</v>
      </c>
      <c r="G272" s="10">
        <f>data!G272</f>
        <v>1457.5</v>
      </c>
      <c r="H272" s="10">
        <f>data!I272</f>
        <v>684.72</v>
      </c>
      <c r="I272" s="10">
        <f t="shared" si="16"/>
        <v>772.78</v>
      </c>
      <c r="J272" s="11">
        <f>data!H272</f>
        <v>1466.3</v>
      </c>
      <c r="K272" s="11">
        <f>data!J272</f>
        <v>1746.23</v>
      </c>
      <c r="L272" s="11">
        <f t="shared" si="17"/>
        <v>-279.93000000000006</v>
      </c>
      <c r="M272" s="9">
        <f t="shared" si="18"/>
        <v>1.1286073139385442</v>
      </c>
      <c r="N272" s="9">
        <f t="shared" si="19"/>
        <v>-0.16030534351145043</v>
      </c>
    </row>
    <row r="273" spans="1:14" x14ac:dyDescent="0.25">
      <c r="A273" t="str">
        <f>TEXT("1/"&amp;data!A273,"mmmm")</f>
        <v>janvier</v>
      </c>
      <c r="B273">
        <f>data!B273</f>
        <v>2016</v>
      </c>
      <c r="C273" t="str">
        <f>data!C273</f>
        <v>201</v>
      </c>
      <c r="D273" t="str">
        <f>data!D273</f>
        <v>CAVE LES COTEAUX DU RHONE</v>
      </c>
      <c r="E273" t="str">
        <f>data!E273</f>
        <v>201003</v>
      </c>
      <c r="F273" t="str">
        <f>data!F273</f>
        <v>IGP MEDITERRANEE LES COTEAUX DU RHONE</v>
      </c>
      <c r="G273" s="10">
        <f>data!G273</f>
        <v>311.60000000000002</v>
      </c>
      <c r="H273" s="10">
        <f>data!I273</f>
        <v>557.08000000000004</v>
      </c>
      <c r="I273" s="10">
        <f t="shared" si="16"/>
        <v>-245.48000000000002</v>
      </c>
      <c r="J273" s="11">
        <f>data!H273</f>
        <v>1367.35</v>
      </c>
      <c r="K273" s="11">
        <f>data!J273</f>
        <v>513.59</v>
      </c>
      <c r="L273" s="11">
        <f t="shared" si="17"/>
        <v>853.75999999999988</v>
      </c>
      <c r="M273" s="9">
        <f t="shared" si="18"/>
        <v>-0.44065484311050479</v>
      </c>
      <c r="N273" s="9">
        <f t="shared" si="19"/>
        <v>1.662337662337662</v>
      </c>
    </row>
    <row r="274" spans="1:14" x14ac:dyDescent="0.25">
      <c r="A274" t="str">
        <f>TEXT("1/"&amp;data!A274,"mmmm")</f>
        <v>janvier</v>
      </c>
      <c r="B274">
        <f>data!B274</f>
        <v>2016</v>
      </c>
      <c r="C274" t="str">
        <f>data!C274</f>
        <v>201</v>
      </c>
      <c r="D274" t="str">
        <f>data!D274</f>
        <v>CAVE LES COTEAUX DU RHONE</v>
      </c>
      <c r="E274" t="str">
        <f>data!E274</f>
        <v>201004</v>
      </c>
      <c r="F274" t="str">
        <f>data!F274</f>
        <v>IGP MEDITERRANEE LES COTEAUX DU RHONE</v>
      </c>
      <c r="G274" s="10">
        <f>data!G274</f>
        <v>675.75</v>
      </c>
      <c r="H274" s="10">
        <f>data!I274</f>
        <v>2853</v>
      </c>
      <c r="I274" s="10">
        <f t="shared" si="16"/>
        <v>-2177.25</v>
      </c>
      <c r="J274" s="11">
        <f>data!H274</f>
        <v>1786.22</v>
      </c>
      <c r="K274" s="11">
        <f>data!J274</f>
        <v>2999.25</v>
      </c>
      <c r="L274" s="11">
        <f t="shared" si="17"/>
        <v>-1213.03</v>
      </c>
      <c r="M274" s="9">
        <f t="shared" si="18"/>
        <v>-0.76314405888538384</v>
      </c>
      <c r="N274" s="9">
        <f t="shared" si="19"/>
        <v>-0.40444444444444444</v>
      </c>
    </row>
    <row r="275" spans="1:14" x14ac:dyDescent="0.25">
      <c r="A275" t="str">
        <f>TEXT("1/"&amp;data!A275,"mmmm")</f>
        <v>janvier</v>
      </c>
      <c r="B275">
        <f>data!B275</f>
        <v>2016</v>
      </c>
      <c r="C275" t="str">
        <f>data!C275</f>
        <v>201</v>
      </c>
      <c r="D275" t="str">
        <f>data!D275</f>
        <v>CAVE LES COTEAUX DU RHONE</v>
      </c>
      <c r="E275" t="str">
        <f>data!E275</f>
        <v>201006</v>
      </c>
      <c r="F275" t="str">
        <f>data!F275</f>
        <v>AOP COTES DU RHONE MAGIE D'UNE TERRE</v>
      </c>
      <c r="G275" s="10">
        <f>data!G275</f>
        <v>1252.8</v>
      </c>
      <c r="H275" s="10">
        <f>data!I275</f>
        <v>782.88</v>
      </c>
      <c r="I275" s="10">
        <f t="shared" si="16"/>
        <v>469.91999999999996</v>
      </c>
      <c r="J275" s="11">
        <f>data!H275</f>
        <v>522</v>
      </c>
      <c r="K275" s="11">
        <f>data!J275</f>
        <v>342</v>
      </c>
      <c r="L275" s="11">
        <f t="shared" si="17"/>
        <v>180</v>
      </c>
      <c r="M275" s="9">
        <f t="shared" si="18"/>
        <v>0.60024524831391779</v>
      </c>
      <c r="N275" s="9">
        <f t="shared" si="19"/>
        <v>0.52631578947368418</v>
      </c>
    </row>
    <row r="276" spans="1:14" x14ac:dyDescent="0.25">
      <c r="A276" t="str">
        <f>TEXT("1/"&amp;data!A276,"mmmm")</f>
        <v>janvier</v>
      </c>
      <c r="B276">
        <f>data!B276</f>
        <v>2016</v>
      </c>
      <c r="C276" t="str">
        <f>data!C276</f>
        <v>201</v>
      </c>
      <c r="D276" t="str">
        <f>data!D276</f>
        <v>CAVE LES COTEAUX DU RHONE</v>
      </c>
      <c r="E276" t="str">
        <f>data!E276</f>
        <v>201007</v>
      </c>
      <c r="F276" t="str">
        <f>data!F276</f>
        <v>AOP VACQUEYRASDOMAINE GRANDY</v>
      </c>
      <c r="G276" s="10">
        <f>data!G276</f>
        <v>133.19999999999999</v>
      </c>
      <c r="H276" s="10">
        <f>data!I276</f>
        <v>0</v>
      </c>
      <c r="I276" s="10">
        <f t="shared" si="16"/>
        <v>133.19999999999999</v>
      </c>
      <c r="J276" s="11">
        <f>data!H276</f>
        <v>24</v>
      </c>
      <c r="K276" s="11">
        <f>data!J276</f>
        <v>0</v>
      </c>
      <c r="L276" s="11">
        <f t="shared" si="17"/>
        <v>24</v>
      </c>
      <c r="M276" s="9" t="str">
        <f t="shared" si="18"/>
        <v/>
      </c>
      <c r="N276" s="9" t="str">
        <f t="shared" si="19"/>
        <v/>
      </c>
    </row>
    <row r="277" spans="1:14" x14ac:dyDescent="0.25">
      <c r="A277" t="str">
        <f>TEXT("1/"&amp;data!A277,"mmmm")</f>
        <v>janvier</v>
      </c>
      <c r="B277">
        <f>data!B277</f>
        <v>2016</v>
      </c>
      <c r="C277" t="str">
        <f>data!C277</f>
        <v>201</v>
      </c>
      <c r="D277" t="str">
        <f>data!D277</f>
        <v>CAVE LES COTEAUX DU RHONE</v>
      </c>
      <c r="E277" t="str">
        <f>data!E277</f>
        <v>201008</v>
      </c>
      <c r="F277" t="str">
        <f>data!F277</f>
        <v>AOP COTES DU RHONE PATRICE NICOLAS</v>
      </c>
      <c r="G277" s="10">
        <f>data!G277</f>
        <v>422.4</v>
      </c>
      <c r="H277" s="10">
        <f>data!I277</f>
        <v>0</v>
      </c>
      <c r="I277" s="10">
        <f t="shared" si="16"/>
        <v>422.4</v>
      </c>
      <c r="J277" s="11">
        <f>data!H277</f>
        <v>132</v>
      </c>
      <c r="K277" s="11">
        <f>data!J277</f>
        <v>6</v>
      </c>
      <c r="L277" s="11">
        <f t="shared" si="17"/>
        <v>126</v>
      </c>
      <c r="M277" s="9" t="str">
        <f t="shared" si="18"/>
        <v/>
      </c>
      <c r="N277" s="9">
        <f t="shared" si="19"/>
        <v>21</v>
      </c>
    </row>
    <row r="278" spans="1:14" x14ac:dyDescent="0.25">
      <c r="A278" t="str">
        <f>TEXT("1/"&amp;data!A278,"mmmm")</f>
        <v>janvier</v>
      </c>
      <c r="B278">
        <f>data!B278</f>
        <v>2016</v>
      </c>
      <c r="C278" t="str">
        <f>data!C278</f>
        <v>201</v>
      </c>
      <c r="D278" t="str">
        <f>data!D278</f>
        <v>CAVE LES COTEAUX DU RHONE</v>
      </c>
      <c r="E278" t="str">
        <f>data!E278</f>
        <v>201011</v>
      </c>
      <c r="F278" t="str">
        <f>data!F278</f>
        <v>AOP COTES DU RHONE</v>
      </c>
      <c r="G278" s="10">
        <f>data!G278</f>
        <v>131.30000000000001</v>
      </c>
      <c r="H278" s="10">
        <f>data!I278</f>
        <v>194.6</v>
      </c>
      <c r="I278" s="10">
        <f t="shared" si="16"/>
        <v>-63.299999999999983</v>
      </c>
      <c r="J278" s="11">
        <f>data!H278</f>
        <v>86.71</v>
      </c>
      <c r="K278" s="11">
        <f>data!J278</f>
        <v>133.4</v>
      </c>
      <c r="L278" s="11">
        <f t="shared" si="17"/>
        <v>-46.690000000000012</v>
      </c>
      <c r="M278" s="9">
        <f t="shared" si="18"/>
        <v>-0.32528263103802663</v>
      </c>
      <c r="N278" s="9">
        <f t="shared" si="19"/>
        <v>-0.35000000000000009</v>
      </c>
    </row>
    <row r="279" spans="1:14" x14ac:dyDescent="0.25">
      <c r="A279" t="str">
        <f>TEXT("1/"&amp;data!A279,"mmmm")</f>
        <v>janvier</v>
      </c>
      <c r="B279">
        <f>data!B279</f>
        <v>2016</v>
      </c>
      <c r="C279" t="str">
        <f>data!C279</f>
        <v>201</v>
      </c>
      <c r="D279" t="str">
        <f>data!D279</f>
        <v>CAVE LES COTEAUX DU RHONE</v>
      </c>
      <c r="E279" t="str">
        <f>data!E279</f>
        <v>201012</v>
      </c>
      <c r="F279" t="str">
        <f>data!F279</f>
        <v>AOP CDR VILLAGES PLAN DE DIEU PANICAUT</v>
      </c>
      <c r="G279" s="10">
        <f>data!G279</f>
        <v>345.6</v>
      </c>
      <c r="H279" s="10">
        <f>data!I279</f>
        <v>466.48</v>
      </c>
      <c r="I279" s="10">
        <f t="shared" si="16"/>
        <v>-120.88</v>
      </c>
      <c r="J279" s="11">
        <f>data!H279</f>
        <v>102</v>
      </c>
      <c r="K279" s="11">
        <f>data!J279</f>
        <v>144</v>
      </c>
      <c r="L279" s="11">
        <f t="shared" si="17"/>
        <v>-42</v>
      </c>
      <c r="M279" s="9">
        <f t="shared" si="18"/>
        <v>-0.25913222431829874</v>
      </c>
      <c r="N279" s="9">
        <f t="shared" si="19"/>
        <v>-0.29166666666666669</v>
      </c>
    </row>
    <row r="280" spans="1:14" x14ac:dyDescent="0.25">
      <c r="A280" t="str">
        <f>TEXT("1/"&amp;data!A280,"mmmm")</f>
        <v>janvier</v>
      </c>
      <c r="B280">
        <f>data!B280</f>
        <v>2016</v>
      </c>
      <c r="C280" t="str">
        <f>data!C280</f>
        <v>201</v>
      </c>
      <c r="D280" t="str">
        <f>data!D280</f>
        <v>CAVE LES COTEAUX DU RHONE</v>
      </c>
      <c r="E280" t="str">
        <f>data!E280</f>
        <v>201013</v>
      </c>
      <c r="F280" t="str">
        <f>data!F280</f>
        <v>AOP CDR VILLAGES CAIRANNE LA BOSQUETTE</v>
      </c>
      <c r="G280" s="10">
        <f>data!G280</f>
        <v>40.5</v>
      </c>
      <c r="H280" s="10">
        <f>data!I280</f>
        <v>156.66</v>
      </c>
      <c r="I280" s="10">
        <f t="shared" si="16"/>
        <v>-116.16</v>
      </c>
      <c r="J280" s="11">
        <f>data!H280</f>
        <v>12</v>
      </c>
      <c r="K280" s="11">
        <f>data!J280</f>
        <v>42</v>
      </c>
      <c r="L280" s="11">
        <f t="shared" si="17"/>
        <v>-30</v>
      </c>
      <c r="M280" s="9">
        <f t="shared" si="18"/>
        <v>-0.7414783607813098</v>
      </c>
      <c r="N280" s="9">
        <f t="shared" si="19"/>
        <v>-0.7142857142857143</v>
      </c>
    </row>
    <row r="281" spans="1:14" x14ac:dyDescent="0.25">
      <c r="A281" t="str">
        <f>TEXT("1/"&amp;data!A281,"mmmm")</f>
        <v>janvier</v>
      </c>
      <c r="B281">
        <f>data!B281</f>
        <v>2016</v>
      </c>
      <c r="C281" t="str">
        <f>data!C281</f>
        <v>201</v>
      </c>
      <c r="D281" t="str">
        <f>data!D281</f>
        <v>CAVE LES COTEAUX DU RHONE</v>
      </c>
      <c r="E281" t="str">
        <f>data!E281</f>
        <v>201014</v>
      </c>
      <c r="F281" t="str">
        <f>data!F281</f>
        <v>AOP COTES DU RHONE VILLAGES JASOUN</v>
      </c>
      <c r="G281" s="10">
        <f>data!G281</f>
        <v>360</v>
      </c>
      <c r="H281" s="10">
        <f>data!I281</f>
        <v>207.36</v>
      </c>
      <c r="I281" s="10">
        <f t="shared" si="16"/>
        <v>152.63999999999999</v>
      </c>
      <c r="J281" s="11">
        <f>data!H281</f>
        <v>120</v>
      </c>
      <c r="K281" s="11">
        <f>data!J281</f>
        <v>72</v>
      </c>
      <c r="L281" s="11">
        <f t="shared" si="17"/>
        <v>48</v>
      </c>
      <c r="M281" s="9">
        <f t="shared" si="18"/>
        <v>0.73611111111111105</v>
      </c>
      <c r="N281" s="9">
        <f t="shared" si="19"/>
        <v>0.66666666666666663</v>
      </c>
    </row>
    <row r="282" spans="1:14" x14ac:dyDescent="0.25">
      <c r="A282" t="str">
        <f>TEXT("1/"&amp;data!A282,"mmmm")</f>
        <v>janvier</v>
      </c>
      <c r="B282">
        <f>data!B282</f>
        <v>2016</v>
      </c>
      <c r="C282" t="str">
        <f>data!C282</f>
        <v>201</v>
      </c>
      <c r="D282" t="str">
        <f>data!D282</f>
        <v>CAVE LES COTEAUX DU RHONE</v>
      </c>
      <c r="E282" t="str">
        <f>data!E282</f>
        <v>201015</v>
      </c>
      <c r="F282" t="str">
        <f>data!F282</f>
        <v>AOP CDR VILLAGES MASSIF D'UCHAUX ARBOUSE</v>
      </c>
      <c r="G282" s="10">
        <f>data!G282</f>
        <v>288</v>
      </c>
      <c r="H282" s="10">
        <f>data!I282</f>
        <v>0</v>
      </c>
      <c r="I282" s="10">
        <f t="shared" si="16"/>
        <v>288</v>
      </c>
      <c r="J282" s="11">
        <f>data!H282</f>
        <v>90</v>
      </c>
      <c r="K282" s="11">
        <f>data!J282</f>
        <v>0</v>
      </c>
      <c r="L282" s="11">
        <f t="shared" si="17"/>
        <v>90</v>
      </c>
      <c r="M282" s="9" t="str">
        <f t="shared" si="18"/>
        <v/>
      </c>
      <c r="N282" s="9" t="str">
        <f t="shared" si="19"/>
        <v/>
      </c>
    </row>
    <row r="283" spans="1:14" x14ac:dyDescent="0.25">
      <c r="A283" t="str">
        <f>TEXT("1/"&amp;data!A283,"mmmm")</f>
        <v>janvier</v>
      </c>
      <c r="B283">
        <f>data!B283</f>
        <v>2016</v>
      </c>
      <c r="C283" t="str">
        <f>data!C283</f>
        <v>201</v>
      </c>
      <c r="D283" t="str">
        <f>data!D283</f>
        <v>CAVE LES COTEAUX DU RHONE</v>
      </c>
      <c r="E283" t="str">
        <f>data!E283</f>
        <v>201023</v>
      </c>
      <c r="F283" t="str">
        <f>data!F283</f>
        <v>AC COTES DU RHONE</v>
      </c>
      <c r="G283" s="10">
        <f>data!G283</f>
        <v>0</v>
      </c>
      <c r="H283" s="10">
        <f>data!I283</f>
        <v>77.16</v>
      </c>
      <c r="I283" s="10">
        <f t="shared" si="16"/>
        <v>-77.16</v>
      </c>
      <c r="J283" s="11">
        <f>data!H283</f>
        <v>196</v>
      </c>
      <c r="K283" s="11">
        <f>data!J283</f>
        <v>48</v>
      </c>
      <c r="L283" s="11">
        <f t="shared" si="17"/>
        <v>148</v>
      </c>
      <c r="M283" s="9">
        <f t="shared" si="18"/>
        <v>-1</v>
      </c>
      <c r="N283" s="9">
        <f t="shared" si="19"/>
        <v>3.0833333333333335</v>
      </c>
    </row>
    <row r="284" spans="1:14" x14ac:dyDescent="0.25">
      <c r="A284" t="str">
        <f>TEXT("1/"&amp;data!A284,"mmmm")</f>
        <v>janvier</v>
      </c>
      <c r="B284">
        <f>data!B284</f>
        <v>2016</v>
      </c>
      <c r="C284" t="str">
        <f>data!C284</f>
        <v>201</v>
      </c>
      <c r="D284" t="str">
        <f>data!D284</f>
        <v>CAVE LES COTEAUX DU RHONE</v>
      </c>
      <c r="E284" t="str">
        <f>data!E284</f>
        <v>201026</v>
      </c>
      <c r="F284" t="str">
        <f>data!F284</f>
        <v>IGP VAUCLUSE BALLADE DE COLLINE</v>
      </c>
      <c r="G284" s="10">
        <f>data!G284</f>
        <v>136.80000000000001</v>
      </c>
      <c r="H284" s="10">
        <f>data!I284</f>
        <v>0</v>
      </c>
      <c r="I284" s="10">
        <f t="shared" si="16"/>
        <v>136.80000000000001</v>
      </c>
      <c r="J284" s="11">
        <f>data!H284</f>
        <v>72</v>
      </c>
      <c r="K284" s="11">
        <f>data!J284</f>
        <v>0</v>
      </c>
      <c r="L284" s="11">
        <f t="shared" si="17"/>
        <v>72</v>
      </c>
      <c r="M284" s="9" t="str">
        <f t="shared" si="18"/>
        <v/>
      </c>
      <c r="N284" s="9" t="str">
        <f t="shared" si="19"/>
        <v/>
      </c>
    </row>
    <row r="285" spans="1:14" x14ac:dyDescent="0.25">
      <c r="A285" t="str">
        <f>TEXT("1/"&amp;data!A285,"mmmm")</f>
        <v>janvier</v>
      </c>
      <c r="B285">
        <f>data!B285</f>
        <v>2016</v>
      </c>
      <c r="C285" t="str">
        <f>data!C285</f>
        <v>201</v>
      </c>
      <c r="D285" t="str">
        <f>data!D285</f>
        <v>CAVE LES COTEAUX DU RHONE</v>
      </c>
      <c r="E285" t="str">
        <f>data!E285</f>
        <v>201027</v>
      </c>
      <c r="F285" t="str">
        <f>data!F285</f>
        <v>IGP VAUCLUSE BALLADE DE COLLINE</v>
      </c>
      <c r="G285" s="10">
        <f>data!G285</f>
        <v>-22.8</v>
      </c>
      <c r="H285" s="10">
        <f>data!I285</f>
        <v>0</v>
      </c>
      <c r="I285" s="10">
        <f t="shared" si="16"/>
        <v>-22.8</v>
      </c>
      <c r="J285" s="11">
        <f>data!H285</f>
        <v>-12</v>
      </c>
      <c r="K285" s="11">
        <f>data!J285</f>
        <v>0</v>
      </c>
      <c r="L285" s="11">
        <f t="shared" si="17"/>
        <v>-12</v>
      </c>
      <c r="M285" s="9" t="str">
        <f t="shared" si="18"/>
        <v/>
      </c>
      <c r="N285" s="9" t="str">
        <f t="shared" si="19"/>
        <v/>
      </c>
    </row>
    <row r="286" spans="1:14" x14ac:dyDescent="0.25">
      <c r="A286" t="str">
        <f>TEXT("1/"&amp;data!A286,"mmmm")</f>
        <v>janvier</v>
      </c>
      <c r="B286">
        <f>data!B286</f>
        <v>2016</v>
      </c>
      <c r="C286" t="str">
        <f>data!C286</f>
        <v>202</v>
      </c>
      <c r="D286" t="str">
        <f>data!D286</f>
        <v>TERRES D'ALLIANCE</v>
      </c>
      <c r="E286" t="str">
        <f>data!E286</f>
        <v>202001</v>
      </c>
      <c r="F286" t="str">
        <f>data!F286</f>
        <v>IGP VAUCLUSE LEA</v>
      </c>
      <c r="G286" s="10">
        <f>data!G286</f>
        <v>538.55999999999995</v>
      </c>
      <c r="H286" s="10">
        <f>data!I286</f>
        <v>582.12</v>
      </c>
      <c r="I286" s="10">
        <f t="shared" si="16"/>
        <v>-43.560000000000059</v>
      </c>
      <c r="J286" s="11">
        <f>data!H286</f>
        <v>270</v>
      </c>
      <c r="K286" s="11">
        <f>data!J286</f>
        <v>300</v>
      </c>
      <c r="L286" s="11">
        <f t="shared" si="17"/>
        <v>-30</v>
      </c>
      <c r="M286" s="9">
        <f t="shared" si="18"/>
        <v>-7.4829931972789213E-2</v>
      </c>
      <c r="N286" s="9">
        <f t="shared" si="19"/>
        <v>-0.1</v>
      </c>
    </row>
    <row r="287" spans="1:14" x14ac:dyDescent="0.25">
      <c r="A287" t="str">
        <f>TEXT("1/"&amp;data!A287,"mmmm")</f>
        <v>janvier</v>
      </c>
      <c r="B287">
        <f>data!B287</f>
        <v>2016</v>
      </c>
      <c r="C287" t="str">
        <f>data!C287</f>
        <v>202</v>
      </c>
      <c r="D287" t="str">
        <f>data!D287</f>
        <v>TERRES D'ALLIANCE</v>
      </c>
      <c r="E287" t="str">
        <f>data!E287</f>
        <v>202002</v>
      </c>
      <c r="F287" t="str">
        <f>data!F287</f>
        <v>IGP VAUCLUSE LEA</v>
      </c>
      <c r="G287" s="10">
        <f>data!G287</f>
        <v>293.76</v>
      </c>
      <c r="H287" s="10">
        <f>data!I287</f>
        <v>415.8</v>
      </c>
      <c r="I287" s="10">
        <f t="shared" si="16"/>
        <v>-122.04000000000002</v>
      </c>
      <c r="J287" s="11">
        <f>data!H287</f>
        <v>144</v>
      </c>
      <c r="K287" s="11">
        <f>data!J287</f>
        <v>210</v>
      </c>
      <c r="L287" s="11">
        <f t="shared" si="17"/>
        <v>-66</v>
      </c>
      <c r="M287" s="9">
        <f t="shared" si="18"/>
        <v>-0.29350649350649355</v>
      </c>
      <c r="N287" s="9">
        <f t="shared" si="19"/>
        <v>-0.31428571428571428</v>
      </c>
    </row>
    <row r="288" spans="1:14" x14ac:dyDescent="0.25">
      <c r="A288" t="str">
        <f>TEXT("1/"&amp;data!A288,"mmmm")</f>
        <v>janvier</v>
      </c>
      <c r="B288">
        <f>data!B288</f>
        <v>2016</v>
      </c>
      <c r="C288" t="str">
        <f>data!C288</f>
        <v>202</v>
      </c>
      <c r="D288" t="str">
        <f>data!D288</f>
        <v>TERRES D'ALLIANCE</v>
      </c>
      <c r="E288" t="str">
        <f>data!E288</f>
        <v>202003</v>
      </c>
      <c r="F288" t="str">
        <f>data!F288</f>
        <v>IGP VAUCLUSE LEA</v>
      </c>
      <c r="G288" s="10">
        <f>data!G288</f>
        <v>0</v>
      </c>
      <c r="H288" s="10">
        <f>data!I288</f>
        <v>249.48</v>
      </c>
      <c r="I288" s="10">
        <f t="shared" si="16"/>
        <v>-249.48</v>
      </c>
      <c r="J288" s="11">
        <f>data!H288</f>
        <v>6</v>
      </c>
      <c r="K288" s="11">
        <f>data!J288</f>
        <v>126</v>
      </c>
      <c r="L288" s="11">
        <f t="shared" si="17"/>
        <v>-120</v>
      </c>
      <c r="M288" s="9">
        <f t="shared" si="18"/>
        <v>-1</v>
      </c>
      <c r="N288" s="9">
        <f t="shared" si="19"/>
        <v>-0.95238095238095233</v>
      </c>
    </row>
    <row r="289" spans="1:14" x14ac:dyDescent="0.25">
      <c r="A289" t="str">
        <f>TEXT("1/"&amp;data!A289,"mmmm")</f>
        <v>janvier</v>
      </c>
      <c r="B289">
        <f>data!B289</f>
        <v>2016</v>
      </c>
      <c r="C289" t="str">
        <f>data!C289</f>
        <v>202</v>
      </c>
      <c r="D289" t="str">
        <f>data!D289</f>
        <v>TERRES D'ALLIANCE</v>
      </c>
      <c r="E289" t="str">
        <f>data!E289</f>
        <v>202004</v>
      </c>
      <c r="F289" t="str">
        <f>data!F289</f>
        <v>AOP LUBERON FIEF</v>
      </c>
      <c r="G289" s="10">
        <f>data!G289</f>
        <v>33.24</v>
      </c>
      <c r="H289" s="10">
        <f>data!I289</f>
        <v>0</v>
      </c>
      <c r="I289" s="10">
        <f t="shared" si="16"/>
        <v>33.24</v>
      </c>
      <c r="J289" s="11">
        <f>data!H289</f>
        <v>18</v>
      </c>
      <c r="K289" s="11">
        <f>data!J289</f>
        <v>0</v>
      </c>
      <c r="L289" s="11">
        <f t="shared" si="17"/>
        <v>18</v>
      </c>
      <c r="M289" s="9" t="str">
        <f t="shared" si="18"/>
        <v/>
      </c>
      <c r="N289" s="9" t="str">
        <f t="shared" si="19"/>
        <v/>
      </c>
    </row>
    <row r="290" spans="1:14" x14ac:dyDescent="0.25">
      <c r="A290" t="str">
        <f>TEXT("1/"&amp;data!A290,"mmmm")</f>
        <v>janvier</v>
      </c>
      <c r="B290">
        <f>data!B290</f>
        <v>2016</v>
      </c>
      <c r="C290" t="str">
        <f>data!C290</f>
        <v>202</v>
      </c>
      <c r="D290" t="str">
        <f>data!D290</f>
        <v>TERRES D'ALLIANCE</v>
      </c>
      <c r="E290" t="str">
        <f>data!E290</f>
        <v>202005</v>
      </c>
      <c r="F290" t="str">
        <f>data!F290</f>
        <v>AOP LUBERON FIEF</v>
      </c>
      <c r="G290" s="10">
        <f>data!G290</f>
        <v>66.48</v>
      </c>
      <c r="H290" s="10">
        <f>data!I290</f>
        <v>0</v>
      </c>
      <c r="I290" s="10">
        <f t="shared" si="16"/>
        <v>66.48</v>
      </c>
      <c r="J290" s="11">
        <f>data!H290</f>
        <v>30</v>
      </c>
      <c r="K290" s="11">
        <f>data!J290</f>
        <v>0</v>
      </c>
      <c r="L290" s="11">
        <f t="shared" si="17"/>
        <v>30</v>
      </c>
      <c r="M290" s="9" t="str">
        <f t="shared" si="18"/>
        <v/>
      </c>
      <c r="N290" s="9" t="str">
        <f t="shared" si="19"/>
        <v/>
      </c>
    </row>
    <row r="291" spans="1:14" x14ac:dyDescent="0.25">
      <c r="A291" t="str">
        <f>TEXT("1/"&amp;data!A291,"mmmm")</f>
        <v>janvier</v>
      </c>
      <c r="B291">
        <f>data!B291</f>
        <v>2016</v>
      </c>
      <c r="C291" t="str">
        <f>data!C291</f>
        <v>202</v>
      </c>
      <c r="D291" t="str">
        <f>data!D291</f>
        <v>TERRES D'ALLIANCE</v>
      </c>
      <c r="E291" t="str">
        <f>data!E291</f>
        <v>202006</v>
      </c>
      <c r="F291" t="str">
        <f>data!F291</f>
        <v>AOP LUBERON FIEF</v>
      </c>
      <c r="G291" s="10">
        <f>data!G291</f>
        <v>66.48</v>
      </c>
      <c r="H291" s="10">
        <f>data!I291</f>
        <v>0</v>
      </c>
      <c r="I291" s="10">
        <f t="shared" si="16"/>
        <v>66.48</v>
      </c>
      <c r="J291" s="11">
        <f>data!H291</f>
        <v>24</v>
      </c>
      <c r="K291" s="11">
        <f>data!J291</f>
        <v>0</v>
      </c>
      <c r="L291" s="11">
        <f t="shared" si="17"/>
        <v>24</v>
      </c>
      <c r="M291" s="9" t="str">
        <f t="shared" si="18"/>
        <v/>
      </c>
      <c r="N291" s="9" t="str">
        <f t="shared" si="19"/>
        <v/>
      </c>
    </row>
    <row r="292" spans="1:14" x14ac:dyDescent="0.25">
      <c r="A292" t="str">
        <f>TEXT("1/"&amp;data!A292,"mmmm")</f>
        <v>janvier</v>
      </c>
      <c r="B292">
        <f>data!B292</f>
        <v>2016</v>
      </c>
      <c r="C292" t="str">
        <f>data!C292</f>
        <v>202</v>
      </c>
      <c r="D292" t="str">
        <f>data!D292</f>
        <v>TERRES D'ALLIANCE</v>
      </c>
      <c r="E292" t="str">
        <f>data!E292</f>
        <v>202007</v>
      </c>
      <c r="F292" t="str">
        <f>data!F292</f>
        <v>VDF ROSE FRUITE MUSCAT DE HAMBOURG</v>
      </c>
      <c r="G292" s="10">
        <f>data!G292</f>
        <v>13.08</v>
      </c>
      <c r="H292" s="10">
        <f>data!I292</f>
        <v>0</v>
      </c>
      <c r="I292" s="10">
        <f t="shared" si="16"/>
        <v>13.08</v>
      </c>
      <c r="J292" s="11">
        <f>data!H292</f>
        <v>6</v>
      </c>
      <c r="K292" s="11">
        <f>data!J292</f>
        <v>0</v>
      </c>
      <c r="L292" s="11">
        <f t="shared" si="17"/>
        <v>6</v>
      </c>
      <c r="M292" s="9" t="str">
        <f t="shared" si="18"/>
        <v/>
      </c>
      <c r="N292" s="9" t="str">
        <f t="shared" si="19"/>
        <v/>
      </c>
    </row>
    <row r="293" spans="1:14" x14ac:dyDescent="0.25">
      <c r="A293" t="str">
        <f>TEXT("1/"&amp;data!A293,"mmmm")</f>
        <v>janvier</v>
      </c>
      <c r="B293">
        <f>data!B293</f>
        <v>2016</v>
      </c>
      <c r="C293" t="str">
        <f>data!C293</f>
        <v>202</v>
      </c>
      <c r="D293" t="str">
        <f>data!D293</f>
        <v>TERRES D'ALLIANCE</v>
      </c>
      <c r="E293" t="str">
        <f>data!E293</f>
        <v>202010</v>
      </c>
      <c r="F293" t="str">
        <f>data!F293</f>
        <v>VIN DE FRANCE ROSE FRUITE LOUERION</v>
      </c>
      <c r="G293" s="10">
        <f>data!G293</f>
        <v>35.6</v>
      </c>
      <c r="H293" s="10">
        <f>data!I293</f>
        <v>0</v>
      </c>
      <c r="I293" s="10">
        <f t="shared" si="16"/>
        <v>35.6</v>
      </c>
      <c r="J293" s="11">
        <f>data!H293</f>
        <v>26.68</v>
      </c>
      <c r="K293" s="11">
        <f>data!J293</f>
        <v>0</v>
      </c>
      <c r="L293" s="11">
        <f t="shared" si="17"/>
        <v>26.68</v>
      </c>
      <c r="M293" s="9" t="str">
        <f t="shared" si="18"/>
        <v/>
      </c>
      <c r="N293" s="9" t="str">
        <f t="shared" si="19"/>
        <v/>
      </c>
    </row>
    <row r="294" spans="1:14" x14ac:dyDescent="0.25">
      <c r="A294" t="str">
        <f>TEXT("1/"&amp;data!A294,"mmmm")</f>
        <v>janvier</v>
      </c>
      <c r="B294">
        <f>data!B294</f>
        <v>2016</v>
      </c>
      <c r="C294" t="str">
        <f>data!C294</f>
        <v>205</v>
      </c>
      <c r="D294" t="str">
        <f>data!D294</f>
        <v>DOMAINE DE MISELLE</v>
      </c>
      <c r="E294" t="str">
        <f>data!E294</f>
        <v>205001</v>
      </c>
      <c r="F294" t="str">
        <f>data!F294</f>
        <v>IGP COTES DE GASCOGNE SEC COLOMBARD G-MANSENG MISE</v>
      </c>
      <c r="G294" s="10">
        <f>data!G294</f>
        <v>620.4</v>
      </c>
      <c r="H294" s="10">
        <f>data!I294</f>
        <v>453.6</v>
      </c>
      <c r="I294" s="10">
        <f t="shared" si="16"/>
        <v>166.79999999999995</v>
      </c>
      <c r="J294" s="11">
        <f>data!H294</f>
        <v>282</v>
      </c>
      <c r="K294" s="11">
        <f>data!J294</f>
        <v>216</v>
      </c>
      <c r="L294" s="11">
        <f t="shared" si="17"/>
        <v>66</v>
      </c>
      <c r="M294" s="9">
        <f t="shared" si="18"/>
        <v>0.36772486772486762</v>
      </c>
      <c r="N294" s="9">
        <f t="shared" si="19"/>
        <v>0.30555555555555558</v>
      </c>
    </row>
    <row r="295" spans="1:14" x14ac:dyDescent="0.25">
      <c r="A295" t="str">
        <f>TEXT("1/"&amp;data!A295,"mmmm")</f>
        <v>janvier</v>
      </c>
      <c r="B295">
        <f>data!B295</f>
        <v>2016</v>
      </c>
      <c r="C295" t="str">
        <f>data!C295</f>
        <v>205</v>
      </c>
      <c r="D295" t="str">
        <f>data!D295</f>
        <v>DOMAINE DE MISELLE</v>
      </c>
      <c r="E295" t="str">
        <f>data!E295</f>
        <v>205002</v>
      </c>
      <c r="F295" t="str">
        <f>data!F295</f>
        <v>IGP COTES DE GASCOGNE</v>
      </c>
      <c r="G295" s="10">
        <f>data!G295</f>
        <v>42.3</v>
      </c>
      <c r="H295" s="10">
        <f>data!I295</f>
        <v>28.2</v>
      </c>
      <c r="I295" s="10">
        <f t="shared" si="16"/>
        <v>14.099999999999998</v>
      </c>
      <c r="J295" s="11">
        <f>data!H295</f>
        <v>18</v>
      </c>
      <c r="K295" s="11">
        <f>data!J295</f>
        <v>18</v>
      </c>
      <c r="L295" s="11">
        <f t="shared" si="17"/>
        <v>0</v>
      </c>
      <c r="M295" s="9">
        <f t="shared" si="18"/>
        <v>0.49999999999999994</v>
      </c>
      <c r="N295" s="9">
        <f t="shared" si="19"/>
        <v>0</v>
      </c>
    </row>
    <row r="296" spans="1:14" x14ac:dyDescent="0.25">
      <c r="A296" t="str">
        <f>TEXT("1/"&amp;data!A296,"mmmm")</f>
        <v>janvier</v>
      </c>
      <c r="B296">
        <f>data!B296</f>
        <v>2016</v>
      </c>
      <c r="C296" t="str">
        <f>data!C296</f>
        <v>205</v>
      </c>
      <c r="D296" t="str">
        <f>data!D296</f>
        <v>DOMAINE DE MISELLE</v>
      </c>
      <c r="E296" t="str">
        <f>data!E296</f>
        <v>205003</v>
      </c>
      <c r="F296" t="str">
        <f>data!F296</f>
        <v>IGP COTES DE GASCOGNE PETIT MANSENG</v>
      </c>
      <c r="G296" s="10">
        <f>data!G296</f>
        <v>153.30000000000001</v>
      </c>
      <c r="H296" s="10">
        <f>data!I296</f>
        <v>175.2</v>
      </c>
      <c r="I296" s="10">
        <f t="shared" si="16"/>
        <v>-21.899999999999977</v>
      </c>
      <c r="J296" s="11">
        <f>data!H296</f>
        <v>42</v>
      </c>
      <c r="K296" s="11">
        <f>data!J296</f>
        <v>60</v>
      </c>
      <c r="L296" s="11">
        <f t="shared" si="17"/>
        <v>-18</v>
      </c>
      <c r="M296" s="9">
        <f t="shared" si="18"/>
        <v>-0.12499999999999988</v>
      </c>
      <c r="N296" s="9">
        <f t="shared" si="19"/>
        <v>-0.3</v>
      </c>
    </row>
    <row r="297" spans="1:14" x14ac:dyDescent="0.25">
      <c r="A297" t="str">
        <f>TEXT("1/"&amp;data!A297,"mmmm")</f>
        <v>janvier</v>
      </c>
      <c r="B297">
        <f>data!B297</f>
        <v>2016</v>
      </c>
      <c r="C297" t="str">
        <f>data!C297</f>
        <v>205</v>
      </c>
      <c r="D297" t="str">
        <f>data!D297</f>
        <v>DOMAINE DE MISELLE</v>
      </c>
      <c r="E297" t="str">
        <f>data!E297</f>
        <v>205004</v>
      </c>
      <c r="F297" t="str">
        <f>data!F297</f>
        <v>IGP COTES DE GASCOGNE MERLOT-TANNAT</v>
      </c>
      <c r="G297" s="10">
        <f>data!G297</f>
        <v>141</v>
      </c>
      <c r="H297" s="10">
        <f>data!I297</f>
        <v>0</v>
      </c>
      <c r="I297" s="10">
        <f t="shared" si="16"/>
        <v>141</v>
      </c>
      <c r="J297" s="11">
        <f>data!H297</f>
        <v>66</v>
      </c>
      <c r="K297" s="11">
        <f>data!J297</f>
        <v>0</v>
      </c>
      <c r="L297" s="11">
        <f t="shared" si="17"/>
        <v>66</v>
      </c>
      <c r="M297" s="9" t="str">
        <f t="shared" si="18"/>
        <v/>
      </c>
      <c r="N297" s="9" t="str">
        <f t="shared" si="19"/>
        <v/>
      </c>
    </row>
    <row r="298" spans="1:14" x14ac:dyDescent="0.25">
      <c r="A298" t="str">
        <f>TEXT("1/"&amp;data!A298,"mmmm")</f>
        <v>janvier</v>
      </c>
      <c r="B298">
        <f>data!B298</f>
        <v>2016</v>
      </c>
      <c r="C298" t="str">
        <f>data!C298</f>
        <v>229</v>
      </c>
      <c r="D298" t="str">
        <f>data!D298</f>
        <v>DOMAINE DU BOIS DU JOUR</v>
      </c>
      <c r="E298" t="str">
        <f>data!E298</f>
        <v>229005</v>
      </c>
      <c r="F298" t="str">
        <f>data!F298</f>
        <v>AOP BEAUJOLAIS DME DU BOIS DU JOUR</v>
      </c>
      <c r="G298" s="10">
        <f>data!G298</f>
        <v>369.6</v>
      </c>
      <c r="H298" s="10">
        <f>data!I298</f>
        <v>0</v>
      </c>
      <c r="I298" s="10">
        <f t="shared" si="16"/>
        <v>369.6</v>
      </c>
      <c r="J298" s="11">
        <f>data!H298</f>
        <v>90</v>
      </c>
      <c r="K298" s="11">
        <f>data!J298</f>
        <v>0</v>
      </c>
      <c r="L298" s="11">
        <f t="shared" si="17"/>
        <v>90</v>
      </c>
      <c r="M298" s="9" t="str">
        <f t="shared" si="18"/>
        <v/>
      </c>
      <c r="N298" s="9" t="str">
        <f t="shared" si="19"/>
        <v/>
      </c>
    </row>
    <row r="299" spans="1:14" x14ac:dyDescent="0.25">
      <c r="A299" t="str">
        <f>TEXT("1/"&amp;data!A299,"mmmm")</f>
        <v>janvier</v>
      </c>
      <c r="B299">
        <f>data!B299</f>
        <v>2016</v>
      </c>
      <c r="C299" t="str">
        <f>data!C299</f>
        <v>229</v>
      </c>
      <c r="D299" t="str">
        <f>data!D299</f>
        <v>DOMAINE DU BOIS DU JOUR</v>
      </c>
      <c r="E299" t="str">
        <f>data!E299</f>
        <v>229006</v>
      </c>
      <c r="F299" t="str">
        <f>data!F299</f>
        <v>AOP BOURGOGNE DME DU BOIS DU JOUR</v>
      </c>
      <c r="G299" s="10">
        <f>data!G299</f>
        <v>0</v>
      </c>
      <c r="H299" s="10">
        <f>data!I299</f>
        <v>0</v>
      </c>
      <c r="I299" s="10">
        <f t="shared" si="16"/>
        <v>0</v>
      </c>
      <c r="J299" s="11">
        <f>data!H299</f>
        <v>6</v>
      </c>
      <c r="K299" s="11">
        <f>data!J299</f>
        <v>0</v>
      </c>
      <c r="L299" s="11">
        <f t="shared" si="17"/>
        <v>6</v>
      </c>
      <c r="M299" s="9" t="str">
        <f t="shared" si="18"/>
        <v/>
      </c>
      <c r="N299" s="9" t="str">
        <f t="shared" si="19"/>
        <v/>
      </c>
    </row>
    <row r="300" spans="1:14" x14ac:dyDescent="0.25">
      <c r="A300" t="str">
        <f>TEXT("1/"&amp;data!A300,"mmmm")</f>
        <v>janvier</v>
      </c>
      <c r="B300">
        <f>data!B300</f>
        <v>2016</v>
      </c>
      <c r="C300" t="str">
        <f>data!C300</f>
        <v>229</v>
      </c>
      <c r="D300" t="str">
        <f>data!D300</f>
        <v>DOMAINE DU BOIS DU JOUR</v>
      </c>
      <c r="E300" t="str">
        <f>data!E300</f>
        <v>229007</v>
      </c>
      <c r="F300" t="str">
        <f>data!F300</f>
        <v>AOP BEAUJOLAIS VIEILLES VIGNES DME DU BOIS DU JOUR</v>
      </c>
      <c r="G300" s="10">
        <f>data!G300</f>
        <v>0</v>
      </c>
      <c r="H300" s="10">
        <f>data!I300</f>
        <v>0</v>
      </c>
      <c r="I300" s="10">
        <f t="shared" si="16"/>
        <v>0</v>
      </c>
      <c r="J300" s="11">
        <f>data!H300</f>
        <v>6</v>
      </c>
      <c r="K300" s="11">
        <f>data!J300</f>
        <v>0</v>
      </c>
      <c r="L300" s="11">
        <f t="shared" si="17"/>
        <v>6</v>
      </c>
      <c r="M300" s="9" t="str">
        <f t="shared" si="18"/>
        <v/>
      </c>
      <c r="N300" s="9" t="str">
        <f t="shared" si="19"/>
        <v/>
      </c>
    </row>
    <row r="301" spans="1:14" x14ac:dyDescent="0.25">
      <c r="A301" t="str">
        <f>TEXT("1/"&amp;data!A301,"mmmm")</f>
        <v>janvier</v>
      </c>
      <c r="B301">
        <f>data!B301</f>
        <v>2016</v>
      </c>
      <c r="C301" t="str">
        <f>data!C301</f>
        <v>229</v>
      </c>
      <c r="D301" t="str">
        <f>data!D301</f>
        <v>DOMAINE DU BOIS DU JOUR</v>
      </c>
      <c r="E301" t="str">
        <f>data!E301</f>
        <v>229008</v>
      </c>
      <c r="F301" t="str">
        <f>data!F301</f>
        <v>AOP COTEAUX BOURGUIGNON DME DU BOIS DU JOUR</v>
      </c>
      <c r="G301" s="10">
        <f>data!G301</f>
        <v>488.4</v>
      </c>
      <c r="H301" s="10">
        <f>data!I301</f>
        <v>0</v>
      </c>
      <c r="I301" s="10">
        <f t="shared" si="16"/>
        <v>488.4</v>
      </c>
      <c r="J301" s="11">
        <f>data!H301</f>
        <v>132</v>
      </c>
      <c r="K301" s="11">
        <f>data!J301</f>
        <v>0</v>
      </c>
      <c r="L301" s="11">
        <f t="shared" si="17"/>
        <v>132</v>
      </c>
      <c r="M301" s="9" t="str">
        <f t="shared" si="18"/>
        <v/>
      </c>
      <c r="N301" s="9" t="str">
        <f t="shared" si="19"/>
        <v/>
      </c>
    </row>
    <row r="302" spans="1:14" x14ac:dyDescent="0.25">
      <c r="A302" t="str">
        <f>TEXT("1/"&amp;data!A302,"mmmm")</f>
        <v>janvier</v>
      </c>
      <c r="B302">
        <f>data!B302</f>
        <v>2016</v>
      </c>
      <c r="C302" t="str">
        <f>data!C302</f>
        <v>229</v>
      </c>
      <c r="D302" t="str">
        <f>data!D302</f>
        <v>DOMAINE DU BOIS DU JOUR</v>
      </c>
      <c r="E302" t="str">
        <f>data!E302</f>
        <v>229009</v>
      </c>
      <c r="F302" t="str">
        <f>data!F302</f>
        <v>AOP COTEAUX BOURGUIGNON DME DU BOIS DU JOUR</v>
      </c>
      <c r="G302" s="10">
        <f>data!G302</f>
        <v>0</v>
      </c>
      <c r="H302" s="10">
        <f>data!I302</f>
        <v>0</v>
      </c>
      <c r="I302" s="10">
        <f t="shared" si="16"/>
        <v>0</v>
      </c>
      <c r="J302" s="11">
        <f>data!H302</f>
        <v>12</v>
      </c>
      <c r="K302" s="11">
        <f>data!J302</f>
        <v>0</v>
      </c>
      <c r="L302" s="11">
        <f t="shared" si="17"/>
        <v>12</v>
      </c>
      <c r="M302" s="9" t="str">
        <f t="shared" si="18"/>
        <v/>
      </c>
      <c r="N302" s="9" t="str">
        <f t="shared" si="19"/>
        <v/>
      </c>
    </row>
    <row r="303" spans="1:14" x14ac:dyDescent="0.25">
      <c r="A303" t="str">
        <f>TEXT("1/"&amp;data!A303,"mmmm")</f>
        <v>janvier</v>
      </c>
      <c r="B303">
        <f>data!B303</f>
        <v>2016</v>
      </c>
      <c r="C303" t="str">
        <f>data!C303</f>
        <v>229</v>
      </c>
      <c r="D303" t="str">
        <f>data!D303</f>
        <v>DOMAINE DU BOIS DU JOUR</v>
      </c>
      <c r="E303" t="str">
        <f>data!E303</f>
        <v>229020</v>
      </c>
      <c r="F303" t="str">
        <f>data!F303</f>
        <v>AOP CREMANT DE BOURGOGNE DME BOIS DU JOUR</v>
      </c>
      <c r="G303" s="10">
        <f>data!G303</f>
        <v>0</v>
      </c>
      <c r="H303" s="10">
        <f>data!I303</f>
        <v>0</v>
      </c>
      <c r="I303" s="10">
        <f t="shared" si="16"/>
        <v>0</v>
      </c>
      <c r="J303" s="11">
        <f>data!H303</f>
        <v>6</v>
      </c>
      <c r="K303" s="11">
        <f>data!J303</f>
        <v>0</v>
      </c>
      <c r="L303" s="11">
        <f t="shared" si="17"/>
        <v>6</v>
      </c>
      <c r="M303" s="9" t="str">
        <f t="shared" si="18"/>
        <v/>
      </c>
      <c r="N303" s="9" t="str">
        <f t="shared" si="19"/>
        <v/>
      </c>
    </row>
    <row r="304" spans="1:14" x14ac:dyDescent="0.25">
      <c r="A304" t="str">
        <f>TEXT("1/"&amp;data!A304,"mmmm")</f>
        <v>février</v>
      </c>
      <c r="B304">
        <f>data!B304</f>
        <v>2016</v>
      </c>
      <c r="C304" t="str">
        <f>data!C304</f>
        <v>002</v>
      </c>
      <c r="D304" t="str">
        <f>data!D304</f>
        <v>CAVE DE GALLICIAN</v>
      </c>
      <c r="E304" t="str">
        <f>data!E304</f>
        <v>002001</v>
      </c>
      <c r="F304" t="str">
        <f>data!F304</f>
        <v>VDP MERLOT C.GALLICIAN</v>
      </c>
      <c r="G304" s="10">
        <f>data!G304</f>
        <v>2184.84</v>
      </c>
      <c r="H304" s="10">
        <f>data!I304</f>
        <v>2058.6</v>
      </c>
      <c r="I304" s="10">
        <f t="shared" si="16"/>
        <v>126.24000000000024</v>
      </c>
      <c r="J304" s="11">
        <f>data!H304</f>
        <v>1934.3</v>
      </c>
      <c r="K304" s="11">
        <f>data!J304</f>
        <v>1914.29</v>
      </c>
      <c r="L304" s="11">
        <f t="shared" si="17"/>
        <v>20.009999999999991</v>
      </c>
      <c r="M304" s="9">
        <f t="shared" si="18"/>
        <v>6.132322937918986E-2</v>
      </c>
      <c r="N304" s="9">
        <f t="shared" si="19"/>
        <v>1.0452961672473863E-2</v>
      </c>
    </row>
    <row r="305" spans="1:14" x14ac:dyDescent="0.25">
      <c r="A305" t="str">
        <f>TEXT("1/"&amp;data!A305,"mmmm")</f>
        <v>février</v>
      </c>
      <c r="B305">
        <f>data!B305</f>
        <v>2016</v>
      </c>
      <c r="C305" t="str">
        <f>data!C305</f>
        <v>002</v>
      </c>
      <c r="D305" t="str">
        <f>data!D305</f>
        <v>CAVE DE GALLICIAN</v>
      </c>
      <c r="E305" t="str">
        <f>data!E305</f>
        <v>002002</v>
      </c>
      <c r="F305" t="str">
        <f>data!F305</f>
        <v>VDP MERLOT. C GALLICIAN</v>
      </c>
      <c r="G305" s="10">
        <f>data!G305</f>
        <v>7115.25</v>
      </c>
      <c r="H305" s="10">
        <f>data!I305</f>
        <v>6387.2</v>
      </c>
      <c r="I305" s="10">
        <f t="shared" si="16"/>
        <v>728.05000000000018</v>
      </c>
      <c r="J305" s="11">
        <f>data!H305</f>
        <v>7211.53</v>
      </c>
      <c r="K305" s="11">
        <f>data!J305</f>
        <v>6718.32</v>
      </c>
      <c r="L305" s="11">
        <f t="shared" si="17"/>
        <v>493.21000000000004</v>
      </c>
      <c r="M305" s="9">
        <f t="shared" si="18"/>
        <v>0.11398578406813631</v>
      </c>
      <c r="N305" s="9">
        <f t="shared" si="19"/>
        <v>7.3412698412698416E-2</v>
      </c>
    </row>
    <row r="306" spans="1:14" x14ac:dyDescent="0.25">
      <c r="A306" t="str">
        <f>TEXT("1/"&amp;data!A306,"mmmm")</f>
        <v>février</v>
      </c>
      <c r="B306">
        <f>data!B306</f>
        <v>2016</v>
      </c>
      <c r="C306" t="str">
        <f>data!C306</f>
        <v>002</v>
      </c>
      <c r="D306" t="str">
        <f>data!D306</f>
        <v>CAVE DE GALLICIAN</v>
      </c>
      <c r="E306" t="str">
        <f>data!E306</f>
        <v>002003</v>
      </c>
      <c r="F306" t="str">
        <f>data!F306</f>
        <v>VDP GARD. C GALLICIAN</v>
      </c>
      <c r="G306" s="10">
        <f>data!G306</f>
        <v>4822.95</v>
      </c>
      <c r="H306" s="10">
        <f>data!I306</f>
        <v>4058.4</v>
      </c>
      <c r="I306" s="10">
        <f t="shared" si="16"/>
        <v>764.54999999999973</v>
      </c>
      <c r="J306" s="11">
        <f>data!H306</f>
        <v>5438.64</v>
      </c>
      <c r="K306" s="11">
        <f>data!J306</f>
        <v>4772.1400000000003</v>
      </c>
      <c r="L306" s="11">
        <f t="shared" si="17"/>
        <v>666.5</v>
      </c>
      <c r="M306" s="9">
        <f t="shared" si="18"/>
        <v>0.18838704908338255</v>
      </c>
      <c r="N306" s="9">
        <f t="shared" si="19"/>
        <v>0.13966480446927373</v>
      </c>
    </row>
    <row r="307" spans="1:14" x14ac:dyDescent="0.25">
      <c r="A307" t="str">
        <f>TEXT("1/"&amp;data!A307,"mmmm")</f>
        <v>février</v>
      </c>
      <c r="B307">
        <f>data!B307</f>
        <v>2016</v>
      </c>
      <c r="C307" t="str">
        <f>data!C307</f>
        <v>002</v>
      </c>
      <c r="D307" t="str">
        <f>data!D307</f>
        <v>CAVE DE GALLICIAN</v>
      </c>
      <c r="E307" t="str">
        <f>data!E307</f>
        <v>002004</v>
      </c>
      <c r="F307" t="str">
        <f>data!F307</f>
        <v>VDP GARD. C GALLICIAN</v>
      </c>
      <c r="G307" s="10">
        <f>data!G307</f>
        <v>1127.8800000000001</v>
      </c>
      <c r="H307" s="10">
        <f>data!I307</f>
        <v>757.55</v>
      </c>
      <c r="I307" s="10">
        <f t="shared" si="16"/>
        <v>370.33000000000015</v>
      </c>
      <c r="J307" s="11">
        <f>data!H307</f>
        <v>1047.19</v>
      </c>
      <c r="K307" s="11">
        <f>data!J307</f>
        <v>787.06</v>
      </c>
      <c r="L307" s="11">
        <f t="shared" si="17"/>
        <v>260.13000000000011</v>
      </c>
      <c r="M307" s="9">
        <f t="shared" si="18"/>
        <v>0.4888522209755134</v>
      </c>
      <c r="N307" s="9">
        <f t="shared" si="19"/>
        <v>0.33050847457627136</v>
      </c>
    </row>
    <row r="308" spans="1:14" x14ac:dyDescent="0.25">
      <c r="A308" t="str">
        <f>TEXT("1/"&amp;data!A308,"mmmm")</f>
        <v>février</v>
      </c>
      <c r="B308">
        <f>data!B308</f>
        <v>2016</v>
      </c>
      <c r="C308" t="str">
        <f>data!C308</f>
        <v>002</v>
      </c>
      <c r="D308" t="str">
        <f>data!D308</f>
        <v>CAVE DE GALLICIAN</v>
      </c>
      <c r="E308" t="str">
        <f>data!E308</f>
        <v>002007</v>
      </c>
      <c r="F308" t="str">
        <f>data!F308</f>
        <v>VDT C GALLICIAN</v>
      </c>
      <c r="G308" s="10">
        <f>data!G308</f>
        <v>1273.8</v>
      </c>
      <c r="H308" s="10">
        <f>data!I308</f>
        <v>2462.4</v>
      </c>
      <c r="I308" s="10">
        <f t="shared" si="16"/>
        <v>-1188.6000000000001</v>
      </c>
      <c r="J308" s="11">
        <f>data!H308</f>
        <v>1479.63</v>
      </c>
      <c r="K308" s="11">
        <f>data!J308</f>
        <v>3052.57</v>
      </c>
      <c r="L308" s="11">
        <f t="shared" si="17"/>
        <v>-1572.94</v>
      </c>
      <c r="M308" s="9">
        <f t="shared" si="18"/>
        <v>-0.48269980506822618</v>
      </c>
      <c r="N308" s="9">
        <f t="shared" si="19"/>
        <v>-0.51528384279475981</v>
      </c>
    </row>
    <row r="309" spans="1:14" x14ac:dyDescent="0.25">
      <c r="A309" t="str">
        <f>TEXT("1/"&amp;data!A309,"mmmm")</f>
        <v>février</v>
      </c>
      <c r="B309">
        <f>data!B309</f>
        <v>2016</v>
      </c>
      <c r="C309" t="str">
        <f>data!C309</f>
        <v>002</v>
      </c>
      <c r="D309" t="str">
        <f>data!D309</f>
        <v>CAVE DE GALLICIAN</v>
      </c>
      <c r="E309" t="str">
        <f>data!E309</f>
        <v>002008</v>
      </c>
      <c r="F309" t="str">
        <f>data!F309</f>
        <v>VDT. C GALLICIAN</v>
      </c>
      <c r="G309" s="10">
        <f>data!G309</f>
        <v>269.39999999999998</v>
      </c>
      <c r="H309" s="10">
        <f>data!I309</f>
        <v>4641</v>
      </c>
      <c r="I309" s="10">
        <f t="shared" si="16"/>
        <v>-4371.6000000000004</v>
      </c>
      <c r="J309" s="11">
        <f>data!H309</f>
        <v>346.71000000000004</v>
      </c>
      <c r="K309" s="11">
        <f>data!J309</f>
        <v>6347.46</v>
      </c>
      <c r="L309" s="11">
        <f t="shared" si="17"/>
        <v>-6000.75</v>
      </c>
      <c r="M309" s="9">
        <f t="shared" si="18"/>
        <v>-0.94195216548157734</v>
      </c>
      <c r="N309" s="9">
        <f t="shared" si="19"/>
        <v>-0.94537815126050417</v>
      </c>
    </row>
    <row r="310" spans="1:14" x14ac:dyDescent="0.25">
      <c r="A310" t="str">
        <f>TEXT("1/"&amp;data!A310,"mmmm")</f>
        <v>février</v>
      </c>
      <c r="B310">
        <f>data!B310</f>
        <v>2016</v>
      </c>
      <c r="C310" t="str">
        <f>data!C310</f>
        <v>002</v>
      </c>
      <c r="D310" t="str">
        <f>data!D310</f>
        <v>CAVE DE GALLICIAN</v>
      </c>
      <c r="E310" t="str">
        <f>data!E310</f>
        <v>002009</v>
      </c>
      <c r="F310" t="str">
        <f>data!F310</f>
        <v>VDT. C GALLICIAN</v>
      </c>
      <c r="G310" s="10">
        <f>data!G310</f>
        <v>112.25</v>
      </c>
      <c r="H310" s="10">
        <f>data!I310</f>
        <v>760.5</v>
      </c>
      <c r="I310" s="10">
        <f t="shared" si="16"/>
        <v>-648.25</v>
      </c>
      <c r="J310" s="11">
        <f>data!H310</f>
        <v>133.35000000000002</v>
      </c>
      <c r="K310" s="11">
        <f>data!J310</f>
        <v>1040.1300000000001</v>
      </c>
      <c r="L310" s="11">
        <f t="shared" si="17"/>
        <v>-906.78000000000009</v>
      </c>
      <c r="M310" s="9">
        <f t="shared" si="18"/>
        <v>-0.85239973701512162</v>
      </c>
      <c r="N310" s="9">
        <f t="shared" si="19"/>
        <v>-0.87179487179487181</v>
      </c>
    </row>
    <row r="311" spans="1:14" x14ac:dyDescent="0.25">
      <c r="A311" t="str">
        <f>TEXT("1/"&amp;data!A311,"mmmm")</f>
        <v>février</v>
      </c>
      <c r="B311">
        <f>data!B311</f>
        <v>2016</v>
      </c>
      <c r="C311" t="str">
        <f>data!C311</f>
        <v>002</v>
      </c>
      <c r="D311" t="str">
        <f>data!D311</f>
        <v>CAVE DE GALLICIAN</v>
      </c>
      <c r="E311" t="str">
        <f>data!E311</f>
        <v>002010</v>
      </c>
      <c r="F311" t="str">
        <f>data!F311</f>
        <v>AC C. DE NIMES. C GALLICIAN</v>
      </c>
      <c r="G311" s="10">
        <f>data!G311</f>
        <v>1143.9000000000001</v>
      </c>
      <c r="H311" s="10">
        <f>data!I311</f>
        <v>1496</v>
      </c>
      <c r="I311" s="10">
        <f t="shared" si="16"/>
        <v>-352.09999999999991</v>
      </c>
      <c r="J311" s="11">
        <f>data!H311</f>
        <v>840.42</v>
      </c>
      <c r="K311" s="11">
        <f>data!J311</f>
        <v>1153.9100000000001</v>
      </c>
      <c r="L311" s="11">
        <f t="shared" si="17"/>
        <v>-313.49000000000012</v>
      </c>
      <c r="M311" s="9">
        <f t="shared" si="18"/>
        <v>-0.23536096256684486</v>
      </c>
      <c r="N311" s="9">
        <f t="shared" si="19"/>
        <v>-0.27167630057803477</v>
      </c>
    </row>
    <row r="312" spans="1:14" x14ac:dyDescent="0.25">
      <c r="A312" t="str">
        <f>TEXT("1/"&amp;data!A312,"mmmm")</f>
        <v>février</v>
      </c>
      <c r="B312">
        <f>data!B312</f>
        <v>2016</v>
      </c>
      <c r="C312" t="str">
        <f>data!C312</f>
        <v>002</v>
      </c>
      <c r="D312" t="str">
        <f>data!D312</f>
        <v>CAVE DE GALLICIAN</v>
      </c>
      <c r="E312" t="str">
        <f>data!E312</f>
        <v>002011</v>
      </c>
      <c r="F312" t="str">
        <f>data!F312</f>
        <v>AC C DE NIMES C. GALLICIAN</v>
      </c>
      <c r="G312" s="10">
        <f>data!G312</f>
        <v>2168.12</v>
      </c>
      <c r="H312" s="10">
        <f>data!I312</f>
        <v>1852.6</v>
      </c>
      <c r="I312" s="10">
        <f t="shared" si="16"/>
        <v>315.52</v>
      </c>
      <c r="J312" s="11">
        <f>data!H312</f>
        <v>1786.22</v>
      </c>
      <c r="K312" s="11">
        <f>data!J312</f>
        <v>1572.94</v>
      </c>
      <c r="L312" s="11">
        <f t="shared" si="17"/>
        <v>213.27999999999997</v>
      </c>
      <c r="M312" s="9">
        <f t="shared" si="18"/>
        <v>0.17031199395444241</v>
      </c>
      <c r="N312" s="9">
        <f t="shared" si="19"/>
        <v>0.13559322033898302</v>
      </c>
    </row>
    <row r="313" spans="1:14" x14ac:dyDescent="0.25">
      <c r="A313" t="str">
        <f>TEXT("1/"&amp;data!A313,"mmmm")</f>
        <v>février</v>
      </c>
      <c r="B313">
        <f>data!B313</f>
        <v>2016</v>
      </c>
      <c r="C313" t="str">
        <f>data!C313</f>
        <v>002</v>
      </c>
      <c r="D313" t="str">
        <f>data!D313</f>
        <v>CAVE DE GALLICIAN</v>
      </c>
      <c r="E313" t="str">
        <f>data!E313</f>
        <v>002015</v>
      </c>
      <c r="F313" t="str">
        <f>data!F313</f>
        <v>AC C DE NIMES C. GALLICIAN</v>
      </c>
      <c r="G313" s="10">
        <f>data!G313</f>
        <v>1310.58</v>
      </c>
      <c r="H313" s="10">
        <f>data!I313</f>
        <v>1679.9</v>
      </c>
      <c r="I313" s="10">
        <f t="shared" si="16"/>
        <v>-369.32000000000016</v>
      </c>
      <c r="J313" s="11">
        <f>data!H313</f>
        <v>1079.73</v>
      </c>
      <c r="K313" s="11">
        <f>data!J313</f>
        <v>1426.31</v>
      </c>
      <c r="L313" s="11">
        <f t="shared" si="17"/>
        <v>-346.57999999999993</v>
      </c>
      <c r="M313" s="9">
        <f t="shared" si="18"/>
        <v>-0.21984641942972805</v>
      </c>
      <c r="N313" s="9">
        <f t="shared" si="19"/>
        <v>-0.24299065420560745</v>
      </c>
    </row>
    <row r="314" spans="1:14" x14ac:dyDescent="0.25">
      <c r="A314" t="str">
        <f>TEXT("1/"&amp;data!A314,"mmmm")</f>
        <v>février</v>
      </c>
      <c r="B314">
        <f>data!B314</f>
        <v>2016</v>
      </c>
      <c r="C314" t="str">
        <f>data!C314</f>
        <v>002</v>
      </c>
      <c r="D314" t="str">
        <f>data!D314</f>
        <v>CAVE DE GALLICIAN</v>
      </c>
      <c r="E314" t="str">
        <f>data!E314</f>
        <v>002016</v>
      </c>
      <c r="F314" t="str">
        <f>data!F314</f>
        <v>AC C DE NIMES C. GALLICIAN</v>
      </c>
      <c r="G314" s="10">
        <f>data!G314</f>
        <v>998.8</v>
      </c>
      <c r="H314" s="10">
        <f>data!I314</f>
        <v>1504.8</v>
      </c>
      <c r="I314" s="10">
        <f t="shared" si="16"/>
        <v>-506</v>
      </c>
      <c r="J314" s="11">
        <f>data!H314</f>
        <v>733.7</v>
      </c>
      <c r="K314" s="11">
        <f>data!J314</f>
        <v>1167.25</v>
      </c>
      <c r="L314" s="11">
        <f t="shared" si="17"/>
        <v>-433.54999999999995</v>
      </c>
      <c r="M314" s="9">
        <f t="shared" si="18"/>
        <v>-0.33625730994152048</v>
      </c>
      <c r="N314" s="9">
        <f t="shared" si="19"/>
        <v>-0.37142857142857139</v>
      </c>
    </row>
    <row r="315" spans="1:14" x14ac:dyDescent="0.25">
      <c r="A315" t="str">
        <f>TEXT("1/"&amp;data!A315,"mmmm")</f>
        <v>février</v>
      </c>
      <c r="B315">
        <f>data!B315</f>
        <v>2016</v>
      </c>
      <c r="C315" t="str">
        <f>data!C315</f>
        <v>002</v>
      </c>
      <c r="D315" t="str">
        <f>data!D315</f>
        <v>CAVE DE GALLICIAN</v>
      </c>
      <c r="E315" t="str">
        <f>data!E315</f>
        <v>002017</v>
      </c>
      <c r="F315" t="str">
        <f>data!F315</f>
        <v>VDP GARD C. GALLICIAN</v>
      </c>
      <c r="G315" s="10">
        <f>data!G315</f>
        <v>3073.72</v>
      </c>
      <c r="H315" s="10">
        <f>data!I315</f>
        <v>2760</v>
      </c>
      <c r="I315" s="10">
        <f t="shared" si="16"/>
        <v>313.7199999999998</v>
      </c>
      <c r="J315" s="11">
        <f>data!H315</f>
        <v>3465.8</v>
      </c>
      <c r="K315" s="11">
        <f>data!J315</f>
        <v>3225.86</v>
      </c>
      <c r="L315" s="11">
        <f t="shared" si="17"/>
        <v>239.94000000000005</v>
      </c>
      <c r="M315" s="9">
        <f t="shared" si="18"/>
        <v>0.1136666666666666</v>
      </c>
      <c r="N315" s="9">
        <f t="shared" si="19"/>
        <v>7.4380165289256214E-2</v>
      </c>
    </row>
    <row r="316" spans="1:14" x14ac:dyDescent="0.25">
      <c r="A316" t="str">
        <f>TEXT("1/"&amp;data!A316,"mmmm")</f>
        <v>février</v>
      </c>
      <c r="B316">
        <f>data!B316</f>
        <v>2016</v>
      </c>
      <c r="C316" t="str">
        <f>data!C316</f>
        <v>002</v>
      </c>
      <c r="D316" t="str">
        <f>data!D316</f>
        <v>CAVE DE GALLICIAN</v>
      </c>
      <c r="E316" t="str">
        <f>data!E316</f>
        <v>002018</v>
      </c>
      <c r="F316" t="str">
        <f>data!F316</f>
        <v>VDP GARD C. GALLICIAN</v>
      </c>
      <c r="G316" s="10">
        <f>data!G316</f>
        <v>1160</v>
      </c>
      <c r="H316" s="10">
        <f>data!I316</f>
        <v>1723.6</v>
      </c>
      <c r="I316" s="10">
        <f t="shared" si="16"/>
        <v>-563.59999999999991</v>
      </c>
      <c r="J316" s="11">
        <f>data!H316</f>
        <v>1073.8699999999999</v>
      </c>
      <c r="K316" s="11">
        <f>data!J316</f>
        <v>1714.19</v>
      </c>
      <c r="L316" s="11">
        <f t="shared" si="17"/>
        <v>-640.32000000000016</v>
      </c>
      <c r="M316" s="9">
        <f t="shared" si="18"/>
        <v>-0.32699002088651657</v>
      </c>
      <c r="N316" s="9">
        <f t="shared" si="19"/>
        <v>-0.37354085603112847</v>
      </c>
    </row>
    <row r="317" spans="1:14" x14ac:dyDescent="0.25">
      <c r="A317" t="str">
        <f>TEXT("1/"&amp;data!A317,"mmmm")</f>
        <v>février</v>
      </c>
      <c r="B317">
        <f>data!B317</f>
        <v>2016</v>
      </c>
      <c r="C317" t="str">
        <f>data!C317</f>
        <v>002</v>
      </c>
      <c r="D317" t="str">
        <f>data!D317</f>
        <v>CAVE DE GALLICIAN</v>
      </c>
      <c r="E317" t="str">
        <f>data!E317</f>
        <v>002020</v>
      </c>
      <c r="F317" t="str">
        <f>data!F317</f>
        <v>AC C DE NIMES C DES LAUNES</v>
      </c>
      <c r="G317" s="10">
        <f>data!G317</f>
        <v>1440</v>
      </c>
      <c r="H317" s="10">
        <f>data!I317</f>
        <v>880.9</v>
      </c>
      <c r="I317" s="10">
        <f t="shared" si="16"/>
        <v>559.1</v>
      </c>
      <c r="J317" s="11">
        <f>data!H317</f>
        <v>600</v>
      </c>
      <c r="K317" s="11">
        <f>data!J317</f>
        <v>390</v>
      </c>
      <c r="L317" s="11">
        <f t="shared" si="17"/>
        <v>210</v>
      </c>
      <c r="M317" s="9">
        <f t="shared" si="18"/>
        <v>0.63469179248495866</v>
      </c>
      <c r="N317" s="9">
        <f t="shared" si="19"/>
        <v>0.53846153846153844</v>
      </c>
    </row>
    <row r="318" spans="1:14" x14ac:dyDescent="0.25">
      <c r="A318" t="str">
        <f>TEXT("1/"&amp;data!A318,"mmmm")</f>
        <v>février</v>
      </c>
      <c r="B318">
        <f>data!B318</f>
        <v>2016</v>
      </c>
      <c r="C318" t="str">
        <f>data!C318</f>
        <v>002</v>
      </c>
      <c r="D318" t="str">
        <f>data!D318</f>
        <v>CAVE DE GALLICIAN</v>
      </c>
      <c r="E318" t="str">
        <f>data!E318</f>
        <v>002021</v>
      </c>
      <c r="F318" t="str">
        <f>data!F318</f>
        <v>AC COSTIERES DE NIMES CUVEE PRESTIGE</v>
      </c>
      <c r="G318" s="10">
        <f>data!G318</f>
        <v>21.84</v>
      </c>
      <c r="H318" s="10">
        <f>data!I318</f>
        <v>0</v>
      </c>
      <c r="I318" s="10">
        <f t="shared" si="16"/>
        <v>21.84</v>
      </c>
      <c r="J318" s="11">
        <f>data!H318</f>
        <v>12</v>
      </c>
      <c r="K318" s="11">
        <f>data!J318</f>
        <v>0</v>
      </c>
      <c r="L318" s="11">
        <f t="shared" si="17"/>
        <v>12</v>
      </c>
      <c r="M318" s="9" t="str">
        <f t="shared" si="18"/>
        <v/>
      </c>
      <c r="N318" s="9" t="str">
        <f t="shared" si="19"/>
        <v/>
      </c>
    </row>
    <row r="319" spans="1:14" x14ac:dyDescent="0.25">
      <c r="A319" t="str">
        <f>TEXT("1/"&amp;data!A319,"mmmm")</f>
        <v>février</v>
      </c>
      <c r="B319">
        <f>data!B319</f>
        <v>2016</v>
      </c>
      <c r="C319" t="str">
        <f>data!C319</f>
        <v>002</v>
      </c>
      <c r="D319" t="str">
        <f>data!D319</f>
        <v>CAVE DE GALLICIAN</v>
      </c>
      <c r="E319" t="str">
        <f>data!E319</f>
        <v>002024</v>
      </c>
      <c r="F319" t="str">
        <f>data!F319</f>
        <v>IGP MERLOT D'OC Cave Gallician</v>
      </c>
      <c r="G319" s="10">
        <f>data!G319</f>
        <v>24</v>
      </c>
      <c r="H319" s="10">
        <f>data!I319</f>
        <v>0</v>
      </c>
      <c r="I319" s="10">
        <f t="shared" si="16"/>
        <v>24</v>
      </c>
      <c r="J319" s="11">
        <f>data!H319</f>
        <v>12</v>
      </c>
      <c r="K319" s="11">
        <f>data!J319</f>
        <v>0</v>
      </c>
      <c r="L319" s="11">
        <f t="shared" si="17"/>
        <v>12</v>
      </c>
      <c r="M319" s="9" t="str">
        <f t="shared" si="18"/>
        <v/>
      </c>
      <c r="N319" s="9" t="str">
        <f t="shared" si="19"/>
        <v/>
      </c>
    </row>
    <row r="320" spans="1:14" x14ac:dyDescent="0.25">
      <c r="A320" t="str">
        <f>TEXT("1/"&amp;data!A320,"mmmm")</f>
        <v>février</v>
      </c>
      <c r="B320">
        <f>data!B320</f>
        <v>2016</v>
      </c>
      <c r="C320" t="str">
        <f>data!C320</f>
        <v>002</v>
      </c>
      <c r="D320" t="str">
        <f>data!D320</f>
        <v>CAVE DE GALLICIAN</v>
      </c>
      <c r="E320" t="str">
        <f>data!E320</f>
        <v>002025</v>
      </c>
      <c r="F320" t="str">
        <f>data!F320</f>
        <v>AC COSTIERES DE NIMES CUVEE PRESTIGE</v>
      </c>
      <c r="G320" s="10">
        <f>data!G320</f>
        <v>78.84</v>
      </c>
      <c r="H320" s="10">
        <f>data!I320</f>
        <v>0</v>
      </c>
      <c r="I320" s="10">
        <f t="shared" si="16"/>
        <v>78.84</v>
      </c>
      <c r="J320" s="11">
        <f>data!H320</f>
        <v>36</v>
      </c>
      <c r="K320" s="11">
        <f>data!J320</f>
        <v>0</v>
      </c>
      <c r="L320" s="11">
        <f t="shared" si="17"/>
        <v>36</v>
      </c>
      <c r="M320" s="9" t="str">
        <f t="shared" si="18"/>
        <v/>
      </c>
      <c r="N320" s="9" t="str">
        <f t="shared" si="19"/>
        <v/>
      </c>
    </row>
    <row r="321" spans="1:14" x14ac:dyDescent="0.25">
      <c r="A321" t="str">
        <f>TEXT("1/"&amp;data!A321,"mmmm")</f>
        <v>février</v>
      </c>
      <c r="B321">
        <f>data!B321</f>
        <v>2016</v>
      </c>
      <c r="C321" t="str">
        <f>data!C321</f>
        <v>002</v>
      </c>
      <c r="D321" t="str">
        <f>data!D321</f>
        <v>CAVE DE GALLICIAN</v>
      </c>
      <c r="E321" t="str">
        <f>data!E321</f>
        <v>002037</v>
      </c>
      <c r="F321" t="str">
        <f>data!F321</f>
        <v>AOP COSTIERES DE NIMES COMBES DE MEZIERES</v>
      </c>
      <c r="G321" s="10">
        <f>data!G321</f>
        <v>413.28</v>
      </c>
      <c r="H321" s="10">
        <f>data!I321</f>
        <v>0</v>
      </c>
      <c r="I321" s="10">
        <f t="shared" si="16"/>
        <v>413.28</v>
      </c>
      <c r="J321" s="11">
        <f>data!H321</f>
        <v>144</v>
      </c>
      <c r="K321" s="11">
        <f>data!J321</f>
        <v>0</v>
      </c>
      <c r="L321" s="11">
        <f t="shared" si="17"/>
        <v>144</v>
      </c>
      <c r="M321" s="9" t="str">
        <f t="shared" si="18"/>
        <v/>
      </c>
      <c r="N321" s="9" t="str">
        <f t="shared" si="19"/>
        <v/>
      </c>
    </row>
    <row r="322" spans="1:14" x14ac:dyDescent="0.25">
      <c r="A322" t="str">
        <f>TEXT("1/"&amp;data!A322,"mmmm")</f>
        <v>février</v>
      </c>
      <c r="B322">
        <f>data!B322</f>
        <v>2016</v>
      </c>
      <c r="C322" t="str">
        <f>data!C322</f>
        <v>002</v>
      </c>
      <c r="D322" t="str">
        <f>data!D322</f>
        <v>CAVE DE GALLICIAN</v>
      </c>
      <c r="E322" t="str">
        <f>data!E322</f>
        <v>002040</v>
      </c>
      <c r="F322" t="str">
        <f>data!F322</f>
        <v>AOP COSTIERES DE NIMES PRESTIGE</v>
      </c>
      <c r="G322" s="10">
        <f>data!G322</f>
        <v>170.82</v>
      </c>
      <c r="H322" s="10">
        <f>data!I322</f>
        <v>0</v>
      </c>
      <c r="I322" s="10">
        <f t="shared" si="16"/>
        <v>170.82</v>
      </c>
      <c r="J322" s="11">
        <f>data!H322</f>
        <v>78</v>
      </c>
      <c r="K322" s="11">
        <f>data!J322</f>
        <v>0</v>
      </c>
      <c r="L322" s="11">
        <f t="shared" si="17"/>
        <v>78</v>
      </c>
      <c r="M322" s="9" t="str">
        <f t="shared" si="18"/>
        <v/>
      </c>
      <c r="N322" s="9" t="str">
        <f t="shared" si="19"/>
        <v/>
      </c>
    </row>
    <row r="323" spans="1:14" x14ac:dyDescent="0.25">
      <c r="A323" t="str">
        <f>TEXT("1/"&amp;data!A323,"mmmm")</f>
        <v>février</v>
      </c>
      <c r="B323">
        <f>data!B323</f>
        <v>2016</v>
      </c>
      <c r="C323" t="str">
        <f>data!C323</f>
        <v>002</v>
      </c>
      <c r="D323" t="str">
        <f>data!D323</f>
        <v>CAVE DE GALLICIAN</v>
      </c>
      <c r="E323" t="str">
        <f>data!E323</f>
        <v>002100</v>
      </c>
      <c r="F323" t="str">
        <f>data!F323</f>
        <v>VDP DU GARD. LOU GRES D'OR</v>
      </c>
      <c r="G323" s="10">
        <f>data!G323</f>
        <v>249.12</v>
      </c>
      <c r="H323" s="10">
        <f>data!I323</f>
        <v>378.48</v>
      </c>
      <c r="I323" s="10">
        <f t="shared" ref="I323:I386" si="20">G323-H323</f>
        <v>-129.36000000000001</v>
      </c>
      <c r="J323" s="11">
        <f>data!H323</f>
        <v>144</v>
      </c>
      <c r="K323" s="11">
        <f>data!J323</f>
        <v>228</v>
      </c>
      <c r="L323" s="11">
        <f t="shared" ref="L323:L386" si="21">J323-K323</f>
        <v>-84</v>
      </c>
      <c r="M323" s="9">
        <f t="shared" ref="M323:M386" si="22">IF(ISERR(I323/H323),"",I323/H323)</f>
        <v>-0.34178820545339256</v>
      </c>
      <c r="N323" s="9">
        <f t="shared" ref="N323:N386" si="23">IF(ISERR(L323/K323),"",L323/K323)</f>
        <v>-0.36842105263157893</v>
      </c>
    </row>
    <row r="324" spans="1:14" x14ac:dyDescent="0.25">
      <c r="A324" t="str">
        <f>TEXT("1/"&amp;data!A324,"mmmm")</f>
        <v>février</v>
      </c>
      <c r="B324">
        <f>data!B324</f>
        <v>2016</v>
      </c>
      <c r="C324" t="str">
        <f>data!C324</f>
        <v>002</v>
      </c>
      <c r="D324" t="str">
        <f>data!D324</f>
        <v>CAVE DE GALLICIAN</v>
      </c>
      <c r="E324" t="str">
        <f>data!E324</f>
        <v>002101</v>
      </c>
      <c r="F324" t="str">
        <f>data!F324</f>
        <v>IGP DU GARD LOU GRES D'OR</v>
      </c>
      <c r="G324" s="10">
        <f>data!G324</f>
        <v>41.52</v>
      </c>
      <c r="H324" s="10">
        <f>data!I324</f>
        <v>0</v>
      </c>
      <c r="I324" s="10">
        <f t="shared" si="20"/>
        <v>41.52</v>
      </c>
      <c r="J324" s="11">
        <f>data!H324</f>
        <v>24</v>
      </c>
      <c r="K324" s="11">
        <f>data!J324</f>
        <v>0</v>
      </c>
      <c r="L324" s="11">
        <f t="shared" si="21"/>
        <v>24</v>
      </c>
      <c r="M324" s="9" t="str">
        <f t="shared" si="22"/>
        <v/>
      </c>
      <c r="N324" s="9" t="str">
        <f t="shared" si="23"/>
        <v/>
      </c>
    </row>
    <row r="325" spans="1:14" x14ac:dyDescent="0.25">
      <c r="A325" t="str">
        <f>TEXT("1/"&amp;data!A325,"mmmm")</f>
        <v>février</v>
      </c>
      <c r="B325">
        <f>data!B325</f>
        <v>2016</v>
      </c>
      <c r="C325" t="str">
        <f>data!C325</f>
        <v>002</v>
      </c>
      <c r="D325" t="str">
        <f>data!D325</f>
        <v>CAVE DE GALLICIAN</v>
      </c>
      <c r="E325" t="str">
        <f>data!E325</f>
        <v>002903</v>
      </c>
      <c r="F325" t="str">
        <f>data!F325</f>
        <v>VDP MERLOT C. GALLICIAN</v>
      </c>
      <c r="G325" s="10">
        <f>data!G325</f>
        <v>-91.6</v>
      </c>
      <c r="H325" s="10">
        <f>data!I325</f>
        <v>0</v>
      </c>
      <c r="I325" s="10">
        <f t="shared" si="20"/>
        <v>-91.6</v>
      </c>
      <c r="J325" s="11">
        <f>data!H325</f>
        <v>-106.68</v>
      </c>
      <c r="K325" s="11">
        <f>data!J325</f>
        <v>0</v>
      </c>
      <c r="L325" s="11">
        <f t="shared" si="21"/>
        <v>-106.68</v>
      </c>
      <c r="M325" s="9" t="str">
        <f t="shared" si="22"/>
        <v/>
      </c>
      <c r="N325" s="9" t="str">
        <f t="shared" si="23"/>
        <v/>
      </c>
    </row>
    <row r="326" spans="1:14" x14ac:dyDescent="0.25">
      <c r="A326" t="str">
        <f>TEXT("1/"&amp;data!A326,"mmmm")</f>
        <v>février</v>
      </c>
      <c r="B326">
        <f>data!B326</f>
        <v>2016</v>
      </c>
      <c r="C326" t="str">
        <f>data!C326</f>
        <v>002</v>
      </c>
      <c r="D326" t="str">
        <f>data!D326</f>
        <v>CAVE DE GALLICIAN</v>
      </c>
      <c r="E326" t="str">
        <f>data!E326</f>
        <v>002905</v>
      </c>
      <c r="F326" t="str">
        <f>data!F326</f>
        <v>VDT. CUVEE FIOJOLI étiq perso scaeL</v>
      </c>
      <c r="G326" s="10">
        <f>data!G326</f>
        <v>108</v>
      </c>
      <c r="H326" s="10">
        <f>data!I326</f>
        <v>205.2</v>
      </c>
      <c r="I326" s="10">
        <f t="shared" si="20"/>
        <v>-97.199999999999989</v>
      </c>
      <c r="J326" s="11">
        <f>data!H326</f>
        <v>133.30000000000001</v>
      </c>
      <c r="K326" s="11">
        <f>data!J326</f>
        <v>253.27</v>
      </c>
      <c r="L326" s="11">
        <f t="shared" si="21"/>
        <v>-119.97</v>
      </c>
      <c r="M326" s="9">
        <f t="shared" si="22"/>
        <v>-0.47368421052631576</v>
      </c>
      <c r="N326" s="9">
        <f t="shared" si="23"/>
        <v>-0.47368421052631576</v>
      </c>
    </row>
    <row r="327" spans="1:14" x14ac:dyDescent="0.25">
      <c r="A327" t="str">
        <f>TEXT("1/"&amp;data!A327,"mmmm")</f>
        <v>février</v>
      </c>
      <c r="B327">
        <f>data!B327</f>
        <v>2016</v>
      </c>
      <c r="C327" t="str">
        <f>data!C327</f>
        <v>007</v>
      </c>
      <c r="D327" t="str">
        <f>data!D327</f>
        <v>DOMAINE ANDRE DUSSOURT</v>
      </c>
      <c r="E327" t="str">
        <f>data!E327</f>
        <v>007001</v>
      </c>
      <c r="F327" t="str">
        <f>data!F327</f>
        <v>DME DUSSOURT AC SYLVANER</v>
      </c>
      <c r="G327" s="10">
        <f>data!G327</f>
        <v>21.9</v>
      </c>
      <c r="H327" s="10">
        <f>data!I327</f>
        <v>0</v>
      </c>
      <c r="I327" s="10">
        <f t="shared" si="20"/>
        <v>21.9</v>
      </c>
      <c r="J327" s="11">
        <f>data!H327</f>
        <v>6</v>
      </c>
      <c r="K327" s="11">
        <f>data!J327</f>
        <v>0</v>
      </c>
      <c r="L327" s="11">
        <f t="shared" si="21"/>
        <v>6</v>
      </c>
      <c r="M327" s="9" t="str">
        <f t="shared" si="22"/>
        <v/>
      </c>
      <c r="N327" s="9" t="str">
        <f t="shared" si="23"/>
        <v/>
      </c>
    </row>
    <row r="328" spans="1:14" x14ac:dyDescent="0.25">
      <c r="A328" t="str">
        <f>TEXT("1/"&amp;data!A328,"mmmm")</f>
        <v>février</v>
      </c>
      <c r="B328">
        <f>data!B328</f>
        <v>2016</v>
      </c>
      <c r="C328" t="str">
        <f>data!C328</f>
        <v>007</v>
      </c>
      <c r="D328" t="str">
        <f>data!D328</f>
        <v>DOMAINE ANDRE DUSSOURT</v>
      </c>
      <c r="E328" t="str">
        <f>data!E328</f>
        <v>007002</v>
      </c>
      <c r="F328" t="str">
        <f>data!F328</f>
        <v>AC RIESLING D. DUSSOURT</v>
      </c>
      <c r="G328" s="10">
        <f>data!G328</f>
        <v>319.8</v>
      </c>
      <c r="H328" s="10">
        <f>data!I328</f>
        <v>257.39999999999998</v>
      </c>
      <c r="I328" s="10">
        <f t="shared" si="20"/>
        <v>62.400000000000034</v>
      </c>
      <c r="J328" s="11">
        <f>data!H328</f>
        <v>78</v>
      </c>
      <c r="K328" s="11">
        <f>data!J328</f>
        <v>66</v>
      </c>
      <c r="L328" s="11">
        <f t="shared" si="21"/>
        <v>12</v>
      </c>
      <c r="M328" s="9">
        <f t="shared" si="22"/>
        <v>0.24242424242424257</v>
      </c>
      <c r="N328" s="9">
        <f t="shared" si="23"/>
        <v>0.18181818181818182</v>
      </c>
    </row>
    <row r="329" spans="1:14" x14ac:dyDescent="0.25">
      <c r="A329" t="str">
        <f>TEXT("1/"&amp;data!A329,"mmmm")</f>
        <v>février</v>
      </c>
      <c r="B329">
        <f>data!B329</f>
        <v>2016</v>
      </c>
      <c r="C329" t="str">
        <f>data!C329</f>
        <v>007</v>
      </c>
      <c r="D329" t="str">
        <f>data!D329</f>
        <v>DOMAINE ANDRE DUSSOURT</v>
      </c>
      <c r="E329" t="str">
        <f>data!E329</f>
        <v>007003</v>
      </c>
      <c r="F329" t="str">
        <f>data!F329</f>
        <v>AC PINOT GRIS D. DUSSOURT</v>
      </c>
      <c r="G329" s="10">
        <f>data!G329</f>
        <v>93.6</v>
      </c>
      <c r="H329" s="10">
        <f>data!I329</f>
        <v>0</v>
      </c>
      <c r="I329" s="10">
        <f t="shared" si="20"/>
        <v>93.6</v>
      </c>
      <c r="J329" s="11">
        <f>data!H329</f>
        <v>18</v>
      </c>
      <c r="K329" s="11">
        <f>data!J329</f>
        <v>0</v>
      </c>
      <c r="L329" s="11">
        <f t="shared" si="21"/>
        <v>18</v>
      </c>
      <c r="M329" s="9" t="str">
        <f t="shared" si="22"/>
        <v/>
      </c>
      <c r="N329" s="9" t="str">
        <f t="shared" si="23"/>
        <v/>
      </c>
    </row>
    <row r="330" spans="1:14" x14ac:dyDescent="0.25">
      <c r="A330" t="str">
        <f>TEXT("1/"&amp;data!A330,"mmmm")</f>
        <v>février</v>
      </c>
      <c r="B330">
        <f>data!B330</f>
        <v>2016</v>
      </c>
      <c r="C330" t="str">
        <f>data!C330</f>
        <v>007</v>
      </c>
      <c r="D330" t="str">
        <f>data!D330</f>
        <v>DOMAINE ANDRE DUSSOURT</v>
      </c>
      <c r="E330" t="str">
        <f>data!E330</f>
        <v>007004</v>
      </c>
      <c r="F330" t="str">
        <f>data!F330</f>
        <v>AC GEWURZTRAMINER D. DUSSOURT</v>
      </c>
      <c r="G330" s="10">
        <f>data!G330</f>
        <v>40.5</v>
      </c>
      <c r="H330" s="10">
        <f>data!I330</f>
        <v>268.8</v>
      </c>
      <c r="I330" s="10">
        <f t="shared" si="20"/>
        <v>-228.3</v>
      </c>
      <c r="J330" s="11">
        <f>data!H330</f>
        <v>6</v>
      </c>
      <c r="K330" s="11">
        <f>data!J330</f>
        <v>42</v>
      </c>
      <c r="L330" s="11">
        <f t="shared" si="21"/>
        <v>-36</v>
      </c>
      <c r="M330" s="9">
        <f t="shared" si="22"/>
        <v>-0.8493303571428571</v>
      </c>
      <c r="N330" s="9">
        <f t="shared" si="23"/>
        <v>-0.8571428571428571</v>
      </c>
    </row>
    <row r="331" spans="1:14" x14ac:dyDescent="0.25">
      <c r="A331" t="str">
        <f>TEXT("1/"&amp;data!A331,"mmmm")</f>
        <v>février</v>
      </c>
      <c r="B331">
        <f>data!B331</f>
        <v>2016</v>
      </c>
      <c r="C331" t="str">
        <f>data!C331</f>
        <v>007</v>
      </c>
      <c r="D331" t="str">
        <f>data!D331</f>
        <v>DOMAINE ANDRE DUSSOURT</v>
      </c>
      <c r="E331" t="str">
        <f>data!E331</f>
        <v>007006</v>
      </c>
      <c r="F331" t="str">
        <f>data!F331</f>
        <v>AC PINOT NOIR D. DUSSOURT</v>
      </c>
      <c r="G331" s="10">
        <f>data!G331</f>
        <v>354</v>
      </c>
      <c r="H331" s="10">
        <f>data!I331</f>
        <v>134.4</v>
      </c>
      <c r="I331" s="10">
        <f t="shared" si="20"/>
        <v>219.6</v>
      </c>
      <c r="J331" s="11">
        <f>data!H331</f>
        <v>60</v>
      </c>
      <c r="K331" s="11">
        <f>data!J331</f>
        <v>24</v>
      </c>
      <c r="L331" s="11">
        <f t="shared" si="21"/>
        <v>36</v>
      </c>
      <c r="M331" s="9">
        <f t="shared" si="22"/>
        <v>1.6339285714285714</v>
      </c>
      <c r="N331" s="9">
        <f t="shared" si="23"/>
        <v>1.5</v>
      </c>
    </row>
    <row r="332" spans="1:14" x14ac:dyDescent="0.25">
      <c r="A332" t="str">
        <f>TEXT("1/"&amp;data!A332,"mmmm")</f>
        <v>février</v>
      </c>
      <c r="B332">
        <f>data!B332</f>
        <v>2016</v>
      </c>
      <c r="C332" t="str">
        <f>data!C332</f>
        <v>010</v>
      </c>
      <c r="D332" t="str">
        <f>data!D332</f>
        <v>DOMAINE VIGNEAU CHEVRAU</v>
      </c>
      <c r="E332" t="str">
        <f>data!E332</f>
        <v>010001</v>
      </c>
      <c r="F332" t="str">
        <f>data!F332</f>
        <v>AC VOUVRAY SEC.C.SILEX  V.CHEV</v>
      </c>
      <c r="G332" s="10">
        <f>data!G332</f>
        <v>218.4</v>
      </c>
      <c r="H332" s="10">
        <f>data!I332</f>
        <v>88.2</v>
      </c>
      <c r="I332" s="10">
        <f t="shared" si="20"/>
        <v>130.19999999999999</v>
      </c>
      <c r="J332" s="11">
        <f>data!H332</f>
        <v>42</v>
      </c>
      <c r="K332" s="11">
        <f>data!J332</f>
        <v>24</v>
      </c>
      <c r="L332" s="11">
        <f t="shared" si="21"/>
        <v>18</v>
      </c>
      <c r="M332" s="9">
        <f t="shared" si="22"/>
        <v>1.4761904761904761</v>
      </c>
      <c r="N332" s="9">
        <f t="shared" si="23"/>
        <v>0.75</v>
      </c>
    </row>
    <row r="333" spans="1:14" x14ac:dyDescent="0.25">
      <c r="A333" t="str">
        <f>TEXT("1/"&amp;data!A333,"mmmm")</f>
        <v>février</v>
      </c>
      <c r="B333">
        <f>data!B333</f>
        <v>2016</v>
      </c>
      <c r="C333" t="str">
        <f>data!C333</f>
        <v>011</v>
      </c>
      <c r="D333" t="str">
        <f>data!D333</f>
        <v>CAVE GAUTIER</v>
      </c>
      <c r="E333" t="str">
        <f>data!E333</f>
        <v>011001</v>
      </c>
      <c r="F333" t="str">
        <f>data!F333</f>
        <v>AC VOUVRAY METH TRAD BRUT  D.CHATAIGNERAIE</v>
      </c>
      <c r="G333" s="10">
        <f>data!G333</f>
        <v>1556.1</v>
      </c>
      <c r="H333" s="10">
        <f>data!I333</f>
        <v>1053.3599999999999</v>
      </c>
      <c r="I333" s="10">
        <f t="shared" si="20"/>
        <v>502.74</v>
      </c>
      <c r="J333" s="11">
        <f>data!H333</f>
        <v>390</v>
      </c>
      <c r="K333" s="11">
        <f>data!J333</f>
        <v>270</v>
      </c>
      <c r="L333" s="11">
        <f t="shared" si="21"/>
        <v>120</v>
      </c>
      <c r="M333" s="9">
        <f t="shared" si="22"/>
        <v>0.47727272727272735</v>
      </c>
      <c r="N333" s="9">
        <f t="shared" si="23"/>
        <v>0.44444444444444442</v>
      </c>
    </row>
    <row r="334" spans="1:14" x14ac:dyDescent="0.25">
      <c r="A334" t="str">
        <f>TEXT("1/"&amp;data!A334,"mmmm")</f>
        <v>février</v>
      </c>
      <c r="B334">
        <f>data!B334</f>
        <v>2016</v>
      </c>
      <c r="C334" t="str">
        <f>data!C334</f>
        <v>011</v>
      </c>
      <c r="D334" t="str">
        <f>data!D334</f>
        <v>CAVE GAUTIER</v>
      </c>
      <c r="E334" t="str">
        <f>data!E334</f>
        <v>011005</v>
      </c>
      <c r="F334" t="str">
        <f>data!F334</f>
        <v>AC VOUVRAY C. ANTIQUE D.CHATAIGNERAIE</v>
      </c>
      <c r="G334" s="10">
        <f>data!G334</f>
        <v>823.2</v>
      </c>
      <c r="H334" s="10">
        <f>data!I334</f>
        <v>456</v>
      </c>
      <c r="I334" s="10">
        <f t="shared" si="20"/>
        <v>367.20000000000005</v>
      </c>
      <c r="J334" s="11">
        <f>data!H334</f>
        <v>168</v>
      </c>
      <c r="K334" s="11">
        <f>data!J334</f>
        <v>96</v>
      </c>
      <c r="L334" s="11">
        <f t="shared" si="21"/>
        <v>72</v>
      </c>
      <c r="M334" s="9">
        <f t="shared" si="22"/>
        <v>0.8052631578947369</v>
      </c>
      <c r="N334" s="9">
        <f t="shared" si="23"/>
        <v>0.75</v>
      </c>
    </row>
    <row r="335" spans="1:14" x14ac:dyDescent="0.25">
      <c r="A335" t="str">
        <f>TEXT("1/"&amp;data!A335,"mmmm")</f>
        <v>février</v>
      </c>
      <c r="B335">
        <f>data!B335</f>
        <v>2016</v>
      </c>
      <c r="C335" t="str">
        <f>data!C335</f>
        <v>011</v>
      </c>
      <c r="D335" t="str">
        <f>data!D335</f>
        <v>CAVE GAUTIER</v>
      </c>
      <c r="E335" t="str">
        <f>data!E335</f>
        <v>011006</v>
      </c>
      <c r="F335" t="str">
        <f>data!F335</f>
        <v>AC VOUVRAY ARGILEX</v>
      </c>
      <c r="G335" s="10">
        <f>data!G335</f>
        <v>107.76</v>
      </c>
      <c r="H335" s="10">
        <f>data!I335</f>
        <v>0</v>
      </c>
      <c r="I335" s="10">
        <f t="shared" si="20"/>
        <v>107.76</v>
      </c>
      <c r="J335" s="11">
        <f>data!H335</f>
        <v>24</v>
      </c>
      <c r="K335" s="11">
        <f>data!J335</f>
        <v>0</v>
      </c>
      <c r="L335" s="11">
        <f t="shared" si="21"/>
        <v>24</v>
      </c>
      <c r="M335" s="9" t="str">
        <f t="shared" si="22"/>
        <v/>
      </c>
      <c r="N335" s="9" t="str">
        <f t="shared" si="23"/>
        <v/>
      </c>
    </row>
    <row r="336" spans="1:14" x14ac:dyDescent="0.25">
      <c r="A336" t="str">
        <f>TEXT("1/"&amp;data!A336,"mmmm")</f>
        <v>février</v>
      </c>
      <c r="B336">
        <f>data!B336</f>
        <v>2016</v>
      </c>
      <c r="C336" t="str">
        <f>data!C336</f>
        <v>019</v>
      </c>
      <c r="D336" t="str">
        <f>data!D336</f>
        <v>VIGNOBLES YON</v>
      </c>
      <c r="E336" t="str">
        <f>data!E336</f>
        <v>019003</v>
      </c>
      <c r="F336" t="str">
        <f>data!F336</f>
        <v>AC BDX SUP. CH LES HAUTS DE PEREY</v>
      </c>
      <c r="G336" s="10">
        <f>data!G336</f>
        <v>1940.1</v>
      </c>
      <c r="H336" s="10">
        <f>data!I336</f>
        <v>3021.48</v>
      </c>
      <c r="I336" s="10">
        <f t="shared" si="20"/>
        <v>-1081.3800000000001</v>
      </c>
      <c r="J336" s="11">
        <f>data!H336</f>
        <v>876</v>
      </c>
      <c r="K336" s="11">
        <f>data!J336</f>
        <v>1386</v>
      </c>
      <c r="L336" s="11">
        <f t="shared" si="21"/>
        <v>-510</v>
      </c>
      <c r="M336" s="9">
        <f t="shared" si="22"/>
        <v>-0.35789745422772951</v>
      </c>
      <c r="N336" s="9">
        <f t="shared" si="23"/>
        <v>-0.36796536796536794</v>
      </c>
    </row>
    <row r="337" spans="1:14" x14ac:dyDescent="0.25">
      <c r="A337" t="str">
        <f>TEXT("1/"&amp;data!A337,"mmmm")</f>
        <v>février</v>
      </c>
      <c r="B337">
        <f>data!B337</f>
        <v>2016</v>
      </c>
      <c r="C337" t="str">
        <f>data!C337</f>
        <v>019</v>
      </c>
      <c r="D337" t="str">
        <f>data!D337</f>
        <v>VIGNOBLES YON</v>
      </c>
      <c r="E337" t="str">
        <f>data!E337</f>
        <v>019004</v>
      </c>
      <c r="F337" t="str">
        <f>data!F337</f>
        <v>AC BDX SUP. CH LES HAUTS DE PEREY</v>
      </c>
      <c r="G337" s="10">
        <f>data!G337</f>
        <v>17.399999999999999</v>
      </c>
      <c r="H337" s="10">
        <f>data!I337</f>
        <v>0</v>
      </c>
      <c r="I337" s="10">
        <f t="shared" si="20"/>
        <v>17.399999999999999</v>
      </c>
      <c r="J337" s="11">
        <f>data!H337</f>
        <v>6</v>
      </c>
      <c r="K337" s="11">
        <f>data!J337</f>
        <v>0</v>
      </c>
      <c r="L337" s="11">
        <f t="shared" si="21"/>
        <v>6</v>
      </c>
      <c r="M337" s="9" t="str">
        <f t="shared" si="22"/>
        <v/>
      </c>
      <c r="N337" s="9" t="str">
        <f t="shared" si="23"/>
        <v/>
      </c>
    </row>
    <row r="338" spans="1:14" x14ac:dyDescent="0.25">
      <c r="A338" t="str">
        <f>TEXT("1/"&amp;data!A338,"mmmm")</f>
        <v>février</v>
      </c>
      <c r="B338">
        <f>data!B338</f>
        <v>2016</v>
      </c>
      <c r="C338" t="str">
        <f>data!C338</f>
        <v>019</v>
      </c>
      <c r="D338" t="str">
        <f>data!D338</f>
        <v>VIGNOBLES YON</v>
      </c>
      <c r="E338" t="str">
        <f>data!E338</f>
        <v>019008</v>
      </c>
      <c r="F338" t="str">
        <f>data!F338</f>
        <v>AC BDX. CH LES HAUTS DE PEREY</v>
      </c>
      <c r="G338" s="10">
        <f>data!G338</f>
        <v>752.7</v>
      </c>
      <c r="H338" s="10">
        <f>data!I338</f>
        <v>718.2</v>
      </c>
      <c r="I338" s="10">
        <f t="shared" si="20"/>
        <v>34.5</v>
      </c>
      <c r="J338" s="11">
        <f>data!H338</f>
        <v>519.87</v>
      </c>
      <c r="K338" s="11">
        <f>data!J338</f>
        <v>506.54</v>
      </c>
      <c r="L338" s="11">
        <f t="shared" si="21"/>
        <v>13.329999999999984</v>
      </c>
      <c r="M338" s="9">
        <f t="shared" si="22"/>
        <v>4.803675856307435E-2</v>
      </c>
      <c r="N338" s="9">
        <f t="shared" si="23"/>
        <v>2.6315789473684178E-2</v>
      </c>
    </row>
    <row r="339" spans="1:14" x14ac:dyDescent="0.25">
      <c r="A339" t="str">
        <f>TEXT("1/"&amp;data!A339,"mmmm")</f>
        <v>février</v>
      </c>
      <c r="B339">
        <f>data!B339</f>
        <v>2016</v>
      </c>
      <c r="C339" t="str">
        <f>data!C339</f>
        <v>019</v>
      </c>
      <c r="D339" t="str">
        <f>data!D339</f>
        <v>VIGNOBLES YON</v>
      </c>
      <c r="E339" t="str">
        <f>data!E339</f>
        <v>019009</v>
      </c>
      <c r="F339" t="str">
        <f>data!F339</f>
        <v>AC BDX. CH LES HAUTS DE PEREY</v>
      </c>
      <c r="G339" s="10">
        <f>data!G339</f>
        <v>792</v>
      </c>
      <c r="H339" s="10">
        <f>data!I339</f>
        <v>626.4</v>
      </c>
      <c r="I339" s="10">
        <f t="shared" si="20"/>
        <v>165.60000000000002</v>
      </c>
      <c r="J339" s="11">
        <f>data!H339</f>
        <v>480.24</v>
      </c>
      <c r="K339" s="11">
        <f>data!J339</f>
        <v>393.53</v>
      </c>
      <c r="L339" s="11">
        <f t="shared" si="21"/>
        <v>86.710000000000036</v>
      </c>
      <c r="M339" s="9">
        <f t="shared" si="22"/>
        <v>0.26436781609195409</v>
      </c>
      <c r="N339" s="9">
        <f t="shared" si="23"/>
        <v>0.22033898305084756</v>
      </c>
    </row>
    <row r="340" spans="1:14" x14ac:dyDescent="0.25">
      <c r="A340" t="str">
        <f>TEXT("1/"&amp;data!A340,"mmmm")</f>
        <v>février</v>
      </c>
      <c r="B340">
        <f>data!B340</f>
        <v>2016</v>
      </c>
      <c r="C340" t="str">
        <f>data!C340</f>
        <v>019</v>
      </c>
      <c r="D340" t="str">
        <f>data!D340</f>
        <v>VIGNOBLES YON</v>
      </c>
      <c r="E340" t="str">
        <f>data!E340</f>
        <v>019011</v>
      </c>
      <c r="F340" t="str">
        <f>data!F340</f>
        <v>AC BX SUP. CH GAURY-BALETTE</v>
      </c>
      <c r="G340" s="10">
        <f>data!G340</f>
        <v>162</v>
      </c>
      <c r="H340" s="10">
        <f>data!I340</f>
        <v>182.04</v>
      </c>
      <c r="I340" s="10">
        <f t="shared" si="20"/>
        <v>-20.039999999999992</v>
      </c>
      <c r="J340" s="11">
        <f>data!H340</f>
        <v>72</v>
      </c>
      <c r="K340" s="11">
        <f>data!J340</f>
        <v>72</v>
      </c>
      <c r="L340" s="11">
        <f t="shared" si="21"/>
        <v>0</v>
      </c>
      <c r="M340" s="9">
        <f t="shared" si="22"/>
        <v>-0.11008569545154907</v>
      </c>
      <c r="N340" s="9">
        <f t="shared" si="23"/>
        <v>0</v>
      </c>
    </row>
    <row r="341" spans="1:14" x14ac:dyDescent="0.25">
      <c r="A341" t="str">
        <f>TEXT("1/"&amp;data!A341,"mmmm")</f>
        <v>février</v>
      </c>
      <c r="B341">
        <f>data!B341</f>
        <v>2016</v>
      </c>
      <c r="C341" t="str">
        <f>data!C341</f>
        <v>019</v>
      </c>
      <c r="D341" t="str">
        <f>data!D341</f>
        <v>VIGNOBLES YON</v>
      </c>
      <c r="E341" t="str">
        <f>data!E341</f>
        <v>019015</v>
      </c>
      <c r="F341" t="str">
        <f>data!F341</f>
        <v>AC E2MERS. CH GAURY-BALETTE</v>
      </c>
      <c r="G341" s="10">
        <f>data!G341</f>
        <v>94.5</v>
      </c>
      <c r="H341" s="10">
        <f>data!I341</f>
        <v>80.28</v>
      </c>
      <c r="I341" s="10">
        <f t="shared" si="20"/>
        <v>14.219999999999999</v>
      </c>
      <c r="J341" s="11">
        <f>data!H341</f>
        <v>42</v>
      </c>
      <c r="K341" s="11">
        <f>data!J341</f>
        <v>42</v>
      </c>
      <c r="L341" s="11">
        <f t="shared" si="21"/>
        <v>0</v>
      </c>
      <c r="M341" s="9">
        <f t="shared" si="22"/>
        <v>0.17713004484304931</v>
      </c>
      <c r="N341" s="9">
        <f t="shared" si="23"/>
        <v>0</v>
      </c>
    </row>
    <row r="342" spans="1:14" x14ac:dyDescent="0.25">
      <c r="A342" t="str">
        <f>TEXT("1/"&amp;data!A342,"mmmm")</f>
        <v>février</v>
      </c>
      <c r="B342">
        <f>data!B342</f>
        <v>2016</v>
      </c>
      <c r="C342" t="str">
        <f>data!C342</f>
        <v>025</v>
      </c>
      <c r="D342" t="str">
        <f>data!D342</f>
        <v>COLLOVRAY &amp; TERRIER</v>
      </c>
      <c r="E342" t="str">
        <f>data!E342</f>
        <v>025001</v>
      </c>
      <c r="F342" t="str">
        <f>data!F342</f>
        <v>AC SAINT VERAN TRAD. COLLOVRAY&amp;TERRIER</v>
      </c>
      <c r="G342" s="10">
        <f>data!G342</f>
        <v>1018.5</v>
      </c>
      <c r="H342" s="10">
        <f>data!I342</f>
        <v>1104.9000000000001</v>
      </c>
      <c r="I342" s="10">
        <f t="shared" si="20"/>
        <v>-86.400000000000091</v>
      </c>
      <c r="J342" s="11">
        <f>data!H342</f>
        <v>150</v>
      </c>
      <c r="K342" s="11">
        <f>data!J342</f>
        <v>186</v>
      </c>
      <c r="L342" s="11">
        <f t="shared" si="21"/>
        <v>-36</v>
      </c>
      <c r="M342" s="9">
        <f t="shared" si="22"/>
        <v>-7.8197121911485284E-2</v>
      </c>
      <c r="N342" s="9">
        <f t="shared" si="23"/>
        <v>-0.19354838709677419</v>
      </c>
    </row>
    <row r="343" spans="1:14" x14ac:dyDescent="0.25">
      <c r="A343" t="str">
        <f>TEXT("1/"&amp;data!A343,"mmmm")</f>
        <v>février</v>
      </c>
      <c r="B343">
        <f>data!B343</f>
        <v>2016</v>
      </c>
      <c r="C343" t="str">
        <f>data!C343</f>
        <v>025</v>
      </c>
      <c r="D343" t="str">
        <f>data!D343</f>
        <v>COLLOVRAY &amp; TERRIER</v>
      </c>
      <c r="E343" t="str">
        <f>data!E343</f>
        <v>025003</v>
      </c>
      <c r="F343" t="str">
        <f>data!F343</f>
        <v>DME DEUX ROCHES AC ST VERAN RIVES DE LONGSAULT</v>
      </c>
      <c r="G343" s="10">
        <f>data!G343</f>
        <v>229.5</v>
      </c>
      <c r="H343" s="10">
        <f>data!I343</f>
        <v>252.72</v>
      </c>
      <c r="I343" s="10">
        <f t="shared" si="20"/>
        <v>-23.22</v>
      </c>
      <c r="J343" s="11">
        <f>data!H343</f>
        <v>30</v>
      </c>
      <c r="K343" s="11">
        <f>data!J343</f>
        <v>38</v>
      </c>
      <c r="L343" s="11">
        <f t="shared" si="21"/>
        <v>-8</v>
      </c>
      <c r="M343" s="9">
        <f t="shared" si="22"/>
        <v>-9.1880341880341873E-2</v>
      </c>
      <c r="N343" s="9">
        <f t="shared" si="23"/>
        <v>-0.21052631578947367</v>
      </c>
    </row>
    <row r="344" spans="1:14" x14ac:dyDescent="0.25">
      <c r="A344" t="str">
        <f>TEXT("1/"&amp;data!A344,"mmmm")</f>
        <v>février</v>
      </c>
      <c r="B344">
        <f>data!B344</f>
        <v>2016</v>
      </c>
      <c r="C344" t="str">
        <f>data!C344</f>
        <v>025</v>
      </c>
      <c r="D344" t="str">
        <f>data!D344</f>
        <v>COLLOVRAY &amp; TERRIER</v>
      </c>
      <c r="E344" t="str">
        <f>data!E344</f>
        <v>025010</v>
      </c>
      <c r="F344" t="str">
        <f>data!F344</f>
        <v>AC MACON VILL TRAD. COLLOVRAY &amp;</v>
      </c>
      <c r="G344" s="10">
        <f>data!G344</f>
        <v>366.3</v>
      </c>
      <c r="H344" s="10">
        <f>data!I344</f>
        <v>572.4</v>
      </c>
      <c r="I344" s="10">
        <f t="shared" si="20"/>
        <v>-206.09999999999997</v>
      </c>
      <c r="J344" s="11">
        <f>data!H344</f>
        <v>66</v>
      </c>
      <c r="K344" s="11">
        <f>data!J344</f>
        <v>114</v>
      </c>
      <c r="L344" s="11">
        <f t="shared" si="21"/>
        <v>-48</v>
      </c>
      <c r="M344" s="9">
        <f t="shared" si="22"/>
        <v>-0.36006289308176098</v>
      </c>
      <c r="N344" s="9">
        <f t="shared" si="23"/>
        <v>-0.42105263157894735</v>
      </c>
    </row>
    <row r="345" spans="1:14" x14ac:dyDescent="0.25">
      <c r="A345" t="str">
        <f>TEXT("1/"&amp;data!A345,"mmmm")</f>
        <v>février</v>
      </c>
      <c r="B345">
        <f>data!B345</f>
        <v>2016</v>
      </c>
      <c r="C345" t="str">
        <f>data!C345</f>
        <v>025</v>
      </c>
      <c r="D345" t="str">
        <f>data!D345</f>
        <v>COLLOVRAY &amp; TERRIER</v>
      </c>
      <c r="E345" t="str">
        <f>data!E345</f>
        <v>025013</v>
      </c>
      <c r="F345" t="str">
        <f>data!F345</f>
        <v>AC MACON. VERGER DES FEUILLANTS</v>
      </c>
      <c r="G345" s="10">
        <f>data!G345</f>
        <v>116.4</v>
      </c>
      <c r="H345" s="10">
        <f>data!I345</f>
        <v>26.22</v>
      </c>
      <c r="I345" s="10">
        <f t="shared" si="20"/>
        <v>90.18</v>
      </c>
      <c r="J345" s="11">
        <f>data!H345</f>
        <v>24</v>
      </c>
      <c r="K345" s="11">
        <f>data!J345</f>
        <v>12</v>
      </c>
      <c r="L345" s="11">
        <f t="shared" si="21"/>
        <v>12</v>
      </c>
      <c r="M345" s="9">
        <f t="shared" si="22"/>
        <v>3.4393592677345541</v>
      </c>
      <c r="N345" s="9">
        <f t="shared" si="23"/>
        <v>1</v>
      </c>
    </row>
    <row r="346" spans="1:14" x14ac:dyDescent="0.25">
      <c r="A346" t="str">
        <f>TEXT("1/"&amp;data!A346,"mmmm")</f>
        <v>février</v>
      </c>
      <c r="B346">
        <f>data!B346</f>
        <v>2016</v>
      </c>
      <c r="C346" t="str">
        <f>data!C346</f>
        <v>025</v>
      </c>
      <c r="D346" t="str">
        <f>data!D346</f>
        <v>COLLOVRAY &amp; TERRIER</v>
      </c>
      <c r="E346" t="str">
        <f>data!E346</f>
        <v>025015</v>
      </c>
      <c r="F346" t="str">
        <f>data!F346</f>
        <v>VDP PINOT NOIR . D.D'ANTUGNIAC</v>
      </c>
      <c r="G346" s="10">
        <f>data!G346</f>
        <v>436.62</v>
      </c>
      <c r="H346" s="10">
        <f>data!I346</f>
        <v>749.88</v>
      </c>
      <c r="I346" s="10">
        <f t="shared" si="20"/>
        <v>-313.26</v>
      </c>
      <c r="J346" s="11">
        <f>data!H346</f>
        <v>114</v>
      </c>
      <c r="K346" s="11">
        <f>data!J346</f>
        <v>216</v>
      </c>
      <c r="L346" s="11">
        <f t="shared" si="21"/>
        <v>-102</v>
      </c>
      <c r="M346" s="9">
        <f t="shared" si="22"/>
        <v>-0.41774683949431907</v>
      </c>
      <c r="N346" s="9">
        <f t="shared" si="23"/>
        <v>-0.47222222222222221</v>
      </c>
    </row>
    <row r="347" spans="1:14" x14ac:dyDescent="0.25">
      <c r="A347" t="str">
        <f>TEXT("1/"&amp;data!A347,"mmmm")</f>
        <v>février</v>
      </c>
      <c r="B347">
        <f>data!B347</f>
        <v>2016</v>
      </c>
      <c r="C347" t="str">
        <f>data!C347</f>
        <v>025</v>
      </c>
      <c r="D347" t="str">
        <f>data!D347</f>
        <v>COLLOVRAY &amp; TERRIER</v>
      </c>
      <c r="E347" t="str">
        <f>data!E347</f>
        <v>025016</v>
      </c>
      <c r="F347" t="str">
        <f>data!F347</f>
        <v>VDP MERLOT. D.D'ANTUGNIAC</v>
      </c>
      <c r="G347" s="10">
        <f>data!G347</f>
        <v>14.58</v>
      </c>
      <c r="H347" s="10">
        <f>data!I347</f>
        <v>0</v>
      </c>
      <c r="I347" s="10">
        <f t="shared" si="20"/>
        <v>14.58</v>
      </c>
      <c r="J347" s="11">
        <f>data!H347</f>
        <v>6</v>
      </c>
      <c r="K347" s="11">
        <f>data!J347</f>
        <v>0</v>
      </c>
      <c r="L347" s="11">
        <f t="shared" si="21"/>
        <v>6</v>
      </c>
      <c r="M347" s="9" t="str">
        <f t="shared" si="22"/>
        <v/>
      </c>
      <c r="N347" s="9" t="str">
        <f t="shared" si="23"/>
        <v/>
      </c>
    </row>
    <row r="348" spans="1:14" x14ac:dyDescent="0.25">
      <c r="A348" t="str">
        <f>TEXT("1/"&amp;data!A348,"mmmm")</f>
        <v>février</v>
      </c>
      <c r="B348">
        <f>data!B348</f>
        <v>2016</v>
      </c>
      <c r="C348" t="str">
        <f>data!C348</f>
        <v>025</v>
      </c>
      <c r="D348" t="str">
        <f>data!D348</f>
        <v>COLLOVRAY &amp; TERRIER</v>
      </c>
      <c r="E348" t="str">
        <f>data!E348</f>
        <v>025021</v>
      </c>
      <c r="F348" t="str">
        <f>data!F348</f>
        <v>AC POUILLY-FUISSE. V.VIGNES</v>
      </c>
      <c r="G348" s="10">
        <f>data!G348</f>
        <v>898.8</v>
      </c>
      <c r="H348" s="10">
        <f>data!I348</f>
        <v>477.12</v>
      </c>
      <c r="I348" s="10">
        <f t="shared" si="20"/>
        <v>421.67999999999995</v>
      </c>
      <c r="J348" s="11">
        <f>data!H348</f>
        <v>84</v>
      </c>
      <c r="K348" s="11">
        <f>data!J348</f>
        <v>48</v>
      </c>
      <c r="L348" s="11">
        <f t="shared" si="21"/>
        <v>36</v>
      </c>
      <c r="M348" s="9">
        <f t="shared" si="22"/>
        <v>0.88380281690140838</v>
      </c>
      <c r="N348" s="9">
        <f t="shared" si="23"/>
        <v>0.75</v>
      </c>
    </row>
    <row r="349" spans="1:14" x14ac:dyDescent="0.25">
      <c r="A349" t="str">
        <f>TEXT("1/"&amp;data!A349,"mmmm")</f>
        <v>février</v>
      </c>
      <c r="B349">
        <f>data!B349</f>
        <v>2016</v>
      </c>
      <c r="C349" t="str">
        <f>data!C349</f>
        <v>025</v>
      </c>
      <c r="D349" t="str">
        <f>data!D349</f>
        <v>COLLOVRAY &amp; TERRIER</v>
      </c>
      <c r="E349" t="str">
        <f>data!E349</f>
        <v>025026</v>
      </c>
      <c r="F349" t="str">
        <f>data!F349</f>
        <v>VDP CHARDONNAY. D.D'ANTUGNAC</v>
      </c>
      <c r="G349" s="10">
        <f>data!G349</f>
        <v>1003.2</v>
      </c>
      <c r="H349" s="10">
        <f>data!I349</f>
        <v>2280.2399999999998</v>
      </c>
      <c r="I349" s="10">
        <f t="shared" si="20"/>
        <v>-1277.0399999999997</v>
      </c>
      <c r="J349" s="11">
        <f>data!H349</f>
        <v>330</v>
      </c>
      <c r="K349" s="11">
        <f>data!J349</f>
        <v>846</v>
      </c>
      <c r="L349" s="11">
        <f t="shared" si="21"/>
        <v>-516</v>
      </c>
      <c r="M349" s="9">
        <f t="shared" si="22"/>
        <v>-0.56004631091464052</v>
      </c>
      <c r="N349" s="9">
        <f t="shared" si="23"/>
        <v>-0.60992907801418439</v>
      </c>
    </row>
    <row r="350" spans="1:14" x14ac:dyDescent="0.25">
      <c r="A350" t="str">
        <f>TEXT("1/"&amp;data!A350,"mmmm")</f>
        <v>février</v>
      </c>
      <c r="B350">
        <f>data!B350</f>
        <v>2016</v>
      </c>
      <c r="C350" t="str">
        <f>data!C350</f>
        <v>025</v>
      </c>
      <c r="D350" t="str">
        <f>data!D350</f>
        <v>COLLOVRAY &amp; TERRIER</v>
      </c>
      <c r="E350" t="str">
        <f>data!E350</f>
        <v>025031</v>
      </c>
      <c r="F350" t="str">
        <f>data!F350</f>
        <v>AC LIMOUX. Terres Amoureuses D.D'ANTUGNAC</v>
      </c>
      <c r="G350" s="10">
        <f>data!G350</f>
        <v>267.36</v>
      </c>
      <c r="H350" s="10">
        <f>data!I350</f>
        <v>257.27999999999997</v>
      </c>
      <c r="I350" s="10">
        <f t="shared" si="20"/>
        <v>10.080000000000041</v>
      </c>
      <c r="J350" s="11">
        <f>data!H350</f>
        <v>48</v>
      </c>
      <c r="K350" s="11">
        <f>data!J350</f>
        <v>48</v>
      </c>
      <c r="L350" s="11">
        <f t="shared" si="21"/>
        <v>0</v>
      </c>
      <c r="M350" s="9">
        <f t="shared" si="22"/>
        <v>3.9179104477612102E-2</v>
      </c>
      <c r="N350" s="9">
        <f t="shared" si="23"/>
        <v>0</v>
      </c>
    </row>
    <row r="351" spans="1:14" x14ac:dyDescent="0.25">
      <c r="A351" t="str">
        <f>TEXT("1/"&amp;data!A351,"mmmm")</f>
        <v>février</v>
      </c>
      <c r="B351">
        <f>data!B351</f>
        <v>2016</v>
      </c>
      <c r="C351" t="str">
        <f>data!C351</f>
        <v>025</v>
      </c>
      <c r="D351" t="str">
        <f>data!D351</f>
        <v>COLLOVRAY &amp; TERRIER</v>
      </c>
      <c r="E351" t="str">
        <f>data!E351</f>
        <v>025033</v>
      </c>
      <c r="F351" t="str">
        <f>data!F351</f>
        <v>AC LIMOUX Aux Bons Hommes D.D'ANTUGNAC</v>
      </c>
      <c r="G351" s="10">
        <f>data!G351</f>
        <v>49.68</v>
      </c>
      <c r="H351" s="10">
        <f>data!I351</f>
        <v>202.08</v>
      </c>
      <c r="I351" s="10">
        <f t="shared" si="20"/>
        <v>-152.4</v>
      </c>
      <c r="J351" s="11">
        <f>data!H351</f>
        <v>12</v>
      </c>
      <c r="K351" s="11">
        <f>data!J351</f>
        <v>48</v>
      </c>
      <c r="L351" s="11">
        <f t="shared" si="21"/>
        <v>-36</v>
      </c>
      <c r="M351" s="9">
        <f t="shared" si="22"/>
        <v>-0.75415676959619948</v>
      </c>
      <c r="N351" s="9">
        <f t="shared" si="23"/>
        <v>-0.75</v>
      </c>
    </row>
    <row r="352" spans="1:14" x14ac:dyDescent="0.25">
      <c r="A352" t="str">
        <f>TEXT("1/"&amp;data!A352,"mmmm")</f>
        <v>février</v>
      </c>
      <c r="B352">
        <f>data!B352</f>
        <v>2016</v>
      </c>
      <c r="C352" t="str">
        <f>data!C352</f>
        <v>028</v>
      </c>
      <c r="D352" t="str">
        <f>data!D352</f>
        <v>VIGNOBLES DUBOIS ET FILS</v>
      </c>
      <c r="E352" t="str">
        <f>data!E352</f>
        <v>028001</v>
      </c>
      <c r="F352" t="str">
        <f>data!F352</f>
        <v>AC 1ERES C.DE BLAYE. TRADITION  CH L.BERTRANDS</v>
      </c>
      <c r="G352" s="10">
        <f>data!G352</f>
        <v>721.5</v>
      </c>
      <c r="H352" s="10">
        <f>data!I352</f>
        <v>624</v>
      </c>
      <c r="I352" s="10">
        <f t="shared" si="20"/>
        <v>97.5</v>
      </c>
      <c r="J352" s="11">
        <f>data!H352</f>
        <v>228</v>
      </c>
      <c r="K352" s="11">
        <f>data!J352</f>
        <v>192</v>
      </c>
      <c r="L352" s="11">
        <f t="shared" si="21"/>
        <v>36</v>
      </c>
      <c r="M352" s="9">
        <f t="shared" si="22"/>
        <v>0.15625</v>
      </c>
      <c r="N352" s="9">
        <f t="shared" si="23"/>
        <v>0.1875</v>
      </c>
    </row>
    <row r="353" spans="1:14" x14ac:dyDescent="0.25">
      <c r="A353" t="str">
        <f>TEXT("1/"&amp;data!A353,"mmmm")</f>
        <v>février</v>
      </c>
      <c r="B353">
        <f>data!B353</f>
        <v>2016</v>
      </c>
      <c r="C353" t="str">
        <f>data!C353</f>
        <v>028</v>
      </c>
      <c r="D353" t="str">
        <f>data!D353</f>
        <v>VIGNOBLES DUBOIS ET FILS</v>
      </c>
      <c r="E353" t="str">
        <f>data!E353</f>
        <v>028005</v>
      </c>
      <c r="F353" t="str">
        <f>data!F353</f>
        <v>AC 1ERES C.BLAYE TRAD. CH L.BERTRANDS</v>
      </c>
      <c r="G353" s="10">
        <f>data!G353</f>
        <v>134.4</v>
      </c>
      <c r="H353" s="10">
        <f>data!I353</f>
        <v>201.6</v>
      </c>
      <c r="I353" s="10">
        <f t="shared" si="20"/>
        <v>-67.199999999999989</v>
      </c>
      <c r="J353" s="11">
        <f>data!H353</f>
        <v>48</v>
      </c>
      <c r="K353" s="11">
        <f>data!J353</f>
        <v>72</v>
      </c>
      <c r="L353" s="11">
        <f t="shared" si="21"/>
        <v>-24</v>
      </c>
      <c r="M353" s="9">
        <f t="shared" si="22"/>
        <v>-0.33333333333333326</v>
      </c>
      <c r="N353" s="9">
        <f t="shared" si="23"/>
        <v>-0.33333333333333331</v>
      </c>
    </row>
    <row r="354" spans="1:14" x14ac:dyDescent="0.25">
      <c r="A354" t="str">
        <f>TEXT("1/"&amp;data!A354,"mmmm")</f>
        <v>février</v>
      </c>
      <c r="B354">
        <f>data!B354</f>
        <v>2016</v>
      </c>
      <c r="C354" t="str">
        <f>data!C354</f>
        <v>028</v>
      </c>
      <c r="D354" t="str">
        <f>data!D354</f>
        <v>VIGNOBLES DUBOIS ET FILS</v>
      </c>
      <c r="E354" t="str">
        <f>data!E354</f>
        <v>028006</v>
      </c>
      <c r="F354" t="str">
        <f>data!F354</f>
        <v>AC 1ERES C. BLAYE TRAD CH L.BERTRANDS</v>
      </c>
      <c r="G354" s="10">
        <f>data!G354</f>
        <v>48.6</v>
      </c>
      <c r="H354" s="10">
        <f>data!I354</f>
        <v>48.6</v>
      </c>
      <c r="I354" s="10">
        <f t="shared" si="20"/>
        <v>0</v>
      </c>
      <c r="J354" s="11">
        <f>data!H354</f>
        <v>12</v>
      </c>
      <c r="K354" s="11">
        <f>data!J354</f>
        <v>12</v>
      </c>
      <c r="L354" s="11">
        <f t="shared" si="21"/>
        <v>0</v>
      </c>
      <c r="M354" s="9">
        <f t="shared" si="22"/>
        <v>0</v>
      </c>
      <c r="N354" s="9">
        <f t="shared" si="23"/>
        <v>0</v>
      </c>
    </row>
    <row r="355" spans="1:14" x14ac:dyDescent="0.25">
      <c r="A355" t="str">
        <f>TEXT("1/"&amp;data!A355,"mmmm")</f>
        <v>février</v>
      </c>
      <c r="B355">
        <f>data!B355</f>
        <v>2016</v>
      </c>
      <c r="C355" t="str">
        <f>data!C355</f>
        <v>028</v>
      </c>
      <c r="D355" t="str">
        <f>data!D355</f>
        <v>VIGNOBLES DUBOIS ET FILS</v>
      </c>
      <c r="E355" t="str">
        <f>data!E355</f>
        <v>028007</v>
      </c>
      <c r="F355" t="str">
        <f>data!F355</f>
        <v>AC 1ERES C BLAYE TRAD. CH L.BERTRANDS</v>
      </c>
      <c r="G355" s="10">
        <f>data!G355</f>
        <v>316.39999999999998</v>
      </c>
      <c r="H355" s="10">
        <f>data!I355</f>
        <v>67.8</v>
      </c>
      <c r="I355" s="10">
        <f t="shared" si="20"/>
        <v>248.59999999999997</v>
      </c>
      <c r="J355" s="11">
        <f>data!H355</f>
        <v>186.62</v>
      </c>
      <c r="K355" s="11">
        <f>data!J355</f>
        <v>39.99</v>
      </c>
      <c r="L355" s="11">
        <f t="shared" si="21"/>
        <v>146.63</v>
      </c>
      <c r="M355" s="9">
        <f t="shared" si="22"/>
        <v>3.6666666666666665</v>
      </c>
      <c r="N355" s="9">
        <f t="shared" si="23"/>
        <v>3.6666666666666665</v>
      </c>
    </row>
    <row r="356" spans="1:14" x14ac:dyDescent="0.25">
      <c r="A356" t="str">
        <f>TEXT("1/"&amp;data!A356,"mmmm")</f>
        <v>février</v>
      </c>
      <c r="B356">
        <f>data!B356</f>
        <v>2016</v>
      </c>
      <c r="C356" t="str">
        <f>data!C356</f>
        <v>028</v>
      </c>
      <c r="D356" t="str">
        <f>data!D356</f>
        <v>VIGNOBLES DUBOIS ET FILS</v>
      </c>
      <c r="E356" t="str">
        <f>data!E356</f>
        <v>028008</v>
      </c>
      <c r="F356" t="str">
        <f>data!F356</f>
        <v>AC C. DE BLAYE CH L.BERTRANDS</v>
      </c>
      <c r="G356" s="10">
        <f>data!G356</f>
        <v>106.4</v>
      </c>
      <c r="H356" s="10">
        <f>data!I356</f>
        <v>385.7</v>
      </c>
      <c r="I356" s="10">
        <f t="shared" si="20"/>
        <v>-279.29999999999995</v>
      </c>
      <c r="J356" s="11">
        <f>data!H356</f>
        <v>53.36</v>
      </c>
      <c r="K356" s="11">
        <f>data!J356</f>
        <v>193.43</v>
      </c>
      <c r="L356" s="11">
        <f t="shared" si="21"/>
        <v>-140.07</v>
      </c>
      <c r="M356" s="9">
        <f t="shared" si="22"/>
        <v>-0.72413793103448265</v>
      </c>
      <c r="N356" s="9">
        <f t="shared" si="23"/>
        <v>-0.72413793103448265</v>
      </c>
    </row>
    <row r="357" spans="1:14" x14ac:dyDescent="0.25">
      <c r="A357" t="str">
        <f>TEXT("1/"&amp;data!A357,"mmmm")</f>
        <v>février</v>
      </c>
      <c r="B357">
        <f>data!B357</f>
        <v>2016</v>
      </c>
      <c r="C357" t="str">
        <f>data!C357</f>
        <v>028</v>
      </c>
      <c r="D357" t="str">
        <f>data!D357</f>
        <v>VIGNOBLES DUBOIS ET FILS</v>
      </c>
      <c r="E357" t="str">
        <f>data!E357</f>
        <v>028013</v>
      </c>
      <c r="F357" t="str">
        <f>data!F357</f>
        <v>AC 1ERES COTES DE BLAYE PRESTIGE</v>
      </c>
      <c r="G357" s="10">
        <f>data!G357</f>
        <v>453.9</v>
      </c>
      <c r="H357" s="10">
        <f>data!I357</f>
        <v>267</v>
      </c>
      <c r="I357" s="10">
        <f t="shared" si="20"/>
        <v>186.89999999999998</v>
      </c>
      <c r="J357" s="11">
        <f>data!H357</f>
        <v>102</v>
      </c>
      <c r="K357" s="11">
        <f>data!J357</f>
        <v>60</v>
      </c>
      <c r="L357" s="11">
        <f t="shared" si="21"/>
        <v>42</v>
      </c>
      <c r="M357" s="9">
        <f t="shared" si="22"/>
        <v>0.7</v>
      </c>
      <c r="N357" s="9">
        <f t="shared" si="23"/>
        <v>0.7</v>
      </c>
    </row>
    <row r="358" spans="1:14" x14ac:dyDescent="0.25">
      <c r="A358" t="str">
        <f>TEXT("1/"&amp;data!A358,"mmmm")</f>
        <v>février</v>
      </c>
      <c r="B358">
        <f>data!B358</f>
        <v>2016</v>
      </c>
      <c r="C358" t="str">
        <f>data!C358</f>
        <v>029</v>
      </c>
      <c r="D358" t="str">
        <f>data!D358</f>
        <v>DOMAINE DE BELLE MARE</v>
      </c>
      <c r="E358" t="str">
        <f>data!E358</f>
        <v>029015</v>
      </c>
      <c r="F358" t="str">
        <f>data!F358</f>
        <v>DME BELLE MARE VDPOC CHARDONNAY</v>
      </c>
      <c r="G358" s="10">
        <f>data!G358</f>
        <v>28.8</v>
      </c>
      <c r="H358" s="10">
        <f>data!I358</f>
        <v>0</v>
      </c>
      <c r="I358" s="10">
        <f t="shared" si="20"/>
        <v>28.8</v>
      </c>
      <c r="J358" s="11">
        <f>data!H358</f>
        <v>12</v>
      </c>
      <c r="K358" s="11">
        <f>data!J358</f>
        <v>0</v>
      </c>
      <c r="L358" s="11">
        <f t="shared" si="21"/>
        <v>12</v>
      </c>
      <c r="M358" s="9" t="str">
        <f t="shared" si="22"/>
        <v/>
      </c>
      <c r="N358" s="9" t="str">
        <f t="shared" si="23"/>
        <v/>
      </c>
    </row>
    <row r="359" spans="1:14" x14ac:dyDescent="0.25">
      <c r="A359" t="str">
        <f>TEXT("1/"&amp;data!A359,"mmmm")</f>
        <v>février</v>
      </c>
      <c r="B359">
        <f>data!B359</f>
        <v>2016</v>
      </c>
      <c r="C359" t="str">
        <f>data!C359</f>
        <v>035</v>
      </c>
      <c r="D359" t="str">
        <f>data!D359</f>
        <v>DOMAINE OLIVIER</v>
      </c>
      <c r="E359" t="str">
        <f>data!E359</f>
        <v>035001</v>
      </c>
      <c r="F359" t="str">
        <f>data!F359</f>
        <v>AC ST NICOLAS DE BOURG D.OLIVIER</v>
      </c>
      <c r="G359" s="10">
        <f>data!G359</f>
        <v>1800</v>
      </c>
      <c r="H359" s="10">
        <f>data!I359</f>
        <v>1212.3</v>
      </c>
      <c r="I359" s="10">
        <f t="shared" si="20"/>
        <v>587.70000000000005</v>
      </c>
      <c r="J359" s="11">
        <f>data!H359</f>
        <v>450</v>
      </c>
      <c r="K359" s="11">
        <f>data!J359</f>
        <v>330</v>
      </c>
      <c r="L359" s="11">
        <f t="shared" si="21"/>
        <v>120</v>
      </c>
      <c r="M359" s="9">
        <f t="shared" si="22"/>
        <v>0.48478099480326658</v>
      </c>
      <c r="N359" s="9">
        <f t="shared" si="23"/>
        <v>0.36363636363636365</v>
      </c>
    </row>
    <row r="360" spans="1:14" x14ac:dyDescent="0.25">
      <c r="A360" t="str">
        <f>TEXT("1/"&amp;data!A360,"mmmm")</f>
        <v>février</v>
      </c>
      <c r="B360">
        <f>data!B360</f>
        <v>2016</v>
      </c>
      <c r="C360" t="str">
        <f>data!C360</f>
        <v>035</v>
      </c>
      <c r="D360" t="str">
        <f>data!D360</f>
        <v>DOMAINE OLIVIER</v>
      </c>
      <c r="E360" t="str">
        <f>data!E360</f>
        <v>035002</v>
      </c>
      <c r="F360" t="str">
        <f>data!F360</f>
        <v>AC ST NICOLAS DE BOURG D.OLIVIER</v>
      </c>
      <c r="G360" s="10">
        <f>data!G360</f>
        <v>120</v>
      </c>
      <c r="H360" s="10">
        <f>data!I360</f>
        <v>111.84</v>
      </c>
      <c r="I360" s="10">
        <f t="shared" si="20"/>
        <v>8.1599999999999966</v>
      </c>
      <c r="J360" s="11">
        <f>data!H360</f>
        <v>24</v>
      </c>
      <c r="K360" s="11">
        <f>data!J360</f>
        <v>24</v>
      </c>
      <c r="L360" s="11">
        <f t="shared" si="21"/>
        <v>0</v>
      </c>
      <c r="M360" s="9">
        <f t="shared" si="22"/>
        <v>7.2961373390557901E-2</v>
      </c>
      <c r="N360" s="9">
        <f t="shared" si="23"/>
        <v>0</v>
      </c>
    </row>
    <row r="361" spans="1:14" x14ac:dyDescent="0.25">
      <c r="A361" t="str">
        <f>TEXT("1/"&amp;data!A361,"mmmm")</f>
        <v>février</v>
      </c>
      <c r="B361">
        <f>data!B361</f>
        <v>2016</v>
      </c>
      <c r="C361" t="str">
        <f>data!C361</f>
        <v>035</v>
      </c>
      <c r="D361" t="str">
        <f>data!D361</f>
        <v>DOMAINE OLIVIER</v>
      </c>
      <c r="E361" t="str">
        <f>data!E361</f>
        <v>035010</v>
      </c>
      <c r="F361" t="str">
        <f>data!F361</f>
        <v>AC BOURGUEIL V.VIGNES D.OLIVIER</v>
      </c>
      <c r="G361" s="10">
        <f>data!G361</f>
        <v>235.62</v>
      </c>
      <c r="H361" s="10">
        <f>data!I361</f>
        <v>185.22</v>
      </c>
      <c r="I361" s="10">
        <f t="shared" si="20"/>
        <v>50.400000000000006</v>
      </c>
      <c r="J361" s="11">
        <f>data!H361</f>
        <v>66</v>
      </c>
      <c r="K361" s="11">
        <f>data!J361</f>
        <v>60</v>
      </c>
      <c r="L361" s="11">
        <f t="shared" si="21"/>
        <v>6</v>
      </c>
      <c r="M361" s="9">
        <f t="shared" si="22"/>
        <v>0.27210884353741499</v>
      </c>
      <c r="N361" s="9">
        <f t="shared" si="23"/>
        <v>0.1</v>
      </c>
    </row>
    <row r="362" spans="1:14" x14ac:dyDescent="0.25">
      <c r="A362" t="str">
        <f>TEXT("1/"&amp;data!A362,"mmmm")</f>
        <v>février</v>
      </c>
      <c r="B362">
        <f>data!B362</f>
        <v>2016</v>
      </c>
      <c r="C362" t="str">
        <f>data!C362</f>
        <v>036</v>
      </c>
      <c r="D362" t="str">
        <f>data!D362</f>
        <v>CASTELBARRY</v>
      </c>
      <c r="E362" t="str">
        <f>data!E362</f>
        <v>036001</v>
      </c>
      <c r="F362" t="str">
        <f>data!F362</f>
        <v>AC CTX DU LANG .COL DU VENT</v>
      </c>
      <c r="G362" s="10">
        <f>data!G362</f>
        <v>252</v>
      </c>
      <c r="H362" s="10">
        <f>data!I362</f>
        <v>748.8</v>
      </c>
      <c r="I362" s="10">
        <f t="shared" si="20"/>
        <v>-496.79999999999995</v>
      </c>
      <c r="J362" s="11">
        <f>data!H362</f>
        <v>90</v>
      </c>
      <c r="K362" s="11">
        <f>data!J362</f>
        <v>318</v>
      </c>
      <c r="L362" s="11">
        <f t="shared" si="21"/>
        <v>-228</v>
      </c>
      <c r="M362" s="9">
        <f t="shared" si="22"/>
        <v>-0.66346153846153844</v>
      </c>
      <c r="N362" s="9">
        <f t="shared" si="23"/>
        <v>-0.71698113207547165</v>
      </c>
    </row>
    <row r="363" spans="1:14" x14ac:dyDescent="0.25">
      <c r="A363" t="str">
        <f>TEXT("1/"&amp;data!A363,"mmmm")</f>
        <v>février</v>
      </c>
      <c r="B363">
        <f>data!B363</f>
        <v>2016</v>
      </c>
      <c r="C363" t="str">
        <f>data!C363</f>
        <v>036</v>
      </c>
      <c r="D363" t="str">
        <f>data!D363</f>
        <v>CASTELBARRY</v>
      </c>
      <c r="E363" t="str">
        <f>data!E363</f>
        <v>036010</v>
      </c>
      <c r="F363" t="str">
        <f>data!F363</f>
        <v>IGP SAINT GUILHEM LE DESERT GRENACHE</v>
      </c>
      <c r="G363" s="10">
        <f>data!G363</f>
        <v>124</v>
      </c>
      <c r="H363" s="10">
        <f>data!I363</f>
        <v>170.8</v>
      </c>
      <c r="I363" s="10">
        <f t="shared" si="20"/>
        <v>-46.800000000000011</v>
      </c>
      <c r="J363" s="11">
        <f>data!H363</f>
        <v>133.30000000000001</v>
      </c>
      <c r="K363" s="11">
        <f>data!J363</f>
        <v>186.62</v>
      </c>
      <c r="L363" s="11">
        <f t="shared" si="21"/>
        <v>-53.319999999999993</v>
      </c>
      <c r="M363" s="9">
        <f t="shared" si="22"/>
        <v>-0.27400468384074944</v>
      </c>
      <c r="N363" s="9">
        <f t="shared" si="23"/>
        <v>-0.2857142857142857</v>
      </c>
    </row>
    <row r="364" spans="1:14" x14ac:dyDescent="0.25">
      <c r="A364" t="str">
        <f>TEXT("1/"&amp;data!A364,"mmmm")</f>
        <v>février</v>
      </c>
      <c r="B364">
        <f>data!B364</f>
        <v>2016</v>
      </c>
      <c r="C364" t="str">
        <f>data!C364</f>
        <v>036</v>
      </c>
      <c r="D364" t="str">
        <f>data!D364</f>
        <v>CASTELBARRY</v>
      </c>
      <c r="E364" t="str">
        <f>data!E364</f>
        <v>036011</v>
      </c>
      <c r="F364" t="str">
        <f>data!F364</f>
        <v>IGP ST GUILHEM LE DESERT</v>
      </c>
      <c r="G364" s="10">
        <f>data!G364</f>
        <v>151.19999999999999</v>
      </c>
      <c r="H364" s="10">
        <f>data!I364</f>
        <v>91</v>
      </c>
      <c r="I364" s="10">
        <f t="shared" si="20"/>
        <v>60.199999999999989</v>
      </c>
      <c r="J364" s="11">
        <f>data!H364</f>
        <v>140.07</v>
      </c>
      <c r="K364" s="11">
        <f>data!J364</f>
        <v>100.05</v>
      </c>
      <c r="L364" s="11">
        <f t="shared" si="21"/>
        <v>40.019999999999996</v>
      </c>
      <c r="M364" s="9">
        <f t="shared" si="22"/>
        <v>0.66153846153846141</v>
      </c>
      <c r="N364" s="9">
        <f t="shared" si="23"/>
        <v>0.39999999999999997</v>
      </c>
    </row>
    <row r="365" spans="1:14" x14ac:dyDescent="0.25">
      <c r="A365" t="str">
        <f>TEXT("1/"&amp;data!A365,"mmmm")</f>
        <v>février</v>
      </c>
      <c r="B365">
        <f>data!B365</f>
        <v>2016</v>
      </c>
      <c r="C365" t="str">
        <f>data!C365</f>
        <v>037</v>
      </c>
      <c r="D365" t="str">
        <f>data!D365</f>
        <v>SARL RAFFAULT</v>
      </c>
      <c r="E365" t="str">
        <f>data!E365</f>
        <v>037003</v>
      </c>
      <c r="F365" t="str">
        <f>data!F365</f>
        <v>AC CHINON</v>
      </c>
      <c r="G365" s="10">
        <f>data!G365</f>
        <v>66.599999999999994</v>
      </c>
      <c r="H365" s="10">
        <f>data!I365</f>
        <v>44.4</v>
      </c>
      <c r="I365" s="10">
        <f t="shared" si="20"/>
        <v>22.199999999999996</v>
      </c>
      <c r="J365" s="11">
        <f>data!H365</f>
        <v>24</v>
      </c>
      <c r="K365" s="11">
        <f>data!J365</f>
        <v>12</v>
      </c>
      <c r="L365" s="11">
        <f t="shared" si="21"/>
        <v>12</v>
      </c>
      <c r="M365" s="9">
        <f t="shared" si="22"/>
        <v>0.49999999999999994</v>
      </c>
      <c r="N365" s="9">
        <f t="shared" si="23"/>
        <v>1</v>
      </c>
    </row>
    <row r="366" spans="1:14" x14ac:dyDescent="0.25">
      <c r="A366" t="str">
        <f>TEXT("1/"&amp;data!A366,"mmmm")</f>
        <v>février</v>
      </c>
      <c r="B366">
        <f>data!B366</f>
        <v>2016</v>
      </c>
      <c r="C366" t="str">
        <f>data!C366</f>
        <v>037</v>
      </c>
      <c r="D366" t="str">
        <f>data!D366</f>
        <v>SARL RAFFAULT</v>
      </c>
      <c r="E366" t="str">
        <f>data!E366</f>
        <v>037010</v>
      </c>
      <c r="F366" t="str">
        <f>data!F366</f>
        <v>AC CHINON SEC</v>
      </c>
      <c r="G366" s="10">
        <f>data!G366</f>
        <v>873.6</v>
      </c>
      <c r="H366" s="10">
        <f>data!I366</f>
        <v>54.6</v>
      </c>
      <c r="I366" s="10">
        <f t="shared" si="20"/>
        <v>819</v>
      </c>
      <c r="J366" s="11">
        <f>data!H366</f>
        <v>192</v>
      </c>
      <c r="K366" s="11">
        <f>data!J366</f>
        <v>12</v>
      </c>
      <c r="L366" s="11">
        <f t="shared" si="21"/>
        <v>180</v>
      </c>
      <c r="M366" s="9">
        <f t="shared" si="22"/>
        <v>15</v>
      </c>
      <c r="N366" s="9">
        <f t="shared" si="23"/>
        <v>15</v>
      </c>
    </row>
    <row r="367" spans="1:14" x14ac:dyDescent="0.25">
      <c r="A367" t="str">
        <f>TEXT("1/"&amp;data!A367,"mmmm")</f>
        <v>février</v>
      </c>
      <c r="B367">
        <f>data!B367</f>
        <v>2016</v>
      </c>
      <c r="C367" t="str">
        <f>data!C367</f>
        <v>039</v>
      </c>
      <c r="D367" t="str">
        <f>data!D367</f>
        <v>LES VIGNERONS DES COTES D'AGLY</v>
      </c>
      <c r="E367" t="str">
        <f>data!E367</f>
        <v>039002</v>
      </c>
      <c r="F367" t="str">
        <f>data!F367</f>
        <v>VIGNERONS ALGLY AC MUSCAT DE RIVESALTES</v>
      </c>
      <c r="G367" s="10">
        <f>data!G367</f>
        <v>76.2</v>
      </c>
      <c r="H367" s="10">
        <f>data!I367</f>
        <v>0</v>
      </c>
      <c r="I367" s="10">
        <f t="shared" si="20"/>
        <v>76.2</v>
      </c>
      <c r="J367" s="11">
        <f>data!H367</f>
        <v>26.68</v>
      </c>
      <c r="K367" s="11">
        <f>data!J367</f>
        <v>0</v>
      </c>
      <c r="L367" s="11">
        <f t="shared" si="21"/>
        <v>26.68</v>
      </c>
      <c r="M367" s="9" t="str">
        <f t="shared" si="22"/>
        <v/>
      </c>
      <c r="N367" s="9" t="str">
        <f t="shared" si="23"/>
        <v/>
      </c>
    </row>
    <row r="368" spans="1:14" x14ac:dyDescent="0.25">
      <c r="A368" t="str">
        <f>TEXT("1/"&amp;data!A368,"mmmm")</f>
        <v>février</v>
      </c>
      <c r="B368">
        <f>data!B368</f>
        <v>2016</v>
      </c>
      <c r="C368" t="str">
        <f>data!C368</f>
        <v>039</v>
      </c>
      <c r="D368" t="str">
        <f>data!D368</f>
        <v>LES VIGNERONS DES COTES D'AGLY</v>
      </c>
      <c r="E368" t="str">
        <f>data!E368</f>
        <v>039013</v>
      </c>
      <c r="F368" t="str">
        <f>data!F368</f>
        <v>AC C.DU ROUSSILLON .MONTNER PREM</v>
      </c>
      <c r="G368" s="10">
        <f>data!G368</f>
        <v>106.56</v>
      </c>
      <c r="H368" s="10">
        <f>data!I368</f>
        <v>0</v>
      </c>
      <c r="I368" s="10">
        <f t="shared" si="20"/>
        <v>106.56</v>
      </c>
      <c r="J368" s="11">
        <f>data!H368</f>
        <v>24</v>
      </c>
      <c r="K368" s="11">
        <f>data!J368</f>
        <v>0</v>
      </c>
      <c r="L368" s="11">
        <f t="shared" si="21"/>
        <v>24</v>
      </c>
      <c r="M368" s="9" t="str">
        <f t="shared" si="22"/>
        <v/>
      </c>
      <c r="N368" s="9" t="str">
        <f t="shared" si="23"/>
        <v/>
      </c>
    </row>
    <row r="369" spans="1:14" x14ac:dyDescent="0.25">
      <c r="A369" t="str">
        <f>TEXT("1/"&amp;data!A369,"mmmm")</f>
        <v>février</v>
      </c>
      <c r="B369">
        <f>data!B369</f>
        <v>2016</v>
      </c>
      <c r="C369" t="str">
        <f>data!C369</f>
        <v>039</v>
      </c>
      <c r="D369" t="str">
        <f>data!D369</f>
        <v>LES VIGNERONS DES COTES D'AGLY</v>
      </c>
      <c r="E369" t="str">
        <f>data!E369</f>
        <v>039017</v>
      </c>
      <c r="F369" t="str">
        <f>data!F369</f>
        <v>AC C.ROUSSILLON VILL ARAGO</v>
      </c>
      <c r="G369" s="10">
        <f>data!G369</f>
        <v>189</v>
      </c>
      <c r="H369" s="10">
        <f>data!I369</f>
        <v>84</v>
      </c>
      <c r="I369" s="10">
        <f t="shared" si="20"/>
        <v>105</v>
      </c>
      <c r="J369" s="11">
        <f>data!H369</f>
        <v>54</v>
      </c>
      <c r="K369" s="11">
        <f>data!J369</f>
        <v>24</v>
      </c>
      <c r="L369" s="11">
        <f t="shared" si="21"/>
        <v>30</v>
      </c>
      <c r="M369" s="9">
        <f t="shared" si="22"/>
        <v>1.25</v>
      </c>
      <c r="N369" s="9">
        <f t="shared" si="23"/>
        <v>1.25</v>
      </c>
    </row>
    <row r="370" spans="1:14" x14ac:dyDescent="0.25">
      <c r="A370" t="str">
        <f>TEXT("1/"&amp;data!A370,"mmmm")</f>
        <v>février</v>
      </c>
      <c r="B370">
        <f>data!B370</f>
        <v>2016</v>
      </c>
      <c r="C370" t="str">
        <f>data!C370</f>
        <v>039</v>
      </c>
      <c r="D370" t="str">
        <f>data!D370</f>
        <v>LES VIGNERONS DES COTES D'AGLY</v>
      </c>
      <c r="E370" t="str">
        <f>data!E370</f>
        <v>039018</v>
      </c>
      <c r="F370" t="str">
        <f>data!F370</f>
        <v>AC C. ROUSSILLON N D LAVAL</v>
      </c>
      <c r="G370" s="10">
        <f>data!G370</f>
        <v>92.82</v>
      </c>
      <c r="H370" s="10">
        <f>data!I370</f>
        <v>0</v>
      </c>
      <c r="I370" s="10">
        <f t="shared" si="20"/>
        <v>92.82</v>
      </c>
      <c r="J370" s="11">
        <f>data!H370</f>
        <v>42</v>
      </c>
      <c r="K370" s="11">
        <f>data!J370</f>
        <v>0</v>
      </c>
      <c r="L370" s="11">
        <f t="shared" si="21"/>
        <v>42</v>
      </c>
      <c r="M370" s="9" t="str">
        <f t="shared" si="22"/>
        <v/>
      </c>
      <c r="N370" s="9" t="str">
        <f t="shared" si="23"/>
        <v/>
      </c>
    </row>
    <row r="371" spans="1:14" x14ac:dyDescent="0.25">
      <c r="A371" t="str">
        <f>TEXT("1/"&amp;data!A371,"mmmm")</f>
        <v>février</v>
      </c>
      <c r="B371">
        <f>data!B371</f>
        <v>2016</v>
      </c>
      <c r="C371" t="str">
        <f>data!C371</f>
        <v>039</v>
      </c>
      <c r="D371" t="str">
        <f>data!D371</f>
        <v>LES VIGNERONS DES COTES D'AGLY</v>
      </c>
      <c r="E371" t="str">
        <f>data!E371</f>
        <v>039028</v>
      </c>
      <c r="F371" t="str">
        <f>data!F371</f>
        <v>VDN MAURY</v>
      </c>
      <c r="G371" s="10">
        <f>data!G371</f>
        <v>141.6</v>
      </c>
      <c r="H371" s="10">
        <f>data!I371</f>
        <v>141.6</v>
      </c>
      <c r="I371" s="10">
        <f t="shared" si="20"/>
        <v>0</v>
      </c>
      <c r="J371" s="11">
        <f>data!H371</f>
        <v>30</v>
      </c>
      <c r="K371" s="11">
        <f>data!J371</f>
        <v>30</v>
      </c>
      <c r="L371" s="11">
        <f t="shared" si="21"/>
        <v>0</v>
      </c>
      <c r="M371" s="9">
        <f t="shared" si="22"/>
        <v>0</v>
      </c>
      <c r="N371" s="9">
        <f t="shared" si="23"/>
        <v>0</v>
      </c>
    </row>
    <row r="372" spans="1:14" x14ac:dyDescent="0.25">
      <c r="A372" t="str">
        <f>TEXT("1/"&amp;data!A372,"mmmm")</f>
        <v>février</v>
      </c>
      <c r="B372">
        <f>data!B372</f>
        <v>2016</v>
      </c>
      <c r="C372" t="str">
        <f>data!C372</f>
        <v>039</v>
      </c>
      <c r="D372" t="str">
        <f>data!D372</f>
        <v>LES VIGNERONS DES COTES D'AGLY</v>
      </c>
      <c r="E372" t="str">
        <f>data!E372</f>
        <v>039030</v>
      </c>
      <c r="F372" t="str">
        <f>data!F372</f>
        <v>VDN MUSCAT DE RIVESALTES</v>
      </c>
      <c r="G372" s="10">
        <f>data!G372</f>
        <v>43.32</v>
      </c>
      <c r="H372" s="10">
        <f>data!I372</f>
        <v>43.32</v>
      </c>
      <c r="I372" s="10">
        <f t="shared" si="20"/>
        <v>0</v>
      </c>
      <c r="J372" s="11">
        <f>data!H372</f>
        <v>12</v>
      </c>
      <c r="K372" s="11">
        <f>data!J372</f>
        <v>12</v>
      </c>
      <c r="L372" s="11">
        <f t="shared" si="21"/>
        <v>0</v>
      </c>
      <c r="M372" s="9">
        <f t="shared" si="22"/>
        <v>0</v>
      </c>
      <c r="N372" s="9">
        <f t="shared" si="23"/>
        <v>0</v>
      </c>
    </row>
    <row r="373" spans="1:14" x14ac:dyDescent="0.25">
      <c r="A373" t="str">
        <f>TEXT("1/"&amp;data!A373,"mmmm")</f>
        <v>février</v>
      </c>
      <c r="B373">
        <f>data!B373</f>
        <v>2016</v>
      </c>
      <c r="C373" t="str">
        <f>data!C373</f>
        <v>040</v>
      </c>
      <c r="D373" t="str">
        <f>data!D373</f>
        <v>CHÂTEAU DE LA GRAVE</v>
      </c>
      <c r="E373" t="str">
        <f>data!E373</f>
        <v>040006</v>
      </c>
      <c r="F373" t="str">
        <f>data!F373</f>
        <v>AC COTES DE BOURG CHATEAU DE LA GRAVE</v>
      </c>
      <c r="G373" s="10">
        <f>data!G373</f>
        <v>1706.4</v>
      </c>
      <c r="H373" s="10">
        <f>data!I373</f>
        <v>2289.6</v>
      </c>
      <c r="I373" s="10">
        <f t="shared" si="20"/>
        <v>-583.19999999999982</v>
      </c>
      <c r="J373" s="11">
        <f>data!H373</f>
        <v>480</v>
      </c>
      <c r="K373" s="11">
        <f>data!J373</f>
        <v>636</v>
      </c>
      <c r="L373" s="11">
        <f t="shared" si="21"/>
        <v>-156</v>
      </c>
      <c r="M373" s="9">
        <f t="shared" si="22"/>
        <v>-0.25471698113207542</v>
      </c>
      <c r="N373" s="9">
        <f t="shared" si="23"/>
        <v>-0.24528301886792453</v>
      </c>
    </row>
    <row r="374" spans="1:14" x14ac:dyDescent="0.25">
      <c r="A374" t="str">
        <f>TEXT("1/"&amp;data!A374,"mmmm")</f>
        <v>février</v>
      </c>
      <c r="B374">
        <f>data!B374</f>
        <v>2016</v>
      </c>
      <c r="C374" t="str">
        <f>data!C374</f>
        <v>040</v>
      </c>
      <c r="D374" t="str">
        <f>data!D374</f>
        <v>CHÂTEAU DE LA GRAVE</v>
      </c>
      <c r="E374" t="str">
        <f>data!E374</f>
        <v>040007</v>
      </c>
      <c r="F374" t="str">
        <f>data!F374</f>
        <v>AC COTES DE BOURG G DE LA GRAVE</v>
      </c>
      <c r="G374" s="10">
        <f>data!G374</f>
        <v>486.55</v>
      </c>
      <c r="H374" s="10">
        <f>data!I374</f>
        <v>349.65</v>
      </c>
      <c r="I374" s="10">
        <f t="shared" si="20"/>
        <v>136.90000000000003</v>
      </c>
      <c r="J374" s="11">
        <f>data!H374</f>
        <v>260.13</v>
      </c>
      <c r="K374" s="11">
        <f>data!J374</f>
        <v>186.76</v>
      </c>
      <c r="L374" s="11">
        <f t="shared" si="21"/>
        <v>73.37</v>
      </c>
      <c r="M374" s="9">
        <f t="shared" si="22"/>
        <v>0.39153439153439168</v>
      </c>
      <c r="N374" s="9">
        <f t="shared" si="23"/>
        <v>0.3928571428571429</v>
      </c>
    </row>
    <row r="375" spans="1:14" x14ac:dyDescent="0.25">
      <c r="A375" t="str">
        <f>TEXT("1/"&amp;data!A375,"mmmm")</f>
        <v>février</v>
      </c>
      <c r="B375">
        <f>data!B375</f>
        <v>2016</v>
      </c>
      <c r="C375" t="str">
        <f>data!C375</f>
        <v>040</v>
      </c>
      <c r="D375" t="str">
        <f>data!D375</f>
        <v>CHÂTEAU DE LA GRAVE</v>
      </c>
      <c r="E375" t="str">
        <f>data!E375</f>
        <v>040008</v>
      </c>
      <c r="F375" t="str">
        <f>data!F375</f>
        <v>AC COTES DE BOURG G DE LA GRAVE</v>
      </c>
      <c r="G375" s="10">
        <f>data!G375</f>
        <v>378</v>
      </c>
      <c r="H375" s="10">
        <f>data!I375</f>
        <v>323.05</v>
      </c>
      <c r="I375" s="10">
        <f t="shared" si="20"/>
        <v>54.949999999999989</v>
      </c>
      <c r="J375" s="11">
        <f>data!H375</f>
        <v>199.95</v>
      </c>
      <c r="K375" s="11">
        <f>data!J375</f>
        <v>173.29</v>
      </c>
      <c r="L375" s="11">
        <f t="shared" si="21"/>
        <v>26.659999999999997</v>
      </c>
      <c r="M375" s="9">
        <f t="shared" si="22"/>
        <v>0.17009750812567709</v>
      </c>
      <c r="N375" s="9">
        <f t="shared" si="23"/>
        <v>0.15384615384615383</v>
      </c>
    </row>
    <row r="376" spans="1:14" x14ac:dyDescent="0.25">
      <c r="A376" t="str">
        <f>TEXT("1/"&amp;data!A376,"mmmm")</f>
        <v>février</v>
      </c>
      <c r="B376">
        <f>data!B376</f>
        <v>2016</v>
      </c>
      <c r="C376" t="str">
        <f>data!C376</f>
        <v>040</v>
      </c>
      <c r="D376" t="str">
        <f>data!D376</f>
        <v>CHÂTEAU DE LA GRAVE</v>
      </c>
      <c r="E376" t="str">
        <f>data!E376</f>
        <v>040009CB</v>
      </c>
      <c r="F376" t="str">
        <f>data!F376</f>
        <v>AC C.DE BOURG. BEL AIR</v>
      </c>
      <c r="G376" s="10">
        <f>data!G376</f>
        <v>15.39</v>
      </c>
      <c r="H376" s="10">
        <f>data!I376</f>
        <v>30.78</v>
      </c>
      <c r="I376" s="10">
        <f t="shared" si="20"/>
        <v>-15.39</v>
      </c>
      <c r="J376" s="11">
        <f>data!H376</f>
        <v>3</v>
      </c>
      <c r="K376" s="11">
        <f>data!J376</f>
        <v>6</v>
      </c>
      <c r="L376" s="11">
        <f t="shared" si="21"/>
        <v>-3</v>
      </c>
      <c r="M376" s="9">
        <f t="shared" si="22"/>
        <v>-0.5</v>
      </c>
      <c r="N376" s="9">
        <f t="shared" si="23"/>
        <v>-0.5</v>
      </c>
    </row>
    <row r="377" spans="1:14" x14ac:dyDescent="0.25">
      <c r="A377" t="str">
        <f>TEXT("1/"&amp;data!A377,"mmmm")</f>
        <v>février</v>
      </c>
      <c r="B377">
        <f>data!B377</f>
        <v>2016</v>
      </c>
      <c r="C377" t="str">
        <f>data!C377</f>
        <v>040</v>
      </c>
      <c r="D377" t="str">
        <f>data!D377</f>
        <v>CHÂTEAU DE LA GRAVE</v>
      </c>
      <c r="E377" t="str">
        <f>data!E377</f>
        <v>040011</v>
      </c>
      <c r="F377" t="str">
        <f>data!F377</f>
        <v>AC C DE BOURG BEL AIR</v>
      </c>
      <c r="G377" s="10">
        <f>data!G377</f>
        <v>81</v>
      </c>
      <c r="H377" s="10">
        <f>data!I377</f>
        <v>81</v>
      </c>
      <c r="I377" s="10">
        <f t="shared" si="20"/>
        <v>0</v>
      </c>
      <c r="J377" s="11">
        <f>data!H377</f>
        <v>18</v>
      </c>
      <c r="K377" s="11">
        <f>data!J377</f>
        <v>18</v>
      </c>
      <c r="L377" s="11">
        <f t="shared" si="21"/>
        <v>0</v>
      </c>
      <c r="M377" s="9">
        <f t="shared" si="22"/>
        <v>0</v>
      </c>
      <c r="N377" s="9">
        <f t="shared" si="23"/>
        <v>0</v>
      </c>
    </row>
    <row r="378" spans="1:14" x14ac:dyDescent="0.25">
      <c r="A378" t="str">
        <f>TEXT("1/"&amp;data!A378,"mmmm")</f>
        <v>février</v>
      </c>
      <c r="B378">
        <f>data!B378</f>
        <v>2016</v>
      </c>
      <c r="C378" t="str">
        <f>data!C378</f>
        <v>040</v>
      </c>
      <c r="D378" t="str">
        <f>data!D378</f>
        <v>CHÂTEAU DE LA GRAVE</v>
      </c>
      <c r="E378" t="str">
        <f>data!E378</f>
        <v>040012</v>
      </c>
      <c r="F378" t="str">
        <f>data!F378</f>
        <v>AC C DE BOURG BEL AIR</v>
      </c>
      <c r="G378" s="10">
        <f>data!G378</f>
        <v>144.9</v>
      </c>
      <c r="H378" s="10">
        <f>data!I378</f>
        <v>96.6</v>
      </c>
      <c r="I378" s="10">
        <f t="shared" si="20"/>
        <v>48.300000000000011</v>
      </c>
      <c r="J378" s="11">
        <f>data!H378</f>
        <v>36</v>
      </c>
      <c r="K378" s="11">
        <f>data!J378</f>
        <v>24</v>
      </c>
      <c r="L378" s="11">
        <f t="shared" si="21"/>
        <v>12</v>
      </c>
      <c r="M378" s="9">
        <f t="shared" si="22"/>
        <v>0.50000000000000011</v>
      </c>
      <c r="N378" s="9">
        <f t="shared" si="23"/>
        <v>0.5</v>
      </c>
    </row>
    <row r="379" spans="1:14" x14ac:dyDescent="0.25">
      <c r="A379" t="str">
        <f>TEXT("1/"&amp;data!A379,"mmmm")</f>
        <v>février</v>
      </c>
      <c r="B379">
        <f>data!B379</f>
        <v>2016</v>
      </c>
      <c r="C379" t="str">
        <f>data!C379</f>
        <v>040</v>
      </c>
      <c r="D379" t="str">
        <f>data!D379</f>
        <v>CHÂTEAU DE LA GRAVE</v>
      </c>
      <c r="E379" t="str">
        <f>data!E379</f>
        <v>040015</v>
      </c>
      <c r="F379" t="str">
        <f>data!F379</f>
        <v>AC C DE BOURG. CARACTERE</v>
      </c>
      <c r="G379" s="10">
        <f>data!G379</f>
        <v>623.70000000000005</v>
      </c>
      <c r="H379" s="10">
        <f>data!I379</f>
        <v>57</v>
      </c>
      <c r="I379" s="10">
        <f t="shared" si="20"/>
        <v>566.70000000000005</v>
      </c>
      <c r="J379" s="11">
        <f>data!H379</f>
        <v>126</v>
      </c>
      <c r="K379" s="11">
        <f>data!J379</f>
        <v>12</v>
      </c>
      <c r="L379" s="11">
        <f t="shared" si="21"/>
        <v>114</v>
      </c>
      <c r="M379" s="9">
        <f t="shared" si="22"/>
        <v>9.9421052631578952</v>
      </c>
      <c r="N379" s="9">
        <f t="shared" si="23"/>
        <v>9.5</v>
      </c>
    </row>
    <row r="380" spans="1:14" x14ac:dyDescent="0.25">
      <c r="A380" t="str">
        <f>TEXT("1/"&amp;data!A380,"mmmm")</f>
        <v>février</v>
      </c>
      <c r="B380">
        <f>data!B380</f>
        <v>2016</v>
      </c>
      <c r="C380" t="str">
        <f>data!C380</f>
        <v>041</v>
      </c>
      <c r="D380" t="str">
        <f>data!D380</f>
        <v>CHATEAU TOUR DE PEZ</v>
      </c>
      <c r="E380" t="str">
        <f>data!E380</f>
        <v>041002</v>
      </c>
      <c r="F380" t="str">
        <f>data!F380</f>
        <v>AC ST ESTEPHE C.TOUR DE PEZ</v>
      </c>
      <c r="G380" s="10">
        <f>data!G380</f>
        <v>415.8</v>
      </c>
      <c r="H380" s="10">
        <f>data!I380</f>
        <v>135.6</v>
      </c>
      <c r="I380" s="10">
        <f t="shared" si="20"/>
        <v>280.20000000000005</v>
      </c>
      <c r="J380" s="11">
        <f>data!H380</f>
        <v>36</v>
      </c>
      <c r="K380" s="11">
        <f>data!J380</f>
        <v>12</v>
      </c>
      <c r="L380" s="11">
        <f t="shared" si="21"/>
        <v>24</v>
      </c>
      <c r="M380" s="9">
        <f t="shared" si="22"/>
        <v>2.0663716814159296</v>
      </c>
      <c r="N380" s="9">
        <f t="shared" si="23"/>
        <v>2</v>
      </c>
    </row>
    <row r="381" spans="1:14" x14ac:dyDescent="0.25">
      <c r="A381" t="str">
        <f>TEXT("1/"&amp;data!A381,"mmmm")</f>
        <v>février</v>
      </c>
      <c r="B381">
        <f>data!B381</f>
        <v>2016</v>
      </c>
      <c r="C381" t="str">
        <f>data!C381</f>
        <v>041</v>
      </c>
      <c r="D381" t="str">
        <f>data!D381</f>
        <v>CHATEAU TOUR DE PEZ</v>
      </c>
      <c r="E381" t="str">
        <f>data!E381</f>
        <v>041006</v>
      </c>
      <c r="F381" t="str">
        <f>data!F381</f>
        <v>AC ST ESTEPHE. C.LES HAUTS  DE PEZ</v>
      </c>
      <c r="G381" s="10">
        <f>data!G381</f>
        <v>54</v>
      </c>
      <c r="H381" s="10">
        <f>data!I381</f>
        <v>0</v>
      </c>
      <c r="I381" s="10">
        <f t="shared" si="20"/>
        <v>54</v>
      </c>
      <c r="J381" s="11">
        <f>data!H381</f>
        <v>6</v>
      </c>
      <c r="K381" s="11">
        <f>data!J381</f>
        <v>0</v>
      </c>
      <c r="L381" s="11">
        <f t="shared" si="21"/>
        <v>6</v>
      </c>
      <c r="M381" s="9" t="str">
        <f t="shared" si="22"/>
        <v/>
      </c>
      <c r="N381" s="9" t="str">
        <f t="shared" si="23"/>
        <v/>
      </c>
    </row>
    <row r="382" spans="1:14" x14ac:dyDescent="0.25">
      <c r="A382" t="str">
        <f>TEXT("1/"&amp;data!A382,"mmmm")</f>
        <v>février</v>
      </c>
      <c r="B382">
        <f>data!B382</f>
        <v>2016</v>
      </c>
      <c r="C382" t="str">
        <f>data!C382</f>
        <v>041</v>
      </c>
      <c r="D382" t="str">
        <f>data!D382</f>
        <v>CHATEAU TOUR DE PEZ</v>
      </c>
      <c r="E382" t="str">
        <f>data!E382</f>
        <v>041011</v>
      </c>
      <c r="F382" t="str">
        <f>data!F382</f>
        <v>AC ST ESTEPHE CRU BOURGEOIS C.HTS PEZ</v>
      </c>
      <c r="G382" s="10">
        <f>data!G382</f>
        <v>105</v>
      </c>
      <c r="H382" s="10">
        <f>data!I382</f>
        <v>210</v>
      </c>
      <c r="I382" s="10">
        <f t="shared" si="20"/>
        <v>-105</v>
      </c>
      <c r="J382" s="11">
        <f>data!H382</f>
        <v>12</v>
      </c>
      <c r="K382" s="11">
        <f>data!J382</f>
        <v>24</v>
      </c>
      <c r="L382" s="11">
        <f t="shared" si="21"/>
        <v>-12</v>
      </c>
      <c r="M382" s="9">
        <f t="shared" si="22"/>
        <v>-0.5</v>
      </c>
      <c r="N382" s="9">
        <f t="shared" si="23"/>
        <v>-0.5</v>
      </c>
    </row>
    <row r="383" spans="1:14" x14ac:dyDescent="0.25">
      <c r="A383" t="str">
        <f>TEXT("1/"&amp;data!A383,"mmmm")</f>
        <v>février</v>
      </c>
      <c r="B383">
        <f>data!B383</f>
        <v>2016</v>
      </c>
      <c r="C383" t="str">
        <f>data!C383</f>
        <v>041</v>
      </c>
      <c r="D383" t="str">
        <f>data!D383</f>
        <v>CHATEAU TOUR DE PEZ</v>
      </c>
      <c r="E383" t="str">
        <f>data!E383</f>
        <v>041016</v>
      </c>
      <c r="F383" t="str">
        <f>data!F383</f>
        <v>AOP SAINT- ESTEPHE CH LES HAUTS DE PEZ</v>
      </c>
      <c r="G383" s="10">
        <f>data!G383</f>
        <v>350.7</v>
      </c>
      <c r="H383" s="10">
        <f>data!I383</f>
        <v>0</v>
      </c>
      <c r="I383" s="10">
        <f t="shared" si="20"/>
        <v>350.7</v>
      </c>
      <c r="J383" s="11">
        <f>data!H383</f>
        <v>42</v>
      </c>
      <c r="K383" s="11">
        <f>data!J383</f>
        <v>0</v>
      </c>
      <c r="L383" s="11">
        <f t="shared" si="21"/>
        <v>42</v>
      </c>
      <c r="M383" s="9" t="str">
        <f t="shared" si="22"/>
        <v/>
      </c>
      <c r="N383" s="9" t="str">
        <f t="shared" si="23"/>
        <v/>
      </c>
    </row>
    <row r="384" spans="1:14" x14ac:dyDescent="0.25">
      <c r="A384" t="str">
        <f>TEXT("1/"&amp;data!A384,"mmmm")</f>
        <v>février</v>
      </c>
      <c r="B384">
        <f>data!B384</f>
        <v>2016</v>
      </c>
      <c r="C384" t="str">
        <f>data!C384</f>
        <v>042</v>
      </c>
      <c r="D384" t="str">
        <f>data!D384</f>
        <v>LE CELLIER DES PRINCES</v>
      </c>
      <c r="E384" t="str">
        <f>data!E384</f>
        <v>042100</v>
      </c>
      <c r="F384" t="str">
        <f>data!F384</f>
        <v>IGP VAUCLUSE</v>
      </c>
      <c r="G384" s="10">
        <f>data!G384</f>
        <v>576</v>
      </c>
      <c r="H384" s="10">
        <f>data!I384</f>
        <v>0</v>
      </c>
      <c r="I384" s="10">
        <f t="shared" si="20"/>
        <v>576</v>
      </c>
      <c r="J384" s="11">
        <f>data!H384</f>
        <v>79998.000000000015</v>
      </c>
      <c r="K384" s="11">
        <f>data!J384</f>
        <v>0</v>
      </c>
      <c r="L384" s="11">
        <f t="shared" si="21"/>
        <v>79998.000000000015</v>
      </c>
      <c r="M384" s="9" t="str">
        <f t="shared" si="22"/>
        <v/>
      </c>
      <c r="N384" s="9" t="str">
        <f t="shared" si="23"/>
        <v/>
      </c>
    </row>
    <row r="385" spans="1:14" x14ac:dyDescent="0.25">
      <c r="A385" t="str">
        <f>TEXT("1/"&amp;data!A385,"mmmm")</f>
        <v>février</v>
      </c>
      <c r="B385">
        <f>data!B385</f>
        <v>2016</v>
      </c>
      <c r="C385" t="str">
        <f>data!C385</f>
        <v>046</v>
      </c>
      <c r="D385" t="str">
        <f>data!D385</f>
        <v>MR JEAN PIERRE CABANES</v>
      </c>
      <c r="E385" t="str">
        <f>data!E385</f>
        <v>046001</v>
      </c>
      <c r="F385" t="str">
        <f>data!F385</f>
        <v>AC CTX DU LANGU TRAD D.ARCHIMBAUD</v>
      </c>
      <c r="G385" s="10">
        <f>data!G385</f>
        <v>270.60000000000002</v>
      </c>
      <c r="H385" s="10">
        <f>data!I385</f>
        <v>136.80000000000001</v>
      </c>
      <c r="I385" s="10">
        <f t="shared" si="20"/>
        <v>133.80000000000001</v>
      </c>
      <c r="J385" s="11">
        <f>data!H385</f>
        <v>66</v>
      </c>
      <c r="K385" s="11">
        <f>data!J385</f>
        <v>36</v>
      </c>
      <c r="L385" s="11">
        <f t="shared" si="21"/>
        <v>30</v>
      </c>
      <c r="M385" s="9">
        <f t="shared" si="22"/>
        <v>0.97807017543859653</v>
      </c>
      <c r="N385" s="9">
        <f t="shared" si="23"/>
        <v>0.83333333333333337</v>
      </c>
    </row>
    <row r="386" spans="1:14" x14ac:dyDescent="0.25">
      <c r="A386" t="str">
        <f>TEXT("1/"&amp;data!A386,"mmmm")</f>
        <v>février</v>
      </c>
      <c r="B386">
        <f>data!B386</f>
        <v>2016</v>
      </c>
      <c r="C386" t="str">
        <f>data!C386</f>
        <v>046</v>
      </c>
      <c r="D386" t="str">
        <f>data!D386</f>
        <v>MR JEAN PIERRE CABANES</v>
      </c>
      <c r="E386" t="str">
        <f>data!E386</f>
        <v>046010</v>
      </c>
      <c r="F386" t="str">
        <f>data!F386</f>
        <v>AC COT DU LANG ROBE POURPRE</v>
      </c>
      <c r="G386" s="10">
        <f>data!G386</f>
        <v>230.4</v>
      </c>
      <c r="H386" s="10">
        <f>data!I386</f>
        <v>0</v>
      </c>
      <c r="I386" s="10">
        <f t="shared" si="20"/>
        <v>230.4</v>
      </c>
      <c r="J386" s="11">
        <f>data!H386</f>
        <v>36</v>
      </c>
      <c r="K386" s="11">
        <f>data!J386</f>
        <v>0</v>
      </c>
      <c r="L386" s="11">
        <f t="shared" si="21"/>
        <v>36</v>
      </c>
      <c r="M386" s="9" t="str">
        <f t="shared" si="22"/>
        <v/>
      </c>
      <c r="N386" s="9" t="str">
        <f t="shared" si="23"/>
        <v/>
      </c>
    </row>
    <row r="387" spans="1:14" x14ac:dyDescent="0.25">
      <c r="A387" t="str">
        <f>TEXT("1/"&amp;data!A387,"mmmm")</f>
        <v>février</v>
      </c>
      <c r="B387">
        <f>data!B387</f>
        <v>2016</v>
      </c>
      <c r="C387" t="str">
        <f>data!C387</f>
        <v>046</v>
      </c>
      <c r="D387" t="str">
        <f>data!D387</f>
        <v>MR JEAN PIERRE CABANES</v>
      </c>
      <c r="E387" t="str">
        <f>data!E387</f>
        <v>046015</v>
      </c>
      <c r="F387" t="str">
        <f>data!F387</f>
        <v>AC COT DU LANGU D.ARCHIMBAUD</v>
      </c>
      <c r="G387" s="10">
        <f>data!G387</f>
        <v>126</v>
      </c>
      <c r="H387" s="10">
        <f>data!I387</f>
        <v>57.6</v>
      </c>
      <c r="I387" s="10">
        <f t="shared" ref="I387:I450" si="24">G387-H387</f>
        <v>68.400000000000006</v>
      </c>
      <c r="J387" s="11">
        <f>data!H387</f>
        <v>36</v>
      </c>
      <c r="K387" s="11">
        <f>data!J387</f>
        <v>18</v>
      </c>
      <c r="L387" s="11">
        <f t="shared" ref="L387:L450" si="25">J387-K387</f>
        <v>18</v>
      </c>
      <c r="M387" s="9">
        <f t="shared" ref="M387:M450" si="26">IF(ISERR(I387/H387),"",I387/H387)</f>
        <v>1.1875</v>
      </c>
      <c r="N387" s="9">
        <f t="shared" ref="N387:N450" si="27">IF(ISERR(L387/K387),"",L387/K387)</f>
        <v>1</v>
      </c>
    </row>
    <row r="388" spans="1:14" x14ac:dyDescent="0.25">
      <c r="A388" t="str">
        <f>TEXT("1/"&amp;data!A388,"mmmm")</f>
        <v>février</v>
      </c>
      <c r="B388">
        <f>data!B388</f>
        <v>2016</v>
      </c>
      <c r="C388" t="str">
        <f>data!C388</f>
        <v>046</v>
      </c>
      <c r="D388" t="str">
        <f>data!D388</f>
        <v>MR JEAN PIERRE CABANES</v>
      </c>
      <c r="E388" t="str">
        <f>data!E388</f>
        <v>046020</v>
      </c>
      <c r="F388" t="str">
        <f>data!F388</f>
        <v>AC COTEAUX DU LANGUEDOC ENFANT TERRIBLE</v>
      </c>
      <c r="G388" s="10">
        <f>data!G388</f>
        <v>126</v>
      </c>
      <c r="H388" s="10">
        <f>data!I388</f>
        <v>0</v>
      </c>
      <c r="I388" s="10">
        <f t="shared" si="24"/>
        <v>126</v>
      </c>
      <c r="J388" s="11">
        <f>data!H388</f>
        <v>18</v>
      </c>
      <c r="K388" s="11">
        <f>data!J388</f>
        <v>0</v>
      </c>
      <c r="L388" s="11">
        <f t="shared" si="25"/>
        <v>18</v>
      </c>
      <c r="M388" s="9" t="str">
        <f t="shared" si="26"/>
        <v/>
      </c>
      <c r="N388" s="9" t="str">
        <f t="shared" si="27"/>
        <v/>
      </c>
    </row>
    <row r="389" spans="1:14" x14ac:dyDescent="0.25">
      <c r="A389" t="str">
        <f>TEXT("1/"&amp;data!A389,"mmmm")</f>
        <v>février</v>
      </c>
      <c r="B389">
        <f>data!B389</f>
        <v>2016</v>
      </c>
      <c r="C389" t="str">
        <f>data!C389</f>
        <v>046</v>
      </c>
      <c r="D389" t="str">
        <f>data!D389</f>
        <v>MR JEAN PIERRE CABANES</v>
      </c>
      <c r="E389" t="str">
        <f>data!E389</f>
        <v>046025</v>
      </c>
      <c r="F389" t="str">
        <f>data!F389</f>
        <v>IGP MONTBAUDILE</v>
      </c>
      <c r="G389" s="10">
        <f>data!G389</f>
        <v>69.599999999999994</v>
      </c>
      <c r="H389" s="10">
        <f>data!I389</f>
        <v>0</v>
      </c>
      <c r="I389" s="10">
        <f t="shared" si="24"/>
        <v>69.599999999999994</v>
      </c>
      <c r="J389" s="11">
        <f>data!H389</f>
        <v>12</v>
      </c>
      <c r="K389" s="11">
        <f>data!J389</f>
        <v>0</v>
      </c>
      <c r="L389" s="11">
        <f t="shared" si="25"/>
        <v>12</v>
      </c>
      <c r="M389" s="9" t="str">
        <f t="shared" si="26"/>
        <v/>
      </c>
      <c r="N389" s="9" t="str">
        <f t="shared" si="27"/>
        <v/>
      </c>
    </row>
    <row r="390" spans="1:14" x14ac:dyDescent="0.25">
      <c r="A390" t="str">
        <f>TEXT("1/"&amp;data!A390,"mmmm")</f>
        <v>février</v>
      </c>
      <c r="B390">
        <f>data!B390</f>
        <v>2016</v>
      </c>
      <c r="C390" t="str">
        <f>data!C390</f>
        <v>049</v>
      </c>
      <c r="D390" t="str">
        <f>data!D390</f>
        <v>MAISON GRANDEAU</v>
      </c>
      <c r="E390" t="str">
        <f>data!E390</f>
        <v>049007</v>
      </c>
      <c r="F390" t="str">
        <f>data!F390</f>
        <v>AC BX SUP Tradi  CH LAUDUC</v>
      </c>
      <c r="G390" s="10">
        <f>data!G390</f>
        <v>237.6</v>
      </c>
      <c r="H390" s="10">
        <f>data!I390</f>
        <v>217.8</v>
      </c>
      <c r="I390" s="10">
        <f t="shared" si="24"/>
        <v>19.799999999999983</v>
      </c>
      <c r="J390" s="11">
        <f>data!H390</f>
        <v>72</v>
      </c>
      <c r="K390" s="11">
        <f>data!J390</f>
        <v>66</v>
      </c>
      <c r="L390" s="11">
        <f t="shared" si="25"/>
        <v>6</v>
      </c>
      <c r="M390" s="9">
        <f t="shared" si="26"/>
        <v>9.0909090909090828E-2</v>
      </c>
      <c r="N390" s="9">
        <f t="shared" si="27"/>
        <v>9.0909090909090912E-2</v>
      </c>
    </row>
    <row r="391" spans="1:14" x14ac:dyDescent="0.25">
      <c r="A391" t="str">
        <f>TEXT("1/"&amp;data!A391,"mmmm")</f>
        <v>février</v>
      </c>
      <c r="B391">
        <f>data!B391</f>
        <v>2016</v>
      </c>
      <c r="C391" t="str">
        <f>data!C391</f>
        <v>049</v>
      </c>
      <c r="D391" t="str">
        <f>data!D391</f>
        <v>MAISON GRANDEAU</v>
      </c>
      <c r="E391" t="str">
        <f>data!E391</f>
        <v>049014</v>
      </c>
      <c r="F391" t="str">
        <f>data!F391</f>
        <v>AC ENTRE DEUX MER CH FLAMAND BELLEVUE</v>
      </c>
      <c r="G391" s="10">
        <f>data!G391</f>
        <v>67.5</v>
      </c>
      <c r="H391" s="10">
        <f>data!I391</f>
        <v>0</v>
      </c>
      <c r="I391" s="10">
        <f t="shared" si="24"/>
        <v>67.5</v>
      </c>
      <c r="J391" s="11">
        <f>data!H391</f>
        <v>36</v>
      </c>
      <c r="K391" s="11">
        <f>data!J391</f>
        <v>0</v>
      </c>
      <c r="L391" s="11">
        <f t="shared" si="25"/>
        <v>36</v>
      </c>
      <c r="M391" s="9" t="str">
        <f t="shared" si="26"/>
        <v/>
      </c>
      <c r="N391" s="9" t="str">
        <f t="shared" si="27"/>
        <v/>
      </c>
    </row>
    <row r="392" spans="1:14" x14ac:dyDescent="0.25">
      <c r="A392" t="str">
        <f>TEXT("1/"&amp;data!A392,"mmmm")</f>
        <v>février</v>
      </c>
      <c r="B392">
        <f>data!B392</f>
        <v>2016</v>
      </c>
      <c r="C392" t="str">
        <f>data!C392</f>
        <v>049</v>
      </c>
      <c r="D392" t="str">
        <f>data!D392</f>
        <v>MAISON GRANDEAU</v>
      </c>
      <c r="E392" t="str">
        <f>data!E392</f>
        <v>049015</v>
      </c>
      <c r="F392" t="str">
        <f>data!F392</f>
        <v>AC BDX Classic CH LAUDUC</v>
      </c>
      <c r="G392" s="10">
        <f>data!G392</f>
        <v>68.400000000000006</v>
      </c>
      <c r="H392" s="10">
        <f>data!I392</f>
        <v>444.6</v>
      </c>
      <c r="I392" s="10">
        <f t="shared" si="24"/>
        <v>-376.20000000000005</v>
      </c>
      <c r="J392" s="11">
        <f>data!H392</f>
        <v>30</v>
      </c>
      <c r="K392" s="11">
        <f>data!J392</f>
        <v>162</v>
      </c>
      <c r="L392" s="11">
        <f t="shared" si="25"/>
        <v>-132</v>
      </c>
      <c r="M392" s="9">
        <f t="shared" si="26"/>
        <v>-0.84615384615384626</v>
      </c>
      <c r="N392" s="9">
        <f t="shared" si="27"/>
        <v>-0.81481481481481477</v>
      </c>
    </row>
    <row r="393" spans="1:14" x14ac:dyDescent="0.25">
      <c r="A393" t="str">
        <f>TEXT("1/"&amp;data!A393,"mmmm")</f>
        <v>février</v>
      </c>
      <c r="B393">
        <f>data!B393</f>
        <v>2016</v>
      </c>
      <c r="C393" t="str">
        <f>data!C393</f>
        <v>049</v>
      </c>
      <c r="D393" t="str">
        <f>data!D393</f>
        <v>MAISON GRANDEAU</v>
      </c>
      <c r="E393" t="str">
        <f>data!E393</f>
        <v>049016</v>
      </c>
      <c r="F393" t="str">
        <f>data!F393</f>
        <v>AC BDX Classic CH LAUDUC</v>
      </c>
      <c r="G393" s="10">
        <f>data!G393</f>
        <v>43.2</v>
      </c>
      <c r="H393" s="10">
        <f>data!I393</f>
        <v>126</v>
      </c>
      <c r="I393" s="10">
        <f t="shared" si="24"/>
        <v>-82.8</v>
      </c>
      <c r="J393" s="11">
        <f>data!H393</f>
        <v>12</v>
      </c>
      <c r="K393" s="11">
        <f>data!J393</f>
        <v>36</v>
      </c>
      <c r="L393" s="11">
        <f t="shared" si="25"/>
        <v>-24</v>
      </c>
      <c r="M393" s="9">
        <f t="shared" si="26"/>
        <v>-0.65714285714285714</v>
      </c>
      <c r="N393" s="9">
        <f t="shared" si="27"/>
        <v>-0.66666666666666663</v>
      </c>
    </row>
    <row r="394" spans="1:14" x14ac:dyDescent="0.25">
      <c r="A394" t="str">
        <f>TEXT("1/"&amp;data!A394,"mmmm")</f>
        <v>février</v>
      </c>
      <c r="B394">
        <f>data!B394</f>
        <v>2016</v>
      </c>
      <c r="C394" t="str">
        <f>data!C394</f>
        <v>049</v>
      </c>
      <c r="D394" t="str">
        <f>data!D394</f>
        <v>MAISON GRANDEAU</v>
      </c>
      <c r="E394" t="str">
        <f>data!E394</f>
        <v>049020</v>
      </c>
      <c r="F394" t="str">
        <f>data!F394</f>
        <v>AC BDX CH.FLAMAND BELLEVUE</v>
      </c>
      <c r="G394" s="10">
        <f>data!G394</f>
        <v>661.5</v>
      </c>
      <c r="H394" s="10">
        <f>data!I394</f>
        <v>399.9</v>
      </c>
      <c r="I394" s="10">
        <f t="shared" si="24"/>
        <v>261.60000000000002</v>
      </c>
      <c r="J394" s="11">
        <f>data!H394</f>
        <v>300</v>
      </c>
      <c r="K394" s="11">
        <f>data!J394</f>
        <v>198</v>
      </c>
      <c r="L394" s="11">
        <f t="shared" si="25"/>
        <v>102</v>
      </c>
      <c r="M394" s="9">
        <f t="shared" si="26"/>
        <v>0.65416354088522144</v>
      </c>
      <c r="N394" s="9">
        <f t="shared" si="27"/>
        <v>0.51515151515151514</v>
      </c>
    </row>
    <row r="395" spans="1:14" x14ac:dyDescent="0.25">
      <c r="A395" t="str">
        <f>TEXT("1/"&amp;data!A395,"mmmm")</f>
        <v>février</v>
      </c>
      <c r="B395">
        <f>data!B395</f>
        <v>2016</v>
      </c>
      <c r="C395" t="str">
        <f>data!C395</f>
        <v>049</v>
      </c>
      <c r="D395" t="str">
        <f>data!D395</f>
        <v>MAISON GRANDEAU</v>
      </c>
      <c r="E395" t="str">
        <f>data!E395</f>
        <v>049027</v>
      </c>
      <c r="F395" t="str">
        <f>data!F395</f>
        <v>AC BX SUP Tradi  CH LAUDUC</v>
      </c>
      <c r="G395" s="10">
        <f>data!G395</f>
        <v>40.5</v>
      </c>
      <c r="H395" s="10">
        <f>data!I395</f>
        <v>0</v>
      </c>
      <c r="I395" s="10">
        <f t="shared" si="24"/>
        <v>40.5</v>
      </c>
      <c r="J395" s="11">
        <f>data!H395</f>
        <v>12</v>
      </c>
      <c r="K395" s="11">
        <f>data!J395</f>
        <v>0</v>
      </c>
      <c r="L395" s="11">
        <f t="shared" si="25"/>
        <v>12</v>
      </c>
      <c r="M395" s="9" t="str">
        <f t="shared" si="26"/>
        <v/>
      </c>
      <c r="N395" s="9" t="str">
        <f t="shared" si="27"/>
        <v/>
      </c>
    </row>
    <row r="396" spans="1:14" x14ac:dyDescent="0.25">
      <c r="A396" t="str">
        <f>TEXT("1/"&amp;data!A396,"mmmm")</f>
        <v>février</v>
      </c>
      <c r="B396">
        <f>data!B396</f>
        <v>2016</v>
      </c>
      <c r="C396" t="str">
        <f>data!C396</f>
        <v>050</v>
      </c>
      <c r="D396" t="str">
        <f>data!D396</f>
        <v>CHÂTEAU HAUT LIGNIERES</v>
      </c>
      <c r="E396" t="str">
        <f>data!E396</f>
        <v>050001</v>
      </c>
      <c r="F396" t="str">
        <f>data!F396</f>
        <v>AC FAUGERES LE 1ER CH HAUT LIGNIERES</v>
      </c>
      <c r="G396" s="10">
        <f>data!G396</f>
        <v>1228.8</v>
      </c>
      <c r="H396" s="10">
        <f>data!I396</f>
        <v>1833.3</v>
      </c>
      <c r="I396" s="10">
        <f t="shared" si="24"/>
        <v>-604.5</v>
      </c>
      <c r="J396" s="11">
        <f>data!H396</f>
        <v>390</v>
      </c>
      <c r="K396" s="11">
        <f>data!J396</f>
        <v>582</v>
      </c>
      <c r="L396" s="11">
        <f t="shared" si="25"/>
        <v>-192</v>
      </c>
      <c r="M396" s="9">
        <f t="shared" si="26"/>
        <v>-0.32973326787759777</v>
      </c>
      <c r="N396" s="9">
        <f t="shared" si="27"/>
        <v>-0.32989690721649484</v>
      </c>
    </row>
    <row r="397" spans="1:14" x14ac:dyDescent="0.25">
      <c r="A397" t="str">
        <f>TEXT("1/"&amp;data!A397,"mmmm")</f>
        <v>février</v>
      </c>
      <c r="B397">
        <f>data!B397</f>
        <v>2016</v>
      </c>
      <c r="C397" t="str">
        <f>data!C397</f>
        <v>050</v>
      </c>
      <c r="D397" t="str">
        <f>data!D397</f>
        <v>CHÂTEAU HAUT LIGNIERES</v>
      </c>
      <c r="E397" t="str">
        <f>data!E397</f>
        <v>050003</v>
      </c>
      <c r="F397" t="str">
        <f>data!F397</f>
        <v>AC FAUGERES HT LIGNIERES</v>
      </c>
      <c r="G397" s="10">
        <f>data!G397</f>
        <v>38.4</v>
      </c>
      <c r="H397" s="10">
        <f>data!I397</f>
        <v>37.799999999999997</v>
      </c>
      <c r="I397" s="10">
        <f t="shared" si="24"/>
        <v>0.60000000000000142</v>
      </c>
      <c r="J397" s="11">
        <f>data!H397</f>
        <v>12</v>
      </c>
      <c r="K397" s="11">
        <f>data!J397</f>
        <v>12</v>
      </c>
      <c r="L397" s="11">
        <f t="shared" si="25"/>
        <v>0</v>
      </c>
      <c r="M397" s="9">
        <f t="shared" si="26"/>
        <v>1.587301587301591E-2</v>
      </c>
      <c r="N397" s="9">
        <f t="shared" si="27"/>
        <v>0</v>
      </c>
    </row>
    <row r="398" spans="1:14" x14ac:dyDescent="0.25">
      <c r="A398" t="str">
        <f>TEXT("1/"&amp;data!A398,"mmmm")</f>
        <v>février</v>
      </c>
      <c r="B398">
        <f>data!B398</f>
        <v>2016</v>
      </c>
      <c r="C398" t="str">
        <f>data!C398</f>
        <v>050</v>
      </c>
      <c r="D398" t="str">
        <f>data!D398</f>
        <v>CHÂTEAU HAUT LIGNIERES</v>
      </c>
      <c r="E398" t="str">
        <f>data!E398</f>
        <v>050005</v>
      </c>
      <c r="F398" t="str">
        <f>data!F398</f>
        <v>AC FAUGERES ROMY CH HAUT LIGNIERES</v>
      </c>
      <c r="G398" s="10">
        <f>data!G398</f>
        <v>105.6</v>
      </c>
      <c r="H398" s="10">
        <f>data!I398</f>
        <v>52.56</v>
      </c>
      <c r="I398" s="10">
        <f t="shared" si="24"/>
        <v>53.039999999999992</v>
      </c>
      <c r="J398" s="11">
        <f>data!H398</f>
        <v>24</v>
      </c>
      <c r="K398" s="11">
        <f>data!J398</f>
        <v>12</v>
      </c>
      <c r="L398" s="11">
        <f t="shared" si="25"/>
        <v>12</v>
      </c>
      <c r="M398" s="9">
        <f t="shared" si="26"/>
        <v>1.0091324200913241</v>
      </c>
      <c r="N398" s="9">
        <f t="shared" si="27"/>
        <v>1</v>
      </c>
    </row>
    <row r="399" spans="1:14" x14ac:dyDescent="0.25">
      <c r="A399" t="str">
        <f>TEXT("1/"&amp;data!A399,"mmmm")</f>
        <v>février</v>
      </c>
      <c r="B399">
        <f>data!B399</f>
        <v>2016</v>
      </c>
      <c r="C399" t="str">
        <f>data!C399</f>
        <v>050</v>
      </c>
      <c r="D399" t="str">
        <f>data!D399</f>
        <v>CHÂTEAU HAUT LIGNIERES</v>
      </c>
      <c r="E399" t="str">
        <f>data!E399</f>
        <v>050010</v>
      </c>
      <c r="F399" t="str">
        <f>data!F399</f>
        <v>AC FAUGERES CARMINA BUT</v>
      </c>
      <c r="G399" s="10">
        <f>data!G399</f>
        <v>156</v>
      </c>
      <c r="H399" s="10">
        <f>data!I399</f>
        <v>0</v>
      </c>
      <c r="I399" s="10">
        <f t="shared" si="24"/>
        <v>156</v>
      </c>
      <c r="J399" s="11">
        <f>data!H399</f>
        <v>24</v>
      </c>
      <c r="K399" s="11">
        <f>data!J399</f>
        <v>0</v>
      </c>
      <c r="L399" s="11">
        <f t="shared" si="25"/>
        <v>24</v>
      </c>
      <c r="M399" s="9" t="str">
        <f t="shared" si="26"/>
        <v/>
      </c>
      <c r="N399" s="9" t="str">
        <f t="shared" si="27"/>
        <v/>
      </c>
    </row>
    <row r="400" spans="1:14" x14ac:dyDescent="0.25">
      <c r="A400" t="str">
        <f>TEXT("1/"&amp;data!A400,"mmmm")</f>
        <v>février</v>
      </c>
      <c r="B400">
        <f>data!B400</f>
        <v>2016</v>
      </c>
      <c r="C400" t="str">
        <f>data!C400</f>
        <v>051</v>
      </c>
      <c r="D400" t="str">
        <f>data!D400</f>
        <v>CLOS TRIMOULET</v>
      </c>
      <c r="E400" t="str">
        <f>data!E400</f>
        <v>051000</v>
      </c>
      <c r="F400" t="str">
        <f>data!F400</f>
        <v>AC MONTAGNE ST EMILION .CH ST GEORGES</v>
      </c>
      <c r="G400" s="10">
        <f>data!G400</f>
        <v>4704</v>
      </c>
      <c r="H400" s="10">
        <f>data!I400</f>
        <v>2184</v>
      </c>
      <c r="I400" s="10">
        <f t="shared" si="24"/>
        <v>2520</v>
      </c>
      <c r="J400" s="11">
        <f>data!H400</f>
        <v>840</v>
      </c>
      <c r="K400" s="11">
        <f>data!J400</f>
        <v>390</v>
      </c>
      <c r="L400" s="11">
        <f t="shared" si="25"/>
        <v>450</v>
      </c>
      <c r="M400" s="9">
        <f t="shared" si="26"/>
        <v>1.1538461538461537</v>
      </c>
      <c r="N400" s="9">
        <f t="shared" si="27"/>
        <v>1.1538461538461537</v>
      </c>
    </row>
    <row r="401" spans="1:14" x14ac:dyDescent="0.25">
      <c r="A401" t="str">
        <f>TEXT("1/"&amp;data!A401,"mmmm")</f>
        <v>février</v>
      </c>
      <c r="B401">
        <f>data!B401</f>
        <v>2016</v>
      </c>
      <c r="C401" t="str">
        <f>data!C401</f>
        <v>051</v>
      </c>
      <c r="D401" t="str">
        <f>data!D401</f>
        <v>CLOS TRIMOULET</v>
      </c>
      <c r="E401" t="str">
        <f>data!E401</f>
        <v>051010/11</v>
      </c>
      <c r="F401" t="str">
        <f>data!F401</f>
        <v>CLOS TRIMOULET AC ST EMILION GD CRU</v>
      </c>
      <c r="G401" s="10">
        <f>data!G401</f>
        <v>3672.9</v>
      </c>
      <c r="H401" s="10">
        <f>data!I401</f>
        <v>0</v>
      </c>
      <c r="I401" s="10">
        <f t="shared" si="24"/>
        <v>3672.9</v>
      </c>
      <c r="J401" s="11">
        <f>data!H401</f>
        <v>462</v>
      </c>
      <c r="K401" s="11">
        <f>data!J401</f>
        <v>0</v>
      </c>
      <c r="L401" s="11">
        <f t="shared" si="25"/>
        <v>462</v>
      </c>
      <c r="M401" s="9" t="str">
        <f t="shared" si="26"/>
        <v/>
      </c>
      <c r="N401" s="9" t="str">
        <f t="shared" si="27"/>
        <v/>
      </c>
    </row>
    <row r="402" spans="1:14" x14ac:dyDescent="0.25">
      <c r="A402" t="str">
        <f>TEXT("1/"&amp;data!A402,"mmmm")</f>
        <v>février</v>
      </c>
      <c r="B402">
        <f>data!B402</f>
        <v>2016</v>
      </c>
      <c r="C402" t="str">
        <f>data!C402</f>
        <v>051</v>
      </c>
      <c r="D402" t="str">
        <f>data!D402</f>
        <v>CLOS TRIMOULET</v>
      </c>
      <c r="E402" t="str">
        <f>data!E402</f>
        <v>051017</v>
      </c>
      <c r="F402" t="str">
        <f>data!F402</f>
        <v>AC MONTAGNE ST EMILION CH ST GEORGES</v>
      </c>
      <c r="G402" s="10">
        <f>data!G402</f>
        <v>381</v>
      </c>
      <c r="H402" s="10">
        <f>data!I402</f>
        <v>152.4</v>
      </c>
      <c r="I402" s="10">
        <f t="shared" si="24"/>
        <v>228.6</v>
      </c>
      <c r="J402" s="11">
        <f>data!H402</f>
        <v>60</v>
      </c>
      <c r="K402" s="11">
        <f>data!J402</f>
        <v>24</v>
      </c>
      <c r="L402" s="11">
        <f t="shared" si="25"/>
        <v>36</v>
      </c>
      <c r="M402" s="9">
        <f t="shared" si="26"/>
        <v>1.5</v>
      </c>
      <c r="N402" s="9">
        <f t="shared" si="27"/>
        <v>1.5</v>
      </c>
    </row>
    <row r="403" spans="1:14" x14ac:dyDescent="0.25">
      <c r="A403" t="str">
        <f>TEXT("1/"&amp;data!A403,"mmmm")</f>
        <v>février</v>
      </c>
      <c r="B403">
        <f>data!B403</f>
        <v>2016</v>
      </c>
      <c r="C403" t="str">
        <f>data!C403</f>
        <v>051</v>
      </c>
      <c r="D403" t="str">
        <f>data!D403</f>
        <v>CLOS TRIMOULET</v>
      </c>
      <c r="E403" t="str">
        <f>data!E403</f>
        <v>051133</v>
      </c>
      <c r="F403" t="str">
        <f>data!F403</f>
        <v>CLOS TRIMOULET AC ST EMILION GRAND CRU</v>
      </c>
      <c r="G403" s="10">
        <f>data!G403</f>
        <v>739.2</v>
      </c>
      <c r="H403" s="10">
        <f>data!I403</f>
        <v>612</v>
      </c>
      <c r="I403" s="10">
        <f t="shared" si="24"/>
        <v>127.20000000000005</v>
      </c>
      <c r="J403" s="11">
        <f>data!H403</f>
        <v>84</v>
      </c>
      <c r="K403" s="11">
        <f>data!J403</f>
        <v>72</v>
      </c>
      <c r="L403" s="11">
        <f t="shared" si="25"/>
        <v>12</v>
      </c>
      <c r="M403" s="9">
        <f t="shared" si="26"/>
        <v>0.20784313725490203</v>
      </c>
      <c r="N403" s="9">
        <f t="shared" si="27"/>
        <v>0.16666666666666666</v>
      </c>
    </row>
    <row r="404" spans="1:14" x14ac:dyDescent="0.25">
      <c r="A404" t="str">
        <f>TEXT("1/"&amp;data!A404,"mmmm")</f>
        <v>février</v>
      </c>
      <c r="B404">
        <f>data!B404</f>
        <v>2016</v>
      </c>
      <c r="C404" t="str">
        <f>data!C404</f>
        <v>052</v>
      </c>
      <c r="D404" t="str">
        <f>data!D404</f>
        <v>GIRONDE ET GASCOGNE SARL</v>
      </c>
      <c r="E404" t="str">
        <f>data!E404</f>
        <v>052016</v>
      </c>
      <c r="F404" t="str">
        <f>data!F404</f>
        <v>CH RAMAGE LA BATISSE AC HAUT MEDOC CRU BOURGEOIS</v>
      </c>
      <c r="G404" s="10">
        <f>data!G404</f>
        <v>422.1</v>
      </c>
      <c r="H404" s="10">
        <f>data!I404</f>
        <v>0</v>
      </c>
      <c r="I404" s="10">
        <f t="shared" si="24"/>
        <v>422.1</v>
      </c>
      <c r="J404" s="11">
        <f>data!H404</f>
        <v>60</v>
      </c>
      <c r="K404" s="11">
        <f>data!J404</f>
        <v>0</v>
      </c>
      <c r="L404" s="11">
        <f t="shared" si="25"/>
        <v>60</v>
      </c>
      <c r="M404" s="9" t="str">
        <f t="shared" si="26"/>
        <v/>
      </c>
      <c r="N404" s="9" t="str">
        <f t="shared" si="27"/>
        <v/>
      </c>
    </row>
    <row r="405" spans="1:14" x14ac:dyDescent="0.25">
      <c r="A405" t="str">
        <f>TEXT("1/"&amp;data!A405,"mmmm")</f>
        <v>février</v>
      </c>
      <c r="B405">
        <f>data!B405</f>
        <v>2016</v>
      </c>
      <c r="C405" t="str">
        <f>data!C405</f>
        <v>052</v>
      </c>
      <c r="D405" t="str">
        <f>data!D405</f>
        <v>GIRONDE ET GASCOGNE SARL</v>
      </c>
      <c r="E405" t="str">
        <f>data!E405</f>
        <v>052017</v>
      </c>
      <c r="F405" t="str">
        <f>data!F405</f>
        <v>AC HT MEDOC CRU B CH RAMAGE LA BATISSE</v>
      </c>
      <c r="G405" s="10">
        <f>data!G405</f>
        <v>235.8</v>
      </c>
      <c r="H405" s="10">
        <f>data!I405</f>
        <v>353.7</v>
      </c>
      <c r="I405" s="10">
        <f t="shared" si="24"/>
        <v>-117.89999999999998</v>
      </c>
      <c r="J405" s="11">
        <f>data!H405</f>
        <v>24</v>
      </c>
      <c r="K405" s="11">
        <f>data!J405</f>
        <v>36</v>
      </c>
      <c r="L405" s="11">
        <f t="shared" si="25"/>
        <v>-12</v>
      </c>
      <c r="M405" s="9">
        <f t="shared" si="26"/>
        <v>-0.33333333333333326</v>
      </c>
      <c r="N405" s="9">
        <f t="shared" si="27"/>
        <v>-0.33333333333333331</v>
      </c>
    </row>
    <row r="406" spans="1:14" x14ac:dyDescent="0.25">
      <c r="A406" t="str">
        <f>TEXT("1/"&amp;data!A406,"mmmm")</f>
        <v>février</v>
      </c>
      <c r="B406">
        <f>data!B406</f>
        <v>2016</v>
      </c>
      <c r="C406" t="str">
        <f>data!C406</f>
        <v>052</v>
      </c>
      <c r="D406" t="str">
        <f>data!D406</f>
        <v>GIRONDE ET GASCOGNE SARL</v>
      </c>
      <c r="E406" t="str">
        <f>data!E406</f>
        <v>052021</v>
      </c>
      <c r="F406" t="str">
        <f>data!F406</f>
        <v>CH RAMAGE LA BATISSE AC HAUT MEDOC CRU BOURGEOIS C</v>
      </c>
      <c r="G406" s="10">
        <f>data!G406</f>
        <v>172.8</v>
      </c>
      <c r="H406" s="10">
        <f>data!I406</f>
        <v>230.4</v>
      </c>
      <c r="I406" s="10">
        <f t="shared" si="24"/>
        <v>-57.599999999999994</v>
      </c>
      <c r="J406" s="11">
        <f>data!H406</f>
        <v>18</v>
      </c>
      <c r="K406" s="11">
        <f>data!J406</f>
        <v>24</v>
      </c>
      <c r="L406" s="11">
        <f t="shared" si="25"/>
        <v>-6</v>
      </c>
      <c r="M406" s="9">
        <f t="shared" si="26"/>
        <v>-0.24999999999999997</v>
      </c>
      <c r="N406" s="9">
        <f t="shared" si="27"/>
        <v>-0.25</v>
      </c>
    </row>
    <row r="407" spans="1:14" x14ac:dyDescent="0.25">
      <c r="A407" t="str">
        <f>TEXT("1/"&amp;data!A407,"mmmm")</f>
        <v>février</v>
      </c>
      <c r="B407">
        <f>data!B407</f>
        <v>2016</v>
      </c>
      <c r="C407" t="str">
        <f>data!C407</f>
        <v>052</v>
      </c>
      <c r="D407" t="str">
        <f>data!D407</f>
        <v>GIRONDE ET GASCOGNE SARL</v>
      </c>
      <c r="E407" t="str">
        <f>data!E407</f>
        <v>052022</v>
      </c>
      <c r="F407" t="str">
        <f>data!F407</f>
        <v>CH RAMAGE LA BATISSE AC HAUT MEDOC CRU BOURGEOIS</v>
      </c>
      <c r="G407" s="10">
        <f>data!G407</f>
        <v>378</v>
      </c>
      <c r="H407" s="10">
        <f>data!I407</f>
        <v>152.4</v>
      </c>
      <c r="I407" s="10">
        <f t="shared" si="24"/>
        <v>225.6</v>
      </c>
      <c r="J407" s="11">
        <f>data!H407</f>
        <v>36</v>
      </c>
      <c r="K407" s="11">
        <f>data!J407</f>
        <v>12</v>
      </c>
      <c r="L407" s="11">
        <f t="shared" si="25"/>
        <v>24</v>
      </c>
      <c r="M407" s="9">
        <f t="shared" si="26"/>
        <v>1.4803149606299211</v>
      </c>
      <c r="N407" s="9">
        <f t="shared" si="27"/>
        <v>2</v>
      </c>
    </row>
    <row r="408" spans="1:14" x14ac:dyDescent="0.25">
      <c r="A408" t="str">
        <f>TEXT("1/"&amp;data!A408,"mmmm")</f>
        <v>février</v>
      </c>
      <c r="B408">
        <f>data!B408</f>
        <v>2016</v>
      </c>
      <c r="C408" t="str">
        <f>data!C408</f>
        <v>052</v>
      </c>
      <c r="D408" t="str">
        <f>data!D408</f>
        <v>GIRONDE ET GASCOGNE SARL</v>
      </c>
      <c r="E408" t="str">
        <f>data!E408</f>
        <v>052028</v>
      </c>
      <c r="F408" t="str">
        <f>data!F408</f>
        <v>AC BX LA ROSEE DE RAMAGE</v>
      </c>
      <c r="G408" s="10">
        <f>data!G408</f>
        <v>374.1</v>
      </c>
      <c r="H408" s="10">
        <f>data!I408</f>
        <v>286.2</v>
      </c>
      <c r="I408" s="10">
        <f t="shared" si="24"/>
        <v>87.900000000000034</v>
      </c>
      <c r="J408" s="11">
        <f>data!H408</f>
        <v>150</v>
      </c>
      <c r="K408" s="11">
        <f>data!J408</f>
        <v>108</v>
      </c>
      <c r="L408" s="11">
        <f t="shared" si="25"/>
        <v>42</v>
      </c>
      <c r="M408" s="9">
        <f t="shared" si="26"/>
        <v>0.30712788259958085</v>
      </c>
      <c r="N408" s="9">
        <f t="shared" si="27"/>
        <v>0.3888888888888889</v>
      </c>
    </row>
    <row r="409" spans="1:14" x14ac:dyDescent="0.25">
      <c r="A409" t="str">
        <f>TEXT("1/"&amp;data!A409,"mmmm")</f>
        <v>février</v>
      </c>
      <c r="B409">
        <f>data!B409</f>
        <v>2016</v>
      </c>
      <c r="C409" t="str">
        <f>data!C409</f>
        <v>052</v>
      </c>
      <c r="D409" t="str">
        <f>data!D409</f>
        <v>GIRONDE ET GASCOGNE SARL</v>
      </c>
      <c r="E409" t="str">
        <f>data!E409</f>
        <v>052039</v>
      </c>
      <c r="F409" t="str">
        <f>data!F409</f>
        <v>AC HT-MEDOC CLOS DE RAMAGE</v>
      </c>
      <c r="G409" s="10">
        <f>data!G409</f>
        <v>2013.9</v>
      </c>
      <c r="H409" s="10">
        <f>data!I409</f>
        <v>328.8</v>
      </c>
      <c r="I409" s="10">
        <f t="shared" si="24"/>
        <v>1685.1000000000001</v>
      </c>
      <c r="J409" s="11">
        <f>data!H409</f>
        <v>294</v>
      </c>
      <c r="K409" s="11">
        <f>data!J409</f>
        <v>48</v>
      </c>
      <c r="L409" s="11">
        <f t="shared" si="25"/>
        <v>246</v>
      </c>
      <c r="M409" s="9">
        <f t="shared" si="26"/>
        <v>5.125</v>
      </c>
      <c r="N409" s="9">
        <f t="shared" si="27"/>
        <v>5.125</v>
      </c>
    </row>
    <row r="410" spans="1:14" x14ac:dyDescent="0.25">
      <c r="A410" t="str">
        <f>TEXT("1/"&amp;data!A410,"mmmm")</f>
        <v>février</v>
      </c>
      <c r="B410">
        <f>data!B410</f>
        <v>2016</v>
      </c>
      <c r="C410" t="str">
        <f>data!C410</f>
        <v>052</v>
      </c>
      <c r="D410" t="str">
        <f>data!D410</f>
        <v>GIRONDE ET GASCOGNE SARL</v>
      </c>
      <c r="E410" t="str">
        <f>data!E410</f>
        <v>052046</v>
      </c>
      <c r="F410" t="str">
        <f>data!F410</f>
        <v>CLOS DE RAMAGE AC HAUT-MEDOC</v>
      </c>
      <c r="G410" s="10">
        <f>data!G410</f>
        <v>594.29999999999995</v>
      </c>
      <c r="H410" s="10">
        <f>data!I410</f>
        <v>0</v>
      </c>
      <c r="I410" s="10">
        <f t="shared" si="24"/>
        <v>594.29999999999995</v>
      </c>
      <c r="J410" s="11">
        <f>data!H410</f>
        <v>84</v>
      </c>
      <c r="K410" s="11">
        <f>data!J410</f>
        <v>0</v>
      </c>
      <c r="L410" s="11">
        <f t="shared" si="25"/>
        <v>84</v>
      </c>
      <c r="M410" s="9" t="str">
        <f t="shared" si="26"/>
        <v/>
      </c>
      <c r="N410" s="9" t="str">
        <f t="shared" si="27"/>
        <v/>
      </c>
    </row>
    <row r="411" spans="1:14" x14ac:dyDescent="0.25">
      <c r="A411" t="str">
        <f>TEXT("1/"&amp;data!A411,"mmmm")</f>
        <v>février</v>
      </c>
      <c r="B411">
        <f>data!B411</f>
        <v>2016</v>
      </c>
      <c r="C411" t="str">
        <f>data!C411</f>
        <v>052</v>
      </c>
      <c r="D411" t="str">
        <f>data!D411</f>
        <v>GIRONDE ET GASCOGNE SARL</v>
      </c>
      <c r="E411" t="str">
        <f>data!E411</f>
        <v>052067</v>
      </c>
      <c r="F411" t="str">
        <f>data!F411</f>
        <v>CH RAMAGE LA BATISSEAC HAUT MEDOC CRU BOURGEOIS</v>
      </c>
      <c r="G411" s="10">
        <f>data!G411</f>
        <v>1319.04</v>
      </c>
      <c r="H411" s="10">
        <f>data!I411</f>
        <v>0</v>
      </c>
      <c r="I411" s="10">
        <f t="shared" si="24"/>
        <v>1319.04</v>
      </c>
      <c r="J411" s="11">
        <f>data!H411</f>
        <v>192</v>
      </c>
      <c r="K411" s="11">
        <f>data!J411</f>
        <v>0</v>
      </c>
      <c r="L411" s="11">
        <f t="shared" si="25"/>
        <v>192</v>
      </c>
      <c r="M411" s="9" t="str">
        <f t="shared" si="26"/>
        <v/>
      </c>
      <c r="N411" s="9" t="str">
        <f t="shared" si="27"/>
        <v/>
      </c>
    </row>
    <row r="412" spans="1:14" x14ac:dyDescent="0.25">
      <c r="A412" t="str">
        <f>TEXT("1/"&amp;data!A412,"mmmm")</f>
        <v>février</v>
      </c>
      <c r="B412">
        <f>data!B412</f>
        <v>2016</v>
      </c>
      <c r="C412" t="str">
        <f>data!C412</f>
        <v>054</v>
      </c>
      <c r="D412" t="str">
        <f>data!D412</f>
        <v>CHÂTEAU JEANDEMAN</v>
      </c>
      <c r="E412" t="str">
        <f>data!E412</f>
        <v>054002</v>
      </c>
      <c r="F412" t="str">
        <f>data!F412</f>
        <v>AC FRONSAC CH JEANDEMAN</v>
      </c>
      <c r="G412" s="10">
        <f>data!G412</f>
        <v>144</v>
      </c>
      <c r="H412" s="10">
        <f>data!I412</f>
        <v>0</v>
      </c>
      <c r="I412" s="10">
        <f t="shared" si="24"/>
        <v>144</v>
      </c>
      <c r="J412" s="11">
        <f>data!H412</f>
        <v>30</v>
      </c>
      <c r="K412" s="11">
        <f>data!J412</f>
        <v>0</v>
      </c>
      <c r="L412" s="11">
        <f t="shared" si="25"/>
        <v>30</v>
      </c>
      <c r="M412" s="9" t="str">
        <f t="shared" si="26"/>
        <v/>
      </c>
      <c r="N412" s="9" t="str">
        <f t="shared" si="27"/>
        <v/>
      </c>
    </row>
    <row r="413" spans="1:14" x14ac:dyDescent="0.25">
      <c r="A413" t="str">
        <f>TEXT("1/"&amp;data!A413,"mmmm")</f>
        <v>février</v>
      </c>
      <c r="B413">
        <f>data!B413</f>
        <v>2016</v>
      </c>
      <c r="C413" t="str">
        <f>data!C413</f>
        <v>054</v>
      </c>
      <c r="D413" t="str">
        <f>data!D413</f>
        <v>CHÂTEAU JEANDEMAN</v>
      </c>
      <c r="E413" t="str">
        <f>data!E413</f>
        <v>054005</v>
      </c>
      <c r="F413" t="str">
        <f>data!F413</f>
        <v>AC LALANDE DE POMEROL. CH LABORDE</v>
      </c>
      <c r="G413" s="10">
        <f>data!G413</f>
        <v>132.30000000000001</v>
      </c>
      <c r="H413" s="10">
        <f>data!I413</f>
        <v>0</v>
      </c>
      <c r="I413" s="10">
        <f t="shared" si="24"/>
        <v>132.30000000000001</v>
      </c>
      <c r="J413" s="11">
        <f>data!H413</f>
        <v>18</v>
      </c>
      <c r="K413" s="11">
        <f>data!J413</f>
        <v>0</v>
      </c>
      <c r="L413" s="11">
        <f t="shared" si="25"/>
        <v>18</v>
      </c>
      <c r="M413" s="9" t="str">
        <f t="shared" si="26"/>
        <v/>
      </c>
      <c r="N413" s="9" t="str">
        <f t="shared" si="27"/>
        <v/>
      </c>
    </row>
    <row r="414" spans="1:14" x14ac:dyDescent="0.25">
      <c r="A414" t="str">
        <f>TEXT("1/"&amp;data!A414,"mmmm")</f>
        <v>février</v>
      </c>
      <c r="B414">
        <f>data!B414</f>
        <v>2016</v>
      </c>
      <c r="C414" t="str">
        <f>data!C414</f>
        <v>054</v>
      </c>
      <c r="D414" t="str">
        <f>data!D414</f>
        <v>CHÂTEAU JEANDEMAN</v>
      </c>
      <c r="E414" t="str">
        <f>data!E414</f>
        <v>054011</v>
      </c>
      <c r="F414" t="str">
        <f>data!F414</f>
        <v>AC PESSAC LEOGNAN. CH MANCEDRE</v>
      </c>
      <c r="G414" s="10">
        <f>data!G414</f>
        <v>323.39999999999998</v>
      </c>
      <c r="H414" s="10">
        <f>data!I414</f>
        <v>46.2</v>
      </c>
      <c r="I414" s="10">
        <f t="shared" si="24"/>
        <v>277.2</v>
      </c>
      <c r="J414" s="11">
        <f>data!H414</f>
        <v>42</v>
      </c>
      <c r="K414" s="11">
        <f>data!J414</f>
        <v>6</v>
      </c>
      <c r="L414" s="11">
        <f t="shared" si="25"/>
        <v>36</v>
      </c>
      <c r="M414" s="9">
        <f t="shared" si="26"/>
        <v>5.9999999999999991</v>
      </c>
      <c r="N414" s="9">
        <f t="shared" si="27"/>
        <v>6</v>
      </c>
    </row>
    <row r="415" spans="1:14" x14ac:dyDescent="0.25">
      <c r="A415" t="str">
        <f>TEXT("1/"&amp;data!A415,"mmmm")</f>
        <v>février</v>
      </c>
      <c r="B415">
        <f>data!B415</f>
        <v>2016</v>
      </c>
      <c r="C415" t="str">
        <f>data!C415</f>
        <v>059</v>
      </c>
      <c r="D415" t="str">
        <f>data!D415</f>
        <v>CH DU ROUET</v>
      </c>
      <c r="E415" t="str">
        <f>data!E415</f>
        <v>059002</v>
      </c>
      <c r="F415" t="str">
        <f>data!F415</f>
        <v>AC C.PROVENCE. ESTERELLE .ROUET</v>
      </c>
      <c r="G415" s="10">
        <f>data!G415</f>
        <v>327.60000000000002</v>
      </c>
      <c r="H415" s="10">
        <f>data!I415</f>
        <v>73.8</v>
      </c>
      <c r="I415" s="10">
        <f t="shared" si="24"/>
        <v>253.8</v>
      </c>
      <c r="J415" s="11">
        <f>data!H415</f>
        <v>78</v>
      </c>
      <c r="K415" s="11">
        <f>data!J415</f>
        <v>18</v>
      </c>
      <c r="L415" s="11">
        <f t="shared" si="25"/>
        <v>60</v>
      </c>
      <c r="M415" s="9">
        <f t="shared" si="26"/>
        <v>3.4390243902439028</v>
      </c>
      <c r="N415" s="9">
        <f t="shared" si="27"/>
        <v>3.3333333333333335</v>
      </c>
    </row>
    <row r="416" spans="1:14" x14ac:dyDescent="0.25">
      <c r="A416" t="str">
        <f>TEXT("1/"&amp;data!A416,"mmmm")</f>
        <v>février</v>
      </c>
      <c r="B416">
        <f>data!B416</f>
        <v>2016</v>
      </c>
      <c r="C416" t="str">
        <f>data!C416</f>
        <v>059</v>
      </c>
      <c r="D416" t="str">
        <f>data!D416</f>
        <v>CH DU ROUET</v>
      </c>
      <c r="E416" t="str">
        <f>data!E416</f>
        <v>059004</v>
      </c>
      <c r="F416" t="str">
        <f>data!F416</f>
        <v>AP COTES DE PROVENCE ESTERELLE</v>
      </c>
      <c r="G416" s="10">
        <f>data!G416</f>
        <v>21.3</v>
      </c>
      <c r="H416" s="10">
        <f>data!I416</f>
        <v>40.799999999999997</v>
      </c>
      <c r="I416" s="10">
        <f t="shared" si="24"/>
        <v>-19.499999999999996</v>
      </c>
      <c r="J416" s="11">
        <f>data!H416</f>
        <v>6</v>
      </c>
      <c r="K416" s="11">
        <f>data!J416</f>
        <v>12</v>
      </c>
      <c r="L416" s="11">
        <f t="shared" si="25"/>
        <v>-6</v>
      </c>
      <c r="M416" s="9">
        <f t="shared" si="26"/>
        <v>-0.4779411764705882</v>
      </c>
      <c r="N416" s="9">
        <f t="shared" si="27"/>
        <v>-0.5</v>
      </c>
    </row>
    <row r="417" spans="1:14" x14ac:dyDescent="0.25">
      <c r="A417" t="str">
        <f>TEXT("1/"&amp;data!A417,"mmmm")</f>
        <v>février</v>
      </c>
      <c r="B417">
        <f>data!B417</f>
        <v>2016</v>
      </c>
      <c r="C417" t="str">
        <f>data!C417</f>
        <v>059</v>
      </c>
      <c r="D417" t="str">
        <f>data!D417</f>
        <v>CH DU ROUET</v>
      </c>
      <c r="E417" t="str">
        <f>data!E417</f>
        <v>059005</v>
      </c>
      <c r="F417" t="str">
        <f>data!F417</f>
        <v>AP COTES DE PROVENCE ESTERELLE</v>
      </c>
      <c r="G417" s="10">
        <f>data!G417</f>
        <v>63.9</v>
      </c>
      <c r="H417" s="10">
        <f>data!I417</f>
        <v>0</v>
      </c>
      <c r="I417" s="10">
        <f t="shared" si="24"/>
        <v>63.9</v>
      </c>
      <c r="J417" s="11">
        <f>data!H417</f>
        <v>24</v>
      </c>
      <c r="K417" s="11">
        <f>data!J417</f>
        <v>0</v>
      </c>
      <c r="L417" s="11">
        <f t="shared" si="25"/>
        <v>24</v>
      </c>
      <c r="M417" s="9" t="str">
        <f t="shared" si="26"/>
        <v/>
      </c>
      <c r="N417" s="9" t="str">
        <f t="shared" si="27"/>
        <v/>
      </c>
    </row>
    <row r="418" spans="1:14" x14ac:dyDescent="0.25">
      <c r="A418" t="str">
        <f>TEXT("1/"&amp;data!A418,"mmmm")</f>
        <v>février</v>
      </c>
      <c r="B418">
        <f>data!B418</f>
        <v>2016</v>
      </c>
      <c r="C418" t="str">
        <f>data!C418</f>
        <v>059</v>
      </c>
      <c r="D418" t="str">
        <f>data!D418</f>
        <v>CH DU ROUET</v>
      </c>
      <c r="E418" t="str">
        <f>data!E418</f>
        <v>059006</v>
      </c>
      <c r="F418" t="str">
        <f>data!F418</f>
        <v>AC C.PROVENCE. BELLE POULE</v>
      </c>
      <c r="G418" s="10">
        <f>data!G418</f>
        <v>33</v>
      </c>
      <c r="H418" s="10">
        <f>data!I418</f>
        <v>240</v>
      </c>
      <c r="I418" s="10">
        <f t="shared" si="24"/>
        <v>-207</v>
      </c>
      <c r="J418" s="11">
        <f>data!H418</f>
        <v>6</v>
      </c>
      <c r="K418" s="11">
        <f>data!J418</f>
        <v>48</v>
      </c>
      <c r="L418" s="11">
        <f t="shared" si="25"/>
        <v>-42</v>
      </c>
      <c r="M418" s="9">
        <f t="shared" si="26"/>
        <v>-0.86250000000000004</v>
      </c>
      <c r="N418" s="9">
        <f t="shared" si="27"/>
        <v>-0.875</v>
      </c>
    </row>
    <row r="419" spans="1:14" x14ac:dyDescent="0.25">
      <c r="A419" t="str">
        <f>TEXT("1/"&amp;data!A419,"mmmm")</f>
        <v>février</v>
      </c>
      <c r="B419">
        <f>data!B419</f>
        <v>2016</v>
      </c>
      <c r="C419" t="str">
        <f>data!C419</f>
        <v>059</v>
      </c>
      <c r="D419" t="str">
        <f>data!D419</f>
        <v>CH DU ROUET</v>
      </c>
      <c r="E419" t="str">
        <f>data!E419</f>
        <v>059008</v>
      </c>
      <c r="F419" t="str">
        <f>data!F419</f>
        <v>AC C.PROVENCE. BELLE POULE</v>
      </c>
      <c r="G419" s="10">
        <f>data!G419</f>
        <v>66</v>
      </c>
      <c r="H419" s="10">
        <f>data!I419</f>
        <v>0</v>
      </c>
      <c r="I419" s="10">
        <f t="shared" si="24"/>
        <v>66</v>
      </c>
      <c r="J419" s="11">
        <f>data!H419</f>
        <v>12</v>
      </c>
      <c r="K419" s="11">
        <f>data!J419</f>
        <v>0</v>
      </c>
      <c r="L419" s="11">
        <f t="shared" si="25"/>
        <v>12</v>
      </c>
      <c r="M419" s="9" t="str">
        <f t="shared" si="26"/>
        <v/>
      </c>
      <c r="N419" s="9" t="str">
        <f t="shared" si="27"/>
        <v/>
      </c>
    </row>
    <row r="420" spans="1:14" x14ac:dyDescent="0.25">
      <c r="A420" t="str">
        <f>TEXT("1/"&amp;data!A420,"mmmm")</f>
        <v>février</v>
      </c>
      <c r="B420">
        <f>data!B420</f>
        <v>2016</v>
      </c>
      <c r="C420" t="str">
        <f>data!C420</f>
        <v>059</v>
      </c>
      <c r="D420" t="str">
        <f>data!D420</f>
        <v>CH DU ROUET</v>
      </c>
      <c r="E420" t="str">
        <f>data!E420</f>
        <v>059010</v>
      </c>
      <c r="F420" t="str">
        <f>data!F420</f>
        <v>AC C.PROVENCE. BELLE POULE</v>
      </c>
      <c r="G420" s="10">
        <f>data!G420</f>
        <v>231</v>
      </c>
      <c r="H420" s="10">
        <f>data!I420</f>
        <v>32.4</v>
      </c>
      <c r="I420" s="10">
        <f t="shared" si="24"/>
        <v>198.6</v>
      </c>
      <c r="J420" s="11">
        <f>data!H420</f>
        <v>42</v>
      </c>
      <c r="K420" s="11">
        <f>data!J420</f>
        <v>6</v>
      </c>
      <c r="L420" s="11">
        <f t="shared" si="25"/>
        <v>36</v>
      </c>
      <c r="M420" s="9">
        <f t="shared" si="26"/>
        <v>6.1296296296296298</v>
      </c>
      <c r="N420" s="9">
        <f t="shared" si="27"/>
        <v>6</v>
      </c>
    </row>
    <row r="421" spans="1:14" x14ac:dyDescent="0.25">
      <c r="A421" t="str">
        <f>TEXT("1/"&amp;data!A421,"mmmm")</f>
        <v>février</v>
      </c>
      <c r="B421">
        <f>data!B421</f>
        <v>2016</v>
      </c>
      <c r="C421" t="str">
        <f>data!C421</f>
        <v>059</v>
      </c>
      <c r="D421" t="str">
        <f>data!D421</f>
        <v>CH DU ROUET</v>
      </c>
      <c r="E421" t="str">
        <f>data!E421</f>
        <v>059020</v>
      </c>
      <c r="F421" t="str">
        <f>data!F421</f>
        <v>AC C.PROVENCE ESTERELLE</v>
      </c>
      <c r="G421" s="10">
        <f>data!G421</f>
        <v>2662.5</v>
      </c>
      <c r="H421" s="10">
        <f>data!I421</f>
        <v>1081.2</v>
      </c>
      <c r="I421" s="10">
        <f t="shared" si="24"/>
        <v>1581.3</v>
      </c>
      <c r="J421" s="11">
        <f>data!H421</f>
        <v>750</v>
      </c>
      <c r="K421" s="11">
        <f>data!J421</f>
        <v>324</v>
      </c>
      <c r="L421" s="11">
        <f t="shared" si="25"/>
        <v>426</v>
      </c>
      <c r="M421" s="9">
        <f t="shared" si="26"/>
        <v>1.4625416204217534</v>
      </c>
      <c r="N421" s="9">
        <f t="shared" si="27"/>
        <v>1.3148148148148149</v>
      </c>
    </row>
    <row r="422" spans="1:14" x14ac:dyDescent="0.25">
      <c r="A422" t="str">
        <f>TEXT("1/"&amp;data!A422,"mmmm")</f>
        <v>février</v>
      </c>
      <c r="B422">
        <f>data!B422</f>
        <v>2016</v>
      </c>
      <c r="C422" t="str">
        <f>data!C422</f>
        <v>059</v>
      </c>
      <c r="D422" t="str">
        <f>data!D422</f>
        <v>CH DU ROUET</v>
      </c>
      <c r="E422" t="str">
        <f>data!E422</f>
        <v>059021</v>
      </c>
      <c r="F422" t="str">
        <f>data!F422</f>
        <v>AC COTES DE PROVENCE</v>
      </c>
      <c r="G422" s="10">
        <f>data!G422</f>
        <v>596</v>
      </c>
      <c r="H422" s="10">
        <f>data!I422</f>
        <v>312.89999999999998</v>
      </c>
      <c r="I422" s="10">
        <f t="shared" si="24"/>
        <v>283.10000000000002</v>
      </c>
      <c r="J422" s="11">
        <f>data!H422</f>
        <v>266.8</v>
      </c>
      <c r="K422" s="11">
        <f>data!J422</f>
        <v>140.07</v>
      </c>
      <c r="L422" s="11">
        <f t="shared" si="25"/>
        <v>126.73000000000002</v>
      </c>
      <c r="M422" s="9">
        <f t="shared" si="26"/>
        <v>0.90476190476190488</v>
      </c>
      <c r="N422" s="9">
        <f t="shared" si="27"/>
        <v>0.90476190476190499</v>
      </c>
    </row>
    <row r="423" spans="1:14" x14ac:dyDescent="0.25">
      <c r="A423" t="str">
        <f>TEXT("1/"&amp;data!A423,"mmmm")</f>
        <v>février</v>
      </c>
      <c r="B423">
        <f>data!B423</f>
        <v>2016</v>
      </c>
      <c r="C423" t="str">
        <f>data!C423</f>
        <v>059</v>
      </c>
      <c r="D423" t="str">
        <f>data!D423</f>
        <v>CH DU ROUET</v>
      </c>
      <c r="E423" t="str">
        <f>data!E423</f>
        <v>059025</v>
      </c>
      <c r="F423" t="str">
        <f>data!F423</f>
        <v>VDP MEDITERRANEE TERES</v>
      </c>
      <c r="G423" s="10">
        <f>data!G423</f>
        <v>1620</v>
      </c>
      <c r="H423" s="10">
        <f>data!I423</f>
        <v>1861.2</v>
      </c>
      <c r="I423" s="10">
        <f t="shared" si="24"/>
        <v>-241.20000000000005</v>
      </c>
      <c r="J423" s="11">
        <f>data!H423</f>
        <v>726</v>
      </c>
      <c r="K423" s="11">
        <f>data!J423</f>
        <v>858</v>
      </c>
      <c r="L423" s="11">
        <f t="shared" si="25"/>
        <v>-132</v>
      </c>
      <c r="M423" s="9">
        <f t="shared" si="26"/>
        <v>-0.12959381044487431</v>
      </c>
      <c r="N423" s="9">
        <f t="shared" si="27"/>
        <v>-0.15384615384615385</v>
      </c>
    </row>
    <row r="424" spans="1:14" x14ac:dyDescent="0.25">
      <c r="A424" t="str">
        <f>TEXT("1/"&amp;data!A424,"mmmm")</f>
        <v>février</v>
      </c>
      <c r="B424">
        <f>data!B424</f>
        <v>2016</v>
      </c>
      <c r="C424" t="str">
        <f>data!C424</f>
        <v>059</v>
      </c>
      <c r="D424" t="str">
        <f>data!D424</f>
        <v>CH DU ROUET</v>
      </c>
      <c r="E424" t="str">
        <f>data!E424</f>
        <v>059026</v>
      </c>
      <c r="F424" t="str">
        <f>data!F424</f>
        <v>VDP MEDITERRANEE. TERES</v>
      </c>
      <c r="G424" s="10">
        <f>data!G424</f>
        <v>1564.2</v>
      </c>
      <c r="H424" s="10">
        <f>data!I424</f>
        <v>999.9</v>
      </c>
      <c r="I424" s="10">
        <f t="shared" si="24"/>
        <v>564.30000000000007</v>
      </c>
      <c r="J424" s="11">
        <f>data!H424</f>
        <v>1073.8699999999999</v>
      </c>
      <c r="K424" s="11">
        <f>data!J424</f>
        <v>673.67</v>
      </c>
      <c r="L424" s="11">
        <f t="shared" si="25"/>
        <v>400.19999999999993</v>
      </c>
      <c r="M424" s="9">
        <f t="shared" si="26"/>
        <v>0.56435643564356441</v>
      </c>
      <c r="N424" s="9">
        <f t="shared" si="27"/>
        <v>0.59405940594059403</v>
      </c>
    </row>
    <row r="425" spans="1:14" x14ac:dyDescent="0.25">
      <c r="A425" t="str">
        <f>TEXT("1/"&amp;data!A425,"mmmm")</f>
        <v>février</v>
      </c>
      <c r="B425">
        <f>data!B425</f>
        <v>2016</v>
      </c>
      <c r="C425" t="str">
        <f>data!C425</f>
        <v>059</v>
      </c>
      <c r="D425" t="str">
        <f>data!D425</f>
        <v>CH DU ROUET</v>
      </c>
      <c r="E425" t="str">
        <f>data!E425</f>
        <v>059027</v>
      </c>
      <c r="F425" t="str">
        <f>data!F425</f>
        <v>IGP MEDITERRANEE TERES</v>
      </c>
      <c r="G425" s="10">
        <f>data!G425</f>
        <v>16.899999999999999</v>
      </c>
      <c r="H425" s="10">
        <f>data!I425</f>
        <v>0</v>
      </c>
      <c r="I425" s="10">
        <f t="shared" si="24"/>
        <v>16.899999999999999</v>
      </c>
      <c r="J425" s="11">
        <f>data!H425</f>
        <v>13.33</v>
      </c>
      <c r="K425" s="11">
        <f>data!J425</f>
        <v>0</v>
      </c>
      <c r="L425" s="11">
        <f t="shared" si="25"/>
        <v>13.33</v>
      </c>
      <c r="M425" s="9" t="str">
        <f t="shared" si="26"/>
        <v/>
      </c>
      <c r="N425" s="9" t="str">
        <f t="shared" si="27"/>
        <v/>
      </c>
    </row>
    <row r="426" spans="1:14" x14ac:dyDescent="0.25">
      <c r="A426" t="str">
        <f>TEXT("1/"&amp;data!A426,"mmmm")</f>
        <v>février</v>
      </c>
      <c r="B426">
        <f>data!B426</f>
        <v>2016</v>
      </c>
      <c r="C426" t="str">
        <f>data!C426</f>
        <v>060</v>
      </c>
      <c r="D426" t="str">
        <f>data!D426</f>
        <v>GIRARD JM ET NOEL</v>
      </c>
      <c r="E426" t="str">
        <f>data!E426</f>
        <v>060015</v>
      </c>
      <c r="F426" t="str">
        <f>data!F426</f>
        <v>AC SAUMUR CHAMP. D VX BOURG</v>
      </c>
      <c r="G426" s="10">
        <f>data!G426</f>
        <v>950.4</v>
      </c>
      <c r="H426" s="10">
        <f>data!I426</f>
        <v>646.79999999999995</v>
      </c>
      <c r="I426" s="10">
        <f t="shared" si="24"/>
        <v>303.60000000000002</v>
      </c>
      <c r="J426" s="11">
        <f>data!H426</f>
        <v>270</v>
      </c>
      <c r="K426" s="11">
        <f>data!J426</f>
        <v>186</v>
      </c>
      <c r="L426" s="11">
        <f t="shared" si="25"/>
        <v>84</v>
      </c>
      <c r="M426" s="9">
        <f t="shared" si="26"/>
        <v>0.46938775510204089</v>
      </c>
      <c r="N426" s="9">
        <f t="shared" si="27"/>
        <v>0.45161290322580644</v>
      </c>
    </row>
    <row r="427" spans="1:14" x14ac:dyDescent="0.25">
      <c r="A427" t="str">
        <f>TEXT("1/"&amp;data!A427,"mmmm")</f>
        <v>février</v>
      </c>
      <c r="B427">
        <f>data!B427</f>
        <v>2016</v>
      </c>
      <c r="C427" t="str">
        <f>data!C427</f>
        <v>060</v>
      </c>
      <c r="D427" t="str">
        <f>data!D427</f>
        <v>GIRARD JM ET NOEL</v>
      </c>
      <c r="E427" t="str">
        <f>data!E427</f>
        <v>060016</v>
      </c>
      <c r="F427" t="str">
        <f>data!F427</f>
        <v>AC SAUMUR CHAMP. D VX BOURG</v>
      </c>
      <c r="G427" s="10">
        <f>data!G427</f>
        <v>53.28</v>
      </c>
      <c r="H427" s="10">
        <f>data!I427</f>
        <v>0</v>
      </c>
      <c r="I427" s="10">
        <f t="shared" si="24"/>
        <v>53.28</v>
      </c>
      <c r="J427" s="11">
        <f>data!H427</f>
        <v>12</v>
      </c>
      <c r="K427" s="11">
        <f>data!J427</f>
        <v>0</v>
      </c>
      <c r="L427" s="11">
        <f t="shared" si="25"/>
        <v>12</v>
      </c>
      <c r="M427" s="9" t="str">
        <f t="shared" si="26"/>
        <v/>
      </c>
      <c r="N427" s="9" t="str">
        <f t="shared" si="27"/>
        <v/>
      </c>
    </row>
    <row r="428" spans="1:14" x14ac:dyDescent="0.25">
      <c r="A428" t="str">
        <f>TEXT("1/"&amp;data!A428,"mmmm")</f>
        <v>février</v>
      </c>
      <c r="B428">
        <f>data!B428</f>
        <v>2016</v>
      </c>
      <c r="C428" t="str">
        <f>data!C428</f>
        <v>062</v>
      </c>
      <c r="D428" t="str">
        <f>data!D428</f>
        <v>CHATEAU CARBON D'ARTIGUES</v>
      </c>
      <c r="E428" t="str">
        <f>data!E428</f>
        <v>062001</v>
      </c>
      <c r="F428" t="str">
        <f>data!F428</f>
        <v>AC GRAVES CARBON D'ARTIGUES</v>
      </c>
      <c r="G428" s="10">
        <f>data!G428</f>
        <v>61.2</v>
      </c>
      <c r="H428" s="10">
        <f>data!I428</f>
        <v>122.4</v>
      </c>
      <c r="I428" s="10">
        <f t="shared" si="24"/>
        <v>-61.2</v>
      </c>
      <c r="J428" s="11">
        <f>data!H428</f>
        <v>12</v>
      </c>
      <c r="K428" s="11">
        <f>data!J428</f>
        <v>24</v>
      </c>
      <c r="L428" s="11">
        <f t="shared" si="25"/>
        <v>-12</v>
      </c>
      <c r="M428" s="9">
        <f t="shared" si="26"/>
        <v>-0.5</v>
      </c>
      <c r="N428" s="9">
        <f t="shared" si="27"/>
        <v>-0.5</v>
      </c>
    </row>
    <row r="429" spans="1:14" x14ac:dyDescent="0.25">
      <c r="A429" t="str">
        <f>TEXT("1/"&amp;data!A429,"mmmm")</f>
        <v>février</v>
      </c>
      <c r="B429">
        <f>data!B429</f>
        <v>2016</v>
      </c>
      <c r="C429" t="str">
        <f>data!C429</f>
        <v>062</v>
      </c>
      <c r="D429" t="str">
        <f>data!D429</f>
        <v>CHATEAU CARBON D'ARTIGUES</v>
      </c>
      <c r="E429" t="str">
        <f>data!E429</f>
        <v>062002</v>
      </c>
      <c r="F429" t="str">
        <f>data!F429</f>
        <v>AC GRAVES. CARBON D'ARTIGUES</v>
      </c>
      <c r="G429" s="10">
        <f>data!G429</f>
        <v>108</v>
      </c>
      <c r="H429" s="10">
        <f>data!I429</f>
        <v>0</v>
      </c>
      <c r="I429" s="10">
        <f t="shared" si="24"/>
        <v>108</v>
      </c>
      <c r="J429" s="11">
        <f>data!H429</f>
        <v>24</v>
      </c>
      <c r="K429" s="11">
        <f>data!J429</f>
        <v>0</v>
      </c>
      <c r="L429" s="11">
        <f t="shared" si="25"/>
        <v>24</v>
      </c>
      <c r="M429" s="9" t="str">
        <f t="shared" si="26"/>
        <v/>
      </c>
      <c r="N429" s="9" t="str">
        <f t="shared" si="27"/>
        <v/>
      </c>
    </row>
    <row r="430" spans="1:14" x14ac:dyDescent="0.25">
      <c r="A430" t="str">
        <f>TEXT("1/"&amp;data!A430,"mmmm")</f>
        <v>février</v>
      </c>
      <c r="B430">
        <f>data!B430</f>
        <v>2016</v>
      </c>
      <c r="C430" t="str">
        <f>data!C430</f>
        <v>062</v>
      </c>
      <c r="D430" t="str">
        <f>data!D430</f>
        <v>CHATEAU CARBON D'ARTIGUES</v>
      </c>
      <c r="E430" t="str">
        <f>data!E430</f>
        <v>062003</v>
      </c>
      <c r="F430" t="str">
        <f>data!F430</f>
        <v>AC GRAVES. CARBON D'ARTIGUES</v>
      </c>
      <c r="G430" s="10">
        <f>data!G430</f>
        <v>851.4</v>
      </c>
      <c r="H430" s="10">
        <f>data!I430</f>
        <v>309.60000000000002</v>
      </c>
      <c r="I430" s="10">
        <f t="shared" si="24"/>
        <v>541.79999999999995</v>
      </c>
      <c r="J430" s="11">
        <f>data!H430</f>
        <v>198</v>
      </c>
      <c r="K430" s="11">
        <f>data!J430</f>
        <v>72</v>
      </c>
      <c r="L430" s="11">
        <f t="shared" si="25"/>
        <v>126</v>
      </c>
      <c r="M430" s="9">
        <f t="shared" si="26"/>
        <v>1.7499999999999998</v>
      </c>
      <c r="N430" s="9">
        <f t="shared" si="27"/>
        <v>1.75</v>
      </c>
    </row>
    <row r="431" spans="1:14" x14ac:dyDescent="0.25">
      <c r="A431" t="str">
        <f>TEXT("1/"&amp;data!A431,"mmmm")</f>
        <v>février</v>
      </c>
      <c r="B431">
        <f>data!B431</f>
        <v>2016</v>
      </c>
      <c r="C431" t="str">
        <f>data!C431</f>
        <v>062</v>
      </c>
      <c r="D431" t="str">
        <f>data!D431</f>
        <v>CHATEAU CARBON D'ARTIGUES</v>
      </c>
      <c r="E431" t="str">
        <f>data!E431</f>
        <v>062030</v>
      </c>
      <c r="F431" t="str">
        <f>data!F431</f>
        <v>AC CADILLAC CH LA PASSONNE</v>
      </c>
      <c r="G431" s="10">
        <f>data!G431</f>
        <v>0</v>
      </c>
      <c r="H431" s="10">
        <f>data!I431</f>
        <v>0</v>
      </c>
      <c r="I431" s="10">
        <f t="shared" si="24"/>
        <v>0</v>
      </c>
      <c r="J431" s="11">
        <f>data!H431</f>
        <v>84</v>
      </c>
      <c r="K431" s="11">
        <f>data!J431</f>
        <v>0</v>
      </c>
      <c r="L431" s="11">
        <f t="shared" si="25"/>
        <v>84</v>
      </c>
      <c r="M431" s="9" t="str">
        <f t="shared" si="26"/>
        <v/>
      </c>
      <c r="N431" s="9" t="str">
        <f t="shared" si="27"/>
        <v/>
      </c>
    </row>
    <row r="432" spans="1:14" x14ac:dyDescent="0.25">
      <c r="A432" t="str">
        <f>TEXT("1/"&amp;data!A432,"mmmm")</f>
        <v>février</v>
      </c>
      <c r="B432">
        <f>data!B432</f>
        <v>2016</v>
      </c>
      <c r="C432" t="str">
        <f>data!C432</f>
        <v>062</v>
      </c>
      <c r="D432" t="str">
        <f>data!D432</f>
        <v>CHATEAU CARBON D'ARTIGUES</v>
      </c>
      <c r="E432" t="str">
        <f>data!E432</f>
        <v>062032</v>
      </c>
      <c r="F432" t="str">
        <f>data!F432</f>
        <v>AOP GRAVES CH CARBON D'ARTIGUES</v>
      </c>
      <c r="G432" s="10">
        <f>data!G432</f>
        <v>739.5</v>
      </c>
      <c r="H432" s="10">
        <f>data!I432</f>
        <v>261</v>
      </c>
      <c r="I432" s="10">
        <f t="shared" si="24"/>
        <v>478.5</v>
      </c>
      <c r="J432" s="11">
        <f>data!H432</f>
        <v>340.17</v>
      </c>
      <c r="K432" s="11">
        <f>data!J432</f>
        <v>120.06</v>
      </c>
      <c r="L432" s="11">
        <f t="shared" si="25"/>
        <v>220.11</v>
      </c>
      <c r="M432" s="9">
        <f t="shared" si="26"/>
        <v>1.8333333333333333</v>
      </c>
      <c r="N432" s="9">
        <f t="shared" si="27"/>
        <v>1.8333333333333335</v>
      </c>
    </row>
    <row r="433" spans="1:14" x14ac:dyDescent="0.25">
      <c r="A433" t="str">
        <f>TEXT("1/"&amp;data!A433,"mmmm")</f>
        <v>février</v>
      </c>
      <c r="B433">
        <f>data!B433</f>
        <v>2016</v>
      </c>
      <c r="C433" t="str">
        <f>data!C433</f>
        <v>062</v>
      </c>
      <c r="D433" t="str">
        <f>data!D433</f>
        <v>CHATEAU CARBON D'ARTIGUES</v>
      </c>
      <c r="E433" t="str">
        <f>data!E433</f>
        <v>CDV062030</v>
      </c>
      <c r="F433" t="str">
        <f>data!F433</f>
        <v>AC CADILLAC CH LA PASSONNE</v>
      </c>
      <c r="G433" s="10">
        <f>data!G433</f>
        <v>0</v>
      </c>
      <c r="H433" s="10">
        <f>data!I433</f>
        <v>0</v>
      </c>
      <c r="I433" s="10">
        <f t="shared" si="24"/>
        <v>0</v>
      </c>
      <c r="J433" s="11">
        <f>data!H433</f>
        <v>72</v>
      </c>
      <c r="K433" s="11">
        <f>data!J433</f>
        <v>0</v>
      </c>
      <c r="L433" s="11">
        <f t="shared" si="25"/>
        <v>72</v>
      </c>
      <c r="M433" s="9" t="str">
        <f t="shared" si="26"/>
        <v/>
      </c>
      <c r="N433" s="9" t="str">
        <f t="shared" si="27"/>
        <v/>
      </c>
    </row>
    <row r="434" spans="1:14" x14ac:dyDescent="0.25">
      <c r="A434" t="str">
        <f>TEXT("1/"&amp;data!A434,"mmmm")</f>
        <v>février</v>
      </c>
      <c r="B434">
        <f>data!B434</f>
        <v>2016</v>
      </c>
      <c r="C434" t="str">
        <f>data!C434</f>
        <v>074</v>
      </c>
      <c r="D434" t="str">
        <f>data!D434</f>
        <v>CAVE DE GIGONDAS</v>
      </c>
      <c r="E434" t="str">
        <f>data!E434</f>
        <v>074012</v>
      </c>
      <c r="F434" t="str">
        <f>data!F434</f>
        <v>AC GIGONDAS LA REFENCE</v>
      </c>
      <c r="G434" s="10">
        <f>data!G434</f>
        <v>228</v>
      </c>
      <c r="H434" s="10">
        <f>data!I434</f>
        <v>684</v>
      </c>
      <c r="I434" s="10">
        <f t="shared" si="24"/>
        <v>-456</v>
      </c>
      <c r="J434" s="11">
        <f>data!H434</f>
        <v>30</v>
      </c>
      <c r="K434" s="11">
        <f>data!J434</f>
        <v>90</v>
      </c>
      <c r="L434" s="11">
        <f t="shared" si="25"/>
        <v>-60</v>
      </c>
      <c r="M434" s="9">
        <f t="shared" si="26"/>
        <v>-0.66666666666666663</v>
      </c>
      <c r="N434" s="9">
        <f t="shared" si="27"/>
        <v>-0.66666666666666663</v>
      </c>
    </row>
    <row r="435" spans="1:14" x14ac:dyDescent="0.25">
      <c r="A435" t="str">
        <f>TEXT("1/"&amp;data!A435,"mmmm")</f>
        <v>février</v>
      </c>
      <c r="B435">
        <f>data!B435</f>
        <v>2016</v>
      </c>
      <c r="C435" t="str">
        <f>data!C435</f>
        <v>074</v>
      </c>
      <c r="D435" t="str">
        <f>data!D435</f>
        <v>CAVE DE GIGONDAS</v>
      </c>
      <c r="E435" t="str">
        <f>data!E435</f>
        <v>074013</v>
      </c>
      <c r="F435" t="str">
        <f>data!F435</f>
        <v>AC B DE VENISE TERRISSIMO</v>
      </c>
      <c r="G435" s="10">
        <f>data!G435</f>
        <v>469.2</v>
      </c>
      <c r="H435" s="10">
        <f>data!I435</f>
        <v>1255.8</v>
      </c>
      <c r="I435" s="10">
        <f t="shared" si="24"/>
        <v>-786.59999999999991</v>
      </c>
      <c r="J435" s="11">
        <f>data!H435</f>
        <v>102</v>
      </c>
      <c r="K435" s="11">
        <f>data!J435</f>
        <v>276</v>
      </c>
      <c r="L435" s="11">
        <f t="shared" si="25"/>
        <v>-174</v>
      </c>
      <c r="M435" s="9">
        <f t="shared" si="26"/>
        <v>-0.62637362637362637</v>
      </c>
      <c r="N435" s="9">
        <f t="shared" si="27"/>
        <v>-0.63043478260869568</v>
      </c>
    </row>
    <row r="436" spans="1:14" x14ac:dyDescent="0.25">
      <c r="A436" t="str">
        <f>TEXT("1/"&amp;data!A436,"mmmm")</f>
        <v>février</v>
      </c>
      <c r="B436">
        <f>data!B436</f>
        <v>2016</v>
      </c>
      <c r="C436" t="str">
        <f>data!C436</f>
        <v>075</v>
      </c>
      <c r="D436" t="str">
        <f>data!D436</f>
        <v>CHATEAU LE BREUIL RENAISSANCE</v>
      </c>
      <c r="E436" t="str">
        <f>data!E436</f>
        <v>075002</v>
      </c>
      <c r="F436" t="str">
        <f>data!F436</f>
        <v>AC MEDOC. CH.BREUIL RENAISSANCE</v>
      </c>
      <c r="G436" s="10">
        <f>data!G436</f>
        <v>723.6</v>
      </c>
      <c r="H436" s="10">
        <f>data!I436</f>
        <v>948</v>
      </c>
      <c r="I436" s="10">
        <f t="shared" si="24"/>
        <v>-224.39999999999998</v>
      </c>
      <c r="J436" s="11">
        <f>data!H436</f>
        <v>186</v>
      </c>
      <c r="K436" s="11">
        <f>data!J436</f>
        <v>240</v>
      </c>
      <c r="L436" s="11">
        <f t="shared" si="25"/>
        <v>-54</v>
      </c>
      <c r="M436" s="9">
        <f t="shared" si="26"/>
        <v>-0.23670886075949366</v>
      </c>
      <c r="N436" s="9">
        <f t="shared" si="27"/>
        <v>-0.22500000000000001</v>
      </c>
    </row>
    <row r="437" spans="1:14" x14ac:dyDescent="0.25">
      <c r="A437" t="str">
        <f>TEXT("1/"&amp;data!A437,"mmmm")</f>
        <v>février</v>
      </c>
      <c r="B437">
        <f>data!B437</f>
        <v>2016</v>
      </c>
      <c r="C437" t="str">
        <f>data!C437</f>
        <v>075</v>
      </c>
      <c r="D437" t="str">
        <f>data!D437</f>
        <v>CHATEAU LE BREUIL RENAISSANCE</v>
      </c>
      <c r="E437" t="str">
        <f>data!E437</f>
        <v>075013</v>
      </c>
      <c r="F437" t="str">
        <f>data!F437</f>
        <v>AC MEDOC CRU BOURGEOIS CHATEAU DES CABANS</v>
      </c>
      <c r="G437" s="10">
        <f>data!G437</f>
        <v>124.8</v>
      </c>
      <c r="H437" s="10">
        <f>data!I437</f>
        <v>561.6</v>
      </c>
      <c r="I437" s="10">
        <f t="shared" si="24"/>
        <v>-436.8</v>
      </c>
      <c r="J437" s="11">
        <f>data!H437</f>
        <v>24</v>
      </c>
      <c r="K437" s="11">
        <f>data!J437</f>
        <v>108</v>
      </c>
      <c r="L437" s="11">
        <f t="shared" si="25"/>
        <v>-84</v>
      </c>
      <c r="M437" s="9">
        <f t="shared" si="26"/>
        <v>-0.77777777777777779</v>
      </c>
      <c r="N437" s="9">
        <f t="shared" si="27"/>
        <v>-0.77777777777777779</v>
      </c>
    </row>
    <row r="438" spans="1:14" x14ac:dyDescent="0.25">
      <c r="A438" t="str">
        <f>TEXT("1/"&amp;data!A438,"mmmm")</f>
        <v>février</v>
      </c>
      <c r="B438">
        <f>data!B438</f>
        <v>2016</v>
      </c>
      <c r="C438" t="str">
        <f>data!C438</f>
        <v>075</v>
      </c>
      <c r="D438" t="str">
        <f>data!D438</f>
        <v>CHATEAU LE BREUIL RENAISSANCE</v>
      </c>
      <c r="E438" t="str">
        <f>data!E438</f>
        <v>CDV075005</v>
      </c>
      <c r="F438" t="str">
        <f>data!F438</f>
        <v>AC MEDOC CRU BOURGEOIS BREUIL RENAISSANCE</v>
      </c>
      <c r="G438" s="10">
        <f>data!G438</f>
        <v>60</v>
      </c>
      <c r="H438" s="10">
        <f>data!I438</f>
        <v>0</v>
      </c>
      <c r="I438" s="10">
        <f t="shared" si="24"/>
        <v>60</v>
      </c>
      <c r="J438" s="11">
        <f>data!H438</f>
        <v>8</v>
      </c>
      <c r="K438" s="11">
        <f>data!J438</f>
        <v>0</v>
      </c>
      <c r="L438" s="11">
        <f t="shared" si="25"/>
        <v>8</v>
      </c>
      <c r="M438" s="9" t="str">
        <f t="shared" si="26"/>
        <v/>
      </c>
      <c r="N438" s="9" t="str">
        <f t="shared" si="27"/>
        <v/>
      </c>
    </row>
    <row r="439" spans="1:14" x14ac:dyDescent="0.25">
      <c r="A439" t="str">
        <f>TEXT("1/"&amp;data!A439,"mmmm")</f>
        <v>février</v>
      </c>
      <c r="B439">
        <f>data!B439</f>
        <v>2016</v>
      </c>
      <c r="C439" t="str">
        <f>data!C439</f>
        <v>080</v>
      </c>
      <c r="D439" t="str">
        <f>data!D439</f>
        <v>DOMAINE DE ST PIERRE</v>
      </c>
      <c r="E439" t="str">
        <f>data!E439</f>
        <v>080010</v>
      </c>
      <c r="F439" t="str">
        <f>data!F439</f>
        <v>AC SANCERRE D.DE ST PIERRE</v>
      </c>
      <c r="G439" s="10">
        <f>data!G439</f>
        <v>529.20000000000005</v>
      </c>
      <c r="H439" s="10">
        <f>data!I439</f>
        <v>264.60000000000002</v>
      </c>
      <c r="I439" s="10">
        <f t="shared" si="24"/>
        <v>264.60000000000002</v>
      </c>
      <c r="J439" s="11">
        <f>data!H439</f>
        <v>84</v>
      </c>
      <c r="K439" s="11">
        <f>data!J439</f>
        <v>48</v>
      </c>
      <c r="L439" s="11">
        <f t="shared" si="25"/>
        <v>36</v>
      </c>
      <c r="M439" s="9">
        <f t="shared" si="26"/>
        <v>1</v>
      </c>
      <c r="N439" s="9">
        <f t="shared" si="27"/>
        <v>0.75</v>
      </c>
    </row>
    <row r="440" spans="1:14" x14ac:dyDescent="0.25">
      <c r="A440" t="str">
        <f>TEXT("1/"&amp;data!A440,"mmmm")</f>
        <v>février</v>
      </c>
      <c r="B440">
        <f>data!B440</f>
        <v>2016</v>
      </c>
      <c r="C440" t="str">
        <f>data!C440</f>
        <v>080</v>
      </c>
      <c r="D440" t="str">
        <f>data!D440</f>
        <v>DOMAINE DE ST PIERRE</v>
      </c>
      <c r="E440" t="str">
        <f>data!E440</f>
        <v>080011</v>
      </c>
      <c r="F440" t="str">
        <f>data!F440</f>
        <v>AC SANCERRE D.DE ST PIERRE</v>
      </c>
      <c r="G440" s="10">
        <f>data!G440</f>
        <v>138.6</v>
      </c>
      <c r="H440" s="10">
        <f>data!I440</f>
        <v>277.2</v>
      </c>
      <c r="I440" s="10">
        <f t="shared" si="24"/>
        <v>-138.6</v>
      </c>
      <c r="J440" s="11">
        <f>data!H440</f>
        <v>18</v>
      </c>
      <c r="K440" s="11">
        <f>data!J440</f>
        <v>36</v>
      </c>
      <c r="L440" s="11">
        <f t="shared" si="25"/>
        <v>-18</v>
      </c>
      <c r="M440" s="9">
        <f t="shared" si="26"/>
        <v>-0.5</v>
      </c>
      <c r="N440" s="9">
        <f t="shared" si="27"/>
        <v>-0.5</v>
      </c>
    </row>
    <row r="441" spans="1:14" x14ac:dyDescent="0.25">
      <c r="A441" t="str">
        <f>TEXT("1/"&amp;data!A441,"mmmm")</f>
        <v>février</v>
      </c>
      <c r="B441">
        <f>data!B441</f>
        <v>2016</v>
      </c>
      <c r="C441" t="str">
        <f>data!C441</f>
        <v>080</v>
      </c>
      <c r="D441" t="str">
        <f>data!D441</f>
        <v>DOMAINE DE ST PIERRE</v>
      </c>
      <c r="E441" t="str">
        <f>data!E441</f>
        <v>080015</v>
      </c>
      <c r="F441" t="str">
        <f>data!F441</f>
        <v>AC SANCERRE D.DE ST PIERRE</v>
      </c>
      <c r="G441" s="10">
        <f>data!G441</f>
        <v>356.4</v>
      </c>
      <c r="H441" s="10">
        <f>data!I441</f>
        <v>277.2</v>
      </c>
      <c r="I441" s="10">
        <f t="shared" si="24"/>
        <v>79.199999999999989</v>
      </c>
      <c r="J441" s="11">
        <f>data!H441</f>
        <v>54</v>
      </c>
      <c r="K441" s="11">
        <f>data!J441</f>
        <v>42</v>
      </c>
      <c r="L441" s="11">
        <f t="shared" si="25"/>
        <v>12</v>
      </c>
      <c r="M441" s="9">
        <f t="shared" si="26"/>
        <v>0.2857142857142857</v>
      </c>
      <c r="N441" s="9">
        <f t="shared" si="27"/>
        <v>0.2857142857142857</v>
      </c>
    </row>
    <row r="442" spans="1:14" x14ac:dyDescent="0.25">
      <c r="A442" t="str">
        <f>TEXT("1/"&amp;data!A442,"mmmm")</f>
        <v>février</v>
      </c>
      <c r="B442">
        <f>data!B442</f>
        <v>2016</v>
      </c>
      <c r="C442" t="str">
        <f>data!C442</f>
        <v>080</v>
      </c>
      <c r="D442" t="str">
        <f>data!D442</f>
        <v>DOMAINE DE ST PIERRE</v>
      </c>
      <c r="E442" t="str">
        <f>data!E442</f>
        <v>080016</v>
      </c>
      <c r="F442" t="str">
        <f>data!F442</f>
        <v>AC SANCERRE D.DE ST PIERRE</v>
      </c>
      <c r="G442" s="10">
        <f>data!G442</f>
        <v>138.6</v>
      </c>
      <c r="H442" s="10">
        <f>data!I442</f>
        <v>0</v>
      </c>
      <c r="I442" s="10">
        <f t="shared" si="24"/>
        <v>138.6</v>
      </c>
      <c r="J442" s="11">
        <f>data!H442</f>
        <v>18</v>
      </c>
      <c r="K442" s="11">
        <f>data!J442</f>
        <v>0</v>
      </c>
      <c r="L442" s="11">
        <f t="shared" si="25"/>
        <v>18</v>
      </c>
      <c r="M442" s="9" t="str">
        <f t="shared" si="26"/>
        <v/>
      </c>
      <c r="N442" s="9" t="str">
        <f t="shared" si="27"/>
        <v/>
      </c>
    </row>
    <row r="443" spans="1:14" x14ac:dyDescent="0.25">
      <c r="A443" t="str">
        <f>TEXT("1/"&amp;data!A443,"mmmm")</f>
        <v>février</v>
      </c>
      <c r="B443">
        <f>data!B443</f>
        <v>2016</v>
      </c>
      <c r="C443" t="str">
        <f>data!C443</f>
        <v>083</v>
      </c>
      <c r="D443" t="str">
        <f>data!D443</f>
        <v>LES TERROIRS D'OCCITANIE</v>
      </c>
      <c r="E443" t="str">
        <f>data!E443</f>
        <v>083003</v>
      </c>
      <c r="F443" t="str">
        <f>data!F443</f>
        <v>AC FAUGERES C.PREST DE LAURENS</v>
      </c>
      <c r="G443" s="10">
        <f>data!G443</f>
        <v>390.6</v>
      </c>
      <c r="H443" s="10">
        <f>data!I443</f>
        <v>442.8</v>
      </c>
      <c r="I443" s="10">
        <f t="shared" si="24"/>
        <v>-52.199999999999989</v>
      </c>
      <c r="J443" s="11">
        <f>data!H443</f>
        <v>186</v>
      </c>
      <c r="K443" s="11">
        <f>data!J443</f>
        <v>222</v>
      </c>
      <c r="L443" s="11">
        <f t="shared" si="25"/>
        <v>-36</v>
      </c>
      <c r="M443" s="9">
        <f t="shared" si="26"/>
        <v>-0.11788617886178859</v>
      </c>
      <c r="N443" s="9">
        <f t="shared" si="27"/>
        <v>-0.16216216216216217</v>
      </c>
    </row>
    <row r="444" spans="1:14" x14ac:dyDescent="0.25">
      <c r="A444" t="str">
        <f>TEXT("1/"&amp;data!A444,"mmmm")</f>
        <v>février</v>
      </c>
      <c r="B444">
        <f>data!B444</f>
        <v>2016</v>
      </c>
      <c r="C444" t="str">
        <f>data!C444</f>
        <v>084</v>
      </c>
      <c r="D444" t="str">
        <f>data!D444</f>
        <v>VIGNOBLE CASTELMAURE</v>
      </c>
      <c r="E444" t="str">
        <f>data!E444</f>
        <v>084001</v>
      </c>
      <c r="F444" t="str">
        <f>data!F444</f>
        <v>AC CORBIERES CASTELMAURE</v>
      </c>
      <c r="G444" s="10">
        <f>data!G444</f>
        <v>266</v>
      </c>
      <c r="H444" s="10">
        <f>data!I444</f>
        <v>1387</v>
      </c>
      <c r="I444" s="10">
        <f t="shared" si="24"/>
        <v>-1121</v>
      </c>
      <c r="J444" s="11">
        <f>data!H444</f>
        <v>186.62</v>
      </c>
      <c r="K444" s="11">
        <f>data!J444</f>
        <v>986.42</v>
      </c>
      <c r="L444" s="11">
        <f t="shared" si="25"/>
        <v>-799.8</v>
      </c>
      <c r="M444" s="9">
        <f t="shared" si="26"/>
        <v>-0.80821917808219179</v>
      </c>
      <c r="N444" s="9">
        <f t="shared" si="27"/>
        <v>-0.81081081081081074</v>
      </c>
    </row>
    <row r="445" spans="1:14" x14ac:dyDescent="0.25">
      <c r="A445" t="str">
        <f>TEXT("1/"&amp;data!A445,"mmmm")</f>
        <v>février</v>
      </c>
      <c r="B445">
        <f>data!B445</f>
        <v>2016</v>
      </c>
      <c r="C445" t="str">
        <f>data!C445</f>
        <v>084</v>
      </c>
      <c r="D445" t="str">
        <f>data!D445</f>
        <v>VIGNOBLE CASTELMAURE</v>
      </c>
      <c r="E445" t="str">
        <f>data!E445</f>
        <v>084002</v>
      </c>
      <c r="F445" t="str">
        <f>data!F445</f>
        <v>AC CORBIERES CASTELMAURE</v>
      </c>
      <c r="G445" s="10">
        <f>data!G445</f>
        <v>814</v>
      </c>
      <c r="H445" s="10">
        <f>data!I445</f>
        <v>1226.4000000000001</v>
      </c>
      <c r="I445" s="10">
        <f t="shared" si="24"/>
        <v>-412.40000000000009</v>
      </c>
      <c r="J445" s="11">
        <f>data!H445</f>
        <v>493.58</v>
      </c>
      <c r="K445" s="11">
        <f>data!J445</f>
        <v>753.71</v>
      </c>
      <c r="L445" s="11">
        <f t="shared" si="25"/>
        <v>-260.13000000000005</v>
      </c>
      <c r="M445" s="9">
        <f t="shared" si="26"/>
        <v>-0.33626875407697332</v>
      </c>
      <c r="N445" s="9">
        <f t="shared" si="27"/>
        <v>-0.3451327433628319</v>
      </c>
    </row>
    <row r="446" spans="1:14" x14ac:dyDescent="0.25">
      <c r="A446" t="str">
        <f>TEXT("1/"&amp;data!A446,"mmmm")</f>
        <v>février</v>
      </c>
      <c r="B446">
        <f>data!B446</f>
        <v>2016</v>
      </c>
      <c r="C446" t="str">
        <f>data!C446</f>
        <v>084</v>
      </c>
      <c r="D446" t="str">
        <f>data!D446</f>
        <v>VIGNOBLE CASTELMAURE</v>
      </c>
      <c r="E446" t="str">
        <f>data!E446</f>
        <v>084004</v>
      </c>
      <c r="F446" t="str">
        <f>data!F446</f>
        <v>VDT BUVETTE CASTELMAURE (x6)</v>
      </c>
      <c r="G446" s="10">
        <f>data!G446</f>
        <v>86.1</v>
      </c>
      <c r="H446" s="10">
        <f>data!I446</f>
        <v>258.3</v>
      </c>
      <c r="I446" s="10">
        <f t="shared" si="24"/>
        <v>-172.20000000000002</v>
      </c>
      <c r="J446" s="11">
        <f>data!H446</f>
        <v>48</v>
      </c>
      <c r="K446" s="11">
        <f>data!J446</f>
        <v>126</v>
      </c>
      <c r="L446" s="11">
        <f t="shared" si="25"/>
        <v>-78</v>
      </c>
      <c r="M446" s="9">
        <f t="shared" si="26"/>
        <v>-0.66666666666666674</v>
      </c>
      <c r="N446" s="9">
        <f t="shared" si="27"/>
        <v>-0.61904761904761907</v>
      </c>
    </row>
    <row r="447" spans="1:14" x14ac:dyDescent="0.25">
      <c r="A447" t="str">
        <f>TEXT("1/"&amp;data!A447,"mmmm")</f>
        <v>février</v>
      </c>
      <c r="B447">
        <f>data!B447</f>
        <v>2016</v>
      </c>
      <c r="C447" t="str">
        <f>data!C447</f>
        <v>084</v>
      </c>
      <c r="D447" t="str">
        <f>data!D447</f>
        <v>VIGNOBLE CASTELMAURE</v>
      </c>
      <c r="E447" t="str">
        <f>data!E447</f>
        <v>084006</v>
      </c>
      <c r="F447" t="str">
        <f>data!F447</f>
        <v>AOP CORBIERES LE CASTELMAURE</v>
      </c>
      <c r="G447" s="10">
        <f>data!G447</f>
        <v>2187</v>
      </c>
      <c r="H447" s="10">
        <f>data!I447</f>
        <v>1765.8</v>
      </c>
      <c r="I447" s="10">
        <f t="shared" si="24"/>
        <v>421.20000000000005</v>
      </c>
      <c r="J447" s="11">
        <f>data!H447</f>
        <v>810</v>
      </c>
      <c r="K447" s="11">
        <f>data!J447</f>
        <v>660</v>
      </c>
      <c r="L447" s="11">
        <f t="shared" si="25"/>
        <v>150</v>
      </c>
      <c r="M447" s="9">
        <f t="shared" si="26"/>
        <v>0.23853211009174316</v>
      </c>
      <c r="N447" s="9">
        <f t="shared" si="27"/>
        <v>0.22727272727272727</v>
      </c>
    </row>
    <row r="448" spans="1:14" x14ac:dyDescent="0.25">
      <c r="A448" t="str">
        <f>TEXT("1/"&amp;data!A448,"mmmm")</f>
        <v>février</v>
      </c>
      <c r="B448">
        <f>data!B448</f>
        <v>2016</v>
      </c>
      <c r="C448" t="str">
        <f>data!C448</f>
        <v>084</v>
      </c>
      <c r="D448" t="str">
        <f>data!D448</f>
        <v>VIGNOBLE CASTELMAURE</v>
      </c>
      <c r="E448" t="str">
        <f>data!E448</f>
        <v>084007</v>
      </c>
      <c r="F448" t="str">
        <f>data!F448</f>
        <v>AC CORBIERES LA POMPADOUR</v>
      </c>
      <c r="G448" s="10">
        <f>data!G448</f>
        <v>999</v>
      </c>
      <c r="H448" s="10">
        <f>data!I448</f>
        <v>618.24</v>
      </c>
      <c r="I448" s="10">
        <f t="shared" si="24"/>
        <v>380.76</v>
      </c>
      <c r="J448" s="11">
        <f>data!H448</f>
        <v>228</v>
      </c>
      <c r="K448" s="11">
        <f>data!J448</f>
        <v>144</v>
      </c>
      <c r="L448" s="11">
        <f t="shared" si="25"/>
        <v>84</v>
      </c>
      <c r="M448" s="9">
        <f t="shared" si="26"/>
        <v>0.61587732919254656</v>
      </c>
      <c r="N448" s="9">
        <f t="shared" si="27"/>
        <v>0.58333333333333337</v>
      </c>
    </row>
    <row r="449" spans="1:14" x14ac:dyDescent="0.25">
      <c r="A449" t="str">
        <f>TEXT("1/"&amp;data!A449,"mmmm")</f>
        <v>février</v>
      </c>
      <c r="B449">
        <f>data!B449</f>
        <v>2016</v>
      </c>
      <c r="C449" t="str">
        <f>data!C449</f>
        <v>084</v>
      </c>
      <c r="D449" t="str">
        <f>data!D449</f>
        <v>VIGNOBLE CASTELMAURE</v>
      </c>
      <c r="E449" t="str">
        <f>data!E449</f>
        <v>084008</v>
      </c>
      <c r="F449" t="str">
        <f>data!F449</f>
        <v>AC CORBIERES LA GDE CUVEE</v>
      </c>
      <c r="G449" s="10">
        <f>data!G449</f>
        <v>210.6</v>
      </c>
      <c r="H449" s="10">
        <f>data!I449</f>
        <v>69.959999999999994</v>
      </c>
      <c r="I449" s="10">
        <f t="shared" si="24"/>
        <v>140.63999999999999</v>
      </c>
      <c r="J449" s="11">
        <f>data!H449</f>
        <v>36</v>
      </c>
      <c r="K449" s="11">
        <f>data!J449</f>
        <v>12</v>
      </c>
      <c r="L449" s="11">
        <f t="shared" si="25"/>
        <v>24</v>
      </c>
      <c r="M449" s="9">
        <f t="shared" si="26"/>
        <v>2.0102915951972555</v>
      </c>
      <c r="N449" s="9">
        <f t="shared" si="27"/>
        <v>2</v>
      </c>
    </row>
    <row r="450" spans="1:14" x14ac:dyDescent="0.25">
      <c r="A450" t="str">
        <f>TEXT("1/"&amp;data!A450,"mmmm")</f>
        <v>février</v>
      </c>
      <c r="B450">
        <f>data!B450</f>
        <v>2016</v>
      </c>
      <c r="C450" t="str">
        <f>data!C450</f>
        <v>084</v>
      </c>
      <c r="D450" t="str">
        <f>data!D450</f>
        <v>VIGNOBLE CASTELMAURE</v>
      </c>
      <c r="E450" t="str">
        <f>data!E450</f>
        <v>084010</v>
      </c>
      <c r="F450" t="str">
        <f>data!F450</f>
        <v>L'ESPRIT DU VENT à perpète AC CORBIERES</v>
      </c>
      <c r="G450" s="10">
        <f>data!G450</f>
        <v>148.80000000000001</v>
      </c>
      <c r="H450" s="10">
        <f>data!I450</f>
        <v>0</v>
      </c>
      <c r="I450" s="10">
        <f t="shared" si="24"/>
        <v>148.80000000000001</v>
      </c>
      <c r="J450" s="11">
        <f>data!H450</f>
        <v>24</v>
      </c>
      <c r="K450" s="11">
        <f>data!J450</f>
        <v>0</v>
      </c>
      <c r="L450" s="11">
        <f t="shared" si="25"/>
        <v>24</v>
      </c>
      <c r="M450" s="9" t="str">
        <f t="shared" si="26"/>
        <v/>
      </c>
      <c r="N450" s="9" t="str">
        <f t="shared" si="27"/>
        <v/>
      </c>
    </row>
    <row r="451" spans="1:14" x14ac:dyDescent="0.25">
      <c r="A451" t="str">
        <f>TEXT("1/"&amp;data!A451,"mmmm")</f>
        <v>février</v>
      </c>
      <c r="B451">
        <f>data!B451</f>
        <v>2016</v>
      </c>
      <c r="C451" t="str">
        <f>data!C451</f>
        <v>084</v>
      </c>
      <c r="D451" t="str">
        <f>data!D451</f>
        <v>VIGNOBLE CASTELMAURE</v>
      </c>
      <c r="E451" t="str">
        <f>data!E451</f>
        <v>084015</v>
      </c>
      <c r="F451" t="str">
        <f>data!F451</f>
        <v>AC CORBIERES " LE 3 "</v>
      </c>
      <c r="G451" s="10">
        <f>data!G451</f>
        <v>504</v>
      </c>
      <c r="H451" s="10">
        <f>data!I451</f>
        <v>501.6</v>
      </c>
      <c r="I451" s="10">
        <f t="shared" ref="I451:I514" si="28">G451-H451</f>
        <v>2.3999999999999773</v>
      </c>
      <c r="J451" s="11">
        <f>data!H451</f>
        <v>54</v>
      </c>
      <c r="K451" s="11">
        <f>data!J451</f>
        <v>48</v>
      </c>
      <c r="L451" s="11">
        <f t="shared" ref="L451:L514" si="29">J451-K451</f>
        <v>6</v>
      </c>
      <c r="M451" s="9">
        <f t="shared" ref="M451:M514" si="30">IF(ISERR(I451/H451),"",I451/H451)</f>
        <v>4.7846889952152657E-3</v>
      </c>
      <c r="N451" s="9">
        <f t="shared" ref="N451:N514" si="31">IF(ISERR(L451/K451),"",L451/K451)</f>
        <v>0.125</v>
      </c>
    </row>
    <row r="452" spans="1:14" x14ac:dyDescent="0.25">
      <c r="A452" t="str">
        <f>TEXT("1/"&amp;data!A452,"mmmm")</f>
        <v>février</v>
      </c>
      <c r="B452">
        <f>data!B452</f>
        <v>2016</v>
      </c>
      <c r="C452" t="str">
        <f>data!C452</f>
        <v>084</v>
      </c>
      <c r="D452" t="str">
        <f>data!D452</f>
        <v>VIGNOBLE CASTELMAURE</v>
      </c>
      <c r="E452" t="str">
        <f>data!E452</f>
        <v>084037</v>
      </c>
      <c r="F452" t="str">
        <f>data!F452</f>
        <v>AOP CORBIERE LE JARDIN DU PARADIS</v>
      </c>
      <c r="G452" s="10">
        <f>data!G452</f>
        <v>85.5</v>
      </c>
      <c r="H452" s="10">
        <f>data!I452</f>
        <v>0</v>
      </c>
      <c r="I452" s="10">
        <f t="shared" si="28"/>
        <v>85.5</v>
      </c>
      <c r="J452" s="11">
        <f>data!H452</f>
        <v>30</v>
      </c>
      <c r="K452" s="11">
        <f>data!J452</f>
        <v>0</v>
      </c>
      <c r="L452" s="11">
        <f t="shared" si="29"/>
        <v>30</v>
      </c>
      <c r="M452" s="9" t="str">
        <f t="shared" si="30"/>
        <v/>
      </c>
      <c r="N452" s="9" t="str">
        <f t="shared" si="31"/>
        <v/>
      </c>
    </row>
    <row r="453" spans="1:14" x14ac:dyDescent="0.25">
      <c r="A453" t="str">
        <f>TEXT("1/"&amp;data!A453,"mmmm")</f>
        <v>février</v>
      </c>
      <c r="B453">
        <f>data!B453</f>
        <v>2016</v>
      </c>
      <c r="C453" t="str">
        <f>data!C453</f>
        <v>084</v>
      </c>
      <c r="D453" t="str">
        <f>data!D453</f>
        <v>VIGNOBLE CASTELMAURE</v>
      </c>
      <c r="E453" t="str">
        <f>data!E453</f>
        <v>084039</v>
      </c>
      <c r="F453" t="str">
        <f>data!F453</f>
        <v>AOP CORBIERE SOLEIL LIQUID</v>
      </c>
      <c r="G453" s="10">
        <f>data!G453</f>
        <v>47.76</v>
      </c>
      <c r="H453" s="10">
        <f>data!I453</f>
        <v>0</v>
      </c>
      <c r="I453" s="10">
        <f t="shared" si="28"/>
        <v>47.76</v>
      </c>
      <c r="J453" s="11">
        <f>data!H453</f>
        <v>12</v>
      </c>
      <c r="K453" s="11">
        <f>data!J453</f>
        <v>0</v>
      </c>
      <c r="L453" s="11">
        <f t="shared" si="29"/>
        <v>12</v>
      </c>
      <c r="M453" s="9" t="str">
        <f t="shared" si="30"/>
        <v/>
      </c>
      <c r="N453" s="9" t="str">
        <f t="shared" si="31"/>
        <v/>
      </c>
    </row>
    <row r="454" spans="1:14" x14ac:dyDescent="0.25">
      <c r="A454" t="str">
        <f>TEXT("1/"&amp;data!A454,"mmmm")</f>
        <v>février</v>
      </c>
      <c r="B454">
        <f>data!B454</f>
        <v>2016</v>
      </c>
      <c r="C454" t="str">
        <f>data!C454</f>
        <v>089</v>
      </c>
      <c r="D454" t="str">
        <f>data!D454</f>
        <v>DOMAINE DE LA PALEINE</v>
      </c>
      <c r="E454" t="str">
        <f>data!E454</f>
        <v>089002</v>
      </c>
      <c r="F454" t="str">
        <f>data!F454</f>
        <v>AC SAUMUR C.DU PRINTEMPS LA PALEINE</v>
      </c>
      <c r="G454" s="10">
        <f>data!G454</f>
        <v>383.4</v>
      </c>
      <c r="H454" s="10">
        <f>data!I454</f>
        <v>105</v>
      </c>
      <c r="I454" s="10">
        <f t="shared" si="28"/>
        <v>278.39999999999998</v>
      </c>
      <c r="J454" s="11">
        <f>data!H454</f>
        <v>114</v>
      </c>
      <c r="K454" s="11">
        <f>data!J454</f>
        <v>36</v>
      </c>
      <c r="L454" s="11">
        <f t="shared" si="29"/>
        <v>78</v>
      </c>
      <c r="M454" s="9">
        <f t="shared" si="30"/>
        <v>2.6514285714285712</v>
      </c>
      <c r="N454" s="9">
        <f t="shared" si="31"/>
        <v>2.1666666666666665</v>
      </c>
    </row>
    <row r="455" spans="1:14" x14ac:dyDescent="0.25">
      <c r="A455" t="str">
        <f>TEXT("1/"&amp;data!A455,"mmmm")</f>
        <v>février</v>
      </c>
      <c r="B455">
        <f>data!B455</f>
        <v>2016</v>
      </c>
      <c r="C455" t="str">
        <f>data!C455</f>
        <v>089</v>
      </c>
      <c r="D455" t="str">
        <f>data!D455</f>
        <v>DOMAINE DE LA PALEINE</v>
      </c>
      <c r="E455" t="str">
        <f>data!E455</f>
        <v>089010</v>
      </c>
      <c r="F455" t="str">
        <f>data!F455</f>
        <v>AC SAUMUR DLA PALEINE</v>
      </c>
      <c r="G455" s="10">
        <f>data!G455</f>
        <v>64.8</v>
      </c>
      <c r="H455" s="10">
        <f>data!I455</f>
        <v>0</v>
      </c>
      <c r="I455" s="10">
        <f t="shared" si="28"/>
        <v>64.8</v>
      </c>
      <c r="J455" s="11">
        <f>data!H455</f>
        <v>18</v>
      </c>
      <c r="K455" s="11">
        <f>data!J455</f>
        <v>0</v>
      </c>
      <c r="L455" s="11">
        <f t="shared" si="29"/>
        <v>18</v>
      </c>
      <c r="M455" s="9" t="str">
        <f t="shared" si="30"/>
        <v/>
      </c>
      <c r="N455" s="9" t="str">
        <f t="shared" si="31"/>
        <v/>
      </c>
    </row>
    <row r="456" spans="1:14" x14ac:dyDescent="0.25">
      <c r="A456" t="str">
        <f>TEXT("1/"&amp;data!A456,"mmmm")</f>
        <v>février</v>
      </c>
      <c r="B456">
        <f>data!B456</f>
        <v>2016</v>
      </c>
      <c r="C456" t="str">
        <f>data!C456</f>
        <v>089</v>
      </c>
      <c r="D456" t="str">
        <f>data!D456</f>
        <v>DOMAINE DE LA PALEINE</v>
      </c>
      <c r="E456" t="str">
        <f>data!E456</f>
        <v>089800</v>
      </c>
      <c r="F456" t="str">
        <f>data!F456</f>
        <v>AC SAUMUR BRUT D.DE LA PALEINE</v>
      </c>
      <c r="G456" s="10">
        <f>data!G456</f>
        <v>246</v>
      </c>
      <c r="H456" s="10">
        <f>data!I456</f>
        <v>437.4</v>
      </c>
      <c r="I456" s="10">
        <f t="shared" si="28"/>
        <v>-191.39999999999998</v>
      </c>
      <c r="J456" s="11">
        <f>data!H456</f>
        <v>60</v>
      </c>
      <c r="K456" s="11">
        <f>data!J456</f>
        <v>108</v>
      </c>
      <c r="L456" s="11">
        <f t="shared" si="29"/>
        <v>-48</v>
      </c>
      <c r="M456" s="9">
        <f t="shared" si="30"/>
        <v>-0.43758573388203015</v>
      </c>
      <c r="N456" s="9">
        <f t="shared" si="31"/>
        <v>-0.44444444444444442</v>
      </c>
    </row>
    <row r="457" spans="1:14" x14ac:dyDescent="0.25">
      <c r="A457" t="str">
        <f>TEXT("1/"&amp;data!A457,"mmmm")</f>
        <v>février</v>
      </c>
      <c r="B457">
        <f>data!B457</f>
        <v>2016</v>
      </c>
      <c r="C457" t="str">
        <f>data!C457</f>
        <v>089</v>
      </c>
      <c r="D457" t="str">
        <f>data!D457</f>
        <v>DOMAINE DE LA PALEINE</v>
      </c>
      <c r="E457" t="str">
        <f>data!E457</f>
        <v>089900</v>
      </c>
      <c r="F457" t="str">
        <f>data!F457</f>
        <v>AC SAUMUR RESERVE D.LA PALEINE</v>
      </c>
      <c r="G457" s="10">
        <f>data!G457</f>
        <v>465.75</v>
      </c>
      <c r="H457" s="10">
        <f>data!I457</f>
        <v>364.5</v>
      </c>
      <c r="I457" s="10">
        <f t="shared" si="28"/>
        <v>101.25</v>
      </c>
      <c r="J457" s="11">
        <f>data!H457</f>
        <v>306.58999999999997</v>
      </c>
      <c r="K457" s="11">
        <f>data!J457</f>
        <v>239.94</v>
      </c>
      <c r="L457" s="11">
        <f t="shared" si="29"/>
        <v>66.649999999999977</v>
      </c>
      <c r="M457" s="9">
        <f t="shared" si="30"/>
        <v>0.27777777777777779</v>
      </c>
      <c r="N457" s="9">
        <f t="shared" si="31"/>
        <v>0.27777777777777768</v>
      </c>
    </row>
    <row r="458" spans="1:14" x14ac:dyDescent="0.25">
      <c r="A458" t="str">
        <f>TEXT("1/"&amp;data!A458,"mmmm")</f>
        <v>février</v>
      </c>
      <c r="B458">
        <f>data!B458</f>
        <v>2016</v>
      </c>
      <c r="C458" t="str">
        <f>data!C458</f>
        <v>089</v>
      </c>
      <c r="D458" t="str">
        <f>data!D458</f>
        <v>DOMAINE DE LA PALEINE</v>
      </c>
      <c r="E458" t="str">
        <f>data!E458</f>
        <v>089901</v>
      </c>
      <c r="F458" t="str">
        <f>data!F458</f>
        <v>AC SAUMUR D.LA PALEINE</v>
      </c>
      <c r="G458" s="10">
        <f>data!G458</f>
        <v>707.6</v>
      </c>
      <c r="H458" s="10">
        <f>data!I458</f>
        <v>597.79999999999995</v>
      </c>
      <c r="I458" s="10">
        <f t="shared" si="28"/>
        <v>109.80000000000007</v>
      </c>
      <c r="J458" s="11">
        <f>data!H458</f>
        <v>386.86</v>
      </c>
      <c r="K458" s="11">
        <f>data!J458</f>
        <v>326.83</v>
      </c>
      <c r="L458" s="11">
        <f t="shared" si="29"/>
        <v>60.03000000000003</v>
      </c>
      <c r="M458" s="9">
        <f t="shared" si="30"/>
        <v>0.18367346938775522</v>
      </c>
      <c r="N458" s="9">
        <f t="shared" si="31"/>
        <v>0.18367346938775519</v>
      </c>
    </row>
    <row r="459" spans="1:14" x14ac:dyDescent="0.25">
      <c r="A459" t="str">
        <f>TEXT("1/"&amp;data!A459,"mmmm")</f>
        <v>février</v>
      </c>
      <c r="B459">
        <f>data!B459</f>
        <v>2016</v>
      </c>
      <c r="C459" t="str">
        <f>data!C459</f>
        <v>089</v>
      </c>
      <c r="D459" t="str">
        <f>data!D459</f>
        <v>DOMAINE DE LA PALEINE</v>
      </c>
      <c r="E459" t="str">
        <f>data!E459</f>
        <v>089903</v>
      </c>
      <c r="F459" t="str">
        <f>data!F459</f>
        <v>AC SAUMUR BRUT M.TRAD LA PALEINE</v>
      </c>
      <c r="G459" s="10">
        <f>data!G459</f>
        <v>461.7</v>
      </c>
      <c r="H459" s="10">
        <f>data!I459</f>
        <v>408</v>
      </c>
      <c r="I459" s="10">
        <f t="shared" si="28"/>
        <v>53.699999999999989</v>
      </c>
      <c r="J459" s="11">
        <f>data!H459</f>
        <v>114</v>
      </c>
      <c r="K459" s="11">
        <f>data!J459</f>
        <v>102</v>
      </c>
      <c r="L459" s="11">
        <f t="shared" si="29"/>
        <v>12</v>
      </c>
      <c r="M459" s="9">
        <f t="shared" si="30"/>
        <v>0.13161764705882351</v>
      </c>
      <c r="N459" s="9">
        <f t="shared" si="31"/>
        <v>0.11764705882352941</v>
      </c>
    </row>
    <row r="460" spans="1:14" x14ac:dyDescent="0.25">
      <c r="A460" t="str">
        <f>TEXT("1/"&amp;data!A460,"mmmm")</f>
        <v>février</v>
      </c>
      <c r="B460">
        <f>data!B460</f>
        <v>2016</v>
      </c>
      <c r="C460" t="str">
        <f>data!C460</f>
        <v>094</v>
      </c>
      <c r="D460" t="str">
        <f>data!D460</f>
        <v>CHATEAU TOUR GRANINS-GRAND POUJEAUX</v>
      </c>
      <c r="E460" t="str">
        <f>data!E460</f>
        <v>094001</v>
      </c>
      <c r="F460" t="str">
        <f>data!F460</f>
        <v>AC MOULIS EN MEDOC TOUR GRANINS GD-POUJEAUX</v>
      </c>
      <c r="G460" s="10">
        <f>data!G460</f>
        <v>374.4</v>
      </c>
      <c r="H460" s="10">
        <f>data!I460</f>
        <v>1254.5999999999999</v>
      </c>
      <c r="I460" s="10">
        <f t="shared" si="28"/>
        <v>-880.19999999999993</v>
      </c>
      <c r="J460" s="11">
        <f>data!H460</f>
        <v>72</v>
      </c>
      <c r="K460" s="11">
        <f>data!J460</f>
        <v>246</v>
      </c>
      <c r="L460" s="11">
        <f t="shared" si="29"/>
        <v>-174</v>
      </c>
      <c r="M460" s="9">
        <f t="shared" si="30"/>
        <v>-0.70157819225251072</v>
      </c>
      <c r="N460" s="9">
        <f t="shared" si="31"/>
        <v>-0.70731707317073167</v>
      </c>
    </row>
    <row r="461" spans="1:14" x14ac:dyDescent="0.25">
      <c r="A461" t="str">
        <f>TEXT("1/"&amp;data!A461,"mmmm")</f>
        <v>février</v>
      </c>
      <c r="B461">
        <f>data!B461</f>
        <v>2016</v>
      </c>
      <c r="C461" t="str">
        <f>data!C461</f>
        <v>094</v>
      </c>
      <c r="D461" t="str">
        <f>data!D461</f>
        <v>CHATEAU TOUR GRANINS-GRAND POUJEAUX</v>
      </c>
      <c r="E461" t="str">
        <f>data!E461</f>
        <v>094003</v>
      </c>
      <c r="F461" t="str">
        <f>data!F461</f>
        <v>AC MOULIS EN MEDOC GD POUJEAUX</v>
      </c>
      <c r="G461" s="10">
        <f>data!G461</f>
        <v>66.599999999999994</v>
      </c>
      <c r="H461" s="10">
        <f>data!I461</f>
        <v>130.80000000000001</v>
      </c>
      <c r="I461" s="10">
        <f t="shared" si="28"/>
        <v>-64.200000000000017</v>
      </c>
      <c r="J461" s="11">
        <f>data!H461</f>
        <v>12</v>
      </c>
      <c r="K461" s="11">
        <f>data!J461</f>
        <v>24</v>
      </c>
      <c r="L461" s="11">
        <f t="shared" si="29"/>
        <v>-12</v>
      </c>
      <c r="M461" s="9">
        <f t="shared" si="30"/>
        <v>-0.49082568807339461</v>
      </c>
      <c r="N461" s="9">
        <f t="shared" si="31"/>
        <v>-0.5</v>
      </c>
    </row>
    <row r="462" spans="1:14" x14ac:dyDescent="0.25">
      <c r="A462" t="str">
        <f>TEXT("1/"&amp;data!A462,"mmmm")</f>
        <v>février</v>
      </c>
      <c r="B462">
        <f>data!B462</f>
        <v>2016</v>
      </c>
      <c r="C462" t="str">
        <f>data!C462</f>
        <v>095</v>
      </c>
      <c r="D462" t="str">
        <f>data!D462</f>
        <v>MR FILLON</v>
      </c>
      <c r="E462" t="str">
        <f>data!E462</f>
        <v>095001</v>
      </c>
      <c r="F462" t="str">
        <f>data!F462</f>
        <v>AC BOURG ALIG D.FILLON</v>
      </c>
      <c r="G462" s="10">
        <f>data!G462</f>
        <v>2308.8000000000002</v>
      </c>
      <c r="H462" s="10">
        <f>data!I462</f>
        <v>2266.8000000000002</v>
      </c>
      <c r="I462" s="10">
        <f t="shared" si="28"/>
        <v>42</v>
      </c>
      <c r="J462" s="11">
        <f>data!H462</f>
        <v>636</v>
      </c>
      <c r="K462" s="11">
        <f>data!J462</f>
        <v>630</v>
      </c>
      <c r="L462" s="11">
        <f t="shared" si="29"/>
        <v>6</v>
      </c>
      <c r="M462" s="9">
        <f t="shared" si="30"/>
        <v>1.8528321863419798E-2</v>
      </c>
      <c r="N462" s="9">
        <f t="shared" si="31"/>
        <v>9.5238095238095247E-3</v>
      </c>
    </row>
    <row r="463" spans="1:14" x14ac:dyDescent="0.25">
      <c r="A463" t="str">
        <f>TEXT("1/"&amp;data!A463,"mmmm")</f>
        <v>février</v>
      </c>
      <c r="B463">
        <f>data!B463</f>
        <v>2016</v>
      </c>
      <c r="C463" t="str">
        <f>data!C463</f>
        <v>095</v>
      </c>
      <c r="D463" t="str">
        <f>data!D463</f>
        <v>MR FILLON</v>
      </c>
      <c r="E463" t="str">
        <f>data!E463</f>
        <v>095002</v>
      </c>
      <c r="F463" t="str">
        <f>data!F463</f>
        <v>AC BOURG ALIG D.FILLON</v>
      </c>
      <c r="G463" s="10">
        <f>data!G463</f>
        <v>105.6</v>
      </c>
      <c r="H463" s="10">
        <f>data!I463</f>
        <v>26.4</v>
      </c>
      <c r="I463" s="10">
        <f t="shared" si="28"/>
        <v>79.199999999999989</v>
      </c>
      <c r="J463" s="11">
        <f>data!H463</f>
        <v>24</v>
      </c>
      <c r="K463" s="11">
        <f>data!J463</f>
        <v>6</v>
      </c>
      <c r="L463" s="11">
        <f t="shared" si="29"/>
        <v>18</v>
      </c>
      <c r="M463" s="9">
        <f t="shared" si="30"/>
        <v>2.9999999999999996</v>
      </c>
      <c r="N463" s="9">
        <f t="shared" si="31"/>
        <v>3</v>
      </c>
    </row>
    <row r="464" spans="1:14" x14ac:dyDescent="0.25">
      <c r="A464" t="str">
        <f>TEXT("1/"&amp;data!A464,"mmmm")</f>
        <v>février</v>
      </c>
      <c r="B464">
        <f>data!B464</f>
        <v>2016</v>
      </c>
      <c r="C464" t="str">
        <f>data!C464</f>
        <v>095</v>
      </c>
      <c r="D464" t="str">
        <f>data!D464</f>
        <v>MR FILLON</v>
      </c>
      <c r="E464" t="str">
        <f>data!E464</f>
        <v>095005</v>
      </c>
      <c r="F464" t="str">
        <f>data!F464</f>
        <v>DOM FILLON AC SAUVIGNON DE ST BRIS</v>
      </c>
      <c r="G464" s="10">
        <f>data!G464</f>
        <v>210.6</v>
      </c>
      <c r="H464" s="10">
        <f>data!I464</f>
        <v>0</v>
      </c>
      <c r="I464" s="10">
        <f t="shared" si="28"/>
        <v>210.6</v>
      </c>
      <c r="J464" s="11">
        <f>data!H464</f>
        <v>54</v>
      </c>
      <c r="K464" s="11">
        <f>data!J464</f>
        <v>0</v>
      </c>
      <c r="L464" s="11">
        <f t="shared" si="29"/>
        <v>54</v>
      </c>
      <c r="M464" s="9" t="str">
        <f t="shared" si="30"/>
        <v/>
      </c>
      <c r="N464" s="9" t="str">
        <f t="shared" si="31"/>
        <v/>
      </c>
    </row>
    <row r="465" spans="1:14" x14ac:dyDescent="0.25">
      <c r="A465" t="str">
        <f>TEXT("1/"&amp;data!A465,"mmmm")</f>
        <v>février</v>
      </c>
      <c r="B465">
        <f>data!B465</f>
        <v>2016</v>
      </c>
      <c r="C465" t="str">
        <f>data!C465</f>
        <v>095</v>
      </c>
      <c r="D465" t="str">
        <f>data!D465</f>
        <v>MR FILLON</v>
      </c>
      <c r="E465" t="str">
        <f>data!E465</f>
        <v>095010</v>
      </c>
      <c r="F465" t="str">
        <f>data!F465</f>
        <v>DOM FILLON AC PETIT CHABLIS</v>
      </c>
      <c r="G465" s="10">
        <f>data!G465</f>
        <v>1060.2</v>
      </c>
      <c r="H465" s="10">
        <f>data!I465</f>
        <v>104.4</v>
      </c>
      <c r="I465" s="10">
        <f t="shared" si="28"/>
        <v>955.80000000000007</v>
      </c>
      <c r="J465" s="11">
        <f>data!H465</f>
        <v>228</v>
      </c>
      <c r="K465" s="11">
        <f>data!J465</f>
        <v>30</v>
      </c>
      <c r="L465" s="11">
        <f t="shared" si="29"/>
        <v>198</v>
      </c>
      <c r="M465" s="9">
        <f t="shared" si="30"/>
        <v>9.1551724137931032</v>
      </c>
      <c r="N465" s="9">
        <f t="shared" si="31"/>
        <v>6.6</v>
      </c>
    </row>
    <row r="466" spans="1:14" x14ac:dyDescent="0.25">
      <c r="A466" t="str">
        <f>TEXT("1/"&amp;data!A466,"mmmm")</f>
        <v>février</v>
      </c>
      <c r="B466">
        <f>data!B466</f>
        <v>2016</v>
      </c>
      <c r="C466" t="str">
        <f>data!C466</f>
        <v>095</v>
      </c>
      <c r="D466" t="str">
        <f>data!D466</f>
        <v>MR FILLON</v>
      </c>
      <c r="E466" t="str">
        <f>data!E466</f>
        <v>095012</v>
      </c>
      <c r="F466" t="str">
        <f>data!F466</f>
        <v>DOM FILLON AC CHABLIS</v>
      </c>
      <c r="G466" s="10">
        <f>data!G466</f>
        <v>186</v>
      </c>
      <c r="H466" s="10">
        <f>data!I466</f>
        <v>0</v>
      </c>
      <c r="I466" s="10">
        <f t="shared" si="28"/>
        <v>186</v>
      </c>
      <c r="J466" s="11">
        <f>data!H466</f>
        <v>30</v>
      </c>
      <c r="K466" s="11">
        <f>data!J466</f>
        <v>0</v>
      </c>
      <c r="L466" s="11">
        <f t="shared" si="29"/>
        <v>30</v>
      </c>
      <c r="M466" s="9" t="str">
        <f t="shared" si="30"/>
        <v/>
      </c>
      <c r="N466" s="9" t="str">
        <f t="shared" si="31"/>
        <v/>
      </c>
    </row>
    <row r="467" spans="1:14" x14ac:dyDescent="0.25">
      <c r="A467" t="str">
        <f>TEXT("1/"&amp;data!A467,"mmmm")</f>
        <v>février</v>
      </c>
      <c r="B467">
        <f>data!B467</f>
        <v>2016</v>
      </c>
      <c r="C467" t="str">
        <f>data!C467</f>
        <v>095</v>
      </c>
      <c r="D467" t="str">
        <f>data!D467</f>
        <v>MR FILLON</v>
      </c>
      <c r="E467" t="str">
        <f>data!E467</f>
        <v>095014</v>
      </c>
      <c r="F467" t="str">
        <f>data!F467</f>
        <v>DOM FILLON AC CHABLIS VIEILLES VIGNES</v>
      </c>
      <c r="G467" s="10">
        <f>data!G467</f>
        <v>408</v>
      </c>
      <c r="H467" s="10">
        <f>data!I467</f>
        <v>0</v>
      </c>
      <c r="I467" s="10">
        <f t="shared" si="28"/>
        <v>408</v>
      </c>
      <c r="J467" s="11">
        <f>data!H467</f>
        <v>60</v>
      </c>
      <c r="K467" s="11">
        <f>data!J467</f>
        <v>0</v>
      </c>
      <c r="L467" s="11">
        <f t="shared" si="29"/>
        <v>60</v>
      </c>
      <c r="M467" s="9" t="str">
        <f t="shared" si="30"/>
        <v/>
      </c>
      <c r="N467" s="9" t="str">
        <f t="shared" si="31"/>
        <v/>
      </c>
    </row>
    <row r="468" spans="1:14" x14ac:dyDescent="0.25">
      <c r="A468" t="str">
        <f>TEXT("1/"&amp;data!A468,"mmmm")</f>
        <v>février</v>
      </c>
      <c r="B468">
        <f>data!B468</f>
        <v>2016</v>
      </c>
      <c r="C468" t="str">
        <f>data!C468</f>
        <v>095</v>
      </c>
      <c r="D468" t="str">
        <f>data!D468</f>
        <v>MR FILLON</v>
      </c>
      <c r="E468" t="str">
        <f>data!E468</f>
        <v>095015</v>
      </c>
      <c r="F468" t="str">
        <f>data!F468</f>
        <v>DOM FILLON AC CHABLIS VIEILLES VIGNES</v>
      </c>
      <c r="G468" s="10">
        <f>data!G468</f>
        <v>42</v>
      </c>
      <c r="H468" s="10">
        <f>data!I468</f>
        <v>0</v>
      </c>
      <c r="I468" s="10">
        <f t="shared" si="28"/>
        <v>42</v>
      </c>
      <c r="J468" s="11">
        <f>data!H468</f>
        <v>6</v>
      </c>
      <c r="K468" s="11">
        <f>data!J468</f>
        <v>0</v>
      </c>
      <c r="L468" s="11">
        <f t="shared" si="29"/>
        <v>6</v>
      </c>
      <c r="M468" s="9" t="str">
        <f t="shared" si="30"/>
        <v/>
      </c>
      <c r="N468" s="9" t="str">
        <f t="shared" si="31"/>
        <v/>
      </c>
    </row>
    <row r="469" spans="1:14" x14ac:dyDescent="0.25">
      <c r="A469" t="str">
        <f>TEXT("1/"&amp;data!A469,"mmmm")</f>
        <v>février</v>
      </c>
      <c r="B469">
        <f>data!B469</f>
        <v>2016</v>
      </c>
      <c r="C469" t="str">
        <f>data!C469</f>
        <v>095</v>
      </c>
      <c r="D469" t="str">
        <f>data!D469</f>
        <v>MR FILLON</v>
      </c>
      <c r="E469" t="str">
        <f>data!E469</f>
        <v>095016</v>
      </c>
      <c r="F469" t="str">
        <f>data!F469</f>
        <v>DOM FILLON AC CHABLIS 1ER CRU "BEAUREGARD"</v>
      </c>
      <c r="G469" s="10">
        <f>data!G469</f>
        <v>208.8</v>
      </c>
      <c r="H469" s="10">
        <f>data!I469</f>
        <v>0</v>
      </c>
      <c r="I469" s="10">
        <f t="shared" si="28"/>
        <v>208.8</v>
      </c>
      <c r="J469" s="11">
        <f>data!H469</f>
        <v>24</v>
      </c>
      <c r="K469" s="11">
        <f>data!J469</f>
        <v>0</v>
      </c>
      <c r="L469" s="11">
        <f t="shared" si="29"/>
        <v>24</v>
      </c>
      <c r="M469" s="9" t="str">
        <f t="shared" si="30"/>
        <v/>
      </c>
      <c r="N469" s="9" t="str">
        <f t="shared" si="31"/>
        <v/>
      </c>
    </row>
    <row r="470" spans="1:14" x14ac:dyDescent="0.25">
      <c r="A470" t="str">
        <f>TEXT("1/"&amp;data!A470,"mmmm")</f>
        <v>février</v>
      </c>
      <c r="B470">
        <f>data!B470</f>
        <v>2016</v>
      </c>
      <c r="C470" t="str">
        <f>data!C470</f>
        <v>097</v>
      </c>
      <c r="D470" t="str">
        <f>data!D470</f>
        <v>CHATEAU DE COINTES</v>
      </c>
      <c r="E470" t="str">
        <f>data!E470</f>
        <v>097003</v>
      </c>
      <c r="F470" t="str">
        <f>data!F470</f>
        <v>AC C.MALEPERE C.COINTES</v>
      </c>
      <c r="G470" s="10">
        <f>data!G470</f>
        <v>265.2</v>
      </c>
      <c r="H470" s="10">
        <f>data!I470</f>
        <v>216</v>
      </c>
      <c r="I470" s="10">
        <f t="shared" si="28"/>
        <v>49.199999999999989</v>
      </c>
      <c r="J470" s="11">
        <f>data!H470</f>
        <v>102</v>
      </c>
      <c r="K470" s="11">
        <f>data!J470</f>
        <v>90</v>
      </c>
      <c r="L470" s="11">
        <f t="shared" si="29"/>
        <v>12</v>
      </c>
      <c r="M470" s="9">
        <f t="shared" si="30"/>
        <v>0.22777777777777772</v>
      </c>
      <c r="N470" s="9">
        <f t="shared" si="31"/>
        <v>0.13333333333333333</v>
      </c>
    </row>
    <row r="471" spans="1:14" x14ac:dyDescent="0.25">
      <c r="A471" t="str">
        <f>TEXT("1/"&amp;data!A471,"mmmm")</f>
        <v>février</v>
      </c>
      <c r="B471">
        <f>data!B471</f>
        <v>2016</v>
      </c>
      <c r="C471" t="str">
        <f>data!C471</f>
        <v>097</v>
      </c>
      <c r="D471" t="str">
        <f>data!D471</f>
        <v>CHATEAU DE COINTES</v>
      </c>
      <c r="E471" t="str">
        <f>data!E471</f>
        <v>097004</v>
      </c>
      <c r="F471" t="str">
        <f>data!F471</f>
        <v>VDP MERLOT D.DES CONSULS</v>
      </c>
      <c r="G471" s="10">
        <f>data!G471</f>
        <v>2037.7</v>
      </c>
      <c r="H471" s="10">
        <f>data!I471</f>
        <v>444</v>
      </c>
      <c r="I471" s="10">
        <f t="shared" si="28"/>
        <v>1593.7</v>
      </c>
      <c r="J471" s="11">
        <f>data!H471</f>
        <v>1014</v>
      </c>
      <c r="K471" s="11">
        <f>data!J471</f>
        <v>222</v>
      </c>
      <c r="L471" s="11">
        <f t="shared" si="29"/>
        <v>792</v>
      </c>
      <c r="M471" s="9">
        <f t="shared" si="30"/>
        <v>3.5894144144144144</v>
      </c>
      <c r="N471" s="9">
        <f t="shared" si="31"/>
        <v>3.5675675675675675</v>
      </c>
    </row>
    <row r="472" spans="1:14" x14ac:dyDescent="0.25">
      <c r="A472" t="str">
        <f>TEXT("1/"&amp;data!A472,"mmmm")</f>
        <v>février</v>
      </c>
      <c r="B472">
        <f>data!B472</f>
        <v>2016</v>
      </c>
      <c r="C472" t="str">
        <f>data!C472</f>
        <v>099</v>
      </c>
      <c r="D472" t="str">
        <f>data!D472</f>
        <v>CAVE DE L'ORMARINE</v>
      </c>
      <c r="E472" t="str">
        <f>data!E472</f>
        <v>099001</v>
      </c>
      <c r="F472" t="str">
        <f>data!F472</f>
        <v>VDP C DE THAU D.VILLEMARIN</v>
      </c>
      <c r="G472" s="10">
        <f>data!G472</f>
        <v>1779.84</v>
      </c>
      <c r="H472" s="10">
        <f>data!I472</f>
        <v>1472.22</v>
      </c>
      <c r="I472" s="10">
        <f t="shared" si="28"/>
        <v>307.61999999999989</v>
      </c>
      <c r="J472" s="11">
        <f>data!H472</f>
        <v>1158</v>
      </c>
      <c r="K472" s="11">
        <f>data!J472</f>
        <v>966</v>
      </c>
      <c r="L472" s="11">
        <f t="shared" si="29"/>
        <v>192</v>
      </c>
      <c r="M472" s="9">
        <f t="shared" si="30"/>
        <v>0.20894974935811217</v>
      </c>
      <c r="N472" s="9">
        <f t="shared" si="31"/>
        <v>0.19875776397515527</v>
      </c>
    </row>
    <row r="473" spans="1:14" x14ac:dyDescent="0.25">
      <c r="A473" t="str">
        <f>TEXT("1/"&amp;data!A473,"mmmm")</f>
        <v>février</v>
      </c>
      <c r="B473">
        <f>data!B473</f>
        <v>2016</v>
      </c>
      <c r="C473" t="str">
        <f>data!C473</f>
        <v>099</v>
      </c>
      <c r="D473" t="str">
        <f>data!D473</f>
        <v>CAVE DE L'ORMARINE</v>
      </c>
      <c r="E473" t="str">
        <f>data!E473</f>
        <v>099002</v>
      </c>
      <c r="F473" t="str">
        <f>data!F473</f>
        <v>VDP C DE THAU D.VILLEMARIN</v>
      </c>
      <c r="G473" s="10">
        <f>data!G473</f>
        <v>10648.16</v>
      </c>
      <c r="H473" s="10">
        <f>data!I473</f>
        <v>1643.94</v>
      </c>
      <c r="I473" s="10">
        <f t="shared" si="28"/>
        <v>9004.2199999999993</v>
      </c>
      <c r="J473" s="11">
        <f>data!H473</f>
        <v>7728</v>
      </c>
      <c r="K473" s="11">
        <f>data!J473</f>
        <v>1062</v>
      </c>
      <c r="L473" s="11">
        <f t="shared" si="29"/>
        <v>6666</v>
      </c>
      <c r="M473" s="9">
        <f t="shared" si="30"/>
        <v>5.4772193632371007</v>
      </c>
      <c r="N473" s="9">
        <f t="shared" si="31"/>
        <v>6.27683615819209</v>
      </c>
    </row>
    <row r="474" spans="1:14" x14ac:dyDescent="0.25">
      <c r="A474" t="str">
        <f>TEXT("1/"&amp;data!A474,"mmmm")</f>
        <v>février</v>
      </c>
      <c r="B474">
        <f>data!B474</f>
        <v>2016</v>
      </c>
      <c r="C474" t="str">
        <f>data!C474</f>
        <v>099</v>
      </c>
      <c r="D474" t="str">
        <f>data!D474</f>
        <v>CAVE DE L'ORMARINE</v>
      </c>
      <c r="E474" t="str">
        <f>data!E474</f>
        <v>099003</v>
      </c>
      <c r="F474" t="str">
        <f>data!F474</f>
        <v>VDP C DE THAU D.VILLEMARIN</v>
      </c>
      <c r="G474" s="10">
        <f>data!G474</f>
        <v>200.64</v>
      </c>
      <c r="H474" s="10">
        <f>data!I474</f>
        <v>199.2</v>
      </c>
      <c r="I474" s="10">
        <f t="shared" si="28"/>
        <v>1.4399999999999977</v>
      </c>
      <c r="J474" s="11">
        <f>data!H474</f>
        <v>114</v>
      </c>
      <c r="K474" s="11">
        <f>data!J474</f>
        <v>120</v>
      </c>
      <c r="L474" s="11">
        <f t="shared" si="29"/>
        <v>-6</v>
      </c>
      <c r="M474" s="9">
        <f t="shared" si="30"/>
        <v>7.2289156626505913E-3</v>
      </c>
      <c r="N474" s="9">
        <f t="shared" si="31"/>
        <v>-0.05</v>
      </c>
    </row>
    <row r="475" spans="1:14" x14ac:dyDescent="0.25">
      <c r="A475" t="str">
        <f>TEXT("1/"&amp;data!A475,"mmmm")</f>
        <v>février</v>
      </c>
      <c r="B475">
        <f>data!B475</f>
        <v>2016</v>
      </c>
      <c r="C475" t="str">
        <f>data!C475</f>
        <v>099</v>
      </c>
      <c r="D475" t="str">
        <f>data!D475</f>
        <v>CAVE DE L'ORMARINE</v>
      </c>
      <c r="E475" t="str">
        <f>data!E475</f>
        <v>099013</v>
      </c>
      <c r="F475" t="str">
        <f>data!F475</f>
        <v>IGP PAYS D'OC MUSCAT MOELLEUX DOUCEUR DU SUD</v>
      </c>
      <c r="G475" s="10">
        <f>data!G475</f>
        <v>134.88</v>
      </c>
      <c r="H475" s="10">
        <f>data!I475</f>
        <v>0</v>
      </c>
      <c r="I475" s="10">
        <f t="shared" si="28"/>
        <v>134.88</v>
      </c>
      <c r="J475" s="11">
        <f>data!H475</f>
        <v>54</v>
      </c>
      <c r="K475" s="11">
        <f>data!J475</f>
        <v>0</v>
      </c>
      <c r="L475" s="11">
        <f t="shared" si="29"/>
        <v>54</v>
      </c>
      <c r="M475" s="9" t="str">
        <f t="shared" si="30"/>
        <v/>
      </c>
      <c r="N475" s="9" t="str">
        <f t="shared" si="31"/>
        <v/>
      </c>
    </row>
    <row r="476" spans="1:14" x14ac:dyDescent="0.25">
      <c r="A476" t="str">
        <f>TEXT("1/"&amp;data!A476,"mmmm")</f>
        <v>février</v>
      </c>
      <c r="B476">
        <f>data!B476</f>
        <v>2016</v>
      </c>
      <c r="C476" t="str">
        <f>data!C476</f>
        <v>099</v>
      </c>
      <c r="D476" t="str">
        <f>data!D476</f>
        <v>CAVE DE L'ORMARINE</v>
      </c>
      <c r="E476" t="str">
        <f>data!E476</f>
        <v>099016</v>
      </c>
      <c r="F476" t="str">
        <f>data!F476</f>
        <v>AC PICPOUL PINET CARTE NOIRE</v>
      </c>
      <c r="G476" s="10">
        <f>data!G476</f>
        <v>102.6</v>
      </c>
      <c r="H476" s="10">
        <f>data!I476</f>
        <v>0</v>
      </c>
      <c r="I476" s="10">
        <f t="shared" si="28"/>
        <v>102.6</v>
      </c>
      <c r="J476" s="11">
        <f>data!H476</f>
        <v>36</v>
      </c>
      <c r="K476" s="11">
        <f>data!J476</f>
        <v>0</v>
      </c>
      <c r="L476" s="11">
        <f t="shared" si="29"/>
        <v>36</v>
      </c>
      <c r="M476" s="9" t="str">
        <f t="shared" si="30"/>
        <v/>
      </c>
      <c r="N476" s="9" t="str">
        <f t="shared" si="31"/>
        <v/>
      </c>
    </row>
    <row r="477" spans="1:14" x14ac:dyDescent="0.25">
      <c r="A477" t="str">
        <f>TEXT("1/"&amp;data!A477,"mmmm")</f>
        <v>février</v>
      </c>
      <c r="B477">
        <f>data!B477</f>
        <v>2016</v>
      </c>
      <c r="C477" t="str">
        <f>data!C477</f>
        <v>110</v>
      </c>
      <c r="D477" t="str">
        <f>data!D477</f>
        <v>CHATEAU LES MARNIERES</v>
      </c>
      <c r="E477" t="str">
        <f>data!E477</f>
        <v>110500</v>
      </c>
      <c r="F477" t="str">
        <f>data!F477</f>
        <v>AC BERGERAC CH LES MARNIERES</v>
      </c>
      <c r="G477" s="10">
        <f>data!G477</f>
        <v>400.4</v>
      </c>
      <c r="H477" s="10">
        <f>data!I477</f>
        <v>607.25</v>
      </c>
      <c r="I477" s="10">
        <f t="shared" si="28"/>
        <v>-206.85000000000002</v>
      </c>
      <c r="J477" s="11">
        <f>data!H477</f>
        <v>306.58999999999997</v>
      </c>
      <c r="K477" s="11">
        <f>data!J477</f>
        <v>466.55</v>
      </c>
      <c r="L477" s="11">
        <f t="shared" si="29"/>
        <v>-159.96000000000004</v>
      </c>
      <c r="M477" s="9">
        <f t="shared" si="30"/>
        <v>-0.3406340057636888</v>
      </c>
      <c r="N477" s="9">
        <f t="shared" si="31"/>
        <v>-0.34285714285714292</v>
      </c>
    </row>
    <row r="478" spans="1:14" x14ac:dyDescent="0.25">
      <c r="A478" t="str">
        <f>TEXT("1/"&amp;data!A478,"mmmm")</f>
        <v>février</v>
      </c>
      <c r="B478">
        <f>data!B478</f>
        <v>2016</v>
      </c>
      <c r="C478" t="str">
        <f>data!C478</f>
        <v>110</v>
      </c>
      <c r="D478" t="str">
        <f>data!D478</f>
        <v>CHATEAU LES MARNIERES</v>
      </c>
      <c r="E478" t="str">
        <f>data!E478</f>
        <v>110501</v>
      </c>
      <c r="F478" t="str">
        <f>data!F478</f>
        <v>AC BERGERAC CH LES MARNIERES</v>
      </c>
      <c r="G478" s="10">
        <f>data!G478</f>
        <v>462.25</v>
      </c>
      <c r="H478" s="10">
        <f>data!I478</f>
        <v>397.8</v>
      </c>
      <c r="I478" s="10">
        <f t="shared" si="28"/>
        <v>64.449999999999989</v>
      </c>
      <c r="J478" s="11">
        <f>data!H478</f>
        <v>286.81</v>
      </c>
      <c r="K478" s="11">
        <f>data!J478</f>
        <v>260.13</v>
      </c>
      <c r="L478" s="11">
        <f t="shared" si="29"/>
        <v>26.680000000000007</v>
      </c>
      <c r="M478" s="9">
        <f t="shared" si="30"/>
        <v>0.1620160884866767</v>
      </c>
      <c r="N478" s="9">
        <f t="shared" si="31"/>
        <v>0.10256410256410259</v>
      </c>
    </row>
    <row r="479" spans="1:14" x14ac:dyDescent="0.25">
      <c r="A479" t="str">
        <f>TEXT("1/"&amp;data!A479,"mmmm")</f>
        <v>février</v>
      </c>
      <c r="B479">
        <f>data!B479</f>
        <v>2016</v>
      </c>
      <c r="C479" t="str">
        <f>data!C479</f>
        <v>110</v>
      </c>
      <c r="D479" t="str">
        <f>data!D479</f>
        <v>CHATEAU LES MARNIERES</v>
      </c>
      <c r="E479" t="str">
        <f>data!E479</f>
        <v>110600</v>
      </c>
      <c r="F479" t="str">
        <f>data!F479</f>
        <v>CH LES MARNIERES AC COTES DE BERGERAC MOELLEUX</v>
      </c>
      <c r="G479" s="10">
        <f>data!G479</f>
        <v>109.8</v>
      </c>
      <c r="H479" s="10">
        <f>data!I479</f>
        <v>226.2</v>
      </c>
      <c r="I479" s="10">
        <f t="shared" si="28"/>
        <v>-116.39999999999999</v>
      </c>
      <c r="J479" s="11">
        <f>data!H479</f>
        <v>36</v>
      </c>
      <c r="K479" s="11">
        <f>data!J479</f>
        <v>78</v>
      </c>
      <c r="L479" s="11">
        <f t="shared" si="29"/>
        <v>-42</v>
      </c>
      <c r="M479" s="9">
        <f t="shared" si="30"/>
        <v>-0.51458885941644561</v>
      </c>
      <c r="N479" s="9">
        <f t="shared" si="31"/>
        <v>-0.53846153846153844</v>
      </c>
    </row>
    <row r="480" spans="1:14" x14ac:dyDescent="0.25">
      <c r="A480" t="str">
        <f>TEXT("1/"&amp;data!A480,"mmmm")</f>
        <v>février</v>
      </c>
      <c r="B480">
        <f>data!B480</f>
        <v>2016</v>
      </c>
      <c r="C480" t="str">
        <f>data!C480</f>
        <v>113</v>
      </c>
      <c r="D480" t="str">
        <f>data!D480</f>
        <v>DOMAINE DU PRIEURE</v>
      </c>
      <c r="E480" t="str">
        <f>data!E480</f>
        <v>113001</v>
      </c>
      <c r="F480" t="str">
        <f>data!F480</f>
        <v>AC MENETOU SALON. DME PRIEURE</v>
      </c>
      <c r="G480" s="10">
        <f>data!G480</f>
        <v>1155</v>
      </c>
      <c r="H480" s="10">
        <f>data!I480</f>
        <v>2385</v>
      </c>
      <c r="I480" s="10">
        <f t="shared" si="28"/>
        <v>-1230</v>
      </c>
      <c r="J480" s="11">
        <f>data!H480</f>
        <v>210</v>
      </c>
      <c r="K480" s="11">
        <f>data!J480</f>
        <v>450</v>
      </c>
      <c r="L480" s="11">
        <f t="shared" si="29"/>
        <v>-240</v>
      </c>
      <c r="M480" s="9">
        <f t="shared" si="30"/>
        <v>-0.51572327044025157</v>
      </c>
      <c r="N480" s="9">
        <f t="shared" si="31"/>
        <v>-0.53333333333333333</v>
      </c>
    </row>
    <row r="481" spans="1:14" x14ac:dyDescent="0.25">
      <c r="A481" t="str">
        <f>TEXT("1/"&amp;data!A481,"mmmm")</f>
        <v>février</v>
      </c>
      <c r="B481">
        <f>data!B481</f>
        <v>2016</v>
      </c>
      <c r="C481" t="str">
        <f>data!C481</f>
        <v>113</v>
      </c>
      <c r="D481" t="str">
        <f>data!D481</f>
        <v>DOMAINE DU PRIEURE</v>
      </c>
      <c r="E481" t="str">
        <f>data!E481</f>
        <v>113002</v>
      </c>
      <c r="F481" t="str">
        <f>data!F481</f>
        <v>AC MENETOU SALON. DME PRIEURE</v>
      </c>
      <c r="G481" s="10">
        <f>data!G481</f>
        <v>183</v>
      </c>
      <c r="H481" s="10">
        <f>data!I481</f>
        <v>240.6</v>
      </c>
      <c r="I481" s="10">
        <f t="shared" si="28"/>
        <v>-57.599999999999994</v>
      </c>
      <c r="J481" s="11">
        <f>data!H481</f>
        <v>30</v>
      </c>
      <c r="K481" s="11">
        <f>data!J481</f>
        <v>42</v>
      </c>
      <c r="L481" s="11">
        <f t="shared" si="29"/>
        <v>-12</v>
      </c>
      <c r="M481" s="9">
        <f t="shared" si="30"/>
        <v>-0.23940149625935161</v>
      </c>
      <c r="N481" s="9">
        <f t="shared" si="31"/>
        <v>-0.2857142857142857</v>
      </c>
    </row>
    <row r="482" spans="1:14" x14ac:dyDescent="0.25">
      <c r="A482" t="str">
        <f>TEXT("1/"&amp;data!A482,"mmmm")</f>
        <v>février</v>
      </c>
      <c r="B482">
        <f>data!B482</f>
        <v>2016</v>
      </c>
      <c r="C482" t="str">
        <f>data!C482</f>
        <v>113</v>
      </c>
      <c r="D482" t="str">
        <f>data!D482</f>
        <v>DOMAINE DU PRIEURE</v>
      </c>
      <c r="E482" t="str">
        <f>data!E482</f>
        <v>113005</v>
      </c>
      <c r="F482" t="str">
        <f>data!F482</f>
        <v>AC MENETOU SALON. DME PRIEURE</v>
      </c>
      <c r="G482" s="10">
        <f>data!G482</f>
        <v>1138.5</v>
      </c>
      <c r="H482" s="10">
        <f>data!I482</f>
        <v>865.8</v>
      </c>
      <c r="I482" s="10">
        <f t="shared" si="28"/>
        <v>272.70000000000005</v>
      </c>
      <c r="J482" s="11">
        <f>data!H482</f>
        <v>204</v>
      </c>
      <c r="K482" s="11">
        <f>data!J482</f>
        <v>156</v>
      </c>
      <c r="L482" s="11">
        <f t="shared" si="29"/>
        <v>48</v>
      </c>
      <c r="M482" s="9">
        <f t="shared" si="30"/>
        <v>0.31496881496881501</v>
      </c>
      <c r="N482" s="9">
        <f t="shared" si="31"/>
        <v>0.30769230769230771</v>
      </c>
    </row>
    <row r="483" spans="1:14" x14ac:dyDescent="0.25">
      <c r="A483" t="str">
        <f>TEXT("1/"&amp;data!A483,"mmmm")</f>
        <v>février</v>
      </c>
      <c r="B483">
        <f>data!B483</f>
        <v>2016</v>
      </c>
      <c r="C483" t="str">
        <f>data!C483</f>
        <v>113</v>
      </c>
      <c r="D483" t="str">
        <f>data!D483</f>
        <v>DOMAINE DU PRIEURE</v>
      </c>
      <c r="E483" t="str">
        <f>data!E483</f>
        <v>113006</v>
      </c>
      <c r="F483" t="str">
        <f>data!F483</f>
        <v>AC MENETOU SALON. DME PRIEURE</v>
      </c>
      <c r="G483" s="10">
        <f>data!G483</f>
        <v>230.4</v>
      </c>
      <c r="H483" s="10">
        <f>data!I483</f>
        <v>148.80000000000001</v>
      </c>
      <c r="I483" s="10">
        <f t="shared" si="28"/>
        <v>81.599999999999994</v>
      </c>
      <c r="J483" s="11">
        <f>data!H483</f>
        <v>36</v>
      </c>
      <c r="K483" s="11">
        <f>data!J483</f>
        <v>24</v>
      </c>
      <c r="L483" s="11">
        <f t="shared" si="29"/>
        <v>12</v>
      </c>
      <c r="M483" s="9">
        <f t="shared" si="30"/>
        <v>0.54838709677419351</v>
      </c>
      <c r="N483" s="9">
        <f t="shared" si="31"/>
        <v>0.5</v>
      </c>
    </row>
    <row r="484" spans="1:14" x14ac:dyDescent="0.25">
      <c r="A484" t="str">
        <f>TEXT("1/"&amp;data!A484,"mmmm")</f>
        <v>février</v>
      </c>
      <c r="B484">
        <f>data!B484</f>
        <v>2016</v>
      </c>
      <c r="C484" t="str">
        <f>data!C484</f>
        <v>114</v>
      </c>
      <c r="D484" t="str">
        <f>data!D484</f>
        <v>DAVAULT VIGNERONS</v>
      </c>
      <c r="E484" t="str">
        <f>data!E484</f>
        <v>114001</v>
      </c>
      <c r="F484" t="str">
        <f>data!F484</f>
        <v>AC TOURAINE D.LA CHAISE</v>
      </c>
      <c r="G484" s="10">
        <f>data!G484</f>
        <v>388.8</v>
      </c>
      <c r="H484" s="10">
        <f>data!I484</f>
        <v>661.8</v>
      </c>
      <c r="I484" s="10">
        <f t="shared" si="28"/>
        <v>-272.99999999999994</v>
      </c>
      <c r="J484" s="11">
        <f>data!H484</f>
        <v>144</v>
      </c>
      <c r="K484" s="11">
        <f>data!J484</f>
        <v>258</v>
      </c>
      <c r="L484" s="11">
        <f t="shared" si="29"/>
        <v>-114</v>
      </c>
      <c r="M484" s="9">
        <f t="shared" si="30"/>
        <v>-0.41251133272892104</v>
      </c>
      <c r="N484" s="9">
        <f t="shared" si="31"/>
        <v>-0.44186046511627908</v>
      </c>
    </row>
    <row r="485" spans="1:14" x14ac:dyDescent="0.25">
      <c r="A485" t="str">
        <f>TEXT("1/"&amp;data!A485,"mmmm")</f>
        <v>février</v>
      </c>
      <c r="B485">
        <f>data!B485</f>
        <v>2016</v>
      </c>
      <c r="C485" t="str">
        <f>data!C485</f>
        <v>114</v>
      </c>
      <c r="D485" t="str">
        <f>data!D485</f>
        <v>DAVAULT VIGNERONS</v>
      </c>
      <c r="E485" t="str">
        <f>data!E485</f>
        <v>114005</v>
      </c>
      <c r="F485" t="str">
        <f>data!F485</f>
        <v>AC GAMAY TOURAINE D.LA CHAISE</v>
      </c>
      <c r="G485" s="10">
        <f>data!G485</f>
        <v>112.8</v>
      </c>
      <c r="H485" s="10">
        <f>data!I485</f>
        <v>218.88</v>
      </c>
      <c r="I485" s="10">
        <f t="shared" si="28"/>
        <v>-106.08</v>
      </c>
      <c r="J485" s="11">
        <f>data!H485</f>
        <v>48</v>
      </c>
      <c r="K485" s="11">
        <f>data!J485</f>
        <v>96</v>
      </c>
      <c r="L485" s="11">
        <f t="shared" si="29"/>
        <v>-48</v>
      </c>
      <c r="M485" s="9">
        <f t="shared" si="30"/>
        <v>-0.48464912280701755</v>
      </c>
      <c r="N485" s="9">
        <f t="shared" si="31"/>
        <v>-0.5</v>
      </c>
    </row>
    <row r="486" spans="1:14" x14ac:dyDescent="0.25">
      <c r="A486" t="str">
        <f>TEXT("1/"&amp;data!A486,"mmmm")</f>
        <v>février</v>
      </c>
      <c r="B486">
        <f>data!B486</f>
        <v>2016</v>
      </c>
      <c r="C486" t="str">
        <f>data!C486</f>
        <v>114</v>
      </c>
      <c r="D486" t="str">
        <f>data!D486</f>
        <v>DAVAULT VIGNERONS</v>
      </c>
      <c r="E486" t="str">
        <f>data!E486</f>
        <v>114006</v>
      </c>
      <c r="F486" t="str">
        <f>data!F486</f>
        <v>AC GAMAY TOURAINE D.LA CHAISE</v>
      </c>
      <c r="G486" s="10">
        <f>data!G486</f>
        <v>36.24</v>
      </c>
      <c r="H486" s="10">
        <f>data!I486</f>
        <v>0</v>
      </c>
      <c r="I486" s="10">
        <f t="shared" si="28"/>
        <v>36.24</v>
      </c>
      <c r="J486" s="11">
        <f>data!H486</f>
        <v>12</v>
      </c>
      <c r="K486" s="11">
        <f>data!J486</f>
        <v>0</v>
      </c>
      <c r="L486" s="11">
        <f t="shared" si="29"/>
        <v>12</v>
      </c>
      <c r="M486" s="9" t="str">
        <f t="shared" si="30"/>
        <v/>
      </c>
      <c r="N486" s="9" t="str">
        <f t="shared" si="31"/>
        <v/>
      </c>
    </row>
    <row r="487" spans="1:14" x14ac:dyDescent="0.25">
      <c r="A487" t="str">
        <f>TEXT("1/"&amp;data!A487,"mmmm")</f>
        <v>février</v>
      </c>
      <c r="B487">
        <f>data!B487</f>
        <v>2016</v>
      </c>
      <c r="C487" t="str">
        <f>data!C487</f>
        <v>114</v>
      </c>
      <c r="D487" t="str">
        <f>data!D487</f>
        <v>DAVAULT VIGNERONS</v>
      </c>
      <c r="E487" t="str">
        <f>data!E487</f>
        <v>114010</v>
      </c>
      <c r="F487" t="str">
        <f>data!F487</f>
        <v>AC TOURAINE SAUV D.LA CHAISE</v>
      </c>
      <c r="G487" s="10">
        <f>data!G487</f>
        <v>567.5</v>
      </c>
      <c r="H487" s="10">
        <f>data!I487</f>
        <v>422.84</v>
      </c>
      <c r="I487" s="10">
        <f t="shared" si="28"/>
        <v>144.66000000000003</v>
      </c>
      <c r="J487" s="11">
        <f>data!H487</f>
        <v>333.25</v>
      </c>
      <c r="K487" s="11">
        <f>data!J487</f>
        <v>293.26</v>
      </c>
      <c r="L487" s="11">
        <f t="shared" si="29"/>
        <v>39.990000000000009</v>
      </c>
      <c r="M487" s="9">
        <f t="shared" si="30"/>
        <v>0.34211522088733337</v>
      </c>
      <c r="N487" s="9">
        <f t="shared" si="31"/>
        <v>0.13636363636363641</v>
      </c>
    </row>
    <row r="488" spans="1:14" x14ac:dyDescent="0.25">
      <c r="A488" t="str">
        <f>TEXT("1/"&amp;data!A488,"mmmm")</f>
        <v>février</v>
      </c>
      <c r="B488">
        <f>data!B488</f>
        <v>2016</v>
      </c>
      <c r="C488" t="str">
        <f>data!C488</f>
        <v>114</v>
      </c>
      <c r="D488" t="str">
        <f>data!D488</f>
        <v>DAVAULT VIGNERONS</v>
      </c>
      <c r="E488" t="str">
        <f>data!E488</f>
        <v>114011</v>
      </c>
      <c r="F488" t="str">
        <f>data!F488</f>
        <v>AC TOURAINE SAUV D.LA CHAISE</v>
      </c>
      <c r="G488" s="10">
        <f>data!G488</f>
        <v>479.52</v>
      </c>
      <c r="H488" s="10">
        <f>data!I488</f>
        <v>748</v>
      </c>
      <c r="I488" s="10">
        <f t="shared" si="28"/>
        <v>-268.48</v>
      </c>
      <c r="J488" s="11">
        <f>data!H488</f>
        <v>246.79</v>
      </c>
      <c r="K488" s="11">
        <f>data!J488</f>
        <v>453.56</v>
      </c>
      <c r="L488" s="11">
        <f t="shared" si="29"/>
        <v>-206.77</v>
      </c>
      <c r="M488" s="9">
        <f t="shared" si="30"/>
        <v>-0.35893048128342248</v>
      </c>
      <c r="N488" s="9">
        <f t="shared" si="31"/>
        <v>-0.45588235294117652</v>
      </c>
    </row>
    <row r="489" spans="1:14" x14ac:dyDescent="0.25">
      <c r="A489" t="str">
        <f>TEXT("1/"&amp;data!A489,"mmmm")</f>
        <v>février</v>
      </c>
      <c r="B489">
        <f>data!B489</f>
        <v>2016</v>
      </c>
      <c r="C489" t="str">
        <f>data!C489</f>
        <v>114</v>
      </c>
      <c r="D489" t="str">
        <f>data!D489</f>
        <v>DAVAULT VIGNERONS</v>
      </c>
      <c r="E489" t="str">
        <f>data!E489</f>
        <v>114012</v>
      </c>
      <c r="F489" t="str">
        <f>data!F489</f>
        <v>AC TOURAINE GAMAY D.LA CHAISE</v>
      </c>
      <c r="G489" s="10">
        <f>data!G489</f>
        <v>210.24</v>
      </c>
      <c r="H489" s="10">
        <f>data!I489</f>
        <v>16.690000000000001</v>
      </c>
      <c r="I489" s="10">
        <f t="shared" si="28"/>
        <v>193.55</v>
      </c>
      <c r="J489" s="11">
        <f>data!H489</f>
        <v>159.96</v>
      </c>
      <c r="K489" s="11">
        <f>data!J489</f>
        <v>13.33</v>
      </c>
      <c r="L489" s="11">
        <f t="shared" si="29"/>
        <v>146.63</v>
      </c>
      <c r="M489" s="9">
        <f t="shared" si="30"/>
        <v>11.596764529658477</v>
      </c>
      <c r="N489" s="9">
        <f t="shared" si="31"/>
        <v>11</v>
      </c>
    </row>
    <row r="490" spans="1:14" x14ac:dyDescent="0.25">
      <c r="A490" t="str">
        <f>TEXT("1/"&amp;data!A490,"mmmm")</f>
        <v>février</v>
      </c>
      <c r="B490">
        <f>data!B490</f>
        <v>2016</v>
      </c>
      <c r="C490" t="str">
        <f>data!C490</f>
        <v>114</v>
      </c>
      <c r="D490" t="str">
        <f>data!D490</f>
        <v>DAVAULT VIGNERONS</v>
      </c>
      <c r="E490" t="str">
        <f>data!E490</f>
        <v>114013</v>
      </c>
      <c r="F490" t="str">
        <f>data!F490</f>
        <v>AC TOURAINE GAMAY</v>
      </c>
      <c r="G490" s="10">
        <f>data!G490</f>
        <v>79.84</v>
      </c>
      <c r="H490" s="10">
        <f>data!I490</f>
        <v>0</v>
      </c>
      <c r="I490" s="10">
        <f t="shared" si="28"/>
        <v>79.84</v>
      </c>
      <c r="J490" s="11">
        <f>data!H490</f>
        <v>53.36</v>
      </c>
      <c r="K490" s="11">
        <f>data!J490</f>
        <v>0</v>
      </c>
      <c r="L490" s="11">
        <f t="shared" si="29"/>
        <v>53.36</v>
      </c>
      <c r="M490" s="9" t="str">
        <f t="shared" si="30"/>
        <v/>
      </c>
      <c r="N490" s="9" t="str">
        <f t="shared" si="31"/>
        <v/>
      </c>
    </row>
    <row r="491" spans="1:14" x14ac:dyDescent="0.25">
      <c r="A491" t="str">
        <f>TEXT("1/"&amp;data!A491,"mmmm")</f>
        <v>février</v>
      </c>
      <c r="B491">
        <f>data!B491</f>
        <v>2016</v>
      </c>
      <c r="C491" t="str">
        <f>data!C491</f>
        <v>115</v>
      </c>
      <c r="D491" t="str">
        <f>data!D491</f>
        <v>SCEA CHATEAU DES ROQUES</v>
      </c>
      <c r="E491" t="str">
        <f>data!E491</f>
        <v>115005</v>
      </c>
      <c r="F491" t="str">
        <f>data!F491</f>
        <v>AC VACQUEYRAS CH DES ROQUES</v>
      </c>
      <c r="G491" s="10">
        <f>data!G491</f>
        <v>691.2</v>
      </c>
      <c r="H491" s="10">
        <f>data!I491</f>
        <v>756</v>
      </c>
      <c r="I491" s="10">
        <f t="shared" si="28"/>
        <v>-64.799999999999955</v>
      </c>
      <c r="J491" s="11">
        <f>data!H491</f>
        <v>108</v>
      </c>
      <c r="K491" s="11">
        <f>data!J491</f>
        <v>126</v>
      </c>
      <c r="L491" s="11">
        <f t="shared" si="29"/>
        <v>-18</v>
      </c>
      <c r="M491" s="9">
        <f t="shared" si="30"/>
        <v>-8.571428571428566E-2</v>
      </c>
      <c r="N491" s="9">
        <f t="shared" si="31"/>
        <v>-0.14285714285714285</v>
      </c>
    </row>
    <row r="492" spans="1:14" x14ac:dyDescent="0.25">
      <c r="A492" t="str">
        <f>TEXT("1/"&amp;data!A492,"mmmm")</f>
        <v>février</v>
      </c>
      <c r="B492">
        <f>data!B492</f>
        <v>2016</v>
      </c>
      <c r="C492" t="str">
        <f>data!C492</f>
        <v>115</v>
      </c>
      <c r="D492" t="str">
        <f>data!D492</f>
        <v>SCEA CHATEAU DES ROQUES</v>
      </c>
      <c r="E492" t="str">
        <f>data!E492</f>
        <v>115010</v>
      </c>
      <c r="F492" t="str">
        <f>data!F492</f>
        <v>VDP VAUCLUSE G.DES ROQUES</v>
      </c>
      <c r="G492" s="10">
        <f>data!G492</f>
        <v>0</v>
      </c>
      <c r="H492" s="10">
        <f>data!I492</f>
        <v>340.08</v>
      </c>
      <c r="I492" s="10">
        <f t="shared" si="28"/>
        <v>-340.08</v>
      </c>
      <c r="J492" s="11">
        <f>data!H492</f>
        <v>13.33</v>
      </c>
      <c r="K492" s="11">
        <f>data!J492</f>
        <v>359.91</v>
      </c>
      <c r="L492" s="11">
        <f t="shared" si="29"/>
        <v>-346.58000000000004</v>
      </c>
      <c r="M492" s="9">
        <f t="shared" si="30"/>
        <v>-1</v>
      </c>
      <c r="N492" s="9">
        <f t="shared" si="31"/>
        <v>-0.96296296296296302</v>
      </c>
    </row>
    <row r="493" spans="1:14" x14ac:dyDescent="0.25">
      <c r="A493" t="str">
        <f>TEXT("1/"&amp;data!A493,"mmmm")</f>
        <v>février</v>
      </c>
      <c r="B493">
        <f>data!B493</f>
        <v>2016</v>
      </c>
      <c r="C493" t="str">
        <f>data!C493</f>
        <v>116</v>
      </c>
      <c r="D493" t="str">
        <f>data!D493</f>
        <v>VIGNOBLE GASNIER</v>
      </c>
      <c r="E493" t="str">
        <f>data!E493</f>
        <v>116001</v>
      </c>
      <c r="F493" t="str">
        <f>data!F493</f>
        <v>AC CHINON LES GRAVES</v>
      </c>
      <c r="G493" s="10">
        <f>data!G493</f>
        <v>764.4</v>
      </c>
      <c r="H493" s="10">
        <f>data!I493</f>
        <v>1821.6</v>
      </c>
      <c r="I493" s="10">
        <f t="shared" si="28"/>
        <v>-1057.1999999999998</v>
      </c>
      <c r="J493" s="11">
        <f>data!H493</f>
        <v>168</v>
      </c>
      <c r="K493" s="11">
        <f>data!J493</f>
        <v>414</v>
      </c>
      <c r="L493" s="11">
        <f t="shared" si="29"/>
        <v>-246</v>
      </c>
      <c r="M493" s="9">
        <f t="shared" si="30"/>
        <v>-0.58036890645586292</v>
      </c>
      <c r="N493" s="9">
        <f t="shared" si="31"/>
        <v>-0.59420289855072461</v>
      </c>
    </row>
    <row r="494" spans="1:14" x14ac:dyDescent="0.25">
      <c r="A494" t="str">
        <f>TEXT("1/"&amp;data!A494,"mmmm")</f>
        <v>février</v>
      </c>
      <c r="B494">
        <f>data!B494</f>
        <v>2016</v>
      </c>
      <c r="C494" t="str">
        <f>data!C494</f>
        <v>116</v>
      </c>
      <c r="D494" t="str">
        <f>data!D494</f>
        <v>VIGNOBLE GASNIER</v>
      </c>
      <c r="E494" t="str">
        <f>data!E494</f>
        <v>116005</v>
      </c>
      <c r="F494" t="str">
        <f>data!F494</f>
        <v>AC CHINON DME GASNIER</v>
      </c>
      <c r="G494" s="10">
        <f>data!G494</f>
        <v>25.8</v>
      </c>
      <c r="H494" s="10">
        <f>data!I494</f>
        <v>0</v>
      </c>
      <c r="I494" s="10">
        <f t="shared" si="28"/>
        <v>25.8</v>
      </c>
      <c r="J494" s="11">
        <f>data!H494</f>
        <v>6</v>
      </c>
      <c r="K494" s="11">
        <f>data!J494</f>
        <v>0</v>
      </c>
      <c r="L494" s="11">
        <f t="shared" si="29"/>
        <v>6</v>
      </c>
      <c r="M494" s="9" t="str">
        <f t="shared" si="30"/>
        <v/>
      </c>
      <c r="N494" s="9" t="str">
        <f t="shared" si="31"/>
        <v/>
      </c>
    </row>
    <row r="495" spans="1:14" x14ac:dyDescent="0.25">
      <c r="A495" t="str">
        <f>TEXT("1/"&amp;data!A495,"mmmm")</f>
        <v>février</v>
      </c>
      <c r="B495">
        <f>data!B495</f>
        <v>2016</v>
      </c>
      <c r="C495" t="str">
        <f>data!C495</f>
        <v>116</v>
      </c>
      <c r="D495" t="str">
        <f>data!D495</f>
        <v>VIGNOBLE GASNIER</v>
      </c>
      <c r="E495" t="str">
        <f>data!E495</f>
        <v>CDV116006</v>
      </c>
      <c r="F495" t="str">
        <f>data!F495</f>
        <v>AC CHINON VIEILLES VIGNES DOMAINE GARNIER</v>
      </c>
      <c r="G495" s="10">
        <f>data!G495</f>
        <v>66</v>
      </c>
      <c r="H495" s="10">
        <f>data!I495</f>
        <v>64.2</v>
      </c>
      <c r="I495" s="10">
        <f t="shared" si="28"/>
        <v>1.7999999999999972</v>
      </c>
      <c r="J495" s="11">
        <f>data!H495</f>
        <v>12</v>
      </c>
      <c r="K495" s="11">
        <f>data!J495</f>
        <v>12</v>
      </c>
      <c r="L495" s="11">
        <f t="shared" si="29"/>
        <v>0</v>
      </c>
      <c r="M495" s="9">
        <f t="shared" si="30"/>
        <v>2.8037383177570048E-2</v>
      </c>
      <c r="N495" s="9">
        <f t="shared" si="31"/>
        <v>0</v>
      </c>
    </row>
    <row r="496" spans="1:14" x14ac:dyDescent="0.25">
      <c r="A496" t="str">
        <f>TEXT("1/"&amp;data!A496,"mmmm")</f>
        <v>février</v>
      </c>
      <c r="B496">
        <f>data!B496</f>
        <v>2016</v>
      </c>
      <c r="C496" t="str">
        <f>data!C496</f>
        <v>119</v>
      </c>
      <c r="D496" t="str">
        <f>data!D496</f>
        <v>DOMAINE DES HOMS</v>
      </c>
      <c r="E496" t="str">
        <f>data!E496</f>
        <v>119001</v>
      </c>
      <c r="F496" t="str">
        <f>data!F496</f>
        <v>AC MINERVOIS CUVEE PAUL D.DES HOMS</v>
      </c>
      <c r="G496" s="10">
        <f>data!G496</f>
        <v>748.2</v>
      </c>
      <c r="H496" s="10">
        <f>data!I496</f>
        <v>1107</v>
      </c>
      <c r="I496" s="10">
        <f t="shared" si="28"/>
        <v>-358.79999999999995</v>
      </c>
      <c r="J496" s="11">
        <f>data!H496</f>
        <v>174</v>
      </c>
      <c r="K496" s="11">
        <f>data!J496</f>
        <v>270</v>
      </c>
      <c r="L496" s="11">
        <f t="shared" si="29"/>
        <v>-96</v>
      </c>
      <c r="M496" s="9">
        <f t="shared" si="30"/>
        <v>-0.32411924119241187</v>
      </c>
      <c r="N496" s="9">
        <f t="shared" si="31"/>
        <v>-0.35555555555555557</v>
      </c>
    </row>
    <row r="497" spans="1:14" x14ac:dyDescent="0.25">
      <c r="A497" t="str">
        <f>TEXT("1/"&amp;data!A497,"mmmm")</f>
        <v>février</v>
      </c>
      <c r="B497">
        <f>data!B497</f>
        <v>2016</v>
      </c>
      <c r="C497" t="str">
        <f>data!C497</f>
        <v>119</v>
      </c>
      <c r="D497" t="str">
        <f>data!D497</f>
        <v>DOMAINE DES HOMS</v>
      </c>
      <c r="E497" t="str">
        <f>data!E497</f>
        <v>119002</v>
      </c>
      <c r="F497" t="str">
        <f>data!F497</f>
        <v>IGP OC CHARDONNAY</v>
      </c>
      <c r="G497" s="10">
        <f>data!G497</f>
        <v>795.6</v>
      </c>
      <c r="H497" s="10">
        <f>data!I497</f>
        <v>0</v>
      </c>
      <c r="I497" s="10">
        <f t="shared" si="28"/>
        <v>795.6</v>
      </c>
      <c r="J497" s="11">
        <f>data!H497</f>
        <v>234</v>
      </c>
      <c r="K497" s="11">
        <f>data!J497</f>
        <v>0</v>
      </c>
      <c r="L497" s="11">
        <f t="shared" si="29"/>
        <v>234</v>
      </c>
      <c r="M497" s="9" t="str">
        <f t="shared" si="30"/>
        <v/>
      </c>
      <c r="N497" s="9" t="str">
        <f t="shared" si="31"/>
        <v/>
      </c>
    </row>
    <row r="498" spans="1:14" x14ac:dyDescent="0.25">
      <c r="A498" t="str">
        <f>TEXT("1/"&amp;data!A498,"mmmm")</f>
        <v>février</v>
      </c>
      <c r="B498">
        <f>data!B498</f>
        <v>2016</v>
      </c>
      <c r="C498" t="str">
        <f>data!C498</f>
        <v>119</v>
      </c>
      <c r="D498" t="str">
        <f>data!D498</f>
        <v>DOMAINE DES HOMS</v>
      </c>
      <c r="E498" t="str">
        <f>data!E498</f>
        <v>119003</v>
      </c>
      <c r="F498" t="str">
        <f>data!F498</f>
        <v>IGP OC VIOGNIER</v>
      </c>
      <c r="G498" s="10">
        <f>data!G498</f>
        <v>207.9</v>
      </c>
      <c r="H498" s="10">
        <f>data!I498</f>
        <v>-28.5</v>
      </c>
      <c r="I498" s="10">
        <f t="shared" si="28"/>
        <v>236.4</v>
      </c>
      <c r="J498" s="11">
        <f>data!H498</f>
        <v>42</v>
      </c>
      <c r="K498" s="11">
        <f>data!J498</f>
        <v>-6</v>
      </c>
      <c r="L498" s="11">
        <f t="shared" si="29"/>
        <v>48</v>
      </c>
      <c r="M498" s="9">
        <f t="shared" si="30"/>
        <v>-8.2947368421052641</v>
      </c>
      <c r="N498" s="9">
        <f t="shared" si="31"/>
        <v>-8</v>
      </c>
    </row>
    <row r="499" spans="1:14" x14ac:dyDescent="0.25">
      <c r="A499" t="str">
        <f>TEXT("1/"&amp;data!A499,"mmmm")</f>
        <v>février</v>
      </c>
      <c r="B499">
        <f>data!B499</f>
        <v>2016</v>
      </c>
      <c r="C499" t="str">
        <f>data!C499</f>
        <v>124</v>
      </c>
      <c r="D499" t="str">
        <f>data!D499</f>
        <v>CHATEAU BECHEREAU</v>
      </c>
      <c r="E499" t="str">
        <f>data!E499</f>
        <v>124001</v>
      </c>
      <c r="F499" t="str">
        <f>data!F499</f>
        <v>AC M ST EMILION CH BECHEREAU</v>
      </c>
      <c r="G499" s="10">
        <f>data!G499</f>
        <v>792</v>
      </c>
      <c r="H499" s="10">
        <f>data!I499</f>
        <v>448.8</v>
      </c>
      <c r="I499" s="10">
        <f t="shared" si="28"/>
        <v>343.2</v>
      </c>
      <c r="J499" s="11">
        <f>data!H499</f>
        <v>180</v>
      </c>
      <c r="K499" s="11">
        <f>data!J499</f>
        <v>102</v>
      </c>
      <c r="L499" s="11">
        <f t="shared" si="29"/>
        <v>78</v>
      </c>
      <c r="M499" s="9">
        <f t="shared" si="30"/>
        <v>0.76470588235294112</v>
      </c>
      <c r="N499" s="9">
        <f t="shared" si="31"/>
        <v>0.76470588235294112</v>
      </c>
    </row>
    <row r="500" spans="1:14" x14ac:dyDescent="0.25">
      <c r="A500" t="str">
        <f>TEXT("1/"&amp;data!A500,"mmmm")</f>
        <v>février</v>
      </c>
      <c r="B500">
        <f>data!B500</f>
        <v>2016</v>
      </c>
      <c r="C500" t="str">
        <f>data!C500</f>
        <v>124</v>
      </c>
      <c r="D500" t="str">
        <f>data!D500</f>
        <v>CHATEAU BECHEREAU</v>
      </c>
      <c r="E500" t="str">
        <f>data!E500</f>
        <v>124002</v>
      </c>
      <c r="F500" t="str">
        <f>data!F500</f>
        <v>AC BORDEAUX SUP TRADITION CH BECHEREAU</v>
      </c>
      <c r="G500" s="10">
        <f>data!G500</f>
        <v>460.8</v>
      </c>
      <c r="H500" s="10">
        <f>data!I500</f>
        <v>288</v>
      </c>
      <c r="I500" s="10">
        <f t="shared" si="28"/>
        <v>172.8</v>
      </c>
      <c r="J500" s="11">
        <f>data!H500</f>
        <v>144</v>
      </c>
      <c r="K500" s="11">
        <f>data!J500</f>
        <v>90</v>
      </c>
      <c r="L500" s="11">
        <f t="shared" si="29"/>
        <v>54</v>
      </c>
      <c r="M500" s="9">
        <f t="shared" si="30"/>
        <v>0.60000000000000009</v>
      </c>
      <c r="N500" s="9">
        <f t="shared" si="31"/>
        <v>0.6</v>
      </c>
    </row>
    <row r="501" spans="1:14" x14ac:dyDescent="0.25">
      <c r="A501" t="str">
        <f>TEXT("1/"&amp;data!A501,"mmmm")</f>
        <v>février</v>
      </c>
      <c r="B501">
        <f>data!B501</f>
        <v>2016</v>
      </c>
      <c r="C501" t="str">
        <f>data!C501</f>
        <v>124</v>
      </c>
      <c r="D501" t="str">
        <f>data!D501</f>
        <v>CHATEAU BECHEREAU</v>
      </c>
      <c r="E501" t="str">
        <f>data!E501</f>
        <v>124005CB</v>
      </c>
      <c r="F501" t="str">
        <f>data!F501</f>
        <v>AC MONTAGNE CH BECHEREAU CB</v>
      </c>
      <c r="G501" s="10">
        <f>data!G501</f>
        <v>92.7</v>
      </c>
      <c r="H501" s="10">
        <f>data!I501</f>
        <v>0</v>
      </c>
      <c r="I501" s="10">
        <f t="shared" si="28"/>
        <v>92.7</v>
      </c>
      <c r="J501" s="11">
        <f>data!H501</f>
        <v>15</v>
      </c>
      <c r="K501" s="11">
        <f>data!J501</f>
        <v>0</v>
      </c>
      <c r="L501" s="11">
        <f t="shared" si="29"/>
        <v>15</v>
      </c>
      <c r="M501" s="9" t="str">
        <f t="shared" si="30"/>
        <v/>
      </c>
      <c r="N501" s="9" t="str">
        <f t="shared" si="31"/>
        <v/>
      </c>
    </row>
    <row r="502" spans="1:14" x14ac:dyDescent="0.25">
      <c r="A502" t="str">
        <f>TEXT("1/"&amp;data!A502,"mmmm")</f>
        <v>février</v>
      </c>
      <c r="B502">
        <f>data!B502</f>
        <v>2016</v>
      </c>
      <c r="C502" t="str">
        <f>data!C502</f>
        <v>124</v>
      </c>
      <c r="D502" t="str">
        <f>data!D502</f>
        <v>CHATEAU BECHEREAU</v>
      </c>
      <c r="E502" t="str">
        <f>data!E502</f>
        <v>124010</v>
      </c>
      <c r="F502" t="str">
        <f>data!F502</f>
        <v>AC LALANDE POMEROL BECH</v>
      </c>
      <c r="G502" s="10">
        <f>data!G502</f>
        <v>223.2</v>
      </c>
      <c r="H502" s="10">
        <f>data!I502</f>
        <v>483.6</v>
      </c>
      <c r="I502" s="10">
        <f t="shared" si="28"/>
        <v>-260.40000000000003</v>
      </c>
      <c r="J502" s="11">
        <f>data!H502</f>
        <v>36</v>
      </c>
      <c r="K502" s="11">
        <f>data!J502</f>
        <v>78</v>
      </c>
      <c r="L502" s="11">
        <f t="shared" si="29"/>
        <v>-42</v>
      </c>
      <c r="M502" s="9">
        <f t="shared" si="30"/>
        <v>-0.53846153846153855</v>
      </c>
      <c r="N502" s="9">
        <f t="shared" si="31"/>
        <v>-0.53846153846153844</v>
      </c>
    </row>
    <row r="503" spans="1:14" x14ac:dyDescent="0.25">
      <c r="A503" t="str">
        <f>TEXT("1/"&amp;data!A503,"mmmm")</f>
        <v>février</v>
      </c>
      <c r="B503">
        <f>data!B503</f>
        <v>2016</v>
      </c>
      <c r="C503" t="str">
        <f>data!C503</f>
        <v>137</v>
      </c>
      <c r="D503" t="str">
        <f>data!D503</f>
        <v>CHATEAU MAS DES CABRES</v>
      </c>
      <c r="E503" t="str">
        <f>data!E503</f>
        <v>137001</v>
      </c>
      <c r="F503" t="str">
        <f>data!F503</f>
        <v>AC CTX LANGUEDOC TERRES D'ASPERES M.DES CABRES</v>
      </c>
      <c r="G503" s="10">
        <f>data!G503</f>
        <v>1335.6</v>
      </c>
      <c r="H503" s="10">
        <f>data!I503</f>
        <v>1116.9000000000001</v>
      </c>
      <c r="I503" s="10">
        <f t="shared" si="28"/>
        <v>218.69999999999982</v>
      </c>
      <c r="J503" s="11">
        <f>data!H503</f>
        <v>504</v>
      </c>
      <c r="K503" s="11">
        <f>data!J503</f>
        <v>438</v>
      </c>
      <c r="L503" s="11">
        <f t="shared" si="29"/>
        <v>66</v>
      </c>
      <c r="M503" s="9">
        <f t="shared" si="30"/>
        <v>0.19580983078162753</v>
      </c>
      <c r="N503" s="9">
        <f t="shared" si="31"/>
        <v>0.15068493150684931</v>
      </c>
    </row>
    <row r="504" spans="1:14" x14ac:dyDescent="0.25">
      <c r="A504" t="str">
        <f>TEXT("1/"&amp;data!A504,"mmmm")</f>
        <v>février</v>
      </c>
      <c r="B504">
        <f>data!B504</f>
        <v>2016</v>
      </c>
      <c r="C504" t="str">
        <f>data!C504</f>
        <v>137</v>
      </c>
      <c r="D504" t="str">
        <f>data!D504</f>
        <v>CHATEAU MAS DES CABRES</v>
      </c>
      <c r="E504" t="str">
        <f>data!E504</f>
        <v>137003</v>
      </c>
      <c r="F504" t="str">
        <f>data!F504</f>
        <v>AC CTX DU LANGUEDOC LA DRAILLE</v>
      </c>
      <c r="G504" s="10">
        <f>data!G504</f>
        <v>57.6</v>
      </c>
      <c r="H504" s="10">
        <f>data!I504</f>
        <v>199.5</v>
      </c>
      <c r="I504" s="10">
        <f t="shared" si="28"/>
        <v>-141.9</v>
      </c>
      <c r="J504" s="11">
        <f>data!H504</f>
        <v>12</v>
      </c>
      <c r="K504" s="11">
        <f>data!J504</f>
        <v>42</v>
      </c>
      <c r="L504" s="11">
        <f t="shared" si="29"/>
        <v>-30</v>
      </c>
      <c r="M504" s="9">
        <f t="shared" si="30"/>
        <v>-0.71127819548872184</v>
      </c>
      <c r="N504" s="9">
        <f t="shared" si="31"/>
        <v>-0.7142857142857143</v>
      </c>
    </row>
    <row r="505" spans="1:14" x14ac:dyDescent="0.25">
      <c r="A505" t="str">
        <f>TEXT("1/"&amp;data!A505,"mmmm")</f>
        <v>février</v>
      </c>
      <c r="B505">
        <f>data!B505</f>
        <v>2016</v>
      </c>
      <c r="C505" t="str">
        <f>data!C505</f>
        <v>140</v>
      </c>
      <c r="D505" t="str">
        <f>data!D505</f>
        <v>PHILIPPE GAULTIER</v>
      </c>
      <c r="E505" t="str">
        <f>data!E505</f>
        <v>140001</v>
      </c>
      <c r="F505" t="str">
        <f>data!F505</f>
        <v>AC VOUVRAY M.TRAD.BR C.DES AUMONES</v>
      </c>
      <c r="G505" s="10">
        <f>data!G505</f>
        <v>529.20000000000005</v>
      </c>
      <c r="H505" s="10">
        <f>data!I505</f>
        <v>486</v>
      </c>
      <c r="I505" s="10">
        <f t="shared" si="28"/>
        <v>43.200000000000045</v>
      </c>
      <c r="J505" s="11">
        <f>data!H505</f>
        <v>126</v>
      </c>
      <c r="K505" s="11">
        <f>data!J505</f>
        <v>120</v>
      </c>
      <c r="L505" s="11">
        <f t="shared" si="29"/>
        <v>6</v>
      </c>
      <c r="M505" s="9">
        <f t="shared" si="30"/>
        <v>8.8888888888888976E-2</v>
      </c>
      <c r="N505" s="9">
        <f t="shared" si="31"/>
        <v>0.05</v>
      </c>
    </row>
    <row r="506" spans="1:14" x14ac:dyDescent="0.25">
      <c r="A506" t="str">
        <f>TEXT("1/"&amp;data!A506,"mmmm")</f>
        <v>février</v>
      </c>
      <c r="B506">
        <f>data!B506</f>
        <v>2016</v>
      </c>
      <c r="C506" t="str">
        <f>data!C506</f>
        <v>152</v>
      </c>
      <c r="D506" t="str">
        <f>data!D506</f>
        <v>VINCENT SIRET COURTAUD</v>
      </c>
      <c r="E506" t="str">
        <f>data!E506</f>
        <v>152001</v>
      </c>
      <c r="F506" t="str">
        <f>data!F506</f>
        <v>AC QUINCY D.SIRET COURTAUD</v>
      </c>
      <c r="G506" s="10">
        <f>data!G506</f>
        <v>466.2</v>
      </c>
      <c r="H506" s="10">
        <f>data!I506</f>
        <v>490.5</v>
      </c>
      <c r="I506" s="10">
        <f t="shared" si="28"/>
        <v>-24.300000000000011</v>
      </c>
      <c r="J506" s="11">
        <f>data!H506</f>
        <v>84</v>
      </c>
      <c r="K506" s="11">
        <f>data!J506</f>
        <v>90</v>
      </c>
      <c r="L506" s="11">
        <f t="shared" si="29"/>
        <v>-6</v>
      </c>
      <c r="M506" s="9">
        <f t="shared" si="30"/>
        <v>-4.9541284403669748E-2</v>
      </c>
      <c r="N506" s="9">
        <f t="shared" si="31"/>
        <v>-6.6666666666666666E-2</v>
      </c>
    </row>
    <row r="507" spans="1:14" x14ac:dyDescent="0.25">
      <c r="A507" t="str">
        <f>TEXT("1/"&amp;data!A507,"mmmm")</f>
        <v>février</v>
      </c>
      <c r="B507">
        <f>data!B507</f>
        <v>2016</v>
      </c>
      <c r="C507" t="str">
        <f>data!C507</f>
        <v>153</v>
      </c>
      <c r="D507" t="str">
        <f>data!D507</f>
        <v>SARL GARNIER ET FILS</v>
      </c>
      <c r="E507" t="str">
        <f>data!E507</f>
        <v>153003</v>
      </c>
      <c r="F507" t="str">
        <f>data!F507</f>
        <v>AC CHABLIS DME GARNIER</v>
      </c>
      <c r="G507" s="10">
        <f>data!G507</f>
        <v>1206</v>
      </c>
      <c r="H507" s="10">
        <f>data!I507</f>
        <v>1254.5999999999999</v>
      </c>
      <c r="I507" s="10">
        <f t="shared" si="28"/>
        <v>-48.599999999999909</v>
      </c>
      <c r="J507" s="11">
        <f>data!H507</f>
        <v>180</v>
      </c>
      <c r="K507" s="11">
        <f>data!J507</f>
        <v>204</v>
      </c>
      <c r="L507" s="11">
        <f t="shared" si="29"/>
        <v>-24</v>
      </c>
      <c r="M507" s="9">
        <f t="shared" si="30"/>
        <v>-3.873744619799132E-2</v>
      </c>
      <c r="N507" s="9">
        <f t="shared" si="31"/>
        <v>-0.11764705882352941</v>
      </c>
    </row>
    <row r="508" spans="1:14" x14ac:dyDescent="0.25">
      <c r="A508" t="str">
        <f>TEXT("1/"&amp;data!A508,"mmmm")</f>
        <v>février</v>
      </c>
      <c r="B508">
        <f>data!B508</f>
        <v>2016</v>
      </c>
      <c r="C508" t="str">
        <f>data!C508</f>
        <v>153</v>
      </c>
      <c r="D508" t="str">
        <f>data!D508</f>
        <v>SARL GARNIER ET FILS</v>
      </c>
      <c r="E508" t="str">
        <f>data!E508</f>
        <v>153005</v>
      </c>
      <c r="F508" t="str">
        <f>data!F508</f>
        <v>AC CHABLIS 1ER CRU MT DE MILIEU</v>
      </c>
      <c r="G508" s="10">
        <f>data!G508</f>
        <v>124.2</v>
      </c>
      <c r="H508" s="10">
        <f>data!I508</f>
        <v>114</v>
      </c>
      <c r="I508" s="10">
        <f t="shared" si="28"/>
        <v>10.200000000000003</v>
      </c>
      <c r="J508" s="11">
        <f>data!H508</f>
        <v>12</v>
      </c>
      <c r="K508" s="11">
        <f>data!J508</f>
        <v>12</v>
      </c>
      <c r="L508" s="11">
        <f t="shared" si="29"/>
        <v>0</v>
      </c>
      <c r="M508" s="9">
        <f t="shared" si="30"/>
        <v>8.9473684210526344E-2</v>
      </c>
      <c r="N508" s="9">
        <f t="shared" si="31"/>
        <v>0</v>
      </c>
    </row>
    <row r="509" spans="1:14" x14ac:dyDescent="0.25">
      <c r="A509" t="str">
        <f>TEXT("1/"&amp;data!A509,"mmmm")</f>
        <v>février</v>
      </c>
      <c r="B509">
        <f>data!B509</f>
        <v>2016</v>
      </c>
      <c r="C509" t="str">
        <f>data!C509</f>
        <v>157</v>
      </c>
      <c r="D509" t="str">
        <f>data!D509</f>
        <v>DOMAINE DE LA FOLIETTE</v>
      </c>
      <c r="E509" t="str">
        <f>data!E509</f>
        <v>157001</v>
      </c>
      <c r="F509" t="str">
        <f>data!F509</f>
        <v>AC MUSCADET S&amp;MAINE/LIE FOLIETTES</v>
      </c>
      <c r="G509" s="10">
        <f>data!G509</f>
        <v>123.9</v>
      </c>
      <c r="H509" s="10">
        <f>data!I509</f>
        <v>16.5</v>
      </c>
      <c r="I509" s="10">
        <f t="shared" si="28"/>
        <v>107.4</v>
      </c>
      <c r="J509" s="11">
        <f>data!H509</f>
        <v>48</v>
      </c>
      <c r="K509" s="11">
        <f>data!J509</f>
        <v>6</v>
      </c>
      <c r="L509" s="11">
        <f t="shared" si="29"/>
        <v>42</v>
      </c>
      <c r="M509" s="9">
        <f t="shared" si="30"/>
        <v>6.5090909090909097</v>
      </c>
      <c r="N509" s="9">
        <f t="shared" si="31"/>
        <v>7</v>
      </c>
    </row>
    <row r="510" spans="1:14" x14ac:dyDescent="0.25">
      <c r="A510" t="str">
        <f>TEXT("1/"&amp;data!A510,"mmmm")</f>
        <v>février</v>
      </c>
      <c r="B510">
        <f>data!B510</f>
        <v>2016</v>
      </c>
      <c r="C510" t="str">
        <f>data!C510</f>
        <v>162</v>
      </c>
      <c r="D510" t="str">
        <f>data!D510</f>
        <v>CHATEAU JOUCLARY</v>
      </c>
      <c r="E510" t="str">
        <f>data!E510</f>
        <v>162001</v>
      </c>
      <c r="F510" t="str">
        <f>data!F510</f>
        <v>AC CABARDES CH JOUCLARY</v>
      </c>
      <c r="G510" s="10">
        <f>data!G510</f>
        <v>1344</v>
      </c>
      <c r="H510" s="10">
        <f>data!I510</f>
        <v>1105.5</v>
      </c>
      <c r="I510" s="10">
        <f t="shared" si="28"/>
        <v>238.5</v>
      </c>
      <c r="J510" s="11">
        <f>data!H510</f>
        <v>480</v>
      </c>
      <c r="K510" s="11">
        <f>data!J510</f>
        <v>402</v>
      </c>
      <c r="L510" s="11">
        <f t="shared" si="29"/>
        <v>78</v>
      </c>
      <c r="M510" s="9">
        <f t="shared" si="30"/>
        <v>0.2157394843962008</v>
      </c>
      <c r="N510" s="9">
        <f t="shared" si="31"/>
        <v>0.19402985074626866</v>
      </c>
    </row>
    <row r="511" spans="1:14" x14ac:dyDescent="0.25">
      <c r="A511" t="str">
        <f>TEXT("1/"&amp;data!A511,"mmmm")</f>
        <v>février</v>
      </c>
      <c r="B511">
        <f>data!B511</f>
        <v>2016</v>
      </c>
      <c r="C511" t="str">
        <f>data!C511</f>
        <v>162</v>
      </c>
      <c r="D511" t="str">
        <f>data!D511</f>
        <v>CHATEAU JOUCLARY</v>
      </c>
      <c r="E511" t="str">
        <f>data!E511</f>
        <v>162002</v>
      </c>
      <c r="F511" t="str">
        <f>data!F511</f>
        <v>AC CABARDES JOUCLARY CUVEE AMANDIERS</v>
      </c>
      <c r="G511" s="10">
        <f>data!G511</f>
        <v>24</v>
      </c>
      <c r="H511" s="10">
        <f>data!I511</f>
        <v>0</v>
      </c>
      <c r="I511" s="10">
        <f t="shared" si="28"/>
        <v>24</v>
      </c>
      <c r="J511" s="11">
        <f>data!H511</f>
        <v>6</v>
      </c>
      <c r="K511" s="11">
        <f>data!J511</f>
        <v>0</v>
      </c>
      <c r="L511" s="11">
        <f t="shared" si="29"/>
        <v>6</v>
      </c>
      <c r="M511" s="9" t="str">
        <f t="shared" si="30"/>
        <v/>
      </c>
      <c r="N511" s="9" t="str">
        <f t="shared" si="31"/>
        <v/>
      </c>
    </row>
    <row r="512" spans="1:14" x14ac:dyDescent="0.25">
      <c r="A512" t="str">
        <f>TEXT("1/"&amp;data!A512,"mmmm")</f>
        <v>février</v>
      </c>
      <c r="B512">
        <f>data!B512</f>
        <v>2016</v>
      </c>
      <c r="C512" t="str">
        <f>data!C512</f>
        <v>162</v>
      </c>
      <c r="D512" t="str">
        <f>data!D512</f>
        <v>CHATEAU JOUCLARY</v>
      </c>
      <c r="E512" t="str">
        <f>data!E512</f>
        <v>162003</v>
      </c>
      <c r="F512" t="str">
        <f>data!F512</f>
        <v>AOP CABARDES JOUCLARY</v>
      </c>
      <c r="G512" s="10">
        <f>data!G512</f>
        <v>0</v>
      </c>
      <c r="H512" s="10">
        <f>data!I512</f>
        <v>0</v>
      </c>
      <c r="I512" s="10">
        <f t="shared" si="28"/>
        <v>0</v>
      </c>
      <c r="J512" s="11">
        <f>data!H512</f>
        <v>6</v>
      </c>
      <c r="K512" s="11">
        <f>data!J512</f>
        <v>0</v>
      </c>
      <c r="L512" s="11">
        <f t="shared" si="29"/>
        <v>6</v>
      </c>
      <c r="M512" s="9" t="str">
        <f t="shared" si="30"/>
        <v/>
      </c>
      <c r="N512" s="9" t="str">
        <f t="shared" si="31"/>
        <v/>
      </c>
    </row>
    <row r="513" spans="1:14" x14ac:dyDescent="0.25">
      <c r="A513" t="str">
        <f>TEXT("1/"&amp;data!A513,"mmmm")</f>
        <v>février</v>
      </c>
      <c r="B513">
        <f>data!B513</f>
        <v>2016</v>
      </c>
      <c r="C513" t="str">
        <f>data!C513</f>
        <v>162</v>
      </c>
      <c r="D513" t="str">
        <f>data!D513</f>
        <v>CHATEAU JOUCLARY</v>
      </c>
      <c r="E513" t="str">
        <f>data!E513</f>
        <v>CDV162004</v>
      </c>
      <c r="F513" t="str">
        <f>data!F513</f>
        <v>IGP OC SAUVIGNON CH JOUCLARY</v>
      </c>
      <c r="G513" s="10">
        <f>data!G513</f>
        <v>30</v>
      </c>
      <c r="H513" s="10">
        <f>data!I513</f>
        <v>29.4</v>
      </c>
      <c r="I513" s="10">
        <f t="shared" si="28"/>
        <v>0.60000000000000142</v>
      </c>
      <c r="J513" s="11">
        <f>data!H513</f>
        <v>12</v>
      </c>
      <c r="K513" s="11">
        <f>data!J513</f>
        <v>12</v>
      </c>
      <c r="L513" s="11">
        <f t="shared" si="29"/>
        <v>0</v>
      </c>
      <c r="M513" s="9">
        <f t="shared" si="30"/>
        <v>2.0408163265306173E-2</v>
      </c>
      <c r="N513" s="9">
        <f t="shared" si="31"/>
        <v>0</v>
      </c>
    </row>
    <row r="514" spans="1:14" x14ac:dyDescent="0.25">
      <c r="A514" t="str">
        <f>TEXT("1/"&amp;data!A514,"mmmm")</f>
        <v>février</v>
      </c>
      <c r="B514">
        <f>data!B514</f>
        <v>2016</v>
      </c>
      <c r="C514" t="str">
        <f>data!C514</f>
        <v>163</v>
      </c>
      <c r="D514" t="str">
        <f>data!D514</f>
        <v>DOMAINE FAYOLLE</v>
      </c>
      <c r="E514" t="str">
        <f>data!E514</f>
        <v>163001</v>
      </c>
      <c r="F514" t="str">
        <f>data!F514</f>
        <v>AC CROZE HERMITAGE SENS</v>
      </c>
      <c r="G514" s="10">
        <f>data!G514</f>
        <v>156</v>
      </c>
      <c r="H514" s="10">
        <f>data!I514</f>
        <v>0</v>
      </c>
      <c r="I514" s="10">
        <f t="shared" si="28"/>
        <v>156</v>
      </c>
      <c r="J514" s="11">
        <f>data!H514</f>
        <v>24</v>
      </c>
      <c r="K514" s="11">
        <f>data!J514</f>
        <v>0</v>
      </c>
      <c r="L514" s="11">
        <f t="shared" si="29"/>
        <v>24</v>
      </c>
      <c r="M514" s="9" t="str">
        <f t="shared" si="30"/>
        <v/>
      </c>
      <c r="N514" s="9" t="str">
        <f t="shared" si="31"/>
        <v/>
      </c>
    </row>
    <row r="515" spans="1:14" x14ac:dyDescent="0.25">
      <c r="A515" t="str">
        <f>TEXT("1/"&amp;data!A515,"mmmm")</f>
        <v>février</v>
      </c>
      <c r="B515">
        <f>data!B515</f>
        <v>2016</v>
      </c>
      <c r="C515" t="str">
        <f>data!C515</f>
        <v>163</v>
      </c>
      <c r="D515" t="str">
        <f>data!D515</f>
        <v>DOMAINE FAYOLLE</v>
      </c>
      <c r="E515" t="str">
        <f>data!E515</f>
        <v>163002</v>
      </c>
      <c r="F515" t="str">
        <f>data!F515</f>
        <v>AC CROZE HERMITAGE SENS</v>
      </c>
      <c r="G515" s="10">
        <f>data!G515</f>
        <v>156</v>
      </c>
      <c r="H515" s="10">
        <f>data!I515</f>
        <v>457.2</v>
      </c>
      <c r="I515" s="10">
        <f t="shared" ref="I515:I578" si="32">G515-H515</f>
        <v>-301.2</v>
      </c>
      <c r="J515" s="11">
        <f>data!H515</f>
        <v>24</v>
      </c>
      <c r="K515" s="11">
        <f>data!J515</f>
        <v>72</v>
      </c>
      <c r="L515" s="11">
        <f t="shared" ref="L515:L578" si="33">J515-K515</f>
        <v>-48</v>
      </c>
      <c r="M515" s="9">
        <f t="shared" ref="M515:M578" si="34">IF(ISERR(I515/H515),"",I515/H515)</f>
        <v>-0.65879265091863515</v>
      </c>
      <c r="N515" s="9">
        <f t="shared" ref="N515:N578" si="35">IF(ISERR(L515/K515),"",L515/K515)</f>
        <v>-0.66666666666666663</v>
      </c>
    </row>
    <row r="516" spans="1:14" x14ac:dyDescent="0.25">
      <c r="A516" t="str">
        <f>TEXT("1/"&amp;data!A516,"mmmm")</f>
        <v>février</v>
      </c>
      <c r="B516">
        <f>data!B516</f>
        <v>2016</v>
      </c>
      <c r="C516" t="str">
        <f>data!C516</f>
        <v>164</v>
      </c>
      <c r="D516" t="str">
        <f>data!D516</f>
        <v>CHATEAU JUPILLE</v>
      </c>
      <c r="E516" t="str">
        <f>data!E516</f>
        <v>164002</v>
      </c>
      <c r="F516" t="str">
        <f>data!F516</f>
        <v>AC ST EMILION CH JUPILLE CARILLON</v>
      </c>
      <c r="G516" s="10">
        <f>data!G516</f>
        <v>712.8</v>
      </c>
      <c r="H516" s="10">
        <f>data!I516</f>
        <v>0</v>
      </c>
      <c r="I516" s="10">
        <f t="shared" si="32"/>
        <v>712.8</v>
      </c>
      <c r="J516" s="11">
        <f>data!H516</f>
        <v>108</v>
      </c>
      <c r="K516" s="11">
        <f>data!J516</f>
        <v>0</v>
      </c>
      <c r="L516" s="11">
        <f t="shared" si="33"/>
        <v>108</v>
      </c>
      <c r="M516" s="9" t="str">
        <f t="shared" si="34"/>
        <v/>
      </c>
      <c r="N516" s="9" t="str">
        <f t="shared" si="35"/>
        <v/>
      </c>
    </row>
    <row r="517" spans="1:14" x14ac:dyDescent="0.25">
      <c r="A517" t="str">
        <f>TEXT("1/"&amp;data!A517,"mmmm")</f>
        <v>février</v>
      </c>
      <c r="B517">
        <f>data!B517</f>
        <v>2016</v>
      </c>
      <c r="C517" t="str">
        <f>data!C517</f>
        <v>164</v>
      </c>
      <c r="D517" t="str">
        <f>data!D517</f>
        <v>CHATEAU JUPILLE</v>
      </c>
      <c r="E517" t="str">
        <f>data!E517</f>
        <v>164005/12</v>
      </c>
      <c r="F517" t="str">
        <f>data!F517</f>
        <v>AC ST EMILION GD CRU CH JUCALIS</v>
      </c>
      <c r="G517" s="10">
        <f>data!G517</f>
        <v>702</v>
      </c>
      <c r="H517" s="10">
        <f>data!I517</f>
        <v>0</v>
      </c>
      <c r="I517" s="10">
        <f t="shared" si="32"/>
        <v>702</v>
      </c>
      <c r="J517" s="11">
        <f>data!H517</f>
        <v>78</v>
      </c>
      <c r="K517" s="11">
        <f>data!J517</f>
        <v>0</v>
      </c>
      <c r="L517" s="11">
        <f t="shared" si="33"/>
        <v>78</v>
      </c>
      <c r="M517" s="9" t="str">
        <f t="shared" si="34"/>
        <v/>
      </c>
      <c r="N517" s="9" t="str">
        <f t="shared" si="35"/>
        <v/>
      </c>
    </row>
    <row r="518" spans="1:14" x14ac:dyDescent="0.25">
      <c r="A518" t="str">
        <f>TEXT("1/"&amp;data!A518,"mmmm")</f>
        <v>février</v>
      </c>
      <c r="B518">
        <f>data!B518</f>
        <v>2016</v>
      </c>
      <c r="C518" t="str">
        <f>data!C518</f>
        <v>164</v>
      </c>
      <c r="D518" t="str">
        <f>data!D518</f>
        <v>CHATEAU JUPILLE</v>
      </c>
      <c r="E518" t="str">
        <f>data!E518</f>
        <v>164010</v>
      </c>
      <c r="F518" t="str">
        <f>data!F518</f>
        <v>AOP SAINT EMILION JUPILLE CARILLON</v>
      </c>
      <c r="G518" s="10">
        <f>data!G518</f>
        <v>152</v>
      </c>
      <c r="H518" s="10">
        <f>data!I518</f>
        <v>228</v>
      </c>
      <c r="I518" s="10">
        <f t="shared" si="32"/>
        <v>-76</v>
      </c>
      <c r="J518" s="11">
        <f>data!H518</f>
        <v>53.36</v>
      </c>
      <c r="K518" s="11">
        <f>data!J518</f>
        <v>86.71</v>
      </c>
      <c r="L518" s="11">
        <f t="shared" si="33"/>
        <v>-33.349999999999994</v>
      </c>
      <c r="M518" s="9">
        <f t="shared" si="34"/>
        <v>-0.33333333333333331</v>
      </c>
      <c r="N518" s="9">
        <f t="shared" si="35"/>
        <v>-0.38461538461538458</v>
      </c>
    </row>
    <row r="519" spans="1:14" x14ac:dyDescent="0.25">
      <c r="A519" t="str">
        <f>TEXT("1/"&amp;data!A519,"mmmm")</f>
        <v>février</v>
      </c>
      <c r="B519">
        <f>data!B519</f>
        <v>2016</v>
      </c>
      <c r="C519" t="str">
        <f>data!C519</f>
        <v>168</v>
      </c>
      <c r="D519" t="str">
        <f>data!D519</f>
        <v>CHATEAU LA ROSE SARRON</v>
      </c>
      <c r="E519" t="str">
        <f>data!E519</f>
        <v>168001</v>
      </c>
      <c r="F519" t="str">
        <f>data!F519</f>
        <v>AC GRAVES CH LA ROSE SARRON</v>
      </c>
      <c r="G519" s="10">
        <f>data!G519</f>
        <v>1656</v>
      </c>
      <c r="H519" s="10">
        <f>data!I519</f>
        <v>984</v>
      </c>
      <c r="I519" s="10">
        <f t="shared" si="32"/>
        <v>672</v>
      </c>
      <c r="J519" s="11">
        <f>data!H519</f>
        <v>414</v>
      </c>
      <c r="K519" s="11">
        <f>data!J519</f>
        <v>246</v>
      </c>
      <c r="L519" s="11">
        <f t="shared" si="33"/>
        <v>168</v>
      </c>
      <c r="M519" s="9">
        <f t="shared" si="34"/>
        <v>0.68292682926829273</v>
      </c>
      <c r="N519" s="9">
        <f t="shared" si="35"/>
        <v>0.68292682926829273</v>
      </c>
    </row>
    <row r="520" spans="1:14" x14ac:dyDescent="0.25">
      <c r="A520" t="str">
        <f>TEXT("1/"&amp;data!A520,"mmmm")</f>
        <v>février</v>
      </c>
      <c r="B520">
        <f>data!B520</f>
        <v>2016</v>
      </c>
      <c r="C520" t="str">
        <f>data!C520</f>
        <v>168</v>
      </c>
      <c r="D520" t="str">
        <f>data!D520</f>
        <v>CHATEAU LA ROSE SARRON</v>
      </c>
      <c r="E520" t="str">
        <f>data!E520</f>
        <v>168002</v>
      </c>
      <c r="F520" t="str">
        <f>data!F520</f>
        <v>AC GRAVES CH. LA ROSE SARRON</v>
      </c>
      <c r="G520" s="10">
        <f>data!G520</f>
        <v>-201</v>
      </c>
      <c r="H520" s="10">
        <f>data!I520</f>
        <v>40.200000000000003</v>
      </c>
      <c r="I520" s="10">
        <f t="shared" si="32"/>
        <v>-241.2</v>
      </c>
      <c r="J520" s="11">
        <f>data!H520</f>
        <v>-60</v>
      </c>
      <c r="K520" s="11">
        <f>data!J520</f>
        <v>12</v>
      </c>
      <c r="L520" s="11">
        <f t="shared" si="33"/>
        <v>-72</v>
      </c>
      <c r="M520" s="9">
        <f t="shared" si="34"/>
        <v>-5.9999999999999991</v>
      </c>
      <c r="N520" s="9">
        <f t="shared" si="35"/>
        <v>-6</v>
      </c>
    </row>
    <row r="521" spans="1:14" x14ac:dyDescent="0.25">
      <c r="A521" t="str">
        <f>TEXT("1/"&amp;data!A521,"mmmm")</f>
        <v>février</v>
      </c>
      <c r="B521">
        <f>data!B521</f>
        <v>2016</v>
      </c>
      <c r="C521" t="str">
        <f>data!C521</f>
        <v>168</v>
      </c>
      <c r="D521" t="str">
        <f>data!D521</f>
        <v>CHATEAU LA ROSE SARRON</v>
      </c>
      <c r="E521" t="str">
        <f>data!E521</f>
        <v>168020CB</v>
      </c>
      <c r="F521" t="str">
        <f>data!F521</f>
        <v>AOP GRAVES CH LA ROSE SARRON CAISSE BOIS 3 BLLES</v>
      </c>
      <c r="G521" s="10">
        <f>data!G521</f>
        <v>77.400000000000006</v>
      </c>
      <c r="H521" s="10">
        <f>data!I521</f>
        <v>62.04</v>
      </c>
      <c r="I521" s="10">
        <f t="shared" si="32"/>
        <v>15.360000000000007</v>
      </c>
      <c r="J521" s="11">
        <f>data!H521</f>
        <v>15</v>
      </c>
      <c r="K521" s="11">
        <f>data!J521</f>
        <v>12</v>
      </c>
      <c r="L521" s="11">
        <f t="shared" si="33"/>
        <v>3</v>
      </c>
      <c r="M521" s="9">
        <f t="shared" si="34"/>
        <v>0.24758220502901365</v>
      </c>
      <c r="N521" s="9">
        <f t="shared" si="35"/>
        <v>0.25</v>
      </c>
    </row>
    <row r="522" spans="1:14" x14ac:dyDescent="0.25">
      <c r="A522" t="str">
        <f>TEXT("1/"&amp;data!A522,"mmmm")</f>
        <v>février</v>
      </c>
      <c r="B522">
        <f>data!B522</f>
        <v>2016</v>
      </c>
      <c r="C522" t="str">
        <f>data!C522</f>
        <v>169</v>
      </c>
      <c r="D522" t="str">
        <f>data!D522</f>
        <v>CHATEAU PERREAU BEL AIR</v>
      </c>
      <c r="E522" t="str">
        <f>data!E522</f>
        <v>169001</v>
      </c>
      <c r="F522" t="str">
        <f>data!F522</f>
        <v>AC COTES DE CASTILLON CH PERREAU BEL AIR</v>
      </c>
      <c r="G522" s="10">
        <f>data!G522</f>
        <v>1148.4000000000001</v>
      </c>
      <c r="H522" s="10">
        <f>data!I522</f>
        <v>931.8</v>
      </c>
      <c r="I522" s="10">
        <f t="shared" si="32"/>
        <v>216.60000000000014</v>
      </c>
      <c r="J522" s="11">
        <f>data!H522</f>
        <v>396</v>
      </c>
      <c r="K522" s="11">
        <f>data!J522</f>
        <v>330</v>
      </c>
      <c r="L522" s="11">
        <f t="shared" si="33"/>
        <v>66</v>
      </c>
      <c r="M522" s="9">
        <f t="shared" si="34"/>
        <v>0.23245331616226675</v>
      </c>
      <c r="N522" s="9">
        <f t="shared" si="35"/>
        <v>0.2</v>
      </c>
    </row>
    <row r="523" spans="1:14" x14ac:dyDescent="0.25">
      <c r="A523" t="str">
        <f>TEXT("1/"&amp;data!A523,"mmmm")</f>
        <v>février</v>
      </c>
      <c r="B523">
        <f>data!B523</f>
        <v>2016</v>
      </c>
      <c r="C523" t="str">
        <f>data!C523</f>
        <v>169</v>
      </c>
      <c r="D523" t="str">
        <f>data!D523</f>
        <v>CHATEAU PERREAU BEL AIR</v>
      </c>
      <c r="E523" t="str">
        <f>data!E523</f>
        <v>169002</v>
      </c>
      <c r="F523" t="str">
        <f>data!F523</f>
        <v>AC BORDEAUX SUPERIEUR CHATEAU MESSAYA</v>
      </c>
      <c r="G523" s="10">
        <f>data!G523</f>
        <v>769.56</v>
      </c>
      <c r="H523" s="10">
        <f>data!I523</f>
        <v>790.08</v>
      </c>
      <c r="I523" s="10">
        <f t="shared" si="32"/>
        <v>-20.520000000000095</v>
      </c>
      <c r="J523" s="11">
        <f>data!H523</f>
        <v>318</v>
      </c>
      <c r="K523" s="11">
        <f>data!J523</f>
        <v>336</v>
      </c>
      <c r="L523" s="11">
        <f t="shared" si="33"/>
        <v>-18</v>
      </c>
      <c r="M523" s="9">
        <f t="shared" si="34"/>
        <v>-2.597205346294058E-2</v>
      </c>
      <c r="N523" s="9">
        <f t="shared" si="35"/>
        <v>-5.3571428571428568E-2</v>
      </c>
    </row>
    <row r="524" spans="1:14" x14ac:dyDescent="0.25">
      <c r="A524" t="str">
        <f>TEXT("1/"&amp;data!A524,"mmmm")</f>
        <v>février</v>
      </c>
      <c r="B524">
        <f>data!B524</f>
        <v>2016</v>
      </c>
      <c r="C524" t="str">
        <f>data!C524</f>
        <v>169</v>
      </c>
      <c r="D524" t="str">
        <f>data!D524</f>
        <v>CHATEAU PERREAU BEL AIR</v>
      </c>
      <c r="E524" t="str">
        <f>data!E524</f>
        <v>169005CB</v>
      </c>
      <c r="F524" t="str">
        <f>data!F524</f>
        <v>AC COTES DE CASTILLON CB 3 BOUTEILLES</v>
      </c>
      <c r="G524" s="10">
        <f>data!G524</f>
        <v>64.5</v>
      </c>
      <c r="H524" s="10">
        <f>data!I524</f>
        <v>0</v>
      </c>
      <c r="I524" s="10">
        <f t="shared" si="32"/>
        <v>64.5</v>
      </c>
      <c r="J524" s="11">
        <f>data!H524</f>
        <v>15</v>
      </c>
      <c r="K524" s="11">
        <f>data!J524</f>
        <v>0</v>
      </c>
      <c r="L524" s="11">
        <f t="shared" si="33"/>
        <v>15</v>
      </c>
      <c r="M524" s="9" t="str">
        <f t="shared" si="34"/>
        <v/>
      </c>
      <c r="N524" s="9" t="str">
        <f t="shared" si="35"/>
        <v/>
      </c>
    </row>
    <row r="525" spans="1:14" x14ac:dyDescent="0.25">
      <c r="A525" t="str">
        <f>TEXT("1/"&amp;data!A525,"mmmm")</f>
        <v>février</v>
      </c>
      <c r="B525">
        <f>data!B525</f>
        <v>2016</v>
      </c>
      <c r="C525" t="str">
        <f>data!C525</f>
        <v>169</v>
      </c>
      <c r="D525" t="str">
        <f>data!D525</f>
        <v>CHATEAU PERREAU BEL AIR</v>
      </c>
      <c r="E525" t="str">
        <f>data!E525</f>
        <v>169009</v>
      </c>
      <c r="F525" t="str">
        <f>data!F525</f>
        <v>AOP COTES DE BORDEAUX LES HAUTS DE PERREAU BEL AIR</v>
      </c>
      <c r="G525" s="10">
        <f>data!G525</f>
        <v>351.5</v>
      </c>
      <c r="H525" s="10">
        <f>data!I525</f>
        <v>558.1</v>
      </c>
      <c r="I525" s="10">
        <f t="shared" si="32"/>
        <v>-206.60000000000002</v>
      </c>
      <c r="J525" s="11">
        <f>data!H525</f>
        <v>253.27</v>
      </c>
      <c r="K525" s="11">
        <f>data!J525</f>
        <v>413.23</v>
      </c>
      <c r="L525" s="11">
        <f t="shared" si="33"/>
        <v>-159.96</v>
      </c>
      <c r="M525" s="9">
        <f t="shared" si="34"/>
        <v>-0.37018455473929407</v>
      </c>
      <c r="N525" s="9">
        <f t="shared" si="35"/>
        <v>-0.38709677419354838</v>
      </c>
    </row>
    <row r="526" spans="1:14" x14ac:dyDescent="0.25">
      <c r="A526" t="str">
        <f>TEXT("1/"&amp;data!A526,"mmmm")</f>
        <v>février</v>
      </c>
      <c r="B526">
        <f>data!B526</f>
        <v>2016</v>
      </c>
      <c r="C526" t="str">
        <f>data!C526</f>
        <v>169</v>
      </c>
      <c r="D526" t="str">
        <f>data!D526</f>
        <v>CHATEAU PERREAU BEL AIR</v>
      </c>
      <c r="E526" t="str">
        <f>data!E526</f>
        <v>169010</v>
      </c>
      <c r="F526" t="str">
        <f>data!F526</f>
        <v>AOP COTES DE BORDEAUX LES HAUTS DE PERREAU BEL AIR</v>
      </c>
      <c r="G526" s="10">
        <f>data!G526</f>
        <v>661.5</v>
      </c>
      <c r="H526" s="10">
        <f>data!I526</f>
        <v>382</v>
      </c>
      <c r="I526" s="10">
        <f t="shared" si="32"/>
        <v>279.5</v>
      </c>
      <c r="J526" s="11">
        <f>data!H526</f>
        <v>420.21</v>
      </c>
      <c r="K526" s="11">
        <f>data!J526</f>
        <v>266.8</v>
      </c>
      <c r="L526" s="11">
        <f t="shared" si="33"/>
        <v>153.40999999999997</v>
      </c>
      <c r="M526" s="9">
        <f t="shared" si="34"/>
        <v>0.73167539267015702</v>
      </c>
      <c r="N526" s="9">
        <f t="shared" si="35"/>
        <v>0.57499999999999984</v>
      </c>
    </row>
    <row r="527" spans="1:14" x14ac:dyDescent="0.25">
      <c r="A527" t="str">
        <f>TEXT("1/"&amp;data!A527,"mmmm")</f>
        <v>février</v>
      </c>
      <c r="B527">
        <f>data!B527</f>
        <v>2016</v>
      </c>
      <c r="C527" t="str">
        <f>data!C527</f>
        <v>174</v>
      </c>
      <c r="D527" t="str">
        <f>data!D527</f>
        <v>SAS VIGNOBLES DES 3 CHATEAUX</v>
      </c>
      <c r="E527" t="str">
        <f>data!E527</f>
        <v>174001</v>
      </c>
      <c r="F527" t="str">
        <f>data!F527</f>
        <v>AC PIC SAINT LOUP LES DEESSES MUETTES EMOTION</v>
      </c>
      <c r="G527" s="10">
        <f>data!G527</f>
        <v>2075.7600000000002</v>
      </c>
      <c r="H527" s="10">
        <f>data!I527</f>
        <v>892.8</v>
      </c>
      <c r="I527" s="10">
        <f t="shared" si="32"/>
        <v>1182.9600000000003</v>
      </c>
      <c r="J527" s="11">
        <f>data!H527</f>
        <v>564</v>
      </c>
      <c r="K527" s="11">
        <f>data!J527</f>
        <v>240</v>
      </c>
      <c r="L527" s="11">
        <f t="shared" si="33"/>
        <v>324</v>
      </c>
      <c r="M527" s="9">
        <f t="shared" si="34"/>
        <v>1.3250000000000004</v>
      </c>
      <c r="N527" s="9">
        <f t="shared" si="35"/>
        <v>1.35</v>
      </c>
    </row>
    <row r="528" spans="1:14" x14ac:dyDescent="0.25">
      <c r="A528" t="str">
        <f>TEXT("1/"&amp;data!A528,"mmmm")</f>
        <v>février</v>
      </c>
      <c r="B528">
        <f>data!B528</f>
        <v>2016</v>
      </c>
      <c r="C528" t="str">
        <f>data!C528</f>
        <v>174</v>
      </c>
      <c r="D528" t="str">
        <f>data!D528</f>
        <v>SAS VIGNOBLES DES 3 CHATEAUX</v>
      </c>
      <c r="E528" t="str">
        <f>data!E528</f>
        <v>174002</v>
      </c>
      <c r="F528" t="str">
        <f>data!F528</f>
        <v>AC PIC SAINT LOUP CUVEE SPECIALE VIEILLI FUT DE CH</v>
      </c>
      <c r="G528" s="10">
        <f>data!G528</f>
        <v>403.92</v>
      </c>
      <c r="H528" s="10">
        <f>data!I528</f>
        <v>183.3</v>
      </c>
      <c r="I528" s="10">
        <f t="shared" si="32"/>
        <v>220.62</v>
      </c>
      <c r="J528" s="11">
        <f>data!H528</f>
        <v>66</v>
      </c>
      <c r="K528" s="11">
        <f>data!J528</f>
        <v>30</v>
      </c>
      <c r="L528" s="11">
        <f t="shared" si="33"/>
        <v>36</v>
      </c>
      <c r="M528" s="9">
        <f t="shared" si="34"/>
        <v>1.2036006546644844</v>
      </c>
      <c r="N528" s="9">
        <f t="shared" si="35"/>
        <v>1.2</v>
      </c>
    </row>
    <row r="529" spans="1:14" x14ac:dyDescent="0.25">
      <c r="A529" t="str">
        <f>TEXT("1/"&amp;data!A529,"mmmm")</f>
        <v>février</v>
      </c>
      <c r="B529">
        <f>data!B529</f>
        <v>2016</v>
      </c>
      <c r="C529" t="str">
        <f>data!C529</f>
        <v>174</v>
      </c>
      <c r="D529" t="str">
        <f>data!D529</f>
        <v>SAS VIGNOBLES DES 3 CHATEAUX</v>
      </c>
      <c r="E529" t="str">
        <f>data!E529</f>
        <v>174003</v>
      </c>
      <c r="F529" t="str">
        <f>data!F529</f>
        <v>IGP CARIGNAN - PETIT LOUP</v>
      </c>
      <c r="G529" s="10">
        <f>data!G529</f>
        <v>1500.96</v>
      </c>
      <c r="H529" s="10">
        <f>data!I529</f>
        <v>0</v>
      </c>
      <c r="I529" s="10">
        <f t="shared" si="32"/>
        <v>1500.96</v>
      </c>
      <c r="J529" s="11">
        <f>data!H529</f>
        <v>714</v>
      </c>
      <c r="K529" s="11">
        <f>data!J529</f>
        <v>0</v>
      </c>
      <c r="L529" s="11">
        <f t="shared" si="33"/>
        <v>714</v>
      </c>
      <c r="M529" s="9" t="str">
        <f t="shared" si="34"/>
        <v/>
      </c>
      <c r="N529" s="9" t="str">
        <f t="shared" si="35"/>
        <v/>
      </c>
    </row>
    <row r="530" spans="1:14" x14ac:dyDescent="0.25">
      <c r="A530" t="str">
        <f>TEXT("1/"&amp;data!A530,"mmmm")</f>
        <v>février</v>
      </c>
      <c r="B530">
        <f>data!B530</f>
        <v>2016</v>
      </c>
      <c r="C530" t="str">
        <f>data!C530</f>
        <v>174</v>
      </c>
      <c r="D530" t="str">
        <f>data!D530</f>
        <v>SAS VIGNOBLES DES 3 CHATEAUX</v>
      </c>
      <c r="E530" t="str">
        <f>data!E530</f>
        <v>174010</v>
      </c>
      <c r="F530" t="str">
        <f>data!F530</f>
        <v>IGP OC MERLOT CABERNET TERROIR DES CIGALES</v>
      </c>
      <c r="G530" s="10">
        <f>data!G530</f>
        <v>731.5</v>
      </c>
      <c r="H530" s="10">
        <f>data!I530</f>
        <v>372.4</v>
      </c>
      <c r="I530" s="10">
        <f t="shared" si="32"/>
        <v>359.1</v>
      </c>
      <c r="J530" s="11">
        <f>data!H530</f>
        <v>733.15</v>
      </c>
      <c r="K530" s="11">
        <f>data!J530</f>
        <v>373.24</v>
      </c>
      <c r="L530" s="11">
        <f t="shared" si="33"/>
        <v>359.90999999999997</v>
      </c>
      <c r="M530" s="9">
        <f t="shared" si="34"/>
        <v>0.96428571428571441</v>
      </c>
      <c r="N530" s="9">
        <f t="shared" si="35"/>
        <v>0.96428571428571419</v>
      </c>
    </row>
    <row r="531" spans="1:14" x14ac:dyDescent="0.25">
      <c r="A531" t="str">
        <f>TEXT("1/"&amp;data!A531,"mmmm")</f>
        <v>février</v>
      </c>
      <c r="B531">
        <f>data!B531</f>
        <v>2016</v>
      </c>
      <c r="C531" t="str">
        <f>data!C531</f>
        <v>174</v>
      </c>
      <c r="D531" t="str">
        <f>data!D531</f>
        <v>SAS VIGNOBLES DES 3 CHATEAUX</v>
      </c>
      <c r="E531" t="str">
        <f>data!E531</f>
        <v>174011</v>
      </c>
      <c r="F531" t="str">
        <f>data!F531</f>
        <v>IGP OC MERLOT CABERNET TERROIR DES CIGALES</v>
      </c>
      <c r="G531" s="10">
        <f>data!G531</f>
        <v>615.41</v>
      </c>
      <c r="H531" s="10">
        <f>data!I531</f>
        <v>358.34</v>
      </c>
      <c r="I531" s="10">
        <f t="shared" si="32"/>
        <v>257.07</v>
      </c>
      <c r="J531" s="11">
        <f>data!H531</f>
        <v>533.6</v>
      </c>
      <c r="K531" s="11">
        <f>data!J531</f>
        <v>326.83</v>
      </c>
      <c r="L531" s="11">
        <f t="shared" si="33"/>
        <v>206.77000000000004</v>
      </c>
      <c r="M531" s="9">
        <f t="shared" si="34"/>
        <v>0.71739130434782616</v>
      </c>
      <c r="N531" s="9">
        <f t="shared" si="35"/>
        <v>0.63265306122448994</v>
      </c>
    </row>
    <row r="532" spans="1:14" x14ac:dyDescent="0.25">
      <c r="A532" t="str">
        <f>TEXT("1/"&amp;data!A532,"mmmm")</f>
        <v>février</v>
      </c>
      <c r="B532">
        <f>data!B532</f>
        <v>2016</v>
      </c>
      <c r="C532" t="str">
        <f>data!C532</f>
        <v>174</v>
      </c>
      <c r="D532" t="str">
        <f>data!D532</f>
        <v>SAS VIGNOBLES DES 3 CHATEAUX</v>
      </c>
      <c r="E532" t="str">
        <f>data!E532</f>
        <v>174015</v>
      </c>
      <c r="F532" t="str">
        <f>data!F532</f>
        <v>IGP OC CHARDONNAY LES CITELLES</v>
      </c>
      <c r="G532" s="10">
        <f>data!G532</f>
        <v>175.5</v>
      </c>
      <c r="H532" s="10">
        <f>data!I532</f>
        <v>169.84</v>
      </c>
      <c r="I532" s="10">
        <f t="shared" si="32"/>
        <v>5.6599999999999966</v>
      </c>
      <c r="J532" s="11">
        <f>data!H532</f>
        <v>133.30000000000001</v>
      </c>
      <c r="K532" s="11">
        <f>data!J532</f>
        <v>146.63</v>
      </c>
      <c r="L532" s="11">
        <f t="shared" si="33"/>
        <v>-13.329999999999984</v>
      </c>
      <c r="M532" s="9">
        <f t="shared" si="34"/>
        <v>3.3325482807348074E-2</v>
      </c>
      <c r="N532" s="9">
        <f t="shared" si="35"/>
        <v>-9.0909090909090801E-2</v>
      </c>
    </row>
    <row r="533" spans="1:14" x14ac:dyDescent="0.25">
      <c r="A533" t="str">
        <f>TEXT("1/"&amp;data!A533,"mmmm")</f>
        <v>février</v>
      </c>
      <c r="B533">
        <f>data!B533</f>
        <v>2016</v>
      </c>
      <c r="C533" t="str">
        <f>data!C533</f>
        <v>174</v>
      </c>
      <c r="D533" t="str">
        <f>data!D533</f>
        <v>SAS VIGNOBLES DES 3 CHATEAUX</v>
      </c>
      <c r="E533" t="str">
        <f>data!E533</f>
        <v>174016</v>
      </c>
      <c r="F533" t="str">
        <f>data!F533</f>
        <v>IGP OC CHARDONNAY LES CITELLES</v>
      </c>
      <c r="G533" s="10">
        <f>data!G533</f>
        <v>587.64</v>
      </c>
      <c r="H533" s="10">
        <f>data!I533</f>
        <v>867.24</v>
      </c>
      <c r="I533" s="10">
        <f t="shared" si="32"/>
        <v>-279.60000000000002</v>
      </c>
      <c r="J533" s="11">
        <f>data!H533</f>
        <v>406.87</v>
      </c>
      <c r="K533" s="11">
        <f>data!J533</f>
        <v>687.01</v>
      </c>
      <c r="L533" s="11">
        <f t="shared" si="33"/>
        <v>-280.14</v>
      </c>
      <c r="M533" s="9">
        <f t="shared" si="34"/>
        <v>-0.32240210322402107</v>
      </c>
      <c r="N533" s="9">
        <f t="shared" si="35"/>
        <v>-0.40776699029126212</v>
      </c>
    </row>
    <row r="534" spans="1:14" x14ac:dyDescent="0.25">
      <c r="A534" t="str">
        <f>TEXT("1/"&amp;data!A534,"mmmm")</f>
        <v>février</v>
      </c>
      <c r="B534">
        <f>data!B534</f>
        <v>2016</v>
      </c>
      <c r="C534" t="str">
        <f>data!C534</f>
        <v>175</v>
      </c>
      <c r="D534" t="str">
        <f>data!D534</f>
        <v>SARL MAISON PERE &amp; FILS</v>
      </c>
      <c r="E534" t="str">
        <f>data!E534</f>
        <v>175001</v>
      </c>
      <c r="F534" t="str">
        <f>data!F534</f>
        <v>AC CHEVERNY DME MAISON</v>
      </c>
      <c r="G534" s="10">
        <f>data!G534</f>
        <v>754.8</v>
      </c>
      <c r="H534" s="10">
        <f>data!I534</f>
        <v>237.6</v>
      </c>
      <c r="I534" s="10">
        <f t="shared" si="32"/>
        <v>517.19999999999993</v>
      </c>
      <c r="J534" s="11">
        <f>data!H534</f>
        <v>204</v>
      </c>
      <c r="K534" s="11">
        <f>data!J534</f>
        <v>66</v>
      </c>
      <c r="L534" s="11">
        <f t="shared" si="33"/>
        <v>138</v>
      </c>
      <c r="M534" s="9">
        <f t="shared" si="34"/>
        <v>2.1767676767676765</v>
      </c>
      <c r="N534" s="9">
        <f t="shared" si="35"/>
        <v>2.0909090909090908</v>
      </c>
    </row>
    <row r="535" spans="1:14" x14ac:dyDescent="0.25">
      <c r="A535" t="str">
        <f>TEXT("1/"&amp;data!A535,"mmmm")</f>
        <v>février</v>
      </c>
      <c r="B535">
        <f>data!B535</f>
        <v>2016</v>
      </c>
      <c r="C535" t="str">
        <f>data!C535</f>
        <v>175</v>
      </c>
      <c r="D535" t="str">
        <f>data!D535</f>
        <v>SARL MAISON PERE &amp; FILS</v>
      </c>
      <c r="E535" t="str">
        <f>data!E535</f>
        <v>175002</v>
      </c>
      <c r="F535" t="str">
        <f>data!F535</f>
        <v>AC CHEVERNY DME MAISON</v>
      </c>
      <c r="G535" s="10">
        <f>data!G535</f>
        <v>377.4</v>
      </c>
      <c r="H535" s="10">
        <f>data!I535</f>
        <v>367.2</v>
      </c>
      <c r="I535" s="10">
        <f t="shared" si="32"/>
        <v>10.199999999999989</v>
      </c>
      <c r="J535" s="11">
        <f>data!H535</f>
        <v>102</v>
      </c>
      <c r="K535" s="11">
        <f>data!J535</f>
        <v>108</v>
      </c>
      <c r="L535" s="11">
        <f t="shared" si="33"/>
        <v>-6</v>
      </c>
      <c r="M535" s="9">
        <f t="shared" si="34"/>
        <v>2.7777777777777748E-2</v>
      </c>
      <c r="N535" s="9">
        <f t="shared" si="35"/>
        <v>-5.5555555555555552E-2</v>
      </c>
    </row>
    <row r="536" spans="1:14" x14ac:dyDescent="0.25">
      <c r="A536" t="str">
        <f>TEXT("1/"&amp;data!A536,"mmmm")</f>
        <v>février</v>
      </c>
      <c r="B536">
        <f>data!B536</f>
        <v>2016</v>
      </c>
      <c r="C536" t="str">
        <f>data!C536</f>
        <v>199</v>
      </c>
      <c r="D536" t="str">
        <f>data!D536</f>
        <v>PRIEURE SAINT JEAN DE BEBIAN</v>
      </c>
      <c r="E536" t="str">
        <f>data!E536</f>
        <v>199001</v>
      </c>
      <c r="F536" t="str">
        <f>data!F536</f>
        <v>AC COTEAUX DU LANGUEDOC CHAPELLE</v>
      </c>
      <c r="G536" s="10">
        <f>data!G536</f>
        <v>223.2</v>
      </c>
      <c r="H536" s="10">
        <f>data!I536</f>
        <v>108</v>
      </c>
      <c r="I536" s="10">
        <f t="shared" si="32"/>
        <v>115.19999999999999</v>
      </c>
      <c r="J536" s="11">
        <f>data!H536</f>
        <v>42</v>
      </c>
      <c r="K536" s="11">
        <f>data!J536</f>
        <v>18</v>
      </c>
      <c r="L536" s="11">
        <f t="shared" si="33"/>
        <v>24</v>
      </c>
      <c r="M536" s="9">
        <f t="shared" si="34"/>
        <v>1.0666666666666667</v>
      </c>
      <c r="N536" s="9">
        <f t="shared" si="35"/>
        <v>1.3333333333333333</v>
      </c>
    </row>
    <row r="537" spans="1:14" x14ac:dyDescent="0.25">
      <c r="A537" t="str">
        <f>TEXT("1/"&amp;data!A537,"mmmm")</f>
        <v>février</v>
      </c>
      <c r="B537">
        <f>data!B537</f>
        <v>2016</v>
      </c>
      <c r="C537" t="str">
        <f>data!C537</f>
        <v>199</v>
      </c>
      <c r="D537" t="str">
        <f>data!D537</f>
        <v>PRIEURE SAINT JEAN DE BEBIAN</v>
      </c>
      <c r="E537" t="str">
        <f>data!E537</f>
        <v>199002</v>
      </c>
      <c r="F537" t="str">
        <f>data!F537</f>
        <v>AC COTEAUX DU LANGUEDOC PRIEURE ST JEAN</v>
      </c>
      <c r="G537" s="10">
        <f>data!G537</f>
        <v>234</v>
      </c>
      <c r="H537" s="10">
        <f>data!I537</f>
        <v>0</v>
      </c>
      <c r="I537" s="10">
        <f t="shared" si="32"/>
        <v>234</v>
      </c>
      <c r="J537" s="11">
        <f>data!H537</f>
        <v>18</v>
      </c>
      <c r="K537" s="11">
        <f>data!J537</f>
        <v>0</v>
      </c>
      <c r="L537" s="11">
        <f t="shared" si="33"/>
        <v>18</v>
      </c>
      <c r="M537" s="9" t="str">
        <f t="shared" si="34"/>
        <v/>
      </c>
      <c r="N537" s="9" t="str">
        <f t="shared" si="35"/>
        <v/>
      </c>
    </row>
    <row r="538" spans="1:14" x14ac:dyDescent="0.25">
      <c r="A538" t="str">
        <f>TEXT("1/"&amp;data!A538,"mmmm")</f>
        <v>février</v>
      </c>
      <c r="B538">
        <f>data!B538</f>
        <v>2016</v>
      </c>
      <c r="C538" t="str">
        <f>data!C538</f>
        <v>199</v>
      </c>
      <c r="D538" t="str">
        <f>data!D538</f>
        <v>PRIEURE SAINT JEAN DE BEBIAN</v>
      </c>
      <c r="E538" t="str">
        <f>data!E538</f>
        <v>199003</v>
      </c>
      <c r="F538" t="str">
        <f>data!F538</f>
        <v>AC COTEAUX DU LANGUEDOC LA CROIX DE BEBIAN</v>
      </c>
      <c r="G538" s="10">
        <f>data!G538</f>
        <v>504</v>
      </c>
      <c r="H538" s="10">
        <f>data!I538</f>
        <v>688.8</v>
      </c>
      <c r="I538" s="10">
        <f t="shared" si="32"/>
        <v>-184.79999999999995</v>
      </c>
      <c r="J538" s="11">
        <f>data!H538</f>
        <v>120</v>
      </c>
      <c r="K538" s="11">
        <f>data!J538</f>
        <v>168</v>
      </c>
      <c r="L538" s="11">
        <f t="shared" si="33"/>
        <v>-48</v>
      </c>
      <c r="M538" s="9">
        <f t="shared" si="34"/>
        <v>-0.26829268292682923</v>
      </c>
      <c r="N538" s="9">
        <f t="shared" si="35"/>
        <v>-0.2857142857142857</v>
      </c>
    </row>
    <row r="539" spans="1:14" x14ac:dyDescent="0.25">
      <c r="A539" t="str">
        <f>TEXT("1/"&amp;data!A539,"mmmm")</f>
        <v>février</v>
      </c>
      <c r="B539">
        <f>data!B539</f>
        <v>2016</v>
      </c>
      <c r="C539" t="str">
        <f>data!C539</f>
        <v>199</v>
      </c>
      <c r="D539" t="str">
        <f>data!D539</f>
        <v>PRIEURE SAINT JEAN DE BEBIAN</v>
      </c>
      <c r="E539" t="str">
        <f>data!E539</f>
        <v>199004</v>
      </c>
      <c r="F539" t="str">
        <f>data!F539</f>
        <v>IGP PAYS D'OC LA CROIX DE BEBIAN</v>
      </c>
      <c r="G539" s="10">
        <f>data!G539</f>
        <v>295.2</v>
      </c>
      <c r="H539" s="10">
        <f>data!I539</f>
        <v>432</v>
      </c>
      <c r="I539" s="10">
        <f t="shared" si="32"/>
        <v>-136.80000000000001</v>
      </c>
      <c r="J539" s="11">
        <f>data!H539</f>
        <v>78</v>
      </c>
      <c r="K539" s="11">
        <f>data!J539</f>
        <v>108</v>
      </c>
      <c r="L539" s="11">
        <f t="shared" si="33"/>
        <v>-30</v>
      </c>
      <c r="M539" s="9">
        <f t="shared" si="34"/>
        <v>-0.31666666666666671</v>
      </c>
      <c r="N539" s="9">
        <f t="shared" si="35"/>
        <v>-0.27777777777777779</v>
      </c>
    </row>
    <row r="540" spans="1:14" x14ac:dyDescent="0.25">
      <c r="A540" t="str">
        <f>TEXT("1/"&amp;data!A540,"mmmm")</f>
        <v>février</v>
      </c>
      <c r="B540">
        <f>data!B540</f>
        <v>2016</v>
      </c>
      <c r="C540" t="str">
        <f>data!C540</f>
        <v>201</v>
      </c>
      <c r="D540" t="str">
        <f>data!D540</f>
        <v>CAVE LES COTEAUX DU RHONE</v>
      </c>
      <c r="E540" t="str">
        <f>data!E540</f>
        <v>201001</v>
      </c>
      <c r="F540" t="str">
        <f>data!F540</f>
        <v>IGP VAUCLUSE D'ORANGE CAVE LES COTEAUX DU RHONE</v>
      </c>
      <c r="G540" s="10">
        <f>data!G540</f>
        <v>114</v>
      </c>
      <c r="H540" s="10">
        <f>data!I540</f>
        <v>945.57</v>
      </c>
      <c r="I540" s="10">
        <f t="shared" si="32"/>
        <v>-831.57</v>
      </c>
      <c r="J540" s="11">
        <f>data!H540</f>
        <v>113.39</v>
      </c>
      <c r="K540" s="11">
        <f>data!J540</f>
        <v>860.43</v>
      </c>
      <c r="L540" s="11">
        <f t="shared" si="33"/>
        <v>-747.04</v>
      </c>
      <c r="M540" s="9">
        <f t="shared" si="34"/>
        <v>-0.8794377994225705</v>
      </c>
      <c r="N540" s="9">
        <f t="shared" si="35"/>
        <v>-0.86821705426356588</v>
      </c>
    </row>
    <row r="541" spans="1:14" x14ac:dyDescent="0.25">
      <c r="A541" t="str">
        <f>TEXT("1/"&amp;data!A541,"mmmm")</f>
        <v>février</v>
      </c>
      <c r="B541">
        <f>data!B541</f>
        <v>2016</v>
      </c>
      <c r="C541" t="str">
        <f>data!C541</f>
        <v>201</v>
      </c>
      <c r="D541" t="str">
        <f>data!D541</f>
        <v>CAVE LES COTEAUX DU RHONE</v>
      </c>
      <c r="E541" t="str">
        <f>data!E541</f>
        <v>201002</v>
      </c>
      <c r="F541" t="str">
        <f>data!F541</f>
        <v>IGP VAUCLUSE D'ORANGE CAVE LES COTEAUX DU RHONE</v>
      </c>
      <c r="G541" s="10">
        <f>data!G541</f>
        <v>265</v>
      </c>
      <c r="H541" s="10">
        <f>data!I541</f>
        <v>1153.8800000000001</v>
      </c>
      <c r="I541" s="10">
        <f t="shared" si="32"/>
        <v>-888.88000000000011</v>
      </c>
      <c r="J541" s="11">
        <f>data!H541</f>
        <v>279.93</v>
      </c>
      <c r="K541" s="11">
        <f>data!J541</f>
        <v>1213.03</v>
      </c>
      <c r="L541" s="11">
        <f t="shared" si="33"/>
        <v>-933.09999999999991</v>
      </c>
      <c r="M541" s="9">
        <f t="shared" si="34"/>
        <v>-0.77034007002461258</v>
      </c>
      <c r="N541" s="9">
        <f t="shared" si="35"/>
        <v>-0.76923076923076916</v>
      </c>
    </row>
    <row r="542" spans="1:14" x14ac:dyDescent="0.25">
      <c r="A542" t="str">
        <f>TEXT("1/"&amp;data!A542,"mmmm")</f>
        <v>février</v>
      </c>
      <c r="B542">
        <f>data!B542</f>
        <v>2016</v>
      </c>
      <c r="C542" t="str">
        <f>data!C542</f>
        <v>201</v>
      </c>
      <c r="D542" t="str">
        <f>data!D542</f>
        <v>CAVE LES COTEAUX DU RHONE</v>
      </c>
      <c r="E542" t="str">
        <f>data!E542</f>
        <v>201003</v>
      </c>
      <c r="F542" t="str">
        <f>data!F542</f>
        <v>IGP MEDITERRANEE LES COTEAUX DU RHONE</v>
      </c>
      <c r="G542" s="10">
        <f>data!G542</f>
        <v>501.6</v>
      </c>
      <c r="H542" s="10">
        <f>data!I542</f>
        <v>1018.87</v>
      </c>
      <c r="I542" s="10">
        <f t="shared" si="32"/>
        <v>-517.27</v>
      </c>
      <c r="J542" s="11">
        <f>data!H542</f>
        <v>446.89</v>
      </c>
      <c r="K542" s="11">
        <f>data!J542</f>
        <v>940.47</v>
      </c>
      <c r="L542" s="11">
        <f t="shared" si="33"/>
        <v>-493.58000000000004</v>
      </c>
      <c r="M542" s="9">
        <f t="shared" si="34"/>
        <v>-0.50768989174281309</v>
      </c>
      <c r="N542" s="9">
        <f t="shared" si="35"/>
        <v>-0.52482269503546097</v>
      </c>
    </row>
    <row r="543" spans="1:14" x14ac:dyDescent="0.25">
      <c r="A543" t="str">
        <f>TEXT("1/"&amp;data!A543,"mmmm")</f>
        <v>février</v>
      </c>
      <c r="B543">
        <f>data!B543</f>
        <v>2016</v>
      </c>
      <c r="C543" t="str">
        <f>data!C543</f>
        <v>201</v>
      </c>
      <c r="D543" t="str">
        <f>data!D543</f>
        <v>CAVE LES COTEAUX DU RHONE</v>
      </c>
      <c r="E543" t="str">
        <f>data!E543</f>
        <v>201004</v>
      </c>
      <c r="F543" t="str">
        <f>data!F543</f>
        <v>IGP MEDITERRANEE LES COTEAUX DU RHONE</v>
      </c>
      <c r="G543" s="10">
        <f>data!G543</f>
        <v>728.75</v>
      </c>
      <c r="H543" s="10">
        <f>data!I543</f>
        <v>2320.44</v>
      </c>
      <c r="I543" s="10">
        <f t="shared" si="32"/>
        <v>-1591.69</v>
      </c>
      <c r="J543" s="11">
        <f>data!H543</f>
        <v>733.15</v>
      </c>
      <c r="K543" s="11">
        <f>data!J543</f>
        <v>2452.7199999999998</v>
      </c>
      <c r="L543" s="11">
        <f t="shared" si="33"/>
        <v>-1719.5699999999997</v>
      </c>
      <c r="M543" s="9">
        <f t="shared" si="34"/>
        <v>-0.68594318318939507</v>
      </c>
      <c r="N543" s="9">
        <f t="shared" si="35"/>
        <v>-0.70108695652173902</v>
      </c>
    </row>
    <row r="544" spans="1:14" x14ac:dyDescent="0.25">
      <c r="A544" t="str">
        <f>TEXT("1/"&amp;data!A544,"mmmm")</f>
        <v>février</v>
      </c>
      <c r="B544">
        <f>data!B544</f>
        <v>2016</v>
      </c>
      <c r="C544" t="str">
        <f>data!C544</f>
        <v>201</v>
      </c>
      <c r="D544" t="str">
        <f>data!D544</f>
        <v>CAVE LES COTEAUX DU RHONE</v>
      </c>
      <c r="E544" t="str">
        <f>data!E544</f>
        <v>201006</v>
      </c>
      <c r="F544" t="str">
        <f>data!F544</f>
        <v>AOP COTES DU RHONE MAGIE D'UNE TERRE</v>
      </c>
      <c r="G544" s="10">
        <f>data!G544</f>
        <v>1238.4000000000001</v>
      </c>
      <c r="H544" s="10">
        <f>data!I544</f>
        <v>587.16</v>
      </c>
      <c r="I544" s="10">
        <f t="shared" si="32"/>
        <v>651.24000000000012</v>
      </c>
      <c r="J544" s="11">
        <f>data!H544</f>
        <v>522</v>
      </c>
      <c r="K544" s="11">
        <f>data!J544</f>
        <v>252</v>
      </c>
      <c r="L544" s="11">
        <f t="shared" si="33"/>
        <v>270</v>
      </c>
      <c r="M544" s="9">
        <f t="shared" si="34"/>
        <v>1.1091354996934399</v>
      </c>
      <c r="N544" s="9">
        <f t="shared" si="35"/>
        <v>1.0714285714285714</v>
      </c>
    </row>
    <row r="545" spans="1:14" x14ac:dyDescent="0.25">
      <c r="A545" t="str">
        <f>TEXT("1/"&amp;data!A545,"mmmm")</f>
        <v>février</v>
      </c>
      <c r="B545">
        <f>data!B545</f>
        <v>2016</v>
      </c>
      <c r="C545" t="str">
        <f>data!C545</f>
        <v>201</v>
      </c>
      <c r="D545" t="str">
        <f>data!D545</f>
        <v>CAVE LES COTEAUX DU RHONE</v>
      </c>
      <c r="E545" t="str">
        <f>data!E545</f>
        <v>201007</v>
      </c>
      <c r="F545" t="str">
        <f>data!F545</f>
        <v>AOP VACQUEYRASDOMAINE GRANDY</v>
      </c>
      <c r="G545" s="10">
        <f>data!G545</f>
        <v>133.19999999999999</v>
      </c>
      <c r="H545" s="10">
        <f>data!I545</f>
        <v>159.9</v>
      </c>
      <c r="I545" s="10">
        <f t="shared" si="32"/>
        <v>-26.700000000000017</v>
      </c>
      <c r="J545" s="11">
        <f>data!H545</f>
        <v>24</v>
      </c>
      <c r="K545" s="11">
        <f>data!J545</f>
        <v>30</v>
      </c>
      <c r="L545" s="11">
        <f t="shared" si="33"/>
        <v>-6</v>
      </c>
      <c r="M545" s="9">
        <f t="shared" si="34"/>
        <v>-0.16697936210131342</v>
      </c>
      <c r="N545" s="9">
        <f t="shared" si="35"/>
        <v>-0.2</v>
      </c>
    </row>
    <row r="546" spans="1:14" x14ac:dyDescent="0.25">
      <c r="A546" t="str">
        <f>TEXT("1/"&amp;data!A546,"mmmm")</f>
        <v>février</v>
      </c>
      <c r="B546">
        <f>data!B546</f>
        <v>2016</v>
      </c>
      <c r="C546" t="str">
        <f>data!C546</f>
        <v>201</v>
      </c>
      <c r="D546" t="str">
        <f>data!D546</f>
        <v>CAVE LES COTEAUX DU RHONE</v>
      </c>
      <c r="E546" t="str">
        <f>data!E546</f>
        <v>201008</v>
      </c>
      <c r="F546" t="str">
        <f>data!F546</f>
        <v>AOP COTES DU RHONE PATRICE NICOLAS</v>
      </c>
      <c r="G546" s="10">
        <f>data!G546</f>
        <v>134.4</v>
      </c>
      <c r="H546" s="10">
        <f>data!I546</f>
        <v>37.56</v>
      </c>
      <c r="I546" s="10">
        <f t="shared" si="32"/>
        <v>96.84</v>
      </c>
      <c r="J546" s="11">
        <f>data!H546</f>
        <v>48</v>
      </c>
      <c r="K546" s="11">
        <f>data!J546</f>
        <v>12</v>
      </c>
      <c r="L546" s="11">
        <f t="shared" si="33"/>
        <v>36</v>
      </c>
      <c r="M546" s="9">
        <f t="shared" si="34"/>
        <v>2.5782747603833864</v>
      </c>
      <c r="N546" s="9">
        <f t="shared" si="35"/>
        <v>3</v>
      </c>
    </row>
    <row r="547" spans="1:14" x14ac:dyDescent="0.25">
      <c r="A547" t="str">
        <f>TEXT("1/"&amp;data!A547,"mmmm")</f>
        <v>février</v>
      </c>
      <c r="B547">
        <f>data!B547</f>
        <v>2016</v>
      </c>
      <c r="C547" t="str">
        <f>data!C547</f>
        <v>201</v>
      </c>
      <c r="D547" t="str">
        <f>data!D547</f>
        <v>CAVE LES COTEAUX DU RHONE</v>
      </c>
      <c r="E547" t="str">
        <f>data!E547</f>
        <v>201010</v>
      </c>
      <c r="F547" t="str">
        <f>data!F547</f>
        <v>AOP COTES DU RHONE</v>
      </c>
      <c r="G547" s="10">
        <f>data!G547</f>
        <v>427.8</v>
      </c>
      <c r="H547" s="10">
        <f>data!I547</f>
        <v>287.68</v>
      </c>
      <c r="I547" s="10">
        <f t="shared" si="32"/>
        <v>140.12</v>
      </c>
      <c r="J547" s="11">
        <f>data!H547</f>
        <v>306.58999999999997</v>
      </c>
      <c r="K547" s="11">
        <f>data!J547</f>
        <v>213.28</v>
      </c>
      <c r="L547" s="11">
        <f t="shared" si="33"/>
        <v>93.309999999999974</v>
      </c>
      <c r="M547" s="9">
        <f t="shared" si="34"/>
        <v>0.48706896551724138</v>
      </c>
      <c r="N547" s="9">
        <f t="shared" si="35"/>
        <v>0.43749999999999989</v>
      </c>
    </row>
    <row r="548" spans="1:14" x14ac:dyDescent="0.25">
      <c r="A548" t="str">
        <f>TEXT("1/"&amp;data!A548,"mmmm")</f>
        <v>février</v>
      </c>
      <c r="B548">
        <f>data!B548</f>
        <v>2016</v>
      </c>
      <c r="C548" t="str">
        <f>data!C548</f>
        <v>201</v>
      </c>
      <c r="D548" t="str">
        <f>data!D548</f>
        <v>CAVE LES COTEAUX DU RHONE</v>
      </c>
      <c r="E548" t="str">
        <f>data!E548</f>
        <v>201011</v>
      </c>
      <c r="F548" t="str">
        <f>data!F548</f>
        <v>AOP COTES DU RHONE</v>
      </c>
      <c r="G548" s="10">
        <f>data!G548</f>
        <v>262.60000000000002</v>
      </c>
      <c r="H548" s="10">
        <f>data!I548</f>
        <v>145.94999999999999</v>
      </c>
      <c r="I548" s="10">
        <f t="shared" si="32"/>
        <v>116.65000000000003</v>
      </c>
      <c r="J548" s="11">
        <f>data!H548</f>
        <v>173.42</v>
      </c>
      <c r="K548" s="11">
        <f>data!J548</f>
        <v>106.72</v>
      </c>
      <c r="L548" s="11">
        <f t="shared" si="33"/>
        <v>66.699999999999989</v>
      </c>
      <c r="M548" s="9">
        <f t="shared" si="34"/>
        <v>0.79924631723192907</v>
      </c>
      <c r="N548" s="9">
        <f t="shared" si="35"/>
        <v>0.62499999999999989</v>
      </c>
    </row>
    <row r="549" spans="1:14" x14ac:dyDescent="0.25">
      <c r="A549" t="str">
        <f>TEXT("1/"&amp;data!A549,"mmmm")</f>
        <v>février</v>
      </c>
      <c r="B549">
        <f>data!B549</f>
        <v>2016</v>
      </c>
      <c r="C549" t="str">
        <f>data!C549</f>
        <v>201</v>
      </c>
      <c r="D549" t="str">
        <f>data!D549</f>
        <v>CAVE LES COTEAUX DU RHONE</v>
      </c>
      <c r="E549" t="str">
        <f>data!E549</f>
        <v>201012</v>
      </c>
      <c r="F549" t="str">
        <f>data!F549</f>
        <v>AOP CDR VILLAGES PLAN DE DIEU PANICAUT</v>
      </c>
      <c r="G549" s="10">
        <f>data!G549</f>
        <v>129.6</v>
      </c>
      <c r="H549" s="10">
        <f>data!I549</f>
        <v>329.28</v>
      </c>
      <c r="I549" s="10">
        <f t="shared" si="32"/>
        <v>-199.67999999999998</v>
      </c>
      <c r="J549" s="11">
        <f>data!H549</f>
        <v>36</v>
      </c>
      <c r="K549" s="11">
        <f>data!J549</f>
        <v>96</v>
      </c>
      <c r="L549" s="11">
        <f t="shared" si="33"/>
        <v>-60</v>
      </c>
      <c r="M549" s="9">
        <f t="shared" si="34"/>
        <v>-0.60641399416909625</v>
      </c>
      <c r="N549" s="9">
        <f t="shared" si="35"/>
        <v>-0.625</v>
      </c>
    </row>
    <row r="550" spans="1:14" x14ac:dyDescent="0.25">
      <c r="A550" t="str">
        <f>TEXT("1/"&amp;data!A550,"mmmm")</f>
        <v>février</v>
      </c>
      <c r="B550">
        <f>data!B550</f>
        <v>2016</v>
      </c>
      <c r="C550" t="str">
        <f>data!C550</f>
        <v>201</v>
      </c>
      <c r="D550" t="str">
        <f>data!D550</f>
        <v>CAVE LES COTEAUX DU RHONE</v>
      </c>
      <c r="E550" t="str">
        <f>data!E550</f>
        <v>201013</v>
      </c>
      <c r="F550" t="str">
        <f>data!F550</f>
        <v>AOP CDR VILLAGES CAIRANNE LA BOSQUETTE</v>
      </c>
      <c r="G550" s="10">
        <f>data!G550</f>
        <v>24.3</v>
      </c>
      <c r="H550" s="10">
        <f>data!I550</f>
        <v>89.52</v>
      </c>
      <c r="I550" s="10">
        <f t="shared" si="32"/>
        <v>-65.22</v>
      </c>
      <c r="J550" s="11">
        <f>data!H550</f>
        <v>6</v>
      </c>
      <c r="K550" s="11">
        <f>data!J550</f>
        <v>24</v>
      </c>
      <c r="L550" s="11">
        <f t="shared" si="33"/>
        <v>-18</v>
      </c>
      <c r="M550" s="9">
        <f t="shared" si="34"/>
        <v>-0.72855227882037532</v>
      </c>
      <c r="N550" s="9">
        <f t="shared" si="35"/>
        <v>-0.75</v>
      </c>
    </row>
    <row r="551" spans="1:14" x14ac:dyDescent="0.25">
      <c r="A551" t="str">
        <f>TEXT("1/"&amp;data!A551,"mmmm")</f>
        <v>février</v>
      </c>
      <c r="B551">
        <f>data!B551</f>
        <v>2016</v>
      </c>
      <c r="C551" t="str">
        <f>data!C551</f>
        <v>201</v>
      </c>
      <c r="D551" t="str">
        <f>data!D551</f>
        <v>CAVE LES COTEAUX DU RHONE</v>
      </c>
      <c r="E551" t="str">
        <f>data!E551</f>
        <v>201014</v>
      </c>
      <c r="F551" t="str">
        <f>data!F551</f>
        <v>AOP COTES DU RHONE VILLAGES JASOUN</v>
      </c>
      <c r="G551" s="10">
        <f>data!G551</f>
        <v>504</v>
      </c>
      <c r="H551" s="10">
        <f>data!I551</f>
        <v>328.32</v>
      </c>
      <c r="I551" s="10">
        <f t="shared" si="32"/>
        <v>175.68</v>
      </c>
      <c r="J551" s="11">
        <f>data!H551</f>
        <v>174</v>
      </c>
      <c r="K551" s="11">
        <f>data!J551</f>
        <v>114</v>
      </c>
      <c r="L551" s="11">
        <f t="shared" si="33"/>
        <v>60</v>
      </c>
      <c r="M551" s="9">
        <f t="shared" si="34"/>
        <v>0.53508771929824561</v>
      </c>
      <c r="N551" s="9">
        <f t="shared" si="35"/>
        <v>0.52631578947368418</v>
      </c>
    </row>
    <row r="552" spans="1:14" x14ac:dyDescent="0.25">
      <c r="A552" t="str">
        <f>TEXT("1/"&amp;data!A552,"mmmm")</f>
        <v>février</v>
      </c>
      <c r="B552">
        <f>data!B552</f>
        <v>2016</v>
      </c>
      <c r="C552" t="str">
        <f>data!C552</f>
        <v>201</v>
      </c>
      <c r="D552" t="str">
        <f>data!D552</f>
        <v>CAVE LES COTEAUX DU RHONE</v>
      </c>
      <c r="E552" t="str">
        <f>data!E552</f>
        <v>201016</v>
      </c>
      <c r="F552" t="str">
        <f>data!F552</f>
        <v>AC COTES DU RHONE MAGIE D'UNE TERRE</v>
      </c>
      <c r="G552" s="10">
        <f>data!G552</f>
        <v>20.64</v>
      </c>
      <c r="H552" s="10">
        <f>data!I552</f>
        <v>41.28</v>
      </c>
      <c r="I552" s="10">
        <f t="shared" si="32"/>
        <v>-20.64</v>
      </c>
      <c r="J552" s="11">
        <f>data!H552</f>
        <v>6</v>
      </c>
      <c r="K552" s="11">
        <f>data!J552</f>
        <v>12</v>
      </c>
      <c r="L552" s="11">
        <f t="shared" si="33"/>
        <v>-6</v>
      </c>
      <c r="M552" s="9">
        <f t="shared" si="34"/>
        <v>-0.5</v>
      </c>
      <c r="N552" s="9">
        <f t="shared" si="35"/>
        <v>-0.5</v>
      </c>
    </row>
    <row r="553" spans="1:14" x14ac:dyDescent="0.25">
      <c r="A553" t="str">
        <f>TEXT("1/"&amp;data!A553,"mmmm")</f>
        <v>février</v>
      </c>
      <c r="B553">
        <f>data!B553</f>
        <v>2016</v>
      </c>
      <c r="C553" t="str">
        <f>data!C553</f>
        <v>201</v>
      </c>
      <c r="D553" t="str">
        <f>data!D553</f>
        <v>CAVE LES COTEAUX DU RHONE</v>
      </c>
      <c r="E553" t="str">
        <f>data!E553</f>
        <v>201026</v>
      </c>
      <c r="F553" t="str">
        <f>data!F553</f>
        <v>IGP VAUCLUSE BALLADE DE COLLINE</v>
      </c>
      <c r="G553" s="10">
        <f>data!G553</f>
        <v>262.2</v>
      </c>
      <c r="H553" s="10">
        <f>data!I553</f>
        <v>0</v>
      </c>
      <c r="I553" s="10">
        <f t="shared" si="32"/>
        <v>262.2</v>
      </c>
      <c r="J553" s="11">
        <f>data!H553</f>
        <v>144</v>
      </c>
      <c r="K553" s="11">
        <f>data!J553</f>
        <v>0</v>
      </c>
      <c r="L553" s="11">
        <f t="shared" si="33"/>
        <v>144</v>
      </c>
      <c r="M553" s="9" t="str">
        <f t="shared" si="34"/>
        <v/>
      </c>
      <c r="N553" s="9" t="str">
        <f t="shared" si="35"/>
        <v/>
      </c>
    </row>
    <row r="554" spans="1:14" x14ac:dyDescent="0.25">
      <c r="A554" t="str">
        <f>TEXT("1/"&amp;data!A554,"mmmm")</f>
        <v>février</v>
      </c>
      <c r="B554">
        <f>data!B554</f>
        <v>2016</v>
      </c>
      <c r="C554" t="str">
        <f>data!C554</f>
        <v>201</v>
      </c>
      <c r="D554" t="str">
        <f>data!D554</f>
        <v>CAVE LES COTEAUX DU RHONE</v>
      </c>
      <c r="E554" t="str">
        <f>data!E554</f>
        <v>201027</v>
      </c>
      <c r="F554" t="str">
        <f>data!F554</f>
        <v>IGP VAUCLUSE BALLADE DE COLLINE</v>
      </c>
      <c r="G554" s="10">
        <f>data!G554</f>
        <v>34.200000000000003</v>
      </c>
      <c r="H554" s="10">
        <f>data!I554</f>
        <v>0</v>
      </c>
      <c r="I554" s="10">
        <f t="shared" si="32"/>
        <v>34.200000000000003</v>
      </c>
      <c r="J554" s="11">
        <f>data!H554</f>
        <v>18</v>
      </c>
      <c r="K554" s="11">
        <f>data!J554</f>
        <v>0</v>
      </c>
      <c r="L554" s="11">
        <f t="shared" si="33"/>
        <v>18</v>
      </c>
      <c r="M554" s="9" t="str">
        <f t="shared" si="34"/>
        <v/>
      </c>
      <c r="N554" s="9" t="str">
        <f t="shared" si="35"/>
        <v/>
      </c>
    </row>
    <row r="555" spans="1:14" x14ac:dyDescent="0.25">
      <c r="A555" t="str">
        <f>TEXT("1/"&amp;data!A555,"mmmm")</f>
        <v>février</v>
      </c>
      <c r="B555">
        <f>data!B555</f>
        <v>2016</v>
      </c>
      <c r="C555" t="str">
        <f>data!C555</f>
        <v>202</v>
      </c>
      <c r="D555" t="str">
        <f>data!D555</f>
        <v>TERRES D'ALLIANCE</v>
      </c>
      <c r="E555" t="str">
        <f>data!E555</f>
        <v>202002</v>
      </c>
      <c r="F555" t="str">
        <f>data!F555</f>
        <v>IGP VAUCLUSE LEA</v>
      </c>
      <c r="G555" s="10">
        <f>data!G555</f>
        <v>73.44</v>
      </c>
      <c r="H555" s="10">
        <f>data!I555</f>
        <v>368.28</v>
      </c>
      <c r="I555" s="10">
        <f t="shared" si="32"/>
        <v>-294.83999999999997</v>
      </c>
      <c r="J555" s="11">
        <f>data!H555</f>
        <v>36</v>
      </c>
      <c r="K555" s="11">
        <f>data!J555</f>
        <v>192</v>
      </c>
      <c r="L555" s="11">
        <f t="shared" si="33"/>
        <v>-156</v>
      </c>
      <c r="M555" s="9">
        <f t="shared" si="34"/>
        <v>-0.80058651026392957</v>
      </c>
      <c r="N555" s="9">
        <f t="shared" si="35"/>
        <v>-0.8125</v>
      </c>
    </row>
    <row r="556" spans="1:14" x14ac:dyDescent="0.25">
      <c r="A556" t="str">
        <f>TEXT("1/"&amp;data!A556,"mmmm")</f>
        <v>février</v>
      </c>
      <c r="B556">
        <f>data!B556</f>
        <v>2016</v>
      </c>
      <c r="C556" t="str">
        <f>data!C556</f>
        <v>202</v>
      </c>
      <c r="D556" t="str">
        <f>data!D556</f>
        <v>TERRES D'ALLIANCE</v>
      </c>
      <c r="E556" t="str">
        <f>data!E556</f>
        <v>202004</v>
      </c>
      <c r="F556" t="str">
        <f>data!F556</f>
        <v>AOP LUBERON FIEF</v>
      </c>
      <c r="G556" s="10">
        <f>data!G556</f>
        <v>0</v>
      </c>
      <c r="H556" s="10">
        <f>data!I556</f>
        <v>0</v>
      </c>
      <c r="I556" s="10">
        <f t="shared" si="32"/>
        <v>0</v>
      </c>
      <c r="J556" s="11">
        <f>data!H556</f>
        <v>6</v>
      </c>
      <c r="K556" s="11">
        <f>data!J556</f>
        <v>0</v>
      </c>
      <c r="L556" s="11">
        <f t="shared" si="33"/>
        <v>6</v>
      </c>
      <c r="M556" s="9" t="str">
        <f t="shared" si="34"/>
        <v/>
      </c>
      <c r="N556" s="9" t="str">
        <f t="shared" si="35"/>
        <v/>
      </c>
    </row>
    <row r="557" spans="1:14" x14ac:dyDescent="0.25">
      <c r="A557" t="str">
        <f>TEXT("1/"&amp;data!A557,"mmmm")</f>
        <v>février</v>
      </c>
      <c r="B557">
        <f>data!B557</f>
        <v>2016</v>
      </c>
      <c r="C557" t="str">
        <f>data!C557</f>
        <v>202</v>
      </c>
      <c r="D557" t="str">
        <f>data!D557</f>
        <v>TERRES D'ALLIANCE</v>
      </c>
      <c r="E557" t="str">
        <f>data!E557</f>
        <v>202015</v>
      </c>
      <c r="F557" t="str">
        <f>data!F557</f>
        <v>AOP LUBERON LOUERION</v>
      </c>
      <c r="G557" s="10">
        <f>data!G557</f>
        <v>29.7</v>
      </c>
      <c r="H557" s="10">
        <f>data!I557</f>
        <v>0</v>
      </c>
      <c r="I557" s="10">
        <f t="shared" si="32"/>
        <v>29.7</v>
      </c>
      <c r="J557" s="11">
        <f>data!H557</f>
        <v>20.009999999999998</v>
      </c>
      <c r="K557" s="11">
        <f>data!J557</f>
        <v>0</v>
      </c>
      <c r="L557" s="11">
        <f t="shared" si="33"/>
        <v>20.009999999999998</v>
      </c>
      <c r="M557" s="9" t="str">
        <f t="shared" si="34"/>
        <v/>
      </c>
      <c r="N557" s="9" t="str">
        <f t="shared" si="35"/>
        <v/>
      </c>
    </row>
    <row r="558" spans="1:14" x14ac:dyDescent="0.25">
      <c r="A558" t="str">
        <f>TEXT("1/"&amp;data!A558,"mmmm")</f>
        <v>février</v>
      </c>
      <c r="B558">
        <f>data!B558</f>
        <v>2016</v>
      </c>
      <c r="C558" t="str">
        <f>data!C558</f>
        <v>205</v>
      </c>
      <c r="D558" t="str">
        <f>data!D558</f>
        <v>DOMAINE DE MISELLE</v>
      </c>
      <c r="E558" t="str">
        <f>data!E558</f>
        <v>205001</v>
      </c>
      <c r="F558" t="str">
        <f>data!F558</f>
        <v>IGP COTES DE GASCOGNE SEC COLOMBARD G-MANSENG MISE</v>
      </c>
      <c r="G558" s="10">
        <f>data!G558</f>
        <v>330</v>
      </c>
      <c r="H558" s="10">
        <f>data!I558</f>
        <v>163.80000000000001</v>
      </c>
      <c r="I558" s="10">
        <f t="shared" si="32"/>
        <v>166.2</v>
      </c>
      <c r="J558" s="11">
        <f>data!H558</f>
        <v>150</v>
      </c>
      <c r="K558" s="11">
        <f>data!J558</f>
        <v>84</v>
      </c>
      <c r="L558" s="11">
        <f t="shared" si="33"/>
        <v>66</v>
      </c>
      <c r="M558" s="9">
        <f t="shared" si="34"/>
        <v>1.0146520146520146</v>
      </c>
      <c r="N558" s="9">
        <f t="shared" si="35"/>
        <v>0.7857142857142857</v>
      </c>
    </row>
    <row r="559" spans="1:14" x14ac:dyDescent="0.25">
      <c r="A559" t="str">
        <f>TEXT("1/"&amp;data!A559,"mmmm")</f>
        <v>février</v>
      </c>
      <c r="B559">
        <f>data!B559</f>
        <v>2016</v>
      </c>
      <c r="C559" t="str">
        <f>data!C559</f>
        <v>205</v>
      </c>
      <c r="D559" t="str">
        <f>data!D559</f>
        <v>DOMAINE DE MISELLE</v>
      </c>
      <c r="E559" t="str">
        <f>data!E559</f>
        <v>205002</v>
      </c>
      <c r="F559" t="str">
        <f>data!F559</f>
        <v>IGP COTES DE GASCOGNE</v>
      </c>
      <c r="G559" s="10">
        <f>data!G559</f>
        <v>28.2</v>
      </c>
      <c r="H559" s="10">
        <f>data!I559</f>
        <v>28.2</v>
      </c>
      <c r="I559" s="10">
        <f t="shared" si="32"/>
        <v>0</v>
      </c>
      <c r="J559" s="11">
        <f>data!H559</f>
        <v>12</v>
      </c>
      <c r="K559" s="11">
        <f>data!J559</f>
        <v>12</v>
      </c>
      <c r="L559" s="11">
        <f t="shared" si="33"/>
        <v>0</v>
      </c>
      <c r="M559" s="9">
        <f t="shared" si="34"/>
        <v>0</v>
      </c>
      <c r="N559" s="9">
        <f t="shared" si="35"/>
        <v>0</v>
      </c>
    </row>
    <row r="560" spans="1:14" x14ac:dyDescent="0.25">
      <c r="A560" t="str">
        <f>TEXT("1/"&amp;data!A560,"mmmm")</f>
        <v>février</v>
      </c>
      <c r="B560">
        <f>data!B560</f>
        <v>2016</v>
      </c>
      <c r="C560" t="str">
        <f>data!C560</f>
        <v>205</v>
      </c>
      <c r="D560" t="str">
        <f>data!D560</f>
        <v>DOMAINE DE MISELLE</v>
      </c>
      <c r="E560" t="str">
        <f>data!E560</f>
        <v>205003</v>
      </c>
      <c r="F560" t="str">
        <f>data!F560</f>
        <v>IGP COTES DE GASCOGNE PETIT MANSENG</v>
      </c>
      <c r="G560" s="10">
        <f>data!G560</f>
        <v>131.4</v>
      </c>
      <c r="H560" s="10">
        <f>data!I560</f>
        <v>219</v>
      </c>
      <c r="I560" s="10">
        <f t="shared" si="32"/>
        <v>-87.6</v>
      </c>
      <c r="J560" s="11">
        <f>data!H560</f>
        <v>36</v>
      </c>
      <c r="K560" s="11">
        <f>data!J560</f>
        <v>60</v>
      </c>
      <c r="L560" s="11">
        <f t="shared" si="33"/>
        <v>-24</v>
      </c>
      <c r="M560" s="9">
        <f t="shared" si="34"/>
        <v>-0.39999999999999997</v>
      </c>
      <c r="N560" s="9">
        <f t="shared" si="35"/>
        <v>-0.4</v>
      </c>
    </row>
    <row r="561" spans="1:14" x14ac:dyDescent="0.25">
      <c r="A561" t="str">
        <f>TEXT("1/"&amp;data!A561,"mmmm")</f>
        <v>février</v>
      </c>
      <c r="B561">
        <f>data!B561</f>
        <v>2016</v>
      </c>
      <c r="C561" t="str">
        <f>data!C561</f>
        <v>205</v>
      </c>
      <c r="D561" t="str">
        <f>data!D561</f>
        <v>DOMAINE DE MISELLE</v>
      </c>
      <c r="E561" t="str">
        <f>data!E561</f>
        <v>205004</v>
      </c>
      <c r="F561" t="str">
        <f>data!F561</f>
        <v>IGP COTES DE GASCOGNE MERLOT-TANNAT</v>
      </c>
      <c r="G561" s="10">
        <f>data!G561</f>
        <v>338.4</v>
      </c>
      <c r="H561" s="10">
        <f>data!I561</f>
        <v>98.7</v>
      </c>
      <c r="I561" s="10">
        <f t="shared" si="32"/>
        <v>239.7</v>
      </c>
      <c r="J561" s="11">
        <f>data!H561</f>
        <v>144</v>
      </c>
      <c r="K561" s="11">
        <f>data!J561</f>
        <v>42</v>
      </c>
      <c r="L561" s="11">
        <f t="shared" si="33"/>
        <v>102</v>
      </c>
      <c r="M561" s="9">
        <f t="shared" si="34"/>
        <v>2.4285714285714284</v>
      </c>
      <c r="N561" s="9">
        <f t="shared" si="35"/>
        <v>2.4285714285714284</v>
      </c>
    </row>
    <row r="562" spans="1:14" x14ac:dyDescent="0.25">
      <c r="A562" t="str">
        <f>TEXT("1/"&amp;data!A562,"mmmm")</f>
        <v>février</v>
      </c>
      <c r="B562">
        <f>data!B562</f>
        <v>2016</v>
      </c>
      <c r="C562" t="str">
        <f>data!C562</f>
        <v>226</v>
      </c>
      <c r="D562" t="str">
        <f>data!D562</f>
        <v>SIEUR D'ARQUES</v>
      </c>
      <c r="E562" t="str">
        <f>data!E562</f>
        <v>226001</v>
      </c>
      <c r="F562" t="str">
        <f>data!F562</f>
        <v>AOP BLANQUETTE DE LIMOUX METHODE TRAD PREMIERE BUL</v>
      </c>
      <c r="G562" s="10">
        <f>data!G562</f>
        <v>666.6</v>
      </c>
      <c r="H562" s="10">
        <f>data!I562</f>
        <v>0</v>
      </c>
      <c r="I562" s="10">
        <f t="shared" si="32"/>
        <v>666.6</v>
      </c>
      <c r="J562" s="11">
        <f>data!H562</f>
        <v>132</v>
      </c>
      <c r="K562" s="11">
        <f>data!J562</f>
        <v>0</v>
      </c>
      <c r="L562" s="11">
        <f t="shared" si="33"/>
        <v>132</v>
      </c>
      <c r="M562" s="9" t="str">
        <f t="shared" si="34"/>
        <v/>
      </c>
      <c r="N562" s="9" t="str">
        <f t="shared" si="35"/>
        <v/>
      </c>
    </row>
    <row r="563" spans="1:14" x14ac:dyDescent="0.25">
      <c r="A563" t="str">
        <f>TEXT("1/"&amp;data!A563,"mmmm")</f>
        <v>février</v>
      </c>
      <c r="B563">
        <f>data!B563</f>
        <v>2016</v>
      </c>
      <c r="C563" t="str">
        <f>data!C563</f>
        <v>229</v>
      </c>
      <c r="D563" t="str">
        <f>data!D563</f>
        <v>DOMAINE DU BOIS DU JOUR</v>
      </c>
      <c r="E563" t="str">
        <f>data!E563</f>
        <v>229005</v>
      </c>
      <c r="F563" t="str">
        <f>data!F563</f>
        <v>AOP BEAUJOLAIS DME DU BOIS DU JOUR</v>
      </c>
      <c r="G563" s="10">
        <f>data!G563</f>
        <v>52.8</v>
      </c>
      <c r="H563" s="10">
        <f>data!I563</f>
        <v>0</v>
      </c>
      <c r="I563" s="10">
        <f t="shared" si="32"/>
        <v>52.8</v>
      </c>
      <c r="J563" s="11">
        <f>data!H563</f>
        <v>12</v>
      </c>
      <c r="K563" s="11">
        <f>data!J563</f>
        <v>0</v>
      </c>
      <c r="L563" s="11">
        <f t="shared" si="33"/>
        <v>12</v>
      </c>
      <c r="M563" s="9" t="str">
        <f t="shared" si="34"/>
        <v/>
      </c>
      <c r="N563" s="9" t="str">
        <f t="shared" si="35"/>
        <v/>
      </c>
    </row>
    <row r="564" spans="1:14" x14ac:dyDescent="0.25">
      <c r="A564" t="str">
        <f>TEXT("1/"&amp;data!A564,"mmmm")</f>
        <v>février</v>
      </c>
      <c r="B564">
        <f>data!B564</f>
        <v>2016</v>
      </c>
      <c r="C564" t="str">
        <f>data!C564</f>
        <v>229</v>
      </c>
      <c r="D564" t="str">
        <f>data!D564</f>
        <v>DOMAINE DU BOIS DU JOUR</v>
      </c>
      <c r="E564" t="str">
        <f>data!E564</f>
        <v>229006</v>
      </c>
      <c r="F564" t="str">
        <f>data!F564</f>
        <v>AOP BOURGOGNE DME DU BOIS DU JOUR</v>
      </c>
      <c r="G564" s="10">
        <f>data!G564</f>
        <v>52.8</v>
      </c>
      <c r="H564" s="10">
        <f>data!I564</f>
        <v>0</v>
      </c>
      <c r="I564" s="10">
        <f t="shared" si="32"/>
        <v>52.8</v>
      </c>
      <c r="J564" s="11">
        <f>data!H564</f>
        <v>12</v>
      </c>
      <c r="K564" s="11">
        <f>data!J564</f>
        <v>0</v>
      </c>
      <c r="L564" s="11">
        <f t="shared" si="33"/>
        <v>12</v>
      </c>
      <c r="M564" s="9" t="str">
        <f t="shared" si="34"/>
        <v/>
      </c>
      <c r="N564" s="9" t="str">
        <f t="shared" si="35"/>
        <v/>
      </c>
    </row>
    <row r="565" spans="1:14" x14ac:dyDescent="0.25">
      <c r="A565" t="str">
        <f>TEXT("1/"&amp;data!A565,"mmmm")</f>
        <v>février</v>
      </c>
      <c r="B565">
        <f>data!B565</f>
        <v>2016</v>
      </c>
      <c r="C565" t="str">
        <f>data!C565</f>
        <v>229</v>
      </c>
      <c r="D565" t="str">
        <f>data!D565</f>
        <v>DOMAINE DU BOIS DU JOUR</v>
      </c>
      <c r="E565" t="str">
        <f>data!E565</f>
        <v>229007</v>
      </c>
      <c r="F565" t="str">
        <f>data!F565</f>
        <v>AOP BEAUJOLAIS VIEILLES VIGNES DME DU BOIS DU JOUR</v>
      </c>
      <c r="G565" s="10">
        <f>data!G565</f>
        <v>93.6</v>
      </c>
      <c r="H565" s="10">
        <f>data!I565</f>
        <v>0</v>
      </c>
      <c r="I565" s="10">
        <f t="shared" si="32"/>
        <v>93.6</v>
      </c>
      <c r="J565" s="11">
        <f>data!H565</f>
        <v>24</v>
      </c>
      <c r="K565" s="11">
        <f>data!J565</f>
        <v>0</v>
      </c>
      <c r="L565" s="11">
        <f t="shared" si="33"/>
        <v>24</v>
      </c>
      <c r="M565" s="9" t="str">
        <f t="shared" si="34"/>
        <v/>
      </c>
      <c r="N565" s="9" t="str">
        <f t="shared" si="35"/>
        <v/>
      </c>
    </row>
    <row r="566" spans="1:14" x14ac:dyDescent="0.25">
      <c r="A566" t="str">
        <f>TEXT("1/"&amp;data!A566,"mmmm")</f>
        <v>février</v>
      </c>
      <c r="B566">
        <f>data!B566</f>
        <v>2016</v>
      </c>
      <c r="C566" t="str">
        <f>data!C566</f>
        <v>229</v>
      </c>
      <c r="D566" t="str">
        <f>data!D566</f>
        <v>DOMAINE DU BOIS DU JOUR</v>
      </c>
      <c r="E566" t="str">
        <f>data!E566</f>
        <v>229008</v>
      </c>
      <c r="F566" t="str">
        <f>data!F566</f>
        <v>AOP COTEAUX BOURGUIGNON DME DU BOIS DU JOUR</v>
      </c>
      <c r="G566" s="10">
        <f>data!G566</f>
        <v>44.4</v>
      </c>
      <c r="H566" s="10">
        <f>data!I566</f>
        <v>0</v>
      </c>
      <c r="I566" s="10">
        <f t="shared" si="32"/>
        <v>44.4</v>
      </c>
      <c r="J566" s="11">
        <f>data!H566</f>
        <v>12</v>
      </c>
      <c r="K566" s="11">
        <f>data!J566</f>
        <v>0</v>
      </c>
      <c r="L566" s="11">
        <f t="shared" si="33"/>
        <v>12</v>
      </c>
      <c r="M566" s="9" t="str">
        <f t="shared" si="34"/>
        <v/>
      </c>
      <c r="N566" s="9" t="str">
        <f t="shared" si="35"/>
        <v/>
      </c>
    </row>
    <row r="567" spans="1:14" x14ac:dyDescent="0.25">
      <c r="A567" t="str">
        <f>TEXT("1/"&amp;data!A567,"mmmm")</f>
        <v>février</v>
      </c>
      <c r="B567">
        <f>data!B567</f>
        <v>2016</v>
      </c>
      <c r="C567" t="str">
        <f>data!C567</f>
        <v>229</v>
      </c>
      <c r="D567" t="str">
        <f>data!D567</f>
        <v>DOMAINE DU BOIS DU JOUR</v>
      </c>
      <c r="E567" t="str">
        <f>data!E567</f>
        <v>229020</v>
      </c>
      <c r="F567" t="str">
        <f>data!F567</f>
        <v>AOP CREMANT DE BOURGOGNE DME BOIS DU JOUR</v>
      </c>
      <c r="G567" s="10">
        <f>data!G567</f>
        <v>667.8</v>
      </c>
      <c r="H567" s="10">
        <f>data!I567</f>
        <v>0</v>
      </c>
      <c r="I567" s="10">
        <f t="shared" si="32"/>
        <v>667.8</v>
      </c>
      <c r="J567" s="11">
        <f>data!H567</f>
        <v>126</v>
      </c>
      <c r="K567" s="11">
        <f>data!J567</f>
        <v>0</v>
      </c>
      <c r="L567" s="11">
        <f t="shared" si="33"/>
        <v>126</v>
      </c>
      <c r="M567" s="9" t="str">
        <f t="shared" si="34"/>
        <v/>
      </c>
      <c r="N567" s="9" t="str">
        <f t="shared" si="35"/>
        <v/>
      </c>
    </row>
    <row r="568" spans="1:14" x14ac:dyDescent="0.25">
      <c r="A568" t="str">
        <f>TEXT("1/"&amp;data!A568,"mmmm")</f>
        <v>mars</v>
      </c>
      <c r="B568">
        <f>data!B568</f>
        <v>2016</v>
      </c>
      <c r="C568" t="str">
        <f>data!C568</f>
        <v>002</v>
      </c>
      <c r="D568" t="str">
        <f>data!D568</f>
        <v>CAVE DE GALLICIAN</v>
      </c>
      <c r="E568" t="str">
        <f>data!E568</f>
        <v>002001</v>
      </c>
      <c r="F568" t="str">
        <f>data!F568</f>
        <v>VDP MERLOT C.GALLICIAN</v>
      </c>
      <c r="G568" s="10">
        <f>data!G568</f>
        <v>2773.44</v>
      </c>
      <c r="H568" s="10">
        <f>data!I568</f>
        <v>2470.34</v>
      </c>
      <c r="I568" s="10">
        <f t="shared" si="32"/>
        <v>303.09999999999991</v>
      </c>
      <c r="J568" s="11">
        <f>data!H568</f>
        <v>2394.5300000000002</v>
      </c>
      <c r="K568" s="11">
        <f>data!J568</f>
        <v>2254.46</v>
      </c>
      <c r="L568" s="11">
        <f t="shared" si="33"/>
        <v>140.07000000000016</v>
      </c>
      <c r="M568" s="9">
        <f t="shared" si="34"/>
        <v>0.12269566132597128</v>
      </c>
      <c r="N568" s="9">
        <f t="shared" si="35"/>
        <v>6.2130177514792974E-2</v>
      </c>
    </row>
    <row r="569" spans="1:14" x14ac:dyDescent="0.25">
      <c r="A569" t="str">
        <f>TEXT("1/"&amp;data!A569,"mmmm")</f>
        <v>mars</v>
      </c>
      <c r="B569">
        <f>data!B569</f>
        <v>2016</v>
      </c>
      <c r="C569" t="str">
        <f>data!C569</f>
        <v>002</v>
      </c>
      <c r="D569" t="str">
        <f>data!D569</f>
        <v>CAVE DE GALLICIAN</v>
      </c>
      <c r="E569" t="str">
        <f>data!E569</f>
        <v>002002</v>
      </c>
      <c r="F569" t="str">
        <f>data!F569</f>
        <v>VDP MERLOT. C GALLICIAN</v>
      </c>
      <c r="G569" s="10">
        <f>data!G569</f>
        <v>9962.41</v>
      </c>
      <c r="H569" s="10">
        <f>data!I569</f>
        <v>9022.25</v>
      </c>
      <c r="I569" s="10">
        <f t="shared" si="32"/>
        <v>940.15999999999985</v>
      </c>
      <c r="J569" s="11">
        <f>data!H569</f>
        <v>9690.91</v>
      </c>
      <c r="K569" s="11">
        <f>data!J569</f>
        <v>9157.7100000000009</v>
      </c>
      <c r="L569" s="11">
        <f t="shared" si="33"/>
        <v>533.19999999999891</v>
      </c>
      <c r="M569" s="9">
        <f t="shared" si="34"/>
        <v>0.10420460528138767</v>
      </c>
      <c r="N569" s="9">
        <f t="shared" si="35"/>
        <v>5.8224163027656352E-2</v>
      </c>
    </row>
    <row r="570" spans="1:14" x14ac:dyDescent="0.25">
      <c r="A570" t="str">
        <f>TEXT("1/"&amp;data!A570,"mmmm")</f>
        <v>mars</v>
      </c>
      <c r="B570">
        <f>data!B570</f>
        <v>2016</v>
      </c>
      <c r="C570" t="str">
        <f>data!C570</f>
        <v>002</v>
      </c>
      <c r="D570" t="str">
        <f>data!D570</f>
        <v>CAVE DE GALLICIAN</v>
      </c>
      <c r="E570" t="str">
        <f>data!E570</f>
        <v>002003</v>
      </c>
      <c r="F570" t="str">
        <f>data!F570</f>
        <v>VDP GARD. C GALLICIAN</v>
      </c>
      <c r="G570" s="10">
        <f>data!G570</f>
        <v>9634.07</v>
      </c>
      <c r="H570" s="10">
        <f>data!I570</f>
        <v>4924.8</v>
      </c>
      <c r="I570" s="10">
        <f t="shared" si="32"/>
        <v>4709.2699999999995</v>
      </c>
      <c r="J570" s="11">
        <f>data!H570</f>
        <v>10384.07</v>
      </c>
      <c r="K570" s="11">
        <f>data!J570</f>
        <v>5611.93</v>
      </c>
      <c r="L570" s="11">
        <f t="shared" si="33"/>
        <v>4772.1399999999994</v>
      </c>
      <c r="M570" s="9">
        <f t="shared" si="34"/>
        <v>0.95623578622482119</v>
      </c>
      <c r="N570" s="9">
        <f t="shared" si="35"/>
        <v>0.85035629453681694</v>
      </c>
    </row>
    <row r="571" spans="1:14" x14ac:dyDescent="0.25">
      <c r="A571" t="str">
        <f>TEXT("1/"&amp;data!A571,"mmmm")</f>
        <v>mars</v>
      </c>
      <c r="B571">
        <f>data!B571</f>
        <v>2016</v>
      </c>
      <c r="C571" t="str">
        <f>data!C571</f>
        <v>002</v>
      </c>
      <c r="D571" t="str">
        <f>data!D571</f>
        <v>CAVE DE GALLICIAN</v>
      </c>
      <c r="E571" t="str">
        <f>data!E571</f>
        <v>002004</v>
      </c>
      <c r="F571" t="str">
        <f>data!F571</f>
        <v>VDP GARD. C GALLICIAN</v>
      </c>
      <c r="G571" s="10">
        <f>data!G571</f>
        <v>1760.09</v>
      </c>
      <c r="H571" s="10">
        <f>data!I571</f>
        <v>1376.63</v>
      </c>
      <c r="I571" s="10">
        <f t="shared" si="32"/>
        <v>383.45999999999981</v>
      </c>
      <c r="J571" s="11">
        <f>data!H571</f>
        <v>1594.1299999999999</v>
      </c>
      <c r="K571" s="11">
        <f>data!J571</f>
        <v>1340.67</v>
      </c>
      <c r="L571" s="11">
        <f t="shared" si="33"/>
        <v>253.45999999999981</v>
      </c>
      <c r="M571" s="9">
        <f t="shared" si="34"/>
        <v>0.2785497918830766</v>
      </c>
      <c r="N571" s="9">
        <f t="shared" si="35"/>
        <v>0.18905472636815907</v>
      </c>
    </row>
    <row r="572" spans="1:14" x14ac:dyDescent="0.25">
      <c r="A572" t="str">
        <f>TEXT("1/"&amp;data!A572,"mmmm")</f>
        <v>mars</v>
      </c>
      <c r="B572">
        <f>data!B572</f>
        <v>2016</v>
      </c>
      <c r="C572" t="str">
        <f>data!C572</f>
        <v>002</v>
      </c>
      <c r="D572" t="str">
        <f>data!D572</f>
        <v>CAVE DE GALLICIAN</v>
      </c>
      <c r="E572" t="str">
        <f>data!E572</f>
        <v>002007</v>
      </c>
      <c r="F572" t="str">
        <f>data!F572</f>
        <v>VDT C GALLICIAN</v>
      </c>
      <c r="G572" s="10">
        <f>data!G572</f>
        <v>3696.14</v>
      </c>
      <c r="H572" s="10">
        <f>data!I572</f>
        <v>3448.26</v>
      </c>
      <c r="I572" s="10">
        <f t="shared" si="32"/>
        <v>247.87999999999965</v>
      </c>
      <c r="J572" s="11">
        <f>data!H572</f>
        <v>4158.96</v>
      </c>
      <c r="K572" s="11">
        <f>data!J572</f>
        <v>3999</v>
      </c>
      <c r="L572" s="11">
        <f t="shared" si="33"/>
        <v>159.96000000000004</v>
      </c>
      <c r="M572" s="9">
        <f t="shared" si="34"/>
        <v>7.1885530673440987E-2</v>
      </c>
      <c r="N572" s="9">
        <f t="shared" si="35"/>
        <v>4.0000000000000008E-2</v>
      </c>
    </row>
    <row r="573" spans="1:14" x14ac:dyDescent="0.25">
      <c r="A573" t="str">
        <f>TEXT("1/"&amp;data!A573,"mmmm")</f>
        <v>mars</v>
      </c>
      <c r="B573">
        <f>data!B573</f>
        <v>2016</v>
      </c>
      <c r="C573" t="str">
        <f>data!C573</f>
        <v>002</v>
      </c>
      <c r="D573" t="str">
        <f>data!D573</f>
        <v>CAVE DE GALLICIAN</v>
      </c>
      <c r="E573" t="str">
        <f>data!E573</f>
        <v>002008</v>
      </c>
      <c r="F573" t="str">
        <f>data!F573</f>
        <v>VDT. C GALLICIAN</v>
      </c>
      <c r="G573" s="10">
        <f>data!G573</f>
        <v>4676.3999999999996</v>
      </c>
      <c r="H573" s="10">
        <f>data!I573</f>
        <v>1692.1</v>
      </c>
      <c r="I573" s="10">
        <f t="shared" si="32"/>
        <v>2984.2999999999997</v>
      </c>
      <c r="J573" s="11">
        <f>data!H573</f>
        <v>5547.3600000000006</v>
      </c>
      <c r="K573" s="11">
        <f>data!J573</f>
        <v>2080.2600000000002</v>
      </c>
      <c r="L573" s="11">
        <f t="shared" si="33"/>
        <v>3467.1000000000004</v>
      </c>
      <c r="M573" s="9">
        <f t="shared" si="34"/>
        <v>1.7636664499734058</v>
      </c>
      <c r="N573" s="9">
        <f t="shared" si="35"/>
        <v>1.6666666666666667</v>
      </c>
    </row>
    <row r="574" spans="1:14" x14ac:dyDescent="0.25">
      <c r="A574" t="str">
        <f>TEXT("1/"&amp;data!A574,"mmmm")</f>
        <v>mars</v>
      </c>
      <c r="B574">
        <f>data!B574</f>
        <v>2016</v>
      </c>
      <c r="C574" t="str">
        <f>data!C574</f>
        <v>002</v>
      </c>
      <c r="D574" t="str">
        <f>data!D574</f>
        <v>CAVE DE GALLICIAN</v>
      </c>
      <c r="E574" t="str">
        <f>data!E574</f>
        <v>002009</v>
      </c>
      <c r="F574" t="str">
        <f>data!F574</f>
        <v>VDT. C GALLICIAN</v>
      </c>
      <c r="G574" s="10">
        <f>data!G574</f>
        <v>1128.18</v>
      </c>
      <c r="H574" s="10">
        <f>data!I574</f>
        <v>97.5</v>
      </c>
      <c r="I574" s="10">
        <f t="shared" si="32"/>
        <v>1030.68</v>
      </c>
      <c r="J574" s="11">
        <f>data!H574</f>
        <v>1386.8400000000001</v>
      </c>
      <c r="K574" s="11">
        <f>data!J574</f>
        <v>133.35000000000002</v>
      </c>
      <c r="L574" s="11">
        <f t="shared" si="33"/>
        <v>1253.4900000000002</v>
      </c>
      <c r="M574" s="9">
        <f t="shared" si="34"/>
        <v>10.571076923076923</v>
      </c>
      <c r="N574" s="9">
        <f t="shared" si="35"/>
        <v>9.4</v>
      </c>
    </row>
    <row r="575" spans="1:14" x14ac:dyDescent="0.25">
      <c r="A575" t="str">
        <f>TEXT("1/"&amp;data!A575,"mmmm")</f>
        <v>mars</v>
      </c>
      <c r="B575">
        <f>data!B575</f>
        <v>2016</v>
      </c>
      <c r="C575" t="str">
        <f>data!C575</f>
        <v>002</v>
      </c>
      <c r="D575" t="str">
        <f>data!D575</f>
        <v>CAVE DE GALLICIAN</v>
      </c>
      <c r="E575" t="str">
        <f>data!E575</f>
        <v>002010</v>
      </c>
      <c r="F575" t="str">
        <f>data!F575</f>
        <v>AC C. DE NIMES. C GALLICIAN</v>
      </c>
      <c r="G575" s="10">
        <f>data!G575</f>
        <v>1963.94</v>
      </c>
      <c r="H575" s="10">
        <f>data!I575</f>
        <v>2034.44</v>
      </c>
      <c r="I575" s="10">
        <f t="shared" si="32"/>
        <v>-70.5</v>
      </c>
      <c r="J575" s="11">
        <f>data!H575</f>
        <v>1420.71</v>
      </c>
      <c r="K575" s="11">
        <f>data!J575</f>
        <v>1554.11</v>
      </c>
      <c r="L575" s="11">
        <f t="shared" si="33"/>
        <v>-133.39999999999986</v>
      </c>
      <c r="M575" s="9">
        <f t="shared" si="34"/>
        <v>-3.4653270678909186E-2</v>
      </c>
      <c r="N575" s="9">
        <f t="shared" si="35"/>
        <v>-8.5836909871244552E-2</v>
      </c>
    </row>
    <row r="576" spans="1:14" x14ac:dyDescent="0.25">
      <c r="A576" t="str">
        <f>TEXT("1/"&amp;data!A576,"mmmm")</f>
        <v>mars</v>
      </c>
      <c r="B576">
        <f>data!B576</f>
        <v>2016</v>
      </c>
      <c r="C576" t="str">
        <f>data!C576</f>
        <v>002</v>
      </c>
      <c r="D576" t="str">
        <f>data!D576</f>
        <v>CAVE DE GALLICIAN</v>
      </c>
      <c r="E576" t="str">
        <f>data!E576</f>
        <v>002011</v>
      </c>
      <c r="F576" t="str">
        <f>data!F576</f>
        <v>AC C DE NIMES C. GALLICIAN</v>
      </c>
      <c r="G576" s="10">
        <f>data!G576</f>
        <v>2158.2800000000002</v>
      </c>
      <c r="H576" s="10">
        <f>data!I576</f>
        <v>3374.28</v>
      </c>
      <c r="I576" s="10">
        <f t="shared" si="32"/>
        <v>-1216</v>
      </c>
      <c r="J576" s="11">
        <f>data!H576</f>
        <v>1732.9</v>
      </c>
      <c r="K576" s="11">
        <f>data!J576</f>
        <v>2799.3</v>
      </c>
      <c r="L576" s="11">
        <f t="shared" si="33"/>
        <v>-1066.4000000000001</v>
      </c>
      <c r="M576" s="9">
        <f t="shared" si="34"/>
        <v>-0.36037317590715645</v>
      </c>
      <c r="N576" s="9">
        <f t="shared" si="35"/>
        <v>-0.38095238095238099</v>
      </c>
    </row>
    <row r="577" spans="1:14" x14ac:dyDescent="0.25">
      <c r="A577" t="str">
        <f>TEXT("1/"&amp;data!A577,"mmmm")</f>
        <v>mars</v>
      </c>
      <c r="B577">
        <f>data!B577</f>
        <v>2016</v>
      </c>
      <c r="C577" t="str">
        <f>data!C577</f>
        <v>002</v>
      </c>
      <c r="D577" t="str">
        <f>data!D577</f>
        <v>CAVE DE GALLICIAN</v>
      </c>
      <c r="E577" t="str">
        <f>data!E577</f>
        <v>002015</v>
      </c>
      <c r="F577" t="str">
        <f>data!F577</f>
        <v>AC C DE NIMES C. GALLICIAN</v>
      </c>
      <c r="G577" s="10">
        <f>data!G577</f>
        <v>2607.39</v>
      </c>
      <c r="H577" s="10">
        <f>data!I577</f>
        <v>4350.84</v>
      </c>
      <c r="I577" s="10">
        <f t="shared" si="32"/>
        <v>-1743.4500000000003</v>
      </c>
      <c r="J577" s="11">
        <f>data!H577</f>
        <v>2092.81</v>
      </c>
      <c r="K577" s="11">
        <f>data!J577</f>
        <v>3599.1</v>
      </c>
      <c r="L577" s="11">
        <f t="shared" si="33"/>
        <v>-1506.29</v>
      </c>
      <c r="M577" s="9">
        <f t="shared" si="34"/>
        <v>-0.40071572386022014</v>
      </c>
      <c r="N577" s="9">
        <f t="shared" si="35"/>
        <v>-0.41851851851851851</v>
      </c>
    </row>
    <row r="578" spans="1:14" x14ac:dyDescent="0.25">
      <c r="A578" t="str">
        <f>TEXT("1/"&amp;data!A578,"mmmm")</f>
        <v>mars</v>
      </c>
      <c r="B578">
        <f>data!B578</f>
        <v>2016</v>
      </c>
      <c r="C578" t="str">
        <f>data!C578</f>
        <v>002</v>
      </c>
      <c r="D578" t="str">
        <f>data!D578</f>
        <v>CAVE DE GALLICIAN</v>
      </c>
      <c r="E578" t="str">
        <f>data!E578</f>
        <v>002016</v>
      </c>
      <c r="F578" t="str">
        <f>data!F578</f>
        <v>AC C DE NIMES C. GALLICIAN</v>
      </c>
      <c r="G578" s="10">
        <f>data!G578</f>
        <v>1576.37</v>
      </c>
      <c r="H578" s="10">
        <f>data!I578</f>
        <v>1921.84</v>
      </c>
      <c r="I578" s="10">
        <f t="shared" si="32"/>
        <v>-345.47</v>
      </c>
      <c r="J578" s="11">
        <f>data!H578</f>
        <v>1147.24</v>
      </c>
      <c r="K578" s="11">
        <f>data!J578</f>
        <v>1447.3899999999999</v>
      </c>
      <c r="L578" s="11">
        <f t="shared" si="33"/>
        <v>-300.14999999999986</v>
      </c>
      <c r="M578" s="9">
        <f t="shared" si="34"/>
        <v>-0.17976002164592267</v>
      </c>
      <c r="N578" s="9">
        <f t="shared" si="35"/>
        <v>-0.20737327188940086</v>
      </c>
    </row>
    <row r="579" spans="1:14" x14ac:dyDescent="0.25">
      <c r="A579" t="str">
        <f>TEXT("1/"&amp;data!A579,"mmmm")</f>
        <v>mars</v>
      </c>
      <c r="B579">
        <f>data!B579</f>
        <v>2016</v>
      </c>
      <c r="C579" t="str">
        <f>data!C579</f>
        <v>002</v>
      </c>
      <c r="D579" t="str">
        <f>data!D579</f>
        <v>CAVE DE GALLICIAN</v>
      </c>
      <c r="E579" t="str">
        <f>data!E579</f>
        <v>002017</v>
      </c>
      <c r="F579" t="str">
        <f>data!F579</f>
        <v>VDP GARD C. GALLICIAN</v>
      </c>
      <c r="G579" s="10">
        <f>data!G579</f>
        <v>5686.44</v>
      </c>
      <c r="H579" s="10">
        <f>data!I579</f>
        <v>5352.1</v>
      </c>
      <c r="I579" s="10">
        <f t="shared" ref="I579:I642" si="36">G579-H579</f>
        <v>334.33999999999924</v>
      </c>
      <c r="J579" s="11">
        <f>data!H579</f>
        <v>6131.8</v>
      </c>
      <c r="K579" s="11">
        <f>data!J579</f>
        <v>6078.4800000000005</v>
      </c>
      <c r="L579" s="11">
        <f t="shared" ref="L579:L642" si="37">J579-K579</f>
        <v>53.319999999999709</v>
      </c>
      <c r="M579" s="9">
        <f t="shared" ref="M579:M642" si="38">IF(ISERR(I579/H579),"",I579/H579)</f>
        <v>6.2468937426430601E-2</v>
      </c>
      <c r="N579" s="9">
        <f t="shared" ref="N579:N642" si="39">IF(ISERR(L579/K579),"",L579/K579)</f>
        <v>8.7719298245613544E-3</v>
      </c>
    </row>
    <row r="580" spans="1:14" x14ac:dyDescent="0.25">
      <c r="A580" t="str">
        <f>TEXT("1/"&amp;data!A580,"mmmm")</f>
        <v>mars</v>
      </c>
      <c r="B580">
        <f>data!B580</f>
        <v>2016</v>
      </c>
      <c r="C580" t="str">
        <f>data!C580</f>
        <v>002</v>
      </c>
      <c r="D580" t="str">
        <f>data!D580</f>
        <v>CAVE DE GALLICIAN</v>
      </c>
      <c r="E580" t="str">
        <f>data!E580</f>
        <v>002018</v>
      </c>
      <c r="F580" t="str">
        <f>data!F580</f>
        <v>VDP GARD C. GALLICIAN</v>
      </c>
      <c r="G580" s="10">
        <f>data!G580</f>
        <v>2646.03</v>
      </c>
      <c r="H580" s="10">
        <f>data!I580</f>
        <v>1587.55</v>
      </c>
      <c r="I580" s="10">
        <f t="shared" si="36"/>
        <v>1058.4800000000002</v>
      </c>
      <c r="J580" s="11">
        <f>data!H580</f>
        <v>2387.86</v>
      </c>
      <c r="K580" s="11">
        <f>data!J580</f>
        <v>1500.75</v>
      </c>
      <c r="L580" s="11">
        <f t="shared" si="37"/>
        <v>887.11000000000013</v>
      </c>
      <c r="M580" s="9">
        <f t="shared" si="38"/>
        <v>0.66673805549431531</v>
      </c>
      <c r="N580" s="9">
        <f t="shared" si="39"/>
        <v>0.59111111111111114</v>
      </c>
    </row>
    <row r="581" spans="1:14" x14ac:dyDescent="0.25">
      <c r="A581" t="str">
        <f>TEXT("1/"&amp;data!A581,"mmmm")</f>
        <v>mars</v>
      </c>
      <c r="B581">
        <f>data!B581</f>
        <v>2016</v>
      </c>
      <c r="C581" t="str">
        <f>data!C581</f>
        <v>002</v>
      </c>
      <c r="D581" t="str">
        <f>data!D581</f>
        <v>CAVE DE GALLICIAN</v>
      </c>
      <c r="E581" t="str">
        <f>data!E581</f>
        <v>002020</v>
      </c>
      <c r="F581" t="str">
        <f>data!F581</f>
        <v>AC C DE NIMES C DES LAUNES</v>
      </c>
      <c r="G581" s="10">
        <f>data!G581</f>
        <v>2364</v>
      </c>
      <c r="H581" s="10">
        <f>data!I581</f>
        <v>3552.6</v>
      </c>
      <c r="I581" s="10">
        <f t="shared" si="36"/>
        <v>-1188.5999999999999</v>
      </c>
      <c r="J581" s="11">
        <f>data!H581</f>
        <v>978</v>
      </c>
      <c r="K581" s="11">
        <f>data!J581</f>
        <v>1548</v>
      </c>
      <c r="L581" s="11">
        <f t="shared" si="37"/>
        <v>-570</v>
      </c>
      <c r="M581" s="9">
        <f t="shared" si="38"/>
        <v>-0.33457186286100321</v>
      </c>
      <c r="N581" s="9">
        <f t="shared" si="39"/>
        <v>-0.36821705426356588</v>
      </c>
    </row>
    <row r="582" spans="1:14" x14ac:dyDescent="0.25">
      <c r="A582" t="str">
        <f>TEXT("1/"&amp;data!A582,"mmmm")</f>
        <v>mars</v>
      </c>
      <c r="B582">
        <f>data!B582</f>
        <v>2016</v>
      </c>
      <c r="C582" t="str">
        <f>data!C582</f>
        <v>002</v>
      </c>
      <c r="D582" t="str">
        <f>data!D582</f>
        <v>CAVE DE GALLICIAN</v>
      </c>
      <c r="E582" t="str">
        <f>data!E582</f>
        <v>002021</v>
      </c>
      <c r="F582" t="str">
        <f>data!F582</f>
        <v>AC COSTIERES DE NIMES CUVEE PRESTIGE</v>
      </c>
      <c r="G582" s="10">
        <f>data!G582</f>
        <v>111.6</v>
      </c>
      <c r="H582" s="10">
        <f>data!I582</f>
        <v>0</v>
      </c>
      <c r="I582" s="10">
        <f t="shared" si="36"/>
        <v>111.6</v>
      </c>
      <c r="J582" s="11">
        <f>data!H582</f>
        <v>54</v>
      </c>
      <c r="K582" s="11">
        <f>data!J582</f>
        <v>0</v>
      </c>
      <c r="L582" s="11">
        <f t="shared" si="37"/>
        <v>54</v>
      </c>
      <c r="M582" s="9" t="str">
        <f t="shared" si="38"/>
        <v/>
      </c>
      <c r="N582" s="9" t="str">
        <f t="shared" si="39"/>
        <v/>
      </c>
    </row>
    <row r="583" spans="1:14" x14ac:dyDescent="0.25">
      <c r="A583" t="str">
        <f>TEXT("1/"&amp;data!A583,"mmmm")</f>
        <v>mars</v>
      </c>
      <c r="B583">
        <f>data!B583</f>
        <v>2016</v>
      </c>
      <c r="C583" t="str">
        <f>data!C583</f>
        <v>002</v>
      </c>
      <c r="D583" t="str">
        <f>data!D583</f>
        <v>CAVE DE GALLICIAN</v>
      </c>
      <c r="E583" t="str">
        <f>data!E583</f>
        <v>002024</v>
      </c>
      <c r="F583" t="str">
        <f>data!F583</f>
        <v>IGP MERLOT D'OC Cave Gallician</v>
      </c>
      <c r="G583" s="10">
        <f>data!G583</f>
        <v>48</v>
      </c>
      <c r="H583" s="10">
        <f>data!I583</f>
        <v>0</v>
      </c>
      <c r="I583" s="10">
        <f t="shared" si="36"/>
        <v>48</v>
      </c>
      <c r="J583" s="11">
        <f>data!H583</f>
        <v>30</v>
      </c>
      <c r="K583" s="11">
        <f>data!J583</f>
        <v>0</v>
      </c>
      <c r="L583" s="11">
        <f t="shared" si="37"/>
        <v>30</v>
      </c>
      <c r="M583" s="9" t="str">
        <f t="shared" si="38"/>
        <v/>
      </c>
      <c r="N583" s="9" t="str">
        <f t="shared" si="39"/>
        <v/>
      </c>
    </row>
    <row r="584" spans="1:14" x14ac:dyDescent="0.25">
      <c r="A584" t="str">
        <f>TEXT("1/"&amp;data!A584,"mmmm")</f>
        <v>mars</v>
      </c>
      <c r="B584">
        <f>data!B584</f>
        <v>2016</v>
      </c>
      <c r="C584" t="str">
        <f>data!C584</f>
        <v>002</v>
      </c>
      <c r="D584" t="str">
        <f>data!D584</f>
        <v>CAVE DE GALLICIAN</v>
      </c>
      <c r="E584" t="str">
        <f>data!E584</f>
        <v>002025</v>
      </c>
      <c r="F584" t="str">
        <f>data!F584</f>
        <v>AC COSTIERES DE NIMES CUVEE PRESTIGE</v>
      </c>
      <c r="G584" s="10">
        <f>data!G584</f>
        <v>315.36</v>
      </c>
      <c r="H584" s="10">
        <f>data!I584</f>
        <v>315.36</v>
      </c>
      <c r="I584" s="10">
        <f t="shared" si="36"/>
        <v>0</v>
      </c>
      <c r="J584" s="11">
        <f>data!H584</f>
        <v>144</v>
      </c>
      <c r="K584" s="11">
        <f>data!J584</f>
        <v>144</v>
      </c>
      <c r="L584" s="11">
        <f t="shared" si="37"/>
        <v>0</v>
      </c>
      <c r="M584" s="9">
        <f t="shared" si="38"/>
        <v>0</v>
      </c>
      <c r="N584" s="9">
        <f t="shared" si="39"/>
        <v>0</v>
      </c>
    </row>
    <row r="585" spans="1:14" x14ac:dyDescent="0.25">
      <c r="A585" t="str">
        <f>TEXT("1/"&amp;data!A585,"mmmm")</f>
        <v>mars</v>
      </c>
      <c r="B585">
        <f>data!B585</f>
        <v>2016</v>
      </c>
      <c r="C585" t="str">
        <f>data!C585</f>
        <v>002</v>
      </c>
      <c r="D585" t="str">
        <f>data!D585</f>
        <v>CAVE DE GALLICIAN</v>
      </c>
      <c r="E585" t="str">
        <f>data!E585</f>
        <v>002026</v>
      </c>
      <c r="F585" t="str">
        <f>data!F585</f>
        <v>IGP GARD GRES D'OR</v>
      </c>
      <c r="G585" s="10">
        <f>data!G585</f>
        <v>247.2</v>
      </c>
      <c r="H585" s="10">
        <f>data!I585</f>
        <v>191.7</v>
      </c>
      <c r="I585" s="10">
        <f t="shared" si="36"/>
        <v>55.5</v>
      </c>
      <c r="J585" s="11">
        <f>data!H585</f>
        <v>120</v>
      </c>
      <c r="K585" s="11">
        <f>data!J585</f>
        <v>96</v>
      </c>
      <c r="L585" s="11">
        <f t="shared" si="37"/>
        <v>24</v>
      </c>
      <c r="M585" s="9">
        <f t="shared" si="38"/>
        <v>0.28951486697965573</v>
      </c>
      <c r="N585" s="9">
        <f t="shared" si="39"/>
        <v>0.25</v>
      </c>
    </row>
    <row r="586" spans="1:14" x14ac:dyDescent="0.25">
      <c r="A586" t="str">
        <f>TEXT("1/"&amp;data!A586,"mmmm")</f>
        <v>mars</v>
      </c>
      <c r="B586">
        <f>data!B586</f>
        <v>2016</v>
      </c>
      <c r="C586" t="str">
        <f>data!C586</f>
        <v>002</v>
      </c>
      <c r="D586" t="str">
        <f>data!D586</f>
        <v>CAVE DE GALLICIAN</v>
      </c>
      <c r="E586" t="str">
        <f>data!E586</f>
        <v>002027</v>
      </c>
      <c r="F586" t="str">
        <f>data!F586</f>
        <v>IGP D'OC  GRIS DES LAUNES  GALLICIAN</v>
      </c>
      <c r="G586" s="10">
        <f>data!G586</f>
        <v>192</v>
      </c>
      <c r="H586" s="10">
        <f>data!I586</f>
        <v>978.01</v>
      </c>
      <c r="I586" s="10">
        <f t="shared" si="36"/>
        <v>-786.01</v>
      </c>
      <c r="J586" s="11">
        <f>data!H586</f>
        <v>102</v>
      </c>
      <c r="K586" s="11">
        <f>data!J586</f>
        <v>582</v>
      </c>
      <c r="L586" s="11">
        <f t="shared" si="37"/>
        <v>-480</v>
      </c>
      <c r="M586" s="9">
        <f t="shared" si="38"/>
        <v>-0.80368298892649359</v>
      </c>
      <c r="N586" s="9">
        <f t="shared" si="39"/>
        <v>-0.82474226804123707</v>
      </c>
    </row>
    <row r="587" spans="1:14" x14ac:dyDescent="0.25">
      <c r="A587" t="str">
        <f>TEXT("1/"&amp;data!A587,"mmmm")</f>
        <v>mars</v>
      </c>
      <c r="B587">
        <f>data!B587</f>
        <v>2016</v>
      </c>
      <c r="C587" t="str">
        <f>data!C587</f>
        <v>002</v>
      </c>
      <c r="D587" t="str">
        <f>data!D587</f>
        <v>CAVE DE GALLICIAN</v>
      </c>
      <c r="E587" t="str">
        <f>data!E587</f>
        <v>002033</v>
      </c>
      <c r="F587" t="str">
        <f>data!F587</f>
        <v>AOP COSTIERES DE NIMES</v>
      </c>
      <c r="G587" s="10">
        <f>data!G587</f>
        <v>6.6</v>
      </c>
      <c r="H587" s="10">
        <f>data!I587</f>
        <v>74.760000000000005</v>
      </c>
      <c r="I587" s="10">
        <f t="shared" si="36"/>
        <v>-68.160000000000011</v>
      </c>
      <c r="J587" s="11">
        <f>data!H587</f>
        <v>4</v>
      </c>
      <c r="K587" s="11">
        <f>data!J587</f>
        <v>96</v>
      </c>
      <c r="L587" s="11">
        <f t="shared" si="37"/>
        <v>-92</v>
      </c>
      <c r="M587" s="9">
        <f t="shared" si="38"/>
        <v>-0.91171749598715901</v>
      </c>
      <c r="N587" s="9">
        <f t="shared" si="39"/>
        <v>-0.95833333333333337</v>
      </c>
    </row>
    <row r="588" spans="1:14" x14ac:dyDescent="0.25">
      <c r="A588" t="str">
        <f>TEXT("1/"&amp;data!A588,"mmmm")</f>
        <v>mars</v>
      </c>
      <c r="B588">
        <f>data!B588</f>
        <v>2016</v>
      </c>
      <c r="C588" t="str">
        <f>data!C588</f>
        <v>002</v>
      </c>
      <c r="D588" t="str">
        <f>data!D588</f>
        <v>CAVE DE GALLICIAN</v>
      </c>
      <c r="E588" t="str">
        <f>data!E588</f>
        <v>002034</v>
      </c>
      <c r="F588" t="str">
        <f>data!F588</f>
        <v>AOP COSTIERES DE NIMES</v>
      </c>
      <c r="G588" s="10">
        <f>data!G588</f>
        <v>6.6</v>
      </c>
      <c r="H588" s="10">
        <f>data!I588</f>
        <v>37.380000000000003</v>
      </c>
      <c r="I588" s="10">
        <f t="shared" si="36"/>
        <v>-30.78</v>
      </c>
      <c r="J588" s="11">
        <f>data!H588</f>
        <v>4</v>
      </c>
      <c r="K588" s="11">
        <f>data!J588</f>
        <v>24</v>
      </c>
      <c r="L588" s="11">
        <f t="shared" si="37"/>
        <v>-20</v>
      </c>
      <c r="M588" s="9">
        <f t="shared" si="38"/>
        <v>-0.8234349919743178</v>
      </c>
      <c r="N588" s="9">
        <f t="shared" si="39"/>
        <v>-0.83333333333333337</v>
      </c>
    </row>
    <row r="589" spans="1:14" x14ac:dyDescent="0.25">
      <c r="A589" t="str">
        <f>TEXT("1/"&amp;data!A589,"mmmm")</f>
        <v>mars</v>
      </c>
      <c r="B589">
        <f>data!B589</f>
        <v>2016</v>
      </c>
      <c r="C589" t="str">
        <f>data!C589</f>
        <v>002</v>
      </c>
      <c r="D589" t="str">
        <f>data!D589</f>
        <v>CAVE DE GALLICIAN</v>
      </c>
      <c r="E589" t="str">
        <f>data!E589</f>
        <v>002035</v>
      </c>
      <c r="F589" t="str">
        <f>data!F589</f>
        <v>AOP COSTIERES DE NIMES</v>
      </c>
      <c r="G589" s="10">
        <f>data!G589</f>
        <v>19.059999999999999</v>
      </c>
      <c r="H589" s="10">
        <f>data!I589</f>
        <v>37.380000000000003</v>
      </c>
      <c r="I589" s="10">
        <f t="shared" si="36"/>
        <v>-18.320000000000004</v>
      </c>
      <c r="J589" s="11">
        <f>data!H589</f>
        <v>12</v>
      </c>
      <c r="K589" s="11">
        <f>data!J589</f>
        <v>24</v>
      </c>
      <c r="L589" s="11">
        <f t="shared" si="37"/>
        <v>-12</v>
      </c>
      <c r="M589" s="9">
        <f t="shared" si="38"/>
        <v>-0.49010165864098454</v>
      </c>
      <c r="N589" s="9">
        <f t="shared" si="39"/>
        <v>-0.5</v>
      </c>
    </row>
    <row r="590" spans="1:14" x14ac:dyDescent="0.25">
      <c r="A590" t="str">
        <f>TEXT("1/"&amp;data!A590,"mmmm")</f>
        <v>mars</v>
      </c>
      <c r="B590">
        <f>data!B590</f>
        <v>2016</v>
      </c>
      <c r="C590" t="str">
        <f>data!C590</f>
        <v>002</v>
      </c>
      <c r="D590" t="str">
        <f>data!D590</f>
        <v>CAVE DE GALLICIAN</v>
      </c>
      <c r="E590" t="str">
        <f>data!E590</f>
        <v>002037</v>
      </c>
      <c r="F590" t="str">
        <f>data!F590</f>
        <v>AOP COSTIERES DE NIMES COMBES DE MEZIERES</v>
      </c>
      <c r="G590" s="10">
        <f>data!G590</f>
        <v>214.56</v>
      </c>
      <c r="H590" s="10">
        <f>data!I590</f>
        <v>235.2</v>
      </c>
      <c r="I590" s="10">
        <f t="shared" si="36"/>
        <v>-20.639999999999986</v>
      </c>
      <c r="J590" s="11">
        <f>data!H590</f>
        <v>72</v>
      </c>
      <c r="K590" s="11">
        <f>data!J590</f>
        <v>84</v>
      </c>
      <c r="L590" s="11">
        <f t="shared" si="37"/>
        <v>-12</v>
      </c>
      <c r="M590" s="9">
        <f t="shared" si="38"/>
        <v>-8.7755102040816269E-2</v>
      </c>
      <c r="N590" s="9">
        <f t="shared" si="39"/>
        <v>-0.14285714285714285</v>
      </c>
    </row>
    <row r="591" spans="1:14" x14ac:dyDescent="0.25">
      <c r="A591" t="str">
        <f>TEXT("1/"&amp;data!A591,"mmmm")</f>
        <v>mars</v>
      </c>
      <c r="B591">
        <f>data!B591</f>
        <v>2016</v>
      </c>
      <c r="C591" t="str">
        <f>data!C591</f>
        <v>002</v>
      </c>
      <c r="D591" t="str">
        <f>data!D591</f>
        <v>CAVE DE GALLICIAN</v>
      </c>
      <c r="E591" t="str">
        <f>data!E591</f>
        <v>002040</v>
      </c>
      <c r="F591" t="str">
        <f>data!F591</f>
        <v>AOP COSTIERES DE NIMES PRESTIGE</v>
      </c>
      <c r="G591" s="10">
        <f>data!G591</f>
        <v>394.2</v>
      </c>
      <c r="H591" s="10">
        <f>data!I591</f>
        <v>0</v>
      </c>
      <c r="I591" s="10">
        <f t="shared" si="36"/>
        <v>394.2</v>
      </c>
      <c r="J591" s="11">
        <f>data!H591</f>
        <v>180</v>
      </c>
      <c r="K591" s="11">
        <f>data!J591</f>
        <v>0</v>
      </c>
      <c r="L591" s="11">
        <f t="shared" si="37"/>
        <v>180</v>
      </c>
      <c r="M591" s="9" t="str">
        <f t="shared" si="38"/>
        <v/>
      </c>
      <c r="N591" s="9" t="str">
        <f t="shared" si="39"/>
        <v/>
      </c>
    </row>
    <row r="592" spans="1:14" x14ac:dyDescent="0.25">
      <c r="A592" t="str">
        <f>TEXT("1/"&amp;data!A592,"mmmm")</f>
        <v>mars</v>
      </c>
      <c r="B592">
        <f>data!B592</f>
        <v>2016</v>
      </c>
      <c r="C592" t="str">
        <f>data!C592</f>
        <v>002</v>
      </c>
      <c r="D592" t="str">
        <f>data!D592</f>
        <v>CAVE DE GALLICIAN</v>
      </c>
      <c r="E592" t="str">
        <f>data!E592</f>
        <v>002100</v>
      </c>
      <c r="F592" t="str">
        <f>data!F592</f>
        <v>VDP DU GARD. LOU GRES D'OR</v>
      </c>
      <c r="G592" s="10">
        <f>data!G592</f>
        <v>612.24</v>
      </c>
      <c r="H592" s="10">
        <f>data!I592</f>
        <v>984.42</v>
      </c>
      <c r="I592" s="10">
        <f t="shared" si="36"/>
        <v>-372.17999999999995</v>
      </c>
      <c r="J592" s="11">
        <f>data!H592</f>
        <v>348</v>
      </c>
      <c r="K592" s="11">
        <f>data!J592</f>
        <v>576</v>
      </c>
      <c r="L592" s="11">
        <f t="shared" si="37"/>
        <v>-228</v>
      </c>
      <c r="M592" s="9">
        <f t="shared" si="38"/>
        <v>-0.37807033583226668</v>
      </c>
      <c r="N592" s="9">
        <f t="shared" si="39"/>
        <v>-0.39583333333333331</v>
      </c>
    </row>
    <row r="593" spans="1:14" x14ac:dyDescent="0.25">
      <c r="A593" t="str">
        <f>TEXT("1/"&amp;data!A593,"mmmm")</f>
        <v>mars</v>
      </c>
      <c r="B593">
        <f>data!B593</f>
        <v>2016</v>
      </c>
      <c r="C593" t="str">
        <f>data!C593</f>
        <v>002</v>
      </c>
      <c r="D593" t="str">
        <f>data!D593</f>
        <v>CAVE DE GALLICIAN</v>
      </c>
      <c r="E593" t="str">
        <f>data!E593</f>
        <v>002101</v>
      </c>
      <c r="F593" t="str">
        <f>data!F593</f>
        <v>IGP DU GARD LOU GRES D'OR</v>
      </c>
      <c r="G593" s="10">
        <f>data!G593</f>
        <v>136.44</v>
      </c>
      <c r="H593" s="10">
        <f>data!I593</f>
        <v>508.62</v>
      </c>
      <c r="I593" s="10">
        <f t="shared" si="36"/>
        <v>-372.18</v>
      </c>
      <c r="J593" s="11">
        <f>data!H593</f>
        <v>90</v>
      </c>
      <c r="K593" s="11">
        <f>data!J593</f>
        <v>300</v>
      </c>
      <c r="L593" s="11">
        <f t="shared" si="37"/>
        <v>-210</v>
      </c>
      <c r="M593" s="9">
        <f t="shared" si="38"/>
        <v>-0.73174472100979115</v>
      </c>
      <c r="N593" s="9">
        <f t="shared" si="39"/>
        <v>-0.7</v>
      </c>
    </row>
    <row r="594" spans="1:14" x14ac:dyDescent="0.25">
      <c r="A594" t="str">
        <f>TEXT("1/"&amp;data!A594,"mmmm")</f>
        <v>mars</v>
      </c>
      <c r="B594">
        <f>data!B594</f>
        <v>2016</v>
      </c>
      <c r="C594" t="str">
        <f>data!C594</f>
        <v>002</v>
      </c>
      <c r="D594" t="str">
        <f>data!D594</f>
        <v>CAVE DE GALLICIAN</v>
      </c>
      <c r="E594" t="str">
        <f>data!E594</f>
        <v>002102</v>
      </c>
      <c r="F594" t="str">
        <f>data!F594</f>
        <v>VDP GARD LOU GRES D'OR</v>
      </c>
      <c r="G594" s="10">
        <f>data!G594</f>
        <v>43.68</v>
      </c>
      <c r="H594" s="10">
        <f>data!I594</f>
        <v>32.4</v>
      </c>
      <c r="I594" s="10">
        <f t="shared" si="36"/>
        <v>11.280000000000001</v>
      </c>
      <c r="J594" s="11">
        <f>data!H594</f>
        <v>30</v>
      </c>
      <c r="K594" s="11">
        <f>data!J594</f>
        <v>24</v>
      </c>
      <c r="L594" s="11">
        <f t="shared" si="37"/>
        <v>6</v>
      </c>
      <c r="M594" s="9">
        <f t="shared" si="38"/>
        <v>0.34814814814814821</v>
      </c>
      <c r="N594" s="9">
        <f t="shared" si="39"/>
        <v>0.25</v>
      </c>
    </row>
    <row r="595" spans="1:14" x14ac:dyDescent="0.25">
      <c r="A595" t="str">
        <f>TEXT("1/"&amp;data!A595,"mmmm")</f>
        <v>mars</v>
      </c>
      <c r="B595">
        <f>data!B595</f>
        <v>2016</v>
      </c>
      <c r="C595" t="str">
        <f>data!C595</f>
        <v>002</v>
      </c>
      <c r="D595" t="str">
        <f>data!D595</f>
        <v>CAVE DE GALLICIAN</v>
      </c>
      <c r="E595" t="str">
        <f>data!E595</f>
        <v>002200</v>
      </c>
      <c r="F595" t="str">
        <f>data!F595</f>
        <v>ROSE PAMPLEMOUSSE</v>
      </c>
      <c r="G595" s="10">
        <f>data!G595</f>
        <v>69.5</v>
      </c>
      <c r="H595" s="10">
        <f>data!I595</f>
        <v>27.08</v>
      </c>
      <c r="I595" s="10">
        <f t="shared" si="36"/>
        <v>42.42</v>
      </c>
      <c r="J595" s="11">
        <f>data!H595</f>
        <v>40</v>
      </c>
      <c r="K595" s="11">
        <f>data!J595</f>
        <v>16</v>
      </c>
      <c r="L595" s="11">
        <f t="shared" si="37"/>
        <v>24</v>
      </c>
      <c r="M595" s="9">
        <f t="shared" si="38"/>
        <v>1.5664697193500741</v>
      </c>
      <c r="N595" s="9">
        <f t="shared" si="39"/>
        <v>1.5</v>
      </c>
    </row>
    <row r="596" spans="1:14" x14ac:dyDescent="0.25">
      <c r="A596" t="str">
        <f>TEXT("1/"&amp;data!A596,"mmmm")</f>
        <v>mars</v>
      </c>
      <c r="B596">
        <f>data!B596</f>
        <v>2016</v>
      </c>
      <c r="C596" t="str">
        <f>data!C596</f>
        <v>002</v>
      </c>
      <c r="D596" t="str">
        <f>data!D596</f>
        <v>CAVE DE GALLICIAN</v>
      </c>
      <c r="E596" t="str">
        <f>data!E596</f>
        <v>002903</v>
      </c>
      <c r="F596" t="str">
        <f>data!F596</f>
        <v>VDP MERLOT C. GALLICIAN</v>
      </c>
      <c r="G596" s="10">
        <f>data!G596</f>
        <v>1997.5</v>
      </c>
      <c r="H596" s="10">
        <f>data!I596</f>
        <v>0</v>
      </c>
      <c r="I596" s="10">
        <f t="shared" si="36"/>
        <v>1997.5</v>
      </c>
      <c r="J596" s="11">
        <f>data!H596</f>
        <v>2266.9500000000003</v>
      </c>
      <c r="K596" s="11">
        <f>data!J596</f>
        <v>53.34</v>
      </c>
      <c r="L596" s="11">
        <f t="shared" si="37"/>
        <v>2213.61</v>
      </c>
      <c r="M596" s="9" t="str">
        <f t="shared" si="38"/>
        <v/>
      </c>
      <c r="N596" s="9">
        <f t="shared" si="39"/>
        <v>41.5</v>
      </c>
    </row>
    <row r="597" spans="1:14" x14ac:dyDescent="0.25">
      <c r="A597" t="str">
        <f>TEXT("1/"&amp;data!A597,"mmmm")</f>
        <v>mars</v>
      </c>
      <c r="B597">
        <f>data!B597</f>
        <v>2016</v>
      </c>
      <c r="C597" t="str">
        <f>data!C597</f>
        <v>002</v>
      </c>
      <c r="D597" t="str">
        <f>data!D597</f>
        <v>CAVE DE GALLICIAN</v>
      </c>
      <c r="E597" t="str">
        <f>data!E597</f>
        <v>002905</v>
      </c>
      <c r="F597" t="str">
        <f>data!F597</f>
        <v>VDT. CUVEE FIOJOLI étiq perso scaeL</v>
      </c>
      <c r="G597" s="10">
        <f>data!G597</f>
        <v>432</v>
      </c>
      <c r="H597" s="10">
        <f>data!I597</f>
        <v>324</v>
      </c>
      <c r="I597" s="10">
        <f t="shared" si="36"/>
        <v>108</v>
      </c>
      <c r="J597" s="11">
        <f>data!H597</f>
        <v>533.20000000000005</v>
      </c>
      <c r="K597" s="11">
        <f>data!J597</f>
        <v>399.9</v>
      </c>
      <c r="L597" s="11">
        <f t="shared" si="37"/>
        <v>133.30000000000007</v>
      </c>
      <c r="M597" s="9">
        <f t="shared" si="38"/>
        <v>0.33333333333333331</v>
      </c>
      <c r="N597" s="9">
        <f t="shared" si="39"/>
        <v>0.33333333333333354</v>
      </c>
    </row>
    <row r="598" spans="1:14" x14ac:dyDescent="0.25">
      <c r="A598" t="str">
        <f>TEXT("1/"&amp;data!A598,"mmmm")</f>
        <v>mars</v>
      </c>
      <c r="B598">
        <f>data!B598</f>
        <v>2016</v>
      </c>
      <c r="C598" t="str">
        <f>data!C598</f>
        <v>007</v>
      </c>
      <c r="D598" t="str">
        <f>data!D598</f>
        <v>DOMAINE ANDRE DUSSOURT</v>
      </c>
      <c r="E598" t="str">
        <f>data!E598</f>
        <v>007002</v>
      </c>
      <c r="F598" t="str">
        <f>data!F598</f>
        <v>AC RIESLING D. DUSSOURT</v>
      </c>
      <c r="G598" s="10">
        <f>data!G598</f>
        <v>248.4</v>
      </c>
      <c r="H598" s="10">
        <f>data!I598</f>
        <v>336</v>
      </c>
      <c r="I598" s="10">
        <f t="shared" si="36"/>
        <v>-87.6</v>
      </c>
      <c r="J598" s="11">
        <f>data!H598</f>
        <v>54</v>
      </c>
      <c r="K598" s="11">
        <f>data!J598</f>
        <v>90</v>
      </c>
      <c r="L598" s="11">
        <f t="shared" si="37"/>
        <v>-36</v>
      </c>
      <c r="M598" s="9">
        <f t="shared" si="38"/>
        <v>-0.26071428571428568</v>
      </c>
      <c r="N598" s="9">
        <f t="shared" si="39"/>
        <v>-0.4</v>
      </c>
    </row>
    <row r="599" spans="1:14" x14ac:dyDescent="0.25">
      <c r="A599" t="str">
        <f>TEXT("1/"&amp;data!A599,"mmmm")</f>
        <v>mars</v>
      </c>
      <c r="B599">
        <f>data!B599</f>
        <v>2016</v>
      </c>
      <c r="C599" t="str">
        <f>data!C599</f>
        <v>007</v>
      </c>
      <c r="D599" t="str">
        <f>data!D599</f>
        <v>DOMAINE ANDRE DUSSOURT</v>
      </c>
      <c r="E599" t="str">
        <f>data!E599</f>
        <v>007003</v>
      </c>
      <c r="F599" t="str">
        <f>data!F599</f>
        <v>AC PINOT GRIS D. DUSSOURT</v>
      </c>
      <c r="G599" s="10">
        <f>data!G599</f>
        <v>462</v>
      </c>
      <c r="H599" s="10">
        <f>data!I599</f>
        <v>31.2</v>
      </c>
      <c r="I599" s="10">
        <f t="shared" si="36"/>
        <v>430.8</v>
      </c>
      <c r="J599" s="11">
        <f>data!H599</f>
        <v>84</v>
      </c>
      <c r="K599" s="11">
        <f>data!J599</f>
        <v>12</v>
      </c>
      <c r="L599" s="11">
        <f t="shared" si="37"/>
        <v>72</v>
      </c>
      <c r="M599" s="9">
        <f t="shared" si="38"/>
        <v>13.807692307692308</v>
      </c>
      <c r="N599" s="9">
        <f t="shared" si="39"/>
        <v>6</v>
      </c>
    </row>
    <row r="600" spans="1:14" x14ac:dyDescent="0.25">
      <c r="A600" t="str">
        <f>TEXT("1/"&amp;data!A600,"mmmm")</f>
        <v>mars</v>
      </c>
      <c r="B600">
        <f>data!B600</f>
        <v>2016</v>
      </c>
      <c r="C600" t="str">
        <f>data!C600</f>
        <v>007</v>
      </c>
      <c r="D600" t="str">
        <f>data!D600</f>
        <v>DOMAINE ANDRE DUSSOURT</v>
      </c>
      <c r="E600" t="str">
        <f>data!E600</f>
        <v>007004</v>
      </c>
      <c r="F600" t="str">
        <f>data!F600</f>
        <v>AC GEWURZTRAMINER D. DUSSOURT</v>
      </c>
      <c r="G600" s="10">
        <f>data!G600</f>
        <v>130.5</v>
      </c>
      <c r="H600" s="10">
        <f>data!I600</f>
        <v>356.1</v>
      </c>
      <c r="I600" s="10">
        <f t="shared" si="36"/>
        <v>-225.60000000000002</v>
      </c>
      <c r="J600" s="11">
        <f>data!H600</f>
        <v>18</v>
      </c>
      <c r="K600" s="11">
        <f>data!J600</f>
        <v>60</v>
      </c>
      <c r="L600" s="11">
        <f t="shared" si="37"/>
        <v>-42</v>
      </c>
      <c r="M600" s="9">
        <f t="shared" si="38"/>
        <v>-0.63352990732940184</v>
      </c>
      <c r="N600" s="9">
        <f t="shared" si="39"/>
        <v>-0.7</v>
      </c>
    </row>
    <row r="601" spans="1:14" x14ac:dyDescent="0.25">
      <c r="A601" t="str">
        <f>TEXT("1/"&amp;data!A601,"mmmm")</f>
        <v>mars</v>
      </c>
      <c r="B601">
        <f>data!B601</f>
        <v>2016</v>
      </c>
      <c r="C601" t="str">
        <f>data!C601</f>
        <v>007</v>
      </c>
      <c r="D601" t="str">
        <f>data!D601</f>
        <v>DOMAINE ANDRE DUSSOURT</v>
      </c>
      <c r="E601" t="str">
        <f>data!E601</f>
        <v>007005</v>
      </c>
      <c r="F601" t="str">
        <f>data!F601</f>
        <v>AC CREMANT D'ALSACE RIESLING M.TRAD</v>
      </c>
      <c r="G601" s="10">
        <f>data!G601</f>
        <v>36.9</v>
      </c>
      <c r="H601" s="10">
        <f>data!I601</f>
        <v>73.8</v>
      </c>
      <c r="I601" s="10">
        <f t="shared" si="36"/>
        <v>-36.9</v>
      </c>
      <c r="J601" s="11">
        <f>data!H601</f>
        <v>6</v>
      </c>
      <c r="K601" s="11">
        <f>data!J601</f>
        <v>12</v>
      </c>
      <c r="L601" s="11">
        <f t="shared" si="37"/>
        <v>-6</v>
      </c>
      <c r="M601" s="9">
        <f t="shared" si="38"/>
        <v>-0.5</v>
      </c>
      <c r="N601" s="9">
        <f t="shared" si="39"/>
        <v>-0.5</v>
      </c>
    </row>
    <row r="602" spans="1:14" x14ac:dyDescent="0.25">
      <c r="A602" t="str">
        <f>TEXT("1/"&amp;data!A602,"mmmm")</f>
        <v>mars</v>
      </c>
      <c r="B602">
        <f>data!B602</f>
        <v>2016</v>
      </c>
      <c r="C602" t="str">
        <f>data!C602</f>
        <v>007</v>
      </c>
      <c r="D602" t="str">
        <f>data!D602</f>
        <v>DOMAINE ANDRE DUSSOURT</v>
      </c>
      <c r="E602" t="str">
        <f>data!E602</f>
        <v>CDV007010</v>
      </c>
      <c r="F602" t="str">
        <f>data!F602</f>
        <v>AC GEWURZTRAMINER VENDANGES TARDIVES</v>
      </c>
      <c r="G602" s="10">
        <f>data!G602</f>
        <v>111.9</v>
      </c>
      <c r="H602" s="10">
        <f>data!I602</f>
        <v>0</v>
      </c>
      <c r="I602" s="10">
        <f t="shared" si="36"/>
        <v>111.9</v>
      </c>
      <c r="J602" s="11">
        <f>data!H602</f>
        <v>6</v>
      </c>
      <c r="K602" s="11">
        <f>data!J602</f>
        <v>0</v>
      </c>
      <c r="L602" s="11">
        <f t="shared" si="37"/>
        <v>6</v>
      </c>
      <c r="M602" s="9" t="str">
        <f t="shared" si="38"/>
        <v/>
      </c>
      <c r="N602" s="9" t="str">
        <f t="shared" si="39"/>
        <v/>
      </c>
    </row>
    <row r="603" spans="1:14" x14ac:dyDescent="0.25">
      <c r="A603" t="str">
        <f>TEXT("1/"&amp;data!A603,"mmmm")</f>
        <v>mars</v>
      </c>
      <c r="B603">
        <f>data!B603</f>
        <v>2016</v>
      </c>
      <c r="C603" t="str">
        <f>data!C603</f>
        <v>010</v>
      </c>
      <c r="D603" t="str">
        <f>data!D603</f>
        <v>DOMAINE VIGNEAU CHEVRAU</v>
      </c>
      <c r="E603" t="str">
        <f>data!E603</f>
        <v>010001</v>
      </c>
      <c r="F603" t="str">
        <f>data!F603</f>
        <v>AC VOUVRAY SEC.C.SILEX  V.CHEV</v>
      </c>
      <c r="G603" s="10">
        <f>data!G603</f>
        <v>688.9</v>
      </c>
      <c r="H603" s="10">
        <f>data!I603</f>
        <v>853.8</v>
      </c>
      <c r="I603" s="10">
        <f t="shared" si="36"/>
        <v>-164.89999999999998</v>
      </c>
      <c r="J603" s="11">
        <f>data!H603</f>
        <v>132</v>
      </c>
      <c r="K603" s="11">
        <f>data!J603</f>
        <v>168</v>
      </c>
      <c r="L603" s="11">
        <f t="shared" si="37"/>
        <v>-36</v>
      </c>
      <c r="M603" s="9">
        <f t="shared" si="38"/>
        <v>-0.19313656594050127</v>
      </c>
      <c r="N603" s="9">
        <f t="shared" si="39"/>
        <v>-0.21428571428571427</v>
      </c>
    </row>
    <row r="604" spans="1:14" x14ac:dyDescent="0.25">
      <c r="A604" t="str">
        <f>TEXT("1/"&amp;data!A604,"mmmm")</f>
        <v>mars</v>
      </c>
      <c r="B604">
        <f>data!B604</f>
        <v>2016</v>
      </c>
      <c r="C604" t="str">
        <f>data!C604</f>
        <v>010</v>
      </c>
      <c r="D604" t="str">
        <f>data!D604</f>
        <v>DOMAINE VIGNEAU CHEVRAU</v>
      </c>
      <c r="E604" t="str">
        <f>data!E604</f>
        <v>CDV010050</v>
      </c>
      <c r="F604" t="str">
        <f>data!F604</f>
        <v>AC VOUVRAY CLOS DE ROUGEMONT VIGNEAU CHEVREAU</v>
      </c>
      <c r="G604" s="10">
        <f>data!G604</f>
        <v>37.799999999999997</v>
      </c>
      <c r="H604" s="10">
        <f>data!I604</f>
        <v>37.200000000000003</v>
      </c>
      <c r="I604" s="10">
        <f t="shared" si="36"/>
        <v>0.59999999999999432</v>
      </c>
      <c r="J604" s="11">
        <f>data!H604</f>
        <v>6</v>
      </c>
      <c r="K604" s="11">
        <f>data!J604</f>
        <v>6</v>
      </c>
      <c r="L604" s="11">
        <f t="shared" si="37"/>
        <v>0</v>
      </c>
      <c r="M604" s="9">
        <f t="shared" si="38"/>
        <v>1.6129032258064363E-2</v>
      </c>
      <c r="N604" s="9">
        <f t="shared" si="39"/>
        <v>0</v>
      </c>
    </row>
    <row r="605" spans="1:14" x14ac:dyDescent="0.25">
      <c r="A605" t="str">
        <f>TEXT("1/"&amp;data!A605,"mmmm")</f>
        <v>mars</v>
      </c>
      <c r="B605">
        <f>data!B605</f>
        <v>2016</v>
      </c>
      <c r="C605" t="str">
        <f>data!C605</f>
        <v>011</v>
      </c>
      <c r="D605" t="str">
        <f>data!D605</f>
        <v>CAVE GAUTIER</v>
      </c>
      <c r="E605" t="str">
        <f>data!E605</f>
        <v>011001</v>
      </c>
      <c r="F605" t="str">
        <f>data!F605</f>
        <v>AC VOUVRAY METH TRAD BRUT  D.CHATAIGNERAIE</v>
      </c>
      <c r="G605" s="10">
        <f>data!G605</f>
        <v>1675.8</v>
      </c>
      <c r="H605" s="10">
        <f>data!I605</f>
        <v>1244.8800000000001</v>
      </c>
      <c r="I605" s="10">
        <f t="shared" si="36"/>
        <v>430.91999999999985</v>
      </c>
      <c r="J605" s="11">
        <f>data!H605</f>
        <v>420</v>
      </c>
      <c r="K605" s="11">
        <f>data!J605</f>
        <v>312</v>
      </c>
      <c r="L605" s="11">
        <f t="shared" si="37"/>
        <v>108</v>
      </c>
      <c r="M605" s="9">
        <f t="shared" si="38"/>
        <v>0.34615384615384598</v>
      </c>
      <c r="N605" s="9">
        <f t="shared" si="39"/>
        <v>0.34615384615384615</v>
      </c>
    </row>
    <row r="606" spans="1:14" x14ac:dyDescent="0.25">
      <c r="A606" t="str">
        <f>TEXT("1/"&amp;data!A606,"mmmm")</f>
        <v>mars</v>
      </c>
      <c r="B606">
        <f>data!B606</f>
        <v>2016</v>
      </c>
      <c r="C606" t="str">
        <f>data!C606</f>
        <v>011</v>
      </c>
      <c r="D606" t="str">
        <f>data!D606</f>
        <v>CAVE GAUTIER</v>
      </c>
      <c r="E606" t="str">
        <f>data!E606</f>
        <v>011005</v>
      </c>
      <c r="F606" t="str">
        <f>data!F606</f>
        <v>AC VOUVRAY C. ANTIQUE D.CHATAIGNERAIE</v>
      </c>
      <c r="G606" s="10">
        <f>data!G606</f>
        <v>479.04</v>
      </c>
      <c r="H606" s="10">
        <f>data!I606</f>
        <v>58.8</v>
      </c>
      <c r="I606" s="10">
        <f t="shared" si="36"/>
        <v>420.24</v>
      </c>
      <c r="J606" s="11">
        <f>data!H606</f>
        <v>102</v>
      </c>
      <c r="K606" s="11">
        <f>data!J606</f>
        <v>12</v>
      </c>
      <c r="L606" s="11">
        <f t="shared" si="37"/>
        <v>90</v>
      </c>
      <c r="M606" s="9">
        <f t="shared" si="38"/>
        <v>7.146938775510205</v>
      </c>
      <c r="N606" s="9">
        <f t="shared" si="39"/>
        <v>7.5</v>
      </c>
    </row>
    <row r="607" spans="1:14" x14ac:dyDescent="0.25">
      <c r="A607" t="str">
        <f>TEXT("1/"&amp;data!A607,"mmmm")</f>
        <v>mars</v>
      </c>
      <c r="B607">
        <f>data!B607</f>
        <v>2016</v>
      </c>
      <c r="C607" t="str">
        <f>data!C607</f>
        <v>011</v>
      </c>
      <c r="D607" t="str">
        <f>data!D607</f>
        <v>CAVE GAUTIER</v>
      </c>
      <c r="E607" t="str">
        <f>data!E607</f>
        <v>011006</v>
      </c>
      <c r="F607" t="str">
        <f>data!F607</f>
        <v>AC VOUVRAY ARGILEX</v>
      </c>
      <c r="G607" s="10">
        <f>data!G607</f>
        <v>338.4</v>
      </c>
      <c r="H607" s="10">
        <f>data!I607</f>
        <v>107.76</v>
      </c>
      <c r="I607" s="10">
        <f t="shared" si="36"/>
        <v>230.64</v>
      </c>
      <c r="J607" s="11">
        <f>data!H607</f>
        <v>78</v>
      </c>
      <c r="K607" s="11">
        <f>data!J607</f>
        <v>30</v>
      </c>
      <c r="L607" s="11">
        <f t="shared" si="37"/>
        <v>48</v>
      </c>
      <c r="M607" s="9">
        <f t="shared" si="38"/>
        <v>2.1403118040089084</v>
      </c>
      <c r="N607" s="9">
        <f t="shared" si="39"/>
        <v>1.6</v>
      </c>
    </row>
    <row r="608" spans="1:14" x14ac:dyDescent="0.25">
      <c r="A608" t="str">
        <f>TEXT("1/"&amp;data!A608,"mmmm")</f>
        <v>mars</v>
      </c>
      <c r="B608">
        <f>data!B608</f>
        <v>2016</v>
      </c>
      <c r="C608" t="str">
        <f>data!C608</f>
        <v>019</v>
      </c>
      <c r="D608" t="str">
        <f>data!D608</f>
        <v>VIGNOBLES YON</v>
      </c>
      <c r="E608" t="str">
        <f>data!E608</f>
        <v>019003</v>
      </c>
      <c r="F608" t="str">
        <f>data!F608</f>
        <v>AC BDX SUP. CH LES HAUTS DE PEREY</v>
      </c>
      <c r="G608" s="10">
        <f>data!G608</f>
        <v>2686.02</v>
      </c>
      <c r="H608" s="10">
        <f>data!I608</f>
        <v>4118.9399999999996</v>
      </c>
      <c r="I608" s="10">
        <f t="shared" si="36"/>
        <v>-1432.9199999999996</v>
      </c>
      <c r="J608" s="11">
        <f>data!H608</f>
        <v>1200</v>
      </c>
      <c r="K608" s="11">
        <f>data!J608</f>
        <v>1854</v>
      </c>
      <c r="L608" s="11">
        <f t="shared" si="37"/>
        <v>-654</v>
      </c>
      <c r="M608" s="9">
        <f t="shared" si="38"/>
        <v>-0.34788562105784493</v>
      </c>
      <c r="N608" s="9">
        <f t="shared" si="39"/>
        <v>-0.35275080906148865</v>
      </c>
    </row>
    <row r="609" spans="1:14" x14ac:dyDescent="0.25">
      <c r="A609" t="str">
        <f>TEXT("1/"&amp;data!A609,"mmmm")</f>
        <v>mars</v>
      </c>
      <c r="B609">
        <f>data!B609</f>
        <v>2016</v>
      </c>
      <c r="C609" t="str">
        <f>data!C609</f>
        <v>019</v>
      </c>
      <c r="D609" t="str">
        <f>data!D609</f>
        <v>VIGNOBLES YON</v>
      </c>
      <c r="E609" t="str">
        <f>data!E609</f>
        <v>019004</v>
      </c>
      <c r="F609" t="str">
        <f>data!F609</f>
        <v>AC BDX SUP. CH LES HAUTS DE PEREY</v>
      </c>
      <c r="G609" s="10">
        <f>data!G609</f>
        <v>35.04</v>
      </c>
      <c r="H609" s="10">
        <f>data!I609</f>
        <v>0</v>
      </c>
      <c r="I609" s="10">
        <f t="shared" si="36"/>
        <v>35.04</v>
      </c>
      <c r="J609" s="11">
        <f>data!H609</f>
        <v>12</v>
      </c>
      <c r="K609" s="11">
        <f>data!J609</f>
        <v>0</v>
      </c>
      <c r="L609" s="11">
        <f t="shared" si="37"/>
        <v>12</v>
      </c>
      <c r="M609" s="9" t="str">
        <f t="shared" si="38"/>
        <v/>
      </c>
      <c r="N609" s="9" t="str">
        <f t="shared" si="39"/>
        <v/>
      </c>
    </row>
    <row r="610" spans="1:14" x14ac:dyDescent="0.25">
      <c r="A610" t="str">
        <f>TEXT("1/"&amp;data!A610,"mmmm")</f>
        <v>mars</v>
      </c>
      <c r="B610">
        <f>data!B610</f>
        <v>2016</v>
      </c>
      <c r="C610" t="str">
        <f>data!C610</f>
        <v>019</v>
      </c>
      <c r="D610" t="str">
        <f>data!D610</f>
        <v>VIGNOBLES YON</v>
      </c>
      <c r="E610" t="str">
        <f>data!E610</f>
        <v>019008</v>
      </c>
      <c r="F610" t="str">
        <f>data!F610</f>
        <v>AC BDX. CH LES HAUTS DE PEREY</v>
      </c>
      <c r="G610" s="10">
        <f>data!G610</f>
        <v>871.2</v>
      </c>
      <c r="H610" s="10">
        <f>data!I610</f>
        <v>631.70000000000005</v>
      </c>
      <c r="I610" s="10">
        <f t="shared" si="36"/>
        <v>239.5</v>
      </c>
      <c r="J610" s="11">
        <f>data!H610</f>
        <v>586.52</v>
      </c>
      <c r="K610" s="11">
        <f>data!J610</f>
        <v>439.89</v>
      </c>
      <c r="L610" s="11">
        <f t="shared" si="37"/>
        <v>146.63</v>
      </c>
      <c r="M610" s="9">
        <f t="shared" si="38"/>
        <v>0.37913566566408102</v>
      </c>
      <c r="N610" s="9">
        <f t="shared" si="39"/>
        <v>0.33333333333333331</v>
      </c>
    </row>
    <row r="611" spans="1:14" x14ac:dyDescent="0.25">
      <c r="A611" t="str">
        <f>TEXT("1/"&amp;data!A611,"mmmm")</f>
        <v>mars</v>
      </c>
      <c r="B611">
        <f>data!B611</f>
        <v>2016</v>
      </c>
      <c r="C611" t="str">
        <f>data!C611</f>
        <v>019</v>
      </c>
      <c r="D611" t="str">
        <f>data!D611</f>
        <v>VIGNOBLES YON</v>
      </c>
      <c r="E611" t="str">
        <f>data!E611</f>
        <v>019009</v>
      </c>
      <c r="F611" t="str">
        <f>data!F611</f>
        <v>AC BDX. CH LES HAUTS DE PEREY</v>
      </c>
      <c r="G611" s="10">
        <f>data!G611</f>
        <v>425</v>
      </c>
      <c r="H611" s="10">
        <f>data!I611</f>
        <v>625</v>
      </c>
      <c r="I611" s="10">
        <f t="shared" si="36"/>
        <v>-200</v>
      </c>
      <c r="J611" s="11">
        <f>data!H611</f>
        <v>260.13</v>
      </c>
      <c r="K611" s="11">
        <f>data!J611</f>
        <v>380.19</v>
      </c>
      <c r="L611" s="11">
        <f t="shared" si="37"/>
        <v>-120.06</v>
      </c>
      <c r="M611" s="9">
        <f t="shared" si="38"/>
        <v>-0.32</v>
      </c>
      <c r="N611" s="9">
        <f t="shared" si="39"/>
        <v>-0.31578947368421051</v>
      </c>
    </row>
    <row r="612" spans="1:14" x14ac:dyDescent="0.25">
      <c r="A612" t="str">
        <f>TEXT("1/"&amp;data!A612,"mmmm")</f>
        <v>mars</v>
      </c>
      <c r="B612">
        <f>data!B612</f>
        <v>2016</v>
      </c>
      <c r="C612" t="str">
        <f>data!C612</f>
        <v>019</v>
      </c>
      <c r="D612" t="str">
        <f>data!D612</f>
        <v>VIGNOBLES YON</v>
      </c>
      <c r="E612" t="str">
        <f>data!E612</f>
        <v>019011</v>
      </c>
      <c r="F612" t="str">
        <f>data!F612</f>
        <v>AC BX SUP. CH GAURY-BALETTE</v>
      </c>
      <c r="G612" s="10">
        <f>data!G612</f>
        <v>310.08</v>
      </c>
      <c r="H612" s="10">
        <f>data!I612</f>
        <v>194.4</v>
      </c>
      <c r="I612" s="10">
        <f t="shared" si="36"/>
        <v>115.67999999999998</v>
      </c>
      <c r="J612" s="11">
        <f>data!H612</f>
        <v>114</v>
      </c>
      <c r="K612" s="11">
        <f>data!J612</f>
        <v>72</v>
      </c>
      <c r="L612" s="11">
        <f t="shared" si="37"/>
        <v>42</v>
      </c>
      <c r="M612" s="9">
        <f t="shared" si="38"/>
        <v>0.59506172839506155</v>
      </c>
      <c r="N612" s="9">
        <f t="shared" si="39"/>
        <v>0.58333333333333337</v>
      </c>
    </row>
    <row r="613" spans="1:14" x14ac:dyDescent="0.25">
      <c r="A613" t="str">
        <f>TEXT("1/"&amp;data!A613,"mmmm")</f>
        <v>mars</v>
      </c>
      <c r="B613">
        <f>data!B613</f>
        <v>2016</v>
      </c>
      <c r="C613" t="str">
        <f>data!C613</f>
        <v>019</v>
      </c>
      <c r="D613" t="str">
        <f>data!D613</f>
        <v>VIGNOBLES YON</v>
      </c>
      <c r="E613" t="str">
        <f>data!E613</f>
        <v>019015</v>
      </c>
      <c r="F613" t="str">
        <f>data!F613</f>
        <v>AC E2MERS. CH GAURY-BALETTE</v>
      </c>
      <c r="G613" s="10">
        <f>data!G613</f>
        <v>165.6</v>
      </c>
      <c r="H613" s="10">
        <f>data!I613</f>
        <v>202.5</v>
      </c>
      <c r="I613" s="10">
        <f t="shared" si="36"/>
        <v>-36.900000000000006</v>
      </c>
      <c r="J613" s="11">
        <f>data!H613</f>
        <v>72</v>
      </c>
      <c r="K613" s="11">
        <f>data!J613</f>
        <v>90</v>
      </c>
      <c r="L613" s="11">
        <f t="shared" si="37"/>
        <v>-18</v>
      </c>
      <c r="M613" s="9">
        <f t="shared" si="38"/>
        <v>-0.18222222222222226</v>
      </c>
      <c r="N613" s="9">
        <f t="shared" si="39"/>
        <v>-0.2</v>
      </c>
    </row>
    <row r="614" spans="1:14" x14ac:dyDescent="0.25">
      <c r="A614" t="str">
        <f>TEXT("1/"&amp;data!A614,"mmmm")</f>
        <v>mars</v>
      </c>
      <c r="B614">
        <f>data!B614</f>
        <v>2016</v>
      </c>
      <c r="C614" t="str">
        <f>data!C614</f>
        <v>025</v>
      </c>
      <c r="D614" t="str">
        <f>data!D614</f>
        <v>COLLOVRAY &amp; TERRIER</v>
      </c>
      <c r="E614" t="str">
        <f>data!E614</f>
        <v>025001</v>
      </c>
      <c r="F614" t="str">
        <f>data!F614</f>
        <v>AC SAINT VERAN TRAD. COLLOVRAY&amp;TERRIER</v>
      </c>
      <c r="G614" s="10">
        <f>data!G614</f>
        <v>1059.24</v>
      </c>
      <c r="H614" s="10">
        <f>data!I614</f>
        <v>599.58000000000004</v>
      </c>
      <c r="I614" s="10">
        <f t="shared" si="36"/>
        <v>459.65999999999997</v>
      </c>
      <c r="J614" s="11">
        <f>data!H614</f>
        <v>162</v>
      </c>
      <c r="K614" s="11">
        <f>data!J614</f>
        <v>90</v>
      </c>
      <c r="L614" s="11">
        <f t="shared" si="37"/>
        <v>72</v>
      </c>
      <c r="M614" s="9">
        <f t="shared" si="38"/>
        <v>0.76663664565195622</v>
      </c>
      <c r="N614" s="9">
        <f t="shared" si="39"/>
        <v>0.8</v>
      </c>
    </row>
    <row r="615" spans="1:14" x14ac:dyDescent="0.25">
      <c r="A615" t="str">
        <f>TEXT("1/"&amp;data!A615,"mmmm")</f>
        <v>mars</v>
      </c>
      <c r="B615">
        <f>data!B615</f>
        <v>2016</v>
      </c>
      <c r="C615" t="str">
        <f>data!C615</f>
        <v>025</v>
      </c>
      <c r="D615" t="str">
        <f>data!D615</f>
        <v>COLLOVRAY &amp; TERRIER</v>
      </c>
      <c r="E615" t="str">
        <f>data!E615</f>
        <v>025003</v>
      </c>
      <c r="F615" t="str">
        <f>data!F615</f>
        <v>DME DEUX ROCHES AC ST VERAN RIVES DE LONGSAULT</v>
      </c>
      <c r="G615" s="10">
        <f>data!G615</f>
        <v>275.39999999999998</v>
      </c>
      <c r="H615" s="10">
        <f>data!I615</f>
        <v>0</v>
      </c>
      <c r="I615" s="10">
        <f t="shared" si="36"/>
        <v>275.39999999999998</v>
      </c>
      <c r="J615" s="11">
        <f>data!H615</f>
        <v>36</v>
      </c>
      <c r="K615" s="11">
        <f>data!J615</f>
        <v>0</v>
      </c>
      <c r="L615" s="11">
        <f t="shared" si="37"/>
        <v>36</v>
      </c>
      <c r="M615" s="9" t="str">
        <f t="shared" si="38"/>
        <v/>
      </c>
      <c r="N615" s="9" t="str">
        <f t="shared" si="39"/>
        <v/>
      </c>
    </row>
    <row r="616" spans="1:14" x14ac:dyDescent="0.25">
      <c r="A616" t="str">
        <f>TEXT("1/"&amp;data!A616,"mmmm")</f>
        <v>mars</v>
      </c>
      <c r="B616">
        <f>data!B616</f>
        <v>2016</v>
      </c>
      <c r="C616" t="str">
        <f>data!C616</f>
        <v>025</v>
      </c>
      <c r="D616" t="str">
        <f>data!D616</f>
        <v>COLLOVRAY &amp; TERRIER</v>
      </c>
      <c r="E616" t="str">
        <f>data!E616</f>
        <v>025010</v>
      </c>
      <c r="F616" t="str">
        <f>data!F616</f>
        <v>AC MACON VILL TRAD. COLLOVRAY &amp;</v>
      </c>
      <c r="G616" s="10">
        <f>data!G616</f>
        <v>399.6</v>
      </c>
      <c r="H616" s="10">
        <f>data!I616</f>
        <v>199.8</v>
      </c>
      <c r="I616" s="10">
        <f t="shared" si="36"/>
        <v>199.8</v>
      </c>
      <c r="J616" s="11">
        <f>data!H616</f>
        <v>78</v>
      </c>
      <c r="K616" s="11">
        <f>data!J616</f>
        <v>36</v>
      </c>
      <c r="L616" s="11">
        <f t="shared" si="37"/>
        <v>42</v>
      </c>
      <c r="M616" s="9">
        <f t="shared" si="38"/>
        <v>1</v>
      </c>
      <c r="N616" s="9">
        <f t="shared" si="39"/>
        <v>1.1666666666666667</v>
      </c>
    </row>
    <row r="617" spans="1:14" x14ac:dyDescent="0.25">
      <c r="A617" t="str">
        <f>TEXT("1/"&amp;data!A617,"mmmm")</f>
        <v>mars</v>
      </c>
      <c r="B617">
        <f>data!B617</f>
        <v>2016</v>
      </c>
      <c r="C617" t="str">
        <f>data!C617</f>
        <v>025</v>
      </c>
      <c r="D617" t="str">
        <f>data!D617</f>
        <v>COLLOVRAY &amp; TERRIER</v>
      </c>
      <c r="E617" t="str">
        <f>data!E617</f>
        <v>025013</v>
      </c>
      <c r="F617" t="str">
        <f>data!F617</f>
        <v>AC MACON. VERGER DES FEUILLANTS</v>
      </c>
      <c r="G617" s="10">
        <f>data!G617</f>
        <v>232.8</v>
      </c>
      <c r="H617" s="10">
        <f>data!I617</f>
        <v>58.2</v>
      </c>
      <c r="I617" s="10">
        <f t="shared" si="36"/>
        <v>174.60000000000002</v>
      </c>
      <c r="J617" s="11">
        <f>data!H617</f>
        <v>48</v>
      </c>
      <c r="K617" s="11">
        <f>data!J617</f>
        <v>12</v>
      </c>
      <c r="L617" s="11">
        <f t="shared" si="37"/>
        <v>36</v>
      </c>
      <c r="M617" s="9">
        <f t="shared" si="38"/>
        <v>3.0000000000000004</v>
      </c>
      <c r="N617" s="9">
        <f t="shared" si="39"/>
        <v>3</v>
      </c>
    </row>
    <row r="618" spans="1:14" x14ac:dyDescent="0.25">
      <c r="A618" t="str">
        <f>TEXT("1/"&amp;data!A618,"mmmm")</f>
        <v>mars</v>
      </c>
      <c r="B618">
        <f>data!B618</f>
        <v>2016</v>
      </c>
      <c r="C618" t="str">
        <f>data!C618</f>
        <v>025</v>
      </c>
      <c r="D618" t="str">
        <f>data!D618</f>
        <v>COLLOVRAY &amp; TERRIER</v>
      </c>
      <c r="E618" t="str">
        <f>data!E618</f>
        <v>025015</v>
      </c>
      <c r="F618" t="str">
        <f>data!F618</f>
        <v>VDP PINOT NOIR . D.D'ANTUGNIAC</v>
      </c>
      <c r="G618" s="10">
        <f>data!G618</f>
        <v>229.8</v>
      </c>
      <c r="H618" s="10">
        <f>data!I618</f>
        <v>0</v>
      </c>
      <c r="I618" s="10">
        <f t="shared" si="36"/>
        <v>229.8</v>
      </c>
      <c r="J618" s="11">
        <f>data!H618</f>
        <v>66</v>
      </c>
      <c r="K618" s="11">
        <f>data!J618</f>
        <v>0</v>
      </c>
      <c r="L618" s="11">
        <f t="shared" si="37"/>
        <v>66</v>
      </c>
      <c r="M618" s="9" t="str">
        <f t="shared" si="38"/>
        <v/>
      </c>
      <c r="N618" s="9" t="str">
        <f t="shared" si="39"/>
        <v/>
      </c>
    </row>
    <row r="619" spans="1:14" x14ac:dyDescent="0.25">
      <c r="A619" t="str">
        <f>TEXT("1/"&amp;data!A619,"mmmm")</f>
        <v>mars</v>
      </c>
      <c r="B619">
        <f>data!B619</f>
        <v>2016</v>
      </c>
      <c r="C619" t="str">
        <f>data!C619</f>
        <v>025</v>
      </c>
      <c r="D619" t="str">
        <f>data!D619</f>
        <v>COLLOVRAY &amp; TERRIER</v>
      </c>
      <c r="E619" t="str">
        <f>data!E619</f>
        <v>025016</v>
      </c>
      <c r="F619" t="str">
        <f>data!F619</f>
        <v>VDP MERLOT. D.D'ANTUGNIAC</v>
      </c>
      <c r="G619" s="10">
        <f>data!G619</f>
        <v>0</v>
      </c>
      <c r="H619" s="10">
        <f>data!I619</f>
        <v>0</v>
      </c>
      <c r="I619" s="10">
        <f t="shared" si="36"/>
        <v>0</v>
      </c>
      <c r="J619" s="11">
        <f>data!H619</f>
        <v>6</v>
      </c>
      <c r="K619" s="11">
        <f>data!J619</f>
        <v>0</v>
      </c>
      <c r="L619" s="11">
        <f t="shared" si="37"/>
        <v>6</v>
      </c>
      <c r="M619" s="9" t="str">
        <f t="shared" si="38"/>
        <v/>
      </c>
      <c r="N619" s="9" t="str">
        <f t="shared" si="39"/>
        <v/>
      </c>
    </row>
    <row r="620" spans="1:14" x14ac:dyDescent="0.25">
      <c r="A620" t="str">
        <f>TEXT("1/"&amp;data!A620,"mmmm")</f>
        <v>mars</v>
      </c>
      <c r="B620">
        <f>data!B620</f>
        <v>2016</v>
      </c>
      <c r="C620" t="str">
        <f>data!C620</f>
        <v>025</v>
      </c>
      <c r="D620" t="str">
        <f>data!D620</f>
        <v>COLLOVRAY &amp; TERRIER</v>
      </c>
      <c r="E620" t="str">
        <f>data!E620</f>
        <v>025021</v>
      </c>
      <c r="F620" t="str">
        <f>data!F620</f>
        <v>AC POUILLY-FUISSE. V.VIGNES</v>
      </c>
      <c r="G620" s="10">
        <f>data!G620</f>
        <v>449.4</v>
      </c>
      <c r="H620" s="10">
        <f>data!I620</f>
        <v>573.24</v>
      </c>
      <c r="I620" s="10">
        <f t="shared" si="36"/>
        <v>-123.84000000000003</v>
      </c>
      <c r="J620" s="11">
        <f>data!H620</f>
        <v>48</v>
      </c>
      <c r="K620" s="11">
        <f>data!J620</f>
        <v>60</v>
      </c>
      <c r="L620" s="11">
        <f t="shared" si="37"/>
        <v>-12</v>
      </c>
      <c r="M620" s="9">
        <f t="shared" si="38"/>
        <v>-0.21603516851580495</v>
      </c>
      <c r="N620" s="9">
        <f t="shared" si="39"/>
        <v>-0.2</v>
      </c>
    </row>
    <row r="621" spans="1:14" x14ac:dyDescent="0.25">
      <c r="A621" t="str">
        <f>TEXT("1/"&amp;data!A621,"mmmm")</f>
        <v>mars</v>
      </c>
      <c r="B621">
        <f>data!B621</f>
        <v>2016</v>
      </c>
      <c r="C621" t="str">
        <f>data!C621</f>
        <v>025</v>
      </c>
      <c r="D621" t="str">
        <f>data!D621</f>
        <v>COLLOVRAY &amp; TERRIER</v>
      </c>
      <c r="E621" t="str">
        <f>data!E621</f>
        <v>025026</v>
      </c>
      <c r="F621" t="str">
        <f>data!F621</f>
        <v>VDP CHARDONNAY. D.D'ANTUGNAC</v>
      </c>
      <c r="G621" s="10">
        <f>data!G621</f>
        <v>2663.04</v>
      </c>
      <c r="H621" s="10">
        <f>data!I621</f>
        <v>1818.96</v>
      </c>
      <c r="I621" s="10">
        <f t="shared" si="36"/>
        <v>844.07999999999993</v>
      </c>
      <c r="J621" s="11">
        <f>data!H621</f>
        <v>876</v>
      </c>
      <c r="K621" s="11">
        <f>data!J621</f>
        <v>624</v>
      </c>
      <c r="L621" s="11">
        <f t="shared" si="37"/>
        <v>252</v>
      </c>
      <c r="M621" s="9">
        <f t="shared" si="38"/>
        <v>0.46404538857369043</v>
      </c>
      <c r="N621" s="9">
        <f t="shared" si="39"/>
        <v>0.40384615384615385</v>
      </c>
    </row>
    <row r="622" spans="1:14" x14ac:dyDescent="0.25">
      <c r="A622" t="str">
        <f>TEXT("1/"&amp;data!A622,"mmmm")</f>
        <v>mars</v>
      </c>
      <c r="B622">
        <f>data!B622</f>
        <v>2016</v>
      </c>
      <c r="C622" t="str">
        <f>data!C622</f>
        <v>025</v>
      </c>
      <c r="D622" t="str">
        <f>data!D622</f>
        <v>COLLOVRAY &amp; TERRIER</v>
      </c>
      <c r="E622" t="str">
        <f>data!E622</f>
        <v>025031</v>
      </c>
      <c r="F622" t="str">
        <f>data!F622</f>
        <v>AC LIMOUX. Terres Amoureuses D.D'ANTUGNAC</v>
      </c>
      <c r="G622" s="10">
        <f>data!G622</f>
        <v>599.64</v>
      </c>
      <c r="H622" s="10">
        <f>data!I622</f>
        <v>434.46</v>
      </c>
      <c r="I622" s="10">
        <f t="shared" si="36"/>
        <v>165.18</v>
      </c>
      <c r="J622" s="11">
        <f>data!H622</f>
        <v>108</v>
      </c>
      <c r="K622" s="11">
        <f>data!J622</f>
        <v>78</v>
      </c>
      <c r="L622" s="11">
        <f t="shared" si="37"/>
        <v>30</v>
      </c>
      <c r="M622" s="9">
        <f t="shared" si="38"/>
        <v>0.38019610551028865</v>
      </c>
      <c r="N622" s="9">
        <f t="shared" si="39"/>
        <v>0.38461538461538464</v>
      </c>
    </row>
    <row r="623" spans="1:14" x14ac:dyDescent="0.25">
      <c r="A623" t="str">
        <f>TEXT("1/"&amp;data!A623,"mmmm")</f>
        <v>mars</v>
      </c>
      <c r="B623">
        <f>data!B623</f>
        <v>2016</v>
      </c>
      <c r="C623" t="str">
        <f>data!C623</f>
        <v>025</v>
      </c>
      <c r="D623" t="str">
        <f>data!D623</f>
        <v>COLLOVRAY &amp; TERRIER</v>
      </c>
      <c r="E623" t="str">
        <f>data!E623</f>
        <v>025033</v>
      </c>
      <c r="F623" t="str">
        <f>data!F623</f>
        <v>AC LIMOUX Aux Bons Hommes D.D'ANTUGNAC</v>
      </c>
      <c r="G623" s="10">
        <f>data!G623</f>
        <v>447.12</v>
      </c>
      <c r="H623" s="10">
        <f>data!I623</f>
        <v>273.24</v>
      </c>
      <c r="I623" s="10">
        <f t="shared" si="36"/>
        <v>173.88</v>
      </c>
      <c r="J623" s="11">
        <f>data!H623</f>
        <v>108</v>
      </c>
      <c r="K623" s="11">
        <f>data!J623</f>
        <v>66</v>
      </c>
      <c r="L623" s="11">
        <f t="shared" si="37"/>
        <v>42</v>
      </c>
      <c r="M623" s="9">
        <f t="shared" si="38"/>
        <v>0.63636363636363635</v>
      </c>
      <c r="N623" s="9">
        <f t="shared" si="39"/>
        <v>0.63636363636363635</v>
      </c>
    </row>
    <row r="624" spans="1:14" x14ac:dyDescent="0.25">
      <c r="A624" t="str">
        <f>TEXT("1/"&amp;data!A624,"mmmm")</f>
        <v>mars</v>
      </c>
      <c r="B624">
        <f>data!B624</f>
        <v>2016</v>
      </c>
      <c r="C624" t="str">
        <f>data!C624</f>
        <v>028</v>
      </c>
      <c r="D624" t="str">
        <f>data!D624</f>
        <v>VIGNOBLES DUBOIS ET FILS</v>
      </c>
      <c r="E624" t="str">
        <f>data!E624</f>
        <v>028001</v>
      </c>
      <c r="F624" t="str">
        <f>data!F624</f>
        <v>AC 1ERES C.DE BLAYE. TRADITION  CH L.BERTRANDS</v>
      </c>
      <c r="G624" s="10">
        <f>data!G624</f>
        <v>760.5</v>
      </c>
      <c r="H624" s="10">
        <f>data!I624</f>
        <v>195</v>
      </c>
      <c r="I624" s="10">
        <f t="shared" si="36"/>
        <v>565.5</v>
      </c>
      <c r="J624" s="11">
        <f>data!H624</f>
        <v>240</v>
      </c>
      <c r="K624" s="11">
        <f>data!J624</f>
        <v>60</v>
      </c>
      <c r="L624" s="11">
        <f t="shared" si="37"/>
        <v>180</v>
      </c>
      <c r="M624" s="9">
        <f t="shared" si="38"/>
        <v>2.9</v>
      </c>
      <c r="N624" s="9">
        <f t="shared" si="39"/>
        <v>3</v>
      </c>
    </row>
    <row r="625" spans="1:14" x14ac:dyDescent="0.25">
      <c r="A625" t="str">
        <f>TEXT("1/"&amp;data!A625,"mmmm")</f>
        <v>mars</v>
      </c>
      <c r="B625">
        <f>data!B625</f>
        <v>2016</v>
      </c>
      <c r="C625" t="str">
        <f>data!C625</f>
        <v>028</v>
      </c>
      <c r="D625" t="str">
        <f>data!D625</f>
        <v>VIGNOBLES DUBOIS ET FILS</v>
      </c>
      <c r="E625" t="str">
        <f>data!E625</f>
        <v>028005</v>
      </c>
      <c r="F625" t="str">
        <f>data!F625</f>
        <v>AC 1ERES C.BLAYE TRAD. CH L.BERTRANDS</v>
      </c>
      <c r="G625" s="10">
        <f>data!G625</f>
        <v>100.8</v>
      </c>
      <c r="H625" s="10">
        <f>data!I625</f>
        <v>134.4</v>
      </c>
      <c r="I625" s="10">
        <f t="shared" si="36"/>
        <v>-33.600000000000009</v>
      </c>
      <c r="J625" s="11">
        <f>data!H625</f>
        <v>36</v>
      </c>
      <c r="K625" s="11">
        <f>data!J625</f>
        <v>48</v>
      </c>
      <c r="L625" s="11">
        <f t="shared" si="37"/>
        <v>-12</v>
      </c>
      <c r="M625" s="9">
        <f t="shared" si="38"/>
        <v>-0.25000000000000006</v>
      </c>
      <c r="N625" s="9">
        <f t="shared" si="39"/>
        <v>-0.25</v>
      </c>
    </row>
    <row r="626" spans="1:14" x14ac:dyDescent="0.25">
      <c r="A626" t="str">
        <f>TEXT("1/"&amp;data!A626,"mmmm")</f>
        <v>mars</v>
      </c>
      <c r="B626">
        <f>data!B626</f>
        <v>2016</v>
      </c>
      <c r="C626" t="str">
        <f>data!C626</f>
        <v>028</v>
      </c>
      <c r="D626" t="str">
        <f>data!D626</f>
        <v>VIGNOBLES DUBOIS ET FILS</v>
      </c>
      <c r="E626" t="str">
        <f>data!E626</f>
        <v>028007</v>
      </c>
      <c r="F626" t="str">
        <f>data!F626</f>
        <v>AC 1ERES C BLAYE TRAD. CH L.BERTRANDS</v>
      </c>
      <c r="G626" s="10">
        <f>data!G626</f>
        <v>91.2</v>
      </c>
      <c r="H626" s="10">
        <f>data!I626</f>
        <v>0</v>
      </c>
      <c r="I626" s="10">
        <f t="shared" si="36"/>
        <v>91.2</v>
      </c>
      <c r="J626" s="11">
        <f>data!H626</f>
        <v>53.32</v>
      </c>
      <c r="K626" s="11">
        <f>data!J626</f>
        <v>0</v>
      </c>
      <c r="L626" s="11">
        <f t="shared" si="37"/>
        <v>53.32</v>
      </c>
      <c r="M626" s="9" t="str">
        <f t="shared" si="38"/>
        <v/>
      </c>
      <c r="N626" s="9" t="str">
        <f t="shared" si="39"/>
        <v/>
      </c>
    </row>
    <row r="627" spans="1:14" x14ac:dyDescent="0.25">
      <c r="A627" t="str">
        <f>TEXT("1/"&amp;data!A627,"mmmm")</f>
        <v>mars</v>
      </c>
      <c r="B627">
        <f>data!B627</f>
        <v>2016</v>
      </c>
      <c r="C627" t="str">
        <f>data!C627</f>
        <v>028</v>
      </c>
      <c r="D627" t="str">
        <f>data!D627</f>
        <v>VIGNOBLES DUBOIS ET FILS</v>
      </c>
      <c r="E627" t="str">
        <f>data!E627</f>
        <v>028008</v>
      </c>
      <c r="F627" t="str">
        <f>data!F627</f>
        <v>AC C. DE BLAYE CH L.BERTRANDS</v>
      </c>
      <c r="G627" s="10">
        <f>data!G627</f>
        <v>580.1</v>
      </c>
      <c r="H627" s="10">
        <f>data!I627</f>
        <v>385.7</v>
      </c>
      <c r="I627" s="10">
        <f t="shared" si="36"/>
        <v>194.40000000000003</v>
      </c>
      <c r="J627" s="11">
        <f>data!H627</f>
        <v>286.81</v>
      </c>
      <c r="K627" s="11">
        <f>data!J627</f>
        <v>193.43</v>
      </c>
      <c r="L627" s="11">
        <f t="shared" si="37"/>
        <v>93.38</v>
      </c>
      <c r="M627" s="9">
        <f t="shared" si="38"/>
        <v>0.50401866735805045</v>
      </c>
      <c r="N627" s="9">
        <f t="shared" si="39"/>
        <v>0.48275862068965514</v>
      </c>
    </row>
    <row r="628" spans="1:14" x14ac:dyDescent="0.25">
      <c r="A628" t="str">
        <f>TEXT("1/"&amp;data!A628,"mmmm")</f>
        <v>mars</v>
      </c>
      <c r="B628">
        <f>data!B628</f>
        <v>2016</v>
      </c>
      <c r="C628" t="str">
        <f>data!C628</f>
        <v>028</v>
      </c>
      <c r="D628" t="str">
        <f>data!D628</f>
        <v>VIGNOBLES DUBOIS ET FILS</v>
      </c>
      <c r="E628" t="str">
        <f>data!E628</f>
        <v>028013</v>
      </c>
      <c r="F628" t="str">
        <f>data!F628</f>
        <v>AC 1ERES COTES DE BLAYE PRESTIGE</v>
      </c>
      <c r="G628" s="10">
        <f>data!G628</f>
        <v>720.9</v>
      </c>
      <c r="H628" s="10">
        <f>data!I628</f>
        <v>293.7</v>
      </c>
      <c r="I628" s="10">
        <f t="shared" si="36"/>
        <v>427.2</v>
      </c>
      <c r="J628" s="11">
        <f>data!H628</f>
        <v>162</v>
      </c>
      <c r="K628" s="11">
        <f>data!J628</f>
        <v>66</v>
      </c>
      <c r="L628" s="11">
        <f t="shared" si="37"/>
        <v>96</v>
      </c>
      <c r="M628" s="9">
        <f t="shared" si="38"/>
        <v>1.4545454545454546</v>
      </c>
      <c r="N628" s="9">
        <f t="shared" si="39"/>
        <v>1.4545454545454546</v>
      </c>
    </row>
    <row r="629" spans="1:14" x14ac:dyDescent="0.25">
      <c r="A629" t="str">
        <f>TEXT("1/"&amp;data!A629,"mmmm")</f>
        <v>mars</v>
      </c>
      <c r="B629">
        <f>data!B629</f>
        <v>2016</v>
      </c>
      <c r="C629" t="str">
        <f>data!C629</f>
        <v>029</v>
      </c>
      <c r="D629" t="str">
        <f>data!D629</f>
        <v>DOMAINE DE BELLE MARE</v>
      </c>
      <c r="E629" t="str">
        <f>data!E629</f>
        <v>029005</v>
      </c>
      <c r="F629" t="str">
        <f>data!F629</f>
        <v>VDP DE L'HERAULT. GRANGES FELINES</v>
      </c>
      <c r="G629" s="10">
        <f>data!G629</f>
        <v>519</v>
      </c>
      <c r="H629" s="10">
        <f>data!I629</f>
        <v>30.6</v>
      </c>
      <c r="I629" s="10">
        <f t="shared" si="36"/>
        <v>488.4</v>
      </c>
      <c r="J629" s="11">
        <f>data!H629</f>
        <v>300</v>
      </c>
      <c r="K629" s="11">
        <f>data!J629</f>
        <v>18</v>
      </c>
      <c r="L629" s="11">
        <f t="shared" si="37"/>
        <v>282</v>
      </c>
      <c r="M629" s="9">
        <f t="shared" si="38"/>
        <v>15.960784313725489</v>
      </c>
      <c r="N629" s="9">
        <f t="shared" si="39"/>
        <v>15.666666666666666</v>
      </c>
    </row>
    <row r="630" spans="1:14" x14ac:dyDescent="0.25">
      <c r="A630" t="str">
        <f>TEXT("1/"&amp;data!A630,"mmmm")</f>
        <v>mars</v>
      </c>
      <c r="B630">
        <f>data!B630</f>
        <v>2016</v>
      </c>
      <c r="C630" t="str">
        <f>data!C630</f>
        <v>035</v>
      </c>
      <c r="D630" t="str">
        <f>data!D630</f>
        <v>DOMAINE OLIVIER</v>
      </c>
      <c r="E630" t="str">
        <f>data!E630</f>
        <v>035001</v>
      </c>
      <c r="F630" t="str">
        <f>data!F630</f>
        <v>AC ST NICOLAS DE BOURG D.OLIVIER</v>
      </c>
      <c r="G630" s="10">
        <f>data!G630</f>
        <v>3316.08</v>
      </c>
      <c r="H630" s="10">
        <f>data!I630</f>
        <v>1674.6</v>
      </c>
      <c r="I630" s="10">
        <f t="shared" si="36"/>
        <v>1641.48</v>
      </c>
      <c r="J630" s="11">
        <f>data!H630</f>
        <v>822</v>
      </c>
      <c r="K630" s="11">
        <f>data!J630</f>
        <v>426</v>
      </c>
      <c r="L630" s="11">
        <f t="shared" si="37"/>
        <v>396</v>
      </c>
      <c r="M630" s="9">
        <f t="shared" si="38"/>
        <v>0.98022214260121832</v>
      </c>
      <c r="N630" s="9">
        <f t="shared" si="39"/>
        <v>0.92957746478873238</v>
      </c>
    </row>
    <row r="631" spans="1:14" x14ac:dyDescent="0.25">
      <c r="A631" t="str">
        <f>TEXT("1/"&amp;data!A631,"mmmm")</f>
        <v>mars</v>
      </c>
      <c r="B631">
        <f>data!B631</f>
        <v>2016</v>
      </c>
      <c r="C631" t="str">
        <f>data!C631</f>
        <v>035</v>
      </c>
      <c r="D631" t="str">
        <f>data!D631</f>
        <v>DOMAINE OLIVIER</v>
      </c>
      <c r="E631" t="str">
        <f>data!E631</f>
        <v>035002</v>
      </c>
      <c r="F631" t="str">
        <f>data!F631</f>
        <v>AC ST NICOLAS DE BOURG D.OLIVIER</v>
      </c>
      <c r="G631" s="10">
        <f>data!G631</f>
        <v>91.08</v>
      </c>
      <c r="H631" s="10">
        <f>data!I631</f>
        <v>676.8</v>
      </c>
      <c r="I631" s="10">
        <f t="shared" si="36"/>
        <v>-585.71999999999991</v>
      </c>
      <c r="J631" s="11">
        <f>data!H631</f>
        <v>18</v>
      </c>
      <c r="K631" s="11">
        <f>data!J631</f>
        <v>138</v>
      </c>
      <c r="L631" s="11">
        <f t="shared" si="37"/>
        <v>-120</v>
      </c>
      <c r="M631" s="9">
        <f t="shared" si="38"/>
        <v>-0.86542553191489358</v>
      </c>
      <c r="N631" s="9">
        <f t="shared" si="39"/>
        <v>-0.86956521739130432</v>
      </c>
    </row>
    <row r="632" spans="1:14" x14ac:dyDescent="0.25">
      <c r="A632" t="str">
        <f>TEXT("1/"&amp;data!A632,"mmmm")</f>
        <v>mars</v>
      </c>
      <c r="B632">
        <f>data!B632</f>
        <v>2016</v>
      </c>
      <c r="C632" t="str">
        <f>data!C632</f>
        <v>035</v>
      </c>
      <c r="D632" t="str">
        <f>data!D632</f>
        <v>DOMAINE OLIVIER</v>
      </c>
      <c r="E632" t="str">
        <f>data!E632</f>
        <v>035010</v>
      </c>
      <c r="F632" t="str">
        <f>data!F632</f>
        <v>AC BOURGUEIL V.VIGNES D.OLIVIER</v>
      </c>
      <c r="G632" s="10">
        <f>data!G632</f>
        <v>1592.64</v>
      </c>
      <c r="H632" s="10">
        <f>data!I632</f>
        <v>362.46</v>
      </c>
      <c r="I632" s="10">
        <f t="shared" si="36"/>
        <v>1230.18</v>
      </c>
      <c r="J632" s="11">
        <f>data!H632</f>
        <v>438</v>
      </c>
      <c r="K632" s="11">
        <f>data!J632</f>
        <v>102</v>
      </c>
      <c r="L632" s="11">
        <f t="shared" si="37"/>
        <v>336</v>
      </c>
      <c r="M632" s="9">
        <f t="shared" si="38"/>
        <v>3.3939745075318659</v>
      </c>
      <c r="N632" s="9">
        <f t="shared" si="39"/>
        <v>3.2941176470588234</v>
      </c>
    </row>
    <row r="633" spans="1:14" x14ac:dyDescent="0.25">
      <c r="A633" t="str">
        <f>TEXT("1/"&amp;data!A633,"mmmm")</f>
        <v>mars</v>
      </c>
      <c r="B633">
        <f>data!B633</f>
        <v>2016</v>
      </c>
      <c r="C633" t="str">
        <f>data!C633</f>
        <v>036</v>
      </c>
      <c r="D633" t="str">
        <f>data!D633</f>
        <v>CASTELBARRY</v>
      </c>
      <c r="E633" t="str">
        <f>data!E633</f>
        <v>036001</v>
      </c>
      <c r="F633" t="str">
        <f>data!F633</f>
        <v>AC CTX DU LANG .COL DU VENT</v>
      </c>
      <c r="G633" s="10">
        <f>data!G633</f>
        <v>525.6</v>
      </c>
      <c r="H633" s="10">
        <f>data!I633</f>
        <v>487.2</v>
      </c>
      <c r="I633" s="10">
        <f t="shared" si="36"/>
        <v>38.400000000000034</v>
      </c>
      <c r="J633" s="11">
        <f>data!H633</f>
        <v>180</v>
      </c>
      <c r="K633" s="11">
        <f>data!J633</f>
        <v>180</v>
      </c>
      <c r="L633" s="11">
        <f t="shared" si="37"/>
        <v>0</v>
      </c>
      <c r="M633" s="9">
        <f t="shared" si="38"/>
        <v>7.8817733990147854E-2</v>
      </c>
      <c r="N633" s="9">
        <f t="shared" si="39"/>
        <v>0</v>
      </c>
    </row>
    <row r="634" spans="1:14" x14ac:dyDescent="0.25">
      <c r="A634" t="str">
        <f>TEXT("1/"&amp;data!A634,"mmmm")</f>
        <v>mars</v>
      </c>
      <c r="B634">
        <f>data!B634</f>
        <v>2016</v>
      </c>
      <c r="C634" t="str">
        <f>data!C634</f>
        <v>036</v>
      </c>
      <c r="D634" t="str">
        <f>data!D634</f>
        <v>CASTELBARRY</v>
      </c>
      <c r="E634" t="str">
        <f>data!E634</f>
        <v>036002</v>
      </c>
      <c r="F634" t="str">
        <f>data!F634</f>
        <v>AC CTX DU LANG. COL DU VENT</v>
      </c>
      <c r="G634" s="10">
        <f>data!G634</f>
        <v>88.5</v>
      </c>
      <c r="H634" s="10">
        <f>data!I634</f>
        <v>0</v>
      </c>
      <c r="I634" s="10">
        <f t="shared" si="36"/>
        <v>88.5</v>
      </c>
      <c r="J634" s="11">
        <f>data!H634</f>
        <v>30</v>
      </c>
      <c r="K634" s="11">
        <f>data!J634</f>
        <v>6</v>
      </c>
      <c r="L634" s="11">
        <f t="shared" si="37"/>
        <v>24</v>
      </c>
      <c r="M634" s="9" t="str">
        <f t="shared" si="38"/>
        <v/>
      </c>
      <c r="N634" s="9">
        <f t="shared" si="39"/>
        <v>4</v>
      </c>
    </row>
    <row r="635" spans="1:14" x14ac:dyDescent="0.25">
      <c r="A635" t="str">
        <f>TEXT("1/"&amp;data!A635,"mmmm")</f>
        <v>mars</v>
      </c>
      <c r="B635">
        <f>data!B635</f>
        <v>2016</v>
      </c>
      <c r="C635" t="str">
        <f>data!C635</f>
        <v>036</v>
      </c>
      <c r="D635" t="str">
        <f>data!D635</f>
        <v>CASTELBARRY</v>
      </c>
      <c r="E635" t="str">
        <f>data!E635</f>
        <v>036010</v>
      </c>
      <c r="F635" t="str">
        <f>data!F635</f>
        <v>IGP SAINT GUILHEM LE DESERT GRENACHE</v>
      </c>
      <c r="G635" s="10">
        <f>data!G635</f>
        <v>87.55</v>
      </c>
      <c r="H635" s="10">
        <f>data!I635</f>
        <v>197.2</v>
      </c>
      <c r="I635" s="10">
        <f t="shared" si="36"/>
        <v>-109.64999999999999</v>
      </c>
      <c r="J635" s="11">
        <f>data!H635</f>
        <v>93.31</v>
      </c>
      <c r="K635" s="11">
        <f>data!J635</f>
        <v>213.28</v>
      </c>
      <c r="L635" s="11">
        <f t="shared" si="37"/>
        <v>-119.97</v>
      </c>
      <c r="M635" s="9">
        <f t="shared" si="38"/>
        <v>-0.55603448275862066</v>
      </c>
      <c r="N635" s="9">
        <f t="shared" si="39"/>
        <v>-0.5625</v>
      </c>
    </row>
    <row r="636" spans="1:14" x14ac:dyDescent="0.25">
      <c r="A636" t="str">
        <f>TEXT("1/"&amp;data!A636,"mmmm")</f>
        <v>mars</v>
      </c>
      <c r="B636">
        <f>data!B636</f>
        <v>2016</v>
      </c>
      <c r="C636" t="str">
        <f>data!C636</f>
        <v>036</v>
      </c>
      <c r="D636" t="str">
        <f>data!D636</f>
        <v>CASTELBARRY</v>
      </c>
      <c r="E636" t="str">
        <f>data!E636</f>
        <v>036011</v>
      </c>
      <c r="F636" t="str">
        <f>data!F636</f>
        <v>IGP ST GUILHEM LE DESERT</v>
      </c>
      <c r="G636" s="10">
        <f>data!G636</f>
        <v>21.6</v>
      </c>
      <c r="H636" s="10">
        <f>data!I636</f>
        <v>149.19999999999999</v>
      </c>
      <c r="I636" s="10">
        <f t="shared" si="36"/>
        <v>-127.6</v>
      </c>
      <c r="J636" s="11">
        <f>data!H636</f>
        <v>26.68</v>
      </c>
      <c r="K636" s="11">
        <f>data!J636</f>
        <v>146.74</v>
      </c>
      <c r="L636" s="11">
        <f t="shared" si="37"/>
        <v>-120.06</v>
      </c>
      <c r="M636" s="9">
        <f t="shared" si="38"/>
        <v>-0.85522788203753353</v>
      </c>
      <c r="N636" s="9">
        <f t="shared" si="39"/>
        <v>-0.81818181818181812</v>
      </c>
    </row>
    <row r="637" spans="1:14" x14ac:dyDescent="0.25">
      <c r="A637" t="str">
        <f>TEXT("1/"&amp;data!A637,"mmmm")</f>
        <v>mars</v>
      </c>
      <c r="B637">
        <f>data!B637</f>
        <v>2016</v>
      </c>
      <c r="C637" t="str">
        <f>data!C637</f>
        <v>037</v>
      </c>
      <c r="D637" t="str">
        <f>data!D637</f>
        <v>SARL RAFFAULT</v>
      </c>
      <c r="E637" t="str">
        <f>data!E637</f>
        <v>037003</v>
      </c>
      <c r="F637" t="str">
        <f>data!F637</f>
        <v>AC CHINON</v>
      </c>
      <c r="G637" s="10">
        <f>data!G637</f>
        <v>342</v>
      </c>
      <c r="H637" s="10">
        <f>data!I637</f>
        <v>266.39999999999998</v>
      </c>
      <c r="I637" s="10">
        <f t="shared" si="36"/>
        <v>75.600000000000023</v>
      </c>
      <c r="J637" s="11">
        <f>data!H637</f>
        <v>90</v>
      </c>
      <c r="K637" s="11">
        <f>data!J637</f>
        <v>78</v>
      </c>
      <c r="L637" s="11">
        <f t="shared" si="37"/>
        <v>12</v>
      </c>
      <c r="M637" s="9">
        <f t="shared" si="38"/>
        <v>0.28378378378378388</v>
      </c>
      <c r="N637" s="9">
        <f t="shared" si="39"/>
        <v>0.15384615384615385</v>
      </c>
    </row>
    <row r="638" spans="1:14" x14ac:dyDescent="0.25">
      <c r="A638" t="str">
        <f>TEXT("1/"&amp;data!A638,"mmmm")</f>
        <v>mars</v>
      </c>
      <c r="B638">
        <f>data!B638</f>
        <v>2016</v>
      </c>
      <c r="C638" t="str">
        <f>data!C638</f>
        <v>037</v>
      </c>
      <c r="D638" t="str">
        <f>data!D638</f>
        <v>SARL RAFFAULT</v>
      </c>
      <c r="E638" t="str">
        <f>data!E638</f>
        <v>037010</v>
      </c>
      <c r="F638" t="str">
        <f>data!F638</f>
        <v>AC CHINON SEC</v>
      </c>
      <c r="G638" s="10">
        <f>data!G638</f>
        <v>28.5</v>
      </c>
      <c r="H638" s="10">
        <f>data!I638</f>
        <v>54.6</v>
      </c>
      <c r="I638" s="10">
        <f t="shared" si="36"/>
        <v>-26.1</v>
      </c>
      <c r="J638" s="11">
        <f>data!H638</f>
        <v>6</v>
      </c>
      <c r="K638" s="11">
        <f>data!J638</f>
        <v>18</v>
      </c>
      <c r="L638" s="11">
        <f t="shared" si="37"/>
        <v>-12</v>
      </c>
      <c r="M638" s="9">
        <f t="shared" si="38"/>
        <v>-0.47802197802197804</v>
      </c>
      <c r="N638" s="9">
        <f t="shared" si="39"/>
        <v>-0.66666666666666663</v>
      </c>
    </row>
    <row r="639" spans="1:14" x14ac:dyDescent="0.25">
      <c r="A639" t="str">
        <f>TEXT("1/"&amp;data!A639,"mmmm")</f>
        <v>mars</v>
      </c>
      <c r="B639">
        <f>data!B639</f>
        <v>2016</v>
      </c>
      <c r="C639" t="str">
        <f>data!C639</f>
        <v>039</v>
      </c>
      <c r="D639" t="str">
        <f>data!D639</f>
        <v>LES VIGNERONS DES COTES D'AGLY</v>
      </c>
      <c r="E639" t="str">
        <f>data!E639</f>
        <v>039018</v>
      </c>
      <c r="F639" t="str">
        <f>data!F639</f>
        <v>AC C. ROUSSILLON N D LAVAL</v>
      </c>
      <c r="G639" s="10">
        <f>data!G639</f>
        <v>26.52</v>
      </c>
      <c r="H639" s="10">
        <f>data!I639</f>
        <v>530.4</v>
      </c>
      <c r="I639" s="10">
        <f t="shared" si="36"/>
        <v>-503.88</v>
      </c>
      <c r="J639" s="11">
        <f>data!H639</f>
        <v>12</v>
      </c>
      <c r="K639" s="11">
        <f>data!J639</f>
        <v>240</v>
      </c>
      <c r="L639" s="11">
        <f t="shared" si="37"/>
        <v>-228</v>
      </c>
      <c r="M639" s="9">
        <f t="shared" si="38"/>
        <v>-0.95000000000000007</v>
      </c>
      <c r="N639" s="9">
        <f t="shared" si="39"/>
        <v>-0.95</v>
      </c>
    </row>
    <row r="640" spans="1:14" x14ac:dyDescent="0.25">
      <c r="A640" t="str">
        <f>TEXT("1/"&amp;data!A640,"mmmm")</f>
        <v>mars</v>
      </c>
      <c r="B640">
        <f>data!B640</f>
        <v>2016</v>
      </c>
      <c r="C640" t="str">
        <f>data!C640</f>
        <v>040</v>
      </c>
      <c r="D640" t="str">
        <f>data!D640</f>
        <v>CHÂTEAU DE LA GRAVE</v>
      </c>
      <c r="E640" t="str">
        <f>data!E640</f>
        <v>040006</v>
      </c>
      <c r="F640" t="str">
        <f>data!F640</f>
        <v>AC COTES DE BOURG CHATEAU DE LA GRAVE</v>
      </c>
      <c r="G640" s="10">
        <f>data!G640</f>
        <v>2847</v>
      </c>
      <c r="H640" s="10">
        <f>data!I640</f>
        <v>2376</v>
      </c>
      <c r="I640" s="10">
        <f t="shared" si="36"/>
        <v>471</v>
      </c>
      <c r="J640" s="11">
        <f>data!H640</f>
        <v>780</v>
      </c>
      <c r="K640" s="11">
        <f>data!J640</f>
        <v>666</v>
      </c>
      <c r="L640" s="11">
        <f t="shared" si="37"/>
        <v>114</v>
      </c>
      <c r="M640" s="9">
        <f t="shared" si="38"/>
        <v>0.19823232323232323</v>
      </c>
      <c r="N640" s="9">
        <f t="shared" si="39"/>
        <v>0.17117117117117117</v>
      </c>
    </row>
    <row r="641" spans="1:14" x14ac:dyDescent="0.25">
      <c r="A641" t="str">
        <f>TEXT("1/"&amp;data!A641,"mmmm")</f>
        <v>mars</v>
      </c>
      <c r="B641">
        <f>data!B641</f>
        <v>2016</v>
      </c>
      <c r="C641" t="str">
        <f>data!C641</f>
        <v>040</v>
      </c>
      <c r="D641" t="str">
        <f>data!D641</f>
        <v>CHÂTEAU DE LA GRAVE</v>
      </c>
      <c r="E641" t="str">
        <f>data!E641</f>
        <v>040007</v>
      </c>
      <c r="F641" t="str">
        <f>data!F641</f>
        <v>AC COTES DE BOURG G DE LA GRAVE</v>
      </c>
      <c r="G641" s="10">
        <f>data!G641</f>
        <v>524.4</v>
      </c>
      <c r="H641" s="10">
        <f>data!I641</f>
        <v>762.7</v>
      </c>
      <c r="I641" s="10">
        <f t="shared" si="36"/>
        <v>-238.30000000000007</v>
      </c>
      <c r="J641" s="11">
        <f>data!H641</f>
        <v>260.13</v>
      </c>
      <c r="K641" s="11">
        <f>data!J641</f>
        <v>393.53</v>
      </c>
      <c r="L641" s="11">
        <f t="shared" si="37"/>
        <v>-133.39999999999998</v>
      </c>
      <c r="M641" s="9">
        <f t="shared" si="38"/>
        <v>-0.31244263799659111</v>
      </c>
      <c r="N641" s="9">
        <f t="shared" si="39"/>
        <v>-0.33898305084745761</v>
      </c>
    </row>
    <row r="642" spans="1:14" x14ac:dyDescent="0.25">
      <c r="A642" t="str">
        <f>TEXT("1/"&amp;data!A642,"mmmm")</f>
        <v>mars</v>
      </c>
      <c r="B642">
        <f>data!B642</f>
        <v>2016</v>
      </c>
      <c r="C642" t="str">
        <f>data!C642</f>
        <v>040</v>
      </c>
      <c r="D642" t="str">
        <f>data!D642</f>
        <v>CHÂTEAU DE LA GRAVE</v>
      </c>
      <c r="E642" t="str">
        <f>data!E642</f>
        <v>040008</v>
      </c>
      <c r="F642" t="str">
        <f>data!F642</f>
        <v>AC COTES DE BOURG G DE LA GRAVE</v>
      </c>
      <c r="G642" s="10">
        <f>data!G642</f>
        <v>132.25</v>
      </c>
      <c r="H642" s="10">
        <f>data!I642</f>
        <v>126</v>
      </c>
      <c r="I642" s="10">
        <f t="shared" si="36"/>
        <v>6.25</v>
      </c>
      <c r="J642" s="11">
        <f>data!H642</f>
        <v>66.650000000000006</v>
      </c>
      <c r="K642" s="11">
        <f>data!J642</f>
        <v>66.650000000000006</v>
      </c>
      <c r="L642" s="11">
        <f t="shared" si="37"/>
        <v>0</v>
      </c>
      <c r="M642" s="9">
        <f t="shared" si="38"/>
        <v>4.96031746031746E-2</v>
      </c>
      <c r="N642" s="9">
        <f t="shared" si="39"/>
        <v>0</v>
      </c>
    </row>
    <row r="643" spans="1:14" x14ac:dyDescent="0.25">
      <c r="A643" t="str">
        <f>TEXT("1/"&amp;data!A643,"mmmm")</f>
        <v>mars</v>
      </c>
      <c r="B643">
        <f>data!B643</f>
        <v>2016</v>
      </c>
      <c r="C643" t="str">
        <f>data!C643</f>
        <v>040</v>
      </c>
      <c r="D643" t="str">
        <f>data!D643</f>
        <v>CHÂTEAU DE LA GRAVE</v>
      </c>
      <c r="E643" t="str">
        <f>data!E643</f>
        <v>040012</v>
      </c>
      <c r="F643" t="str">
        <f>data!F643</f>
        <v>AC C DE BOURG BEL AIR</v>
      </c>
      <c r="G643" s="10">
        <f>data!G643</f>
        <v>195.6</v>
      </c>
      <c r="H643" s="10">
        <f>data!I643</f>
        <v>0</v>
      </c>
      <c r="I643" s="10">
        <f t="shared" ref="I643:I706" si="40">G643-H643</f>
        <v>195.6</v>
      </c>
      <c r="J643" s="11">
        <f>data!H643</f>
        <v>48</v>
      </c>
      <c r="K643" s="11">
        <f>data!J643</f>
        <v>0</v>
      </c>
      <c r="L643" s="11">
        <f t="shared" ref="L643:L706" si="41">J643-K643</f>
        <v>48</v>
      </c>
      <c r="M643" s="9" t="str">
        <f t="shared" ref="M643:M706" si="42">IF(ISERR(I643/H643),"",I643/H643)</f>
        <v/>
      </c>
      <c r="N643" s="9" t="str">
        <f t="shared" ref="N643:N706" si="43">IF(ISERR(L643/K643),"",L643/K643)</f>
        <v/>
      </c>
    </row>
    <row r="644" spans="1:14" x14ac:dyDescent="0.25">
      <c r="A644" t="str">
        <f>TEXT("1/"&amp;data!A644,"mmmm")</f>
        <v>mars</v>
      </c>
      <c r="B644">
        <f>data!B644</f>
        <v>2016</v>
      </c>
      <c r="C644" t="str">
        <f>data!C644</f>
        <v>040</v>
      </c>
      <c r="D644" t="str">
        <f>data!D644</f>
        <v>CHÂTEAU DE LA GRAVE</v>
      </c>
      <c r="E644" t="str">
        <f>data!E644</f>
        <v>040015</v>
      </c>
      <c r="F644" t="str">
        <f>data!F644</f>
        <v>AC C DE BOURG. CARACTERE</v>
      </c>
      <c r="G644" s="10">
        <f>data!G644</f>
        <v>91.8</v>
      </c>
      <c r="H644" s="10">
        <f>data!I644</f>
        <v>178.2</v>
      </c>
      <c r="I644" s="10">
        <f t="shared" si="40"/>
        <v>-86.399999999999991</v>
      </c>
      <c r="J644" s="11">
        <f>data!H644</f>
        <v>18</v>
      </c>
      <c r="K644" s="11">
        <f>data!J644</f>
        <v>36</v>
      </c>
      <c r="L644" s="11">
        <f t="shared" si="41"/>
        <v>-18</v>
      </c>
      <c r="M644" s="9">
        <f t="shared" si="42"/>
        <v>-0.48484848484848481</v>
      </c>
      <c r="N644" s="9">
        <f t="shared" si="43"/>
        <v>-0.5</v>
      </c>
    </row>
    <row r="645" spans="1:14" x14ac:dyDescent="0.25">
      <c r="A645" t="str">
        <f>TEXT("1/"&amp;data!A645,"mmmm")</f>
        <v>mars</v>
      </c>
      <c r="B645">
        <f>data!B645</f>
        <v>2016</v>
      </c>
      <c r="C645" t="str">
        <f>data!C645</f>
        <v>040</v>
      </c>
      <c r="D645" t="str">
        <f>data!D645</f>
        <v>CHÂTEAU DE LA GRAVE</v>
      </c>
      <c r="E645" t="str">
        <f>data!E645</f>
        <v>040017</v>
      </c>
      <c r="F645" t="str">
        <f>data!F645</f>
        <v>AC C DE BOURG F.CHENE NECTAR</v>
      </c>
      <c r="G645" s="10">
        <f>data!G645</f>
        <v>49.2</v>
      </c>
      <c r="H645" s="10">
        <f>data!I645</f>
        <v>49.2</v>
      </c>
      <c r="I645" s="10">
        <f t="shared" si="40"/>
        <v>0</v>
      </c>
      <c r="J645" s="11">
        <f>data!H645</f>
        <v>6</v>
      </c>
      <c r="K645" s="11">
        <f>data!J645</f>
        <v>6</v>
      </c>
      <c r="L645" s="11">
        <f t="shared" si="41"/>
        <v>0</v>
      </c>
      <c r="M645" s="9">
        <f t="shared" si="42"/>
        <v>0</v>
      </c>
      <c r="N645" s="9">
        <f t="shared" si="43"/>
        <v>0</v>
      </c>
    </row>
    <row r="646" spans="1:14" x14ac:dyDescent="0.25">
      <c r="A646" t="str">
        <f>TEXT("1/"&amp;data!A646,"mmmm")</f>
        <v>mars</v>
      </c>
      <c r="B646">
        <f>data!B646</f>
        <v>2016</v>
      </c>
      <c r="C646" t="str">
        <f>data!C646</f>
        <v>041</v>
      </c>
      <c r="D646" t="str">
        <f>data!D646</f>
        <v>CHATEAU TOUR DE PEZ</v>
      </c>
      <c r="E646" t="str">
        <f>data!E646</f>
        <v>041002</v>
      </c>
      <c r="F646" t="str">
        <f>data!F646</f>
        <v>AC ST ESTEPHE C.TOUR DE PEZ</v>
      </c>
      <c r="G646" s="10">
        <f>data!G646</f>
        <v>138.6</v>
      </c>
      <c r="H646" s="10">
        <f>data!I646</f>
        <v>0</v>
      </c>
      <c r="I646" s="10">
        <f t="shared" si="40"/>
        <v>138.6</v>
      </c>
      <c r="J646" s="11">
        <f>data!H646</f>
        <v>12</v>
      </c>
      <c r="K646" s="11">
        <f>data!J646</f>
        <v>0</v>
      </c>
      <c r="L646" s="11">
        <f t="shared" si="41"/>
        <v>12</v>
      </c>
      <c r="M646" s="9" t="str">
        <f t="shared" si="42"/>
        <v/>
      </c>
      <c r="N646" s="9" t="str">
        <f t="shared" si="43"/>
        <v/>
      </c>
    </row>
    <row r="647" spans="1:14" x14ac:dyDescent="0.25">
      <c r="A647" t="str">
        <f>TEXT("1/"&amp;data!A647,"mmmm")</f>
        <v>mars</v>
      </c>
      <c r="B647">
        <f>data!B647</f>
        <v>2016</v>
      </c>
      <c r="C647" t="str">
        <f>data!C647</f>
        <v>041</v>
      </c>
      <c r="D647" t="str">
        <f>data!D647</f>
        <v>CHATEAU TOUR DE PEZ</v>
      </c>
      <c r="E647" t="str">
        <f>data!E647</f>
        <v>041011</v>
      </c>
      <c r="F647" t="str">
        <f>data!F647</f>
        <v>AC ST ESTEPHE CRU BOURGEOIS C.HTS PEZ</v>
      </c>
      <c r="G647" s="10">
        <f>data!G647</f>
        <v>105</v>
      </c>
      <c r="H647" s="10">
        <f>data!I647</f>
        <v>410.4</v>
      </c>
      <c r="I647" s="10">
        <f t="shared" si="40"/>
        <v>-305.39999999999998</v>
      </c>
      <c r="J647" s="11">
        <f>data!H647</f>
        <v>12</v>
      </c>
      <c r="K647" s="11">
        <f>data!J647</f>
        <v>60</v>
      </c>
      <c r="L647" s="11">
        <f t="shared" si="41"/>
        <v>-48</v>
      </c>
      <c r="M647" s="9">
        <f t="shared" si="42"/>
        <v>-0.74415204678362568</v>
      </c>
      <c r="N647" s="9">
        <f t="shared" si="43"/>
        <v>-0.8</v>
      </c>
    </row>
    <row r="648" spans="1:14" x14ac:dyDescent="0.25">
      <c r="A648" t="str">
        <f>TEXT("1/"&amp;data!A648,"mmmm")</f>
        <v>mars</v>
      </c>
      <c r="B648">
        <f>data!B648</f>
        <v>2016</v>
      </c>
      <c r="C648" t="str">
        <f>data!C648</f>
        <v>041</v>
      </c>
      <c r="D648" t="str">
        <f>data!D648</f>
        <v>CHATEAU TOUR DE PEZ</v>
      </c>
      <c r="E648" t="str">
        <f>data!E648</f>
        <v>041016</v>
      </c>
      <c r="F648" t="str">
        <f>data!F648</f>
        <v>AOP SAINT- ESTEPHE CH LES HAUTS DE PEZ</v>
      </c>
      <c r="G648" s="10">
        <f>data!G648</f>
        <v>954.3</v>
      </c>
      <c r="H648" s="10">
        <f>data!I648</f>
        <v>0</v>
      </c>
      <c r="I648" s="10">
        <f t="shared" si="40"/>
        <v>954.3</v>
      </c>
      <c r="J648" s="11">
        <f>data!H648</f>
        <v>114</v>
      </c>
      <c r="K648" s="11">
        <f>data!J648</f>
        <v>0</v>
      </c>
      <c r="L648" s="11">
        <f t="shared" si="41"/>
        <v>114</v>
      </c>
      <c r="M648" s="9" t="str">
        <f t="shared" si="42"/>
        <v/>
      </c>
      <c r="N648" s="9" t="str">
        <f t="shared" si="43"/>
        <v/>
      </c>
    </row>
    <row r="649" spans="1:14" x14ac:dyDescent="0.25">
      <c r="A649" t="str">
        <f>TEXT("1/"&amp;data!A649,"mmmm")</f>
        <v>mars</v>
      </c>
      <c r="B649">
        <f>data!B649</f>
        <v>2016</v>
      </c>
      <c r="C649" t="str">
        <f>data!C649</f>
        <v>046</v>
      </c>
      <c r="D649" t="str">
        <f>data!D649</f>
        <v>MR JEAN PIERRE CABANES</v>
      </c>
      <c r="E649" t="str">
        <f>data!E649</f>
        <v>046001</v>
      </c>
      <c r="F649" t="str">
        <f>data!F649</f>
        <v>AC CTX DU LANGU TRAD D.ARCHIMBAUD</v>
      </c>
      <c r="G649" s="10">
        <f>data!G649</f>
        <v>216</v>
      </c>
      <c r="H649" s="10">
        <f>data!I649</f>
        <v>713.4</v>
      </c>
      <c r="I649" s="10">
        <f t="shared" si="40"/>
        <v>-497.4</v>
      </c>
      <c r="J649" s="11">
        <f>data!H649</f>
        <v>48</v>
      </c>
      <c r="K649" s="11">
        <f>data!J649</f>
        <v>174</v>
      </c>
      <c r="L649" s="11">
        <f t="shared" si="41"/>
        <v>-126</v>
      </c>
      <c r="M649" s="9">
        <f t="shared" si="42"/>
        <v>-0.6972245584524811</v>
      </c>
      <c r="N649" s="9">
        <f t="shared" si="43"/>
        <v>-0.72413793103448276</v>
      </c>
    </row>
    <row r="650" spans="1:14" x14ac:dyDescent="0.25">
      <c r="A650" t="str">
        <f>TEXT("1/"&amp;data!A650,"mmmm")</f>
        <v>mars</v>
      </c>
      <c r="B650">
        <f>data!B650</f>
        <v>2016</v>
      </c>
      <c r="C650" t="str">
        <f>data!C650</f>
        <v>046</v>
      </c>
      <c r="D650" t="str">
        <f>data!D650</f>
        <v>MR JEAN PIERRE CABANES</v>
      </c>
      <c r="E650" t="str">
        <f>data!E650</f>
        <v>046010</v>
      </c>
      <c r="F650" t="str">
        <f>data!F650</f>
        <v>AC COT DU LANG ROBE POURPRE</v>
      </c>
      <c r="G650" s="10">
        <f>data!G650</f>
        <v>82.8</v>
      </c>
      <c r="H650" s="10">
        <f>data!I650</f>
        <v>806.4</v>
      </c>
      <c r="I650" s="10">
        <f t="shared" si="40"/>
        <v>-723.6</v>
      </c>
      <c r="J650" s="11">
        <f>data!H650</f>
        <v>12</v>
      </c>
      <c r="K650" s="11">
        <f>data!J650</f>
        <v>126</v>
      </c>
      <c r="L650" s="11">
        <f t="shared" si="41"/>
        <v>-114</v>
      </c>
      <c r="M650" s="9">
        <f t="shared" si="42"/>
        <v>-0.8973214285714286</v>
      </c>
      <c r="N650" s="9">
        <f t="shared" si="43"/>
        <v>-0.90476190476190477</v>
      </c>
    </row>
    <row r="651" spans="1:14" x14ac:dyDescent="0.25">
      <c r="A651" t="str">
        <f>TEXT("1/"&amp;data!A651,"mmmm")</f>
        <v>mars</v>
      </c>
      <c r="B651">
        <f>data!B651</f>
        <v>2016</v>
      </c>
      <c r="C651" t="str">
        <f>data!C651</f>
        <v>046</v>
      </c>
      <c r="D651" t="str">
        <f>data!D651</f>
        <v>MR JEAN PIERRE CABANES</v>
      </c>
      <c r="E651" t="str">
        <f>data!E651</f>
        <v>046015</v>
      </c>
      <c r="F651" t="str">
        <f>data!F651</f>
        <v>AC COT DU LANGU D.ARCHIMBAUD</v>
      </c>
      <c r="G651" s="10">
        <f>data!G651</f>
        <v>336</v>
      </c>
      <c r="H651" s="10">
        <f>data!I651</f>
        <v>906</v>
      </c>
      <c r="I651" s="10">
        <f t="shared" si="40"/>
        <v>-570</v>
      </c>
      <c r="J651" s="11">
        <f>data!H651</f>
        <v>90</v>
      </c>
      <c r="K651" s="11">
        <f>data!J651</f>
        <v>264</v>
      </c>
      <c r="L651" s="11">
        <f t="shared" si="41"/>
        <v>-174</v>
      </c>
      <c r="M651" s="9">
        <f t="shared" si="42"/>
        <v>-0.62913907284768211</v>
      </c>
      <c r="N651" s="9">
        <f t="shared" si="43"/>
        <v>-0.65909090909090906</v>
      </c>
    </row>
    <row r="652" spans="1:14" x14ac:dyDescent="0.25">
      <c r="A652" t="str">
        <f>TEXT("1/"&amp;data!A652,"mmmm")</f>
        <v>mars</v>
      </c>
      <c r="B652">
        <f>data!B652</f>
        <v>2016</v>
      </c>
      <c r="C652" t="str">
        <f>data!C652</f>
        <v>046</v>
      </c>
      <c r="D652" t="str">
        <f>data!D652</f>
        <v>MR JEAN PIERRE CABANES</v>
      </c>
      <c r="E652" t="str">
        <f>data!E652</f>
        <v>046020</v>
      </c>
      <c r="F652" t="str">
        <f>data!F652</f>
        <v>AC COTEAUX DU LANGUEDOC ENFANT TERRIBLE</v>
      </c>
      <c r="G652" s="10">
        <f>data!G652</f>
        <v>135</v>
      </c>
      <c r="H652" s="10">
        <f>data!I652</f>
        <v>0</v>
      </c>
      <c r="I652" s="10">
        <f t="shared" si="40"/>
        <v>135</v>
      </c>
      <c r="J652" s="11">
        <f>data!H652</f>
        <v>18</v>
      </c>
      <c r="K652" s="11">
        <f>data!J652</f>
        <v>0</v>
      </c>
      <c r="L652" s="11">
        <f t="shared" si="41"/>
        <v>18</v>
      </c>
      <c r="M652" s="9" t="str">
        <f t="shared" si="42"/>
        <v/>
      </c>
      <c r="N652" s="9" t="str">
        <f t="shared" si="43"/>
        <v/>
      </c>
    </row>
    <row r="653" spans="1:14" x14ac:dyDescent="0.25">
      <c r="A653" t="str">
        <f>TEXT("1/"&amp;data!A653,"mmmm")</f>
        <v>mars</v>
      </c>
      <c r="B653">
        <f>data!B653</f>
        <v>2016</v>
      </c>
      <c r="C653" t="str">
        <f>data!C653</f>
        <v>048B</v>
      </c>
      <c r="D653" t="str">
        <f>data!D653</f>
        <v>SCEA BOURLON DESTOUEST</v>
      </c>
      <c r="E653" t="str">
        <f>data!E653</f>
        <v>048003B</v>
      </c>
      <c r="F653" t="str">
        <f>data!F653</f>
        <v>AC PUISSEGUIN ST EMILION</v>
      </c>
      <c r="G653" s="10">
        <f>data!G653</f>
        <v>910.8</v>
      </c>
      <c r="H653" s="10">
        <f>data!I653</f>
        <v>1023</v>
      </c>
      <c r="I653" s="10">
        <f t="shared" si="40"/>
        <v>-112.20000000000005</v>
      </c>
      <c r="J653" s="11">
        <f>data!H653</f>
        <v>162</v>
      </c>
      <c r="K653" s="11">
        <f>data!J653</f>
        <v>192</v>
      </c>
      <c r="L653" s="11">
        <f t="shared" si="41"/>
        <v>-30</v>
      </c>
      <c r="M653" s="9">
        <f t="shared" si="42"/>
        <v>-0.10967741935483875</v>
      </c>
      <c r="N653" s="9">
        <f t="shared" si="43"/>
        <v>-0.15625</v>
      </c>
    </row>
    <row r="654" spans="1:14" x14ac:dyDescent="0.25">
      <c r="A654" t="str">
        <f>TEXT("1/"&amp;data!A654,"mmmm")</f>
        <v>mars</v>
      </c>
      <c r="B654">
        <f>data!B654</f>
        <v>2016</v>
      </c>
      <c r="C654" t="str">
        <f>data!C654</f>
        <v>048B</v>
      </c>
      <c r="D654" t="str">
        <f>data!D654</f>
        <v>SCEA BOURLON DESTOUEST</v>
      </c>
      <c r="E654" t="str">
        <f>data!E654</f>
        <v>048006B</v>
      </c>
      <c r="F654" t="str">
        <f>data!F654</f>
        <v>AOP PUISSEGUIN ST EMILION CH GUIBEAU</v>
      </c>
      <c r="G654" s="10">
        <f>data!G654</f>
        <v>213.6</v>
      </c>
      <c r="H654" s="10">
        <f>data!I654</f>
        <v>0</v>
      </c>
      <c r="I654" s="10">
        <f t="shared" si="40"/>
        <v>213.6</v>
      </c>
      <c r="J654" s="11">
        <f>data!H654</f>
        <v>36</v>
      </c>
      <c r="K654" s="11">
        <f>data!J654</f>
        <v>0</v>
      </c>
      <c r="L654" s="11">
        <f t="shared" si="41"/>
        <v>36</v>
      </c>
      <c r="M654" s="9" t="str">
        <f t="shared" si="42"/>
        <v/>
      </c>
      <c r="N654" s="9" t="str">
        <f t="shared" si="43"/>
        <v/>
      </c>
    </row>
    <row r="655" spans="1:14" x14ac:dyDescent="0.25">
      <c r="A655" t="str">
        <f>TEXT("1/"&amp;data!A655,"mmmm")</f>
        <v>mars</v>
      </c>
      <c r="B655">
        <f>data!B655</f>
        <v>2016</v>
      </c>
      <c r="C655" t="str">
        <f>data!C655</f>
        <v>049</v>
      </c>
      <c r="D655" t="str">
        <f>data!D655</f>
        <v>MAISON GRANDEAU</v>
      </c>
      <c r="E655" t="str">
        <f>data!E655</f>
        <v>049007</v>
      </c>
      <c r="F655" t="str">
        <f>data!F655</f>
        <v>AC BX SUP Tradi  CH LAUDUC</v>
      </c>
      <c r="G655" s="10">
        <f>data!G655</f>
        <v>140.69999999999999</v>
      </c>
      <c r="H655" s="10">
        <f>data!I655</f>
        <v>59.4</v>
      </c>
      <c r="I655" s="10">
        <f t="shared" si="40"/>
        <v>81.299999999999983</v>
      </c>
      <c r="J655" s="11">
        <f>data!H655</f>
        <v>48</v>
      </c>
      <c r="K655" s="11">
        <f>data!J655</f>
        <v>24</v>
      </c>
      <c r="L655" s="11">
        <f t="shared" si="41"/>
        <v>24</v>
      </c>
      <c r="M655" s="9">
        <f t="shared" si="42"/>
        <v>1.3686868686868685</v>
      </c>
      <c r="N655" s="9">
        <f t="shared" si="43"/>
        <v>1</v>
      </c>
    </row>
    <row r="656" spans="1:14" x14ac:dyDescent="0.25">
      <c r="A656" t="str">
        <f>TEXT("1/"&amp;data!A656,"mmmm")</f>
        <v>mars</v>
      </c>
      <c r="B656">
        <f>data!B656</f>
        <v>2016</v>
      </c>
      <c r="C656" t="str">
        <f>data!C656</f>
        <v>049</v>
      </c>
      <c r="D656" t="str">
        <f>data!D656</f>
        <v>MAISON GRANDEAU</v>
      </c>
      <c r="E656" t="str">
        <f>data!E656</f>
        <v>049008</v>
      </c>
      <c r="F656" t="str">
        <f>data!F656</f>
        <v>AC BX SUP Tradi  CH LAUDUC</v>
      </c>
      <c r="G656" s="10">
        <f>data!G656</f>
        <v>252</v>
      </c>
      <c r="H656" s="10">
        <f>data!I656</f>
        <v>0</v>
      </c>
      <c r="I656" s="10">
        <f t="shared" si="40"/>
        <v>252</v>
      </c>
      <c r="J656" s="11">
        <f>data!H656</f>
        <v>60</v>
      </c>
      <c r="K656" s="11">
        <f>data!J656</f>
        <v>0</v>
      </c>
      <c r="L656" s="11">
        <f t="shared" si="41"/>
        <v>60</v>
      </c>
      <c r="M656" s="9" t="str">
        <f t="shared" si="42"/>
        <v/>
      </c>
      <c r="N656" s="9" t="str">
        <f t="shared" si="43"/>
        <v/>
      </c>
    </row>
    <row r="657" spans="1:14" x14ac:dyDescent="0.25">
      <c r="A657" t="str">
        <f>TEXT("1/"&amp;data!A657,"mmmm")</f>
        <v>mars</v>
      </c>
      <c r="B657">
        <f>data!B657</f>
        <v>2016</v>
      </c>
      <c r="C657" t="str">
        <f>data!C657</f>
        <v>049</v>
      </c>
      <c r="D657" t="str">
        <f>data!D657</f>
        <v>MAISON GRANDEAU</v>
      </c>
      <c r="E657" t="str">
        <f>data!E657</f>
        <v>049014</v>
      </c>
      <c r="F657" t="str">
        <f>data!F657</f>
        <v>AC ENTRE DEUX MER CH FLAMAND BELLEVUE</v>
      </c>
      <c r="G657" s="10">
        <f>data!G657</f>
        <v>13.5</v>
      </c>
      <c r="H657" s="10">
        <f>data!I657</f>
        <v>27</v>
      </c>
      <c r="I657" s="10">
        <f t="shared" si="40"/>
        <v>-13.5</v>
      </c>
      <c r="J657" s="11">
        <f>data!H657</f>
        <v>6</v>
      </c>
      <c r="K657" s="11">
        <f>data!J657</f>
        <v>18</v>
      </c>
      <c r="L657" s="11">
        <f t="shared" si="41"/>
        <v>-12</v>
      </c>
      <c r="M657" s="9">
        <f t="shared" si="42"/>
        <v>-0.5</v>
      </c>
      <c r="N657" s="9">
        <f t="shared" si="43"/>
        <v>-0.66666666666666663</v>
      </c>
    </row>
    <row r="658" spans="1:14" x14ac:dyDescent="0.25">
      <c r="A658" t="str">
        <f>TEXT("1/"&amp;data!A658,"mmmm")</f>
        <v>mars</v>
      </c>
      <c r="B658">
        <f>data!B658</f>
        <v>2016</v>
      </c>
      <c r="C658" t="str">
        <f>data!C658</f>
        <v>049</v>
      </c>
      <c r="D658" t="str">
        <f>data!D658</f>
        <v>MAISON GRANDEAU</v>
      </c>
      <c r="E658" t="str">
        <f>data!E658</f>
        <v>049015</v>
      </c>
      <c r="F658" t="str">
        <f>data!F658</f>
        <v>AC BDX Classic CH LAUDUC</v>
      </c>
      <c r="G658" s="10">
        <f>data!G658</f>
        <v>591.6</v>
      </c>
      <c r="H658" s="10">
        <f>data!I658</f>
        <v>1231.2</v>
      </c>
      <c r="I658" s="10">
        <f t="shared" si="40"/>
        <v>-639.6</v>
      </c>
      <c r="J658" s="11">
        <f>data!H658</f>
        <v>204</v>
      </c>
      <c r="K658" s="11">
        <f>data!J658</f>
        <v>432</v>
      </c>
      <c r="L658" s="11">
        <f t="shared" si="41"/>
        <v>-228</v>
      </c>
      <c r="M658" s="9">
        <f t="shared" si="42"/>
        <v>-0.51949317738791423</v>
      </c>
      <c r="N658" s="9">
        <f t="shared" si="43"/>
        <v>-0.52777777777777779</v>
      </c>
    </row>
    <row r="659" spans="1:14" x14ac:dyDescent="0.25">
      <c r="A659" t="str">
        <f>TEXT("1/"&amp;data!A659,"mmmm")</f>
        <v>mars</v>
      </c>
      <c r="B659">
        <f>data!B659</f>
        <v>2016</v>
      </c>
      <c r="C659" t="str">
        <f>data!C659</f>
        <v>049</v>
      </c>
      <c r="D659" t="str">
        <f>data!D659</f>
        <v>MAISON GRANDEAU</v>
      </c>
      <c r="E659" t="str">
        <f>data!E659</f>
        <v>049016</v>
      </c>
      <c r="F659" t="str">
        <f>data!F659</f>
        <v>AC BDX Classic CH LAUDUC</v>
      </c>
      <c r="G659" s="10">
        <f>data!G659</f>
        <v>111</v>
      </c>
      <c r="H659" s="10">
        <f>data!I659</f>
        <v>259.2</v>
      </c>
      <c r="I659" s="10">
        <f t="shared" si="40"/>
        <v>-148.19999999999999</v>
      </c>
      <c r="J659" s="11">
        <f>data!H659</f>
        <v>30</v>
      </c>
      <c r="K659" s="11">
        <f>data!J659</f>
        <v>72</v>
      </c>
      <c r="L659" s="11">
        <f t="shared" si="41"/>
        <v>-42</v>
      </c>
      <c r="M659" s="9">
        <f t="shared" si="42"/>
        <v>-0.57175925925925919</v>
      </c>
      <c r="N659" s="9">
        <f t="shared" si="43"/>
        <v>-0.58333333333333337</v>
      </c>
    </row>
    <row r="660" spans="1:14" x14ac:dyDescent="0.25">
      <c r="A660" t="str">
        <f>TEXT("1/"&amp;data!A660,"mmmm")</f>
        <v>mars</v>
      </c>
      <c r="B660">
        <f>data!B660</f>
        <v>2016</v>
      </c>
      <c r="C660" t="str">
        <f>data!C660</f>
        <v>049</v>
      </c>
      <c r="D660" t="str">
        <f>data!D660</f>
        <v>MAISON GRANDEAU</v>
      </c>
      <c r="E660" t="str">
        <f>data!E660</f>
        <v>049020</v>
      </c>
      <c r="F660" t="str">
        <f>data!F660</f>
        <v>AC BDX CH.FLAMAND BELLEVUE</v>
      </c>
      <c r="G660" s="10">
        <f>data!G660</f>
        <v>1093.5</v>
      </c>
      <c r="H660" s="10">
        <f>data!I660</f>
        <v>1098</v>
      </c>
      <c r="I660" s="10">
        <f t="shared" si="40"/>
        <v>-4.5</v>
      </c>
      <c r="J660" s="11">
        <f>data!H660</f>
        <v>486</v>
      </c>
      <c r="K660" s="11">
        <f>data!J660</f>
        <v>516</v>
      </c>
      <c r="L660" s="11">
        <f t="shared" si="41"/>
        <v>-30</v>
      </c>
      <c r="M660" s="9">
        <f t="shared" si="42"/>
        <v>-4.0983606557377051E-3</v>
      </c>
      <c r="N660" s="9">
        <f t="shared" si="43"/>
        <v>-5.8139534883720929E-2</v>
      </c>
    </row>
    <row r="661" spans="1:14" x14ac:dyDescent="0.25">
      <c r="A661" t="str">
        <f>TEXT("1/"&amp;data!A661,"mmmm")</f>
        <v>mars</v>
      </c>
      <c r="B661">
        <f>data!B661</f>
        <v>2016</v>
      </c>
      <c r="C661" t="str">
        <f>data!C661</f>
        <v>049</v>
      </c>
      <c r="D661" t="str">
        <f>data!D661</f>
        <v>MAISON GRANDEAU</v>
      </c>
      <c r="E661" t="str">
        <f>data!E661</f>
        <v>049023</v>
      </c>
      <c r="F661" t="str">
        <f>data!F661</f>
        <v>AC BDX CH.FLAMAND BELLEVUE</v>
      </c>
      <c r="G661" s="10">
        <f>data!G661</f>
        <v>39.6</v>
      </c>
      <c r="H661" s="10">
        <f>data!I661</f>
        <v>0</v>
      </c>
      <c r="I661" s="10">
        <f t="shared" si="40"/>
        <v>39.6</v>
      </c>
      <c r="J661" s="11">
        <f>data!H661</f>
        <v>12</v>
      </c>
      <c r="K661" s="11">
        <f>data!J661</f>
        <v>0</v>
      </c>
      <c r="L661" s="11">
        <f t="shared" si="41"/>
        <v>12</v>
      </c>
      <c r="M661" s="9" t="str">
        <f t="shared" si="42"/>
        <v/>
      </c>
      <c r="N661" s="9" t="str">
        <f t="shared" si="43"/>
        <v/>
      </c>
    </row>
    <row r="662" spans="1:14" x14ac:dyDescent="0.25">
      <c r="A662" t="str">
        <f>TEXT("1/"&amp;data!A662,"mmmm")</f>
        <v>mars</v>
      </c>
      <c r="B662">
        <f>data!B662</f>
        <v>2016</v>
      </c>
      <c r="C662" t="str">
        <f>data!C662</f>
        <v>050</v>
      </c>
      <c r="D662" t="str">
        <f>data!D662</f>
        <v>CHÂTEAU HAUT LIGNIERES</v>
      </c>
      <c r="E662" t="str">
        <f>data!E662</f>
        <v>050001</v>
      </c>
      <c r="F662" t="str">
        <f>data!F662</f>
        <v>AC FAUGERES LE 1ER CH HAUT LIGNIERES</v>
      </c>
      <c r="G662" s="10">
        <f>data!G662</f>
        <v>1735.5</v>
      </c>
      <c r="H662" s="10">
        <f>data!I662</f>
        <v>1494.6</v>
      </c>
      <c r="I662" s="10">
        <f t="shared" si="40"/>
        <v>240.90000000000009</v>
      </c>
      <c r="J662" s="11">
        <f>data!H662</f>
        <v>534</v>
      </c>
      <c r="K662" s="11">
        <f>data!J662</f>
        <v>474</v>
      </c>
      <c r="L662" s="11">
        <f t="shared" si="41"/>
        <v>60</v>
      </c>
      <c r="M662" s="9">
        <f t="shared" si="42"/>
        <v>0.16118024889602575</v>
      </c>
      <c r="N662" s="9">
        <f t="shared" si="43"/>
        <v>0.12658227848101267</v>
      </c>
    </row>
    <row r="663" spans="1:14" x14ac:dyDescent="0.25">
      <c r="A663" t="str">
        <f>TEXT("1/"&amp;data!A663,"mmmm")</f>
        <v>mars</v>
      </c>
      <c r="B663">
        <f>data!B663</f>
        <v>2016</v>
      </c>
      <c r="C663" t="str">
        <f>data!C663</f>
        <v>050</v>
      </c>
      <c r="D663" t="str">
        <f>data!D663</f>
        <v>CHÂTEAU HAUT LIGNIERES</v>
      </c>
      <c r="E663" t="str">
        <f>data!E663</f>
        <v>050003</v>
      </c>
      <c r="F663" t="str">
        <f>data!F663</f>
        <v>AC FAUGERES HT LIGNIERES</v>
      </c>
      <c r="G663" s="10">
        <f>data!G663</f>
        <v>312</v>
      </c>
      <c r="H663" s="10">
        <f>data!I663</f>
        <v>76.8</v>
      </c>
      <c r="I663" s="10">
        <f t="shared" si="40"/>
        <v>235.2</v>
      </c>
      <c r="J663" s="11">
        <f>data!H663</f>
        <v>96</v>
      </c>
      <c r="K663" s="11">
        <f>data!J663</f>
        <v>30</v>
      </c>
      <c r="L663" s="11">
        <f t="shared" si="41"/>
        <v>66</v>
      </c>
      <c r="M663" s="9">
        <f t="shared" si="42"/>
        <v>3.0625</v>
      </c>
      <c r="N663" s="9">
        <f t="shared" si="43"/>
        <v>2.2000000000000002</v>
      </c>
    </row>
    <row r="664" spans="1:14" x14ac:dyDescent="0.25">
      <c r="A664" t="str">
        <f>TEXT("1/"&amp;data!A664,"mmmm")</f>
        <v>mars</v>
      </c>
      <c r="B664">
        <f>data!B664</f>
        <v>2016</v>
      </c>
      <c r="C664" t="str">
        <f>data!C664</f>
        <v>050</v>
      </c>
      <c r="D664" t="str">
        <f>data!D664</f>
        <v>CHÂTEAU HAUT LIGNIERES</v>
      </c>
      <c r="E664" t="str">
        <f>data!E664</f>
        <v>050005</v>
      </c>
      <c r="F664" t="str">
        <f>data!F664</f>
        <v>AC FAUGERES ROMY CH HAUT LIGNIERES</v>
      </c>
      <c r="G664" s="10">
        <f>data!G664</f>
        <v>290.39999999999998</v>
      </c>
      <c r="H664" s="10">
        <f>data!I664</f>
        <v>52.8</v>
      </c>
      <c r="I664" s="10">
        <f t="shared" si="40"/>
        <v>237.59999999999997</v>
      </c>
      <c r="J664" s="11">
        <f>data!H664</f>
        <v>72</v>
      </c>
      <c r="K664" s="11">
        <f>data!J664</f>
        <v>18</v>
      </c>
      <c r="L664" s="11">
        <f t="shared" si="41"/>
        <v>54</v>
      </c>
      <c r="M664" s="9">
        <f t="shared" si="42"/>
        <v>4.5</v>
      </c>
      <c r="N664" s="9">
        <f t="shared" si="43"/>
        <v>3</v>
      </c>
    </row>
    <row r="665" spans="1:14" x14ac:dyDescent="0.25">
      <c r="A665" t="str">
        <f>TEXT("1/"&amp;data!A665,"mmmm")</f>
        <v>mars</v>
      </c>
      <c r="B665">
        <f>data!B665</f>
        <v>2016</v>
      </c>
      <c r="C665" t="str">
        <f>data!C665</f>
        <v>050</v>
      </c>
      <c r="D665" t="str">
        <f>data!D665</f>
        <v>CHÂTEAU HAUT LIGNIERES</v>
      </c>
      <c r="E665" t="str">
        <f>data!E665</f>
        <v>050010</v>
      </c>
      <c r="F665" t="str">
        <f>data!F665</f>
        <v>AC FAUGERES CARMINA BUT</v>
      </c>
      <c r="G665" s="10">
        <f>data!G665</f>
        <v>390</v>
      </c>
      <c r="H665" s="10">
        <f>data!I665</f>
        <v>156</v>
      </c>
      <c r="I665" s="10">
        <f t="shared" si="40"/>
        <v>234</v>
      </c>
      <c r="J665" s="11">
        <f>data!H665</f>
        <v>66</v>
      </c>
      <c r="K665" s="11">
        <f>data!J665</f>
        <v>30</v>
      </c>
      <c r="L665" s="11">
        <f t="shared" si="41"/>
        <v>36</v>
      </c>
      <c r="M665" s="9">
        <f t="shared" si="42"/>
        <v>1.5</v>
      </c>
      <c r="N665" s="9">
        <f t="shared" si="43"/>
        <v>1.2</v>
      </c>
    </row>
    <row r="666" spans="1:14" x14ac:dyDescent="0.25">
      <c r="A666" t="str">
        <f>TEXT("1/"&amp;data!A666,"mmmm")</f>
        <v>mars</v>
      </c>
      <c r="B666">
        <f>data!B666</f>
        <v>2016</v>
      </c>
      <c r="C666" t="str">
        <f>data!C666</f>
        <v>051</v>
      </c>
      <c r="D666" t="str">
        <f>data!D666</f>
        <v>CLOS TRIMOULET</v>
      </c>
      <c r="E666" t="str">
        <f>data!E666</f>
        <v>051000</v>
      </c>
      <c r="F666" t="str">
        <f>data!F666</f>
        <v>AC MONTAGNE ST EMILION .CH ST GEORGES</v>
      </c>
      <c r="G666" s="10">
        <f>data!G666</f>
        <v>2721.6</v>
      </c>
      <c r="H666" s="10">
        <f>data!I666</f>
        <v>4489.1000000000004</v>
      </c>
      <c r="I666" s="10">
        <f t="shared" si="40"/>
        <v>-1767.5000000000005</v>
      </c>
      <c r="J666" s="11">
        <f>data!H666</f>
        <v>486</v>
      </c>
      <c r="K666" s="11">
        <f>data!J666</f>
        <v>810</v>
      </c>
      <c r="L666" s="11">
        <f t="shared" si="41"/>
        <v>-324</v>
      </c>
      <c r="M666" s="9">
        <f t="shared" si="42"/>
        <v>-0.39373148292530802</v>
      </c>
      <c r="N666" s="9">
        <f t="shared" si="43"/>
        <v>-0.4</v>
      </c>
    </row>
    <row r="667" spans="1:14" x14ac:dyDescent="0.25">
      <c r="A667" t="str">
        <f>TEXT("1/"&amp;data!A667,"mmmm")</f>
        <v>mars</v>
      </c>
      <c r="B667">
        <f>data!B667</f>
        <v>2016</v>
      </c>
      <c r="C667" t="str">
        <f>data!C667</f>
        <v>051</v>
      </c>
      <c r="D667" t="str">
        <f>data!D667</f>
        <v>CLOS TRIMOULET</v>
      </c>
      <c r="E667" t="str">
        <f>data!E667</f>
        <v>051002CB</v>
      </c>
      <c r="F667" t="str">
        <f>data!F667</f>
        <v>AC ST EMILION GRAND CRU CLOS TRIMOULET CAISSE BOIS</v>
      </c>
      <c r="G667" s="10">
        <f>data!G667</f>
        <v>226.8</v>
      </c>
      <c r="H667" s="10">
        <f>data!I667</f>
        <v>0</v>
      </c>
      <c r="I667" s="10">
        <f t="shared" si="40"/>
        <v>226.8</v>
      </c>
      <c r="J667" s="11">
        <f>data!H667</f>
        <v>24</v>
      </c>
      <c r="K667" s="11">
        <f>data!J667</f>
        <v>0</v>
      </c>
      <c r="L667" s="11">
        <f t="shared" si="41"/>
        <v>24</v>
      </c>
      <c r="M667" s="9" t="str">
        <f t="shared" si="42"/>
        <v/>
      </c>
      <c r="N667" s="9" t="str">
        <f t="shared" si="43"/>
        <v/>
      </c>
    </row>
    <row r="668" spans="1:14" x14ac:dyDescent="0.25">
      <c r="A668" t="str">
        <f>TEXT("1/"&amp;data!A668,"mmmm")</f>
        <v>mars</v>
      </c>
      <c r="B668">
        <f>data!B668</f>
        <v>2016</v>
      </c>
      <c r="C668" t="str">
        <f>data!C668</f>
        <v>051</v>
      </c>
      <c r="D668" t="str">
        <f>data!D668</f>
        <v>CLOS TRIMOULET</v>
      </c>
      <c r="E668" t="str">
        <f>data!E668</f>
        <v>051010/11</v>
      </c>
      <c r="F668" t="str">
        <f>data!F668</f>
        <v>CLOS TRIMOULET AC ST EMILION GD CRU</v>
      </c>
      <c r="G668" s="10">
        <f>data!G668</f>
        <v>6023.7</v>
      </c>
      <c r="H668" s="10">
        <f>data!I668</f>
        <v>0</v>
      </c>
      <c r="I668" s="10">
        <f t="shared" si="40"/>
        <v>6023.7</v>
      </c>
      <c r="J668" s="11">
        <f>data!H668</f>
        <v>762</v>
      </c>
      <c r="K668" s="11">
        <f>data!J668</f>
        <v>0</v>
      </c>
      <c r="L668" s="11">
        <f t="shared" si="41"/>
        <v>762</v>
      </c>
      <c r="M668" s="9" t="str">
        <f t="shared" si="42"/>
        <v/>
      </c>
      <c r="N668" s="9" t="str">
        <f t="shared" si="43"/>
        <v/>
      </c>
    </row>
    <row r="669" spans="1:14" x14ac:dyDescent="0.25">
      <c r="A669" t="str">
        <f>TEXT("1/"&amp;data!A669,"mmmm")</f>
        <v>mars</v>
      </c>
      <c r="B669">
        <f>data!B669</f>
        <v>2016</v>
      </c>
      <c r="C669" t="str">
        <f>data!C669</f>
        <v>051</v>
      </c>
      <c r="D669" t="str">
        <f>data!D669</f>
        <v>CLOS TRIMOULET</v>
      </c>
      <c r="E669" t="str">
        <f>data!E669</f>
        <v>051017</v>
      </c>
      <c r="F669" t="str">
        <f>data!F669</f>
        <v>AC MONTAGNE ST EMILION CH ST GEORGES</v>
      </c>
      <c r="G669" s="10">
        <f>data!G669</f>
        <v>152.4</v>
      </c>
      <c r="H669" s="10">
        <f>data!I669</f>
        <v>457.2</v>
      </c>
      <c r="I669" s="10">
        <f t="shared" si="40"/>
        <v>-304.79999999999995</v>
      </c>
      <c r="J669" s="11">
        <f>data!H669</f>
        <v>24</v>
      </c>
      <c r="K669" s="11">
        <f>data!J669</f>
        <v>72</v>
      </c>
      <c r="L669" s="11">
        <f t="shared" si="41"/>
        <v>-48</v>
      </c>
      <c r="M669" s="9">
        <f t="shared" si="42"/>
        <v>-0.66666666666666663</v>
      </c>
      <c r="N669" s="9">
        <f t="shared" si="43"/>
        <v>-0.66666666666666663</v>
      </c>
    </row>
    <row r="670" spans="1:14" x14ac:dyDescent="0.25">
      <c r="A670" t="str">
        <f>TEXT("1/"&amp;data!A670,"mmmm")</f>
        <v>mars</v>
      </c>
      <c r="B670">
        <f>data!B670</f>
        <v>2016</v>
      </c>
      <c r="C670" t="str">
        <f>data!C670</f>
        <v>051</v>
      </c>
      <c r="D670" t="str">
        <f>data!D670</f>
        <v>CLOS TRIMOULET</v>
      </c>
      <c r="E670" t="str">
        <f>data!E670</f>
        <v>051133</v>
      </c>
      <c r="F670" t="str">
        <f>data!F670</f>
        <v>CLOS TRIMOULET AC ST EMILION GRAND CRU</v>
      </c>
      <c r="G670" s="10">
        <f>data!G670</f>
        <v>424.8</v>
      </c>
      <c r="H670" s="10">
        <f>data!I670</f>
        <v>834</v>
      </c>
      <c r="I670" s="10">
        <f t="shared" si="40"/>
        <v>-409.2</v>
      </c>
      <c r="J670" s="11">
        <f>data!H670</f>
        <v>48</v>
      </c>
      <c r="K670" s="11">
        <f>data!J670</f>
        <v>96</v>
      </c>
      <c r="L670" s="11">
        <f t="shared" si="41"/>
        <v>-48</v>
      </c>
      <c r="M670" s="9">
        <f t="shared" si="42"/>
        <v>-0.49064748201438846</v>
      </c>
      <c r="N670" s="9">
        <f t="shared" si="43"/>
        <v>-0.5</v>
      </c>
    </row>
    <row r="671" spans="1:14" x14ac:dyDescent="0.25">
      <c r="A671" t="str">
        <f>TEXT("1/"&amp;data!A671,"mmmm")</f>
        <v>mars</v>
      </c>
      <c r="B671">
        <f>data!B671</f>
        <v>2016</v>
      </c>
      <c r="C671" t="str">
        <f>data!C671</f>
        <v>051</v>
      </c>
      <c r="D671" t="str">
        <f>data!D671</f>
        <v>CLOS TRIMOULET</v>
      </c>
      <c r="E671" t="str">
        <f>data!E671</f>
        <v>CDV051016</v>
      </c>
      <c r="F671" t="str">
        <f>data!F671</f>
        <v>AC MONTAGNE ST EMILION CHEVALIER ST GEORGES</v>
      </c>
      <c r="G671" s="10">
        <f>data!G671</f>
        <v>158.4</v>
      </c>
      <c r="H671" s="10">
        <f>data!I671</f>
        <v>71.3</v>
      </c>
      <c r="I671" s="10">
        <f t="shared" si="40"/>
        <v>87.100000000000009</v>
      </c>
      <c r="J671" s="11">
        <f>data!H671</f>
        <v>24</v>
      </c>
      <c r="K671" s="11">
        <f>data!J671</f>
        <v>12</v>
      </c>
      <c r="L671" s="11">
        <f t="shared" si="41"/>
        <v>12</v>
      </c>
      <c r="M671" s="9">
        <f t="shared" si="42"/>
        <v>1.2215988779803648</v>
      </c>
      <c r="N671" s="9">
        <f t="shared" si="43"/>
        <v>1</v>
      </c>
    </row>
    <row r="672" spans="1:14" x14ac:dyDescent="0.25">
      <c r="A672" t="str">
        <f>TEXT("1/"&amp;data!A672,"mmmm")</f>
        <v>mars</v>
      </c>
      <c r="B672">
        <f>data!B672</f>
        <v>2016</v>
      </c>
      <c r="C672" t="str">
        <f>data!C672</f>
        <v>052</v>
      </c>
      <c r="D672" t="str">
        <f>data!D672</f>
        <v>GIRONDE ET GASCOGNE SARL</v>
      </c>
      <c r="E672" t="str">
        <f>data!E672</f>
        <v>052017</v>
      </c>
      <c r="F672" t="str">
        <f>data!F672</f>
        <v>AC HT MEDOC CRU B CH RAMAGE LA BATISSE</v>
      </c>
      <c r="G672" s="10">
        <f>data!G672</f>
        <v>117.9</v>
      </c>
      <c r="H672" s="10">
        <f>data!I672</f>
        <v>117.9</v>
      </c>
      <c r="I672" s="10">
        <f t="shared" si="40"/>
        <v>0</v>
      </c>
      <c r="J672" s="11">
        <f>data!H672</f>
        <v>12</v>
      </c>
      <c r="K672" s="11">
        <f>data!J672</f>
        <v>12</v>
      </c>
      <c r="L672" s="11">
        <f t="shared" si="41"/>
        <v>0</v>
      </c>
      <c r="M672" s="9">
        <f t="shared" si="42"/>
        <v>0</v>
      </c>
      <c r="N672" s="9">
        <f t="shared" si="43"/>
        <v>0</v>
      </c>
    </row>
    <row r="673" spans="1:14" x14ac:dyDescent="0.25">
      <c r="A673" t="str">
        <f>TEXT("1/"&amp;data!A673,"mmmm")</f>
        <v>mars</v>
      </c>
      <c r="B673">
        <f>data!B673</f>
        <v>2016</v>
      </c>
      <c r="C673" t="str">
        <f>data!C673</f>
        <v>052</v>
      </c>
      <c r="D673" t="str">
        <f>data!D673</f>
        <v>GIRONDE ET GASCOGNE SARL</v>
      </c>
      <c r="E673" t="str">
        <f>data!E673</f>
        <v>052021</v>
      </c>
      <c r="F673" t="str">
        <f>data!F673</f>
        <v>CH RAMAGE LA BATISSE AC HAUT MEDOC CRU BOURGEOIS C</v>
      </c>
      <c r="G673" s="10">
        <f>data!G673</f>
        <v>518.4</v>
      </c>
      <c r="H673" s="10">
        <f>data!I673</f>
        <v>1612.8</v>
      </c>
      <c r="I673" s="10">
        <f t="shared" si="40"/>
        <v>-1094.4000000000001</v>
      </c>
      <c r="J673" s="11">
        <f>data!H673</f>
        <v>54</v>
      </c>
      <c r="K673" s="11">
        <f>data!J673</f>
        <v>168</v>
      </c>
      <c r="L673" s="11">
        <f t="shared" si="41"/>
        <v>-114</v>
      </c>
      <c r="M673" s="9">
        <f t="shared" si="42"/>
        <v>-0.6785714285714286</v>
      </c>
      <c r="N673" s="9">
        <f t="shared" si="43"/>
        <v>-0.6785714285714286</v>
      </c>
    </row>
    <row r="674" spans="1:14" x14ac:dyDescent="0.25">
      <c r="A674" t="str">
        <f>TEXT("1/"&amp;data!A674,"mmmm")</f>
        <v>mars</v>
      </c>
      <c r="B674">
        <f>data!B674</f>
        <v>2016</v>
      </c>
      <c r="C674" t="str">
        <f>data!C674</f>
        <v>052</v>
      </c>
      <c r="D674" t="str">
        <f>data!D674</f>
        <v>GIRONDE ET GASCOGNE SARL</v>
      </c>
      <c r="E674" t="str">
        <f>data!E674</f>
        <v>052028</v>
      </c>
      <c r="F674" t="str">
        <f>data!F674</f>
        <v>AC BX LA ROSEE DE RAMAGE</v>
      </c>
      <c r="G674" s="10">
        <f>data!G674</f>
        <v>167.16</v>
      </c>
      <c r="H674" s="10">
        <f>data!I674</f>
        <v>413.4</v>
      </c>
      <c r="I674" s="10">
        <f t="shared" si="40"/>
        <v>-246.23999999999998</v>
      </c>
      <c r="J674" s="11">
        <f>data!H674</f>
        <v>84</v>
      </c>
      <c r="K674" s="11">
        <f>data!J674</f>
        <v>162</v>
      </c>
      <c r="L674" s="11">
        <f t="shared" si="41"/>
        <v>-78</v>
      </c>
      <c r="M674" s="9">
        <f t="shared" si="42"/>
        <v>-0.59564586357039184</v>
      </c>
      <c r="N674" s="9">
        <f t="shared" si="43"/>
        <v>-0.48148148148148145</v>
      </c>
    </row>
    <row r="675" spans="1:14" x14ac:dyDescent="0.25">
      <c r="A675" t="str">
        <f>TEXT("1/"&amp;data!A675,"mmmm")</f>
        <v>mars</v>
      </c>
      <c r="B675">
        <f>data!B675</f>
        <v>2016</v>
      </c>
      <c r="C675" t="str">
        <f>data!C675</f>
        <v>052</v>
      </c>
      <c r="D675" t="str">
        <f>data!D675</f>
        <v>GIRONDE ET GASCOGNE SARL</v>
      </c>
      <c r="E675" t="str">
        <f>data!E675</f>
        <v>052039</v>
      </c>
      <c r="F675" t="str">
        <f>data!F675</f>
        <v>AC HT-MEDOC CLOS DE RAMAGE</v>
      </c>
      <c r="G675" s="10">
        <f>data!G675</f>
        <v>411</v>
      </c>
      <c r="H675" s="10">
        <f>data!I675</f>
        <v>780.9</v>
      </c>
      <c r="I675" s="10">
        <f t="shared" si="40"/>
        <v>-369.9</v>
      </c>
      <c r="J675" s="11">
        <f>data!H675</f>
        <v>60</v>
      </c>
      <c r="K675" s="11">
        <f>data!J675</f>
        <v>114</v>
      </c>
      <c r="L675" s="11">
        <f t="shared" si="41"/>
        <v>-54</v>
      </c>
      <c r="M675" s="9">
        <f t="shared" si="42"/>
        <v>-0.47368421052631576</v>
      </c>
      <c r="N675" s="9">
        <f t="shared" si="43"/>
        <v>-0.47368421052631576</v>
      </c>
    </row>
    <row r="676" spans="1:14" x14ac:dyDescent="0.25">
      <c r="A676" t="str">
        <f>TEXT("1/"&amp;data!A676,"mmmm")</f>
        <v>mars</v>
      </c>
      <c r="B676">
        <f>data!B676</f>
        <v>2016</v>
      </c>
      <c r="C676" t="str">
        <f>data!C676</f>
        <v>052</v>
      </c>
      <c r="D676" t="str">
        <f>data!D676</f>
        <v>GIRONDE ET GASCOGNE SARL</v>
      </c>
      <c r="E676" t="str">
        <f>data!E676</f>
        <v>052054</v>
      </c>
      <c r="F676" t="str">
        <f>data!F676</f>
        <v>CH DE BELCIER AC COTES DE CASTILLON</v>
      </c>
      <c r="G676" s="10">
        <f>data!G676</f>
        <v>71.400000000000006</v>
      </c>
      <c r="H676" s="10">
        <f>data!I676</f>
        <v>0</v>
      </c>
      <c r="I676" s="10">
        <f t="shared" si="40"/>
        <v>71.400000000000006</v>
      </c>
      <c r="J676" s="11">
        <f>data!H676</f>
        <v>12</v>
      </c>
      <c r="K676" s="11">
        <f>data!J676</f>
        <v>0</v>
      </c>
      <c r="L676" s="11">
        <f t="shared" si="41"/>
        <v>12</v>
      </c>
      <c r="M676" s="9" t="str">
        <f t="shared" si="42"/>
        <v/>
      </c>
      <c r="N676" s="9" t="str">
        <f t="shared" si="43"/>
        <v/>
      </c>
    </row>
    <row r="677" spans="1:14" x14ac:dyDescent="0.25">
      <c r="A677" t="str">
        <f>TEXT("1/"&amp;data!A677,"mmmm")</f>
        <v>mars</v>
      </c>
      <c r="B677">
        <f>data!B677</f>
        <v>2016</v>
      </c>
      <c r="C677" t="str">
        <f>data!C677</f>
        <v>052</v>
      </c>
      <c r="D677" t="str">
        <f>data!D677</f>
        <v>GIRONDE ET GASCOGNE SARL</v>
      </c>
      <c r="E677" t="str">
        <f>data!E677</f>
        <v>052055</v>
      </c>
      <c r="F677" t="str">
        <f>data!F677</f>
        <v>AC C CASTILLON. CH BELCIER</v>
      </c>
      <c r="G677" s="10">
        <f>data!G677</f>
        <v>41.1</v>
      </c>
      <c r="H677" s="10">
        <f>data!I677</f>
        <v>246.6</v>
      </c>
      <c r="I677" s="10">
        <f t="shared" si="40"/>
        <v>-205.5</v>
      </c>
      <c r="J677" s="11">
        <f>data!H677</f>
        <v>6</v>
      </c>
      <c r="K677" s="11">
        <f>data!J677</f>
        <v>36</v>
      </c>
      <c r="L677" s="11">
        <f t="shared" si="41"/>
        <v>-30</v>
      </c>
      <c r="M677" s="9">
        <f t="shared" si="42"/>
        <v>-0.83333333333333337</v>
      </c>
      <c r="N677" s="9">
        <f t="shared" si="43"/>
        <v>-0.83333333333333337</v>
      </c>
    </row>
    <row r="678" spans="1:14" x14ac:dyDescent="0.25">
      <c r="A678" t="str">
        <f>TEXT("1/"&amp;data!A678,"mmmm")</f>
        <v>mars</v>
      </c>
      <c r="B678">
        <f>data!B678</f>
        <v>2016</v>
      </c>
      <c r="C678" t="str">
        <f>data!C678</f>
        <v>052</v>
      </c>
      <c r="D678" t="str">
        <f>data!D678</f>
        <v>GIRONDE ET GASCOGNE SARL</v>
      </c>
      <c r="E678" t="str">
        <f>data!E678</f>
        <v>052062</v>
      </c>
      <c r="F678" t="str">
        <f>data!F678</f>
        <v>AC C CASTILLON. CH BELCIER</v>
      </c>
      <c r="G678" s="10">
        <f>data!G678</f>
        <v>169.8</v>
      </c>
      <c r="H678" s="10">
        <f>data!I678</f>
        <v>169.8</v>
      </c>
      <c r="I678" s="10">
        <f t="shared" si="40"/>
        <v>0</v>
      </c>
      <c r="J678" s="11">
        <f>data!H678</f>
        <v>24</v>
      </c>
      <c r="K678" s="11">
        <f>data!J678</f>
        <v>24</v>
      </c>
      <c r="L678" s="11">
        <f t="shared" si="41"/>
        <v>0</v>
      </c>
      <c r="M678" s="9">
        <f t="shared" si="42"/>
        <v>0</v>
      </c>
      <c r="N678" s="9">
        <f t="shared" si="43"/>
        <v>0</v>
      </c>
    </row>
    <row r="679" spans="1:14" x14ac:dyDescent="0.25">
      <c r="A679" t="str">
        <f>TEXT("1/"&amp;data!A679,"mmmm")</f>
        <v>mars</v>
      </c>
      <c r="B679">
        <f>data!B679</f>
        <v>2016</v>
      </c>
      <c r="C679" t="str">
        <f>data!C679</f>
        <v>054</v>
      </c>
      <c r="D679" t="str">
        <f>data!D679</f>
        <v>CHÂTEAU JEANDEMAN</v>
      </c>
      <c r="E679" t="str">
        <f>data!E679</f>
        <v>054002</v>
      </c>
      <c r="F679" t="str">
        <f>data!F679</f>
        <v>AC FRONSAC CH JEANDEMAN</v>
      </c>
      <c r="G679" s="10">
        <f>data!G679</f>
        <v>330</v>
      </c>
      <c r="H679" s="10">
        <f>data!I679</f>
        <v>1094.4000000000001</v>
      </c>
      <c r="I679" s="10">
        <f t="shared" si="40"/>
        <v>-764.40000000000009</v>
      </c>
      <c r="J679" s="11">
        <f>data!H679</f>
        <v>66</v>
      </c>
      <c r="K679" s="11">
        <f>data!J679</f>
        <v>228</v>
      </c>
      <c r="L679" s="11">
        <f t="shared" si="41"/>
        <v>-162</v>
      </c>
      <c r="M679" s="9">
        <f t="shared" si="42"/>
        <v>-0.69846491228070173</v>
      </c>
      <c r="N679" s="9">
        <f t="shared" si="43"/>
        <v>-0.71052631578947367</v>
      </c>
    </row>
    <row r="680" spans="1:14" x14ac:dyDescent="0.25">
      <c r="A680" t="str">
        <f>TEXT("1/"&amp;data!A680,"mmmm")</f>
        <v>mars</v>
      </c>
      <c r="B680">
        <f>data!B680</f>
        <v>2016</v>
      </c>
      <c r="C680" t="str">
        <f>data!C680</f>
        <v>054</v>
      </c>
      <c r="D680" t="str">
        <f>data!D680</f>
        <v>CHÂTEAU JEANDEMAN</v>
      </c>
      <c r="E680" t="str">
        <f>data!E680</f>
        <v>054005</v>
      </c>
      <c r="F680" t="str">
        <f>data!F680</f>
        <v>AC LALANDE DE POMEROL. CH LABORDE</v>
      </c>
      <c r="G680" s="10">
        <f>data!G680</f>
        <v>834.6</v>
      </c>
      <c r="H680" s="10">
        <f>data!I680</f>
        <v>441</v>
      </c>
      <c r="I680" s="10">
        <f t="shared" si="40"/>
        <v>393.6</v>
      </c>
      <c r="J680" s="11">
        <f>data!H680</f>
        <v>114</v>
      </c>
      <c r="K680" s="11">
        <f>data!J680</f>
        <v>60</v>
      </c>
      <c r="L680" s="11">
        <f t="shared" si="41"/>
        <v>54</v>
      </c>
      <c r="M680" s="9">
        <f t="shared" si="42"/>
        <v>0.89251700680272117</v>
      </c>
      <c r="N680" s="9">
        <f t="shared" si="43"/>
        <v>0.9</v>
      </c>
    </row>
    <row r="681" spans="1:14" x14ac:dyDescent="0.25">
      <c r="A681" t="str">
        <f>TEXT("1/"&amp;data!A681,"mmmm")</f>
        <v>mars</v>
      </c>
      <c r="B681">
        <f>data!B681</f>
        <v>2016</v>
      </c>
      <c r="C681" t="str">
        <f>data!C681</f>
        <v>054</v>
      </c>
      <c r="D681" t="str">
        <f>data!D681</f>
        <v>CHÂTEAU JEANDEMAN</v>
      </c>
      <c r="E681" t="str">
        <f>data!E681</f>
        <v>054011</v>
      </c>
      <c r="F681" t="str">
        <f>data!F681</f>
        <v>AC PESSAC LEOGNAN. CH MANCEDRE</v>
      </c>
      <c r="G681" s="10">
        <f>data!G681</f>
        <v>711.6</v>
      </c>
      <c r="H681" s="10">
        <f>data!I681</f>
        <v>554.4</v>
      </c>
      <c r="I681" s="10">
        <f t="shared" si="40"/>
        <v>157.20000000000005</v>
      </c>
      <c r="J681" s="11">
        <f>data!H681</f>
        <v>84</v>
      </c>
      <c r="K681" s="11">
        <f>data!J681</f>
        <v>72</v>
      </c>
      <c r="L681" s="11">
        <f t="shared" si="41"/>
        <v>12</v>
      </c>
      <c r="M681" s="9">
        <f t="shared" si="42"/>
        <v>0.28354978354978366</v>
      </c>
      <c r="N681" s="9">
        <f t="shared" si="43"/>
        <v>0.16666666666666666</v>
      </c>
    </row>
    <row r="682" spans="1:14" x14ac:dyDescent="0.25">
      <c r="A682" t="str">
        <f>TEXT("1/"&amp;data!A682,"mmmm")</f>
        <v>mars</v>
      </c>
      <c r="B682">
        <f>data!B682</f>
        <v>2016</v>
      </c>
      <c r="C682" t="str">
        <f>data!C682</f>
        <v>059</v>
      </c>
      <c r="D682" t="str">
        <f>data!D682</f>
        <v>CH DU ROUET</v>
      </c>
      <c r="E682" t="str">
        <f>data!E682</f>
        <v>059002</v>
      </c>
      <c r="F682" t="str">
        <f>data!F682</f>
        <v>AC C.PROVENCE. ESTERELLE .ROUET</v>
      </c>
      <c r="G682" s="10">
        <f>data!G682</f>
        <v>100.8</v>
      </c>
      <c r="H682" s="10">
        <f>data!I682</f>
        <v>0</v>
      </c>
      <c r="I682" s="10">
        <f t="shared" si="40"/>
        <v>100.8</v>
      </c>
      <c r="J682" s="11">
        <f>data!H682</f>
        <v>24</v>
      </c>
      <c r="K682" s="11">
        <f>data!J682</f>
        <v>0</v>
      </c>
      <c r="L682" s="11">
        <f t="shared" si="41"/>
        <v>24</v>
      </c>
      <c r="M682" s="9" t="str">
        <f t="shared" si="42"/>
        <v/>
      </c>
      <c r="N682" s="9" t="str">
        <f t="shared" si="43"/>
        <v/>
      </c>
    </row>
    <row r="683" spans="1:14" x14ac:dyDescent="0.25">
      <c r="A683" t="str">
        <f>TEXT("1/"&amp;data!A683,"mmmm")</f>
        <v>mars</v>
      </c>
      <c r="B683">
        <f>data!B683</f>
        <v>2016</v>
      </c>
      <c r="C683" t="str">
        <f>data!C683</f>
        <v>059</v>
      </c>
      <c r="D683" t="str">
        <f>data!D683</f>
        <v>CH DU ROUET</v>
      </c>
      <c r="E683" t="str">
        <f>data!E683</f>
        <v>059004</v>
      </c>
      <c r="F683" t="str">
        <f>data!F683</f>
        <v>AP COTES DE PROVENCE ESTERELLE</v>
      </c>
      <c r="G683" s="10">
        <f>data!G683</f>
        <v>21.6</v>
      </c>
      <c r="H683" s="10">
        <f>data!I683</f>
        <v>0</v>
      </c>
      <c r="I683" s="10">
        <f t="shared" si="40"/>
        <v>21.6</v>
      </c>
      <c r="J683" s="11">
        <f>data!H683</f>
        <v>6</v>
      </c>
      <c r="K683" s="11">
        <f>data!J683</f>
        <v>0</v>
      </c>
      <c r="L683" s="11">
        <f t="shared" si="41"/>
        <v>6</v>
      </c>
      <c r="M683" s="9" t="str">
        <f t="shared" si="42"/>
        <v/>
      </c>
      <c r="N683" s="9" t="str">
        <f t="shared" si="43"/>
        <v/>
      </c>
    </row>
    <row r="684" spans="1:14" x14ac:dyDescent="0.25">
      <c r="A684" t="str">
        <f>TEXT("1/"&amp;data!A684,"mmmm")</f>
        <v>mars</v>
      </c>
      <c r="B684">
        <f>data!B684</f>
        <v>2016</v>
      </c>
      <c r="C684" t="str">
        <f>data!C684</f>
        <v>059</v>
      </c>
      <c r="D684" t="str">
        <f>data!D684</f>
        <v>CH DU ROUET</v>
      </c>
      <c r="E684" t="str">
        <f>data!E684</f>
        <v>059005</v>
      </c>
      <c r="F684" t="str">
        <f>data!F684</f>
        <v>AP COTES DE PROVENCE ESTERELLE</v>
      </c>
      <c r="G684" s="10">
        <f>data!G684</f>
        <v>21.6</v>
      </c>
      <c r="H684" s="10">
        <f>data!I684</f>
        <v>0</v>
      </c>
      <c r="I684" s="10">
        <f t="shared" si="40"/>
        <v>21.6</v>
      </c>
      <c r="J684" s="11">
        <f>data!H684</f>
        <v>6</v>
      </c>
      <c r="K684" s="11">
        <f>data!J684</f>
        <v>0</v>
      </c>
      <c r="L684" s="11">
        <f t="shared" si="41"/>
        <v>6</v>
      </c>
      <c r="M684" s="9" t="str">
        <f t="shared" si="42"/>
        <v/>
      </c>
      <c r="N684" s="9" t="str">
        <f t="shared" si="43"/>
        <v/>
      </c>
    </row>
    <row r="685" spans="1:14" x14ac:dyDescent="0.25">
      <c r="A685" t="str">
        <f>TEXT("1/"&amp;data!A685,"mmmm")</f>
        <v>mars</v>
      </c>
      <c r="B685">
        <f>data!B685</f>
        <v>2016</v>
      </c>
      <c r="C685" t="str">
        <f>data!C685</f>
        <v>059</v>
      </c>
      <c r="D685" t="str">
        <f>data!D685</f>
        <v>CH DU ROUET</v>
      </c>
      <c r="E685" t="str">
        <f>data!E685</f>
        <v>059008</v>
      </c>
      <c r="F685" t="str">
        <f>data!F685</f>
        <v>AC C.PROVENCE. BELLE POULE</v>
      </c>
      <c r="G685" s="10">
        <f>data!G685</f>
        <v>33</v>
      </c>
      <c r="H685" s="10">
        <f>data!I685</f>
        <v>0</v>
      </c>
      <c r="I685" s="10">
        <f t="shared" si="40"/>
        <v>33</v>
      </c>
      <c r="J685" s="11">
        <f>data!H685</f>
        <v>6</v>
      </c>
      <c r="K685" s="11">
        <f>data!J685</f>
        <v>0</v>
      </c>
      <c r="L685" s="11">
        <f t="shared" si="41"/>
        <v>6</v>
      </c>
      <c r="M685" s="9" t="str">
        <f t="shared" si="42"/>
        <v/>
      </c>
      <c r="N685" s="9" t="str">
        <f t="shared" si="43"/>
        <v/>
      </c>
    </row>
    <row r="686" spans="1:14" x14ac:dyDescent="0.25">
      <c r="A686" t="str">
        <f>TEXT("1/"&amp;data!A686,"mmmm")</f>
        <v>mars</v>
      </c>
      <c r="B686">
        <f>data!B686</f>
        <v>2016</v>
      </c>
      <c r="C686" t="str">
        <f>data!C686</f>
        <v>059</v>
      </c>
      <c r="D686" t="str">
        <f>data!D686</f>
        <v>CH DU ROUET</v>
      </c>
      <c r="E686" t="str">
        <f>data!E686</f>
        <v>059010</v>
      </c>
      <c r="F686" t="str">
        <f>data!F686</f>
        <v>AC C.PROVENCE. BELLE POULE</v>
      </c>
      <c r="G686" s="10">
        <f>data!G686</f>
        <v>132</v>
      </c>
      <c r="H686" s="10">
        <f>data!I686</f>
        <v>0</v>
      </c>
      <c r="I686" s="10">
        <f t="shared" si="40"/>
        <v>132</v>
      </c>
      <c r="J686" s="11">
        <f>data!H686</f>
        <v>24</v>
      </c>
      <c r="K686" s="11">
        <f>data!J686</f>
        <v>0</v>
      </c>
      <c r="L686" s="11">
        <f t="shared" si="41"/>
        <v>24</v>
      </c>
      <c r="M686" s="9" t="str">
        <f t="shared" si="42"/>
        <v/>
      </c>
      <c r="N686" s="9" t="str">
        <f t="shared" si="43"/>
        <v/>
      </c>
    </row>
    <row r="687" spans="1:14" x14ac:dyDescent="0.25">
      <c r="A687" t="str">
        <f>TEXT("1/"&amp;data!A687,"mmmm")</f>
        <v>mars</v>
      </c>
      <c r="B687">
        <f>data!B687</f>
        <v>2016</v>
      </c>
      <c r="C687" t="str">
        <f>data!C687</f>
        <v>059</v>
      </c>
      <c r="D687" t="str">
        <f>data!D687</f>
        <v>CH DU ROUET</v>
      </c>
      <c r="E687" t="str">
        <f>data!E687</f>
        <v>059019</v>
      </c>
      <c r="F687" t="str">
        <f>data!F687</f>
        <v>AC COTES DE PROVENCE ESTERELLE</v>
      </c>
      <c r="G687" s="10">
        <f>data!G687</f>
        <v>42.6</v>
      </c>
      <c r="H687" s="10">
        <f>data!I687</f>
        <v>0</v>
      </c>
      <c r="I687" s="10">
        <f t="shared" si="40"/>
        <v>42.6</v>
      </c>
      <c r="J687" s="11">
        <f>data!H687</f>
        <v>12</v>
      </c>
      <c r="K687" s="11">
        <f>data!J687</f>
        <v>0</v>
      </c>
      <c r="L687" s="11">
        <f t="shared" si="41"/>
        <v>12</v>
      </c>
      <c r="M687" s="9" t="str">
        <f t="shared" si="42"/>
        <v/>
      </c>
      <c r="N687" s="9" t="str">
        <f t="shared" si="43"/>
        <v/>
      </c>
    </row>
    <row r="688" spans="1:14" x14ac:dyDescent="0.25">
      <c r="A688" t="str">
        <f>TEXT("1/"&amp;data!A688,"mmmm")</f>
        <v>mars</v>
      </c>
      <c r="B688">
        <f>data!B688</f>
        <v>2016</v>
      </c>
      <c r="C688" t="str">
        <f>data!C688</f>
        <v>059</v>
      </c>
      <c r="D688" t="str">
        <f>data!D688</f>
        <v>CH DU ROUET</v>
      </c>
      <c r="E688" t="str">
        <f>data!E688</f>
        <v>059020</v>
      </c>
      <c r="F688" t="str">
        <f>data!F688</f>
        <v>AC C.PROVENCE ESTERELLE</v>
      </c>
      <c r="G688" s="10">
        <f>data!G688</f>
        <v>1965.6</v>
      </c>
      <c r="H688" s="10">
        <f>data!I688</f>
        <v>0</v>
      </c>
      <c r="I688" s="10">
        <f t="shared" si="40"/>
        <v>1965.6</v>
      </c>
      <c r="J688" s="11">
        <f>data!H688</f>
        <v>552</v>
      </c>
      <c r="K688" s="11">
        <f>data!J688</f>
        <v>0</v>
      </c>
      <c r="L688" s="11">
        <f t="shared" si="41"/>
        <v>552</v>
      </c>
      <c r="M688" s="9" t="str">
        <f t="shared" si="42"/>
        <v/>
      </c>
      <c r="N688" s="9" t="str">
        <f t="shared" si="43"/>
        <v/>
      </c>
    </row>
    <row r="689" spans="1:14" x14ac:dyDescent="0.25">
      <c r="A689" t="str">
        <f>TEXT("1/"&amp;data!A689,"mmmm")</f>
        <v>mars</v>
      </c>
      <c r="B689">
        <f>data!B689</f>
        <v>2016</v>
      </c>
      <c r="C689" t="str">
        <f>data!C689</f>
        <v>059</v>
      </c>
      <c r="D689" t="str">
        <f>data!D689</f>
        <v>CH DU ROUET</v>
      </c>
      <c r="E689" t="str">
        <f>data!E689</f>
        <v>059021</v>
      </c>
      <c r="F689" t="str">
        <f>data!F689</f>
        <v>AC COTES DE PROVENCE</v>
      </c>
      <c r="G689" s="10">
        <f>data!G689</f>
        <v>581.1</v>
      </c>
      <c r="H689" s="10">
        <f>data!I689</f>
        <v>0</v>
      </c>
      <c r="I689" s="10">
        <f t="shared" si="40"/>
        <v>581.1</v>
      </c>
      <c r="J689" s="11">
        <f>data!H689</f>
        <v>273.46999999999997</v>
      </c>
      <c r="K689" s="11">
        <f>data!J689</f>
        <v>0</v>
      </c>
      <c r="L689" s="11">
        <f t="shared" si="41"/>
        <v>273.46999999999997</v>
      </c>
      <c r="M689" s="9" t="str">
        <f t="shared" si="42"/>
        <v/>
      </c>
      <c r="N689" s="9" t="str">
        <f t="shared" si="43"/>
        <v/>
      </c>
    </row>
    <row r="690" spans="1:14" x14ac:dyDescent="0.25">
      <c r="A690" t="str">
        <f>TEXT("1/"&amp;data!A690,"mmmm")</f>
        <v>mars</v>
      </c>
      <c r="B690">
        <f>data!B690</f>
        <v>2016</v>
      </c>
      <c r="C690" t="str">
        <f>data!C690</f>
        <v>059</v>
      </c>
      <c r="D690" t="str">
        <f>data!D690</f>
        <v>CH DU ROUET</v>
      </c>
      <c r="E690" t="str">
        <f>data!E690</f>
        <v>059025</v>
      </c>
      <c r="F690" t="str">
        <f>data!F690</f>
        <v>VDP MEDITERRANEE TERES</v>
      </c>
      <c r="G690" s="10">
        <f>data!G690</f>
        <v>4225.5</v>
      </c>
      <c r="H690" s="10">
        <f>data!I690</f>
        <v>0</v>
      </c>
      <c r="I690" s="10">
        <f t="shared" si="40"/>
        <v>4225.5</v>
      </c>
      <c r="J690" s="11">
        <f>data!H690</f>
        <v>1890</v>
      </c>
      <c r="K690" s="11">
        <f>data!J690</f>
        <v>0</v>
      </c>
      <c r="L690" s="11">
        <f t="shared" si="41"/>
        <v>1890</v>
      </c>
      <c r="M690" s="9" t="str">
        <f t="shared" si="42"/>
        <v/>
      </c>
      <c r="N690" s="9" t="str">
        <f t="shared" si="43"/>
        <v/>
      </c>
    </row>
    <row r="691" spans="1:14" x14ac:dyDescent="0.25">
      <c r="A691" t="str">
        <f>TEXT("1/"&amp;data!A691,"mmmm")</f>
        <v>mars</v>
      </c>
      <c r="B691">
        <f>data!B691</f>
        <v>2016</v>
      </c>
      <c r="C691" t="str">
        <f>data!C691</f>
        <v>059</v>
      </c>
      <c r="D691" t="str">
        <f>data!D691</f>
        <v>CH DU ROUET</v>
      </c>
      <c r="E691" t="str">
        <f>data!E691</f>
        <v>059026</v>
      </c>
      <c r="F691" t="str">
        <f>data!F691</f>
        <v>VDP MEDITERRANEE. TERES</v>
      </c>
      <c r="G691" s="10">
        <f>data!G691</f>
        <v>1900.8</v>
      </c>
      <c r="H691" s="10">
        <f>data!I691</f>
        <v>0</v>
      </c>
      <c r="I691" s="10">
        <f t="shared" si="40"/>
        <v>1900.8</v>
      </c>
      <c r="J691" s="11">
        <f>data!H691</f>
        <v>1293.98</v>
      </c>
      <c r="K691" s="11">
        <f>data!J691</f>
        <v>0</v>
      </c>
      <c r="L691" s="11">
        <f t="shared" si="41"/>
        <v>1293.98</v>
      </c>
      <c r="M691" s="9" t="str">
        <f t="shared" si="42"/>
        <v/>
      </c>
      <c r="N691" s="9" t="str">
        <f t="shared" si="43"/>
        <v/>
      </c>
    </row>
    <row r="692" spans="1:14" x14ac:dyDescent="0.25">
      <c r="A692" t="str">
        <f>TEXT("1/"&amp;data!A692,"mmmm")</f>
        <v>mars</v>
      </c>
      <c r="B692">
        <f>data!B692</f>
        <v>2016</v>
      </c>
      <c r="C692" t="str">
        <f>data!C692</f>
        <v>059</v>
      </c>
      <c r="D692" t="str">
        <f>data!D692</f>
        <v>CH DU ROUET</v>
      </c>
      <c r="E692" t="str">
        <f>data!E692</f>
        <v>059027</v>
      </c>
      <c r="F692" t="str">
        <f>data!F692</f>
        <v>IGP MEDITERRANEE TERES</v>
      </c>
      <c r="G692" s="10">
        <f>data!G692</f>
        <v>50.7</v>
      </c>
      <c r="H692" s="10">
        <f>data!I692</f>
        <v>0</v>
      </c>
      <c r="I692" s="10">
        <f t="shared" si="40"/>
        <v>50.7</v>
      </c>
      <c r="J692" s="11">
        <f>data!H692</f>
        <v>39.99</v>
      </c>
      <c r="K692" s="11">
        <f>data!J692</f>
        <v>0</v>
      </c>
      <c r="L692" s="11">
        <f t="shared" si="41"/>
        <v>39.99</v>
      </c>
      <c r="M692" s="9" t="str">
        <f t="shared" si="42"/>
        <v/>
      </c>
      <c r="N692" s="9" t="str">
        <f t="shared" si="43"/>
        <v/>
      </c>
    </row>
    <row r="693" spans="1:14" x14ac:dyDescent="0.25">
      <c r="A693" t="str">
        <f>TEXT("1/"&amp;data!A693,"mmmm")</f>
        <v>mars</v>
      </c>
      <c r="B693">
        <f>data!B693</f>
        <v>2016</v>
      </c>
      <c r="C693" t="str">
        <f>data!C693</f>
        <v>059</v>
      </c>
      <c r="D693" t="str">
        <f>data!D693</f>
        <v>CH DU ROUET</v>
      </c>
      <c r="E693" t="str">
        <f>data!E693</f>
        <v>059101</v>
      </c>
      <c r="F693" t="str">
        <f>data!F693</f>
        <v>ICE PAMPLOON ROSE PAMPLEMOUSSE</v>
      </c>
      <c r="G693" s="10">
        <f>data!G693</f>
        <v>0</v>
      </c>
      <c r="H693" s="10">
        <f>data!I693</f>
        <v>0</v>
      </c>
      <c r="I693" s="10">
        <f t="shared" si="40"/>
        <v>0</v>
      </c>
      <c r="J693" s="11">
        <f>data!H693</f>
        <v>0</v>
      </c>
      <c r="K693" s="11">
        <f>data!J693</f>
        <v>0</v>
      </c>
      <c r="L693" s="11">
        <f t="shared" si="41"/>
        <v>0</v>
      </c>
      <c r="M693" s="9" t="str">
        <f t="shared" si="42"/>
        <v/>
      </c>
      <c r="N693" s="9" t="str">
        <f t="shared" si="43"/>
        <v/>
      </c>
    </row>
    <row r="694" spans="1:14" x14ac:dyDescent="0.25">
      <c r="A694" t="str">
        <f>TEXT("1/"&amp;data!A694,"mmmm")</f>
        <v>mars</v>
      </c>
      <c r="B694">
        <f>data!B694</f>
        <v>2016</v>
      </c>
      <c r="C694" t="str">
        <f>data!C694</f>
        <v>059</v>
      </c>
      <c r="D694" t="str">
        <f>data!D694</f>
        <v>CH DU ROUET</v>
      </c>
      <c r="E694" t="str">
        <f>data!E694</f>
        <v>059104</v>
      </c>
      <c r="F694" t="str">
        <f>data!F694</f>
        <v>ICE PAMPLOON BUBBLES</v>
      </c>
      <c r="G694" s="10">
        <f>data!G694</f>
        <v>155.4</v>
      </c>
      <c r="H694" s="10">
        <f>data!I694</f>
        <v>0</v>
      </c>
      <c r="I694" s="10">
        <f t="shared" si="40"/>
        <v>155.4</v>
      </c>
      <c r="J694" s="11">
        <f>data!H694</f>
        <v>42</v>
      </c>
      <c r="K694" s="11">
        <f>data!J694</f>
        <v>0</v>
      </c>
      <c r="L694" s="11">
        <f t="shared" si="41"/>
        <v>42</v>
      </c>
      <c r="M694" s="9" t="str">
        <f t="shared" si="42"/>
        <v/>
      </c>
      <c r="N694" s="9" t="str">
        <f t="shared" si="43"/>
        <v/>
      </c>
    </row>
    <row r="695" spans="1:14" x14ac:dyDescent="0.25">
      <c r="A695" t="str">
        <f>TEXT("1/"&amp;data!A695,"mmmm")</f>
        <v>mars</v>
      </c>
      <c r="B695">
        <f>data!B695</f>
        <v>2016</v>
      </c>
      <c r="C695" t="str">
        <f>data!C695</f>
        <v>060</v>
      </c>
      <c r="D695" t="str">
        <f>data!D695</f>
        <v>GIRARD JM ET NOEL</v>
      </c>
      <c r="E695" t="str">
        <f>data!E695</f>
        <v>060015</v>
      </c>
      <c r="F695" t="str">
        <f>data!F695</f>
        <v>AC SAUMUR CHAMP. D VX BOURG</v>
      </c>
      <c r="G695" s="10">
        <f>data!G695</f>
        <v>1279.08</v>
      </c>
      <c r="H695" s="10">
        <f>data!I695</f>
        <v>842.4</v>
      </c>
      <c r="I695" s="10">
        <f t="shared" si="40"/>
        <v>436.67999999999995</v>
      </c>
      <c r="J695" s="11">
        <f>data!H695</f>
        <v>342</v>
      </c>
      <c r="K695" s="11">
        <f>data!J695</f>
        <v>234</v>
      </c>
      <c r="L695" s="11">
        <f t="shared" si="41"/>
        <v>108</v>
      </c>
      <c r="M695" s="9">
        <f t="shared" si="42"/>
        <v>0.51837606837606831</v>
      </c>
      <c r="N695" s="9">
        <f t="shared" si="43"/>
        <v>0.46153846153846156</v>
      </c>
    </row>
    <row r="696" spans="1:14" x14ac:dyDescent="0.25">
      <c r="A696" t="str">
        <f>TEXT("1/"&amp;data!A696,"mmmm")</f>
        <v>mars</v>
      </c>
      <c r="B696">
        <f>data!B696</f>
        <v>2016</v>
      </c>
      <c r="C696" t="str">
        <f>data!C696</f>
        <v>060</v>
      </c>
      <c r="D696" t="str">
        <f>data!D696</f>
        <v>GIRARD JM ET NOEL</v>
      </c>
      <c r="E696" t="str">
        <f>data!E696</f>
        <v>060016</v>
      </c>
      <c r="F696" t="str">
        <f>data!F696</f>
        <v>AC SAUMUR CHAMP. D VX BOURG</v>
      </c>
      <c r="G696" s="10">
        <f>data!G696</f>
        <v>56.88</v>
      </c>
      <c r="H696" s="10">
        <f>data!I696</f>
        <v>79.92</v>
      </c>
      <c r="I696" s="10">
        <f t="shared" si="40"/>
        <v>-23.04</v>
      </c>
      <c r="J696" s="11">
        <f>data!H696</f>
        <v>12</v>
      </c>
      <c r="K696" s="11">
        <f>data!J696</f>
        <v>18</v>
      </c>
      <c r="L696" s="11">
        <f t="shared" si="41"/>
        <v>-6</v>
      </c>
      <c r="M696" s="9">
        <f t="shared" si="42"/>
        <v>-0.28828828828828829</v>
      </c>
      <c r="N696" s="9">
        <f t="shared" si="43"/>
        <v>-0.33333333333333331</v>
      </c>
    </row>
    <row r="697" spans="1:14" x14ac:dyDescent="0.25">
      <c r="A697" t="str">
        <f>TEXT("1/"&amp;data!A697,"mmmm")</f>
        <v>mars</v>
      </c>
      <c r="B697">
        <f>data!B697</f>
        <v>2016</v>
      </c>
      <c r="C697" t="str">
        <f>data!C697</f>
        <v>062</v>
      </c>
      <c r="D697" t="str">
        <f>data!D697</f>
        <v>CHATEAU CARBON D'ARTIGUES</v>
      </c>
      <c r="E697" t="str">
        <f>data!E697</f>
        <v>062001</v>
      </c>
      <c r="F697" t="str">
        <f>data!F697</f>
        <v>AC GRAVES CARBON D'ARTIGUES</v>
      </c>
      <c r="G697" s="10">
        <f>data!G697</f>
        <v>60</v>
      </c>
      <c r="H697" s="10">
        <f>data!I697</f>
        <v>367.2</v>
      </c>
      <c r="I697" s="10">
        <f t="shared" si="40"/>
        <v>-307.2</v>
      </c>
      <c r="J697" s="11">
        <f>data!H697</f>
        <v>12</v>
      </c>
      <c r="K697" s="11">
        <f>data!J697</f>
        <v>72</v>
      </c>
      <c r="L697" s="11">
        <f t="shared" si="41"/>
        <v>-60</v>
      </c>
      <c r="M697" s="9">
        <f t="shared" si="42"/>
        <v>-0.83660130718954251</v>
      </c>
      <c r="N697" s="9">
        <f t="shared" si="43"/>
        <v>-0.83333333333333337</v>
      </c>
    </row>
    <row r="698" spans="1:14" x14ac:dyDescent="0.25">
      <c r="A698" t="str">
        <f>TEXT("1/"&amp;data!A698,"mmmm")</f>
        <v>mars</v>
      </c>
      <c r="B698">
        <f>data!B698</f>
        <v>2016</v>
      </c>
      <c r="C698" t="str">
        <f>data!C698</f>
        <v>062</v>
      </c>
      <c r="D698" t="str">
        <f>data!D698</f>
        <v>CHATEAU CARBON D'ARTIGUES</v>
      </c>
      <c r="E698" t="str">
        <f>data!E698</f>
        <v>062003</v>
      </c>
      <c r="F698" t="str">
        <f>data!F698</f>
        <v>AC GRAVES. CARBON D'ARTIGUES</v>
      </c>
      <c r="G698" s="10">
        <f>data!G698</f>
        <v>1480.2</v>
      </c>
      <c r="H698" s="10">
        <f>data!I698</f>
        <v>2889.6</v>
      </c>
      <c r="I698" s="10">
        <f t="shared" si="40"/>
        <v>-1409.3999999999999</v>
      </c>
      <c r="J698" s="11">
        <f>data!H698</f>
        <v>342</v>
      </c>
      <c r="K698" s="11">
        <f>data!J698</f>
        <v>672</v>
      </c>
      <c r="L698" s="11">
        <f t="shared" si="41"/>
        <v>-330</v>
      </c>
      <c r="M698" s="9">
        <f t="shared" si="42"/>
        <v>-0.4877491694352159</v>
      </c>
      <c r="N698" s="9">
        <f t="shared" si="43"/>
        <v>-0.49107142857142855</v>
      </c>
    </row>
    <row r="699" spans="1:14" x14ac:dyDescent="0.25">
      <c r="A699" t="str">
        <f>TEXT("1/"&amp;data!A699,"mmmm")</f>
        <v>mars</v>
      </c>
      <c r="B699">
        <f>data!B699</f>
        <v>2016</v>
      </c>
      <c r="C699" t="str">
        <f>data!C699</f>
        <v>062</v>
      </c>
      <c r="D699" t="str">
        <f>data!D699</f>
        <v>CHATEAU CARBON D'ARTIGUES</v>
      </c>
      <c r="E699" t="str">
        <f>data!E699</f>
        <v>062021</v>
      </c>
      <c r="F699" t="str">
        <f>data!F699</f>
        <v>AC GRAVES. CARBON D'ARTIGUES</v>
      </c>
      <c r="G699" s="10">
        <f>data!G699</f>
        <v>581.70000000000005</v>
      </c>
      <c r="H699" s="10">
        <f>data!I699</f>
        <v>951.6</v>
      </c>
      <c r="I699" s="10">
        <f t="shared" si="40"/>
        <v>-369.9</v>
      </c>
      <c r="J699" s="11">
        <f>data!H699</f>
        <v>186</v>
      </c>
      <c r="K699" s="11">
        <f>data!J699</f>
        <v>312</v>
      </c>
      <c r="L699" s="11">
        <f t="shared" si="41"/>
        <v>-126</v>
      </c>
      <c r="M699" s="9">
        <f t="shared" si="42"/>
        <v>-0.38871374527112229</v>
      </c>
      <c r="N699" s="9">
        <f t="shared" si="43"/>
        <v>-0.40384615384615385</v>
      </c>
    </row>
    <row r="700" spans="1:14" x14ac:dyDescent="0.25">
      <c r="A700" t="str">
        <f>TEXT("1/"&amp;data!A700,"mmmm")</f>
        <v>mars</v>
      </c>
      <c r="B700">
        <f>data!B700</f>
        <v>2016</v>
      </c>
      <c r="C700" t="str">
        <f>data!C700</f>
        <v>062</v>
      </c>
      <c r="D700" t="str">
        <f>data!D700</f>
        <v>CHATEAU CARBON D'ARTIGUES</v>
      </c>
      <c r="E700" t="str">
        <f>data!E700</f>
        <v>062032</v>
      </c>
      <c r="F700" t="str">
        <f>data!F700</f>
        <v>AOP GRAVES CH CARBON D'ARTIGUES</v>
      </c>
      <c r="G700" s="10">
        <f>data!G700</f>
        <v>1202</v>
      </c>
      <c r="H700" s="10">
        <f>data!I700</f>
        <v>1232.5</v>
      </c>
      <c r="I700" s="10">
        <f t="shared" si="40"/>
        <v>-30.5</v>
      </c>
      <c r="J700" s="11">
        <f>data!H700</f>
        <v>540.27</v>
      </c>
      <c r="K700" s="11">
        <f>data!J700</f>
        <v>573.62</v>
      </c>
      <c r="L700" s="11">
        <f t="shared" si="41"/>
        <v>-33.350000000000023</v>
      </c>
      <c r="M700" s="9">
        <f t="shared" si="42"/>
        <v>-2.4746450304259635E-2</v>
      </c>
      <c r="N700" s="9">
        <f t="shared" si="43"/>
        <v>-5.8139534883720971E-2</v>
      </c>
    </row>
    <row r="701" spans="1:14" x14ac:dyDescent="0.25">
      <c r="A701" t="str">
        <f>TEXT("1/"&amp;data!A701,"mmmm")</f>
        <v>mars</v>
      </c>
      <c r="B701">
        <f>data!B701</f>
        <v>2016</v>
      </c>
      <c r="C701" t="str">
        <f>data!C701</f>
        <v>074</v>
      </c>
      <c r="D701" t="str">
        <f>data!D701</f>
        <v>CAVE DE GIGONDAS</v>
      </c>
      <c r="E701" t="str">
        <f>data!E701</f>
        <v>074012</v>
      </c>
      <c r="F701" t="str">
        <f>data!F701</f>
        <v>AC GIGONDAS LA REFENCE</v>
      </c>
      <c r="G701" s="10">
        <f>data!G701</f>
        <v>775.2</v>
      </c>
      <c r="H701" s="10">
        <f>data!I701</f>
        <v>273.60000000000002</v>
      </c>
      <c r="I701" s="10">
        <f t="shared" si="40"/>
        <v>501.6</v>
      </c>
      <c r="J701" s="11">
        <f>data!H701</f>
        <v>108</v>
      </c>
      <c r="K701" s="11">
        <f>data!J701</f>
        <v>36</v>
      </c>
      <c r="L701" s="11">
        <f t="shared" si="41"/>
        <v>72</v>
      </c>
      <c r="M701" s="9">
        <f t="shared" si="42"/>
        <v>1.8333333333333333</v>
      </c>
      <c r="N701" s="9">
        <f t="shared" si="43"/>
        <v>2</v>
      </c>
    </row>
    <row r="702" spans="1:14" x14ac:dyDescent="0.25">
      <c r="A702" t="str">
        <f>TEXT("1/"&amp;data!A702,"mmmm")</f>
        <v>mars</v>
      </c>
      <c r="B702">
        <f>data!B702</f>
        <v>2016</v>
      </c>
      <c r="C702" t="str">
        <f>data!C702</f>
        <v>074</v>
      </c>
      <c r="D702" t="str">
        <f>data!D702</f>
        <v>CAVE DE GIGONDAS</v>
      </c>
      <c r="E702" t="str">
        <f>data!E702</f>
        <v>074013</v>
      </c>
      <c r="F702" t="str">
        <f>data!F702</f>
        <v>AC B DE VENISE TERRISSIMO</v>
      </c>
      <c r="G702" s="10">
        <f>data!G702</f>
        <v>808.2</v>
      </c>
      <c r="H702" s="10">
        <f>data!I702</f>
        <v>1047</v>
      </c>
      <c r="I702" s="10">
        <f t="shared" si="40"/>
        <v>-238.79999999999995</v>
      </c>
      <c r="J702" s="11">
        <f>data!H702</f>
        <v>174</v>
      </c>
      <c r="K702" s="11">
        <f>data!J702</f>
        <v>234</v>
      </c>
      <c r="L702" s="11">
        <f t="shared" si="41"/>
        <v>-60</v>
      </c>
      <c r="M702" s="9">
        <f t="shared" si="42"/>
        <v>-0.22808022922636098</v>
      </c>
      <c r="N702" s="9">
        <f t="shared" si="43"/>
        <v>-0.25641025641025639</v>
      </c>
    </row>
    <row r="703" spans="1:14" x14ac:dyDescent="0.25">
      <c r="A703" t="str">
        <f>TEXT("1/"&amp;data!A703,"mmmm")</f>
        <v>mars</v>
      </c>
      <c r="B703">
        <f>data!B703</f>
        <v>2016</v>
      </c>
      <c r="C703" t="str">
        <f>data!C703</f>
        <v>075</v>
      </c>
      <c r="D703" t="str">
        <f>data!D703</f>
        <v>CHATEAU LE BREUIL RENAISSANCE</v>
      </c>
      <c r="E703" t="str">
        <f>data!E703</f>
        <v>075002</v>
      </c>
      <c r="F703" t="str">
        <f>data!F703</f>
        <v>AC MEDOC. CH.BREUIL RENAISSANCE</v>
      </c>
      <c r="G703" s="10">
        <f>data!G703</f>
        <v>1518.9</v>
      </c>
      <c r="H703" s="10">
        <f>data!I703</f>
        <v>1056.24</v>
      </c>
      <c r="I703" s="10">
        <f t="shared" si="40"/>
        <v>462.66000000000008</v>
      </c>
      <c r="J703" s="11">
        <f>data!H703</f>
        <v>366</v>
      </c>
      <c r="K703" s="11">
        <f>data!J703</f>
        <v>264</v>
      </c>
      <c r="L703" s="11">
        <f t="shared" si="41"/>
        <v>102</v>
      </c>
      <c r="M703" s="9">
        <f t="shared" si="42"/>
        <v>0.43802544876164518</v>
      </c>
      <c r="N703" s="9">
        <f t="shared" si="43"/>
        <v>0.38636363636363635</v>
      </c>
    </row>
    <row r="704" spans="1:14" x14ac:dyDescent="0.25">
      <c r="A704" t="str">
        <f>TEXT("1/"&amp;data!A704,"mmmm")</f>
        <v>mars</v>
      </c>
      <c r="B704">
        <f>data!B704</f>
        <v>2016</v>
      </c>
      <c r="C704" t="str">
        <f>data!C704</f>
        <v>075</v>
      </c>
      <c r="D704" t="str">
        <f>data!D704</f>
        <v>CHATEAU LE BREUIL RENAISSANCE</v>
      </c>
      <c r="E704" t="str">
        <f>data!E704</f>
        <v>075004</v>
      </c>
      <c r="F704" t="str">
        <f>data!F704</f>
        <v>AC MEDOC. CH.BREUIL RENAISSANCE</v>
      </c>
      <c r="G704" s="10">
        <f>data!G704</f>
        <v>171.54</v>
      </c>
      <c r="H704" s="10">
        <f>data!I704</f>
        <v>54</v>
      </c>
      <c r="I704" s="10">
        <f t="shared" si="40"/>
        <v>117.53999999999999</v>
      </c>
      <c r="J704" s="11">
        <f>data!H704</f>
        <v>36</v>
      </c>
      <c r="K704" s="11">
        <f>data!J704</f>
        <v>12</v>
      </c>
      <c r="L704" s="11">
        <f t="shared" si="41"/>
        <v>24</v>
      </c>
      <c r="M704" s="9">
        <f t="shared" si="42"/>
        <v>2.1766666666666663</v>
      </c>
      <c r="N704" s="9">
        <f t="shared" si="43"/>
        <v>2</v>
      </c>
    </row>
    <row r="705" spans="1:14" x14ac:dyDescent="0.25">
      <c r="A705" t="str">
        <f>TEXT("1/"&amp;data!A705,"mmmm")</f>
        <v>mars</v>
      </c>
      <c r="B705">
        <f>data!B705</f>
        <v>2016</v>
      </c>
      <c r="C705" t="str">
        <f>data!C705</f>
        <v>075</v>
      </c>
      <c r="D705" t="str">
        <f>data!D705</f>
        <v>CHATEAU LE BREUIL RENAISSANCE</v>
      </c>
      <c r="E705" t="str">
        <f>data!E705</f>
        <v>075013</v>
      </c>
      <c r="F705" t="str">
        <f>data!F705</f>
        <v>AC MEDOC CRU BOURGEOIS CHATEAU DES CABANS</v>
      </c>
      <c r="G705" s="10">
        <f>data!G705</f>
        <v>166.5</v>
      </c>
      <c r="H705" s="10">
        <f>data!I705</f>
        <v>374.4</v>
      </c>
      <c r="I705" s="10">
        <f t="shared" si="40"/>
        <v>-207.89999999999998</v>
      </c>
      <c r="J705" s="11">
        <f>data!H705</f>
        <v>30</v>
      </c>
      <c r="K705" s="11">
        <f>data!J705</f>
        <v>72</v>
      </c>
      <c r="L705" s="11">
        <f t="shared" si="41"/>
        <v>-42</v>
      </c>
      <c r="M705" s="9">
        <f t="shared" si="42"/>
        <v>-0.55528846153846156</v>
      </c>
      <c r="N705" s="9">
        <f t="shared" si="43"/>
        <v>-0.58333333333333337</v>
      </c>
    </row>
    <row r="706" spans="1:14" x14ac:dyDescent="0.25">
      <c r="A706" t="str">
        <f>TEXT("1/"&amp;data!A706,"mmmm")</f>
        <v>mars</v>
      </c>
      <c r="B706">
        <f>data!B706</f>
        <v>2016</v>
      </c>
      <c r="C706" t="str">
        <f>data!C706</f>
        <v>075</v>
      </c>
      <c r="D706" t="str">
        <f>data!D706</f>
        <v>CHATEAU LE BREUIL RENAISSANCE</v>
      </c>
      <c r="E706" t="str">
        <f>data!E706</f>
        <v>CDV075003</v>
      </c>
      <c r="F706" t="str">
        <f>data!F706</f>
        <v>AC MEDOC CHATEAU BREUIL RENAISSANCE</v>
      </c>
      <c r="G706" s="10">
        <f>data!G706</f>
        <v>52.8</v>
      </c>
      <c r="H706" s="10">
        <f>data!I706</f>
        <v>0</v>
      </c>
      <c r="I706" s="10">
        <f t="shared" si="40"/>
        <v>52.8</v>
      </c>
      <c r="J706" s="11">
        <f>data!H706</f>
        <v>12</v>
      </c>
      <c r="K706" s="11">
        <f>data!J706</f>
        <v>0</v>
      </c>
      <c r="L706" s="11">
        <f t="shared" si="41"/>
        <v>12</v>
      </c>
      <c r="M706" s="9" t="str">
        <f t="shared" si="42"/>
        <v/>
      </c>
      <c r="N706" s="9" t="str">
        <f t="shared" si="43"/>
        <v/>
      </c>
    </row>
    <row r="707" spans="1:14" x14ac:dyDescent="0.25">
      <c r="A707" t="str">
        <f>TEXT("1/"&amp;data!A707,"mmmm")</f>
        <v>mars</v>
      </c>
      <c r="B707">
        <f>data!B707</f>
        <v>2016</v>
      </c>
      <c r="C707" t="str">
        <f>data!C707</f>
        <v>080</v>
      </c>
      <c r="D707" t="str">
        <f>data!D707</f>
        <v>DOMAINE DE ST PIERRE</v>
      </c>
      <c r="E707" t="str">
        <f>data!E707</f>
        <v>080010</v>
      </c>
      <c r="F707" t="str">
        <f>data!F707</f>
        <v>AC SANCERRE D.DE ST PIERRE</v>
      </c>
      <c r="G707" s="10">
        <f>data!G707</f>
        <v>734.4</v>
      </c>
      <c r="H707" s="10">
        <f>data!I707</f>
        <v>718.2</v>
      </c>
      <c r="I707" s="10">
        <f t="shared" ref="I707:I770" si="44">G707-H707</f>
        <v>16.199999999999932</v>
      </c>
      <c r="J707" s="11">
        <f>data!H707</f>
        <v>114</v>
      </c>
      <c r="K707" s="11">
        <f>data!J707</f>
        <v>120</v>
      </c>
      <c r="L707" s="11">
        <f t="shared" ref="L707:L770" si="45">J707-K707</f>
        <v>-6</v>
      </c>
      <c r="M707" s="9">
        <f t="shared" ref="M707:M770" si="46">IF(ISERR(I707/H707),"",I707/H707)</f>
        <v>2.2556390977443514E-2</v>
      </c>
      <c r="N707" s="9">
        <f t="shared" ref="N707:N770" si="47">IF(ISERR(L707/K707),"",L707/K707)</f>
        <v>-0.05</v>
      </c>
    </row>
    <row r="708" spans="1:14" x14ac:dyDescent="0.25">
      <c r="A708" t="str">
        <f>TEXT("1/"&amp;data!A708,"mmmm")</f>
        <v>mars</v>
      </c>
      <c r="B708">
        <f>data!B708</f>
        <v>2016</v>
      </c>
      <c r="C708" t="str">
        <f>data!C708</f>
        <v>080</v>
      </c>
      <c r="D708" t="str">
        <f>data!D708</f>
        <v>DOMAINE DE ST PIERRE</v>
      </c>
      <c r="E708" t="str">
        <f>data!E708</f>
        <v>080011</v>
      </c>
      <c r="F708" t="str">
        <f>data!F708</f>
        <v>AC SANCERRE D.DE ST PIERRE</v>
      </c>
      <c r="G708" s="10">
        <f>data!G708</f>
        <v>46.8</v>
      </c>
      <c r="H708" s="10">
        <f>data!I708</f>
        <v>231</v>
      </c>
      <c r="I708" s="10">
        <f t="shared" si="44"/>
        <v>-184.2</v>
      </c>
      <c r="J708" s="11">
        <f>data!H708</f>
        <v>6</v>
      </c>
      <c r="K708" s="11">
        <f>data!J708</f>
        <v>30</v>
      </c>
      <c r="L708" s="11">
        <f t="shared" si="45"/>
        <v>-24</v>
      </c>
      <c r="M708" s="9">
        <f t="shared" si="46"/>
        <v>-0.79740259740259734</v>
      </c>
      <c r="N708" s="9">
        <f t="shared" si="47"/>
        <v>-0.8</v>
      </c>
    </row>
    <row r="709" spans="1:14" x14ac:dyDescent="0.25">
      <c r="A709" t="str">
        <f>TEXT("1/"&amp;data!A709,"mmmm")</f>
        <v>mars</v>
      </c>
      <c r="B709">
        <f>data!B709</f>
        <v>2016</v>
      </c>
      <c r="C709" t="str">
        <f>data!C709</f>
        <v>080</v>
      </c>
      <c r="D709" t="str">
        <f>data!D709</f>
        <v>DOMAINE DE ST PIERRE</v>
      </c>
      <c r="E709" t="str">
        <f>data!E709</f>
        <v>080014</v>
      </c>
      <c r="F709" t="str">
        <f>data!F709</f>
        <v>AC SANCERRE D.DE ST PIERRE</v>
      </c>
      <c r="G709" s="10">
        <f>data!G709</f>
        <v>44.4</v>
      </c>
      <c r="H709" s="10">
        <f>data!I709</f>
        <v>0</v>
      </c>
      <c r="I709" s="10">
        <f t="shared" si="44"/>
        <v>44.4</v>
      </c>
      <c r="J709" s="11">
        <f>data!H709</f>
        <v>6</v>
      </c>
      <c r="K709" s="11">
        <f>data!J709</f>
        <v>0</v>
      </c>
      <c r="L709" s="11">
        <f t="shared" si="45"/>
        <v>6</v>
      </c>
      <c r="M709" s="9" t="str">
        <f t="shared" si="46"/>
        <v/>
      </c>
      <c r="N709" s="9" t="str">
        <f t="shared" si="47"/>
        <v/>
      </c>
    </row>
    <row r="710" spans="1:14" x14ac:dyDescent="0.25">
      <c r="A710" t="str">
        <f>TEXT("1/"&amp;data!A710,"mmmm")</f>
        <v>mars</v>
      </c>
      <c r="B710">
        <f>data!B710</f>
        <v>2016</v>
      </c>
      <c r="C710" t="str">
        <f>data!C710</f>
        <v>080</v>
      </c>
      <c r="D710" t="str">
        <f>data!D710</f>
        <v>DOMAINE DE ST PIERRE</v>
      </c>
      <c r="E710" t="str">
        <f>data!E710</f>
        <v>080015</v>
      </c>
      <c r="F710" t="str">
        <f>data!F710</f>
        <v>AC SANCERRE D.DE ST PIERRE</v>
      </c>
      <c r="G710" s="10">
        <f>data!G710</f>
        <v>280.8</v>
      </c>
      <c r="H710" s="10">
        <f>data!I710</f>
        <v>435.6</v>
      </c>
      <c r="I710" s="10">
        <f t="shared" si="44"/>
        <v>-154.80000000000001</v>
      </c>
      <c r="J710" s="11">
        <f>data!H710</f>
        <v>42</v>
      </c>
      <c r="K710" s="11">
        <f>data!J710</f>
        <v>66</v>
      </c>
      <c r="L710" s="11">
        <f t="shared" si="45"/>
        <v>-24</v>
      </c>
      <c r="M710" s="9">
        <f t="shared" si="46"/>
        <v>-0.35537190082644626</v>
      </c>
      <c r="N710" s="9">
        <f t="shared" si="47"/>
        <v>-0.36363636363636365</v>
      </c>
    </row>
    <row r="711" spans="1:14" x14ac:dyDescent="0.25">
      <c r="A711" t="str">
        <f>TEXT("1/"&amp;data!A711,"mmmm")</f>
        <v>mars</v>
      </c>
      <c r="B711">
        <f>data!B711</f>
        <v>2016</v>
      </c>
      <c r="C711" t="str">
        <f>data!C711</f>
        <v>083</v>
      </c>
      <c r="D711" t="str">
        <f>data!D711</f>
        <v>LES TERROIRS D'OCCITANIE</v>
      </c>
      <c r="E711" t="str">
        <f>data!E711</f>
        <v>083003</v>
      </c>
      <c r="F711" t="str">
        <f>data!F711</f>
        <v>AC FAUGERES C.PREST DE LAURENS</v>
      </c>
      <c r="G711" s="10">
        <f>data!G711</f>
        <v>412.2</v>
      </c>
      <c r="H711" s="10">
        <f>data!I711</f>
        <v>176.4</v>
      </c>
      <c r="I711" s="10">
        <f t="shared" si="44"/>
        <v>235.79999999999998</v>
      </c>
      <c r="J711" s="11">
        <f>data!H711</f>
        <v>192</v>
      </c>
      <c r="K711" s="11">
        <f>data!J711</f>
        <v>84</v>
      </c>
      <c r="L711" s="11">
        <f t="shared" si="45"/>
        <v>108</v>
      </c>
      <c r="M711" s="9">
        <f t="shared" si="46"/>
        <v>1.3367346938775508</v>
      </c>
      <c r="N711" s="9">
        <f t="shared" si="47"/>
        <v>1.2857142857142858</v>
      </c>
    </row>
    <row r="712" spans="1:14" x14ac:dyDescent="0.25">
      <c r="A712" t="str">
        <f>TEXT("1/"&amp;data!A712,"mmmm")</f>
        <v>mars</v>
      </c>
      <c r="B712">
        <f>data!B712</f>
        <v>2016</v>
      </c>
      <c r="C712" t="str">
        <f>data!C712</f>
        <v>084</v>
      </c>
      <c r="D712" t="str">
        <f>data!D712</f>
        <v>VIGNOBLE CASTELMAURE</v>
      </c>
      <c r="E712" t="str">
        <f>data!E712</f>
        <v>084001</v>
      </c>
      <c r="F712" t="str">
        <f>data!F712</f>
        <v>AC CORBIERES CASTELMAURE</v>
      </c>
      <c r="G712" s="10">
        <f>data!G712</f>
        <v>1669</v>
      </c>
      <c r="H712" s="10">
        <f>data!I712</f>
        <v>1444</v>
      </c>
      <c r="I712" s="10">
        <f t="shared" si="44"/>
        <v>225</v>
      </c>
      <c r="J712" s="11">
        <f>data!H712</f>
        <v>1173.04</v>
      </c>
      <c r="K712" s="11">
        <f>data!J712</f>
        <v>1026.4100000000001</v>
      </c>
      <c r="L712" s="11">
        <f t="shared" si="45"/>
        <v>146.62999999999988</v>
      </c>
      <c r="M712" s="9">
        <f t="shared" si="46"/>
        <v>0.15581717451523547</v>
      </c>
      <c r="N712" s="9">
        <f t="shared" si="47"/>
        <v>0.14285714285714274</v>
      </c>
    </row>
    <row r="713" spans="1:14" x14ac:dyDescent="0.25">
      <c r="A713" t="str">
        <f>TEXT("1/"&amp;data!A713,"mmmm")</f>
        <v>mars</v>
      </c>
      <c r="B713">
        <f>data!B713</f>
        <v>2016</v>
      </c>
      <c r="C713" t="str">
        <f>data!C713</f>
        <v>084</v>
      </c>
      <c r="D713" t="str">
        <f>data!D713</f>
        <v>VIGNOBLE CASTELMAURE</v>
      </c>
      <c r="E713" t="str">
        <f>data!E713</f>
        <v>084002</v>
      </c>
      <c r="F713" t="str">
        <f>data!F713</f>
        <v>AC CORBIERES CASTELMAURE</v>
      </c>
      <c r="G713" s="10">
        <f>data!G713</f>
        <v>1996.2</v>
      </c>
      <c r="H713" s="10">
        <f>data!I713</f>
        <v>1769.85</v>
      </c>
      <c r="I713" s="10">
        <f t="shared" si="44"/>
        <v>226.35000000000014</v>
      </c>
      <c r="J713" s="11">
        <f>data!H713</f>
        <v>1227.28</v>
      </c>
      <c r="K713" s="11">
        <f>data!J713</f>
        <v>1087.21</v>
      </c>
      <c r="L713" s="11">
        <f t="shared" si="45"/>
        <v>140.06999999999994</v>
      </c>
      <c r="M713" s="9">
        <f t="shared" si="46"/>
        <v>0.1278921942537504</v>
      </c>
      <c r="N713" s="9">
        <f t="shared" si="47"/>
        <v>0.12883435582822081</v>
      </c>
    </row>
    <row r="714" spans="1:14" x14ac:dyDescent="0.25">
      <c r="A714" t="str">
        <f>TEXT("1/"&amp;data!A714,"mmmm")</f>
        <v>mars</v>
      </c>
      <c r="B714">
        <f>data!B714</f>
        <v>2016</v>
      </c>
      <c r="C714" t="str">
        <f>data!C714</f>
        <v>084</v>
      </c>
      <c r="D714" t="str">
        <f>data!D714</f>
        <v>VIGNOBLE CASTELMAURE</v>
      </c>
      <c r="E714" t="str">
        <f>data!E714</f>
        <v>084004</v>
      </c>
      <c r="F714" t="str">
        <f>data!F714</f>
        <v>VDT BUVETTE CASTELMAURE (x6)</v>
      </c>
      <c r="G714" s="10">
        <f>data!G714</f>
        <v>1561.5</v>
      </c>
      <c r="H714" s="10">
        <f>data!I714</f>
        <v>123</v>
      </c>
      <c r="I714" s="10">
        <f t="shared" si="44"/>
        <v>1438.5</v>
      </c>
      <c r="J714" s="11">
        <f>data!H714</f>
        <v>744</v>
      </c>
      <c r="K714" s="11">
        <f>data!J714</f>
        <v>60</v>
      </c>
      <c r="L714" s="11">
        <f t="shared" si="45"/>
        <v>684</v>
      </c>
      <c r="M714" s="9">
        <f t="shared" si="46"/>
        <v>11.695121951219512</v>
      </c>
      <c r="N714" s="9">
        <f t="shared" si="47"/>
        <v>11.4</v>
      </c>
    </row>
    <row r="715" spans="1:14" x14ac:dyDescent="0.25">
      <c r="A715" t="str">
        <f>TEXT("1/"&amp;data!A715,"mmmm")</f>
        <v>mars</v>
      </c>
      <c r="B715">
        <f>data!B715</f>
        <v>2016</v>
      </c>
      <c r="C715" t="str">
        <f>data!C715</f>
        <v>084</v>
      </c>
      <c r="D715" t="str">
        <f>data!D715</f>
        <v>VIGNOBLE CASTELMAURE</v>
      </c>
      <c r="E715" t="str">
        <f>data!E715</f>
        <v>084006</v>
      </c>
      <c r="F715" t="str">
        <f>data!F715</f>
        <v>AOP CORBIERES LE CASTELMAURE</v>
      </c>
      <c r="G715" s="10">
        <f>data!G715</f>
        <v>3816.9</v>
      </c>
      <c r="H715" s="10">
        <f>data!I715</f>
        <v>2106</v>
      </c>
      <c r="I715" s="10">
        <f t="shared" si="44"/>
        <v>1710.9</v>
      </c>
      <c r="J715" s="11">
        <f>data!H715</f>
        <v>1416</v>
      </c>
      <c r="K715" s="11">
        <f>data!J715</f>
        <v>780</v>
      </c>
      <c r="L715" s="11">
        <f t="shared" si="45"/>
        <v>636</v>
      </c>
      <c r="M715" s="9">
        <f t="shared" si="46"/>
        <v>0.81239316239316239</v>
      </c>
      <c r="N715" s="9">
        <f t="shared" si="47"/>
        <v>0.81538461538461537</v>
      </c>
    </row>
    <row r="716" spans="1:14" x14ac:dyDescent="0.25">
      <c r="A716" t="str">
        <f>TEXT("1/"&amp;data!A716,"mmmm")</f>
        <v>mars</v>
      </c>
      <c r="B716">
        <f>data!B716</f>
        <v>2016</v>
      </c>
      <c r="C716" t="str">
        <f>data!C716</f>
        <v>084</v>
      </c>
      <c r="D716" t="str">
        <f>data!D716</f>
        <v>VIGNOBLE CASTELMAURE</v>
      </c>
      <c r="E716" t="str">
        <f>data!E716</f>
        <v>084007</v>
      </c>
      <c r="F716" t="str">
        <f>data!F716</f>
        <v>AC CORBIERES LA POMPADOUR</v>
      </c>
      <c r="G716" s="10">
        <f>data!G716</f>
        <v>1344.6</v>
      </c>
      <c r="H716" s="10">
        <f>data!I716</f>
        <v>674.64</v>
      </c>
      <c r="I716" s="10">
        <f t="shared" si="44"/>
        <v>669.95999999999992</v>
      </c>
      <c r="J716" s="11">
        <f>data!H716</f>
        <v>294</v>
      </c>
      <c r="K716" s="11">
        <f>data!J716</f>
        <v>156</v>
      </c>
      <c r="L716" s="11">
        <f t="shared" si="45"/>
        <v>138</v>
      </c>
      <c r="M716" s="9">
        <f t="shared" si="46"/>
        <v>0.99306296691568829</v>
      </c>
      <c r="N716" s="9">
        <f t="shared" si="47"/>
        <v>0.88461538461538458</v>
      </c>
    </row>
    <row r="717" spans="1:14" x14ac:dyDescent="0.25">
      <c r="A717" t="str">
        <f>TEXT("1/"&amp;data!A717,"mmmm")</f>
        <v>mars</v>
      </c>
      <c r="B717">
        <f>data!B717</f>
        <v>2016</v>
      </c>
      <c r="C717" t="str">
        <f>data!C717</f>
        <v>084</v>
      </c>
      <c r="D717" t="str">
        <f>data!D717</f>
        <v>VIGNOBLE CASTELMAURE</v>
      </c>
      <c r="E717" t="str">
        <f>data!E717</f>
        <v>084008</v>
      </c>
      <c r="F717" t="str">
        <f>data!F717</f>
        <v>AC CORBIERES LA GDE CUVEE</v>
      </c>
      <c r="G717" s="10">
        <f>data!G717</f>
        <v>250.38</v>
      </c>
      <c r="H717" s="10">
        <f>data!I717</f>
        <v>0</v>
      </c>
      <c r="I717" s="10">
        <f t="shared" si="44"/>
        <v>250.38</v>
      </c>
      <c r="J717" s="11">
        <f>data!H717</f>
        <v>48</v>
      </c>
      <c r="K717" s="11">
        <f>data!J717</f>
        <v>0</v>
      </c>
      <c r="L717" s="11">
        <f t="shared" si="45"/>
        <v>48</v>
      </c>
      <c r="M717" s="9" t="str">
        <f t="shared" si="46"/>
        <v/>
      </c>
      <c r="N717" s="9" t="str">
        <f t="shared" si="47"/>
        <v/>
      </c>
    </row>
    <row r="718" spans="1:14" x14ac:dyDescent="0.25">
      <c r="A718" t="str">
        <f>TEXT("1/"&amp;data!A718,"mmmm")</f>
        <v>mars</v>
      </c>
      <c r="B718">
        <f>data!B718</f>
        <v>2016</v>
      </c>
      <c r="C718" t="str">
        <f>data!C718</f>
        <v>084</v>
      </c>
      <c r="D718" t="str">
        <f>data!D718</f>
        <v>VIGNOBLE CASTELMAURE</v>
      </c>
      <c r="E718" t="str">
        <f>data!E718</f>
        <v>084015</v>
      </c>
      <c r="F718" t="str">
        <f>data!F718</f>
        <v>AC CORBIERES " LE 3 "</v>
      </c>
      <c r="G718" s="10">
        <f>data!G718</f>
        <v>129</v>
      </c>
      <c r="H718" s="10">
        <f>data!I718</f>
        <v>63</v>
      </c>
      <c r="I718" s="10">
        <f t="shared" si="44"/>
        <v>66</v>
      </c>
      <c r="J718" s="11">
        <f>data!H718</f>
        <v>12</v>
      </c>
      <c r="K718" s="11">
        <f>data!J718</f>
        <v>12</v>
      </c>
      <c r="L718" s="11">
        <f t="shared" si="45"/>
        <v>0</v>
      </c>
      <c r="M718" s="9">
        <f t="shared" si="46"/>
        <v>1.0476190476190477</v>
      </c>
      <c r="N718" s="9">
        <f t="shared" si="47"/>
        <v>0</v>
      </c>
    </row>
    <row r="719" spans="1:14" x14ac:dyDescent="0.25">
      <c r="A719" t="str">
        <f>TEXT("1/"&amp;data!A719,"mmmm")</f>
        <v>mars</v>
      </c>
      <c r="B719">
        <f>data!B719</f>
        <v>2016</v>
      </c>
      <c r="C719" t="str">
        <f>data!C719</f>
        <v>084</v>
      </c>
      <c r="D719" t="str">
        <f>data!D719</f>
        <v>VIGNOBLE CASTELMAURE</v>
      </c>
      <c r="E719" t="str">
        <f>data!E719</f>
        <v>084050</v>
      </c>
      <c r="F719" t="str">
        <f>data!F719</f>
        <v>AOP CORBIERES "MAUVAISE REPUTATION"</v>
      </c>
      <c r="G719" s="10">
        <f>data!G719</f>
        <v>252</v>
      </c>
      <c r="H719" s="10">
        <f>data!I719</f>
        <v>0</v>
      </c>
      <c r="I719" s="10">
        <f t="shared" si="44"/>
        <v>252</v>
      </c>
      <c r="J719" s="11">
        <f>data!H719</f>
        <v>30</v>
      </c>
      <c r="K719" s="11">
        <f>data!J719</f>
        <v>0</v>
      </c>
      <c r="L719" s="11">
        <f t="shared" si="45"/>
        <v>30</v>
      </c>
      <c r="M719" s="9" t="str">
        <f t="shared" si="46"/>
        <v/>
      </c>
      <c r="N719" s="9" t="str">
        <f t="shared" si="47"/>
        <v/>
      </c>
    </row>
    <row r="720" spans="1:14" x14ac:dyDescent="0.25">
      <c r="A720" t="str">
        <f>TEXT("1/"&amp;data!A720,"mmmm")</f>
        <v>mars</v>
      </c>
      <c r="B720">
        <f>data!B720</f>
        <v>2016</v>
      </c>
      <c r="C720" t="str">
        <f>data!C720</f>
        <v>086B</v>
      </c>
      <c r="D720" t="str">
        <f>data!D720</f>
        <v>PRODIFFU - TERRE DE VIGNERONS</v>
      </c>
      <c r="E720" t="str">
        <f>data!E720</f>
        <v>086001P</v>
      </c>
      <c r="F720" t="str">
        <f>data!F720</f>
        <v>AC C.DE DURAS BERTICOT</v>
      </c>
      <c r="G720" s="10">
        <f>data!G720</f>
        <v>134.32</v>
      </c>
      <c r="H720" s="10">
        <f>data!I720</f>
        <v>594.04</v>
      </c>
      <c r="I720" s="10">
        <f t="shared" si="44"/>
        <v>-459.71999999999997</v>
      </c>
      <c r="J720" s="11">
        <f>data!H720</f>
        <v>106.64</v>
      </c>
      <c r="K720" s="11">
        <f>data!J720</f>
        <v>479.88</v>
      </c>
      <c r="L720" s="11">
        <f t="shared" si="45"/>
        <v>-373.24</v>
      </c>
      <c r="M720" s="9">
        <f t="shared" si="46"/>
        <v>-0.77388728031782372</v>
      </c>
      <c r="N720" s="9">
        <f t="shared" si="47"/>
        <v>-0.77777777777777779</v>
      </c>
    </row>
    <row r="721" spans="1:14" x14ac:dyDescent="0.25">
      <c r="A721" t="str">
        <f>TEXT("1/"&amp;data!A721,"mmmm")</f>
        <v>mars</v>
      </c>
      <c r="B721">
        <f>data!B721</f>
        <v>2016</v>
      </c>
      <c r="C721" t="str">
        <f>data!C721</f>
        <v>086B</v>
      </c>
      <c r="D721" t="str">
        <f>data!D721</f>
        <v>PRODIFFU - TERRE DE VIGNERONS</v>
      </c>
      <c r="E721" t="str">
        <f>data!E721</f>
        <v>086002P</v>
      </c>
      <c r="F721" t="str">
        <f>data!F721</f>
        <v>AC C.DE DURAS BERTICOT</v>
      </c>
      <c r="G721" s="10">
        <f>data!G721</f>
        <v>92.6</v>
      </c>
      <c r="H721" s="10">
        <f>data!I721</f>
        <v>366.76</v>
      </c>
      <c r="I721" s="10">
        <f t="shared" si="44"/>
        <v>-274.15999999999997</v>
      </c>
      <c r="J721" s="11">
        <f>data!H721</f>
        <v>66.7</v>
      </c>
      <c r="K721" s="11">
        <f>data!J721</f>
        <v>266.8</v>
      </c>
      <c r="L721" s="11">
        <f t="shared" si="45"/>
        <v>-200.10000000000002</v>
      </c>
      <c r="M721" s="9">
        <f t="shared" si="46"/>
        <v>-0.74751881339295445</v>
      </c>
      <c r="N721" s="9">
        <f t="shared" si="47"/>
        <v>-0.75</v>
      </c>
    </row>
    <row r="722" spans="1:14" x14ac:dyDescent="0.25">
      <c r="A722" t="str">
        <f>TEXT("1/"&amp;data!A722,"mmmm")</f>
        <v>mars</v>
      </c>
      <c r="B722">
        <f>data!B722</f>
        <v>2016</v>
      </c>
      <c r="C722" t="str">
        <f>data!C722</f>
        <v>086B</v>
      </c>
      <c r="D722" t="str">
        <f>data!D722</f>
        <v>PRODIFFU - TERRE DE VIGNERONS</v>
      </c>
      <c r="E722" t="str">
        <f>data!E722</f>
        <v>086011P</v>
      </c>
      <c r="F722" t="str">
        <f>data!F722</f>
        <v>AC C.DE DURAS BERTICOT</v>
      </c>
      <c r="G722" s="10">
        <f>data!G722</f>
        <v>492.81</v>
      </c>
      <c r="H722" s="10">
        <f>data!I722</f>
        <v>673.83</v>
      </c>
      <c r="I722" s="10">
        <f t="shared" si="44"/>
        <v>-181.02000000000004</v>
      </c>
      <c r="J722" s="11">
        <f>data!H722</f>
        <v>386.57</v>
      </c>
      <c r="K722" s="11">
        <f>data!J722</f>
        <v>546.53</v>
      </c>
      <c r="L722" s="11">
        <f t="shared" si="45"/>
        <v>-159.95999999999998</v>
      </c>
      <c r="M722" s="9">
        <f t="shared" si="46"/>
        <v>-0.26864342638350924</v>
      </c>
      <c r="N722" s="9">
        <f t="shared" si="47"/>
        <v>-0.29268292682926828</v>
      </c>
    </row>
    <row r="723" spans="1:14" x14ac:dyDescent="0.25">
      <c r="A723" t="str">
        <f>TEXT("1/"&amp;data!A723,"mmmm")</f>
        <v>mars</v>
      </c>
      <c r="B723">
        <f>data!B723</f>
        <v>2016</v>
      </c>
      <c r="C723" t="str">
        <f>data!C723</f>
        <v>086B</v>
      </c>
      <c r="D723" t="str">
        <f>data!D723</f>
        <v>PRODIFFU - TERRE DE VIGNERONS</v>
      </c>
      <c r="E723" t="str">
        <f>data!E723</f>
        <v>086012P</v>
      </c>
      <c r="F723" t="str">
        <f>data!F723</f>
        <v>AC C.DE DURAS BERTICOT</v>
      </c>
      <c r="G723" s="10">
        <f>data!G723</f>
        <v>281.05</v>
      </c>
      <c r="H723" s="10">
        <f>data!I723</f>
        <v>255.64</v>
      </c>
      <c r="I723" s="10">
        <f t="shared" si="44"/>
        <v>25.410000000000025</v>
      </c>
      <c r="J723" s="11">
        <f>data!H723</f>
        <v>200.1</v>
      </c>
      <c r="K723" s="11">
        <f>data!J723</f>
        <v>193.43</v>
      </c>
      <c r="L723" s="11">
        <f t="shared" si="45"/>
        <v>6.6699999999999875</v>
      </c>
      <c r="M723" s="9">
        <f t="shared" si="46"/>
        <v>9.9397590361445881E-2</v>
      </c>
      <c r="N723" s="9">
        <f t="shared" si="47"/>
        <v>3.4482758620689592E-2</v>
      </c>
    </row>
    <row r="724" spans="1:14" x14ac:dyDescent="0.25">
      <c r="A724" t="str">
        <f>TEXT("1/"&amp;data!A724,"mmmm")</f>
        <v>mars</v>
      </c>
      <c r="B724">
        <f>data!B724</f>
        <v>2016</v>
      </c>
      <c r="C724" t="str">
        <f>data!C724</f>
        <v>089</v>
      </c>
      <c r="D724" t="str">
        <f>data!D724</f>
        <v>DOMAINE DE LA PALEINE</v>
      </c>
      <c r="E724" t="str">
        <f>data!E724</f>
        <v>089002</v>
      </c>
      <c r="F724" t="str">
        <f>data!F724</f>
        <v>AC SAUMUR C.DU PRINTEMPS LA PALEINE</v>
      </c>
      <c r="G724" s="10">
        <f>data!G724</f>
        <v>87.6</v>
      </c>
      <c r="H724" s="10">
        <f>data!I724</f>
        <v>63.6</v>
      </c>
      <c r="I724" s="10">
        <f t="shared" si="44"/>
        <v>23.999999999999993</v>
      </c>
      <c r="J724" s="11">
        <f>data!H724</f>
        <v>30</v>
      </c>
      <c r="K724" s="11">
        <f>data!J724</f>
        <v>18</v>
      </c>
      <c r="L724" s="11">
        <f t="shared" si="45"/>
        <v>12</v>
      </c>
      <c r="M724" s="9">
        <f t="shared" si="46"/>
        <v>0.3773584905660376</v>
      </c>
      <c r="N724" s="9">
        <f t="shared" si="47"/>
        <v>0.66666666666666663</v>
      </c>
    </row>
    <row r="725" spans="1:14" x14ac:dyDescent="0.25">
      <c r="A725" t="str">
        <f>TEXT("1/"&amp;data!A725,"mmmm")</f>
        <v>mars</v>
      </c>
      <c r="B725">
        <f>data!B725</f>
        <v>2016</v>
      </c>
      <c r="C725" t="str">
        <f>data!C725</f>
        <v>089</v>
      </c>
      <c r="D725" t="str">
        <f>data!D725</f>
        <v>DOMAINE DE LA PALEINE</v>
      </c>
      <c r="E725" t="str">
        <f>data!E725</f>
        <v>089800</v>
      </c>
      <c r="F725" t="str">
        <f>data!F725</f>
        <v>AC SAUMUR BRUT D.DE LA PALEINE</v>
      </c>
      <c r="G725" s="10">
        <f>data!G725</f>
        <v>49.8</v>
      </c>
      <c r="H725" s="10">
        <f>data!I725</f>
        <v>24.6</v>
      </c>
      <c r="I725" s="10">
        <f t="shared" si="44"/>
        <v>25.199999999999996</v>
      </c>
      <c r="J725" s="11">
        <f>data!H725</f>
        <v>12</v>
      </c>
      <c r="K725" s="11">
        <f>data!J725</f>
        <v>6</v>
      </c>
      <c r="L725" s="11">
        <f t="shared" si="45"/>
        <v>6</v>
      </c>
      <c r="M725" s="9">
        <f t="shared" si="46"/>
        <v>1.0243902439024388</v>
      </c>
      <c r="N725" s="9">
        <f t="shared" si="47"/>
        <v>1</v>
      </c>
    </row>
    <row r="726" spans="1:14" x14ac:dyDescent="0.25">
      <c r="A726" t="str">
        <f>TEXT("1/"&amp;data!A726,"mmmm")</f>
        <v>mars</v>
      </c>
      <c r="B726">
        <f>data!B726</f>
        <v>2016</v>
      </c>
      <c r="C726" t="str">
        <f>data!C726</f>
        <v>089</v>
      </c>
      <c r="D726" t="str">
        <f>data!D726</f>
        <v>DOMAINE DE LA PALEINE</v>
      </c>
      <c r="E726" t="str">
        <f>data!E726</f>
        <v>089900</v>
      </c>
      <c r="F726" t="str">
        <f>data!F726</f>
        <v>AC SAUMUR RESERVE D.LA PALEINE</v>
      </c>
      <c r="G726" s="10">
        <f>data!G726</f>
        <v>488.75</v>
      </c>
      <c r="H726" s="10">
        <f>data!I726</f>
        <v>526.5</v>
      </c>
      <c r="I726" s="10">
        <f t="shared" si="44"/>
        <v>-37.75</v>
      </c>
      <c r="J726" s="11">
        <f>data!H726</f>
        <v>306.58999999999997</v>
      </c>
      <c r="K726" s="11">
        <f>data!J726</f>
        <v>346.58</v>
      </c>
      <c r="L726" s="11">
        <f t="shared" si="45"/>
        <v>-39.990000000000009</v>
      </c>
      <c r="M726" s="9">
        <f t="shared" si="46"/>
        <v>-7.1699905033238365E-2</v>
      </c>
      <c r="N726" s="9">
        <f t="shared" si="47"/>
        <v>-0.11538461538461542</v>
      </c>
    </row>
    <row r="727" spans="1:14" x14ac:dyDescent="0.25">
      <c r="A727" t="str">
        <f>TEXT("1/"&amp;data!A727,"mmmm")</f>
        <v>mars</v>
      </c>
      <c r="B727">
        <f>data!B727</f>
        <v>2016</v>
      </c>
      <c r="C727" t="str">
        <f>data!C727</f>
        <v>089</v>
      </c>
      <c r="D727" t="str">
        <f>data!D727</f>
        <v>DOMAINE DE LA PALEINE</v>
      </c>
      <c r="E727" t="str">
        <f>data!E727</f>
        <v>089901</v>
      </c>
      <c r="F727" t="str">
        <f>data!F727</f>
        <v>AC SAUMUR D.LA PALEINE</v>
      </c>
      <c r="G727" s="10">
        <f>data!G727</f>
        <v>356.4</v>
      </c>
      <c r="H727" s="10">
        <f>data!I727</f>
        <v>1037</v>
      </c>
      <c r="I727" s="10">
        <f t="shared" si="44"/>
        <v>-680.6</v>
      </c>
      <c r="J727" s="11">
        <f>data!H727</f>
        <v>186.76</v>
      </c>
      <c r="K727" s="11">
        <f>data!J727</f>
        <v>580.29</v>
      </c>
      <c r="L727" s="11">
        <f t="shared" si="45"/>
        <v>-393.53</v>
      </c>
      <c r="M727" s="9">
        <f t="shared" si="46"/>
        <v>-0.65631629701060756</v>
      </c>
      <c r="N727" s="9">
        <f t="shared" si="47"/>
        <v>-0.67816091954022983</v>
      </c>
    </row>
    <row r="728" spans="1:14" x14ac:dyDescent="0.25">
      <c r="A728" t="str">
        <f>TEXT("1/"&amp;data!A728,"mmmm")</f>
        <v>mars</v>
      </c>
      <c r="B728">
        <f>data!B728</f>
        <v>2016</v>
      </c>
      <c r="C728" t="str">
        <f>data!C728</f>
        <v>089</v>
      </c>
      <c r="D728" t="str">
        <f>data!D728</f>
        <v>DOMAINE DE LA PALEINE</v>
      </c>
      <c r="E728" t="str">
        <f>data!E728</f>
        <v>089903</v>
      </c>
      <c r="F728" t="str">
        <f>data!F728</f>
        <v>AC SAUMUR BRUT M.TRAD LA PALEINE</v>
      </c>
      <c r="G728" s="10">
        <f>data!G728</f>
        <v>934.8</v>
      </c>
      <c r="H728" s="10">
        <f>data!I728</f>
        <v>801.9</v>
      </c>
      <c r="I728" s="10">
        <f t="shared" si="44"/>
        <v>132.89999999999998</v>
      </c>
      <c r="J728" s="11">
        <f>data!H728</f>
        <v>228</v>
      </c>
      <c r="K728" s="11">
        <f>data!J728</f>
        <v>204</v>
      </c>
      <c r="L728" s="11">
        <f t="shared" si="45"/>
        <v>24</v>
      </c>
      <c r="M728" s="9">
        <f t="shared" si="46"/>
        <v>0.16573138795361014</v>
      </c>
      <c r="N728" s="9">
        <f t="shared" si="47"/>
        <v>0.11764705882352941</v>
      </c>
    </row>
    <row r="729" spans="1:14" x14ac:dyDescent="0.25">
      <c r="A729" t="str">
        <f>TEXT("1/"&amp;data!A729,"mmmm")</f>
        <v>mars</v>
      </c>
      <c r="B729">
        <f>data!B729</f>
        <v>2016</v>
      </c>
      <c r="C729" t="str">
        <f>data!C729</f>
        <v>094</v>
      </c>
      <c r="D729" t="str">
        <f>data!D729</f>
        <v>CHATEAU TOUR GRANINS-GRAND POUJEAUX</v>
      </c>
      <c r="E729" t="str">
        <f>data!E729</f>
        <v>094001</v>
      </c>
      <c r="F729" t="str">
        <f>data!F729</f>
        <v>AC MOULIS EN MEDOC TOUR GRANINS GD-POUJEAUX</v>
      </c>
      <c r="G729" s="10">
        <f>data!G729</f>
        <v>188.4</v>
      </c>
      <c r="H729" s="10">
        <f>data!I729</f>
        <v>1466.4</v>
      </c>
      <c r="I729" s="10">
        <f t="shared" si="44"/>
        <v>-1278</v>
      </c>
      <c r="J729" s="11">
        <f>data!H729</f>
        <v>42</v>
      </c>
      <c r="K729" s="11">
        <f>data!J729</f>
        <v>294</v>
      </c>
      <c r="L729" s="11">
        <f t="shared" si="45"/>
        <v>-252</v>
      </c>
      <c r="M729" s="9">
        <f t="shared" si="46"/>
        <v>-0.87152209492635024</v>
      </c>
      <c r="N729" s="9">
        <f t="shared" si="47"/>
        <v>-0.8571428571428571</v>
      </c>
    </row>
    <row r="730" spans="1:14" x14ac:dyDescent="0.25">
      <c r="A730" t="str">
        <f>TEXT("1/"&amp;data!A730,"mmmm")</f>
        <v>mars</v>
      </c>
      <c r="B730">
        <f>data!B730</f>
        <v>2016</v>
      </c>
      <c r="C730" t="str">
        <f>data!C730</f>
        <v>094</v>
      </c>
      <c r="D730" t="str">
        <f>data!D730</f>
        <v>CHATEAU TOUR GRANINS-GRAND POUJEAUX</v>
      </c>
      <c r="E730" t="str">
        <f>data!E730</f>
        <v>094003</v>
      </c>
      <c r="F730" t="str">
        <f>data!F730</f>
        <v>AC MOULIS EN MEDOC GD POUJEAUX</v>
      </c>
      <c r="G730" s="10">
        <f>data!G730</f>
        <v>67.8</v>
      </c>
      <c r="H730" s="10">
        <f>data!I730</f>
        <v>0</v>
      </c>
      <c r="I730" s="10">
        <f t="shared" si="44"/>
        <v>67.8</v>
      </c>
      <c r="J730" s="11">
        <f>data!H730</f>
        <v>12</v>
      </c>
      <c r="K730" s="11">
        <f>data!J730</f>
        <v>0</v>
      </c>
      <c r="L730" s="11">
        <f t="shared" si="45"/>
        <v>12</v>
      </c>
      <c r="M730" s="9" t="str">
        <f t="shared" si="46"/>
        <v/>
      </c>
      <c r="N730" s="9" t="str">
        <f t="shared" si="47"/>
        <v/>
      </c>
    </row>
    <row r="731" spans="1:14" x14ac:dyDescent="0.25">
      <c r="A731" t="str">
        <f>TEXT("1/"&amp;data!A731,"mmmm")</f>
        <v>mars</v>
      </c>
      <c r="B731">
        <f>data!B731</f>
        <v>2016</v>
      </c>
      <c r="C731" t="str">
        <f>data!C731</f>
        <v>095</v>
      </c>
      <c r="D731" t="str">
        <f>data!D731</f>
        <v>MR FILLON</v>
      </c>
      <c r="E731" t="str">
        <f>data!E731</f>
        <v>095001</v>
      </c>
      <c r="F731" t="str">
        <f>data!F731</f>
        <v>AC BOURG ALIG D.FILLON</v>
      </c>
      <c r="G731" s="10">
        <f>data!G731</f>
        <v>1110</v>
      </c>
      <c r="H731" s="10">
        <f>data!I731</f>
        <v>1063.5</v>
      </c>
      <c r="I731" s="10">
        <f t="shared" si="44"/>
        <v>46.5</v>
      </c>
      <c r="J731" s="11">
        <f>data!H731</f>
        <v>300</v>
      </c>
      <c r="K731" s="11">
        <f>data!J731</f>
        <v>294</v>
      </c>
      <c r="L731" s="11">
        <f t="shared" si="45"/>
        <v>6</v>
      </c>
      <c r="M731" s="9">
        <f t="shared" si="46"/>
        <v>4.372355430183357E-2</v>
      </c>
      <c r="N731" s="9">
        <f t="shared" si="47"/>
        <v>2.0408163265306121E-2</v>
      </c>
    </row>
    <row r="732" spans="1:14" x14ac:dyDescent="0.25">
      <c r="A732" t="str">
        <f>TEXT("1/"&amp;data!A732,"mmmm")</f>
        <v>mars</v>
      </c>
      <c r="B732">
        <f>data!B732</f>
        <v>2016</v>
      </c>
      <c r="C732" t="str">
        <f>data!C732</f>
        <v>095</v>
      </c>
      <c r="D732" t="str">
        <f>data!D732</f>
        <v>MR FILLON</v>
      </c>
      <c r="E732" t="str">
        <f>data!E732</f>
        <v>095002</v>
      </c>
      <c r="F732" t="str">
        <f>data!F732</f>
        <v>AC BOURG ALIG D.FILLON</v>
      </c>
      <c r="G732" s="10">
        <f>data!G732</f>
        <v>0</v>
      </c>
      <c r="H732" s="10">
        <f>data!I732</f>
        <v>158.4</v>
      </c>
      <c r="I732" s="10">
        <f t="shared" si="44"/>
        <v>-158.4</v>
      </c>
      <c r="J732" s="11">
        <f>data!H732</f>
        <v>6</v>
      </c>
      <c r="K732" s="11">
        <f>data!J732</f>
        <v>36</v>
      </c>
      <c r="L732" s="11">
        <f t="shared" si="45"/>
        <v>-30</v>
      </c>
      <c r="M732" s="9">
        <f t="shared" si="46"/>
        <v>-1</v>
      </c>
      <c r="N732" s="9">
        <f t="shared" si="47"/>
        <v>-0.83333333333333337</v>
      </c>
    </row>
    <row r="733" spans="1:14" x14ac:dyDescent="0.25">
      <c r="A733" t="str">
        <f>TEXT("1/"&amp;data!A733,"mmmm")</f>
        <v>mars</v>
      </c>
      <c r="B733">
        <f>data!B733</f>
        <v>2016</v>
      </c>
      <c r="C733" t="str">
        <f>data!C733</f>
        <v>095</v>
      </c>
      <c r="D733" t="str">
        <f>data!D733</f>
        <v>MR FILLON</v>
      </c>
      <c r="E733" t="str">
        <f>data!E733</f>
        <v>095003</v>
      </c>
      <c r="F733" t="str">
        <f>data!F733</f>
        <v>AC BOURGOGNE ALIGOTE</v>
      </c>
      <c r="G733" s="10">
        <f>data!G733</f>
        <v>0</v>
      </c>
      <c r="H733" s="10">
        <f>data!I733</f>
        <v>0</v>
      </c>
      <c r="I733" s="10">
        <f t="shared" si="44"/>
        <v>0</v>
      </c>
      <c r="J733" s="11">
        <f>data!H733</f>
        <v>138</v>
      </c>
      <c r="K733" s="11">
        <f>data!J733</f>
        <v>0</v>
      </c>
      <c r="L733" s="11">
        <f t="shared" si="45"/>
        <v>138</v>
      </c>
      <c r="M733" s="9" t="str">
        <f t="shared" si="46"/>
        <v/>
      </c>
      <c r="N733" s="9" t="str">
        <f t="shared" si="47"/>
        <v/>
      </c>
    </row>
    <row r="734" spans="1:14" x14ac:dyDescent="0.25">
      <c r="A734" t="str">
        <f>TEXT("1/"&amp;data!A734,"mmmm")</f>
        <v>mars</v>
      </c>
      <c r="B734">
        <f>data!B734</f>
        <v>2016</v>
      </c>
      <c r="C734" t="str">
        <f>data!C734</f>
        <v>095</v>
      </c>
      <c r="D734" t="str">
        <f>data!D734</f>
        <v>MR FILLON</v>
      </c>
      <c r="E734" t="str">
        <f>data!E734</f>
        <v>095005</v>
      </c>
      <c r="F734" t="str">
        <f>data!F734</f>
        <v>DOM FILLON AC SAUVIGNON DE ST BRIS</v>
      </c>
      <c r="G734" s="10">
        <f>data!G734</f>
        <v>421.2</v>
      </c>
      <c r="H734" s="10">
        <f>data!I734</f>
        <v>0</v>
      </c>
      <c r="I734" s="10">
        <f t="shared" si="44"/>
        <v>421.2</v>
      </c>
      <c r="J734" s="11">
        <f>data!H734</f>
        <v>108</v>
      </c>
      <c r="K734" s="11">
        <f>data!J734</f>
        <v>6</v>
      </c>
      <c r="L734" s="11">
        <f t="shared" si="45"/>
        <v>102</v>
      </c>
      <c r="M734" s="9" t="str">
        <f t="shared" si="46"/>
        <v/>
      </c>
      <c r="N734" s="9">
        <f t="shared" si="47"/>
        <v>17</v>
      </c>
    </row>
    <row r="735" spans="1:14" x14ac:dyDescent="0.25">
      <c r="A735" t="str">
        <f>TEXT("1/"&amp;data!A735,"mmmm")</f>
        <v>mars</v>
      </c>
      <c r="B735">
        <f>data!B735</f>
        <v>2016</v>
      </c>
      <c r="C735" t="str">
        <f>data!C735</f>
        <v>095</v>
      </c>
      <c r="D735" t="str">
        <f>data!D735</f>
        <v>MR FILLON</v>
      </c>
      <c r="E735" t="str">
        <f>data!E735</f>
        <v>095008</v>
      </c>
      <c r="F735" t="str">
        <f>data!F735</f>
        <v>AC PETIT CHABLIS</v>
      </c>
      <c r="G735" s="10">
        <f>data!G735</f>
        <v>64.8</v>
      </c>
      <c r="H735" s="10">
        <f>data!I735</f>
        <v>0</v>
      </c>
      <c r="I735" s="10">
        <f t="shared" si="44"/>
        <v>64.8</v>
      </c>
      <c r="J735" s="11">
        <f>data!H735</f>
        <v>12</v>
      </c>
      <c r="K735" s="11">
        <f>data!J735</f>
        <v>0</v>
      </c>
      <c r="L735" s="11">
        <f t="shared" si="45"/>
        <v>12</v>
      </c>
      <c r="M735" s="9" t="str">
        <f t="shared" si="46"/>
        <v/>
      </c>
      <c r="N735" s="9" t="str">
        <f t="shared" si="47"/>
        <v/>
      </c>
    </row>
    <row r="736" spans="1:14" x14ac:dyDescent="0.25">
      <c r="A736" t="str">
        <f>TEXT("1/"&amp;data!A736,"mmmm")</f>
        <v>mars</v>
      </c>
      <c r="B736">
        <f>data!B736</f>
        <v>2016</v>
      </c>
      <c r="C736" t="str">
        <f>data!C736</f>
        <v>095</v>
      </c>
      <c r="D736" t="str">
        <f>data!D736</f>
        <v>MR FILLON</v>
      </c>
      <c r="E736" t="str">
        <f>data!E736</f>
        <v>095010</v>
      </c>
      <c r="F736" t="str">
        <f>data!F736</f>
        <v>DOM FILLON AC PETIT CHABLIS</v>
      </c>
      <c r="G736" s="10">
        <f>data!G736</f>
        <v>1283.4000000000001</v>
      </c>
      <c r="H736" s="10">
        <f>data!I736</f>
        <v>686.7</v>
      </c>
      <c r="I736" s="10">
        <f t="shared" si="44"/>
        <v>596.70000000000005</v>
      </c>
      <c r="J736" s="11">
        <f>data!H736</f>
        <v>276</v>
      </c>
      <c r="K736" s="11">
        <f>data!J736</f>
        <v>156</v>
      </c>
      <c r="L736" s="11">
        <f t="shared" si="45"/>
        <v>120</v>
      </c>
      <c r="M736" s="9">
        <f t="shared" si="46"/>
        <v>0.86893840104849285</v>
      </c>
      <c r="N736" s="9">
        <f t="shared" si="47"/>
        <v>0.76923076923076927</v>
      </c>
    </row>
    <row r="737" spans="1:14" x14ac:dyDescent="0.25">
      <c r="A737" t="str">
        <f>TEXT("1/"&amp;data!A737,"mmmm")</f>
        <v>mars</v>
      </c>
      <c r="B737">
        <f>data!B737</f>
        <v>2016</v>
      </c>
      <c r="C737" t="str">
        <f>data!C737</f>
        <v>095</v>
      </c>
      <c r="D737" t="str">
        <f>data!D737</f>
        <v>MR FILLON</v>
      </c>
      <c r="E737" t="str">
        <f>data!E737</f>
        <v>095012</v>
      </c>
      <c r="F737" t="str">
        <f>data!F737</f>
        <v>DOM FILLON AC CHABLIS</v>
      </c>
      <c r="G737" s="10">
        <f>data!G737</f>
        <v>744</v>
      </c>
      <c r="H737" s="10">
        <f>data!I737</f>
        <v>0</v>
      </c>
      <c r="I737" s="10">
        <f t="shared" si="44"/>
        <v>744</v>
      </c>
      <c r="J737" s="11">
        <f>data!H737</f>
        <v>114</v>
      </c>
      <c r="K737" s="11">
        <f>data!J737</f>
        <v>0</v>
      </c>
      <c r="L737" s="11">
        <f t="shared" si="45"/>
        <v>114</v>
      </c>
      <c r="M737" s="9" t="str">
        <f t="shared" si="46"/>
        <v/>
      </c>
      <c r="N737" s="9" t="str">
        <f t="shared" si="47"/>
        <v/>
      </c>
    </row>
    <row r="738" spans="1:14" x14ac:dyDescent="0.25">
      <c r="A738" t="str">
        <f>TEXT("1/"&amp;data!A738,"mmmm")</f>
        <v>mars</v>
      </c>
      <c r="B738">
        <f>data!B738</f>
        <v>2016</v>
      </c>
      <c r="C738" t="str">
        <f>data!C738</f>
        <v>095</v>
      </c>
      <c r="D738" t="str">
        <f>data!D738</f>
        <v>MR FILLON</v>
      </c>
      <c r="E738" t="str">
        <f>data!E738</f>
        <v>095014</v>
      </c>
      <c r="F738" t="str">
        <f>data!F738</f>
        <v>DOM FILLON AC CHABLIS VIEILLES VIGNES</v>
      </c>
      <c r="G738" s="10">
        <f>data!G738</f>
        <v>81.599999999999994</v>
      </c>
      <c r="H738" s="10">
        <f>data!I738</f>
        <v>0</v>
      </c>
      <c r="I738" s="10">
        <f t="shared" si="44"/>
        <v>81.599999999999994</v>
      </c>
      <c r="J738" s="11">
        <f>data!H738</f>
        <v>144</v>
      </c>
      <c r="K738" s="11">
        <f>data!J738</f>
        <v>0</v>
      </c>
      <c r="L738" s="11">
        <f t="shared" si="45"/>
        <v>144</v>
      </c>
      <c r="M738" s="9" t="str">
        <f t="shared" si="46"/>
        <v/>
      </c>
      <c r="N738" s="9" t="str">
        <f t="shared" si="47"/>
        <v/>
      </c>
    </row>
    <row r="739" spans="1:14" x14ac:dyDescent="0.25">
      <c r="A739" t="str">
        <f>TEXT("1/"&amp;data!A739,"mmmm")</f>
        <v>mars</v>
      </c>
      <c r="B739">
        <f>data!B739</f>
        <v>2016</v>
      </c>
      <c r="C739" t="str">
        <f>data!C739</f>
        <v>095</v>
      </c>
      <c r="D739" t="str">
        <f>data!D739</f>
        <v>MR FILLON</v>
      </c>
      <c r="E739" t="str">
        <f>data!E739</f>
        <v>CDV095007</v>
      </c>
      <c r="F739" t="str">
        <f>data!F739</f>
        <v>AC COTES D'AUXERRE</v>
      </c>
      <c r="G739" s="10">
        <f>data!G739</f>
        <v>72</v>
      </c>
      <c r="H739" s="10">
        <f>data!I739</f>
        <v>0</v>
      </c>
      <c r="I739" s="10">
        <f t="shared" si="44"/>
        <v>72</v>
      </c>
      <c r="J739" s="11">
        <f>data!H739</f>
        <v>18</v>
      </c>
      <c r="K739" s="11">
        <f>data!J739</f>
        <v>0</v>
      </c>
      <c r="L739" s="11">
        <f t="shared" si="45"/>
        <v>18</v>
      </c>
      <c r="M739" s="9" t="str">
        <f t="shared" si="46"/>
        <v/>
      </c>
      <c r="N739" s="9" t="str">
        <f t="shared" si="47"/>
        <v/>
      </c>
    </row>
    <row r="740" spans="1:14" x14ac:dyDescent="0.25">
      <c r="A740" t="str">
        <f>TEXT("1/"&amp;data!A740,"mmmm")</f>
        <v>mars</v>
      </c>
      <c r="B740">
        <f>data!B740</f>
        <v>2016</v>
      </c>
      <c r="C740" t="str">
        <f>data!C740</f>
        <v>097</v>
      </c>
      <c r="D740" t="str">
        <f>data!D740</f>
        <v>CHATEAU DE COINTES</v>
      </c>
      <c r="E740" t="str">
        <f>data!E740</f>
        <v>097004</v>
      </c>
      <c r="F740" t="str">
        <f>data!F740</f>
        <v>VDP MERLOT D.DES CONSULS</v>
      </c>
      <c r="G740" s="10">
        <f>data!G740</f>
        <v>1171.8</v>
      </c>
      <c r="H740" s="10">
        <f>data!I740</f>
        <v>1437.3</v>
      </c>
      <c r="I740" s="10">
        <f t="shared" si="44"/>
        <v>-265.5</v>
      </c>
      <c r="J740" s="11">
        <f>data!H740</f>
        <v>558</v>
      </c>
      <c r="K740" s="11">
        <f>data!J740</f>
        <v>702</v>
      </c>
      <c r="L740" s="11">
        <f t="shared" si="45"/>
        <v>-144</v>
      </c>
      <c r="M740" s="9">
        <f t="shared" si="46"/>
        <v>-0.18472135253600502</v>
      </c>
      <c r="N740" s="9">
        <f t="shared" si="47"/>
        <v>-0.20512820512820512</v>
      </c>
    </row>
    <row r="741" spans="1:14" x14ac:dyDescent="0.25">
      <c r="A741" t="str">
        <f>TEXT("1/"&amp;data!A741,"mmmm")</f>
        <v>mars</v>
      </c>
      <c r="B741">
        <f>data!B741</f>
        <v>2016</v>
      </c>
      <c r="C741" t="str">
        <f>data!C741</f>
        <v>099</v>
      </c>
      <c r="D741" t="str">
        <f>data!D741</f>
        <v>CAVE DE L'ORMARINE</v>
      </c>
      <c r="E741" t="str">
        <f>data!E741</f>
        <v>099001</v>
      </c>
      <c r="F741" t="str">
        <f>data!F741</f>
        <v>VDP C DE THAU D.VILLEMARIN</v>
      </c>
      <c r="G741" s="10">
        <f>data!G741</f>
        <v>1822.02</v>
      </c>
      <c r="H741" s="10">
        <f>data!I741</f>
        <v>2137.91</v>
      </c>
      <c r="I741" s="10">
        <f t="shared" si="44"/>
        <v>-315.88999999999987</v>
      </c>
      <c r="J741" s="11">
        <f>data!H741</f>
        <v>1146</v>
      </c>
      <c r="K741" s="11">
        <f>data!J741</f>
        <v>1416</v>
      </c>
      <c r="L741" s="11">
        <f t="shared" si="45"/>
        <v>-270</v>
      </c>
      <c r="M741" s="9">
        <f t="shared" si="46"/>
        <v>-0.14775645373285121</v>
      </c>
      <c r="N741" s="9">
        <f t="shared" si="47"/>
        <v>-0.19067796610169491</v>
      </c>
    </row>
    <row r="742" spans="1:14" x14ac:dyDescent="0.25">
      <c r="A742" t="str">
        <f>TEXT("1/"&amp;data!A742,"mmmm")</f>
        <v>mars</v>
      </c>
      <c r="B742">
        <f>data!B742</f>
        <v>2016</v>
      </c>
      <c r="C742" t="str">
        <f>data!C742</f>
        <v>099</v>
      </c>
      <c r="D742" t="str">
        <f>data!D742</f>
        <v>CAVE DE L'ORMARINE</v>
      </c>
      <c r="E742" t="str">
        <f>data!E742</f>
        <v>099002</v>
      </c>
      <c r="F742" t="str">
        <f>data!F742</f>
        <v>VDP C DE THAU D.VILLEMARIN</v>
      </c>
      <c r="G742" s="10">
        <f>data!G742</f>
        <v>3236.16</v>
      </c>
      <c r="H742" s="10">
        <f>data!I742</f>
        <v>10642.95</v>
      </c>
      <c r="I742" s="10">
        <f t="shared" si="44"/>
        <v>-7406.7900000000009</v>
      </c>
      <c r="J742" s="11">
        <f>data!H742</f>
        <v>1866</v>
      </c>
      <c r="K742" s="11">
        <f>data!J742</f>
        <v>7992</v>
      </c>
      <c r="L742" s="11">
        <f t="shared" si="45"/>
        <v>-6126</v>
      </c>
      <c r="M742" s="9">
        <f t="shared" si="46"/>
        <v>-0.69593392809324484</v>
      </c>
      <c r="N742" s="9">
        <f t="shared" si="47"/>
        <v>-0.76651651651651653</v>
      </c>
    </row>
    <row r="743" spans="1:14" x14ac:dyDescent="0.25">
      <c r="A743" t="str">
        <f>TEXT("1/"&amp;data!A743,"mmmm")</f>
        <v>mars</v>
      </c>
      <c r="B743">
        <f>data!B743</f>
        <v>2016</v>
      </c>
      <c r="C743" t="str">
        <f>data!C743</f>
        <v>099</v>
      </c>
      <c r="D743" t="str">
        <f>data!D743</f>
        <v>CAVE DE L'ORMARINE</v>
      </c>
      <c r="E743" t="str">
        <f>data!E743</f>
        <v>099003</v>
      </c>
      <c r="F743" t="str">
        <f>data!F743</f>
        <v>VDP C DE THAU D.VILLEMARIN</v>
      </c>
      <c r="G743" s="10">
        <f>data!G743</f>
        <v>425.4</v>
      </c>
      <c r="H743" s="10">
        <f>data!I743</f>
        <v>437.04</v>
      </c>
      <c r="I743" s="10">
        <f t="shared" si="44"/>
        <v>-11.640000000000043</v>
      </c>
      <c r="J743" s="11">
        <f>data!H743</f>
        <v>246</v>
      </c>
      <c r="K743" s="11">
        <f>data!J743</f>
        <v>270</v>
      </c>
      <c r="L743" s="11">
        <f t="shared" si="45"/>
        <v>-24</v>
      </c>
      <c r="M743" s="9">
        <f t="shared" si="46"/>
        <v>-2.6633717737506963E-2</v>
      </c>
      <c r="N743" s="9">
        <f t="shared" si="47"/>
        <v>-8.8888888888888892E-2</v>
      </c>
    </row>
    <row r="744" spans="1:14" x14ac:dyDescent="0.25">
      <c r="A744" t="str">
        <f>TEXT("1/"&amp;data!A744,"mmmm")</f>
        <v>mars</v>
      </c>
      <c r="B744">
        <f>data!B744</f>
        <v>2016</v>
      </c>
      <c r="C744" t="str">
        <f>data!C744</f>
        <v>099</v>
      </c>
      <c r="D744" t="str">
        <f>data!D744</f>
        <v>CAVE DE L'ORMARINE</v>
      </c>
      <c r="E744" t="str">
        <f>data!E744</f>
        <v>099013</v>
      </c>
      <c r="F744" t="str">
        <f>data!F744</f>
        <v>IGP PAYS D'OC MUSCAT MOELLEUX DOUCEUR DU SUD</v>
      </c>
      <c r="G744" s="10">
        <f>data!G744</f>
        <v>236.04</v>
      </c>
      <c r="H744" s="10">
        <f>data!I744</f>
        <v>84.3</v>
      </c>
      <c r="I744" s="10">
        <f t="shared" si="44"/>
        <v>151.74</v>
      </c>
      <c r="J744" s="11">
        <f>data!H744</f>
        <v>84</v>
      </c>
      <c r="K744" s="11">
        <f>data!J744</f>
        <v>36</v>
      </c>
      <c r="L744" s="11">
        <f t="shared" si="45"/>
        <v>48</v>
      </c>
      <c r="M744" s="9">
        <f t="shared" si="46"/>
        <v>1.8000000000000003</v>
      </c>
      <c r="N744" s="9">
        <f t="shared" si="47"/>
        <v>1.3333333333333333</v>
      </c>
    </row>
    <row r="745" spans="1:14" x14ac:dyDescent="0.25">
      <c r="A745" t="str">
        <f>TEXT("1/"&amp;data!A745,"mmmm")</f>
        <v>mars</v>
      </c>
      <c r="B745">
        <f>data!B745</f>
        <v>2016</v>
      </c>
      <c r="C745" t="str">
        <f>data!C745</f>
        <v>099</v>
      </c>
      <c r="D745" t="str">
        <f>data!D745</f>
        <v>CAVE DE L'ORMARINE</v>
      </c>
      <c r="E745" t="str">
        <f>data!E745</f>
        <v>099016</v>
      </c>
      <c r="F745" t="str">
        <f>data!F745</f>
        <v>AC PICPOUL PINET CARTE NOIRE</v>
      </c>
      <c r="G745" s="10">
        <f>data!G745</f>
        <v>157.68</v>
      </c>
      <c r="H745" s="10">
        <f>data!I745</f>
        <v>0</v>
      </c>
      <c r="I745" s="10">
        <f t="shared" si="44"/>
        <v>157.68</v>
      </c>
      <c r="J745" s="11">
        <f>data!H745</f>
        <v>60</v>
      </c>
      <c r="K745" s="11">
        <f>data!J745</f>
        <v>6</v>
      </c>
      <c r="L745" s="11">
        <f t="shared" si="45"/>
        <v>54</v>
      </c>
      <c r="M745" s="9" t="str">
        <f t="shared" si="46"/>
        <v/>
      </c>
      <c r="N745" s="9">
        <f t="shared" si="47"/>
        <v>9</v>
      </c>
    </row>
    <row r="746" spans="1:14" x14ac:dyDescent="0.25">
      <c r="A746" t="str">
        <f>TEXT("1/"&amp;data!A746,"mmmm")</f>
        <v>mars</v>
      </c>
      <c r="B746">
        <f>data!B746</f>
        <v>2016</v>
      </c>
      <c r="C746" t="str">
        <f>data!C746</f>
        <v>110</v>
      </c>
      <c r="D746" t="str">
        <f>data!D746</f>
        <v>CHATEAU LES MARNIERES</v>
      </c>
      <c r="E746" t="str">
        <f>data!E746</f>
        <v>110500</v>
      </c>
      <c r="F746" t="str">
        <f>data!F746</f>
        <v>AC BERGERAC CH LES MARNIERES</v>
      </c>
      <c r="G746" s="10">
        <f>data!G746</f>
        <v>430.1</v>
      </c>
      <c r="H746" s="10">
        <f>data!I746</f>
        <v>327.60000000000002</v>
      </c>
      <c r="I746" s="10">
        <f t="shared" si="44"/>
        <v>102.5</v>
      </c>
      <c r="J746" s="11">
        <f>data!H746</f>
        <v>306.58999999999997</v>
      </c>
      <c r="K746" s="11">
        <f>data!J746</f>
        <v>239.94</v>
      </c>
      <c r="L746" s="11">
        <f t="shared" si="45"/>
        <v>66.649999999999977</v>
      </c>
      <c r="M746" s="9">
        <f t="shared" si="46"/>
        <v>0.31288156288156288</v>
      </c>
      <c r="N746" s="9">
        <f t="shared" si="47"/>
        <v>0.27777777777777768</v>
      </c>
    </row>
    <row r="747" spans="1:14" x14ac:dyDescent="0.25">
      <c r="A747" t="str">
        <f>TEXT("1/"&amp;data!A747,"mmmm")</f>
        <v>mars</v>
      </c>
      <c r="B747">
        <f>data!B747</f>
        <v>2016</v>
      </c>
      <c r="C747" t="str">
        <f>data!C747</f>
        <v>110</v>
      </c>
      <c r="D747" t="str">
        <f>data!D747</f>
        <v>CHATEAU LES MARNIERES</v>
      </c>
      <c r="E747" t="str">
        <f>data!E747</f>
        <v>110501</v>
      </c>
      <c r="F747" t="str">
        <f>data!F747</f>
        <v>AC BERGERAC CH LES MARNIERES</v>
      </c>
      <c r="G747" s="10">
        <f>data!G747</f>
        <v>33.450000000000003</v>
      </c>
      <c r="H747" s="10">
        <f>data!I747</f>
        <v>268.75</v>
      </c>
      <c r="I747" s="10">
        <f t="shared" si="44"/>
        <v>-235.3</v>
      </c>
      <c r="J747" s="11">
        <f>data!H747</f>
        <v>20.009999999999998</v>
      </c>
      <c r="K747" s="11">
        <f>data!J747</f>
        <v>173.42</v>
      </c>
      <c r="L747" s="11">
        <f t="shared" si="45"/>
        <v>-153.41</v>
      </c>
      <c r="M747" s="9">
        <f t="shared" si="46"/>
        <v>-0.87553488372093025</v>
      </c>
      <c r="N747" s="9">
        <f t="shared" si="47"/>
        <v>-0.88461538461538469</v>
      </c>
    </row>
    <row r="748" spans="1:14" x14ac:dyDescent="0.25">
      <c r="A748" t="str">
        <f>TEXT("1/"&amp;data!A748,"mmmm")</f>
        <v>mars</v>
      </c>
      <c r="B748">
        <f>data!B748</f>
        <v>2016</v>
      </c>
      <c r="C748" t="str">
        <f>data!C748</f>
        <v>110</v>
      </c>
      <c r="D748" t="str">
        <f>data!D748</f>
        <v>CHATEAU LES MARNIERES</v>
      </c>
      <c r="E748" t="str">
        <f>data!E748</f>
        <v>110600</v>
      </c>
      <c r="F748" t="str">
        <f>data!F748</f>
        <v>CH LES MARNIERES AC COTES DE BERGERAC MOELLEUX</v>
      </c>
      <c r="G748" s="10">
        <f>data!G748</f>
        <v>94.5</v>
      </c>
      <c r="H748" s="10">
        <f>data!I748</f>
        <v>122.7</v>
      </c>
      <c r="I748" s="10">
        <f t="shared" si="44"/>
        <v>-28.200000000000003</v>
      </c>
      <c r="J748" s="11">
        <f>data!H748</f>
        <v>30</v>
      </c>
      <c r="K748" s="11">
        <f>data!J748</f>
        <v>42</v>
      </c>
      <c r="L748" s="11">
        <f t="shared" si="45"/>
        <v>-12</v>
      </c>
      <c r="M748" s="9">
        <f t="shared" si="46"/>
        <v>-0.22982885085574573</v>
      </c>
      <c r="N748" s="9">
        <f t="shared" si="47"/>
        <v>-0.2857142857142857</v>
      </c>
    </row>
    <row r="749" spans="1:14" x14ac:dyDescent="0.25">
      <c r="A749" t="str">
        <f>TEXT("1/"&amp;data!A749,"mmmm")</f>
        <v>mars</v>
      </c>
      <c r="B749">
        <f>data!B749</f>
        <v>2016</v>
      </c>
      <c r="C749" t="str">
        <f>data!C749</f>
        <v>113</v>
      </c>
      <c r="D749" t="str">
        <f>data!D749</f>
        <v>DOMAINE DU PRIEURE</v>
      </c>
      <c r="E749" t="str">
        <f>data!E749</f>
        <v>113001</v>
      </c>
      <c r="F749" t="str">
        <f>data!F749</f>
        <v>AC MENETOU SALON. DME PRIEURE</v>
      </c>
      <c r="G749" s="10">
        <f>data!G749</f>
        <v>1504.8</v>
      </c>
      <c r="H749" s="10">
        <f>data!I749</f>
        <v>1081.8</v>
      </c>
      <c r="I749" s="10">
        <f t="shared" si="44"/>
        <v>423</v>
      </c>
      <c r="J749" s="11">
        <f>data!H749</f>
        <v>264</v>
      </c>
      <c r="K749" s="11">
        <f>data!J749</f>
        <v>204</v>
      </c>
      <c r="L749" s="11">
        <f t="shared" si="45"/>
        <v>60</v>
      </c>
      <c r="M749" s="9">
        <f t="shared" si="46"/>
        <v>0.39101497504159738</v>
      </c>
      <c r="N749" s="9">
        <f t="shared" si="47"/>
        <v>0.29411764705882354</v>
      </c>
    </row>
    <row r="750" spans="1:14" x14ac:dyDescent="0.25">
      <c r="A750" t="str">
        <f>TEXT("1/"&amp;data!A750,"mmmm")</f>
        <v>mars</v>
      </c>
      <c r="B750">
        <f>data!B750</f>
        <v>2016</v>
      </c>
      <c r="C750" t="str">
        <f>data!C750</f>
        <v>113</v>
      </c>
      <c r="D750" t="str">
        <f>data!D750</f>
        <v>DOMAINE DU PRIEURE</v>
      </c>
      <c r="E750" t="str">
        <f>data!E750</f>
        <v>113005</v>
      </c>
      <c r="F750" t="str">
        <f>data!F750</f>
        <v>AC MENETOU SALON. DME PRIEURE</v>
      </c>
      <c r="G750" s="10">
        <f>data!G750</f>
        <v>1152</v>
      </c>
      <c r="H750" s="10">
        <f>data!I750</f>
        <v>1131.3</v>
      </c>
      <c r="I750" s="10">
        <f t="shared" si="44"/>
        <v>20.700000000000045</v>
      </c>
      <c r="J750" s="11">
        <f>data!H750</f>
        <v>198</v>
      </c>
      <c r="K750" s="11">
        <f>data!J750</f>
        <v>204</v>
      </c>
      <c r="L750" s="11">
        <f t="shared" si="45"/>
        <v>-6</v>
      </c>
      <c r="M750" s="9">
        <f t="shared" si="46"/>
        <v>1.8297533810660342E-2</v>
      </c>
      <c r="N750" s="9">
        <f t="shared" si="47"/>
        <v>-2.9411764705882353E-2</v>
      </c>
    </row>
    <row r="751" spans="1:14" x14ac:dyDescent="0.25">
      <c r="A751" t="str">
        <f>TEXT("1/"&amp;data!A751,"mmmm")</f>
        <v>mars</v>
      </c>
      <c r="B751">
        <f>data!B751</f>
        <v>2016</v>
      </c>
      <c r="C751" t="str">
        <f>data!C751</f>
        <v>114</v>
      </c>
      <c r="D751" t="str">
        <f>data!D751</f>
        <v>DAVAULT VIGNERONS</v>
      </c>
      <c r="E751" t="str">
        <f>data!E751</f>
        <v>114001</v>
      </c>
      <c r="F751" t="str">
        <f>data!F751</f>
        <v>AC TOURAINE D.LA CHAISE</v>
      </c>
      <c r="G751" s="10">
        <f>data!G751</f>
        <v>691.2</v>
      </c>
      <c r="H751" s="10">
        <f>data!I751</f>
        <v>598.20000000000005</v>
      </c>
      <c r="I751" s="10">
        <f t="shared" si="44"/>
        <v>93</v>
      </c>
      <c r="J751" s="11">
        <f>data!H751</f>
        <v>252</v>
      </c>
      <c r="K751" s="11">
        <f>data!J751</f>
        <v>222</v>
      </c>
      <c r="L751" s="11">
        <f t="shared" si="45"/>
        <v>30</v>
      </c>
      <c r="M751" s="9">
        <f t="shared" si="46"/>
        <v>0.15546639919759275</v>
      </c>
      <c r="N751" s="9">
        <f t="shared" si="47"/>
        <v>0.13513513513513514</v>
      </c>
    </row>
    <row r="752" spans="1:14" x14ac:dyDescent="0.25">
      <c r="A752" t="str">
        <f>TEXT("1/"&amp;data!A752,"mmmm")</f>
        <v>mars</v>
      </c>
      <c r="B752">
        <f>data!B752</f>
        <v>2016</v>
      </c>
      <c r="C752" t="str">
        <f>data!C752</f>
        <v>114</v>
      </c>
      <c r="D752" t="str">
        <f>data!D752</f>
        <v>DAVAULT VIGNERONS</v>
      </c>
      <c r="E752" t="str">
        <f>data!E752</f>
        <v>114002</v>
      </c>
      <c r="F752" t="str">
        <f>data!F752</f>
        <v>AC TOURAINE D.LA CHAISE</v>
      </c>
      <c r="G752" s="10">
        <f>data!G752</f>
        <v>80.16</v>
      </c>
      <c r="H752" s="10">
        <f>data!I752</f>
        <v>19.8</v>
      </c>
      <c r="I752" s="10">
        <f t="shared" si="44"/>
        <v>60.36</v>
      </c>
      <c r="J752" s="11">
        <f>data!H752</f>
        <v>24</v>
      </c>
      <c r="K752" s="11">
        <f>data!J752</f>
        <v>6</v>
      </c>
      <c r="L752" s="11">
        <f t="shared" si="45"/>
        <v>18</v>
      </c>
      <c r="M752" s="9">
        <f t="shared" si="46"/>
        <v>3.0484848484848484</v>
      </c>
      <c r="N752" s="9">
        <f t="shared" si="47"/>
        <v>3</v>
      </c>
    </row>
    <row r="753" spans="1:14" x14ac:dyDescent="0.25">
      <c r="A753" t="str">
        <f>TEXT("1/"&amp;data!A753,"mmmm")</f>
        <v>mars</v>
      </c>
      <c r="B753">
        <f>data!B753</f>
        <v>2016</v>
      </c>
      <c r="C753" t="str">
        <f>data!C753</f>
        <v>114</v>
      </c>
      <c r="D753" t="str">
        <f>data!D753</f>
        <v>DAVAULT VIGNERONS</v>
      </c>
      <c r="E753" t="str">
        <f>data!E753</f>
        <v>114005</v>
      </c>
      <c r="F753" t="str">
        <f>data!F753</f>
        <v>AC GAMAY TOURAINE D.LA CHAISE</v>
      </c>
      <c r="G753" s="10">
        <f>data!G753</f>
        <v>141</v>
      </c>
      <c r="H753" s="10">
        <f>data!I753</f>
        <v>179.4</v>
      </c>
      <c r="I753" s="10">
        <f t="shared" si="44"/>
        <v>-38.400000000000006</v>
      </c>
      <c r="J753" s="11">
        <f>data!H753</f>
        <v>60</v>
      </c>
      <c r="K753" s="11">
        <f>data!J753</f>
        <v>84</v>
      </c>
      <c r="L753" s="11">
        <f t="shared" si="45"/>
        <v>-24</v>
      </c>
      <c r="M753" s="9">
        <f t="shared" si="46"/>
        <v>-0.21404682274247494</v>
      </c>
      <c r="N753" s="9">
        <f t="shared" si="47"/>
        <v>-0.2857142857142857</v>
      </c>
    </row>
    <row r="754" spans="1:14" x14ac:dyDescent="0.25">
      <c r="A754" t="str">
        <f>TEXT("1/"&amp;data!A754,"mmmm")</f>
        <v>mars</v>
      </c>
      <c r="B754">
        <f>data!B754</f>
        <v>2016</v>
      </c>
      <c r="C754" t="str">
        <f>data!C754</f>
        <v>114</v>
      </c>
      <c r="D754" t="str">
        <f>data!D754</f>
        <v>DAVAULT VIGNERONS</v>
      </c>
      <c r="E754" t="str">
        <f>data!E754</f>
        <v>114006</v>
      </c>
      <c r="F754" t="str">
        <f>data!F754</f>
        <v>AC GAMAY TOURAINE D.LA CHAISE</v>
      </c>
      <c r="G754" s="10">
        <f>data!G754</f>
        <v>36.24</v>
      </c>
      <c r="H754" s="10">
        <f>data!I754</f>
        <v>0</v>
      </c>
      <c r="I754" s="10">
        <f t="shared" si="44"/>
        <v>36.24</v>
      </c>
      <c r="J754" s="11">
        <f>data!H754</f>
        <v>12</v>
      </c>
      <c r="K754" s="11">
        <f>data!J754</f>
        <v>0</v>
      </c>
      <c r="L754" s="11">
        <f t="shared" si="45"/>
        <v>12</v>
      </c>
      <c r="M754" s="9" t="str">
        <f t="shared" si="46"/>
        <v/>
      </c>
      <c r="N754" s="9" t="str">
        <f t="shared" si="47"/>
        <v/>
      </c>
    </row>
    <row r="755" spans="1:14" x14ac:dyDescent="0.25">
      <c r="A755" t="str">
        <f>TEXT("1/"&amp;data!A755,"mmmm")</f>
        <v>mars</v>
      </c>
      <c r="B755">
        <f>data!B755</f>
        <v>2016</v>
      </c>
      <c r="C755" t="str">
        <f>data!C755</f>
        <v>114</v>
      </c>
      <c r="D755" t="str">
        <f>data!D755</f>
        <v>DAVAULT VIGNERONS</v>
      </c>
      <c r="E755" t="str">
        <f>data!E755</f>
        <v>114010</v>
      </c>
      <c r="F755" t="str">
        <f>data!F755</f>
        <v>AC TOURAINE SAUV D.LA CHAISE</v>
      </c>
      <c r="G755" s="10">
        <f>data!G755</f>
        <v>68.5</v>
      </c>
      <c r="H755" s="10">
        <f>data!I755</f>
        <v>666.4</v>
      </c>
      <c r="I755" s="10">
        <f t="shared" si="44"/>
        <v>-597.9</v>
      </c>
      <c r="J755" s="11">
        <f>data!H755</f>
        <v>39.99</v>
      </c>
      <c r="K755" s="11">
        <f>data!J755</f>
        <v>426.56</v>
      </c>
      <c r="L755" s="11">
        <f t="shared" si="45"/>
        <v>-386.57</v>
      </c>
      <c r="M755" s="9">
        <f t="shared" si="46"/>
        <v>-0.89720888355342132</v>
      </c>
      <c r="N755" s="9">
        <f t="shared" si="47"/>
        <v>-0.90625</v>
      </c>
    </row>
    <row r="756" spans="1:14" x14ac:dyDescent="0.25">
      <c r="A756" t="str">
        <f>TEXT("1/"&amp;data!A756,"mmmm")</f>
        <v>mars</v>
      </c>
      <c r="B756">
        <f>data!B756</f>
        <v>2016</v>
      </c>
      <c r="C756" t="str">
        <f>data!C756</f>
        <v>114</v>
      </c>
      <c r="D756" t="str">
        <f>data!D756</f>
        <v>DAVAULT VIGNERONS</v>
      </c>
      <c r="E756" t="str">
        <f>data!E756</f>
        <v>114011</v>
      </c>
      <c r="F756" t="str">
        <f>data!F756</f>
        <v>AC TOURAINE SAUV D.LA CHAISE</v>
      </c>
      <c r="G756" s="10">
        <f>data!G756</f>
        <v>823.5</v>
      </c>
      <c r="H756" s="10">
        <f>data!I756</f>
        <v>997.92</v>
      </c>
      <c r="I756" s="10">
        <f t="shared" si="44"/>
        <v>-174.41999999999996</v>
      </c>
      <c r="J756" s="11">
        <f>data!H756</f>
        <v>420.21</v>
      </c>
      <c r="K756" s="11">
        <f>data!J756</f>
        <v>533.6</v>
      </c>
      <c r="L756" s="11">
        <f t="shared" si="45"/>
        <v>-113.39000000000004</v>
      </c>
      <c r="M756" s="9">
        <f t="shared" si="46"/>
        <v>-0.17478354978354976</v>
      </c>
      <c r="N756" s="9">
        <f t="shared" si="47"/>
        <v>-0.21250000000000008</v>
      </c>
    </row>
    <row r="757" spans="1:14" x14ac:dyDescent="0.25">
      <c r="A757" t="str">
        <f>TEXT("1/"&amp;data!A757,"mmmm")</f>
        <v>mars</v>
      </c>
      <c r="B757">
        <f>data!B757</f>
        <v>2016</v>
      </c>
      <c r="C757" t="str">
        <f>data!C757</f>
        <v>114</v>
      </c>
      <c r="D757" t="str">
        <f>data!D757</f>
        <v>DAVAULT VIGNERONS</v>
      </c>
      <c r="E757" t="str">
        <f>data!E757</f>
        <v>114012</v>
      </c>
      <c r="F757" t="str">
        <f>data!F757</f>
        <v>AC TOURAINE GAMAY D.LA CHAISE</v>
      </c>
      <c r="G757" s="10">
        <f>data!G757</f>
        <v>17.52</v>
      </c>
      <c r="H757" s="10">
        <f>data!I757</f>
        <v>0</v>
      </c>
      <c r="I757" s="10">
        <f t="shared" si="44"/>
        <v>17.52</v>
      </c>
      <c r="J757" s="11">
        <f>data!H757</f>
        <v>13.33</v>
      </c>
      <c r="K757" s="11">
        <f>data!J757</f>
        <v>0</v>
      </c>
      <c r="L757" s="11">
        <f t="shared" si="45"/>
        <v>13.33</v>
      </c>
      <c r="M757" s="9" t="str">
        <f t="shared" si="46"/>
        <v/>
      </c>
      <c r="N757" s="9" t="str">
        <f t="shared" si="47"/>
        <v/>
      </c>
    </row>
    <row r="758" spans="1:14" x14ac:dyDescent="0.25">
      <c r="A758" t="str">
        <f>TEXT("1/"&amp;data!A758,"mmmm")</f>
        <v>mars</v>
      </c>
      <c r="B758">
        <f>data!B758</f>
        <v>2016</v>
      </c>
      <c r="C758" t="str">
        <f>data!C758</f>
        <v>115</v>
      </c>
      <c r="D758" t="str">
        <f>data!D758</f>
        <v>SCEA CHATEAU DES ROQUES</v>
      </c>
      <c r="E758" t="str">
        <f>data!E758</f>
        <v>115005</v>
      </c>
      <c r="F758" t="str">
        <f>data!F758</f>
        <v>AC VACQUEYRAS CH DES ROQUES</v>
      </c>
      <c r="G758" s="10">
        <f>data!G758</f>
        <v>1593.6</v>
      </c>
      <c r="H758" s="10">
        <f>data!I758</f>
        <v>686.4</v>
      </c>
      <c r="I758" s="10">
        <f t="shared" si="44"/>
        <v>907.19999999999993</v>
      </c>
      <c r="J758" s="11">
        <f>data!H758</f>
        <v>240</v>
      </c>
      <c r="K758" s="11">
        <f>data!J758</f>
        <v>114</v>
      </c>
      <c r="L758" s="11">
        <f t="shared" si="45"/>
        <v>126</v>
      </c>
      <c r="M758" s="9">
        <f t="shared" si="46"/>
        <v>1.3216783216783217</v>
      </c>
      <c r="N758" s="9">
        <f t="shared" si="47"/>
        <v>1.1052631578947369</v>
      </c>
    </row>
    <row r="759" spans="1:14" x14ac:dyDescent="0.25">
      <c r="A759" t="str">
        <f>TEXT("1/"&amp;data!A759,"mmmm")</f>
        <v>mars</v>
      </c>
      <c r="B759">
        <f>data!B759</f>
        <v>2016</v>
      </c>
      <c r="C759" t="str">
        <f>data!C759</f>
        <v>115</v>
      </c>
      <c r="D759" t="str">
        <f>data!D759</f>
        <v>SCEA CHATEAU DES ROQUES</v>
      </c>
      <c r="E759" t="str">
        <f>data!E759</f>
        <v>115007</v>
      </c>
      <c r="F759" t="str">
        <f>data!F759</f>
        <v>Château des Roques AC VACQUEYRAS</v>
      </c>
      <c r="G759" s="10">
        <f>data!G759</f>
        <v>204.6</v>
      </c>
      <c r="H759" s="10">
        <f>data!I759</f>
        <v>0</v>
      </c>
      <c r="I759" s="10">
        <f t="shared" si="44"/>
        <v>204.6</v>
      </c>
      <c r="J759" s="11">
        <f>data!H759</f>
        <v>36</v>
      </c>
      <c r="K759" s="11">
        <f>data!J759</f>
        <v>0</v>
      </c>
      <c r="L759" s="11">
        <f t="shared" si="45"/>
        <v>36</v>
      </c>
      <c r="M759" s="9" t="str">
        <f t="shared" si="46"/>
        <v/>
      </c>
      <c r="N759" s="9" t="str">
        <f t="shared" si="47"/>
        <v/>
      </c>
    </row>
    <row r="760" spans="1:14" x14ac:dyDescent="0.25">
      <c r="A760" t="str">
        <f>TEXT("1/"&amp;data!A760,"mmmm")</f>
        <v>mars</v>
      </c>
      <c r="B760">
        <f>data!B760</f>
        <v>2016</v>
      </c>
      <c r="C760" t="str">
        <f>data!C760</f>
        <v>115</v>
      </c>
      <c r="D760" t="str">
        <f>data!D760</f>
        <v>SCEA CHATEAU DES ROQUES</v>
      </c>
      <c r="E760" t="str">
        <f>data!E760</f>
        <v>115010</v>
      </c>
      <c r="F760" t="str">
        <f>data!F760</f>
        <v>VDP VAUCLUSE G.DES ROQUES</v>
      </c>
      <c r="G760" s="10">
        <f>data!G760</f>
        <v>55.2</v>
      </c>
      <c r="H760" s="10">
        <f>data!I760</f>
        <v>207</v>
      </c>
      <c r="I760" s="10">
        <f t="shared" si="44"/>
        <v>-151.80000000000001</v>
      </c>
      <c r="J760" s="11">
        <f>data!H760</f>
        <v>53.32</v>
      </c>
      <c r="K760" s="11">
        <f>data!J760</f>
        <v>199.95</v>
      </c>
      <c r="L760" s="11">
        <f t="shared" si="45"/>
        <v>-146.63</v>
      </c>
      <c r="M760" s="9">
        <f t="shared" si="46"/>
        <v>-0.73333333333333339</v>
      </c>
      <c r="N760" s="9">
        <f t="shared" si="47"/>
        <v>-0.73333333333333339</v>
      </c>
    </row>
    <row r="761" spans="1:14" x14ac:dyDescent="0.25">
      <c r="A761" t="str">
        <f>TEXT("1/"&amp;data!A761,"mmmm")</f>
        <v>mars</v>
      </c>
      <c r="B761">
        <f>data!B761</f>
        <v>2016</v>
      </c>
      <c r="C761" t="str">
        <f>data!C761</f>
        <v>115</v>
      </c>
      <c r="D761" t="str">
        <f>data!D761</f>
        <v>SCEA CHATEAU DES ROQUES</v>
      </c>
      <c r="E761" t="str">
        <f>data!E761</f>
        <v>115011</v>
      </c>
      <c r="F761" t="str">
        <f>data!F761</f>
        <v>VDP VAUCLUSE G.DES ROQUES</v>
      </c>
      <c r="G761" s="10">
        <f>data!G761</f>
        <v>110.5</v>
      </c>
      <c r="H761" s="10">
        <f>data!I761</f>
        <v>165.78</v>
      </c>
      <c r="I761" s="10">
        <f t="shared" si="44"/>
        <v>-55.28</v>
      </c>
      <c r="J761" s="11">
        <f>data!H761</f>
        <v>86.71</v>
      </c>
      <c r="K761" s="11">
        <f>data!J761</f>
        <v>146.74</v>
      </c>
      <c r="L761" s="11">
        <f t="shared" si="45"/>
        <v>-60.030000000000015</v>
      </c>
      <c r="M761" s="9">
        <f t="shared" si="46"/>
        <v>-0.33345397514778624</v>
      </c>
      <c r="N761" s="9">
        <f t="shared" si="47"/>
        <v>-0.40909090909090917</v>
      </c>
    </row>
    <row r="762" spans="1:14" x14ac:dyDescent="0.25">
      <c r="A762" t="str">
        <f>TEXT("1/"&amp;data!A762,"mmmm")</f>
        <v>mars</v>
      </c>
      <c r="B762">
        <f>data!B762</f>
        <v>2016</v>
      </c>
      <c r="C762" t="str">
        <f>data!C762</f>
        <v>116</v>
      </c>
      <c r="D762" t="str">
        <f>data!D762</f>
        <v>VIGNOBLE GASNIER</v>
      </c>
      <c r="E762" t="str">
        <f>data!E762</f>
        <v>116001</v>
      </c>
      <c r="F762" t="str">
        <f>data!F762</f>
        <v>AC CHINON LES GRAVES</v>
      </c>
      <c r="G762" s="10">
        <f>data!G762</f>
        <v>1186.8</v>
      </c>
      <c r="H762" s="10">
        <f>data!I762</f>
        <v>376.8</v>
      </c>
      <c r="I762" s="10">
        <f t="shared" si="44"/>
        <v>810</v>
      </c>
      <c r="J762" s="11">
        <f>data!H762</f>
        <v>258</v>
      </c>
      <c r="K762" s="11">
        <f>data!J762</f>
        <v>90</v>
      </c>
      <c r="L762" s="11">
        <f t="shared" si="45"/>
        <v>168</v>
      </c>
      <c r="M762" s="9">
        <f t="shared" si="46"/>
        <v>2.1496815286624202</v>
      </c>
      <c r="N762" s="9">
        <f t="shared" si="47"/>
        <v>1.8666666666666667</v>
      </c>
    </row>
    <row r="763" spans="1:14" x14ac:dyDescent="0.25">
      <c r="A763" t="str">
        <f>TEXT("1/"&amp;data!A763,"mmmm")</f>
        <v>mars</v>
      </c>
      <c r="B763">
        <f>data!B763</f>
        <v>2016</v>
      </c>
      <c r="C763" t="str">
        <f>data!C763</f>
        <v>116</v>
      </c>
      <c r="D763" t="str">
        <f>data!D763</f>
        <v>VIGNOBLE GASNIER</v>
      </c>
      <c r="E763" t="str">
        <f>data!E763</f>
        <v>116005</v>
      </c>
      <c r="F763" t="str">
        <f>data!F763</f>
        <v>AC CHINON DME GASNIER</v>
      </c>
      <c r="G763" s="10">
        <f>data!G763</f>
        <v>0</v>
      </c>
      <c r="H763" s="10">
        <f>data!I763</f>
        <v>0</v>
      </c>
      <c r="I763" s="10">
        <f t="shared" si="44"/>
        <v>0</v>
      </c>
      <c r="J763" s="11">
        <f>data!H763</f>
        <v>6</v>
      </c>
      <c r="K763" s="11">
        <f>data!J763</f>
        <v>0</v>
      </c>
      <c r="L763" s="11">
        <f t="shared" si="45"/>
        <v>6</v>
      </c>
      <c r="M763" s="9" t="str">
        <f t="shared" si="46"/>
        <v/>
      </c>
      <c r="N763" s="9" t="str">
        <f t="shared" si="47"/>
        <v/>
      </c>
    </row>
    <row r="764" spans="1:14" x14ac:dyDescent="0.25">
      <c r="A764" t="str">
        <f>TEXT("1/"&amp;data!A764,"mmmm")</f>
        <v>mars</v>
      </c>
      <c r="B764">
        <f>data!B764</f>
        <v>2016</v>
      </c>
      <c r="C764" t="str">
        <f>data!C764</f>
        <v>119</v>
      </c>
      <c r="D764" t="str">
        <f>data!D764</f>
        <v>DOMAINE DES HOMS</v>
      </c>
      <c r="E764" t="str">
        <f>data!E764</f>
        <v>119002</v>
      </c>
      <c r="F764" t="str">
        <f>data!F764</f>
        <v>IGP OC CHARDONNAY</v>
      </c>
      <c r="G764" s="10">
        <f>data!G764</f>
        <v>561.6</v>
      </c>
      <c r="H764" s="10">
        <f>data!I764</f>
        <v>0</v>
      </c>
      <c r="I764" s="10">
        <f t="shared" si="44"/>
        <v>561.6</v>
      </c>
      <c r="J764" s="11">
        <f>data!H764</f>
        <v>162</v>
      </c>
      <c r="K764" s="11">
        <f>data!J764</f>
        <v>0</v>
      </c>
      <c r="L764" s="11">
        <f t="shared" si="45"/>
        <v>162</v>
      </c>
      <c r="M764" s="9" t="str">
        <f t="shared" si="46"/>
        <v/>
      </c>
      <c r="N764" s="9" t="str">
        <f t="shared" si="47"/>
        <v/>
      </c>
    </row>
    <row r="765" spans="1:14" x14ac:dyDescent="0.25">
      <c r="A765" t="str">
        <f>TEXT("1/"&amp;data!A765,"mmmm")</f>
        <v>mars</v>
      </c>
      <c r="B765">
        <f>data!B765</f>
        <v>2016</v>
      </c>
      <c r="C765" t="str">
        <f>data!C765</f>
        <v>119</v>
      </c>
      <c r="D765" t="str">
        <f>data!D765</f>
        <v>DOMAINE DES HOMS</v>
      </c>
      <c r="E765" t="str">
        <f>data!E765</f>
        <v>119003</v>
      </c>
      <c r="F765" t="str">
        <f>data!F765</f>
        <v>IGP OC VIOGNIER</v>
      </c>
      <c r="G765" s="10">
        <f>data!G765</f>
        <v>187.2</v>
      </c>
      <c r="H765" s="10">
        <f>data!I765</f>
        <v>0</v>
      </c>
      <c r="I765" s="10">
        <f t="shared" si="44"/>
        <v>187.2</v>
      </c>
      <c r="J765" s="11">
        <f>data!H765</f>
        <v>42</v>
      </c>
      <c r="K765" s="11">
        <f>data!J765</f>
        <v>0</v>
      </c>
      <c r="L765" s="11">
        <f t="shared" si="45"/>
        <v>42</v>
      </c>
      <c r="M765" s="9" t="str">
        <f t="shared" si="46"/>
        <v/>
      </c>
      <c r="N765" s="9" t="str">
        <f t="shared" si="47"/>
        <v/>
      </c>
    </row>
    <row r="766" spans="1:14" x14ac:dyDescent="0.25">
      <c r="A766" t="str">
        <f>TEXT("1/"&amp;data!A766,"mmmm")</f>
        <v>mars</v>
      </c>
      <c r="B766">
        <f>data!B766</f>
        <v>2016</v>
      </c>
      <c r="C766" t="str">
        <f>data!C766</f>
        <v>124</v>
      </c>
      <c r="D766" t="str">
        <f>data!D766</f>
        <v>CHATEAU BECHEREAU</v>
      </c>
      <c r="E766" t="str">
        <f>data!E766</f>
        <v>124001</v>
      </c>
      <c r="F766" t="str">
        <f>data!F766</f>
        <v>AC M ST EMILION CH BECHEREAU</v>
      </c>
      <c r="G766" s="10">
        <f>data!G766</f>
        <v>808.8</v>
      </c>
      <c r="H766" s="10">
        <f>data!I766</f>
        <v>1452</v>
      </c>
      <c r="I766" s="10">
        <f t="shared" si="44"/>
        <v>-643.20000000000005</v>
      </c>
      <c r="J766" s="11">
        <f>data!H766</f>
        <v>186</v>
      </c>
      <c r="K766" s="11">
        <f>data!J766</f>
        <v>330</v>
      </c>
      <c r="L766" s="11">
        <f t="shared" si="45"/>
        <v>-144</v>
      </c>
      <c r="M766" s="9">
        <f t="shared" si="46"/>
        <v>-0.4429752066115703</v>
      </c>
      <c r="N766" s="9">
        <f t="shared" si="47"/>
        <v>-0.43636363636363634</v>
      </c>
    </row>
    <row r="767" spans="1:14" x14ac:dyDescent="0.25">
      <c r="A767" t="str">
        <f>TEXT("1/"&amp;data!A767,"mmmm")</f>
        <v>mars</v>
      </c>
      <c r="B767">
        <f>data!B767</f>
        <v>2016</v>
      </c>
      <c r="C767" t="str">
        <f>data!C767</f>
        <v>124</v>
      </c>
      <c r="D767" t="str">
        <f>data!D767</f>
        <v>CHATEAU BECHEREAU</v>
      </c>
      <c r="E767" t="str">
        <f>data!E767</f>
        <v>124002</v>
      </c>
      <c r="F767" t="str">
        <f>data!F767</f>
        <v>AC BORDEAUX SUP TRADITION CH BECHEREAU</v>
      </c>
      <c r="G767" s="10">
        <f>data!G767</f>
        <v>138.6</v>
      </c>
      <c r="H767" s="10">
        <f>data!I767</f>
        <v>787.2</v>
      </c>
      <c r="I767" s="10">
        <f t="shared" si="44"/>
        <v>-648.6</v>
      </c>
      <c r="J767" s="11">
        <f>data!H767</f>
        <v>42</v>
      </c>
      <c r="K767" s="11">
        <f>data!J767</f>
        <v>252</v>
      </c>
      <c r="L767" s="11">
        <f t="shared" si="45"/>
        <v>-210</v>
      </c>
      <c r="M767" s="9">
        <f t="shared" si="46"/>
        <v>-0.82393292682926822</v>
      </c>
      <c r="N767" s="9">
        <f t="shared" si="47"/>
        <v>-0.83333333333333337</v>
      </c>
    </row>
    <row r="768" spans="1:14" x14ac:dyDescent="0.25">
      <c r="A768" t="str">
        <f>TEXT("1/"&amp;data!A768,"mmmm")</f>
        <v>mars</v>
      </c>
      <c r="B768">
        <f>data!B768</f>
        <v>2016</v>
      </c>
      <c r="C768" t="str">
        <f>data!C768</f>
        <v>124</v>
      </c>
      <c r="D768" t="str">
        <f>data!D768</f>
        <v>CHATEAU BECHEREAU</v>
      </c>
      <c r="E768" t="str">
        <f>data!E768</f>
        <v>124010</v>
      </c>
      <c r="F768" t="str">
        <f>data!F768</f>
        <v>AC LALANDE POMEROL BECH</v>
      </c>
      <c r="G768" s="10">
        <f>data!G768</f>
        <v>604.79999999999995</v>
      </c>
      <c r="H768" s="10">
        <f>data!I768</f>
        <v>446.4</v>
      </c>
      <c r="I768" s="10">
        <f t="shared" si="44"/>
        <v>158.39999999999998</v>
      </c>
      <c r="J768" s="11">
        <f>data!H768</f>
        <v>102</v>
      </c>
      <c r="K768" s="11">
        <f>data!J768</f>
        <v>72</v>
      </c>
      <c r="L768" s="11">
        <f t="shared" si="45"/>
        <v>30</v>
      </c>
      <c r="M768" s="9">
        <f t="shared" si="46"/>
        <v>0.35483870967741932</v>
      </c>
      <c r="N768" s="9">
        <f t="shared" si="47"/>
        <v>0.41666666666666669</v>
      </c>
    </row>
    <row r="769" spans="1:14" x14ac:dyDescent="0.25">
      <c r="A769" t="str">
        <f>TEXT("1/"&amp;data!A769,"mmmm")</f>
        <v>mars</v>
      </c>
      <c r="B769">
        <f>data!B769</f>
        <v>2016</v>
      </c>
      <c r="C769" t="str">
        <f>data!C769</f>
        <v>134</v>
      </c>
      <c r="D769" t="str">
        <f>data!D769</f>
        <v>DOMAINE GALEVAN</v>
      </c>
      <c r="E769" t="str">
        <f>data!E769</f>
        <v>134004</v>
      </c>
      <c r="F769" t="str">
        <f>data!F769</f>
        <v>AC C.DU RHONE LIBRE EXPRESSION</v>
      </c>
      <c r="G769" s="10">
        <f>data!G769</f>
        <v>84.72</v>
      </c>
      <c r="H769" s="10">
        <f>data!I769</f>
        <v>280.5</v>
      </c>
      <c r="I769" s="10">
        <f t="shared" si="44"/>
        <v>-195.78</v>
      </c>
      <c r="J769" s="11">
        <f>data!H769</f>
        <v>24</v>
      </c>
      <c r="K769" s="11">
        <f>data!J769</f>
        <v>66</v>
      </c>
      <c r="L769" s="11">
        <f t="shared" si="45"/>
        <v>-42</v>
      </c>
      <c r="M769" s="9">
        <f t="shared" si="46"/>
        <v>-0.6979679144385027</v>
      </c>
      <c r="N769" s="9">
        <f t="shared" si="47"/>
        <v>-0.63636363636363635</v>
      </c>
    </row>
    <row r="770" spans="1:14" x14ac:dyDescent="0.25">
      <c r="A770" t="str">
        <f>TEXT("1/"&amp;data!A770,"mmmm")</f>
        <v>mars</v>
      </c>
      <c r="B770">
        <f>data!B770</f>
        <v>2016</v>
      </c>
      <c r="C770" t="str">
        <f>data!C770</f>
        <v>134</v>
      </c>
      <c r="D770" t="str">
        <f>data!D770</f>
        <v>DOMAINE GALEVAN</v>
      </c>
      <c r="E770" t="str">
        <f>data!E770</f>
        <v>134005</v>
      </c>
      <c r="F770" t="str">
        <f>data!F770</f>
        <v>AC C DU RHONE PAROLES DE FEMME</v>
      </c>
      <c r="G770" s="10">
        <f>data!G770</f>
        <v>2305.38</v>
      </c>
      <c r="H770" s="10">
        <f>data!I770</f>
        <v>1180.8</v>
      </c>
      <c r="I770" s="10">
        <f t="shared" si="44"/>
        <v>1124.5800000000002</v>
      </c>
      <c r="J770" s="11">
        <f>data!H770</f>
        <v>516</v>
      </c>
      <c r="K770" s="11">
        <f>data!J770</f>
        <v>324</v>
      </c>
      <c r="L770" s="11">
        <f t="shared" si="45"/>
        <v>192</v>
      </c>
      <c r="M770" s="9">
        <f t="shared" si="46"/>
        <v>0.95238821138211394</v>
      </c>
      <c r="N770" s="9">
        <f t="shared" si="47"/>
        <v>0.59259259259259256</v>
      </c>
    </row>
    <row r="771" spans="1:14" x14ac:dyDescent="0.25">
      <c r="A771" t="str">
        <f>TEXT("1/"&amp;data!A771,"mmmm")</f>
        <v>mars</v>
      </c>
      <c r="B771">
        <f>data!B771</f>
        <v>2016</v>
      </c>
      <c r="C771" t="str">
        <f>data!C771</f>
        <v>134</v>
      </c>
      <c r="D771" t="str">
        <f>data!D771</f>
        <v>DOMAINE GALEVAN</v>
      </c>
      <c r="E771" t="str">
        <f>data!E771</f>
        <v>134007</v>
      </c>
      <c r="F771" t="str">
        <f>data!F771</f>
        <v>AC CHATEAUNEUF DU PAPE</v>
      </c>
      <c r="G771" s="10">
        <f>data!G771</f>
        <v>473.16</v>
      </c>
      <c r="H771" s="10">
        <f>data!I771</f>
        <v>255.6</v>
      </c>
      <c r="I771" s="10">
        <f t="shared" ref="I771:I834" si="48">G771-H771</f>
        <v>217.56000000000003</v>
      </c>
      <c r="J771" s="11">
        <f>data!H771</f>
        <v>36</v>
      </c>
      <c r="K771" s="11">
        <f>data!J771</f>
        <v>18</v>
      </c>
      <c r="L771" s="11">
        <f t="shared" ref="L771:L834" si="49">J771-K771</f>
        <v>18</v>
      </c>
      <c r="M771" s="9">
        <f t="shared" ref="M771:M834" si="50">IF(ISERR(I771/H771),"",I771/H771)</f>
        <v>0.85117370892018795</v>
      </c>
      <c r="N771" s="9">
        <f t="shared" ref="N771:N834" si="51">IF(ISERR(L771/K771),"",L771/K771)</f>
        <v>1</v>
      </c>
    </row>
    <row r="772" spans="1:14" x14ac:dyDescent="0.25">
      <c r="A772" t="str">
        <f>TEXT("1/"&amp;data!A772,"mmmm")</f>
        <v>mars</v>
      </c>
      <c r="B772">
        <f>data!B772</f>
        <v>2016</v>
      </c>
      <c r="C772" t="str">
        <f>data!C772</f>
        <v>134</v>
      </c>
      <c r="D772" t="str">
        <f>data!D772</f>
        <v>DOMAINE GALEVAN</v>
      </c>
      <c r="E772" t="str">
        <f>data!E772</f>
        <v>134008</v>
      </c>
      <c r="F772" t="str">
        <f>data!F772</f>
        <v>AC CHATEAUNEUF DU PAPE</v>
      </c>
      <c r="G772" s="10">
        <f>data!G772</f>
        <v>207.84</v>
      </c>
      <c r="H772" s="10">
        <f>data!I772</f>
        <v>0</v>
      </c>
      <c r="I772" s="10">
        <f t="shared" si="48"/>
        <v>207.84</v>
      </c>
      <c r="J772" s="11">
        <f>data!H772</f>
        <v>18</v>
      </c>
      <c r="K772" s="11">
        <f>data!J772</f>
        <v>0</v>
      </c>
      <c r="L772" s="11">
        <f t="shared" si="49"/>
        <v>18</v>
      </c>
      <c r="M772" s="9" t="str">
        <f t="shared" si="50"/>
        <v/>
      </c>
      <c r="N772" s="9" t="str">
        <f t="shared" si="51"/>
        <v/>
      </c>
    </row>
    <row r="773" spans="1:14" x14ac:dyDescent="0.25">
      <c r="A773" t="str">
        <f>TEXT("1/"&amp;data!A773,"mmmm")</f>
        <v>mars</v>
      </c>
      <c r="B773">
        <f>data!B773</f>
        <v>2016</v>
      </c>
      <c r="C773" t="str">
        <f>data!C773</f>
        <v>137</v>
      </c>
      <c r="D773" t="str">
        <f>data!D773</f>
        <v>CHATEAU MAS DES CABRES</v>
      </c>
      <c r="E773" t="str">
        <f>data!E773</f>
        <v>137001</v>
      </c>
      <c r="F773" t="str">
        <f>data!F773</f>
        <v>AC CTX LANGUEDOC TERRES D'ASPERES M.DES CABRES</v>
      </c>
      <c r="G773" s="10">
        <f>data!G773</f>
        <v>1176</v>
      </c>
      <c r="H773" s="10">
        <f>data!I773</f>
        <v>683.7</v>
      </c>
      <c r="I773" s="10">
        <f t="shared" si="48"/>
        <v>492.29999999999995</v>
      </c>
      <c r="J773" s="11">
        <f>data!H773</f>
        <v>420</v>
      </c>
      <c r="K773" s="11">
        <f>data!J773</f>
        <v>258</v>
      </c>
      <c r="L773" s="11">
        <f t="shared" si="49"/>
        <v>162</v>
      </c>
      <c r="M773" s="9">
        <f t="shared" si="50"/>
        <v>0.72005265467310209</v>
      </c>
      <c r="N773" s="9">
        <f t="shared" si="51"/>
        <v>0.62790697674418605</v>
      </c>
    </row>
    <row r="774" spans="1:14" x14ac:dyDescent="0.25">
      <c r="A774" t="str">
        <f>TEXT("1/"&amp;data!A774,"mmmm")</f>
        <v>mars</v>
      </c>
      <c r="B774">
        <f>data!B774</f>
        <v>2016</v>
      </c>
      <c r="C774" t="str">
        <f>data!C774</f>
        <v>137</v>
      </c>
      <c r="D774" t="str">
        <f>data!D774</f>
        <v>CHATEAU MAS DES CABRES</v>
      </c>
      <c r="E774" t="str">
        <f>data!E774</f>
        <v>137003</v>
      </c>
      <c r="F774" t="str">
        <f>data!F774</f>
        <v>AC CTX DU LANGUEDOC LA DRAILLE</v>
      </c>
      <c r="G774" s="10">
        <f>data!G774</f>
        <v>475.2</v>
      </c>
      <c r="H774" s="10">
        <f>data!I774</f>
        <v>57.6</v>
      </c>
      <c r="I774" s="10">
        <f t="shared" si="48"/>
        <v>417.59999999999997</v>
      </c>
      <c r="J774" s="11">
        <f>data!H774</f>
        <v>96</v>
      </c>
      <c r="K774" s="11">
        <f>data!J774</f>
        <v>12</v>
      </c>
      <c r="L774" s="11">
        <f t="shared" si="49"/>
        <v>84</v>
      </c>
      <c r="M774" s="9">
        <f t="shared" si="50"/>
        <v>7.2499999999999991</v>
      </c>
      <c r="N774" s="9">
        <f t="shared" si="51"/>
        <v>7</v>
      </c>
    </row>
    <row r="775" spans="1:14" x14ac:dyDescent="0.25">
      <c r="A775" t="str">
        <f>TEXT("1/"&amp;data!A775,"mmmm")</f>
        <v>mars</v>
      </c>
      <c r="B775">
        <f>data!B775</f>
        <v>2016</v>
      </c>
      <c r="C775" t="str">
        <f>data!C775</f>
        <v>140</v>
      </c>
      <c r="D775" t="str">
        <f>data!D775</f>
        <v>PHILIPPE GAULTIER</v>
      </c>
      <c r="E775" t="str">
        <f>data!E775</f>
        <v>140001</v>
      </c>
      <c r="F775" t="str">
        <f>data!F775</f>
        <v>AC VOUVRAY M.TRAD.BR C.DES AUMONES</v>
      </c>
      <c r="G775" s="10">
        <f>data!G775</f>
        <v>412.8</v>
      </c>
      <c r="H775" s="10">
        <f>data!I775</f>
        <v>551.70000000000005</v>
      </c>
      <c r="I775" s="10">
        <f t="shared" si="48"/>
        <v>-138.90000000000003</v>
      </c>
      <c r="J775" s="11">
        <f>data!H775</f>
        <v>102</v>
      </c>
      <c r="K775" s="11">
        <f>data!J775</f>
        <v>132</v>
      </c>
      <c r="L775" s="11">
        <f t="shared" si="49"/>
        <v>-30</v>
      </c>
      <c r="M775" s="9">
        <f t="shared" si="50"/>
        <v>-0.25176726481783585</v>
      </c>
      <c r="N775" s="9">
        <f t="shared" si="51"/>
        <v>-0.22727272727272727</v>
      </c>
    </row>
    <row r="776" spans="1:14" x14ac:dyDescent="0.25">
      <c r="A776" t="str">
        <f>TEXT("1/"&amp;data!A776,"mmmm")</f>
        <v>mars</v>
      </c>
      <c r="B776">
        <f>data!B776</f>
        <v>2016</v>
      </c>
      <c r="C776" t="str">
        <f>data!C776</f>
        <v>143</v>
      </c>
      <c r="D776" t="str">
        <f>data!D776</f>
        <v>DOMAINE DE VILLARGEAU</v>
      </c>
      <c r="E776" t="str">
        <f>data!E776</f>
        <v>143001</v>
      </c>
      <c r="F776" t="str">
        <f>data!F776</f>
        <v>AC CX DU GIENNOIS G.THIEBAULT</v>
      </c>
      <c r="G776" s="10">
        <f>data!G776</f>
        <v>330</v>
      </c>
      <c r="H776" s="10">
        <f>data!I776</f>
        <v>327.60000000000002</v>
      </c>
      <c r="I776" s="10">
        <f t="shared" si="48"/>
        <v>2.3999999999999773</v>
      </c>
      <c r="J776" s="11">
        <f>data!H776</f>
        <v>90</v>
      </c>
      <c r="K776" s="11">
        <f>data!J776</f>
        <v>90</v>
      </c>
      <c r="L776" s="11">
        <f t="shared" si="49"/>
        <v>0</v>
      </c>
      <c r="M776" s="9">
        <f t="shared" si="50"/>
        <v>7.3260073260072557E-3</v>
      </c>
      <c r="N776" s="9">
        <f t="shared" si="51"/>
        <v>0</v>
      </c>
    </row>
    <row r="777" spans="1:14" x14ac:dyDescent="0.25">
      <c r="A777" t="str">
        <f>TEXT("1/"&amp;data!A777,"mmmm")</f>
        <v>mars</v>
      </c>
      <c r="B777">
        <f>data!B777</f>
        <v>2016</v>
      </c>
      <c r="C777" t="str">
        <f>data!C777</f>
        <v>143</v>
      </c>
      <c r="D777" t="str">
        <f>data!D777</f>
        <v>DOMAINE DE VILLARGEAU</v>
      </c>
      <c r="E777" t="str">
        <f>data!E777</f>
        <v>143002</v>
      </c>
      <c r="F777" t="str">
        <f>data!F777</f>
        <v>AC CX DU GIENNOIS G.THIEBAULT</v>
      </c>
      <c r="G777" s="10">
        <f>data!G777</f>
        <v>732</v>
      </c>
      <c r="H777" s="10">
        <f>data!I777</f>
        <v>513</v>
      </c>
      <c r="I777" s="10">
        <f t="shared" si="48"/>
        <v>219</v>
      </c>
      <c r="J777" s="11">
        <f>data!H777</f>
        <v>192</v>
      </c>
      <c r="K777" s="11">
        <f>data!J777</f>
        <v>132</v>
      </c>
      <c r="L777" s="11">
        <f t="shared" si="49"/>
        <v>60</v>
      </c>
      <c r="M777" s="9">
        <f t="shared" si="50"/>
        <v>0.42690058479532161</v>
      </c>
      <c r="N777" s="9">
        <f t="shared" si="51"/>
        <v>0.45454545454545453</v>
      </c>
    </row>
    <row r="778" spans="1:14" x14ac:dyDescent="0.25">
      <c r="A778" t="str">
        <f>TEXT("1/"&amp;data!A778,"mmmm")</f>
        <v>mars</v>
      </c>
      <c r="B778">
        <f>data!B778</f>
        <v>2016</v>
      </c>
      <c r="C778" t="str">
        <f>data!C778</f>
        <v>143</v>
      </c>
      <c r="D778" t="str">
        <f>data!D778</f>
        <v>DOMAINE DE VILLARGEAU</v>
      </c>
      <c r="E778" t="str">
        <f>data!E778</f>
        <v>143003</v>
      </c>
      <c r="F778" t="str">
        <f>data!F778</f>
        <v>AC COTEAUX DU GIENNOIS CUVEE CHICAGO</v>
      </c>
      <c r="G778" s="10">
        <f>data!G778</f>
        <v>277.2</v>
      </c>
      <c r="H778" s="10">
        <f>data!I778</f>
        <v>100.8</v>
      </c>
      <c r="I778" s="10">
        <f t="shared" si="48"/>
        <v>176.39999999999998</v>
      </c>
      <c r="J778" s="11">
        <f>data!H778</f>
        <v>72</v>
      </c>
      <c r="K778" s="11">
        <f>data!J778</f>
        <v>36</v>
      </c>
      <c r="L778" s="11">
        <f t="shared" si="49"/>
        <v>36</v>
      </c>
      <c r="M778" s="9">
        <f t="shared" si="50"/>
        <v>1.7499999999999998</v>
      </c>
      <c r="N778" s="9">
        <f t="shared" si="51"/>
        <v>1</v>
      </c>
    </row>
    <row r="779" spans="1:14" x14ac:dyDescent="0.25">
      <c r="A779" t="str">
        <f>TEXT("1/"&amp;data!A779,"mmmm")</f>
        <v>mars</v>
      </c>
      <c r="B779">
        <f>data!B779</f>
        <v>2016</v>
      </c>
      <c r="C779" t="str">
        <f>data!C779</f>
        <v>152</v>
      </c>
      <c r="D779" t="str">
        <f>data!D779</f>
        <v>VINCENT SIRET COURTAUD</v>
      </c>
      <c r="E779" t="str">
        <f>data!E779</f>
        <v>152001</v>
      </c>
      <c r="F779" t="str">
        <f>data!F779</f>
        <v>AC QUINCY D.SIRET COURTAUD</v>
      </c>
      <c r="G779" s="10">
        <f>data!G779</f>
        <v>1658.7</v>
      </c>
      <c r="H779" s="10">
        <f>data!I779</f>
        <v>393.6</v>
      </c>
      <c r="I779" s="10">
        <f t="shared" si="48"/>
        <v>1265.0999999999999</v>
      </c>
      <c r="J779" s="11">
        <f>data!H779</f>
        <v>300</v>
      </c>
      <c r="K779" s="11">
        <f>data!J779</f>
        <v>78</v>
      </c>
      <c r="L779" s="11">
        <f t="shared" si="49"/>
        <v>222</v>
      </c>
      <c r="M779" s="9">
        <f t="shared" si="50"/>
        <v>3.2141768292682924</v>
      </c>
      <c r="N779" s="9">
        <f t="shared" si="51"/>
        <v>2.8461538461538463</v>
      </c>
    </row>
    <row r="780" spans="1:14" x14ac:dyDescent="0.25">
      <c r="A780" t="str">
        <f>TEXT("1/"&amp;data!A780,"mmmm")</f>
        <v>mars</v>
      </c>
      <c r="B780">
        <f>data!B780</f>
        <v>2016</v>
      </c>
      <c r="C780" t="str">
        <f>data!C780</f>
        <v>153</v>
      </c>
      <c r="D780" t="str">
        <f>data!D780</f>
        <v>SARL GARNIER ET FILS</v>
      </c>
      <c r="E780" t="str">
        <f>data!E780</f>
        <v>153001</v>
      </c>
      <c r="F780" t="str">
        <f>data!F780</f>
        <v>AC PETIT CHABLIS D.GARNIER</v>
      </c>
      <c r="G780" s="10">
        <f>data!G780</f>
        <v>904.8</v>
      </c>
      <c r="H780" s="10">
        <f>data!I780</f>
        <v>67.8</v>
      </c>
      <c r="I780" s="10">
        <f t="shared" si="48"/>
        <v>837</v>
      </c>
      <c r="J780" s="11">
        <f>data!H780</f>
        <v>162</v>
      </c>
      <c r="K780" s="11">
        <f>data!J780</f>
        <v>12</v>
      </c>
      <c r="L780" s="11">
        <f t="shared" si="49"/>
        <v>150</v>
      </c>
      <c r="M780" s="9">
        <f t="shared" si="50"/>
        <v>12.345132743362832</v>
      </c>
      <c r="N780" s="9">
        <f t="shared" si="51"/>
        <v>12.5</v>
      </c>
    </row>
    <row r="781" spans="1:14" x14ac:dyDescent="0.25">
      <c r="A781" t="str">
        <f>TEXT("1/"&amp;data!A781,"mmmm")</f>
        <v>mars</v>
      </c>
      <c r="B781">
        <f>data!B781</f>
        <v>2016</v>
      </c>
      <c r="C781" t="str">
        <f>data!C781</f>
        <v>153</v>
      </c>
      <c r="D781" t="str">
        <f>data!D781</f>
        <v>SARL GARNIER ET FILS</v>
      </c>
      <c r="E781" t="str">
        <f>data!E781</f>
        <v>153003</v>
      </c>
      <c r="F781" t="str">
        <f>data!F781</f>
        <v>AC CHABLIS DME GARNIER</v>
      </c>
      <c r="G781" s="10">
        <f>data!G781</f>
        <v>662.4</v>
      </c>
      <c r="H781" s="10">
        <f>data!I781</f>
        <v>925.2</v>
      </c>
      <c r="I781" s="10">
        <f t="shared" si="48"/>
        <v>-262.80000000000007</v>
      </c>
      <c r="J781" s="11">
        <f>data!H781</f>
        <v>102</v>
      </c>
      <c r="K781" s="11">
        <f>data!J781</f>
        <v>144</v>
      </c>
      <c r="L781" s="11">
        <f t="shared" si="49"/>
        <v>-42</v>
      </c>
      <c r="M781" s="9">
        <f t="shared" si="50"/>
        <v>-0.28404669260700394</v>
      </c>
      <c r="N781" s="9">
        <f t="shared" si="51"/>
        <v>-0.29166666666666669</v>
      </c>
    </row>
    <row r="782" spans="1:14" x14ac:dyDescent="0.25">
      <c r="A782" t="str">
        <f>TEXT("1/"&amp;data!A782,"mmmm")</f>
        <v>mars</v>
      </c>
      <c r="B782">
        <f>data!B782</f>
        <v>2016</v>
      </c>
      <c r="C782" t="str">
        <f>data!C782</f>
        <v>153</v>
      </c>
      <c r="D782" t="str">
        <f>data!D782</f>
        <v>SARL GARNIER ET FILS</v>
      </c>
      <c r="E782" t="str">
        <f>data!E782</f>
        <v>153005</v>
      </c>
      <c r="F782" t="str">
        <f>data!F782</f>
        <v>AC CHABLIS 1ER CRU MT DE MILIEU</v>
      </c>
      <c r="G782" s="10">
        <f>data!G782</f>
        <v>0</v>
      </c>
      <c r="H782" s="10">
        <f>data!I782</f>
        <v>248.4</v>
      </c>
      <c r="I782" s="10">
        <f t="shared" si="48"/>
        <v>-248.4</v>
      </c>
      <c r="J782" s="11">
        <f>data!H782</f>
        <v>6</v>
      </c>
      <c r="K782" s="11">
        <f>data!J782</f>
        <v>24</v>
      </c>
      <c r="L782" s="11">
        <f t="shared" si="49"/>
        <v>-18</v>
      </c>
      <c r="M782" s="9">
        <f t="shared" si="50"/>
        <v>-1</v>
      </c>
      <c r="N782" s="9">
        <f t="shared" si="51"/>
        <v>-0.75</v>
      </c>
    </row>
    <row r="783" spans="1:14" x14ac:dyDescent="0.25">
      <c r="A783" t="str">
        <f>TEXT("1/"&amp;data!A783,"mmmm")</f>
        <v>mars</v>
      </c>
      <c r="B783">
        <f>data!B783</f>
        <v>2016</v>
      </c>
      <c r="C783" t="str">
        <f>data!C783</f>
        <v>153</v>
      </c>
      <c r="D783" t="str">
        <f>data!D783</f>
        <v>SARL GARNIER ET FILS</v>
      </c>
      <c r="E783" t="str">
        <f>data!E783</f>
        <v>153012</v>
      </c>
      <c r="F783" t="str">
        <f>data!F783</f>
        <v>BOURGOGNE EPINEUIL PINOT NOIR GARNIER</v>
      </c>
      <c r="G783" s="10">
        <f>data!G783</f>
        <v>0</v>
      </c>
      <c r="H783" s="10">
        <f>data!I783</f>
        <v>0</v>
      </c>
      <c r="I783" s="10">
        <f t="shared" si="48"/>
        <v>0</v>
      </c>
      <c r="J783" s="11">
        <f>data!H783</f>
        <v>6</v>
      </c>
      <c r="K783" s="11">
        <f>data!J783</f>
        <v>0</v>
      </c>
      <c r="L783" s="11">
        <f t="shared" si="49"/>
        <v>6</v>
      </c>
      <c r="M783" s="9" t="str">
        <f t="shared" si="50"/>
        <v/>
      </c>
      <c r="N783" s="9" t="str">
        <f t="shared" si="51"/>
        <v/>
      </c>
    </row>
    <row r="784" spans="1:14" x14ac:dyDescent="0.25">
      <c r="A784" t="str">
        <f>TEXT("1/"&amp;data!A784,"mmmm")</f>
        <v>mars</v>
      </c>
      <c r="B784">
        <f>data!B784</f>
        <v>2016</v>
      </c>
      <c r="C784" t="str">
        <f>data!C784</f>
        <v>157</v>
      </c>
      <c r="D784" t="str">
        <f>data!D784</f>
        <v>DOMAINE DE LA FOLIETTE</v>
      </c>
      <c r="E784" t="str">
        <f>data!E784</f>
        <v>157001</v>
      </c>
      <c r="F784" t="str">
        <f>data!F784</f>
        <v>AC MUSCADET S&amp;MAINE/LIE FOLIETTES</v>
      </c>
      <c r="G784" s="10">
        <f>data!G784</f>
        <v>88.5</v>
      </c>
      <c r="H784" s="10">
        <f>data!I784</f>
        <v>400.8</v>
      </c>
      <c r="I784" s="10">
        <f t="shared" si="48"/>
        <v>-312.3</v>
      </c>
      <c r="J784" s="11">
        <f>data!H784</f>
        <v>30</v>
      </c>
      <c r="K784" s="11">
        <f>data!J784</f>
        <v>150</v>
      </c>
      <c r="L784" s="11">
        <f t="shared" si="49"/>
        <v>-120</v>
      </c>
      <c r="M784" s="9">
        <f t="shared" si="50"/>
        <v>-0.77919161676646709</v>
      </c>
      <c r="N784" s="9">
        <f t="shared" si="51"/>
        <v>-0.8</v>
      </c>
    </row>
    <row r="785" spans="1:14" x14ac:dyDescent="0.25">
      <c r="A785" t="str">
        <f>TEXT("1/"&amp;data!A785,"mmmm")</f>
        <v>mars</v>
      </c>
      <c r="B785">
        <f>data!B785</f>
        <v>2016</v>
      </c>
      <c r="C785" t="str">
        <f>data!C785</f>
        <v>162</v>
      </c>
      <c r="D785" t="str">
        <f>data!D785</f>
        <v>CHATEAU JOUCLARY</v>
      </c>
      <c r="E785" t="str">
        <f>data!E785</f>
        <v>162001</v>
      </c>
      <c r="F785" t="str">
        <f>data!F785</f>
        <v>AC CABARDES CH JOUCLARY</v>
      </c>
      <c r="G785" s="10">
        <f>data!G785</f>
        <v>2992.8</v>
      </c>
      <c r="H785" s="10">
        <f>data!I785</f>
        <v>1876.5</v>
      </c>
      <c r="I785" s="10">
        <f t="shared" si="48"/>
        <v>1116.3000000000002</v>
      </c>
      <c r="J785" s="11">
        <f>data!H785</f>
        <v>1032</v>
      </c>
      <c r="K785" s="11">
        <f>data!J785</f>
        <v>672</v>
      </c>
      <c r="L785" s="11">
        <f t="shared" si="49"/>
        <v>360</v>
      </c>
      <c r="M785" s="9">
        <f t="shared" si="50"/>
        <v>0.59488409272581944</v>
      </c>
      <c r="N785" s="9">
        <f t="shared" si="51"/>
        <v>0.5357142857142857</v>
      </c>
    </row>
    <row r="786" spans="1:14" x14ac:dyDescent="0.25">
      <c r="A786" t="str">
        <f>TEXT("1/"&amp;data!A786,"mmmm")</f>
        <v>mars</v>
      </c>
      <c r="B786">
        <f>data!B786</f>
        <v>2016</v>
      </c>
      <c r="C786" t="str">
        <f>data!C786</f>
        <v>162</v>
      </c>
      <c r="D786" t="str">
        <f>data!D786</f>
        <v>CHATEAU JOUCLARY</v>
      </c>
      <c r="E786" t="str">
        <f>data!E786</f>
        <v>162002</v>
      </c>
      <c r="F786" t="str">
        <f>data!F786</f>
        <v>AC CABARDES JOUCLARY CUVEE AMANDIERS</v>
      </c>
      <c r="G786" s="10">
        <f>data!G786</f>
        <v>438.6</v>
      </c>
      <c r="H786" s="10">
        <f>data!I786</f>
        <v>263.39999999999998</v>
      </c>
      <c r="I786" s="10">
        <f t="shared" si="48"/>
        <v>175.20000000000005</v>
      </c>
      <c r="J786" s="11">
        <f>data!H786</f>
        <v>102</v>
      </c>
      <c r="K786" s="11">
        <f>data!J786</f>
        <v>84</v>
      </c>
      <c r="L786" s="11">
        <f t="shared" si="49"/>
        <v>18</v>
      </c>
      <c r="M786" s="9">
        <f t="shared" si="50"/>
        <v>0.66514806378132141</v>
      </c>
      <c r="N786" s="9">
        <f t="shared" si="51"/>
        <v>0.21428571428571427</v>
      </c>
    </row>
    <row r="787" spans="1:14" x14ac:dyDescent="0.25">
      <c r="A787" t="str">
        <f>TEXT("1/"&amp;data!A787,"mmmm")</f>
        <v>mars</v>
      </c>
      <c r="B787">
        <f>data!B787</f>
        <v>2016</v>
      </c>
      <c r="C787" t="str">
        <f>data!C787</f>
        <v>162</v>
      </c>
      <c r="D787" t="str">
        <f>data!D787</f>
        <v>CHATEAU JOUCLARY</v>
      </c>
      <c r="E787" t="str">
        <f>data!E787</f>
        <v>162003</v>
      </c>
      <c r="F787" t="str">
        <f>data!F787</f>
        <v>AOP CABARDES JOUCLARY</v>
      </c>
      <c r="G787" s="10">
        <f>data!G787</f>
        <v>208.8</v>
      </c>
      <c r="H787" s="10">
        <f>data!I787</f>
        <v>0</v>
      </c>
      <c r="I787" s="10">
        <f t="shared" si="48"/>
        <v>208.8</v>
      </c>
      <c r="J787" s="11">
        <f>data!H787</f>
        <v>72</v>
      </c>
      <c r="K787" s="11">
        <f>data!J787</f>
        <v>6</v>
      </c>
      <c r="L787" s="11">
        <f t="shared" si="49"/>
        <v>66</v>
      </c>
      <c r="M787" s="9" t="str">
        <f t="shared" si="50"/>
        <v/>
      </c>
      <c r="N787" s="9">
        <f t="shared" si="51"/>
        <v>11</v>
      </c>
    </row>
    <row r="788" spans="1:14" x14ac:dyDescent="0.25">
      <c r="A788" t="str">
        <f>TEXT("1/"&amp;data!A788,"mmmm")</f>
        <v>mars</v>
      </c>
      <c r="B788">
        <f>data!B788</f>
        <v>2016</v>
      </c>
      <c r="C788" t="str">
        <f>data!C788</f>
        <v>162</v>
      </c>
      <c r="D788" t="str">
        <f>data!D788</f>
        <v>CHATEAU JOUCLARY</v>
      </c>
      <c r="E788" t="str">
        <f>data!E788</f>
        <v>CDV162004</v>
      </c>
      <c r="F788" t="str">
        <f>data!F788</f>
        <v>IGP OC SAUVIGNON CH JOUCLARY</v>
      </c>
      <c r="G788" s="10">
        <f>data!G788</f>
        <v>180</v>
      </c>
      <c r="H788" s="10">
        <f>data!I788</f>
        <v>88.8</v>
      </c>
      <c r="I788" s="10">
        <f t="shared" si="48"/>
        <v>91.2</v>
      </c>
      <c r="J788" s="11">
        <f>data!H788</f>
        <v>72</v>
      </c>
      <c r="K788" s="11">
        <f>data!J788</f>
        <v>36</v>
      </c>
      <c r="L788" s="11">
        <f t="shared" si="49"/>
        <v>36</v>
      </c>
      <c r="M788" s="9">
        <f t="shared" si="50"/>
        <v>1.0270270270270272</v>
      </c>
      <c r="N788" s="9">
        <f t="shared" si="51"/>
        <v>1</v>
      </c>
    </row>
    <row r="789" spans="1:14" x14ac:dyDescent="0.25">
      <c r="A789" t="str">
        <f>TEXT("1/"&amp;data!A789,"mmmm")</f>
        <v>mars</v>
      </c>
      <c r="B789">
        <f>data!B789</f>
        <v>2016</v>
      </c>
      <c r="C789" t="str">
        <f>data!C789</f>
        <v>162</v>
      </c>
      <c r="D789" t="str">
        <f>data!D789</f>
        <v>CHATEAU JOUCLARY</v>
      </c>
      <c r="E789" t="str">
        <f>data!E789</f>
        <v>CDV162005</v>
      </c>
      <c r="F789" t="str">
        <f>data!F789</f>
        <v>JOUCLARY CUVEE GUILLAUME</v>
      </c>
      <c r="G789" s="10">
        <f>data!G789</f>
        <v>0</v>
      </c>
      <c r="H789" s="10">
        <f>data!I789</f>
        <v>0</v>
      </c>
      <c r="I789" s="10">
        <f t="shared" si="48"/>
        <v>0</v>
      </c>
      <c r="J789" s="11">
        <f>data!H789</f>
        <v>36</v>
      </c>
      <c r="K789" s="11">
        <f>data!J789</f>
        <v>0</v>
      </c>
      <c r="L789" s="11">
        <f t="shared" si="49"/>
        <v>36</v>
      </c>
      <c r="M789" s="9" t="str">
        <f t="shared" si="50"/>
        <v/>
      </c>
      <c r="N789" s="9" t="str">
        <f t="shared" si="51"/>
        <v/>
      </c>
    </row>
    <row r="790" spans="1:14" x14ac:dyDescent="0.25">
      <c r="A790" t="str">
        <f>TEXT("1/"&amp;data!A790,"mmmm")</f>
        <v>mars</v>
      </c>
      <c r="B790">
        <f>data!B790</f>
        <v>2016</v>
      </c>
      <c r="C790" t="str">
        <f>data!C790</f>
        <v>163</v>
      </c>
      <c r="D790" t="str">
        <f>data!D790</f>
        <v>DOMAINE FAYOLLE</v>
      </c>
      <c r="E790" t="str">
        <f>data!E790</f>
        <v>163001</v>
      </c>
      <c r="F790" t="str">
        <f>data!F790</f>
        <v>AC CROZE HERMITAGE SENS</v>
      </c>
      <c r="G790" s="10">
        <f>data!G790</f>
        <v>296.52</v>
      </c>
      <c r="H790" s="10">
        <f>data!I790</f>
        <v>0</v>
      </c>
      <c r="I790" s="10">
        <f t="shared" si="48"/>
        <v>296.52</v>
      </c>
      <c r="J790" s="11">
        <f>data!H790</f>
        <v>48</v>
      </c>
      <c r="K790" s="11">
        <f>data!J790</f>
        <v>0</v>
      </c>
      <c r="L790" s="11">
        <f t="shared" si="49"/>
        <v>48</v>
      </c>
      <c r="M790" s="9" t="str">
        <f t="shared" si="50"/>
        <v/>
      </c>
      <c r="N790" s="9" t="str">
        <f t="shared" si="51"/>
        <v/>
      </c>
    </row>
    <row r="791" spans="1:14" x14ac:dyDescent="0.25">
      <c r="A791" t="str">
        <f>TEXT("1/"&amp;data!A791,"mmmm")</f>
        <v>mars</v>
      </c>
      <c r="B791">
        <f>data!B791</f>
        <v>2016</v>
      </c>
      <c r="C791" t="str">
        <f>data!C791</f>
        <v>163</v>
      </c>
      <c r="D791" t="str">
        <f>data!D791</f>
        <v>DOMAINE FAYOLLE</v>
      </c>
      <c r="E791" t="str">
        <f>data!E791</f>
        <v>163005</v>
      </c>
      <c r="F791" t="str">
        <f>data!F791</f>
        <v>AC HERMITAGE LES DIONNIERES</v>
      </c>
      <c r="G791" s="10">
        <f>data!G791</f>
        <v>0</v>
      </c>
      <c r="H791" s="10">
        <f>data!I791</f>
        <v>0</v>
      </c>
      <c r="I791" s="10">
        <f t="shared" si="48"/>
        <v>0</v>
      </c>
      <c r="J791" s="11">
        <f>data!H791</f>
        <v>6</v>
      </c>
      <c r="K791" s="11">
        <f>data!J791</f>
        <v>0</v>
      </c>
      <c r="L791" s="11">
        <f t="shared" si="49"/>
        <v>6</v>
      </c>
      <c r="M791" s="9" t="str">
        <f t="shared" si="50"/>
        <v/>
      </c>
      <c r="N791" s="9" t="str">
        <f t="shared" si="51"/>
        <v/>
      </c>
    </row>
    <row r="792" spans="1:14" x14ac:dyDescent="0.25">
      <c r="A792" t="str">
        <f>TEXT("1/"&amp;data!A792,"mmmm")</f>
        <v>mars</v>
      </c>
      <c r="B792">
        <f>data!B792</f>
        <v>2016</v>
      </c>
      <c r="C792" t="str">
        <f>data!C792</f>
        <v>163</v>
      </c>
      <c r="D792" t="str">
        <f>data!D792</f>
        <v>DOMAINE FAYOLLE</v>
      </c>
      <c r="E792" t="str">
        <f>data!E792</f>
        <v>163006</v>
      </c>
      <c r="F792" t="str">
        <f>data!F792</f>
        <v>AC HERMITAGE LES DIONNIERES</v>
      </c>
      <c r="G792" s="10">
        <f>data!G792</f>
        <v>0</v>
      </c>
      <c r="H792" s="10">
        <f>data!I792</f>
        <v>0</v>
      </c>
      <c r="I792" s="10">
        <f t="shared" si="48"/>
        <v>0</v>
      </c>
      <c r="J792" s="11">
        <f>data!H792</f>
        <v>6</v>
      </c>
      <c r="K792" s="11">
        <f>data!J792</f>
        <v>0</v>
      </c>
      <c r="L792" s="11">
        <f t="shared" si="49"/>
        <v>6</v>
      </c>
      <c r="M792" s="9" t="str">
        <f t="shared" si="50"/>
        <v/>
      </c>
      <c r="N792" s="9" t="str">
        <f t="shared" si="51"/>
        <v/>
      </c>
    </row>
    <row r="793" spans="1:14" x14ac:dyDescent="0.25">
      <c r="A793" t="str">
        <f>TEXT("1/"&amp;data!A793,"mmmm")</f>
        <v>mars</v>
      </c>
      <c r="B793">
        <f>data!B793</f>
        <v>2016</v>
      </c>
      <c r="C793" t="str">
        <f>data!C793</f>
        <v>164</v>
      </c>
      <c r="D793" t="str">
        <f>data!D793</f>
        <v>CHATEAU JUPILLE</v>
      </c>
      <c r="E793" t="str">
        <f>data!E793</f>
        <v>164002</v>
      </c>
      <c r="F793" t="str">
        <f>data!F793</f>
        <v>AC ST EMILION CH JUPILLE CARILLON</v>
      </c>
      <c r="G793" s="10">
        <f>data!G793</f>
        <v>1267.2</v>
      </c>
      <c r="H793" s="10">
        <f>data!I793</f>
        <v>0</v>
      </c>
      <c r="I793" s="10">
        <f t="shared" si="48"/>
        <v>1267.2</v>
      </c>
      <c r="J793" s="11">
        <f>data!H793</f>
        <v>192</v>
      </c>
      <c r="K793" s="11">
        <f>data!J793</f>
        <v>0</v>
      </c>
      <c r="L793" s="11">
        <f t="shared" si="49"/>
        <v>192</v>
      </c>
      <c r="M793" s="9" t="str">
        <f t="shared" si="50"/>
        <v/>
      </c>
      <c r="N793" s="9" t="str">
        <f t="shared" si="51"/>
        <v/>
      </c>
    </row>
    <row r="794" spans="1:14" x14ac:dyDescent="0.25">
      <c r="A794" t="str">
        <f>TEXT("1/"&amp;data!A794,"mmmm")</f>
        <v>mars</v>
      </c>
      <c r="B794">
        <f>data!B794</f>
        <v>2016</v>
      </c>
      <c r="C794" t="str">
        <f>data!C794</f>
        <v>164</v>
      </c>
      <c r="D794" t="str">
        <f>data!D794</f>
        <v>CHATEAU JUPILLE</v>
      </c>
      <c r="E794" t="str">
        <f>data!E794</f>
        <v>164005/12</v>
      </c>
      <c r="F794" t="str">
        <f>data!F794</f>
        <v>AC ST EMILION GD CRU CH JUCALIS</v>
      </c>
      <c r="G794" s="10">
        <f>data!G794</f>
        <v>378</v>
      </c>
      <c r="H794" s="10">
        <f>data!I794</f>
        <v>0</v>
      </c>
      <c r="I794" s="10">
        <f t="shared" si="48"/>
        <v>378</v>
      </c>
      <c r="J794" s="11">
        <f>data!H794</f>
        <v>42</v>
      </c>
      <c r="K794" s="11">
        <f>data!J794</f>
        <v>0</v>
      </c>
      <c r="L794" s="11">
        <f t="shared" si="49"/>
        <v>42</v>
      </c>
      <c r="M794" s="9" t="str">
        <f t="shared" si="50"/>
        <v/>
      </c>
      <c r="N794" s="9" t="str">
        <f t="shared" si="51"/>
        <v/>
      </c>
    </row>
    <row r="795" spans="1:14" x14ac:dyDescent="0.25">
      <c r="A795" t="str">
        <f>TEXT("1/"&amp;data!A795,"mmmm")</f>
        <v>mars</v>
      </c>
      <c r="B795">
        <f>data!B795</f>
        <v>2016</v>
      </c>
      <c r="C795" t="str">
        <f>data!C795</f>
        <v>168</v>
      </c>
      <c r="D795" t="str">
        <f>data!D795</f>
        <v>CHATEAU LA ROSE SARRON</v>
      </c>
      <c r="E795" t="str">
        <f>data!E795</f>
        <v>168001</v>
      </c>
      <c r="F795" t="str">
        <f>data!F795</f>
        <v>AC GRAVES CH LA ROSE SARRON</v>
      </c>
      <c r="G795" s="10">
        <f>data!G795</f>
        <v>1538.4</v>
      </c>
      <c r="H795" s="10">
        <f>data!I795</f>
        <v>1200</v>
      </c>
      <c r="I795" s="10">
        <f t="shared" si="48"/>
        <v>338.40000000000009</v>
      </c>
      <c r="J795" s="11">
        <f>data!H795</f>
        <v>384</v>
      </c>
      <c r="K795" s="11">
        <f>data!J795</f>
        <v>306</v>
      </c>
      <c r="L795" s="11">
        <f t="shared" si="49"/>
        <v>78</v>
      </c>
      <c r="M795" s="9">
        <f t="shared" si="50"/>
        <v>0.28200000000000008</v>
      </c>
      <c r="N795" s="9">
        <f t="shared" si="51"/>
        <v>0.25490196078431371</v>
      </c>
    </row>
    <row r="796" spans="1:14" x14ac:dyDescent="0.25">
      <c r="A796" t="str">
        <f>TEXT("1/"&amp;data!A796,"mmmm")</f>
        <v>mars</v>
      </c>
      <c r="B796">
        <f>data!B796</f>
        <v>2016</v>
      </c>
      <c r="C796" t="str">
        <f>data!C796</f>
        <v>168</v>
      </c>
      <c r="D796" t="str">
        <f>data!D796</f>
        <v>CHATEAU LA ROSE SARRON</v>
      </c>
      <c r="E796" t="str">
        <f>data!E796</f>
        <v>168002</v>
      </c>
      <c r="F796" t="str">
        <f>data!F796</f>
        <v>AC GRAVES CH. LA ROSE SARRON</v>
      </c>
      <c r="G796" s="10">
        <f>data!G796</f>
        <v>40.200000000000003</v>
      </c>
      <c r="H796" s="10">
        <f>data!I796</f>
        <v>80.400000000000006</v>
      </c>
      <c r="I796" s="10">
        <f t="shared" si="48"/>
        <v>-40.200000000000003</v>
      </c>
      <c r="J796" s="11">
        <f>data!H796</f>
        <v>12</v>
      </c>
      <c r="K796" s="11">
        <f>data!J796</f>
        <v>24</v>
      </c>
      <c r="L796" s="11">
        <f t="shared" si="49"/>
        <v>-12</v>
      </c>
      <c r="M796" s="9">
        <f t="shared" si="50"/>
        <v>-0.5</v>
      </c>
      <c r="N796" s="9">
        <f t="shared" si="51"/>
        <v>-0.5</v>
      </c>
    </row>
    <row r="797" spans="1:14" x14ac:dyDescent="0.25">
      <c r="A797" t="str">
        <f>TEXT("1/"&amp;data!A797,"mmmm")</f>
        <v>mars</v>
      </c>
      <c r="B797">
        <f>data!B797</f>
        <v>2016</v>
      </c>
      <c r="C797" t="str">
        <f>data!C797</f>
        <v>168</v>
      </c>
      <c r="D797" t="str">
        <f>data!D797</f>
        <v>CHATEAU LA ROSE SARRON</v>
      </c>
      <c r="E797" t="str">
        <f>data!E797</f>
        <v>168003</v>
      </c>
      <c r="F797" t="str">
        <f>data!F797</f>
        <v>AOP GRAVES LA ROSE SARRON</v>
      </c>
      <c r="G797" s="10">
        <f>data!G797</f>
        <v>191.52</v>
      </c>
      <c r="H797" s="10">
        <f>data!I797</f>
        <v>0</v>
      </c>
      <c r="I797" s="10">
        <f t="shared" si="48"/>
        <v>191.52</v>
      </c>
      <c r="J797" s="11">
        <f>data!H797</f>
        <v>36</v>
      </c>
      <c r="K797" s="11">
        <f>data!J797</f>
        <v>0</v>
      </c>
      <c r="L797" s="11">
        <f t="shared" si="49"/>
        <v>36</v>
      </c>
      <c r="M797" s="9" t="str">
        <f t="shared" si="50"/>
        <v/>
      </c>
      <c r="N797" s="9" t="str">
        <f t="shared" si="51"/>
        <v/>
      </c>
    </row>
    <row r="798" spans="1:14" x14ac:dyDescent="0.25">
      <c r="A798" t="str">
        <f>TEXT("1/"&amp;data!A798,"mmmm")</f>
        <v>mars</v>
      </c>
      <c r="B798">
        <f>data!B798</f>
        <v>2016</v>
      </c>
      <c r="C798" t="str">
        <f>data!C798</f>
        <v>169</v>
      </c>
      <c r="D798" t="str">
        <f>data!D798</f>
        <v>CHATEAU PERREAU BEL AIR</v>
      </c>
      <c r="E798" t="str">
        <f>data!E798</f>
        <v>169001</v>
      </c>
      <c r="F798" t="str">
        <f>data!F798</f>
        <v>AC COTES DE CASTILLON CH PERREAU BEL AIR</v>
      </c>
      <c r="G798" s="10">
        <f>data!G798</f>
        <v>2010.7</v>
      </c>
      <c r="H798" s="10">
        <f>data!I798</f>
        <v>1543.2</v>
      </c>
      <c r="I798" s="10">
        <f t="shared" si="48"/>
        <v>467.5</v>
      </c>
      <c r="J798" s="11">
        <f>data!H798</f>
        <v>708</v>
      </c>
      <c r="K798" s="11">
        <f>data!J798</f>
        <v>546</v>
      </c>
      <c r="L798" s="11">
        <f t="shared" si="49"/>
        <v>162</v>
      </c>
      <c r="M798" s="9">
        <f t="shared" si="50"/>
        <v>0.30294193882840847</v>
      </c>
      <c r="N798" s="9">
        <f t="shared" si="51"/>
        <v>0.2967032967032967</v>
      </c>
    </row>
    <row r="799" spans="1:14" x14ac:dyDescent="0.25">
      <c r="A799" t="str">
        <f>TEXT("1/"&amp;data!A799,"mmmm")</f>
        <v>mars</v>
      </c>
      <c r="B799">
        <f>data!B799</f>
        <v>2016</v>
      </c>
      <c r="C799" t="str">
        <f>data!C799</f>
        <v>169</v>
      </c>
      <c r="D799" t="str">
        <f>data!D799</f>
        <v>CHATEAU PERREAU BEL AIR</v>
      </c>
      <c r="E799" t="str">
        <f>data!E799</f>
        <v>169002</v>
      </c>
      <c r="F799" t="str">
        <f>data!F799</f>
        <v>AC BORDEAUX SUPERIEUR CHATEAU MESSAYA</v>
      </c>
      <c r="G799" s="10">
        <f>data!G799</f>
        <v>1467.18</v>
      </c>
      <c r="H799" s="10">
        <f>data!I799</f>
        <v>1638.96</v>
      </c>
      <c r="I799" s="10">
        <f t="shared" si="48"/>
        <v>-171.77999999999997</v>
      </c>
      <c r="J799" s="11">
        <f>data!H799</f>
        <v>600</v>
      </c>
      <c r="K799" s="11">
        <f>data!J799</f>
        <v>696</v>
      </c>
      <c r="L799" s="11">
        <f t="shared" si="49"/>
        <v>-96</v>
      </c>
      <c r="M799" s="9">
        <f t="shared" si="50"/>
        <v>-0.10481036755015374</v>
      </c>
      <c r="N799" s="9">
        <f t="shared" si="51"/>
        <v>-0.13793103448275862</v>
      </c>
    </row>
    <row r="800" spans="1:14" x14ac:dyDescent="0.25">
      <c r="A800" t="str">
        <f>TEXT("1/"&amp;data!A800,"mmmm")</f>
        <v>mars</v>
      </c>
      <c r="B800">
        <f>data!B800</f>
        <v>2016</v>
      </c>
      <c r="C800" t="str">
        <f>data!C800</f>
        <v>169</v>
      </c>
      <c r="D800" t="str">
        <f>data!D800</f>
        <v>CHATEAU PERREAU BEL AIR</v>
      </c>
      <c r="E800" t="str">
        <f>data!E800</f>
        <v>169009</v>
      </c>
      <c r="F800" t="str">
        <f>data!F800</f>
        <v>AOP COTES DE BORDEAUX LES HAUTS DE PERREAU BEL AIR</v>
      </c>
      <c r="G800" s="10">
        <f>data!G800</f>
        <v>555</v>
      </c>
      <c r="H800" s="10">
        <f>data!I800</f>
        <v>1294.8</v>
      </c>
      <c r="I800" s="10">
        <f t="shared" si="48"/>
        <v>-739.8</v>
      </c>
      <c r="J800" s="11">
        <f>data!H800</f>
        <v>399.9</v>
      </c>
      <c r="K800" s="11">
        <f>data!J800</f>
        <v>946.43</v>
      </c>
      <c r="L800" s="11">
        <f t="shared" si="49"/>
        <v>-546.53</v>
      </c>
      <c r="M800" s="9">
        <f t="shared" si="50"/>
        <v>-0.5713623725671918</v>
      </c>
      <c r="N800" s="9">
        <f t="shared" si="51"/>
        <v>-0.57746478873239437</v>
      </c>
    </row>
    <row r="801" spans="1:14" x14ac:dyDescent="0.25">
      <c r="A801" t="str">
        <f>TEXT("1/"&amp;data!A801,"mmmm")</f>
        <v>mars</v>
      </c>
      <c r="B801">
        <f>data!B801</f>
        <v>2016</v>
      </c>
      <c r="C801" t="str">
        <f>data!C801</f>
        <v>169</v>
      </c>
      <c r="D801" t="str">
        <f>data!D801</f>
        <v>CHATEAU PERREAU BEL AIR</v>
      </c>
      <c r="E801" t="str">
        <f>data!E801</f>
        <v>169010</v>
      </c>
      <c r="F801" t="str">
        <f>data!F801</f>
        <v>AOP COTES DE BORDEAUX LES HAUTS DE PERREAU BEL AIR</v>
      </c>
      <c r="G801" s="10">
        <f>data!G801</f>
        <v>609</v>
      </c>
      <c r="H801" s="10">
        <f>data!I801</f>
        <v>946.05</v>
      </c>
      <c r="I801" s="10">
        <f t="shared" si="48"/>
        <v>-337.04999999999995</v>
      </c>
      <c r="J801" s="11">
        <f>data!H801</f>
        <v>406.87</v>
      </c>
      <c r="K801" s="11">
        <f>data!J801</f>
        <v>653.66</v>
      </c>
      <c r="L801" s="11">
        <f t="shared" si="49"/>
        <v>-246.78999999999996</v>
      </c>
      <c r="M801" s="9">
        <f t="shared" si="50"/>
        <v>-0.35627081021087675</v>
      </c>
      <c r="N801" s="9">
        <f t="shared" si="51"/>
        <v>-0.37755102040816324</v>
      </c>
    </row>
    <row r="802" spans="1:14" x14ac:dyDescent="0.25">
      <c r="A802" t="str">
        <f>TEXT("1/"&amp;data!A802,"mmmm")</f>
        <v>mars</v>
      </c>
      <c r="B802">
        <f>data!B802</f>
        <v>2016</v>
      </c>
      <c r="C802" t="str">
        <f>data!C802</f>
        <v>169</v>
      </c>
      <c r="D802" t="str">
        <f>data!D802</f>
        <v>CHATEAU PERREAU BEL AIR</v>
      </c>
      <c r="E802" t="str">
        <f>data!E802</f>
        <v>169011</v>
      </c>
      <c r="F802" t="str">
        <f>data!F802</f>
        <v>CHATEAU DE L'AUZE BERGERAC BLANC</v>
      </c>
      <c r="G802" s="10">
        <f>data!G802</f>
        <v>0</v>
      </c>
      <c r="H802" s="10">
        <f>data!I802</f>
        <v>0</v>
      </c>
      <c r="I802" s="10">
        <f t="shared" si="48"/>
        <v>0</v>
      </c>
      <c r="J802" s="11">
        <f>data!H802</f>
        <v>6</v>
      </c>
      <c r="K802" s="11">
        <f>data!J802</f>
        <v>0</v>
      </c>
      <c r="L802" s="11">
        <f t="shared" si="49"/>
        <v>6</v>
      </c>
      <c r="M802" s="9" t="str">
        <f t="shared" si="50"/>
        <v/>
      </c>
      <c r="N802" s="9" t="str">
        <f t="shared" si="51"/>
        <v/>
      </c>
    </row>
    <row r="803" spans="1:14" x14ac:dyDescent="0.25">
      <c r="A803" t="str">
        <f>TEXT("1/"&amp;data!A803,"mmmm")</f>
        <v>mars</v>
      </c>
      <c r="B803">
        <f>data!B803</f>
        <v>2016</v>
      </c>
      <c r="C803" t="str">
        <f>data!C803</f>
        <v>174</v>
      </c>
      <c r="D803" t="str">
        <f>data!D803</f>
        <v>SAS VIGNOBLES DES 3 CHATEAUX</v>
      </c>
      <c r="E803" t="str">
        <f>data!E803</f>
        <v>174001</v>
      </c>
      <c r="F803" t="str">
        <f>data!F803</f>
        <v>AC PIC SAINT LOUP LES DEESSES MUETTES EMOTION</v>
      </c>
      <c r="G803" s="10">
        <f>data!G803</f>
        <v>3143.4</v>
      </c>
      <c r="H803" s="10">
        <f>data!I803</f>
        <v>736.56</v>
      </c>
      <c r="I803" s="10">
        <f t="shared" si="48"/>
        <v>2406.84</v>
      </c>
      <c r="J803" s="11">
        <f>data!H803</f>
        <v>870</v>
      </c>
      <c r="K803" s="11">
        <f>data!J803</f>
        <v>204</v>
      </c>
      <c r="L803" s="11">
        <f t="shared" si="49"/>
        <v>666</v>
      </c>
      <c r="M803" s="9">
        <f t="shared" si="50"/>
        <v>3.2676767676767682</v>
      </c>
      <c r="N803" s="9">
        <f t="shared" si="51"/>
        <v>3.2647058823529411</v>
      </c>
    </row>
    <row r="804" spans="1:14" x14ac:dyDescent="0.25">
      <c r="A804" t="str">
        <f>TEXT("1/"&amp;data!A804,"mmmm")</f>
        <v>mars</v>
      </c>
      <c r="B804">
        <f>data!B804</f>
        <v>2016</v>
      </c>
      <c r="C804" t="str">
        <f>data!C804</f>
        <v>174</v>
      </c>
      <c r="D804" t="str">
        <f>data!D804</f>
        <v>SAS VIGNOBLES DES 3 CHATEAUX</v>
      </c>
      <c r="E804" t="str">
        <f>data!E804</f>
        <v>174002</v>
      </c>
      <c r="F804" t="str">
        <f>data!F804</f>
        <v>AC PIC SAINT LOUP CUVEE SPECIALE VIEILLI FUT DE CH</v>
      </c>
      <c r="G804" s="10">
        <f>data!G804</f>
        <v>148.32</v>
      </c>
      <c r="H804" s="10">
        <f>data!I804</f>
        <v>36.72</v>
      </c>
      <c r="I804" s="10">
        <f t="shared" si="48"/>
        <v>111.6</v>
      </c>
      <c r="J804" s="11">
        <f>data!H804</f>
        <v>30</v>
      </c>
      <c r="K804" s="11">
        <f>data!J804</f>
        <v>12</v>
      </c>
      <c r="L804" s="11">
        <f t="shared" si="49"/>
        <v>18</v>
      </c>
      <c r="M804" s="9">
        <f t="shared" si="50"/>
        <v>3.0392156862745097</v>
      </c>
      <c r="N804" s="9">
        <f t="shared" si="51"/>
        <v>1.5</v>
      </c>
    </row>
    <row r="805" spans="1:14" x14ac:dyDescent="0.25">
      <c r="A805" t="str">
        <f>TEXT("1/"&amp;data!A805,"mmmm")</f>
        <v>mars</v>
      </c>
      <c r="B805">
        <f>data!B805</f>
        <v>2016</v>
      </c>
      <c r="C805" t="str">
        <f>data!C805</f>
        <v>174</v>
      </c>
      <c r="D805" t="str">
        <f>data!D805</f>
        <v>SAS VIGNOBLES DES 3 CHATEAUX</v>
      </c>
      <c r="E805" t="str">
        <f>data!E805</f>
        <v>174003</v>
      </c>
      <c r="F805" t="str">
        <f>data!F805</f>
        <v>IGP CARIGNAN - PETIT LOUP</v>
      </c>
      <c r="G805" s="10">
        <f>data!G805</f>
        <v>2242.96</v>
      </c>
      <c r="H805" s="10">
        <f>data!I805</f>
        <v>0</v>
      </c>
      <c r="I805" s="10">
        <f t="shared" si="48"/>
        <v>2242.96</v>
      </c>
      <c r="J805" s="11">
        <f>data!H805</f>
        <v>1062</v>
      </c>
      <c r="K805" s="11">
        <f>data!J805</f>
        <v>0</v>
      </c>
      <c r="L805" s="11">
        <f t="shared" si="49"/>
        <v>1062</v>
      </c>
      <c r="M805" s="9" t="str">
        <f t="shared" si="50"/>
        <v/>
      </c>
      <c r="N805" s="9" t="str">
        <f t="shared" si="51"/>
        <v/>
      </c>
    </row>
    <row r="806" spans="1:14" x14ac:dyDescent="0.25">
      <c r="A806" t="str">
        <f>TEXT("1/"&amp;data!A806,"mmmm")</f>
        <v>mars</v>
      </c>
      <c r="B806">
        <f>data!B806</f>
        <v>2016</v>
      </c>
      <c r="C806" t="str">
        <f>data!C806</f>
        <v>174</v>
      </c>
      <c r="D806" t="str">
        <f>data!D806</f>
        <v>SAS VIGNOBLES DES 3 CHATEAUX</v>
      </c>
      <c r="E806" t="str">
        <f>data!E806</f>
        <v>174010</v>
      </c>
      <c r="F806" t="str">
        <f>data!F806</f>
        <v>IGP OC MERLOT CABERNET TERROIR DES CIGALES</v>
      </c>
      <c r="G806" s="10">
        <f>data!G806</f>
        <v>804</v>
      </c>
      <c r="H806" s="10">
        <f>data!I806</f>
        <v>1050.7</v>
      </c>
      <c r="I806" s="10">
        <f t="shared" si="48"/>
        <v>-246.70000000000005</v>
      </c>
      <c r="J806" s="11">
        <f>data!H806</f>
        <v>799.8</v>
      </c>
      <c r="K806" s="11">
        <f>data!J806</f>
        <v>1053.07</v>
      </c>
      <c r="L806" s="11">
        <f t="shared" si="49"/>
        <v>-253.26999999999998</v>
      </c>
      <c r="M806" s="9">
        <f t="shared" si="50"/>
        <v>-0.23479585038545736</v>
      </c>
      <c r="N806" s="9">
        <f t="shared" si="51"/>
        <v>-0.24050632911392406</v>
      </c>
    </row>
    <row r="807" spans="1:14" x14ac:dyDescent="0.25">
      <c r="A807" t="str">
        <f>TEXT("1/"&amp;data!A807,"mmmm")</f>
        <v>mars</v>
      </c>
      <c r="B807">
        <f>data!B807</f>
        <v>2016</v>
      </c>
      <c r="C807" t="str">
        <f>data!C807</f>
        <v>174</v>
      </c>
      <c r="D807" t="str">
        <f>data!D807</f>
        <v>SAS VIGNOBLES DES 3 CHATEAUX</v>
      </c>
      <c r="E807" t="str">
        <f>data!E807</f>
        <v>174011</v>
      </c>
      <c r="F807" t="str">
        <f>data!F807</f>
        <v>IGP OC MERLOT CABERNET TERROIR DES CIGALES</v>
      </c>
      <c r="G807" s="10">
        <f>data!G807</f>
        <v>729.12</v>
      </c>
      <c r="H807" s="10">
        <f>data!I807</f>
        <v>856.9</v>
      </c>
      <c r="I807" s="10">
        <f t="shared" si="48"/>
        <v>-127.77999999999997</v>
      </c>
      <c r="J807" s="11">
        <f>data!H807</f>
        <v>640.31999999999994</v>
      </c>
      <c r="K807" s="11">
        <f>data!J807</f>
        <v>747.04</v>
      </c>
      <c r="L807" s="11">
        <f t="shared" si="49"/>
        <v>-106.72000000000003</v>
      </c>
      <c r="M807" s="9">
        <f t="shared" si="50"/>
        <v>-0.1491189170264908</v>
      </c>
      <c r="N807" s="9">
        <f t="shared" si="51"/>
        <v>-0.1428571428571429</v>
      </c>
    </row>
    <row r="808" spans="1:14" x14ac:dyDescent="0.25">
      <c r="A808" t="str">
        <f>TEXT("1/"&amp;data!A808,"mmmm")</f>
        <v>mars</v>
      </c>
      <c r="B808">
        <f>data!B808</f>
        <v>2016</v>
      </c>
      <c r="C808" t="str">
        <f>data!C808</f>
        <v>174</v>
      </c>
      <c r="D808" t="str">
        <f>data!D808</f>
        <v>SAS VIGNOBLES DES 3 CHATEAUX</v>
      </c>
      <c r="E808" t="str">
        <f>data!E808</f>
        <v>174015</v>
      </c>
      <c r="F808" t="str">
        <f>data!F808</f>
        <v>IGP OC CHARDONNAY LES CITELLES</v>
      </c>
      <c r="G808" s="10">
        <f>data!G808</f>
        <v>526.5</v>
      </c>
      <c r="H808" s="10">
        <f>data!I808</f>
        <v>414.87</v>
      </c>
      <c r="I808" s="10">
        <f t="shared" si="48"/>
        <v>111.63</v>
      </c>
      <c r="J808" s="11">
        <f>data!H808</f>
        <v>399.9</v>
      </c>
      <c r="K808" s="11">
        <f>data!J808</f>
        <v>319.92</v>
      </c>
      <c r="L808" s="11">
        <f t="shared" si="49"/>
        <v>79.979999999999961</v>
      </c>
      <c r="M808" s="9">
        <f t="shared" si="50"/>
        <v>0.26907223949670978</v>
      </c>
      <c r="N808" s="9">
        <f t="shared" si="51"/>
        <v>0.24999999999999986</v>
      </c>
    </row>
    <row r="809" spans="1:14" x14ac:dyDescent="0.25">
      <c r="A809" t="str">
        <f>TEXT("1/"&amp;data!A809,"mmmm")</f>
        <v>mars</v>
      </c>
      <c r="B809">
        <f>data!B809</f>
        <v>2016</v>
      </c>
      <c r="C809" t="str">
        <f>data!C809</f>
        <v>174</v>
      </c>
      <c r="D809" t="str">
        <f>data!D809</f>
        <v>SAS VIGNOBLES DES 3 CHATEAUX</v>
      </c>
      <c r="E809" t="str">
        <f>data!E809</f>
        <v>174016</v>
      </c>
      <c r="F809" t="str">
        <f>data!F809</f>
        <v>IGP OC CHARDONNAY LES CITELLES</v>
      </c>
      <c r="G809" s="10">
        <f>data!G809</f>
        <v>747</v>
      </c>
      <c r="H809" s="10">
        <f>data!I809</f>
        <v>519.12</v>
      </c>
      <c r="I809" s="10">
        <f t="shared" si="48"/>
        <v>227.88</v>
      </c>
      <c r="J809" s="11">
        <f>data!H809</f>
        <v>506.92</v>
      </c>
      <c r="K809" s="11">
        <f>data!J809</f>
        <v>366.85</v>
      </c>
      <c r="L809" s="11">
        <f t="shared" si="49"/>
        <v>140.07</v>
      </c>
      <c r="M809" s="9">
        <f t="shared" si="50"/>
        <v>0.43897364771151176</v>
      </c>
      <c r="N809" s="9">
        <f t="shared" si="51"/>
        <v>0.38181818181818178</v>
      </c>
    </row>
    <row r="810" spans="1:14" x14ac:dyDescent="0.25">
      <c r="A810" t="str">
        <f>TEXT("1/"&amp;data!A810,"mmmm")</f>
        <v>mars</v>
      </c>
      <c r="B810">
        <f>data!B810</f>
        <v>2016</v>
      </c>
      <c r="C810" t="str">
        <f>data!C810</f>
        <v>174</v>
      </c>
      <c r="D810" t="str">
        <f>data!D810</f>
        <v>SAS VIGNOBLES DES 3 CHATEAUX</v>
      </c>
      <c r="E810" t="str">
        <f>data!E810</f>
        <v>174020</v>
      </c>
      <c r="F810" t="str">
        <f>data!F810</f>
        <v>(x4) AOP COTEAUX DU LANGUEDOC GARUS</v>
      </c>
      <c r="G810" s="10">
        <f>data!G810</f>
        <v>278.60000000000002</v>
      </c>
      <c r="H810" s="10">
        <f>data!I810</f>
        <v>0</v>
      </c>
      <c r="I810" s="10">
        <f t="shared" si="48"/>
        <v>278.60000000000002</v>
      </c>
      <c r="J810" s="11">
        <f>data!H810</f>
        <v>186.76</v>
      </c>
      <c r="K810" s="11">
        <f>data!J810</f>
        <v>26.68</v>
      </c>
      <c r="L810" s="11">
        <f t="shared" si="49"/>
        <v>160.07999999999998</v>
      </c>
      <c r="M810" s="9" t="str">
        <f t="shared" si="50"/>
        <v/>
      </c>
      <c r="N810" s="9">
        <f t="shared" si="51"/>
        <v>5.9999999999999991</v>
      </c>
    </row>
    <row r="811" spans="1:14" x14ac:dyDescent="0.25">
      <c r="A811" t="str">
        <f>TEXT("1/"&amp;data!A811,"mmmm")</f>
        <v>mars</v>
      </c>
      <c r="B811">
        <f>data!B811</f>
        <v>2016</v>
      </c>
      <c r="C811" t="str">
        <f>data!C811</f>
        <v>175</v>
      </c>
      <c r="D811" t="str">
        <f>data!D811</f>
        <v>SARL MAISON PERE &amp; FILS</v>
      </c>
      <c r="E811" t="str">
        <f>data!E811</f>
        <v>175001</v>
      </c>
      <c r="F811" t="str">
        <f>data!F811</f>
        <v>AC CHEVERNY DME MAISON</v>
      </c>
      <c r="G811" s="10">
        <f>data!G811</f>
        <v>675</v>
      </c>
      <c r="H811" s="10">
        <f>data!I811</f>
        <v>777</v>
      </c>
      <c r="I811" s="10">
        <f t="shared" si="48"/>
        <v>-102</v>
      </c>
      <c r="J811" s="11">
        <f>data!H811</f>
        <v>180</v>
      </c>
      <c r="K811" s="11">
        <f>data!J811</f>
        <v>210</v>
      </c>
      <c r="L811" s="11">
        <f t="shared" si="49"/>
        <v>-30</v>
      </c>
      <c r="M811" s="9">
        <f t="shared" si="50"/>
        <v>-0.13127413127413126</v>
      </c>
      <c r="N811" s="9">
        <f t="shared" si="51"/>
        <v>-0.14285714285714285</v>
      </c>
    </row>
    <row r="812" spans="1:14" x14ac:dyDescent="0.25">
      <c r="A812" t="str">
        <f>TEXT("1/"&amp;data!A812,"mmmm")</f>
        <v>mars</v>
      </c>
      <c r="B812">
        <f>data!B812</f>
        <v>2016</v>
      </c>
      <c r="C812" t="str">
        <f>data!C812</f>
        <v>175</v>
      </c>
      <c r="D812" t="str">
        <f>data!D812</f>
        <v>SARL MAISON PERE &amp; FILS</v>
      </c>
      <c r="E812" t="str">
        <f>data!E812</f>
        <v>175002</v>
      </c>
      <c r="F812" t="str">
        <f>data!F812</f>
        <v>AC CHEVERNY DME MAISON</v>
      </c>
      <c r="G812" s="10">
        <f>data!G812</f>
        <v>832.5</v>
      </c>
      <c r="H812" s="10">
        <f>data!I812</f>
        <v>288.60000000000002</v>
      </c>
      <c r="I812" s="10">
        <f t="shared" si="48"/>
        <v>543.9</v>
      </c>
      <c r="J812" s="11">
        <f>data!H812</f>
        <v>222</v>
      </c>
      <c r="K812" s="11">
        <f>data!J812</f>
        <v>84</v>
      </c>
      <c r="L812" s="11">
        <f t="shared" si="49"/>
        <v>138</v>
      </c>
      <c r="M812" s="9">
        <f t="shared" si="50"/>
        <v>1.8846153846153844</v>
      </c>
      <c r="N812" s="9">
        <f t="shared" si="51"/>
        <v>1.6428571428571428</v>
      </c>
    </row>
    <row r="813" spans="1:14" x14ac:dyDescent="0.25">
      <c r="A813" t="str">
        <f>TEXT("1/"&amp;data!A813,"mmmm")</f>
        <v>mars</v>
      </c>
      <c r="B813">
        <f>data!B813</f>
        <v>2016</v>
      </c>
      <c r="C813" t="str">
        <f>data!C813</f>
        <v>175</v>
      </c>
      <c r="D813" t="str">
        <f>data!D813</f>
        <v>SARL MAISON PERE &amp; FILS</v>
      </c>
      <c r="E813" t="str">
        <f>data!E813</f>
        <v>175003</v>
      </c>
      <c r="F813" t="str">
        <f>data!F813</f>
        <v>AC CHEVERNY DME MAISON</v>
      </c>
      <c r="G813" s="10">
        <f>data!G813</f>
        <v>0</v>
      </c>
      <c r="H813" s="10">
        <f>data!I813</f>
        <v>66.599999999999994</v>
      </c>
      <c r="I813" s="10">
        <f t="shared" si="48"/>
        <v>-66.599999999999994</v>
      </c>
      <c r="J813" s="11">
        <f>data!H813</f>
        <v>6</v>
      </c>
      <c r="K813" s="11">
        <f>data!J813</f>
        <v>18</v>
      </c>
      <c r="L813" s="11">
        <f t="shared" si="49"/>
        <v>-12</v>
      </c>
      <c r="M813" s="9">
        <f t="shared" si="50"/>
        <v>-1</v>
      </c>
      <c r="N813" s="9">
        <f t="shared" si="51"/>
        <v>-0.66666666666666663</v>
      </c>
    </row>
    <row r="814" spans="1:14" x14ac:dyDescent="0.25">
      <c r="A814" t="str">
        <f>TEXT("1/"&amp;data!A814,"mmmm")</f>
        <v>mars</v>
      </c>
      <c r="B814">
        <f>data!B814</f>
        <v>2016</v>
      </c>
      <c r="C814" t="str">
        <f>data!C814</f>
        <v>190</v>
      </c>
      <c r="D814" t="str">
        <f>data!D814</f>
        <v>CHATEAU PIQUE PERLOU</v>
      </c>
      <c r="E814" t="str">
        <f>data!E814</f>
        <v>190001</v>
      </c>
      <c r="F814" t="str">
        <f>data!F814</f>
        <v>AOP MINERVOIS LES TERASSES</v>
      </c>
      <c r="G814" s="10">
        <f>data!G814</f>
        <v>57.96</v>
      </c>
      <c r="H814" s="10">
        <f>data!I814</f>
        <v>265.44</v>
      </c>
      <c r="I814" s="10">
        <f t="shared" si="48"/>
        <v>-207.48</v>
      </c>
      <c r="J814" s="11">
        <f>data!H814</f>
        <v>18</v>
      </c>
      <c r="K814" s="11">
        <f>data!J814</f>
        <v>90</v>
      </c>
      <c r="L814" s="11">
        <f t="shared" si="49"/>
        <v>-72</v>
      </c>
      <c r="M814" s="9">
        <f t="shared" si="50"/>
        <v>-0.78164556962025311</v>
      </c>
      <c r="N814" s="9">
        <f t="shared" si="51"/>
        <v>-0.8</v>
      </c>
    </row>
    <row r="815" spans="1:14" x14ac:dyDescent="0.25">
      <c r="A815" t="str">
        <f>TEXT("1/"&amp;data!A815,"mmmm")</f>
        <v>mars</v>
      </c>
      <c r="B815">
        <f>data!B815</f>
        <v>2016</v>
      </c>
      <c r="C815" t="str">
        <f>data!C815</f>
        <v>199</v>
      </c>
      <c r="D815" t="str">
        <f>data!D815</f>
        <v>PRIEURE SAINT JEAN DE BEBIAN</v>
      </c>
      <c r="E815" t="str">
        <f>data!E815</f>
        <v>199001</v>
      </c>
      <c r="F815" t="str">
        <f>data!F815</f>
        <v>AC COTEAUX DU LANGUEDOC CHAPELLE</v>
      </c>
      <c r="G815" s="10">
        <f>data!G815</f>
        <v>223.2</v>
      </c>
      <c r="H815" s="10">
        <f>data!I815</f>
        <v>0</v>
      </c>
      <c r="I815" s="10">
        <f t="shared" si="48"/>
        <v>223.2</v>
      </c>
      <c r="J815" s="11">
        <f>data!H815</f>
        <v>36</v>
      </c>
      <c r="K815" s="11">
        <f>data!J815</f>
        <v>0</v>
      </c>
      <c r="L815" s="11">
        <f t="shared" si="49"/>
        <v>36</v>
      </c>
      <c r="M815" s="9" t="str">
        <f t="shared" si="50"/>
        <v/>
      </c>
      <c r="N815" s="9" t="str">
        <f t="shared" si="51"/>
        <v/>
      </c>
    </row>
    <row r="816" spans="1:14" x14ac:dyDescent="0.25">
      <c r="A816" t="str">
        <f>TEXT("1/"&amp;data!A816,"mmmm")</f>
        <v>mars</v>
      </c>
      <c r="B816">
        <f>data!B816</f>
        <v>2016</v>
      </c>
      <c r="C816" t="str">
        <f>data!C816</f>
        <v>199</v>
      </c>
      <c r="D816" t="str">
        <f>data!D816</f>
        <v>PRIEURE SAINT JEAN DE BEBIAN</v>
      </c>
      <c r="E816" t="str">
        <f>data!E816</f>
        <v>199003</v>
      </c>
      <c r="F816" t="str">
        <f>data!F816</f>
        <v>AC COTEAUX DU LANGUEDOC LA CROIX DE BEBIAN</v>
      </c>
      <c r="G816" s="10">
        <f>data!G816</f>
        <v>126</v>
      </c>
      <c r="H816" s="10">
        <f>data!I816</f>
        <v>375</v>
      </c>
      <c r="I816" s="10">
        <f t="shared" si="48"/>
        <v>-249</v>
      </c>
      <c r="J816" s="11">
        <f>data!H816</f>
        <v>30</v>
      </c>
      <c r="K816" s="11">
        <f>data!J816</f>
        <v>90</v>
      </c>
      <c r="L816" s="11">
        <f t="shared" si="49"/>
        <v>-60</v>
      </c>
      <c r="M816" s="9">
        <f t="shared" si="50"/>
        <v>-0.66400000000000003</v>
      </c>
      <c r="N816" s="9">
        <f t="shared" si="51"/>
        <v>-0.66666666666666663</v>
      </c>
    </row>
    <row r="817" spans="1:14" x14ac:dyDescent="0.25">
      <c r="A817" t="str">
        <f>TEXT("1/"&amp;data!A817,"mmmm")</f>
        <v>mars</v>
      </c>
      <c r="B817">
        <f>data!B817</f>
        <v>2016</v>
      </c>
      <c r="C817" t="str">
        <f>data!C817</f>
        <v>199</v>
      </c>
      <c r="D817" t="str">
        <f>data!D817</f>
        <v>PRIEURE SAINT JEAN DE BEBIAN</v>
      </c>
      <c r="E817" t="str">
        <f>data!E817</f>
        <v>199004</v>
      </c>
      <c r="F817" t="str">
        <f>data!F817</f>
        <v>IGP PAYS D'OC LA CROIX DE BEBIAN</v>
      </c>
      <c r="G817" s="10">
        <f>data!G817</f>
        <v>24.6</v>
      </c>
      <c r="H817" s="10">
        <f>data!I817</f>
        <v>49.2</v>
      </c>
      <c r="I817" s="10">
        <f t="shared" si="48"/>
        <v>-24.6</v>
      </c>
      <c r="J817" s="11">
        <f>data!H817</f>
        <v>6</v>
      </c>
      <c r="K817" s="11">
        <f>data!J817</f>
        <v>12</v>
      </c>
      <c r="L817" s="11">
        <f t="shared" si="49"/>
        <v>-6</v>
      </c>
      <c r="M817" s="9">
        <f t="shared" si="50"/>
        <v>-0.5</v>
      </c>
      <c r="N817" s="9">
        <f t="shared" si="51"/>
        <v>-0.5</v>
      </c>
    </row>
    <row r="818" spans="1:14" x14ac:dyDescent="0.25">
      <c r="A818" t="str">
        <f>TEXT("1/"&amp;data!A818,"mmmm")</f>
        <v>mars</v>
      </c>
      <c r="B818">
        <f>data!B818</f>
        <v>2016</v>
      </c>
      <c r="C818" t="str">
        <f>data!C818</f>
        <v>201</v>
      </c>
      <c r="D818" t="str">
        <f>data!D818</f>
        <v>CAVE LES COTEAUX DU RHONE</v>
      </c>
      <c r="E818" t="str">
        <f>data!E818</f>
        <v>201001</v>
      </c>
      <c r="F818" t="str">
        <f>data!F818</f>
        <v>IGP VAUCLUSE D'ORANGE CAVE LES COTEAUX DU RHONE</v>
      </c>
      <c r="G818" s="10">
        <f>data!G818</f>
        <v>971.15</v>
      </c>
      <c r="H818" s="10">
        <f>data!I818</f>
        <v>235.6</v>
      </c>
      <c r="I818" s="10">
        <f t="shared" si="48"/>
        <v>735.55</v>
      </c>
      <c r="J818" s="11">
        <f>data!H818</f>
        <v>880.43999999999994</v>
      </c>
      <c r="K818" s="11">
        <f>data!J818</f>
        <v>213.44</v>
      </c>
      <c r="L818" s="11">
        <f t="shared" si="49"/>
        <v>667</v>
      </c>
      <c r="M818" s="9">
        <f t="shared" si="50"/>
        <v>3.1220288624787775</v>
      </c>
      <c r="N818" s="9">
        <f t="shared" si="51"/>
        <v>3.125</v>
      </c>
    </row>
    <row r="819" spans="1:14" x14ac:dyDescent="0.25">
      <c r="A819" t="str">
        <f>TEXT("1/"&amp;data!A819,"mmmm")</f>
        <v>mars</v>
      </c>
      <c r="B819">
        <f>data!B819</f>
        <v>2016</v>
      </c>
      <c r="C819" t="str">
        <f>data!C819</f>
        <v>201</v>
      </c>
      <c r="D819" t="str">
        <f>data!D819</f>
        <v>CAVE LES COTEAUX DU RHONE</v>
      </c>
      <c r="E819" t="str">
        <f>data!E819</f>
        <v>201002</v>
      </c>
      <c r="F819" t="str">
        <f>data!F819</f>
        <v>IGP VAUCLUSE D'ORANGE CAVE LES COTEAUX DU RHONE</v>
      </c>
      <c r="G819" s="10">
        <f>data!G819</f>
        <v>1815.6</v>
      </c>
      <c r="H819" s="10">
        <f>data!I819</f>
        <v>3344.12</v>
      </c>
      <c r="I819" s="10">
        <f t="shared" si="48"/>
        <v>-1528.52</v>
      </c>
      <c r="J819" s="11">
        <f>data!H819</f>
        <v>1812.88</v>
      </c>
      <c r="K819" s="11">
        <f>data!J819</f>
        <v>3439.14</v>
      </c>
      <c r="L819" s="11">
        <f t="shared" si="49"/>
        <v>-1626.2599999999998</v>
      </c>
      <c r="M819" s="9">
        <f t="shared" si="50"/>
        <v>-0.45707689915433658</v>
      </c>
      <c r="N819" s="9">
        <f t="shared" si="51"/>
        <v>-0.47286821705426352</v>
      </c>
    </row>
    <row r="820" spans="1:14" x14ac:dyDescent="0.25">
      <c r="A820" t="str">
        <f>TEXT("1/"&amp;data!A820,"mmmm")</f>
        <v>mars</v>
      </c>
      <c r="B820">
        <f>data!B820</f>
        <v>2016</v>
      </c>
      <c r="C820" t="str">
        <f>data!C820</f>
        <v>201</v>
      </c>
      <c r="D820" t="str">
        <f>data!D820</f>
        <v>CAVE LES COTEAUX DU RHONE</v>
      </c>
      <c r="E820" t="str">
        <f>data!E820</f>
        <v>201003</v>
      </c>
      <c r="F820" t="str">
        <f>data!F820</f>
        <v>IGP MEDITERRANEE LES COTEAUX DU RHONE</v>
      </c>
      <c r="G820" s="10">
        <f>data!G820</f>
        <v>595.45000000000005</v>
      </c>
      <c r="H820" s="10">
        <f>data!I820</f>
        <v>828.4</v>
      </c>
      <c r="I820" s="10">
        <f t="shared" si="48"/>
        <v>-232.94999999999993</v>
      </c>
      <c r="J820" s="11">
        <f>data!H820</f>
        <v>553.61</v>
      </c>
      <c r="K820" s="11">
        <f>data!J820</f>
        <v>733.7</v>
      </c>
      <c r="L820" s="11">
        <f t="shared" si="49"/>
        <v>-180.09000000000003</v>
      </c>
      <c r="M820" s="9">
        <f t="shared" si="50"/>
        <v>-0.28120473201351998</v>
      </c>
      <c r="N820" s="9">
        <f t="shared" si="51"/>
        <v>-0.24545454545454548</v>
      </c>
    </row>
    <row r="821" spans="1:14" x14ac:dyDescent="0.25">
      <c r="A821" t="str">
        <f>TEXT("1/"&amp;data!A821,"mmmm")</f>
        <v>mars</v>
      </c>
      <c r="B821">
        <f>data!B821</f>
        <v>2016</v>
      </c>
      <c r="C821" t="str">
        <f>data!C821</f>
        <v>201</v>
      </c>
      <c r="D821" t="str">
        <f>data!D821</f>
        <v>CAVE LES COTEAUX DU RHONE</v>
      </c>
      <c r="E821" t="str">
        <f>data!E821</f>
        <v>201004</v>
      </c>
      <c r="F821" t="str">
        <f>data!F821</f>
        <v>IGP MEDITERRANEE LES COTEAUX DU RHONE</v>
      </c>
      <c r="G821" s="10">
        <f>data!G821</f>
        <v>972.55</v>
      </c>
      <c r="H821" s="10">
        <f>data!I821</f>
        <v>2884.22</v>
      </c>
      <c r="I821" s="10">
        <f t="shared" si="48"/>
        <v>-1911.6699999999998</v>
      </c>
      <c r="J821" s="11">
        <f>data!H821</f>
        <v>973.09</v>
      </c>
      <c r="K821" s="11">
        <f>data!J821</f>
        <v>2932.6</v>
      </c>
      <c r="L821" s="11">
        <f t="shared" si="49"/>
        <v>-1959.5099999999998</v>
      </c>
      <c r="M821" s="9">
        <f t="shared" si="50"/>
        <v>-0.66280311488027954</v>
      </c>
      <c r="N821" s="9">
        <f t="shared" si="51"/>
        <v>-0.6681818181818181</v>
      </c>
    </row>
    <row r="822" spans="1:14" x14ac:dyDescent="0.25">
      <c r="A822" t="str">
        <f>TEXT("1/"&amp;data!A822,"mmmm")</f>
        <v>mars</v>
      </c>
      <c r="B822">
        <f>data!B822</f>
        <v>2016</v>
      </c>
      <c r="C822" t="str">
        <f>data!C822</f>
        <v>201</v>
      </c>
      <c r="D822" t="str">
        <f>data!D822</f>
        <v>CAVE LES COTEAUX DU RHONE</v>
      </c>
      <c r="E822" t="str">
        <f>data!E822</f>
        <v>201006</v>
      </c>
      <c r="F822" t="str">
        <f>data!F822</f>
        <v>AOP COTES DU RHONE MAGIE D'UNE TERRE</v>
      </c>
      <c r="G822" s="10">
        <f>data!G822</f>
        <v>1742.4</v>
      </c>
      <c r="H822" s="10">
        <f>data!I822</f>
        <v>1737.06</v>
      </c>
      <c r="I822" s="10">
        <f t="shared" si="48"/>
        <v>5.3400000000001455</v>
      </c>
      <c r="J822" s="11">
        <f>data!H822</f>
        <v>756</v>
      </c>
      <c r="K822" s="11">
        <f>data!J822</f>
        <v>786</v>
      </c>
      <c r="L822" s="11">
        <f t="shared" si="49"/>
        <v>-30</v>
      </c>
      <c r="M822" s="9">
        <f t="shared" si="50"/>
        <v>3.0741597872267772E-3</v>
      </c>
      <c r="N822" s="9">
        <f t="shared" si="51"/>
        <v>-3.8167938931297711E-2</v>
      </c>
    </row>
    <row r="823" spans="1:14" x14ac:dyDescent="0.25">
      <c r="A823" t="str">
        <f>TEXT("1/"&amp;data!A823,"mmmm")</f>
        <v>mars</v>
      </c>
      <c r="B823">
        <f>data!B823</f>
        <v>2016</v>
      </c>
      <c r="C823" t="str">
        <f>data!C823</f>
        <v>201</v>
      </c>
      <c r="D823" t="str">
        <f>data!D823</f>
        <v>CAVE LES COTEAUX DU RHONE</v>
      </c>
      <c r="E823" t="str">
        <f>data!E823</f>
        <v>201007</v>
      </c>
      <c r="F823" t="str">
        <f>data!F823</f>
        <v>AOP VACQUEYRASDOMAINE GRANDY</v>
      </c>
      <c r="G823" s="10">
        <f>data!G823</f>
        <v>66.900000000000006</v>
      </c>
      <c r="H823" s="10">
        <f>data!I823</f>
        <v>63.96</v>
      </c>
      <c r="I823" s="10">
        <f t="shared" si="48"/>
        <v>2.9400000000000048</v>
      </c>
      <c r="J823" s="11">
        <f>data!H823</f>
        <v>12</v>
      </c>
      <c r="K823" s="11">
        <f>data!J823</f>
        <v>18</v>
      </c>
      <c r="L823" s="11">
        <f t="shared" si="49"/>
        <v>-6</v>
      </c>
      <c r="M823" s="9">
        <f t="shared" si="50"/>
        <v>4.5966228893058236E-2</v>
      </c>
      <c r="N823" s="9">
        <f t="shared" si="51"/>
        <v>-0.33333333333333331</v>
      </c>
    </row>
    <row r="824" spans="1:14" x14ac:dyDescent="0.25">
      <c r="A824" t="str">
        <f>TEXT("1/"&amp;data!A824,"mmmm")</f>
        <v>mars</v>
      </c>
      <c r="B824">
        <f>data!B824</f>
        <v>2016</v>
      </c>
      <c r="C824" t="str">
        <f>data!C824</f>
        <v>201</v>
      </c>
      <c r="D824" t="str">
        <f>data!D824</f>
        <v>CAVE LES COTEAUX DU RHONE</v>
      </c>
      <c r="E824" t="str">
        <f>data!E824</f>
        <v>201008</v>
      </c>
      <c r="F824" t="str">
        <f>data!F824</f>
        <v>AOP COTES DU RHONE PATRICE NICOLAS</v>
      </c>
      <c r="G824" s="10">
        <f>data!G824</f>
        <v>342</v>
      </c>
      <c r="H824" s="10">
        <f>data!I824</f>
        <v>170.28</v>
      </c>
      <c r="I824" s="10">
        <f t="shared" si="48"/>
        <v>171.72</v>
      </c>
      <c r="J824" s="11">
        <f>data!H824</f>
        <v>108</v>
      </c>
      <c r="K824" s="11">
        <f>data!J824</f>
        <v>60</v>
      </c>
      <c r="L824" s="11">
        <f t="shared" si="49"/>
        <v>48</v>
      </c>
      <c r="M824" s="9">
        <f t="shared" si="50"/>
        <v>1.0084566596194504</v>
      </c>
      <c r="N824" s="9">
        <f t="shared" si="51"/>
        <v>0.8</v>
      </c>
    </row>
    <row r="825" spans="1:14" x14ac:dyDescent="0.25">
      <c r="A825" t="str">
        <f>TEXT("1/"&amp;data!A825,"mmmm")</f>
        <v>mars</v>
      </c>
      <c r="B825">
        <f>data!B825</f>
        <v>2016</v>
      </c>
      <c r="C825" t="str">
        <f>data!C825</f>
        <v>201</v>
      </c>
      <c r="D825" t="str">
        <f>data!D825</f>
        <v>CAVE LES COTEAUX DU RHONE</v>
      </c>
      <c r="E825" t="str">
        <f>data!E825</f>
        <v>201010</v>
      </c>
      <c r="F825" t="str">
        <f>data!F825</f>
        <v>AOP COTES DU RHONE</v>
      </c>
      <c r="G825" s="10">
        <f>data!G825</f>
        <v>465</v>
      </c>
      <c r="H825" s="10">
        <f>data!I825</f>
        <v>409.2</v>
      </c>
      <c r="I825" s="10">
        <f t="shared" si="48"/>
        <v>55.800000000000011</v>
      </c>
      <c r="J825" s="11">
        <f>data!H825</f>
        <v>333.25</v>
      </c>
      <c r="K825" s="11">
        <f>data!J825</f>
        <v>293.26</v>
      </c>
      <c r="L825" s="11">
        <f t="shared" si="49"/>
        <v>39.990000000000009</v>
      </c>
      <c r="M825" s="9">
        <f t="shared" si="50"/>
        <v>0.13636363636363641</v>
      </c>
      <c r="N825" s="9">
        <f t="shared" si="51"/>
        <v>0.13636363636363641</v>
      </c>
    </row>
    <row r="826" spans="1:14" x14ac:dyDescent="0.25">
      <c r="A826" t="str">
        <f>TEXT("1/"&amp;data!A826,"mmmm")</f>
        <v>mars</v>
      </c>
      <c r="B826">
        <f>data!B826</f>
        <v>2016</v>
      </c>
      <c r="C826" t="str">
        <f>data!C826</f>
        <v>201</v>
      </c>
      <c r="D826" t="str">
        <f>data!D826</f>
        <v>CAVE LES COTEAUX DU RHONE</v>
      </c>
      <c r="E826" t="str">
        <f>data!E826</f>
        <v>201011</v>
      </c>
      <c r="F826" t="str">
        <f>data!F826</f>
        <v>AOP COTES DU RHONE</v>
      </c>
      <c r="G826" s="10">
        <f>data!G826</f>
        <v>363.6</v>
      </c>
      <c r="H826" s="10">
        <f>data!I826</f>
        <v>80.8</v>
      </c>
      <c r="I826" s="10">
        <f t="shared" si="48"/>
        <v>282.8</v>
      </c>
      <c r="J826" s="11">
        <f>data!H826</f>
        <v>253.46</v>
      </c>
      <c r="K826" s="11">
        <f>data!J826</f>
        <v>60.03</v>
      </c>
      <c r="L826" s="11">
        <f t="shared" si="49"/>
        <v>193.43</v>
      </c>
      <c r="M826" s="9">
        <f t="shared" si="50"/>
        <v>3.5000000000000004</v>
      </c>
      <c r="N826" s="9">
        <f t="shared" si="51"/>
        <v>3.2222222222222223</v>
      </c>
    </row>
    <row r="827" spans="1:14" x14ac:dyDescent="0.25">
      <c r="A827" t="str">
        <f>TEXT("1/"&amp;data!A827,"mmmm")</f>
        <v>mars</v>
      </c>
      <c r="B827">
        <f>data!B827</f>
        <v>2016</v>
      </c>
      <c r="C827" t="str">
        <f>data!C827</f>
        <v>201</v>
      </c>
      <c r="D827" t="str">
        <f>data!D827</f>
        <v>CAVE LES COTEAUX DU RHONE</v>
      </c>
      <c r="E827" t="str">
        <f>data!E827</f>
        <v>201012</v>
      </c>
      <c r="F827" t="str">
        <f>data!F827</f>
        <v>AOP CDR VILLAGES PLAN DE DIEU PANICAUT</v>
      </c>
      <c r="G827" s="10">
        <f>data!G827</f>
        <v>195.9</v>
      </c>
      <c r="H827" s="10">
        <f>data!I827</f>
        <v>125.52</v>
      </c>
      <c r="I827" s="10">
        <f t="shared" si="48"/>
        <v>70.38000000000001</v>
      </c>
      <c r="J827" s="11">
        <f>data!H827</f>
        <v>54</v>
      </c>
      <c r="K827" s="11">
        <f>data!J827</f>
        <v>36</v>
      </c>
      <c r="L827" s="11">
        <f t="shared" si="49"/>
        <v>18</v>
      </c>
      <c r="M827" s="9">
        <f t="shared" si="50"/>
        <v>0.56070745697896762</v>
      </c>
      <c r="N827" s="9">
        <f t="shared" si="51"/>
        <v>0.5</v>
      </c>
    </row>
    <row r="828" spans="1:14" x14ac:dyDescent="0.25">
      <c r="A828" t="str">
        <f>TEXT("1/"&amp;data!A828,"mmmm")</f>
        <v>mars</v>
      </c>
      <c r="B828">
        <f>data!B828</f>
        <v>2016</v>
      </c>
      <c r="C828" t="str">
        <f>data!C828</f>
        <v>201</v>
      </c>
      <c r="D828" t="str">
        <f>data!D828</f>
        <v>CAVE LES COTEAUX DU RHONE</v>
      </c>
      <c r="E828" t="str">
        <f>data!E828</f>
        <v>201013</v>
      </c>
      <c r="F828" t="str">
        <f>data!F828</f>
        <v>AOP CDR VILLAGES CAIRANNE LA BOSQUETTE</v>
      </c>
      <c r="G828" s="10">
        <f>data!G828</f>
        <v>24.3</v>
      </c>
      <c r="H828" s="10">
        <f>data!I828</f>
        <v>48.6</v>
      </c>
      <c r="I828" s="10">
        <f t="shared" si="48"/>
        <v>-24.3</v>
      </c>
      <c r="J828" s="11">
        <f>data!H828</f>
        <v>12</v>
      </c>
      <c r="K828" s="11">
        <f>data!J828</f>
        <v>18</v>
      </c>
      <c r="L828" s="11">
        <f t="shared" si="49"/>
        <v>-6</v>
      </c>
      <c r="M828" s="9">
        <f t="shared" si="50"/>
        <v>-0.5</v>
      </c>
      <c r="N828" s="9">
        <f t="shared" si="51"/>
        <v>-0.33333333333333331</v>
      </c>
    </row>
    <row r="829" spans="1:14" x14ac:dyDescent="0.25">
      <c r="A829" t="str">
        <f>TEXT("1/"&amp;data!A829,"mmmm")</f>
        <v>mars</v>
      </c>
      <c r="B829">
        <f>data!B829</f>
        <v>2016</v>
      </c>
      <c r="C829" t="str">
        <f>data!C829</f>
        <v>201</v>
      </c>
      <c r="D829" t="str">
        <f>data!D829</f>
        <v>CAVE LES COTEAUX DU RHONE</v>
      </c>
      <c r="E829" t="str">
        <f>data!E829</f>
        <v>201014</v>
      </c>
      <c r="F829" t="str">
        <f>data!F829</f>
        <v>AOP COTES DU RHONE VILLAGES JASOUN</v>
      </c>
      <c r="G829" s="10">
        <f>data!G829</f>
        <v>648</v>
      </c>
      <c r="H829" s="10">
        <f>data!I829</f>
        <v>872.64</v>
      </c>
      <c r="I829" s="10">
        <f t="shared" si="48"/>
        <v>-224.64</v>
      </c>
      <c r="J829" s="11">
        <f>data!H829</f>
        <v>216</v>
      </c>
      <c r="K829" s="11">
        <f>data!J829</f>
        <v>306</v>
      </c>
      <c r="L829" s="11">
        <f t="shared" si="49"/>
        <v>-90</v>
      </c>
      <c r="M829" s="9">
        <f t="shared" si="50"/>
        <v>-0.25742574257425743</v>
      </c>
      <c r="N829" s="9">
        <f t="shared" si="51"/>
        <v>-0.29411764705882354</v>
      </c>
    </row>
    <row r="830" spans="1:14" x14ac:dyDescent="0.25">
      <c r="A830" t="str">
        <f>TEXT("1/"&amp;data!A830,"mmmm")</f>
        <v>mars</v>
      </c>
      <c r="B830">
        <f>data!B830</f>
        <v>2016</v>
      </c>
      <c r="C830" t="str">
        <f>data!C830</f>
        <v>201</v>
      </c>
      <c r="D830" t="str">
        <f>data!D830</f>
        <v>CAVE LES COTEAUX DU RHONE</v>
      </c>
      <c r="E830" t="str">
        <f>data!E830</f>
        <v>201015</v>
      </c>
      <c r="F830" t="str">
        <f>data!F830</f>
        <v>AOP CDR VILLAGES MASSIF D'UCHAUX ARBOUSE</v>
      </c>
      <c r="G830" s="10">
        <f>data!G830</f>
        <v>39</v>
      </c>
      <c r="H830" s="10">
        <f>data!I830</f>
        <v>73.92</v>
      </c>
      <c r="I830" s="10">
        <f t="shared" si="48"/>
        <v>-34.92</v>
      </c>
      <c r="J830" s="11">
        <f>data!H830</f>
        <v>12</v>
      </c>
      <c r="K830" s="11">
        <f>data!J830</f>
        <v>30</v>
      </c>
      <c r="L830" s="11">
        <f t="shared" si="49"/>
        <v>-18</v>
      </c>
      <c r="M830" s="9">
        <f t="shared" si="50"/>
        <v>-0.47240259740259744</v>
      </c>
      <c r="N830" s="9">
        <f t="shared" si="51"/>
        <v>-0.6</v>
      </c>
    </row>
    <row r="831" spans="1:14" x14ac:dyDescent="0.25">
      <c r="A831" t="str">
        <f>TEXT("1/"&amp;data!A831,"mmmm")</f>
        <v>mars</v>
      </c>
      <c r="B831">
        <f>data!B831</f>
        <v>2016</v>
      </c>
      <c r="C831" t="str">
        <f>data!C831</f>
        <v>201</v>
      </c>
      <c r="D831" t="str">
        <f>data!D831</f>
        <v>CAVE LES COTEAUX DU RHONE</v>
      </c>
      <c r="E831" t="str">
        <f>data!E831</f>
        <v>201016</v>
      </c>
      <c r="F831" t="str">
        <f>data!F831</f>
        <v>AC COTES DU RHONE MAGIE D'UNE TERRE</v>
      </c>
      <c r="G831" s="10">
        <f>data!G831</f>
        <v>82.56</v>
      </c>
      <c r="H831" s="10">
        <f>data!I831</f>
        <v>0</v>
      </c>
      <c r="I831" s="10">
        <f t="shared" si="48"/>
        <v>82.56</v>
      </c>
      <c r="J831" s="11">
        <f>data!H831</f>
        <v>24</v>
      </c>
      <c r="K831" s="11">
        <f>data!J831</f>
        <v>0</v>
      </c>
      <c r="L831" s="11">
        <f t="shared" si="49"/>
        <v>24</v>
      </c>
      <c r="M831" s="9" t="str">
        <f t="shared" si="50"/>
        <v/>
      </c>
      <c r="N831" s="9" t="str">
        <f t="shared" si="51"/>
        <v/>
      </c>
    </row>
    <row r="832" spans="1:14" x14ac:dyDescent="0.25">
      <c r="A832" t="str">
        <f>TEXT("1/"&amp;data!A832,"mmmm")</f>
        <v>mars</v>
      </c>
      <c r="B832">
        <f>data!B832</f>
        <v>2016</v>
      </c>
      <c r="C832" t="str">
        <f>data!C832</f>
        <v>201</v>
      </c>
      <c r="D832" t="str">
        <f>data!D832</f>
        <v>CAVE LES COTEAUX DU RHONE</v>
      </c>
      <c r="E832" t="str">
        <f>data!E832</f>
        <v>201022</v>
      </c>
      <c r="F832" t="str">
        <f>data!F832</f>
        <v>IGP PRINCIPAUTE D'ORANGE</v>
      </c>
      <c r="G832" s="10">
        <f>data!G832</f>
        <v>45.9</v>
      </c>
      <c r="H832" s="10">
        <f>data!I832</f>
        <v>0</v>
      </c>
      <c r="I832" s="10">
        <f t="shared" si="48"/>
        <v>45.9</v>
      </c>
      <c r="J832" s="11">
        <f>data!H832</f>
        <v>36</v>
      </c>
      <c r="K832" s="11">
        <f>data!J832</f>
        <v>0</v>
      </c>
      <c r="L832" s="11">
        <f t="shared" si="49"/>
        <v>36</v>
      </c>
      <c r="M832" s="9" t="str">
        <f t="shared" si="50"/>
        <v/>
      </c>
      <c r="N832" s="9" t="str">
        <f t="shared" si="51"/>
        <v/>
      </c>
    </row>
    <row r="833" spans="1:14" x14ac:dyDescent="0.25">
      <c r="A833" t="str">
        <f>TEXT("1/"&amp;data!A833,"mmmm")</f>
        <v>mars</v>
      </c>
      <c r="B833">
        <f>data!B833</f>
        <v>2016</v>
      </c>
      <c r="C833" t="str">
        <f>data!C833</f>
        <v>201</v>
      </c>
      <c r="D833" t="str">
        <f>data!D833</f>
        <v>CAVE LES COTEAUX DU RHONE</v>
      </c>
      <c r="E833" t="str">
        <f>data!E833</f>
        <v>201026</v>
      </c>
      <c r="F833" t="str">
        <f>data!F833</f>
        <v>IGP VAUCLUSE BALLADE DE COLLINE</v>
      </c>
      <c r="G833" s="10">
        <f>data!G833</f>
        <v>587.52</v>
      </c>
      <c r="H833" s="10">
        <f>data!I833</f>
        <v>0</v>
      </c>
      <c r="I833" s="10">
        <f t="shared" si="48"/>
        <v>587.52</v>
      </c>
      <c r="J833" s="11">
        <f>data!H833</f>
        <v>312</v>
      </c>
      <c r="K833" s="11">
        <f>data!J833</f>
        <v>12</v>
      </c>
      <c r="L833" s="11">
        <f t="shared" si="49"/>
        <v>300</v>
      </c>
      <c r="M833" s="9" t="str">
        <f t="shared" si="50"/>
        <v/>
      </c>
      <c r="N833" s="9">
        <f t="shared" si="51"/>
        <v>25</v>
      </c>
    </row>
    <row r="834" spans="1:14" x14ac:dyDescent="0.25">
      <c r="A834" t="str">
        <f>TEXT("1/"&amp;data!A834,"mmmm")</f>
        <v>mars</v>
      </c>
      <c r="B834">
        <f>data!B834</f>
        <v>2016</v>
      </c>
      <c r="C834" t="str">
        <f>data!C834</f>
        <v>201</v>
      </c>
      <c r="D834" t="str">
        <f>data!D834</f>
        <v>CAVE LES COTEAUX DU RHONE</v>
      </c>
      <c r="E834" t="str">
        <f>data!E834</f>
        <v>201027</v>
      </c>
      <c r="F834" t="str">
        <f>data!F834</f>
        <v>IGP VAUCLUSE BALLADE DE COLLINE</v>
      </c>
      <c r="G834" s="10">
        <f>data!G834</f>
        <v>299.52</v>
      </c>
      <c r="H834" s="10">
        <f>data!I834</f>
        <v>0</v>
      </c>
      <c r="I834" s="10">
        <f t="shared" si="48"/>
        <v>299.52</v>
      </c>
      <c r="J834" s="11">
        <f>data!H834</f>
        <v>168</v>
      </c>
      <c r="K834" s="11">
        <f>data!J834</f>
        <v>12</v>
      </c>
      <c r="L834" s="11">
        <f t="shared" si="49"/>
        <v>156</v>
      </c>
      <c r="M834" s="9" t="str">
        <f t="shared" si="50"/>
        <v/>
      </c>
      <c r="N834" s="9">
        <f t="shared" si="51"/>
        <v>13</v>
      </c>
    </row>
    <row r="835" spans="1:14" x14ac:dyDescent="0.25">
      <c r="A835" t="str">
        <f>TEXT("1/"&amp;data!A835,"mmmm")</f>
        <v>mars</v>
      </c>
      <c r="B835">
        <f>data!B835</f>
        <v>2016</v>
      </c>
      <c r="C835" t="str">
        <f>data!C835</f>
        <v>201</v>
      </c>
      <c r="D835" t="str">
        <f>data!D835</f>
        <v>CAVE LES COTEAUX DU RHONE</v>
      </c>
      <c r="E835" t="str">
        <f>data!E835</f>
        <v>201031</v>
      </c>
      <c r="F835" t="str">
        <f>data!F835</f>
        <v>IGP MEDITERRANNEE ROSE</v>
      </c>
      <c r="G835" s="10">
        <f>data!G835</f>
        <v>0</v>
      </c>
      <c r="H835" s="10">
        <f>data!I835</f>
        <v>0</v>
      </c>
      <c r="I835" s="10">
        <f t="shared" ref="I835:I898" si="52">G835-H835</f>
        <v>0</v>
      </c>
      <c r="J835" s="11">
        <f>data!H835</f>
        <v>36</v>
      </c>
      <c r="K835" s="11">
        <f>data!J835</f>
        <v>0</v>
      </c>
      <c r="L835" s="11">
        <f t="shared" ref="L835:L898" si="53">J835-K835</f>
        <v>36</v>
      </c>
      <c r="M835" s="9" t="str">
        <f t="shared" ref="M835:M898" si="54">IF(ISERR(I835/H835),"",I835/H835)</f>
        <v/>
      </c>
      <c r="N835" s="9" t="str">
        <f t="shared" ref="N835:N898" si="55">IF(ISERR(L835/K835),"",L835/K835)</f>
        <v/>
      </c>
    </row>
    <row r="836" spans="1:14" x14ac:dyDescent="0.25">
      <c r="A836" t="str">
        <f>TEXT("1/"&amp;data!A836,"mmmm")</f>
        <v>mars</v>
      </c>
      <c r="B836">
        <f>data!B836</f>
        <v>2016</v>
      </c>
      <c r="C836" t="str">
        <f>data!C836</f>
        <v>202</v>
      </c>
      <c r="D836" t="str">
        <f>data!D836</f>
        <v>TERRES D'ALLIANCE</v>
      </c>
      <c r="E836" t="str">
        <f>data!E836</f>
        <v>202001</v>
      </c>
      <c r="F836" t="str">
        <f>data!F836</f>
        <v>IGP VAUCLUSE LEA</v>
      </c>
      <c r="G836" s="10">
        <f>data!G836</f>
        <v>516.24</v>
      </c>
      <c r="H836" s="10">
        <f>data!I836</f>
        <v>263.16000000000003</v>
      </c>
      <c r="I836" s="10">
        <f t="shared" si="52"/>
        <v>253.07999999999998</v>
      </c>
      <c r="J836" s="11">
        <f>data!H836</f>
        <v>258</v>
      </c>
      <c r="K836" s="11">
        <f>data!J836</f>
        <v>144</v>
      </c>
      <c r="L836" s="11">
        <f t="shared" si="53"/>
        <v>114</v>
      </c>
      <c r="M836" s="9">
        <f t="shared" si="54"/>
        <v>0.9616963064295484</v>
      </c>
      <c r="N836" s="9">
        <f t="shared" si="55"/>
        <v>0.79166666666666663</v>
      </c>
    </row>
    <row r="837" spans="1:14" x14ac:dyDescent="0.25">
      <c r="A837" t="str">
        <f>TEXT("1/"&amp;data!A837,"mmmm")</f>
        <v>mars</v>
      </c>
      <c r="B837">
        <f>data!B837</f>
        <v>2016</v>
      </c>
      <c r="C837" t="str">
        <f>data!C837</f>
        <v>202</v>
      </c>
      <c r="D837" t="str">
        <f>data!D837</f>
        <v>TERRES D'ALLIANCE</v>
      </c>
      <c r="E837" t="str">
        <f>data!E837</f>
        <v>202002</v>
      </c>
      <c r="F837" t="str">
        <f>data!F837</f>
        <v>IGP VAUCLUSE LEA</v>
      </c>
      <c r="G837" s="10">
        <f>data!G837</f>
        <v>408.42</v>
      </c>
      <c r="H837" s="10">
        <f>data!I837</f>
        <v>1123.32</v>
      </c>
      <c r="I837" s="10">
        <f t="shared" si="52"/>
        <v>-714.89999999999986</v>
      </c>
      <c r="J837" s="11">
        <f>data!H837</f>
        <v>204</v>
      </c>
      <c r="K837" s="11">
        <f>data!J837</f>
        <v>576</v>
      </c>
      <c r="L837" s="11">
        <f t="shared" si="53"/>
        <v>-372</v>
      </c>
      <c r="M837" s="9">
        <f t="shared" si="54"/>
        <v>-0.63641704946052768</v>
      </c>
      <c r="N837" s="9">
        <f t="shared" si="55"/>
        <v>-0.64583333333333337</v>
      </c>
    </row>
    <row r="838" spans="1:14" x14ac:dyDescent="0.25">
      <c r="A838" t="str">
        <f>TEXT("1/"&amp;data!A838,"mmmm")</f>
        <v>mars</v>
      </c>
      <c r="B838">
        <f>data!B838</f>
        <v>2016</v>
      </c>
      <c r="C838" t="str">
        <f>data!C838</f>
        <v>202</v>
      </c>
      <c r="D838" t="str">
        <f>data!D838</f>
        <v>TERRES D'ALLIANCE</v>
      </c>
      <c r="E838" t="str">
        <f>data!E838</f>
        <v>202003</v>
      </c>
      <c r="F838" t="str">
        <f>data!F838</f>
        <v>IGP VAUCLUSE LEA</v>
      </c>
      <c r="G838" s="10">
        <f>data!G838</f>
        <v>591.66</v>
      </c>
      <c r="H838" s="10">
        <f>data!I838</f>
        <v>465.12</v>
      </c>
      <c r="I838" s="10">
        <f t="shared" si="52"/>
        <v>126.53999999999996</v>
      </c>
      <c r="J838" s="11">
        <f>data!H838</f>
        <v>294</v>
      </c>
      <c r="K838" s="11">
        <f>data!J838</f>
        <v>234</v>
      </c>
      <c r="L838" s="11">
        <f t="shared" si="53"/>
        <v>60</v>
      </c>
      <c r="M838" s="9">
        <f t="shared" si="54"/>
        <v>0.27205882352941169</v>
      </c>
      <c r="N838" s="9">
        <f t="shared" si="55"/>
        <v>0.25641025641025639</v>
      </c>
    </row>
    <row r="839" spans="1:14" x14ac:dyDescent="0.25">
      <c r="A839" t="str">
        <f>TEXT("1/"&amp;data!A839,"mmmm")</f>
        <v>mars</v>
      </c>
      <c r="B839">
        <f>data!B839</f>
        <v>2016</v>
      </c>
      <c r="C839" t="str">
        <f>data!C839</f>
        <v>202</v>
      </c>
      <c r="D839" t="str">
        <f>data!D839</f>
        <v>TERRES D'ALLIANCE</v>
      </c>
      <c r="E839" t="str">
        <f>data!E839</f>
        <v>202004</v>
      </c>
      <c r="F839" t="str">
        <f>data!F839</f>
        <v>AOP LUBERON FIEF</v>
      </c>
      <c r="G839" s="10">
        <f>data!G839</f>
        <v>0</v>
      </c>
      <c r="H839" s="10">
        <f>data!I839</f>
        <v>83.1</v>
      </c>
      <c r="I839" s="10">
        <f t="shared" si="52"/>
        <v>-83.1</v>
      </c>
      <c r="J839" s="11">
        <f>data!H839</f>
        <v>-6</v>
      </c>
      <c r="K839" s="11">
        <f>data!J839</f>
        <v>36</v>
      </c>
      <c r="L839" s="11">
        <f t="shared" si="53"/>
        <v>-42</v>
      </c>
      <c r="M839" s="9">
        <f t="shared" si="54"/>
        <v>-1</v>
      </c>
      <c r="N839" s="9">
        <f t="shared" si="55"/>
        <v>-1.1666666666666667</v>
      </c>
    </row>
    <row r="840" spans="1:14" x14ac:dyDescent="0.25">
      <c r="A840" t="str">
        <f>TEXT("1/"&amp;data!A840,"mmmm")</f>
        <v>mars</v>
      </c>
      <c r="B840">
        <f>data!B840</f>
        <v>2016</v>
      </c>
      <c r="C840" t="str">
        <f>data!C840</f>
        <v>202</v>
      </c>
      <c r="D840" t="str">
        <f>data!D840</f>
        <v>TERRES D'ALLIANCE</v>
      </c>
      <c r="E840" t="str">
        <f>data!E840</f>
        <v>202005</v>
      </c>
      <c r="F840" t="str">
        <f>data!F840</f>
        <v>AOP LUBERON FIEF</v>
      </c>
      <c r="G840" s="10">
        <f>data!G840</f>
        <v>33.6</v>
      </c>
      <c r="H840" s="10">
        <f>data!I840</f>
        <v>0</v>
      </c>
      <c r="I840" s="10">
        <f t="shared" si="52"/>
        <v>33.6</v>
      </c>
      <c r="J840" s="11">
        <f>data!H840</f>
        <v>12</v>
      </c>
      <c r="K840" s="11">
        <f>data!J840</f>
        <v>6</v>
      </c>
      <c r="L840" s="11">
        <f t="shared" si="53"/>
        <v>6</v>
      </c>
      <c r="M840" s="9" t="str">
        <f t="shared" si="54"/>
        <v/>
      </c>
      <c r="N840" s="9">
        <f t="shared" si="55"/>
        <v>1</v>
      </c>
    </row>
    <row r="841" spans="1:14" x14ac:dyDescent="0.25">
      <c r="A841" t="str">
        <f>TEXT("1/"&amp;data!A841,"mmmm")</f>
        <v>mars</v>
      </c>
      <c r="B841">
        <f>data!B841</f>
        <v>2016</v>
      </c>
      <c r="C841" t="str">
        <f>data!C841</f>
        <v>202</v>
      </c>
      <c r="D841" t="str">
        <f>data!D841</f>
        <v>TERRES D'ALLIANCE</v>
      </c>
      <c r="E841" t="str">
        <f>data!E841</f>
        <v>202006</v>
      </c>
      <c r="F841" t="str">
        <f>data!F841</f>
        <v>AOP LUBERON FIEF</v>
      </c>
      <c r="G841" s="10">
        <f>data!G841</f>
        <v>33.6</v>
      </c>
      <c r="H841" s="10">
        <f>data!I841</f>
        <v>0</v>
      </c>
      <c r="I841" s="10">
        <f t="shared" si="52"/>
        <v>33.6</v>
      </c>
      <c r="J841" s="11">
        <f>data!H841</f>
        <v>12</v>
      </c>
      <c r="K841" s="11">
        <f>data!J841</f>
        <v>6</v>
      </c>
      <c r="L841" s="11">
        <f t="shared" si="53"/>
        <v>6</v>
      </c>
      <c r="M841" s="9" t="str">
        <f t="shared" si="54"/>
        <v/>
      </c>
      <c r="N841" s="9">
        <f t="shared" si="55"/>
        <v>1</v>
      </c>
    </row>
    <row r="842" spans="1:14" x14ac:dyDescent="0.25">
      <c r="A842" t="str">
        <f>TEXT("1/"&amp;data!A842,"mmmm")</f>
        <v>mars</v>
      </c>
      <c r="B842">
        <f>data!B842</f>
        <v>2016</v>
      </c>
      <c r="C842" t="str">
        <f>data!C842</f>
        <v>202</v>
      </c>
      <c r="D842" t="str">
        <f>data!D842</f>
        <v>TERRES D'ALLIANCE</v>
      </c>
      <c r="E842" t="str">
        <f>data!E842</f>
        <v>202007</v>
      </c>
      <c r="F842" t="str">
        <f>data!F842</f>
        <v>VDF ROSE FRUITE MUSCAT DE HAMBOURG</v>
      </c>
      <c r="G842" s="10">
        <f>data!G842</f>
        <v>105.6</v>
      </c>
      <c r="H842" s="10">
        <f>data!I842</f>
        <v>0</v>
      </c>
      <c r="I842" s="10">
        <f t="shared" si="52"/>
        <v>105.6</v>
      </c>
      <c r="J842" s="11">
        <f>data!H842</f>
        <v>48</v>
      </c>
      <c r="K842" s="11">
        <f>data!J842</f>
        <v>0</v>
      </c>
      <c r="L842" s="11">
        <f t="shared" si="53"/>
        <v>48</v>
      </c>
      <c r="M842" s="9" t="str">
        <f t="shared" si="54"/>
        <v/>
      </c>
      <c r="N842" s="9" t="str">
        <f t="shared" si="55"/>
        <v/>
      </c>
    </row>
    <row r="843" spans="1:14" x14ac:dyDescent="0.25">
      <c r="A843" t="str">
        <f>TEXT("1/"&amp;data!A843,"mmmm")</f>
        <v>mars</v>
      </c>
      <c r="B843">
        <f>data!B843</f>
        <v>2016</v>
      </c>
      <c r="C843" t="str">
        <f>data!C843</f>
        <v>202</v>
      </c>
      <c r="D843" t="str">
        <f>data!D843</f>
        <v>TERRES D'ALLIANCE</v>
      </c>
      <c r="E843" t="str">
        <f>data!E843</f>
        <v>202008</v>
      </c>
      <c r="F843" t="str">
        <f>data!F843</f>
        <v>MUSCAT - PETITS GRAINS - LOUERION</v>
      </c>
      <c r="G843" s="10">
        <f>data!G843</f>
        <v>37.799999999999997</v>
      </c>
      <c r="H843" s="10">
        <f>data!I843</f>
        <v>0</v>
      </c>
      <c r="I843" s="10">
        <f t="shared" si="52"/>
        <v>37.799999999999997</v>
      </c>
      <c r="J843" s="11">
        <f>data!H843</f>
        <v>18</v>
      </c>
      <c r="K843" s="11">
        <f>data!J843</f>
        <v>0</v>
      </c>
      <c r="L843" s="11">
        <f t="shared" si="53"/>
        <v>18</v>
      </c>
      <c r="M843" s="9" t="str">
        <f t="shared" si="54"/>
        <v/>
      </c>
      <c r="N843" s="9" t="str">
        <f t="shared" si="55"/>
        <v/>
      </c>
    </row>
    <row r="844" spans="1:14" x14ac:dyDescent="0.25">
      <c r="A844" t="str">
        <f>TEXT("1/"&amp;data!A844,"mmmm")</f>
        <v>mars</v>
      </c>
      <c r="B844">
        <f>data!B844</f>
        <v>2016</v>
      </c>
      <c r="C844" t="str">
        <f>data!C844</f>
        <v>202</v>
      </c>
      <c r="D844" t="str">
        <f>data!D844</f>
        <v>TERRES D'ALLIANCE</v>
      </c>
      <c r="E844" t="str">
        <f>data!E844</f>
        <v>202010</v>
      </c>
      <c r="F844" t="str">
        <f>data!F844</f>
        <v>VIN DE FRANCE ROSE FRUITE LOUERION</v>
      </c>
      <c r="G844" s="10">
        <f>data!G844</f>
        <v>160.19999999999999</v>
      </c>
      <c r="H844" s="10">
        <f>data!I844</f>
        <v>0</v>
      </c>
      <c r="I844" s="10">
        <f t="shared" si="52"/>
        <v>160.19999999999999</v>
      </c>
      <c r="J844" s="11">
        <f>data!H844</f>
        <v>133.4</v>
      </c>
      <c r="K844" s="11">
        <f>data!J844</f>
        <v>0</v>
      </c>
      <c r="L844" s="11">
        <f t="shared" si="53"/>
        <v>133.4</v>
      </c>
      <c r="M844" s="9" t="str">
        <f t="shared" si="54"/>
        <v/>
      </c>
      <c r="N844" s="9" t="str">
        <f t="shared" si="55"/>
        <v/>
      </c>
    </row>
    <row r="845" spans="1:14" x14ac:dyDescent="0.25">
      <c r="A845" t="str">
        <f>TEXT("1/"&amp;data!A845,"mmmm")</f>
        <v>mars</v>
      </c>
      <c r="B845">
        <f>data!B845</f>
        <v>2016</v>
      </c>
      <c r="C845" t="str">
        <f>data!C845</f>
        <v>202</v>
      </c>
      <c r="D845" t="str">
        <f>data!D845</f>
        <v>TERRES D'ALLIANCE</v>
      </c>
      <c r="E845" t="str">
        <f>data!E845</f>
        <v>202012</v>
      </c>
      <c r="F845" t="str">
        <f>data!F845</f>
        <v>AOP LUBERON - TERRARMONIE - LOUERION</v>
      </c>
      <c r="G845" s="10">
        <f>data!G845</f>
        <v>84</v>
      </c>
      <c r="H845" s="10">
        <f>data!I845</f>
        <v>0</v>
      </c>
      <c r="I845" s="10">
        <f t="shared" si="52"/>
        <v>84</v>
      </c>
      <c r="J845" s="11">
        <f>data!H845</f>
        <v>30</v>
      </c>
      <c r="K845" s="11">
        <f>data!J845</f>
        <v>0</v>
      </c>
      <c r="L845" s="11">
        <f t="shared" si="53"/>
        <v>30</v>
      </c>
      <c r="M845" s="9" t="str">
        <f t="shared" si="54"/>
        <v/>
      </c>
      <c r="N845" s="9" t="str">
        <f t="shared" si="55"/>
        <v/>
      </c>
    </row>
    <row r="846" spans="1:14" x14ac:dyDescent="0.25">
      <c r="A846" t="str">
        <f>TEXT("1/"&amp;data!A846,"mmmm")</f>
        <v>mars</v>
      </c>
      <c r="B846">
        <f>data!B846</f>
        <v>2016</v>
      </c>
      <c r="C846" t="str">
        <f>data!C846</f>
        <v>202</v>
      </c>
      <c r="D846" t="str">
        <f>data!D846</f>
        <v>TERRES D'ALLIANCE</v>
      </c>
      <c r="E846" t="str">
        <f>data!E846</f>
        <v>202013</v>
      </c>
      <c r="F846" t="str">
        <f>data!F846</f>
        <v>AOP LUBERON - TERRARMONIE - LOUERION</v>
      </c>
      <c r="G846" s="10">
        <f>data!G846</f>
        <v>42</v>
      </c>
      <c r="H846" s="10">
        <f>data!I846</f>
        <v>0</v>
      </c>
      <c r="I846" s="10">
        <f t="shared" si="52"/>
        <v>42</v>
      </c>
      <c r="J846" s="11">
        <f>data!H846</f>
        <v>18</v>
      </c>
      <c r="K846" s="11">
        <f>data!J846</f>
        <v>0</v>
      </c>
      <c r="L846" s="11">
        <f t="shared" si="53"/>
        <v>18</v>
      </c>
      <c r="M846" s="9" t="str">
        <f t="shared" si="54"/>
        <v/>
      </c>
      <c r="N846" s="9" t="str">
        <f t="shared" si="55"/>
        <v/>
      </c>
    </row>
    <row r="847" spans="1:14" x14ac:dyDescent="0.25">
      <c r="A847" t="str">
        <f>TEXT("1/"&amp;data!A847,"mmmm")</f>
        <v>mars</v>
      </c>
      <c r="B847">
        <f>data!B847</f>
        <v>2016</v>
      </c>
      <c r="C847" t="str">
        <f>data!C847</f>
        <v>202</v>
      </c>
      <c r="D847" t="str">
        <f>data!D847</f>
        <v>TERRES D'ALLIANCE</v>
      </c>
      <c r="E847" t="str">
        <f>data!E847</f>
        <v>202015</v>
      </c>
      <c r="F847" t="str">
        <f>data!F847</f>
        <v>AOP LUBERON LOUERION</v>
      </c>
      <c r="G847" s="10">
        <f>data!G847</f>
        <v>109.2</v>
      </c>
      <c r="H847" s="10">
        <f>data!I847</f>
        <v>0</v>
      </c>
      <c r="I847" s="10">
        <f t="shared" si="52"/>
        <v>109.2</v>
      </c>
      <c r="J847" s="11">
        <f>data!H847</f>
        <v>80.039999999999992</v>
      </c>
      <c r="K847" s="11">
        <f>data!J847</f>
        <v>0</v>
      </c>
      <c r="L847" s="11">
        <f t="shared" si="53"/>
        <v>80.039999999999992</v>
      </c>
      <c r="M847" s="9" t="str">
        <f t="shared" si="54"/>
        <v/>
      </c>
      <c r="N847" s="9" t="str">
        <f t="shared" si="55"/>
        <v/>
      </c>
    </row>
    <row r="848" spans="1:14" x14ac:dyDescent="0.25">
      <c r="A848" t="str">
        <f>TEXT("1/"&amp;data!A848,"mmmm")</f>
        <v>mars</v>
      </c>
      <c r="B848">
        <f>data!B848</f>
        <v>2016</v>
      </c>
      <c r="C848" t="str">
        <f>data!C848</f>
        <v>205</v>
      </c>
      <c r="D848" t="str">
        <f>data!D848</f>
        <v>DOMAINE DE MISELLE</v>
      </c>
      <c r="E848" t="str">
        <f>data!E848</f>
        <v>205001</v>
      </c>
      <c r="F848" t="str">
        <f>data!F848</f>
        <v>IGP COTES DE GASCOGNE SEC COLOMBARD G-MANSENG MISE</v>
      </c>
      <c r="G848" s="10">
        <f>data!G848</f>
        <v>378</v>
      </c>
      <c r="H848" s="10">
        <f>data!I848</f>
        <v>344.4</v>
      </c>
      <c r="I848" s="10">
        <f t="shared" si="52"/>
        <v>33.600000000000023</v>
      </c>
      <c r="J848" s="11">
        <f>data!H848</f>
        <v>174</v>
      </c>
      <c r="K848" s="11">
        <f>data!J848</f>
        <v>168</v>
      </c>
      <c r="L848" s="11">
        <f t="shared" si="53"/>
        <v>6</v>
      </c>
      <c r="M848" s="9">
        <f t="shared" si="54"/>
        <v>9.756097560975617E-2</v>
      </c>
      <c r="N848" s="9">
        <f t="shared" si="55"/>
        <v>3.5714285714285712E-2</v>
      </c>
    </row>
    <row r="849" spans="1:14" x14ac:dyDescent="0.25">
      <c r="A849" t="str">
        <f>TEXT("1/"&amp;data!A849,"mmmm")</f>
        <v>mars</v>
      </c>
      <c r="B849">
        <f>data!B849</f>
        <v>2016</v>
      </c>
      <c r="C849" t="str">
        <f>data!C849</f>
        <v>205</v>
      </c>
      <c r="D849" t="str">
        <f>data!D849</f>
        <v>DOMAINE DE MISELLE</v>
      </c>
      <c r="E849" t="str">
        <f>data!E849</f>
        <v>205002</v>
      </c>
      <c r="F849" t="str">
        <f>data!F849</f>
        <v>IGP COTES DE GASCOGNE</v>
      </c>
      <c r="G849" s="10">
        <f>data!G849</f>
        <v>72</v>
      </c>
      <c r="H849" s="10">
        <f>data!I849</f>
        <v>70.5</v>
      </c>
      <c r="I849" s="10">
        <f t="shared" si="52"/>
        <v>1.5</v>
      </c>
      <c r="J849" s="11">
        <f>data!H849</f>
        <v>36</v>
      </c>
      <c r="K849" s="11">
        <f>data!J849</f>
        <v>42</v>
      </c>
      <c r="L849" s="11">
        <f t="shared" si="53"/>
        <v>-6</v>
      </c>
      <c r="M849" s="9">
        <f t="shared" si="54"/>
        <v>2.1276595744680851E-2</v>
      </c>
      <c r="N849" s="9">
        <f t="shared" si="55"/>
        <v>-0.14285714285714285</v>
      </c>
    </row>
    <row r="850" spans="1:14" x14ac:dyDescent="0.25">
      <c r="A850" t="str">
        <f>TEXT("1/"&amp;data!A850,"mmmm")</f>
        <v>mars</v>
      </c>
      <c r="B850">
        <f>data!B850</f>
        <v>2016</v>
      </c>
      <c r="C850" t="str">
        <f>data!C850</f>
        <v>205</v>
      </c>
      <c r="D850" t="str">
        <f>data!D850</f>
        <v>DOMAINE DE MISELLE</v>
      </c>
      <c r="E850" t="str">
        <f>data!E850</f>
        <v>205003</v>
      </c>
      <c r="F850" t="str">
        <f>data!F850</f>
        <v>IGP COTES DE GASCOGNE PETIT MANSENG</v>
      </c>
      <c r="G850" s="10">
        <f>data!G850</f>
        <v>177.6</v>
      </c>
      <c r="H850" s="10">
        <f>data!I850</f>
        <v>153.30000000000001</v>
      </c>
      <c r="I850" s="10">
        <f t="shared" si="52"/>
        <v>24.299999999999983</v>
      </c>
      <c r="J850" s="11">
        <f>data!H850</f>
        <v>54</v>
      </c>
      <c r="K850" s="11">
        <f>data!J850</f>
        <v>48</v>
      </c>
      <c r="L850" s="11">
        <f t="shared" si="53"/>
        <v>6</v>
      </c>
      <c r="M850" s="9">
        <f t="shared" si="54"/>
        <v>0.15851272015655565</v>
      </c>
      <c r="N850" s="9">
        <f t="shared" si="55"/>
        <v>0.125</v>
      </c>
    </row>
    <row r="851" spans="1:14" x14ac:dyDescent="0.25">
      <c r="A851" t="str">
        <f>TEXT("1/"&amp;data!A851,"mmmm")</f>
        <v>mars</v>
      </c>
      <c r="B851">
        <f>data!B851</f>
        <v>2016</v>
      </c>
      <c r="C851" t="str">
        <f>data!C851</f>
        <v>205</v>
      </c>
      <c r="D851" t="str">
        <f>data!D851</f>
        <v>DOMAINE DE MISELLE</v>
      </c>
      <c r="E851" t="str">
        <f>data!E851</f>
        <v>205004</v>
      </c>
      <c r="F851" t="str">
        <f>data!F851</f>
        <v>IGP COTES DE GASCOGNE MERLOT-TANNAT</v>
      </c>
      <c r="G851" s="10">
        <f>data!G851</f>
        <v>86.4</v>
      </c>
      <c r="H851" s="10">
        <f>data!I851</f>
        <v>28.2</v>
      </c>
      <c r="I851" s="10">
        <f t="shared" si="52"/>
        <v>58.2</v>
      </c>
      <c r="J851" s="11">
        <f>data!H851</f>
        <v>36</v>
      </c>
      <c r="K851" s="11">
        <f>data!J851</f>
        <v>18</v>
      </c>
      <c r="L851" s="11">
        <f t="shared" si="53"/>
        <v>18</v>
      </c>
      <c r="M851" s="9">
        <f t="shared" si="54"/>
        <v>2.0638297872340425</v>
      </c>
      <c r="N851" s="9">
        <f t="shared" si="55"/>
        <v>1</v>
      </c>
    </row>
    <row r="852" spans="1:14" x14ac:dyDescent="0.25">
      <c r="A852" t="str">
        <f>TEXT("1/"&amp;data!A852,"mmmm")</f>
        <v>mars</v>
      </c>
      <c r="B852">
        <f>data!B852</f>
        <v>2016</v>
      </c>
      <c r="C852" t="str">
        <f>data!C852</f>
        <v>226</v>
      </c>
      <c r="D852" t="str">
        <f>data!D852</f>
        <v>SIEUR D'ARQUES</v>
      </c>
      <c r="E852" t="str">
        <f>data!E852</f>
        <v>226001</v>
      </c>
      <c r="F852" t="str">
        <f>data!F852</f>
        <v>AOP BLANQUETTE DE LIMOUX METHODE TRAD PREMIERE BUL</v>
      </c>
      <c r="G852" s="10">
        <f>data!G852</f>
        <v>0</v>
      </c>
      <c r="H852" s="10">
        <f>data!I852</f>
        <v>0</v>
      </c>
      <c r="I852" s="10">
        <f t="shared" si="52"/>
        <v>0</v>
      </c>
      <c r="J852" s="11">
        <f>data!H852</f>
        <v>6</v>
      </c>
      <c r="K852" s="11">
        <f>data!J852</f>
        <v>0</v>
      </c>
      <c r="L852" s="11">
        <f t="shared" si="53"/>
        <v>6</v>
      </c>
      <c r="M852" s="9" t="str">
        <f t="shared" si="54"/>
        <v/>
      </c>
      <c r="N852" s="9" t="str">
        <f t="shared" si="55"/>
        <v/>
      </c>
    </row>
    <row r="853" spans="1:14" x14ac:dyDescent="0.25">
      <c r="A853" t="str">
        <f>TEXT("1/"&amp;data!A853,"mmmm")</f>
        <v>mars</v>
      </c>
      <c r="B853">
        <f>data!B853</f>
        <v>2016</v>
      </c>
      <c r="C853" t="str">
        <f>data!C853</f>
        <v>229</v>
      </c>
      <c r="D853" t="str">
        <f>data!D853</f>
        <v>DOMAINE DU BOIS DU JOUR</v>
      </c>
      <c r="E853" t="str">
        <f>data!E853</f>
        <v>229006</v>
      </c>
      <c r="F853" t="str">
        <f>data!F853</f>
        <v>AOP BOURGOGNE DME DU BOIS DU JOUR</v>
      </c>
      <c r="G853" s="10">
        <f>data!G853</f>
        <v>0</v>
      </c>
      <c r="H853" s="10">
        <f>data!I853</f>
        <v>0</v>
      </c>
      <c r="I853" s="10">
        <f t="shared" si="52"/>
        <v>0</v>
      </c>
      <c r="J853" s="11">
        <f>data!H853</f>
        <v>12</v>
      </c>
      <c r="K853" s="11">
        <f>data!J853</f>
        <v>0</v>
      </c>
      <c r="L853" s="11">
        <f t="shared" si="53"/>
        <v>12</v>
      </c>
      <c r="M853" s="9" t="str">
        <f t="shared" si="54"/>
        <v/>
      </c>
      <c r="N853" s="9" t="str">
        <f t="shared" si="55"/>
        <v/>
      </c>
    </row>
    <row r="854" spans="1:14" x14ac:dyDescent="0.25">
      <c r="A854" t="str">
        <f>TEXT("1/"&amp;data!A854,"mmmm")</f>
        <v>mars</v>
      </c>
      <c r="B854">
        <f>data!B854</f>
        <v>2016</v>
      </c>
      <c r="C854" t="str">
        <f>data!C854</f>
        <v>229</v>
      </c>
      <c r="D854" t="str">
        <f>data!D854</f>
        <v>DOMAINE DU BOIS DU JOUR</v>
      </c>
      <c r="E854" t="str">
        <f>data!E854</f>
        <v>229008</v>
      </c>
      <c r="F854" t="str">
        <f>data!F854</f>
        <v>AOP COTEAUX BOURGUIGNON DME DU BOIS DU JOUR</v>
      </c>
      <c r="G854" s="10">
        <f>data!G854</f>
        <v>775.2</v>
      </c>
      <c r="H854" s="10">
        <f>data!I854</f>
        <v>0</v>
      </c>
      <c r="I854" s="10">
        <f t="shared" si="52"/>
        <v>775.2</v>
      </c>
      <c r="J854" s="11">
        <f>data!H854</f>
        <v>204</v>
      </c>
      <c r="K854" s="11">
        <f>data!J854</f>
        <v>0</v>
      </c>
      <c r="L854" s="11">
        <f t="shared" si="53"/>
        <v>204</v>
      </c>
      <c r="M854" s="9" t="str">
        <f t="shared" si="54"/>
        <v/>
      </c>
      <c r="N854" s="9" t="str">
        <f t="shared" si="55"/>
        <v/>
      </c>
    </row>
    <row r="855" spans="1:14" x14ac:dyDescent="0.25">
      <c r="A855" t="str">
        <f>TEXT("1/"&amp;data!A855,"mmmm")</f>
        <v>mars</v>
      </c>
      <c r="B855">
        <f>data!B855</f>
        <v>2016</v>
      </c>
      <c r="C855" t="str">
        <f>data!C855</f>
        <v>229</v>
      </c>
      <c r="D855" t="str">
        <f>data!D855</f>
        <v>DOMAINE DU BOIS DU JOUR</v>
      </c>
      <c r="E855" t="str">
        <f>data!E855</f>
        <v>229020</v>
      </c>
      <c r="F855" t="str">
        <f>data!F855</f>
        <v>AOP CREMANT DE BOURGOGNE DME BOIS DU JOUR</v>
      </c>
      <c r="G855" s="10">
        <f>data!G855</f>
        <v>726</v>
      </c>
      <c r="H855" s="10">
        <f>data!I855</f>
        <v>0</v>
      </c>
      <c r="I855" s="10">
        <f t="shared" si="52"/>
        <v>726</v>
      </c>
      <c r="J855" s="11">
        <f>data!H855</f>
        <v>138</v>
      </c>
      <c r="K855" s="11">
        <f>data!J855</f>
        <v>0</v>
      </c>
      <c r="L855" s="11">
        <f t="shared" si="53"/>
        <v>138</v>
      </c>
      <c r="M855" s="9" t="str">
        <f t="shared" si="54"/>
        <v/>
      </c>
      <c r="N855" s="9" t="str">
        <f t="shared" si="55"/>
        <v/>
      </c>
    </row>
    <row r="856" spans="1:14" x14ac:dyDescent="0.25">
      <c r="A856" t="str">
        <f>TEXT("1/"&amp;data!A856,"mmmm")</f>
        <v>mars</v>
      </c>
      <c r="B856">
        <f>data!B856</f>
        <v>2016</v>
      </c>
      <c r="C856" t="str">
        <f>data!C856</f>
        <v>229</v>
      </c>
      <c r="D856" t="str">
        <f>data!D856</f>
        <v>DOMAINE DU BOIS DU JOUR</v>
      </c>
      <c r="E856" t="str">
        <f>data!E856</f>
        <v>229021</v>
      </c>
      <c r="F856" t="str">
        <f>data!F856</f>
        <v>ECLAT DE ROSE DME BOIS DU JOUR</v>
      </c>
      <c r="G856" s="10">
        <f>data!G856</f>
        <v>27.6</v>
      </c>
      <c r="H856" s="10">
        <f>data!I856</f>
        <v>0</v>
      </c>
      <c r="I856" s="10">
        <f t="shared" si="52"/>
        <v>27.6</v>
      </c>
      <c r="J856" s="11">
        <f>data!H856</f>
        <v>6</v>
      </c>
      <c r="K856" s="11">
        <f>data!J856</f>
        <v>0</v>
      </c>
      <c r="L856" s="11">
        <f t="shared" si="53"/>
        <v>6</v>
      </c>
      <c r="M856" s="9" t="str">
        <f t="shared" si="54"/>
        <v/>
      </c>
      <c r="N856" s="9" t="str">
        <f t="shared" si="55"/>
        <v/>
      </c>
    </row>
    <row r="857" spans="1:14" x14ac:dyDescent="0.25">
      <c r="A857" t="str">
        <f>TEXT("1/"&amp;data!A857,"mmmm")</f>
        <v>avril</v>
      </c>
      <c r="B857">
        <f>data!B857</f>
        <v>2016</v>
      </c>
      <c r="C857" t="str">
        <f>data!C857</f>
        <v>001</v>
      </c>
      <c r="D857" t="str">
        <f>data!D857</f>
        <v>CHAMPAGNE PANNIER</v>
      </c>
      <c r="E857" t="str">
        <f>data!E857</f>
        <v>001001</v>
      </c>
      <c r="F857" t="str">
        <f>data!F857</f>
        <v>PANNIER AC CHAMP SELECTION BRUT</v>
      </c>
      <c r="G857" s="10">
        <f>data!G857</f>
        <v>6248</v>
      </c>
      <c r="H857" s="10">
        <f>data!I857</f>
        <v>4481.95</v>
      </c>
      <c r="I857" s="10">
        <f t="shared" si="52"/>
        <v>1766.0500000000002</v>
      </c>
      <c r="J857" s="11">
        <f>data!H857</f>
        <v>480</v>
      </c>
      <c r="K857" s="11">
        <f>data!J857</f>
        <v>348</v>
      </c>
      <c r="L857" s="11">
        <f t="shared" si="53"/>
        <v>132</v>
      </c>
      <c r="M857" s="9">
        <f t="shared" si="54"/>
        <v>0.39403607804638613</v>
      </c>
      <c r="N857" s="9">
        <f t="shared" si="55"/>
        <v>0.37931034482758619</v>
      </c>
    </row>
    <row r="858" spans="1:14" x14ac:dyDescent="0.25">
      <c r="A858" t="str">
        <f>TEXT("1/"&amp;data!A858,"mmmm")</f>
        <v>avril</v>
      </c>
      <c r="B858">
        <f>data!B858</f>
        <v>2016</v>
      </c>
      <c r="C858" t="str">
        <f>data!C858</f>
        <v>002</v>
      </c>
      <c r="D858" t="str">
        <f>data!D858</f>
        <v>CAVE DE GALLICIAN</v>
      </c>
      <c r="E858" t="str">
        <f>data!E858</f>
        <v>002001</v>
      </c>
      <c r="F858" t="str">
        <f>data!F858</f>
        <v>VDP MERLOT C.GALLICIAN</v>
      </c>
      <c r="G858" s="10">
        <f>data!G858</f>
        <v>3766.2</v>
      </c>
      <c r="H858" s="10">
        <f>data!I858</f>
        <v>3825.36</v>
      </c>
      <c r="I858" s="10">
        <f t="shared" si="52"/>
        <v>-59.160000000000309</v>
      </c>
      <c r="J858" s="11">
        <f>data!H858</f>
        <v>3221.61</v>
      </c>
      <c r="K858" s="11">
        <f>data!J858</f>
        <v>3461.73</v>
      </c>
      <c r="L858" s="11">
        <f t="shared" si="53"/>
        <v>-240.11999999999989</v>
      </c>
      <c r="M858" s="9">
        <f t="shared" si="54"/>
        <v>-1.5465211117385112E-2</v>
      </c>
      <c r="N858" s="9">
        <f t="shared" si="55"/>
        <v>-6.9364161849710948E-2</v>
      </c>
    </row>
    <row r="859" spans="1:14" x14ac:dyDescent="0.25">
      <c r="A859" t="str">
        <f>TEXT("1/"&amp;data!A859,"mmmm")</f>
        <v>avril</v>
      </c>
      <c r="B859">
        <f>data!B859</f>
        <v>2016</v>
      </c>
      <c r="C859" t="str">
        <f>data!C859</f>
        <v>002</v>
      </c>
      <c r="D859" t="str">
        <f>data!D859</f>
        <v>CAVE DE GALLICIAN</v>
      </c>
      <c r="E859" t="str">
        <f>data!E859</f>
        <v>002002</v>
      </c>
      <c r="F859" t="str">
        <f>data!F859</f>
        <v>VDP MERLOT. C GALLICIAN</v>
      </c>
      <c r="G859" s="10">
        <f>data!G859</f>
        <v>12534.5</v>
      </c>
      <c r="H859" s="10">
        <f>data!I859</f>
        <v>11900.95</v>
      </c>
      <c r="I859" s="10">
        <f t="shared" si="52"/>
        <v>633.54999999999927</v>
      </c>
      <c r="J859" s="11">
        <f>data!H859</f>
        <v>12170.29</v>
      </c>
      <c r="K859" s="11">
        <f>data!J859</f>
        <v>12103.64</v>
      </c>
      <c r="L859" s="11">
        <f t="shared" si="53"/>
        <v>66.650000000001455</v>
      </c>
      <c r="M859" s="9">
        <f t="shared" si="54"/>
        <v>5.3235245925745356E-2</v>
      </c>
      <c r="N859" s="9">
        <f t="shared" si="55"/>
        <v>5.5066079295155394E-3</v>
      </c>
    </row>
    <row r="860" spans="1:14" x14ac:dyDescent="0.25">
      <c r="A860" t="str">
        <f>TEXT("1/"&amp;data!A860,"mmmm")</f>
        <v>avril</v>
      </c>
      <c r="B860">
        <f>data!B860</f>
        <v>2016</v>
      </c>
      <c r="C860" t="str">
        <f>data!C860</f>
        <v>002</v>
      </c>
      <c r="D860" t="str">
        <f>data!D860</f>
        <v>CAVE DE GALLICIAN</v>
      </c>
      <c r="E860" t="str">
        <f>data!E860</f>
        <v>002003</v>
      </c>
      <c r="F860" t="str">
        <f>data!F860</f>
        <v>VDP GARD. C GALLICIAN</v>
      </c>
      <c r="G860" s="10">
        <f>data!G860</f>
        <v>8766.66</v>
      </c>
      <c r="H860" s="10">
        <f>data!I860</f>
        <v>5735.4</v>
      </c>
      <c r="I860" s="10">
        <f t="shared" si="52"/>
        <v>3031.26</v>
      </c>
      <c r="J860" s="11">
        <f>data!H860</f>
        <v>9397.65</v>
      </c>
      <c r="K860" s="11">
        <f>data!J860</f>
        <v>6478.38</v>
      </c>
      <c r="L860" s="11">
        <f t="shared" si="53"/>
        <v>2919.2699999999995</v>
      </c>
      <c r="M860" s="9">
        <f t="shared" si="54"/>
        <v>0.52851762736687946</v>
      </c>
      <c r="N860" s="9">
        <f t="shared" si="55"/>
        <v>0.45061728395061718</v>
      </c>
    </row>
    <row r="861" spans="1:14" x14ac:dyDescent="0.25">
      <c r="A861" t="str">
        <f>TEXT("1/"&amp;data!A861,"mmmm")</f>
        <v>avril</v>
      </c>
      <c r="B861">
        <f>data!B861</f>
        <v>2016</v>
      </c>
      <c r="C861" t="str">
        <f>data!C861</f>
        <v>002</v>
      </c>
      <c r="D861" t="str">
        <f>data!D861</f>
        <v>CAVE DE GALLICIAN</v>
      </c>
      <c r="E861" t="str">
        <f>data!E861</f>
        <v>002004</v>
      </c>
      <c r="F861" t="str">
        <f>data!F861</f>
        <v>VDP GARD. C GALLICIAN</v>
      </c>
      <c r="G861" s="10">
        <f>data!G861</f>
        <v>1344.29</v>
      </c>
      <c r="H861" s="10">
        <f>data!I861</f>
        <v>1539.99</v>
      </c>
      <c r="I861" s="10">
        <f t="shared" si="52"/>
        <v>-195.70000000000005</v>
      </c>
      <c r="J861" s="11">
        <f>data!H861</f>
        <v>1207.27</v>
      </c>
      <c r="K861" s="11">
        <f>data!J861</f>
        <v>1500.75</v>
      </c>
      <c r="L861" s="11">
        <f t="shared" si="53"/>
        <v>-293.48</v>
      </c>
      <c r="M861" s="9">
        <f t="shared" si="54"/>
        <v>-0.12707874726459265</v>
      </c>
      <c r="N861" s="9">
        <f t="shared" si="55"/>
        <v>-0.19555555555555557</v>
      </c>
    </row>
    <row r="862" spans="1:14" x14ac:dyDescent="0.25">
      <c r="A862" t="str">
        <f>TEXT("1/"&amp;data!A862,"mmmm")</f>
        <v>avril</v>
      </c>
      <c r="B862">
        <f>data!B862</f>
        <v>2016</v>
      </c>
      <c r="C862" t="str">
        <f>data!C862</f>
        <v>002</v>
      </c>
      <c r="D862" t="str">
        <f>data!D862</f>
        <v>CAVE DE GALLICIAN</v>
      </c>
      <c r="E862" t="str">
        <f>data!E862</f>
        <v>002007</v>
      </c>
      <c r="F862" t="str">
        <f>data!F862</f>
        <v>VDT C GALLICIAN</v>
      </c>
      <c r="G862" s="10">
        <f>data!G862</f>
        <v>2046.8</v>
      </c>
      <c r="H862" s="10">
        <f>data!I862</f>
        <v>4344.24</v>
      </c>
      <c r="I862" s="10">
        <f t="shared" si="52"/>
        <v>-2297.4399999999996</v>
      </c>
      <c r="J862" s="11">
        <f>data!H862</f>
        <v>2279.4299999999998</v>
      </c>
      <c r="K862" s="11">
        <f>data!J862</f>
        <v>5118.72</v>
      </c>
      <c r="L862" s="11">
        <f t="shared" si="53"/>
        <v>-2839.2900000000004</v>
      </c>
      <c r="M862" s="9">
        <f t="shared" si="54"/>
        <v>-0.52884739333001851</v>
      </c>
      <c r="N862" s="9">
        <f t="shared" si="55"/>
        <v>-0.5546875</v>
      </c>
    </row>
    <row r="863" spans="1:14" x14ac:dyDescent="0.25">
      <c r="A863" t="str">
        <f>TEXT("1/"&amp;data!A863,"mmmm")</f>
        <v>avril</v>
      </c>
      <c r="B863">
        <f>data!B863</f>
        <v>2016</v>
      </c>
      <c r="C863" t="str">
        <f>data!C863</f>
        <v>002</v>
      </c>
      <c r="D863" t="str">
        <f>data!D863</f>
        <v>CAVE DE GALLICIAN</v>
      </c>
      <c r="E863" t="str">
        <f>data!E863</f>
        <v>002008</v>
      </c>
      <c r="F863" t="str">
        <f>data!F863</f>
        <v>VDT. C GALLICIAN</v>
      </c>
      <c r="G863" s="10">
        <f>data!G863</f>
        <v>1867.2</v>
      </c>
      <c r="H863" s="10">
        <f>data!I863</f>
        <v>445.75</v>
      </c>
      <c r="I863" s="10">
        <f t="shared" si="52"/>
        <v>1421.45</v>
      </c>
      <c r="J863" s="11">
        <f>data!H863</f>
        <v>2133.6000000000004</v>
      </c>
      <c r="K863" s="11">
        <f>data!J863</f>
        <v>266.70000000000005</v>
      </c>
      <c r="L863" s="11">
        <f t="shared" si="53"/>
        <v>1866.9000000000003</v>
      </c>
      <c r="M863" s="9">
        <f t="shared" si="54"/>
        <v>3.1888951205832865</v>
      </c>
      <c r="N863" s="9">
        <f t="shared" si="55"/>
        <v>7</v>
      </c>
    </row>
    <row r="864" spans="1:14" x14ac:dyDescent="0.25">
      <c r="A864" t="str">
        <f>TEXT("1/"&amp;data!A864,"mmmm")</f>
        <v>avril</v>
      </c>
      <c r="B864">
        <f>data!B864</f>
        <v>2016</v>
      </c>
      <c r="C864" t="str">
        <f>data!C864</f>
        <v>002</v>
      </c>
      <c r="D864" t="str">
        <f>data!D864</f>
        <v>CAVE DE GALLICIAN</v>
      </c>
      <c r="E864" t="str">
        <f>data!E864</f>
        <v>002009</v>
      </c>
      <c r="F864" t="str">
        <f>data!F864</f>
        <v>VDT. C GALLICIAN</v>
      </c>
      <c r="G864" s="10">
        <f>data!G864</f>
        <v>1447.08</v>
      </c>
      <c r="H864" s="10">
        <f>data!I864</f>
        <v>426.55</v>
      </c>
      <c r="I864" s="10">
        <f t="shared" si="52"/>
        <v>1020.53</v>
      </c>
      <c r="J864" s="11">
        <f>data!H864</f>
        <v>1653.5400000000002</v>
      </c>
      <c r="K864" s="11">
        <f>data!J864</f>
        <v>506.73</v>
      </c>
      <c r="L864" s="11">
        <f t="shared" si="53"/>
        <v>1146.8100000000002</v>
      </c>
      <c r="M864" s="9">
        <f t="shared" si="54"/>
        <v>2.3925213925682804</v>
      </c>
      <c r="N864" s="9">
        <f t="shared" si="55"/>
        <v>2.2631578947368425</v>
      </c>
    </row>
    <row r="865" spans="1:14" x14ac:dyDescent="0.25">
      <c r="A865" t="str">
        <f>TEXT("1/"&amp;data!A865,"mmmm")</f>
        <v>avril</v>
      </c>
      <c r="B865">
        <f>data!B865</f>
        <v>2016</v>
      </c>
      <c r="C865" t="str">
        <f>data!C865</f>
        <v>002</v>
      </c>
      <c r="D865" t="str">
        <f>data!D865</f>
        <v>CAVE DE GALLICIAN</v>
      </c>
      <c r="E865" t="str">
        <f>data!E865</f>
        <v>002010</v>
      </c>
      <c r="F865" t="str">
        <f>data!F865</f>
        <v>AC C. DE NIMES. C GALLICIAN</v>
      </c>
      <c r="G865" s="10">
        <f>data!G865</f>
        <v>2470.1</v>
      </c>
      <c r="H865" s="10">
        <f>data!I865</f>
        <v>2046.32</v>
      </c>
      <c r="I865" s="10">
        <f t="shared" si="52"/>
        <v>423.78</v>
      </c>
      <c r="J865" s="11">
        <f>data!H865</f>
        <v>1780.8899999999999</v>
      </c>
      <c r="K865" s="11">
        <f>data!J865</f>
        <v>1520.76</v>
      </c>
      <c r="L865" s="11">
        <f t="shared" si="53"/>
        <v>260.12999999999988</v>
      </c>
      <c r="M865" s="9">
        <f t="shared" si="54"/>
        <v>0.20709370968372492</v>
      </c>
      <c r="N865" s="9">
        <f t="shared" si="55"/>
        <v>0.17105263157894729</v>
      </c>
    </row>
    <row r="866" spans="1:14" x14ac:dyDescent="0.25">
      <c r="A866" t="str">
        <f>TEXT("1/"&amp;data!A866,"mmmm")</f>
        <v>avril</v>
      </c>
      <c r="B866">
        <f>data!B866</f>
        <v>2016</v>
      </c>
      <c r="C866" t="str">
        <f>data!C866</f>
        <v>002</v>
      </c>
      <c r="D866" t="str">
        <f>data!D866</f>
        <v>CAVE DE GALLICIAN</v>
      </c>
      <c r="E866" t="str">
        <f>data!E866</f>
        <v>002011</v>
      </c>
      <c r="F866" t="str">
        <f>data!F866</f>
        <v>AC C DE NIMES C. GALLICIAN</v>
      </c>
      <c r="G866" s="10">
        <f>data!G866</f>
        <v>4159.66</v>
      </c>
      <c r="H866" s="10">
        <f>data!I866</f>
        <v>4109.72</v>
      </c>
      <c r="I866" s="10">
        <f t="shared" si="52"/>
        <v>49.9399999999996</v>
      </c>
      <c r="J866" s="11">
        <f>data!H866</f>
        <v>3345.83</v>
      </c>
      <c r="K866" s="11">
        <f>data!J866</f>
        <v>3385.82</v>
      </c>
      <c r="L866" s="11">
        <f t="shared" si="53"/>
        <v>-39.990000000000236</v>
      </c>
      <c r="M866" s="9">
        <f t="shared" si="54"/>
        <v>1.2151679433148632E-2</v>
      </c>
      <c r="N866" s="9">
        <f t="shared" si="55"/>
        <v>-1.1811023622047313E-2</v>
      </c>
    </row>
    <row r="867" spans="1:14" x14ac:dyDescent="0.25">
      <c r="A867" t="str">
        <f>TEXT("1/"&amp;data!A867,"mmmm")</f>
        <v>avril</v>
      </c>
      <c r="B867">
        <f>data!B867</f>
        <v>2016</v>
      </c>
      <c r="C867" t="str">
        <f>data!C867</f>
        <v>002</v>
      </c>
      <c r="D867" t="str">
        <f>data!D867</f>
        <v>CAVE DE GALLICIAN</v>
      </c>
      <c r="E867" t="str">
        <f>data!E867</f>
        <v>002015</v>
      </c>
      <c r="F867" t="str">
        <f>data!F867</f>
        <v>AC C DE NIMES C. GALLICIAN</v>
      </c>
      <c r="G867" s="10">
        <f>data!G867</f>
        <v>2450.4899999999998</v>
      </c>
      <c r="H867" s="10">
        <f>data!I867</f>
        <v>4724.5600000000004</v>
      </c>
      <c r="I867" s="10">
        <f t="shared" si="52"/>
        <v>-2274.0700000000006</v>
      </c>
      <c r="J867" s="11">
        <f>data!H867</f>
        <v>1959.51</v>
      </c>
      <c r="K867" s="11">
        <f>data!J867</f>
        <v>3905.69</v>
      </c>
      <c r="L867" s="11">
        <f t="shared" si="53"/>
        <v>-1946.18</v>
      </c>
      <c r="M867" s="9">
        <f t="shared" si="54"/>
        <v>-0.48132947830062489</v>
      </c>
      <c r="N867" s="9">
        <f t="shared" si="55"/>
        <v>-0.4982935153583618</v>
      </c>
    </row>
    <row r="868" spans="1:14" x14ac:dyDescent="0.25">
      <c r="A868" t="str">
        <f>TEXT("1/"&amp;data!A868,"mmmm")</f>
        <v>avril</v>
      </c>
      <c r="B868">
        <f>data!B868</f>
        <v>2016</v>
      </c>
      <c r="C868" t="str">
        <f>data!C868</f>
        <v>002</v>
      </c>
      <c r="D868" t="str">
        <f>data!D868</f>
        <v>CAVE DE GALLICIAN</v>
      </c>
      <c r="E868" t="str">
        <f>data!E868</f>
        <v>002016</v>
      </c>
      <c r="F868" t="str">
        <f>data!F868</f>
        <v>AC C DE NIMES C. GALLICIAN</v>
      </c>
      <c r="G868" s="10">
        <f>data!G868</f>
        <v>2820.46</v>
      </c>
      <c r="H868" s="10">
        <f>data!I868</f>
        <v>2658.76</v>
      </c>
      <c r="I868" s="10">
        <f t="shared" si="52"/>
        <v>161.69999999999982</v>
      </c>
      <c r="J868" s="11">
        <f>data!H868</f>
        <v>2034.35</v>
      </c>
      <c r="K868" s="11">
        <f>data!J868</f>
        <v>1967.65</v>
      </c>
      <c r="L868" s="11">
        <f t="shared" si="53"/>
        <v>66.699999999999818</v>
      </c>
      <c r="M868" s="9">
        <f t="shared" si="54"/>
        <v>6.0817824850682198E-2</v>
      </c>
      <c r="N868" s="9">
        <f t="shared" si="55"/>
        <v>3.3898305084745665E-2</v>
      </c>
    </row>
    <row r="869" spans="1:14" x14ac:dyDescent="0.25">
      <c r="A869" t="str">
        <f>TEXT("1/"&amp;data!A869,"mmmm")</f>
        <v>avril</v>
      </c>
      <c r="B869">
        <f>data!B869</f>
        <v>2016</v>
      </c>
      <c r="C869" t="str">
        <f>data!C869</f>
        <v>002</v>
      </c>
      <c r="D869" t="str">
        <f>data!D869</f>
        <v>CAVE DE GALLICIAN</v>
      </c>
      <c r="E869" t="str">
        <f>data!E869</f>
        <v>002017</v>
      </c>
      <c r="F869" t="str">
        <f>data!F869</f>
        <v>VDP GARD C. GALLICIAN</v>
      </c>
      <c r="G869" s="10">
        <f>data!G869</f>
        <v>6952.52</v>
      </c>
      <c r="H869" s="10">
        <f>data!I869</f>
        <v>6243.12</v>
      </c>
      <c r="I869" s="10">
        <f t="shared" si="52"/>
        <v>709.40000000000055</v>
      </c>
      <c r="J869" s="11">
        <f>data!H869</f>
        <v>7451.47</v>
      </c>
      <c r="K869" s="11">
        <f>data!J869</f>
        <v>6998.25</v>
      </c>
      <c r="L869" s="11">
        <f t="shared" si="53"/>
        <v>453.22000000000025</v>
      </c>
      <c r="M869" s="9">
        <f t="shared" si="54"/>
        <v>0.1136290828944503</v>
      </c>
      <c r="N869" s="9">
        <f t="shared" si="55"/>
        <v>6.4761904761904798E-2</v>
      </c>
    </row>
    <row r="870" spans="1:14" x14ac:dyDescent="0.25">
      <c r="A870" t="str">
        <f>TEXT("1/"&amp;data!A870,"mmmm")</f>
        <v>avril</v>
      </c>
      <c r="B870">
        <f>data!B870</f>
        <v>2016</v>
      </c>
      <c r="C870" t="str">
        <f>data!C870</f>
        <v>002</v>
      </c>
      <c r="D870" t="str">
        <f>data!D870</f>
        <v>CAVE DE GALLICIAN</v>
      </c>
      <c r="E870" t="str">
        <f>data!E870</f>
        <v>002018</v>
      </c>
      <c r="F870" t="str">
        <f>data!F870</f>
        <v>VDP GARD C. GALLICIAN</v>
      </c>
      <c r="G870" s="10">
        <f>data!G870</f>
        <v>2875.55</v>
      </c>
      <c r="H870" s="10">
        <f>data!I870</f>
        <v>3349.5</v>
      </c>
      <c r="I870" s="10">
        <f t="shared" si="52"/>
        <v>-473.94999999999982</v>
      </c>
      <c r="J870" s="11">
        <f>data!H870</f>
        <v>2587.96</v>
      </c>
      <c r="K870" s="11">
        <f>data!J870</f>
        <v>3154.91</v>
      </c>
      <c r="L870" s="11">
        <f t="shared" si="53"/>
        <v>-566.94999999999982</v>
      </c>
      <c r="M870" s="9">
        <f t="shared" si="54"/>
        <v>-0.14149873115390352</v>
      </c>
      <c r="N870" s="9">
        <f t="shared" si="55"/>
        <v>-0.17970401691331919</v>
      </c>
    </row>
    <row r="871" spans="1:14" x14ac:dyDescent="0.25">
      <c r="A871" t="str">
        <f>TEXT("1/"&amp;data!A871,"mmmm")</f>
        <v>avril</v>
      </c>
      <c r="B871">
        <f>data!B871</f>
        <v>2016</v>
      </c>
      <c r="C871" t="str">
        <f>data!C871</f>
        <v>002</v>
      </c>
      <c r="D871" t="str">
        <f>data!D871</f>
        <v>CAVE DE GALLICIAN</v>
      </c>
      <c r="E871" t="str">
        <f>data!E871</f>
        <v>002020</v>
      </c>
      <c r="F871" t="str">
        <f>data!F871</f>
        <v>AC C DE NIMES C DES LAUNES</v>
      </c>
      <c r="G871" s="10">
        <f>data!G871</f>
        <v>2877.6</v>
      </c>
      <c r="H871" s="10">
        <f>data!I871</f>
        <v>1660.8</v>
      </c>
      <c r="I871" s="10">
        <f t="shared" si="52"/>
        <v>1216.8</v>
      </c>
      <c r="J871" s="11">
        <f>data!H871</f>
        <v>1176</v>
      </c>
      <c r="K871" s="11">
        <f>data!J871</f>
        <v>690</v>
      </c>
      <c r="L871" s="11">
        <f t="shared" si="53"/>
        <v>486</v>
      </c>
      <c r="M871" s="9">
        <f t="shared" si="54"/>
        <v>0.73265895953757221</v>
      </c>
      <c r="N871" s="9">
        <f t="shared" si="55"/>
        <v>0.70434782608695656</v>
      </c>
    </row>
    <row r="872" spans="1:14" x14ac:dyDescent="0.25">
      <c r="A872" t="str">
        <f>TEXT("1/"&amp;data!A872,"mmmm")</f>
        <v>avril</v>
      </c>
      <c r="B872">
        <f>data!B872</f>
        <v>2016</v>
      </c>
      <c r="C872" t="str">
        <f>data!C872</f>
        <v>002</v>
      </c>
      <c r="D872" t="str">
        <f>data!D872</f>
        <v>CAVE DE GALLICIAN</v>
      </c>
      <c r="E872" t="str">
        <f>data!E872</f>
        <v>002021</v>
      </c>
      <c r="F872" t="str">
        <f>data!F872</f>
        <v>AC COSTIERES DE NIMES CUVEE PRESTIGE</v>
      </c>
      <c r="G872" s="10">
        <f>data!G872</f>
        <v>39.42</v>
      </c>
      <c r="H872" s="10">
        <f>data!I872</f>
        <v>21.84</v>
      </c>
      <c r="I872" s="10">
        <f t="shared" si="52"/>
        <v>17.580000000000002</v>
      </c>
      <c r="J872" s="11">
        <f>data!H872</f>
        <v>18</v>
      </c>
      <c r="K872" s="11">
        <f>data!J872</f>
        <v>72</v>
      </c>
      <c r="L872" s="11">
        <f t="shared" si="53"/>
        <v>-54</v>
      </c>
      <c r="M872" s="9">
        <f t="shared" si="54"/>
        <v>0.80494505494505508</v>
      </c>
      <c r="N872" s="9">
        <f t="shared" si="55"/>
        <v>-0.75</v>
      </c>
    </row>
    <row r="873" spans="1:14" x14ac:dyDescent="0.25">
      <c r="A873" t="str">
        <f>TEXT("1/"&amp;data!A873,"mmmm")</f>
        <v>avril</v>
      </c>
      <c r="B873">
        <f>data!B873</f>
        <v>2016</v>
      </c>
      <c r="C873" t="str">
        <f>data!C873</f>
        <v>002</v>
      </c>
      <c r="D873" t="str">
        <f>data!D873</f>
        <v>CAVE DE GALLICIAN</v>
      </c>
      <c r="E873" t="str">
        <f>data!E873</f>
        <v>002023</v>
      </c>
      <c r="F873" t="str">
        <f>data!F873</f>
        <v>AC COSTIERES DE NIMES LES COMBES DE MEZIERES</v>
      </c>
      <c r="G873" s="10">
        <f>data!G873</f>
        <v>0</v>
      </c>
      <c r="H873" s="10">
        <f>data!I873</f>
        <v>65.7</v>
      </c>
      <c r="I873" s="10">
        <f t="shared" si="52"/>
        <v>-65.7</v>
      </c>
      <c r="J873" s="11">
        <f>data!H873</f>
        <v>6</v>
      </c>
      <c r="K873" s="11">
        <f>data!J873</f>
        <v>36</v>
      </c>
      <c r="L873" s="11">
        <f t="shared" si="53"/>
        <v>-30</v>
      </c>
      <c r="M873" s="9">
        <f t="shared" si="54"/>
        <v>-1</v>
      </c>
      <c r="N873" s="9">
        <f t="shared" si="55"/>
        <v>-0.83333333333333337</v>
      </c>
    </row>
    <row r="874" spans="1:14" x14ac:dyDescent="0.25">
      <c r="A874" t="str">
        <f>TEXT("1/"&amp;data!A874,"mmmm")</f>
        <v>avril</v>
      </c>
      <c r="B874">
        <f>data!B874</f>
        <v>2016</v>
      </c>
      <c r="C874" t="str">
        <f>data!C874</f>
        <v>002</v>
      </c>
      <c r="D874" t="str">
        <f>data!D874</f>
        <v>CAVE DE GALLICIAN</v>
      </c>
      <c r="E874" t="str">
        <f>data!E874</f>
        <v>002024</v>
      </c>
      <c r="F874" t="str">
        <f>data!F874</f>
        <v>IGP MERLOT D'OC Cave Gallician</v>
      </c>
      <c r="G874" s="10">
        <f>data!G874</f>
        <v>12</v>
      </c>
      <c r="H874" s="10">
        <f>data!I874</f>
        <v>0</v>
      </c>
      <c r="I874" s="10">
        <f t="shared" si="52"/>
        <v>12</v>
      </c>
      <c r="J874" s="11">
        <f>data!H874</f>
        <v>6</v>
      </c>
      <c r="K874" s="11">
        <f>data!J874</f>
        <v>0</v>
      </c>
      <c r="L874" s="11">
        <f t="shared" si="53"/>
        <v>6</v>
      </c>
      <c r="M874" s="9" t="str">
        <f t="shared" si="54"/>
        <v/>
      </c>
      <c r="N874" s="9" t="str">
        <f t="shared" si="55"/>
        <v/>
      </c>
    </row>
    <row r="875" spans="1:14" x14ac:dyDescent="0.25">
      <c r="A875" t="str">
        <f>TEXT("1/"&amp;data!A875,"mmmm")</f>
        <v>avril</v>
      </c>
      <c r="B875">
        <f>data!B875</f>
        <v>2016</v>
      </c>
      <c r="C875" t="str">
        <f>data!C875</f>
        <v>002</v>
      </c>
      <c r="D875" t="str">
        <f>data!D875</f>
        <v>CAVE DE GALLICIAN</v>
      </c>
      <c r="E875" t="str">
        <f>data!E875</f>
        <v>002025</v>
      </c>
      <c r="F875" t="str">
        <f>data!F875</f>
        <v>AC COSTIERES DE NIMES CUVEE PRESTIGE</v>
      </c>
      <c r="G875" s="10">
        <f>data!G875</f>
        <v>170.82</v>
      </c>
      <c r="H875" s="10">
        <f>data!I875</f>
        <v>105.12</v>
      </c>
      <c r="I875" s="10">
        <f t="shared" si="52"/>
        <v>65.699999999999989</v>
      </c>
      <c r="J875" s="11">
        <f>data!H875</f>
        <v>90</v>
      </c>
      <c r="K875" s="11">
        <f>data!J875</f>
        <v>54</v>
      </c>
      <c r="L875" s="11">
        <f t="shared" si="53"/>
        <v>36</v>
      </c>
      <c r="M875" s="9">
        <f t="shared" si="54"/>
        <v>0.62499999999999989</v>
      </c>
      <c r="N875" s="9">
        <f t="shared" si="55"/>
        <v>0.66666666666666663</v>
      </c>
    </row>
    <row r="876" spans="1:14" x14ac:dyDescent="0.25">
      <c r="A876" t="str">
        <f>TEXT("1/"&amp;data!A876,"mmmm")</f>
        <v>avril</v>
      </c>
      <c r="B876">
        <f>data!B876</f>
        <v>2016</v>
      </c>
      <c r="C876" t="str">
        <f>data!C876</f>
        <v>002</v>
      </c>
      <c r="D876" t="str">
        <f>data!D876</f>
        <v>CAVE DE GALLICIAN</v>
      </c>
      <c r="E876" t="str">
        <f>data!E876</f>
        <v>002026</v>
      </c>
      <c r="F876" t="str">
        <f>data!F876</f>
        <v>IGP GARD GRES D'OR</v>
      </c>
      <c r="G876" s="10">
        <f>data!G876</f>
        <v>148.32</v>
      </c>
      <c r="H876" s="10">
        <f>data!I876</f>
        <v>368.1</v>
      </c>
      <c r="I876" s="10">
        <f t="shared" si="52"/>
        <v>-219.78000000000003</v>
      </c>
      <c r="J876" s="11">
        <f>data!H876</f>
        <v>72</v>
      </c>
      <c r="K876" s="11">
        <f>data!J876</f>
        <v>180</v>
      </c>
      <c r="L876" s="11">
        <f t="shared" si="53"/>
        <v>-108</v>
      </c>
      <c r="M876" s="9">
        <f t="shared" si="54"/>
        <v>-0.5970660146699267</v>
      </c>
      <c r="N876" s="9">
        <f t="shared" si="55"/>
        <v>-0.6</v>
      </c>
    </row>
    <row r="877" spans="1:14" x14ac:dyDescent="0.25">
      <c r="A877" t="str">
        <f>TEXT("1/"&amp;data!A877,"mmmm")</f>
        <v>avril</v>
      </c>
      <c r="B877">
        <f>data!B877</f>
        <v>2016</v>
      </c>
      <c r="C877" t="str">
        <f>data!C877</f>
        <v>002</v>
      </c>
      <c r="D877" t="str">
        <f>data!D877</f>
        <v>CAVE DE GALLICIAN</v>
      </c>
      <c r="E877" t="str">
        <f>data!E877</f>
        <v>002027</v>
      </c>
      <c r="F877" t="str">
        <f>data!F877</f>
        <v>IGP D'OC  GRIS DES LAUNES  GALLICIAN</v>
      </c>
      <c r="G877" s="10">
        <f>data!G877</f>
        <v>1512</v>
      </c>
      <c r="H877" s="10">
        <f>data!I877</f>
        <v>1527.79</v>
      </c>
      <c r="I877" s="10">
        <f t="shared" si="52"/>
        <v>-15.789999999999964</v>
      </c>
      <c r="J877" s="11">
        <f>data!H877</f>
        <v>804</v>
      </c>
      <c r="K877" s="11">
        <f>data!J877</f>
        <v>852</v>
      </c>
      <c r="L877" s="11">
        <f t="shared" si="53"/>
        <v>-48</v>
      </c>
      <c r="M877" s="9">
        <f t="shared" si="54"/>
        <v>-1.0335190045752337E-2</v>
      </c>
      <c r="N877" s="9">
        <f t="shared" si="55"/>
        <v>-5.6338028169014086E-2</v>
      </c>
    </row>
    <row r="878" spans="1:14" x14ac:dyDescent="0.25">
      <c r="A878" t="str">
        <f>TEXT("1/"&amp;data!A878,"mmmm")</f>
        <v>avril</v>
      </c>
      <c r="B878">
        <f>data!B878</f>
        <v>2016</v>
      </c>
      <c r="C878" t="str">
        <f>data!C878</f>
        <v>002</v>
      </c>
      <c r="D878" t="str">
        <f>data!D878</f>
        <v>CAVE DE GALLICIAN</v>
      </c>
      <c r="E878" t="str">
        <f>data!E878</f>
        <v>002033</v>
      </c>
      <c r="F878" t="str">
        <f>data!F878</f>
        <v>AOP COSTIERES DE NIMES</v>
      </c>
      <c r="G878" s="10">
        <f>data!G878</f>
        <v>26.4</v>
      </c>
      <c r="H878" s="10">
        <f>data!I878</f>
        <v>74.760000000000005</v>
      </c>
      <c r="I878" s="10">
        <f t="shared" si="52"/>
        <v>-48.360000000000007</v>
      </c>
      <c r="J878" s="11">
        <f>data!H878</f>
        <v>16</v>
      </c>
      <c r="K878" s="11">
        <f>data!J878</f>
        <v>48</v>
      </c>
      <c r="L878" s="11">
        <f t="shared" si="53"/>
        <v>-32</v>
      </c>
      <c r="M878" s="9">
        <f t="shared" si="54"/>
        <v>-0.64686998394863571</v>
      </c>
      <c r="N878" s="9">
        <f t="shared" si="55"/>
        <v>-0.66666666666666663</v>
      </c>
    </row>
    <row r="879" spans="1:14" x14ac:dyDescent="0.25">
      <c r="A879" t="str">
        <f>TEXT("1/"&amp;data!A879,"mmmm")</f>
        <v>avril</v>
      </c>
      <c r="B879">
        <f>data!B879</f>
        <v>2016</v>
      </c>
      <c r="C879" t="str">
        <f>data!C879</f>
        <v>002</v>
      </c>
      <c r="D879" t="str">
        <f>data!D879</f>
        <v>CAVE DE GALLICIAN</v>
      </c>
      <c r="E879" t="str">
        <f>data!E879</f>
        <v>002034</v>
      </c>
      <c r="F879" t="str">
        <f>data!F879</f>
        <v>AOP COSTIERES DE NIMES</v>
      </c>
      <c r="G879" s="10">
        <f>data!G879</f>
        <v>13.2</v>
      </c>
      <c r="H879" s="10">
        <f>data!I879</f>
        <v>105.91</v>
      </c>
      <c r="I879" s="10">
        <f t="shared" si="52"/>
        <v>-92.71</v>
      </c>
      <c r="J879" s="11">
        <f>data!H879</f>
        <v>8</v>
      </c>
      <c r="K879" s="11">
        <f>data!J879</f>
        <v>68</v>
      </c>
      <c r="L879" s="11">
        <f t="shared" si="53"/>
        <v>-60</v>
      </c>
      <c r="M879" s="9">
        <f t="shared" si="54"/>
        <v>-0.87536587668775367</v>
      </c>
      <c r="N879" s="9">
        <f t="shared" si="55"/>
        <v>-0.88235294117647056</v>
      </c>
    </row>
    <row r="880" spans="1:14" x14ac:dyDescent="0.25">
      <c r="A880" t="str">
        <f>TEXT("1/"&amp;data!A880,"mmmm")</f>
        <v>avril</v>
      </c>
      <c r="B880">
        <f>data!B880</f>
        <v>2016</v>
      </c>
      <c r="C880" t="str">
        <f>data!C880</f>
        <v>002</v>
      </c>
      <c r="D880" t="str">
        <f>data!D880</f>
        <v>CAVE DE GALLICIAN</v>
      </c>
      <c r="E880" t="str">
        <f>data!E880</f>
        <v>002035</v>
      </c>
      <c r="F880" t="str">
        <f>data!F880</f>
        <v>AOP COSTIERES DE NIMES</v>
      </c>
      <c r="G880" s="10">
        <f>data!G880</f>
        <v>6.6</v>
      </c>
      <c r="H880" s="10">
        <f>data!I880</f>
        <v>56.07</v>
      </c>
      <c r="I880" s="10">
        <f t="shared" si="52"/>
        <v>-49.47</v>
      </c>
      <c r="J880" s="11">
        <f>data!H880</f>
        <v>4</v>
      </c>
      <c r="K880" s="11">
        <f>data!J880</f>
        <v>36</v>
      </c>
      <c r="L880" s="11">
        <f t="shared" si="53"/>
        <v>-32</v>
      </c>
      <c r="M880" s="9">
        <f t="shared" si="54"/>
        <v>-0.88228999464954516</v>
      </c>
      <c r="N880" s="9">
        <f t="shared" si="55"/>
        <v>-0.88888888888888884</v>
      </c>
    </row>
    <row r="881" spans="1:14" x14ac:dyDescent="0.25">
      <c r="A881" t="str">
        <f>TEXT("1/"&amp;data!A881,"mmmm")</f>
        <v>avril</v>
      </c>
      <c r="B881">
        <f>data!B881</f>
        <v>2016</v>
      </c>
      <c r="C881" t="str">
        <f>data!C881</f>
        <v>002</v>
      </c>
      <c r="D881" t="str">
        <f>data!D881</f>
        <v>CAVE DE GALLICIAN</v>
      </c>
      <c r="E881" t="str">
        <f>data!E881</f>
        <v>002037</v>
      </c>
      <c r="F881" t="str">
        <f>data!F881</f>
        <v>AOP COSTIERES DE NIMES COMBES DE MEZIERES</v>
      </c>
      <c r="G881" s="10">
        <f>data!G881</f>
        <v>178.8</v>
      </c>
      <c r="H881" s="10">
        <f>data!I881</f>
        <v>235.2</v>
      </c>
      <c r="I881" s="10">
        <f t="shared" si="52"/>
        <v>-56.399999999999977</v>
      </c>
      <c r="J881" s="11">
        <f>data!H881</f>
        <v>60</v>
      </c>
      <c r="K881" s="11">
        <f>data!J881</f>
        <v>84</v>
      </c>
      <c r="L881" s="11">
        <f t="shared" si="53"/>
        <v>-24</v>
      </c>
      <c r="M881" s="9">
        <f t="shared" si="54"/>
        <v>-0.23979591836734684</v>
      </c>
      <c r="N881" s="9">
        <f t="shared" si="55"/>
        <v>-0.2857142857142857</v>
      </c>
    </row>
    <row r="882" spans="1:14" x14ac:dyDescent="0.25">
      <c r="A882" t="str">
        <f>TEXT("1/"&amp;data!A882,"mmmm")</f>
        <v>avril</v>
      </c>
      <c r="B882">
        <f>data!B882</f>
        <v>2016</v>
      </c>
      <c r="C882" t="str">
        <f>data!C882</f>
        <v>002</v>
      </c>
      <c r="D882" t="str">
        <f>data!D882</f>
        <v>CAVE DE GALLICIAN</v>
      </c>
      <c r="E882" t="str">
        <f>data!E882</f>
        <v>002040</v>
      </c>
      <c r="F882" t="str">
        <f>data!F882</f>
        <v>AOP COSTIERES DE NIMES PRESTIGE</v>
      </c>
      <c r="G882" s="10">
        <f>data!G882</f>
        <v>433.62</v>
      </c>
      <c r="H882" s="10">
        <f>data!I882</f>
        <v>0</v>
      </c>
      <c r="I882" s="10">
        <f t="shared" si="52"/>
        <v>433.62</v>
      </c>
      <c r="J882" s="11">
        <f>data!H882</f>
        <v>204</v>
      </c>
      <c r="K882" s="11">
        <f>data!J882</f>
        <v>0</v>
      </c>
      <c r="L882" s="11">
        <f t="shared" si="53"/>
        <v>204</v>
      </c>
      <c r="M882" s="9" t="str">
        <f t="shared" si="54"/>
        <v/>
      </c>
      <c r="N882" s="9" t="str">
        <f t="shared" si="55"/>
        <v/>
      </c>
    </row>
    <row r="883" spans="1:14" x14ac:dyDescent="0.25">
      <c r="A883" t="str">
        <f>TEXT("1/"&amp;data!A883,"mmmm")</f>
        <v>avril</v>
      </c>
      <c r="B883">
        <f>data!B883</f>
        <v>2016</v>
      </c>
      <c r="C883" t="str">
        <f>data!C883</f>
        <v>002</v>
      </c>
      <c r="D883" t="str">
        <f>data!D883</f>
        <v>CAVE DE GALLICIAN</v>
      </c>
      <c r="E883" t="str">
        <f>data!E883</f>
        <v>002100</v>
      </c>
      <c r="F883" t="str">
        <f>data!F883</f>
        <v>VDP DU GARD. LOU GRES D'OR</v>
      </c>
      <c r="G883" s="10">
        <f>data!G883</f>
        <v>587.4</v>
      </c>
      <c r="H883" s="10">
        <f>data!I883</f>
        <v>705.84</v>
      </c>
      <c r="I883" s="10">
        <f t="shared" si="52"/>
        <v>-118.44000000000005</v>
      </c>
      <c r="J883" s="11">
        <f>data!H883</f>
        <v>330</v>
      </c>
      <c r="K883" s="11">
        <f>data!J883</f>
        <v>408</v>
      </c>
      <c r="L883" s="11">
        <f t="shared" si="53"/>
        <v>-78</v>
      </c>
      <c r="M883" s="9">
        <f t="shared" si="54"/>
        <v>-0.16780006800408032</v>
      </c>
      <c r="N883" s="9">
        <f t="shared" si="55"/>
        <v>-0.19117647058823528</v>
      </c>
    </row>
    <row r="884" spans="1:14" x14ac:dyDescent="0.25">
      <c r="A884" t="str">
        <f>TEXT("1/"&amp;data!A884,"mmmm")</f>
        <v>avril</v>
      </c>
      <c r="B884">
        <f>data!B884</f>
        <v>2016</v>
      </c>
      <c r="C884" t="str">
        <f>data!C884</f>
        <v>002</v>
      </c>
      <c r="D884" t="str">
        <f>data!D884</f>
        <v>CAVE DE GALLICIAN</v>
      </c>
      <c r="E884" t="str">
        <f>data!E884</f>
        <v>002101</v>
      </c>
      <c r="F884" t="str">
        <f>data!F884</f>
        <v>IGP DU GARD LOU GRES D'OR</v>
      </c>
      <c r="G884" s="10">
        <f>data!G884</f>
        <v>610.54</v>
      </c>
      <c r="H884" s="10">
        <f>data!I884</f>
        <v>301.02</v>
      </c>
      <c r="I884" s="10">
        <f t="shared" si="52"/>
        <v>309.52</v>
      </c>
      <c r="J884" s="11">
        <f>data!H884</f>
        <v>343</v>
      </c>
      <c r="K884" s="11">
        <f>data!J884</f>
        <v>174</v>
      </c>
      <c r="L884" s="11">
        <f t="shared" si="53"/>
        <v>169</v>
      </c>
      <c r="M884" s="9">
        <f t="shared" si="54"/>
        <v>1.0282373264234934</v>
      </c>
      <c r="N884" s="9">
        <f t="shared" si="55"/>
        <v>0.97126436781609193</v>
      </c>
    </row>
    <row r="885" spans="1:14" x14ac:dyDescent="0.25">
      <c r="A885" t="str">
        <f>TEXT("1/"&amp;data!A885,"mmmm")</f>
        <v>avril</v>
      </c>
      <c r="B885">
        <f>data!B885</f>
        <v>2016</v>
      </c>
      <c r="C885" t="str">
        <f>data!C885</f>
        <v>002</v>
      </c>
      <c r="D885" t="str">
        <f>data!D885</f>
        <v>CAVE DE GALLICIAN</v>
      </c>
      <c r="E885" t="str">
        <f>data!E885</f>
        <v>002200</v>
      </c>
      <c r="F885" t="str">
        <f>data!F885</f>
        <v>ROSE PAMPLEMOUSSE</v>
      </c>
      <c r="G885" s="10">
        <f>data!G885</f>
        <v>0</v>
      </c>
      <c r="H885" s="10">
        <f>data!I885</f>
        <v>284.33999999999997</v>
      </c>
      <c r="I885" s="10">
        <f t="shared" si="52"/>
        <v>-284.33999999999997</v>
      </c>
      <c r="J885" s="11">
        <f>data!H885</f>
        <v>4</v>
      </c>
      <c r="K885" s="11">
        <f>data!J885</f>
        <v>168</v>
      </c>
      <c r="L885" s="11">
        <f t="shared" si="53"/>
        <v>-164</v>
      </c>
      <c r="M885" s="9">
        <f t="shared" si="54"/>
        <v>-1</v>
      </c>
      <c r="N885" s="9">
        <f t="shared" si="55"/>
        <v>-0.97619047619047616</v>
      </c>
    </row>
    <row r="886" spans="1:14" x14ac:dyDescent="0.25">
      <c r="A886" t="str">
        <f>TEXT("1/"&amp;data!A886,"mmmm")</f>
        <v>avril</v>
      </c>
      <c r="B886">
        <f>data!B886</f>
        <v>2016</v>
      </c>
      <c r="C886" t="str">
        <f>data!C886</f>
        <v>002</v>
      </c>
      <c r="D886" t="str">
        <f>data!D886</f>
        <v>CAVE DE GALLICIAN</v>
      </c>
      <c r="E886" t="str">
        <f>data!E886</f>
        <v>002900</v>
      </c>
      <c r="F886" t="str">
        <f>data!F886</f>
        <v>VDT CUVEE PRINCIE étiq perso scaeL</v>
      </c>
      <c r="G886" s="10">
        <f>data!G886</f>
        <v>877.5</v>
      </c>
      <c r="H886" s="10">
        <f>data!I886</f>
        <v>0</v>
      </c>
      <c r="I886" s="10">
        <f t="shared" si="52"/>
        <v>877.5</v>
      </c>
      <c r="J886" s="11">
        <f>data!H886</f>
        <v>1200.1500000000001</v>
      </c>
      <c r="K886" s="11">
        <f>data!J886</f>
        <v>0</v>
      </c>
      <c r="L886" s="11">
        <f t="shared" si="53"/>
        <v>1200.1500000000001</v>
      </c>
      <c r="M886" s="9" t="str">
        <f t="shared" si="54"/>
        <v/>
      </c>
      <c r="N886" s="9" t="str">
        <f t="shared" si="55"/>
        <v/>
      </c>
    </row>
    <row r="887" spans="1:14" x14ac:dyDescent="0.25">
      <c r="A887" t="str">
        <f>TEXT("1/"&amp;data!A887,"mmmm")</f>
        <v>avril</v>
      </c>
      <c r="B887">
        <f>data!B887</f>
        <v>2016</v>
      </c>
      <c r="C887" t="str">
        <f>data!C887</f>
        <v>002</v>
      </c>
      <c r="D887" t="str">
        <f>data!D887</f>
        <v>CAVE DE GALLICIAN</v>
      </c>
      <c r="E887" t="str">
        <f>data!E887</f>
        <v>002901</v>
      </c>
      <c r="F887" t="str">
        <f>data!F887</f>
        <v>VDT. CUVEE FIOJOLI étiq perso scaeL</v>
      </c>
      <c r="G887" s="10">
        <f>data!G887</f>
        <v>2632.5</v>
      </c>
      <c r="H887" s="10">
        <f>data!I887</f>
        <v>0</v>
      </c>
      <c r="I887" s="10">
        <f t="shared" si="52"/>
        <v>2632.5</v>
      </c>
      <c r="J887" s="11">
        <f>data!H887</f>
        <v>3600.4500000000003</v>
      </c>
      <c r="K887" s="11">
        <f>data!J887</f>
        <v>0</v>
      </c>
      <c r="L887" s="11">
        <f t="shared" si="53"/>
        <v>3600.4500000000003</v>
      </c>
      <c r="M887" s="9" t="str">
        <f t="shared" si="54"/>
        <v/>
      </c>
      <c r="N887" s="9" t="str">
        <f t="shared" si="55"/>
        <v/>
      </c>
    </row>
    <row r="888" spans="1:14" x14ac:dyDescent="0.25">
      <c r="A888" t="str">
        <f>TEXT("1/"&amp;data!A888,"mmmm")</f>
        <v>avril</v>
      </c>
      <c r="B888">
        <f>data!B888</f>
        <v>2016</v>
      </c>
      <c r="C888" t="str">
        <f>data!C888</f>
        <v>002</v>
      </c>
      <c r="D888" t="str">
        <f>data!D888</f>
        <v>CAVE DE GALLICIAN</v>
      </c>
      <c r="E888" t="str">
        <f>data!E888</f>
        <v>002902</v>
      </c>
      <c r="F888" t="str">
        <f>data!F888</f>
        <v>VDT. CUVEE LEON étiq perso scaeL</v>
      </c>
      <c r="G888" s="10">
        <f>data!G888</f>
        <v>1016.26</v>
      </c>
      <c r="H888" s="10">
        <f>data!I888</f>
        <v>0</v>
      </c>
      <c r="I888" s="10">
        <f t="shared" si="52"/>
        <v>1016.26</v>
      </c>
      <c r="J888" s="11">
        <f>data!H888</f>
        <v>1306.8300000000002</v>
      </c>
      <c r="K888" s="11">
        <f>data!J888</f>
        <v>0</v>
      </c>
      <c r="L888" s="11">
        <f t="shared" si="53"/>
        <v>1306.8300000000002</v>
      </c>
      <c r="M888" s="9" t="str">
        <f t="shared" si="54"/>
        <v/>
      </c>
      <c r="N888" s="9" t="str">
        <f t="shared" si="55"/>
        <v/>
      </c>
    </row>
    <row r="889" spans="1:14" x14ac:dyDescent="0.25">
      <c r="A889" t="str">
        <f>TEXT("1/"&amp;data!A889,"mmmm")</f>
        <v>avril</v>
      </c>
      <c r="B889">
        <f>data!B889</f>
        <v>2016</v>
      </c>
      <c r="C889" t="str">
        <f>data!C889</f>
        <v>002</v>
      </c>
      <c r="D889" t="str">
        <f>data!D889</f>
        <v>CAVE DE GALLICIAN</v>
      </c>
      <c r="E889" t="str">
        <f>data!E889</f>
        <v>002903</v>
      </c>
      <c r="F889" t="str">
        <f>data!F889</f>
        <v>VDP MERLOT C. GALLICIAN</v>
      </c>
      <c r="G889" s="10">
        <f>data!G889</f>
        <v>1057.5</v>
      </c>
      <c r="H889" s="10">
        <f>data!I889</f>
        <v>91.6</v>
      </c>
      <c r="I889" s="10">
        <f t="shared" si="52"/>
        <v>965.9</v>
      </c>
      <c r="J889" s="11">
        <f>data!H889</f>
        <v>1200.1500000000001</v>
      </c>
      <c r="K889" s="11">
        <f>data!J889</f>
        <v>293.37</v>
      </c>
      <c r="L889" s="11">
        <f t="shared" si="53"/>
        <v>906.78000000000009</v>
      </c>
      <c r="M889" s="9">
        <f t="shared" si="54"/>
        <v>10.544759825327512</v>
      </c>
      <c r="N889" s="9">
        <f t="shared" si="55"/>
        <v>3.0909090909090913</v>
      </c>
    </row>
    <row r="890" spans="1:14" x14ac:dyDescent="0.25">
      <c r="A890" t="str">
        <f>TEXT("1/"&amp;data!A890,"mmmm")</f>
        <v>avril</v>
      </c>
      <c r="B890">
        <f>data!B890</f>
        <v>2016</v>
      </c>
      <c r="C890" t="str">
        <f>data!C890</f>
        <v>002</v>
      </c>
      <c r="D890" t="str">
        <f>data!D890</f>
        <v>CAVE DE GALLICIAN</v>
      </c>
      <c r="E890" t="str">
        <f>data!E890</f>
        <v>002905</v>
      </c>
      <c r="F890" t="str">
        <f>data!F890</f>
        <v>VDT. CUVEE FIOJOLI étiq perso scaeL</v>
      </c>
      <c r="G890" s="10">
        <f>data!G890</f>
        <v>734.4</v>
      </c>
      <c r="H890" s="10">
        <f>data!I890</f>
        <v>259.2</v>
      </c>
      <c r="I890" s="10">
        <f t="shared" si="52"/>
        <v>475.2</v>
      </c>
      <c r="J890" s="11">
        <f>data!H890</f>
        <v>906.44</v>
      </c>
      <c r="K890" s="11">
        <f>data!J890</f>
        <v>559.86</v>
      </c>
      <c r="L890" s="11">
        <f t="shared" si="53"/>
        <v>346.58000000000004</v>
      </c>
      <c r="M890" s="9">
        <f t="shared" si="54"/>
        <v>1.8333333333333333</v>
      </c>
      <c r="N890" s="9">
        <f t="shared" si="55"/>
        <v>0.61904761904761907</v>
      </c>
    </row>
    <row r="891" spans="1:14" x14ac:dyDescent="0.25">
      <c r="A891" t="str">
        <f>TEXT("1/"&amp;data!A891,"mmmm")</f>
        <v>avril</v>
      </c>
      <c r="B891">
        <f>data!B891</f>
        <v>2016</v>
      </c>
      <c r="C891" t="str">
        <f>data!C891</f>
        <v>007</v>
      </c>
      <c r="D891" t="str">
        <f>data!D891</f>
        <v>DOMAINE ANDRE DUSSOURT</v>
      </c>
      <c r="E891" t="str">
        <f>data!E891</f>
        <v>007001</v>
      </c>
      <c r="F891" t="str">
        <f>data!F891</f>
        <v>DME DUSSOURT AC SYLVANER</v>
      </c>
      <c r="G891" s="10">
        <f>data!G891</f>
        <v>72</v>
      </c>
      <c r="H891" s="10">
        <f>data!I891</f>
        <v>43.8</v>
      </c>
      <c r="I891" s="10">
        <f t="shared" si="52"/>
        <v>28.200000000000003</v>
      </c>
      <c r="J891" s="11">
        <f>data!H891</f>
        <v>18</v>
      </c>
      <c r="K891" s="11">
        <f>data!J891</f>
        <v>0</v>
      </c>
      <c r="L891" s="11">
        <f t="shared" si="53"/>
        <v>18</v>
      </c>
      <c r="M891" s="9">
        <f t="shared" si="54"/>
        <v>0.6438356164383563</v>
      </c>
      <c r="N891" s="9" t="str">
        <f t="shared" si="55"/>
        <v/>
      </c>
    </row>
    <row r="892" spans="1:14" x14ac:dyDescent="0.25">
      <c r="A892" t="str">
        <f>TEXT("1/"&amp;data!A892,"mmmm")</f>
        <v>avril</v>
      </c>
      <c r="B892">
        <f>data!B892</f>
        <v>2016</v>
      </c>
      <c r="C892" t="str">
        <f>data!C892</f>
        <v>007</v>
      </c>
      <c r="D892" t="str">
        <f>data!D892</f>
        <v>DOMAINE ANDRE DUSSOURT</v>
      </c>
      <c r="E892" t="str">
        <f>data!E892</f>
        <v>007002</v>
      </c>
      <c r="F892" t="str">
        <f>data!F892</f>
        <v>AC RIESLING D. DUSSOURT</v>
      </c>
      <c r="G892" s="10">
        <f>data!G892</f>
        <v>248.4</v>
      </c>
      <c r="H892" s="10">
        <f>data!I892</f>
        <v>265.8</v>
      </c>
      <c r="I892" s="10">
        <f t="shared" si="52"/>
        <v>-17.400000000000006</v>
      </c>
      <c r="J892" s="11">
        <f>data!H892</f>
        <v>54</v>
      </c>
      <c r="K892" s="11">
        <f>data!J892</f>
        <v>66</v>
      </c>
      <c r="L892" s="11">
        <f t="shared" si="53"/>
        <v>-12</v>
      </c>
      <c r="M892" s="9">
        <f t="shared" si="54"/>
        <v>-6.5462753950338626E-2</v>
      </c>
      <c r="N892" s="9">
        <f t="shared" si="55"/>
        <v>-0.18181818181818182</v>
      </c>
    </row>
    <row r="893" spans="1:14" x14ac:dyDescent="0.25">
      <c r="A893" t="str">
        <f>TEXT("1/"&amp;data!A893,"mmmm")</f>
        <v>avril</v>
      </c>
      <c r="B893">
        <f>data!B893</f>
        <v>2016</v>
      </c>
      <c r="C893" t="str">
        <f>data!C893</f>
        <v>007</v>
      </c>
      <c r="D893" t="str">
        <f>data!D893</f>
        <v>DOMAINE ANDRE DUSSOURT</v>
      </c>
      <c r="E893" t="str">
        <f>data!E893</f>
        <v>007003</v>
      </c>
      <c r="F893" t="str">
        <f>data!F893</f>
        <v>AC PINOT GRIS D. DUSSOURT</v>
      </c>
      <c r="G893" s="10">
        <f>data!G893</f>
        <v>66</v>
      </c>
      <c r="H893" s="10">
        <f>data!I893</f>
        <v>93.6</v>
      </c>
      <c r="I893" s="10">
        <f t="shared" si="52"/>
        <v>-27.599999999999994</v>
      </c>
      <c r="J893" s="11">
        <f>data!H893</f>
        <v>12</v>
      </c>
      <c r="K893" s="11">
        <f>data!J893</f>
        <v>18</v>
      </c>
      <c r="L893" s="11">
        <f t="shared" si="53"/>
        <v>-6</v>
      </c>
      <c r="M893" s="9">
        <f t="shared" si="54"/>
        <v>-0.29487179487179482</v>
      </c>
      <c r="N893" s="9">
        <f t="shared" si="55"/>
        <v>-0.33333333333333331</v>
      </c>
    </row>
    <row r="894" spans="1:14" x14ac:dyDescent="0.25">
      <c r="A894" t="str">
        <f>TEXT("1/"&amp;data!A894,"mmmm")</f>
        <v>avril</v>
      </c>
      <c r="B894">
        <f>data!B894</f>
        <v>2016</v>
      </c>
      <c r="C894" t="str">
        <f>data!C894</f>
        <v>007</v>
      </c>
      <c r="D894" t="str">
        <f>data!D894</f>
        <v>DOMAINE ANDRE DUSSOURT</v>
      </c>
      <c r="E894" t="str">
        <f>data!E894</f>
        <v>007004</v>
      </c>
      <c r="F894" t="str">
        <f>data!F894</f>
        <v>AC GEWURZTRAMINER D. DUSSOURT</v>
      </c>
      <c r="G894" s="10">
        <f>data!G894</f>
        <v>391.5</v>
      </c>
      <c r="H894" s="10">
        <f>data!I894</f>
        <v>162</v>
      </c>
      <c r="I894" s="10">
        <f t="shared" si="52"/>
        <v>229.5</v>
      </c>
      <c r="J894" s="11">
        <f>data!H894</f>
        <v>54</v>
      </c>
      <c r="K894" s="11">
        <f>data!J894</f>
        <v>24</v>
      </c>
      <c r="L894" s="11">
        <f t="shared" si="53"/>
        <v>30</v>
      </c>
      <c r="M894" s="9">
        <f t="shared" si="54"/>
        <v>1.4166666666666667</v>
      </c>
      <c r="N894" s="9">
        <f t="shared" si="55"/>
        <v>1.25</v>
      </c>
    </row>
    <row r="895" spans="1:14" x14ac:dyDescent="0.25">
      <c r="A895" t="str">
        <f>TEXT("1/"&amp;data!A895,"mmmm")</f>
        <v>avril</v>
      </c>
      <c r="B895">
        <f>data!B895</f>
        <v>2016</v>
      </c>
      <c r="C895" t="str">
        <f>data!C895</f>
        <v>007</v>
      </c>
      <c r="D895" t="str">
        <f>data!D895</f>
        <v>DOMAINE ANDRE DUSSOURT</v>
      </c>
      <c r="E895" t="str">
        <f>data!E895</f>
        <v>007006</v>
      </c>
      <c r="F895" t="str">
        <f>data!F895</f>
        <v>AC PINOT NOIR D. DUSSOURT</v>
      </c>
      <c r="G895" s="10">
        <f>data!G895</f>
        <v>226.8</v>
      </c>
      <c r="H895" s="10">
        <f>data!I895</f>
        <v>277.8</v>
      </c>
      <c r="I895" s="10">
        <f t="shared" si="52"/>
        <v>-51</v>
      </c>
      <c r="J895" s="11">
        <f>data!H895</f>
        <v>36</v>
      </c>
      <c r="K895" s="11">
        <f>data!J895</f>
        <v>48</v>
      </c>
      <c r="L895" s="11">
        <f t="shared" si="53"/>
        <v>-12</v>
      </c>
      <c r="M895" s="9">
        <f t="shared" si="54"/>
        <v>-0.183585313174946</v>
      </c>
      <c r="N895" s="9">
        <f t="shared" si="55"/>
        <v>-0.25</v>
      </c>
    </row>
    <row r="896" spans="1:14" x14ac:dyDescent="0.25">
      <c r="A896" t="str">
        <f>TEXT("1/"&amp;data!A896,"mmmm")</f>
        <v>avril</v>
      </c>
      <c r="B896">
        <f>data!B896</f>
        <v>2016</v>
      </c>
      <c r="C896" t="str">
        <f>data!C896</f>
        <v>007</v>
      </c>
      <c r="D896" t="str">
        <f>data!D896</f>
        <v>DOMAINE ANDRE DUSSOURT</v>
      </c>
      <c r="E896" t="str">
        <f>data!E896</f>
        <v>007008</v>
      </c>
      <c r="F896" t="str">
        <f>data!F896</f>
        <v>AC RIESLING D. DUSSOURT</v>
      </c>
      <c r="G896" s="10">
        <f>data!G896</f>
        <v>37.200000000000003</v>
      </c>
      <c r="H896" s="10">
        <f>data!I896</f>
        <v>0</v>
      </c>
      <c r="I896" s="10">
        <f t="shared" si="52"/>
        <v>37.200000000000003</v>
      </c>
      <c r="J896" s="11">
        <f>data!H896</f>
        <v>6</v>
      </c>
      <c r="K896" s="11">
        <f>data!J896</f>
        <v>0</v>
      </c>
      <c r="L896" s="11">
        <f t="shared" si="53"/>
        <v>6</v>
      </c>
      <c r="M896" s="9" t="str">
        <f t="shared" si="54"/>
        <v/>
      </c>
      <c r="N896" s="9" t="str">
        <f t="shared" si="55"/>
        <v/>
      </c>
    </row>
    <row r="897" spans="1:14" x14ac:dyDescent="0.25">
      <c r="A897" t="str">
        <f>TEXT("1/"&amp;data!A897,"mmmm")</f>
        <v>avril</v>
      </c>
      <c r="B897">
        <f>data!B897</f>
        <v>2016</v>
      </c>
      <c r="C897" t="str">
        <f>data!C897</f>
        <v>007</v>
      </c>
      <c r="D897" t="str">
        <f>data!D897</f>
        <v>DOMAINE ANDRE DUSSOURT</v>
      </c>
      <c r="E897" t="str">
        <f>data!E897</f>
        <v>007021</v>
      </c>
      <c r="F897" t="str">
        <f>data!F897</f>
        <v>DOMAINE DUSSOURT AC GEWURZTRAMINER</v>
      </c>
      <c r="G897" s="10">
        <f>data!G897</f>
        <v>51.6</v>
      </c>
      <c r="H897" s="10">
        <f>data!I897</f>
        <v>0</v>
      </c>
      <c r="I897" s="10">
        <f t="shared" si="52"/>
        <v>51.6</v>
      </c>
      <c r="J897" s="11">
        <f>data!H897</f>
        <v>6</v>
      </c>
      <c r="K897" s="11">
        <f>data!J897</f>
        <v>0</v>
      </c>
      <c r="L897" s="11">
        <f t="shared" si="53"/>
        <v>6</v>
      </c>
      <c r="M897" s="9" t="str">
        <f t="shared" si="54"/>
        <v/>
      </c>
      <c r="N897" s="9" t="str">
        <f t="shared" si="55"/>
        <v/>
      </c>
    </row>
    <row r="898" spans="1:14" x14ac:dyDescent="0.25">
      <c r="A898" t="str">
        <f>TEXT("1/"&amp;data!A898,"mmmm")</f>
        <v>avril</v>
      </c>
      <c r="B898">
        <f>data!B898</f>
        <v>2016</v>
      </c>
      <c r="C898" t="str">
        <f>data!C898</f>
        <v>007</v>
      </c>
      <c r="D898" t="str">
        <f>data!D898</f>
        <v>DOMAINE ANDRE DUSSOURT</v>
      </c>
      <c r="E898" t="str">
        <f>data!E898</f>
        <v>CDV007010</v>
      </c>
      <c r="F898" t="str">
        <f>data!F898</f>
        <v>AC GEWURZTRAMINER VENDANGES TARDIVES</v>
      </c>
      <c r="G898" s="10">
        <f>data!G898</f>
        <v>111.9</v>
      </c>
      <c r="H898" s="10">
        <f>data!I898</f>
        <v>0</v>
      </c>
      <c r="I898" s="10">
        <f t="shared" si="52"/>
        <v>111.9</v>
      </c>
      <c r="J898" s="11">
        <f>data!H898</f>
        <v>6</v>
      </c>
      <c r="K898" s="11">
        <f>data!J898</f>
        <v>0</v>
      </c>
      <c r="L898" s="11">
        <f t="shared" si="53"/>
        <v>6</v>
      </c>
      <c r="M898" s="9" t="str">
        <f t="shared" si="54"/>
        <v/>
      </c>
      <c r="N898" s="9" t="str">
        <f t="shared" si="55"/>
        <v/>
      </c>
    </row>
    <row r="899" spans="1:14" x14ac:dyDescent="0.25">
      <c r="A899" t="str">
        <f>TEXT("1/"&amp;data!A899,"mmmm")</f>
        <v>avril</v>
      </c>
      <c r="B899">
        <f>data!B899</f>
        <v>2016</v>
      </c>
      <c r="C899" t="str">
        <f>data!C899</f>
        <v>009</v>
      </c>
      <c r="D899" t="str">
        <f>data!D899</f>
        <v>DOMAINE CHATELAIN</v>
      </c>
      <c r="E899" t="str">
        <f>data!E899</f>
        <v>009011</v>
      </c>
      <c r="F899" t="str">
        <f>data!F899</f>
        <v>DOM CHATELAIN AC POUILLY FUME</v>
      </c>
      <c r="G899" s="10">
        <f>data!G899</f>
        <v>187.2</v>
      </c>
      <c r="H899" s="10">
        <f>data!I899</f>
        <v>187.2</v>
      </c>
      <c r="I899" s="10">
        <f t="shared" ref="I899:I962" si="56">G899-H899</f>
        <v>0</v>
      </c>
      <c r="J899" s="11">
        <f>data!H899</f>
        <v>24</v>
      </c>
      <c r="K899" s="11">
        <f>data!J899</f>
        <v>24</v>
      </c>
      <c r="L899" s="11">
        <f t="shared" ref="L899:L962" si="57">J899-K899</f>
        <v>0</v>
      </c>
      <c r="M899" s="9">
        <f t="shared" ref="M899:M962" si="58">IF(ISERR(I899/H899),"",I899/H899)</f>
        <v>0</v>
      </c>
      <c r="N899" s="9">
        <f t="shared" ref="N899:N962" si="59">IF(ISERR(L899/K899),"",L899/K899)</f>
        <v>0</v>
      </c>
    </row>
    <row r="900" spans="1:14" x14ac:dyDescent="0.25">
      <c r="A900" t="str">
        <f>TEXT("1/"&amp;data!A900,"mmmm")</f>
        <v>avril</v>
      </c>
      <c r="B900">
        <f>data!B900</f>
        <v>2016</v>
      </c>
      <c r="C900" t="str">
        <f>data!C900</f>
        <v>009</v>
      </c>
      <c r="D900" t="str">
        <f>data!D900</f>
        <v>DOMAINE CHATELAIN</v>
      </c>
      <c r="E900" t="str">
        <f>data!E900</f>
        <v>009012</v>
      </c>
      <c r="F900" t="str">
        <f>data!F900</f>
        <v>DOM CHATELAIN AC POUILLY FUME</v>
      </c>
      <c r="G900" s="10">
        <f>data!G900</f>
        <v>108</v>
      </c>
      <c r="H900" s="10">
        <f>data!I900</f>
        <v>216</v>
      </c>
      <c r="I900" s="10">
        <f t="shared" si="56"/>
        <v>-108</v>
      </c>
      <c r="J900" s="11">
        <f>data!H900</f>
        <v>12</v>
      </c>
      <c r="K900" s="11">
        <f>data!J900</f>
        <v>24</v>
      </c>
      <c r="L900" s="11">
        <f t="shared" si="57"/>
        <v>-12</v>
      </c>
      <c r="M900" s="9">
        <f t="shared" si="58"/>
        <v>-0.5</v>
      </c>
      <c r="N900" s="9">
        <f t="shared" si="59"/>
        <v>-0.5</v>
      </c>
    </row>
    <row r="901" spans="1:14" x14ac:dyDescent="0.25">
      <c r="A901" t="str">
        <f>TEXT("1/"&amp;data!A901,"mmmm")</f>
        <v>avril</v>
      </c>
      <c r="B901">
        <f>data!B901</f>
        <v>2016</v>
      </c>
      <c r="C901" t="str">
        <f>data!C901</f>
        <v>010</v>
      </c>
      <c r="D901" t="str">
        <f>data!D901</f>
        <v>DOMAINE VIGNEAU CHEVRAU</v>
      </c>
      <c r="E901" t="str">
        <f>data!E901</f>
        <v>010001</v>
      </c>
      <c r="F901" t="str">
        <f>data!F901</f>
        <v>AC VOUVRAY SEC.C.SILEX  V.CHEV</v>
      </c>
      <c r="G901" s="10">
        <f>data!G901</f>
        <v>349.8</v>
      </c>
      <c r="H901" s="10">
        <f>data!I901</f>
        <v>312</v>
      </c>
      <c r="I901" s="10">
        <f t="shared" si="56"/>
        <v>37.800000000000011</v>
      </c>
      <c r="J901" s="11">
        <f>data!H901</f>
        <v>66</v>
      </c>
      <c r="K901" s="11">
        <f>data!J901</f>
        <v>60</v>
      </c>
      <c r="L901" s="11">
        <f t="shared" si="57"/>
        <v>6</v>
      </c>
      <c r="M901" s="9">
        <f t="shared" si="58"/>
        <v>0.1211538461538462</v>
      </c>
      <c r="N901" s="9">
        <f t="shared" si="59"/>
        <v>0.1</v>
      </c>
    </row>
    <row r="902" spans="1:14" x14ac:dyDescent="0.25">
      <c r="A902" t="str">
        <f>TEXT("1/"&amp;data!A902,"mmmm")</f>
        <v>avril</v>
      </c>
      <c r="B902">
        <f>data!B902</f>
        <v>2016</v>
      </c>
      <c r="C902" t="str">
        <f>data!C902</f>
        <v>011</v>
      </c>
      <c r="D902" t="str">
        <f>data!D902</f>
        <v>CAVE GAUTIER</v>
      </c>
      <c r="E902" t="str">
        <f>data!E902</f>
        <v>011001</v>
      </c>
      <c r="F902" t="str">
        <f>data!F902</f>
        <v>AC VOUVRAY METH TRAD BRUT  D.CHATAIGNERAIE</v>
      </c>
      <c r="G902" s="10">
        <f>data!G902</f>
        <v>1939.14</v>
      </c>
      <c r="H902" s="10">
        <f>data!I902</f>
        <v>1340.64</v>
      </c>
      <c r="I902" s="10">
        <f t="shared" si="56"/>
        <v>598.5</v>
      </c>
      <c r="J902" s="11">
        <f>data!H902</f>
        <v>486</v>
      </c>
      <c r="K902" s="11">
        <f>data!J902</f>
        <v>336</v>
      </c>
      <c r="L902" s="11">
        <f t="shared" si="57"/>
        <v>150</v>
      </c>
      <c r="M902" s="9">
        <f t="shared" si="58"/>
        <v>0.4464285714285714</v>
      </c>
      <c r="N902" s="9">
        <f t="shared" si="59"/>
        <v>0.44642857142857145</v>
      </c>
    </row>
    <row r="903" spans="1:14" x14ac:dyDescent="0.25">
      <c r="A903" t="str">
        <f>TEXT("1/"&amp;data!A903,"mmmm")</f>
        <v>avril</v>
      </c>
      <c r="B903">
        <f>data!B903</f>
        <v>2016</v>
      </c>
      <c r="C903" t="str">
        <f>data!C903</f>
        <v>011</v>
      </c>
      <c r="D903" t="str">
        <f>data!D903</f>
        <v>CAVE GAUTIER</v>
      </c>
      <c r="E903" t="str">
        <f>data!E903</f>
        <v>011002</v>
      </c>
      <c r="F903" t="str">
        <f>data!F903</f>
        <v>AC VOUVRAY METH TRAD D.SEC  D.CHATAIGNERAIE</v>
      </c>
      <c r="G903" s="10">
        <f>data!G903</f>
        <v>47.88</v>
      </c>
      <c r="H903" s="10">
        <f>data!I903</f>
        <v>0</v>
      </c>
      <c r="I903" s="10">
        <f t="shared" si="56"/>
        <v>47.88</v>
      </c>
      <c r="J903" s="11">
        <f>data!H903</f>
        <v>12</v>
      </c>
      <c r="K903" s="11">
        <f>data!J903</f>
        <v>0</v>
      </c>
      <c r="L903" s="11">
        <f t="shared" si="57"/>
        <v>12</v>
      </c>
      <c r="M903" s="9" t="str">
        <f t="shared" si="58"/>
        <v/>
      </c>
      <c r="N903" s="9" t="str">
        <f t="shared" si="59"/>
        <v/>
      </c>
    </row>
    <row r="904" spans="1:14" x14ac:dyDescent="0.25">
      <c r="A904" t="str">
        <f>TEXT("1/"&amp;data!A904,"mmmm")</f>
        <v>avril</v>
      </c>
      <c r="B904">
        <f>data!B904</f>
        <v>2016</v>
      </c>
      <c r="C904" t="str">
        <f>data!C904</f>
        <v>011</v>
      </c>
      <c r="D904" t="str">
        <f>data!D904</f>
        <v>CAVE GAUTIER</v>
      </c>
      <c r="E904" t="str">
        <f>data!E904</f>
        <v>011005</v>
      </c>
      <c r="F904" t="str">
        <f>data!F904</f>
        <v>AC VOUVRAY C. ANTIQUE D.CHATAIGNERAIE</v>
      </c>
      <c r="G904" s="10">
        <f>data!G904</f>
        <v>1107.78</v>
      </c>
      <c r="H904" s="10">
        <f>data!I904</f>
        <v>558.6</v>
      </c>
      <c r="I904" s="10">
        <f t="shared" si="56"/>
        <v>549.17999999999995</v>
      </c>
      <c r="J904" s="11">
        <f>data!H904</f>
        <v>222</v>
      </c>
      <c r="K904" s="11">
        <f>data!J904</f>
        <v>114</v>
      </c>
      <c r="L904" s="11">
        <f t="shared" si="57"/>
        <v>108</v>
      </c>
      <c r="M904" s="9">
        <f t="shared" si="58"/>
        <v>0.98313641245972061</v>
      </c>
      <c r="N904" s="9">
        <f t="shared" si="59"/>
        <v>0.94736842105263153</v>
      </c>
    </row>
    <row r="905" spans="1:14" x14ac:dyDescent="0.25">
      <c r="A905" t="str">
        <f>TEXT("1/"&amp;data!A905,"mmmm")</f>
        <v>avril</v>
      </c>
      <c r="B905">
        <f>data!B905</f>
        <v>2016</v>
      </c>
      <c r="C905" t="str">
        <f>data!C905</f>
        <v>011</v>
      </c>
      <c r="D905" t="str">
        <f>data!D905</f>
        <v>CAVE GAUTIER</v>
      </c>
      <c r="E905" t="str">
        <f>data!E905</f>
        <v>011006</v>
      </c>
      <c r="F905" t="str">
        <f>data!F905</f>
        <v>AC VOUVRAY ARGILEX</v>
      </c>
      <c r="G905" s="10">
        <f>data!G905</f>
        <v>56.4</v>
      </c>
      <c r="H905" s="10">
        <f>data!I905</f>
        <v>107.76</v>
      </c>
      <c r="I905" s="10">
        <f t="shared" si="56"/>
        <v>-51.360000000000007</v>
      </c>
      <c r="J905" s="11">
        <f>data!H905</f>
        <v>12</v>
      </c>
      <c r="K905" s="11">
        <f>data!J905</f>
        <v>24</v>
      </c>
      <c r="L905" s="11">
        <f t="shared" si="57"/>
        <v>-12</v>
      </c>
      <c r="M905" s="9">
        <f t="shared" si="58"/>
        <v>-0.47661469933184858</v>
      </c>
      <c r="N905" s="9">
        <f t="shared" si="59"/>
        <v>-0.5</v>
      </c>
    </row>
    <row r="906" spans="1:14" x14ac:dyDescent="0.25">
      <c r="A906" t="str">
        <f>TEXT("1/"&amp;data!A906,"mmmm")</f>
        <v>avril</v>
      </c>
      <c r="B906">
        <f>data!B906</f>
        <v>2016</v>
      </c>
      <c r="C906" t="str">
        <f>data!C906</f>
        <v>019</v>
      </c>
      <c r="D906" t="str">
        <f>data!D906</f>
        <v>VIGNOBLES YON</v>
      </c>
      <c r="E906" t="str">
        <f>data!E906</f>
        <v>019003</v>
      </c>
      <c r="F906" t="str">
        <f>data!F906</f>
        <v>AC BDX SUP. CH LES HAUTS DE PEREY</v>
      </c>
      <c r="G906" s="10">
        <f>data!G906</f>
        <v>4464</v>
      </c>
      <c r="H906" s="10">
        <f>data!I906</f>
        <v>2742.9</v>
      </c>
      <c r="I906" s="10">
        <f t="shared" si="56"/>
        <v>1721.1</v>
      </c>
      <c r="J906" s="11">
        <f>data!H906</f>
        <v>2004</v>
      </c>
      <c r="K906" s="11">
        <f>data!J906</f>
        <v>1230</v>
      </c>
      <c r="L906" s="11">
        <f t="shared" si="57"/>
        <v>774</v>
      </c>
      <c r="M906" s="9">
        <f t="shared" si="58"/>
        <v>0.62747457070983259</v>
      </c>
      <c r="N906" s="9">
        <f t="shared" si="59"/>
        <v>0.62926829268292683</v>
      </c>
    </row>
    <row r="907" spans="1:14" x14ac:dyDescent="0.25">
      <c r="A907" t="str">
        <f>TEXT("1/"&amp;data!A907,"mmmm")</f>
        <v>avril</v>
      </c>
      <c r="B907">
        <f>data!B907</f>
        <v>2016</v>
      </c>
      <c r="C907" t="str">
        <f>data!C907</f>
        <v>019</v>
      </c>
      <c r="D907" t="str">
        <f>data!D907</f>
        <v>VIGNOBLES YON</v>
      </c>
      <c r="E907" t="str">
        <f>data!E907</f>
        <v>019004</v>
      </c>
      <c r="F907" t="str">
        <f>data!F907</f>
        <v>AC BDX SUP. CH LES HAUTS DE PEREY</v>
      </c>
      <c r="G907" s="10">
        <f>data!G907</f>
        <v>70.08</v>
      </c>
      <c r="H907" s="10">
        <f>data!I907</f>
        <v>121.8</v>
      </c>
      <c r="I907" s="10">
        <f t="shared" si="56"/>
        <v>-51.72</v>
      </c>
      <c r="J907" s="11">
        <f>data!H907</f>
        <v>24</v>
      </c>
      <c r="K907" s="11">
        <f>data!J907</f>
        <v>42</v>
      </c>
      <c r="L907" s="11">
        <f t="shared" si="57"/>
        <v>-18</v>
      </c>
      <c r="M907" s="9">
        <f t="shared" si="58"/>
        <v>-0.42463054187192117</v>
      </c>
      <c r="N907" s="9">
        <f t="shared" si="59"/>
        <v>-0.42857142857142855</v>
      </c>
    </row>
    <row r="908" spans="1:14" x14ac:dyDescent="0.25">
      <c r="A908" t="str">
        <f>TEXT("1/"&amp;data!A908,"mmmm")</f>
        <v>avril</v>
      </c>
      <c r="B908">
        <f>data!B908</f>
        <v>2016</v>
      </c>
      <c r="C908" t="str">
        <f>data!C908</f>
        <v>019</v>
      </c>
      <c r="D908" t="str">
        <f>data!D908</f>
        <v>VIGNOBLES YON</v>
      </c>
      <c r="E908" t="str">
        <f>data!E908</f>
        <v>019008</v>
      </c>
      <c r="F908" t="str">
        <f>data!F908</f>
        <v>AC BDX. CH LES HAUTS DE PEREY</v>
      </c>
      <c r="G908" s="10">
        <f>data!G908</f>
        <v>950.4</v>
      </c>
      <c r="H908" s="10">
        <f>data!I908</f>
        <v>849.2</v>
      </c>
      <c r="I908" s="10">
        <f t="shared" si="56"/>
        <v>101.19999999999993</v>
      </c>
      <c r="J908" s="11">
        <f>data!H908</f>
        <v>639.84</v>
      </c>
      <c r="K908" s="11">
        <f>data!J908</f>
        <v>586.52</v>
      </c>
      <c r="L908" s="11">
        <f t="shared" si="57"/>
        <v>53.32000000000005</v>
      </c>
      <c r="M908" s="9">
        <f t="shared" si="58"/>
        <v>0.11917098445595846</v>
      </c>
      <c r="N908" s="9">
        <f t="shared" si="59"/>
        <v>9.0909090909090995E-2</v>
      </c>
    </row>
    <row r="909" spans="1:14" x14ac:dyDescent="0.25">
      <c r="A909" t="str">
        <f>TEXT("1/"&amp;data!A909,"mmmm")</f>
        <v>avril</v>
      </c>
      <c r="B909">
        <f>data!B909</f>
        <v>2016</v>
      </c>
      <c r="C909" t="str">
        <f>data!C909</f>
        <v>019</v>
      </c>
      <c r="D909" t="str">
        <f>data!D909</f>
        <v>VIGNOBLES YON</v>
      </c>
      <c r="E909" t="str">
        <f>data!E909</f>
        <v>019009</v>
      </c>
      <c r="F909" t="str">
        <f>data!F909</f>
        <v>AC BDX. CH LES HAUTS DE PEREY</v>
      </c>
      <c r="G909" s="10">
        <f>data!G909</f>
        <v>683.2</v>
      </c>
      <c r="H909" s="10">
        <f>data!I909</f>
        <v>594</v>
      </c>
      <c r="I909" s="10">
        <f t="shared" si="56"/>
        <v>89.200000000000045</v>
      </c>
      <c r="J909" s="11">
        <f>data!H909</f>
        <v>426.88</v>
      </c>
      <c r="K909" s="11">
        <f>data!J909</f>
        <v>373.52</v>
      </c>
      <c r="L909" s="11">
        <f t="shared" si="57"/>
        <v>53.360000000000014</v>
      </c>
      <c r="M909" s="9">
        <f t="shared" si="58"/>
        <v>0.15016835016835026</v>
      </c>
      <c r="N909" s="9">
        <f t="shared" si="59"/>
        <v>0.1428571428571429</v>
      </c>
    </row>
    <row r="910" spans="1:14" x14ac:dyDescent="0.25">
      <c r="A910" t="str">
        <f>TEXT("1/"&amp;data!A910,"mmmm")</f>
        <v>avril</v>
      </c>
      <c r="B910">
        <f>data!B910</f>
        <v>2016</v>
      </c>
      <c r="C910" t="str">
        <f>data!C910</f>
        <v>019</v>
      </c>
      <c r="D910" t="str">
        <f>data!D910</f>
        <v>VIGNOBLES YON</v>
      </c>
      <c r="E910" t="str">
        <f>data!E910</f>
        <v>019011</v>
      </c>
      <c r="F910" t="str">
        <f>data!F910</f>
        <v>AC BX SUP. CH GAURY-BALETTE</v>
      </c>
      <c r="G910" s="10">
        <f>data!G910</f>
        <v>-32.64</v>
      </c>
      <c r="H910" s="10">
        <f>data!I910</f>
        <v>64.8</v>
      </c>
      <c r="I910" s="10">
        <f t="shared" si="56"/>
        <v>-97.44</v>
      </c>
      <c r="J910" s="11">
        <f>data!H910</f>
        <v>-12</v>
      </c>
      <c r="K910" s="11">
        <f>data!J910</f>
        <v>24</v>
      </c>
      <c r="L910" s="11">
        <f t="shared" si="57"/>
        <v>-36</v>
      </c>
      <c r="M910" s="9">
        <f t="shared" si="58"/>
        <v>-1.5037037037037038</v>
      </c>
      <c r="N910" s="9">
        <f t="shared" si="59"/>
        <v>-1.5</v>
      </c>
    </row>
    <row r="911" spans="1:14" x14ac:dyDescent="0.25">
      <c r="A911" t="str">
        <f>TEXT("1/"&amp;data!A911,"mmmm")</f>
        <v>avril</v>
      </c>
      <c r="B911">
        <f>data!B911</f>
        <v>2016</v>
      </c>
      <c r="C911" t="str">
        <f>data!C911</f>
        <v>019</v>
      </c>
      <c r="D911" t="str">
        <f>data!D911</f>
        <v>VIGNOBLES YON</v>
      </c>
      <c r="E911" t="str">
        <f>data!E911</f>
        <v>019014</v>
      </c>
      <c r="F911" t="str">
        <f>data!F911</f>
        <v>AC BX SUP. CH GAURY-BALETTE</v>
      </c>
      <c r="G911" s="10">
        <f>data!G911</f>
        <v>40.799999999999997</v>
      </c>
      <c r="H911" s="10">
        <f>data!I911</f>
        <v>0</v>
      </c>
      <c r="I911" s="10">
        <f t="shared" si="56"/>
        <v>40.799999999999997</v>
      </c>
      <c r="J911" s="11">
        <f>data!H911</f>
        <v>12</v>
      </c>
      <c r="K911" s="11">
        <f>data!J911</f>
        <v>0</v>
      </c>
      <c r="L911" s="11">
        <f t="shared" si="57"/>
        <v>12</v>
      </c>
      <c r="M911" s="9" t="str">
        <f t="shared" si="58"/>
        <v/>
      </c>
      <c r="N911" s="9" t="str">
        <f t="shared" si="59"/>
        <v/>
      </c>
    </row>
    <row r="912" spans="1:14" x14ac:dyDescent="0.25">
      <c r="A912" t="str">
        <f>TEXT("1/"&amp;data!A912,"mmmm")</f>
        <v>avril</v>
      </c>
      <c r="B912">
        <f>data!B912</f>
        <v>2016</v>
      </c>
      <c r="C912" t="str">
        <f>data!C912</f>
        <v>019</v>
      </c>
      <c r="D912" t="str">
        <f>data!D912</f>
        <v>VIGNOBLES YON</v>
      </c>
      <c r="E912" t="str">
        <f>data!E912</f>
        <v>019015</v>
      </c>
      <c r="F912" t="str">
        <f>data!F912</f>
        <v>AC E2MERS. CH GAURY-BALETTE</v>
      </c>
      <c r="G912" s="10">
        <f>data!G912</f>
        <v>165.6</v>
      </c>
      <c r="H912" s="10">
        <f>data!I912</f>
        <v>364.5</v>
      </c>
      <c r="I912" s="10">
        <f t="shared" si="56"/>
        <v>-198.9</v>
      </c>
      <c r="J912" s="11">
        <f>data!H912</f>
        <v>72</v>
      </c>
      <c r="K912" s="11">
        <f>data!J912</f>
        <v>156</v>
      </c>
      <c r="L912" s="11">
        <f t="shared" si="57"/>
        <v>-84</v>
      </c>
      <c r="M912" s="9">
        <f t="shared" si="58"/>
        <v>-0.54567901234567906</v>
      </c>
      <c r="N912" s="9">
        <f t="shared" si="59"/>
        <v>-0.53846153846153844</v>
      </c>
    </row>
    <row r="913" spans="1:14" x14ac:dyDescent="0.25">
      <c r="A913" t="str">
        <f>TEXT("1/"&amp;data!A913,"mmmm")</f>
        <v>avril</v>
      </c>
      <c r="B913">
        <f>data!B913</f>
        <v>2016</v>
      </c>
      <c r="C913" t="str">
        <f>data!C913</f>
        <v>025</v>
      </c>
      <c r="D913" t="str">
        <f>data!D913</f>
        <v>COLLOVRAY &amp; TERRIER</v>
      </c>
      <c r="E913" t="str">
        <f>data!E913</f>
        <v>025001</v>
      </c>
      <c r="F913" t="str">
        <f>data!F913</f>
        <v>AC SAINT VERAN TRAD. COLLOVRAY&amp;TERRIER</v>
      </c>
      <c r="G913" s="10">
        <f>data!G913</f>
        <v>651.84</v>
      </c>
      <c r="H913" s="10">
        <f>data!I913</f>
        <v>1140.72</v>
      </c>
      <c r="I913" s="10">
        <f t="shared" si="56"/>
        <v>-488.88</v>
      </c>
      <c r="J913" s="11">
        <f>data!H913</f>
        <v>96</v>
      </c>
      <c r="K913" s="11">
        <f>data!J913</f>
        <v>168</v>
      </c>
      <c r="L913" s="11">
        <f t="shared" si="57"/>
        <v>-72</v>
      </c>
      <c r="M913" s="9">
        <f t="shared" si="58"/>
        <v>-0.42857142857142855</v>
      </c>
      <c r="N913" s="9">
        <f t="shared" si="59"/>
        <v>-0.42857142857142855</v>
      </c>
    </row>
    <row r="914" spans="1:14" x14ac:dyDescent="0.25">
      <c r="A914" t="str">
        <f>TEXT("1/"&amp;data!A914,"mmmm")</f>
        <v>avril</v>
      </c>
      <c r="B914">
        <f>data!B914</f>
        <v>2016</v>
      </c>
      <c r="C914" t="str">
        <f>data!C914</f>
        <v>025</v>
      </c>
      <c r="D914" t="str">
        <f>data!D914</f>
        <v>COLLOVRAY &amp; TERRIER</v>
      </c>
      <c r="E914" t="str">
        <f>data!E914</f>
        <v>025003</v>
      </c>
      <c r="F914" t="str">
        <f>data!F914</f>
        <v>DME DEUX ROCHES AC ST VERAN RIVES DE LONGSAULT</v>
      </c>
      <c r="G914" s="10">
        <f>data!G914</f>
        <v>45.9</v>
      </c>
      <c r="H914" s="10">
        <f>data!I914</f>
        <v>0</v>
      </c>
      <c r="I914" s="10">
        <f t="shared" si="56"/>
        <v>45.9</v>
      </c>
      <c r="J914" s="11">
        <f>data!H914</f>
        <v>6</v>
      </c>
      <c r="K914" s="11">
        <f>data!J914</f>
        <v>0</v>
      </c>
      <c r="L914" s="11">
        <f t="shared" si="57"/>
        <v>6</v>
      </c>
      <c r="M914" s="9" t="str">
        <f t="shared" si="58"/>
        <v/>
      </c>
      <c r="N914" s="9" t="str">
        <f t="shared" si="59"/>
        <v/>
      </c>
    </row>
    <row r="915" spans="1:14" x14ac:dyDescent="0.25">
      <c r="A915" t="str">
        <f>TEXT("1/"&amp;data!A915,"mmmm")</f>
        <v>avril</v>
      </c>
      <c r="B915">
        <f>data!B915</f>
        <v>2016</v>
      </c>
      <c r="C915" t="str">
        <f>data!C915</f>
        <v>025</v>
      </c>
      <c r="D915" t="str">
        <f>data!D915</f>
        <v>COLLOVRAY &amp; TERRIER</v>
      </c>
      <c r="E915" t="str">
        <f>data!E915</f>
        <v>025010</v>
      </c>
      <c r="F915" t="str">
        <f>data!F915</f>
        <v>AC MACON VILL TRAD. COLLOVRAY &amp;</v>
      </c>
      <c r="G915" s="10">
        <f>data!G915</f>
        <v>532.79999999999995</v>
      </c>
      <c r="H915" s="10">
        <f>data!I915</f>
        <v>233.1</v>
      </c>
      <c r="I915" s="10">
        <f t="shared" si="56"/>
        <v>299.69999999999993</v>
      </c>
      <c r="J915" s="11">
        <f>data!H915</f>
        <v>96</v>
      </c>
      <c r="K915" s="11">
        <f>data!J915</f>
        <v>48</v>
      </c>
      <c r="L915" s="11">
        <f t="shared" si="57"/>
        <v>48</v>
      </c>
      <c r="M915" s="9">
        <f t="shared" si="58"/>
        <v>1.2857142857142854</v>
      </c>
      <c r="N915" s="9">
        <f t="shared" si="59"/>
        <v>1</v>
      </c>
    </row>
    <row r="916" spans="1:14" x14ac:dyDescent="0.25">
      <c r="A916" t="str">
        <f>TEXT("1/"&amp;data!A916,"mmmm")</f>
        <v>avril</v>
      </c>
      <c r="B916">
        <f>data!B916</f>
        <v>2016</v>
      </c>
      <c r="C916" t="str">
        <f>data!C916</f>
        <v>025</v>
      </c>
      <c r="D916" t="str">
        <f>data!D916</f>
        <v>COLLOVRAY &amp; TERRIER</v>
      </c>
      <c r="E916" t="str">
        <f>data!E916</f>
        <v>025013</v>
      </c>
      <c r="F916" t="str">
        <f>data!F916</f>
        <v>AC MACON. VERGER DES FEUILLANTS</v>
      </c>
      <c r="G916" s="10">
        <f>data!G916</f>
        <v>494.7</v>
      </c>
      <c r="H916" s="10">
        <f>data!I916</f>
        <v>232.8</v>
      </c>
      <c r="I916" s="10">
        <f t="shared" si="56"/>
        <v>261.89999999999998</v>
      </c>
      <c r="J916" s="11">
        <f>data!H916</f>
        <v>108</v>
      </c>
      <c r="K916" s="11">
        <f>data!J916</f>
        <v>48</v>
      </c>
      <c r="L916" s="11">
        <f t="shared" si="57"/>
        <v>60</v>
      </c>
      <c r="M916" s="9">
        <f t="shared" si="58"/>
        <v>1.1249999999999998</v>
      </c>
      <c r="N916" s="9">
        <f t="shared" si="59"/>
        <v>1.25</v>
      </c>
    </row>
    <row r="917" spans="1:14" x14ac:dyDescent="0.25">
      <c r="A917" t="str">
        <f>TEXT("1/"&amp;data!A917,"mmmm")</f>
        <v>avril</v>
      </c>
      <c r="B917">
        <f>data!B917</f>
        <v>2016</v>
      </c>
      <c r="C917" t="str">
        <f>data!C917</f>
        <v>025</v>
      </c>
      <c r="D917" t="str">
        <f>data!D917</f>
        <v>COLLOVRAY &amp; TERRIER</v>
      </c>
      <c r="E917" t="str">
        <f>data!E917</f>
        <v>025015</v>
      </c>
      <c r="F917" t="str">
        <f>data!F917</f>
        <v>VDP PINOT NOIR . D.D'ANTUGNIAC</v>
      </c>
      <c r="G917" s="10">
        <f>data!G917</f>
        <v>1149</v>
      </c>
      <c r="H917" s="10">
        <f>data!I917</f>
        <v>91.92</v>
      </c>
      <c r="I917" s="10">
        <f t="shared" si="56"/>
        <v>1057.08</v>
      </c>
      <c r="J917" s="11">
        <f>data!H917</f>
        <v>300</v>
      </c>
      <c r="K917" s="11">
        <f>data!J917</f>
        <v>24</v>
      </c>
      <c r="L917" s="11">
        <f t="shared" si="57"/>
        <v>276</v>
      </c>
      <c r="M917" s="9">
        <f t="shared" si="58"/>
        <v>11.499999999999998</v>
      </c>
      <c r="N917" s="9">
        <f t="shared" si="59"/>
        <v>11.5</v>
      </c>
    </row>
    <row r="918" spans="1:14" x14ac:dyDescent="0.25">
      <c r="A918" t="str">
        <f>TEXT("1/"&amp;data!A918,"mmmm")</f>
        <v>avril</v>
      </c>
      <c r="B918">
        <f>data!B918</f>
        <v>2016</v>
      </c>
      <c r="C918" t="str">
        <f>data!C918</f>
        <v>025</v>
      </c>
      <c r="D918" t="str">
        <f>data!D918</f>
        <v>COLLOVRAY &amp; TERRIER</v>
      </c>
      <c r="E918" t="str">
        <f>data!E918</f>
        <v>025016</v>
      </c>
      <c r="F918" t="str">
        <f>data!F918</f>
        <v>VDP MERLOT. D.D'ANTUGNIAC</v>
      </c>
      <c r="G918" s="10">
        <f>data!G918</f>
        <v>29.16</v>
      </c>
      <c r="H918" s="10">
        <f>data!I918</f>
        <v>0</v>
      </c>
      <c r="I918" s="10">
        <f t="shared" si="56"/>
        <v>29.16</v>
      </c>
      <c r="J918" s="11">
        <f>data!H918</f>
        <v>12</v>
      </c>
      <c r="K918" s="11">
        <f>data!J918</f>
        <v>0</v>
      </c>
      <c r="L918" s="11">
        <f t="shared" si="57"/>
        <v>12</v>
      </c>
      <c r="M918" s="9" t="str">
        <f t="shared" si="58"/>
        <v/>
      </c>
      <c r="N918" s="9" t="str">
        <f t="shared" si="59"/>
        <v/>
      </c>
    </row>
    <row r="919" spans="1:14" x14ac:dyDescent="0.25">
      <c r="A919" t="str">
        <f>TEXT("1/"&amp;data!A919,"mmmm")</f>
        <v>avril</v>
      </c>
      <c r="B919">
        <f>data!B919</f>
        <v>2016</v>
      </c>
      <c r="C919" t="str">
        <f>data!C919</f>
        <v>025</v>
      </c>
      <c r="D919" t="str">
        <f>data!D919</f>
        <v>COLLOVRAY &amp; TERRIER</v>
      </c>
      <c r="E919" t="str">
        <f>data!E919</f>
        <v>025021</v>
      </c>
      <c r="F919" t="str">
        <f>data!F919</f>
        <v>AC POUILLY-FUISSE. V.VIGNES</v>
      </c>
      <c r="G919" s="10">
        <f>data!G919</f>
        <v>706.2</v>
      </c>
      <c r="H919" s="10">
        <f>data!I919</f>
        <v>706.2</v>
      </c>
      <c r="I919" s="10">
        <f t="shared" si="56"/>
        <v>0</v>
      </c>
      <c r="J919" s="11">
        <f>data!H919</f>
        <v>66</v>
      </c>
      <c r="K919" s="11">
        <f>data!J919</f>
        <v>66</v>
      </c>
      <c r="L919" s="11">
        <f t="shared" si="57"/>
        <v>0</v>
      </c>
      <c r="M919" s="9">
        <f t="shared" si="58"/>
        <v>0</v>
      </c>
      <c r="N919" s="9">
        <f t="shared" si="59"/>
        <v>0</v>
      </c>
    </row>
    <row r="920" spans="1:14" x14ac:dyDescent="0.25">
      <c r="A920" t="str">
        <f>TEXT("1/"&amp;data!A920,"mmmm")</f>
        <v>avril</v>
      </c>
      <c r="B920">
        <f>data!B920</f>
        <v>2016</v>
      </c>
      <c r="C920" t="str">
        <f>data!C920</f>
        <v>025</v>
      </c>
      <c r="D920" t="str">
        <f>data!D920</f>
        <v>COLLOVRAY &amp; TERRIER</v>
      </c>
      <c r="E920" t="str">
        <f>data!E920</f>
        <v>025026</v>
      </c>
      <c r="F920" t="str">
        <f>data!F920</f>
        <v>VDP CHARDONNAY. D.D'ANTUGNAC</v>
      </c>
      <c r="G920" s="10">
        <f>data!G920</f>
        <v>3374.4</v>
      </c>
      <c r="H920" s="10">
        <f>data!I920</f>
        <v>1860.48</v>
      </c>
      <c r="I920" s="10">
        <f t="shared" si="56"/>
        <v>1513.92</v>
      </c>
      <c r="J920" s="11">
        <f>data!H920</f>
        <v>1110</v>
      </c>
      <c r="K920" s="11">
        <f>data!J920</f>
        <v>612</v>
      </c>
      <c r="L920" s="11">
        <f t="shared" si="57"/>
        <v>498</v>
      </c>
      <c r="M920" s="9">
        <f t="shared" si="58"/>
        <v>0.81372549019607843</v>
      </c>
      <c r="N920" s="9">
        <f t="shared" si="59"/>
        <v>0.81372549019607843</v>
      </c>
    </row>
    <row r="921" spans="1:14" x14ac:dyDescent="0.25">
      <c r="A921" t="str">
        <f>TEXT("1/"&amp;data!A921,"mmmm")</f>
        <v>avril</v>
      </c>
      <c r="B921">
        <f>data!B921</f>
        <v>2016</v>
      </c>
      <c r="C921" t="str">
        <f>data!C921</f>
        <v>025</v>
      </c>
      <c r="D921" t="str">
        <f>data!D921</f>
        <v>COLLOVRAY &amp; TERRIER</v>
      </c>
      <c r="E921" t="str">
        <f>data!E921</f>
        <v>025031</v>
      </c>
      <c r="F921" t="str">
        <f>data!F921</f>
        <v>AC LIMOUX. Terres Amoureuses D.D'ANTUGNAC</v>
      </c>
      <c r="G921" s="10">
        <f>data!G921</f>
        <v>566.1</v>
      </c>
      <c r="H921" s="10">
        <f>data!I921</f>
        <v>601.55999999999995</v>
      </c>
      <c r="I921" s="10">
        <f t="shared" si="56"/>
        <v>-35.459999999999923</v>
      </c>
      <c r="J921" s="11">
        <f>data!H921</f>
        <v>108</v>
      </c>
      <c r="K921" s="11">
        <f>data!J921</f>
        <v>108</v>
      </c>
      <c r="L921" s="11">
        <f t="shared" si="57"/>
        <v>0</v>
      </c>
      <c r="M921" s="9">
        <f t="shared" si="58"/>
        <v>-5.8946738479952E-2</v>
      </c>
      <c r="N921" s="9">
        <f t="shared" si="59"/>
        <v>0</v>
      </c>
    </row>
    <row r="922" spans="1:14" x14ac:dyDescent="0.25">
      <c r="A922" t="str">
        <f>TEXT("1/"&amp;data!A922,"mmmm")</f>
        <v>avril</v>
      </c>
      <c r="B922">
        <f>data!B922</f>
        <v>2016</v>
      </c>
      <c r="C922" t="str">
        <f>data!C922</f>
        <v>025</v>
      </c>
      <c r="D922" t="str">
        <f>data!D922</f>
        <v>COLLOVRAY &amp; TERRIER</v>
      </c>
      <c r="E922" t="str">
        <f>data!E922</f>
        <v>025033</v>
      </c>
      <c r="F922" t="str">
        <f>data!F922</f>
        <v>AC LIMOUX Aux Bons Hommes D.D'ANTUGNAC</v>
      </c>
      <c r="G922" s="10">
        <f>data!G922</f>
        <v>0</v>
      </c>
      <c r="H922" s="10">
        <f>data!I922</f>
        <v>347.76</v>
      </c>
      <c r="I922" s="10">
        <f t="shared" si="56"/>
        <v>-347.76</v>
      </c>
      <c r="J922" s="11">
        <f>data!H922</f>
        <v>6</v>
      </c>
      <c r="K922" s="11">
        <f>data!J922</f>
        <v>84</v>
      </c>
      <c r="L922" s="11">
        <f t="shared" si="57"/>
        <v>-78</v>
      </c>
      <c r="M922" s="9">
        <f t="shared" si="58"/>
        <v>-1</v>
      </c>
      <c r="N922" s="9">
        <f t="shared" si="59"/>
        <v>-0.9285714285714286</v>
      </c>
    </row>
    <row r="923" spans="1:14" x14ac:dyDescent="0.25">
      <c r="A923" t="str">
        <f>TEXT("1/"&amp;data!A923,"mmmm")</f>
        <v>avril</v>
      </c>
      <c r="B923">
        <f>data!B923</f>
        <v>2016</v>
      </c>
      <c r="C923" t="str">
        <f>data!C923</f>
        <v>028</v>
      </c>
      <c r="D923" t="str">
        <f>data!D923</f>
        <v>VIGNOBLES DUBOIS ET FILS</v>
      </c>
      <c r="E923" t="str">
        <f>data!E923</f>
        <v>028001</v>
      </c>
      <c r="F923" t="str">
        <f>data!F923</f>
        <v>AC 1ERES C.DE BLAYE. TRADITION  CH L.BERTRANDS</v>
      </c>
      <c r="G923" s="10">
        <f>data!G923</f>
        <v>273</v>
      </c>
      <c r="H923" s="10">
        <f>data!I923</f>
        <v>1599</v>
      </c>
      <c r="I923" s="10">
        <f t="shared" si="56"/>
        <v>-1326</v>
      </c>
      <c r="J923" s="11">
        <f>data!H923</f>
        <v>108</v>
      </c>
      <c r="K923" s="11">
        <f>data!J923</f>
        <v>492</v>
      </c>
      <c r="L923" s="11">
        <f t="shared" si="57"/>
        <v>-384</v>
      </c>
      <c r="M923" s="9">
        <f t="shared" si="58"/>
        <v>-0.82926829268292679</v>
      </c>
      <c r="N923" s="9">
        <f t="shared" si="59"/>
        <v>-0.78048780487804881</v>
      </c>
    </row>
    <row r="924" spans="1:14" x14ac:dyDescent="0.25">
      <c r="A924" t="str">
        <f>TEXT("1/"&amp;data!A924,"mmmm")</f>
        <v>avril</v>
      </c>
      <c r="B924">
        <f>data!B924</f>
        <v>2016</v>
      </c>
      <c r="C924" t="str">
        <f>data!C924</f>
        <v>028</v>
      </c>
      <c r="D924" t="str">
        <f>data!D924</f>
        <v>VIGNOBLES DUBOIS ET FILS</v>
      </c>
      <c r="E924" t="str">
        <f>data!E924</f>
        <v>028006</v>
      </c>
      <c r="F924" t="str">
        <f>data!F924</f>
        <v>AC 1ERES C. BLAYE TRAD CH L.BERTRANDS</v>
      </c>
      <c r="G924" s="10">
        <f>data!G924</f>
        <v>48.6</v>
      </c>
      <c r="H924" s="10">
        <f>data!I924</f>
        <v>0</v>
      </c>
      <c r="I924" s="10">
        <f t="shared" si="56"/>
        <v>48.6</v>
      </c>
      <c r="J924" s="11">
        <f>data!H924</f>
        <v>12</v>
      </c>
      <c r="K924" s="11">
        <f>data!J924</f>
        <v>0</v>
      </c>
      <c r="L924" s="11">
        <f t="shared" si="57"/>
        <v>12</v>
      </c>
      <c r="M924" s="9" t="str">
        <f t="shared" si="58"/>
        <v/>
      </c>
      <c r="N924" s="9" t="str">
        <f t="shared" si="59"/>
        <v/>
      </c>
    </row>
    <row r="925" spans="1:14" x14ac:dyDescent="0.25">
      <c r="A925" t="str">
        <f>TEXT("1/"&amp;data!A925,"mmmm")</f>
        <v>avril</v>
      </c>
      <c r="B925">
        <f>data!B925</f>
        <v>2016</v>
      </c>
      <c r="C925" t="str">
        <f>data!C925</f>
        <v>028</v>
      </c>
      <c r="D925" t="str">
        <f>data!D925</f>
        <v>VIGNOBLES DUBOIS ET FILS</v>
      </c>
      <c r="E925" t="str">
        <f>data!E925</f>
        <v>028007</v>
      </c>
      <c r="F925" t="str">
        <f>data!F925</f>
        <v>AC 1ERES C BLAYE TRAD. CH L.BERTRANDS</v>
      </c>
      <c r="G925" s="10">
        <f>data!G925</f>
        <v>273.60000000000002</v>
      </c>
      <c r="H925" s="10">
        <f>data!I925</f>
        <v>384.2</v>
      </c>
      <c r="I925" s="10">
        <f t="shared" si="56"/>
        <v>-110.59999999999997</v>
      </c>
      <c r="J925" s="11">
        <f>data!H925</f>
        <v>159.96</v>
      </c>
      <c r="K925" s="11">
        <f>data!J925</f>
        <v>226.61</v>
      </c>
      <c r="L925" s="11">
        <f t="shared" si="57"/>
        <v>-66.650000000000006</v>
      </c>
      <c r="M925" s="9">
        <f t="shared" si="58"/>
        <v>-0.28787090057261833</v>
      </c>
      <c r="N925" s="9">
        <f t="shared" si="59"/>
        <v>-0.29411764705882354</v>
      </c>
    </row>
    <row r="926" spans="1:14" x14ac:dyDescent="0.25">
      <c r="A926" t="str">
        <f>TEXT("1/"&amp;data!A926,"mmmm")</f>
        <v>avril</v>
      </c>
      <c r="B926">
        <f>data!B926</f>
        <v>2016</v>
      </c>
      <c r="C926" t="str">
        <f>data!C926</f>
        <v>028</v>
      </c>
      <c r="D926" t="str">
        <f>data!D926</f>
        <v>VIGNOBLES DUBOIS ET FILS</v>
      </c>
      <c r="E926" t="str">
        <f>data!E926</f>
        <v>028008</v>
      </c>
      <c r="F926" t="str">
        <f>data!F926</f>
        <v>AC C. DE BLAYE CH L.BERTRANDS</v>
      </c>
      <c r="G926" s="10">
        <f>data!G926</f>
        <v>526.5</v>
      </c>
      <c r="H926" s="10">
        <f>data!I926</f>
        <v>226.1</v>
      </c>
      <c r="I926" s="10">
        <f t="shared" si="56"/>
        <v>300.39999999999998</v>
      </c>
      <c r="J926" s="11">
        <f>data!H926</f>
        <v>266.8</v>
      </c>
      <c r="K926" s="11">
        <f>data!J926</f>
        <v>120.06</v>
      </c>
      <c r="L926" s="11">
        <f t="shared" si="57"/>
        <v>146.74</v>
      </c>
      <c r="M926" s="9">
        <f t="shared" si="58"/>
        <v>1.3286156567890313</v>
      </c>
      <c r="N926" s="9">
        <f t="shared" si="59"/>
        <v>1.2222222222222223</v>
      </c>
    </row>
    <row r="927" spans="1:14" x14ac:dyDescent="0.25">
      <c r="A927" t="str">
        <f>TEXT("1/"&amp;data!A927,"mmmm")</f>
        <v>avril</v>
      </c>
      <c r="B927">
        <f>data!B927</f>
        <v>2016</v>
      </c>
      <c r="C927" t="str">
        <f>data!C927</f>
        <v>028</v>
      </c>
      <c r="D927" t="str">
        <f>data!D927</f>
        <v>VIGNOBLES DUBOIS ET FILS</v>
      </c>
      <c r="E927" t="str">
        <f>data!E927</f>
        <v>028013</v>
      </c>
      <c r="F927" t="str">
        <f>data!F927</f>
        <v>AC 1ERES COTES DE BLAYE PRESTIGE</v>
      </c>
      <c r="G927" s="10">
        <f>data!G927</f>
        <v>616.20000000000005</v>
      </c>
      <c r="H927" s="10">
        <f>data!I927</f>
        <v>801</v>
      </c>
      <c r="I927" s="10">
        <f t="shared" si="56"/>
        <v>-184.79999999999995</v>
      </c>
      <c r="J927" s="11">
        <f>data!H927</f>
        <v>132</v>
      </c>
      <c r="K927" s="11">
        <f>data!J927</f>
        <v>186</v>
      </c>
      <c r="L927" s="11">
        <f t="shared" si="57"/>
        <v>-54</v>
      </c>
      <c r="M927" s="9">
        <f t="shared" si="58"/>
        <v>-0.23071161048689132</v>
      </c>
      <c r="N927" s="9">
        <f t="shared" si="59"/>
        <v>-0.29032258064516131</v>
      </c>
    </row>
    <row r="928" spans="1:14" x14ac:dyDescent="0.25">
      <c r="A928" t="str">
        <f>TEXT("1/"&amp;data!A928,"mmmm")</f>
        <v>avril</v>
      </c>
      <c r="B928">
        <f>data!B928</f>
        <v>2016</v>
      </c>
      <c r="C928" t="str">
        <f>data!C928</f>
        <v>028</v>
      </c>
      <c r="D928" t="str">
        <f>data!D928</f>
        <v>VIGNOBLES DUBOIS ET FILS</v>
      </c>
      <c r="E928" t="str">
        <f>data!E928</f>
        <v>028015CB</v>
      </c>
      <c r="F928" t="str">
        <f>data!F928</f>
        <v>AC 1ERES C.DE BLAYE LES BERTRANDS</v>
      </c>
      <c r="G928" s="10">
        <f>data!G928</f>
        <v>41.67</v>
      </c>
      <c r="H928" s="10">
        <f>data!I928</f>
        <v>0</v>
      </c>
      <c r="I928" s="10">
        <f t="shared" si="56"/>
        <v>41.67</v>
      </c>
      <c r="J928" s="11">
        <f>data!H928</f>
        <v>9</v>
      </c>
      <c r="K928" s="11">
        <f>data!J928</f>
        <v>0</v>
      </c>
      <c r="L928" s="11">
        <f t="shared" si="57"/>
        <v>9</v>
      </c>
      <c r="M928" s="9" t="str">
        <f t="shared" si="58"/>
        <v/>
      </c>
      <c r="N928" s="9" t="str">
        <f t="shared" si="59"/>
        <v/>
      </c>
    </row>
    <row r="929" spans="1:14" x14ac:dyDescent="0.25">
      <c r="A929" t="str">
        <f>TEXT("1/"&amp;data!A929,"mmmm")</f>
        <v>avril</v>
      </c>
      <c r="B929">
        <f>data!B929</f>
        <v>2016</v>
      </c>
      <c r="C929" t="str">
        <f>data!C929</f>
        <v>029</v>
      </c>
      <c r="D929" t="str">
        <f>data!D929</f>
        <v>DOMAINE DE BELLE MARE</v>
      </c>
      <c r="E929" t="str">
        <f>data!E929</f>
        <v>029005</v>
      </c>
      <c r="F929" t="str">
        <f>data!F929</f>
        <v>VDP DE L'HERAULT. GRANGES FELINES</v>
      </c>
      <c r="G929" s="10">
        <f>data!G929</f>
        <v>10.38</v>
      </c>
      <c r="H929" s="10">
        <f>data!I929</f>
        <v>0</v>
      </c>
      <c r="I929" s="10">
        <f t="shared" si="56"/>
        <v>10.38</v>
      </c>
      <c r="J929" s="11">
        <f>data!H929</f>
        <v>6</v>
      </c>
      <c r="K929" s="11">
        <f>data!J929</f>
        <v>0</v>
      </c>
      <c r="L929" s="11">
        <f t="shared" si="57"/>
        <v>6</v>
      </c>
      <c r="M929" s="9" t="str">
        <f t="shared" si="58"/>
        <v/>
      </c>
      <c r="N929" s="9" t="str">
        <f t="shared" si="59"/>
        <v/>
      </c>
    </row>
    <row r="930" spans="1:14" x14ac:dyDescent="0.25">
      <c r="A930" t="str">
        <f>TEXT("1/"&amp;data!A930,"mmmm")</f>
        <v>avril</v>
      </c>
      <c r="B930">
        <f>data!B930</f>
        <v>2016</v>
      </c>
      <c r="C930" t="str">
        <f>data!C930</f>
        <v>035</v>
      </c>
      <c r="D930" t="str">
        <f>data!D930</f>
        <v>DOMAINE OLIVIER</v>
      </c>
      <c r="E930" t="str">
        <f>data!E930</f>
        <v>035001</v>
      </c>
      <c r="F930" t="str">
        <f>data!F930</f>
        <v>AC ST NICOLAS DE BOURG D.OLIVIER</v>
      </c>
      <c r="G930" s="10">
        <f>data!G930</f>
        <v>2051.2800000000002</v>
      </c>
      <c r="H930" s="10">
        <f>data!I930</f>
        <v>3480</v>
      </c>
      <c r="I930" s="10">
        <f t="shared" si="56"/>
        <v>-1428.7199999999998</v>
      </c>
      <c r="J930" s="11">
        <f>data!H930</f>
        <v>504</v>
      </c>
      <c r="K930" s="11">
        <f>data!J930</f>
        <v>870</v>
      </c>
      <c r="L930" s="11">
        <f t="shared" si="57"/>
        <v>-366</v>
      </c>
      <c r="M930" s="9">
        <f t="shared" si="58"/>
        <v>-0.41055172413793095</v>
      </c>
      <c r="N930" s="9">
        <f t="shared" si="59"/>
        <v>-0.4206896551724138</v>
      </c>
    </row>
    <row r="931" spans="1:14" x14ac:dyDescent="0.25">
      <c r="A931" t="str">
        <f>TEXT("1/"&amp;data!A931,"mmmm")</f>
        <v>avril</v>
      </c>
      <c r="B931">
        <f>data!B931</f>
        <v>2016</v>
      </c>
      <c r="C931" t="str">
        <f>data!C931</f>
        <v>035</v>
      </c>
      <c r="D931" t="str">
        <f>data!D931</f>
        <v>DOMAINE OLIVIER</v>
      </c>
      <c r="E931" t="str">
        <f>data!E931</f>
        <v>035002</v>
      </c>
      <c r="F931" t="str">
        <f>data!F931</f>
        <v>AC ST NICOLAS DE BOURG D.OLIVIER</v>
      </c>
      <c r="G931" s="10">
        <f>data!G931</f>
        <v>121.44</v>
      </c>
      <c r="H931" s="10">
        <f>data!I931</f>
        <v>390</v>
      </c>
      <c r="I931" s="10">
        <f t="shared" si="56"/>
        <v>-268.56</v>
      </c>
      <c r="J931" s="11">
        <f>data!H931</f>
        <v>24</v>
      </c>
      <c r="K931" s="11">
        <f>data!J931</f>
        <v>78</v>
      </c>
      <c r="L931" s="11">
        <f t="shared" si="57"/>
        <v>-54</v>
      </c>
      <c r="M931" s="9">
        <f t="shared" si="58"/>
        <v>-0.68861538461538463</v>
      </c>
      <c r="N931" s="9">
        <f t="shared" si="59"/>
        <v>-0.69230769230769229</v>
      </c>
    </row>
    <row r="932" spans="1:14" x14ac:dyDescent="0.25">
      <c r="A932" t="str">
        <f>TEXT("1/"&amp;data!A932,"mmmm")</f>
        <v>avril</v>
      </c>
      <c r="B932">
        <f>data!B932</f>
        <v>2016</v>
      </c>
      <c r="C932" t="str">
        <f>data!C932</f>
        <v>035</v>
      </c>
      <c r="D932" t="str">
        <f>data!D932</f>
        <v>DOMAINE OLIVIER</v>
      </c>
      <c r="E932" t="str">
        <f>data!E932</f>
        <v>035010</v>
      </c>
      <c r="F932" t="str">
        <f>data!F932</f>
        <v>AC BOURGUEIL V.VIGNES D.OLIVIER</v>
      </c>
      <c r="G932" s="10">
        <f>data!G932</f>
        <v>982.8</v>
      </c>
      <c r="H932" s="10">
        <f>data!I932</f>
        <v>685.44</v>
      </c>
      <c r="I932" s="10">
        <f t="shared" si="56"/>
        <v>297.3599999999999</v>
      </c>
      <c r="J932" s="11">
        <f>data!H932</f>
        <v>270</v>
      </c>
      <c r="K932" s="11">
        <f>data!J932</f>
        <v>192</v>
      </c>
      <c r="L932" s="11">
        <f t="shared" si="57"/>
        <v>78</v>
      </c>
      <c r="M932" s="9">
        <f t="shared" si="58"/>
        <v>0.43382352941176455</v>
      </c>
      <c r="N932" s="9">
        <f t="shared" si="59"/>
        <v>0.40625</v>
      </c>
    </row>
    <row r="933" spans="1:14" x14ac:dyDescent="0.25">
      <c r="A933" t="str">
        <f>TEXT("1/"&amp;data!A933,"mmmm")</f>
        <v>avril</v>
      </c>
      <c r="B933">
        <f>data!B933</f>
        <v>2016</v>
      </c>
      <c r="C933" t="str">
        <f>data!C933</f>
        <v>037</v>
      </c>
      <c r="D933" t="str">
        <f>data!D933</f>
        <v>SARL RAFFAULT</v>
      </c>
      <c r="E933" t="str">
        <f>data!E933</f>
        <v>037002</v>
      </c>
      <c r="F933" t="str">
        <f>data!F933</f>
        <v>JM. RAFFAULT AC CHINON LES PICASSES</v>
      </c>
      <c r="G933" s="10">
        <f>data!G933</f>
        <v>34.56</v>
      </c>
      <c r="H933" s="10">
        <f>data!I933</f>
        <v>0</v>
      </c>
      <c r="I933" s="10">
        <f t="shared" si="56"/>
        <v>34.56</v>
      </c>
      <c r="J933" s="11">
        <f>data!H933</f>
        <v>6</v>
      </c>
      <c r="K933" s="11">
        <f>data!J933</f>
        <v>0</v>
      </c>
      <c r="L933" s="11">
        <f t="shared" si="57"/>
        <v>6</v>
      </c>
      <c r="M933" s="9" t="str">
        <f t="shared" si="58"/>
        <v/>
      </c>
      <c r="N933" s="9" t="str">
        <f t="shared" si="59"/>
        <v/>
      </c>
    </row>
    <row r="934" spans="1:14" x14ac:dyDescent="0.25">
      <c r="A934" t="str">
        <f>TEXT("1/"&amp;data!A934,"mmmm")</f>
        <v>avril</v>
      </c>
      <c r="B934">
        <f>data!B934</f>
        <v>2016</v>
      </c>
      <c r="C934" t="str">
        <f>data!C934</f>
        <v>037</v>
      </c>
      <c r="D934" t="str">
        <f>data!D934</f>
        <v>SARL RAFFAULT</v>
      </c>
      <c r="E934" t="str">
        <f>data!E934</f>
        <v>037003</v>
      </c>
      <c r="F934" t="str">
        <f>data!F934</f>
        <v>AC CHINON</v>
      </c>
      <c r="G934" s="10">
        <f>data!G934</f>
        <v>114</v>
      </c>
      <c r="H934" s="10">
        <f>data!I934</f>
        <v>111</v>
      </c>
      <c r="I934" s="10">
        <f t="shared" si="56"/>
        <v>3</v>
      </c>
      <c r="J934" s="11">
        <f>data!H934</f>
        <v>30</v>
      </c>
      <c r="K934" s="11">
        <f>data!J934</f>
        <v>30</v>
      </c>
      <c r="L934" s="11">
        <f t="shared" si="57"/>
        <v>0</v>
      </c>
      <c r="M934" s="9">
        <f t="shared" si="58"/>
        <v>2.7027027027027029E-2</v>
      </c>
      <c r="N934" s="9">
        <f t="shared" si="59"/>
        <v>0</v>
      </c>
    </row>
    <row r="935" spans="1:14" x14ac:dyDescent="0.25">
      <c r="A935" t="str">
        <f>TEXT("1/"&amp;data!A935,"mmmm")</f>
        <v>avril</v>
      </c>
      <c r="B935">
        <f>data!B935</f>
        <v>2016</v>
      </c>
      <c r="C935" t="str">
        <f>data!C935</f>
        <v>037</v>
      </c>
      <c r="D935" t="str">
        <f>data!D935</f>
        <v>SARL RAFFAULT</v>
      </c>
      <c r="E935" t="str">
        <f>data!E935</f>
        <v>037005</v>
      </c>
      <c r="F935" t="str">
        <f>data!F935</f>
        <v>JM. RAFFAULT AC CHINON</v>
      </c>
      <c r="G935" s="10">
        <f>data!G935</f>
        <v>46.2</v>
      </c>
      <c r="H935" s="10">
        <f>data!I935</f>
        <v>0</v>
      </c>
      <c r="I935" s="10">
        <f t="shared" si="56"/>
        <v>46.2</v>
      </c>
      <c r="J935" s="11">
        <f>data!H935</f>
        <v>12</v>
      </c>
      <c r="K935" s="11">
        <f>data!J935</f>
        <v>0</v>
      </c>
      <c r="L935" s="11">
        <f t="shared" si="57"/>
        <v>12</v>
      </c>
      <c r="M935" s="9" t="str">
        <f t="shared" si="58"/>
        <v/>
      </c>
      <c r="N935" s="9" t="str">
        <f t="shared" si="59"/>
        <v/>
      </c>
    </row>
    <row r="936" spans="1:14" x14ac:dyDescent="0.25">
      <c r="A936" t="str">
        <f>TEXT("1/"&amp;data!A936,"mmmm")</f>
        <v>avril</v>
      </c>
      <c r="B936">
        <f>data!B936</f>
        <v>2016</v>
      </c>
      <c r="C936" t="str">
        <f>data!C936</f>
        <v>037</v>
      </c>
      <c r="D936" t="str">
        <f>data!D936</f>
        <v>SARL RAFFAULT</v>
      </c>
      <c r="E936" t="str">
        <f>data!E936</f>
        <v>037010</v>
      </c>
      <c r="F936" t="str">
        <f>data!F936</f>
        <v>AC CHINON SEC</v>
      </c>
      <c r="G936" s="10">
        <f>data!G936</f>
        <v>342</v>
      </c>
      <c r="H936" s="10">
        <f>data!I936</f>
        <v>655.20000000000005</v>
      </c>
      <c r="I936" s="10">
        <f t="shared" si="56"/>
        <v>-313.20000000000005</v>
      </c>
      <c r="J936" s="11">
        <f>data!H936</f>
        <v>72</v>
      </c>
      <c r="K936" s="11">
        <f>data!J936</f>
        <v>144</v>
      </c>
      <c r="L936" s="11">
        <f t="shared" si="57"/>
        <v>-72</v>
      </c>
      <c r="M936" s="9">
        <f t="shared" si="58"/>
        <v>-0.47802197802197804</v>
      </c>
      <c r="N936" s="9">
        <f t="shared" si="59"/>
        <v>-0.5</v>
      </c>
    </row>
    <row r="937" spans="1:14" x14ac:dyDescent="0.25">
      <c r="A937" t="str">
        <f>TEXT("1/"&amp;data!A937,"mmmm")</f>
        <v>avril</v>
      </c>
      <c r="B937">
        <f>data!B937</f>
        <v>2016</v>
      </c>
      <c r="C937" t="str">
        <f>data!C937</f>
        <v>037</v>
      </c>
      <c r="D937" t="str">
        <f>data!D937</f>
        <v>SARL RAFFAULT</v>
      </c>
      <c r="E937" t="str">
        <f>data!E937</f>
        <v>037011</v>
      </c>
      <c r="F937" t="str">
        <f>data!F937</f>
        <v>JM. RAFFAULT AC CHINON SEC</v>
      </c>
      <c r="G937" s="10">
        <f>data!G937</f>
        <v>0</v>
      </c>
      <c r="H937" s="10">
        <f>data!I937</f>
        <v>0</v>
      </c>
      <c r="I937" s="10">
        <f t="shared" si="56"/>
        <v>0</v>
      </c>
      <c r="J937" s="11">
        <f>data!H937</f>
        <v>6</v>
      </c>
      <c r="K937" s="11">
        <f>data!J937</f>
        <v>0</v>
      </c>
      <c r="L937" s="11">
        <f t="shared" si="57"/>
        <v>6</v>
      </c>
      <c r="M937" s="9" t="str">
        <f t="shared" si="58"/>
        <v/>
      </c>
      <c r="N937" s="9" t="str">
        <f t="shared" si="59"/>
        <v/>
      </c>
    </row>
    <row r="938" spans="1:14" x14ac:dyDescent="0.25">
      <c r="A938" t="str">
        <f>TEXT("1/"&amp;data!A938,"mmmm")</f>
        <v>avril</v>
      </c>
      <c r="B938">
        <f>data!B938</f>
        <v>2016</v>
      </c>
      <c r="C938" t="str">
        <f>data!C938</f>
        <v>040</v>
      </c>
      <c r="D938" t="str">
        <f>data!D938</f>
        <v>CHÂTEAU DE LA GRAVE</v>
      </c>
      <c r="E938" t="str">
        <f>data!E938</f>
        <v>040006</v>
      </c>
      <c r="F938" t="str">
        <f>data!F938</f>
        <v>AC COTES DE BOURG CHATEAU DE LA GRAVE</v>
      </c>
      <c r="G938" s="10">
        <f>data!G938</f>
        <v>2803.2</v>
      </c>
      <c r="H938" s="10">
        <f>data!I938</f>
        <v>2808</v>
      </c>
      <c r="I938" s="10">
        <f t="shared" si="56"/>
        <v>-4.8000000000001819</v>
      </c>
      <c r="J938" s="11">
        <f>data!H938</f>
        <v>768</v>
      </c>
      <c r="K938" s="11">
        <f>data!J938</f>
        <v>780</v>
      </c>
      <c r="L938" s="11">
        <f t="shared" si="57"/>
        <v>-12</v>
      </c>
      <c r="M938" s="9">
        <f t="shared" si="58"/>
        <v>-1.7094017094017742E-3</v>
      </c>
      <c r="N938" s="9">
        <f t="shared" si="59"/>
        <v>-1.5384615384615385E-2</v>
      </c>
    </row>
    <row r="939" spans="1:14" x14ac:dyDescent="0.25">
      <c r="A939" t="str">
        <f>TEXT("1/"&amp;data!A939,"mmmm")</f>
        <v>avril</v>
      </c>
      <c r="B939">
        <f>data!B939</f>
        <v>2016</v>
      </c>
      <c r="C939" t="str">
        <f>data!C939</f>
        <v>040</v>
      </c>
      <c r="D939" t="str">
        <f>data!D939</f>
        <v>CHÂTEAU DE LA GRAVE</v>
      </c>
      <c r="E939" t="str">
        <f>data!E939</f>
        <v>040007</v>
      </c>
      <c r="F939" t="str">
        <f>data!F939</f>
        <v>AC COTES DE BOURG G DE LA GRAVE</v>
      </c>
      <c r="G939" s="10">
        <f>data!G939</f>
        <v>441.6</v>
      </c>
      <c r="H939" s="10">
        <f>data!I939</f>
        <v>210.4</v>
      </c>
      <c r="I939" s="10">
        <f t="shared" si="56"/>
        <v>231.20000000000002</v>
      </c>
      <c r="J939" s="11">
        <f>data!H939</f>
        <v>220.10999999999999</v>
      </c>
      <c r="K939" s="11">
        <f>data!J939</f>
        <v>106.72</v>
      </c>
      <c r="L939" s="11">
        <f t="shared" si="57"/>
        <v>113.38999999999999</v>
      </c>
      <c r="M939" s="9">
        <f t="shared" si="58"/>
        <v>1.0988593155893536</v>
      </c>
      <c r="N939" s="9">
        <f t="shared" si="59"/>
        <v>1.0624999999999998</v>
      </c>
    </row>
    <row r="940" spans="1:14" x14ac:dyDescent="0.25">
      <c r="A940" t="str">
        <f>TEXT("1/"&amp;data!A940,"mmmm")</f>
        <v>avril</v>
      </c>
      <c r="B940">
        <f>data!B940</f>
        <v>2016</v>
      </c>
      <c r="C940" t="str">
        <f>data!C940</f>
        <v>040</v>
      </c>
      <c r="D940" t="str">
        <f>data!D940</f>
        <v>CHÂTEAU DE LA GRAVE</v>
      </c>
      <c r="E940" t="str">
        <f>data!E940</f>
        <v>040008</v>
      </c>
      <c r="F940" t="str">
        <f>data!F940</f>
        <v>AC COTES DE BOURG G DE LA GRAVE</v>
      </c>
      <c r="G940" s="10">
        <f>data!G940</f>
        <v>661.25</v>
      </c>
      <c r="H940" s="10">
        <f>data!I940</f>
        <v>428.4</v>
      </c>
      <c r="I940" s="10">
        <f t="shared" si="56"/>
        <v>232.85000000000002</v>
      </c>
      <c r="J940" s="11">
        <f>data!H940</f>
        <v>359.91</v>
      </c>
      <c r="K940" s="11">
        <f>data!J940</f>
        <v>239.94</v>
      </c>
      <c r="L940" s="11">
        <f t="shared" si="57"/>
        <v>119.97000000000003</v>
      </c>
      <c r="M940" s="9">
        <f t="shared" si="58"/>
        <v>0.54353408029878625</v>
      </c>
      <c r="N940" s="9">
        <f t="shared" si="59"/>
        <v>0.50000000000000011</v>
      </c>
    </row>
    <row r="941" spans="1:14" x14ac:dyDescent="0.25">
      <c r="A941" t="str">
        <f>TEXT("1/"&amp;data!A941,"mmmm")</f>
        <v>avril</v>
      </c>
      <c r="B941">
        <f>data!B941</f>
        <v>2016</v>
      </c>
      <c r="C941" t="str">
        <f>data!C941</f>
        <v>040</v>
      </c>
      <c r="D941" t="str">
        <f>data!D941</f>
        <v>CHÂTEAU DE LA GRAVE</v>
      </c>
      <c r="E941" t="str">
        <f>data!E941</f>
        <v>040009CB</v>
      </c>
      <c r="F941" t="str">
        <f>data!F941</f>
        <v>AC C.DE BOURG. BEL AIR</v>
      </c>
      <c r="G941" s="10">
        <f>data!G941</f>
        <v>46.8</v>
      </c>
      <c r="H941" s="10">
        <f>data!I941</f>
        <v>0</v>
      </c>
      <c r="I941" s="10">
        <f t="shared" si="56"/>
        <v>46.8</v>
      </c>
      <c r="J941" s="11">
        <f>data!H941</f>
        <v>9</v>
      </c>
      <c r="K941" s="11">
        <f>data!J941</f>
        <v>0</v>
      </c>
      <c r="L941" s="11">
        <f t="shared" si="57"/>
        <v>9</v>
      </c>
      <c r="M941" s="9" t="str">
        <f t="shared" si="58"/>
        <v/>
      </c>
      <c r="N941" s="9" t="str">
        <f t="shared" si="59"/>
        <v/>
      </c>
    </row>
    <row r="942" spans="1:14" x14ac:dyDescent="0.25">
      <c r="A942" t="str">
        <f>TEXT("1/"&amp;data!A942,"mmmm")</f>
        <v>avril</v>
      </c>
      <c r="B942">
        <f>data!B942</f>
        <v>2016</v>
      </c>
      <c r="C942" t="str">
        <f>data!C942</f>
        <v>040</v>
      </c>
      <c r="D942" t="str">
        <f>data!D942</f>
        <v>CHÂTEAU DE LA GRAVE</v>
      </c>
      <c r="E942" t="str">
        <f>data!E942</f>
        <v>040011</v>
      </c>
      <c r="F942" t="str">
        <f>data!F942</f>
        <v>AC C DE BOURG BEL AIR</v>
      </c>
      <c r="G942" s="10">
        <f>data!G942</f>
        <v>54</v>
      </c>
      <c r="H942" s="10">
        <f>data!I942</f>
        <v>675</v>
      </c>
      <c r="I942" s="10">
        <f t="shared" si="56"/>
        <v>-621</v>
      </c>
      <c r="J942" s="11">
        <f>data!H942</f>
        <v>12</v>
      </c>
      <c r="K942" s="11">
        <f>data!J942</f>
        <v>150</v>
      </c>
      <c r="L942" s="11">
        <f t="shared" si="57"/>
        <v>-138</v>
      </c>
      <c r="M942" s="9">
        <f t="shared" si="58"/>
        <v>-0.92</v>
      </c>
      <c r="N942" s="9">
        <f t="shared" si="59"/>
        <v>-0.92</v>
      </c>
    </row>
    <row r="943" spans="1:14" x14ac:dyDescent="0.25">
      <c r="A943" t="str">
        <f>TEXT("1/"&amp;data!A943,"mmmm")</f>
        <v>avril</v>
      </c>
      <c r="B943">
        <f>data!B943</f>
        <v>2016</v>
      </c>
      <c r="C943" t="str">
        <f>data!C943</f>
        <v>041</v>
      </c>
      <c r="D943" t="str">
        <f>data!D943</f>
        <v>CHATEAU TOUR DE PEZ</v>
      </c>
      <c r="E943" t="str">
        <f>data!E943</f>
        <v>041001/10</v>
      </c>
      <c r="F943" t="str">
        <f>data!F943</f>
        <v>AC ST ESTEPHE CH TOUR DE PEZ</v>
      </c>
      <c r="G943" s="10">
        <f>data!G943</f>
        <v>935.1</v>
      </c>
      <c r="H943" s="10">
        <f>data!I943</f>
        <v>0</v>
      </c>
      <c r="I943" s="10">
        <f t="shared" si="56"/>
        <v>935.1</v>
      </c>
      <c r="J943" s="11">
        <f>data!H943</f>
        <v>66</v>
      </c>
      <c r="K943" s="11">
        <f>data!J943</f>
        <v>0</v>
      </c>
      <c r="L943" s="11">
        <f t="shared" si="57"/>
        <v>66</v>
      </c>
      <c r="M943" s="9" t="str">
        <f t="shared" si="58"/>
        <v/>
      </c>
      <c r="N943" s="9" t="str">
        <f t="shared" si="59"/>
        <v/>
      </c>
    </row>
    <row r="944" spans="1:14" x14ac:dyDescent="0.25">
      <c r="A944" t="str">
        <f>TEXT("1/"&amp;data!A944,"mmmm")</f>
        <v>avril</v>
      </c>
      <c r="B944">
        <f>data!B944</f>
        <v>2016</v>
      </c>
      <c r="C944" t="str">
        <f>data!C944</f>
        <v>041</v>
      </c>
      <c r="D944" t="str">
        <f>data!D944</f>
        <v>CHATEAU TOUR DE PEZ</v>
      </c>
      <c r="E944" t="str">
        <f>data!E944</f>
        <v>041006</v>
      </c>
      <c r="F944" t="str">
        <f>data!F944</f>
        <v>AC ST ESTEPHE. C.LES HAUTS  DE PEZ</v>
      </c>
      <c r="G944" s="10">
        <f>data!G944</f>
        <v>109.2</v>
      </c>
      <c r="H944" s="10">
        <f>data!I944</f>
        <v>1026</v>
      </c>
      <c r="I944" s="10">
        <f t="shared" si="56"/>
        <v>-916.8</v>
      </c>
      <c r="J944" s="11">
        <f>data!H944</f>
        <v>12</v>
      </c>
      <c r="K944" s="11">
        <f>data!J944</f>
        <v>114</v>
      </c>
      <c r="L944" s="11">
        <f t="shared" si="57"/>
        <v>-102</v>
      </c>
      <c r="M944" s="9">
        <f t="shared" si="58"/>
        <v>-0.89356725146198823</v>
      </c>
      <c r="N944" s="9">
        <f t="shared" si="59"/>
        <v>-0.89473684210526316</v>
      </c>
    </row>
    <row r="945" spans="1:14" x14ac:dyDescent="0.25">
      <c r="A945" t="str">
        <f>TEXT("1/"&amp;data!A945,"mmmm")</f>
        <v>avril</v>
      </c>
      <c r="B945">
        <f>data!B945</f>
        <v>2016</v>
      </c>
      <c r="C945" t="str">
        <f>data!C945</f>
        <v>041</v>
      </c>
      <c r="D945" t="str">
        <f>data!D945</f>
        <v>CHATEAU TOUR DE PEZ</v>
      </c>
      <c r="E945" t="str">
        <f>data!E945</f>
        <v>041016</v>
      </c>
      <c r="F945" t="str">
        <f>data!F945</f>
        <v>AOP SAINT- ESTEPHE CH LES HAUTS DE PEZ</v>
      </c>
      <c r="G945" s="10">
        <f>data!G945</f>
        <v>1713.6</v>
      </c>
      <c r="H945" s="10">
        <f>data!I945</f>
        <v>516</v>
      </c>
      <c r="I945" s="10">
        <f t="shared" si="56"/>
        <v>1197.5999999999999</v>
      </c>
      <c r="J945" s="11">
        <f>data!H945</f>
        <v>204</v>
      </c>
      <c r="K945" s="11">
        <f>data!J945</f>
        <v>120</v>
      </c>
      <c r="L945" s="11">
        <f t="shared" si="57"/>
        <v>84</v>
      </c>
      <c r="M945" s="9">
        <f t="shared" si="58"/>
        <v>2.3209302325581396</v>
      </c>
      <c r="N945" s="9">
        <f t="shared" si="59"/>
        <v>0.7</v>
      </c>
    </row>
    <row r="946" spans="1:14" x14ac:dyDescent="0.25">
      <c r="A946" t="str">
        <f>TEXT("1/"&amp;data!A946,"mmmm")</f>
        <v>avril</v>
      </c>
      <c r="B946">
        <f>data!B946</f>
        <v>2016</v>
      </c>
      <c r="C946" t="str">
        <f>data!C946</f>
        <v>041</v>
      </c>
      <c r="D946" t="str">
        <f>data!D946</f>
        <v>CHATEAU TOUR DE PEZ</v>
      </c>
      <c r="E946" t="str">
        <f>data!E946</f>
        <v>041020</v>
      </c>
      <c r="F946" t="str">
        <f>data!F946</f>
        <v>AC ST ESTEPHE C.TOUR DE PEZ</v>
      </c>
      <c r="G946" s="10">
        <f>data!G946</f>
        <v>180</v>
      </c>
      <c r="H946" s="10">
        <f>data!I946</f>
        <v>5.4</v>
      </c>
      <c r="I946" s="10">
        <f t="shared" si="56"/>
        <v>174.6</v>
      </c>
      <c r="J946" s="11">
        <f>data!H946</f>
        <v>12</v>
      </c>
      <c r="K946" s="11">
        <f>data!J946</f>
        <v>0</v>
      </c>
      <c r="L946" s="11">
        <f t="shared" si="57"/>
        <v>12</v>
      </c>
      <c r="M946" s="9">
        <f t="shared" si="58"/>
        <v>32.333333333333329</v>
      </c>
      <c r="N946" s="9" t="str">
        <f t="shared" si="59"/>
        <v/>
      </c>
    </row>
    <row r="947" spans="1:14" x14ac:dyDescent="0.25">
      <c r="A947" t="str">
        <f>TEXT("1/"&amp;data!A947,"mmmm")</f>
        <v>avril</v>
      </c>
      <c r="B947">
        <f>data!B947</f>
        <v>2016</v>
      </c>
      <c r="C947" t="str">
        <f>data!C947</f>
        <v>042</v>
      </c>
      <c r="D947" t="str">
        <f>data!D947</f>
        <v>LE CELLIER DES PRINCES</v>
      </c>
      <c r="E947" t="str">
        <f>data!E947</f>
        <v>042100</v>
      </c>
      <c r="F947" t="str">
        <f>data!F947</f>
        <v>IGP VAUCLUSE</v>
      </c>
      <c r="G947" s="10">
        <f>data!G947</f>
        <v>613.79999999999995</v>
      </c>
      <c r="H947" s="10">
        <f>data!I947</f>
        <v>604.79999999999995</v>
      </c>
      <c r="I947" s="10">
        <f t="shared" si="56"/>
        <v>9</v>
      </c>
      <c r="J947" s="11">
        <f>data!H947</f>
        <v>82664.600000000006</v>
      </c>
      <c r="K947" s="11">
        <f>data!J947</f>
        <v>83997.900000000009</v>
      </c>
      <c r="L947" s="11">
        <f t="shared" si="57"/>
        <v>-1333.3000000000029</v>
      </c>
      <c r="M947" s="9">
        <f t="shared" si="58"/>
        <v>1.4880952380952382E-2</v>
      </c>
      <c r="N947" s="9">
        <f t="shared" si="59"/>
        <v>-1.5873015873015907E-2</v>
      </c>
    </row>
    <row r="948" spans="1:14" x14ac:dyDescent="0.25">
      <c r="A948" t="str">
        <f>TEXT("1/"&amp;data!A948,"mmmm")</f>
        <v>avril</v>
      </c>
      <c r="B948">
        <f>data!B948</f>
        <v>2016</v>
      </c>
      <c r="C948" t="str">
        <f>data!C948</f>
        <v>046</v>
      </c>
      <c r="D948" t="str">
        <f>data!D948</f>
        <v>MR JEAN PIERRE CABANES</v>
      </c>
      <c r="E948" t="str">
        <f>data!E948</f>
        <v>046001</v>
      </c>
      <c r="F948" t="str">
        <f>data!F948</f>
        <v>AC CTX DU LANGU TRAD D.ARCHIMBAUD</v>
      </c>
      <c r="G948" s="10">
        <f>data!G948</f>
        <v>216</v>
      </c>
      <c r="H948" s="10">
        <f>data!I948</f>
        <v>98.4</v>
      </c>
      <c r="I948" s="10">
        <f t="shared" si="56"/>
        <v>117.6</v>
      </c>
      <c r="J948" s="11">
        <f>data!H948</f>
        <v>48</v>
      </c>
      <c r="K948" s="11">
        <f>data!J948</f>
        <v>24</v>
      </c>
      <c r="L948" s="11">
        <f t="shared" si="57"/>
        <v>24</v>
      </c>
      <c r="M948" s="9">
        <f t="shared" si="58"/>
        <v>1.1951219512195121</v>
      </c>
      <c r="N948" s="9">
        <f t="shared" si="59"/>
        <v>1</v>
      </c>
    </row>
    <row r="949" spans="1:14" x14ac:dyDescent="0.25">
      <c r="A949" t="str">
        <f>TEXT("1/"&amp;data!A949,"mmmm")</f>
        <v>avril</v>
      </c>
      <c r="B949">
        <f>data!B949</f>
        <v>2016</v>
      </c>
      <c r="C949" t="str">
        <f>data!C949</f>
        <v>046</v>
      </c>
      <c r="D949" t="str">
        <f>data!D949</f>
        <v>MR JEAN PIERRE CABANES</v>
      </c>
      <c r="E949" t="str">
        <f>data!E949</f>
        <v>046010</v>
      </c>
      <c r="F949" t="str">
        <f>data!F949</f>
        <v>AC COT DU LANG ROBE POURPRE</v>
      </c>
      <c r="G949" s="10">
        <f>data!G949</f>
        <v>82.8</v>
      </c>
      <c r="H949" s="10">
        <f>data!I949</f>
        <v>844.8</v>
      </c>
      <c r="I949" s="10">
        <f t="shared" si="56"/>
        <v>-762</v>
      </c>
      <c r="J949" s="11">
        <f>data!H949</f>
        <v>12</v>
      </c>
      <c r="K949" s="11">
        <f>data!J949</f>
        <v>138</v>
      </c>
      <c r="L949" s="11">
        <f t="shared" si="57"/>
        <v>-126</v>
      </c>
      <c r="M949" s="9">
        <f t="shared" si="58"/>
        <v>-0.90198863636363646</v>
      </c>
      <c r="N949" s="9">
        <f t="shared" si="59"/>
        <v>-0.91304347826086951</v>
      </c>
    </row>
    <row r="950" spans="1:14" x14ac:dyDescent="0.25">
      <c r="A950" t="str">
        <f>TEXT("1/"&amp;data!A950,"mmmm")</f>
        <v>avril</v>
      </c>
      <c r="B950">
        <f>data!B950</f>
        <v>2016</v>
      </c>
      <c r="C950" t="str">
        <f>data!C950</f>
        <v>046</v>
      </c>
      <c r="D950" t="str">
        <f>data!D950</f>
        <v>MR JEAN PIERRE CABANES</v>
      </c>
      <c r="E950" t="str">
        <f>data!E950</f>
        <v>046015</v>
      </c>
      <c r="F950" t="str">
        <f>data!F950</f>
        <v>AC COT DU LANGU D.ARCHIMBAUD</v>
      </c>
      <c r="G950" s="10">
        <f>data!G950</f>
        <v>72</v>
      </c>
      <c r="H950" s="10">
        <f>data!I950</f>
        <v>525</v>
      </c>
      <c r="I950" s="10">
        <f t="shared" si="56"/>
        <v>-453</v>
      </c>
      <c r="J950" s="11">
        <f>data!H950</f>
        <v>18</v>
      </c>
      <c r="K950" s="11">
        <f>data!J950</f>
        <v>162</v>
      </c>
      <c r="L950" s="11">
        <f t="shared" si="57"/>
        <v>-144</v>
      </c>
      <c r="M950" s="9">
        <f t="shared" si="58"/>
        <v>-0.86285714285714288</v>
      </c>
      <c r="N950" s="9">
        <f t="shared" si="59"/>
        <v>-0.88888888888888884</v>
      </c>
    </row>
    <row r="951" spans="1:14" x14ac:dyDescent="0.25">
      <c r="A951" t="str">
        <f>TEXT("1/"&amp;data!A951,"mmmm")</f>
        <v>avril</v>
      </c>
      <c r="B951">
        <f>data!B951</f>
        <v>2016</v>
      </c>
      <c r="C951" t="str">
        <f>data!C951</f>
        <v>046</v>
      </c>
      <c r="D951" t="str">
        <f>data!D951</f>
        <v>MR JEAN PIERRE CABANES</v>
      </c>
      <c r="E951" t="str">
        <f>data!E951</f>
        <v>046020</v>
      </c>
      <c r="F951" t="str">
        <f>data!F951</f>
        <v>AC COTEAUX DU LANGUEDOC ENFANT TERRIBLE</v>
      </c>
      <c r="G951" s="10">
        <f>data!G951</f>
        <v>90</v>
      </c>
      <c r="H951" s="10">
        <f>data!I951</f>
        <v>0</v>
      </c>
      <c r="I951" s="10">
        <f t="shared" si="56"/>
        <v>90</v>
      </c>
      <c r="J951" s="11">
        <f>data!H951</f>
        <v>12</v>
      </c>
      <c r="K951" s="11">
        <f>data!J951</f>
        <v>0</v>
      </c>
      <c r="L951" s="11">
        <f t="shared" si="57"/>
        <v>12</v>
      </c>
      <c r="M951" s="9" t="str">
        <f t="shared" si="58"/>
        <v/>
      </c>
      <c r="N951" s="9" t="str">
        <f t="shared" si="59"/>
        <v/>
      </c>
    </row>
    <row r="952" spans="1:14" x14ac:dyDescent="0.25">
      <c r="A952" t="str">
        <f>TEXT("1/"&amp;data!A952,"mmmm")</f>
        <v>avril</v>
      </c>
      <c r="B952">
        <f>data!B952</f>
        <v>2016</v>
      </c>
      <c r="C952" t="str">
        <f>data!C952</f>
        <v>049</v>
      </c>
      <c r="D952" t="str">
        <f>data!D952</f>
        <v>MAISON GRANDEAU</v>
      </c>
      <c r="E952" t="str">
        <f>data!E952</f>
        <v>049007</v>
      </c>
      <c r="F952" t="str">
        <f>data!F952</f>
        <v>AC BX SUP Tradi  CH LAUDUC</v>
      </c>
      <c r="G952" s="10">
        <f>data!G952</f>
        <v>357</v>
      </c>
      <c r="H952" s="10">
        <f>data!I952</f>
        <v>475.2</v>
      </c>
      <c r="I952" s="10">
        <f t="shared" si="56"/>
        <v>-118.19999999999999</v>
      </c>
      <c r="J952" s="11">
        <f>data!H952</f>
        <v>108</v>
      </c>
      <c r="K952" s="11">
        <f>data!J952</f>
        <v>144</v>
      </c>
      <c r="L952" s="11">
        <f t="shared" si="57"/>
        <v>-36</v>
      </c>
      <c r="M952" s="9">
        <f t="shared" si="58"/>
        <v>-0.24873737373737373</v>
      </c>
      <c r="N952" s="9">
        <f t="shared" si="59"/>
        <v>-0.25</v>
      </c>
    </row>
    <row r="953" spans="1:14" x14ac:dyDescent="0.25">
      <c r="A953" t="str">
        <f>TEXT("1/"&amp;data!A953,"mmmm")</f>
        <v>avril</v>
      </c>
      <c r="B953">
        <f>data!B953</f>
        <v>2016</v>
      </c>
      <c r="C953" t="str">
        <f>data!C953</f>
        <v>049</v>
      </c>
      <c r="D953" t="str">
        <f>data!D953</f>
        <v>MAISON GRANDEAU</v>
      </c>
      <c r="E953" t="str">
        <f>data!E953</f>
        <v>049008</v>
      </c>
      <c r="F953" t="str">
        <f>data!F953</f>
        <v>AC BX SUP Tradi  CH LAUDUC</v>
      </c>
      <c r="G953" s="10">
        <f>data!G953</f>
        <v>100.8</v>
      </c>
      <c r="H953" s="10">
        <f>data!I953</f>
        <v>126</v>
      </c>
      <c r="I953" s="10">
        <f t="shared" si="56"/>
        <v>-25.200000000000003</v>
      </c>
      <c r="J953" s="11">
        <f>data!H953</f>
        <v>24</v>
      </c>
      <c r="K953" s="11">
        <f>data!J953</f>
        <v>30</v>
      </c>
      <c r="L953" s="11">
        <f t="shared" si="57"/>
        <v>-6</v>
      </c>
      <c r="M953" s="9">
        <f t="shared" si="58"/>
        <v>-0.2</v>
      </c>
      <c r="N953" s="9">
        <f t="shared" si="59"/>
        <v>-0.2</v>
      </c>
    </row>
    <row r="954" spans="1:14" x14ac:dyDescent="0.25">
      <c r="A954" t="str">
        <f>TEXT("1/"&amp;data!A954,"mmmm")</f>
        <v>avril</v>
      </c>
      <c r="B954">
        <f>data!B954</f>
        <v>2016</v>
      </c>
      <c r="C954" t="str">
        <f>data!C954</f>
        <v>049</v>
      </c>
      <c r="D954" t="str">
        <f>data!D954</f>
        <v>MAISON GRANDEAU</v>
      </c>
      <c r="E954" t="str">
        <f>data!E954</f>
        <v>049009</v>
      </c>
      <c r="F954" t="str">
        <f>data!F954</f>
        <v>AC BORDEAUX CHATEAU LAUDUC</v>
      </c>
      <c r="G954" s="10">
        <f>data!G954</f>
        <v>52.2</v>
      </c>
      <c r="H954" s="10">
        <f>data!I954</f>
        <v>0</v>
      </c>
      <c r="I954" s="10">
        <f t="shared" si="56"/>
        <v>52.2</v>
      </c>
      <c r="J954" s="11">
        <f>data!H954</f>
        <v>18</v>
      </c>
      <c r="K954" s="11">
        <f>data!J954</f>
        <v>0</v>
      </c>
      <c r="L954" s="11">
        <f t="shared" si="57"/>
        <v>18</v>
      </c>
      <c r="M954" s="9" t="str">
        <f t="shared" si="58"/>
        <v/>
      </c>
      <c r="N954" s="9" t="str">
        <f t="shared" si="59"/>
        <v/>
      </c>
    </row>
    <row r="955" spans="1:14" x14ac:dyDescent="0.25">
      <c r="A955" t="str">
        <f>TEXT("1/"&amp;data!A955,"mmmm")</f>
        <v>avril</v>
      </c>
      <c r="B955">
        <f>data!B955</f>
        <v>2016</v>
      </c>
      <c r="C955" t="str">
        <f>data!C955</f>
        <v>049</v>
      </c>
      <c r="D955" t="str">
        <f>data!D955</f>
        <v>MAISON GRANDEAU</v>
      </c>
      <c r="E955" t="str">
        <f>data!E955</f>
        <v>049014</v>
      </c>
      <c r="F955" t="str">
        <f>data!F955</f>
        <v>AC ENTRE DEUX MER CH FLAMAND BELLEVUE</v>
      </c>
      <c r="G955" s="10">
        <f>data!G955</f>
        <v>94.5</v>
      </c>
      <c r="H955" s="10">
        <f>data!I955</f>
        <v>0</v>
      </c>
      <c r="I955" s="10">
        <f t="shared" si="56"/>
        <v>94.5</v>
      </c>
      <c r="J955" s="11">
        <f>data!H955</f>
        <v>42</v>
      </c>
      <c r="K955" s="11">
        <f>data!J955</f>
        <v>0</v>
      </c>
      <c r="L955" s="11">
        <f t="shared" si="57"/>
        <v>42</v>
      </c>
      <c r="M955" s="9" t="str">
        <f t="shared" si="58"/>
        <v/>
      </c>
      <c r="N955" s="9" t="str">
        <f t="shared" si="59"/>
        <v/>
      </c>
    </row>
    <row r="956" spans="1:14" x14ac:dyDescent="0.25">
      <c r="A956" t="str">
        <f>TEXT("1/"&amp;data!A956,"mmmm")</f>
        <v>avril</v>
      </c>
      <c r="B956">
        <f>data!B956</f>
        <v>2016</v>
      </c>
      <c r="C956" t="str">
        <f>data!C956</f>
        <v>049</v>
      </c>
      <c r="D956" t="str">
        <f>data!D956</f>
        <v>MAISON GRANDEAU</v>
      </c>
      <c r="E956" t="str">
        <f>data!E956</f>
        <v>049015</v>
      </c>
      <c r="F956" t="str">
        <f>data!F956</f>
        <v>AC BDX Classic CH LAUDUC</v>
      </c>
      <c r="G956" s="10">
        <f>data!G956</f>
        <v>208.8</v>
      </c>
      <c r="H956" s="10">
        <f>data!I956</f>
        <v>1898.1</v>
      </c>
      <c r="I956" s="10">
        <f t="shared" si="56"/>
        <v>-1689.3</v>
      </c>
      <c r="J956" s="11">
        <f>data!H956</f>
        <v>72</v>
      </c>
      <c r="K956" s="11">
        <f>data!J956</f>
        <v>666</v>
      </c>
      <c r="L956" s="11">
        <f t="shared" si="57"/>
        <v>-594</v>
      </c>
      <c r="M956" s="9">
        <f t="shared" si="58"/>
        <v>-0.88999525841631111</v>
      </c>
      <c r="N956" s="9">
        <f t="shared" si="59"/>
        <v>-0.89189189189189189</v>
      </c>
    </row>
    <row r="957" spans="1:14" x14ac:dyDescent="0.25">
      <c r="A957" t="str">
        <f>TEXT("1/"&amp;data!A957,"mmmm")</f>
        <v>avril</v>
      </c>
      <c r="B957">
        <f>data!B957</f>
        <v>2016</v>
      </c>
      <c r="C957" t="str">
        <f>data!C957</f>
        <v>049</v>
      </c>
      <c r="D957" t="str">
        <f>data!D957</f>
        <v>MAISON GRANDEAU</v>
      </c>
      <c r="E957" t="str">
        <f>data!E957</f>
        <v>049020</v>
      </c>
      <c r="F957" t="str">
        <f>data!F957</f>
        <v>AC BDX CH.FLAMAND BELLEVUE</v>
      </c>
      <c r="G957" s="10">
        <f>data!G957</f>
        <v>688.5</v>
      </c>
      <c r="H957" s="10">
        <f>data!I957</f>
        <v>783</v>
      </c>
      <c r="I957" s="10">
        <f t="shared" si="56"/>
        <v>-94.5</v>
      </c>
      <c r="J957" s="11">
        <f>data!H957</f>
        <v>306</v>
      </c>
      <c r="K957" s="11">
        <f>data!J957</f>
        <v>348</v>
      </c>
      <c r="L957" s="11">
        <f t="shared" si="57"/>
        <v>-42</v>
      </c>
      <c r="M957" s="9">
        <f t="shared" si="58"/>
        <v>-0.1206896551724138</v>
      </c>
      <c r="N957" s="9">
        <f t="shared" si="59"/>
        <v>-0.1206896551724138</v>
      </c>
    </row>
    <row r="958" spans="1:14" x14ac:dyDescent="0.25">
      <c r="A958" t="str">
        <f>TEXT("1/"&amp;data!A958,"mmmm")</f>
        <v>avril</v>
      </c>
      <c r="B958">
        <f>data!B958</f>
        <v>2016</v>
      </c>
      <c r="C958" t="str">
        <f>data!C958</f>
        <v>049</v>
      </c>
      <c r="D958" t="str">
        <f>data!D958</f>
        <v>MAISON GRANDEAU</v>
      </c>
      <c r="E958" t="str">
        <f>data!E958</f>
        <v>049023</v>
      </c>
      <c r="F958" t="str">
        <f>data!F958</f>
        <v>AC BDX CH.FLAMAND BELLEVUE</v>
      </c>
      <c r="G958" s="10">
        <f>data!G958</f>
        <v>59.4</v>
      </c>
      <c r="H958" s="10">
        <f>data!I958</f>
        <v>0</v>
      </c>
      <c r="I958" s="10">
        <f t="shared" si="56"/>
        <v>59.4</v>
      </c>
      <c r="J958" s="11">
        <f>data!H958</f>
        <v>18</v>
      </c>
      <c r="K958" s="11">
        <f>data!J958</f>
        <v>0</v>
      </c>
      <c r="L958" s="11">
        <f t="shared" si="57"/>
        <v>18</v>
      </c>
      <c r="M958" s="9" t="str">
        <f t="shared" si="58"/>
        <v/>
      </c>
      <c r="N958" s="9" t="str">
        <f t="shared" si="59"/>
        <v/>
      </c>
    </row>
    <row r="959" spans="1:14" x14ac:dyDescent="0.25">
      <c r="A959" t="str">
        <f>TEXT("1/"&amp;data!A959,"mmmm")</f>
        <v>avril</v>
      </c>
      <c r="B959">
        <f>data!B959</f>
        <v>2016</v>
      </c>
      <c r="C959" t="str">
        <f>data!C959</f>
        <v>049</v>
      </c>
      <c r="D959" t="str">
        <f>data!D959</f>
        <v>MAISON GRANDEAU</v>
      </c>
      <c r="E959" t="str">
        <f>data!E959</f>
        <v>049027</v>
      </c>
      <c r="F959" t="str">
        <f>data!F959</f>
        <v>AC BX SUP Tradi  CH LAUDUC</v>
      </c>
      <c r="G959" s="10">
        <f>data!G959</f>
        <v>40.5</v>
      </c>
      <c r="H959" s="10">
        <f>data!I959</f>
        <v>81</v>
      </c>
      <c r="I959" s="10">
        <f t="shared" si="56"/>
        <v>-40.5</v>
      </c>
      <c r="J959" s="11">
        <f>data!H959</f>
        <v>12</v>
      </c>
      <c r="K959" s="11">
        <f>data!J959</f>
        <v>24</v>
      </c>
      <c r="L959" s="11">
        <f t="shared" si="57"/>
        <v>-12</v>
      </c>
      <c r="M959" s="9">
        <f t="shared" si="58"/>
        <v>-0.5</v>
      </c>
      <c r="N959" s="9">
        <f t="shared" si="59"/>
        <v>-0.5</v>
      </c>
    </row>
    <row r="960" spans="1:14" x14ac:dyDescent="0.25">
      <c r="A960" t="str">
        <f>TEXT("1/"&amp;data!A960,"mmmm")</f>
        <v>avril</v>
      </c>
      <c r="B960">
        <f>data!B960</f>
        <v>2016</v>
      </c>
      <c r="C960" t="str">
        <f>data!C960</f>
        <v>050</v>
      </c>
      <c r="D960" t="str">
        <f>data!D960</f>
        <v>CHÂTEAU HAUT LIGNIERES</v>
      </c>
      <c r="E960" t="str">
        <f>data!E960</f>
        <v>050001</v>
      </c>
      <c r="F960" t="str">
        <f>data!F960</f>
        <v>AC FAUGERES LE 1ER CH HAUT LIGNIERES</v>
      </c>
      <c r="G960" s="10">
        <f>data!G960</f>
        <v>916.5</v>
      </c>
      <c r="H960" s="10">
        <f>data!I960</f>
        <v>2284.8000000000002</v>
      </c>
      <c r="I960" s="10">
        <f t="shared" si="56"/>
        <v>-1368.3000000000002</v>
      </c>
      <c r="J960" s="11">
        <f>data!H960</f>
        <v>282</v>
      </c>
      <c r="K960" s="11">
        <f>data!J960</f>
        <v>714</v>
      </c>
      <c r="L960" s="11">
        <f t="shared" si="57"/>
        <v>-432</v>
      </c>
      <c r="M960" s="9">
        <f t="shared" si="58"/>
        <v>-0.59887079831932777</v>
      </c>
      <c r="N960" s="9">
        <f t="shared" si="59"/>
        <v>-0.60504201680672265</v>
      </c>
    </row>
    <row r="961" spans="1:14" x14ac:dyDescent="0.25">
      <c r="A961" t="str">
        <f>TEXT("1/"&amp;data!A961,"mmmm")</f>
        <v>avril</v>
      </c>
      <c r="B961">
        <f>data!B961</f>
        <v>2016</v>
      </c>
      <c r="C961" t="str">
        <f>data!C961</f>
        <v>050</v>
      </c>
      <c r="D961" t="str">
        <f>data!D961</f>
        <v>CHÂTEAU HAUT LIGNIERES</v>
      </c>
      <c r="E961" t="str">
        <f>data!E961</f>
        <v>050005</v>
      </c>
      <c r="F961" t="str">
        <f>data!F961</f>
        <v>AC FAUGERES ROMY CH HAUT LIGNIERES</v>
      </c>
      <c r="G961" s="10">
        <f>data!G961</f>
        <v>132</v>
      </c>
      <c r="H961" s="10">
        <f>data!I961</f>
        <v>237.6</v>
      </c>
      <c r="I961" s="10">
        <f t="shared" si="56"/>
        <v>-105.6</v>
      </c>
      <c r="J961" s="11">
        <f>data!H961</f>
        <v>30</v>
      </c>
      <c r="K961" s="11">
        <f>data!J961</f>
        <v>54</v>
      </c>
      <c r="L961" s="11">
        <f t="shared" si="57"/>
        <v>-24</v>
      </c>
      <c r="M961" s="9">
        <f t="shared" si="58"/>
        <v>-0.44444444444444442</v>
      </c>
      <c r="N961" s="9">
        <f t="shared" si="59"/>
        <v>-0.44444444444444442</v>
      </c>
    </row>
    <row r="962" spans="1:14" x14ac:dyDescent="0.25">
      <c r="A962" t="str">
        <f>TEXT("1/"&amp;data!A962,"mmmm")</f>
        <v>avril</v>
      </c>
      <c r="B962">
        <f>data!B962</f>
        <v>2016</v>
      </c>
      <c r="C962" t="str">
        <f>data!C962</f>
        <v>050</v>
      </c>
      <c r="D962" t="str">
        <f>data!D962</f>
        <v>CHÂTEAU HAUT LIGNIERES</v>
      </c>
      <c r="E962" t="str">
        <f>data!E962</f>
        <v>050010</v>
      </c>
      <c r="F962" t="str">
        <f>data!F962</f>
        <v>AC FAUGERES CARMINA BUT</v>
      </c>
      <c r="G962" s="10">
        <f>data!G962</f>
        <v>78</v>
      </c>
      <c r="H962" s="10">
        <f>data!I962</f>
        <v>234</v>
      </c>
      <c r="I962" s="10">
        <f t="shared" si="56"/>
        <v>-156</v>
      </c>
      <c r="J962" s="11">
        <f>data!H962</f>
        <v>12</v>
      </c>
      <c r="K962" s="11">
        <f>data!J962</f>
        <v>36</v>
      </c>
      <c r="L962" s="11">
        <f t="shared" si="57"/>
        <v>-24</v>
      </c>
      <c r="M962" s="9">
        <f t="shared" si="58"/>
        <v>-0.66666666666666663</v>
      </c>
      <c r="N962" s="9">
        <f t="shared" si="59"/>
        <v>-0.66666666666666663</v>
      </c>
    </row>
    <row r="963" spans="1:14" x14ac:dyDescent="0.25">
      <c r="A963" t="str">
        <f>TEXT("1/"&amp;data!A963,"mmmm")</f>
        <v>avril</v>
      </c>
      <c r="B963">
        <f>data!B963</f>
        <v>2016</v>
      </c>
      <c r="C963" t="str">
        <f>data!C963</f>
        <v>051</v>
      </c>
      <c r="D963" t="str">
        <f>data!D963</f>
        <v>CLOS TRIMOULET</v>
      </c>
      <c r="E963" t="str">
        <f>data!E963</f>
        <v>051000</v>
      </c>
      <c r="F963" t="str">
        <f>data!F963</f>
        <v>AC MONTAGNE ST EMILION .CH ST GEORGES</v>
      </c>
      <c r="G963" s="10">
        <f>data!G963</f>
        <v>2251.1999999999998</v>
      </c>
      <c r="H963" s="10">
        <f>data!I963</f>
        <v>4050.9</v>
      </c>
      <c r="I963" s="10">
        <f t="shared" ref="I963:I1026" si="60">G963-H963</f>
        <v>-1799.7000000000003</v>
      </c>
      <c r="J963" s="11">
        <f>data!H963</f>
        <v>402</v>
      </c>
      <c r="K963" s="11">
        <f>data!J963</f>
        <v>732</v>
      </c>
      <c r="L963" s="11">
        <f t="shared" ref="L963:L1026" si="61">J963-K963</f>
        <v>-330</v>
      </c>
      <c r="M963" s="9">
        <f t="shared" ref="M963:M1026" si="62">IF(ISERR(I963/H963),"",I963/H963)</f>
        <v>-0.44427164333851743</v>
      </c>
      <c r="N963" s="9">
        <f t="shared" ref="N963:N1026" si="63">IF(ISERR(L963/K963),"",L963/K963)</f>
        <v>-0.45081967213114754</v>
      </c>
    </row>
    <row r="964" spans="1:14" x14ac:dyDescent="0.25">
      <c r="A964" t="str">
        <f>TEXT("1/"&amp;data!A964,"mmmm")</f>
        <v>avril</v>
      </c>
      <c r="B964">
        <f>data!B964</f>
        <v>2016</v>
      </c>
      <c r="C964" t="str">
        <f>data!C964</f>
        <v>051</v>
      </c>
      <c r="D964" t="str">
        <f>data!D964</f>
        <v>CLOS TRIMOULET</v>
      </c>
      <c r="E964" t="str">
        <f>data!E964</f>
        <v>051002CB</v>
      </c>
      <c r="F964" t="str">
        <f>data!F964</f>
        <v>AC ST EMILION GRAND CRU CLOS TRIMOULET CAISSE BOIS</v>
      </c>
      <c r="G964" s="10">
        <f>data!G964</f>
        <v>255.15</v>
      </c>
      <c r="H964" s="10">
        <f>data!I964</f>
        <v>55.98</v>
      </c>
      <c r="I964" s="10">
        <f t="shared" si="60"/>
        <v>199.17000000000002</v>
      </c>
      <c r="J964" s="11">
        <f>data!H964</f>
        <v>27</v>
      </c>
      <c r="K964" s="11">
        <f>data!J964</f>
        <v>6</v>
      </c>
      <c r="L964" s="11">
        <f t="shared" si="61"/>
        <v>21</v>
      </c>
      <c r="M964" s="9">
        <f t="shared" si="62"/>
        <v>3.5578778135048235</v>
      </c>
      <c r="N964" s="9">
        <f t="shared" si="63"/>
        <v>3.5</v>
      </c>
    </row>
    <row r="965" spans="1:14" x14ac:dyDescent="0.25">
      <c r="A965" t="str">
        <f>TEXT("1/"&amp;data!A965,"mmmm")</f>
        <v>avril</v>
      </c>
      <c r="B965">
        <f>data!B965</f>
        <v>2016</v>
      </c>
      <c r="C965" t="str">
        <f>data!C965</f>
        <v>051</v>
      </c>
      <c r="D965" t="str">
        <f>data!D965</f>
        <v>CLOS TRIMOULET</v>
      </c>
      <c r="E965" t="str">
        <f>data!E965</f>
        <v>051010/11</v>
      </c>
      <c r="F965" t="str">
        <f>data!F965</f>
        <v>CLOS TRIMOULET AC ST EMILION GD CRU</v>
      </c>
      <c r="G965" s="10">
        <f>data!G965</f>
        <v>7633.8</v>
      </c>
      <c r="H965" s="10">
        <f>data!I965</f>
        <v>0</v>
      </c>
      <c r="I965" s="10">
        <f t="shared" si="60"/>
        <v>7633.8</v>
      </c>
      <c r="J965" s="11">
        <f>data!H965</f>
        <v>948</v>
      </c>
      <c r="K965" s="11">
        <f>data!J965</f>
        <v>0</v>
      </c>
      <c r="L965" s="11">
        <f t="shared" si="61"/>
        <v>948</v>
      </c>
      <c r="M965" s="9" t="str">
        <f t="shared" si="62"/>
        <v/>
      </c>
      <c r="N965" s="9" t="str">
        <f t="shared" si="63"/>
        <v/>
      </c>
    </row>
    <row r="966" spans="1:14" x14ac:dyDescent="0.25">
      <c r="A966" t="str">
        <f>TEXT("1/"&amp;data!A966,"mmmm")</f>
        <v>avril</v>
      </c>
      <c r="B966">
        <f>data!B966</f>
        <v>2016</v>
      </c>
      <c r="C966" t="str">
        <f>data!C966</f>
        <v>051</v>
      </c>
      <c r="D966" t="str">
        <f>data!D966</f>
        <v>CLOS TRIMOULET</v>
      </c>
      <c r="E966" t="str">
        <f>data!E966</f>
        <v>051017</v>
      </c>
      <c r="F966" t="str">
        <f>data!F966</f>
        <v>AC MONTAGNE ST EMILION CH ST GEORGES</v>
      </c>
      <c r="G966" s="10">
        <f>data!G966</f>
        <v>685.8</v>
      </c>
      <c r="H966" s="10">
        <f>data!I966</f>
        <v>450</v>
      </c>
      <c r="I966" s="10">
        <f t="shared" si="60"/>
        <v>235.79999999999995</v>
      </c>
      <c r="J966" s="11">
        <f>data!H966</f>
        <v>108</v>
      </c>
      <c r="K966" s="11">
        <f>data!J966</f>
        <v>72</v>
      </c>
      <c r="L966" s="11">
        <f t="shared" si="61"/>
        <v>36</v>
      </c>
      <c r="M966" s="9">
        <f t="shared" si="62"/>
        <v>0.52399999999999991</v>
      </c>
      <c r="N966" s="9">
        <f t="shared" si="63"/>
        <v>0.5</v>
      </c>
    </row>
    <row r="967" spans="1:14" x14ac:dyDescent="0.25">
      <c r="A967" t="str">
        <f>TEXT("1/"&amp;data!A967,"mmmm")</f>
        <v>avril</v>
      </c>
      <c r="B967">
        <f>data!B967</f>
        <v>2016</v>
      </c>
      <c r="C967" t="str">
        <f>data!C967</f>
        <v>051</v>
      </c>
      <c r="D967" t="str">
        <f>data!D967</f>
        <v>CLOS TRIMOULET</v>
      </c>
      <c r="E967" t="str">
        <f>data!E967</f>
        <v>051133</v>
      </c>
      <c r="F967" t="str">
        <f>data!F967</f>
        <v>CLOS TRIMOULET AC ST EMILION GRAND CRU</v>
      </c>
      <c r="G967" s="10">
        <f>data!G967</f>
        <v>2008.8</v>
      </c>
      <c r="H967" s="10">
        <f>data!I967</f>
        <v>1056</v>
      </c>
      <c r="I967" s="10">
        <f t="shared" si="60"/>
        <v>952.8</v>
      </c>
      <c r="J967" s="11">
        <f>data!H967</f>
        <v>228</v>
      </c>
      <c r="K967" s="11">
        <f>data!J967</f>
        <v>120</v>
      </c>
      <c r="L967" s="11">
        <f t="shared" si="61"/>
        <v>108</v>
      </c>
      <c r="M967" s="9">
        <f t="shared" si="62"/>
        <v>0.90227272727272723</v>
      </c>
      <c r="N967" s="9">
        <f t="shared" si="63"/>
        <v>0.9</v>
      </c>
    </row>
    <row r="968" spans="1:14" x14ac:dyDescent="0.25">
      <c r="A968" t="str">
        <f>TEXT("1/"&amp;data!A968,"mmmm")</f>
        <v>avril</v>
      </c>
      <c r="B968">
        <f>data!B968</f>
        <v>2016</v>
      </c>
      <c r="C968" t="str">
        <f>data!C968</f>
        <v>051</v>
      </c>
      <c r="D968" t="str">
        <f>data!D968</f>
        <v>CLOS TRIMOULET</v>
      </c>
      <c r="E968" t="str">
        <f>data!E968</f>
        <v>CDV051016</v>
      </c>
      <c r="F968" t="str">
        <f>data!F968</f>
        <v>AC MONTAGNE ST EMILION CHEVALIER ST GEORGES</v>
      </c>
      <c r="G968" s="10">
        <f>data!G968</f>
        <v>79.2</v>
      </c>
      <c r="H968" s="10">
        <f>data!I968</f>
        <v>158.4</v>
      </c>
      <c r="I968" s="10">
        <f t="shared" si="60"/>
        <v>-79.2</v>
      </c>
      <c r="J968" s="11">
        <f>data!H968</f>
        <v>12</v>
      </c>
      <c r="K968" s="11">
        <f>data!J968</f>
        <v>24</v>
      </c>
      <c r="L968" s="11">
        <f t="shared" si="61"/>
        <v>-12</v>
      </c>
      <c r="M968" s="9">
        <f t="shared" si="62"/>
        <v>-0.5</v>
      </c>
      <c r="N968" s="9">
        <f t="shared" si="63"/>
        <v>-0.5</v>
      </c>
    </row>
    <row r="969" spans="1:14" x14ac:dyDescent="0.25">
      <c r="A969" t="str">
        <f>TEXT("1/"&amp;data!A969,"mmmm")</f>
        <v>avril</v>
      </c>
      <c r="B969">
        <f>data!B969</f>
        <v>2016</v>
      </c>
      <c r="C969" t="str">
        <f>data!C969</f>
        <v>052</v>
      </c>
      <c r="D969" t="str">
        <f>data!D969</f>
        <v>GIRONDE ET GASCOGNE SARL</v>
      </c>
      <c r="E969" t="str">
        <f>data!E969</f>
        <v>052021</v>
      </c>
      <c r="F969" t="str">
        <f>data!F969</f>
        <v>CH RAMAGE LA BATISSE AC HAUT MEDOC CRU BOURGEOIS C</v>
      </c>
      <c r="G969" s="10">
        <f>data!G969</f>
        <v>1267.2</v>
      </c>
      <c r="H969" s="10">
        <f>data!I969</f>
        <v>460.8</v>
      </c>
      <c r="I969" s="10">
        <f t="shared" si="60"/>
        <v>806.40000000000009</v>
      </c>
      <c r="J969" s="11">
        <f>data!H969</f>
        <v>132</v>
      </c>
      <c r="K969" s="11">
        <f>data!J969</f>
        <v>54</v>
      </c>
      <c r="L969" s="11">
        <f t="shared" si="61"/>
        <v>78</v>
      </c>
      <c r="M969" s="9">
        <f t="shared" si="62"/>
        <v>1.7500000000000002</v>
      </c>
      <c r="N969" s="9">
        <f t="shared" si="63"/>
        <v>1.4444444444444444</v>
      </c>
    </row>
    <row r="970" spans="1:14" x14ac:dyDescent="0.25">
      <c r="A970" t="str">
        <f>TEXT("1/"&amp;data!A970,"mmmm")</f>
        <v>avril</v>
      </c>
      <c r="B970">
        <f>data!B970</f>
        <v>2016</v>
      </c>
      <c r="C970" t="str">
        <f>data!C970</f>
        <v>052</v>
      </c>
      <c r="D970" t="str">
        <f>data!D970</f>
        <v>GIRONDE ET GASCOGNE SARL</v>
      </c>
      <c r="E970" t="str">
        <f>data!E970</f>
        <v>052022</v>
      </c>
      <c r="F970" t="str">
        <f>data!F970</f>
        <v>CH RAMAGE LA BATISSE AC HAUT MEDOC CRU BOURGEOIS</v>
      </c>
      <c r="G970" s="10">
        <f>data!G970</f>
        <v>63</v>
      </c>
      <c r="H970" s="10">
        <f>data!I970</f>
        <v>0</v>
      </c>
      <c r="I970" s="10">
        <f t="shared" si="60"/>
        <v>63</v>
      </c>
      <c r="J970" s="11">
        <f>data!H970</f>
        <v>6</v>
      </c>
      <c r="K970" s="11">
        <f>data!J970</f>
        <v>0</v>
      </c>
      <c r="L970" s="11">
        <f t="shared" si="61"/>
        <v>6</v>
      </c>
      <c r="M970" s="9" t="str">
        <f t="shared" si="62"/>
        <v/>
      </c>
      <c r="N970" s="9" t="str">
        <f t="shared" si="63"/>
        <v/>
      </c>
    </row>
    <row r="971" spans="1:14" x14ac:dyDescent="0.25">
      <c r="A971" t="str">
        <f>TEXT("1/"&amp;data!A971,"mmmm")</f>
        <v>avril</v>
      </c>
      <c r="B971">
        <f>data!B971</f>
        <v>2016</v>
      </c>
      <c r="C971" t="str">
        <f>data!C971</f>
        <v>052</v>
      </c>
      <c r="D971" t="str">
        <f>data!D971</f>
        <v>GIRONDE ET GASCOGNE SARL</v>
      </c>
      <c r="E971" t="str">
        <f>data!E971</f>
        <v>052028</v>
      </c>
      <c r="F971" t="str">
        <f>data!F971</f>
        <v>AC BX LA ROSEE DE RAMAGE</v>
      </c>
      <c r="G971" s="10">
        <f>data!G971</f>
        <v>179.1</v>
      </c>
      <c r="H971" s="10">
        <f>data!I971</f>
        <v>429.3</v>
      </c>
      <c r="I971" s="10">
        <f t="shared" si="60"/>
        <v>-250.20000000000002</v>
      </c>
      <c r="J971" s="11">
        <f>data!H971</f>
        <v>90</v>
      </c>
      <c r="K971" s="11">
        <f>data!J971</f>
        <v>156</v>
      </c>
      <c r="L971" s="11">
        <f t="shared" si="61"/>
        <v>-66</v>
      </c>
      <c r="M971" s="9">
        <f t="shared" si="62"/>
        <v>-0.58280922431865834</v>
      </c>
      <c r="N971" s="9">
        <f t="shared" si="63"/>
        <v>-0.42307692307692307</v>
      </c>
    </row>
    <row r="972" spans="1:14" x14ac:dyDescent="0.25">
      <c r="A972" t="str">
        <f>TEXT("1/"&amp;data!A972,"mmmm")</f>
        <v>avril</v>
      </c>
      <c r="B972">
        <f>data!B972</f>
        <v>2016</v>
      </c>
      <c r="C972" t="str">
        <f>data!C972</f>
        <v>052</v>
      </c>
      <c r="D972" t="str">
        <f>data!D972</f>
        <v>GIRONDE ET GASCOGNE SARL</v>
      </c>
      <c r="E972" t="str">
        <f>data!E972</f>
        <v>052039</v>
      </c>
      <c r="F972" t="str">
        <f>data!F972</f>
        <v>AC HT-MEDOC CLOS DE RAMAGE</v>
      </c>
      <c r="G972" s="10">
        <f>data!G972</f>
        <v>328.8</v>
      </c>
      <c r="H972" s="10">
        <f>data!I972</f>
        <v>739.8</v>
      </c>
      <c r="I972" s="10">
        <f t="shared" si="60"/>
        <v>-410.99999999999994</v>
      </c>
      <c r="J972" s="11">
        <f>data!H972</f>
        <v>48</v>
      </c>
      <c r="K972" s="11">
        <f>data!J972</f>
        <v>108</v>
      </c>
      <c r="L972" s="11">
        <f t="shared" si="61"/>
        <v>-60</v>
      </c>
      <c r="M972" s="9">
        <f t="shared" si="62"/>
        <v>-0.55555555555555547</v>
      </c>
      <c r="N972" s="9">
        <f t="shared" si="63"/>
        <v>-0.55555555555555558</v>
      </c>
    </row>
    <row r="973" spans="1:14" x14ac:dyDescent="0.25">
      <c r="A973" t="str">
        <f>TEXT("1/"&amp;data!A973,"mmmm")</f>
        <v>avril</v>
      </c>
      <c r="B973">
        <f>data!B973</f>
        <v>2016</v>
      </c>
      <c r="C973" t="str">
        <f>data!C973</f>
        <v>054</v>
      </c>
      <c r="D973" t="str">
        <f>data!D973</f>
        <v>CHÂTEAU JEANDEMAN</v>
      </c>
      <c r="E973" t="str">
        <f>data!E973</f>
        <v>054002</v>
      </c>
      <c r="F973" t="str">
        <f>data!F973</f>
        <v>AC FRONSAC CH JEANDEMAN</v>
      </c>
      <c r="G973" s="10">
        <f>data!G973</f>
        <v>60</v>
      </c>
      <c r="H973" s="10">
        <f>data!I973</f>
        <v>0</v>
      </c>
      <c r="I973" s="10">
        <f t="shared" si="60"/>
        <v>60</v>
      </c>
      <c r="J973" s="11">
        <f>data!H973</f>
        <v>12</v>
      </c>
      <c r="K973" s="11">
        <f>data!J973</f>
        <v>0</v>
      </c>
      <c r="L973" s="11">
        <f t="shared" si="61"/>
        <v>12</v>
      </c>
      <c r="M973" s="9" t="str">
        <f t="shared" si="62"/>
        <v/>
      </c>
      <c r="N973" s="9" t="str">
        <f t="shared" si="63"/>
        <v/>
      </c>
    </row>
    <row r="974" spans="1:14" x14ac:dyDescent="0.25">
      <c r="A974" t="str">
        <f>TEXT("1/"&amp;data!A974,"mmmm")</f>
        <v>avril</v>
      </c>
      <c r="B974">
        <f>data!B974</f>
        <v>2016</v>
      </c>
      <c r="C974" t="str">
        <f>data!C974</f>
        <v>054</v>
      </c>
      <c r="D974" t="str">
        <f>data!D974</f>
        <v>CHÂTEAU JEANDEMAN</v>
      </c>
      <c r="E974" t="str">
        <f>data!E974</f>
        <v>054005</v>
      </c>
      <c r="F974" t="str">
        <f>data!F974</f>
        <v>AC LALANDE DE POMEROL. CH LABORDE</v>
      </c>
      <c r="G974" s="10">
        <f>data!G974</f>
        <v>744</v>
      </c>
      <c r="H974" s="10">
        <f>data!I974</f>
        <v>0</v>
      </c>
      <c r="I974" s="10">
        <f t="shared" si="60"/>
        <v>744</v>
      </c>
      <c r="J974" s="11">
        <f>data!H974</f>
        <v>96</v>
      </c>
      <c r="K974" s="11">
        <f>data!J974</f>
        <v>0</v>
      </c>
      <c r="L974" s="11">
        <f t="shared" si="61"/>
        <v>96</v>
      </c>
      <c r="M974" s="9" t="str">
        <f t="shared" si="62"/>
        <v/>
      </c>
      <c r="N974" s="9" t="str">
        <f t="shared" si="63"/>
        <v/>
      </c>
    </row>
    <row r="975" spans="1:14" x14ac:dyDescent="0.25">
      <c r="A975" t="str">
        <f>TEXT("1/"&amp;data!A975,"mmmm")</f>
        <v>avril</v>
      </c>
      <c r="B975">
        <f>data!B975</f>
        <v>2016</v>
      </c>
      <c r="C975" t="str">
        <f>data!C975</f>
        <v>054</v>
      </c>
      <c r="D975" t="str">
        <f>data!D975</f>
        <v>CHÂTEAU JEANDEMAN</v>
      </c>
      <c r="E975" t="str">
        <f>data!E975</f>
        <v>054011</v>
      </c>
      <c r="F975" t="str">
        <f>data!F975</f>
        <v>AC PESSAC LEOGNAN. CH MANCEDRE</v>
      </c>
      <c r="G975" s="10">
        <f>data!G975</f>
        <v>160.19999999999999</v>
      </c>
      <c r="H975" s="10">
        <f>data!I975</f>
        <v>0</v>
      </c>
      <c r="I975" s="10">
        <f t="shared" si="60"/>
        <v>160.19999999999999</v>
      </c>
      <c r="J975" s="11">
        <f>data!H975</f>
        <v>18</v>
      </c>
      <c r="K975" s="11">
        <f>data!J975</f>
        <v>0</v>
      </c>
      <c r="L975" s="11">
        <f t="shared" si="61"/>
        <v>18</v>
      </c>
      <c r="M975" s="9" t="str">
        <f t="shared" si="62"/>
        <v/>
      </c>
      <c r="N975" s="9" t="str">
        <f t="shared" si="63"/>
        <v/>
      </c>
    </row>
    <row r="976" spans="1:14" x14ac:dyDescent="0.25">
      <c r="A976" t="str">
        <f>TEXT("1/"&amp;data!A976,"mmmm")</f>
        <v>avril</v>
      </c>
      <c r="B976">
        <f>data!B976</f>
        <v>2016</v>
      </c>
      <c r="C976" t="str">
        <f>data!C976</f>
        <v>059</v>
      </c>
      <c r="D976" t="str">
        <f>data!D976</f>
        <v>CH DU ROUET</v>
      </c>
      <c r="E976" t="str">
        <f>data!E976</f>
        <v>059002</v>
      </c>
      <c r="F976" t="str">
        <f>data!F976</f>
        <v>AC C.PROVENCE. ESTERELLE .ROUET</v>
      </c>
      <c r="G976" s="10">
        <f>data!G976</f>
        <v>100.8</v>
      </c>
      <c r="H976" s="10">
        <f>data!I976</f>
        <v>0</v>
      </c>
      <c r="I976" s="10">
        <f t="shared" si="60"/>
        <v>100.8</v>
      </c>
      <c r="J976" s="11">
        <f>data!H976</f>
        <v>24</v>
      </c>
      <c r="K976" s="11">
        <f>data!J976</f>
        <v>0</v>
      </c>
      <c r="L976" s="11">
        <f t="shared" si="61"/>
        <v>24</v>
      </c>
      <c r="M976" s="9" t="str">
        <f t="shared" si="62"/>
        <v/>
      </c>
      <c r="N976" s="9" t="str">
        <f t="shared" si="63"/>
        <v/>
      </c>
    </row>
    <row r="977" spans="1:14" x14ac:dyDescent="0.25">
      <c r="A977" t="str">
        <f>TEXT("1/"&amp;data!A977,"mmmm")</f>
        <v>avril</v>
      </c>
      <c r="B977">
        <f>data!B977</f>
        <v>2016</v>
      </c>
      <c r="C977" t="str">
        <f>data!C977</f>
        <v>059</v>
      </c>
      <c r="D977" t="str">
        <f>data!D977</f>
        <v>CH DU ROUET</v>
      </c>
      <c r="E977" t="str">
        <f>data!E977</f>
        <v>059004</v>
      </c>
      <c r="F977" t="str">
        <f>data!F977</f>
        <v>AP COTES DE PROVENCE ESTERELLE</v>
      </c>
      <c r="G977" s="10">
        <f>data!G977</f>
        <v>129.6</v>
      </c>
      <c r="H977" s="10">
        <f>data!I977</f>
        <v>0</v>
      </c>
      <c r="I977" s="10">
        <f t="shared" si="60"/>
        <v>129.6</v>
      </c>
      <c r="J977" s="11">
        <f>data!H977</f>
        <v>36</v>
      </c>
      <c r="K977" s="11">
        <f>data!J977</f>
        <v>0</v>
      </c>
      <c r="L977" s="11">
        <f t="shared" si="61"/>
        <v>36</v>
      </c>
      <c r="M977" s="9" t="str">
        <f t="shared" si="62"/>
        <v/>
      </c>
      <c r="N977" s="9" t="str">
        <f t="shared" si="63"/>
        <v/>
      </c>
    </row>
    <row r="978" spans="1:14" x14ac:dyDescent="0.25">
      <c r="A978" t="str">
        <f>TEXT("1/"&amp;data!A978,"mmmm")</f>
        <v>avril</v>
      </c>
      <c r="B978">
        <f>data!B978</f>
        <v>2016</v>
      </c>
      <c r="C978" t="str">
        <f>data!C978</f>
        <v>059</v>
      </c>
      <c r="D978" t="str">
        <f>data!D978</f>
        <v>CH DU ROUET</v>
      </c>
      <c r="E978" t="str">
        <f>data!E978</f>
        <v>059006</v>
      </c>
      <c r="F978" t="str">
        <f>data!F978</f>
        <v>AC C.PROVENCE. BELLE POULE</v>
      </c>
      <c r="G978" s="10">
        <f>data!G978</f>
        <v>66</v>
      </c>
      <c r="H978" s="10">
        <f>data!I978</f>
        <v>0</v>
      </c>
      <c r="I978" s="10">
        <f t="shared" si="60"/>
        <v>66</v>
      </c>
      <c r="J978" s="11">
        <f>data!H978</f>
        <v>18</v>
      </c>
      <c r="K978" s="11">
        <f>data!J978</f>
        <v>0</v>
      </c>
      <c r="L978" s="11">
        <f t="shared" si="61"/>
        <v>18</v>
      </c>
      <c r="M978" s="9" t="str">
        <f t="shared" si="62"/>
        <v/>
      </c>
      <c r="N978" s="9" t="str">
        <f t="shared" si="63"/>
        <v/>
      </c>
    </row>
    <row r="979" spans="1:14" x14ac:dyDescent="0.25">
      <c r="A979" t="str">
        <f>TEXT("1/"&amp;data!A979,"mmmm")</f>
        <v>avril</v>
      </c>
      <c r="B979">
        <f>data!B979</f>
        <v>2016</v>
      </c>
      <c r="C979" t="str">
        <f>data!C979</f>
        <v>059</v>
      </c>
      <c r="D979" t="str">
        <f>data!D979</f>
        <v>CH DU ROUET</v>
      </c>
      <c r="E979" t="str">
        <f>data!E979</f>
        <v>059008</v>
      </c>
      <c r="F979" t="str">
        <f>data!F979</f>
        <v>AC C.PROVENCE. BELLE POULE</v>
      </c>
      <c r="G979" s="10">
        <f>data!G979</f>
        <v>198</v>
      </c>
      <c r="H979" s="10">
        <f>data!I979</f>
        <v>0</v>
      </c>
      <c r="I979" s="10">
        <f t="shared" si="60"/>
        <v>198</v>
      </c>
      <c r="J979" s="11">
        <f>data!H979</f>
        <v>36</v>
      </c>
      <c r="K979" s="11">
        <f>data!J979</f>
        <v>0</v>
      </c>
      <c r="L979" s="11">
        <f t="shared" si="61"/>
        <v>36</v>
      </c>
      <c r="M979" s="9" t="str">
        <f t="shared" si="62"/>
        <v/>
      </c>
      <c r="N979" s="9" t="str">
        <f t="shared" si="63"/>
        <v/>
      </c>
    </row>
    <row r="980" spans="1:14" x14ac:dyDescent="0.25">
      <c r="A980" t="str">
        <f>TEXT("1/"&amp;data!A980,"mmmm")</f>
        <v>avril</v>
      </c>
      <c r="B980">
        <f>data!B980</f>
        <v>2016</v>
      </c>
      <c r="C980" t="str">
        <f>data!C980</f>
        <v>059</v>
      </c>
      <c r="D980" t="str">
        <f>data!D980</f>
        <v>CH DU ROUET</v>
      </c>
      <c r="E980" t="str">
        <f>data!E980</f>
        <v>059010</v>
      </c>
      <c r="F980" t="str">
        <f>data!F980</f>
        <v>AC C.PROVENCE. BELLE POULE</v>
      </c>
      <c r="G980" s="10">
        <f>data!G980</f>
        <v>363</v>
      </c>
      <c r="H980" s="10">
        <f>data!I980</f>
        <v>0</v>
      </c>
      <c r="I980" s="10">
        <f t="shared" si="60"/>
        <v>363</v>
      </c>
      <c r="J980" s="11">
        <f>data!H980</f>
        <v>66</v>
      </c>
      <c r="K980" s="11">
        <f>data!J980</f>
        <v>0</v>
      </c>
      <c r="L980" s="11">
        <f t="shared" si="61"/>
        <v>66</v>
      </c>
      <c r="M980" s="9" t="str">
        <f t="shared" si="62"/>
        <v/>
      </c>
      <c r="N980" s="9" t="str">
        <f t="shared" si="63"/>
        <v/>
      </c>
    </row>
    <row r="981" spans="1:14" x14ac:dyDescent="0.25">
      <c r="A981" t="str">
        <f>TEXT("1/"&amp;data!A981,"mmmm")</f>
        <v>avril</v>
      </c>
      <c r="B981">
        <f>data!B981</f>
        <v>2016</v>
      </c>
      <c r="C981" t="str">
        <f>data!C981</f>
        <v>059</v>
      </c>
      <c r="D981" t="str">
        <f>data!D981</f>
        <v>CH DU ROUET</v>
      </c>
      <c r="E981" t="str">
        <f>data!E981</f>
        <v>059019</v>
      </c>
      <c r="F981" t="str">
        <f>data!F981</f>
        <v>AC COTES DE PROVENCE ESTERELLE</v>
      </c>
      <c r="G981" s="10">
        <f>data!G981</f>
        <v>106.5</v>
      </c>
      <c r="H981" s="10">
        <f>data!I981</f>
        <v>0</v>
      </c>
      <c r="I981" s="10">
        <f t="shared" si="60"/>
        <v>106.5</v>
      </c>
      <c r="J981" s="11">
        <f>data!H981</f>
        <v>30</v>
      </c>
      <c r="K981" s="11">
        <f>data!J981</f>
        <v>0</v>
      </c>
      <c r="L981" s="11">
        <f t="shared" si="61"/>
        <v>30</v>
      </c>
      <c r="M981" s="9" t="str">
        <f t="shared" si="62"/>
        <v/>
      </c>
      <c r="N981" s="9" t="str">
        <f t="shared" si="63"/>
        <v/>
      </c>
    </row>
    <row r="982" spans="1:14" x14ac:dyDescent="0.25">
      <c r="A982" t="str">
        <f>TEXT("1/"&amp;data!A982,"mmmm")</f>
        <v>avril</v>
      </c>
      <c r="B982">
        <f>data!B982</f>
        <v>2016</v>
      </c>
      <c r="C982" t="str">
        <f>data!C982</f>
        <v>059</v>
      </c>
      <c r="D982" t="str">
        <f>data!D982</f>
        <v>CH DU ROUET</v>
      </c>
      <c r="E982" t="str">
        <f>data!E982</f>
        <v>059020</v>
      </c>
      <c r="F982" t="str">
        <f>data!F982</f>
        <v>AC C.PROVENCE ESTERELLE</v>
      </c>
      <c r="G982" s="10">
        <f>data!G982</f>
        <v>2409.9</v>
      </c>
      <c r="H982" s="10">
        <f>data!I982</f>
        <v>0</v>
      </c>
      <c r="I982" s="10">
        <f t="shared" si="60"/>
        <v>2409.9</v>
      </c>
      <c r="J982" s="11">
        <f>data!H982</f>
        <v>672</v>
      </c>
      <c r="K982" s="11">
        <f>data!J982</f>
        <v>0</v>
      </c>
      <c r="L982" s="11">
        <f t="shared" si="61"/>
        <v>672</v>
      </c>
      <c r="M982" s="9" t="str">
        <f t="shared" si="62"/>
        <v/>
      </c>
      <c r="N982" s="9" t="str">
        <f t="shared" si="63"/>
        <v/>
      </c>
    </row>
    <row r="983" spans="1:14" x14ac:dyDescent="0.25">
      <c r="A983" t="str">
        <f>TEXT("1/"&amp;data!A983,"mmmm")</f>
        <v>avril</v>
      </c>
      <c r="B983">
        <f>data!B983</f>
        <v>2016</v>
      </c>
      <c r="C983" t="str">
        <f>data!C983</f>
        <v>059</v>
      </c>
      <c r="D983" t="str">
        <f>data!D983</f>
        <v>CH DU ROUET</v>
      </c>
      <c r="E983" t="str">
        <f>data!E983</f>
        <v>059021</v>
      </c>
      <c r="F983" t="str">
        <f>data!F983</f>
        <v>AC COTES DE PROVENCE</v>
      </c>
      <c r="G983" s="10">
        <f>data!G983</f>
        <v>700.3</v>
      </c>
      <c r="H983" s="10">
        <f>data!I983</f>
        <v>0</v>
      </c>
      <c r="I983" s="10">
        <f t="shared" si="60"/>
        <v>700.3</v>
      </c>
      <c r="J983" s="11">
        <f>data!H983</f>
        <v>326.83</v>
      </c>
      <c r="K983" s="11">
        <f>data!J983</f>
        <v>0</v>
      </c>
      <c r="L983" s="11">
        <f t="shared" si="61"/>
        <v>326.83</v>
      </c>
      <c r="M983" s="9" t="str">
        <f t="shared" si="62"/>
        <v/>
      </c>
      <c r="N983" s="9" t="str">
        <f t="shared" si="63"/>
        <v/>
      </c>
    </row>
    <row r="984" spans="1:14" x14ac:dyDescent="0.25">
      <c r="A984" t="str">
        <f>TEXT("1/"&amp;data!A984,"mmmm")</f>
        <v>avril</v>
      </c>
      <c r="B984">
        <f>data!B984</f>
        <v>2016</v>
      </c>
      <c r="C984" t="str">
        <f>data!C984</f>
        <v>059</v>
      </c>
      <c r="D984" t="str">
        <f>data!D984</f>
        <v>CH DU ROUET</v>
      </c>
      <c r="E984" t="str">
        <f>data!E984</f>
        <v>059025</v>
      </c>
      <c r="F984" t="str">
        <f>data!F984</f>
        <v>VDP MEDITERRANEE TERES</v>
      </c>
      <c r="G984" s="10">
        <f>data!G984</f>
        <v>3996</v>
      </c>
      <c r="H984" s="10">
        <f>data!I984</f>
        <v>0</v>
      </c>
      <c r="I984" s="10">
        <f t="shared" si="60"/>
        <v>3996</v>
      </c>
      <c r="J984" s="11">
        <f>data!H984</f>
        <v>1776</v>
      </c>
      <c r="K984" s="11">
        <f>data!J984</f>
        <v>0</v>
      </c>
      <c r="L984" s="11">
        <f t="shared" si="61"/>
        <v>1776</v>
      </c>
      <c r="M984" s="9" t="str">
        <f t="shared" si="62"/>
        <v/>
      </c>
      <c r="N984" s="9" t="str">
        <f t="shared" si="63"/>
        <v/>
      </c>
    </row>
    <row r="985" spans="1:14" x14ac:dyDescent="0.25">
      <c r="A985" t="str">
        <f>TEXT("1/"&amp;data!A985,"mmmm")</f>
        <v>avril</v>
      </c>
      <c r="B985">
        <f>data!B985</f>
        <v>2016</v>
      </c>
      <c r="C985" t="str">
        <f>data!C985</f>
        <v>059</v>
      </c>
      <c r="D985" t="str">
        <f>data!D985</f>
        <v>CH DU ROUET</v>
      </c>
      <c r="E985" t="str">
        <f>data!E985</f>
        <v>059026</v>
      </c>
      <c r="F985" t="str">
        <f>data!F985</f>
        <v>VDP MEDITERRANEE. TERES</v>
      </c>
      <c r="G985" s="10">
        <f>data!G985</f>
        <v>1336.5</v>
      </c>
      <c r="H985" s="10">
        <f>data!I985</f>
        <v>0</v>
      </c>
      <c r="I985" s="10">
        <f t="shared" si="60"/>
        <v>1336.5</v>
      </c>
      <c r="J985" s="11">
        <f>data!H985</f>
        <v>913.79</v>
      </c>
      <c r="K985" s="11">
        <f>data!J985</f>
        <v>0</v>
      </c>
      <c r="L985" s="11">
        <f t="shared" si="61"/>
        <v>913.79</v>
      </c>
      <c r="M985" s="9" t="str">
        <f t="shared" si="62"/>
        <v/>
      </c>
      <c r="N985" s="9" t="str">
        <f t="shared" si="63"/>
        <v/>
      </c>
    </row>
    <row r="986" spans="1:14" x14ac:dyDescent="0.25">
      <c r="A986" t="str">
        <f>TEXT("1/"&amp;data!A986,"mmmm")</f>
        <v>avril</v>
      </c>
      <c r="B986">
        <f>data!B986</f>
        <v>2016</v>
      </c>
      <c r="C986" t="str">
        <f>data!C986</f>
        <v>059</v>
      </c>
      <c r="D986" t="str">
        <f>data!D986</f>
        <v>CH DU ROUET</v>
      </c>
      <c r="E986" t="str">
        <f>data!E986</f>
        <v>059027</v>
      </c>
      <c r="F986" t="str">
        <f>data!F986</f>
        <v>IGP MEDITERRANEE TERES</v>
      </c>
      <c r="G986" s="10">
        <f>data!G986</f>
        <v>101.4</v>
      </c>
      <c r="H986" s="10">
        <f>data!I986</f>
        <v>0</v>
      </c>
      <c r="I986" s="10">
        <f t="shared" si="60"/>
        <v>101.4</v>
      </c>
      <c r="J986" s="11">
        <f>data!H986</f>
        <v>79.98</v>
      </c>
      <c r="K986" s="11">
        <f>data!J986</f>
        <v>0</v>
      </c>
      <c r="L986" s="11">
        <f t="shared" si="61"/>
        <v>79.98</v>
      </c>
      <c r="M986" s="9" t="str">
        <f t="shared" si="62"/>
        <v/>
      </c>
      <c r="N986" s="9" t="str">
        <f t="shared" si="63"/>
        <v/>
      </c>
    </row>
    <row r="987" spans="1:14" x14ac:dyDescent="0.25">
      <c r="A987" t="str">
        <f>TEXT("1/"&amp;data!A987,"mmmm")</f>
        <v>avril</v>
      </c>
      <c r="B987">
        <f>data!B987</f>
        <v>2016</v>
      </c>
      <c r="C987" t="str">
        <f>data!C987</f>
        <v>059</v>
      </c>
      <c r="D987" t="str">
        <f>data!D987</f>
        <v>CH DU ROUET</v>
      </c>
      <c r="E987" t="str">
        <f>data!E987</f>
        <v>059101</v>
      </c>
      <c r="F987" t="str">
        <f>data!F987</f>
        <v>ICE PAMPLOON ROSE PAMPLEMOUSSE</v>
      </c>
      <c r="G987" s="10">
        <f>data!G987</f>
        <v>205.2</v>
      </c>
      <c r="H987" s="10">
        <f>data!I987</f>
        <v>0</v>
      </c>
      <c r="I987" s="10">
        <f t="shared" si="60"/>
        <v>205.2</v>
      </c>
      <c r="J987" s="11">
        <f>data!H987</f>
        <v>114</v>
      </c>
      <c r="K987" s="11">
        <f>data!J987</f>
        <v>0</v>
      </c>
      <c r="L987" s="11">
        <f t="shared" si="61"/>
        <v>114</v>
      </c>
      <c r="M987" s="9" t="str">
        <f t="shared" si="62"/>
        <v/>
      </c>
      <c r="N987" s="9" t="str">
        <f t="shared" si="63"/>
        <v/>
      </c>
    </row>
    <row r="988" spans="1:14" x14ac:dyDescent="0.25">
      <c r="A988" t="str">
        <f>TEXT("1/"&amp;data!A988,"mmmm")</f>
        <v>avril</v>
      </c>
      <c r="B988">
        <f>data!B988</f>
        <v>2016</v>
      </c>
      <c r="C988" t="str">
        <f>data!C988</f>
        <v>059</v>
      </c>
      <c r="D988" t="str">
        <f>data!D988</f>
        <v>CH DU ROUET</v>
      </c>
      <c r="E988" t="str">
        <f>data!E988</f>
        <v>059103</v>
      </c>
      <c r="F988" t="str">
        <f>data!F988</f>
        <v>ICE GRIOTTES ROUGE</v>
      </c>
      <c r="G988" s="10">
        <f>data!G988</f>
        <v>43.2</v>
      </c>
      <c r="H988" s="10">
        <f>data!I988</f>
        <v>0</v>
      </c>
      <c r="I988" s="10">
        <f t="shared" si="60"/>
        <v>43.2</v>
      </c>
      <c r="J988" s="11">
        <f>data!H988</f>
        <v>24</v>
      </c>
      <c r="K988" s="11">
        <f>data!J988</f>
        <v>0</v>
      </c>
      <c r="L988" s="11">
        <f t="shared" si="61"/>
        <v>24</v>
      </c>
      <c r="M988" s="9" t="str">
        <f t="shared" si="62"/>
        <v/>
      </c>
      <c r="N988" s="9" t="str">
        <f t="shared" si="63"/>
        <v/>
      </c>
    </row>
    <row r="989" spans="1:14" x14ac:dyDescent="0.25">
      <c r="A989" t="str">
        <f>TEXT("1/"&amp;data!A989,"mmmm")</f>
        <v>avril</v>
      </c>
      <c r="B989">
        <f>data!B989</f>
        <v>2016</v>
      </c>
      <c r="C989" t="str">
        <f>data!C989</f>
        <v>060</v>
      </c>
      <c r="D989" t="str">
        <f>data!D989</f>
        <v>GIRARD JM ET NOEL</v>
      </c>
      <c r="E989" t="str">
        <f>data!E989</f>
        <v>060015</v>
      </c>
      <c r="F989" t="str">
        <f>data!F989</f>
        <v>AC SAUMUR CHAMP. D VX BOURG</v>
      </c>
      <c r="G989" s="10">
        <f>data!G989</f>
        <v>1211.76</v>
      </c>
      <c r="H989" s="10">
        <f>data!I989</f>
        <v>799.2</v>
      </c>
      <c r="I989" s="10">
        <f t="shared" si="60"/>
        <v>412.55999999999995</v>
      </c>
      <c r="J989" s="11">
        <f>data!H989</f>
        <v>324</v>
      </c>
      <c r="K989" s="11">
        <f>data!J989</f>
        <v>222</v>
      </c>
      <c r="L989" s="11">
        <f t="shared" si="61"/>
        <v>102</v>
      </c>
      <c r="M989" s="9">
        <f t="shared" si="62"/>
        <v>0.51621621621621616</v>
      </c>
      <c r="N989" s="9">
        <f t="shared" si="63"/>
        <v>0.45945945945945948</v>
      </c>
    </row>
    <row r="990" spans="1:14" x14ac:dyDescent="0.25">
      <c r="A990" t="str">
        <f>TEXT("1/"&amp;data!A990,"mmmm")</f>
        <v>avril</v>
      </c>
      <c r="B990">
        <f>data!B990</f>
        <v>2016</v>
      </c>
      <c r="C990" t="str">
        <f>data!C990</f>
        <v>060</v>
      </c>
      <c r="D990" t="str">
        <f>data!D990</f>
        <v>GIRARD JM ET NOEL</v>
      </c>
      <c r="E990" t="str">
        <f>data!E990</f>
        <v>060016</v>
      </c>
      <c r="F990" t="str">
        <f>data!F990</f>
        <v>AC SAUMUR CHAMP. D VX BOURG</v>
      </c>
      <c r="G990" s="10">
        <f>data!G990</f>
        <v>170.64</v>
      </c>
      <c r="H990" s="10">
        <f>data!I990</f>
        <v>26.64</v>
      </c>
      <c r="I990" s="10">
        <f t="shared" si="60"/>
        <v>144</v>
      </c>
      <c r="J990" s="11">
        <f>data!H990</f>
        <v>36</v>
      </c>
      <c r="K990" s="11">
        <f>data!J990</f>
        <v>6</v>
      </c>
      <c r="L990" s="11">
        <f t="shared" si="61"/>
        <v>30</v>
      </c>
      <c r="M990" s="9">
        <f t="shared" si="62"/>
        <v>5.4054054054054053</v>
      </c>
      <c r="N990" s="9">
        <f t="shared" si="63"/>
        <v>5</v>
      </c>
    </row>
    <row r="991" spans="1:14" x14ac:dyDescent="0.25">
      <c r="A991" t="str">
        <f>TEXT("1/"&amp;data!A991,"mmmm")</f>
        <v>avril</v>
      </c>
      <c r="B991">
        <f>data!B991</f>
        <v>2016</v>
      </c>
      <c r="C991" t="str">
        <f>data!C991</f>
        <v>062</v>
      </c>
      <c r="D991" t="str">
        <f>data!D991</f>
        <v>CHATEAU CARBON D'ARTIGUES</v>
      </c>
      <c r="E991" t="str">
        <f>data!E991</f>
        <v>062001</v>
      </c>
      <c r="F991" t="str">
        <f>data!F991</f>
        <v>AC GRAVES CARBON D'ARTIGUES</v>
      </c>
      <c r="G991" s="10">
        <f>data!G991</f>
        <v>178.8</v>
      </c>
      <c r="H991" s="10">
        <f>data!I991</f>
        <v>122.4</v>
      </c>
      <c r="I991" s="10">
        <f t="shared" si="60"/>
        <v>56.400000000000006</v>
      </c>
      <c r="J991" s="11">
        <f>data!H991</f>
        <v>36</v>
      </c>
      <c r="K991" s="11">
        <f>data!J991</f>
        <v>24</v>
      </c>
      <c r="L991" s="11">
        <f t="shared" si="61"/>
        <v>12</v>
      </c>
      <c r="M991" s="9">
        <f t="shared" si="62"/>
        <v>0.46078431372549022</v>
      </c>
      <c r="N991" s="9">
        <f t="shared" si="63"/>
        <v>0.5</v>
      </c>
    </row>
    <row r="992" spans="1:14" x14ac:dyDescent="0.25">
      <c r="A992" t="str">
        <f>TEXT("1/"&amp;data!A992,"mmmm")</f>
        <v>avril</v>
      </c>
      <c r="B992">
        <f>data!B992</f>
        <v>2016</v>
      </c>
      <c r="C992" t="str">
        <f>data!C992</f>
        <v>062</v>
      </c>
      <c r="D992" t="str">
        <f>data!D992</f>
        <v>CHATEAU CARBON D'ARTIGUES</v>
      </c>
      <c r="E992" t="str">
        <f>data!E992</f>
        <v>062002</v>
      </c>
      <c r="F992" t="str">
        <f>data!F992</f>
        <v>AC GRAVES. CARBON D'ARTIGUES</v>
      </c>
      <c r="G992" s="10">
        <f>data!G992</f>
        <v>220.8</v>
      </c>
      <c r="H992" s="10">
        <f>data!I992</f>
        <v>0</v>
      </c>
      <c r="I992" s="10">
        <f t="shared" si="60"/>
        <v>220.8</v>
      </c>
      <c r="J992" s="11">
        <f>data!H992</f>
        <v>48</v>
      </c>
      <c r="K992" s="11">
        <f>data!J992</f>
        <v>0</v>
      </c>
      <c r="L992" s="11">
        <f t="shared" si="61"/>
        <v>48</v>
      </c>
      <c r="M992" s="9" t="str">
        <f t="shared" si="62"/>
        <v/>
      </c>
      <c r="N992" s="9" t="str">
        <f t="shared" si="63"/>
        <v/>
      </c>
    </row>
    <row r="993" spans="1:14" x14ac:dyDescent="0.25">
      <c r="A993" t="str">
        <f>TEXT("1/"&amp;data!A993,"mmmm")</f>
        <v>avril</v>
      </c>
      <c r="B993">
        <f>data!B993</f>
        <v>2016</v>
      </c>
      <c r="C993" t="str">
        <f>data!C993</f>
        <v>062</v>
      </c>
      <c r="D993" t="str">
        <f>data!D993</f>
        <v>CHATEAU CARBON D'ARTIGUES</v>
      </c>
      <c r="E993" t="str">
        <f>data!E993</f>
        <v>062003</v>
      </c>
      <c r="F993" t="str">
        <f>data!F993</f>
        <v>AC GRAVES. CARBON D'ARTIGUES</v>
      </c>
      <c r="G993" s="10">
        <f>data!G993</f>
        <v>2508</v>
      </c>
      <c r="H993" s="10">
        <f>data!I993</f>
        <v>1264.2</v>
      </c>
      <c r="I993" s="10">
        <f t="shared" si="60"/>
        <v>1243.8</v>
      </c>
      <c r="J993" s="11">
        <f>data!H993</f>
        <v>570</v>
      </c>
      <c r="K993" s="11">
        <f>data!J993</f>
        <v>306</v>
      </c>
      <c r="L993" s="11">
        <f t="shared" si="61"/>
        <v>264</v>
      </c>
      <c r="M993" s="9">
        <f t="shared" si="62"/>
        <v>0.98386331276696715</v>
      </c>
      <c r="N993" s="9">
        <f t="shared" si="63"/>
        <v>0.86274509803921573</v>
      </c>
    </row>
    <row r="994" spans="1:14" x14ac:dyDescent="0.25">
      <c r="A994" t="str">
        <f>TEXT("1/"&amp;data!A994,"mmmm")</f>
        <v>avril</v>
      </c>
      <c r="B994">
        <f>data!B994</f>
        <v>2016</v>
      </c>
      <c r="C994" t="str">
        <f>data!C994</f>
        <v>062</v>
      </c>
      <c r="D994" t="str">
        <f>data!D994</f>
        <v>CHATEAU CARBON D'ARTIGUES</v>
      </c>
      <c r="E994" t="str">
        <f>data!E994</f>
        <v>062021</v>
      </c>
      <c r="F994" t="str">
        <f>data!F994</f>
        <v>AC GRAVES. CARBON D'ARTIGUES</v>
      </c>
      <c r="G994" s="10">
        <f>data!G994</f>
        <v>652.79999999999995</v>
      </c>
      <c r="H994" s="10">
        <f>data!I994</f>
        <v>256.2</v>
      </c>
      <c r="I994" s="10">
        <f t="shared" si="60"/>
        <v>396.59999999999997</v>
      </c>
      <c r="J994" s="11">
        <f>data!H994</f>
        <v>204</v>
      </c>
      <c r="K994" s="11">
        <f>data!J994</f>
        <v>96</v>
      </c>
      <c r="L994" s="11">
        <f t="shared" si="61"/>
        <v>108</v>
      </c>
      <c r="M994" s="9">
        <f t="shared" si="62"/>
        <v>1.5480093676814988</v>
      </c>
      <c r="N994" s="9">
        <f t="shared" si="63"/>
        <v>1.125</v>
      </c>
    </row>
    <row r="995" spans="1:14" x14ac:dyDescent="0.25">
      <c r="A995" t="str">
        <f>TEXT("1/"&amp;data!A995,"mmmm")</f>
        <v>avril</v>
      </c>
      <c r="B995">
        <f>data!B995</f>
        <v>2016</v>
      </c>
      <c r="C995" t="str">
        <f>data!C995</f>
        <v>062</v>
      </c>
      <c r="D995" t="str">
        <f>data!D995</f>
        <v>CHATEAU CARBON D'ARTIGUES</v>
      </c>
      <c r="E995" t="str">
        <f>data!E995</f>
        <v>062022</v>
      </c>
      <c r="F995" t="str">
        <f>data!F995</f>
        <v>AC GRAVES. CARBON D'ARTIGUES</v>
      </c>
      <c r="G995" s="10">
        <f>data!G995</f>
        <v>91.2</v>
      </c>
      <c r="H995" s="10">
        <f>data!I995</f>
        <v>45.6</v>
      </c>
      <c r="I995" s="10">
        <f t="shared" si="60"/>
        <v>45.6</v>
      </c>
      <c r="J995" s="11">
        <f>data!H995</f>
        <v>24</v>
      </c>
      <c r="K995" s="11">
        <f>data!J995</f>
        <v>12</v>
      </c>
      <c r="L995" s="11">
        <f t="shared" si="61"/>
        <v>12</v>
      </c>
      <c r="M995" s="9">
        <f t="shared" si="62"/>
        <v>1</v>
      </c>
      <c r="N995" s="9">
        <f t="shared" si="63"/>
        <v>1</v>
      </c>
    </row>
    <row r="996" spans="1:14" x14ac:dyDescent="0.25">
      <c r="A996" t="str">
        <f>TEXT("1/"&amp;data!A996,"mmmm")</f>
        <v>avril</v>
      </c>
      <c r="B996">
        <f>data!B996</f>
        <v>2016</v>
      </c>
      <c r="C996" t="str">
        <f>data!C996</f>
        <v>062</v>
      </c>
      <c r="D996" t="str">
        <f>data!D996</f>
        <v>CHATEAU CARBON D'ARTIGUES</v>
      </c>
      <c r="E996" t="str">
        <f>data!E996</f>
        <v>062030</v>
      </c>
      <c r="F996" t="str">
        <f>data!F996</f>
        <v>AC CADILLAC CH LA PASSONNE</v>
      </c>
      <c r="G996" s="10">
        <f>data!G996</f>
        <v>57.6</v>
      </c>
      <c r="H996" s="10">
        <f>data!I996</f>
        <v>-28.8</v>
      </c>
      <c r="I996" s="10">
        <f t="shared" si="60"/>
        <v>86.4</v>
      </c>
      <c r="J996" s="11">
        <f>data!H996</f>
        <v>12</v>
      </c>
      <c r="K996" s="11">
        <f>data!J996</f>
        <v>0</v>
      </c>
      <c r="L996" s="11">
        <f t="shared" si="61"/>
        <v>12</v>
      </c>
      <c r="M996" s="9">
        <f t="shared" si="62"/>
        <v>-3</v>
      </c>
      <c r="N996" s="9" t="str">
        <f t="shared" si="63"/>
        <v/>
      </c>
    </row>
    <row r="997" spans="1:14" x14ac:dyDescent="0.25">
      <c r="A997" t="str">
        <f>TEXT("1/"&amp;data!A997,"mmmm")</f>
        <v>avril</v>
      </c>
      <c r="B997">
        <f>data!B997</f>
        <v>2016</v>
      </c>
      <c r="C997" t="str">
        <f>data!C997</f>
        <v>062</v>
      </c>
      <c r="D997" t="str">
        <f>data!D997</f>
        <v>CHATEAU CARBON D'ARTIGUES</v>
      </c>
      <c r="E997" t="str">
        <f>data!E997</f>
        <v>062032</v>
      </c>
      <c r="F997" t="str">
        <f>data!F997</f>
        <v>AOP GRAVES CH CARBON D'ARTIGUES</v>
      </c>
      <c r="G997" s="10">
        <f>data!G997</f>
        <v>1005</v>
      </c>
      <c r="H997" s="10">
        <f>data!I997</f>
        <v>899</v>
      </c>
      <c r="I997" s="10">
        <f t="shared" si="60"/>
        <v>106</v>
      </c>
      <c r="J997" s="11">
        <f>data!H997</f>
        <v>446.89</v>
      </c>
      <c r="K997" s="11">
        <f>data!J997</f>
        <v>426.88</v>
      </c>
      <c r="L997" s="11">
        <f t="shared" si="61"/>
        <v>20.009999999999991</v>
      </c>
      <c r="M997" s="9">
        <f t="shared" si="62"/>
        <v>0.11790878754171301</v>
      </c>
      <c r="N997" s="9">
        <f t="shared" si="63"/>
        <v>4.6874999999999979E-2</v>
      </c>
    </row>
    <row r="998" spans="1:14" x14ac:dyDescent="0.25">
      <c r="A998" t="str">
        <f>TEXT("1/"&amp;data!A998,"mmmm")</f>
        <v>avril</v>
      </c>
      <c r="B998">
        <f>data!B998</f>
        <v>2016</v>
      </c>
      <c r="C998" t="str">
        <f>data!C998</f>
        <v>074</v>
      </c>
      <c r="D998" t="str">
        <f>data!D998</f>
        <v>CAVE DE GIGONDAS</v>
      </c>
      <c r="E998" t="str">
        <f>data!E998</f>
        <v>074012</v>
      </c>
      <c r="F998" t="str">
        <f>data!F998</f>
        <v>AC GIGONDAS LA REFENCE</v>
      </c>
      <c r="G998" s="10">
        <f>data!G998</f>
        <v>45.6</v>
      </c>
      <c r="H998" s="10">
        <f>data!I998</f>
        <v>273.60000000000002</v>
      </c>
      <c r="I998" s="10">
        <f t="shared" si="60"/>
        <v>-228.00000000000003</v>
      </c>
      <c r="J998" s="11">
        <f>data!H998</f>
        <v>6</v>
      </c>
      <c r="K998" s="11">
        <f>data!J998</f>
        <v>36</v>
      </c>
      <c r="L998" s="11">
        <f t="shared" si="61"/>
        <v>-30</v>
      </c>
      <c r="M998" s="9">
        <f t="shared" si="62"/>
        <v>-0.83333333333333337</v>
      </c>
      <c r="N998" s="9">
        <f t="shared" si="63"/>
        <v>-0.83333333333333337</v>
      </c>
    </row>
    <row r="999" spans="1:14" x14ac:dyDescent="0.25">
      <c r="A999" t="str">
        <f>TEXT("1/"&amp;data!A999,"mmmm")</f>
        <v>avril</v>
      </c>
      <c r="B999">
        <f>data!B999</f>
        <v>2016</v>
      </c>
      <c r="C999" t="str">
        <f>data!C999</f>
        <v>074</v>
      </c>
      <c r="D999" t="str">
        <f>data!D999</f>
        <v>CAVE DE GIGONDAS</v>
      </c>
      <c r="E999" t="str">
        <f>data!E999</f>
        <v>074013</v>
      </c>
      <c r="F999" t="str">
        <f>data!F999</f>
        <v>AC B DE VENISE TERRISSIMO</v>
      </c>
      <c r="G999" s="10">
        <f>data!G999</f>
        <v>153.44999999999999</v>
      </c>
      <c r="H999" s="10">
        <f>data!I999</f>
        <v>579.6</v>
      </c>
      <c r="I999" s="10">
        <f t="shared" si="60"/>
        <v>-426.15000000000003</v>
      </c>
      <c r="J999" s="11">
        <f>data!H999</f>
        <v>36</v>
      </c>
      <c r="K999" s="11">
        <f>data!J999</f>
        <v>126</v>
      </c>
      <c r="L999" s="11">
        <f t="shared" si="61"/>
        <v>-90</v>
      </c>
      <c r="M999" s="9">
        <f t="shared" si="62"/>
        <v>-0.73524844720496896</v>
      </c>
      <c r="N999" s="9">
        <f t="shared" si="63"/>
        <v>-0.7142857142857143</v>
      </c>
    </row>
    <row r="1000" spans="1:14" x14ac:dyDescent="0.25">
      <c r="A1000" t="str">
        <f>TEXT("1/"&amp;data!A1000,"mmmm")</f>
        <v>avril</v>
      </c>
      <c r="B1000">
        <f>data!B1000</f>
        <v>2016</v>
      </c>
      <c r="C1000" t="str">
        <f>data!C1000</f>
        <v>075</v>
      </c>
      <c r="D1000" t="str">
        <f>data!D1000</f>
        <v>CHATEAU LE BREUIL RENAISSANCE</v>
      </c>
      <c r="E1000" t="str">
        <f>data!E1000</f>
        <v>075002</v>
      </c>
      <c r="F1000" t="str">
        <f>data!F1000</f>
        <v>AC MEDOC. CH.BREUIL RENAISSANCE</v>
      </c>
      <c r="G1000" s="10">
        <f>data!G1000</f>
        <v>597.6</v>
      </c>
      <c r="H1000" s="10">
        <f>data!I1000</f>
        <v>2170.8000000000002</v>
      </c>
      <c r="I1000" s="10">
        <f t="shared" si="60"/>
        <v>-1573.2000000000003</v>
      </c>
      <c r="J1000" s="11">
        <f>data!H1000</f>
        <v>144</v>
      </c>
      <c r="K1000" s="11">
        <f>data!J1000</f>
        <v>540</v>
      </c>
      <c r="L1000" s="11">
        <f t="shared" si="61"/>
        <v>-396</v>
      </c>
      <c r="M1000" s="9">
        <f t="shared" si="62"/>
        <v>-0.72470978441127698</v>
      </c>
      <c r="N1000" s="9">
        <f t="shared" si="63"/>
        <v>-0.73333333333333328</v>
      </c>
    </row>
    <row r="1001" spans="1:14" x14ac:dyDescent="0.25">
      <c r="A1001" t="str">
        <f>TEXT("1/"&amp;data!A1001,"mmmm")</f>
        <v>avril</v>
      </c>
      <c r="B1001">
        <f>data!B1001</f>
        <v>2016</v>
      </c>
      <c r="C1001" t="str">
        <f>data!C1001</f>
        <v>075</v>
      </c>
      <c r="D1001" t="str">
        <f>data!D1001</f>
        <v>CHATEAU LE BREUIL RENAISSANCE</v>
      </c>
      <c r="E1001" t="str">
        <f>data!E1001</f>
        <v>075011</v>
      </c>
      <c r="F1001" t="str">
        <f>data!F1001</f>
        <v>AC MEDOC CRU.B CH LES CABANS</v>
      </c>
      <c r="G1001" s="10">
        <f>data!G1001</f>
        <v>83.7</v>
      </c>
      <c r="H1001" s="10">
        <f>data!I1001</f>
        <v>0</v>
      </c>
      <c r="I1001" s="10">
        <f t="shared" si="60"/>
        <v>83.7</v>
      </c>
      <c r="J1001" s="11">
        <f>data!H1001</f>
        <v>12</v>
      </c>
      <c r="K1001" s="11">
        <f>data!J1001</f>
        <v>0</v>
      </c>
      <c r="L1001" s="11">
        <f t="shared" si="61"/>
        <v>12</v>
      </c>
      <c r="M1001" s="9" t="str">
        <f t="shared" si="62"/>
        <v/>
      </c>
      <c r="N1001" s="9" t="str">
        <f t="shared" si="63"/>
        <v/>
      </c>
    </row>
    <row r="1002" spans="1:14" x14ac:dyDescent="0.25">
      <c r="A1002" t="str">
        <f>TEXT("1/"&amp;data!A1002,"mmmm")</f>
        <v>avril</v>
      </c>
      <c r="B1002">
        <f>data!B1002</f>
        <v>2016</v>
      </c>
      <c r="C1002" t="str">
        <f>data!C1002</f>
        <v>075</v>
      </c>
      <c r="D1002" t="str">
        <f>data!D1002</f>
        <v>CHATEAU LE BREUIL RENAISSANCE</v>
      </c>
      <c r="E1002" t="str">
        <f>data!E1002</f>
        <v>075013</v>
      </c>
      <c r="F1002" t="str">
        <f>data!F1002</f>
        <v>AC MEDOC CRU BOURGEOIS CHATEAU DES CABANS</v>
      </c>
      <c r="G1002" s="10">
        <f>data!G1002</f>
        <v>33.299999999999997</v>
      </c>
      <c r="H1002" s="10">
        <f>data!I1002</f>
        <v>280.8</v>
      </c>
      <c r="I1002" s="10">
        <f t="shared" si="60"/>
        <v>-247.5</v>
      </c>
      <c r="J1002" s="11">
        <f>data!H1002</f>
        <v>6</v>
      </c>
      <c r="K1002" s="11">
        <f>data!J1002</f>
        <v>60</v>
      </c>
      <c r="L1002" s="11">
        <f t="shared" si="61"/>
        <v>-54</v>
      </c>
      <c r="M1002" s="9">
        <f t="shared" si="62"/>
        <v>-0.88141025641025639</v>
      </c>
      <c r="N1002" s="9">
        <f t="shared" si="63"/>
        <v>-0.9</v>
      </c>
    </row>
    <row r="1003" spans="1:14" x14ac:dyDescent="0.25">
      <c r="A1003" t="str">
        <f>TEXT("1/"&amp;data!A1003,"mmmm")</f>
        <v>avril</v>
      </c>
      <c r="B1003">
        <f>data!B1003</f>
        <v>2016</v>
      </c>
      <c r="C1003" t="str">
        <f>data!C1003</f>
        <v>080</v>
      </c>
      <c r="D1003" t="str">
        <f>data!D1003</f>
        <v>DOMAINE DE ST PIERRE</v>
      </c>
      <c r="E1003" t="str">
        <f>data!E1003</f>
        <v>080010</v>
      </c>
      <c r="F1003" t="str">
        <f>data!F1003</f>
        <v>AC SANCERRE D.DE ST PIERRE</v>
      </c>
      <c r="G1003" s="10">
        <f>data!G1003</f>
        <v>1006.2</v>
      </c>
      <c r="H1003" s="10">
        <f>data!I1003</f>
        <v>1360.8</v>
      </c>
      <c r="I1003" s="10">
        <f t="shared" si="60"/>
        <v>-354.59999999999991</v>
      </c>
      <c r="J1003" s="11">
        <f>data!H1003</f>
        <v>156</v>
      </c>
      <c r="K1003" s="11">
        <f>data!J1003</f>
        <v>216</v>
      </c>
      <c r="L1003" s="11">
        <f t="shared" si="61"/>
        <v>-60</v>
      </c>
      <c r="M1003" s="9">
        <f t="shared" si="62"/>
        <v>-0.26058201058201053</v>
      </c>
      <c r="N1003" s="9">
        <f t="shared" si="63"/>
        <v>-0.27777777777777779</v>
      </c>
    </row>
    <row r="1004" spans="1:14" x14ac:dyDescent="0.25">
      <c r="A1004" t="str">
        <f>TEXT("1/"&amp;data!A1004,"mmmm")</f>
        <v>avril</v>
      </c>
      <c r="B1004">
        <f>data!B1004</f>
        <v>2016</v>
      </c>
      <c r="C1004" t="str">
        <f>data!C1004</f>
        <v>080</v>
      </c>
      <c r="D1004" t="str">
        <f>data!D1004</f>
        <v>DOMAINE DE ST PIERRE</v>
      </c>
      <c r="E1004" t="str">
        <f>data!E1004</f>
        <v>080011</v>
      </c>
      <c r="F1004" t="str">
        <f>data!F1004</f>
        <v>AC SANCERRE D.DE ST PIERRE</v>
      </c>
      <c r="G1004" s="10">
        <f>data!G1004</f>
        <v>234</v>
      </c>
      <c r="H1004" s="10">
        <f>data!I1004</f>
        <v>415.8</v>
      </c>
      <c r="I1004" s="10">
        <f t="shared" si="60"/>
        <v>-181.8</v>
      </c>
      <c r="J1004" s="11">
        <f>data!H1004</f>
        <v>30</v>
      </c>
      <c r="K1004" s="11">
        <f>data!J1004</f>
        <v>54</v>
      </c>
      <c r="L1004" s="11">
        <f t="shared" si="61"/>
        <v>-24</v>
      </c>
      <c r="M1004" s="9">
        <f t="shared" si="62"/>
        <v>-0.43722943722943725</v>
      </c>
      <c r="N1004" s="9">
        <f t="shared" si="63"/>
        <v>-0.44444444444444442</v>
      </c>
    </row>
    <row r="1005" spans="1:14" x14ac:dyDescent="0.25">
      <c r="A1005" t="str">
        <f>TEXT("1/"&amp;data!A1005,"mmmm")</f>
        <v>avril</v>
      </c>
      <c r="B1005">
        <f>data!B1005</f>
        <v>2016</v>
      </c>
      <c r="C1005" t="str">
        <f>data!C1005</f>
        <v>080</v>
      </c>
      <c r="D1005" t="str">
        <f>data!D1005</f>
        <v>DOMAINE DE ST PIERRE</v>
      </c>
      <c r="E1005" t="str">
        <f>data!E1005</f>
        <v>080013</v>
      </c>
      <c r="F1005" t="str">
        <f>data!F1005</f>
        <v>AC SANCERRE D.DE ST PIERRE</v>
      </c>
      <c r="G1005" s="10">
        <f>data!G1005</f>
        <v>37.799999999999997</v>
      </c>
      <c r="H1005" s="10">
        <f>data!I1005</f>
        <v>109.8</v>
      </c>
      <c r="I1005" s="10">
        <f t="shared" si="60"/>
        <v>-72</v>
      </c>
      <c r="J1005" s="11">
        <f>data!H1005</f>
        <v>6</v>
      </c>
      <c r="K1005" s="11">
        <f>data!J1005</f>
        <v>18</v>
      </c>
      <c r="L1005" s="11">
        <f t="shared" si="61"/>
        <v>-12</v>
      </c>
      <c r="M1005" s="9">
        <f t="shared" si="62"/>
        <v>-0.65573770491803285</v>
      </c>
      <c r="N1005" s="9">
        <f t="shared" si="63"/>
        <v>-0.66666666666666663</v>
      </c>
    </row>
    <row r="1006" spans="1:14" x14ac:dyDescent="0.25">
      <c r="A1006" t="str">
        <f>TEXT("1/"&amp;data!A1006,"mmmm")</f>
        <v>avril</v>
      </c>
      <c r="B1006">
        <f>data!B1006</f>
        <v>2016</v>
      </c>
      <c r="C1006" t="str">
        <f>data!C1006</f>
        <v>080</v>
      </c>
      <c r="D1006" t="str">
        <f>data!D1006</f>
        <v>DOMAINE DE ST PIERRE</v>
      </c>
      <c r="E1006" t="str">
        <f>data!E1006</f>
        <v>080014</v>
      </c>
      <c r="F1006" t="str">
        <f>data!F1006</f>
        <v>AC SANCERRE D.DE ST PIERRE</v>
      </c>
      <c r="G1006" s="10">
        <f>data!G1006</f>
        <v>45</v>
      </c>
      <c r="H1006" s="10">
        <f>data!I1006</f>
        <v>44.4</v>
      </c>
      <c r="I1006" s="10">
        <f t="shared" si="60"/>
        <v>0.60000000000000142</v>
      </c>
      <c r="J1006" s="11">
        <f>data!H1006</f>
        <v>6</v>
      </c>
      <c r="K1006" s="11">
        <f>data!J1006</f>
        <v>6</v>
      </c>
      <c r="L1006" s="11">
        <f t="shared" si="61"/>
        <v>0</v>
      </c>
      <c r="M1006" s="9">
        <f t="shared" si="62"/>
        <v>1.3513513513513545E-2</v>
      </c>
      <c r="N1006" s="9">
        <f t="shared" si="63"/>
        <v>0</v>
      </c>
    </row>
    <row r="1007" spans="1:14" x14ac:dyDescent="0.25">
      <c r="A1007" t="str">
        <f>TEXT("1/"&amp;data!A1007,"mmmm")</f>
        <v>avril</v>
      </c>
      <c r="B1007">
        <f>data!B1007</f>
        <v>2016</v>
      </c>
      <c r="C1007" t="str">
        <f>data!C1007</f>
        <v>080</v>
      </c>
      <c r="D1007" t="str">
        <f>data!D1007</f>
        <v>DOMAINE DE ST PIERRE</v>
      </c>
      <c r="E1007" t="str">
        <f>data!E1007</f>
        <v>080015</v>
      </c>
      <c r="F1007" t="str">
        <f>data!F1007</f>
        <v>AC SANCERRE D.DE ST PIERRE</v>
      </c>
      <c r="G1007" s="10">
        <f>data!G1007</f>
        <v>442.2</v>
      </c>
      <c r="H1007" s="10">
        <f>data!I1007</f>
        <v>554.4</v>
      </c>
      <c r="I1007" s="10">
        <f t="shared" si="60"/>
        <v>-112.19999999999999</v>
      </c>
      <c r="J1007" s="11">
        <f>data!H1007</f>
        <v>66</v>
      </c>
      <c r="K1007" s="11">
        <f>data!J1007</f>
        <v>84</v>
      </c>
      <c r="L1007" s="11">
        <f t="shared" si="61"/>
        <v>-18</v>
      </c>
      <c r="M1007" s="9">
        <f t="shared" si="62"/>
        <v>-0.20238095238095236</v>
      </c>
      <c r="N1007" s="9">
        <f t="shared" si="63"/>
        <v>-0.21428571428571427</v>
      </c>
    </row>
    <row r="1008" spans="1:14" x14ac:dyDescent="0.25">
      <c r="A1008" t="str">
        <f>TEXT("1/"&amp;data!A1008,"mmmm")</f>
        <v>avril</v>
      </c>
      <c r="B1008">
        <f>data!B1008</f>
        <v>2016</v>
      </c>
      <c r="C1008" t="str">
        <f>data!C1008</f>
        <v>080</v>
      </c>
      <c r="D1008" t="str">
        <f>data!D1008</f>
        <v>DOMAINE DE ST PIERRE</v>
      </c>
      <c r="E1008" t="str">
        <f>data!E1008</f>
        <v>080016</v>
      </c>
      <c r="F1008" t="str">
        <f>data!F1008</f>
        <v>AC SANCERRE D.DE ST PIERRE</v>
      </c>
      <c r="G1008" s="10">
        <f>data!G1008</f>
        <v>46.8</v>
      </c>
      <c r="H1008" s="10">
        <f>data!I1008</f>
        <v>138.6</v>
      </c>
      <c r="I1008" s="10">
        <f t="shared" si="60"/>
        <v>-91.8</v>
      </c>
      <c r="J1008" s="11">
        <f>data!H1008</f>
        <v>6</v>
      </c>
      <c r="K1008" s="11">
        <f>data!J1008</f>
        <v>18</v>
      </c>
      <c r="L1008" s="11">
        <f t="shared" si="61"/>
        <v>-12</v>
      </c>
      <c r="M1008" s="9">
        <f t="shared" si="62"/>
        <v>-0.66233766233766234</v>
      </c>
      <c r="N1008" s="9">
        <f t="shared" si="63"/>
        <v>-0.66666666666666663</v>
      </c>
    </row>
    <row r="1009" spans="1:14" x14ac:dyDescent="0.25">
      <c r="A1009" t="str">
        <f>TEXT("1/"&amp;data!A1009,"mmmm")</f>
        <v>avril</v>
      </c>
      <c r="B1009">
        <f>data!B1009</f>
        <v>2016</v>
      </c>
      <c r="C1009" t="str">
        <f>data!C1009</f>
        <v>083</v>
      </c>
      <c r="D1009" t="str">
        <f>data!D1009</f>
        <v>LES TERROIRS D'OCCITANIE</v>
      </c>
      <c r="E1009" t="str">
        <f>data!E1009</f>
        <v>083003</v>
      </c>
      <c r="F1009" t="str">
        <f>data!F1009</f>
        <v>AC FAUGERES C.PREST DE LAURENS</v>
      </c>
      <c r="G1009" s="10">
        <f>data!G1009</f>
        <v>219.3</v>
      </c>
      <c r="H1009" s="10">
        <f>data!I1009</f>
        <v>579.6</v>
      </c>
      <c r="I1009" s="10">
        <f t="shared" si="60"/>
        <v>-360.3</v>
      </c>
      <c r="J1009" s="11">
        <f>data!H1009</f>
        <v>102</v>
      </c>
      <c r="K1009" s="11">
        <f>data!J1009</f>
        <v>276</v>
      </c>
      <c r="L1009" s="11">
        <f t="shared" si="61"/>
        <v>-174</v>
      </c>
      <c r="M1009" s="9">
        <f t="shared" si="62"/>
        <v>-0.62163561076604557</v>
      </c>
      <c r="N1009" s="9">
        <f t="shared" si="63"/>
        <v>-0.63043478260869568</v>
      </c>
    </row>
    <row r="1010" spans="1:14" x14ac:dyDescent="0.25">
      <c r="A1010" t="str">
        <f>TEXT("1/"&amp;data!A1010,"mmmm")</f>
        <v>avril</v>
      </c>
      <c r="B1010">
        <f>data!B1010</f>
        <v>2016</v>
      </c>
      <c r="C1010" t="str">
        <f>data!C1010</f>
        <v>084</v>
      </c>
      <c r="D1010" t="str">
        <f>data!D1010</f>
        <v>VIGNOBLE CASTELMAURE</v>
      </c>
      <c r="E1010" t="str">
        <f>data!E1010</f>
        <v>084001</v>
      </c>
      <c r="F1010" t="str">
        <f>data!F1010</f>
        <v>AC CORBIERES CASTELMAURE</v>
      </c>
      <c r="G1010" s="10">
        <f>data!G1010</f>
        <v>904.75</v>
      </c>
      <c r="H1010" s="10">
        <f>data!I1010</f>
        <v>684</v>
      </c>
      <c r="I1010" s="10">
        <f t="shared" si="60"/>
        <v>220.75</v>
      </c>
      <c r="J1010" s="11">
        <f>data!H1010</f>
        <v>626.51</v>
      </c>
      <c r="K1010" s="11">
        <f>data!J1010</f>
        <v>506.54</v>
      </c>
      <c r="L1010" s="11">
        <f t="shared" si="61"/>
        <v>119.96999999999997</v>
      </c>
      <c r="M1010" s="9">
        <f t="shared" si="62"/>
        <v>0.32273391812865498</v>
      </c>
      <c r="N1010" s="9">
        <f t="shared" si="63"/>
        <v>0.23684210526315783</v>
      </c>
    </row>
    <row r="1011" spans="1:14" x14ac:dyDescent="0.25">
      <c r="A1011" t="str">
        <f>TEXT("1/"&amp;data!A1011,"mmmm")</f>
        <v>avril</v>
      </c>
      <c r="B1011">
        <f>data!B1011</f>
        <v>2016</v>
      </c>
      <c r="C1011" t="str">
        <f>data!C1011</f>
        <v>084</v>
      </c>
      <c r="D1011" t="str">
        <f>data!D1011</f>
        <v>VIGNOBLE CASTELMAURE</v>
      </c>
      <c r="E1011" t="str">
        <f>data!E1011</f>
        <v>084002</v>
      </c>
      <c r="F1011" t="str">
        <f>data!F1011</f>
        <v>AC CORBIERES CASTELMAURE</v>
      </c>
      <c r="G1011" s="10">
        <f>data!G1011</f>
        <v>1758.4</v>
      </c>
      <c r="H1011" s="10">
        <f>data!I1011</f>
        <v>1122</v>
      </c>
      <c r="I1011" s="10">
        <f t="shared" si="60"/>
        <v>636.40000000000009</v>
      </c>
      <c r="J1011" s="11">
        <f>data!H1011</f>
        <v>1073.8699999999999</v>
      </c>
      <c r="K1011" s="11">
        <f>data!J1011</f>
        <v>693.68</v>
      </c>
      <c r="L1011" s="11">
        <f t="shared" si="61"/>
        <v>380.18999999999994</v>
      </c>
      <c r="M1011" s="9">
        <f t="shared" si="62"/>
        <v>0.56720142602495549</v>
      </c>
      <c r="N1011" s="9">
        <f t="shared" si="63"/>
        <v>0.54807692307692302</v>
      </c>
    </row>
    <row r="1012" spans="1:14" x14ac:dyDescent="0.25">
      <c r="A1012" t="str">
        <f>TEXT("1/"&amp;data!A1012,"mmmm")</f>
        <v>avril</v>
      </c>
      <c r="B1012">
        <f>data!B1012</f>
        <v>2016</v>
      </c>
      <c r="C1012" t="str">
        <f>data!C1012</f>
        <v>084</v>
      </c>
      <c r="D1012" t="str">
        <f>data!D1012</f>
        <v>VIGNOBLE CASTELMAURE</v>
      </c>
      <c r="E1012" t="str">
        <f>data!E1012</f>
        <v>084004</v>
      </c>
      <c r="F1012" t="str">
        <f>data!F1012</f>
        <v>VDT BUVETTE CASTELMAURE (x6)</v>
      </c>
      <c r="G1012" s="10">
        <f>data!G1012</f>
        <v>100.8</v>
      </c>
      <c r="H1012" s="10">
        <f>data!I1012</f>
        <v>467.4</v>
      </c>
      <c r="I1012" s="10">
        <f t="shared" si="60"/>
        <v>-366.59999999999997</v>
      </c>
      <c r="J1012" s="11">
        <f>data!H1012</f>
        <v>54</v>
      </c>
      <c r="K1012" s="11">
        <f>data!J1012</f>
        <v>234</v>
      </c>
      <c r="L1012" s="11">
        <f t="shared" si="61"/>
        <v>-180</v>
      </c>
      <c r="M1012" s="9">
        <f t="shared" si="62"/>
        <v>-0.78433889602053908</v>
      </c>
      <c r="N1012" s="9">
        <f t="shared" si="63"/>
        <v>-0.76923076923076927</v>
      </c>
    </row>
    <row r="1013" spans="1:14" x14ac:dyDescent="0.25">
      <c r="A1013" t="str">
        <f>TEXT("1/"&amp;data!A1013,"mmmm")</f>
        <v>avril</v>
      </c>
      <c r="B1013">
        <f>data!B1013</f>
        <v>2016</v>
      </c>
      <c r="C1013" t="str">
        <f>data!C1013</f>
        <v>084</v>
      </c>
      <c r="D1013" t="str">
        <f>data!D1013</f>
        <v>VIGNOBLE CASTELMAURE</v>
      </c>
      <c r="E1013" t="str">
        <f>data!E1013</f>
        <v>084006</v>
      </c>
      <c r="F1013" t="str">
        <f>data!F1013</f>
        <v>AOP CORBIERES LE CASTELMAURE</v>
      </c>
      <c r="G1013" s="10">
        <f>data!G1013</f>
        <v>3514.5</v>
      </c>
      <c r="H1013" s="10">
        <f>data!I1013</f>
        <v>1474.2</v>
      </c>
      <c r="I1013" s="10">
        <f t="shared" si="60"/>
        <v>2040.3</v>
      </c>
      <c r="J1013" s="11">
        <f>data!H1013</f>
        <v>1284</v>
      </c>
      <c r="K1013" s="11">
        <f>data!J1013</f>
        <v>552</v>
      </c>
      <c r="L1013" s="11">
        <f t="shared" si="61"/>
        <v>732</v>
      </c>
      <c r="M1013" s="9">
        <f t="shared" si="62"/>
        <v>1.384004884004884</v>
      </c>
      <c r="N1013" s="9">
        <f t="shared" si="63"/>
        <v>1.326086956521739</v>
      </c>
    </row>
    <row r="1014" spans="1:14" x14ac:dyDescent="0.25">
      <c r="A1014" t="str">
        <f>TEXT("1/"&amp;data!A1014,"mmmm")</f>
        <v>avril</v>
      </c>
      <c r="B1014">
        <f>data!B1014</f>
        <v>2016</v>
      </c>
      <c r="C1014" t="str">
        <f>data!C1014</f>
        <v>084</v>
      </c>
      <c r="D1014" t="str">
        <f>data!D1014</f>
        <v>VIGNOBLE CASTELMAURE</v>
      </c>
      <c r="E1014" t="str">
        <f>data!E1014</f>
        <v>084007</v>
      </c>
      <c r="F1014" t="str">
        <f>data!F1014</f>
        <v>AC CORBIERES LA POMPADOUR</v>
      </c>
      <c r="G1014" s="10">
        <f>data!G1014</f>
        <v>1104</v>
      </c>
      <c r="H1014" s="10">
        <f>data!I1014</f>
        <v>432</v>
      </c>
      <c r="I1014" s="10">
        <f t="shared" si="60"/>
        <v>672</v>
      </c>
      <c r="J1014" s="11">
        <f>data!H1014</f>
        <v>240</v>
      </c>
      <c r="K1014" s="11">
        <f>data!J1014</f>
        <v>108</v>
      </c>
      <c r="L1014" s="11">
        <f t="shared" si="61"/>
        <v>132</v>
      </c>
      <c r="M1014" s="9">
        <f t="shared" si="62"/>
        <v>1.5555555555555556</v>
      </c>
      <c r="N1014" s="9">
        <f t="shared" si="63"/>
        <v>1.2222222222222223</v>
      </c>
    </row>
    <row r="1015" spans="1:14" x14ac:dyDescent="0.25">
      <c r="A1015" t="str">
        <f>TEXT("1/"&amp;data!A1015,"mmmm")</f>
        <v>avril</v>
      </c>
      <c r="B1015">
        <f>data!B1015</f>
        <v>2016</v>
      </c>
      <c r="C1015" t="str">
        <f>data!C1015</f>
        <v>084</v>
      </c>
      <c r="D1015" t="str">
        <f>data!D1015</f>
        <v>VIGNOBLE CASTELMAURE</v>
      </c>
      <c r="E1015" t="str">
        <f>data!E1015</f>
        <v>084008</v>
      </c>
      <c r="F1015" t="str">
        <f>data!F1015</f>
        <v>AC CORBIERES LA GDE CUVEE</v>
      </c>
      <c r="G1015" s="10">
        <f>data!G1015</f>
        <v>143.52000000000001</v>
      </c>
      <c r="H1015" s="10">
        <f>data!I1015</f>
        <v>105.3</v>
      </c>
      <c r="I1015" s="10">
        <f t="shared" si="60"/>
        <v>38.220000000000013</v>
      </c>
      <c r="J1015" s="11">
        <f>data!H1015</f>
        <v>24</v>
      </c>
      <c r="K1015" s="11">
        <f>data!J1015</f>
        <v>18</v>
      </c>
      <c r="L1015" s="11">
        <f t="shared" si="61"/>
        <v>6</v>
      </c>
      <c r="M1015" s="9">
        <f t="shared" si="62"/>
        <v>0.3629629629629631</v>
      </c>
      <c r="N1015" s="9">
        <f t="shared" si="63"/>
        <v>0.33333333333333331</v>
      </c>
    </row>
    <row r="1016" spans="1:14" x14ac:dyDescent="0.25">
      <c r="A1016" t="str">
        <f>TEXT("1/"&amp;data!A1016,"mmmm")</f>
        <v>avril</v>
      </c>
      <c r="B1016">
        <f>data!B1016</f>
        <v>2016</v>
      </c>
      <c r="C1016" t="str">
        <f>data!C1016</f>
        <v>084</v>
      </c>
      <c r="D1016" t="str">
        <f>data!D1016</f>
        <v>VIGNOBLE CASTELMAURE</v>
      </c>
      <c r="E1016" t="str">
        <f>data!E1016</f>
        <v>084015</v>
      </c>
      <c r="F1016" t="str">
        <f>data!F1016</f>
        <v>AC CORBIERES " LE 3 "</v>
      </c>
      <c r="G1016" s="10">
        <f>data!G1016</f>
        <v>451.5</v>
      </c>
      <c r="H1016" s="10">
        <f>data!I1016</f>
        <v>0</v>
      </c>
      <c r="I1016" s="10">
        <f t="shared" si="60"/>
        <v>451.5</v>
      </c>
      <c r="J1016" s="11">
        <f>data!H1016</f>
        <v>42</v>
      </c>
      <c r="K1016" s="11">
        <f>data!J1016</f>
        <v>0</v>
      </c>
      <c r="L1016" s="11">
        <f t="shared" si="61"/>
        <v>42</v>
      </c>
      <c r="M1016" s="9" t="str">
        <f t="shared" si="62"/>
        <v/>
      </c>
      <c r="N1016" s="9" t="str">
        <f t="shared" si="63"/>
        <v/>
      </c>
    </row>
    <row r="1017" spans="1:14" x14ac:dyDescent="0.25">
      <c r="A1017" t="str">
        <f>TEXT("1/"&amp;data!A1017,"mmmm")</f>
        <v>avril</v>
      </c>
      <c r="B1017">
        <f>data!B1017</f>
        <v>2016</v>
      </c>
      <c r="C1017" t="str">
        <f>data!C1017</f>
        <v>084</v>
      </c>
      <c r="D1017" t="str">
        <f>data!D1017</f>
        <v>VIGNOBLE CASTELMAURE</v>
      </c>
      <c r="E1017" t="str">
        <f>data!E1017</f>
        <v>084032</v>
      </c>
      <c r="F1017" t="str">
        <f>data!F1017</f>
        <v>AC CORBIERE CASTELMAURE</v>
      </c>
      <c r="G1017" s="10">
        <f>data!G1017</f>
        <v>198</v>
      </c>
      <c r="H1017" s="10">
        <f>data!I1017</f>
        <v>0</v>
      </c>
      <c r="I1017" s="10">
        <f t="shared" si="60"/>
        <v>198</v>
      </c>
      <c r="J1017" s="11">
        <f>data!H1017</f>
        <v>72</v>
      </c>
      <c r="K1017" s="11">
        <f>data!J1017</f>
        <v>0</v>
      </c>
      <c r="L1017" s="11">
        <f t="shared" si="61"/>
        <v>72</v>
      </c>
      <c r="M1017" s="9" t="str">
        <f t="shared" si="62"/>
        <v/>
      </c>
      <c r="N1017" s="9" t="str">
        <f t="shared" si="63"/>
        <v/>
      </c>
    </row>
    <row r="1018" spans="1:14" x14ac:dyDescent="0.25">
      <c r="A1018" t="str">
        <f>TEXT("1/"&amp;data!A1018,"mmmm")</f>
        <v>avril</v>
      </c>
      <c r="B1018">
        <f>data!B1018</f>
        <v>2016</v>
      </c>
      <c r="C1018" t="str">
        <f>data!C1018</f>
        <v>086B</v>
      </c>
      <c r="D1018" t="str">
        <f>data!D1018</f>
        <v>PRODIFFU - TERRE DE VIGNERONS</v>
      </c>
      <c r="E1018" t="str">
        <f>data!E1018</f>
        <v>086002P</v>
      </c>
      <c r="F1018" t="str">
        <f>data!F1018</f>
        <v>AC C.DE DURAS BERTICOT</v>
      </c>
      <c r="G1018" s="10">
        <f>data!G1018</f>
        <v>9.91</v>
      </c>
      <c r="H1018" s="10">
        <f>data!I1018</f>
        <v>148.16</v>
      </c>
      <c r="I1018" s="10">
        <f t="shared" si="60"/>
        <v>-138.25</v>
      </c>
      <c r="J1018" s="11">
        <f>data!H1018</f>
        <v>13.34</v>
      </c>
      <c r="K1018" s="11">
        <f>data!J1018</f>
        <v>106.72</v>
      </c>
      <c r="L1018" s="11">
        <f t="shared" si="61"/>
        <v>-93.38</v>
      </c>
      <c r="M1018" s="9">
        <f t="shared" si="62"/>
        <v>-0.93311285097192231</v>
      </c>
      <c r="N1018" s="9">
        <f t="shared" si="63"/>
        <v>-0.875</v>
      </c>
    </row>
    <row r="1019" spans="1:14" x14ac:dyDescent="0.25">
      <c r="A1019" t="str">
        <f>TEXT("1/"&amp;data!A1019,"mmmm")</f>
        <v>avril</v>
      </c>
      <c r="B1019">
        <f>data!B1019</f>
        <v>2016</v>
      </c>
      <c r="C1019" t="str">
        <f>data!C1019</f>
        <v>086B</v>
      </c>
      <c r="D1019" t="str">
        <f>data!D1019</f>
        <v>PRODIFFU - TERRE DE VIGNERONS</v>
      </c>
      <c r="E1019" t="str">
        <f>data!E1019</f>
        <v>086011P</v>
      </c>
      <c r="F1019" t="str">
        <f>data!F1019</f>
        <v>AC C.DE DURAS BERTICOT</v>
      </c>
      <c r="G1019" s="10">
        <f>data!G1019</f>
        <v>503.16</v>
      </c>
      <c r="H1019" s="10">
        <f>data!I1019</f>
        <v>302.22000000000003</v>
      </c>
      <c r="I1019" s="10">
        <f t="shared" si="60"/>
        <v>200.94</v>
      </c>
      <c r="J1019" s="11">
        <f>data!H1019</f>
        <v>373.24</v>
      </c>
      <c r="K1019" s="11">
        <f>data!J1019</f>
        <v>239.94</v>
      </c>
      <c r="L1019" s="11">
        <f t="shared" si="61"/>
        <v>133.30000000000001</v>
      </c>
      <c r="M1019" s="9">
        <f t="shared" si="62"/>
        <v>0.66487988882271187</v>
      </c>
      <c r="N1019" s="9">
        <f t="shared" si="63"/>
        <v>0.55555555555555558</v>
      </c>
    </row>
    <row r="1020" spans="1:14" x14ac:dyDescent="0.25">
      <c r="A1020" t="str">
        <f>TEXT("1/"&amp;data!A1020,"mmmm")</f>
        <v>avril</v>
      </c>
      <c r="B1020">
        <f>data!B1020</f>
        <v>2016</v>
      </c>
      <c r="C1020" t="str">
        <f>data!C1020</f>
        <v>086B</v>
      </c>
      <c r="D1020" t="str">
        <f>data!D1020</f>
        <v>PRODIFFU - TERRE DE VIGNERONS</v>
      </c>
      <c r="E1020" t="str">
        <f>data!E1020</f>
        <v>086012P</v>
      </c>
      <c r="F1020" t="str">
        <f>data!F1020</f>
        <v>AC C.DE DURAS BERTICOT</v>
      </c>
      <c r="G1020" s="10">
        <f>data!G1020</f>
        <v>396.4</v>
      </c>
      <c r="H1020" s="10">
        <f>data!I1020</f>
        <v>185.2</v>
      </c>
      <c r="I1020" s="10">
        <f t="shared" si="60"/>
        <v>211.2</v>
      </c>
      <c r="J1020" s="11">
        <f>data!H1020</f>
        <v>273.46999999999997</v>
      </c>
      <c r="K1020" s="11">
        <f>data!J1020</f>
        <v>133.4</v>
      </c>
      <c r="L1020" s="11">
        <f t="shared" si="61"/>
        <v>140.06999999999996</v>
      </c>
      <c r="M1020" s="9">
        <f t="shared" si="62"/>
        <v>1.1403887688984882</v>
      </c>
      <c r="N1020" s="9">
        <f t="shared" si="63"/>
        <v>1.0499999999999996</v>
      </c>
    </row>
    <row r="1021" spans="1:14" x14ac:dyDescent="0.25">
      <c r="A1021" t="str">
        <f>TEXT("1/"&amp;data!A1021,"mmmm")</f>
        <v>avril</v>
      </c>
      <c r="B1021">
        <f>data!B1021</f>
        <v>2016</v>
      </c>
      <c r="C1021" t="str">
        <f>data!C1021</f>
        <v>089</v>
      </c>
      <c r="D1021" t="str">
        <f>data!D1021</f>
        <v>DOMAINE DE LA PALEINE</v>
      </c>
      <c r="E1021" t="str">
        <f>data!E1021</f>
        <v>089002</v>
      </c>
      <c r="F1021" t="str">
        <f>data!F1021</f>
        <v>AC SAUMUR C.DU PRINTEMPS LA PALEINE</v>
      </c>
      <c r="G1021" s="10">
        <f>data!G1021</f>
        <v>635.70000000000005</v>
      </c>
      <c r="H1021" s="10">
        <f>data!I1021</f>
        <v>298.2</v>
      </c>
      <c r="I1021" s="10">
        <f t="shared" si="60"/>
        <v>337.50000000000006</v>
      </c>
      <c r="J1021" s="11">
        <f>data!H1021</f>
        <v>174</v>
      </c>
      <c r="K1021" s="11">
        <f>data!J1021</f>
        <v>84</v>
      </c>
      <c r="L1021" s="11">
        <f t="shared" si="61"/>
        <v>90</v>
      </c>
      <c r="M1021" s="9">
        <f t="shared" si="62"/>
        <v>1.1317907444668009</v>
      </c>
      <c r="N1021" s="9">
        <f t="shared" si="63"/>
        <v>1.0714285714285714</v>
      </c>
    </row>
    <row r="1022" spans="1:14" x14ac:dyDescent="0.25">
      <c r="A1022" t="str">
        <f>TEXT("1/"&amp;data!A1022,"mmmm")</f>
        <v>avril</v>
      </c>
      <c r="B1022">
        <f>data!B1022</f>
        <v>2016</v>
      </c>
      <c r="C1022" t="str">
        <f>data!C1022</f>
        <v>089</v>
      </c>
      <c r="D1022" t="str">
        <f>data!D1022</f>
        <v>DOMAINE DE LA PALEINE</v>
      </c>
      <c r="E1022" t="str">
        <f>data!E1022</f>
        <v>089010</v>
      </c>
      <c r="F1022" t="str">
        <f>data!F1022</f>
        <v>AC SAUMUR DLA PALEINE</v>
      </c>
      <c r="G1022" s="10">
        <f>data!G1022</f>
        <v>244.2</v>
      </c>
      <c r="H1022" s="10">
        <f>data!I1022</f>
        <v>43.2</v>
      </c>
      <c r="I1022" s="10">
        <f t="shared" si="60"/>
        <v>201</v>
      </c>
      <c r="J1022" s="11">
        <f>data!H1022</f>
        <v>66</v>
      </c>
      <c r="K1022" s="11">
        <f>data!J1022</f>
        <v>12</v>
      </c>
      <c r="L1022" s="11">
        <f t="shared" si="61"/>
        <v>54</v>
      </c>
      <c r="M1022" s="9">
        <f t="shared" si="62"/>
        <v>4.6527777777777777</v>
      </c>
      <c r="N1022" s="9">
        <f t="shared" si="63"/>
        <v>4.5</v>
      </c>
    </row>
    <row r="1023" spans="1:14" x14ac:dyDescent="0.25">
      <c r="A1023" t="str">
        <f>TEXT("1/"&amp;data!A1023,"mmmm")</f>
        <v>avril</v>
      </c>
      <c r="B1023">
        <f>data!B1023</f>
        <v>2016</v>
      </c>
      <c r="C1023" t="str">
        <f>data!C1023</f>
        <v>089</v>
      </c>
      <c r="D1023" t="str">
        <f>data!D1023</f>
        <v>DOMAINE DE LA PALEINE</v>
      </c>
      <c r="E1023" t="str">
        <f>data!E1023</f>
        <v>089799</v>
      </c>
      <c r="F1023" t="str">
        <f>data!F1023</f>
        <v>AC SAUMUR BRUT (1.2 g sucre résiduel) DS Dme de la</v>
      </c>
      <c r="G1023" s="10">
        <f>data!G1023</f>
        <v>474</v>
      </c>
      <c r="H1023" s="10">
        <f>data!I1023</f>
        <v>0</v>
      </c>
      <c r="I1023" s="10">
        <f t="shared" si="60"/>
        <v>474</v>
      </c>
      <c r="J1023" s="11">
        <f>data!H1023</f>
        <v>120</v>
      </c>
      <c r="K1023" s="11">
        <f>data!J1023</f>
        <v>0</v>
      </c>
      <c r="L1023" s="11">
        <f t="shared" si="61"/>
        <v>120</v>
      </c>
      <c r="M1023" s="9" t="str">
        <f t="shared" si="62"/>
        <v/>
      </c>
      <c r="N1023" s="9" t="str">
        <f t="shared" si="63"/>
        <v/>
      </c>
    </row>
    <row r="1024" spans="1:14" x14ac:dyDescent="0.25">
      <c r="A1024" t="str">
        <f>TEXT("1/"&amp;data!A1024,"mmmm")</f>
        <v>avril</v>
      </c>
      <c r="B1024">
        <f>data!B1024</f>
        <v>2016</v>
      </c>
      <c r="C1024" t="str">
        <f>data!C1024</f>
        <v>089</v>
      </c>
      <c r="D1024" t="str">
        <f>data!D1024</f>
        <v>DOMAINE DE LA PALEINE</v>
      </c>
      <c r="E1024" t="str">
        <f>data!E1024</f>
        <v>089800</v>
      </c>
      <c r="F1024" t="str">
        <f>data!F1024</f>
        <v>AC SAUMUR BRUT D.DE LA PALEINE</v>
      </c>
      <c r="G1024" s="10">
        <f>data!G1024</f>
        <v>622.5</v>
      </c>
      <c r="H1024" s="10">
        <f>data!I1024</f>
        <v>344.4</v>
      </c>
      <c r="I1024" s="10">
        <f t="shared" si="60"/>
        <v>278.10000000000002</v>
      </c>
      <c r="J1024" s="11">
        <f>data!H1024</f>
        <v>150</v>
      </c>
      <c r="K1024" s="11">
        <f>data!J1024</f>
        <v>84</v>
      </c>
      <c r="L1024" s="11">
        <f t="shared" si="61"/>
        <v>66</v>
      </c>
      <c r="M1024" s="9">
        <f t="shared" si="62"/>
        <v>0.80749128919860635</v>
      </c>
      <c r="N1024" s="9">
        <f t="shared" si="63"/>
        <v>0.7857142857142857</v>
      </c>
    </row>
    <row r="1025" spans="1:14" x14ac:dyDescent="0.25">
      <c r="A1025" t="str">
        <f>TEXT("1/"&amp;data!A1025,"mmmm")</f>
        <v>avril</v>
      </c>
      <c r="B1025">
        <f>data!B1025</f>
        <v>2016</v>
      </c>
      <c r="C1025" t="str">
        <f>data!C1025</f>
        <v>089</v>
      </c>
      <c r="D1025" t="str">
        <f>data!D1025</f>
        <v>DOMAINE DE LA PALEINE</v>
      </c>
      <c r="E1025" t="str">
        <f>data!E1025</f>
        <v>089900</v>
      </c>
      <c r="F1025" t="str">
        <f>data!F1025</f>
        <v>AC SAUMUR RESERVE D.LA PALEINE</v>
      </c>
      <c r="G1025" s="10">
        <f>data!G1025</f>
        <v>595</v>
      </c>
      <c r="H1025" s="10">
        <f>data!I1025</f>
        <v>445.5</v>
      </c>
      <c r="I1025" s="10">
        <f t="shared" si="60"/>
        <v>149.5</v>
      </c>
      <c r="J1025" s="11">
        <f>data!H1025</f>
        <v>373.24</v>
      </c>
      <c r="K1025" s="11">
        <f>data!J1025</f>
        <v>293.26</v>
      </c>
      <c r="L1025" s="11">
        <f t="shared" si="61"/>
        <v>79.980000000000018</v>
      </c>
      <c r="M1025" s="9">
        <f t="shared" si="62"/>
        <v>0.33557800224466894</v>
      </c>
      <c r="N1025" s="9">
        <f t="shared" si="63"/>
        <v>0.27272727272727282</v>
      </c>
    </row>
    <row r="1026" spans="1:14" x14ac:dyDescent="0.25">
      <c r="A1026" t="str">
        <f>TEXT("1/"&amp;data!A1026,"mmmm")</f>
        <v>avril</v>
      </c>
      <c r="B1026">
        <f>data!B1026</f>
        <v>2016</v>
      </c>
      <c r="C1026" t="str">
        <f>data!C1026</f>
        <v>089</v>
      </c>
      <c r="D1026" t="str">
        <f>data!D1026</f>
        <v>DOMAINE DE LA PALEINE</v>
      </c>
      <c r="E1026" t="str">
        <f>data!E1026</f>
        <v>089901</v>
      </c>
      <c r="F1026" t="str">
        <f>data!F1026</f>
        <v>AC SAUMUR D.LA PALEINE</v>
      </c>
      <c r="G1026" s="10">
        <f>data!G1026</f>
        <v>1188</v>
      </c>
      <c r="H1026" s="10">
        <f>data!I1026</f>
        <v>622.20000000000005</v>
      </c>
      <c r="I1026" s="10">
        <f t="shared" si="60"/>
        <v>565.79999999999995</v>
      </c>
      <c r="J1026" s="11">
        <f>data!H1026</f>
        <v>613.64</v>
      </c>
      <c r="K1026" s="11">
        <f>data!J1026</f>
        <v>340.17</v>
      </c>
      <c r="L1026" s="11">
        <f t="shared" si="61"/>
        <v>273.46999999999997</v>
      </c>
      <c r="M1026" s="9">
        <f t="shared" si="62"/>
        <v>0.90935390549662476</v>
      </c>
      <c r="N1026" s="9">
        <f t="shared" si="63"/>
        <v>0.8039215686274509</v>
      </c>
    </row>
    <row r="1027" spans="1:14" x14ac:dyDescent="0.25">
      <c r="A1027" t="str">
        <f>TEXT("1/"&amp;data!A1027,"mmmm")</f>
        <v>avril</v>
      </c>
      <c r="B1027">
        <f>data!B1027</f>
        <v>2016</v>
      </c>
      <c r="C1027" t="str">
        <f>data!C1027</f>
        <v>089</v>
      </c>
      <c r="D1027" t="str">
        <f>data!D1027</f>
        <v>DOMAINE DE LA PALEINE</v>
      </c>
      <c r="E1027" t="str">
        <f>data!E1027</f>
        <v>089903</v>
      </c>
      <c r="F1027" t="str">
        <f>data!F1027</f>
        <v>AC SAUMUR BRUT M.TRAD LA PALEINE</v>
      </c>
      <c r="G1027" s="10">
        <f>data!G1027</f>
        <v>1771.2</v>
      </c>
      <c r="H1027" s="10">
        <f>data!I1027</f>
        <v>1458</v>
      </c>
      <c r="I1027" s="10">
        <f t="shared" ref="I1027:I1090" si="64">G1027-H1027</f>
        <v>313.20000000000005</v>
      </c>
      <c r="J1027" s="11">
        <f>data!H1027</f>
        <v>432</v>
      </c>
      <c r="K1027" s="11">
        <f>data!J1027</f>
        <v>360</v>
      </c>
      <c r="L1027" s="11">
        <f t="shared" ref="L1027:L1090" si="65">J1027-K1027</f>
        <v>72</v>
      </c>
      <c r="M1027" s="9">
        <f t="shared" ref="M1027:M1090" si="66">IF(ISERR(I1027/H1027),"",I1027/H1027)</f>
        <v>0.21481481481481485</v>
      </c>
      <c r="N1027" s="9">
        <f t="shared" ref="N1027:N1090" si="67">IF(ISERR(L1027/K1027),"",L1027/K1027)</f>
        <v>0.2</v>
      </c>
    </row>
    <row r="1028" spans="1:14" x14ac:dyDescent="0.25">
      <c r="A1028" t="str">
        <f>TEXT("1/"&amp;data!A1028,"mmmm")</f>
        <v>avril</v>
      </c>
      <c r="B1028">
        <f>data!B1028</f>
        <v>2016</v>
      </c>
      <c r="C1028" t="str">
        <f>data!C1028</f>
        <v>094</v>
      </c>
      <c r="D1028" t="str">
        <f>data!D1028</f>
        <v>CHATEAU TOUR GRANINS-GRAND POUJEAUX</v>
      </c>
      <c r="E1028" t="str">
        <f>data!E1028</f>
        <v>094001</v>
      </c>
      <c r="F1028" t="str">
        <f>data!F1028</f>
        <v>AC MOULIS EN MEDOC TOUR GRANINS GD-POUJEAUX</v>
      </c>
      <c r="G1028" s="10">
        <f>data!G1028</f>
        <v>877.2</v>
      </c>
      <c r="H1028" s="10">
        <f>data!I1028</f>
        <v>1092</v>
      </c>
      <c r="I1028" s="10">
        <f t="shared" si="64"/>
        <v>-214.79999999999995</v>
      </c>
      <c r="J1028" s="11">
        <f>data!H1028</f>
        <v>168</v>
      </c>
      <c r="K1028" s="11">
        <f>data!J1028</f>
        <v>210</v>
      </c>
      <c r="L1028" s="11">
        <f t="shared" si="65"/>
        <v>-42</v>
      </c>
      <c r="M1028" s="9">
        <f t="shared" si="66"/>
        <v>-0.19670329670329667</v>
      </c>
      <c r="N1028" s="9">
        <f t="shared" si="67"/>
        <v>-0.2</v>
      </c>
    </row>
    <row r="1029" spans="1:14" x14ac:dyDescent="0.25">
      <c r="A1029" t="str">
        <f>TEXT("1/"&amp;data!A1029,"mmmm")</f>
        <v>avril</v>
      </c>
      <c r="B1029">
        <f>data!B1029</f>
        <v>2016</v>
      </c>
      <c r="C1029" t="str">
        <f>data!C1029</f>
        <v>094</v>
      </c>
      <c r="D1029" t="str">
        <f>data!D1029</f>
        <v>CHATEAU TOUR GRANINS-GRAND POUJEAUX</v>
      </c>
      <c r="E1029" t="str">
        <f>data!E1029</f>
        <v>094003</v>
      </c>
      <c r="F1029" t="str">
        <f>data!F1029</f>
        <v>AC MOULIS EN MEDOC GD POUJEAUX</v>
      </c>
      <c r="G1029" s="10">
        <f>data!G1029</f>
        <v>135.6</v>
      </c>
      <c r="H1029" s="10">
        <f>data!I1029</f>
        <v>266.39999999999998</v>
      </c>
      <c r="I1029" s="10">
        <f t="shared" si="64"/>
        <v>-130.79999999999998</v>
      </c>
      <c r="J1029" s="11">
        <f>data!H1029</f>
        <v>24</v>
      </c>
      <c r="K1029" s="11">
        <f>data!J1029</f>
        <v>48</v>
      </c>
      <c r="L1029" s="11">
        <f t="shared" si="65"/>
        <v>-24</v>
      </c>
      <c r="M1029" s="9">
        <f t="shared" si="66"/>
        <v>-0.49099099099099097</v>
      </c>
      <c r="N1029" s="9">
        <f t="shared" si="67"/>
        <v>-0.5</v>
      </c>
    </row>
    <row r="1030" spans="1:14" x14ac:dyDescent="0.25">
      <c r="A1030" t="str">
        <f>TEXT("1/"&amp;data!A1030,"mmmm")</f>
        <v>avril</v>
      </c>
      <c r="B1030">
        <f>data!B1030</f>
        <v>2016</v>
      </c>
      <c r="C1030" t="str">
        <f>data!C1030</f>
        <v>094</v>
      </c>
      <c r="D1030" t="str">
        <f>data!D1030</f>
        <v>CHATEAU TOUR GRANINS-GRAND POUJEAUX</v>
      </c>
      <c r="E1030" t="str">
        <f>data!E1030</f>
        <v>094004</v>
      </c>
      <c r="F1030" t="str">
        <f>data!F1030</f>
        <v>AOP MOULIS EN MEDOC CH GRANINS GD POUJEAUX</v>
      </c>
      <c r="G1030" s="10">
        <f>data!G1030</f>
        <v>47.7</v>
      </c>
      <c r="H1030" s="10">
        <f>data!I1030</f>
        <v>0</v>
      </c>
      <c r="I1030" s="10">
        <f t="shared" si="64"/>
        <v>47.7</v>
      </c>
      <c r="J1030" s="11">
        <f>data!H1030</f>
        <v>6</v>
      </c>
      <c r="K1030" s="11">
        <f>data!J1030</f>
        <v>0</v>
      </c>
      <c r="L1030" s="11">
        <f t="shared" si="65"/>
        <v>6</v>
      </c>
      <c r="M1030" s="9" t="str">
        <f t="shared" si="66"/>
        <v/>
      </c>
      <c r="N1030" s="9" t="str">
        <f t="shared" si="67"/>
        <v/>
      </c>
    </row>
    <row r="1031" spans="1:14" x14ac:dyDescent="0.25">
      <c r="A1031" t="str">
        <f>TEXT("1/"&amp;data!A1031,"mmmm")</f>
        <v>avril</v>
      </c>
      <c r="B1031">
        <f>data!B1031</f>
        <v>2016</v>
      </c>
      <c r="C1031" t="str">
        <f>data!C1031</f>
        <v>095</v>
      </c>
      <c r="D1031" t="str">
        <f>data!D1031</f>
        <v>MR FILLON</v>
      </c>
      <c r="E1031" t="str">
        <f>data!E1031</f>
        <v>095001</v>
      </c>
      <c r="F1031" t="str">
        <f>data!F1031</f>
        <v>AC BOURG ALIG D.FILLON</v>
      </c>
      <c r="G1031" s="10">
        <f>data!G1031</f>
        <v>1975.8</v>
      </c>
      <c r="H1031" s="10">
        <f>data!I1031</f>
        <v>2086.8000000000002</v>
      </c>
      <c r="I1031" s="10">
        <f t="shared" si="64"/>
        <v>-111.00000000000023</v>
      </c>
      <c r="J1031" s="11">
        <f>data!H1031</f>
        <v>534</v>
      </c>
      <c r="K1031" s="11">
        <f>data!J1031</f>
        <v>564</v>
      </c>
      <c r="L1031" s="11">
        <f t="shared" si="65"/>
        <v>-30</v>
      </c>
      <c r="M1031" s="9">
        <f t="shared" si="66"/>
        <v>-5.3191489361702232E-2</v>
      </c>
      <c r="N1031" s="9">
        <f t="shared" si="67"/>
        <v>-5.3191489361702128E-2</v>
      </c>
    </row>
    <row r="1032" spans="1:14" x14ac:dyDescent="0.25">
      <c r="A1032" t="str">
        <f>TEXT("1/"&amp;data!A1032,"mmmm")</f>
        <v>avril</v>
      </c>
      <c r="B1032">
        <f>data!B1032</f>
        <v>2016</v>
      </c>
      <c r="C1032" t="str">
        <f>data!C1032</f>
        <v>095</v>
      </c>
      <c r="D1032" t="str">
        <f>data!D1032</f>
        <v>MR FILLON</v>
      </c>
      <c r="E1032" t="str">
        <f>data!E1032</f>
        <v>095008</v>
      </c>
      <c r="F1032" t="str">
        <f>data!F1032</f>
        <v>AC PETIT CHABLIS</v>
      </c>
      <c r="G1032" s="10">
        <f>data!G1032</f>
        <v>97.2</v>
      </c>
      <c r="H1032" s="10">
        <f>data!I1032</f>
        <v>0</v>
      </c>
      <c r="I1032" s="10">
        <f t="shared" si="64"/>
        <v>97.2</v>
      </c>
      <c r="J1032" s="11">
        <f>data!H1032</f>
        <v>18</v>
      </c>
      <c r="K1032" s="11">
        <f>data!J1032</f>
        <v>0</v>
      </c>
      <c r="L1032" s="11">
        <f t="shared" si="65"/>
        <v>18</v>
      </c>
      <c r="M1032" s="9" t="str">
        <f t="shared" si="66"/>
        <v/>
      </c>
      <c r="N1032" s="9" t="str">
        <f t="shared" si="67"/>
        <v/>
      </c>
    </row>
    <row r="1033" spans="1:14" x14ac:dyDescent="0.25">
      <c r="A1033" t="str">
        <f>TEXT("1/"&amp;data!A1033,"mmmm")</f>
        <v>avril</v>
      </c>
      <c r="B1033">
        <f>data!B1033</f>
        <v>2016</v>
      </c>
      <c r="C1033" t="str">
        <f>data!C1033</f>
        <v>095</v>
      </c>
      <c r="D1033" t="str">
        <f>data!D1033</f>
        <v>MR FILLON</v>
      </c>
      <c r="E1033" t="str">
        <f>data!E1033</f>
        <v>095010</v>
      </c>
      <c r="F1033" t="str">
        <f>data!F1033</f>
        <v>DOM FILLON AC PETIT CHABLIS</v>
      </c>
      <c r="G1033" s="10">
        <f>data!G1033</f>
        <v>1562.4</v>
      </c>
      <c r="H1033" s="10">
        <f>data!I1033</f>
        <v>223.2</v>
      </c>
      <c r="I1033" s="10">
        <f t="shared" si="64"/>
        <v>1339.2</v>
      </c>
      <c r="J1033" s="11">
        <f>data!H1033</f>
        <v>342</v>
      </c>
      <c r="K1033" s="11">
        <f>data!J1033</f>
        <v>48</v>
      </c>
      <c r="L1033" s="11">
        <f t="shared" si="65"/>
        <v>294</v>
      </c>
      <c r="M1033" s="9">
        <f t="shared" si="66"/>
        <v>6.0000000000000009</v>
      </c>
      <c r="N1033" s="9">
        <f t="shared" si="67"/>
        <v>6.125</v>
      </c>
    </row>
    <row r="1034" spans="1:14" x14ac:dyDescent="0.25">
      <c r="A1034" t="str">
        <f>TEXT("1/"&amp;data!A1034,"mmmm")</f>
        <v>avril</v>
      </c>
      <c r="B1034">
        <f>data!B1034</f>
        <v>2016</v>
      </c>
      <c r="C1034" t="str">
        <f>data!C1034</f>
        <v>095</v>
      </c>
      <c r="D1034" t="str">
        <f>data!D1034</f>
        <v>MR FILLON</v>
      </c>
      <c r="E1034" t="str">
        <f>data!E1034</f>
        <v>095012</v>
      </c>
      <c r="F1034" t="str">
        <f>data!F1034</f>
        <v>DOM FILLON AC CHABLIS</v>
      </c>
      <c r="G1034" s="10">
        <f>data!G1034</f>
        <v>409.2</v>
      </c>
      <c r="H1034" s="10">
        <f>data!I1034</f>
        <v>0</v>
      </c>
      <c r="I1034" s="10">
        <f t="shared" si="64"/>
        <v>409.2</v>
      </c>
      <c r="J1034" s="11">
        <f>data!H1034</f>
        <v>66</v>
      </c>
      <c r="K1034" s="11">
        <f>data!J1034</f>
        <v>0</v>
      </c>
      <c r="L1034" s="11">
        <f t="shared" si="65"/>
        <v>66</v>
      </c>
      <c r="M1034" s="9" t="str">
        <f t="shared" si="66"/>
        <v/>
      </c>
      <c r="N1034" s="9" t="str">
        <f t="shared" si="67"/>
        <v/>
      </c>
    </row>
    <row r="1035" spans="1:14" x14ac:dyDescent="0.25">
      <c r="A1035" t="str">
        <f>TEXT("1/"&amp;data!A1035,"mmmm")</f>
        <v>avril</v>
      </c>
      <c r="B1035">
        <f>data!B1035</f>
        <v>2016</v>
      </c>
      <c r="C1035" t="str">
        <f>data!C1035</f>
        <v>095</v>
      </c>
      <c r="D1035" t="str">
        <f>data!D1035</f>
        <v>MR FILLON</v>
      </c>
      <c r="E1035" t="str">
        <f>data!E1035</f>
        <v>095014</v>
      </c>
      <c r="F1035" t="str">
        <f>data!F1035</f>
        <v>DOM FILLON AC CHABLIS VIEILLES VIGNES</v>
      </c>
      <c r="G1035" s="10">
        <f>data!G1035</f>
        <v>408</v>
      </c>
      <c r="H1035" s="10">
        <f>data!I1035</f>
        <v>0</v>
      </c>
      <c r="I1035" s="10">
        <f t="shared" si="64"/>
        <v>408</v>
      </c>
      <c r="J1035" s="11">
        <f>data!H1035</f>
        <v>60</v>
      </c>
      <c r="K1035" s="11">
        <f>data!J1035</f>
        <v>0</v>
      </c>
      <c r="L1035" s="11">
        <f t="shared" si="65"/>
        <v>60</v>
      </c>
      <c r="M1035" s="9" t="str">
        <f t="shared" si="66"/>
        <v/>
      </c>
      <c r="N1035" s="9" t="str">
        <f t="shared" si="67"/>
        <v/>
      </c>
    </row>
    <row r="1036" spans="1:14" x14ac:dyDescent="0.25">
      <c r="A1036" t="str">
        <f>TEXT("1/"&amp;data!A1036,"mmmm")</f>
        <v>avril</v>
      </c>
      <c r="B1036">
        <f>data!B1036</f>
        <v>2016</v>
      </c>
      <c r="C1036" t="str">
        <f>data!C1036</f>
        <v>095</v>
      </c>
      <c r="D1036" t="str">
        <f>data!D1036</f>
        <v>MR FILLON</v>
      </c>
      <c r="E1036" t="str">
        <f>data!E1036</f>
        <v>095015</v>
      </c>
      <c r="F1036" t="str">
        <f>data!F1036</f>
        <v>DOM FILLON AC CHABLIS VIEILLES VIGNES</v>
      </c>
      <c r="G1036" s="10">
        <f>data!G1036</f>
        <v>210</v>
      </c>
      <c r="H1036" s="10">
        <f>data!I1036</f>
        <v>0</v>
      </c>
      <c r="I1036" s="10">
        <f t="shared" si="64"/>
        <v>210</v>
      </c>
      <c r="J1036" s="11">
        <f>data!H1036</f>
        <v>30</v>
      </c>
      <c r="K1036" s="11">
        <f>data!J1036</f>
        <v>0</v>
      </c>
      <c r="L1036" s="11">
        <f t="shared" si="65"/>
        <v>30</v>
      </c>
      <c r="M1036" s="9" t="str">
        <f t="shared" si="66"/>
        <v/>
      </c>
      <c r="N1036" s="9" t="str">
        <f t="shared" si="67"/>
        <v/>
      </c>
    </row>
    <row r="1037" spans="1:14" x14ac:dyDescent="0.25">
      <c r="A1037" t="str">
        <f>TEXT("1/"&amp;data!A1037,"mmmm")</f>
        <v>avril</v>
      </c>
      <c r="B1037">
        <f>data!B1037</f>
        <v>2016</v>
      </c>
      <c r="C1037" t="str">
        <f>data!C1037</f>
        <v>096</v>
      </c>
      <c r="D1037" t="str">
        <f>data!D1037</f>
        <v>L DE L</v>
      </c>
      <c r="E1037" t="str">
        <f>data!E1037</f>
        <v>096008</v>
      </c>
      <c r="F1037" t="str">
        <f>data!F1037</f>
        <v>AC GRAVES HOSPITAL</v>
      </c>
      <c r="G1037" s="10">
        <f>data!G1037</f>
        <v>252</v>
      </c>
      <c r="H1037" s="10">
        <f>data!I1037</f>
        <v>84</v>
      </c>
      <c r="I1037" s="10">
        <f t="shared" si="64"/>
        <v>168</v>
      </c>
      <c r="J1037" s="11">
        <f>data!H1037</f>
        <v>36</v>
      </c>
      <c r="K1037" s="11">
        <f>data!J1037</f>
        <v>12</v>
      </c>
      <c r="L1037" s="11">
        <f t="shared" si="65"/>
        <v>24</v>
      </c>
      <c r="M1037" s="9">
        <f t="shared" si="66"/>
        <v>2</v>
      </c>
      <c r="N1037" s="9">
        <f t="shared" si="67"/>
        <v>2</v>
      </c>
    </row>
    <row r="1038" spans="1:14" x14ac:dyDescent="0.25">
      <c r="A1038" t="str">
        <f>TEXT("1/"&amp;data!A1038,"mmmm")</f>
        <v>avril</v>
      </c>
      <c r="B1038">
        <f>data!B1038</f>
        <v>2016</v>
      </c>
      <c r="C1038" t="str">
        <f>data!C1038</f>
        <v>096</v>
      </c>
      <c r="D1038" t="str">
        <f>data!D1038</f>
        <v>L DE L</v>
      </c>
      <c r="E1038" t="str">
        <f>data!E1038</f>
        <v>CDH-096008</v>
      </c>
      <c r="F1038" t="str">
        <f>data!F1038</f>
        <v>GRAVES HOSPITAL</v>
      </c>
      <c r="G1038" s="10">
        <f>data!G1038</f>
        <v>84</v>
      </c>
      <c r="H1038" s="10">
        <f>data!I1038</f>
        <v>0</v>
      </c>
      <c r="I1038" s="10">
        <f t="shared" si="64"/>
        <v>84</v>
      </c>
      <c r="J1038" s="11">
        <f>data!H1038</f>
        <v>12</v>
      </c>
      <c r="K1038" s="11">
        <f>data!J1038</f>
        <v>0</v>
      </c>
      <c r="L1038" s="11">
        <f t="shared" si="65"/>
        <v>12</v>
      </c>
      <c r="M1038" s="9" t="str">
        <f t="shared" si="66"/>
        <v/>
      </c>
      <c r="N1038" s="9" t="str">
        <f t="shared" si="67"/>
        <v/>
      </c>
    </row>
    <row r="1039" spans="1:14" x14ac:dyDescent="0.25">
      <c r="A1039" t="str">
        <f>TEXT("1/"&amp;data!A1039,"mmmm")</f>
        <v>avril</v>
      </c>
      <c r="B1039">
        <f>data!B1039</f>
        <v>2016</v>
      </c>
      <c r="C1039" t="str">
        <f>data!C1039</f>
        <v>097</v>
      </c>
      <c r="D1039" t="str">
        <f>data!D1039</f>
        <v>CHATEAU DE COINTES</v>
      </c>
      <c r="E1039" t="str">
        <f>data!E1039</f>
        <v>097003</v>
      </c>
      <c r="F1039" t="str">
        <f>data!F1039</f>
        <v>AC C.MALEPERE C.COINTES</v>
      </c>
      <c r="G1039" s="10">
        <f>data!G1039</f>
        <v>346.5</v>
      </c>
      <c r="H1039" s="10">
        <f>data!I1039</f>
        <v>171.6</v>
      </c>
      <c r="I1039" s="10">
        <f t="shared" si="64"/>
        <v>174.9</v>
      </c>
      <c r="J1039" s="11">
        <f>data!H1039</f>
        <v>126</v>
      </c>
      <c r="K1039" s="11">
        <f>data!J1039</f>
        <v>66</v>
      </c>
      <c r="L1039" s="11">
        <f t="shared" si="65"/>
        <v>60</v>
      </c>
      <c r="M1039" s="9">
        <f t="shared" si="66"/>
        <v>1.0192307692307694</v>
      </c>
      <c r="N1039" s="9">
        <f t="shared" si="67"/>
        <v>0.90909090909090906</v>
      </c>
    </row>
    <row r="1040" spans="1:14" x14ac:dyDescent="0.25">
      <c r="A1040" t="str">
        <f>TEXT("1/"&amp;data!A1040,"mmmm")</f>
        <v>avril</v>
      </c>
      <c r="B1040">
        <f>data!B1040</f>
        <v>2016</v>
      </c>
      <c r="C1040" t="str">
        <f>data!C1040</f>
        <v>097</v>
      </c>
      <c r="D1040" t="str">
        <f>data!D1040</f>
        <v>CHATEAU DE COINTES</v>
      </c>
      <c r="E1040" t="str">
        <f>data!E1040</f>
        <v>097004</v>
      </c>
      <c r="F1040" t="str">
        <f>data!F1040</f>
        <v>VDP MERLOT D.DES CONSULS</v>
      </c>
      <c r="G1040" s="10">
        <f>data!G1040</f>
        <v>1701</v>
      </c>
      <c r="H1040" s="10">
        <f>data!I1040</f>
        <v>824.1</v>
      </c>
      <c r="I1040" s="10">
        <f t="shared" si="64"/>
        <v>876.9</v>
      </c>
      <c r="J1040" s="11">
        <f>data!H1040</f>
        <v>810</v>
      </c>
      <c r="K1040" s="11">
        <f>data!J1040</f>
        <v>402</v>
      </c>
      <c r="L1040" s="11">
        <f t="shared" si="65"/>
        <v>408</v>
      </c>
      <c r="M1040" s="9">
        <f t="shared" si="66"/>
        <v>1.0640698944302875</v>
      </c>
      <c r="N1040" s="9">
        <f t="shared" si="67"/>
        <v>1.0149253731343284</v>
      </c>
    </row>
    <row r="1041" spans="1:14" x14ac:dyDescent="0.25">
      <c r="A1041" t="str">
        <f>TEXT("1/"&amp;data!A1041,"mmmm")</f>
        <v>avril</v>
      </c>
      <c r="B1041">
        <f>data!B1041</f>
        <v>2016</v>
      </c>
      <c r="C1041" t="str">
        <f>data!C1041</f>
        <v>099</v>
      </c>
      <c r="D1041" t="str">
        <f>data!D1041</f>
        <v>CAVE DE L'ORMARINE</v>
      </c>
      <c r="E1041" t="str">
        <f>data!E1041</f>
        <v>099001</v>
      </c>
      <c r="F1041" t="str">
        <f>data!F1041</f>
        <v>VDP C DE THAU D.VILLEMARIN</v>
      </c>
      <c r="G1041" s="10">
        <f>data!G1041</f>
        <v>1702.92</v>
      </c>
      <c r="H1041" s="10">
        <f>data!I1041</f>
        <v>1550.16</v>
      </c>
      <c r="I1041" s="10">
        <f t="shared" si="64"/>
        <v>152.76</v>
      </c>
      <c r="J1041" s="11">
        <f>data!H1041</f>
        <v>1098</v>
      </c>
      <c r="K1041" s="11">
        <f>data!J1041</f>
        <v>996</v>
      </c>
      <c r="L1041" s="11">
        <f t="shared" si="65"/>
        <v>102</v>
      </c>
      <c r="M1041" s="9">
        <f t="shared" si="66"/>
        <v>9.8544666357021193E-2</v>
      </c>
      <c r="N1041" s="9">
        <f t="shared" si="67"/>
        <v>0.10240963855421686</v>
      </c>
    </row>
    <row r="1042" spans="1:14" x14ac:dyDescent="0.25">
      <c r="A1042" t="str">
        <f>TEXT("1/"&amp;data!A1042,"mmmm")</f>
        <v>avril</v>
      </c>
      <c r="B1042">
        <f>data!B1042</f>
        <v>2016</v>
      </c>
      <c r="C1042" t="str">
        <f>data!C1042</f>
        <v>099</v>
      </c>
      <c r="D1042" t="str">
        <f>data!D1042</f>
        <v>CAVE DE L'ORMARINE</v>
      </c>
      <c r="E1042" t="str">
        <f>data!E1042</f>
        <v>099002</v>
      </c>
      <c r="F1042" t="str">
        <f>data!F1042</f>
        <v>VDP C DE THAU D.VILLEMARIN</v>
      </c>
      <c r="G1042" s="10">
        <f>data!G1042</f>
        <v>18383.78</v>
      </c>
      <c r="H1042" s="10">
        <f>data!I1042</f>
        <v>11518.12</v>
      </c>
      <c r="I1042" s="10">
        <f t="shared" si="64"/>
        <v>6865.659999999998</v>
      </c>
      <c r="J1042" s="11">
        <f>data!H1042</f>
        <v>13488</v>
      </c>
      <c r="K1042" s="11">
        <f>data!J1042</f>
        <v>7272</v>
      </c>
      <c r="L1042" s="11">
        <f t="shared" si="65"/>
        <v>6216</v>
      </c>
      <c r="M1042" s="9">
        <f t="shared" si="66"/>
        <v>0.59607470663615225</v>
      </c>
      <c r="N1042" s="9">
        <f t="shared" si="67"/>
        <v>0.8547854785478548</v>
      </c>
    </row>
    <row r="1043" spans="1:14" x14ac:dyDescent="0.25">
      <c r="A1043" t="str">
        <f>TEXT("1/"&amp;data!A1043,"mmmm")</f>
        <v>avril</v>
      </c>
      <c r="B1043">
        <f>data!B1043</f>
        <v>2016</v>
      </c>
      <c r="C1043" t="str">
        <f>data!C1043</f>
        <v>099</v>
      </c>
      <c r="D1043" t="str">
        <f>data!D1043</f>
        <v>CAVE DE L'ORMARINE</v>
      </c>
      <c r="E1043" t="str">
        <f>data!E1043</f>
        <v>099003</v>
      </c>
      <c r="F1043" t="str">
        <f>data!F1043</f>
        <v>VDP C DE THAU D.VILLEMARIN</v>
      </c>
      <c r="G1043" s="10">
        <f>data!G1043</f>
        <v>527.76</v>
      </c>
      <c r="H1043" s="10">
        <f>data!I1043</f>
        <v>126.72</v>
      </c>
      <c r="I1043" s="10">
        <f t="shared" si="64"/>
        <v>401.03999999999996</v>
      </c>
      <c r="J1043" s="11">
        <f>data!H1043</f>
        <v>342</v>
      </c>
      <c r="K1043" s="11">
        <f>data!J1043</f>
        <v>72</v>
      </c>
      <c r="L1043" s="11">
        <f t="shared" si="65"/>
        <v>270</v>
      </c>
      <c r="M1043" s="9">
        <f t="shared" si="66"/>
        <v>3.1647727272727271</v>
      </c>
      <c r="N1043" s="9">
        <f t="shared" si="67"/>
        <v>3.75</v>
      </c>
    </row>
    <row r="1044" spans="1:14" x14ac:dyDescent="0.25">
      <c r="A1044" t="str">
        <f>TEXT("1/"&amp;data!A1044,"mmmm")</f>
        <v>avril</v>
      </c>
      <c r="B1044">
        <f>data!B1044</f>
        <v>2016</v>
      </c>
      <c r="C1044" t="str">
        <f>data!C1044</f>
        <v>099</v>
      </c>
      <c r="D1044" t="str">
        <f>data!D1044</f>
        <v>CAVE DE L'ORMARINE</v>
      </c>
      <c r="E1044" t="str">
        <f>data!E1044</f>
        <v>099013</v>
      </c>
      <c r="F1044" t="str">
        <f>data!F1044</f>
        <v>IGP PAYS D'OC MUSCAT MOELLEUX DOUCEUR DU SUD</v>
      </c>
      <c r="G1044" s="10">
        <f>data!G1044</f>
        <v>168.6</v>
      </c>
      <c r="H1044" s="10">
        <f>data!I1044</f>
        <v>303.48</v>
      </c>
      <c r="I1044" s="10">
        <f t="shared" si="64"/>
        <v>-134.88000000000002</v>
      </c>
      <c r="J1044" s="11">
        <f>data!H1044</f>
        <v>60</v>
      </c>
      <c r="K1044" s="11">
        <f>data!J1044</f>
        <v>120</v>
      </c>
      <c r="L1044" s="11">
        <f t="shared" si="65"/>
        <v>-60</v>
      </c>
      <c r="M1044" s="9">
        <f t="shared" si="66"/>
        <v>-0.44444444444444448</v>
      </c>
      <c r="N1044" s="9">
        <f t="shared" si="67"/>
        <v>-0.5</v>
      </c>
    </row>
    <row r="1045" spans="1:14" x14ac:dyDescent="0.25">
      <c r="A1045" t="str">
        <f>TEXT("1/"&amp;data!A1045,"mmmm")</f>
        <v>avril</v>
      </c>
      <c r="B1045">
        <f>data!B1045</f>
        <v>2016</v>
      </c>
      <c r="C1045" t="str">
        <f>data!C1045</f>
        <v>099</v>
      </c>
      <c r="D1045" t="str">
        <f>data!D1045</f>
        <v>CAVE DE L'ORMARINE</v>
      </c>
      <c r="E1045" t="str">
        <f>data!E1045</f>
        <v>099016</v>
      </c>
      <c r="F1045" t="str">
        <f>data!F1045</f>
        <v>AC PICPOUL PINET CARTE NOIRE</v>
      </c>
      <c r="G1045" s="10">
        <f>data!G1045</f>
        <v>438</v>
      </c>
      <c r="H1045" s="10">
        <f>data!I1045</f>
        <v>0</v>
      </c>
      <c r="I1045" s="10">
        <f t="shared" si="64"/>
        <v>438</v>
      </c>
      <c r="J1045" s="11">
        <f>data!H1045</f>
        <v>150</v>
      </c>
      <c r="K1045" s="11">
        <f>data!J1045</f>
        <v>0</v>
      </c>
      <c r="L1045" s="11">
        <f t="shared" si="65"/>
        <v>150</v>
      </c>
      <c r="M1045" s="9" t="str">
        <f t="shared" si="66"/>
        <v/>
      </c>
      <c r="N1045" s="9" t="str">
        <f t="shared" si="67"/>
        <v/>
      </c>
    </row>
    <row r="1046" spans="1:14" x14ac:dyDescent="0.25">
      <c r="A1046" t="str">
        <f>TEXT("1/"&amp;data!A1046,"mmmm")</f>
        <v>avril</v>
      </c>
      <c r="B1046">
        <f>data!B1046</f>
        <v>2016</v>
      </c>
      <c r="C1046" t="str">
        <f>data!C1046</f>
        <v>110</v>
      </c>
      <c r="D1046" t="str">
        <f>data!D1046</f>
        <v>CHATEAU LES MARNIERES</v>
      </c>
      <c r="E1046" t="str">
        <f>data!E1046</f>
        <v>110500</v>
      </c>
      <c r="F1046" t="str">
        <f>data!F1046</f>
        <v>AC BERGERAC CH LES MARNIERES</v>
      </c>
      <c r="G1046" s="10">
        <f>data!G1046</f>
        <v>486.2</v>
      </c>
      <c r="H1046" s="10">
        <f>data!I1046</f>
        <v>473.2</v>
      </c>
      <c r="I1046" s="10">
        <f t="shared" si="64"/>
        <v>13</v>
      </c>
      <c r="J1046" s="11">
        <f>data!H1046</f>
        <v>346.58</v>
      </c>
      <c r="K1046" s="11">
        <f>data!J1046</f>
        <v>346.58</v>
      </c>
      <c r="L1046" s="11">
        <f t="shared" si="65"/>
        <v>0</v>
      </c>
      <c r="M1046" s="9">
        <f t="shared" si="66"/>
        <v>2.7472527472527472E-2</v>
      </c>
      <c r="N1046" s="9">
        <f t="shared" si="67"/>
        <v>0</v>
      </c>
    </row>
    <row r="1047" spans="1:14" x14ac:dyDescent="0.25">
      <c r="A1047" t="str">
        <f>TEXT("1/"&amp;data!A1047,"mmmm")</f>
        <v>avril</v>
      </c>
      <c r="B1047">
        <f>data!B1047</f>
        <v>2016</v>
      </c>
      <c r="C1047" t="str">
        <f>data!C1047</f>
        <v>110</v>
      </c>
      <c r="D1047" t="str">
        <f>data!D1047</f>
        <v>CHATEAU LES MARNIERES</v>
      </c>
      <c r="E1047" t="str">
        <f>data!E1047</f>
        <v>110501</v>
      </c>
      <c r="F1047" t="str">
        <f>data!F1047</f>
        <v>AC BERGERAC CH LES MARNIERES</v>
      </c>
      <c r="G1047" s="10">
        <f>data!G1047</f>
        <v>813.95</v>
      </c>
      <c r="H1047" s="10">
        <f>data!I1047</f>
        <v>301</v>
      </c>
      <c r="I1047" s="10">
        <f t="shared" si="64"/>
        <v>512.95000000000005</v>
      </c>
      <c r="J1047" s="11">
        <f>data!H1047</f>
        <v>493.58</v>
      </c>
      <c r="K1047" s="11">
        <f>data!J1047</f>
        <v>186.76</v>
      </c>
      <c r="L1047" s="11">
        <f t="shared" si="65"/>
        <v>306.82</v>
      </c>
      <c r="M1047" s="9">
        <f t="shared" si="66"/>
        <v>1.7041528239202659</v>
      </c>
      <c r="N1047" s="9">
        <f t="shared" si="67"/>
        <v>1.6428571428571428</v>
      </c>
    </row>
    <row r="1048" spans="1:14" x14ac:dyDescent="0.25">
      <c r="A1048" t="str">
        <f>TEXT("1/"&amp;data!A1048,"mmmm")</f>
        <v>avril</v>
      </c>
      <c r="B1048">
        <f>data!B1048</f>
        <v>2016</v>
      </c>
      <c r="C1048" t="str">
        <f>data!C1048</f>
        <v>110</v>
      </c>
      <c r="D1048" t="str">
        <f>data!D1048</f>
        <v>CHATEAU LES MARNIERES</v>
      </c>
      <c r="E1048" t="str">
        <f>data!E1048</f>
        <v>110600</v>
      </c>
      <c r="F1048" t="str">
        <f>data!F1048</f>
        <v>CH LES MARNIERES AC COTES DE BERGERAC MOELLEUX</v>
      </c>
      <c r="G1048" s="10">
        <f>data!G1048</f>
        <v>170.1</v>
      </c>
      <c r="H1048" s="10">
        <f>data!I1048</f>
        <v>292.8</v>
      </c>
      <c r="I1048" s="10">
        <f t="shared" si="64"/>
        <v>-122.70000000000002</v>
      </c>
      <c r="J1048" s="11">
        <f>data!H1048</f>
        <v>54</v>
      </c>
      <c r="K1048" s="11">
        <f>data!J1048</f>
        <v>96</v>
      </c>
      <c r="L1048" s="11">
        <f t="shared" si="65"/>
        <v>-42</v>
      </c>
      <c r="M1048" s="9">
        <f t="shared" si="66"/>
        <v>-0.41905737704918039</v>
      </c>
      <c r="N1048" s="9">
        <f t="shared" si="67"/>
        <v>-0.4375</v>
      </c>
    </row>
    <row r="1049" spans="1:14" x14ac:dyDescent="0.25">
      <c r="A1049" t="str">
        <f>TEXT("1/"&amp;data!A1049,"mmmm")</f>
        <v>avril</v>
      </c>
      <c r="B1049">
        <f>data!B1049</f>
        <v>2016</v>
      </c>
      <c r="C1049" t="str">
        <f>data!C1049</f>
        <v>113</v>
      </c>
      <c r="D1049" t="str">
        <f>data!D1049</f>
        <v>DOMAINE DU PRIEURE</v>
      </c>
      <c r="E1049" t="str">
        <f>data!E1049</f>
        <v>113001</v>
      </c>
      <c r="F1049" t="str">
        <f>data!F1049</f>
        <v>AC MENETOU SALON. DME PRIEURE</v>
      </c>
      <c r="G1049" s="10">
        <f>data!G1049</f>
        <v>1949.4</v>
      </c>
      <c r="H1049" s="10">
        <f>data!I1049</f>
        <v>1353</v>
      </c>
      <c r="I1049" s="10">
        <f t="shared" si="64"/>
        <v>596.40000000000009</v>
      </c>
      <c r="J1049" s="11">
        <f>data!H1049</f>
        <v>342</v>
      </c>
      <c r="K1049" s="11">
        <f>data!J1049</f>
        <v>246</v>
      </c>
      <c r="L1049" s="11">
        <f t="shared" si="65"/>
        <v>96</v>
      </c>
      <c r="M1049" s="9">
        <f t="shared" si="66"/>
        <v>0.44079822616407988</v>
      </c>
      <c r="N1049" s="9">
        <f t="shared" si="67"/>
        <v>0.3902439024390244</v>
      </c>
    </row>
    <row r="1050" spans="1:14" x14ac:dyDescent="0.25">
      <c r="A1050" t="str">
        <f>TEXT("1/"&amp;data!A1050,"mmmm")</f>
        <v>avril</v>
      </c>
      <c r="B1050">
        <f>data!B1050</f>
        <v>2016</v>
      </c>
      <c r="C1050" t="str">
        <f>data!C1050</f>
        <v>113</v>
      </c>
      <c r="D1050" t="str">
        <f>data!D1050</f>
        <v>DOMAINE DU PRIEURE</v>
      </c>
      <c r="E1050" t="str">
        <f>data!E1050</f>
        <v>113002</v>
      </c>
      <c r="F1050" t="str">
        <f>data!F1050</f>
        <v>AC MENETOU SALON. DME PRIEURE</v>
      </c>
      <c r="G1050" s="10">
        <f>data!G1050</f>
        <v>113.4</v>
      </c>
      <c r="H1050" s="10">
        <f>data!I1050</f>
        <v>73.2</v>
      </c>
      <c r="I1050" s="10">
        <f t="shared" si="64"/>
        <v>40.200000000000003</v>
      </c>
      <c r="J1050" s="11">
        <f>data!H1050</f>
        <v>18</v>
      </c>
      <c r="K1050" s="11">
        <f>data!J1050</f>
        <v>12</v>
      </c>
      <c r="L1050" s="11">
        <f t="shared" si="65"/>
        <v>6</v>
      </c>
      <c r="M1050" s="9">
        <f t="shared" si="66"/>
        <v>0.54918032786885251</v>
      </c>
      <c r="N1050" s="9">
        <f t="shared" si="67"/>
        <v>0.5</v>
      </c>
    </row>
    <row r="1051" spans="1:14" x14ac:dyDescent="0.25">
      <c r="A1051" t="str">
        <f>TEXT("1/"&amp;data!A1051,"mmmm")</f>
        <v>avril</v>
      </c>
      <c r="B1051">
        <f>data!B1051</f>
        <v>2016</v>
      </c>
      <c r="C1051" t="str">
        <f>data!C1051</f>
        <v>113</v>
      </c>
      <c r="D1051" t="str">
        <f>data!D1051</f>
        <v>DOMAINE DU PRIEURE</v>
      </c>
      <c r="E1051" t="str">
        <f>data!E1051</f>
        <v>113005</v>
      </c>
      <c r="F1051" t="str">
        <f>data!F1051</f>
        <v>AC MENETOU SALON. DME PRIEURE</v>
      </c>
      <c r="G1051" s="10">
        <f>data!G1051</f>
        <v>900</v>
      </c>
      <c r="H1051" s="10">
        <f>data!I1051</f>
        <v>966</v>
      </c>
      <c r="I1051" s="10">
        <f t="shared" si="64"/>
        <v>-66</v>
      </c>
      <c r="J1051" s="11">
        <f>data!H1051</f>
        <v>150</v>
      </c>
      <c r="K1051" s="11">
        <f>data!J1051</f>
        <v>168</v>
      </c>
      <c r="L1051" s="11">
        <f t="shared" si="65"/>
        <v>-18</v>
      </c>
      <c r="M1051" s="9">
        <f t="shared" si="66"/>
        <v>-6.8322981366459631E-2</v>
      </c>
      <c r="N1051" s="9">
        <f t="shared" si="67"/>
        <v>-0.10714285714285714</v>
      </c>
    </row>
    <row r="1052" spans="1:14" x14ac:dyDescent="0.25">
      <c r="A1052" t="str">
        <f>TEXT("1/"&amp;data!A1052,"mmmm")</f>
        <v>avril</v>
      </c>
      <c r="B1052">
        <f>data!B1052</f>
        <v>2016</v>
      </c>
      <c r="C1052" t="str">
        <f>data!C1052</f>
        <v>113</v>
      </c>
      <c r="D1052" t="str">
        <f>data!D1052</f>
        <v>DOMAINE DU PRIEURE</v>
      </c>
      <c r="E1052" t="str">
        <f>data!E1052</f>
        <v>113006</v>
      </c>
      <c r="F1052" t="str">
        <f>data!F1052</f>
        <v>AC MENETOU SALON. DME PRIEURE</v>
      </c>
      <c r="G1052" s="10">
        <f>data!G1052</f>
        <v>118.8</v>
      </c>
      <c r="H1052" s="10">
        <f>data!I1052</f>
        <v>230.4</v>
      </c>
      <c r="I1052" s="10">
        <f t="shared" si="64"/>
        <v>-111.60000000000001</v>
      </c>
      <c r="J1052" s="11">
        <f>data!H1052</f>
        <v>18</v>
      </c>
      <c r="K1052" s="11">
        <f>data!J1052</f>
        <v>36</v>
      </c>
      <c r="L1052" s="11">
        <f t="shared" si="65"/>
        <v>-18</v>
      </c>
      <c r="M1052" s="9">
        <f t="shared" si="66"/>
        <v>-0.484375</v>
      </c>
      <c r="N1052" s="9">
        <f t="shared" si="67"/>
        <v>-0.5</v>
      </c>
    </row>
    <row r="1053" spans="1:14" x14ac:dyDescent="0.25">
      <c r="A1053" t="str">
        <f>TEXT("1/"&amp;data!A1053,"mmmm")</f>
        <v>avril</v>
      </c>
      <c r="B1053">
        <f>data!B1053</f>
        <v>2016</v>
      </c>
      <c r="C1053" t="str">
        <f>data!C1053</f>
        <v>114</v>
      </c>
      <c r="D1053" t="str">
        <f>data!D1053</f>
        <v>DAVAULT VIGNERONS</v>
      </c>
      <c r="E1053" t="str">
        <f>data!E1053</f>
        <v>114001</v>
      </c>
      <c r="F1053" t="str">
        <f>data!F1053</f>
        <v>AC TOURAINE D.LA CHAISE</v>
      </c>
      <c r="G1053" s="10">
        <f>data!G1053</f>
        <v>874.5</v>
      </c>
      <c r="H1053" s="10">
        <f>data!I1053</f>
        <v>1020.6</v>
      </c>
      <c r="I1053" s="10">
        <f t="shared" si="64"/>
        <v>-146.10000000000002</v>
      </c>
      <c r="J1053" s="11">
        <f>data!H1053</f>
        <v>318</v>
      </c>
      <c r="K1053" s="11">
        <f>data!J1053</f>
        <v>378</v>
      </c>
      <c r="L1053" s="11">
        <f t="shared" si="65"/>
        <v>-60</v>
      </c>
      <c r="M1053" s="9">
        <f t="shared" si="66"/>
        <v>-0.14315108759553205</v>
      </c>
      <c r="N1053" s="9">
        <f t="shared" si="67"/>
        <v>-0.15873015873015872</v>
      </c>
    </row>
    <row r="1054" spans="1:14" x14ac:dyDescent="0.25">
      <c r="A1054" t="str">
        <f>TEXT("1/"&amp;data!A1054,"mmmm")</f>
        <v>avril</v>
      </c>
      <c r="B1054">
        <f>data!B1054</f>
        <v>2016</v>
      </c>
      <c r="C1054" t="str">
        <f>data!C1054</f>
        <v>114</v>
      </c>
      <c r="D1054" t="str">
        <f>data!D1054</f>
        <v>DAVAULT VIGNERONS</v>
      </c>
      <c r="E1054" t="str">
        <f>data!E1054</f>
        <v>114002</v>
      </c>
      <c r="F1054" t="str">
        <f>data!F1054</f>
        <v>AC TOURAINE D.LA CHAISE</v>
      </c>
      <c r="G1054" s="10">
        <f>data!G1054</f>
        <v>60.84</v>
      </c>
      <c r="H1054" s="10">
        <f>data!I1054</f>
        <v>118.8</v>
      </c>
      <c r="I1054" s="10">
        <f t="shared" si="64"/>
        <v>-57.959999999999994</v>
      </c>
      <c r="J1054" s="11">
        <f>data!H1054</f>
        <v>18</v>
      </c>
      <c r="K1054" s="11">
        <f>data!J1054</f>
        <v>36</v>
      </c>
      <c r="L1054" s="11">
        <f t="shared" si="65"/>
        <v>-18</v>
      </c>
      <c r="M1054" s="9">
        <f t="shared" si="66"/>
        <v>-0.48787878787878786</v>
      </c>
      <c r="N1054" s="9">
        <f t="shared" si="67"/>
        <v>-0.5</v>
      </c>
    </row>
    <row r="1055" spans="1:14" x14ac:dyDescent="0.25">
      <c r="A1055" t="str">
        <f>TEXT("1/"&amp;data!A1055,"mmmm")</f>
        <v>avril</v>
      </c>
      <c r="B1055">
        <f>data!B1055</f>
        <v>2016</v>
      </c>
      <c r="C1055" t="str">
        <f>data!C1055</f>
        <v>114</v>
      </c>
      <c r="D1055" t="str">
        <f>data!D1055</f>
        <v>DAVAULT VIGNERONS</v>
      </c>
      <c r="E1055" t="str">
        <f>data!E1055</f>
        <v>114005</v>
      </c>
      <c r="F1055" t="str">
        <f>data!F1055</f>
        <v>AC GAMAY TOURAINE D.LA CHAISE</v>
      </c>
      <c r="G1055" s="10">
        <f>data!G1055</f>
        <v>465.3</v>
      </c>
      <c r="H1055" s="10">
        <f>data!I1055</f>
        <v>183.3</v>
      </c>
      <c r="I1055" s="10">
        <f t="shared" si="64"/>
        <v>282</v>
      </c>
      <c r="J1055" s="11">
        <f>data!H1055</f>
        <v>198</v>
      </c>
      <c r="K1055" s="11">
        <f>data!J1055</f>
        <v>78</v>
      </c>
      <c r="L1055" s="11">
        <f t="shared" si="65"/>
        <v>120</v>
      </c>
      <c r="M1055" s="9">
        <f t="shared" si="66"/>
        <v>1.5384615384615383</v>
      </c>
      <c r="N1055" s="9">
        <f t="shared" si="67"/>
        <v>1.5384615384615385</v>
      </c>
    </row>
    <row r="1056" spans="1:14" x14ac:dyDescent="0.25">
      <c r="A1056" t="str">
        <f>TEXT("1/"&amp;data!A1056,"mmmm")</f>
        <v>avril</v>
      </c>
      <c r="B1056">
        <f>data!B1056</f>
        <v>2016</v>
      </c>
      <c r="C1056" t="str">
        <f>data!C1056</f>
        <v>114</v>
      </c>
      <c r="D1056" t="str">
        <f>data!D1056</f>
        <v>DAVAULT VIGNERONS</v>
      </c>
      <c r="E1056" t="str">
        <f>data!E1056</f>
        <v>114006</v>
      </c>
      <c r="F1056" t="str">
        <f>data!F1056</f>
        <v>AC GAMAY TOURAINE D.LA CHAISE</v>
      </c>
      <c r="G1056" s="10">
        <f>data!G1056</f>
        <v>18.12</v>
      </c>
      <c r="H1056" s="10">
        <f>data!I1056</f>
        <v>72.48</v>
      </c>
      <c r="I1056" s="10">
        <f t="shared" si="64"/>
        <v>-54.36</v>
      </c>
      <c r="J1056" s="11">
        <f>data!H1056</f>
        <v>6</v>
      </c>
      <c r="K1056" s="11">
        <f>data!J1056</f>
        <v>24</v>
      </c>
      <c r="L1056" s="11">
        <f t="shared" si="65"/>
        <v>-18</v>
      </c>
      <c r="M1056" s="9">
        <f t="shared" si="66"/>
        <v>-0.75</v>
      </c>
      <c r="N1056" s="9">
        <f t="shared" si="67"/>
        <v>-0.75</v>
      </c>
    </row>
    <row r="1057" spans="1:14" x14ac:dyDescent="0.25">
      <c r="A1057" t="str">
        <f>TEXT("1/"&amp;data!A1057,"mmmm")</f>
        <v>avril</v>
      </c>
      <c r="B1057">
        <f>data!B1057</f>
        <v>2016</v>
      </c>
      <c r="C1057" t="str">
        <f>data!C1057</f>
        <v>114</v>
      </c>
      <c r="D1057" t="str">
        <f>data!D1057</f>
        <v>DAVAULT VIGNERONS</v>
      </c>
      <c r="E1057" t="str">
        <f>data!E1057</f>
        <v>114010</v>
      </c>
      <c r="F1057" t="str">
        <f>data!F1057</f>
        <v>AC TOURAINE SAUV D.LA CHAISE</v>
      </c>
      <c r="G1057" s="10">
        <f>data!G1057</f>
        <v>596.6</v>
      </c>
      <c r="H1057" s="10">
        <f>data!I1057</f>
        <v>930.7</v>
      </c>
      <c r="I1057" s="10">
        <f t="shared" si="64"/>
        <v>-334.1</v>
      </c>
      <c r="J1057" s="11">
        <f>data!H1057</f>
        <v>346.58</v>
      </c>
      <c r="K1057" s="11">
        <f>data!J1057</f>
        <v>546.53</v>
      </c>
      <c r="L1057" s="11">
        <f t="shared" si="65"/>
        <v>-199.95</v>
      </c>
      <c r="M1057" s="9">
        <f t="shared" si="66"/>
        <v>-0.35897711400021493</v>
      </c>
      <c r="N1057" s="9">
        <f t="shared" si="67"/>
        <v>-0.36585365853658536</v>
      </c>
    </row>
    <row r="1058" spans="1:14" x14ac:dyDescent="0.25">
      <c r="A1058" t="str">
        <f>TEXT("1/"&amp;data!A1058,"mmmm")</f>
        <v>avril</v>
      </c>
      <c r="B1058">
        <f>data!B1058</f>
        <v>2016</v>
      </c>
      <c r="C1058" t="str">
        <f>data!C1058</f>
        <v>114</v>
      </c>
      <c r="D1058" t="str">
        <f>data!D1058</f>
        <v>DAVAULT VIGNERONS</v>
      </c>
      <c r="E1058" t="str">
        <f>data!E1058</f>
        <v>114011</v>
      </c>
      <c r="F1058" t="str">
        <f>data!F1058</f>
        <v>AC TOURAINE SAUV D.LA CHAISE</v>
      </c>
      <c r="G1058" s="10">
        <f>data!G1058</f>
        <v>810</v>
      </c>
      <c r="H1058" s="10">
        <f>data!I1058</f>
        <v>1412.64</v>
      </c>
      <c r="I1058" s="10">
        <f t="shared" si="64"/>
        <v>-602.6400000000001</v>
      </c>
      <c r="J1058" s="11">
        <f>data!H1058</f>
        <v>413.54</v>
      </c>
      <c r="K1058" s="11">
        <f>data!J1058</f>
        <v>733.7</v>
      </c>
      <c r="L1058" s="11">
        <f t="shared" si="65"/>
        <v>-320.16000000000003</v>
      </c>
      <c r="M1058" s="9">
        <f t="shared" si="66"/>
        <v>-0.42660550458715601</v>
      </c>
      <c r="N1058" s="9">
        <f t="shared" si="67"/>
        <v>-0.4363636363636364</v>
      </c>
    </row>
    <row r="1059" spans="1:14" x14ac:dyDescent="0.25">
      <c r="A1059" t="str">
        <f>TEXT("1/"&amp;data!A1059,"mmmm")</f>
        <v>avril</v>
      </c>
      <c r="B1059">
        <f>data!B1059</f>
        <v>2016</v>
      </c>
      <c r="C1059" t="str">
        <f>data!C1059</f>
        <v>114</v>
      </c>
      <c r="D1059" t="str">
        <f>data!D1059</f>
        <v>DAVAULT VIGNERONS</v>
      </c>
      <c r="E1059" t="str">
        <f>data!E1059</f>
        <v>114012</v>
      </c>
      <c r="F1059" t="str">
        <f>data!F1059</f>
        <v>AC TOURAINE GAMAY D.LA CHAISE</v>
      </c>
      <c r="G1059" s="10">
        <f>data!G1059</f>
        <v>17.52</v>
      </c>
      <c r="H1059" s="10">
        <f>data!I1059</f>
        <v>150.21</v>
      </c>
      <c r="I1059" s="10">
        <f t="shared" si="64"/>
        <v>-132.69</v>
      </c>
      <c r="J1059" s="11">
        <f>data!H1059</f>
        <v>13.33</v>
      </c>
      <c r="K1059" s="11">
        <f>data!J1059</f>
        <v>133.30000000000001</v>
      </c>
      <c r="L1059" s="11">
        <f t="shared" si="65"/>
        <v>-119.97000000000001</v>
      </c>
      <c r="M1059" s="9">
        <f t="shared" si="66"/>
        <v>-0.88336329139205105</v>
      </c>
      <c r="N1059" s="9">
        <f t="shared" si="67"/>
        <v>-0.9</v>
      </c>
    </row>
    <row r="1060" spans="1:14" x14ac:dyDescent="0.25">
      <c r="A1060" t="str">
        <f>TEXT("1/"&amp;data!A1060,"mmmm")</f>
        <v>avril</v>
      </c>
      <c r="B1060">
        <f>data!B1060</f>
        <v>2016</v>
      </c>
      <c r="C1060" t="str">
        <f>data!C1060</f>
        <v>115</v>
      </c>
      <c r="D1060" t="str">
        <f>data!D1060</f>
        <v>SCEA CHATEAU DES ROQUES</v>
      </c>
      <c r="E1060" t="str">
        <f>data!E1060</f>
        <v>115005</v>
      </c>
      <c r="F1060" t="str">
        <f>data!F1060</f>
        <v>AC VACQUEYRAS CH DES ROQUES</v>
      </c>
      <c r="G1060" s="10">
        <f>data!G1060</f>
        <v>321.60000000000002</v>
      </c>
      <c r="H1060" s="10">
        <f>data!I1060</f>
        <v>1113.5999999999999</v>
      </c>
      <c r="I1060" s="10">
        <f t="shared" si="64"/>
        <v>-791.99999999999989</v>
      </c>
      <c r="J1060" s="11">
        <f>data!H1060</f>
        <v>48</v>
      </c>
      <c r="K1060" s="11">
        <f>data!J1060</f>
        <v>174</v>
      </c>
      <c r="L1060" s="11">
        <f t="shared" si="65"/>
        <v>-126</v>
      </c>
      <c r="M1060" s="9">
        <f t="shared" si="66"/>
        <v>-0.71120689655172409</v>
      </c>
      <c r="N1060" s="9">
        <f t="shared" si="67"/>
        <v>-0.72413793103448276</v>
      </c>
    </row>
    <row r="1061" spans="1:14" x14ac:dyDescent="0.25">
      <c r="A1061" t="str">
        <f>TEXT("1/"&amp;data!A1061,"mmmm")</f>
        <v>avril</v>
      </c>
      <c r="B1061">
        <f>data!B1061</f>
        <v>2016</v>
      </c>
      <c r="C1061" t="str">
        <f>data!C1061</f>
        <v>115</v>
      </c>
      <c r="D1061" t="str">
        <f>data!D1061</f>
        <v>SCEA CHATEAU DES ROQUES</v>
      </c>
      <c r="E1061" t="str">
        <f>data!E1061</f>
        <v>115007</v>
      </c>
      <c r="F1061" t="str">
        <f>data!F1061</f>
        <v>Château des Roques AC VACQUEYRAS</v>
      </c>
      <c r="G1061" s="10">
        <f>data!G1061</f>
        <v>42</v>
      </c>
      <c r="H1061" s="10">
        <f>data!I1061</f>
        <v>281.39999999999998</v>
      </c>
      <c r="I1061" s="10">
        <f t="shared" si="64"/>
        <v>-239.39999999999998</v>
      </c>
      <c r="J1061" s="11">
        <f>data!H1061</f>
        <v>6</v>
      </c>
      <c r="K1061" s="11">
        <f>data!J1061</f>
        <v>42</v>
      </c>
      <c r="L1061" s="11">
        <f t="shared" si="65"/>
        <v>-36</v>
      </c>
      <c r="M1061" s="9">
        <f t="shared" si="66"/>
        <v>-0.85074626865671643</v>
      </c>
      <c r="N1061" s="9">
        <f t="shared" si="67"/>
        <v>-0.8571428571428571</v>
      </c>
    </row>
    <row r="1062" spans="1:14" x14ac:dyDescent="0.25">
      <c r="A1062" t="str">
        <f>TEXT("1/"&amp;data!A1062,"mmmm")</f>
        <v>avril</v>
      </c>
      <c r="B1062">
        <f>data!B1062</f>
        <v>2016</v>
      </c>
      <c r="C1062" t="str">
        <f>data!C1062</f>
        <v>115</v>
      </c>
      <c r="D1062" t="str">
        <f>data!D1062</f>
        <v>SCEA CHATEAU DES ROQUES</v>
      </c>
      <c r="E1062" t="str">
        <f>data!E1062</f>
        <v>115010</v>
      </c>
      <c r="F1062" t="str">
        <f>data!F1062</f>
        <v>VDP VAUCLUSE G.DES ROQUES</v>
      </c>
      <c r="G1062" s="10">
        <f>data!G1062</f>
        <v>217.5</v>
      </c>
      <c r="H1062" s="10">
        <f>data!I1062</f>
        <v>303.60000000000002</v>
      </c>
      <c r="I1062" s="10">
        <f t="shared" si="64"/>
        <v>-86.100000000000023</v>
      </c>
      <c r="J1062" s="11">
        <f>data!H1062</f>
        <v>213.28</v>
      </c>
      <c r="K1062" s="11">
        <f>data!J1062</f>
        <v>293.26</v>
      </c>
      <c r="L1062" s="11">
        <f t="shared" si="65"/>
        <v>-79.97999999999999</v>
      </c>
      <c r="M1062" s="9">
        <f t="shared" si="66"/>
        <v>-0.28359683794466406</v>
      </c>
      <c r="N1062" s="9">
        <f t="shared" si="67"/>
        <v>-0.27272727272727271</v>
      </c>
    </row>
    <row r="1063" spans="1:14" x14ac:dyDescent="0.25">
      <c r="A1063" t="str">
        <f>TEXT("1/"&amp;data!A1063,"mmmm")</f>
        <v>avril</v>
      </c>
      <c r="B1063">
        <f>data!B1063</f>
        <v>2016</v>
      </c>
      <c r="C1063" t="str">
        <f>data!C1063</f>
        <v>115</v>
      </c>
      <c r="D1063" t="str">
        <f>data!D1063</f>
        <v>SCEA CHATEAU DES ROQUES</v>
      </c>
      <c r="E1063" t="str">
        <f>data!E1063</f>
        <v>115011</v>
      </c>
      <c r="F1063" t="str">
        <f>data!F1063</f>
        <v>VDP VAUCLUSE G.DES ROQUES</v>
      </c>
      <c r="G1063" s="10">
        <f>data!G1063</f>
        <v>17</v>
      </c>
      <c r="H1063" s="10">
        <f>data!I1063</f>
        <v>336</v>
      </c>
      <c r="I1063" s="10">
        <f t="shared" si="64"/>
        <v>-319</v>
      </c>
      <c r="J1063" s="11">
        <f>data!H1063</f>
        <v>20.009999999999998</v>
      </c>
      <c r="K1063" s="11">
        <f>data!J1063</f>
        <v>280.14</v>
      </c>
      <c r="L1063" s="11">
        <f t="shared" si="65"/>
        <v>-260.13</v>
      </c>
      <c r="M1063" s="9">
        <f t="shared" si="66"/>
        <v>-0.94940476190476186</v>
      </c>
      <c r="N1063" s="9">
        <f t="shared" si="67"/>
        <v>-0.9285714285714286</v>
      </c>
    </row>
    <row r="1064" spans="1:14" x14ac:dyDescent="0.25">
      <c r="A1064" t="str">
        <f>TEXT("1/"&amp;data!A1064,"mmmm")</f>
        <v>avril</v>
      </c>
      <c r="B1064">
        <f>data!B1064</f>
        <v>2016</v>
      </c>
      <c r="C1064" t="str">
        <f>data!C1064</f>
        <v>116</v>
      </c>
      <c r="D1064" t="str">
        <f>data!D1064</f>
        <v>VIGNOBLE GASNIER</v>
      </c>
      <c r="E1064" t="str">
        <f>data!E1064</f>
        <v>116001</v>
      </c>
      <c r="F1064" t="str">
        <f>data!F1064</f>
        <v>AC CHINON LES GRAVES</v>
      </c>
      <c r="G1064" s="10">
        <f>data!G1064</f>
        <v>828</v>
      </c>
      <c r="H1064" s="10">
        <f>data!I1064</f>
        <v>2102.1</v>
      </c>
      <c r="I1064" s="10">
        <f t="shared" si="64"/>
        <v>-1274.0999999999999</v>
      </c>
      <c r="J1064" s="11">
        <f>data!H1064</f>
        <v>180</v>
      </c>
      <c r="K1064" s="11">
        <f>data!J1064</f>
        <v>462</v>
      </c>
      <c r="L1064" s="11">
        <f t="shared" si="65"/>
        <v>-282</v>
      </c>
      <c r="M1064" s="9">
        <f t="shared" si="66"/>
        <v>-0.60610817753674895</v>
      </c>
      <c r="N1064" s="9">
        <f t="shared" si="67"/>
        <v>-0.61038961038961037</v>
      </c>
    </row>
    <row r="1065" spans="1:14" x14ac:dyDescent="0.25">
      <c r="A1065" t="str">
        <f>TEXT("1/"&amp;data!A1065,"mmmm")</f>
        <v>avril</v>
      </c>
      <c r="B1065">
        <f>data!B1065</f>
        <v>2016</v>
      </c>
      <c r="C1065" t="str">
        <f>data!C1065</f>
        <v>116</v>
      </c>
      <c r="D1065" t="str">
        <f>data!D1065</f>
        <v>VIGNOBLE GASNIER</v>
      </c>
      <c r="E1065" t="str">
        <f>data!E1065</f>
        <v>116005</v>
      </c>
      <c r="F1065" t="str">
        <f>data!F1065</f>
        <v>AC CHINON DME GASNIER</v>
      </c>
      <c r="G1065" s="10">
        <f>data!G1065</f>
        <v>-26.1</v>
      </c>
      <c r="H1065" s="10">
        <f>data!I1065</f>
        <v>206.4</v>
      </c>
      <c r="I1065" s="10">
        <f t="shared" si="64"/>
        <v>-232.5</v>
      </c>
      <c r="J1065" s="11">
        <f>data!H1065</f>
        <v>0</v>
      </c>
      <c r="K1065" s="11">
        <f>data!J1065</f>
        <v>48</v>
      </c>
      <c r="L1065" s="11">
        <f t="shared" si="65"/>
        <v>-48</v>
      </c>
      <c r="M1065" s="9">
        <f t="shared" si="66"/>
        <v>-1.1264534883720929</v>
      </c>
      <c r="N1065" s="9">
        <f t="shared" si="67"/>
        <v>-1</v>
      </c>
    </row>
    <row r="1066" spans="1:14" x14ac:dyDescent="0.25">
      <c r="A1066" t="str">
        <f>TEXT("1/"&amp;data!A1066,"mmmm")</f>
        <v>avril</v>
      </c>
      <c r="B1066">
        <f>data!B1066</f>
        <v>2016</v>
      </c>
      <c r="C1066" t="str">
        <f>data!C1066</f>
        <v>116</v>
      </c>
      <c r="D1066" t="str">
        <f>data!D1066</f>
        <v>VIGNOBLE GASNIER</v>
      </c>
      <c r="E1066" t="str">
        <f>data!E1066</f>
        <v>CDV116006</v>
      </c>
      <c r="F1066" t="str">
        <f>data!F1066</f>
        <v>AC CHINON VIEILLES VIGNES DOMAINE GARNIER</v>
      </c>
      <c r="G1066" s="10">
        <f>data!G1066</f>
        <v>33</v>
      </c>
      <c r="H1066" s="10">
        <f>data!I1066</f>
        <v>32.1</v>
      </c>
      <c r="I1066" s="10">
        <f t="shared" si="64"/>
        <v>0.89999999999999858</v>
      </c>
      <c r="J1066" s="11">
        <f>data!H1066</f>
        <v>6</v>
      </c>
      <c r="K1066" s="11">
        <f>data!J1066</f>
        <v>6</v>
      </c>
      <c r="L1066" s="11">
        <f t="shared" si="65"/>
        <v>0</v>
      </c>
      <c r="M1066" s="9">
        <f t="shared" si="66"/>
        <v>2.8037383177570048E-2</v>
      </c>
      <c r="N1066" s="9">
        <f t="shared" si="67"/>
        <v>0</v>
      </c>
    </row>
    <row r="1067" spans="1:14" x14ac:dyDescent="0.25">
      <c r="A1067" t="str">
        <f>TEXT("1/"&amp;data!A1067,"mmmm")</f>
        <v>avril</v>
      </c>
      <c r="B1067">
        <f>data!B1067</f>
        <v>2016</v>
      </c>
      <c r="C1067" t="str">
        <f>data!C1067</f>
        <v>118</v>
      </c>
      <c r="D1067" t="str">
        <f>data!D1067</f>
        <v>ARMAGNAC DELORD</v>
      </c>
      <c r="E1067" t="str">
        <f>data!E1067</f>
        <v>118005</v>
      </c>
      <c r="F1067" t="str">
        <f>data!F1067</f>
        <v>ARMAGNAC 15 ANS D'AGE ARIANE en étui</v>
      </c>
      <c r="G1067" s="10">
        <f>data!G1067</f>
        <v>148.5</v>
      </c>
      <c r="H1067" s="10">
        <f>data!I1067</f>
        <v>0</v>
      </c>
      <c r="I1067" s="10">
        <f t="shared" si="64"/>
        <v>148.5</v>
      </c>
      <c r="J1067" s="11">
        <f>data!H1067</f>
        <v>6</v>
      </c>
      <c r="K1067" s="11">
        <f>data!J1067</f>
        <v>0</v>
      </c>
      <c r="L1067" s="11">
        <f t="shared" si="65"/>
        <v>6</v>
      </c>
      <c r="M1067" s="9" t="str">
        <f t="shared" si="66"/>
        <v/>
      </c>
      <c r="N1067" s="9" t="str">
        <f t="shared" si="67"/>
        <v/>
      </c>
    </row>
    <row r="1068" spans="1:14" x14ac:dyDescent="0.25">
      <c r="A1068" t="str">
        <f>TEXT("1/"&amp;data!A1068,"mmmm")</f>
        <v>avril</v>
      </c>
      <c r="B1068">
        <f>data!B1068</f>
        <v>2016</v>
      </c>
      <c r="C1068" t="str">
        <f>data!C1068</f>
        <v>118</v>
      </c>
      <c r="D1068" t="str">
        <f>data!D1068</f>
        <v>ARMAGNAC DELORD</v>
      </c>
      <c r="E1068" t="str">
        <f>data!E1068</f>
        <v>118006</v>
      </c>
      <c r="F1068" t="str">
        <f>data!F1068</f>
        <v>ARMAGNAC 20 ANS D'AGE ARIANE en étui</v>
      </c>
      <c r="G1068" s="10">
        <f>data!G1068</f>
        <v>161.52000000000001</v>
      </c>
      <c r="H1068" s="10">
        <f>data!I1068</f>
        <v>0</v>
      </c>
      <c r="I1068" s="10">
        <f t="shared" si="64"/>
        <v>161.52000000000001</v>
      </c>
      <c r="J1068" s="11">
        <f>data!H1068</f>
        <v>6</v>
      </c>
      <c r="K1068" s="11">
        <f>data!J1068</f>
        <v>0</v>
      </c>
      <c r="L1068" s="11">
        <f t="shared" si="65"/>
        <v>6</v>
      </c>
      <c r="M1068" s="9" t="str">
        <f t="shared" si="66"/>
        <v/>
      </c>
      <c r="N1068" s="9" t="str">
        <f t="shared" si="67"/>
        <v/>
      </c>
    </row>
    <row r="1069" spans="1:14" x14ac:dyDescent="0.25">
      <c r="A1069" t="str">
        <f>TEXT("1/"&amp;data!A1069,"mmmm")</f>
        <v>avril</v>
      </c>
      <c r="B1069">
        <f>data!B1069</f>
        <v>2016</v>
      </c>
      <c r="C1069" t="str">
        <f>data!C1069</f>
        <v>118</v>
      </c>
      <c r="D1069" t="str">
        <f>data!D1069</f>
        <v>ARMAGNAC DELORD</v>
      </c>
      <c r="E1069" t="str">
        <f>data!E1069</f>
        <v>118007</v>
      </c>
      <c r="F1069" t="str">
        <f>data!F1069</f>
        <v>ARMAGNAC 25 ANS D'AGE ARIANE en étui</v>
      </c>
      <c r="G1069" s="10">
        <f>data!G1069</f>
        <v>178.98</v>
      </c>
      <c r="H1069" s="10">
        <f>data!I1069</f>
        <v>0</v>
      </c>
      <c r="I1069" s="10">
        <f t="shared" si="64"/>
        <v>178.98</v>
      </c>
      <c r="J1069" s="11">
        <f>data!H1069</f>
        <v>6</v>
      </c>
      <c r="K1069" s="11">
        <f>data!J1069</f>
        <v>0</v>
      </c>
      <c r="L1069" s="11">
        <f t="shared" si="65"/>
        <v>6</v>
      </c>
      <c r="M1069" s="9" t="str">
        <f t="shared" si="66"/>
        <v/>
      </c>
      <c r="N1069" s="9" t="str">
        <f t="shared" si="67"/>
        <v/>
      </c>
    </row>
    <row r="1070" spans="1:14" x14ac:dyDescent="0.25">
      <c r="A1070" t="str">
        <f>TEXT("1/"&amp;data!A1070,"mmmm")</f>
        <v>avril</v>
      </c>
      <c r="B1070">
        <f>data!B1070</f>
        <v>2016</v>
      </c>
      <c r="C1070" t="str">
        <f>data!C1070</f>
        <v>118</v>
      </c>
      <c r="D1070" t="str">
        <f>data!D1070</f>
        <v>ARMAGNAC DELORD</v>
      </c>
      <c r="E1070" t="str">
        <f>data!E1070</f>
        <v>118014</v>
      </c>
      <c r="F1070" t="str">
        <f>data!F1070</f>
        <v>ARMAGNAC RECOLTE 1987 ARIANE en caissette bois</v>
      </c>
      <c r="G1070" s="10">
        <f>data!G1070</f>
        <v>30.26</v>
      </c>
      <c r="H1070" s="10">
        <f>data!I1070</f>
        <v>0</v>
      </c>
      <c r="I1070" s="10">
        <f t="shared" si="64"/>
        <v>30.26</v>
      </c>
      <c r="J1070" s="11">
        <f>data!H1070</f>
        <v>1</v>
      </c>
      <c r="K1070" s="11">
        <f>data!J1070</f>
        <v>0</v>
      </c>
      <c r="L1070" s="11">
        <f t="shared" si="65"/>
        <v>1</v>
      </c>
      <c r="M1070" s="9" t="str">
        <f t="shared" si="66"/>
        <v/>
      </c>
      <c r="N1070" s="9" t="str">
        <f t="shared" si="67"/>
        <v/>
      </c>
    </row>
    <row r="1071" spans="1:14" x14ac:dyDescent="0.25">
      <c r="A1071" t="str">
        <f>TEXT("1/"&amp;data!A1071,"mmmm")</f>
        <v>avril</v>
      </c>
      <c r="B1071">
        <f>data!B1071</f>
        <v>2016</v>
      </c>
      <c r="C1071" t="str">
        <f>data!C1071</f>
        <v>118</v>
      </c>
      <c r="D1071" t="str">
        <f>data!D1071</f>
        <v>ARMAGNAC DELORD</v>
      </c>
      <c r="E1071" t="str">
        <f>data!E1071</f>
        <v>118016</v>
      </c>
      <c r="F1071" t="str">
        <f>data!F1071</f>
        <v>ARMAGNAC RECOLTE 1976 ARIANE</v>
      </c>
      <c r="G1071" s="10">
        <f>data!G1071</f>
        <v>37.69</v>
      </c>
      <c r="H1071" s="10">
        <f>data!I1071</f>
        <v>0</v>
      </c>
      <c r="I1071" s="10">
        <f t="shared" si="64"/>
        <v>37.69</v>
      </c>
      <c r="J1071" s="11">
        <f>data!H1071</f>
        <v>1</v>
      </c>
      <c r="K1071" s="11">
        <f>data!J1071</f>
        <v>0</v>
      </c>
      <c r="L1071" s="11">
        <f t="shared" si="65"/>
        <v>1</v>
      </c>
      <c r="M1071" s="9" t="str">
        <f t="shared" si="66"/>
        <v/>
      </c>
      <c r="N1071" s="9" t="str">
        <f t="shared" si="67"/>
        <v/>
      </c>
    </row>
    <row r="1072" spans="1:14" x14ac:dyDescent="0.25">
      <c r="A1072" t="str">
        <f>TEXT("1/"&amp;data!A1072,"mmmm")</f>
        <v>avril</v>
      </c>
      <c r="B1072">
        <f>data!B1072</f>
        <v>2016</v>
      </c>
      <c r="C1072" t="str">
        <f>data!C1072</f>
        <v>118</v>
      </c>
      <c r="D1072" t="str">
        <f>data!D1072</f>
        <v>ARMAGNAC DELORD</v>
      </c>
      <c r="E1072" t="str">
        <f>data!E1072</f>
        <v>118020</v>
      </c>
      <c r="F1072" t="str">
        <f>data!F1072</f>
        <v>ARMAGNAC RECOLTE 1986 ARIANE</v>
      </c>
      <c r="G1072" s="10">
        <f>data!G1072</f>
        <v>31</v>
      </c>
      <c r="H1072" s="10">
        <f>data!I1072</f>
        <v>0</v>
      </c>
      <c r="I1072" s="10">
        <f t="shared" si="64"/>
        <v>31</v>
      </c>
      <c r="J1072" s="11">
        <f>data!H1072</f>
        <v>1</v>
      </c>
      <c r="K1072" s="11">
        <f>data!J1072</f>
        <v>0</v>
      </c>
      <c r="L1072" s="11">
        <f t="shared" si="65"/>
        <v>1</v>
      </c>
      <c r="M1072" s="9" t="str">
        <f t="shared" si="66"/>
        <v/>
      </c>
      <c r="N1072" s="9" t="str">
        <f t="shared" si="67"/>
        <v/>
      </c>
    </row>
    <row r="1073" spans="1:14" x14ac:dyDescent="0.25">
      <c r="A1073" t="str">
        <f>TEXT("1/"&amp;data!A1073,"mmmm")</f>
        <v>avril</v>
      </c>
      <c r="B1073">
        <f>data!B1073</f>
        <v>2016</v>
      </c>
      <c r="C1073" t="str">
        <f>data!C1073</f>
        <v>118</v>
      </c>
      <c r="D1073" t="str">
        <f>data!D1073</f>
        <v>ARMAGNAC DELORD</v>
      </c>
      <c r="E1073" t="str">
        <f>data!E1073</f>
        <v>118021</v>
      </c>
      <c r="F1073" t="str">
        <f>data!F1073</f>
        <v>ARMAGNAC RECOLTE 1985 ARIANE</v>
      </c>
      <c r="G1073" s="10">
        <f>data!G1073</f>
        <v>31.38</v>
      </c>
      <c r="H1073" s="10">
        <f>data!I1073</f>
        <v>0</v>
      </c>
      <c r="I1073" s="10">
        <f t="shared" si="64"/>
        <v>31.38</v>
      </c>
      <c r="J1073" s="11">
        <f>data!H1073</f>
        <v>1</v>
      </c>
      <c r="K1073" s="11">
        <f>data!J1073</f>
        <v>0</v>
      </c>
      <c r="L1073" s="11">
        <f t="shared" si="65"/>
        <v>1</v>
      </c>
      <c r="M1073" s="9" t="str">
        <f t="shared" si="66"/>
        <v/>
      </c>
      <c r="N1073" s="9" t="str">
        <f t="shared" si="67"/>
        <v/>
      </c>
    </row>
    <row r="1074" spans="1:14" x14ac:dyDescent="0.25">
      <c r="A1074" t="str">
        <f>TEXT("1/"&amp;data!A1074,"mmmm")</f>
        <v>avril</v>
      </c>
      <c r="B1074">
        <f>data!B1074</f>
        <v>2016</v>
      </c>
      <c r="C1074" t="str">
        <f>data!C1074</f>
        <v>118</v>
      </c>
      <c r="D1074" t="str">
        <f>data!D1074</f>
        <v>ARMAGNAC DELORD</v>
      </c>
      <c r="E1074" t="str">
        <f>data!E1074</f>
        <v>118024</v>
      </c>
      <c r="F1074" t="str">
        <f>data!F1074</f>
        <v>ARMAGNAC RECOLTE 1982 ARIANE</v>
      </c>
      <c r="G1074" s="10">
        <f>data!G1074</f>
        <v>33.61</v>
      </c>
      <c r="H1074" s="10">
        <f>data!I1074</f>
        <v>0</v>
      </c>
      <c r="I1074" s="10">
        <f t="shared" si="64"/>
        <v>33.61</v>
      </c>
      <c r="J1074" s="11">
        <f>data!H1074</f>
        <v>1</v>
      </c>
      <c r="K1074" s="11">
        <f>data!J1074</f>
        <v>0</v>
      </c>
      <c r="L1074" s="11">
        <f t="shared" si="65"/>
        <v>1</v>
      </c>
      <c r="M1074" s="9" t="str">
        <f t="shared" si="66"/>
        <v/>
      </c>
      <c r="N1074" s="9" t="str">
        <f t="shared" si="67"/>
        <v/>
      </c>
    </row>
    <row r="1075" spans="1:14" x14ac:dyDescent="0.25">
      <c r="A1075" t="str">
        <f>TEXT("1/"&amp;data!A1075,"mmmm")</f>
        <v>avril</v>
      </c>
      <c r="B1075">
        <f>data!B1075</f>
        <v>2016</v>
      </c>
      <c r="C1075" t="str">
        <f>data!C1075</f>
        <v>118</v>
      </c>
      <c r="D1075" t="str">
        <f>data!D1075</f>
        <v>ARMAGNAC DELORD</v>
      </c>
      <c r="E1075" t="str">
        <f>data!E1075</f>
        <v>118028</v>
      </c>
      <c r="F1075" t="str">
        <f>data!F1075</f>
        <v>ARMAGNAC RECOLTE 1977 ARIANE</v>
      </c>
      <c r="G1075" s="10">
        <f>data!G1075</f>
        <v>37.07</v>
      </c>
      <c r="H1075" s="10">
        <f>data!I1075</f>
        <v>0</v>
      </c>
      <c r="I1075" s="10">
        <f t="shared" si="64"/>
        <v>37.07</v>
      </c>
      <c r="J1075" s="11">
        <f>data!H1075</f>
        <v>1</v>
      </c>
      <c r="K1075" s="11">
        <f>data!J1075</f>
        <v>0</v>
      </c>
      <c r="L1075" s="11">
        <f t="shared" si="65"/>
        <v>1</v>
      </c>
      <c r="M1075" s="9" t="str">
        <f t="shared" si="66"/>
        <v/>
      </c>
      <c r="N1075" s="9" t="str">
        <f t="shared" si="67"/>
        <v/>
      </c>
    </row>
    <row r="1076" spans="1:14" x14ac:dyDescent="0.25">
      <c r="A1076" t="str">
        <f>TEXT("1/"&amp;data!A1076,"mmmm")</f>
        <v>avril</v>
      </c>
      <c r="B1076">
        <f>data!B1076</f>
        <v>2016</v>
      </c>
      <c r="C1076" t="str">
        <f>data!C1076</f>
        <v>124</v>
      </c>
      <c r="D1076" t="str">
        <f>data!D1076</f>
        <v>CHATEAU BECHEREAU</v>
      </c>
      <c r="E1076" t="str">
        <f>data!E1076</f>
        <v>124001</v>
      </c>
      <c r="F1076" t="str">
        <f>data!F1076</f>
        <v>AC M ST EMILION CH BECHEREAU</v>
      </c>
      <c r="G1076" s="10">
        <f>data!G1076</f>
        <v>864</v>
      </c>
      <c r="H1076" s="10">
        <f>data!I1076</f>
        <v>1135.2</v>
      </c>
      <c r="I1076" s="10">
        <f t="shared" si="64"/>
        <v>-271.20000000000005</v>
      </c>
      <c r="J1076" s="11">
        <f>data!H1076</f>
        <v>192</v>
      </c>
      <c r="K1076" s="11">
        <f>data!J1076</f>
        <v>258</v>
      </c>
      <c r="L1076" s="11">
        <f t="shared" si="65"/>
        <v>-66</v>
      </c>
      <c r="M1076" s="9">
        <f t="shared" si="66"/>
        <v>-0.2389006342494715</v>
      </c>
      <c r="N1076" s="9">
        <f t="shared" si="67"/>
        <v>-0.2558139534883721</v>
      </c>
    </row>
    <row r="1077" spans="1:14" x14ac:dyDescent="0.25">
      <c r="A1077" t="str">
        <f>TEXT("1/"&amp;data!A1077,"mmmm")</f>
        <v>avril</v>
      </c>
      <c r="B1077">
        <f>data!B1077</f>
        <v>2016</v>
      </c>
      <c r="C1077" t="str">
        <f>data!C1077</f>
        <v>124</v>
      </c>
      <c r="D1077" t="str">
        <f>data!D1077</f>
        <v>CHATEAU BECHEREAU</v>
      </c>
      <c r="E1077" t="str">
        <f>data!E1077</f>
        <v>124002</v>
      </c>
      <c r="F1077" t="str">
        <f>data!F1077</f>
        <v>AC BORDEAUX SUP TRADITION CH BECHEREAU</v>
      </c>
      <c r="G1077" s="10">
        <f>data!G1077</f>
        <v>633.6</v>
      </c>
      <c r="H1077" s="10">
        <f>data!I1077</f>
        <v>172.8</v>
      </c>
      <c r="I1077" s="10">
        <f t="shared" si="64"/>
        <v>460.8</v>
      </c>
      <c r="J1077" s="11">
        <f>data!H1077</f>
        <v>192</v>
      </c>
      <c r="K1077" s="11">
        <f>data!J1077</f>
        <v>54</v>
      </c>
      <c r="L1077" s="11">
        <f t="shared" si="65"/>
        <v>138</v>
      </c>
      <c r="M1077" s="9">
        <f t="shared" si="66"/>
        <v>2.6666666666666665</v>
      </c>
      <c r="N1077" s="9">
        <f t="shared" si="67"/>
        <v>2.5555555555555554</v>
      </c>
    </row>
    <row r="1078" spans="1:14" x14ac:dyDescent="0.25">
      <c r="A1078" t="str">
        <f>TEXT("1/"&amp;data!A1078,"mmmm")</f>
        <v>avril</v>
      </c>
      <c r="B1078">
        <f>data!B1078</f>
        <v>2016</v>
      </c>
      <c r="C1078" t="str">
        <f>data!C1078</f>
        <v>124</v>
      </c>
      <c r="D1078" t="str">
        <f>data!D1078</f>
        <v>CHATEAU BECHEREAU</v>
      </c>
      <c r="E1078" t="str">
        <f>data!E1078</f>
        <v>124010</v>
      </c>
      <c r="F1078" t="str">
        <f>data!F1078</f>
        <v>AC LALANDE POMEROL BECH</v>
      </c>
      <c r="G1078" s="10">
        <f>data!G1078</f>
        <v>831.6</v>
      </c>
      <c r="H1078" s="10">
        <f>data!I1078</f>
        <v>781.2</v>
      </c>
      <c r="I1078" s="10">
        <f t="shared" si="64"/>
        <v>50.399999999999977</v>
      </c>
      <c r="J1078" s="11">
        <f>data!H1078</f>
        <v>132</v>
      </c>
      <c r="K1078" s="11">
        <f>data!J1078</f>
        <v>126</v>
      </c>
      <c r="L1078" s="11">
        <f t="shared" si="65"/>
        <v>6</v>
      </c>
      <c r="M1078" s="9">
        <f t="shared" si="66"/>
        <v>6.4516129032258035E-2</v>
      </c>
      <c r="N1078" s="9">
        <f t="shared" si="67"/>
        <v>4.7619047619047616E-2</v>
      </c>
    </row>
    <row r="1079" spans="1:14" x14ac:dyDescent="0.25">
      <c r="A1079" t="str">
        <f>TEXT("1/"&amp;data!A1079,"mmmm")</f>
        <v>avril</v>
      </c>
      <c r="B1079">
        <f>data!B1079</f>
        <v>2016</v>
      </c>
      <c r="C1079" t="str">
        <f>data!C1079</f>
        <v>134</v>
      </c>
      <c r="D1079" t="str">
        <f>data!D1079</f>
        <v>DOMAINE GALEVAN</v>
      </c>
      <c r="E1079" t="str">
        <f>data!E1079</f>
        <v>134003</v>
      </c>
      <c r="F1079" t="str">
        <f>data!F1079</f>
        <v>IGP VAUCLUSE LE PUY SAINT MARTIN</v>
      </c>
      <c r="G1079" s="10">
        <f>data!G1079</f>
        <v>68.040000000000006</v>
      </c>
      <c r="H1079" s="10">
        <f>data!I1079</f>
        <v>0</v>
      </c>
      <c r="I1079" s="10">
        <f t="shared" si="64"/>
        <v>68.040000000000006</v>
      </c>
      <c r="J1079" s="11">
        <f>data!H1079</f>
        <v>18</v>
      </c>
      <c r="K1079" s="11">
        <f>data!J1079</f>
        <v>0</v>
      </c>
      <c r="L1079" s="11">
        <f t="shared" si="65"/>
        <v>18</v>
      </c>
      <c r="M1079" s="9" t="str">
        <f t="shared" si="66"/>
        <v/>
      </c>
      <c r="N1079" s="9" t="str">
        <f t="shared" si="67"/>
        <v/>
      </c>
    </row>
    <row r="1080" spans="1:14" x14ac:dyDescent="0.25">
      <c r="A1080" t="str">
        <f>TEXT("1/"&amp;data!A1080,"mmmm")</f>
        <v>avril</v>
      </c>
      <c r="B1080">
        <f>data!B1080</f>
        <v>2016</v>
      </c>
      <c r="C1080" t="str">
        <f>data!C1080</f>
        <v>134</v>
      </c>
      <c r="D1080" t="str">
        <f>data!D1080</f>
        <v>DOMAINE GALEVAN</v>
      </c>
      <c r="E1080" t="str">
        <f>data!E1080</f>
        <v>134004</v>
      </c>
      <c r="F1080" t="str">
        <f>data!F1080</f>
        <v>AC C.DU RHONE LIBRE EXPRESSION</v>
      </c>
      <c r="G1080" s="10">
        <f>data!G1080</f>
        <v>514.08000000000004</v>
      </c>
      <c r="H1080" s="10">
        <f>data!I1080</f>
        <v>276</v>
      </c>
      <c r="I1080" s="10">
        <f t="shared" si="64"/>
        <v>238.08000000000004</v>
      </c>
      <c r="J1080" s="11">
        <f>data!H1080</f>
        <v>108</v>
      </c>
      <c r="K1080" s="11">
        <f>data!J1080</f>
        <v>60</v>
      </c>
      <c r="L1080" s="11">
        <f t="shared" si="65"/>
        <v>48</v>
      </c>
      <c r="M1080" s="9">
        <f t="shared" si="66"/>
        <v>0.86260869565217402</v>
      </c>
      <c r="N1080" s="9">
        <f t="shared" si="67"/>
        <v>0.8</v>
      </c>
    </row>
    <row r="1081" spans="1:14" x14ac:dyDescent="0.25">
      <c r="A1081" t="str">
        <f>TEXT("1/"&amp;data!A1081,"mmmm")</f>
        <v>avril</v>
      </c>
      <c r="B1081">
        <f>data!B1081</f>
        <v>2016</v>
      </c>
      <c r="C1081" t="str">
        <f>data!C1081</f>
        <v>134</v>
      </c>
      <c r="D1081" t="str">
        <f>data!D1081</f>
        <v>DOMAINE GALEVAN</v>
      </c>
      <c r="E1081" t="str">
        <f>data!E1081</f>
        <v>134005</v>
      </c>
      <c r="F1081" t="str">
        <f>data!F1081</f>
        <v>AC C DU RHONE PAROLES DE FEMME</v>
      </c>
      <c r="G1081" s="10">
        <f>data!G1081</f>
        <v>1377</v>
      </c>
      <c r="H1081" s="10">
        <f>data!I1081</f>
        <v>425.28</v>
      </c>
      <c r="I1081" s="10">
        <f t="shared" si="64"/>
        <v>951.72</v>
      </c>
      <c r="J1081" s="11">
        <f>data!H1081</f>
        <v>300</v>
      </c>
      <c r="K1081" s="11">
        <f>data!J1081</f>
        <v>96</v>
      </c>
      <c r="L1081" s="11">
        <f t="shared" si="65"/>
        <v>204</v>
      </c>
      <c r="M1081" s="9">
        <f t="shared" si="66"/>
        <v>2.2378668171557563</v>
      </c>
      <c r="N1081" s="9">
        <f t="shared" si="67"/>
        <v>2.125</v>
      </c>
    </row>
    <row r="1082" spans="1:14" x14ac:dyDescent="0.25">
      <c r="A1082" t="str">
        <f>TEXT("1/"&amp;data!A1082,"mmmm")</f>
        <v>avril</v>
      </c>
      <c r="B1082">
        <f>data!B1082</f>
        <v>2016</v>
      </c>
      <c r="C1082" t="str">
        <f>data!C1082</f>
        <v>137</v>
      </c>
      <c r="D1082" t="str">
        <f>data!D1082</f>
        <v>CHATEAU MAS DES CABRES</v>
      </c>
      <c r="E1082" t="str">
        <f>data!E1082</f>
        <v>137001</v>
      </c>
      <c r="F1082" t="str">
        <f>data!F1082</f>
        <v>AC CTX LANGUEDOC TERRES D'ASPERES M.DES CABRES</v>
      </c>
      <c r="G1082" s="10">
        <f>data!G1082</f>
        <v>1562.4</v>
      </c>
      <c r="H1082" s="10">
        <f>data!I1082</f>
        <v>948.7</v>
      </c>
      <c r="I1082" s="10">
        <f t="shared" si="64"/>
        <v>613.70000000000005</v>
      </c>
      <c r="J1082" s="11">
        <f>data!H1082</f>
        <v>558</v>
      </c>
      <c r="K1082" s="11">
        <f>data!J1082</f>
        <v>390</v>
      </c>
      <c r="L1082" s="11">
        <f t="shared" si="65"/>
        <v>168</v>
      </c>
      <c r="M1082" s="9">
        <f t="shared" si="66"/>
        <v>0.64688521134183619</v>
      </c>
      <c r="N1082" s="9">
        <f t="shared" si="67"/>
        <v>0.43076923076923079</v>
      </c>
    </row>
    <row r="1083" spans="1:14" x14ac:dyDescent="0.25">
      <c r="A1083" t="str">
        <f>TEXT("1/"&amp;data!A1083,"mmmm")</f>
        <v>avril</v>
      </c>
      <c r="B1083">
        <f>data!B1083</f>
        <v>2016</v>
      </c>
      <c r="C1083" t="str">
        <f>data!C1083</f>
        <v>140</v>
      </c>
      <c r="D1083" t="str">
        <f>data!D1083</f>
        <v>PHILIPPE GAULTIER</v>
      </c>
      <c r="E1083" t="str">
        <f>data!E1083</f>
        <v>140001</v>
      </c>
      <c r="F1083" t="str">
        <f>data!F1083</f>
        <v>AC VOUVRAY M.TRAD.BR C.DES AUMONES</v>
      </c>
      <c r="G1083" s="10">
        <f>data!G1083</f>
        <v>464.4</v>
      </c>
      <c r="H1083" s="10">
        <f>data!I1083</f>
        <v>756</v>
      </c>
      <c r="I1083" s="10">
        <f t="shared" si="64"/>
        <v>-291.60000000000002</v>
      </c>
      <c r="J1083" s="11">
        <f>data!H1083</f>
        <v>108</v>
      </c>
      <c r="K1083" s="11">
        <f>data!J1083</f>
        <v>186</v>
      </c>
      <c r="L1083" s="11">
        <f t="shared" si="65"/>
        <v>-78</v>
      </c>
      <c r="M1083" s="9">
        <f t="shared" si="66"/>
        <v>-0.38571428571428573</v>
      </c>
      <c r="N1083" s="9">
        <f t="shared" si="67"/>
        <v>-0.41935483870967744</v>
      </c>
    </row>
    <row r="1084" spans="1:14" x14ac:dyDescent="0.25">
      <c r="A1084" t="str">
        <f>TEXT("1/"&amp;data!A1084,"mmmm")</f>
        <v>avril</v>
      </c>
      <c r="B1084">
        <f>data!B1084</f>
        <v>2016</v>
      </c>
      <c r="C1084" t="str">
        <f>data!C1084</f>
        <v>143</v>
      </c>
      <c r="D1084" t="str">
        <f>data!D1084</f>
        <v>DOMAINE DE VILLARGEAU</v>
      </c>
      <c r="E1084" t="str">
        <f>data!E1084</f>
        <v>143001</v>
      </c>
      <c r="F1084" t="str">
        <f>data!F1084</f>
        <v>AC CX DU GIENNOIS G.THIEBAULT</v>
      </c>
      <c r="G1084" s="10">
        <f>data!G1084</f>
        <v>96</v>
      </c>
      <c r="H1084" s="10">
        <f>data!I1084</f>
        <v>304.2</v>
      </c>
      <c r="I1084" s="10">
        <f t="shared" si="64"/>
        <v>-208.2</v>
      </c>
      <c r="J1084" s="11">
        <f>data!H1084</f>
        <v>24</v>
      </c>
      <c r="K1084" s="11">
        <f>data!J1084</f>
        <v>72</v>
      </c>
      <c r="L1084" s="11">
        <f t="shared" si="65"/>
        <v>-48</v>
      </c>
      <c r="M1084" s="9">
        <f t="shared" si="66"/>
        <v>-0.68441814595660744</v>
      </c>
      <c r="N1084" s="9">
        <f t="shared" si="67"/>
        <v>-0.66666666666666663</v>
      </c>
    </row>
    <row r="1085" spans="1:14" x14ac:dyDescent="0.25">
      <c r="A1085" t="str">
        <f>TEXT("1/"&amp;data!A1085,"mmmm")</f>
        <v>avril</v>
      </c>
      <c r="B1085">
        <f>data!B1085</f>
        <v>2016</v>
      </c>
      <c r="C1085" t="str">
        <f>data!C1085</f>
        <v>143</v>
      </c>
      <c r="D1085" t="str">
        <f>data!D1085</f>
        <v>DOMAINE DE VILLARGEAU</v>
      </c>
      <c r="E1085" t="str">
        <f>data!E1085</f>
        <v>143002</v>
      </c>
      <c r="F1085" t="str">
        <f>data!F1085</f>
        <v>AC CX DU GIENNOIS G.THIEBAULT</v>
      </c>
      <c r="G1085" s="10">
        <f>data!G1085</f>
        <v>240</v>
      </c>
      <c r="H1085" s="10">
        <f>data!I1085</f>
        <v>795.6</v>
      </c>
      <c r="I1085" s="10">
        <f t="shared" si="64"/>
        <v>-555.6</v>
      </c>
      <c r="J1085" s="11">
        <f>data!H1085</f>
        <v>60</v>
      </c>
      <c r="K1085" s="11">
        <f>data!J1085</f>
        <v>198</v>
      </c>
      <c r="L1085" s="11">
        <f t="shared" si="65"/>
        <v>-138</v>
      </c>
      <c r="M1085" s="9">
        <f t="shared" si="66"/>
        <v>-0.69834087481146301</v>
      </c>
      <c r="N1085" s="9">
        <f t="shared" si="67"/>
        <v>-0.69696969696969702</v>
      </c>
    </row>
    <row r="1086" spans="1:14" x14ac:dyDescent="0.25">
      <c r="A1086" t="str">
        <f>TEXT("1/"&amp;data!A1086,"mmmm")</f>
        <v>avril</v>
      </c>
      <c r="B1086">
        <f>data!B1086</f>
        <v>2016</v>
      </c>
      <c r="C1086" t="str">
        <f>data!C1086</f>
        <v>152</v>
      </c>
      <c r="D1086" t="str">
        <f>data!D1086</f>
        <v>VINCENT SIRET COURTAUD</v>
      </c>
      <c r="E1086" t="str">
        <f>data!E1086</f>
        <v>152001</v>
      </c>
      <c r="F1086" t="str">
        <f>data!F1086</f>
        <v>AC QUINCY D.SIRET COURTAUD</v>
      </c>
      <c r="G1086" s="10">
        <f>data!G1086</f>
        <v>1796.7</v>
      </c>
      <c r="H1086" s="10">
        <f>data!I1086</f>
        <v>932.4</v>
      </c>
      <c r="I1086" s="10">
        <f t="shared" si="64"/>
        <v>864.30000000000007</v>
      </c>
      <c r="J1086" s="11">
        <f>data!H1086</f>
        <v>318</v>
      </c>
      <c r="K1086" s="11">
        <f>data!J1086</f>
        <v>174</v>
      </c>
      <c r="L1086" s="11">
        <f t="shared" si="65"/>
        <v>144</v>
      </c>
      <c r="M1086" s="9">
        <f t="shared" si="66"/>
        <v>0.92696267696267709</v>
      </c>
      <c r="N1086" s="9">
        <f t="shared" si="67"/>
        <v>0.82758620689655171</v>
      </c>
    </row>
    <row r="1087" spans="1:14" x14ac:dyDescent="0.25">
      <c r="A1087" t="str">
        <f>TEXT("1/"&amp;data!A1087,"mmmm")</f>
        <v>avril</v>
      </c>
      <c r="B1087">
        <f>data!B1087</f>
        <v>2016</v>
      </c>
      <c r="C1087" t="str">
        <f>data!C1087</f>
        <v>153</v>
      </c>
      <c r="D1087" t="str">
        <f>data!D1087</f>
        <v>SARL GARNIER ET FILS</v>
      </c>
      <c r="E1087" t="str">
        <f>data!E1087</f>
        <v>153001</v>
      </c>
      <c r="F1087" t="str">
        <f>data!F1087</f>
        <v>AC PETIT CHABLIS D.GARNIER</v>
      </c>
      <c r="G1087" s="10">
        <f>data!G1087</f>
        <v>174</v>
      </c>
      <c r="H1087" s="10">
        <f>data!I1087</f>
        <v>0</v>
      </c>
      <c r="I1087" s="10">
        <f t="shared" si="64"/>
        <v>174</v>
      </c>
      <c r="J1087" s="11">
        <f>data!H1087</f>
        <v>30</v>
      </c>
      <c r="K1087" s="11">
        <f>data!J1087</f>
        <v>0</v>
      </c>
      <c r="L1087" s="11">
        <f t="shared" si="65"/>
        <v>30</v>
      </c>
      <c r="M1087" s="9" t="str">
        <f t="shared" si="66"/>
        <v/>
      </c>
      <c r="N1087" s="9" t="str">
        <f t="shared" si="67"/>
        <v/>
      </c>
    </row>
    <row r="1088" spans="1:14" x14ac:dyDescent="0.25">
      <c r="A1088" t="str">
        <f>TEXT("1/"&amp;data!A1088,"mmmm")</f>
        <v>avril</v>
      </c>
      <c r="B1088">
        <f>data!B1088</f>
        <v>2016</v>
      </c>
      <c r="C1088" t="str">
        <f>data!C1088</f>
        <v>153</v>
      </c>
      <c r="D1088" t="str">
        <f>data!D1088</f>
        <v>SARL GARNIER ET FILS</v>
      </c>
      <c r="E1088" t="str">
        <f>data!E1088</f>
        <v>153003</v>
      </c>
      <c r="F1088" t="str">
        <f>data!F1088</f>
        <v>AC CHABLIS DME GARNIER</v>
      </c>
      <c r="G1088" s="10">
        <f>data!G1088</f>
        <v>496.8</v>
      </c>
      <c r="H1088" s="10">
        <f>data!I1088</f>
        <v>80.400000000000006</v>
      </c>
      <c r="I1088" s="10">
        <f t="shared" si="64"/>
        <v>416.4</v>
      </c>
      <c r="J1088" s="11">
        <f>data!H1088</f>
        <v>72</v>
      </c>
      <c r="K1088" s="11">
        <f>data!J1088</f>
        <v>12</v>
      </c>
      <c r="L1088" s="11">
        <f t="shared" si="65"/>
        <v>60</v>
      </c>
      <c r="M1088" s="9">
        <f t="shared" si="66"/>
        <v>5.1791044776119399</v>
      </c>
      <c r="N1088" s="9">
        <f t="shared" si="67"/>
        <v>5</v>
      </c>
    </row>
    <row r="1089" spans="1:14" x14ac:dyDescent="0.25">
      <c r="A1089" t="str">
        <f>TEXT("1/"&amp;data!A1089,"mmmm")</f>
        <v>avril</v>
      </c>
      <c r="B1089">
        <f>data!B1089</f>
        <v>2016</v>
      </c>
      <c r="C1089" t="str">
        <f>data!C1089</f>
        <v>153</v>
      </c>
      <c r="D1089" t="str">
        <f>data!D1089</f>
        <v>SARL GARNIER ET FILS</v>
      </c>
      <c r="E1089" t="str">
        <f>data!E1089</f>
        <v>153005</v>
      </c>
      <c r="F1089" t="str">
        <f>data!F1089</f>
        <v>AC CHABLIS 1ER CRU MT DE MILIEU</v>
      </c>
      <c r="G1089" s="10">
        <f>data!G1089</f>
        <v>129.6</v>
      </c>
      <c r="H1089" s="10">
        <f>data!I1089</f>
        <v>0</v>
      </c>
      <c r="I1089" s="10">
        <f t="shared" si="64"/>
        <v>129.6</v>
      </c>
      <c r="J1089" s="11">
        <f>data!H1089</f>
        <v>12</v>
      </c>
      <c r="K1089" s="11">
        <f>data!J1089</f>
        <v>0</v>
      </c>
      <c r="L1089" s="11">
        <f t="shared" si="65"/>
        <v>12</v>
      </c>
      <c r="M1089" s="9" t="str">
        <f t="shared" si="66"/>
        <v/>
      </c>
      <c r="N1089" s="9" t="str">
        <f t="shared" si="67"/>
        <v/>
      </c>
    </row>
    <row r="1090" spans="1:14" x14ac:dyDescent="0.25">
      <c r="A1090" t="str">
        <f>TEXT("1/"&amp;data!A1090,"mmmm")</f>
        <v>avril</v>
      </c>
      <c r="B1090">
        <f>data!B1090</f>
        <v>2016</v>
      </c>
      <c r="C1090" t="str">
        <f>data!C1090</f>
        <v>153</v>
      </c>
      <c r="D1090" t="str">
        <f>data!D1090</f>
        <v>SARL GARNIER ET FILS</v>
      </c>
      <c r="E1090" t="str">
        <f>data!E1090</f>
        <v>CDV153003</v>
      </c>
      <c r="F1090" t="str">
        <f>data!F1090</f>
        <v>AC CHABLIS DOMAINE GARNIER</v>
      </c>
      <c r="G1090" s="10">
        <f>data!G1090</f>
        <v>120.6</v>
      </c>
      <c r="H1090" s="10">
        <f>data!I1090</f>
        <v>0</v>
      </c>
      <c r="I1090" s="10">
        <f t="shared" si="64"/>
        <v>120.6</v>
      </c>
      <c r="J1090" s="11">
        <f>data!H1090</f>
        <v>18</v>
      </c>
      <c r="K1090" s="11">
        <f>data!J1090</f>
        <v>0</v>
      </c>
      <c r="L1090" s="11">
        <f t="shared" si="65"/>
        <v>18</v>
      </c>
      <c r="M1090" s="9" t="str">
        <f t="shared" si="66"/>
        <v/>
      </c>
      <c r="N1090" s="9" t="str">
        <f t="shared" si="67"/>
        <v/>
      </c>
    </row>
    <row r="1091" spans="1:14" x14ac:dyDescent="0.25">
      <c r="A1091" t="str">
        <f>TEXT("1/"&amp;data!A1091,"mmmm")</f>
        <v>avril</v>
      </c>
      <c r="B1091">
        <f>data!B1091</f>
        <v>2016</v>
      </c>
      <c r="C1091" t="str">
        <f>data!C1091</f>
        <v>157</v>
      </c>
      <c r="D1091" t="str">
        <f>data!D1091</f>
        <v>DOMAINE DE LA FOLIETTE</v>
      </c>
      <c r="E1091" t="str">
        <f>data!E1091</f>
        <v>157001</v>
      </c>
      <c r="F1091" t="str">
        <f>data!F1091</f>
        <v>AC MUSCADET S&amp;MAINE/LIE FOLIETTES</v>
      </c>
      <c r="G1091" s="10">
        <f>data!G1091</f>
        <v>329.4</v>
      </c>
      <c r="H1091" s="10">
        <f>data!I1091</f>
        <v>265.5</v>
      </c>
      <c r="I1091" s="10">
        <f t="shared" ref="I1091:I1154" si="68">G1091-H1091</f>
        <v>63.899999999999977</v>
      </c>
      <c r="J1091" s="11">
        <f>data!H1091</f>
        <v>108</v>
      </c>
      <c r="K1091" s="11">
        <f>data!J1091</f>
        <v>102</v>
      </c>
      <c r="L1091" s="11">
        <f t="shared" ref="L1091:L1154" si="69">J1091-K1091</f>
        <v>6</v>
      </c>
      <c r="M1091" s="9">
        <f t="shared" ref="M1091:M1154" si="70">IF(ISERR(I1091/H1091),"",I1091/H1091)</f>
        <v>0.24067796610169484</v>
      </c>
      <c r="N1091" s="9">
        <f t="shared" ref="N1091:N1154" si="71">IF(ISERR(L1091/K1091),"",L1091/K1091)</f>
        <v>5.8823529411764705E-2</v>
      </c>
    </row>
    <row r="1092" spans="1:14" x14ac:dyDescent="0.25">
      <c r="A1092" t="str">
        <f>TEXT("1/"&amp;data!A1092,"mmmm")</f>
        <v>avril</v>
      </c>
      <c r="B1092">
        <f>data!B1092</f>
        <v>2016</v>
      </c>
      <c r="C1092" t="str">
        <f>data!C1092</f>
        <v>162</v>
      </c>
      <c r="D1092" t="str">
        <f>data!D1092</f>
        <v>CHATEAU JOUCLARY</v>
      </c>
      <c r="E1092" t="str">
        <f>data!E1092</f>
        <v>162001</v>
      </c>
      <c r="F1092" t="str">
        <f>data!F1092</f>
        <v>AC CABARDES CH JOUCLARY</v>
      </c>
      <c r="G1092" s="10">
        <f>data!G1092</f>
        <v>1740</v>
      </c>
      <c r="H1092" s="10">
        <f>data!I1092</f>
        <v>1747.2</v>
      </c>
      <c r="I1092" s="10">
        <f t="shared" si="68"/>
        <v>-7.2000000000000455</v>
      </c>
      <c r="J1092" s="11">
        <f>data!H1092</f>
        <v>600</v>
      </c>
      <c r="K1092" s="11">
        <f>data!J1092</f>
        <v>624</v>
      </c>
      <c r="L1092" s="11">
        <f t="shared" si="69"/>
        <v>-24</v>
      </c>
      <c r="M1092" s="9">
        <f t="shared" si="70"/>
        <v>-4.120879120879147E-3</v>
      </c>
      <c r="N1092" s="9">
        <f t="shared" si="71"/>
        <v>-3.8461538461538464E-2</v>
      </c>
    </row>
    <row r="1093" spans="1:14" x14ac:dyDescent="0.25">
      <c r="A1093" t="str">
        <f>TEXT("1/"&amp;data!A1093,"mmmm")</f>
        <v>avril</v>
      </c>
      <c r="B1093">
        <f>data!B1093</f>
        <v>2016</v>
      </c>
      <c r="C1093" t="str">
        <f>data!C1093</f>
        <v>162</v>
      </c>
      <c r="D1093" t="str">
        <f>data!D1093</f>
        <v>CHATEAU JOUCLARY</v>
      </c>
      <c r="E1093" t="str">
        <f>data!E1093</f>
        <v>162002</v>
      </c>
      <c r="F1093" t="str">
        <f>data!F1093</f>
        <v>AC CABARDES JOUCLARY CUVEE AMANDIERS</v>
      </c>
      <c r="G1093" s="10">
        <f>data!G1093</f>
        <v>541.79999999999995</v>
      </c>
      <c r="H1093" s="10">
        <f>data!I1093</f>
        <v>0</v>
      </c>
      <c r="I1093" s="10">
        <f t="shared" si="68"/>
        <v>541.79999999999995</v>
      </c>
      <c r="J1093" s="11">
        <f>data!H1093</f>
        <v>126</v>
      </c>
      <c r="K1093" s="11">
        <f>data!J1093</f>
        <v>0</v>
      </c>
      <c r="L1093" s="11">
        <f t="shared" si="69"/>
        <v>126</v>
      </c>
      <c r="M1093" s="9" t="str">
        <f t="shared" si="70"/>
        <v/>
      </c>
      <c r="N1093" s="9" t="str">
        <f t="shared" si="71"/>
        <v/>
      </c>
    </row>
    <row r="1094" spans="1:14" x14ac:dyDescent="0.25">
      <c r="A1094" t="str">
        <f>TEXT("1/"&amp;data!A1094,"mmmm")</f>
        <v>avril</v>
      </c>
      <c r="B1094">
        <f>data!B1094</f>
        <v>2016</v>
      </c>
      <c r="C1094" t="str">
        <f>data!C1094</f>
        <v>162</v>
      </c>
      <c r="D1094" t="str">
        <f>data!D1094</f>
        <v>CHATEAU JOUCLARY</v>
      </c>
      <c r="E1094" t="str">
        <f>data!E1094</f>
        <v>162003</v>
      </c>
      <c r="F1094" t="str">
        <f>data!F1094</f>
        <v>AOP CABARDES JOUCLARY</v>
      </c>
      <c r="G1094" s="10">
        <f>data!G1094</f>
        <v>69.599999999999994</v>
      </c>
      <c r="H1094" s="10">
        <f>data!I1094</f>
        <v>184.8</v>
      </c>
      <c r="I1094" s="10">
        <f t="shared" si="68"/>
        <v>-115.20000000000002</v>
      </c>
      <c r="J1094" s="11">
        <f>data!H1094</f>
        <v>30</v>
      </c>
      <c r="K1094" s="11">
        <f>data!J1094</f>
        <v>66</v>
      </c>
      <c r="L1094" s="11">
        <f t="shared" si="69"/>
        <v>-36</v>
      </c>
      <c r="M1094" s="9">
        <f t="shared" si="70"/>
        <v>-0.62337662337662347</v>
      </c>
      <c r="N1094" s="9">
        <f t="shared" si="71"/>
        <v>-0.54545454545454541</v>
      </c>
    </row>
    <row r="1095" spans="1:14" x14ac:dyDescent="0.25">
      <c r="A1095" t="str">
        <f>TEXT("1/"&amp;data!A1095,"mmmm")</f>
        <v>avril</v>
      </c>
      <c r="B1095">
        <f>data!B1095</f>
        <v>2016</v>
      </c>
      <c r="C1095" t="str">
        <f>data!C1095</f>
        <v>162</v>
      </c>
      <c r="D1095" t="str">
        <f>data!D1095</f>
        <v>CHATEAU JOUCLARY</v>
      </c>
      <c r="E1095" t="str">
        <f>data!E1095</f>
        <v>CDV162004</v>
      </c>
      <c r="F1095" t="str">
        <f>data!F1095</f>
        <v>IGP OC SAUVIGNON CH JOUCLARY</v>
      </c>
      <c r="G1095" s="10">
        <f>data!G1095</f>
        <v>60</v>
      </c>
      <c r="H1095" s="10">
        <f>data!I1095</f>
        <v>0</v>
      </c>
      <c r="I1095" s="10">
        <f t="shared" si="68"/>
        <v>60</v>
      </c>
      <c r="J1095" s="11">
        <f>data!H1095</f>
        <v>24</v>
      </c>
      <c r="K1095" s="11">
        <f>data!J1095</f>
        <v>0</v>
      </c>
      <c r="L1095" s="11">
        <f t="shared" si="69"/>
        <v>24</v>
      </c>
      <c r="M1095" s="9" t="str">
        <f t="shared" si="70"/>
        <v/>
      </c>
      <c r="N1095" s="9" t="str">
        <f t="shared" si="71"/>
        <v/>
      </c>
    </row>
    <row r="1096" spans="1:14" x14ac:dyDescent="0.25">
      <c r="A1096" t="str">
        <f>TEXT("1/"&amp;data!A1096,"mmmm")</f>
        <v>avril</v>
      </c>
      <c r="B1096">
        <f>data!B1096</f>
        <v>2016</v>
      </c>
      <c r="C1096" t="str">
        <f>data!C1096</f>
        <v>164</v>
      </c>
      <c r="D1096" t="str">
        <f>data!D1096</f>
        <v>CHATEAU JUPILLE</v>
      </c>
      <c r="E1096" t="str">
        <f>data!E1096</f>
        <v>164002</v>
      </c>
      <c r="F1096" t="str">
        <f>data!F1096</f>
        <v>AC ST EMILION CH JUPILLE CARILLON</v>
      </c>
      <c r="G1096" s="10">
        <f>data!G1096</f>
        <v>1861.2</v>
      </c>
      <c r="H1096" s="10">
        <f>data!I1096</f>
        <v>0</v>
      </c>
      <c r="I1096" s="10">
        <f t="shared" si="68"/>
        <v>1861.2</v>
      </c>
      <c r="J1096" s="11">
        <f>data!H1096</f>
        <v>282</v>
      </c>
      <c r="K1096" s="11">
        <f>data!J1096</f>
        <v>0</v>
      </c>
      <c r="L1096" s="11">
        <f t="shared" si="69"/>
        <v>282</v>
      </c>
      <c r="M1096" s="9" t="str">
        <f t="shared" si="70"/>
        <v/>
      </c>
      <c r="N1096" s="9" t="str">
        <f t="shared" si="71"/>
        <v/>
      </c>
    </row>
    <row r="1097" spans="1:14" x14ac:dyDescent="0.25">
      <c r="A1097" t="str">
        <f>TEXT("1/"&amp;data!A1097,"mmmm")</f>
        <v>avril</v>
      </c>
      <c r="B1097">
        <f>data!B1097</f>
        <v>2016</v>
      </c>
      <c r="C1097" t="str">
        <f>data!C1097</f>
        <v>164</v>
      </c>
      <c r="D1097" t="str">
        <f>data!D1097</f>
        <v>CHATEAU JUPILLE</v>
      </c>
      <c r="E1097" t="str">
        <f>data!E1097</f>
        <v>164005/12</v>
      </c>
      <c r="F1097" t="str">
        <f>data!F1097</f>
        <v>AC ST EMILION GD CRU CH JUCALIS</v>
      </c>
      <c r="G1097" s="10">
        <f>data!G1097</f>
        <v>324</v>
      </c>
      <c r="H1097" s="10">
        <f>data!I1097</f>
        <v>0</v>
      </c>
      <c r="I1097" s="10">
        <f t="shared" si="68"/>
        <v>324</v>
      </c>
      <c r="J1097" s="11">
        <f>data!H1097</f>
        <v>36</v>
      </c>
      <c r="K1097" s="11">
        <f>data!J1097</f>
        <v>0</v>
      </c>
      <c r="L1097" s="11">
        <f t="shared" si="69"/>
        <v>36</v>
      </c>
      <c r="M1097" s="9" t="str">
        <f t="shared" si="70"/>
        <v/>
      </c>
      <c r="N1097" s="9" t="str">
        <f t="shared" si="71"/>
        <v/>
      </c>
    </row>
    <row r="1098" spans="1:14" x14ac:dyDescent="0.25">
      <c r="A1098" t="str">
        <f>TEXT("1/"&amp;data!A1098,"mmmm")</f>
        <v>avril</v>
      </c>
      <c r="B1098">
        <f>data!B1098</f>
        <v>2016</v>
      </c>
      <c r="C1098" t="str">
        <f>data!C1098</f>
        <v>164</v>
      </c>
      <c r="D1098" t="str">
        <f>data!D1098</f>
        <v>CHATEAU JUPILLE</v>
      </c>
      <c r="E1098" t="str">
        <f>data!E1098</f>
        <v>164010</v>
      </c>
      <c r="F1098" t="str">
        <f>data!F1098</f>
        <v>AOP SAINT EMILION JUPILLE CARILLON</v>
      </c>
      <c r="G1098" s="10">
        <f>data!G1098</f>
        <v>171</v>
      </c>
      <c r="H1098" s="10">
        <f>data!I1098</f>
        <v>0</v>
      </c>
      <c r="I1098" s="10">
        <f t="shared" si="68"/>
        <v>171</v>
      </c>
      <c r="J1098" s="11">
        <f>data!H1098</f>
        <v>73.37</v>
      </c>
      <c r="K1098" s="11">
        <f>data!J1098</f>
        <v>6.67</v>
      </c>
      <c r="L1098" s="11">
        <f t="shared" si="69"/>
        <v>66.7</v>
      </c>
      <c r="M1098" s="9" t="str">
        <f t="shared" si="70"/>
        <v/>
      </c>
      <c r="N1098" s="9">
        <f t="shared" si="71"/>
        <v>10</v>
      </c>
    </row>
    <row r="1099" spans="1:14" x14ac:dyDescent="0.25">
      <c r="A1099" t="str">
        <f>TEXT("1/"&amp;data!A1099,"mmmm")</f>
        <v>avril</v>
      </c>
      <c r="B1099">
        <f>data!B1099</f>
        <v>2016</v>
      </c>
      <c r="C1099" t="str">
        <f>data!C1099</f>
        <v>164</v>
      </c>
      <c r="D1099" t="str">
        <f>data!D1099</f>
        <v>CHATEAU JUPILLE</v>
      </c>
      <c r="E1099" t="str">
        <f>data!E1099</f>
        <v>CDV164011</v>
      </c>
      <c r="F1099" t="str">
        <f>data!F1099</f>
        <v>MAGNUM JUPILLE CARILLON</v>
      </c>
      <c r="G1099" s="10">
        <f>data!G1099</f>
        <v>159.30000000000001</v>
      </c>
      <c r="H1099" s="10">
        <f>data!I1099</f>
        <v>0</v>
      </c>
      <c r="I1099" s="10">
        <f t="shared" si="68"/>
        <v>159.30000000000001</v>
      </c>
      <c r="J1099" s="11">
        <f>data!H1099</f>
        <v>18</v>
      </c>
      <c r="K1099" s="11">
        <f>data!J1099</f>
        <v>0</v>
      </c>
      <c r="L1099" s="11">
        <f t="shared" si="69"/>
        <v>18</v>
      </c>
      <c r="M1099" s="9" t="str">
        <f t="shared" si="70"/>
        <v/>
      </c>
      <c r="N1099" s="9" t="str">
        <f t="shared" si="71"/>
        <v/>
      </c>
    </row>
    <row r="1100" spans="1:14" x14ac:dyDescent="0.25">
      <c r="A1100" t="str">
        <f>TEXT("1/"&amp;data!A1100,"mmmm")</f>
        <v>avril</v>
      </c>
      <c r="B1100">
        <f>data!B1100</f>
        <v>2016</v>
      </c>
      <c r="C1100" t="str">
        <f>data!C1100</f>
        <v>168</v>
      </c>
      <c r="D1100" t="str">
        <f>data!D1100</f>
        <v>CHATEAU LA ROSE SARRON</v>
      </c>
      <c r="E1100" t="str">
        <f>data!E1100</f>
        <v>168001</v>
      </c>
      <c r="F1100" t="str">
        <f>data!F1100</f>
        <v>AC GRAVES CH LA ROSE SARRON</v>
      </c>
      <c r="G1100" s="10">
        <f>data!G1100</f>
        <v>1254.5999999999999</v>
      </c>
      <c r="H1100" s="10">
        <f>data!I1100</f>
        <v>840</v>
      </c>
      <c r="I1100" s="10">
        <f t="shared" si="68"/>
        <v>414.59999999999991</v>
      </c>
      <c r="J1100" s="11">
        <f>data!H1100</f>
        <v>306</v>
      </c>
      <c r="K1100" s="11">
        <f>data!J1100</f>
        <v>210</v>
      </c>
      <c r="L1100" s="11">
        <f t="shared" si="69"/>
        <v>96</v>
      </c>
      <c r="M1100" s="9">
        <f t="shared" si="70"/>
        <v>0.49357142857142844</v>
      </c>
      <c r="N1100" s="9">
        <f t="shared" si="71"/>
        <v>0.45714285714285713</v>
      </c>
    </row>
    <row r="1101" spans="1:14" x14ac:dyDescent="0.25">
      <c r="A1101" t="str">
        <f>TEXT("1/"&amp;data!A1101,"mmmm")</f>
        <v>avril</v>
      </c>
      <c r="B1101">
        <f>data!B1101</f>
        <v>2016</v>
      </c>
      <c r="C1101" t="str">
        <f>data!C1101</f>
        <v>168</v>
      </c>
      <c r="D1101" t="str">
        <f>data!D1101</f>
        <v>CHATEAU LA ROSE SARRON</v>
      </c>
      <c r="E1101" t="str">
        <f>data!E1101</f>
        <v>168002</v>
      </c>
      <c r="F1101" t="str">
        <f>data!F1101</f>
        <v>AC GRAVES CH. LA ROSE SARRON</v>
      </c>
      <c r="G1101" s="10">
        <f>data!G1101</f>
        <v>538.20000000000005</v>
      </c>
      <c r="H1101" s="10">
        <f>data!I1101</f>
        <v>80.400000000000006</v>
      </c>
      <c r="I1101" s="10">
        <f t="shared" si="68"/>
        <v>457.80000000000007</v>
      </c>
      <c r="J1101" s="11">
        <f>data!H1101</f>
        <v>156</v>
      </c>
      <c r="K1101" s="11">
        <f>data!J1101</f>
        <v>30</v>
      </c>
      <c r="L1101" s="11">
        <f t="shared" si="69"/>
        <v>126</v>
      </c>
      <c r="M1101" s="9">
        <f t="shared" si="70"/>
        <v>5.6940298507462694</v>
      </c>
      <c r="N1101" s="9">
        <f t="shared" si="71"/>
        <v>4.2</v>
      </c>
    </row>
    <row r="1102" spans="1:14" x14ac:dyDescent="0.25">
      <c r="A1102" t="str">
        <f>TEXT("1/"&amp;data!A1102,"mmmm")</f>
        <v>avril</v>
      </c>
      <c r="B1102">
        <f>data!B1102</f>
        <v>2016</v>
      </c>
      <c r="C1102" t="str">
        <f>data!C1102</f>
        <v>168</v>
      </c>
      <c r="D1102" t="str">
        <f>data!D1102</f>
        <v>CHATEAU LA ROSE SARRON</v>
      </c>
      <c r="E1102" t="str">
        <f>data!E1102</f>
        <v>168005</v>
      </c>
      <c r="F1102" t="str">
        <f>data!F1102</f>
        <v>AC GRAVES PRESTIGE CUVEE DAMIEN CH LA ROSE SARRON</v>
      </c>
      <c r="G1102" s="10">
        <f>data!G1102</f>
        <v>82.8</v>
      </c>
      <c r="H1102" s="10">
        <f>data!I1102</f>
        <v>82.8</v>
      </c>
      <c r="I1102" s="10">
        <f t="shared" si="68"/>
        <v>0</v>
      </c>
      <c r="J1102" s="11">
        <f>data!H1102</f>
        <v>12</v>
      </c>
      <c r="K1102" s="11">
        <f>data!J1102</f>
        <v>12</v>
      </c>
      <c r="L1102" s="11">
        <f t="shared" si="69"/>
        <v>0</v>
      </c>
      <c r="M1102" s="9">
        <f t="shared" si="70"/>
        <v>0</v>
      </c>
      <c r="N1102" s="9">
        <f t="shared" si="71"/>
        <v>0</v>
      </c>
    </row>
    <row r="1103" spans="1:14" x14ac:dyDescent="0.25">
      <c r="A1103" t="str">
        <f>TEXT("1/"&amp;data!A1103,"mmmm")</f>
        <v>avril</v>
      </c>
      <c r="B1103">
        <f>data!B1103</f>
        <v>2016</v>
      </c>
      <c r="C1103" t="str">
        <f>data!C1103</f>
        <v>168</v>
      </c>
      <c r="D1103" t="str">
        <f>data!D1103</f>
        <v>CHATEAU LA ROSE SARRON</v>
      </c>
      <c r="E1103" t="str">
        <f>data!E1103</f>
        <v>168020CB</v>
      </c>
      <c r="F1103" t="str">
        <f>data!F1103</f>
        <v>AOP GRAVES CH LA ROSE SARRON CAISSE BOIS 3 BLLES</v>
      </c>
      <c r="G1103" s="10">
        <f>data!G1103</f>
        <v>46.44</v>
      </c>
      <c r="H1103" s="10">
        <f>data!I1103</f>
        <v>61.92</v>
      </c>
      <c r="I1103" s="10">
        <f t="shared" si="68"/>
        <v>-15.480000000000004</v>
      </c>
      <c r="J1103" s="11">
        <f>data!H1103</f>
        <v>9</v>
      </c>
      <c r="K1103" s="11">
        <f>data!J1103</f>
        <v>12</v>
      </c>
      <c r="L1103" s="11">
        <f t="shared" si="69"/>
        <v>-3</v>
      </c>
      <c r="M1103" s="9">
        <f t="shared" si="70"/>
        <v>-0.25000000000000006</v>
      </c>
      <c r="N1103" s="9">
        <f t="shared" si="71"/>
        <v>-0.25</v>
      </c>
    </row>
    <row r="1104" spans="1:14" x14ac:dyDescent="0.25">
      <c r="A1104" t="str">
        <f>TEXT("1/"&amp;data!A1104,"mmmm")</f>
        <v>avril</v>
      </c>
      <c r="B1104">
        <f>data!B1104</f>
        <v>2016</v>
      </c>
      <c r="C1104" t="str">
        <f>data!C1104</f>
        <v>169</v>
      </c>
      <c r="D1104" t="str">
        <f>data!D1104</f>
        <v>CHATEAU PERREAU BEL AIR</v>
      </c>
      <c r="E1104" t="str">
        <f>data!E1104</f>
        <v>169001</v>
      </c>
      <c r="F1104" t="str">
        <f>data!F1104</f>
        <v>AC COTES DE CASTILLON CH PERREAU BEL AIR</v>
      </c>
      <c r="G1104" s="10">
        <f>data!G1104</f>
        <v>991.2</v>
      </c>
      <c r="H1104" s="10">
        <f>data!I1104</f>
        <v>1639.2</v>
      </c>
      <c r="I1104" s="10">
        <f t="shared" si="68"/>
        <v>-648</v>
      </c>
      <c r="J1104" s="11">
        <f>data!H1104</f>
        <v>342</v>
      </c>
      <c r="K1104" s="11">
        <f>data!J1104</f>
        <v>564</v>
      </c>
      <c r="L1104" s="11">
        <f t="shared" si="69"/>
        <v>-222</v>
      </c>
      <c r="M1104" s="9">
        <f t="shared" si="70"/>
        <v>-0.39531478770131773</v>
      </c>
      <c r="N1104" s="9">
        <f t="shared" si="71"/>
        <v>-0.39361702127659576</v>
      </c>
    </row>
    <row r="1105" spans="1:14" x14ac:dyDescent="0.25">
      <c r="A1105" t="str">
        <f>TEXT("1/"&amp;data!A1105,"mmmm")</f>
        <v>avril</v>
      </c>
      <c r="B1105">
        <f>data!B1105</f>
        <v>2016</v>
      </c>
      <c r="C1105" t="str">
        <f>data!C1105</f>
        <v>169</v>
      </c>
      <c r="D1105" t="str">
        <f>data!D1105</f>
        <v>CHATEAU PERREAU BEL AIR</v>
      </c>
      <c r="E1105" t="str">
        <f>data!E1105</f>
        <v>169002</v>
      </c>
      <c r="F1105" t="str">
        <f>data!F1105</f>
        <v>AC BORDEAUX SUPERIEUR CHATEAU MESSAYA</v>
      </c>
      <c r="G1105" s="10">
        <f>data!G1105</f>
        <v>489.06</v>
      </c>
      <c r="H1105" s="10">
        <f>data!I1105</f>
        <v>830.04</v>
      </c>
      <c r="I1105" s="10">
        <f t="shared" si="68"/>
        <v>-340.97999999999996</v>
      </c>
      <c r="J1105" s="11">
        <f>data!H1105</f>
        <v>198</v>
      </c>
      <c r="K1105" s="11">
        <f>data!J1105</f>
        <v>342</v>
      </c>
      <c r="L1105" s="11">
        <f t="shared" si="69"/>
        <v>-144</v>
      </c>
      <c r="M1105" s="9">
        <f t="shared" si="70"/>
        <v>-0.41079947954315454</v>
      </c>
      <c r="N1105" s="9">
        <f t="shared" si="71"/>
        <v>-0.42105263157894735</v>
      </c>
    </row>
    <row r="1106" spans="1:14" x14ac:dyDescent="0.25">
      <c r="A1106" t="str">
        <f>TEXT("1/"&amp;data!A1106,"mmmm")</f>
        <v>avril</v>
      </c>
      <c r="B1106">
        <f>data!B1106</f>
        <v>2016</v>
      </c>
      <c r="C1106" t="str">
        <f>data!C1106</f>
        <v>169</v>
      </c>
      <c r="D1106" t="str">
        <f>data!D1106</f>
        <v>CHATEAU PERREAU BEL AIR</v>
      </c>
      <c r="E1106" t="str">
        <f>data!E1106</f>
        <v>169003CB</v>
      </c>
      <c r="F1106" t="str">
        <f>data!F1106</f>
        <v>AOP COTES DE CASTILLON HARMONIE</v>
      </c>
      <c r="G1106" s="10">
        <f>data!G1106</f>
        <v>335.04</v>
      </c>
      <c r="H1106" s="10">
        <f>data!I1106</f>
        <v>0</v>
      </c>
      <c r="I1106" s="10">
        <f t="shared" si="68"/>
        <v>335.04</v>
      </c>
      <c r="J1106" s="11">
        <f>data!H1106</f>
        <v>48</v>
      </c>
      <c r="K1106" s="11">
        <f>data!J1106</f>
        <v>0</v>
      </c>
      <c r="L1106" s="11">
        <f t="shared" si="69"/>
        <v>48</v>
      </c>
      <c r="M1106" s="9" t="str">
        <f t="shared" si="70"/>
        <v/>
      </c>
      <c r="N1106" s="9" t="str">
        <f t="shared" si="71"/>
        <v/>
      </c>
    </row>
    <row r="1107" spans="1:14" x14ac:dyDescent="0.25">
      <c r="A1107" t="str">
        <f>TEXT("1/"&amp;data!A1107,"mmmm")</f>
        <v>avril</v>
      </c>
      <c r="B1107">
        <f>data!B1107</f>
        <v>2016</v>
      </c>
      <c r="C1107" t="str">
        <f>data!C1107</f>
        <v>169</v>
      </c>
      <c r="D1107" t="str">
        <f>data!D1107</f>
        <v>CHATEAU PERREAU BEL AIR</v>
      </c>
      <c r="E1107" t="str">
        <f>data!E1107</f>
        <v>169009</v>
      </c>
      <c r="F1107" t="str">
        <f>data!F1107</f>
        <v>AOP COTES DE BORDEAUX LES HAUTS DE PERREAU BEL AIR</v>
      </c>
      <c r="G1107" s="10">
        <f>data!G1107</f>
        <v>814</v>
      </c>
      <c r="H1107" s="10">
        <f>data!I1107</f>
        <v>1739</v>
      </c>
      <c r="I1107" s="10">
        <f t="shared" si="68"/>
        <v>-925</v>
      </c>
      <c r="J1107" s="11">
        <f>data!H1107</f>
        <v>586.52</v>
      </c>
      <c r="K1107" s="11">
        <f>data!J1107</f>
        <v>1253.02</v>
      </c>
      <c r="L1107" s="11">
        <f t="shared" si="69"/>
        <v>-666.5</v>
      </c>
      <c r="M1107" s="9">
        <f t="shared" si="70"/>
        <v>-0.53191489361702127</v>
      </c>
      <c r="N1107" s="9">
        <f t="shared" si="71"/>
        <v>-0.53191489361702127</v>
      </c>
    </row>
    <row r="1108" spans="1:14" x14ac:dyDescent="0.25">
      <c r="A1108" t="str">
        <f>TEXT("1/"&amp;data!A1108,"mmmm")</f>
        <v>avril</v>
      </c>
      <c r="B1108">
        <f>data!B1108</f>
        <v>2016</v>
      </c>
      <c r="C1108" t="str">
        <f>data!C1108</f>
        <v>169</v>
      </c>
      <c r="D1108" t="str">
        <f>data!D1108</f>
        <v>CHATEAU PERREAU BEL AIR</v>
      </c>
      <c r="E1108" t="str">
        <f>data!E1108</f>
        <v>169010</v>
      </c>
      <c r="F1108" t="str">
        <f>data!F1108</f>
        <v>AOP COTES DE BORDEAUX LES HAUTS DE PERREAU BEL AIR</v>
      </c>
      <c r="G1108" s="10">
        <f>data!G1108</f>
        <v>315</v>
      </c>
      <c r="H1108" s="10">
        <f>data!I1108</f>
        <v>619.5</v>
      </c>
      <c r="I1108" s="10">
        <f t="shared" si="68"/>
        <v>-304.5</v>
      </c>
      <c r="J1108" s="11">
        <f>data!H1108</f>
        <v>206.77</v>
      </c>
      <c r="K1108" s="11">
        <f>data!J1108</f>
        <v>393.53</v>
      </c>
      <c r="L1108" s="11">
        <f t="shared" si="69"/>
        <v>-186.75999999999996</v>
      </c>
      <c r="M1108" s="9">
        <f t="shared" si="70"/>
        <v>-0.49152542372881358</v>
      </c>
      <c r="N1108" s="9">
        <f t="shared" si="71"/>
        <v>-0.47457627118644063</v>
      </c>
    </row>
    <row r="1109" spans="1:14" x14ac:dyDescent="0.25">
      <c r="A1109" t="str">
        <f>TEXT("1/"&amp;data!A1109,"mmmm")</f>
        <v>avril</v>
      </c>
      <c r="B1109">
        <f>data!B1109</f>
        <v>2016</v>
      </c>
      <c r="C1109" t="str">
        <f>data!C1109</f>
        <v>169</v>
      </c>
      <c r="D1109" t="str">
        <f>data!D1109</f>
        <v>CHATEAU PERREAU BEL AIR</v>
      </c>
      <c r="E1109" t="str">
        <f>data!E1109</f>
        <v>169011</v>
      </c>
      <c r="F1109" t="str">
        <f>data!F1109</f>
        <v>CHATEAU DE L'AUZE BERGERAC BLANC</v>
      </c>
      <c r="G1109" s="10">
        <f>data!G1109</f>
        <v>75</v>
      </c>
      <c r="H1109" s="10">
        <f>data!I1109</f>
        <v>0</v>
      </c>
      <c r="I1109" s="10">
        <f t="shared" si="68"/>
        <v>75</v>
      </c>
      <c r="J1109" s="11">
        <f>data!H1109</f>
        <v>36</v>
      </c>
      <c r="K1109" s="11">
        <f>data!J1109</f>
        <v>0</v>
      </c>
      <c r="L1109" s="11">
        <f t="shared" si="69"/>
        <v>36</v>
      </c>
      <c r="M1109" s="9" t="str">
        <f t="shared" si="70"/>
        <v/>
      </c>
      <c r="N1109" s="9" t="str">
        <f t="shared" si="71"/>
        <v/>
      </c>
    </row>
    <row r="1110" spans="1:14" x14ac:dyDescent="0.25">
      <c r="A1110" t="str">
        <f>TEXT("1/"&amp;data!A1110,"mmmm")</f>
        <v>avril</v>
      </c>
      <c r="B1110">
        <f>data!B1110</f>
        <v>2016</v>
      </c>
      <c r="C1110" t="str">
        <f>data!C1110</f>
        <v>169</v>
      </c>
      <c r="D1110" t="str">
        <f>data!D1110</f>
        <v>CHATEAU PERREAU BEL AIR</v>
      </c>
      <c r="E1110" t="str">
        <f>data!E1110</f>
        <v>CDV169012</v>
      </c>
      <c r="F1110" t="str">
        <f>data!F1110</f>
        <v>AOP BORDEAUX CH MESSAYA</v>
      </c>
      <c r="G1110" s="10">
        <f>data!G1110</f>
        <v>0</v>
      </c>
      <c r="H1110" s="10">
        <f>data!I1110</f>
        <v>0</v>
      </c>
      <c r="I1110" s="10">
        <f t="shared" si="68"/>
        <v>0</v>
      </c>
      <c r="J1110" s="11">
        <f>data!H1110</f>
        <v>0</v>
      </c>
      <c r="K1110" s="11">
        <f>data!J1110</f>
        <v>18</v>
      </c>
      <c r="L1110" s="11">
        <f t="shared" si="69"/>
        <v>-18</v>
      </c>
      <c r="M1110" s="9" t="str">
        <f t="shared" si="70"/>
        <v/>
      </c>
      <c r="N1110" s="9">
        <f t="shared" si="71"/>
        <v>-1</v>
      </c>
    </row>
    <row r="1111" spans="1:14" x14ac:dyDescent="0.25">
      <c r="A1111" t="str">
        <f>TEXT("1/"&amp;data!A1111,"mmmm")</f>
        <v>avril</v>
      </c>
      <c r="B1111">
        <f>data!B1111</f>
        <v>2016</v>
      </c>
      <c r="C1111" t="str">
        <f>data!C1111</f>
        <v>174</v>
      </c>
      <c r="D1111" t="str">
        <f>data!D1111</f>
        <v>SAS VIGNOBLES DES 3 CHATEAUX</v>
      </c>
      <c r="E1111" t="str">
        <f>data!E1111</f>
        <v>174001</v>
      </c>
      <c r="F1111" t="str">
        <f>data!F1111</f>
        <v>AC PIC SAINT LOUP LES DEESSES MUETTES EMOTION</v>
      </c>
      <c r="G1111" s="10">
        <f>data!G1111</f>
        <v>1897.2</v>
      </c>
      <c r="H1111" s="10">
        <f>data!I1111</f>
        <v>1763.28</v>
      </c>
      <c r="I1111" s="10">
        <f t="shared" si="68"/>
        <v>133.92000000000007</v>
      </c>
      <c r="J1111" s="11">
        <f>data!H1111</f>
        <v>516</v>
      </c>
      <c r="K1111" s="11">
        <f>data!J1111</f>
        <v>474</v>
      </c>
      <c r="L1111" s="11">
        <f t="shared" si="69"/>
        <v>42</v>
      </c>
      <c r="M1111" s="9">
        <f t="shared" si="70"/>
        <v>7.5949367088607639E-2</v>
      </c>
      <c r="N1111" s="9">
        <f t="shared" si="71"/>
        <v>8.8607594936708861E-2</v>
      </c>
    </row>
    <row r="1112" spans="1:14" x14ac:dyDescent="0.25">
      <c r="A1112" t="str">
        <f>TEXT("1/"&amp;data!A1112,"mmmm")</f>
        <v>avril</v>
      </c>
      <c r="B1112">
        <f>data!B1112</f>
        <v>2016</v>
      </c>
      <c r="C1112" t="str">
        <f>data!C1112</f>
        <v>174</v>
      </c>
      <c r="D1112" t="str">
        <f>data!D1112</f>
        <v>SAS VIGNOBLES DES 3 CHATEAUX</v>
      </c>
      <c r="E1112" t="str">
        <f>data!E1112</f>
        <v>174002</v>
      </c>
      <c r="F1112" t="str">
        <f>data!F1112</f>
        <v>AC PIC SAINT LOUP CUVEE SPECIALE VIEILLI FUT DE CH</v>
      </c>
      <c r="G1112" s="10">
        <f>data!G1112</f>
        <v>111.6</v>
      </c>
      <c r="H1112" s="10">
        <f>data!I1112</f>
        <v>73.44</v>
      </c>
      <c r="I1112" s="10">
        <f t="shared" si="68"/>
        <v>38.159999999999997</v>
      </c>
      <c r="J1112" s="11">
        <f>data!H1112</f>
        <v>18</v>
      </c>
      <c r="K1112" s="11">
        <f>data!J1112</f>
        <v>12</v>
      </c>
      <c r="L1112" s="11">
        <f t="shared" si="69"/>
        <v>6</v>
      </c>
      <c r="M1112" s="9">
        <f t="shared" si="70"/>
        <v>0.51960784313725483</v>
      </c>
      <c r="N1112" s="9">
        <f t="shared" si="71"/>
        <v>0.5</v>
      </c>
    </row>
    <row r="1113" spans="1:14" x14ac:dyDescent="0.25">
      <c r="A1113" t="str">
        <f>TEXT("1/"&amp;data!A1113,"mmmm")</f>
        <v>avril</v>
      </c>
      <c r="B1113">
        <f>data!B1113</f>
        <v>2016</v>
      </c>
      <c r="C1113" t="str">
        <f>data!C1113</f>
        <v>174</v>
      </c>
      <c r="D1113" t="str">
        <f>data!D1113</f>
        <v>SAS VIGNOBLES DES 3 CHATEAUX</v>
      </c>
      <c r="E1113" t="str">
        <f>data!E1113</f>
        <v>174003</v>
      </c>
      <c r="F1113" t="str">
        <f>data!F1113</f>
        <v>IGP CARIGNAN - PETIT LOUP</v>
      </c>
      <c r="G1113" s="10">
        <f>data!G1113</f>
        <v>2238.7199999999998</v>
      </c>
      <c r="H1113" s="10">
        <f>data!I1113</f>
        <v>0</v>
      </c>
      <c r="I1113" s="10">
        <f t="shared" si="68"/>
        <v>2238.7199999999998</v>
      </c>
      <c r="J1113" s="11">
        <f>data!H1113</f>
        <v>1056</v>
      </c>
      <c r="K1113" s="11">
        <f>data!J1113</f>
        <v>0</v>
      </c>
      <c r="L1113" s="11">
        <f t="shared" si="69"/>
        <v>1056</v>
      </c>
      <c r="M1113" s="9" t="str">
        <f t="shared" si="70"/>
        <v/>
      </c>
      <c r="N1113" s="9" t="str">
        <f t="shared" si="71"/>
        <v/>
      </c>
    </row>
    <row r="1114" spans="1:14" x14ac:dyDescent="0.25">
      <c r="A1114" t="str">
        <f>TEXT("1/"&amp;data!A1114,"mmmm")</f>
        <v>avril</v>
      </c>
      <c r="B1114">
        <f>data!B1114</f>
        <v>2016</v>
      </c>
      <c r="C1114" t="str">
        <f>data!C1114</f>
        <v>174</v>
      </c>
      <c r="D1114" t="str">
        <f>data!D1114</f>
        <v>SAS VIGNOBLES DES 3 CHATEAUX</v>
      </c>
      <c r="E1114" t="str">
        <f>data!E1114</f>
        <v>174005</v>
      </c>
      <c r="F1114" t="str">
        <f>data!F1114</f>
        <v>IGP PAYS D'OC LES SARDINES</v>
      </c>
      <c r="G1114" s="10">
        <f>data!G1114</f>
        <v>1812.8</v>
      </c>
      <c r="H1114" s="10">
        <f>data!I1114</f>
        <v>0</v>
      </c>
      <c r="I1114" s="10">
        <f t="shared" si="68"/>
        <v>1812.8</v>
      </c>
      <c r="J1114" s="11">
        <f>data!H1114</f>
        <v>894</v>
      </c>
      <c r="K1114" s="11">
        <f>data!J1114</f>
        <v>0</v>
      </c>
      <c r="L1114" s="11">
        <f t="shared" si="69"/>
        <v>894</v>
      </c>
      <c r="M1114" s="9" t="str">
        <f t="shared" si="70"/>
        <v/>
      </c>
      <c r="N1114" s="9" t="str">
        <f t="shared" si="71"/>
        <v/>
      </c>
    </row>
    <row r="1115" spans="1:14" x14ac:dyDescent="0.25">
      <c r="A1115" t="str">
        <f>TEXT("1/"&amp;data!A1115,"mmmm")</f>
        <v>avril</v>
      </c>
      <c r="B1115">
        <f>data!B1115</f>
        <v>2016</v>
      </c>
      <c r="C1115" t="str">
        <f>data!C1115</f>
        <v>174</v>
      </c>
      <c r="D1115" t="str">
        <f>data!D1115</f>
        <v>SAS VIGNOBLES DES 3 CHATEAUX</v>
      </c>
      <c r="E1115" t="str">
        <f>data!E1115</f>
        <v>174006</v>
      </c>
      <c r="F1115" t="str">
        <f>data!F1115</f>
        <v>IGP PAYS D'OC LES SARDINES</v>
      </c>
      <c r="G1115" s="10">
        <f>data!G1115</f>
        <v>596.20000000000005</v>
      </c>
      <c r="H1115" s="10">
        <f>data!I1115</f>
        <v>0</v>
      </c>
      <c r="I1115" s="10">
        <f t="shared" si="68"/>
        <v>596.20000000000005</v>
      </c>
      <c r="J1115" s="11">
        <f>data!H1115</f>
        <v>318</v>
      </c>
      <c r="K1115" s="11">
        <f>data!J1115</f>
        <v>0</v>
      </c>
      <c r="L1115" s="11">
        <f t="shared" si="69"/>
        <v>318</v>
      </c>
      <c r="M1115" s="9" t="str">
        <f t="shared" si="70"/>
        <v/>
      </c>
      <c r="N1115" s="9" t="str">
        <f t="shared" si="71"/>
        <v/>
      </c>
    </row>
    <row r="1116" spans="1:14" x14ac:dyDescent="0.25">
      <c r="A1116" t="str">
        <f>TEXT("1/"&amp;data!A1116,"mmmm")</f>
        <v>avril</v>
      </c>
      <c r="B1116">
        <f>data!B1116</f>
        <v>2016</v>
      </c>
      <c r="C1116" t="str">
        <f>data!C1116</f>
        <v>174</v>
      </c>
      <c r="D1116" t="str">
        <f>data!D1116</f>
        <v>SAS VIGNOBLES DES 3 CHATEAUX</v>
      </c>
      <c r="E1116" t="str">
        <f>data!E1116</f>
        <v>174007</v>
      </c>
      <c r="F1116" t="str">
        <f>data!F1116</f>
        <v>IGP PAYS D'OC LES SARDINES</v>
      </c>
      <c r="G1116" s="10">
        <f>data!G1116</f>
        <v>568.1</v>
      </c>
      <c r="H1116" s="10">
        <f>data!I1116</f>
        <v>0</v>
      </c>
      <c r="I1116" s="10">
        <f t="shared" si="68"/>
        <v>568.1</v>
      </c>
      <c r="J1116" s="11">
        <f>data!H1116</f>
        <v>282</v>
      </c>
      <c r="K1116" s="11">
        <f>data!J1116</f>
        <v>0</v>
      </c>
      <c r="L1116" s="11">
        <f t="shared" si="69"/>
        <v>282</v>
      </c>
      <c r="M1116" s="9" t="str">
        <f t="shared" si="70"/>
        <v/>
      </c>
      <c r="N1116" s="9" t="str">
        <f t="shared" si="71"/>
        <v/>
      </c>
    </row>
    <row r="1117" spans="1:14" x14ac:dyDescent="0.25">
      <c r="A1117" t="str">
        <f>TEXT("1/"&amp;data!A1117,"mmmm")</f>
        <v>avril</v>
      </c>
      <c r="B1117">
        <f>data!B1117</f>
        <v>2016</v>
      </c>
      <c r="C1117" t="str">
        <f>data!C1117</f>
        <v>174</v>
      </c>
      <c r="D1117" t="str">
        <f>data!D1117</f>
        <v>SAS VIGNOBLES DES 3 CHATEAUX</v>
      </c>
      <c r="E1117" t="str">
        <f>data!E1117</f>
        <v>174009</v>
      </c>
      <c r="F1117" t="str">
        <f>data!F1117</f>
        <v>AOP PIC SAINT LOUP LA DIABLESSE</v>
      </c>
      <c r="G1117" s="10">
        <f>data!G1117</f>
        <v>0</v>
      </c>
      <c r="H1117" s="10">
        <f>data!I1117</f>
        <v>0</v>
      </c>
      <c r="I1117" s="10">
        <f t="shared" si="68"/>
        <v>0</v>
      </c>
      <c r="J1117" s="11">
        <f>data!H1117</f>
        <v>6</v>
      </c>
      <c r="K1117" s="11">
        <f>data!J1117</f>
        <v>0</v>
      </c>
      <c r="L1117" s="11">
        <f t="shared" si="69"/>
        <v>6</v>
      </c>
      <c r="M1117" s="9" t="str">
        <f t="shared" si="70"/>
        <v/>
      </c>
      <c r="N1117" s="9" t="str">
        <f t="shared" si="71"/>
        <v/>
      </c>
    </row>
    <row r="1118" spans="1:14" x14ac:dyDescent="0.25">
      <c r="A1118" t="str">
        <f>TEXT("1/"&amp;data!A1118,"mmmm")</f>
        <v>avril</v>
      </c>
      <c r="B1118">
        <f>data!B1118</f>
        <v>2016</v>
      </c>
      <c r="C1118" t="str">
        <f>data!C1118</f>
        <v>174</v>
      </c>
      <c r="D1118" t="str">
        <f>data!D1118</f>
        <v>SAS VIGNOBLES DES 3 CHATEAUX</v>
      </c>
      <c r="E1118" t="str">
        <f>data!E1118</f>
        <v>174010</v>
      </c>
      <c r="F1118" t="str">
        <f>data!F1118</f>
        <v>IGP OC MERLOT CABERNET TERROIR DES CIGALES</v>
      </c>
      <c r="G1118" s="10">
        <f>data!G1118</f>
        <v>978.2</v>
      </c>
      <c r="H1118" s="10">
        <f>data!I1118</f>
        <v>571.9</v>
      </c>
      <c r="I1118" s="10">
        <f t="shared" si="68"/>
        <v>406.30000000000007</v>
      </c>
      <c r="J1118" s="11">
        <f>data!H1118</f>
        <v>973.09</v>
      </c>
      <c r="K1118" s="11">
        <f>data!J1118</f>
        <v>573.19000000000005</v>
      </c>
      <c r="L1118" s="11">
        <f t="shared" si="69"/>
        <v>399.9</v>
      </c>
      <c r="M1118" s="9">
        <f t="shared" si="70"/>
        <v>0.71043888791746823</v>
      </c>
      <c r="N1118" s="9">
        <f t="shared" si="71"/>
        <v>0.69767441860465107</v>
      </c>
    </row>
    <row r="1119" spans="1:14" x14ac:dyDescent="0.25">
      <c r="A1119" t="str">
        <f>TEXT("1/"&amp;data!A1119,"mmmm")</f>
        <v>avril</v>
      </c>
      <c r="B1119">
        <f>data!B1119</f>
        <v>2016</v>
      </c>
      <c r="C1119" t="str">
        <f>data!C1119</f>
        <v>174</v>
      </c>
      <c r="D1119" t="str">
        <f>data!D1119</f>
        <v>SAS VIGNOBLES DES 3 CHATEAUX</v>
      </c>
      <c r="E1119" t="str">
        <f>data!E1119</f>
        <v>174011</v>
      </c>
      <c r="F1119" t="str">
        <f>data!F1119</f>
        <v>IGP OC MERLOT CABERNET TERROIR DES CIGALES</v>
      </c>
      <c r="G1119" s="10">
        <f>data!G1119</f>
        <v>399.84</v>
      </c>
      <c r="H1119" s="10">
        <f>data!I1119</f>
        <v>599.83000000000004</v>
      </c>
      <c r="I1119" s="10">
        <f t="shared" si="68"/>
        <v>-199.99000000000007</v>
      </c>
      <c r="J1119" s="11">
        <f>data!H1119</f>
        <v>353.51</v>
      </c>
      <c r="K1119" s="11">
        <f>data!J1119</f>
        <v>513.59</v>
      </c>
      <c r="L1119" s="11">
        <f t="shared" si="69"/>
        <v>-160.08000000000004</v>
      </c>
      <c r="M1119" s="9">
        <f t="shared" si="70"/>
        <v>-0.33341113315439386</v>
      </c>
      <c r="N1119" s="9">
        <f t="shared" si="71"/>
        <v>-0.31168831168831174</v>
      </c>
    </row>
    <row r="1120" spans="1:14" x14ac:dyDescent="0.25">
      <c r="A1120" t="str">
        <f>TEXT("1/"&amp;data!A1120,"mmmm")</f>
        <v>avril</v>
      </c>
      <c r="B1120">
        <f>data!B1120</f>
        <v>2016</v>
      </c>
      <c r="C1120" t="str">
        <f>data!C1120</f>
        <v>174</v>
      </c>
      <c r="D1120" t="str">
        <f>data!D1120</f>
        <v>SAS VIGNOBLES DES 3 CHATEAUX</v>
      </c>
      <c r="E1120" t="str">
        <f>data!E1120</f>
        <v>174015</v>
      </c>
      <c r="F1120" t="str">
        <f>data!F1120</f>
        <v>IGP OC CHARDONNAY LES CITELLES</v>
      </c>
      <c r="G1120" s="10">
        <f>data!G1120</f>
        <v>526.5</v>
      </c>
      <c r="H1120" s="10">
        <f>data!I1120</f>
        <v>473.85</v>
      </c>
      <c r="I1120" s="10">
        <f t="shared" si="68"/>
        <v>52.649999999999977</v>
      </c>
      <c r="J1120" s="11">
        <f>data!H1120</f>
        <v>399.9</v>
      </c>
      <c r="K1120" s="11">
        <f>data!J1120</f>
        <v>359.91</v>
      </c>
      <c r="L1120" s="11">
        <f t="shared" si="69"/>
        <v>39.989999999999952</v>
      </c>
      <c r="M1120" s="9">
        <f t="shared" si="70"/>
        <v>0.11111111111111106</v>
      </c>
      <c r="N1120" s="9">
        <f t="shared" si="71"/>
        <v>0.11111111111111097</v>
      </c>
    </row>
    <row r="1121" spans="1:14" x14ac:dyDescent="0.25">
      <c r="A1121" t="str">
        <f>TEXT("1/"&amp;data!A1121,"mmmm")</f>
        <v>avril</v>
      </c>
      <c r="B1121">
        <f>data!B1121</f>
        <v>2016</v>
      </c>
      <c r="C1121" t="str">
        <f>data!C1121</f>
        <v>174</v>
      </c>
      <c r="D1121" t="str">
        <f>data!D1121</f>
        <v>SAS VIGNOBLES DES 3 CHATEAUX</v>
      </c>
      <c r="E1121" t="str">
        <f>data!E1121</f>
        <v>174016</v>
      </c>
      <c r="F1121" t="str">
        <f>data!F1121</f>
        <v>IGP OC CHARDONNAY LES CITELLES</v>
      </c>
      <c r="G1121" s="10">
        <f>data!G1121</f>
        <v>737.04</v>
      </c>
      <c r="H1121" s="10">
        <f>data!I1121</f>
        <v>846.6</v>
      </c>
      <c r="I1121" s="10">
        <f t="shared" si="68"/>
        <v>-109.56000000000006</v>
      </c>
      <c r="J1121" s="11">
        <f>data!H1121</f>
        <v>506.92</v>
      </c>
      <c r="K1121" s="11">
        <f>data!J1121</f>
        <v>573.62</v>
      </c>
      <c r="L1121" s="11">
        <f t="shared" si="69"/>
        <v>-66.699999999999989</v>
      </c>
      <c r="M1121" s="9">
        <f t="shared" si="70"/>
        <v>-0.12941176470588242</v>
      </c>
      <c r="N1121" s="9">
        <f t="shared" si="71"/>
        <v>-0.11627906976744184</v>
      </c>
    </row>
    <row r="1122" spans="1:14" x14ac:dyDescent="0.25">
      <c r="A1122" t="str">
        <f>TEXT("1/"&amp;data!A1122,"mmmm")</f>
        <v>avril</v>
      </c>
      <c r="B1122">
        <f>data!B1122</f>
        <v>2016</v>
      </c>
      <c r="C1122" t="str">
        <f>data!C1122</f>
        <v>174</v>
      </c>
      <c r="D1122" t="str">
        <f>data!D1122</f>
        <v>SAS VIGNOBLES DES 3 CHATEAUX</v>
      </c>
      <c r="E1122" t="str">
        <f>data!E1122</f>
        <v>174020</v>
      </c>
      <c r="F1122" t="str">
        <f>data!F1122</f>
        <v>(x4) AOP COTEAUX DU LANGUEDOC GARUS</v>
      </c>
      <c r="G1122" s="10">
        <f>data!G1122</f>
        <v>199</v>
      </c>
      <c r="H1122" s="10">
        <f>data!I1122</f>
        <v>0</v>
      </c>
      <c r="I1122" s="10">
        <f t="shared" si="68"/>
        <v>199</v>
      </c>
      <c r="J1122" s="11">
        <f>data!H1122</f>
        <v>160.07999999999998</v>
      </c>
      <c r="K1122" s="11">
        <f>data!J1122</f>
        <v>0</v>
      </c>
      <c r="L1122" s="11">
        <f t="shared" si="69"/>
        <v>160.07999999999998</v>
      </c>
      <c r="M1122" s="9" t="str">
        <f t="shared" si="70"/>
        <v/>
      </c>
      <c r="N1122" s="9" t="str">
        <f t="shared" si="71"/>
        <v/>
      </c>
    </row>
    <row r="1123" spans="1:14" x14ac:dyDescent="0.25">
      <c r="A1123" t="str">
        <f>TEXT("1/"&amp;data!A1123,"mmmm")</f>
        <v>avril</v>
      </c>
      <c r="B1123">
        <f>data!B1123</f>
        <v>2016</v>
      </c>
      <c r="C1123" t="str">
        <f>data!C1123</f>
        <v>175</v>
      </c>
      <c r="D1123" t="str">
        <f>data!D1123</f>
        <v>SARL MAISON PERE &amp; FILS</v>
      </c>
      <c r="E1123" t="str">
        <f>data!E1123</f>
        <v>175001</v>
      </c>
      <c r="F1123" t="str">
        <f>data!F1123</f>
        <v>AC CHEVERNY DME MAISON</v>
      </c>
      <c r="G1123" s="10">
        <f>data!G1123</f>
        <v>22.5</v>
      </c>
      <c r="H1123" s="10">
        <f>data!I1123</f>
        <v>821.4</v>
      </c>
      <c r="I1123" s="10">
        <f t="shared" si="68"/>
        <v>-798.9</v>
      </c>
      <c r="J1123" s="11">
        <f>data!H1123</f>
        <v>6</v>
      </c>
      <c r="K1123" s="11">
        <f>data!J1123</f>
        <v>222</v>
      </c>
      <c r="L1123" s="11">
        <f t="shared" si="69"/>
        <v>-216</v>
      </c>
      <c r="M1123" s="9">
        <f t="shared" si="70"/>
        <v>-0.9726077428780131</v>
      </c>
      <c r="N1123" s="9">
        <f t="shared" si="71"/>
        <v>-0.97297297297297303</v>
      </c>
    </row>
    <row r="1124" spans="1:14" x14ac:dyDescent="0.25">
      <c r="A1124" t="str">
        <f>TEXT("1/"&amp;data!A1124,"mmmm")</f>
        <v>avril</v>
      </c>
      <c r="B1124">
        <f>data!B1124</f>
        <v>2016</v>
      </c>
      <c r="C1124" t="str">
        <f>data!C1124</f>
        <v>199</v>
      </c>
      <c r="D1124" t="str">
        <f>data!D1124</f>
        <v>PRIEURE SAINT JEAN DE BEBIAN</v>
      </c>
      <c r="E1124" t="str">
        <f>data!E1124</f>
        <v>199001</v>
      </c>
      <c r="F1124" t="str">
        <f>data!F1124</f>
        <v>AC COTEAUX DU LANGUEDOC CHAPELLE</v>
      </c>
      <c r="G1124" s="10">
        <f>data!G1124</f>
        <v>1447.2</v>
      </c>
      <c r="H1124" s="10">
        <f>data!I1124</f>
        <v>558</v>
      </c>
      <c r="I1124" s="10">
        <f t="shared" si="68"/>
        <v>889.2</v>
      </c>
      <c r="J1124" s="11">
        <f>data!H1124</f>
        <v>222</v>
      </c>
      <c r="K1124" s="11">
        <f>data!J1124</f>
        <v>90</v>
      </c>
      <c r="L1124" s="11">
        <f t="shared" si="69"/>
        <v>132</v>
      </c>
      <c r="M1124" s="9">
        <f t="shared" si="70"/>
        <v>1.5935483870967744</v>
      </c>
      <c r="N1124" s="9">
        <f t="shared" si="71"/>
        <v>1.4666666666666666</v>
      </c>
    </row>
    <row r="1125" spans="1:14" x14ac:dyDescent="0.25">
      <c r="A1125" t="str">
        <f>TEXT("1/"&amp;data!A1125,"mmmm")</f>
        <v>avril</v>
      </c>
      <c r="B1125">
        <f>data!B1125</f>
        <v>2016</v>
      </c>
      <c r="C1125" t="str">
        <f>data!C1125</f>
        <v>199</v>
      </c>
      <c r="D1125" t="str">
        <f>data!D1125</f>
        <v>PRIEURE SAINT JEAN DE BEBIAN</v>
      </c>
      <c r="E1125" t="str">
        <f>data!E1125</f>
        <v>199002</v>
      </c>
      <c r="F1125" t="str">
        <f>data!F1125</f>
        <v>AC COTEAUX DU LANGUEDOC PRIEURE ST JEAN</v>
      </c>
      <c r="G1125" s="10">
        <f>data!G1125</f>
        <v>1224</v>
      </c>
      <c r="H1125" s="10">
        <f>data!I1125</f>
        <v>78</v>
      </c>
      <c r="I1125" s="10">
        <f t="shared" si="68"/>
        <v>1146</v>
      </c>
      <c r="J1125" s="11">
        <f>data!H1125</f>
        <v>90</v>
      </c>
      <c r="K1125" s="11">
        <f>data!J1125</f>
        <v>6</v>
      </c>
      <c r="L1125" s="11">
        <f t="shared" si="69"/>
        <v>84</v>
      </c>
      <c r="M1125" s="9">
        <f t="shared" si="70"/>
        <v>14.692307692307692</v>
      </c>
      <c r="N1125" s="9">
        <f t="shared" si="71"/>
        <v>14</v>
      </c>
    </row>
    <row r="1126" spans="1:14" x14ac:dyDescent="0.25">
      <c r="A1126" t="str">
        <f>TEXT("1/"&amp;data!A1126,"mmmm")</f>
        <v>avril</v>
      </c>
      <c r="B1126">
        <f>data!B1126</f>
        <v>2016</v>
      </c>
      <c r="C1126" t="str">
        <f>data!C1126</f>
        <v>199</v>
      </c>
      <c r="D1126" t="str">
        <f>data!D1126</f>
        <v>PRIEURE SAINT JEAN DE BEBIAN</v>
      </c>
      <c r="E1126" t="str">
        <f>data!E1126</f>
        <v>199003</v>
      </c>
      <c r="F1126" t="str">
        <f>data!F1126</f>
        <v>AC COTEAUX DU LANGUEDOC LA CROIX DE BEBIAN</v>
      </c>
      <c r="G1126" s="10">
        <f>data!G1126</f>
        <v>1285.2</v>
      </c>
      <c r="H1126" s="10">
        <f>data!I1126</f>
        <v>705.6</v>
      </c>
      <c r="I1126" s="10">
        <f t="shared" si="68"/>
        <v>579.6</v>
      </c>
      <c r="J1126" s="11">
        <f>data!H1126</f>
        <v>312</v>
      </c>
      <c r="K1126" s="11">
        <f>data!J1126</f>
        <v>168</v>
      </c>
      <c r="L1126" s="11">
        <f t="shared" si="69"/>
        <v>144</v>
      </c>
      <c r="M1126" s="9">
        <f t="shared" si="70"/>
        <v>0.8214285714285714</v>
      </c>
      <c r="N1126" s="9">
        <f t="shared" si="71"/>
        <v>0.8571428571428571</v>
      </c>
    </row>
    <row r="1127" spans="1:14" x14ac:dyDescent="0.25">
      <c r="A1127" t="str">
        <f>TEXT("1/"&amp;data!A1127,"mmmm")</f>
        <v>avril</v>
      </c>
      <c r="B1127">
        <f>data!B1127</f>
        <v>2016</v>
      </c>
      <c r="C1127" t="str">
        <f>data!C1127</f>
        <v>199</v>
      </c>
      <c r="D1127" t="str">
        <f>data!D1127</f>
        <v>PRIEURE SAINT JEAN DE BEBIAN</v>
      </c>
      <c r="E1127" t="str">
        <f>data!E1127</f>
        <v>199004</v>
      </c>
      <c r="F1127" t="str">
        <f>data!F1127</f>
        <v>IGP PAYS D'OC LA CROIX DE BEBIAN</v>
      </c>
      <c r="G1127" s="10">
        <f>data!G1127</f>
        <v>369</v>
      </c>
      <c r="H1127" s="10">
        <f>data!I1127</f>
        <v>369</v>
      </c>
      <c r="I1127" s="10">
        <f t="shared" si="68"/>
        <v>0</v>
      </c>
      <c r="J1127" s="11">
        <f>data!H1127</f>
        <v>96</v>
      </c>
      <c r="K1127" s="11">
        <f>data!J1127</f>
        <v>96</v>
      </c>
      <c r="L1127" s="11">
        <f t="shared" si="69"/>
        <v>0</v>
      </c>
      <c r="M1127" s="9">
        <f t="shared" si="70"/>
        <v>0</v>
      </c>
      <c r="N1127" s="9">
        <f t="shared" si="71"/>
        <v>0</v>
      </c>
    </row>
    <row r="1128" spans="1:14" x14ac:dyDescent="0.25">
      <c r="A1128" t="str">
        <f>TEXT("1/"&amp;data!A1128,"mmmm")</f>
        <v>avril</v>
      </c>
      <c r="B1128">
        <f>data!B1128</f>
        <v>2016</v>
      </c>
      <c r="C1128" t="str">
        <f>data!C1128</f>
        <v>201</v>
      </c>
      <c r="D1128" t="str">
        <f>data!D1128</f>
        <v>CAVE LES COTEAUX DU RHONE</v>
      </c>
      <c r="E1128" t="str">
        <f>data!E1128</f>
        <v>201001</v>
      </c>
      <c r="F1128" t="str">
        <f>data!F1128</f>
        <v>IGP VAUCLUSE D'ORANGE CAVE LES COTEAUX DU RHONE</v>
      </c>
      <c r="G1128" s="10">
        <f>data!G1128</f>
        <v>168.3</v>
      </c>
      <c r="H1128" s="10">
        <f>data!I1128</f>
        <v>790.4</v>
      </c>
      <c r="I1128" s="10">
        <f t="shared" si="68"/>
        <v>-622.09999999999991</v>
      </c>
      <c r="J1128" s="11">
        <f>data!H1128</f>
        <v>160.07999999999998</v>
      </c>
      <c r="K1128" s="11">
        <f>data!J1128</f>
        <v>720.36</v>
      </c>
      <c r="L1128" s="11">
        <f t="shared" si="69"/>
        <v>-560.28</v>
      </c>
      <c r="M1128" s="9">
        <f t="shared" si="70"/>
        <v>-0.78706983805668007</v>
      </c>
      <c r="N1128" s="9">
        <f t="shared" si="71"/>
        <v>-0.77777777777777768</v>
      </c>
    </row>
    <row r="1129" spans="1:14" x14ac:dyDescent="0.25">
      <c r="A1129" t="str">
        <f>TEXT("1/"&amp;data!A1129,"mmmm")</f>
        <v>avril</v>
      </c>
      <c r="B1129">
        <f>data!B1129</f>
        <v>2016</v>
      </c>
      <c r="C1129" t="str">
        <f>data!C1129</f>
        <v>201</v>
      </c>
      <c r="D1129" t="str">
        <f>data!D1129</f>
        <v>CAVE LES COTEAUX DU RHONE</v>
      </c>
      <c r="E1129" t="str">
        <f>data!E1129</f>
        <v>201002</v>
      </c>
      <c r="F1129" t="str">
        <f>data!F1129</f>
        <v>IGP VAUCLUSE D'ORANGE CAVE LES COTEAUX DU RHONE</v>
      </c>
      <c r="G1129" s="10">
        <f>data!G1129</f>
        <v>1161.45</v>
      </c>
      <c r="H1129" s="10">
        <f>data!I1129</f>
        <v>1629.75</v>
      </c>
      <c r="I1129" s="10">
        <f t="shared" si="68"/>
        <v>-468.29999999999995</v>
      </c>
      <c r="J1129" s="11">
        <f>data!H1129</f>
        <v>1159.71</v>
      </c>
      <c r="K1129" s="11">
        <f>data!J1129</f>
        <v>1639.59</v>
      </c>
      <c r="L1129" s="11">
        <f t="shared" si="69"/>
        <v>-479.87999999999988</v>
      </c>
      <c r="M1129" s="9">
        <f t="shared" si="70"/>
        <v>-0.28734468476760239</v>
      </c>
      <c r="N1129" s="9">
        <f t="shared" si="71"/>
        <v>-0.29268292682926822</v>
      </c>
    </row>
    <row r="1130" spans="1:14" x14ac:dyDescent="0.25">
      <c r="A1130" t="str">
        <f>TEXT("1/"&amp;data!A1130,"mmmm")</f>
        <v>avril</v>
      </c>
      <c r="B1130">
        <f>data!B1130</f>
        <v>2016</v>
      </c>
      <c r="C1130" t="str">
        <f>data!C1130</f>
        <v>201</v>
      </c>
      <c r="D1130" t="str">
        <f>data!D1130</f>
        <v>CAVE LES COTEAUX DU RHONE</v>
      </c>
      <c r="E1130" t="str">
        <f>data!E1130</f>
        <v>201003</v>
      </c>
      <c r="F1130" t="str">
        <f>data!F1130</f>
        <v>IGP MEDITERRANEE LES COTEAUX DU RHONE</v>
      </c>
      <c r="G1130" s="10">
        <f>data!G1130</f>
        <v>604.35</v>
      </c>
      <c r="H1130" s="10">
        <f>data!I1130</f>
        <v>988</v>
      </c>
      <c r="I1130" s="10">
        <f t="shared" si="68"/>
        <v>-383.65</v>
      </c>
      <c r="J1130" s="11">
        <f>data!H1130</f>
        <v>540.27</v>
      </c>
      <c r="K1130" s="11">
        <f>data!J1130</f>
        <v>873.77</v>
      </c>
      <c r="L1130" s="11">
        <f t="shared" si="69"/>
        <v>-333.5</v>
      </c>
      <c r="M1130" s="9">
        <f t="shared" si="70"/>
        <v>-0.38830971659919028</v>
      </c>
      <c r="N1130" s="9">
        <f t="shared" si="71"/>
        <v>-0.38167938931297712</v>
      </c>
    </row>
    <row r="1131" spans="1:14" x14ac:dyDescent="0.25">
      <c r="A1131" t="str">
        <f>TEXT("1/"&amp;data!A1131,"mmmm")</f>
        <v>avril</v>
      </c>
      <c r="B1131">
        <f>data!B1131</f>
        <v>2016</v>
      </c>
      <c r="C1131" t="str">
        <f>data!C1131</f>
        <v>201</v>
      </c>
      <c r="D1131" t="str">
        <f>data!D1131</f>
        <v>CAVE LES COTEAUX DU RHONE</v>
      </c>
      <c r="E1131" t="str">
        <f>data!E1131</f>
        <v>201004</v>
      </c>
      <c r="F1131" t="str">
        <f>data!F1131</f>
        <v>IGP MEDITERRANEE LES COTEAUX DU RHONE</v>
      </c>
      <c r="G1131" s="10">
        <f>data!G1131</f>
        <v>1975.8</v>
      </c>
      <c r="H1131" s="10">
        <f>data!I1131</f>
        <v>2438</v>
      </c>
      <c r="I1131" s="10">
        <f t="shared" si="68"/>
        <v>-462.20000000000005</v>
      </c>
      <c r="J1131" s="11">
        <f>data!H1131</f>
        <v>1972.84</v>
      </c>
      <c r="K1131" s="11">
        <f>data!J1131</f>
        <v>2452.7199999999998</v>
      </c>
      <c r="L1131" s="11">
        <f t="shared" si="69"/>
        <v>-479.87999999999988</v>
      </c>
      <c r="M1131" s="9">
        <f t="shared" si="70"/>
        <v>-0.18958162428219855</v>
      </c>
      <c r="N1131" s="9">
        <f t="shared" si="71"/>
        <v>-0.19565217391304346</v>
      </c>
    </row>
    <row r="1132" spans="1:14" x14ac:dyDescent="0.25">
      <c r="A1132" t="str">
        <f>TEXT("1/"&amp;data!A1132,"mmmm")</f>
        <v>avril</v>
      </c>
      <c r="B1132">
        <f>data!B1132</f>
        <v>2016</v>
      </c>
      <c r="C1132" t="str">
        <f>data!C1132</f>
        <v>201</v>
      </c>
      <c r="D1132" t="str">
        <f>data!D1132</f>
        <v>CAVE LES COTEAUX DU RHONE</v>
      </c>
      <c r="E1132" t="str">
        <f>data!E1132</f>
        <v>201006</v>
      </c>
      <c r="F1132" t="str">
        <f>data!F1132</f>
        <v>AOP COTES DU RHONE MAGIE D'UNE TERRE</v>
      </c>
      <c r="G1132" s="10">
        <f>data!G1132</f>
        <v>504</v>
      </c>
      <c r="H1132" s="10">
        <f>data!I1132</f>
        <v>650.4</v>
      </c>
      <c r="I1132" s="10">
        <f t="shared" si="68"/>
        <v>-146.39999999999998</v>
      </c>
      <c r="J1132" s="11">
        <f>data!H1132</f>
        <v>210</v>
      </c>
      <c r="K1132" s="11">
        <f>data!J1132</f>
        <v>300</v>
      </c>
      <c r="L1132" s="11">
        <f t="shared" si="69"/>
        <v>-90</v>
      </c>
      <c r="M1132" s="9">
        <f t="shared" si="70"/>
        <v>-0.2250922509225092</v>
      </c>
      <c r="N1132" s="9">
        <f t="shared" si="71"/>
        <v>-0.3</v>
      </c>
    </row>
    <row r="1133" spans="1:14" x14ac:dyDescent="0.25">
      <c r="A1133" t="str">
        <f>TEXT("1/"&amp;data!A1133,"mmmm")</f>
        <v>avril</v>
      </c>
      <c r="B1133">
        <f>data!B1133</f>
        <v>2016</v>
      </c>
      <c r="C1133" t="str">
        <f>data!C1133</f>
        <v>201</v>
      </c>
      <c r="D1133" t="str">
        <f>data!D1133</f>
        <v>CAVE LES COTEAUX DU RHONE</v>
      </c>
      <c r="E1133" t="str">
        <f>data!E1133</f>
        <v>201007</v>
      </c>
      <c r="F1133" t="str">
        <f>data!F1133</f>
        <v>AOP VACQUEYRASDOMAINE GRANDY</v>
      </c>
      <c r="G1133" s="10">
        <f>data!G1133</f>
        <v>33.6</v>
      </c>
      <c r="H1133" s="10">
        <f>data!I1133</f>
        <v>0</v>
      </c>
      <c r="I1133" s="10">
        <f t="shared" si="68"/>
        <v>33.6</v>
      </c>
      <c r="J1133" s="11">
        <f>data!H1133</f>
        <v>6</v>
      </c>
      <c r="K1133" s="11">
        <f>data!J1133</f>
        <v>0</v>
      </c>
      <c r="L1133" s="11">
        <f t="shared" si="69"/>
        <v>6</v>
      </c>
      <c r="M1133" s="9" t="str">
        <f t="shared" si="70"/>
        <v/>
      </c>
      <c r="N1133" s="9" t="str">
        <f t="shared" si="71"/>
        <v/>
      </c>
    </row>
    <row r="1134" spans="1:14" x14ac:dyDescent="0.25">
      <c r="A1134" t="str">
        <f>TEXT("1/"&amp;data!A1134,"mmmm")</f>
        <v>avril</v>
      </c>
      <c r="B1134">
        <f>data!B1134</f>
        <v>2016</v>
      </c>
      <c r="C1134" t="str">
        <f>data!C1134</f>
        <v>201</v>
      </c>
      <c r="D1134" t="str">
        <f>data!D1134</f>
        <v>CAVE LES COTEAUX DU RHONE</v>
      </c>
      <c r="E1134" t="str">
        <f>data!E1134</f>
        <v>201008</v>
      </c>
      <c r="F1134" t="str">
        <f>data!F1134</f>
        <v>AOP COTES DU RHONE PATRICE NICOLAS</v>
      </c>
      <c r="G1134" s="10">
        <f>data!G1134</f>
        <v>402.6</v>
      </c>
      <c r="H1134" s="10">
        <f>data!I1134</f>
        <v>153.6</v>
      </c>
      <c r="I1134" s="10">
        <f t="shared" si="68"/>
        <v>249.00000000000003</v>
      </c>
      <c r="J1134" s="11">
        <f>data!H1134</f>
        <v>132</v>
      </c>
      <c r="K1134" s="11">
        <f>data!J1134</f>
        <v>48</v>
      </c>
      <c r="L1134" s="11">
        <f t="shared" si="69"/>
        <v>84</v>
      </c>
      <c r="M1134" s="9">
        <f t="shared" si="70"/>
        <v>1.6210937500000002</v>
      </c>
      <c r="N1134" s="9">
        <f t="shared" si="71"/>
        <v>1.75</v>
      </c>
    </row>
    <row r="1135" spans="1:14" x14ac:dyDescent="0.25">
      <c r="A1135" t="str">
        <f>TEXT("1/"&amp;data!A1135,"mmmm")</f>
        <v>avril</v>
      </c>
      <c r="B1135">
        <f>data!B1135</f>
        <v>2016</v>
      </c>
      <c r="C1135" t="str">
        <f>data!C1135</f>
        <v>201</v>
      </c>
      <c r="D1135" t="str">
        <f>data!D1135</f>
        <v>CAVE LES COTEAUX DU RHONE</v>
      </c>
      <c r="E1135" t="str">
        <f>data!E1135</f>
        <v>201010</v>
      </c>
      <c r="F1135" t="str">
        <f>data!F1135</f>
        <v>AOP COTES DU RHONE</v>
      </c>
      <c r="G1135" s="10">
        <f>data!G1135</f>
        <v>651</v>
      </c>
      <c r="H1135" s="10">
        <f>data!I1135</f>
        <v>502.2</v>
      </c>
      <c r="I1135" s="10">
        <f t="shared" si="68"/>
        <v>148.80000000000001</v>
      </c>
      <c r="J1135" s="11">
        <f>data!H1135</f>
        <v>466.55</v>
      </c>
      <c r="K1135" s="11">
        <f>data!J1135</f>
        <v>359.91</v>
      </c>
      <c r="L1135" s="11">
        <f t="shared" si="69"/>
        <v>106.63999999999999</v>
      </c>
      <c r="M1135" s="9">
        <f t="shared" si="70"/>
        <v>0.29629629629629634</v>
      </c>
      <c r="N1135" s="9">
        <f t="shared" si="71"/>
        <v>0.29629629629629622</v>
      </c>
    </row>
    <row r="1136" spans="1:14" x14ac:dyDescent="0.25">
      <c r="A1136" t="str">
        <f>TEXT("1/"&amp;data!A1136,"mmmm")</f>
        <v>avril</v>
      </c>
      <c r="B1136">
        <f>data!B1136</f>
        <v>2016</v>
      </c>
      <c r="C1136" t="str">
        <f>data!C1136</f>
        <v>201</v>
      </c>
      <c r="D1136" t="str">
        <f>data!D1136</f>
        <v>CAVE LES COTEAUX DU RHONE</v>
      </c>
      <c r="E1136" t="str">
        <f>data!E1136</f>
        <v>201011</v>
      </c>
      <c r="F1136" t="str">
        <f>data!F1136</f>
        <v>AOP COTES DU RHONE</v>
      </c>
      <c r="G1136" s="10">
        <f>data!G1136</f>
        <v>282.8</v>
      </c>
      <c r="H1136" s="10">
        <f>data!I1136</f>
        <v>363.6</v>
      </c>
      <c r="I1136" s="10">
        <f t="shared" si="68"/>
        <v>-80.800000000000011</v>
      </c>
      <c r="J1136" s="11">
        <f>data!H1136</f>
        <v>206.77</v>
      </c>
      <c r="K1136" s="11">
        <f>data!J1136</f>
        <v>246.79</v>
      </c>
      <c r="L1136" s="11">
        <f t="shared" si="69"/>
        <v>-40.019999999999982</v>
      </c>
      <c r="M1136" s="9">
        <f t="shared" si="70"/>
        <v>-0.22222222222222224</v>
      </c>
      <c r="N1136" s="9">
        <f t="shared" si="71"/>
        <v>-0.16216216216216209</v>
      </c>
    </row>
    <row r="1137" spans="1:14" x14ac:dyDescent="0.25">
      <c r="A1137" t="str">
        <f>TEXT("1/"&amp;data!A1137,"mmmm")</f>
        <v>avril</v>
      </c>
      <c r="B1137">
        <f>data!B1137</f>
        <v>2016</v>
      </c>
      <c r="C1137" t="str">
        <f>data!C1137</f>
        <v>201</v>
      </c>
      <c r="D1137" t="str">
        <f>data!D1137</f>
        <v>CAVE LES COTEAUX DU RHONE</v>
      </c>
      <c r="E1137" t="str">
        <f>data!E1137</f>
        <v>201012</v>
      </c>
      <c r="F1137" t="str">
        <f>data!F1137</f>
        <v>AOP CDR VILLAGES PLAN DE DIEU PANICAUT</v>
      </c>
      <c r="G1137" s="10">
        <f>data!G1137</f>
        <v>197.1</v>
      </c>
      <c r="H1137" s="10">
        <f>data!I1137</f>
        <v>453.6</v>
      </c>
      <c r="I1137" s="10">
        <f t="shared" si="68"/>
        <v>-256.5</v>
      </c>
      <c r="J1137" s="11">
        <f>data!H1137</f>
        <v>54</v>
      </c>
      <c r="K1137" s="11">
        <f>data!J1137</f>
        <v>132</v>
      </c>
      <c r="L1137" s="11">
        <f t="shared" si="69"/>
        <v>-78</v>
      </c>
      <c r="M1137" s="9">
        <f t="shared" si="70"/>
        <v>-0.56547619047619047</v>
      </c>
      <c r="N1137" s="9">
        <f t="shared" si="71"/>
        <v>-0.59090909090909094</v>
      </c>
    </row>
    <row r="1138" spans="1:14" x14ac:dyDescent="0.25">
      <c r="A1138" t="str">
        <f>TEXT("1/"&amp;data!A1138,"mmmm")</f>
        <v>avril</v>
      </c>
      <c r="B1138">
        <f>data!B1138</f>
        <v>2016</v>
      </c>
      <c r="C1138" t="str">
        <f>data!C1138</f>
        <v>201</v>
      </c>
      <c r="D1138" t="str">
        <f>data!D1138</f>
        <v>CAVE LES COTEAUX DU RHONE</v>
      </c>
      <c r="E1138" t="str">
        <f>data!E1138</f>
        <v>201013</v>
      </c>
      <c r="F1138" t="str">
        <f>data!F1138</f>
        <v>AOP CDR VILLAGES CAIRANNE LA BOSQUETTE</v>
      </c>
      <c r="G1138" s="10">
        <f>data!G1138</f>
        <v>23.1</v>
      </c>
      <c r="H1138" s="10">
        <f>data!I1138</f>
        <v>-48.6</v>
      </c>
      <c r="I1138" s="10">
        <f t="shared" si="68"/>
        <v>71.7</v>
      </c>
      <c r="J1138" s="11">
        <f>data!H1138</f>
        <v>6</v>
      </c>
      <c r="K1138" s="11">
        <f>data!J1138</f>
        <v>-12</v>
      </c>
      <c r="L1138" s="11">
        <f t="shared" si="69"/>
        <v>18</v>
      </c>
      <c r="M1138" s="9">
        <f t="shared" si="70"/>
        <v>-1.4753086419753088</v>
      </c>
      <c r="N1138" s="9">
        <f t="shared" si="71"/>
        <v>-1.5</v>
      </c>
    </row>
    <row r="1139" spans="1:14" x14ac:dyDescent="0.25">
      <c r="A1139" t="str">
        <f>TEXT("1/"&amp;data!A1139,"mmmm")</f>
        <v>avril</v>
      </c>
      <c r="B1139">
        <f>data!B1139</f>
        <v>2016</v>
      </c>
      <c r="C1139" t="str">
        <f>data!C1139</f>
        <v>201</v>
      </c>
      <c r="D1139" t="str">
        <f>data!D1139</f>
        <v>CAVE LES COTEAUX DU RHONE</v>
      </c>
      <c r="E1139" t="str">
        <f>data!E1139</f>
        <v>201014</v>
      </c>
      <c r="F1139" t="str">
        <f>data!F1139</f>
        <v>AOP COTES DU RHONE VILLAGES JASOUN</v>
      </c>
      <c r="G1139" s="10">
        <f>data!G1139</f>
        <v>144</v>
      </c>
      <c r="H1139" s="10">
        <f>data!I1139</f>
        <v>1062</v>
      </c>
      <c r="I1139" s="10">
        <f t="shared" si="68"/>
        <v>-918</v>
      </c>
      <c r="J1139" s="11">
        <f>data!H1139</f>
        <v>48</v>
      </c>
      <c r="K1139" s="11">
        <f>data!J1139</f>
        <v>360</v>
      </c>
      <c r="L1139" s="11">
        <f t="shared" si="69"/>
        <v>-312</v>
      </c>
      <c r="M1139" s="9">
        <f t="shared" si="70"/>
        <v>-0.86440677966101698</v>
      </c>
      <c r="N1139" s="9">
        <f t="shared" si="71"/>
        <v>-0.8666666666666667</v>
      </c>
    </row>
    <row r="1140" spans="1:14" x14ac:dyDescent="0.25">
      <c r="A1140" t="str">
        <f>TEXT("1/"&amp;data!A1140,"mmmm")</f>
        <v>avril</v>
      </c>
      <c r="B1140">
        <f>data!B1140</f>
        <v>2016</v>
      </c>
      <c r="C1140" t="str">
        <f>data!C1140</f>
        <v>201</v>
      </c>
      <c r="D1140" t="str">
        <f>data!D1140</f>
        <v>CAVE LES COTEAUX DU RHONE</v>
      </c>
      <c r="E1140" t="str">
        <f>data!E1140</f>
        <v>201015</v>
      </c>
      <c r="F1140" t="str">
        <f>data!F1140</f>
        <v>AOP CDR VILLAGES MASSIF D'UCHAUX ARBOUSE</v>
      </c>
      <c r="G1140" s="10">
        <f>data!G1140</f>
        <v>58.5</v>
      </c>
      <c r="H1140" s="10">
        <f>data!I1140</f>
        <v>0</v>
      </c>
      <c r="I1140" s="10">
        <f t="shared" si="68"/>
        <v>58.5</v>
      </c>
      <c r="J1140" s="11">
        <f>data!H1140</f>
        <v>18</v>
      </c>
      <c r="K1140" s="11">
        <f>data!J1140</f>
        <v>0</v>
      </c>
      <c r="L1140" s="11">
        <f t="shared" si="69"/>
        <v>18</v>
      </c>
      <c r="M1140" s="9" t="str">
        <f t="shared" si="70"/>
        <v/>
      </c>
      <c r="N1140" s="9" t="str">
        <f t="shared" si="71"/>
        <v/>
      </c>
    </row>
    <row r="1141" spans="1:14" x14ac:dyDescent="0.25">
      <c r="A1141" t="str">
        <f>TEXT("1/"&amp;data!A1141,"mmmm")</f>
        <v>avril</v>
      </c>
      <c r="B1141">
        <f>data!B1141</f>
        <v>2016</v>
      </c>
      <c r="C1141" t="str">
        <f>data!C1141</f>
        <v>201</v>
      </c>
      <c r="D1141" t="str">
        <f>data!D1141</f>
        <v>CAVE LES COTEAUX DU RHONE</v>
      </c>
      <c r="E1141" t="str">
        <f>data!E1141</f>
        <v>201016</v>
      </c>
      <c r="F1141" t="str">
        <f>data!F1141</f>
        <v>AC COTES DU RHONE MAGIE D'UNE TERRE</v>
      </c>
      <c r="G1141" s="10">
        <f>data!G1141</f>
        <v>61.92</v>
      </c>
      <c r="H1141" s="10">
        <f>data!I1141</f>
        <v>0</v>
      </c>
      <c r="I1141" s="10">
        <f t="shared" si="68"/>
        <v>61.92</v>
      </c>
      <c r="J1141" s="11">
        <f>data!H1141</f>
        <v>18</v>
      </c>
      <c r="K1141" s="11">
        <f>data!J1141</f>
        <v>0</v>
      </c>
      <c r="L1141" s="11">
        <f t="shared" si="69"/>
        <v>18</v>
      </c>
      <c r="M1141" s="9" t="str">
        <f t="shared" si="70"/>
        <v/>
      </c>
      <c r="N1141" s="9" t="str">
        <f t="shared" si="71"/>
        <v/>
      </c>
    </row>
    <row r="1142" spans="1:14" x14ac:dyDescent="0.25">
      <c r="A1142" t="str">
        <f>TEXT("1/"&amp;data!A1142,"mmmm")</f>
        <v>avril</v>
      </c>
      <c r="B1142">
        <f>data!B1142</f>
        <v>2016</v>
      </c>
      <c r="C1142" t="str">
        <f>data!C1142</f>
        <v>201</v>
      </c>
      <c r="D1142" t="str">
        <f>data!D1142</f>
        <v>CAVE LES COTEAUX DU RHONE</v>
      </c>
      <c r="E1142" t="str">
        <f>data!E1142</f>
        <v>201017</v>
      </c>
      <c r="F1142" t="str">
        <f>data!F1142</f>
        <v>IGP VAUCLUSE D'ORANGE CHASAN VERMENTINO</v>
      </c>
      <c r="G1142" s="10">
        <f>data!G1142</f>
        <v>156.75</v>
      </c>
      <c r="H1142" s="10">
        <f>data!I1142</f>
        <v>0</v>
      </c>
      <c r="I1142" s="10">
        <f t="shared" si="68"/>
        <v>156.75</v>
      </c>
      <c r="J1142" s="11">
        <f>data!H1142</f>
        <v>133.4</v>
      </c>
      <c r="K1142" s="11">
        <f>data!J1142</f>
        <v>0</v>
      </c>
      <c r="L1142" s="11">
        <f t="shared" si="69"/>
        <v>133.4</v>
      </c>
      <c r="M1142" s="9" t="str">
        <f t="shared" si="70"/>
        <v/>
      </c>
      <c r="N1142" s="9" t="str">
        <f t="shared" si="71"/>
        <v/>
      </c>
    </row>
    <row r="1143" spans="1:14" x14ac:dyDescent="0.25">
      <c r="A1143" t="str">
        <f>TEXT("1/"&amp;data!A1143,"mmmm")</f>
        <v>avril</v>
      </c>
      <c r="B1143">
        <f>data!B1143</f>
        <v>2016</v>
      </c>
      <c r="C1143" t="str">
        <f>data!C1143</f>
        <v>201</v>
      </c>
      <c r="D1143" t="str">
        <f>data!D1143</f>
        <v>CAVE LES COTEAUX DU RHONE</v>
      </c>
      <c r="E1143" t="str">
        <f>data!E1143</f>
        <v>201018</v>
      </c>
      <c r="F1143" t="str">
        <f>data!F1143</f>
        <v>IGP VAUCLUSE D'ORANGE VIOGNIER</v>
      </c>
      <c r="G1143" s="10">
        <f>data!G1143</f>
        <v>18.75</v>
      </c>
      <c r="H1143" s="10">
        <f>data!I1143</f>
        <v>0</v>
      </c>
      <c r="I1143" s="10">
        <f t="shared" si="68"/>
        <v>18.75</v>
      </c>
      <c r="J1143" s="11">
        <f>data!H1143</f>
        <v>20</v>
      </c>
      <c r="K1143" s="11">
        <f>data!J1143</f>
        <v>0</v>
      </c>
      <c r="L1143" s="11">
        <f t="shared" si="69"/>
        <v>20</v>
      </c>
      <c r="M1143" s="9" t="str">
        <f t="shared" si="70"/>
        <v/>
      </c>
      <c r="N1143" s="9" t="str">
        <f t="shared" si="71"/>
        <v/>
      </c>
    </row>
    <row r="1144" spans="1:14" x14ac:dyDescent="0.25">
      <c r="A1144" t="str">
        <f>TEXT("1/"&amp;data!A1144,"mmmm")</f>
        <v>avril</v>
      </c>
      <c r="B1144">
        <f>data!B1144</f>
        <v>2016</v>
      </c>
      <c r="C1144" t="str">
        <f>data!C1144</f>
        <v>201</v>
      </c>
      <c r="D1144" t="str">
        <f>data!D1144</f>
        <v>CAVE LES COTEAUX DU RHONE</v>
      </c>
      <c r="E1144" t="str">
        <f>data!E1144</f>
        <v>201022</v>
      </c>
      <c r="F1144" t="str">
        <f>data!F1144</f>
        <v>IGP PRINCIPAUTE D'ORANGE</v>
      </c>
      <c r="G1144" s="10">
        <f>data!G1144</f>
        <v>50.5</v>
      </c>
      <c r="H1144" s="10">
        <f>data!I1144</f>
        <v>0</v>
      </c>
      <c r="I1144" s="10">
        <f t="shared" si="68"/>
        <v>50.5</v>
      </c>
      <c r="J1144" s="11">
        <f>data!H1144</f>
        <v>40</v>
      </c>
      <c r="K1144" s="11">
        <f>data!J1144</f>
        <v>0</v>
      </c>
      <c r="L1144" s="11">
        <f t="shared" si="69"/>
        <v>40</v>
      </c>
      <c r="M1144" s="9" t="str">
        <f t="shared" si="70"/>
        <v/>
      </c>
      <c r="N1144" s="9" t="str">
        <f t="shared" si="71"/>
        <v/>
      </c>
    </row>
    <row r="1145" spans="1:14" x14ac:dyDescent="0.25">
      <c r="A1145" t="str">
        <f>TEXT("1/"&amp;data!A1145,"mmmm")</f>
        <v>avril</v>
      </c>
      <c r="B1145">
        <f>data!B1145</f>
        <v>2016</v>
      </c>
      <c r="C1145" t="str">
        <f>data!C1145</f>
        <v>201</v>
      </c>
      <c r="D1145" t="str">
        <f>data!D1145</f>
        <v>CAVE LES COTEAUX DU RHONE</v>
      </c>
      <c r="E1145" t="str">
        <f>data!E1145</f>
        <v>201026</v>
      </c>
      <c r="F1145" t="str">
        <f>data!F1145</f>
        <v>IGP VAUCLUSE BALLADE DE COLLINE</v>
      </c>
      <c r="G1145" s="10">
        <f>data!G1145</f>
        <v>57.6</v>
      </c>
      <c r="H1145" s="10">
        <f>data!I1145</f>
        <v>157.69999999999999</v>
      </c>
      <c r="I1145" s="10">
        <f t="shared" si="68"/>
        <v>-100.1</v>
      </c>
      <c r="J1145" s="11">
        <f>data!H1145</f>
        <v>30</v>
      </c>
      <c r="K1145" s="11">
        <f>data!J1145</f>
        <v>102</v>
      </c>
      <c r="L1145" s="11">
        <f t="shared" si="69"/>
        <v>-72</v>
      </c>
      <c r="M1145" s="9">
        <f t="shared" si="70"/>
        <v>-0.63474952441344323</v>
      </c>
      <c r="N1145" s="9">
        <f t="shared" si="71"/>
        <v>-0.70588235294117652</v>
      </c>
    </row>
    <row r="1146" spans="1:14" x14ac:dyDescent="0.25">
      <c r="A1146" t="str">
        <f>TEXT("1/"&amp;data!A1146,"mmmm")</f>
        <v>avril</v>
      </c>
      <c r="B1146">
        <f>data!B1146</f>
        <v>2016</v>
      </c>
      <c r="C1146" t="str">
        <f>data!C1146</f>
        <v>201</v>
      </c>
      <c r="D1146" t="str">
        <f>data!D1146</f>
        <v>CAVE LES COTEAUX DU RHONE</v>
      </c>
      <c r="E1146" t="str">
        <f>data!E1146</f>
        <v>201027</v>
      </c>
      <c r="F1146" t="str">
        <f>data!F1146</f>
        <v>IGP VAUCLUSE BALLADE DE COLLINE</v>
      </c>
      <c r="G1146" s="10">
        <f>data!G1146</f>
        <v>80.64</v>
      </c>
      <c r="H1146" s="10">
        <f>data!I1146</f>
        <v>353.4</v>
      </c>
      <c r="I1146" s="10">
        <f t="shared" si="68"/>
        <v>-272.76</v>
      </c>
      <c r="J1146" s="11">
        <f>data!H1146</f>
        <v>42</v>
      </c>
      <c r="K1146" s="11">
        <f>data!J1146</f>
        <v>228</v>
      </c>
      <c r="L1146" s="11">
        <f t="shared" si="69"/>
        <v>-186</v>
      </c>
      <c r="M1146" s="9">
        <f t="shared" si="70"/>
        <v>-0.77181663837011882</v>
      </c>
      <c r="N1146" s="9">
        <f t="shared" si="71"/>
        <v>-0.81578947368421051</v>
      </c>
    </row>
    <row r="1147" spans="1:14" x14ac:dyDescent="0.25">
      <c r="A1147" t="str">
        <f>TEXT("1/"&amp;data!A1147,"mmmm")</f>
        <v>avril</v>
      </c>
      <c r="B1147">
        <f>data!B1147</f>
        <v>2016</v>
      </c>
      <c r="C1147" t="str">
        <f>data!C1147</f>
        <v>201</v>
      </c>
      <c r="D1147" t="str">
        <f>data!D1147</f>
        <v>CAVE LES COTEAUX DU RHONE</v>
      </c>
      <c r="E1147" t="str">
        <f>data!E1147</f>
        <v>201031</v>
      </c>
      <c r="F1147" t="str">
        <f>data!F1147</f>
        <v>IGP MEDITERRANNEE ROSE</v>
      </c>
      <c r="G1147" s="10">
        <f>data!G1147</f>
        <v>34.56</v>
      </c>
      <c r="H1147" s="10">
        <f>data!I1147</f>
        <v>0</v>
      </c>
      <c r="I1147" s="10">
        <f t="shared" si="68"/>
        <v>34.56</v>
      </c>
      <c r="J1147" s="11">
        <f>data!H1147</f>
        <v>30</v>
      </c>
      <c r="K1147" s="11">
        <f>data!J1147</f>
        <v>0</v>
      </c>
      <c r="L1147" s="11">
        <f t="shared" si="69"/>
        <v>30</v>
      </c>
      <c r="M1147" s="9" t="str">
        <f t="shared" si="70"/>
        <v/>
      </c>
      <c r="N1147" s="9" t="str">
        <f t="shared" si="71"/>
        <v/>
      </c>
    </row>
    <row r="1148" spans="1:14" x14ac:dyDescent="0.25">
      <c r="A1148" t="str">
        <f>TEXT("1/"&amp;data!A1148,"mmmm")</f>
        <v>avril</v>
      </c>
      <c r="B1148">
        <f>data!B1148</f>
        <v>2016</v>
      </c>
      <c r="C1148" t="str">
        <f>data!C1148</f>
        <v>202</v>
      </c>
      <c r="D1148" t="str">
        <f>data!D1148</f>
        <v>TERRES D'ALLIANCE</v>
      </c>
      <c r="E1148" t="str">
        <f>data!E1148</f>
        <v>202001</v>
      </c>
      <c r="F1148" t="str">
        <f>data!F1148</f>
        <v>IGP VAUCLUSE LEA</v>
      </c>
      <c r="G1148" s="10">
        <f>data!G1148</f>
        <v>49.68</v>
      </c>
      <c r="H1148" s="10">
        <f>data!I1148</f>
        <v>144.84</v>
      </c>
      <c r="I1148" s="10">
        <f t="shared" si="68"/>
        <v>-95.16</v>
      </c>
      <c r="J1148" s="11">
        <f>data!H1148</f>
        <v>24</v>
      </c>
      <c r="K1148" s="11">
        <f>data!J1148</f>
        <v>84</v>
      </c>
      <c r="L1148" s="11">
        <f t="shared" si="69"/>
        <v>-60</v>
      </c>
      <c r="M1148" s="9">
        <f t="shared" si="70"/>
        <v>-0.65700082850041419</v>
      </c>
      <c r="N1148" s="9">
        <f t="shared" si="71"/>
        <v>-0.7142857142857143</v>
      </c>
    </row>
    <row r="1149" spans="1:14" x14ac:dyDescent="0.25">
      <c r="A1149" t="str">
        <f>TEXT("1/"&amp;data!A1149,"mmmm")</f>
        <v>avril</v>
      </c>
      <c r="B1149">
        <f>data!B1149</f>
        <v>2016</v>
      </c>
      <c r="C1149" t="str">
        <f>data!C1149</f>
        <v>202</v>
      </c>
      <c r="D1149" t="str">
        <f>data!D1149</f>
        <v>TERRES D'ALLIANCE</v>
      </c>
      <c r="E1149" t="str">
        <f>data!E1149</f>
        <v>202002</v>
      </c>
      <c r="F1149" t="str">
        <f>data!F1149</f>
        <v>IGP VAUCLUSE LEA</v>
      </c>
      <c r="G1149" s="10">
        <f>data!G1149</f>
        <v>273.24</v>
      </c>
      <c r="H1149" s="10">
        <f>data!I1149</f>
        <v>760.92</v>
      </c>
      <c r="I1149" s="10">
        <f t="shared" si="68"/>
        <v>-487.67999999999995</v>
      </c>
      <c r="J1149" s="11">
        <f>data!H1149</f>
        <v>138</v>
      </c>
      <c r="K1149" s="11">
        <f>data!J1149</f>
        <v>402</v>
      </c>
      <c r="L1149" s="11">
        <f t="shared" si="69"/>
        <v>-264</v>
      </c>
      <c r="M1149" s="9">
        <f t="shared" si="70"/>
        <v>-0.64090837407348999</v>
      </c>
      <c r="N1149" s="9">
        <f t="shared" si="71"/>
        <v>-0.65671641791044777</v>
      </c>
    </row>
    <row r="1150" spans="1:14" x14ac:dyDescent="0.25">
      <c r="A1150" t="str">
        <f>TEXT("1/"&amp;data!A1150,"mmmm")</f>
        <v>avril</v>
      </c>
      <c r="B1150">
        <f>data!B1150</f>
        <v>2016</v>
      </c>
      <c r="C1150" t="str">
        <f>data!C1150</f>
        <v>202</v>
      </c>
      <c r="D1150" t="str">
        <f>data!D1150</f>
        <v>TERRES D'ALLIANCE</v>
      </c>
      <c r="E1150" t="str">
        <f>data!E1150</f>
        <v>202003</v>
      </c>
      <c r="F1150" t="str">
        <f>data!F1150</f>
        <v>IGP VAUCLUSE LEA</v>
      </c>
      <c r="G1150" s="10">
        <f>data!G1150</f>
        <v>74.52</v>
      </c>
      <c r="H1150" s="10">
        <f>data!I1150</f>
        <v>161.16</v>
      </c>
      <c r="I1150" s="10">
        <f t="shared" si="68"/>
        <v>-86.64</v>
      </c>
      <c r="J1150" s="11">
        <f>data!H1150</f>
        <v>36</v>
      </c>
      <c r="K1150" s="11">
        <f>data!J1150</f>
        <v>96</v>
      </c>
      <c r="L1150" s="11">
        <f t="shared" si="69"/>
        <v>-60</v>
      </c>
      <c r="M1150" s="9">
        <f t="shared" si="70"/>
        <v>-0.53760238272524197</v>
      </c>
      <c r="N1150" s="9">
        <f t="shared" si="71"/>
        <v>-0.625</v>
      </c>
    </row>
    <row r="1151" spans="1:14" x14ac:dyDescent="0.25">
      <c r="A1151" t="str">
        <f>TEXT("1/"&amp;data!A1151,"mmmm")</f>
        <v>avril</v>
      </c>
      <c r="B1151">
        <f>data!B1151</f>
        <v>2016</v>
      </c>
      <c r="C1151" t="str">
        <f>data!C1151</f>
        <v>202</v>
      </c>
      <c r="D1151" t="str">
        <f>data!D1151</f>
        <v>TERRES D'ALLIANCE</v>
      </c>
      <c r="E1151" t="str">
        <f>data!E1151</f>
        <v>202007</v>
      </c>
      <c r="F1151" t="str">
        <f>data!F1151</f>
        <v>VDF ROSE FRUITE MUSCAT DE HAMBOURG</v>
      </c>
      <c r="G1151" s="10">
        <f>data!G1151</f>
        <v>26.4</v>
      </c>
      <c r="H1151" s="10">
        <f>data!I1151</f>
        <v>52.32</v>
      </c>
      <c r="I1151" s="10">
        <f t="shared" si="68"/>
        <v>-25.92</v>
      </c>
      <c r="J1151" s="11">
        <f>data!H1151</f>
        <v>12</v>
      </c>
      <c r="K1151" s="11">
        <f>data!J1151</f>
        <v>36</v>
      </c>
      <c r="L1151" s="11">
        <f t="shared" si="69"/>
        <v>-24</v>
      </c>
      <c r="M1151" s="9">
        <f t="shared" si="70"/>
        <v>-0.49541284403669728</v>
      </c>
      <c r="N1151" s="9">
        <f t="shared" si="71"/>
        <v>-0.66666666666666663</v>
      </c>
    </row>
    <row r="1152" spans="1:14" x14ac:dyDescent="0.25">
      <c r="A1152" t="str">
        <f>TEXT("1/"&amp;data!A1152,"mmmm")</f>
        <v>avril</v>
      </c>
      <c r="B1152">
        <f>data!B1152</f>
        <v>2016</v>
      </c>
      <c r="C1152" t="str">
        <f>data!C1152</f>
        <v>202</v>
      </c>
      <c r="D1152" t="str">
        <f>data!D1152</f>
        <v>TERRES D'ALLIANCE</v>
      </c>
      <c r="E1152" t="str">
        <f>data!E1152</f>
        <v>202010</v>
      </c>
      <c r="F1152" t="str">
        <f>data!F1152</f>
        <v>VIN DE FRANCE ROSE FRUITE LOUERION</v>
      </c>
      <c r="G1152" s="10">
        <f>data!G1152</f>
        <v>53.4</v>
      </c>
      <c r="H1152" s="10">
        <f>data!I1152</f>
        <v>106.8</v>
      </c>
      <c r="I1152" s="10">
        <f t="shared" si="68"/>
        <v>-53.4</v>
      </c>
      <c r="J1152" s="11">
        <f>data!H1152</f>
        <v>46.69</v>
      </c>
      <c r="K1152" s="11">
        <f>data!J1152</f>
        <v>93.38</v>
      </c>
      <c r="L1152" s="11">
        <f t="shared" si="69"/>
        <v>-46.69</v>
      </c>
      <c r="M1152" s="9">
        <f t="shared" si="70"/>
        <v>-0.5</v>
      </c>
      <c r="N1152" s="9">
        <f t="shared" si="71"/>
        <v>-0.5</v>
      </c>
    </row>
    <row r="1153" spans="1:14" x14ac:dyDescent="0.25">
      <c r="A1153" t="str">
        <f>TEXT("1/"&amp;data!A1153,"mmmm")</f>
        <v>avril</v>
      </c>
      <c r="B1153">
        <f>data!B1153</f>
        <v>2016</v>
      </c>
      <c r="C1153" t="str">
        <f>data!C1153</f>
        <v>202</v>
      </c>
      <c r="D1153" t="str">
        <f>data!D1153</f>
        <v>TERRES D'ALLIANCE</v>
      </c>
      <c r="E1153" t="str">
        <f>data!E1153</f>
        <v>202015</v>
      </c>
      <c r="F1153" t="str">
        <f>data!F1153</f>
        <v>AOP LUBERON LOUERION</v>
      </c>
      <c r="G1153" s="10">
        <f>data!G1153</f>
        <v>0</v>
      </c>
      <c r="H1153" s="10">
        <f>data!I1153</f>
        <v>0</v>
      </c>
      <c r="I1153" s="10">
        <f t="shared" si="68"/>
        <v>0</v>
      </c>
      <c r="J1153" s="11">
        <f>data!H1153</f>
        <v>6.67</v>
      </c>
      <c r="K1153" s="11">
        <f>data!J1153</f>
        <v>13.34</v>
      </c>
      <c r="L1153" s="11">
        <f t="shared" si="69"/>
        <v>-6.67</v>
      </c>
      <c r="M1153" s="9" t="str">
        <f t="shared" si="70"/>
        <v/>
      </c>
      <c r="N1153" s="9">
        <f t="shared" si="71"/>
        <v>-0.5</v>
      </c>
    </row>
    <row r="1154" spans="1:14" x14ac:dyDescent="0.25">
      <c r="A1154" t="str">
        <f>TEXT("1/"&amp;data!A1154,"mmmm")</f>
        <v>avril</v>
      </c>
      <c r="B1154">
        <f>data!B1154</f>
        <v>2016</v>
      </c>
      <c r="C1154" t="str">
        <f>data!C1154</f>
        <v>205</v>
      </c>
      <c r="D1154" t="str">
        <f>data!D1154</f>
        <v>DOMAINE DE MISELLE</v>
      </c>
      <c r="E1154" t="str">
        <f>data!E1154</f>
        <v>205001</v>
      </c>
      <c r="F1154" t="str">
        <f>data!F1154</f>
        <v>IGP COTES DE GASCOGNE SEC COLOMBARD G-MANSENG MISE</v>
      </c>
      <c r="G1154" s="10">
        <f>data!G1154</f>
        <v>202.5</v>
      </c>
      <c r="H1154" s="10">
        <f>data!I1154</f>
        <v>281.60000000000002</v>
      </c>
      <c r="I1154" s="10">
        <f t="shared" si="68"/>
        <v>-79.100000000000023</v>
      </c>
      <c r="J1154" s="11">
        <f>data!H1154</f>
        <v>90</v>
      </c>
      <c r="K1154" s="11">
        <f>data!J1154</f>
        <v>138</v>
      </c>
      <c r="L1154" s="11">
        <f t="shared" si="69"/>
        <v>-48</v>
      </c>
      <c r="M1154" s="9">
        <f t="shared" si="70"/>
        <v>-0.28089488636363641</v>
      </c>
      <c r="N1154" s="9">
        <f t="shared" si="71"/>
        <v>-0.34782608695652173</v>
      </c>
    </row>
    <row r="1155" spans="1:14" x14ac:dyDescent="0.25">
      <c r="A1155" t="str">
        <f>TEXT("1/"&amp;data!A1155,"mmmm")</f>
        <v>avril</v>
      </c>
      <c r="B1155">
        <f>data!B1155</f>
        <v>2016</v>
      </c>
      <c r="C1155" t="str">
        <f>data!C1155</f>
        <v>205</v>
      </c>
      <c r="D1155" t="str">
        <f>data!D1155</f>
        <v>DOMAINE DE MISELLE</v>
      </c>
      <c r="E1155" t="str">
        <f>data!E1155</f>
        <v>205002</v>
      </c>
      <c r="F1155" t="str">
        <f>data!F1155</f>
        <v>IGP COTES DE GASCOGNE</v>
      </c>
      <c r="G1155" s="10">
        <f>data!G1155</f>
        <v>14.4</v>
      </c>
      <c r="H1155" s="10">
        <f>data!I1155</f>
        <v>197.4</v>
      </c>
      <c r="I1155" s="10">
        <f t="shared" ref="I1155:I1218" si="72">G1155-H1155</f>
        <v>-183</v>
      </c>
      <c r="J1155" s="11">
        <f>data!H1155</f>
        <v>6</v>
      </c>
      <c r="K1155" s="11">
        <f>data!J1155</f>
        <v>84</v>
      </c>
      <c r="L1155" s="11">
        <f t="shared" ref="L1155:L1218" si="73">J1155-K1155</f>
        <v>-78</v>
      </c>
      <c r="M1155" s="9">
        <f t="shared" ref="M1155:M1218" si="74">IF(ISERR(I1155/H1155),"",I1155/H1155)</f>
        <v>-0.92705167173252279</v>
      </c>
      <c r="N1155" s="9">
        <f t="shared" ref="N1155:N1218" si="75">IF(ISERR(L1155/K1155),"",L1155/K1155)</f>
        <v>-0.9285714285714286</v>
      </c>
    </row>
    <row r="1156" spans="1:14" x14ac:dyDescent="0.25">
      <c r="A1156" t="str">
        <f>TEXT("1/"&amp;data!A1156,"mmmm")</f>
        <v>avril</v>
      </c>
      <c r="B1156">
        <f>data!B1156</f>
        <v>2016</v>
      </c>
      <c r="C1156" t="str">
        <f>data!C1156</f>
        <v>205</v>
      </c>
      <c r="D1156" t="str">
        <f>data!D1156</f>
        <v>DOMAINE DE MISELLE</v>
      </c>
      <c r="E1156" t="str">
        <f>data!E1156</f>
        <v>205003</v>
      </c>
      <c r="F1156" t="str">
        <f>data!F1156</f>
        <v>IGP COTES DE GASCOGNE PETIT MANSENG</v>
      </c>
      <c r="G1156" s="10">
        <f>data!G1156</f>
        <v>222</v>
      </c>
      <c r="H1156" s="10">
        <f>data!I1156</f>
        <v>197.1</v>
      </c>
      <c r="I1156" s="10">
        <f t="shared" si="72"/>
        <v>24.900000000000006</v>
      </c>
      <c r="J1156" s="11">
        <f>data!H1156</f>
        <v>60</v>
      </c>
      <c r="K1156" s="11">
        <f>data!J1156</f>
        <v>60</v>
      </c>
      <c r="L1156" s="11">
        <f t="shared" si="73"/>
        <v>0</v>
      </c>
      <c r="M1156" s="9">
        <f t="shared" si="74"/>
        <v>0.12633181126331813</v>
      </c>
      <c r="N1156" s="9">
        <f t="shared" si="75"/>
        <v>0</v>
      </c>
    </row>
    <row r="1157" spans="1:14" x14ac:dyDescent="0.25">
      <c r="A1157" t="str">
        <f>TEXT("1/"&amp;data!A1157,"mmmm")</f>
        <v>avril</v>
      </c>
      <c r="B1157">
        <f>data!B1157</f>
        <v>2016</v>
      </c>
      <c r="C1157" t="str">
        <f>data!C1157</f>
        <v>205</v>
      </c>
      <c r="D1157" t="str">
        <f>data!D1157</f>
        <v>DOMAINE DE MISELLE</v>
      </c>
      <c r="E1157" t="str">
        <f>data!E1157</f>
        <v>205004</v>
      </c>
      <c r="F1157" t="str">
        <f>data!F1157</f>
        <v>IGP COTES DE GASCOGNE MERLOT-TANNAT</v>
      </c>
      <c r="G1157" s="10">
        <f>data!G1157</f>
        <v>57.6</v>
      </c>
      <c r="H1157" s="10">
        <f>data!I1157</f>
        <v>28.2</v>
      </c>
      <c r="I1157" s="10">
        <f t="shared" si="72"/>
        <v>29.400000000000002</v>
      </c>
      <c r="J1157" s="11">
        <f>data!H1157</f>
        <v>24</v>
      </c>
      <c r="K1157" s="11">
        <f>data!J1157</f>
        <v>12</v>
      </c>
      <c r="L1157" s="11">
        <f t="shared" si="73"/>
        <v>12</v>
      </c>
      <c r="M1157" s="9">
        <f t="shared" si="74"/>
        <v>1.0425531914893618</v>
      </c>
      <c r="N1157" s="9">
        <f t="shared" si="75"/>
        <v>1</v>
      </c>
    </row>
    <row r="1158" spans="1:14" x14ac:dyDescent="0.25">
      <c r="A1158" t="str">
        <f>TEXT("1/"&amp;data!A1158,"mmmm")</f>
        <v>avril</v>
      </c>
      <c r="B1158">
        <f>data!B1158</f>
        <v>2016</v>
      </c>
      <c r="C1158" t="str">
        <f>data!C1158</f>
        <v>226</v>
      </c>
      <c r="D1158" t="str">
        <f>data!D1158</f>
        <v>SIEUR D'ARQUES</v>
      </c>
      <c r="E1158" t="str">
        <f>data!E1158</f>
        <v>226001</v>
      </c>
      <c r="F1158" t="str">
        <f>data!F1158</f>
        <v>AOP BLANQUETTE DE LIMOUX METHODE TRAD PREMIERE BUL</v>
      </c>
      <c r="G1158" s="10">
        <f>data!G1158</f>
        <v>757.5</v>
      </c>
      <c r="H1158" s="10">
        <f>data!I1158</f>
        <v>0</v>
      </c>
      <c r="I1158" s="10">
        <f t="shared" si="72"/>
        <v>757.5</v>
      </c>
      <c r="J1158" s="11">
        <f>data!H1158</f>
        <v>150</v>
      </c>
      <c r="K1158" s="11">
        <f>data!J1158</f>
        <v>0</v>
      </c>
      <c r="L1158" s="11">
        <f t="shared" si="73"/>
        <v>150</v>
      </c>
      <c r="M1158" s="9" t="str">
        <f t="shared" si="74"/>
        <v/>
      </c>
      <c r="N1158" s="9" t="str">
        <f t="shared" si="75"/>
        <v/>
      </c>
    </row>
    <row r="1159" spans="1:14" x14ac:dyDescent="0.25">
      <c r="A1159" t="str">
        <f>TEXT("1/"&amp;data!A1159,"mmmm")</f>
        <v>avril</v>
      </c>
      <c r="B1159">
        <f>data!B1159</f>
        <v>2016</v>
      </c>
      <c r="C1159" t="str">
        <f>data!C1159</f>
        <v>229</v>
      </c>
      <c r="D1159" t="str">
        <f>data!D1159</f>
        <v>DOMAINE DU BOIS DU JOUR</v>
      </c>
      <c r="E1159" t="str">
        <f>data!E1159</f>
        <v>229001</v>
      </c>
      <c r="F1159" t="str">
        <f>data!F1159</f>
        <v>AOP BEAUJOLAIS NOUVEAU DME DU BOIS DU JOUR</v>
      </c>
      <c r="G1159" s="10">
        <f>data!G1159</f>
        <v>0</v>
      </c>
      <c r="H1159" s="10">
        <f>data!I1159</f>
        <v>0</v>
      </c>
      <c r="I1159" s="10">
        <f t="shared" si="72"/>
        <v>0</v>
      </c>
      <c r="J1159" s="11">
        <f>data!H1159</f>
        <v>48</v>
      </c>
      <c r="K1159" s="11">
        <f>data!J1159</f>
        <v>0</v>
      </c>
      <c r="L1159" s="11">
        <f t="shared" si="73"/>
        <v>48</v>
      </c>
      <c r="M1159" s="9" t="str">
        <f t="shared" si="74"/>
        <v/>
      </c>
      <c r="N1159" s="9" t="str">
        <f t="shared" si="75"/>
        <v/>
      </c>
    </row>
    <row r="1160" spans="1:14" x14ac:dyDescent="0.25">
      <c r="A1160" t="str">
        <f>TEXT("1/"&amp;data!A1160,"mmmm")</f>
        <v>avril</v>
      </c>
      <c r="B1160">
        <f>data!B1160</f>
        <v>2016</v>
      </c>
      <c r="C1160" t="str">
        <f>data!C1160</f>
        <v>229</v>
      </c>
      <c r="D1160" t="str">
        <f>data!D1160</f>
        <v>DOMAINE DU BOIS DU JOUR</v>
      </c>
      <c r="E1160" t="str">
        <f>data!E1160</f>
        <v>229008</v>
      </c>
      <c r="F1160" t="str">
        <f>data!F1160</f>
        <v>AOP COTEAUX BOURGUIGNON DME DU BOIS DU JOUR</v>
      </c>
      <c r="G1160" s="10">
        <f>data!G1160</f>
        <v>91.2</v>
      </c>
      <c r="H1160" s="10">
        <f>data!I1160</f>
        <v>0</v>
      </c>
      <c r="I1160" s="10">
        <f t="shared" si="72"/>
        <v>91.2</v>
      </c>
      <c r="J1160" s="11">
        <f>data!H1160</f>
        <v>30</v>
      </c>
      <c r="K1160" s="11">
        <f>data!J1160</f>
        <v>0</v>
      </c>
      <c r="L1160" s="11">
        <f t="shared" si="73"/>
        <v>30</v>
      </c>
      <c r="M1160" s="9" t="str">
        <f t="shared" si="74"/>
        <v/>
      </c>
      <c r="N1160" s="9" t="str">
        <f t="shared" si="75"/>
        <v/>
      </c>
    </row>
    <row r="1161" spans="1:14" x14ac:dyDescent="0.25">
      <c r="A1161" t="str">
        <f>TEXT("1/"&amp;data!A1161,"mmmm")</f>
        <v>mai</v>
      </c>
      <c r="B1161">
        <f>data!B1161</f>
        <v>2016</v>
      </c>
      <c r="C1161" t="str">
        <f>data!C1161</f>
        <v>002</v>
      </c>
      <c r="D1161" t="str">
        <f>data!D1161</f>
        <v>CAVE DE GALLICIAN</v>
      </c>
      <c r="E1161" t="str">
        <f>data!E1161</f>
        <v>002001</v>
      </c>
      <c r="F1161" t="str">
        <f>data!F1161</f>
        <v>VDP MERLOT C.GALLICIAN</v>
      </c>
      <c r="G1161" s="10">
        <f>data!G1161</f>
        <v>3081.12</v>
      </c>
      <c r="H1161" s="10">
        <f>data!I1161</f>
        <v>3008.88</v>
      </c>
      <c r="I1161" s="10">
        <f t="shared" si="72"/>
        <v>72.239999999999782</v>
      </c>
      <c r="J1161" s="11">
        <f>data!H1161</f>
        <v>2627.98</v>
      </c>
      <c r="K1161" s="11">
        <f>data!J1161</f>
        <v>2654.66</v>
      </c>
      <c r="L1161" s="11">
        <f t="shared" si="73"/>
        <v>-26.679999999999836</v>
      </c>
      <c r="M1161" s="9">
        <f t="shared" si="74"/>
        <v>2.4008933556672177E-2</v>
      </c>
      <c r="N1161" s="9">
        <f t="shared" si="75"/>
        <v>-1.0050251256281346E-2</v>
      </c>
    </row>
    <row r="1162" spans="1:14" x14ac:dyDescent="0.25">
      <c r="A1162" t="str">
        <f>TEXT("1/"&amp;data!A1162,"mmmm")</f>
        <v>mai</v>
      </c>
      <c r="B1162">
        <f>data!B1162</f>
        <v>2016</v>
      </c>
      <c r="C1162" t="str">
        <f>data!C1162</f>
        <v>002</v>
      </c>
      <c r="D1162" t="str">
        <f>data!D1162</f>
        <v>CAVE DE GALLICIAN</v>
      </c>
      <c r="E1162" t="str">
        <f>data!E1162</f>
        <v>002002</v>
      </c>
      <c r="F1162" t="str">
        <f>data!F1162</f>
        <v>VDP MERLOT. C GALLICIAN</v>
      </c>
      <c r="G1162" s="10">
        <f>data!G1162</f>
        <v>11189.36</v>
      </c>
      <c r="H1162" s="10">
        <f>data!I1162</f>
        <v>9646</v>
      </c>
      <c r="I1162" s="10">
        <f t="shared" si="72"/>
        <v>1543.3600000000006</v>
      </c>
      <c r="J1162" s="11">
        <f>data!H1162</f>
        <v>10863.95</v>
      </c>
      <c r="K1162" s="11">
        <f>data!J1162</f>
        <v>9717.57</v>
      </c>
      <c r="L1162" s="11">
        <f t="shared" si="73"/>
        <v>1146.380000000001</v>
      </c>
      <c r="M1162" s="9">
        <f t="shared" si="74"/>
        <v>0.16000000000000006</v>
      </c>
      <c r="N1162" s="9">
        <f t="shared" si="75"/>
        <v>0.11796982167352549</v>
      </c>
    </row>
    <row r="1163" spans="1:14" x14ac:dyDescent="0.25">
      <c r="A1163" t="str">
        <f>TEXT("1/"&amp;data!A1163,"mmmm")</f>
        <v>mai</v>
      </c>
      <c r="B1163">
        <f>data!B1163</f>
        <v>2016</v>
      </c>
      <c r="C1163" t="str">
        <f>data!C1163</f>
        <v>002</v>
      </c>
      <c r="D1163" t="str">
        <f>data!D1163</f>
        <v>CAVE DE GALLICIAN</v>
      </c>
      <c r="E1163" t="str">
        <f>data!E1163</f>
        <v>002003</v>
      </c>
      <c r="F1163" t="str">
        <f>data!F1163</f>
        <v>VDP GARD. C GALLICIAN</v>
      </c>
      <c r="G1163" s="10">
        <f>data!G1163</f>
        <v>7153</v>
      </c>
      <c r="H1163" s="10">
        <f>data!I1163</f>
        <v>6967.8</v>
      </c>
      <c r="I1163" s="10">
        <f t="shared" si="72"/>
        <v>185.19999999999982</v>
      </c>
      <c r="J1163" s="11">
        <f>data!H1163</f>
        <v>7664.75</v>
      </c>
      <c r="K1163" s="11">
        <f>data!J1163</f>
        <v>7838.04</v>
      </c>
      <c r="L1163" s="11">
        <f t="shared" si="73"/>
        <v>-173.28999999999996</v>
      </c>
      <c r="M1163" s="9">
        <f t="shared" si="74"/>
        <v>2.6579408134561815E-2</v>
      </c>
      <c r="N1163" s="9">
        <f t="shared" si="75"/>
        <v>-2.2108843537414963E-2</v>
      </c>
    </row>
    <row r="1164" spans="1:14" x14ac:dyDescent="0.25">
      <c r="A1164" t="str">
        <f>TEXT("1/"&amp;data!A1164,"mmmm")</f>
        <v>mai</v>
      </c>
      <c r="B1164">
        <f>data!B1164</f>
        <v>2016</v>
      </c>
      <c r="C1164" t="str">
        <f>data!C1164</f>
        <v>002</v>
      </c>
      <c r="D1164" t="str">
        <f>data!D1164</f>
        <v>CAVE DE GALLICIAN</v>
      </c>
      <c r="E1164" t="str">
        <f>data!E1164</f>
        <v>002004</v>
      </c>
      <c r="F1164" t="str">
        <f>data!F1164</f>
        <v>VDP GARD. C GALLICIAN</v>
      </c>
      <c r="G1164" s="10">
        <f>data!G1164</f>
        <v>1351.8</v>
      </c>
      <c r="H1164" s="10">
        <f>data!I1164</f>
        <v>1503.84</v>
      </c>
      <c r="I1164" s="10">
        <f t="shared" si="72"/>
        <v>-152.03999999999996</v>
      </c>
      <c r="J1164" s="11">
        <f>data!H1164</f>
        <v>1213.94</v>
      </c>
      <c r="K1164" s="11">
        <f>data!J1164</f>
        <v>1407.37</v>
      </c>
      <c r="L1164" s="11">
        <f t="shared" si="73"/>
        <v>-193.42999999999984</v>
      </c>
      <c r="M1164" s="9">
        <f t="shared" si="74"/>
        <v>-0.10110118097669964</v>
      </c>
      <c r="N1164" s="9">
        <f t="shared" si="75"/>
        <v>-0.13744075829383876</v>
      </c>
    </row>
    <row r="1165" spans="1:14" x14ac:dyDescent="0.25">
      <c r="A1165" t="str">
        <f>TEXT("1/"&amp;data!A1165,"mmmm")</f>
        <v>mai</v>
      </c>
      <c r="B1165">
        <f>data!B1165</f>
        <v>2016</v>
      </c>
      <c r="C1165" t="str">
        <f>data!C1165</f>
        <v>002</v>
      </c>
      <c r="D1165" t="str">
        <f>data!D1165</f>
        <v>CAVE DE GALLICIAN</v>
      </c>
      <c r="E1165" t="str">
        <f>data!E1165</f>
        <v>002007</v>
      </c>
      <c r="F1165" t="str">
        <f>data!F1165</f>
        <v>VDT C GALLICIAN</v>
      </c>
      <c r="G1165" s="10">
        <f>data!G1165</f>
        <v>2793.28</v>
      </c>
      <c r="H1165" s="10">
        <f>data!I1165</f>
        <v>2640.24</v>
      </c>
      <c r="I1165" s="10">
        <f t="shared" si="72"/>
        <v>153.04000000000042</v>
      </c>
      <c r="J1165" s="11">
        <f>data!H1165</f>
        <v>3065.9</v>
      </c>
      <c r="K1165" s="11">
        <f>data!J1165</f>
        <v>3039.2400000000002</v>
      </c>
      <c r="L1165" s="11">
        <f t="shared" si="73"/>
        <v>26.659999999999854</v>
      </c>
      <c r="M1165" s="9">
        <f t="shared" si="74"/>
        <v>5.7964427476290201E-2</v>
      </c>
      <c r="N1165" s="9">
        <f t="shared" si="75"/>
        <v>8.7719298245613544E-3</v>
      </c>
    </row>
    <row r="1166" spans="1:14" x14ac:dyDescent="0.25">
      <c r="A1166" t="str">
        <f>TEXT("1/"&amp;data!A1166,"mmmm")</f>
        <v>mai</v>
      </c>
      <c r="B1166">
        <f>data!B1166</f>
        <v>2016</v>
      </c>
      <c r="C1166" t="str">
        <f>data!C1166</f>
        <v>002</v>
      </c>
      <c r="D1166" t="str">
        <f>data!D1166</f>
        <v>CAVE DE GALLICIAN</v>
      </c>
      <c r="E1166" t="str">
        <f>data!E1166</f>
        <v>002008</v>
      </c>
      <c r="F1166" t="str">
        <f>data!F1166</f>
        <v>VDT. C GALLICIAN</v>
      </c>
      <c r="G1166" s="10">
        <f>data!G1166</f>
        <v>4686.18</v>
      </c>
      <c r="H1166" s="10">
        <f>data!I1166</f>
        <v>2064.85</v>
      </c>
      <c r="I1166" s="10">
        <f t="shared" si="72"/>
        <v>2621.3300000000004</v>
      </c>
      <c r="J1166" s="11">
        <f>data!H1166</f>
        <v>5680.71</v>
      </c>
      <c r="K1166" s="11">
        <f>data!J1166</f>
        <v>2506.98</v>
      </c>
      <c r="L1166" s="11">
        <f t="shared" si="73"/>
        <v>3173.73</v>
      </c>
      <c r="M1166" s="9">
        <f t="shared" si="74"/>
        <v>1.2695014165677896</v>
      </c>
      <c r="N1166" s="9">
        <f t="shared" si="75"/>
        <v>1.2659574468085106</v>
      </c>
    </row>
    <row r="1167" spans="1:14" x14ac:dyDescent="0.25">
      <c r="A1167" t="str">
        <f>TEXT("1/"&amp;data!A1167,"mmmm")</f>
        <v>mai</v>
      </c>
      <c r="B1167">
        <f>data!B1167</f>
        <v>2016</v>
      </c>
      <c r="C1167" t="str">
        <f>data!C1167</f>
        <v>002</v>
      </c>
      <c r="D1167" t="str">
        <f>data!D1167</f>
        <v>CAVE DE GALLICIAN</v>
      </c>
      <c r="E1167" t="str">
        <f>data!E1167</f>
        <v>002009</v>
      </c>
      <c r="F1167" t="str">
        <f>data!F1167</f>
        <v>VDT. C GALLICIAN</v>
      </c>
      <c r="G1167" s="10">
        <f>data!G1167</f>
        <v>1050.3</v>
      </c>
      <c r="H1167" s="10">
        <f>data!I1167</f>
        <v>1458.7</v>
      </c>
      <c r="I1167" s="10">
        <f t="shared" si="72"/>
        <v>-408.40000000000009</v>
      </c>
      <c r="J1167" s="11">
        <f>data!H1167</f>
        <v>1200.1500000000001</v>
      </c>
      <c r="K1167" s="11">
        <f>data!J1167</f>
        <v>1786.89</v>
      </c>
      <c r="L1167" s="11">
        <f t="shared" si="73"/>
        <v>-586.74</v>
      </c>
      <c r="M1167" s="9">
        <f t="shared" si="74"/>
        <v>-0.27997532049084806</v>
      </c>
      <c r="N1167" s="9">
        <f t="shared" si="75"/>
        <v>-0.32835820895522388</v>
      </c>
    </row>
    <row r="1168" spans="1:14" x14ac:dyDescent="0.25">
      <c r="A1168" t="str">
        <f>TEXT("1/"&amp;data!A1168,"mmmm")</f>
        <v>mai</v>
      </c>
      <c r="B1168">
        <f>data!B1168</f>
        <v>2016</v>
      </c>
      <c r="C1168" t="str">
        <f>data!C1168</f>
        <v>002</v>
      </c>
      <c r="D1168" t="str">
        <f>data!D1168</f>
        <v>CAVE DE GALLICIAN</v>
      </c>
      <c r="E1168" t="str">
        <f>data!E1168</f>
        <v>002010</v>
      </c>
      <c r="F1168" t="str">
        <f>data!F1168</f>
        <v>AC C. DE NIMES. C GALLICIAN</v>
      </c>
      <c r="G1168" s="10">
        <f>data!G1168</f>
        <v>1879.35</v>
      </c>
      <c r="H1168" s="10">
        <f>data!I1168</f>
        <v>1570.48</v>
      </c>
      <c r="I1168" s="10">
        <f t="shared" si="72"/>
        <v>308.86999999999989</v>
      </c>
      <c r="J1168" s="11">
        <f>data!H1168</f>
        <v>1360.68</v>
      </c>
      <c r="K1168" s="11">
        <f>data!J1168</f>
        <v>1160.58</v>
      </c>
      <c r="L1168" s="11">
        <f t="shared" si="73"/>
        <v>200.10000000000014</v>
      </c>
      <c r="M1168" s="9">
        <f t="shared" si="74"/>
        <v>0.19667235494880539</v>
      </c>
      <c r="N1168" s="9">
        <f t="shared" si="75"/>
        <v>0.1724137931034484</v>
      </c>
    </row>
    <row r="1169" spans="1:14" x14ac:dyDescent="0.25">
      <c r="A1169" t="str">
        <f>TEXT("1/"&amp;data!A1169,"mmmm")</f>
        <v>mai</v>
      </c>
      <c r="B1169">
        <f>data!B1169</f>
        <v>2016</v>
      </c>
      <c r="C1169" t="str">
        <f>data!C1169</f>
        <v>002</v>
      </c>
      <c r="D1169" t="str">
        <f>data!D1169</f>
        <v>CAVE DE GALLICIAN</v>
      </c>
      <c r="E1169" t="str">
        <f>data!E1169</f>
        <v>002011</v>
      </c>
      <c r="F1169" t="str">
        <f>data!F1169</f>
        <v>AC C DE NIMES C. GALLICIAN</v>
      </c>
      <c r="G1169" s="10">
        <f>data!G1169</f>
        <v>3750.75</v>
      </c>
      <c r="H1169" s="10">
        <f>data!I1169</f>
        <v>3219.82</v>
      </c>
      <c r="I1169" s="10">
        <f t="shared" si="72"/>
        <v>530.92999999999984</v>
      </c>
      <c r="J1169" s="11">
        <f>data!H1169</f>
        <v>2999.25</v>
      </c>
      <c r="K1169" s="11">
        <f>data!J1169</f>
        <v>2652.67</v>
      </c>
      <c r="L1169" s="11">
        <f t="shared" si="73"/>
        <v>346.57999999999993</v>
      </c>
      <c r="M1169" s="9">
        <f t="shared" si="74"/>
        <v>0.16489431086209783</v>
      </c>
      <c r="N1169" s="9">
        <f t="shared" si="75"/>
        <v>0.13065326633165827</v>
      </c>
    </row>
    <row r="1170" spans="1:14" x14ac:dyDescent="0.25">
      <c r="A1170" t="str">
        <f>TEXT("1/"&amp;data!A1170,"mmmm")</f>
        <v>mai</v>
      </c>
      <c r="B1170">
        <f>data!B1170</f>
        <v>2016</v>
      </c>
      <c r="C1170" t="str">
        <f>data!C1170</f>
        <v>002</v>
      </c>
      <c r="D1170" t="str">
        <f>data!D1170</f>
        <v>CAVE DE GALLICIAN</v>
      </c>
      <c r="E1170" t="str">
        <f>data!E1170</f>
        <v>002015</v>
      </c>
      <c r="F1170" t="str">
        <f>data!F1170</f>
        <v>AC C DE NIMES C. GALLICIAN</v>
      </c>
      <c r="G1170" s="10">
        <f>data!G1170</f>
        <v>4667.6000000000004</v>
      </c>
      <c r="H1170" s="10">
        <f>data!I1170</f>
        <v>4967.26</v>
      </c>
      <c r="I1170" s="10">
        <f t="shared" si="72"/>
        <v>-299.65999999999985</v>
      </c>
      <c r="J1170" s="11">
        <f>data!H1170</f>
        <v>3732.4</v>
      </c>
      <c r="K1170" s="11">
        <f>data!J1170</f>
        <v>4092.31</v>
      </c>
      <c r="L1170" s="11">
        <f t="shared" si="73"/>
        <v>-359.90999999999985</v>
      </c>
      <c r="M1170" s="9">
        <f t="shared" si="74"/>
        <v>-6.0327021335706173E-2</v>
      </c>
      <c r="N1170" s="9">
        <f t="shared" si="75"/>
        <v>-8.7947882736156321E-2</v>
      </c>
    </row>
    <row r="1171" spans="1:14" x14ac:dyDescent="0.25">
      <c r="A1171" t="str">
        <f>TEXT("1/"&amp;data!A1171,"mmmm")</f>
        <v>mai</v>
      </c>
      <c r="B1171">
        <f>data!B1171</f>
        <v>2016</v>
      </c>
      <c r="C1171" t="str">
        <f>data!C1171</f>
        <v>002</v>
      </c>
      <c r="D1171" t="str">
        <f>data!D1171</f>
        <v>CAVE DE GALLICIAN</v>
      </c>
      <c r="E1171" t="str">
        <f>data!E1171</f>
        <v>002016</v>
      </c>
      <c r="F1171" t="str">
        <f>data!F1171</f>
        <v>AC C DE NIMES C. GALLICIAN</v>
      </c>
      <c r="G1171" s="10">
        <f>data!G1171</f>
        <v>2786.3</v>
      </c>
      <c r="H1171" s="10">
        <f>data!I1171</f>
        <v>2506.08</v>
      </c>
      <c r="I1171" s="10">
        <f t="shared" si="72"/>
        <v>280.22000000000025</v>
      </c>
      <c r="J1171" s="11">
        <f>data!H1171</f>
        <v>2014.34</v>
      </c>
      <c r="K1171" s="11">
        <f>data!J1171</f>
        <v>1847.59</v>
      </c>
      <c r="L1171" s="11">
        <f t="shared" si="73"/>
        <v>166.75</v>
      </c>
      <c r="M1171" s="9">
        <f t="shared" si="74"/>
        <v>0.11181606333397189</v>
      </c>
      <c r="N1171" s="9">
        <f t="shared" si="75"/>
        <v>9.0252707581227443E-2</v>
      </c>
    </row>
    <row r="1172" spans="1:14" x14ac:dyDescent="0.25">
      <c r="A1172" t="str">
        <f>TEXT("1/"&amp;data!A1172,"mmmm")</f>
        <v>mai</v>
      </c>
      <c r="B1172">
        <f>data!B1172</f>
        <v>2016</v>
      </c>
      <c r="C1172" t="str">
        <f>data!C1172</f>
        <v>002</v>
      </c>
      <c r="D1172" t="str">
        <f>data!D1172</f>
        <v>CAVE DE GALLICIAN</v>
      </c>
      <c r="E1172" t="str">
        <f>data!E1172</f>
        <v>002017</v>
      </c>
      <c r="F1172" t="str">
        <f>data!F1172</f>
        <v>VDP GARD C. GALLICIAN</v>
      </c>
      <c r="G1172" s="10">
        <f>data!G1172</f>
        <v>6804.68</v>
      </c>
      <c r="H1172" s="10">
        <f>data!I1172</f>
        <v>7199.92</v>
      </c>
      <c r="I1172" s="10">
        <f t="shared" si="72"/>
        <v>-395.23999999999978</v>
      </c>
      <c r="J1172" s="11">
        <f>data!H1172</f>
        <v>7304.84</v>
      </c>
      <c r="K1172" s="11">
        <f>data!J1172</f>
        <v>8064.65</v>
      </c>
      <c r="L1172" s="11">
        <f t="shared" si="73"/>
        <v>-759.80999999999949</v>
      </c>
      <c r="M1172" s="9">
        <f t="shared" si="74"/>
        <v>-5.4895054389493186E-2</v>
      </c>
      <c r="N1172" s="9">
        <f t="shared" si="75"/>
        <v>-9.4214876033057796E-2</v>
      </c>
    </row>
    <row r="1173" spans="1:14" x14ac:dyDescent="0.25">
      <c r="A1173" t="str">
        <f>TEXT("1/"&amp;data!A1173,"mmmm")</f>
        <v>mai</v>
      </c>
      <c r="B1173">
        <f>data!B1173</f>
        <v>2016</v>
      </c>
      <c r="C1173" t="str">
        <f>data!C1173</f>
        <v>002</v>
      </c>
      <c r="D1173" t="str">
        <f>data!D1173</f>
        <v>CAVE DE GALLICIAN</v>
      </c>
      <c r="E1173" t="str">
        <f>data!E1173</f>
        <v>002018</v>
      </c>
      <c r="F1173" t="str">
        <f>data!F1173</f>
        <v>VDP GARD C. GALLICIAN</v>
      </c>
      <c r="G1173" s="10">
        <f>data!G1173</f>
        <v>2861.31</v>
      </c>
      <c r="H1173" s="10">
        <f>data!I1173</f>
        <v>2900</v>
      </c>
      <c r="I1173" s="10">
        <f t="shared" si="72"/>
        <v>-38.690000000000055</v>
      </c>
      <c r="J1173" s="11">
        <f>data!H1173</f>
        <v>2567.9499999999998</v>
      </c>
      <c r="K1173" s="11">
        <f>data!J1173</f>
        <v>2688.0099999999998</v>
      </c>
      <c r="L1173" s="11">
        <f t="shared" si="73"/>
        <v>-120.05999999999995</v>
      </c>
      <c r="M1173" s="9">
        <f t="shared" si="74"/>
        <v>-1.3341379310344846E-2</v>
      </c>
      <c r="N1173" s="9">
        <f t="shared" si="75"/>
        <v>-4.4665012406947875E-2</v>
      </c>
    </row>
    <row r="1174" spans="1:14" x14ac:dyDescent="0.25">
      <c r="A1174" t="str">
        <f>TEXT("1/"&amp;data!A1174,"mmmm")</f>
        <v>mai</v>
      </c>
      <c r="B1174">
        <f>data!B1174</f>
        <v>2016</v>
      </c>
      <c r="C1174" t="str">
        <f>data!C1174</f>
        <v>002</v>
      </c>
      <c r="D1174" t="str">
        <f>data!D1174</f>
        <v>CAVE DE GALLICIAN</v>
      </c>
      <c r="E1174" t="str">
        <f>data!E1174</f>
        <v>002020</v>
      </c>
      <c r="F1174" t="str">
        <f>data!F1174</f>
        <v>AC C DE NIMES C DES LAUNES</v>
      </c>
      <c r="G1174" s="10">
        <f>data!G1174</f>
        <v>2249.1</v>
      </c>
      <c r="H1174" s="10">
        <f>data!I1174</f>
        <v>1036.8</v>
      </c>
      <c r="I1174" s="10">
        <f t="shared" si="72"/>
        <v>1212.3</v>
      </c>
      <c r="J1174" s="11">
        <f>data!H1174</f>
        <v>918</v>
      </c>
      <c r="K1174" s="11">
        <f>data!J1174</f>
        <v>444</v>
      </c>
      <c r="L1174" s="11">
        <f t="shared" si="73"/>
        <v>474</v>
      </c>
      <c r="M1174" s="9">
        <f t="shared" si="74"/>
        <v>1.1692708333333333</v>
      </c>
      <c r="N1174" s="9">
        <f t="shared" si="75"/>
        <v>1.0675675675675675</v>
      </c>
    </row>
    <row r="1175" spans="1:14" x14ac:dyDescent="0.25">
      <c r="A1175" t="str">
        <f>TEXT("1/"&amp;data!A1175,"mmmm")</f>
        <v>mai</v>
      </c>
      <c r="B1175">
        <f>data!B1175</f>
        <v>2016</v>
      </c>
      <c r="C1175" t="str">
        <f>data!C1175</f>
        <v>002</v>
      </c>
      <c r="D1175" t="str">
        <f>data!D1175</f>
        <v>CAVE DE GALLICIAN</v>
      </c>
      <c r="E1175" t="str">
        <f>data!E1175</f>
        <v>002023</v>
      </c>
      <c r="F1175" t="str">
        <f>data!F1175</f>
        <v>AC COSTIERES DE NIMES LES COMBES DE MEZIERES</v>
      </c>
      <c r="G1175" s="10">
        <f>data!G1175</f>
        <v>105.48</v>
      </c>
      <c r="H1175" s="10">
        <f>data!I1175</f>
        <v>105.12</v>
      </c>
      <c r="I1175" s="10">
        <f t="shared" si="72"/>
        <v>0.35999999999999943</v>
      </c>
      <c r="J1175" s="11">
        <f>data!H1175</f>
        <v>36</v>
      </c>
      <c r="K1175" s="11">
        <f>data!J1175</f>
        <v>54</v>
      </c>
      <c r="L1175" s="11">
        <f t="shared" si="73"/>
        <v>-18</v>
      </c>
      <c r="M1175" s="9">
        <f t="shared" si="74"/>
        <v>3.4246575342465699E-3</v>
      </c>
      <c r="N1175" s="9">
        <f t="shared" si="75"/>
        <v>-0.33333333333333331</v>
      </c>
    </row>
    <row r="1176" spans="1:14" x14ac:dyDescent="0.25">
      <c r="A1176" t="str">
        <f>TEXT("1/"&amp;data!A1176,"mmmm")</f>
        <v>mai</v>
      </c>
      <c r="B1176">
        <f>data!B1176</f>
        <v>2016</v>
      </c>
      <c r="C1176" t="str">
        <f>data!C1176</f>
        <v>002</v>
      </c>
      <c r="D1176" t="str">
        <f>data!D1176</f>
        <v>CAVE DE GALLICIAN</v>
      </c>
      <c r="E1176" t="str">
        <f>data!E1176</f>
        <v>002025</v>
      </c>
      <c r="F1176" t="str">
        <f>data!F1176</f>
        <v>AC COSTIERES DE NIMES CUVEE PRESTIGE</v>
      </c>
      <c r="G1176" s="10">
        <f>data!G1176</f>
        <v>236.52</v>
      </c>
      <c r="H1176" s="10">
        <f>data!I1176</f>
        <v>249.66</v>
      </c>
      <c r="I1176" s="10">
        <f t="shared" si="72"/>
        <v>-13.139999999999986</v>
      </c>
      <c r="J1176" s="11">
        <f>data!H1176</f>
        <v>102</v>
      </c>
      <c r="K1176" s="11">
        <f>data!J1176</f>
        <v>132</v>
      </c>
      <c r="L1176" s="11">
        <f t="shared" si="73"/>
        <v>-30</v>
      </c>
      <c r="M1176" s="9">
        <f t="shared" si="74"/>
        <v>-5.263157894736837E-2</v>
      </c>
      <c r="N1176" s="9">
        <f t="shared" si="75"/>
        <v>-0.22727272727272727</v>
      </c>
    </row>
    <row r="1177" spans="1:14" x14ac:dyDescent="0.25">
      <c r="A1177" t="str">
        <f>TEXT("1/"&amp;data!A1177,"mmmm")</f>
        <v>mai</v>
      </c>
      <c r="B1177">
        <f>data!B1177</f>
        <v>2016</v>
      </c>
      <c r="C1177" t="str">
        <f>data!C1177</f>
        <v>002</v>
      </c>
      <c r="D1177" t="str">
        <f>data!D1177</f>
        <v>CAVE DE GALLICIAN</v>
      </c>
      <c r="E1177" t="str">
        <f>data!E1177</f>
        <v>002026</v>
      </c>
      <c r="F1177" t="str">
        <f>data!F1177</f>
        <v>IGP GARD GRES D'OR</v>
      </c>
      <c r="G1177" s="10">
        <f>data!G1177</f>
        <v>98.88</v>
      </c>
      <c r="H1177" s="10">
        <f>data!I1177</f>
        <v>49.08</v>
      </c>
      <c r="I1177" s="10">
        <f t="shared" si="72"/>
        <v>49.8</v>
      </c>
      <c r="J1177" s="11">
        <f>data!H1177</f>
        <v>48</v>
      </c>
      <c r="K1177" s="11">
        <f>data!J1177</f>
        <v>24</v>
      </c>
      <c r="L1177" s="11">
        <f t="shared" si="73"/>
        <v>24</v>
      </c>
      <c r="M1177" s="9">
        <f t="shared" si="74"/>
        <v>1.0146699266503667</v>
      </c>
      <c r="N1177" s="9">
        <f t="shared" si="75"/>
        <v>1</v>
      </c>
    </row>
    <row r="1178" spans="1:14" x14ac:dyDescent="0.25">
      <c r="A1178" t="str">
        <f>TEXT("1/"&amp;data!A1178,"mmmm")</f>
        <v>mai</v>
      </c>
      <c r="B1178">
        <f>data!B1178</f>
        <v>2016</v>
      </c>
      <c r="C1178" t="str">
        <f>data!C1178</f>
        <v>002</v>
      </c>
      <c r="D1178" t="str">
        <f>data!D1178</f>
        <v>CAVE DE GALLICIAN</v>
      </c>
      <c r="E1178" t="str">
        <f>data!E1178</f>
        <v>002027</v>
      </c>
      <c r="F1178" t="str">
        <f>data!F1178</f>
        <v>IGP D'OC  GRIS DES LAUNES  GALLICIAN</v>
      </c>
      <c r="G1178" s="10">
        <f>data!G1178</f>
        <v>1092</v>
      </c>
      <c r="H1178" s="10">
        <f>data!I1178</f>
        <v>329.12</v>
      </c>
      <c r="I1178" s="10">
        <f t="shared" si="72"/>
        <v>762.88</v>
      </c>
      <c r="J1178" s="11">
        <f>data!H1178</f>
        <v>582</v>
      </c>
      <c r="K1178" s="11">
        <f>data!J1178</f>
        <v>186</v>
      </c>
      <c r="L1178" s="11">
        <f t="shared" si="73"/>
        <v>396</v>
      </c>
      <c r="M1178" s="9">
        <f t="shared" si="74"/>
        <v>2.3179387457462322</v>
      </c>
      <c r="N1178" s="9">
        <f t="shared" si="75"/>
        <v>2.129032258064516</v>
      </c>
    </row>
    <row r="1179" spans="1:14" x14ac:dyDescent="0.25">
      <c r="A1179" t="str">
        <f>TEXT("1/"&amp;data!A1179,"mmmm")</f>
        <v>mai</v>
      </c>
      <c r="B1179">
        <f>data!B1179</f>
        <v>2016</v>
      </c>
      <c r="C1179" t="str">
        <f>data!C1179</f>
        <v>002</v>
      </c>
      <c r="D1179" t="str">
        <f>data!D1179</f>
        <v>CAVE DE GALLICIAN</v>
      </c>
      <c r="E1179" t="str">
        <f>data!E1179</f>
        <v>002033</v>
      </c>
      <c r="F1179" t="str">
        <f>data!F1179</f>
        <v>AOP COSTIERES DE NIMES</v>
      </c>
      <c r="G1179" s="10">
        <f>data!G1179</f>
        <v>26.4</v>
      </c>
      <c r="H1179" s="10">
        <f>data!I1179</f>
        <v>0</v>
      </c>
      <c r="I1179" s="10">
        <f t="shared" si="72"/>
        <v>26.4</v>
      </c>
      <c r="J1179" s="11">
        <f>data!H1179</f>
        <v>16</v>
      </c>
      <c r="K1179" s="11">
        <f>data!J1179</f>
        <v>0</v>
      </c>
      <c r="L1179" s="11">
        <f t="shared" si="73"/>
        <v>16</v>
      </c>
      <c r="M1179" s="9" t="str">
        <f t="shared" si="74"/>
        <v/>
      </c>
      <c r="N1179" s="9" t="str">
        <f t="shared" si="75"/>
        <v/>
      </c>
    </row>
    <row r="1180" spans="1:14" x14ac:dyDescent="0.25">
      <c r="A1180" t="str">
        <f>TEXT("1/"&amp;data!A1180,"mmmm")</f>
        <v>mai</v>
      </c>
      <c r="B1180">
        <f>data!B1180</f>
        <v>2016</v>
      </c>
      <c r="C1180" t="str">
        <f>data!C1180</f>
        <v>002</v>
      </c>
      <c r="D1180" t="str">
        <f>data!D1180</f>
        <v>CAVE DE GALLICIAN</v>
      </c>
      <c r="E1180" t="str">
        <f>data!E1180</f>
        <v>002034</v>
      </c>
      <c r="F1180" t="str">
        <f>data!F1180</f>
        <v>AOP COSTIERES DE NIMES</v>
      </c>
      <c r="G1180" s="10">
        <f>data!G1180</f>
        <v>26.4</v>
      </c>
      <c r="H1180" s="10">
        <f>data!I1180</f>
        <v>0</v>
      </c>
      <c r="I1180" s="10">
        <f t="shared" si="72"/>
        <v>26.4</v>
      </c>
      <c r="J1180" s="11">
        <f>data!H1180</f>
        <v>16</v>
      </c>
      <c r="K1180" s="11">
        <f>data!J1180</f>
        <v>0</v>
      </c>
      <c r="L1180" s="11">
        <f t="shared" si="73"/>
        <v>16</v>
      </c>
      <c r="M1180" s="9" t="str">
        <f t="shared" si="74"/>
        <v/>
      </c>
      <c r="N1180" s="9" t="str">
        <f t="shared" si="75"/>
        <v/>
      </c>
    </row>
    <row r="1181" spans="1:14" x14ac:dyDescent="0.25">
      <c r="A1181" t="str">
        <f>TEXT("1/"&amp;data!A1181,"mmmm")</f>
        <v>mai</v>
      </c>
      <c r="B1181">
        <f>data!B1181</f>
        <v>2016</v>
      </c>
      <c r="C1181" t="str">
        <f>data!C1181</f>
        <v>002</v>
      </c>
      <c r="D1181" t="str">
        <f>data!D1181</f>
        <v>CAVE DE GALLICIAN</v>
      </c>
      <c r="E1181" t="str">
        <f>data!E1181</f>
        <v>002035</v>
      </c>
      <c r="F1181" t="str">
        <f>data!F1181</f>
        <v>AOP COSTIERES DE NIMES</v>
      </c>
      <c r="G1181" s="10">
        <f>data!G1181</f>
        <v>13.2</v>
      </c>
      <c r="H1181" s="10">
        <f>data!I1181</f>
        <v>0</v>
      </c>
      <c r="I1181" s="10">
        <f t="shared" si="72"/>
        <v>13.2</v>
      </c>
      <c r="J1181" s="11">
        <f>data!H1181</f>
        <v>8</v>
      </c>
      <c r="K1181" s="11">
        <f>data!J1181</f>
        <v>0</v>
      </c>
      <c r="L1181" s="11">
        <f t="shared" si="73"/>
        <v>8</v>
      </c>
      <c r="M1181" s="9" t="str">
        <f t="shared" si="74"/>
        <v/>
      </c>
      <c r="N1181" s="9" t="str">
        <f t="shared" si="75"/>
        <v/>
      </c>
    </row>
    <row r="1182" spans="1:14" x14ac:dyDescent="0.25">
      <c r="A1182" t="str">
        <f>TEXT("1/"&amp;data!A1182,"mmmm")</f>
        <v>mai</v>
      </c>
      <c r="B1182">
        <f>data!B1182</f>
        <v>2016</v>
      </c>
      <c r="C1182" t="str">
        <f>data!C1182</f>
        <v>002</v>
      </c>
      <c r="D1182" t="str">
        <f>data!D1182</f>
        <v>CAVE DE GALLICIAN</v>
      </c>
      <c r="E1182" t="str">
        <f>data!E1182</f>
        <v>002037</v>
      </c>
      <c r="F1182" t="str">
        <f>data!F1182</f>
        <v>AOP COSTIERES DE NIMES COMBES DE MEZIERES</v>
      </c>
      <c r="G1182" s="10">
        <f>data!G1182</f>
        <v>178.8</v>
      </c>
      <c r="H1182" s="10">
        <f>data!I1182</f>
        <v>403.2</v>
      </c>
      <c r="I1182" s="10">
        <f t="shared" si="72"/>
        <v>-224.39999999999998</v>
      </c>
      <c r="J1182" s="11">
        <f>data!H1182</f>
        <v>60</v>
      </c>
      <c r="K1182" s="11">
        <f>data!J1182</f>
        <v>144</v>
      </c>
      <c r="L1182" s="11">
        <f t="shared" si="73"/>
        <v>-84</v>
      </c>
      <c r="M1182" s="9">
        <f t="shared" si="74"/>
        <v>-0.55654761904761896</v>
      </c>
      <c r="N1182" s="9">
        <f t="shared" si="75"/>
        <v>-0.58333333333333337</v>
      </c>
    </row>
    <row r="1183" spans="1:14" x14ac:dyDescent="0.25">
      <c r="A1183" t="str">
        <f>TEXT("1/"&amp;data!A1183,"mmmm")</f>
        <v>mai</v>
      </c>
      <c r="B1183">
        <f>data!B1183</f>
        <v>2016</v>
      </c>
      <c r="C1183" t="str">
        <f>data!C1183</f>
        <v>002</v>
      </c>
      <c r="D1183" t="str">
        <f>data!D1183</f>
        <v>CAVE DE GALLICIAN</v>
      </c>
      <c r="E1183" t="str">
        <f>data!E1183</f>
        <v>002040</v>
      </c>
      <c r="F1183" t="str">
        <f>data!F1183</f>
        <v>AOP COSTIERES DE NIMES PRESTIGE</v>
      </c>
      <c r="G1183" s="10">
        <f>data!G1183</f>
        <v>197.1</v>
      </c>
      <c r="H1183" s="10">
        <f>data!I1183</f>
        <v>131.4</v>
      </c>
      <c r="I1183" s="10">
        <f t="shared" si="72"/>
        <v>65.699999999999989</v>
      </c>
      <c r="J1183" s="11">
        <f>data!H1183</f>
        <v>90</v>
      </c>
      <c r="K1183" s="11">
        <f>data!J1183</f>
        <v>72</v>
      </c>
      <c r="L1183" s="11">
        <f t="shared" si="73"/>
        <v>18</v>
      </c>
      <c r="M1183" s="9">
        <f t="shared" si="74"/>
        <v>0.49999999999999989</v>
      </c>
      <c r="N1183" s="9">
        <f t="shared" si="75"/>
        <v>0.25</v>
      </c>
    </row>
    <row r="1184" spans="1:14" x14ac:dyDescent="0.25">
      <c r="A1184" t="str">
        <f>TEXT("1/"&amp;data!A1184,"mmmm")</f>
        <v>mai</v>
      </c>
      <c r="B1184">
        <f>data!B1184</f>
        <v>2016</v>
      </c>
      <c r="C1184" t="str">
        <f>data!C1184</f>
        <v>002</v>
      </c>
      <c r="D1184" t="str">
        <f>data!D1184</f>
        <v>CAVE DE GALLICIAN</v>
      </c>
      <c r="E1184" t="str">
        <f>data!E1184</f>
        <v>002100</v>
      </c>
      <c r="F1184" t="str">
        <f>data!F1184</f>
        <v>VDP DU GARD. LOU GRES D'OR</v>
      </c>
      <c r="G1184" s="10">
        <f>data!G1184</f>
        <v>405.84</v>
      </c>
      <c r="H1184" s="10">
        <f>data!I1184</f>
        <v>415.2</v>
      </c>
      <c r="I1184" s="10">
        <f t="shared" si="72"/>
        <v>-9.3600000000000136</v>
      </c>
      <c r="J1184" s="11">
        <f>data!H1184</f>
        <v>228</v>
      </c>
      <c r="K1184" s="11">
        <f>data!J1184</f>
        <v>240</v>
      </c>
      <c r="L1184" s="11">
        <f t="shared" si="73"/>
        <v>-12</v>
      </c>
      <c r="M1184" s="9">
        <f t="shared" si="74"/>
        <v>-2.2543352601156103E-2</v>
      </c>
      <c r="N1184" s="9">
        <f t="shared" si="75"/>
        <v>-0.05</v>
      </c>
    </row>
    <row r="1185" spans="1:14" x14ac:dyDescent="0.25">
      <c r="A1185" t="str">
        <f>TEXT("1/"&amp;data!A1185,"mmmm")</f>
        <v>mai</v>
      </c>
      <c r="B1185">
        <f>data!B1185</f>
        <v>2016</v>
      </c>
      <c r="C1185" t="str">
        <f>data!C1185</f>
        <v>002</v>
      </c>
      <c r="D1185" t="str">
        <f>data!D1185</f>
        <v>CAVE DE GALLICIAN</v>
      </c>
      <c r="E1185" t="str">
        <f>data!E1185</f>
        <v>002101</v>
      </c>
      <c r="F1185" t="str">
        <f>data!F1185</f>
        <v>IGP DU GARD LOU GRES D'OR</v>
      </c>
      <c r="G1185" s="10">
        <f>data!G1185</f>
        <v>64.08</v>
      </c>
      <c r="H1185" s="10">
        <f>data!I1185</f>
        <v>207.6</v>
      </c>
      <c r="I1185" s="10">
        <f t="shared" si="72"/>
        <v>-143.51999999999998</v>
      </c>
      <c r="J1185" s="11">
        <f>data!H1185</f>
        <v>36</v>
      </c>
      <c r="K1185" s="11">
        <f>data!J1185</f>
        <v>120</v>
      </c>
      <c r="L1185" s="11">
        <f t="shared" si="73"/>
        <v>-84</v>
      </c>
      <c r="M1185" s="9">
        <f t="shared" si="74"/>
        <v>-0.691329479768786</v>
      </c>
      <c r="N1185" s="9">
        <f t="shared" si="75"/>
        <v>-0.7</v>
      </c>
    </row>
    <row r="1186" spans="1:14" x14ac:dyDescent="0.25">
      <c r="A1186" t="str">
        <f>TEXT("1/"&amp;data!A1186,"mmmm")</f>
        <v>mai</v>
      </c>
      <c r="B1186">
        <f>data!B1186</f>
        <v>2016</v>
      </c>
      <c r="C1186" t="str">
        <f>data!C1186</f>
        <v>002</v>
      </c>
      <c r="D1186" t="str">
        <f>data!D1186</f>
        <v>CAVE DE GALLICIAN</v>
      </c>
      <c r="E1186" t="str">
        <f>data!E1186</f>
        <v>002200</v>
      </c>
      <c r="F1186" t="str">
        <f>data!F1186</f>
        <v>ROSE PAMPLEMOUSSE</v>
      </c>
      <c r="G1186" s="10">
        <f>data!G1186</f>
        <v>55.6</v>
      </c>
      <c r="H1186" s="10">
        <f>data!I1186</f>
        <v>257.26</v>
      </c>
      <c r="I1186" s="10">
        <f t="shared" si="72"/>
        <v>-201.66</v>
      </c>
      <c r="J1186" s="11">
        <f>data!H1186</f>
        <v>28</v>
      </c>
      <c r="K1186" s="11">
        <f>data!J1186</f>
        <v>152</v>
      </c>
      <c r="L1186" s="11">
        <f t="shared" si="73"/>
        <v>-124</v>
      </c>
      <c r="M1186" s="9">
        <f t="shared" si="74"/>
        <v>-0.78387623415999375</v>
      </c>
      <c r="N1186" s="9">
        <f t="shared" si="75"/>
        <v>-0.81578947368421051</v>
      </c>
    </row>
    <row r="1187" spans="1:14" x14ac:dyDescent="0.25">
      <c r="A1187" t="str">
        <f>TEXT("1/"&amp;data!A1187,"mmmm")</f>
        <v>mai</v>
      </c>
      <c r="B1187">
        <f>data!B1187</f>
        <v>2016</v>
      </c>
      <c r="C1187" t="str">
        <f>data!C1187</f>
        <v>002</v>
      </c>
      <c r="D1187" t="str">
        <f>data!D1187</f>
        <v>CAVE DE GALLICIAN</v>
      </c>
      <c r="E1187" t="str">
        <f>data!E1187</f>
        <v>002903</v>
      </c>
      <c r="F1187" t="str">
        <f>data!F1187</f>
        <v>VDP MERLOT C. GALLICIAN</v>
      </c>
      <c r="G1187" s="10">
        <f>data!G1187</f>
        <v>1057.5</v>
      </c>
      <c r="H1187" s="10">
        <f>data!I1187</f>
        <v>91.6</v>
      </c>
      <c r="I1187" s="10">
        <f t="shared" si="72"/>
        <v>965.9</v>
      </c>
      <c r="J1187" s="11">
        <f>data!H1187</f>
        <v>1200.1500000000001</v>
      </c>
      <c r="K1187" s="11">
        <f>data!J1187</f>
        <v>106.68</v>
      </c>
      <c r="L1187" s="11">
        <f t="shared" si="73"/>
        <v>1093.47</v>
      </c>
      <c r="M1187" s="9">
        <f t="shared" si="74"/>
        <v>10.544759825327512</v>
      </c>
      <c r="N1187" s="9">
        <f t="shared" si="75"/>
        <v>10.25</v>
      </c>
    </row>
    <row r="1188" spans="1:14" x14ac:dyDescent="0.25">
      <c r="A1188" t="str">
        <f>TEXT("1/"&amp;data!A1188,"mmmm")</f>
        <v>mai</v>
      </c>
      <c r="B1188">
        <f>data!B1188</f>
        <v>2016</v>
      </c>
      <c r="C1188" t="str">
        <f>data!C1188</f>
        <v>002</v>
      </c>
      <c r="D1188" t="str">
        <f>data!D1188</f>
        <v>CAVE DE GALLICIAN</v>
      </c>
      <c r="E1188" t="str">
        <f>data!E1188</f>
        <v>002905</v>
      </c>
      <c r="F1188" t="str">
        <f>data!F1188</f>
        <v>VDT. CUVEE FIOJOLI étiq perso scaeL</v>
      </c>
      <c r="G1188" s="10">
        <f>data!G1188</f>
        <v>669.6</v>
      </c>
      <c r="H1188" s="10">
        <f>data!I1188</f>
        <v>432</v>
      </c>
      <c r="I1188" s="10">
        <f t="shared" si="72"/>
        <v>237.60000000000002</v>
      </c>
      <c r="J1188" s="11">
        <f>data!H1188</f>
        <v>826.46</v>
      </c>
      <c r="K1188" s="11">
        <f>data!J1188</f>
        <v>533.20000000000005</v>
      </c>
      <c r="L1188" s="11">
        <f t="shared" si="73"/>
        <v>293.26</v>
      </c>
      <c r="M1188" s="9">
        <f t="shared" si="74"/>
        <v>0.55000000000000004</v>
      </c>
      <c r="N1188" s="9">
        <f t="shared" si="75"/>
        <v>0.54999999999999993</v>
      </c>
    </row>
    <row r="1189" spans="1:14" x14ac:dyDescent="0.25">
      <c r="A1189" t="str">
        <f>TEXT("1/"&amp;data!A1189,"mmmm")</f>
        <v>mai</v>
      </c>
      <c r="B1189">
        <f>data!B1189</f>
        <v>2016</v>
      </c>
      <c r="C1189" t="str">
        <f>data!C1189</f>
        <v>007</v>
      </c>
      <c r="D1189" t="str">
        <f>data!D1189</f>
        <v>DOMAINE ANDRE DUSSOURT</v>
      </c>
      <c r="E1189" t="str">
        <f>data!E1189</f>
        <v>007002</v>
      </c>
      <c r="F1189" t="str">
        <f>data!F1189</f>
        <v>AC RIESLING D. DUSSOURT</v>
      </c>
      <c r="G1189" s="10">
        <f>data!G1189</f>
        <v>303.60000000000002</v>
      </c>
      <c r="H1189" s="10">
        <f>data!I1189</f>
        <v>123</v>
      </c>
      <c r="I1189" s="10">
        <f t="shared" si="72"/>
        <v>180.60000000000002</v>
      </c>
      <c r="J1189" s="11">
        <f>data!H1189</f>
        <v>66</v>
      </c>
      <c r="K1189" s="11">
        <f>data!J1189</f>
        <v>30</v>
      </c>
      <c r="L1189" s="11">
        <f t="shared" si="73"/>
        <v>36</v>
      </c>
      <c r="M1189" s="9">
        <f t="shared" si="74"/>
        <v>1.4682926829268295</v>
      </c>
      <c r="N1189" s="9">
        <f t="shared" si="75"/>
        <v>1.2</v>
      </c>
    </row>
    <row r="1190" spans="1:14" x14ac:dyDescent="0.25">
      <c r="A1190" t="str">
        <f>TEXT("1/"&amp;data!A1190,"mmmm")</f>
        <v>mai</v>
      </c>
      <c r="B1190">
        <f>data!B1190</f>
        <v>2016</v>
      </c>
      <c r="C1190" t="str">
        <f>data!C1190</f>
        <v>007</v>
      </c>
      <c r="D1190" t="str">
        <f>data!D1190</f>
        <v>DOMAINE ANDRE DUSSOURT</v>
      </c>
      <c r="E1190" t="str">
        <f>data!E1190</f>
        <v>007003</v>
      </c>
      <c r="F1190" t="str">
        <f>data!F1190</f>
        <v>AC PINOT GRIS D. DUSSOURT</v>
      </c>
      <c r="G1190" s="10">
        <f>data!G1190</f>
        <v>264</v>
      </c>
      <c r="H1190" s="10">
        <f>data!I1190</f>
        <v>62.4</v>
      </c>
      <c r="I1190" s="10">
        <f t="shared" si="72"/>
        <v>201.6</v>
      </c>
      <c r="J1190" s="11">
        <f>data!H1190</f>
        <v>48</v>
      </c>
      <c r="K1190" s="11">
        <f>data!J1190</f>
        <v>12</v>
      </c>
      <c r="L1190" s="11">
        <f t="shared" si="73"/>
        <v>36</v>
      </c>
      <c r="M1190" s="9">
        <f t="shared" si="74"/>
        <v>3.2307692307692308</v>
      </c>
      <c r="N1190" s="9">
        <f t="shared" si="75"/>
        <v>3</v>
      </c>
    </row>
    <row r="1191" spans="1:14" x14ac:dyDescent="0.25">
      <c r="A1191" t="str">
        <f>TEXT("1/"&amp;data!A1191,"mmmm")</f>
        <v>mai</v>
      </c>
      <c r="B1191">
        <f>data!B1191</f>
        <v>2016</v>
      </c>
      <c r="C1191" t="str">
        <f>data!C1191</f>
        <v>007</v>
      </c>
      <c r="D1191" t="str">
        <f>data!D1191</f>
        <v>DOMAINE ANDRE DUSSOURT</v>
      </c>
      <c r="E1191" t="str">
        <f>data!E1191</f>
        <v>007004</v>
      </c>
      <c r="F1191" t="str">
        <f>data!F1191</f>
        <v>AC GEWURZTRAMINER D. DUSSOURT</v>
      </c>
      <c r="G1191" s="10">
        <f>data!G1191</f>
        <v>261</v>
      </c>
      <c r="H1191" s="10">
        <f>data!I1191</f>
        <v>283.5</v>
      </c>
      <c r="I1191" s="10">
        <f t="shared" si="72"/>
        <v>-22.5</v>
      </c>
      <c r="J1191" s="11">
        <f>data!H1191</f>
        <v>36</v>
      </c>
      <c r="K1191" s="11">
        <f>data!J1191</f>
        <v>42</v>
      </c>
      <c r="L1191" s="11">
        <f t="shared" si="73"/>
        <v>-6</v>
      </c>
      <c r="M1191" s="9">
        <f t="shared" si="74"/>
        <v>-7.9365079365079361E-2</v>
      </c>
      <c r="N1191" s="9">
        <f t="shared" si="75"/>
        <v>-0.14285714285714285</v>
      </c>
    </row>
    <row r="1192" spans="1:14" x14ac:dyDescent="0.25">
      <c r="A1192" t="str">
        <f>TEXT("1/"&amp;data!A1192,"mmmm")</f>
        <v>mai</v>
      </c>
      <c r="B1192">
        <f>data!B1192</f>
        <v>2016</v>
      </c>
      <c r="C1192" t="str">
        <f>data!C1192</f>
        <v>007</v>
      </c>
      <c r="D1192" t="str">
        <f>data!D1192</f>
        <v>DOMAINE ANDRE DUSSOURT</v>
      </c>
      <c r="E1192" t="str">
        <f>data!E1192</f>
        <v>007005</v>
      </c>
      <c r="F1192" t="str">
        <f>data!F1192</f>
        <v>AC CREMANT D'ALSACE RIESLING M.TRAD</v>
      </c>
      <c r="G1192" s="10">
        <f>data!G1192</f>
        <v>36.9</v>
      </c>
      <c r="H1192" s="10">
        <f>data!I1192</f>
        <v>258.3</v>
      </c>
      <c r="I1192" s="10">
        <f t="shared" si="72"/>
        <v>-221.4</v>
      </c>
      <c r="J1192" s="11">
        <f>data!H1192</f>
        <v>6</v>
      </c>
      <c r="K1192" s="11">
        <f>data!J1192</f>
        <v>42</v>
      </c>
      <c r="L1192" s="11">
        <f t="shared" si="73"/>
        <v>-36</v>
      </c>
      <c r="M1192" s="9">
        <f t="shared" si="74"/>
        <v>-0.8571428571428571</v>
      </c>
      <c r="N1192" s="9">
        <f t="shared" si="75"/>
        <v>-0.8571428571428571</v>
      </c>
    </row>
    <row r="1193" spans="1:14" x14ac:dyDescent="0.25">
      <c r="A1193" t="str">
        <f>TEXT("1/"&amp;data!A1193,"mmmm")</f>
        <v>mai</v>
      </c>
      <c r="B1193">
        <f>data!B1193</f>
        <v>2016</v>
      </c>
      <c r="C1193" t="str">
        <f>data!C1193</f>
        <v>007</v>
      </c>
      <c r="D1193" t="str">
        <f>data!D1193</f>
        <v>DOMAINE ANDRE DUSSOURT</v>
      </c>
      <c r="E1193" t="str">
        <f>data!E1193</f>
        <v>007006</v>
      </c>
      <c r="F1193" t="str">
        <f>data!F1193</f>
        <v>AC PINOT NOIR D. DUSSOURT</v>
      </c>
      <c r="G1193" s="10">
        <f>data!G1193</f>
        <v>302.39999999999998</v>
      </c>
      <c r="H1193" s="10">
        <f>data!I1193</f>
        <v>212.4</v>
      </c>
      <c r="I1193" s="10">
        <f t="shared" si="72"/>
        <v>89.999999999999972</v>
      </c>
      <c r="J1193" s="11">
        <f>data!H1193</f>
        <v>48</v>
      </c>
      <c r="K1193" s="11">
        <f>data!J1193</f>
        <v>36</v>
      </c>
      <c r="L1193" s="11">
        <f t="shared" si="73"/>
        <v>12</v>
      </c>
      <c r="M1193" s="9">
        <f t="shared" si="74"/>
        <v>0.4237288135593219</v>
      </c>
      <c r="N1193" s="9">
        <f t="shared" si="75"/>
        <v>0.33333333333333331</v>
      </c>
    </row>
    <row r="1194" spans="1:14" x14ac:dyDescent="0.25">
      <c r="A1194" t="str">
        <f>TEXT("1/"&amp;data!A1194,"mmmm")</f>
        <v>mai</v>
      </c>
      <c r="B1194">
        <f>data!B1194</f>
        <v>2016</v>
      </c>
      <c r="C1194" t="str">
        <f>data!C1194</f>
        <v>007</v>
      </c>
      <c r="D1194" t="str">
        <f>data!D1194</f>
        <v>DOMAINE ANDRE DUSSOURT</v>
      </c>
      <c r="E1194" t="str">
        <f>data!E1194</f>
        <v>007021</v>
      </c>
      <c r="F1194" t="str">
        <f>data!F1194</f>
        <v>DOMAINE DUSSOURT AC GEWURZTRAMINER</v>
      </c>
      <c r="G1194" s="10">
        <f>data!G1194</f>
        <v>51.6</v>
      </c>
      <c r="H1194" s="10">
        <f>data!I1194</f>
        <v>0</v>
      </c>
      <c r="I1194" s="10">
        <f t="shared" si="72"/>
        <v>51.6</v>
      </c>
      <c r="J1194" s="11">
        <f>data!H1194</f>
        <v>6</v>
      </c>
      <c r="K1194" s="11">
        <f>data!J1194</f>
        <v>0</v>
      </c>
      <c r="L1194" s="11">
        <f t="shared" si="73"/>
        <v>6</v>
      </c>
      <c r="M1194" s="9" t="str">
        <f t="shared" si="74"/>
        <v/>
      </c>
      <c r="N1194" s="9" t="str">
        <f t="shared" si="75"/>
        <v/>
      </c>
    </row>
    <row r="1195" spans="1:14" x14ac:dyDescent="0.25">
      <c r="A1195" t="str">
        <f>TEXT("1/"&amp;data!A1195,"mmmm")</f>
        <v>mai</v>
      </c>
      <c r="B1195">
        <f>data!B1195</f>
        <v>2016</v>
      </c>
      <c r="C1195" t="str">
        <f>data!C1195</f>
        <v>011</v>
      </c>
      <c r="D1195" t="str">
        <f>data!D1195</f>
        <v>CAVE GAUTIER</v>
      </c>
      <c r="E1195" t="str">
        <f>data!E1195</f>
        <v>011001</v>
      </c>
      <c r="F1195" t="str">
        <f>data!F1195</f>
        <v>AC VOUVRAY METH TRAD BRUT  D.CHATAIGNERAIE</v>
      </c>
      <c r="G1195" s="10">
        <f>data!G1195</f>
        <v>1556.1</v>
      </c>
      <c r="H1195" s="10">
        <f>data!I1195</f>
        <v>3136.14</v>
      </c>
      <c r="I1195" s="10">
        <f t="shared" si="72"/>
        <v>-1580.04</v>
      </c>
      <c r="J1195" s="11">
        <f>data!H1195</f>
        <v>390</v>
      </c>
      <c r="K1195" s="11">
        <f>data!J1195</f>
        <v>786</v>
      </c>
      <c r="L1195" s="11">
        <f t="shared" si="73"/>
        <v>-396</v>
      </c>
      <c r="M1195" s="9">
        <f t="shared" si="74"/>
        <v>-0.50381679389312983</v>
      </c>
      <c r="N1195" s="9">
        <f t="shared" si="75"/>
        <v>-0.50381679389312972</v>
      </c>
    </row>
    <row r="1196" spans="1:14" x14ac:dyDescent="0.25">
      <c r="A1196" t="str">
        <f>TEXT("1/"&amp;data!A1196,"mmmm")</f>
        <v>mai</v>
      </c>
      <c r="B1196">
        <f>data!B1196</f>
        <v>2016</v>
      </c>
      <c r="C1196" t="str">
        <f>data!C1196</f>
        <v>011</v>
      </c>
      <c r="D1196" t="str">
        <f>data!D1196</f>
        <v>CAVE GAUTIER</v>
      </c>
      <c r="E1196" t="str">
        <f>data!E1196</f>
        <v>011005</v>
      </c>
      <c r="F1196" t="str">
        <f>data!F1196</f>
        <v>AC VOUVRAY C. ANTIQUE D.CHATAIGNERAIE</v>
      </c>
      <c r="G1196" s="10">
        <f>data!G1196</f>
        <v>718.56</v>
      </c>
      <c r="H1196" s="10">
        <f>data!I1196</f>
        <v>882</v>
      </c>
      <c r="I1196" s="10">
        <f t="shared" si="72"/>
        <v>-163.44000000000005</v>
      </c>
      <c r="J1196" s="11">
        <f>data!H1196</f>
        <v>144</v>
      </c>
      <c r="K1196" s="11">
        <f>data!J1196</f>
        <v>180</v>
      </c>
      <c r="L1196" s="11">
        <f t="shared" si="73"/>
        <v>-36</v>
      </c>
      <c r="M1196" s="9">
        <f t="shared" si="74"/>
        <v>-0.18530612244897965</v>
      </c>
      <c r="N1196" s="9">
        <f t="shared" si="75"/>
        <v>-0.2</v>
      </c>
    </row>
    <row r="1197" spans="1:14" x14ac:dyDescent="0.25">
      <c r="A1197" t="str">
        <f>TEXT("1/"&amp;data!A1197,"mmmm")</f>
        <v>mai</v>
      </c>
      <c r="B1197">
        <f>data!B1197</f>
        <v>2016</v>
      </c>
      <c r="C1197" t="str">
        <f>data!C1197</f>
        <v>019</v>
      </c>
      <c r="D1197" t="str">
        <f>data!D1197</f>
        <v>VIGNOBLES YON</v>
      </c>
      <c r="E1197" t="str">
        <f>data!E1197</f>
        <v>019003</v>
      </c>
      <c r="F1197" t="str">
        <f>data!F1197</f>
        <v>AC BDX SUP. CH LES HAUTS DE PEREY</v>
      </c>
      <c r="G1197" s="10">
        <f>data!G1197</f>
        <v>1851</v>
      </c>
      <c r="H1197" s="10">
        <f>data!I1197</f>
        <v>5543.22</v>
      </c>
      <c r="I1197" s="10">
        <f t="shared" si="72"/>
        <v>-3692.2200000000003</v>
      </c>
      <c r="J1197" s="11">
        <f>data!H1197</f>
        <v>828</v>
      </c>
      <c r="K1197" s="11">
        <f>data!J1197</f>
        <v>2514</v>
      </c>
      <c r="L1197" s="11">
        <f t="shared" si="73"/>
        <v>-1686</v>
      </c>
      <c r="M1197" s="9">
        <f t="shared" si="74"/>
        <v>-0.66607856083648131</v>
      </c>
      <c r="N1197" s="9">
        <f t="shared" si="75"/>
        <v>-0.6706443914081146</v>
      </c>
    </row>
    <row r="1198" spans="1:14" x14ac:dyDescent="0.25">
      <c r="A1198" t="str">
        <f>TEXT("1/"&amp;data!A1198,"mmmm")</f>
        <v>mai</v>
      </c>
      <c r="B1198">
        <f>data!B1198</f>
        <v>2016</v>
      </c>
      <c r="C1198" t="str">
        <f>data!C1198</f>
        <v>019</v>
      </c>
      <c r="D1198" t="str">
        <f>data!D1198</f>
        <v>VIGNOBLES YON</v>
      </c>
      <c r="E1198" t="str">
        <f>data!E1198</f>
        <v>019004</v>
      </c>
      <c r="F1198" t="str">
        <f>data!F1198</f>
        <v>AC BDX SUP. CH LES HAUTS DE PEREY</v>
      </c>
      <c r="G1198" s="10">
        <f>data!G1198</f>
        <v>17.52</v>
      </c>
      <c r="H1198" s="10">
        <f>data!I1198</f>
        <v>63.94</v>
      </c>
      <c r="I1198" s="10">
        <f t="shared" si="72"/>
        <v>-46.42</v>
      </c>
      <c r="J1198" s="11">
        <f>data!H1198</f>
        <v>6</v>
      </c>
      <c r="K1198" s="11">
        <f>data!J1198</f>
        <v>24</v>
      </c>
      <c r="L1198" s="11">
        <f t="shared" si="73"/>
        <v>-18</v>
      </c>
      <c r="M1198" s="9">
        <f t="shared" si="74"/>
        <v>-0.72599311854863935</v>
      </c>
      <c r="N1198" s="9">
        <f t="shared" si="75"/>
        <v>-0.75</v>
      </c>
    </row>
    <row r="1199" spans="1:14" x14ac:dyDescent="0.25">
      <c r="A1199" t="str">
        <f>TEXT("1/"&amp;data!A1199,"mmmm")</f>
        <v>mai</v>
      </c>
      <c r="B1199">
        <f>data!B1199</f>
        <v>2016</v>
      </c>
      <c r="C1199" t="str">
        <f>data!C1199</f>
        <v>019</v>
      </c>
      <c r="D1199" t="str">
        <f>data!D1199</f>
        <v>VIGNOBLES YON</v>
      </c>
      <c r="E1199" t="str">
        <f>data!E1199</f>
        <v>019008</v>
      </c>
      <c r="F1199" t="str">
        <f>data!F1199</f>
        <v>AC BDX. CH LES HAUTS DE PEREY</v>
      </c>
      <c r="G1199" s="10">
        <f>data!G1199</f>
        <v>297</v>
      </c>
      <c r="H1199" s="10">
        <f>data!I1199</f>
        <v>424.6</v>
      </c>
      <c r="I1199" s="10">
        <f t="shared" si="72"/>
        <v>-127.60000000000002</v>
      </c>
      <c r="J1199" s="11">
        <f>data!H1199</f>
        <v>199.95</v>
      </c>
      <c r="K1199" s="11">
        <f>data!J1199</f>
        <v>293.26</v>
      </c>
      <c r="L1199" s="11">
        <f t="shared" si="73"/>
        <v>-93.31</v>
      </c>
      <c r="M1199" s="9">
        <f t="shared" si="74"/>
        <v>-0.30051813471502592</v>
      </c>
      <c r="N1199" s="9">
        <f t="shared" si="75"/>
        <v>-0.31818181818181818</v>
      </c>
    </row>
    <row r="1200" spans="1:14" x14ac:dyDescent="0.25">
      <c r="A1200" t="str">
        <f>TEXT("1/"&amp;data!A1200,"mmmm")</f>
        <v>mai</v>
      </c>
      <c r="B1200">
        <f>data!B1200</f>
        <v>2016</v>
      </c>
      <c r="C1200" t="str">
        <f>data!C1200</f>
        <v>019</v>
      </c>
      <c r="D1200" t="str">
        <f>data!D1200</f>
        <v>VIGNOBLES YON</v>
      </c>
      <c r="E1200" t="str">
        <f>data!E1200</f>
        <v>019009</v>
      </c>
      <c r="F1200" t="str">
        <f>data!F1200</f>
        <v>AC BDX. CH LES HAUTS DE PEREY</v>
      </c>
      <c r="G1200" s="10">
        <f>data!G1200</f>
        <v>358.4</v>
      </c>
      <c r="H1200" s="10">
        <f>data!I1200</f>
        <v>462</v>
      </c>
      <c r="I1200" s="10">
        <f t="shared" si="72"/>
        <v>-103.60000000000002</v>
      </c>
      <c r="J1200" s="11">
        <f>data!H1200</f>
        <v>220.10999999999999</v>
      </c>
      <c r="K1200" s="11">
        <f>data!J1200</f>
        <v>286.81</v>
      </c>
      <c r="L1200" s="11">
        <f t="shared" si="73"/>
        <v>-66.700000000000017</v>
      </c>
      <c r="M1200" s="9">
        <f t="shared" si="74"/>
        <v>-0.2242424242424243</v>
      </c>
      <c r="N1200" s="9">
        <f t="shared" si="75"/>
        <v>-0.23255813953488377</v>
      </c>
    </row>
    <row r="1201" spans="1:14" x14ac:dyDescent="0.25">
      <c r="A1201" t="str">
        <f>TEXT("1/"&amp;data!A1201,"mmmm")</f>
        <v>mai</v>
      </c>
      <c r="B1201">
        <f>data!B1201</f>
        <v>2016</v>
      </c>
      <c r="C1201" t="str">
        <f>data!C1201</f>
        <v>019</v>
      </c>
      <c r="D1201" t="str">
        <f>data!D1201</f>
        <v>VIGNOBLES YON</v>
      </c>
      <c r="E1201" t="str">
        <f>data!E1201</f>
        <v>019011</v>
      </c>
      <c r="F1201" t="str">
        <f>data!F1201</f>
        <v>AC BX SUP. CH GAURY-BALETTE</v>
      </c>
      <c r="G1201" s="10">
        <f>data!G1201</f>
        <v>81.599999999999994</v>
      </c>
      <c r="H1201" s="10">
        <f>data!I1201</f>
        <v>243</v>
      </c>
      <c r="I1201" s="10">
        <f t="shared" si="72"/>
        <v>-161.4</v>
      </c>
      <c r="J1201" s="11">
        <f>data!H1201</f>
        <v>30</v>
      </c>
      <c r="K1201" s="11">
        <f>data!J1201</f>
        <v>90</v>
      </c>
      <c r="L1201" s="11">
        <f t="shared" si="73"/>
        <v>-60</v>
      </c>
      <c r="M1201" s="9">
        <f t="shared" si="74"/>
        <v>-0.66419753086419753</v>
      </c>
      <c r="N1201" s="9">
        <f t="shared" si="75"/>
        <v>-0.66666666666666663</v>
      </c>
    </row>
    <row r="1202" spans="1:14" x14ac:dyDescent="0.25">
      <c r="A1202" t="str">
        <f>TEXT("1/"&amp;data!A1202,"mmmm")</f>
        <v>mai</v>
      </c>
      <c r="B1202">
        <f>data!B1202</f>
        <v>2016</v>
      </c>
      <c r="C1202" t="str">
        <f>data!C1202</f>
        <v>019</v>
      </c>
      <c r="D1202" t="str">
        <f>data!D1202</f>
        <v>VIGNOBLES YON</v>
      </c>
      <c r="E1202" t="str">
        <f>data!E1202</f>
        <v>019015</v>
      </c>
      <c r="F1202" t="str">
        <f>data!F1202</f>
        <v>AC E2MERS. CH GAURY-BALETTE</v>
      </c>
      <c r="G1202" s="10">
        <f>data!G1202</f>
        <v>85.1</v>
      </c>
      <c r="H1202" s="10">
        <f>data!I1202</f>
        <v>94.5</v>
      </c>
      <c r="I1202" s="10">
        <f t="shared" si="72"/>
        <v>-9.4000000000000057</v>
      </c>
      <c r="J1202" s="11">
        <f>data!H1202</f>
        <v>42</v>
      </c>
      <c r="K1202" s="11">
        <f>data!J1202</f>
        <v>42</v>
      </c>
      <c r="L1202" s="11">
        <f t="shared" si="73"/>
        <v>0</v>
      </c>
      <c r="M1202" s="9">
        <f t="shared" si="74"/>
        <v>-9.9470899470899529E-2</v>
      </c>
      <c r="N1202" s="9">
        <f t="shared" si="75"/>
        <v>0</v>
      </c>
    </row>
    <row r="1203" spans="1:14" x14ac:dyDescent="0.25">
      <c r="A1203" t="str">
        <f>TEXT("1/"&amp;data!A1203,"mmmm")</f>
        <v>mai</v>
      </c>
      <c r="B1203">
        <f>data!B1203</f>
        <v>2016</v>
      </c>
      <c r="C1203" t="str">
        <f>data!C1203</f>
        <v>025</v>
      </c>
      <c r="D1203" t="str">
        <f>data!D1203</f>
        <v>COLLOVRAY &amp; TERRIER</v>
      </c>
      <c r="E1203" t="str">
        <f>data!E1203</f>
        <v>025001</v>
      </c>
      <c r="F1203" t="str">
        <f>data!F1203</f>
        <v>AC SAINT VERAN TRAD. COLLOVRAY&amp;TERRIER</v>
      </c>
      <c r="G1203" s="10">
        <f>data!G1203</f>
        <v>774.06</v>
      </c>
      <c r="H1203" s="10">
        <f>data!I1203</f>
        <v>814.8</v>
      </c>
      <c r="I1203" s="10">
        <f t="shared" si="72"/>
        <v>-40.740000000000009</v>
      </c>
      <c r="J1203" s="11">
        <f>data!H1203</f>
        <v>114</v>
      </c>
      <c r="K1203" s="11">
        <f>data!J1203</f>
        <v>120</v>
      </c>
      <c r="L1203" s="11">
        <f t="shared" si="73"/>
        <v>-6</v>
      </c>
      <c r="M1203" s="9">
        <f t="shared" si="74"/>
        <v>-5.0000000000000017E-2</v>
      </c>
      <c r="N1203" s="9">
        <f t="shared" si="75"/>
        <v>-0.05</v>
      </c>
    </row>
    <row r="1204" spans="1:14" x14ac:dyDescent="0.25">
      <c r="A1204" t="str">
        <f>TEXT("1/"&amp;data!A1204,"mmmm")</f>
        <v>mai</v>
      </c>
      <c r="B1204">
        <f>data!B1204</f>
        <v>2016</v>
      </c>
      <c r="C1204" t="str">
        <f>data!C1204</f>
        <v>025</v>
      </c>
      <c r="D1204" t="str">
        <f>data!D1204</f>
        <v>COLLOVRAY &amp; TERRIER</v>
      </c>
      <c r="E1204" t="str">
        <f>data!E1204</f>
        <v>025003</v>
      </c>
      <c r="F1204" t="str">
        <f>data!F1204</f>
        <v>DME DEUX ROCHES AC ST VERAN RIVES DE LONGSAULT</v>
      </c>
      <c r="G1204" s="10">
        <f>data!G1204</f>
        <v>413.1</v>
      </c>
      <c r="H1204" s="10">
        <f>data!I1204</f>
        <v>0</v>
      </c>
      <c r="I1204" s="10">
        <f t="shared" si="72"/>
        <v>413.1</v>
      </c>
      <c r="J1204" s="11">
        <f>data!H1204</f>
        <v>54</v>
      </c>
      <c r="K1204" s="11">
        <f>data!J1204</f>
        <v>0</v>
      </c>
      <c r="L1204" s="11">
        <f t="shared" si="73"/>
        <v>54</v>
      </c>
      <c r="M1204" s="9" t="str">
        <f t="shared" si="74"/>
        <v/>
      </c>
      <c r="N1204" s="9" t="str">
        <f t="shared" si="75"/>
        <v/>
      </c>
    </row>
    <row r="1205" spans="1:14" x14ac:dyDescent="0.25">
      <c r="A1205" t="str">
        <f>TEXT("1/"&amp;data!A1205,"mmmm")</f>
        <v>mai</v>
      </c>
      <c r="B1205">
        <f>data!B1205</f>
        <v>2016</v>
      </c>
      <c r="C1205" t="str">
        <f>data!C1205</f>
        <v>025</v>
      </c>
      <c r="D1205" t="str">
        <f>data!D1205</f>
        <v>COLLOVRAY &amp; TERRIER</v>
      </c>
      <c r="E1205" t="str">
        <f>data!E1205</f>
        <v>025010</v>
      </c>
      <c r="F1205" t="str">
        <f>data!F1205</f>
        <v>AC MACON VILL TRAD. COLLOVRAY &amp;</v>
      </c>
      <c r="G1205" s="10">
        <f>data!G1205</f>
        <v>266.39999999999998</v>
      </c>
      <c r="H1205" s="10">
        <f>data!I1205</f>
        <v>299.7</v>
      </c>
      <c r="I1205" s="10">
        <f t="shared" si="72"/>
        <v>-33.300000000000011</v>
      </c>
      <c r="J1205" s="11">
        <f>data!H1205</f>
        <v>48</v>
      </c>
      <c r="K1205" s="11">
        <f>data!J1205</f>
        <v>54</v>
      </c>
      <c r="L1205" s="11">
        <f t="shared" si="73"/>
        <v>-6</v>
      </c>
      <c r="M1205" s="9">
        <f t="shared" si="74"/>
        <v>-0.11111111111111115</v>
      </c>
      <c r="N1205" s="9">
        <f t="shared" si="75"/>
        <v>-0.1111111111111111</v>
      </c>
    </row>
    <row r="1206" spans="1:14" x14ac:dyDescent="0.25">
      <c r="A1206" t="str">
        <f>TEXT("1/"&amp;data!A1206,"mmmm")</f>
        <v>mai</v>
      </c>
      <c r="B1206">
        <f>data!B1206</f>
        <v>2016</v>
      </c>
      <c r="C1206" t="str">
        <f>data!C1206</f>
        <v>025</v>
      </c>
      <c r="D1206" t="str">
        <f>data!D1206</f>
        <v>COLLOVRAY &amp; TERRIER</v>
      </c>
      <c r="E1206" t="str">
        <f>data!E1206</f>
        <v>025013</v>
      </c>
      <c r="F1206" t="str">
        <f>data!F1206</f>
        <v>AC MACON. VERGER DES FEUILLANTS</v>
      </c>
      <c r="G1206" s="10">
        <f>data!G1206</f>
        <v>174.6</v>
      </c>
      <c r="H1206" s="10">
        <f>data!I1206</f>
        <v>232.8</v>
      </c>
      <c r="I1206" s="10">
        <f t="shared" si="72"/>
        <v>-58.200000000000017</v>
      </c>
      <c r="J1206" s="11">
        <f>data!H1206</f>
        <v>36</v>
      </c>
      <c r="K1206" s="11">
        <f>data!J1206</f>
        <v>48</v>
      </c>
      <c r="L1206" s="11">
        <f t="shared" si="73"/>
        <v>-12</v>
      </c>
      <c r="M1206" s="9">
        <f t="shared" si="74"/>
        <v>-0.25000000000000006</v>
      </c>
      <c r="N1206" s="9">
        <f t="shared" si="75"/>
        <v>-0.25</v>
      </c>
    </row>
    <row r="1207" spans="1:14" x14ac:dyDescent="0.25">
      <c r="A1207" t="str">
        <f>TEXT("1/"&amp;data!A1207,"mmmm")</f>
        <v>mai</v>
      </c>
      <c r="B1207">
        <f>data!B1207</f>
        <v>2016</v>
      </c>
      <c r="C1207" t="str">
        <f>data!C1207</f>
        <v>025</v>
      </c>
      <c r="D1207" t="str">
        <f>data!D1207</f>
        <v>COLLOVRAY &amp; TERRIER</v>
      </c>
      <c r="E1207" t="str">
        <f>data!E1207</f>
        <v>025015</v>
      </c>
      <c r="F1207" t="str">
        <f>data!F1207</f>
        <v>VDP PINOT NOIR . D.D'ANTUGNIAC</v>
      </c>
      <c r="G1207" s="10">
        <f>data!G1207</f>
        <v>160.86000000000001</v>
      </c>
      <c r="H1207" s="10">
        <f>data!I1207</f>
        <v>0</v>
      </c>
      <c r="I1207" s="10">
        <f t="shared" si="72"/>
        <v>160.86000000000001</v>
      </c>
      <c r="J1207" s="11">
        <f>data!H1207</f>
        <v>42</v>
      </c>
      <c r="K1207" s="11">
        <f>data!J1207</f>
        <v>0</v>
      </c>
      <c r="L1207" s="11">
        <f t="shared" si="73"/>
        <v>42</v>
      </c>
      <c r="M1207" s="9" t="str">
        <f t="shared" si="74"/>
        <v/>
      </c>
      <c r="N1207" s="9" t="str">
        <f t="shared" si="75"/>
        <v/>
      </c>
    </row>
    <row r="1208" spans="1:14" x14ac:dyDescent="0.25">
      <c r="A1208" t="str">
        <f>TEXT("1/"&amp;data!A1208,"mmmm")</f>
        <v>mai</v>
      </c>
      <c r="B1208">
        <f>data!B1208</f>
        <v>2016</v>
      </c>
      <c r="C1208" t="str">
        <f>data!C1208</f>
        <v>025</v>
      </c>
      <c r="D1208" t="str">
        <f>data!D1208</f>
        <v>COLLOVRAY &amp; TERRIER</v>
      </c>
      <c r="E1208" t="str">
        <f>data!E1208</f>
        <v>025016</v>
      </c>
      <c r="F1208" t="str">
        <f>data!F1208</f>
        <v>VDP MERLOT. D.D'ANTUGNIAC</v>
      </c>
      <c r="G1208" s="10">
        <f>data!G1208</f>
        <v>29.16</v>
      </c>
      <c r="H1208" s="10">
        <f>data!I1208</f>
        <v>145.80000000000001</v>
      </c>
      <c r="I1208" s="10">
        <f t="shared" si="72"/>
        <v>-116.64000000000001</v>
      </c>
      <c r="J1208" s="11">
        <f>data!H1208</f>
        <v>12</v>
      </c>
      <c r="K1208" s="11">
        <f>data!J1208</f>
        <v>60</v>
      </c>
      <c r="L1208" s="11">
        <f t="shared" si="73"/>
        <v>-48</v>
      </c>
      <c r="M1208" s="9">
        <f t="shared" si="74"/>
        <v>-0.8</v>
      </c>
      <c r="N1208" s="9">
        <f t="shared" si="75"/>
        <v>-0.8</v>
      </c>
    </row>
    <row r="1209" spans="1:14" x14ac:dyDescent="0.25">
      <c r="A1209" t="str">
        <f>TEXT("1/"&amp;data!A1209,"mmmm")</f>
        <v>mai</v>
      </c>
      <c r="B1209">
        <f>data!B1209</f>
        <v>2016</v>
      </c>
      <c r="C1209" t="str">
        <f>data!C1209</f>
        <v>025</v>
      </c>
      <c r="D1209" t="str">
        <f>data!D1209</f>
        <v>COLLOVRAY &amp; TERRIER</v>
      </c>
      <c r="E1209" t="str">
        <f>data!E1209</f>
        <v>025021</v>
      </c>
      <c r="F1209" t="str">
        <f>data!F1209</f>
        <v>AC POUILLY-FUISSE. V.VIGNES</v>
      </c>
      <c r="G1209" s="10">
        <f>data!G1209</f>
        <v>642</v>
      </c>
      <c r="H1209" s="10">
        <f>data!I1209</f>
        <v>1027.2</v>
      </c>
      <c r="I1209" s="10">
        <f t="shared" si="72"/>
        <v>-385.20000000000005</v>
      </c>
      <c r="J1209" s="11">
        <f>data!H1209</f>
        <v>60</v>
      </c>
      <c r="K1209" s="11">
        <f>data!J1209</f>
        <v>96</v>
      </c>
      <c r="L1209" s="11">
        <f t="shared" si="73"/>
        <v>-36</v>
      </c>
      <c r="M1209" s="9">
        <f t="shared" si="74"/>
        <v>-0.375</v>
      </c>
      <c r="N1209" s="9">
        <f t="shared" si="75"/>
        <v>-0.375</v>
      </c>
    </row>
    <row r="1210" spans="1:14" x14ac:dyDescent="0.25">
      <c r="A1210" t="str">
        <f>TEXT("1/"&amp;data!A1210,"mmmm")</f>
        <v>mai</v>
      </c>
      <c r="B1210">
        <f>data!B1210</f>
        <v>2016</v>
      </c>
      <c r="C1210" t="str">
        <f>data!C1210</f>
        <v>025</v>
      </c>
      <c r="D1210" t="str">
        <f>data!D1210</f>
        <v>COLLOVRAY &amp; TERRIER</v>
      </c>
      <c r="E1210" t="str">
        <f>data!E1210</f>
        <v>025026</v>
      </c>
      <c r="F1210" t="str">
        <f>data!F1210</f>
        <v>VDP CHARDONNAY. D.D'ANTUGNAC</v>
      </c>
      <c r="G1210" s="10">
        <f>data!G1210</f>
        <v>1203.8399999999999</v>
      </c>
      <c r="H1210" s="10">
        <f>data!I1210</f>
        <v>5040.96</v>
      </c>
      <c r="I1210" s="10">
        <f t="shared" si="72"/>
        <v>-3837.12</v>
      </c>
      <c r="J1210" s="11">
        <f>data!H1210</f>
        <v>396</v>
      </c>
      <c r="K1210" s="11">
        <f>data!J1210</f>
        <v>1854</v>
      </c>
      <c r="L1210" s="11">
        <f t="shared" si="73"/>
        <v>-1458</v>
      </c>
      <c r="M1210" s="9">
        <f t="shared" si="74"/>
        <v>-0.76118834507712818</v>
      </c>
      <c r="N1210" s="9">
        <f t="shared" si="75"/>
        <v>-0.78640776699029125</v>
      </c>
    </row>
    <row r="1211" spans="1:14" x14ac:dyDescent="0.25">
      <c r="A1211" t="str">
        <f>TEXT("1/"&amp;data!A1211,"mmmm")</f>
        <v>mai</v>
      </c>
      <c r="B1211">
        <f>data!B1211</f>
        <v>2016</v>
      </c>
      <c r="C1211" t="str">
        <f>data!C1211</f>
        <v>025</v>
      </c>
      <c r="D1211" t="str">
        <f>data!D1211</f>
        <v>COLLOVRAY &amp; TERRIER</v>
      </c>
      <c r="E1211" t="str">
        <f>data!E1211</f>
        <v>025031</v>
      </c>
      <c r="F1211" t="str">
        <f>data!F1211</f>
        <v>AC LIMOUX. Terres Amoureuses D.D'ANTUGNAC</v>
      </c>
      <c r="G1211" s="10">
        <f>data!G1211</f>
        <v>399.6</v>
      </c>
      <c r="H1211" s="10">
        <f>data!I1211</f>
        <v>300.77999999999997</v>
      </c>
      <c r="I1211" s="10">
        <f t="shared" si="72"/>
        <v>98.82000000000005</v>
      </c>
      <c r="J1211" s="11">
        <f>data!H1211</f>
        <v>72</v>
      </c>
      <c r="K1211" s="11">
        <f>data!J1211</f>
        <v>54</v>
      </c>
      <c r="L1211" s="11">
        <f t="shared" si="73"/>
        <v>18</v>
      </c>
      <c r="M1211" s="9">
        <f t="shared" si="74"/>
        <v>0.32854578096947956</v>
      </c>
      <c r="N1211" s="9">
        <f t="shared" si="75"/>
        <v>0.33333333333333331</v>
      </c>
    </row>
    <row r="1212" spans="1:14" x14ac:dyDescent="0.25">
      <c r="A1212" t="str">
        <f>TEXT("1/"&amp;data!A1212,"mmmm")</f>
        <v>mai</v>
      </c>
      <c r="B1212">
        <f>data!B1212</f>
        <v>2016</v>
      </c>
      <c r="C1212" t="str">
        <f>data!C1212</f>
        <v>025</v>
      </c>
      <c r="D1212" t="str">
        <f>data!D1212</f>
        <v>COLLOVRAY &amp; TERRIER</v>
      </c>
      <c r="E1212" t="str">
        <f>data!E1212</f>
        <v>025033</v>
      </c>
      <c r="F1212" t="str">
        <f>data!F1212</f>
        <v>AC LIMOUX Aux Bons Hommes D.D'ANTUGNAC</v>
      </c>
      <c r="G1212" s="10">
        <f>data!G1212</f>
        <v>298.08</v>
      </c>
      <c r="H1212" s="10">
        <f>data!I1212</f>
        <v>0</v>
      </c>
      <c r="I1212" s="10">
        <f t="shared" si="72"/>
        <v>298.08</v>
      </c>
      <c r="J1212" s="11">
        <f>data!H1212</f>
        <v>72</v>
      </c>
      <c r="K1212" s="11">
        <f>data!J1212</f>
        <v>0</v>
      </c>
      <c r="L1212" s="11">
        <f t="shared" si="73"/>
        <v>72</v>
      </c>
      <c r="M1212" s="9" t="str">
        <f t="shared" si="74"/>
        <v/>
      </c>
      <c r="N1212" s="9" t="str">
        <f t="shared" si="75"/>
        <v/>
      </c>
    </row>
    <row r="1213" spans="1:14" x14ac:dyDescent="0.25">
      <c r="A1213" t="str">
        <f>TEXT("1/"&amp;data!A1213,"mmmm")</f>
        <v>mai</v>
      </c>
      <c r="B1213">
        <f>data!B1213</f>
        <v>2016</v>
      </c>
      <c r="C1213" t="str">
        <f>data!C1213</f>
        <v>028</v>
      </c>
      <c r="D1213" t="str">
        <f>data!D1213</f>
        <v>VIGNOBLES DUBOIS ET FILS</v>
      </c>
      <c r="E1213" t="str">
        <f>data!E1213</f>
        <v>028001</v>
      </c>
      <c r="F1213" t="str">
        <f>data!F1213</f>
        <v>AC 1ERES C.DE BLAYE. TRADITION  CH L.BERTRANDS</v>
      </c>
      <c r="G1213" s="10">
        <f>data!G1213</f>
        <v>819</v>
      </c>
      <c r="H1213" s="10">
        <f>data!I1213</f>
        <v>526.5</v>
      </c>
      <c r="I1213" s="10">
        <f t="shared" si="72"/>
        <v>292.5</v>
      </c>
      <c r="J1213" s="11">
        <f>data!H1213</f>
        <v>252</v>
      </c>
      <c r="K1213" s="11">
        <f>data!J1213</f>
        <v>162</v>
      </c>
      <c r="L1213" s="11">
        <f t="shared" si="73"/>
        <v>90</v>
      </c>
      <c r="M1213" s="9">
        <f t="shared" si="74"/>
        <v>0.55555555555555558</v>
      </c>
      <c r="N1213" s="9">
        <f t="shared" si="75"/>
        <v>0.55555555555555558</v>
      </c>
    </row>
    <row r="1214" spans="1:14" x14ac:dyDescent="0.25">
      <c r="A1214" t="str">
        <f>TEXT("1/"&amp;data!A1214,"mmmm")</f>
        <v>mai</v>
      </c>
      <c r="B1214">
        <f>data!B1214</f>
        <v>2016</v>
      </c>
      <c r="C1214" t="str">
        <f>data!C1214</f>
        <v>028</v>
      </c>
      <c r="D1214" t="str">
        <f>data!D1214</f>
        <v>VIGNOBLES DUBOIS ET FILS</v>
      </c>
      <c r="E1214" t="str">
        <f>data!E1214</f>
        <v>028005</v>
      </c>
      <c r="F1214" t="str">
        <f>data!F1214</f>
        <v>AC 1ERES C.BLAYE TRAD. CH L.BERTRANDS</v>
      </c>
      <c r="G1214" s="10">
        <f>data!G1214</f>
        <v>33.6</v>
      </c>
      <c r="H1214" s="10">
        <f>data!I1214</f>
        <v>168</v>
      </c>
      <c r="I1214" s="10">
        <f t="shared" si="72"/>
        <v>-134.4</v>
      </c>
      <c r="J1214" s="11">
        <f>data!H1214</f>
        <v>12</v>
      </c>
      <c r="K1214" s="11">
        <f>data!J1214</f>
        <v>60</v>
      </c>
      <c r="L1214" s="11">
        <f t="shared" si="73"/>
        <v>-48</v>
      </c>
      <c r="M1214" s="9">
        <f t="shared" si="74"/>
        <v>-0.8</v>
      </c>
      <c r="N1214" s="9">
        <f t="shared" si="75"/>
        <v>-0.8</v>
      </c>
    </row>
    <row r="1215" spans="1:14" x14ac:dyDescent="0.25">
      <c r="A1215" t="str">
        <f>TEXT("1/"&amp;data!A1215,"mmmm")</f>
        <v>mai</v>
      </c>
      <c r="B1215">
        <f>data!B1215</f>
        <v>2016</v>
      </c>
      <c r="C1215" t="str">
        <f>data!C1215</f>
        <v>028</v>
      </c>
      <c r="D1215" t="str">
        <f>data!D1215</f>
        <v>VIGNOBLES DUBOIS ET FILS</v>
      </c>
      <c r="E1215" t="str">
        <f>data!E1215</f>
        <v>028006</v>
      </c>
      <c r="F1215" t="str">
        <f>data!F1215</f>
        <v>AC 1ERES C. BLAYE TRAD CH L.BERTRANDS</v>
      </c>
      <c r="G1215" s="10">
        <f>data!G1215</f>
        <v>48.6</v>
      </c>
      <c r="H1215" s="10">
        <f>data!I1215</f>
        <v>0</v>
      </c>
      <c r="I1215" s="10">
        <f t="shared" si="72"/>
        <v>48.6</v>
      </c>
      <c r="J1215" s="11">
        <f>data!H1215</f>
        <v>12</v>
      </c>
      <c r="K1215" s="11">
        <f>data!J1215</f>
        <v>0</v>
      </c>
      <c r="L1215" s="11">
        <f t="shared" si="73"/>
        <v>12</v>
      </c>
      <c r="M1215" s="9" t="str">
        <f t="shared" si="74"/>
        <v/>
      </c>
      <c r="N1215" s="9" t="str">
        <f t="shared" si="75"/>
        <v/>
      </c>
    </row>
    <row r="1216" spans="1:14" x14ac:dyDescent="0.25">
      <c r="A1216" t="str">
        <f>TEXT("1/"&amp;data!A1216,"mmmm")</f>
        <v>mai</v>
      </c>
      <c r="B1216">
        <f>data!B1216</f>
        <v>2016</v>
      </c>
      <c r="C1216" t="str">
        <f>data!C1216</f>
        <v>028</v>
      </c>
      <c r="D1216" t="str">
        <f>data!D1216</f>
        <v>VIGNOBLES DUBOIS ET FILS</v>
      </c>
      <c r="E1216" t="str">
        <f>data!E1216</f>
        <v>028007</v>
      </c>
      <c r="F1216" t="str">
        <f>data!F1216</f>
        <v>AC 1ERES C BLAYE TRAD. CH L.BERTRANDS</v>
      </c>
      <c r="G1216" s="10">
        <f>data!G1216</f>
        <v>729.6</v>
      </c>
      <c r="H1216" s="10">
        <f>data!I1216</f>
        <v>90.4</v>
      </c>
      <c r="I1216" s="10">
        <f t="shared" si="72"/>
        <v>639.20000000000005</v>
      </c>
      <c r="J1216" s="11">
        <f>data!H1216</f>
        <v>426.56</v>
      </c>
      <c r="K1216" s="11">
        <f>data!J1216</f>
        <v>53.32</v>
      </c>
      <c r="L1216" s="11">
        <f t="shared" si="73"/>
        <v>373.24</v>
      </c>
      <c r="M1216" s="9">
        <f t="shared" si="74"/>
        <v>7.0707964601769913</v>
      </c>
      <c r="N1216" s="9">
        <f t="shared" si="75"/>
        <v>7</v>
      </c>
    </row>
    <row r="1217" spans="1:14" x14ac:dyDescent="0.25">
      <c r="A1217" t="str">
        <f>TEXT("1/"&amp;data!A1217,"mmmm")</f>
        <v>mai</v>
      </c>
      <c r="B1217">
        <f>data!B1217</f>
        <v>2016</v>
      </c>
      <c r="C1217" t="str">
        <f>data!C1217</f>
        <v>028</v>
      </c>
      <c r="D1217" t="str">
        <f>data!D1217</f>
        <v>VIGNOBLES DUBOIS ET FILS</v>
      </c>
      <c r="E1217" t="str">
        <f>data!E1217</f>
        <v>028008</v>
      </c>
      <c r="F1217" t="str">
        <f>data!F1217</f>
        <v>AC C. DE BLAYE CH L.BERTRANDS</v>
      </c>
      <c r="G1217" s="10">
        <f>data!G1217</f>
        <v>580.5</v>
      </c>
      <c r="H1217" s="10">
        <f>data!I1217</f>
        <v>266</v>
      </c>
      <c r="I1217" s="10">
        <f t="shared" si="72"/>
        <v>314.5</v>
      </c>
      <c r="J1217" s="11">
        <f>data!H1217</f>
        <v>280.14</v>
      </c>
      <c r="K1217" s="11">
        <f>data!J1217</f>
        <v>133.4</v>
      </c>
      <c r="L1217" s="11">
        <f t="shared" si="73"/>
        <v>146.73999999999998</v>
      </c>
      <c r="M1217" s="9">
        <f t="shared" si="74"/>
        <v>1.1823308270676691</v>
      </c>
      <c r="N1217" s="9">
        <f t="shared" si="75"/>
        <v>1.0999999999999999</v>
      </c>
    </row>
    <row r="1218" spans="1:14" x14ac:dyDescent="0.25">
      <c r="A1218" t="str">
        <f>TEXT("1/"&amp;data!A1218,"mmmm")</f>
        <v>mai</v>
      </c>
      <c r="B1218">
        <f>data!B1218</f>
        <v>2016</v>
      </c>
      <c r="C1218" t="str">
        <f>data!C1218</f>
        <v>028</v>
      </c>
      <c r="D1218" t="str">
        <f>data!D1218</f>
        <v>VIGNOBLES DUBOIS ET FILS</v>
      </c>
      <c r="E1218" t="str">
        <f>data!E1218</f>
        <v>028013</v>
      </c>
      <c r="F1218" t="str">
        <f>data!F1218</f>
        <v>AC 1ERES COTES DE BLAYE PRESTIGE</v>
      </c>
      <c r="G1218" s="10">
        <f>data!G1218</f>
        <v>292.02</v>
      </c>
      <c r="H1218" s="10">
        <f>data!I1218</f>
        <v>53.4</v>
      </c>
      <c r="I1218" s="10">
        <f t="shared" si="72"/>
        <v>238.61999999999998</v>
      </c>
      <c r="J1218" s="11">
        <f>data!H1218</f>
        <v>66</v>
      </c>
      <c r="K1218" s="11">
        <f>data!J1218</f>
        <v>12</v>
      </c>
      <c r="L1218" s="11">
        <f t="shared" si="73"/>
        <v>54</v>
      </c>
      <c r="M1218" s="9">
        <f t="shared" si="74"/>
        <v>4.4685393258426966</v>
      </c>
      <c r="N1218" s="9">
        <f t="shared" si="75"/>
        <v>4.5</v>
      </c>
    </row>
    <row r="1219" spans="1:14" x14ac:dyDescent="0.25">
      <c r="A1219" t="str">
        <f>TEXT("1/"&amp;data!A1219,"mmmm")</f>
        <v>mai</v>
      </c>
      <c r="B1219">
        <f>data!B1219</f>
        <v>2016</v>
      </c>
      <c r="C1219" t="str">
        <f>data!C1219</f>
        <v>029</v>
      </c>
      <c r="D1219" t="str">
        <f>data!D1219</f>
        <v>DOMAINE DE BELLE MARE</v>
      </c>
      <c r="E1219" t="str">
        <f>data!E1219</f>
        <v>029002</v>
      </c>
      <c r="F1219" t="str">
        <f>data!F1219</f>
        <v>IGP OC  VIOGNIER DME DE BELLE-MARE</v>
      </c>
      <c r="G1219" s="10">
        <f>data!G1219</f>
        <v>14.76</v>
      </c>
      <c r="H1219" s="10">
        <f>data!I1219</f>
        <v>117.6</v>
      </c>
      <c r="I1219" s="10">
        <f t="shared" ref="I1219:I1282" si="76">G1219-H1219</f>
        <v>-102.83999999999999</v>
      </c>
      <c r="J1219" s="11">
        <f>data!H1219</f>
        <v>6</v>
      </c>
      <c r="K1219" s="11">
        <f>data!J1219</f>
        <v>48</v>
      </c>
      <c r="L1219" s="11">
        <f t="shared" ref="L1219:L1282" si="77">J1219-K1219</f>
        <v>-42</v>
      </c>
      <c r="M1219" s="9">
        <f t="shared" ref="M1219:M1282" si="78">IF(ISERR(I1219/H1219),"",I1219/H1219)</f>
        <v>-0.87448979591836729</v>
      </c>
      <c r="N1219" s="9">
        <f t="shared" ref="N1219:N1282" si="79">IF(ISERR(L1219/K1219),"",L1219/K1219)</f>
        <v>-0.875</v>
      </c>
    </row>
    <row r="1220" spans="1:14" x14ac:dyDescent="0.25">
      <c r="A1220" t="str">
        <f>TEXT("1/"&amp;data!A1220,"mmmm")</f>
        <v>mai</v>
      </c>
      <c r="B1220">
        <f>data!B1220</f>
        <v>2016</v>
      </c>
      <c r="C1220" t="str">
        <f>data!C1220</f>
        <v>029</v>
      </c>
      <c r="D1220" t="str">
        <f>data!D1220</f>
        <v>DOMAINE DE BELLE MARE</v>
      </c>
      <c r="E1220" t="str">
        <f>data!E1220</f>
        <v>029005</v>
      </c>
      <c r="F1220" t="str">
        <f>data!F1220</f>
        <v>VDP DE L'HERAULT. GRANGES FELINES</v>
      </c>
      <c r="G1220" s="10">
        <f>data!G1220</f>
        <v>373.68</v>
      </c>
      <c r="H1220" s="10">
        <f>data!I1220</f>
        <v>61.38</v>
      </c>
      <c r="I1220" s="10">
        <f t="shared" si="76"/>
        <v>312.3</v>
      </c>
      <c r="J1220" s="11">
        <f>data!H1220</f>
        <v>216</v>
      </c>
      <c r="K1220" s="11">
        <f>data!J1220</f>
        <v>36</v>
      </c>
      <c r="L1220" s="11">
        <f t="shared" si="77"/>
        <v>180</v>
      </c>
      <c r="M1220" s="9">
        <f t="shared" si="78"/>
        <v>5.0879765395894427</v>
      </c>
      <c r="N1220" s="9">
        <f t="shared" si="79"/>
        <v>5</v>
      </c>
    </row>
    <row r="1221" spans="1:14" x14ac:dyDescent="0.25">
      <c r="A1221" t="str">
        <f>TEXT("1/"&amp;data!A1221,"mmmm")</f>
        <v>mai</v>
      </c>
      <c r="B1221">
        <f>data!B1221</f>
        <v>2016</v>
      </c>
      <c r="C1221" t="str">
        <f>data!C1221</f>
        <v>029</v>
      </c>
      <c r="D1221" t="str">
        <f>data!D1221</f>
        <v>DOMAINE DE BELLE MARE</v>
      </c>
      <c r="E1221" t="str">
        <f>data!E1221</f>
        <v>029015</v>
      </c>
      <c r="F1221" t="str">
        <f>data!F1221</f>
        <v>DME BELLE MARE VDPOC CHARDONNAY</v>
      </c>
      <c r="G1221" s="10">
        <f>data!G1221</f>
        <v>14.4</v>
      </c>
      <c r="H1221" s="10">
        <f>data!I1221</f>
        <v>186.42</v>
      </c>
      <c r="I1221" s="10">
        <f t="shared" si="76"/>
        <v>-172.01999999999998</v>
      </c>
      <c r="J1221" s="11">
        <f>data!H1221</f>
        <v>6</v>
      </c>
      <c r="K1221" s="11">
        <f>data!J1221</f>
        <v>78</v>
      </c>
      <c r="L1221" s="11">
        <f t="shared" si="77"/>
        <v>-72</v>
      </c>
      <c r="M1221" s="9">
        <f t="shared" si="78"/>
        <v>-0.92275506919858385</v>
      </c>
      <c r="N1221" s="9">
        <f t="shared" si="79"/>
        <v>-0.92307692307692313</v>
      </c>
    </row>
    <row r="1222" spans="1:14" x14ac:dyDescent="0.25">
      <c r="A1222" t="str">
        <f>TEXT("1/"&amp;data!A1222,"mmmm")</f>
        <v>mai</v>
      </c>
      <c r="B1222">
        <f>data!B1222</f>
        <v>2016</v>
      </c>
      <c r="C1222" t="str">
        <f>data!C1222</f>
        <v>031</v>
      </c>
      <c r="D1222" t="str">
        <f>data!D1222</f>
        <v>MR GIORDANO</v>
      </c>
      <c r="E1222" t="str">
        <f>data!E1222</f>
        <v>031012</v>
      </c>
      <c r="F1222" t="str">
        <f>data!F1222</f>
        <v>AC ST NICO DE BOURGUEIL  DOM DES COT DE LA GARDIER</v>
      </c>
      <c r="G1222" s="10">
        <f>data!G1222</f>
        <v>874.8</v>
      </c>
      <c r="H1222" s="10">
        <f>data!I1222</f>
        <v>0</v>
      </c>
      <c r="I1222" s="10">
        <f t="shared" si="76"/>
        <v>874.8</v>
      </c>
      <c r="J1222" s="11">
        <f>data!H1222</f>
        <v>180</v>
      </c>
      <c r="K1222" s="11">
        <f>data!J1222</f>
        <v>0</v>
      </c>
      <c r="L1222" s="11">
        <f t="shared" si="77"/>
        <v>180</v>
      </c>
      <c r="M1222" s="9" t="str">
        <f t="shared" si="78"/>
        <v/>
      </c>
      <c r="N1222" s="9" t="str">
        <f t="shared" si="79"/>
        <v/>
      </c>
    </row>
    <row r="1223" spans="1:14" x14ac:dyDescent="0.25">
      <c r="A1223" t="str">
        <f>TEXT("1/"&amp;data!A1223,"mmmm")</f>
        <v>mai</v>
      </c>
      <c r="B1223">
        <f>data!B1223</f>
        <v>2016</v>
      </c>
      <c r="C1223" t="str">
        <f>data!C1223</f>
        <v>031</v>
      </c>
      <c r="D1223" t="str">
        <f>data!D1223</f>
        <v>MR GIORDANO</v>
      </c>
      <c r="E1223" t="str">
        <f>data!E1223</f>
        <v>031013</v>
      </c>
      <c r="F1223" t="str">
        <f>data!F1223</f>
        <v>AC ST NICO DE BOURGUEIL  DOM DES COT DE LA GARDIER</v>
      </c>
      <c r="G1223" s="10">
        <f>data!G1223</f>
        <v>204.48</v>
      </c>
      <c r="H1223" s="10">
        <f>data!I1223</f>
        <v>0</v>
      </c>
      <c r="I1223" s="10">
        <f t="shared" si="76"/>
        <v>204.48</v>
      </c>
      <c r="J1223" s="11">
        <f>data!H1223</f>
        <v>36</v>
      </c>
      <c r="K1223" s="11">
        <f>data!J1223</f>
        <v>0</v>
      </c>
      <c r="L1223" s="11">
        <f t="shared" si="77"/>
        <v>36</v>
      </c>
      <c r="M1223" s="9" t="str">
        <f t="shared" si="78"/>
        <v/>
      </c>
      <c r="N1223" s="9" t="str">
        <f t="shared" si="79"/>
        <v/>
      </c>
    </row>
    <row r="1224" spans="1:14" x14ac:dyDescent="0.25">
      <c r="A1224" t="str">
        <f>TEXT("1/"&amp;data!A1224,"mmmm")</f>
        <v>mai</v>
      </c>
      <c r="B1224">
        <f>data!B1224</f>
        <v>2016</v>
      </c>
      <c r="C1224" t="str">
        <f>data!C1224</f>
        <v>031</v>
      </c>
      <c r="D1224" t="str">
        <f>data!D1224</f>
        <v>MR GIORDANO</v>
      </c>
      <c r="E1224" t="str">
        <f>data!E1224</f>
        <v>031024</v>
      </c>
      <c r="F1224" t="str">
        <f>data!F1224</f>
        <v>AOP TOURAINE - LA PERCLAIRE - LACHETEAU</v>
      </c>
      <c r="G1224" s="10">
        <f>data!G1224</f>
        <v>155.52000000000001</v>
      </c>
      <c r="H1224" s="10">
        <f>data!I1224</f>
        <v>0</v>
      </c>
      <c r="I1224" s="10">
        <f t="shared" si="76"/>
        <v>155.52000000000001</v>
      </c>
      <c r="J1224" s="11">
        <f>data!H1224</f>
        <v>36</v>
      </c>
      <c r="K1224" s="11">
        <f>data!J1224</f>
        <v>0</v>
      </c>
      <c r="L1224" s="11">
        <f t="shared" si="77"/>
        <v>36</v>
      </c>
      <c r="M1224" s="9" t="str">
        <f t="shared" si="78"/>
        <v/>
      </c>
      <c r="N1224" s="9" t="str">
        <f t="shared" si="79"/>
        <v/>
      </c>
    </row>
    <row r="1225" spans="1:14" x14ac:dyDescent="0.25">
      <c r="A1225" t="str">
        <f>TEXT("1/"&amp;data!A1225,"mmmm")</f>
        <v>mai</v>
      </c>
      <c r="B1225">
        <f>data!B1225</f>
        <v>2016</v>
      </c>
      <c r="C1225" t="str">
        <f>data!C1225</f>
        <v>031</v>
      </c>
      <c r="D1225" t="str">
        <f>data!D1225</f>
        <v>MR GIORDANO</v>
      </c>
      <c r="E1225" t="str">
        <f>data!E1225</f>
        <v>031025</v>
      </c>
      <c r="F1225" t="str">
        <f>data!F1225</f>
        <v>LA PERCLAIRE AC TOURAINE SAUVIGNON</v>
      </c>
      <c r="G1225" s="10">
        <f>data!G1225</f>
        <v>631.79999999999995</v>
      </c>
      <c r="H1225" s="10">
        <f>data!I1225</f>
        <v>0</v>
      </c>
      <c r="I1225" s="10">
        <f t="shared" si="76"/>
        <v>631.79999999999995</v>
      </c>
      <c r="J1225" s="11">
        <f>data!H1225</f>
        <v>180</v>
      </c>
      <c r="K1225" s="11">
        <f>data!J1225</f>
        <v>0</v>
      </c>
      <c r="L1225" s="11">
        <f t="shared" si="77"/>
        <v>180</v>
      </c>
      <c r="M1225" s="9" t="str">
        <f t="shared" si="78"/>
        <v/>
      </c>
      <c r="N1225" s="9" t="str">
        <f t="shared" si="79"/>
        <v/>
      </c>
    </row>
    <row r="1226" spans="1:14" x14ac:dyDescent="0.25">
      <c r="A1226" t="str">
        <f>TEXT("1/"&amp;data!A1226,"mmmm")</f>
        <v>mai</v>
      </c>
      <c r="B1226">
        <f>data!B1226</f>
        <v>2016</v>
      </c>
      <c r="C1226" t="str">
        <f>data!C1226</f>
        <v>031</v>
      </c>
      <c r="D1226" t="str">
        <f>data!D1226</f>
        <v>MR GIORDANO</v>
      </c>
      <c r="E1226" t="str">
        <f>data!E1226</f>
        <v>031037</v>
      </c>
      <c r="F1226" t="str">
        <f>data!F1226</f>
        <v>AOP SANCERRE - LA GEMIERE - LACHETEAU</v>
      </c>
      <c r="G1226" s="10">
        <f>data!G1226</f>
        <v>756</v>
      </c>
      <c r="H1226" s="10">
        <f>data!I1226</f>
        <v>0</v>
      </c>
      <c r="I1226" s="10">
        <f t="shared" si="76"/>
        <v>756</v>
      </c>
      <c r="J1226" s="11">
        <f>data!H1226</f>
        <v>90</v>
      </c>
      <c r="K1226" s="11">
        <f>data!J1226</f>
        <v>0</v>
      </c>
      <c r="L1226" s="11">
        <f t="shared" si="77"/>
        <v>90</v>
      </c>
      <c r="M1226" s="9" t="str">
        <f t="shared" si="78"/>
        <v/>
      </c>
      <c r="N1226" s="9" t="str">
        <f t="shared" si="79"/>
        <v/>
      </c>
    </row>
    <row r="1227" spans="1:14" x14ac:dyDescent="0.25">
      <c r="A1227" t="str">
        <f>TEXT("1/"&amp;data!A1227,"mmmm")</f>
        <v>mai</v>
      </c>
      <c r="B1227">
        <f>data!B1227</f>
        <v>2016</v>
      </c>
      <c r="C1227" t="str">
        <f>data!C1227</f>
        <v>031</v>
      </c>
      <c r="D1227" t="str">
        <f>data!D1227</f>
        <v>MR GIORDANO</v>
      </c>
      <c r="E1227" t="str">
        <f>data!E1227</f>
        <v>031038</v>
      </c>
      <c r="F1227" t="str">
        <f>data!F1227</f>
        <v>AOP SANCERRE - LA GEMIERE - LACHETEAU</v>
      </c>
      <c r="G1227" s="10">
        <f>data!G1227</f>
        <v>221.28</v>
      </c>
      <c r="H1227" s="10">
        <f>data!I1227</f>
        <v>0</v>
      </c>
      <c r="I1227" s="10">
        <f t="shared" si="76"/>
        <v>221.28</v>
      </c>
      <c r="J1227" s="11">
        <f>data!H1227</f>
        <v>24</v>
      </c>
      <c r="K1227" s="11">
        <f>data!J1227</f>
        <v>0</v>
      </c>
      <c r="L1227" s="11">
        <f t="shared" si="77"/>
        <v>24</v>
      </c>
      <c r="M1227" s="9" t="str">
        <f t="shared" si="78"/>
        <v/>
      </c>
      <c r="N1227" s="9" t="str">
        <f t="shared" si="79"/>
        <v/>
      </c>
    </row>
    <row r="1228" spans="1:14" x14ac:dyDescent="0.25">
      <c r="A1228" t="str">
        <f>TEXT("1/"&amp;data!A1228,"mmmm")</f>
        <v>mai</v>
      </c>
      <c r="B1228">
        <f>data!B1228</f>
        <v>2016</v>
      </c>
      <c r="C1228" t="str">
        <f>data!C1228</f>
        <v>031</v>
      </c>
      <c r="D1228" t="str">
        <f>data!D1228</f>
        <v>MR GIORDANO</v>
      </c>
      <c r="E1228" t="str">
        <f>data!E1228</f>
        <v>031078</v>
      </c>
      <c r="F1228" t="str">
        <f>data!F1228</f>
        <v>SAUMUR CHAMPIGNY CUV BAUNELLES DME BOIS JOLI</v>
      </c>
      <c r="G1228" s="10">
        <f>data!G1228</f>
        <v>140.4</v>
      </c>
      <c r="H1228" s="10">
        <f>data!I1228</f>
        <v>0</v>
      </c>
      <c r="I1228" s="10">
        <f t="shared" si="76"/>
        <v>140.4</v>
      </c>
      <c r="J1228" s="11">
        <f>data!H1228</f>
        <v>30</v>
      </c>
      <c r="K1228" s="11">
        <f>data!J1228</f>
        <v>0</v>
      </c>
      <c r="L1228" s="11">
        <f t="shared" si="77"/>
        <v>30</v>
      </c>
      <c r="M1228" s="9" t="str">
        <f t="shared" si="78"/>
        <v/>
      </c>
      <c r="N1228" s="9" t="str">
        <f t="shared" si="79"/>
        <v/>
      </c>
    </row>
    <row r="1229" spans="1:14" x14ac:dyDescent="0.25">
      <c r="A1229" t="str">
        <f>TEXT("1/"&amp;data!A1229,"mmmm")</f>
        <v>mai</v>
      </c>
      <c r="B1229">
        <f>data!B1229</f>
        <v>2016</v>
      </c>
      <c r="C1229" t="str">
        <f>data!C1229</f>
        <v>031</v>
      </c>
      <c r="D1229" t="str">
        <f>data!D1229</f>
        <v>MR GIORDANO</v>
      </c>
      <c r="E1229" t="str">
        <f>data!E1229</f>
        <v>031079</v>
      </c>
      <c r="F1229" t="str">
        <f>data!F1229</f>
        <v>SAUMUR CHAMPIGNY CUV BAUNELLES DME BOIS JOLI</v>
      </c>
      <c r="G1229" s="10">
        <f>data!G1229</f>
        <v>66</v>
      </c>
      <c r="H1229" s="10">
        <f>data!I1229</f>
        <v>0</v>
      </c>
      <c r="I1229" s="10">
        <f t="shared" si="76"/>
        <v>66</v>
      </c>
      <c r="J1229" s="11">
        <f>data!H1229</f>
        <v>12</v>
      </c>
      <c r="K1229" s="11">
        <f>data!J1229</f>
        <v>0</v>
      </c>
      <c r="L1229" s="11">
        <f t="shared" si="77"/>
        <v>12</v>
      </c>
      <c r="M1229" s="9" t="str">
        <f t="shared" si="78"/>
        <v/>
      </c>
      <c r="N1229" s="9" t="str">
        <f t="shared" si="79"/>
        <v/>
      </c>
    </row>
    <row r="1230" spans="1:14" x14ac:dyDescent="0.25">
      <c r="A1230" t="str">
        <f>TEXT("1/"&amp;data!A1230,"mmmm")</f>
        <v>mai</v>
      </c>
      <c r="B1230">
        <f>data!B1230</f>
        <v>2016</v>
      </c>
      <c r="C1230" t="str">
        <f>data!C1230</f>
        <v>035</v>
      </c>
      <c r="D1230" t="str">
        <f>data!D1230</f>
        <v>DOMAINE OLIVIER</v>
      </c>
      <c r="E1230" t="str">
        <f>data!E1230</f>
        <v>035001</v>
      </c>
      <c r="F1230" t="str">
        <f>data!F1230</f>
        <v>AC ST NICOLAS DE BOURG D.OLIVIER</v>
      </c>
      <c r="G1230" s="10">
        <f>data!G1230</f>
        <v>2673.96</v>
      </c>
      <c r="H1230" s="10">
        <f>data!I1230</f>
        <v>4680</v>
      </c>
      <c r="I1230" s="10">
        <f t="shared" si="76"/>
        <v>-2006.04</v>
      </c>
      <c r="J1230" s="11">
        <f>data!H1230</f>
        <v>678</v>
      </c>
      <c r="K1230" s="11">
        <f>data!J1230</f>
        <v>1170</v>
      </c>
      <c r="L1230" s="11">
        <f t="shared" si="77"/>
        <v>-492</v>
      </c>
      <c r="M1230" s="9">
        <f t="shared" si="78"/>
        <v>-0.42864102564102563</v>
      </c>
      <c r="N1230" s="9">
        <f t="shared" si="79"/>
        <v>-0.42051282051282052</v>
      </c>
    </row>
    <row r="1231" spans="1:14" x14ac:dyDescent="0.25">
      <c r="A1231" t="str">
        <f>TEXT("1/"&amp;data!A1231,"mmmm")</f>
        <v>mai</v>
      </c>
      <c r="B1231">
        <f>data!B1231</f>
        <v>2016</v>
      </c>
      <c r="C1231" t="str">
        <f>data!C1231</f>
        <v>035</v>
      </c>
      <c r="D1231" t="str">
        <f>data!D1231</f>
        <v>DOMAINE OLIVIER</v>
      </c>
      <c r="E1231" t="str">
        <f>data!E1231</f>
        <v>035002</v>
      </c>
      <c r="F1231" t="str">
        <f>data!F1231</f>
        <v>AC ST NICOLAS DE BOURG D.OLIVIER</v>
      </c>
      <c r="G1231" s="10">
        <f>data!G1231</f>
        <v>362.28</v>
      </c>
      <c r="H1231" s="10">
        <f>data!I1231</f>
        <v>540</v>
      </c>
      <c r="I1231" s="10">
        <f t="shared" si="76"/>
        <v>-177.72000000000003</v>
      </c>
      <c r="J1231" s="11">
        <f>data!H1231</f>
        <v>78</v>
      </c>
      <c r="K1231" s="11">
        <f>data!J1231</f>
        <v>108</v>
      </c>
      <c r="L1231" s="11">
        <f t="shared" si="77"/>
        <v>-30</v>
      </c>
      <c r="M1231" s="9">
        <f t="shared" si="78"/>
        <v>-0.32911111111111119</v>
      </c>
      <c r="N1231" s="9">
        <f t="shared" si="79"/>
        <v>-0.27777777777777779</v>
      </c>
    </row>
    <row r="1232" spans="1:14" x14ac:dyDescent="0.25">
      <c r="A1232" t="str">
        <f>TEXT("1/"&amp;data!A1232,"mmmm")</f>
        <v>mai</v>
      </c>
      <c r="B1232">
        <f>data!B1232</f>
        <v>2016</v>
      </c>
      <c r="C1232" t="str">
        <f>data!C1232</f>
        <v>035</v>
      </c>
      <c r="D1232" t="str">
        <f>data!D1232</f>
        <v>DOMAINE OLIVIER</v>
      </c>
      <c r="E1232" t="str">
        <f>data!E1232</f>
        <v>035010</v>
      </c>
      <c r="F1232" t="str">
        <f>data!F1232</f>
        <v>AC BOURGUEIL V.VIGNES D.OLIVIER</v>
      </c>
      <c r="G1232" s="10">
        <f>data!G1232</f>
        <v>218.4</v>
      </c>
      <c r="H1232" s="10">
        <f>data!I1232</f>
        <v>406.98</v>
      </c>
      <c r="I1232" s="10">
        <f t="shared" si="76"/>
        <v>-188.58</v>
      </c>
      <c r="J1232" s="11">
        <f>data!H1232</f>
        <v>60</v>
      </c>
      <c r="K1232" s="11">
        <f>data!J1232</f>
        <v>114</v>
      </c>
      <c r="L1232" s="11">
        <f t="shared" si="77"/>
        <v>-54</v>
      </c>
      <c r="M1232" s="9">
        <f t="shared" si="78"/>
        <v>-0.4633642930856553</v>
      </c>
      <c r="N1232" s="9">
        <f t="shared" si="79"/>
        <v>-0.47368421052631576</v>
      </c>
    </row>
    <row r="1233" spans="1:14" x14ac:dyDescent="0.25">
      <c r="A1233" t="str">
        <f>TEXT("1/"&amp;data!A1233,"mmmm")</f>
        <v>mai</v>
      </c>
      <c r="B1233">
        <f>data!B1233</f>
        <v>2016</v>
      </c>
      <c r="C1233" t="str">
        <f>data!C1233</f>
        <v>036</v>
      </c>
      <c r="D1233" t="str">
        <f>data!D1233</f>
        <v>CASTELBARRY</v>
      </c>
      <c r="E1233" t="str">
        <f>data!E1233</f>
        <v>036001</v>
      </c>
      <c r="F1233" t="str">
        <f>data!F1233</f>
        <v>AC CTX DU LANG .COL DU VENT</v>
      </c>
      <c r="G1233" s="10">
        <f>data!G1233</f>
        <v>849.6</v>
      </c>
      <c r="H1233" s="10">
        <f>data!I1233</f>
        <v>386.4</v>
      </c>
      <c r="I1233" s="10">
        <f t="shared" si="76"/>
        <v>463.20000000000005</v>
      </c>
      <c r="J1233" s="11">
        <f>data!H1233</f>
        <v>288</v>
      </c>
      <c r="K1233" s="11">
        <f>data!J1233</f>
        <v>138</v>
      </c>
      <c r="L1233" s="11">
        <f t="shared" si="77"/>
        <v>150</v>
      </c>
      <c r="M1233" s="9">
        <f t="shared" si="78"/>
        <v>1.1987577639751554</v>
      </c>
      <c r="N1233" s="9">
        <f t="shared" si="79"/>
        <v>1.0869565217391304</v>
      </c>
    </row>
    <row r="1234" spans="1:14" x14ac:dyDescent="0.25">
      <c r="A1234" t="str">
        <f>TEXT("1/"&amp;data!A1234,"mmmm")</f>
        <v>mai</v>
      </c>
      <c r="B1234">
        <f>data!B1234</f>
        <v>2016</v>
      </c>
      <c r="C1234" t="str">
        <f>data!C1234</f>
        <v>036</v>
      </c>
      <c r="D1234" t="str">
        <f>data!D1234</f>
        <v>CASTELBARRY</v>
      </c>
      <c r="E1234" t="str">
        <f>data!E1234</f>
        <v>036002</v>
      </c>
      <c r="F1234" t="str">
        <f>data!F1234</f>
        <v>AC CTX DU LANG. COL DU VENT</v>
      </c>
      <c r="G1234" s="10">
        <f>data!G1234</f>
        <v>212.4</v>
      </c>
      <c r="H1234" s="10">
        <f>data!I1234</f>
        <v>0</v>
      </c>
      <c r="I1234" s="10">
        <f t="shared" si="76"/>
        <v>212.4</v>
      </c>
      <c r="J1234" s="11">
        <f>data!H1234</f>
        <v>72</v>
      </c>
      <c r="K1234" s="11">
        <f>data!J1234</f>
        <v>0</v>
      </c>
      <c r="L1234" s="11">
        <f t="shared" si="77"/>
        <v>72</v>
      </c>
      <c r="M1234" s="9" t="str">
        <f t="shared" si="78"/>
        <v/>
      </c>
      <c r="N1234" s="9" t="str">
        <f t="shared" si="79"/>
        <v/>
      </c>
    </row>
    <row r="1235" spans="1:14" x14ac:dyDescent="0.25">
      <c r="A1235" t="str">
        <f>TEXT("1/"&amp;data!A1235,"mmmm")</f>
        <v>mai</v>
      </c>
      <c r="B1235">
        <f>data!B1235</f>
        <v>2016</v>
      </c>
      <c r="C1235" t="str">
        <f>data!C1235</f>
        <v>036</v>
      </c>
      <c r="D1235" t="str">
        <f>data!D1235</f>
        <v>CASTELBARRY</v>
      </c>
      <c r="E1235" t="str">
        <f>data!E1235</f>
        <v>036010</v>
      </c>
      <c r="F1235" t="str">
        <f>data!F1235</f>
        <v>IGP SAINT GUILHEM LE DESERT GRENACHE</v>
      </c>
      <c r="G1235" s="10">
        <f>data!G1235</f>
        <v>101.2</v>
      </c>
      <c r="H1235" s="10">
        <f>data!I1235</f>
        <v>0</v>
      </c>
      <c r="I1235" s="10">
        <f t="shared" si="76"/>
        <v>101.2</v>
      </c>
      <c r="J1235" s="11">
        <f>data!H1235</f>
        <v>106.64</v>
      </c>
      <c r="K1235" s="11">
        <f>data!J1235</f>
        <v>0</v>
      </c>
      <c r="L1235" s="11">
        <f t="shared" si="77"/>
        <v>106.64</v>
      </c>
      <c r="M1235" s="9" t="str">
        <f t="shared" si="78"/>
        <v/>
      </c>
      <c r="N1235" s="9" t="str">
        <f t="shared" si="79"/>
        <v/>
      </c>
    </row>
    <row r="1236" spans="1:14" x14ac:dyDescent="0.25">
      <c r="A1236" t="str">
        <f>TEXT("1/"&amp;data!A1236,"mmmm")</f>
        <v>mai</v>
      </c>
      <c r="B1236">
        <f>data!B1236</f>
        <v>2016</v>
      </c>
      <c r="C1236" t="str">
        <f>data!C1236</f>
        <v>036</v>
      </c>
      <c r="D1236" t="str">
        <f>data!D1236</f>
        <v>CASTELBARRY</v>
      </c>
      <c r="E1236" t="str">
        <f>data!E1236</f>
        <v>036011</v>
      </c>
      <c r="F1236" t="str">
        <f>data!F1236</f>
        <v>IGP ST GUILHEM LE DESERT</v>
      </c>
      <c r="G1236" s="10">
        <f>data!G1236</f>
        <v>36.75</v>
      </c>
      <c r="H1236" s="10">
        <f>data!I1236</f>
        <v>72</v>
      </c>
      <c r="I1236" s="10">
        <f t="shared" si="76"/>
        <v>-35.25</v>
      </c>
      <c r="J1236" s="11">
        <f>data!H1236</f>
        <v>33.35</v>
      </c>
      <c r="K1236" s="11">
        <f>data!J1236</f>
        <v>73.37</v>
      </c>
      <c r="L1236" s="11">
        <f t="shared" si="77"/>
        <v>-40.020000000000003</v>
      </c>
      <c r="M1236" s="9">
        <f t="shared" si="78"/>
        <v>-0.48958333333333331</v>
      </c>
      <c r="N1236" s="9">
        <f t="shared" si="79"/>
        <v>-0.54545454545454541</v>
      </c>
    </row>
    <row r="1237" spans="1:14" x14ac:dyDescent="0.25">
      <c r="A1237" t="str">
        <f>TEXT("1/"&amp;data!A1237,"mmmm")</f>
        <v>mai</v>
      </c>
      <c r="B1237">
        <f>data!B1237</f>
        <v>2016</v>
      </c>
      <c r="C1237" t="str">
        <f>data!C1237</f>
        <v>037</v>
      </c>
      <c r="D1237" t="str">
        <f>data!D1237</f>
        <v>SARL RAFFAULT</v>
      </c>
      <c r="E1237" t="str">
        <f>data!E1237</f>
        <v>037003</v>
      </c>
      <c r="F1237" t="str">
        <f>data!F1237</f>
        <v>AC CHINON</v>
      </c>
      <c r="G1237" s="10">
        <f>data!G1237</f>
        <v>319.2</v>
      </c>
      <c r="H1237" s="10">
        <f>data!I1237</f>
        <v>355.2</v>
      </c>
      <c r="I1237" s="10">
        <f t="shared" si="76"/>
        <v>-36</v>
      </c>
      <c r="J1237" s="11">
        <f>data!H1237</f>
        <v>84</v>
      </c>
      <c r="K1237" s="11">
        <f>data!J1237</f>
        <v>96</v>
      </c>
      <c r="L1237" s="11">
        <f t="shared" si="77"/>
        <v>-12</v>
      </c>
      <c r="M1237" s="9">
        <f t="shared" si="78"/>
        <v>-0.10135135135135136</v>
      </c>
      <c r="N1237" s="9">
        <f t="shared" si="79"/>
        <v>-0.125</v>
      </c>
    </row>
    <row r="1238" spans="1:14" x14ac:dyDescent="0.25">
      <c r="A1238" t="str">
        <f>TEXT("1/"&amp;data!A1238,"mmmm")</f>
        <v>mai</v>
      </c>
      <c r="B1238">
        <f>data!B1238</f>
        <v>2016</v>
      </c>
      <c r="C1238" t="str">
        <f>data!C1238</f>
        <v>037</v>
      </c>
      <c r="D1238" t="str">
        <f>data!D1238</f>
        <v>SARL RAFFAULT</v>
      </c>
      <c r="E1238" t="str">
        <f>data!E1238</f>
        <v>037005</v>
      </c>
      <c r="F1238" t="str">
        <f>data!F1238</f>
        <v>JM. RAFFAULT AC CHINON</v>
      </c>
      <c r="G1238" s="10">
        <f>data!G1238</f>
        <v>0</v>
      </c>
      <c r="H1238" s="10">
        <f>data!I1238</f>
        <v>0</v>
      </c>
      <c r="I1238" s="10">
        <f t="shared" si="76"/>
        <v>0</v>
      </c>
      <c r="J1238" s="11">
        <f>data!H1238</f>
        <v>6</v>
      </c>
      <c r="K1238" s="11">
        <f>data!J1238</f>
        <v>0</v>
      </c>
      <c r="L1238" s="11">
        <f t="shared" si="77"/>
        <v>6</v>
      </c>
      <c r="M1238" s="9" t="str">
        <f t="shared" si="78"/>
        <v/>
      </c>
      <c r="N1238" s="9" t="str">
        <f t="shared" si="79"/>
        <v/>
      </c>
    </row>
    <row r="1239" spans="1:14" x14ac:dyDescent="0.25">
      <c r="A1239" t="str">
        <f>TEXT("1/"&amp;data!A1239,"mmmm")</f>
        <v>mai</v>
      </c>
      <c r="B1239">
        <f>data!B1239</f>
        <v>2016</v>
      </c>
      <c r="C1239" t="str">
        <f>data!C1239</f>
        <v>037</v>
      </c>
      <c r="D1239" t="str">
        <f>data!D1239</f>
        <v>SARL RAFFAULT</v>
      </c>
      <c r="E1239" t="str">
        <f>data!E1239</f>
        <v>037010</v>
      </c>
      <c r="F1239" t="str">
        <f>data!F1239</f>
        <v>AC CHINON SEC</v>
      </c>
      <c r="G1239" s="10">
        <f>data!G1239</f>
        <v>57</v>
      </c>
      <c r="H1239" s="10">
        <f>data!I1239</f>
        <v>245.7</v>
      </c>
      <c r="I1239" s="10">
        <f t="shared" si="76"/>
        <v>-188.7</v>
      </c>
      <c r="J1239" s="11">
        <f>data!H1239</f>
        <v>12</v>
      </c>
      <c r="K1239" s="11">
        <f>data!J1239</f>
        <v>54</v>
      </c>
      <c r="L1239" s="11">
        <f t="shared" si="77"/>
        <v>-42</v>
      </c>
      <c r="M1239" s="9">
        <f t="shared" si="78"/>
        <v>-0.76800976800976795</v>
      </c>
      <c r="N1239" s="9">
        <f t="shared" si="79"/>
        <v>-0.77777777777777779</v>
      </c>
    </row>
    <row r="1240" spans="1:14" x14ac:dyDescent="0.25">
      <c r="A1240" t="str">
        <f>TEXT("1/"&amp;data!A1240,"mmmm")</f>
        <v>mai</v>
      </c>
      <c r="B1240">
        <f>data!B1240</f>
        <v>2016</v>
      </c>
      <c r="C1240" t="str">
        <f>data!C1240</f>
        <v>039</v>
      </c>
      <c r="D1240" t="str">
        <f>data!D1240</f>
        <v>LES VIGNERONS DES COTES D'AGLY</v>
      </c>
      <c r="E1240" t="str">
        <f>data!E1240</f>
        <v>039002</v>
      </c>
      <c r="F1240" t="str">
        <f>data!F1240</f>
        <v>VIGNERONS ALGLY AC MUSCAT DE RIVESALTES</v>
      </c>
      <c r="G1240" s="10">
        <f>data!G1240</f>
        <v>0</v>
      </c>
      <c r="H1240" s="10">
        <f>data!I1240</f>
        <v>76.2</v>
      </c>
      <c r="I1240" s="10">
        <f t="shared" si="76"/>
        <v>-76.2</v>
      </c>
      <c r="J1240" s="11">
        <f>data!H1240</f>
        <v>6.67</v>
      </c>
      <c r="K1240" s="11">
        <f>data!J1240</f>
        <v>26.68</v>
      </c>
      <c r="L1240" s="11">
        <f t="shared" si="77"/>
        <v>-20.009999999999998</v>
      </c>
      <c r="M1240" s="9">
        <f t="shared" si="78"/>
        <v>-1</v>
      </c>
      <c r="N1240" s="9">
        <f t="shared" si="79"/>
        <v>-0.74999999999999989</v>
      </c>
    </row>
    <row r="1241" spans="1:14" x14ac:dyDescent="0.25">
      <c r="A1241" t="str">
        <f>TEXT("1/"&amp;data!A1241,"mmmm")</f>
        <v>mai</v>
      </c>
      <c r="B1241">
        <f>data!B1241</f>
        <v>2016</v>
      </c>
      <c r="C1241" t="str">
        <f>data!C1241</f>
        <v>039</v>
      </c>
      <c r="D1241" t="str">
        <f>data!D1241</f>
        <v>LES VIGNERONS DES COTES D'AGLY</v>
      </c>
      <c r="E1241" t="str">
        <f>data!E1241</f>
        <v>039013</v>
      </c>
      <c r="F1241" t="str">
        <f>data!F1241</f>
        <v>AC C.DU ROUSSILLON .MONTNER PREM</v>
      </c>
      <c r="G1241" s="10">
        <f>data!G1241</f>
        <v>226.56</v>
      </c>
      <c r="H1241" s="10">
        <f>data!I1241</f>
        <v>106.56</v>
      </c>
      <c r="I1241" s="10">
        <f t="shared" si="76"/>
        <v>120</v>
      </c>
      <c r="J1241" s="11">
        <f>data!H1241</f>
        <v>48</v>
      </c>
      <c r="K1241" s="11">
        <f>data!J1241</f>
        <v>24</v>
      </c>
      <c r="L1241" s="11">
        <f t="shared" si="77"/>
        <v>24</v>
      </c>
      <c r="M1241" s="9">
        <f t="shared" si="78"/>
        <v>1.1261261261261262</v>
      </c>
      <c r="N1241" s="9">
        <f t="shared" si="79"/>
        <v>1</v>
      </c>
    </row>
    <row r="1242" spans="1:14" x14ac:dyDescent="0.25">
      <c r="A1242" t="str">
        <f>TEXT("1/"&amp;data!A1242,"mmmm")</f>
        <v>mai</v>
      </c>
      <c r="B1242">
        <f>data!B1242</f>
        <v>2016</v>
      </c>
      <c r="C1242" t="str">
        <f>data!C1242</f>
        <v>039</v>
      </c>
      <c r="D1242" t="str">
        <f>data!D1242</f>
        <v>LES VIGNERONS DES COTES D'AGLY</v>
      </c>
      <c r="E1242" t="str">
        <f>data!E1242</f>
        <v>039017</v>
      </c>
      <c r="F1242" t="str">
        <f>data!F1242</f>
        <v>AC C.ROUSSILLON VILL ARAGO</v>
      </c>
      <c r="G1242" s="10">
        <f>data!G1242</f>
        <v>147</v>
      </c>
      <c r="H1242" s="10">
        <f>data!I1242</f>
        <v>210</v>
      </c>
      <c r="I1242" s="10">
        <f t="shared" si="76"/>
        <v>-63</v>
      </c>
      <c r="J1242" s="11">
        <f>data!H1242</f>
        <v>42</v>
      </c>
      <c r="K1242" s="11">
        <f>data!J1242</f>
        <v>60</v>
      </c>
      <c r="L1242" s="11">
        <f t="shared" si="77"/>
        <v>-18</v>
      </c>
      <c r="M1242" s="9">
        <f t="shared" si="78"/>
        <v>-0.3</v>
      </c>
      <c r="N1242" s="9">
        <f t="shared" si="79"/>
        <v>-0.3</v>
      </c>
    </row>
    <row r="1243" spans="1:14" x14ac:dyDescent="0.25">
      <c r="A1243" t="str">
        <f>TEXT("1/"&amp;data!A1243,"mmmm")</f>
        <v>mai</v>
      </c>
      <c r="B1243">
        <f>data!B1243</f>
        <v>2016</v>
      </c>
      <c r="C1243" t="str">
        <f>data!C1243</f>
        <v>039</v>
      </c>
      <c r="D1243" t="str">
        <f>data!D1243</f>
        <v>LES VIGNERONS DES COTES D'AGLY</v>
      </c>
      <c r="E1243" t="str">
        <f>data!E1243</f>
        <v>039018</v>
      </c>
      <c r="F1243" t="str">
        <f>data!F1243</f>
        <v>AC C. ROUSSILLON N D LAVAL</v>
      </c>
      <c r="G1243" s="10">
        <f>data!G1243</f>
        <v>1016.82</v>
      </c>
      <c r="H1243" s="10">
        <f>data!I1243</f>
        <v>689.52</v>
      </c>
      <c r="I1243" s="10">
        <f t="shared" si="76"/>
        <v>327.30000000000007</v>
      </c>
      <c r="J1243" s="11">
        <f>data!H1243</f>
        <v>438</v>
      </c>
      <c r="K1243" s="11">
        <f>data!J1243</f>
        <v>312</v>
      </c>
      <c r="L1243" s="11">
        <f t="shared" si="77"/>
        <v>126</v>
      </c>
      <c r="M1243" s="9">
        <f t="shared" si="78"/>
        <v>0.47467803689523158</v>
      </c>
      <c r="N1243" s="9">
        <f t="shared" si="79"/>
        <v>0.40384615384615385</v>
      </c>
    </row>
    <row r="1244" spans="1:14" x14ac:dyDescent="0.25">
      <c r="A1244" t="str">
        <f>TEXT("1/"&amp;data!A1244,"mmmm")</f>
        <v>mai</v>
      </c>
      <c r="B1244">
        <f>data!B1244</f>
        <v>2016</v>
      </c>
      <c r="C1244" t="str">
        <f>data!C1244</f>
        <v>039</v>
      </c>
      <c r="D1244" t="str">
        <f>data!D1244</f>
        <v>LES VIGNERONS DES COTES D'AGLY</v>
      </c>
      <c r="E1244" t="str">
        <f>data!E1244</f>
        <v>039028</v>
      </c>
      <c r="F1244" t="str">
        <f>data!F1244</f>
        <v>VDN MAURY</v>
      </c>
      <c r="G1244" s="10">
        <f>data!G1244</f>
        <v>358.32</v>
      </c>
      <c r="H1244" s="10">
        <f>data!I1244</f>
        <v>679.68</v>
      </c>
      <c r="I1244" s="10">
        <f t="shared" si="76"/>
        <v>-321.35999999999996</v>
      </c>
      <c r="J1244" s="11">
        <f>data!H1244</f>
        <v>72</v>
      </c>
      <c r="K1244" s="11">
        <f>data!J1244</f>
        <v>144</v>
      </c>
      <c r="L1244" s="11">
        <f t="shared" si="77"/>
        <v>-72</v>
      </c>
      <c r="M1244" s="9">
        <f t="shared" si="78"/>
        <v>-0.47281073446327682</v>
      </c>
      <c r="N1244" s="9">
        <f t="shared" si="79"/>
        <v>-0.5</v>
      </c>
    </row>
    <row r="1245" spans="1:14" x14ac:dyDescent="0.25">
      <c r="A1245" t="str">
        <f>TEXT("1/"&amp;data!A1245,"mmmm")</f>
        <v>mai</v>
      </c>
      <c r="B1245">
        <f>data!B1245</f>
        <v>2016</v>
      </c>
      <c r="C1245" t="str">
        <f>data!C1245</f>
        <v>039</v>
      </c>
      <c r="D1245" t="str">
        <f>data!D1245</f>
        <v>LES VIGNERONS DES COTES D'AGLY</v>
      </c>
      <c r="E1245" t="str">
        <f>data!E1245</f>
        <v>039030</v>
      </c>
      <c r="F1245" t="str">
        <f>data!F1245</f>
        <v>VDN MUSCAT DE RIVESALTES</v>
      </c>
      <c r="G1245" s="10">
        <f>data!G1245</f>
        <v>90.72</v>
      </c>
      <c r="H1245" s="10">
        <f>data!I1245</f>
        <v>108.3</v>
      </c>
      <c r="I1245" s="10">
        <f t="shared" si="76"/>
        <v>-17.579999999999998</v>
      </c>
      <c r="J1245" s="11">
        <f>data!H1245</f>
        <v>30</v>
      </c>
      <c r="K1245" s="11">
        <f>data!J1245</f>
        <v>30</v>
      </c>
      <c r="L1245" s="11">
        <f t="shared" si="77"/>
        <v>0</v>
      </c>
      <c r="M1245" s="9">
        <f t="shared" si="78"/>
        <v>-0.16232686980609418</v>
      </c>
      <c r="N1245" s="9">
        <f t="shared" si="79"/>
        <v>0</v>
      </c>
    </row>
    <row r="1246" spans="1:14" x14ac:dyDescent="0.25">
      <c r="A1246" t="str">
        <f>TEXT("1/"&amp;data!A1246,"mmmm")</f>
        <v>mai</v>
      </c>
      <c r="B1246">
        <f>data!B1246</f>
        <v>2016</v>
      </c>
      <c r="C1246" t="str">
        <f>data!C1246</f>
        <v>040</v>
      </c>
      <c r="D1246" t="str">
        <f>data!D1246</f>
        <v>CHÂTEAU DE LA GRAVE</v>
      </c>
      <c r="E1246" t="str">
        <f>data!E1246</f>
        <v>040004</v>
      </c>
      <c r="F1246" t="str">
        <f>data!F1246</f>
        <v>AOP COTES DE BOURG CH DE LA GRAVE GRAINS FINS</v>
      </c>
      <c r="G1246" s="10">
        <f>data!G1246</f>
        <v>102.6</v>
      </c>
      <c r="H1246" s="10">
        <f>data!I1246</f>
        <v>342</v>
      </c>
      <c r="I1246" s="10">
        <f t="shared" si="76"/>
        <v>-239.4</v>
      </c>
      <c r="J1246" s="11">
        <f>data!H1246</f>
        <v>18</v>
      </c>
      <c r="K1246" s="11">
        <f>data!J1246</f>
        <v>60</v>
      </c>
      <c r="L1246" s="11">
        <f t="shared" si="77"/>
        <v>-42</v>
      </c>
      <c r="M1246" s="9">
        <f t="shared" si="78"/>
        <v>-0.70000000000000007</v>
      </c>
      <c r="N1246" s="9">
        <f t="shared" si="79"/>
        <v>-0.7</v>
      </c>
    </row>
    <row r="1247" spans="1:14" x14ac:dyDescent="0.25">
      <c r="A1247" t="str">
        <f>TEXT("1/"&amp;data!A1247,"mmmm")</f>
        <v>mai</v>
      </c>
      <c r="B1247">
        <f>data!B1247</f>
        <v>2016</v>
      </c>
      <c r="C1247" t="str">
        <f>data!C1247</f>
        <v>040</v>
      </c>
      <c r="D1247" t="str">
        <f>data!D1247</f>
        <v>CHÂTEAU DE LA GRAVE</v>
      </c>
      <c r="E1247" t="str">
        <f>data!E1247</f>
        <v>040006</v>
      </c>
      <c r="F1247" t="str">
        <f>data!F1247</f>
        <v>AC COTES DE BOURG CHATEAU DE LA GRAVE</v>
      </c>
      <c r="G1247" s="10">
        <f>data!G1247</f>
        <v>1795.8</v>
      </c>
      <c r="H1247" s="10">
        <f>data!I1247</f>
        <v>2224.8000000000002</v>
      </c>
      <c r="I1247" s="10">
        <f t="shared" si="76"/>
        <v>-429.00000000000023</v>
      </c>
      <c r="J1247" s="11">
        <f>data!H1247</f>
        <v>498</v>
      </c>
      <c r="K1247" s="11">
        <f>data!J1247</f>
        <v>630</v>
      </c>
      <c r="L1247" s="11">
        <f t="shared" si="77"/>
        <v>-132</v>
      </c>
      <c r="M1247" s="9">
        <f t="shared" si="78"/>
        <v>-0.19282632146709824</v>
      </c>
      <c r="N1247" s="9">
        <f t="shared" si="79"/>
        <v>-0.20952380952380953</v>
      </c>
    </row>
    <row r="1248" spans="1:14" x14ac:dyDescent="0.25">
      <c r="A1248" t="str">
        <f>TEXT("1/"&amp;data!A1248,"mmmm")</f>
        <v>mai</v>
      </c>
      <c r="B1248">
        <f>data!B1248</f>
        <v>2016</v>
      </c>
      <c r="C1248" t="str">
        <f>data!C1248</f>
        <v>040</v>
      </c>
      <c r="D1248" t="str">
        <f>data!D1248</f>
        <v>CHÂTEAU DE LA GRAVE</v>
      </c>
      <c r="E1248" t="str">
        <f>data!E1248</f>
        <v>040007</v>
      </c>
      <c r="F1248" t="str">
        <f>data!F1248</f>
        <v>AC COTES DE BOURG G DE LA GRAVE</v>
      </c>
      <c r="G1248" s="10">
        <f>data!G1248</f>
        <v>662.4</v>
      </c>
      <c r="H1248" s="10">
        <f>data!I1248</f>
        <v>762.7</v>
      </c>
      <c r="I1248" s="10">
        <f t="shared" si="76"/>
        <v>-100.30000000000007</v>
      </c>
      <c r="J1248" s="11">
        <f>data!H1248</f>
        <v>320.15999999999997</v>
      </c>
      <c r="K1248" s="11">
        <f>data!J1248</f>
        <v>393.53</v>
      </c>
      <c r="L1248" s="11">
        <f t="shared" si="77"/>
        <v>-73.37</v>
      </c>
      <c r="M1248" s="9">
        <f t="shared" si="78"/>
        <v>-0.13150649010095722</v>
      </c>
      <c r="N1248" s="9">
        <f t="shared" si="79"/>
        <v>-0.18644067796610173</v>
      </c>
    </row>
    <row r="1249" spans="1:14" x14ac:dyDescent="0.25">
      <c r="A1249" t="str">
        <f>TEXT("1/"&amp;data!A1249,"mmmm")</f>
        <v>mai</v>
      </c>
      <c r="B1249">
        <f>data!B1249</f>
        <v>2016</v>
      </c>
      <c r="C1249" t="str">
        <f>data!C1249</f>
        <v>040</v>
      </c>
      <c r="D1249" t="str">
        <f>data!D1249</f>
        <v>CHÂTEAU DE LA GRAVE</v>
      </c>
      <c r="E1249" t="str">
        <f>data!E1249</f>
        <v>040008</v>
      </c>
      <c r="F1249" t="str">
        <f>data!F1249</f>
        <v>AC COTES DE BOURG G DE LA GRAVE</v>
      </c>
      <c r="G1249" s="10">
        <f>data!G1249</f>
        <v>211.6</v>
      </c>
      <c r="H1249" s="10">
        <f>data!I1249</f>
        <v>277.2</v>
      </c>
      <c r="I1249" s="10">
        <f t="shared" si="76"/>
        <v>-65.599999999999994</v>
      </c>
      <c r="J1249" s="11">
        <f>data!H1249</f>
        <v>93.31</v>
      </c>
      <c r="K1249" s="11">
        <f>data!J1249</f>
        <v>146.63</v>
      </c>
      <c r="L1249" s="11">
        <f t="shared" si="77"/>
        <v>-53.319999999999993</v>
      </c>
      <c r="M1249" s="9">
        <f t="shared" si="78"/>
        <v>-0.23665223665223664</v>
      </c>
      <c r="N1249" s="9">
        <f t="shared" si="79"/>
        <v>-0.36363636363636359</v>
      </c>
    </row>
    <row r="1250" spans="1:14" x14ac:dyDescent="0.25">
      <c r="A1250" t="str">
        <f>TEXT("1/"&amp;data!A1250,"mmmm")</f>
        <v>mai</v>
      </c>
      <c r="B1250">
        <f>data!B1250</f>
        <v>2016</v>
      </c>
      <c r="C1250" t="str">
        <f>data!C1250</f>
        <v>040</v>
      </c>
      <c r="D1250" t="str">
        <f>data!D1250</f>
        <v>CHÂTEAU DE LA GRAVE</v>
      </c>
      <c r="E1250" t="str">
        <f>data!E1250</f>
        <v>040009CB</v>
      </c>
      <c r="F1250" t="str">
        <f>data!F1250</f>
        <v>AC C.DE BOURG. BEL AIR</v>
      </c>
      <c r="G1250" s="10">
        <f>data!G1250</f>
        <v>46.8</v>
      </c>
      <c r="H1250" s="10">
        <f>data!I1250</f>
        <v>30.78</v>
      </c>
      <c r="I1250" s="10">
        <f t="shared" si="76"/>
        <v>16.019999999999996</v>
      </c>
      <c r="J1250" s="11">
        <f>data!H1250</f>
        <v>6</v>
      </c>
      <c r="K1250" s="11">
        <f>data!J1250</f>
        <v>6</v>
      </c>
      <c r="L1250" s="11">
        <f t="shared" si="77"/>
        <v>0</v>
      </c>
      <c r="M1250" s="9">
        <f t="shared" si="78"/>
        <v>0.52046783625730975</v>
      </c>
      <c r="N1250" s="9">
        <f t="shared" si="79"/>
        <v>0</v>
      </c>
    </row>
    <row r="1251" spans="1:14" x14ac:dyDescent="0.25">
      <c r="A1251" t="str">
        <f>TEXT("1/"&amp;data!A1251,"mmmm")</f>
        <v>mai</v>
      </c>
      <c r="B1251">
        <f>data!B1251</f>
        <v>2016</v>
      </c>
      <c r="C1251" t="str">
        <f>data!C1251</f>
        <v>040</v>
      </c>
      <c r="D1251" t="str">
        <f>data!D1251</f>
        <v>CHÂTEAU DE LA GRAVE</v>
      </c>
      <c r="E1251" t="str">
        <f>data!E1251</f>
        <v>040011</v>
      </c>
      <c r="F1251" t="str">
        <f>data!F1251</f>
        <v>AC C DE BOURG BEL AIR</v>
      </c>
      <c r="G1251" s="10">
        <f>data!G1251</f>
        <v>54</v>
      </c>
      <c r="H1251" s="10">
        <f>data!I1251</f>
        <v>81</v>
      </c>
      <c r="I1251" s="10">
        <f t="shared" si="76"/>
        <v>-27</v>
      </c>
      <c r="J1251" s="11">
        <f>data!H1251</f>
        <v>12</v>
      </c>
      <c r="K1251" s="11">
        <f>data!J1251</f>
        <v>18</v>
      </c>
      <c r="L1251" s="11">
        <f t="shared" si="77"/>
        <v>-6</v>
      </c>
      <c r="M1251" s="9">
        <f t="shared" si="78"/>
        <v>-0.33333333333333331</v>
      </c>
      <c r="N1251" s="9">
        <f t="shared" si="79"/>
        <v>-0.33333333333333331</v>
      </c>
    </row>
    <row r="1252" spans="1:14" x14ac:dyDescent="0.25">
      <c r="A1252" t="str">
        <f>TEXT("1/"&amp;data!A1252,"mmmm")</f>
        <v>mai</v>
      </c>
      <c r="B1252">
        <f>data!B1252</f>
        <v>2016</v>
      </c>
      <c r="C1252" t="str">
        <f>data!C1252</f>
        <v>040</v>
      </c>
      <c r="D1252" t="str">
        <f>data!D1252</f>
        <v>CHÂTEAU DE LA GRAVE</v>
      </c>
      <c r="E1252" t="str">
        <f>data!E1252</f>
        <v>040012</v>
      </c>
      <c r="F1252" t="str">
        <f>data!F1252</f>
        <v>AC C DE BOURG BEL AIR</v>
      </c>
      <c r="G1252" s="10">
        <f>data!G1252</f>
        <v>48.9</v>
      </c>
      <c r="H1252" s="10">
        <f>data!I1252</f>
        <v>0</v>
      </c>
      <c r="I1252" s="10">
        <f t="shared" si="76"/>
        <v>48.9</v>
      </c>
      <c r="J1252" s="11">
        <f>data!H1252</f>
        <v>12</v>
      </c>
      <c r="K1252" s="11">
        <f>data!J1252</f>
        <v>0</v>
      </c>
      <c r="L1252" s="11">
        <f t="shared" si="77"/>
        <v>12</v>
      </c>
      <c r="M1252" s="9" t="str">
        <f t="shared" si="78"/>
        <v/>
      </c>
      <c r="N1252" s="9" t="str">
        <f t="shared" si="79"/>
        <v/>
      </c>
    </row>
    <row r="1253" spans="1:14" x14ac:dyDescent="0.25">
      <c r="A1253" t="str">
        <f>TEXT("1/"&amp;data!A1253,"mmmm")</f>
        <v>mai</v>
      </c>
      <c r="B1253">
        <f>data!B1253</f>
        <v>2016</v>
      </c>
      <c r="C1253" t="str">
        <f>data!C1253</f>
        <v>040</v>
      </c>
      <c r="D1253" t="str">
        <f>data!D1253</f>
        <v>CHÂTEAU DE LA GRAVE</v>
      </c>
      <c r="E1253" t="str">
        <f>data!E1253</f>
        <v>040015</v>
      </c>
      <c r="F1253" t="str">
        <f>data!F1253</f>
        <v>AC C DE BOURG. CARACTERE</v>
      </c>
      <c r="G1253" s="10">
        <f>data!G1253</f>
        <v>367.2</v>
      </c>
      <c r="H1253" s="10">
        <f>data!I1253</f>
        <v>178.2</v>
      </c>
      <c r="I1253" s="10">
        <f t="shared" si="76"/>
        <v>189</v>
      </c>
      <c r="J1253" s="11">
        <f>data!H1253</f>
        <v>72</v>
      </c>
      <c r="K1253" s="11">
        <f>data!J1253</f>
        <v>36</v>
      </c>
      <c r="L1253" s="11">
        <f t="shared" si="77"/>
        <v>36</v>
      </c>
      <c r="M1253" s="9">
        <f t="shared" si="78"/>
        <v>1.0606060606060608</v>
      </c>
      <c r="N1253" s="9">
        <f t="shared" si="79"/>
        <v>1</v>
      </c>
    </row>
    <row r="1254" spans="1:14" x14ac:dyDescent="0.25">
      <c r="A1254" t="str">
        <f>TEXT("1/"&amp;data!A1254,"mmmm")</f>
        <v>mai</v>
      </c>
      <c r="B1254">
        <f>data!B1254</f>
        <v>2016</v>
      </c>
      <c r="C1254" t="str">
        <f>data!C1254</f>
        <v>040</v>
      </c>
      <c r="D1254" t="str">
        <f>data!D1254</f>
        <v>CHÂTEAU DE LA GRAVE</v>
      </c>
      <c r="E1254" t="str">
        <f>data!E1254</f>
        <v>040017</v>
      </c>
      <c r="F1254" t="str">
        <f>data!F1254</f>
        <v>AC C DE BOURG F.CHENE NECTAR</v>
      </c>
      <c r="G1254" s="10">
        <f>data!G1254</f>
        <v>98.4</v>
      </c>
      <c r="H1254" s="10">
        <f>data!I1254</f>
        <v>0</v>
      </c>
      <c r="I1254" s="10">
        <f t="shared" si="76"/>
        <v>98.4</v>
      </c>
      <c r="J1254" s="11">
        <f>data!H1254</f>
        <v>12</v>
      </c>
      <c r="K1254" s="11">
        <f>data!J1254</f>
        <v>0</v>
      </c>
      <c r="L1254" s="11">
        <f t="shared" si="77"/>
        <v>12</v>
      </c>
      <c r="M1254" s="9" t="str">
        <f t="shared" si="78"/>
        <v/>
      </c>
      <c r="N1254" s="9" t="str">
        <f t="shared" si="79"/>
        <v/>
      </c>
    </row>
    <row r="1255" spans="1:14" x14ac:dyDescent="0.25">
      <c r="A1255" t="str">
        <f>TEXT("1/"&amp;data!A1255,"mmmm")</f>
        <v>mai</v>
      </c>
      <c r="B1255">
        <f>data!B1255</f>
        <v>2016</v>
      </c>
      <c r="C1255" t="str">
        <f>data!C1255</f>
        <v>041</v>
      </c>
      <c r="D1255" t="str">
        <f>data!D1255</f>
        <v>CHATEAU TOUR DE PEZ</v>
      </c>
      <c r="E1255" t="str">
        <f>data!E1255</f>
        <v>041001/10</v>
      </c>
      <c r="F1255" t="str">
        <f>data!F1255</f>
        <v>AC ST ESTEPHE CH TOUR DE PEZ</v>
      </c>
      <c r="G1255" s="10">
        <f>data!G1255</f>
        <v>344.4</v>
      </c>
      <c r="H1255" s="10">
        <f>data!I1255</f>
        <v>168</v>
      </c>
      <c r="I1255" s="10">
        <f t="shared" si="76"/>
        <v>176.39999999999998</v>
      </c>
      <c r="J1255" s="11">
        <f>data!H1255</f>
        <v>24</v>
      </c>
      <c r="K1255" s="11">
        <f>data!J1255</f>
        <v>12</v>
      </c>
      <c r="L1255" s="11">
        <f t="shared" si="77"/>
        <v>12</v>
      </c>
      <c r="M1255" s="9">
        <f t="shared" si="78"/>
        <v>1.0499999999999998</v>
      </c>
      <c r="N1255" s="9">
        <f t="shared" si="79"/>
        <v>1</v>
      </c>
    </row>
    <row r="1256" spans="1:14" x14ac:dyDescent="0.25">
      <c r="A1256" t="str">
        <f>TEXT("1/"&amp;data!A1256,"mmmm")</f>
        <v>mai</v>
      </c>
      <c r="B1256">
        <f>data!B1256</f>
        <v>2016</v>
      </c>
      <c r="C1256" t="str">
        <f>data!C1256</f>
        <v>041</v>
      </c>
      <c r="D1256" t="str">
        <f>data!D1256</f>
        <v>CHATEAU TOUR DE PEZ</v>
      </c>
      <c r="E1256" t="str">
        <f>data!E1256</f>
        <v>041001/12</v>
      </c>
      <c r="F1256" t="str">
        <f>data!F1256</f>
        <v>AC ST ESTEPHE CH TOUR DE PEZ</v>
      </c>
      <c r="G1256" s="10">
        <f>data!G1256</f>
        <v>159</v>
      </c>
      <c r="H1256" s="10">
        <f>data!I1256</f>
        <v>0</v>
      </c>
      <c r="I1256" s="10">
        <f t="shared" si="76"/>
        <v>159</v>
      </c>
      <c r="J1256" s="11">
        <f>data!H1256</f>
        <v>12</v>
      </c>
      <c r="K1256" s="11">
        <f>data!J1256</f>
        <v>0</v>
      </c>
      <c r="L1256" s="11">
        <f t="shared" si="77"/>
        <v>12</v>
      </c>
      <c r="M1256" s="9" t="str">
        <f t="shared" si="78"/>
        <v/>
      </c>
      <c r="N1256" s="9" t="str">
        <f t="shared" si="79"/>
        <v/>
      </c>
    </row>
    <row r="1257" spans="1:14" x14ac:dyDescent="0.25">
      <c r="A1257" t="str">
        <f>TEXT("1/"&amp;data!A1257,"mmmm")</f>
        <v>mai</v>
      </c>
      <c r="B1257">
        <f>data!B1257</f>
        <v>2016</v>
      </c>
      <c r="C1257" t="str">
        <f>data!C1257</f>
        <v>041</v>
      </c>
      <c r="D1257" t="str">
        <f>data!D1257</f>
        <v>CHATEAU TOUR DE PEZ</v>
      </c>
      <c r="E1257" t="str">
        <f>data!E1257</f>
        <v>041016</v>
      </c>
      <c r="F1257" t="str">
        <f>data!F1257</f>
        <v>AOP SAINT- ESTEPHE CH LES HAUTS DE PEZ</v>
      </c>
      <c r="G1257" s="10">
        <f>data!G1257</f>
        <v>705.6</v>
      </c>
      <c r="H1257" s="10">
        <f>data!I1257</f>
        <v>180.6</v>
      </c>
      <c r="I1257" s="10">
        <f t="shared" si="76"/>
        <v>525</v>
      </c>
      <c r="J1257" s="11">
        <f>data!H1257</f>
        <v>84</v>
      </c>
      <c r="K1257" s="11">
        <f>data!J1257</f>
        <v>42</v>
      </c>
      <c r="L1257" s="11">
        <f t="shared" si="77"/>
        <v>42</v>
      </c>
      <c r="M1257" s="9">
        <f t="shared" si="78"/>
        <v>2.9069767441860468</v>
      </c>
      <c r="N1257" s="9">
        <f t="shared" si="79"/>
        <v>1</v>
      </c>
    </row>
    <row r="1258" spans="1:14" x14ac:dyDescent="0.25">
      <c r="A1258" t="str">
        <f>TEXT("1/"&amp;data!A1258,"mmmm")</f>
        <v>mai</v>
      </c>
      <c r="B1258">
        <f>data!B1258</f>
        <v>2016</v>
      </c>
      <c r="C1258" t="str">
        <f>data!C1258</f>
        <v>042</v>
      </c>
      <c r="D1258" t="str">
        <f>data!D1258</f>
        <v>LE CELLIER DES PRINCES</v>
      </c>
      <c r="E1258" t="str">
        <f>data!E1258</f>
        <v>042100</v>
      </c>
      <c r="F1258" t="str">
        <f>data!F1258</f>
        <v>IGP VAUCLUSE</v>
      </c>
      <c r="G1258" s="10">
        <f>data!G1258</f>
        <v>613.79999999999995</v>
      </c>
      <c r="H1258" s="10">
        <f>data!I1258</f>
        <v>576</v>
      </c>
      <c r="I1258" s="10">
        <f t="shared" si="76"/>
        <v>37.799999999999955</v>
      </c>
      <c r="J1258" s="11">
        <f>data!H1258</f>
        <v>82664.600000000006</v>
      </c>
      <c r="K1258" s="11">
        <f>data!J1258</f>
        <v>79998.000000000015</v>
      </c>
      <c r="L1258" s="11">
        <f t="shared" si="77"/>
        <v>2666.5999999999913</v>
      </c>
      <c r="M1258" s="9">
        <f t="shared" si="78"/>
        <v>6.562499999999992E-2</v>
      </c>
      <c r="N1258" s="9">
        <f t="shared" si="79"/>
        <v>3.3333333333333215E-2</v>
      </c>
    </row>
    <row r="1259" spans="1:14" x14ac:dyDescent="0.25">
      <c r="A1259" t="str">
        <f>TEXT("1/"&amp;data!A1259,"mmmm")</f>
        <v>mai</v>
      </c>
      <c r="B1259">
        <f>data!B1259</f>
        <v>2016</v>
      </c>
      <c r="C1259" t="str">
        <f>data!C1259</f>
        <v>046</v>
      </c>
      <c r="D1259" t="str">
        <f>data!D1259</f>
        <v>MR JEAN PIERRE CABANES</v>
      </c>
      <c r="E1259" t="str">
        <f>data!E1259</f>
        <v>046001</v>
      </c>
      <c r="F1259" t="str">
        <f>data!F1259</f>
        <v>AC CTX DU LANGU TRAD D.ARCHIMBAUD</v>
      </c>
      <c r="G1259" s="10">
        <f>data!G1259</f>
        <v>108</v>
      </c>
      <c r="H1259" s="10">
        <f>data!I1259</f>
        <v>639.6</v>
      </c>
      <c r="I1259" s="10">
        <f t="shared" si="76"/>
        <v>-531.6</v>
      </c>
      <c r="J1259" s="11">
        <f>data!H1259</f>
        <v>24</v>
      </c>
      <c r="K1259" s="11">
        <f>data!J1259</f>
        <v>162</v>
      </c>
      <c r="L1259" s="11">
        <f t="shared" si="77"/>
        <v>-138</v>
      </c>
      <c r="M1259" s="9">
        <f t="shared" si="78"/>
        <v>-0.83114446529080677</v>
      </c>
      <c r="N1259" s="9">
        <f t="shared" si="79"/>
        <v>-0.85185185185185186</v>
      </c>
    </row>
    <row r="1260" spans="1:14" x14ac:dyDescent="0.25">
      <c r="A1260" t="str">
        <f>TEXT("1/"&amp;data!A1260,"mmmm")</f>
        <v>mai</v>
      </c>
      <c r="B1260">
        <f>data!B1260</f>
        <v>2016</v>
      </c>
      <c r="C1260" t="str">
        <f>data!C1260</f>
        <v>046</v>
      </c>
      <c r="D1260" t="str">
        <f>data!D1260</f>
        <v>MR JEAN PIERRE CABANES</v>
      </c>
      <c r="E1260" t="str">
        <f>data!E1260</f>
        <v>046010</v>
      </c>
      <c r="F1260" t="str">
        <f>data!F1260</f>
        <v>AC COT DU LANG ROBE POURPRE</v>
      </c>
      <c r="G1260" s="10">
        <f>data!G1260</f>
        <v>331.2</v>
      </c>
      <c r="H1260" s="10">
        <f>data!I1260</f>
        <v>537.6</v>
      </c>
      <c r="I1260" s="10">
        <f t="shared" si="76"/>
        <v>-206.40000000000003</v>
      </c>
      <c r="J1260" s="11">
        <f>data!H1260</f>
        <v>48</v>
      </c>
      <c r="K1260" s="11">
        <f>data!J1260</f>
        <v>84</v>
      </c>
      <c r="L1260" s="11">
        <f t="shared" si="77"/>
        <v>-36</v>
      </c>
      <c r="M1260" s="9">
        <f t="shared" si="78"/>
        <v>-0.38392857142857145</v>
      </c>
      <c r="N1260" s="9">
        <f t="shared" si="79"/>
        <v>-0.42857142857142855</v>
      </c>
    </row>
    <row r="1261" spans="1:14" x14ac:dyDescent="0.25">
      <c r="A1261" t="str">
        <f>TEXT("1/"&amp;data!A1261,"mmmm")</f>
        <v>mai</v>
      </c>
      <c r="B1261">
        <f>data!B1261</f>
        <v>2016</v>
      </c>
      <c r="C1261" t="str">
        <f>data!C1261</f>
        <v>046</v>
      </c>
      <c r="D1261" t="str">
        <f>data!D1261</f>
        <v>MR JEAN PIERRE CABANES</v>
      </c>
      <c r="E1261" t="str">
        <f>data!E1261</f>
        <v>046015</v>
      </c>
      <c r="F1261" t="str">
        <f>data!F1261</f>
        <v>AC COT DU LANGU D.ARCHIMBAUD</v>
      </c>
      <c r="G1261" s="10">
        <f>data!G1261</f>
        <v>216</v>
      </c>
      <c r="H1261" s="10">
        <f>data!I1261</f>
        <v>252</v>
      </c>
      <c r="I1261" s="10">
        <f t="shared" si="76"/>
        <v>-36</v>
      </c>
      <c r="J1261" s="11">
        <f>data!H1261</f>
        <v>54</v>
      </c>
      <c r="K1261" s="11">
        <f>data!J1261</f>
        <v>66</v>
      </c>
      <c r="L1261" s="11">
        <f t="shared" si="77"/>
        <v>-12</v>
      </c>
      <c r="M1261" s="9">
        <f t="shared" si="78"/>
        <v>-0.14285714285714285</v>
      </c>
      <c r="N1261" s="9">
        <f t="shared" si="79"/>
        <v>-0.18181818181818182</v>
      </c>
    </row>
    <row r="1262" spans="1:14" x14ac:dyDescent="0.25">
      <c r="A1262" t="str">
        <f>TEXT("1/"&amp;data!A1262,"mmmm")</f>
        <v>mai</v>
      </c>
      <c r="B1262">
        <f>data!B1262</f>
        <v>2016</v>
      </c>
      <c r="C1262" t="str">
        <f>data!C1262</f>
        <v>046</v>
      </c>
      <c r="D1262" t="str">
        <f>data!D1262</f>
        <v>MR JEAN PIERRE CABANES</v>
      </c>
      <c r="E1262" t="str">
        <f>data!E1262</f>
        <v>046020</v>
      </c>
      <c r="F1262" t="str">
        <f>data!F1262</f>
        <v>AC COTEAUX DU LANGUEDOC ENFANT TERRIBLE</v>
      </c>
      <c r="G1262" s="10">
        <f>data!G1262</f>
        <v>135</v>
      </c>
      <c r="H1262" s="10">
        <f>data!I1262</f>
        <v>1302</v>
      </c>
      <c r="I1262" s="10">
        <f t="shared" si="76"/>
        <v>-1167</v>
      </c>
      <c r="J1262" s="11">
        <f>data!H1262</f>
        <v>18</v>
      </c>
      <c r="K1262" s="11">
        <f>data!J1262</f>
        <v>186</v>
      </c>
      <c r="L1262" s="11">
        <f t="shared" si="77"/>
        <v>-168</v>
      </c>
      <c r="M1262" s="9">
        <f t="shared" si="78"/>
        <v>-0.89631336405529949</v>
      </c>
      <c r="N1262" s="9">
        <f t="shared" si="79"/>
        <v>-0.90322580645161288</v>
      </c>
    </row>
    <row r="1263" spans="1:14" x14ac:dyDescent="0.25">
      <c r="A1263" t="str">
        <f>TEXT("1/"&amp;data!A1263,"mmmm")</f>
        <v>mai</v>
      </c>
      <c r="B1263">
        <f>data!B1263</f>
        <v>2016</v>
      </c>
      <c r="C1263" t="str">
        <f>data!C1263</f>
        <v>046</v>
      </c>
      <c r="D1263" t="str">
        <f>data!D1263</f>
        <v>MR JEAN PIERRE CABANES</v>
      </c>
      <c r="E1263" t="str">
        <f>data!E1263</f>
        <v>046025</v>
      </c>
      <c r="F1263" t="str">
        <f>data!F1263</f>
        <v>IGP MONTBAUDILE</v>
      </c>
      <c r="G1263" s="10">
        <f>data!G1263</f>
        <v>72</v>
      </c>
      <c r="H1263" s="10">
        <f>data!I1263</f>
        <v>348</v>
      </c>
      <c r="I1263" s="10">
        <f t="shared" si="76"/>
        <v>-276</v>
      </c>
      <c r="J1263" s="11">
        <f>data!H1263</f>
        <v>12</v>
      </c>
      <c r="K1263" s="11">
        <f>data!J1263</f>
        <v>60</v>
      </c>
      <c r="L1263" s="11">
        <f t="shared" si="77"/>
        <v>-48</v>
      </c>
      <c r="M1263" s="9">
        <f t="shared" si="78"/>
        <v>-0.7931034482758621</v>
      </c>
      <c r="N1263" s="9">
        <f t="shared" si="79"/>
        <v>-0.8</v>
      </c>
    </row>
    <row r="1264" spans="1:14" x14ac:dyDescent="0.25">
      <c r="A1264" t="str">
        <f>TEXT("1/"&amp;data!A1264,"mmmm")</f>
        <v>mai</v>
      </c>
      <c r="B1264">
        <f>data!B1264</f>
        <v>2016</v>
      </c>
      <c r="C1264" t="str">
        <f>data!C1264</f>
        <v>048B</v>
      </c>
      <c r="D1264" t="str">
        <f>data!D1264</f>
        <v>SCEA BOURLON DESTOUEST</v>
      </c>
      <c r="E1264" t="str">
        <f>data!E1264</f>
        <v>048003B</v>
      </c>
      <c r="F1264" t="str">
        <f>data!F1264</f>
        <v>AC PUISSEGUIN ST EMILION</v>
      </c>
      <c r="G1264" s="10">
        <f>data!G1264</f>
        <v>1310.4000000000001</v>
      </c>
      <c r="H1264" s="10">
        <f>data!I1264</f>
        <v>957</v>
      </c>
      <c r="I1264" s="10">
        <f t="shared" si="76"/>
        <v>353.40000000000009</v>
      </c>
      <c r="J1264" s="11">
        <f>data!H1264</f>
        <v>234</v>
      </c>
      <c r="K1264" s="11">
        <f>data!J1264</f>
        <v>174</v>
      </c>
      <c r="L1264" s="11">
        <f t="shared" si="77"/>
        <v>60</v>
      </c>
      <c r="M1264" s="9">
        <f t="shared" si="78"/>
        <v>0.36927899686520388</v>
      </c>
      <c r="N1264" s="9">
        <f t="shared" si="79"/>
        <v>0.34482758620689657</v>
      </c>
    </row>
    <row r="1265" spans="1:14" x14ac:dyDescent="0.25">
      <c r="A1265" t="str">
        <f>TEXT("1/"&amp;data!A1265,"mmmm")</f>
        <v>mai</v>
      </c>
      <c r="B1265">
        <f>data!B1265</f>
        <v>2016</v>
      </c>
      <c r="C1265" t="str">
        <f>data!C1265</f>
        <v>048B</v>
      </c>
      <c r="D1265" t="str">
        <f>data!D1265</f>
        <v>SCEA BOURLON DESTOUEST</v>
      </c>
      <c r="E1265" t="str">
        <f>data!E1265</f>
        <v>048006B</v>
      </c>
      <c r="F1265" t="str">
        <f>data!F1265</f>
        <v>AOP PUISSEGUIN ST EMILION CH GUIBEAU</v>
      </c>
      <c r="G1265" s="10">
        <f>data!G1265</f>
        <v>72</v>
      </c>
      <c r="H1265" s="10">
        <f>data!I1265</f>
        <v>0</v>
      </c>
      <c r="I1265" s="10">
        <f t="shared" si="76"/>
        <v>72</v>
      </c>
      <c r="J1265" s="11">
        <f>data!H1265</f>
        <v>12</v>
      </c>
      <c r="K1265" s="11">
        <f>data!J1265</f>
        <v>0</v>
      </c>
      <c r="L1265" s="11">
        <f t="shared" si="77"/>
        <v>12</v>
      </c>
      <c r="M1265" s="9" t="str">
        <f t="shared" si="78"/>
        <v/>
      </c>
      <c r="N1265" s="9" t="str">
        <f t="shared" si="79"/>
        <v/>
      </c>
    </row>
    <row r="1266" spans="1:14" x14ac:dyDescent="0.25">
      <c r="A1266" t="str">
        <f>TEXT("1/"&amp;data!A1266,"mmmm")</f>
        <v>mai</v>
      </c>
      <c r="B1266">
        <f>data!B1266</f>
        <v>2016</v>
      </c>
      <c r="C1266" t="str">
        <f>data!C1266</f>
        <v>049</v>
      </c>
      <c r="D1266" t="str">
        <f>data!D1266</f>
        <v>MAISON GRANDEAU</v>
      </c>
      <c r="E1266" t="str">
        <f>data!E1266</f>
        <v>049007</v>
      </c>
      <c r="F1266" t="str">
        <f>data!F1266</f>
        <v>AC BX SUP Tradi  CH LAUDUC</v>
      </c>
      <c r="G1266" s="10">
        <f>data!G1266</f>
        <v>140.69999999999999</v>
      </c>
      <c r="H1266" s="10">
        <f>data!I1266</f>
        <v>712.8</v>
      </c>
      <c r="I1266" s="10">
        <f t="shared" si="76"/>
        <v>-572.09999999999991</v>
      </c>
      <c r="J1266" s="11">
        <f>data!H1266</f>
        <v>48</v>
      </c>
      <c r="K1266" s="11">
        <f>data!J1266</f>
        <v>216</v>
      </c>
      <c r="L1266" s="11">
        <f t="shared" si="77"/>
        <v>-168</v>
      </c>
      <c r="M1266" s="9">
        <f t="shared" si="78"/>
        <v>-0.80260942760942755</v>
      </c>
      <c r="N1266" s="9">
        <f t="shared" si="79"/>
        <v>-0.77777777777777779</v>
      </c>
    </row>
    <row r="1267" spans="1:14" x14ac:dyDescent="0.25">
      <c r="A1267" t="str">
        <f>TEXT("1/"&amp;data!A1267,"mmmm")</f>
        <v>mai</v>
      </c>
      <c r="B1267">
        <f>data!B1267</f>
        <v>2016</v>
      </c>
      <c r="C1267" t="str">
        <f>data!C1267</f>
        <v>049</v>
      </c>
      <c r="D1267" t="str">
        <f>data!D1267</f>
        <v>MAISON GRANDEAU</v>
      </c>
      <c r="E1267" t="str">
        <f>data!E1267</f>
        <v>049014</v>
      </c>
      <c r="F1267" t="str">
        <f>data!F1267</f>
        <v>AC ENTRE DEUX MER CH FLAMAND BELLEVUE</v>
      </c>
      <c r="G1267" s="10">
        <f>data!G1267</f>
        <v>27</v>
      </c>
      <c r="H1267" s="10">
        <f>data!I1267</f>
        <v>108</v>
      </c>
      <c r="I1267" s="10">
        <f t="shared" si="76"/>
        <v>-81</v>
      </c>
      <c r="J1267" s="11">
        <f>data!H1267</f>
        <v>12</v>
      </c>
      <c r="K1267" s="11">
        <f>data!J1267</f>
        <v>54</v>
      </c>
      <c r="L1267" s="11">
        <f t="shared" si="77"/>
        <v>-42</v>
      </c>
      <c r="M1267" s="9">
        <f t="shared" si="78"/>
        <v>-0.75</v>
      </c>
      <c r="N1267" s="9">
        <f t="shared" si="79"/>
        <v>-0.77777777777777779</v>
      </c>
    </row>
    <row r="1268" spans="1:14" x14ac:dyDescent="0.25">
      <c r="A1268" t="str">
        <f>TEXT("1/"&amp;data!A1268,"mmmm")</f>
        <v>mai</v>
      </c>
      <c r="B1268">
        <f>data!B1268</f>
        <v>2016</v>
      </c>
      <c r="C1268" t="str">
        <f>data!C1268</f>
        <v>049</v>
      </c>
      <c r="D1268" t="str">
        <f>data!D1268</f>
        <v>MAISON GRANDEAU</v>
      </c>
      <c r="E1268" t="str">
        <f>data!E1268</f>
        <v>049015</v>
      </c>
      <c r="F1268" t="str">
        <f>data!F1268</f>
        <v>AC BDX Classic CH LAUDUC</v>
      </c>
      <c r="G1268" s="10">
        <f>data!G1268</f>
        <v>469.8</v>
      </c>
      <c r="H1268" s="10">
        <f>data!I1268</f>
        <v>735.3</v>
      </c>
      <c r="I1268" s="10">
        <f t="shared" si="76"/>
        <v>-265.49999999999994</v>
      </c>
      <c r="J1268" s="11">
        <f>data!H1268</f>
        <v>162</v>
      </c>
      <c r="K1268" s="11">
        <f>data!J1268</f>
        <v>258</v>
      </c>
      <c r="L1268" s="11">
        <f t="shared" si="77"/>
        <v>-96</v>
      </c>
      <c r="M1268" s="9">
        <f t="shared" si="78"/>
        <v>-0.36107711138310888</v>
      </c>
      <c r="N1268" s="9">
        <f t="shared" si="79"/>
        <v>-0.37209302325581395</v>
      </c>
    </row>
    <row r="1269" spans="1:14" x14ac:dyDescent="0.25">
      <c r="A1269" t="str">
        <f>TEXT("1/"&amp;data!A1269,"mmmm")</f>
        <v>mai</v>
      </c>
      <c r="B1269">
        <f>data!B1269</f>
        <v>2016</v>
      </c>
      <c r="C1269" t="str">
        <f>data!C1269</f>
        <v>049</v>
      </c>
      <c r="D1269" t="str">
        <f>data!D1269</f>
        <v>MAISON GRANDEAU</v>
      </c>
      <c r="E1269" t="str">
        <f>data!E1269</f>
        <v>049016</v>
      </c>
      <c r="F1269" t="str">
        <f>data!F1269</f>
        <v>AC BDX Classic CH LAUDUC</v>
      </c>
      <c r="G1269" s="10">
        <f>data!G1269</f>
        <v>66.599999999999994</v>
      </c>
      <c r="H1269" s="10">
        <f>data!I1269</f>
        <v>0</v>
      </c>
      <c r="I1269" s="10">
        <f t="shared" si="76"/>
        <v>66.599999999999994</v>
      </c>
      <c r="J1269" s="11">
        <f>data!H1269</f>
        <v>18</v>
      </c>
      <c r="K1269" s="11">
        <f>data!J1269</f>
        <v>0</v>
      </c>
      <c r="L1269" s="11">
        <f t="shared" si="77"/>
        <v>18</v>
      </c>
      <c r="M1269" s="9" t="str">
        <f t="shared" si="78"/>
        <v/>
      </c>
      <c r="N1269" s="9" t="str">
        <f t="shared" si="79"/>
        <v/>
      </c>
    </row>
    <row r="1270" spans="1:14" x14ac:dyDescent="0.25">
      <c r="A1270" t="str">
        <f>TEXT("1/"&amp;data!A1270,"mmmm")</f>
        <v>mai</v>
      </c>
      <c r="B1270">
        <f>data!B1270</f>
        <v>2016</v>
      </c>
      <c r="C1270" t="str">
        <f>data!C1270</f>
        <v>049</v>
      </c>
      <c r="D1270" t="str">
        <f>data!D1270</f>
        <v>MAISON GRANDEAU</v>
      </c>
      <c r="E1270" t="str">
        <f>data!E1270</f>
        <v>049020</v>
      </c>
      <c r="F1270" t="str">
        <f>data!F1270</f>
        <v>AC BDX CH.FLAMAND BELLEVUE</v>
      </c>
      <c r="G1270" s="10">
        <f>data!G1270</f>
        <v>715.5</v>
      </c>
      <c r="H1270" s="10">
        <f>data!I1270</f>
        <v>933.3</v>
      </c>
      <c r="I1270" s="10">
        <f t="shared" si="76"/>
        <v>-217.79999999999995</v>
      </c>
      <c r="J1270" s="11">
        <f>data!H1270</f>
        <v>318</v>
      </c>
      <c r="K1270" s="11">
        <f>data!J1270</f>
        <v>426</v>
      </c>
      <c r="L1270" s="11">
        <f t="shared" si="77"/>
        <v>-108</v>
      </c>
      <c r="M1270" s="9">
        <f t="shared" si="78"/>
        <v>-0.23336547733847635</v>
      </c>
      <c r="N1270" s="9">
        <f t="shared" si="79"/>
        <v>-0.25352112676056338</v>
      </c>
    </row>
    <row r="1271" spans="1:14" x14ac:dyDescent="0.25">
      <c r="A1271" t="str">
        <f>TEXT("1/"&amp;data!A1271,"mmmm")</f>
        <v>mai</v>
      </c>
      <c r="B1271">
        <f>data!B1271</f>
        <v>2016</v>
      </c>
      <c r="C1271" t="str">
        <f>data!C1271</f>
        <v>049</v>
      </c>
      <c r="D1271" t="str">
        <f>data!D1271</f>
        <v>MAISON GRANDEAU</v>
      </c>
      <c r="E1271" t="str">
        <f>data!E1271</f>
        <v>049023</v>
      </c>
      <c r="F1271" t="str">
        <f>data!F1271</f>
        <v>AC BDX CH.FLAMAND BELLEVUE</v>
      </c>
      <c r="G1271" s="10">
        <f>data!G1271</f>
        <v>19.8</v>
      </c>
      <c r="H1271" s="10">
        <f>data!I1271</f>
        <v>0</v>
      </c>
      <c r="I1271" s="10">
        <f t="shared" si="76"/>
        <v>19.8</v>
      </c>
      <c r="J1271" s="11">
        <f>data!H1271</f>
        <v>0</v>
      </c>
      <c r="K1271" s="11">
        <f>data!J1271</f>
        <v>0</v>
      </c>
      <c r="L1271" s="11">
        <f t="shared" si="77"/>
        <v>0</v>
      </c>
      <c r="M1271" s="9" t="str">
        <f t="shared" si="78"/>
        <v/>
      </c>
      <c r="N1271" s="9" t="str">
        <f t="shared" si="79"/>
        <v/>
      </c>
    </row>
    <row r="1272" spans="1:14" x14ac:dyDescent="0.25">
      <c r="A1272" t="str">
        <f>TEXT("1/"&amp;data!A1272,"mmmm")</f>
        <v>mai</v>
      </c>
      <c r="B1272">
        <f>data!B1272</f>
        <v>2016</v>
      </c>
      <c r="C1272" t="str">
        <f>data!C1272</f>
        <v>049</v>
      </c>
      <c r="D1272" t="str">
        <f>data!D1272</f>
        <v>MAISON GRANDEAU</v>
      </c>
      <c r="E1272" t="str">
        <f>data!E1272</f>
        <v>049027</v>
      </c>
      <c r="F1272" t="str">
        <f>data!F1272</f>
        <v>AC BX SUP Tradi  CH LAUDUC</v>
      </c>
      <c r="G1272" s="10">
        <f>data!G1272</f>
        <v>0</v>
      </c>
      <c r="H1272" s="10">
        <f>data!I1272</f>
        <v>81</v>
      </c>
      <c r="I1272" s="10">
        <f t="shared" si="76"/>
        <v>-81</v>
      </c>
      <c r="J1272" s="11">
        <f>data!H1272</f>
        <v>0</v>
      </c>
      <c r="K1272" s="11">
        <f>data!J1272</f>
        <v>24</v>
      </c>
      <c r="L1272" s="11">
        <f t="shared" si="77"/>
        <v>-24</v>
      </c>
      <c r="M1272" s="9">
        <f t="shared" si="78"/>
        <v>-1</v>
      </c>
      <c r="N1272" s="9">
        <f t="shared" si="79"/>
        <v>-1</v>
      </c>
    </row>
    <row r="1273" spans="1:14" x14ac:dyDescent="0.25">
      <c r="A1273" t="str">
        <f>TEXT("1/"&amp;data!A1273,"mmmm")</f>
        <v>mai</v>
      </c>
      <c r="B1273">
        <f>data!B1273</f>
        <v>2016</v>
      </c>
      <c r="C1273" t="str">
        <f>data!C1273</f>
        <v>050</v>
      </c>
      <c r="D1273" t="str">
        <f>data!D1273</f>
        <v>CHÂTEAU HAUT LIGNIERES</v>
      </c>
      <c r="E1273" t="str">
        <f>data!E1273</f>
        <v>050001</v>
      </c>
      <c r="F1273" t="str">
        <f>data!F1273</f>
        <v>AC FAUGERES LE 1ER CH HAUT LIGNIERES</v>
      </c>
      <c r="G1273" s="10">
        <f>data!G1273</f>
        <v>1423.5</v>
      </c>
      <c r="H1273" s="10">
        <f>data!I1273</f>
        <v>1939.2</v>
      </c>
      <c r="I1273" s="10">
        <f t="shared" si="76"/>
        <v>-515.70000000000005</v>
      </c>
      <c r="J1273" s="11">
        <f>data!H1273</f>
        <v>438</v>
      </c>
      <c r="K1273" s="11">
        <f>data!J1273</f>
        <v>606</v>
      </c>
      <c r="L1273" s="11">
        <f t="shared" si="77"/>
        <v>-168</v>
      </c>
      <c r="M1273" s="9">
        <f t="shared" si="78"/>
        <v>-0.26593440594059409</v>
      </c>
      <c r="N1273" s="9">
        <f t="shared" si="79"/>
        <v>-0.27722772277227725</v>
      </c>
    </row>
    <row r="1274" spans="1:14" x14ac:dyDescent="0.25">
      <c r="A1274" t="str">
        <f>TEXT("1/"&amp;data!A1274,"mmmm")</f>
        <v>mai</v>
      </c>
      <c r="B1274">
        <f>data!B1274</f>
        <v>2016</v>
      </c>
      <c r="C1274" t="str">
        <f>data!C1274</f>
        <v>050</v>
      </c>
      <c r="D1274" t="str">
        <f>data!D1274</f>
        <v>CHÂTEAU HAUT LIGNIERES</v>
      </c>
      <c r="E1274" t="str">
        <f>data!E1274</f>
        <v>050003</v>
      </c>
      <c r="F1274" t="str">
        <f>data!F1274</f>
        <v>AC FAUGERES HT LIGNIERES</v>
      </c>
      <c r="G1274" s="10">
        <f>data!G1274</f>
        <v>175.5</v>
      </c>
      <c r="H1274" s="10">
        <f>data!I1274</f>
        <v>153.6</v>
      </c>
      <c r="I1274" s="10">
        <f t="shared" si="76"/>
        <v>21.900000000000006</v>
      </c>
      <c r="J1274" s="11">
        <f>data!H1274</f>
        <v>54</v>
      </c>
      <c r="K1274" s="11">
        <f>data!J1274</f>
        <v>60</v>
      </c>
      <c r="L1274" s="11">
        <f t="shared" si="77"/>
        <v>-6</v>
      </c>
      <c r="M1274" s="9">
        <f t="shared" si="78"/>
        <v>0.14257812500000006</v>
      </c>
      <c r="N1274" s="9">
        <f t="shared" si="79"/>
        <v>-0.1</v>
      </c>
    </row>
    <row r="1275" spans="1:14" x14ac:dyDescent="0.25">
      <c r="A1275" t="str">
        <f>TEXT("1/"&amp;data!A1275,"mmmm")</f>
        <v>mai</v>
      </c>
      <c r="B1275">
        <f>data!B1275</f>
        <v>2016</v>
      </c>
      <c r="C1275" t="str">
        <f>data!C1275</f>
        <v>050</v>
      </c>
      <c r="D1275" t="str">
        <f>data!D1275</f>
        <v>CHÂTEAU HAUT LIGNIERES</v>
      </c>
      <c r="E1275" t="str">
        <f>data!E1275</f>
        <v>050005</v>
      </c>
      <c r="F1275" t="str">
        <f>data!F1275</f>
        <v>AC FAUGERES ROMY CH HAUT LIGNIERES</v>
      </c>
      <c r="G1275" s="10">
        <f>data!G1275</f>
        <v>79.2</v>
      </c>
      <c r="H1275" s="10">
        <f>data!I1275</f>
        <v>158.4</v>
      </c>
      <c r="I1275" s="10">
        <f t="shared" si="76"/>
        <v>-79.2</v>
      </c>
      <c r="J1275" s="11">
        <f>data!H1275</f>
        <v>18</v>
      </c>
      <c r="K1275" s="11">
        <f>data!J1275</f>
        <v>36</v>
      </c>
      <c r="L1275" s="11">
        <f t="shared" si="77"/>
        <v>-18</v>
      </c>
      <c r="M1275" s="9">
        <f t="shared" si="78"/>
        <v>-0.5</v>
      </c>
      <c r="N1275" s="9">
        <f t="shared" si="79"/>
        <v>-0.5</v>
      </c>
    </row>
    <row r="1276" spans="1:14" x14ac:dyDescent="0.25">
      <c r="A1276" t="str">
        <f>TEXT("1/"&amp;data!A1276,"mmmm")</f>
        <v>mai</v>
      </c>
      <c r="B1276">
        <f>data!B1276</f>
        <v>2016</v>
      </c>
      <c r="C1276" t="str">
        <f>data!C1276</f>
        <v>051</v>
      </c>
      <c r="D1276" t="str">
        <f>data!D1276</f>
        <v>CLOS TRIMOULET</v>
      </c>
      <c r="E1276" t="str">
        <f>data!E1276</f>
        <v>051000</v>
      </c>
      <c r="F1276" t="str">
        <f>data!F1276</f>
        <v>AC MONTAGNE ST EMILION .CH ST GEORGES</v>
      </c>
      <c r="G1276" s="10">
        <f>data!G1276</f>
        <v>3528</v>
      </c>
      <c r="H1276" s="10">
        <f>data!I1276</f>
        <v>3152.1</v>
      </c>
      <c r="I1276" s="10">
        <f t="shared" si="76"/>
        <v>375.90000000000009</v>
      </c>
      <c r="J1276" s="11">
        <f>data!H1276</f>
        <v>636</v>
      </c>
      <c r="K1276" s="11">
        <f>data!J1276</f>
        <v>564</v>
      </c>
      <c r="L1276" s="11">
        <f t="shared" si="77"/>
        <v>72</v>
      </c>
      <c r="M1276" s="9">
        <f t="shared" si="78"/>
        <v>0.11925383077948037</v>
      </c>
      <c r="N1276" s="9">
        <f t="shared" si="79"/>
        <v>0.1276595744680851</v>
      </c>
    </row>
    <row r="1277" spans="1:14" x14ac:dyDescent="0.25">
      <c r="A1277" t="str">
        <f>TEXT("1/"&amp;data!A1277,"mmmm")</f>
        <v>mai</v>
      </c>
      <c r="B1277">
        <f>data!B1277</f>
        <v>2016</v>
      </c>
      <c r="C1277" t="str">
        <f>data!C1277</f>
        <v>051</v>
      </c>
      <c r="D1277" t="str">
        <f>data!D1277</f>
        <v>CLOS TRIMOULET</v>
      </c>
      <c r="E1277" t="str">
        <f>data!E1277</f>
        <v>051002CB</v>
      </c>
      <c r="F1277" t="str">
        <f>data!F1277</f>
        <v>AC ST EMILION GRAND CRU CLOS TRIMOULET CAISSE BOIS</v>
      </c>
      <c r="G1277" s="10">
        <f>data!G1277</f>
        <v>-85.05</v>
      </c>
      <c r="H1277" s="10">
        <f>data!I1277</f>
        <v>139.94999999999999</v>
      </c>
      <c r="I1277" s="10">
        <f t="shared" si="76"/>
        <v>-225</v>
      </c>
      <c r="J1277" s="11">
        <f>data!H1277</f>
        <v>-9</v>
      </c>
      <c r="K1277" s="11">
        <f>data!J1277</f>
        <v>15</v>
      </c>
      <c r="L1277" s="11">
        <f t="shared" si="77"/>
        <v>-24</v>
      </c>
      <c r="M1277" s="9">
        <f t="shared" si="78"/>
        <v>-1.6077170418006432</v>
      </c>
      <c r="N1277" s="9">
        <f t="shared" si="79"/>
        <v>-1.6</v>
      </c>
    </row>
    <row r="1278" spans="1:14" x14ac:dyDescent="0.25">
      <c r="A1278" t="str">
        <f>TEXT("1/"&amp;data!A1278,"mmmm")</f>
        <v>mai</v>
      </c>
      <c r="B1278">
        <f>data!B1278</f>
        <v>2016</v>
      </c>
      <c r="C1278" t="str">
        <f>data!C1278</f>
        <v>051</v>
      </c>
      <c r="D1278" t="str">
        <f>data!D1278</f>
        <v>CLOS TRIMOULET</v>
      </c>
      <c r="E1278" t="str">
        <f>data!E1278</f>
        <v>051010/11</v>
      </c>
      <c r="F1278" t="str">
        <f>data!F1278</f>
        <v>CLOS TRIMOULET AC ST EMILION GD CRU</v>
      </c>
      <c r="G1278" s="10">
        <f>data!G1278</f>
        <v>5151.6000000000004</v>
      </c>
      <c r="H1278" s="10">
        <f>data!I1278</f>
        <v>0</v>
      </c>
      <c r="I1278" s="10">
        <f t="shared" si="76"/>
        <v>5151.6000000000004</v>
      </c>
      <c r="J1278" s="11">
        <f>data!H1278</f>
        <v>636</v>
      </c>
      <c r="K1278" s="11">
        <f>data!J1278</f>
        <v>0</v>
      </c>
      <c r="L1278" s="11">
        <f t="shared" si="77"/>
        <v>636</v>
      </c>
      <c r="M1278" s="9" t="str">
        <f t="shared" si="78"/>
        <v/>
      </c>
      <c r="N1278" s="9" t="str">
        <f t="shared" si="79"/>
        <v/>
      </c>
    </row>
    <row r="1279" spans="1:14" x14ac:dyDescent="0.25">
      <c r="A1279" t="str">
        <f>TEXT("1/"&amp;data!A1279,"mmmm")</f>
        <v>mai</v>
      </c>
      <c r="B1279">
        <f>data!B1279</f>
        <v>2016</v>
      </c>
      <c r="C1279" t="str">
        <f>data!C1279</f>
        <v>051</v>
      </c>
      <c r="D1279" t="str">
        <f>data!D1279</f>
        <v>CLOS TRIMOULET</v>
      </c>
      <c r="E1279" t="str">
        <f>data!E1279</f>
        <v>051017</v>
      </c>
      <c r="F1279" t="str">
        <f>data!F1279</f>
        <v>AC MONTAGNE ST EMILION CH ST GEORGES</v>
      </c>
      <c r="G1279" s="10">
        <f>data!G1279</f>
        <v>457.2</v>
      </c>
      <c r="H1279" s="10">
        <f>data!I1279</f>
        <v>758.4</v>
      </c>
      <c r="I1279" s="10">
        <f t="shared" si="76"/>
        <v>-301.2</v>
      </c>
      <c r="J1279" s="11">
        <f>data!H1279</f>
        <v>72</v>
      </c>
      <c r="K1279" s="11">
        <f>data!J1279</f>
        <v>120</v>
      </c>
      <c r="L1279" s="11">
        <f t="shared" si="77"/>
        <v>-48</v>
      </c>
      <c r="M1279" s="9">
        <f t="shared" si="78"/>
        <v>-0.39715189873417722</v>
      </c>
      <c r="N1279" s="9">
        <f t="shared" si="79"/>
        <v>-0.4</v>
      </c>
    </row>
    <row r="1280" spans="1:14" x14ac:dyDescent="0.25">
      <c r="A1280" t="str">
        <f>TEXT("1/"&amp;data!A1280,"mmmm")</f>
        <v>mai</v>
      </c>
      <c r="B1280">
        <f>data!B1280</f>
        <v>2016</v>
      </c>
      <c r="C1280" t="str">
        <f>data!C1280</f>
        <v>051</v>
      </c>
      <c r="D1280" t="str">
        <f>data!D1280</f>
        <v>CLOS TRIMOULET</v>
      </c>
      <c r="E1280" t="str">
        <f>data!E1280</f>
        <v>051133</v>
      </c>
      <c r="F1280" t="str">
        <f>data!F1280</f>
        <v>CLOS TRIMOULET AC ST EMILION GRAND CRU</v>
      </c>
      <c r="G1280" s="10">
        <f>data!G1280</f>
        <v>637.20000000000005</v>
      </c>
      <c r="H1280" s="10">
        <f>data!I1280</f>
        <v>1900.8</v>
      </c>
      <c r="I1280" s="10">
        <f t="shared" si="76"/>
        <v>-1263.5999999999999</v>
      </c>
      <c r="J1280" s="11">
        <f>data!H1280</f>
        <v>72</v>
      </c>
      <c r="K1280" s="11">
        <f>data!J1280</f>
        <v>216</v>
      </c>
      <c r="L1280" s="11">
        <f t="shared" si="77"/>
        <v>-144</v>
      </c>
      <c r="M1280" s="9">
        <f t="shared" si="78"/>
        <v>-0.66477272727272729</v>
      </c>
      <c r="N1280" s="9">
        <f t="shared" si="79"/>
        <v>-0.66666666666666663</v>
      </c>
    </row>
    <row r="1281" spans="1:14" x14ac:dyDescent="0.25">
      <c r="A1281" t="str">
        <f>TEXT("1/"&amp;data!A1281,"mmmm")</f>
        <v>mai</v>
      </c>
      <c r="B1281">
        <f>data!B1281</f>
        <v>2016</v>
      </c>
      <c r="C1281" t="str">
        <f>data!C1281</f>
        <v>051</v>
      </c>
      <c r="D1281" t="str">
        <f>data!D1281</f>
        <v>CLOS TRIMOULET</v>
      </c>
      <c r="E1281" t="str">
        <f>data!E1281</f>
        <v>CDV051016</v>
      </c>
      <c r="F1281" t="str">
        <f>data!F1281</f>
        <v>AC MONTAGNE ST EMILION CHEVALIER ST GEORGES</v>
      </c>
      <c r="G1281" s="10">
        <f>data!G1281</f>
        <v>79.2</v>
      </c>
      <c r="H1281" s="10">
        <f>data!I1281</f>
        <v>0</v>
      </c>
      <c r="I1281" s="10">
        <f t="shared" si="76"/>
        <v>79.2</v>
      </c>
      <c r="J1281" s="11">
        <f>data!H1281</f>
        <v>12</v>
      </c>
      <c r="K1281" s="11">
        <f>data!J1281</f>
        <v>0</v>
      </c>
      <c r="L1281" s="11">
        <f t="shared" si="77"/>
        <v>12</v>
      </c>
      <c r="M1281" s="9" t="str">
        <f t="shared" si="78"/>
        <v/>
      </c>
      <c r="N1281" s="9" t="str">
        <f t="shared" si="79"/>
        <v/>
      </c>
    </row>
    <row r="1282" spans="1:14" x14ac:dyDescent="0.25">
      <c r="A1282" t="str">
        <f>TEXT("1/"&amp;data!A1282,"mmmm")</f>
        <v>mai</v>
      </c>
      <c r="B1282">
        <f>data!B1282</f>
        <v>2016</v>
      </c>
      <c r="C1282" t="str">
        <f>data!C1282</f>
        <v>052</v>
      </c>
      <c r="D1282" t="str">
        <f>data!D1282</f>
        <v>GIRONDE ET GASCOGNE SARL</v>
      </c>
      <c r="E1282" t="str">
        <f>data!E1282</f>
        <v>052017</v>
      </c>
      <c r="F1282" t="str">
        <f>data!F1282</f>
        <v>AC HT MEDOC CRU B CH RAMAGE LA BATISSE</v>
      </c>
      <c r="G1282" s="10">
        <f>data!G1282</f>
        <v>117.9</v>
      </c>
      <c r="H1282" s="10">
        <f>data!I1282</f>
        <v>353.7</v>
      </c>
      <c r="I1282" s="10">
        <f t="shared" si="76"/>
        <v>-235.79999999999998</v>
      </c>
      <c r="J1282" s="11">
        <f>data!H1282</f>
        <v>12</v>
      </c>
      <c r="K1282" s="11">
        <f>data!J1282</f>
        <v>36</v>
      </c>
      <c r="L1282" s="11">
        <f t="shared" si="77"/>
        <v>-24</v>
      </c>
      <c r="M1282" s="9">
        <f t="shared" si="78"/>
        <v>-0.66666666666666663</v>
      </c>
      <c r="N1282" s="9">
        <f t="shared" si="79"/>
        <v>-0.66666666666666663</v>
      </c>
    </row>
    <row r="1283" spans="1:14" x14ac:dyDescent="0.25">
      <c r="A1283" t="str">
        <f>TEXT("1/"&amp;data!A1283,"mmmm")</f>
        <v>mai</v>
      </c>
      <c r="B1283">
        <f>data!B1283</f>
        <v>2016</v>
      </c>
      <c r="C1283" t="str">
        <f>data!C1283</f>
        <v>052</v>
      </c>
      <c r="D1283" t="str">
        <f>data!D1283</f>
        <v>GIRONDE ET GASCOGNE SARL</v>
      </c>
      <c r="E1283" t="str">
        <f>data!E1283</f>
        <v>052021</v>
      </c>
      <c r="F1283" t="str">
        <f>data!F1283</f>
        <v>CH RAMAGE LA BATISSE AC HAUT MEDOC CRU BOURGEOIS C</v>
      </c>
      <c r="G1283" s="10">
        <f>data!G1283</f>
        <v>864</v>
      </c>
      <c r="H1283" s="10">
        <f>data!I1283</f>
        <v>864</v>
      </c>
      <c r="I1283" s="10">
        <f t="shared" ref="I1283:I1346" si="80">G1283-H1283</f>
        <v>0</v>
      </c>
      <c r="J1283" s="11">
        <f>data!H1283</f>
        <v>90</v>
      </c>
      <c r="K1283" s="11">
        <f>data!J1283</f>
        <v>90</v>
      </c>
      <c r="L1283" s="11">
        <f t="shared" ref="L1283:L1346" si="81">J1283-K1283</f>
        <v>0</v>
      </c>
      <c r="M1283" s="9">
        <f t="shared" ref="M1283:M1346" si="82">IF(ISERR(I1283/H1283),"",I1283/H1283)</f>
        <v>0</v>
      </c>
      <c r="N1283" s="9">
        <f t="shared" ref="N1283:N1346" si="83">IF(ISERR(L1283/K1283),"",L1283/K1283)</f>
        <v>0</v>
      </c>
    </row>
    <row r="1284" spans="1:14" x14ac:dyDescent="0.25">
      <c r="A1284" t="str">
        <f>TEXT("1/"&amp;data!A1284,"mmmm")</f>
        <v>mai</v>
      </c>
      <c r="B1284">
        <f>data!B1284</f>
        <v>2016</v>
      </c>
      <c r="C1284" t="str">
        <f>data!C1284</f>
        <v>052</v>
      </c>
      <c r="D1284" t="str">
        <f>data!D1284</f>
        <v>GIRONDE ET GASCOGNE SARL</v>
      </c>
      <c r="E1284" t="str">
        <f>data!E1284</f>
        <v>052028</v>
      </c>
      <c r="F1284" t="str">
        <f>data!F1284</f>
        <v>AC BX LA ROSEE DE RAMAGE</v>
      </c>
      <c r="G1284" s="10">
        <f>data!G1284</f>
        <v>349.8</v>
      </c>
      <c r="H1284" s="10">
        <f>data!I1284</f>
        <v>556.5</v>
      </c>
      <c r="I1284" s="10">
        <f t="shared" si="80"/>
        <v>-206.7</v>
      </c>
      <c r="J1284" s="11">
        <f>data!H1284</f>
        <v>132</v>
      </c>
      <c r="K1284" s="11">
        <f>data!J1284</f>
        <v>210</v>
      </c>
      <c r="L1284" s="11">
        <f t="shared" si="81"/>
        <v>-78</v>
      </c>
      <c r="M1284" s="9">
        <f t="shared" si="82"/>
        <v>-0.37142857142857139</v>
      </c>
      <c r="N1284" s="9">
        <f t="shared" si="83"/>
        <v>-0.37142857142857144</v>
      </c>
    </row>
    <row r="1285" spans="1:14" x14ac:dyDescent="0.25">
      <c r="A1285" t="str">
        <f>TEXT("1/"&amp;data!A1285,"mmmm")</f>
        <v>mai</v>
      </c>
      <c r="B1285">
        <f>data!B1285</f>
        <v>2016</v>
      </c>
      <c r="C1285" t="str">
        <f>data!C1285</f>
        <v>052</v>
      </c>
      <c r="D1285" t="str">
        <f>data!D1285</f>
        <v>GIRONDE ET GASCOGNE SARL</v>
      </c>
      <c r="E1285" t="str">
        <f>data!E1285</f>
        <v>052039</v>
      </c>
      <c r="F1285" t="str">
        <f>data!F1285</f>
        <v>AC HT-MEDOC CLOS DE RAMAGE</v>
      </c>
      <c r="G1285" s="10">
        <f>data!G1285</f>
        <v>287.7</v>
      </c>
      <c r="H1285" s="10">
        <f>data!I1285</f>
        <v>493.2</v>
      </c>
      <c r="I1285" s="10">
        <f t="shared" si="80"/>
        <v>-205.5</v>
      </c>
      <c r="J1285" s="11">
        <f>data!H1285</f>
        <v>42</v>
      </c>
      <c r="K1285" s="11">
        <f>data!J1285</f>
        <v>72</v>
      </c>
      <c r="L1285" s="11">
        <f t="shared" si="81"/>
        <v>-30</v>
      </c>
      <c r="M1285" s="9">
        <f t="shared" si="82"/>
        <v>-0.41666666666666669</v>
      </c>
      <c r="N1285" s="9">
        <f t="shared" si="83"/>
        <v>-0.41666666666666669</v>
      </c>
    </row>
    <row r="1286" spans="1:14" x14ac:dyDescent="0.25">
      <c r="A1286" t="str">
        <f>TEXT("1/"&amp;data!A1286,"mmmm")</f>
        <v>mai</v>
      </c>
      <c r="B1286">
        <f>data!B1286</f>
        <v>2016</v>
      </c>
      <c r="C1286" t="str">
        <f>data!C1286</f>
        <v>052</v>
      </c>
      <c r="D1286" t="str">
        <f>data!D1286</f>
        <v>GIRONDE ET GASCOGNE SARL</v>
      </c>
      <c r="E1286" t="str">
        <f>data!E1286</f>
        <v>052054</v>
      </c>
      <c r="F1286" t="str">
        <f>data!F1286</f>
        <v>CH DE BELCIER AC COTES DE CASTILLON</v>
      </c>
      <c r="G1286" s="10">
        <f>data!G1286</f>
        <v>71.400000000000006</v>
      </c>
      <c r="H1286" s="10">
        <f>data!I1286</f>
        <v>0</v>
      </c>
      <c r="I1286" s="10">
        <f t="shared" si="80"/>
        <v>71.400000000000006</v>
      </c>
      <c r="J1286" s="11">
        <f>data!H1286</f>
        <v>12</v>
      </c>
      <c r="K1286" s="11">
        <f>data!J1286</f>
        <v>0</v>
      </c>
      <c r="L1286" s="11">
        <f t="shared" si="81"/>
        <v>12</v>
      </c>
      <c r="M1286" s="9" t="str">
        <f t="shared" si="82"/>
        <v/>
      </c>
      <c r="N1286" s="9" t="str">
        <f t="shared" si="83"/>
        <v/>
      </c>
    </row>
    <row r="1287" spans="1:14" x14ac:dyDescent="0.25">
      <c r="A1287" t="str">
        <f>TEXT("1/"&amp;data!A1287,"mmmm")</f>
        <v>mai</v>
      </c>
      <c r="B1287">
        <f>data!B1287</f>
        <v>2016</v>
      </c>
      <c r="C1287" t="str">
        <f>data!C1287</f>
        <v>052</v>
      </c>
      <c r="D1287" t="str">
        <f>data!D1287</f>
        <v>GIRONDE ET GASCOGNE SARL</v>
      </c>
      <c r="E1287" t="str">
        <f>data!E1287</f>
        <v>052055</v>
      </c>
      <c r="F1287" t="str">
        <f>data!F1287</f>
        <v>AC C CASTILLON. CH BELCIER</v>
      </c>
      <c r="G1287" s="10">
        <f>data!G1287</f>
        <v>246.6</v>
      </c>
      <c r="H1287" s="10">
        <f>data!I1287</f>
        <v>82.2</v>
      </c>
      <c r="I1287" s="10">
        <f t="shared" si="80"/>
        <v>164.39999999999998</v>
      </c>
      <c r="J1287" s="11">
        <f>data!H1287</f>
        <v>36</v>
      </c>
      <c r="K1287" s="11">
        <f>data!J1287</f>
        <v>12</v>
      </c>
      <c r="L1287" s="11">
        <f t="shared" si="81"/>
        <v>24</v>
      </c>
      <c r="M1287" s="9">
        <f t="shared" si="82"/>
        <v>1.9999999999999996</v>
      </c>
      <c r="N1287" s="9">
        <f t="shared" si="83"/>
        <v>2</v>
      </c>
    </row>
    <row r="1288" spans="1:14" x14ac:dyDescent="0.25">
      <c r="A1288" t="str">
        <f>TEXT("1/"&amp;data!A1288,"mmmm")</f>
        <v>mai</v>
      </c>
      <c r="B1288">
        <f>data!B1288</f>
        <v>2016</v>
      </c>
      <c r="C1288" t="str">
        <f>data!C1288</f>
        <v>054</v>
      </c>
      <c r="D1288" t="str">
        <f>data!D1288</f>
        <v>CHÂTEAU JEANDEMAN</v>
      </c>
      <c r="E1288" t="str">
        <f>data!E1288</f>
        <v>054002</v>
      </c>
      <c r="F1288" t="str">
        <f>data!F1288</f>
        <v>AC FRONSAC CH JEANDEMAN</v>
      </c>
      <c r="G1288" s="10">
        <f>data!G1288</f>
        <v>240</v>
      </c>
      <c r="H1288" s="10">
        <f>data!I1288</f>
        <v>1180.8</v>
      </c>
      <c r="I1288" s="10">
        <f t="shared" si="80"/>
        <v>-940.8</v>
      </c>
      <c r="J1288" s="11">
        <f>data!H1288</f>
        <v>48</v>
      </c>
      <c r="K1288" s="11">
        <f>data!J1288</f>
        <v>252</v>
      </c>
      <c r="L1288" s="11">
        <f t="shared" si="81"/>
        <v>-204</v>
      </c>
      <c r="M1288" s="9">
        <f t="shared" si="82"/>
        <v>-0.7967479674796748</v>
      </c>
      <c r="N1288" s="9">
        <f t="shared" si="83"/>
        <v>-0.80952380952380953</v>
      </c>
    </row>
    <row r="1289" spans="1:14" x14ac:dyDescent="0.25">
      <c r="A1289" t="str">
        <f>TEXT("1/"&amp;data!A1289,"mmmm")</f>
        <v>mai</v>
      </c>
      <c r="B1289">
        <f>data!B1289</f>
        <v>2016</v>
      </c>
      <c r="C1289" t="str">
        <f>data!C1289</f>
        <v>054</v>
      </c>
      <c r="D1289" t="str">
        <f>data!D1289</f>
        <v>CHÂTEAU JEANDEMAN</v>
      </c>
      <c r="E1289" t="str">
        <f>data!E1289</f>
        <v>054005</v>
      </c>
      <c r="F1289" t="str">
        <f>data!F1289</f>
        <v>AC LALANDE DE POMEROL. CH LABORDE</v>
      </c>
      <c r="G1289" s="10">
        <f>data!G1289</f>
        <v>883.5</v>
      </c>
      <c r="H1289" s="10">
        <f>data!I1289</f>
        <v>2425.5</v>
      </c>
      <c r="I1289" s="10">
        <f t="shared" si="80"/>
        <v>-1542</v>
      </c>
      <c r="J1289" s="11">
        <f>data!H1289</f>
        <v>120</v>
      </c>
      <c r="K1289" s="11">
        <f>data!J1289</f>
        <v>336</v>
      </c>
      <c r="L1289" s="11">
        <f t="shared" si="81"/>
        <v>-216</v>
      </c>
      <c r="M1289" s="9">
        <f t="shared" si="82"/>
        <v>-0.63574520717377858</v>
      </c>
      <c r="N1289" s="9">
        <f t="shared" si="83"/>
        <v>-0.6428571428571429</v>
      </c>
    </row>
    <row r="1290" spans="1:14" x14ac:dyDescent="0.25">
      <c r="A1290" t="str">
        <f>TEXT("1/"&amp;data!A1290,"mmmm")</f>
        <v>mai</v>
      </c>
      <c r="B1290">
        <f>data!B1290</f>
        <v>2016</v>
      </c>
      <c r="C1290" t="str">
        <f>data!C1290</f>
        <v>054</v>
      </c>
      <c r="D1290" t="str">
        <f>data!D1290</f>
        <v>CHÂTEAU JEANDEMAN</v>
      </c>
      <c r="E1290" t="str">
        <f>data!E1290</f>
        <v>054011</v>
      </c>
      <c r="F1290" t="str">
        <f>data!F1290</f>
        <v>AC PESSAC LEOGNAN. CH MANCEDRE</v>
      </c>
      <c r="G1290" s="10">
        <f>data!G1290</f>
        <v>801</v>
      </c>
      <c r="H1290" s="10">
        <f>data!I1290</f>
        <v>877.8</v>
      </c>
      <c r="I1290" s="10">
        <f t="shared" si="80"/>
        <v>-76.799999999999955</v>
      </c>
      <c r="J1290" s="11">
        <f>data!H1290</f>
        <v>90</v>
      </c>
      <c r="K1290" s="11">
        <f>data!J1290</f>
        <v>114</v>
      </c>
      <c r="L1290" s="11">
        <f t="shared" si="81"/>
        <v>-24</v>
      </c>
      <c r="M1290" s="9">
        <f t="shared" si="82"/>
        <v>-8.7491455912508495E-2</v>
      </c>
      <c r="N1290" s="9">
        <f t="shared" si="83"/>
        <v>-0.21052631578947367</v>
      </c>
    </row>
    <row r="1291" spans="1:14" x14ac:dyDescent="0.25">
      <c r="A1291" t="str">
        <f>TEXT("1/"&amp;data!A1291,"mmmm")</f>
        <v>mai</v>
      </c>
      <c r="B1291">
        <f>data!B1291</f>
        <v>2016</v>
      </c>
      <c r="C1291" t="str">
        <f>data!C1291</f>
        <v>059</v>
      </c>
      <c r="D1291" t="str">
        <f>data!D1291</f>
        <v>CH DU ROUET</v>
      </c>
      <c r="E1291" t="str">
        <f>data!E1291</f>
        <v>059002</v>
      </c>
      <c r="F1291" t="str">
        <f>data!F1291</f>
        <v>AC C.PROVENCE. ESTERELLE .ROUET</v>
      </c>
      <c r="G1291" s="10">
        <f>data!G1291</f>
        <v>403.2</v>
      </c>
      <c r="H1291" s="10">
        <f>data!I1291</f>
        <v>604.79999999999995</v>
      </c>
      <c r="I1291" s="10">
        <f t="shared" si="80"/>
        <v>-201.59999999999997</v>
      </c>
      <c r="J1291" s="11">
        <f>data!H1291</f>
        <v>96</v>
      </c>
      <c r="K1291" s="11">
        <f>data!J1291</f>
        <v>144</v>
      </c>
      <c r="L1291" s="11">
        <f t="shared" si="81"/>
        <v>-48</v>
      </c>
      <c r="M1291" s="9">
        <f t="shared" si="82"/>
        <v>-0.33333333333333331</v>
      </c>
      <c r="N1291" s="9">
        <f t="shared" si="83"/>
        <v>-0.33333333333333331</v>
      </c>
    </row>
    <row r="1292" spans="1:14" x14ac:dyDescent="0.25">
      <c r="A1292" t="str">
        <f>TEXT("1/"&amp;data!A1292,"mmmm")</f>
        <v>mai</v>
      </c>
      <c r="B1292">
        <f>data!B1292</f>
        <v>2016</v>
      </c>
      <c r="C1292" t="str">
        <f>data!C1292</f>
        <v>059</v>
      </c>
      <c r="D1292" t="str">
        <f>data!D1292</f>
        <v>CH DU ROUET</v>
      </c>
      <c r="E1292" t="str">
        <f>data!E1292</f>
        <v>059004</v>
      </c>
      <c r="F1292" t="str">
        <f>data!F1292</f>
        <v>AP COTES DE PROVENCE ESTERELLE</v>
      </c>
      <c r="G1292" s="10">
        <f>data!G1292</f>
        <v>86.4</v>
      </c>
      <c r="H1292" s="10">
        <f>data!I1292</f>
        <v>232.2</v>
      </c>
      <c r="I1292" s="10">
        <f t="shared" si="80"/>
        <v>-145.79999999999998</v>
      </c>
      <c r="J1292" s="11">
        <f>data!H1292</f>
        <v>30</v>
      </c>
      <c r="K1292" s="11">
        <f>data!J1292</f>
        <v>66</v>
      </c>
      <c r="L1292" s="11">
        <f t="shared" si="81"/>
        <v>-36</v>
      </c>
      <c r="M1292" s="9">
        <f t="shared" si="82"/>
        <v>-0.62790697674418605</v>
      </c>
      <c r="N1292" s="9">
        <f t="shared" si="83"/>
        <v>-0.54545454545454541</v>
      </c>
    </row>
    <row r="1293" spans="1:14" x14ac:dyDescent="0.25">
      <c r="A1293" t="str">
        <f>TEXT("1/"&amp;data!A1293,"mmmm")</f>
        <v>mai</v>
      </c>
      <c r="B1293">
        <f>data!B1293</f>
        <v>2016</v>
      </c>
      <c r="C1293" t="str">
        <f>data!C1293</f>
        <v>059</v>
      </c>
      <c r="D1293" t="str">
        <f>data!D1293</f>
        <v>CH DU ROUET</v>
      </c>
      <c r="E1293" t="str">
        <f>data!E1293</f>
        <v>059005</v>
      </c>
      <c r="F1293" t="str">
        <f>data!F1293</f>
        <v>AP COTES DE PROVENCE ESTERELLE</v>
      </c>
      <c r="G1293" s="10">
        <f>data!G1293</f>
        <v>43.2</v>
      </c>
      <c r="H1293" s="10">
        <f>data!I1293</f>
        <v>0</v>
      </c>
      <c r="I1293" s="10">
        <f t="shared" si="80"/>
        <v>43.2</v>
      </c>
      <c r="J1293" s="11">
        <f>data!H1293</f>
        <v>12</v>
      </c>
      <c r="K1293" s="11">
        <f>data!J1293</f>
        <v>0</v>
      </c>
      <c r="L1293" s="11">
        <f t="shared" si="81"/>
        <v>12</v>
      </c>
      <c r="M1293" s="9" t="str">
        <f t="shared" si="82"/>
        <v/>
      </c>
      <c r="N1293" s="9" t="str">
        <f t="shared" si="83"/>
        <v/>
      </c>
    </row>
    <row r="1294" spans="1:14" x14ac:dyDescent="0.25">
      <c r="A1294" t="str">
        <f>TEXT("1/"&amp;data!A1294,"mmmm")</f>
        <v>mai</v>
      </c>
      <c r="B1294">
        <f>data!B1294</f>
        <v>2016</v>
      </c>
      <c r="C1294" t="str">
        <f>data!C1294</f>
        <v>059</v>
      </c>
      <c r="D1294" t="str">
        <f>data!D1294</f>
        <v>CH DU ROUET</v>
      </c>
      <c r="E1294" t="str">
        <f>data!E1294</f>
        <v>059006</v>
      </c>
      <c r="F1294" t="str">
        <f>data!F1294</f>
        <v>AC C.PROVENCE. BELLE POULE</v>
      </c>
      <c r="G1294" s="10">
        <f>data!G1294</f>
        <v>198</v>
      </c>
      <c r="H1294" s="10">
        <f>data!I1294</f>
        <v>33</v>
      </c>
      <c r="I1294" s="10">
        <f t="shared" si="80"/>
        <v>165</v>
      </c>
      <c r="J1294" s="11">
        <f>data!H1294</f>
        <v>36</v>
      </c>
      <c r="K1294" s="11">
        <f>data!J1294</f>
        <v>6</v>
      </c>
      <c r="L1294" s="11">
        <f t="shared" si="81"/>
        <v>30</v>
      </c>
      <c r="M1294" s="9">
        <f t="shared" si="82"/>
        <v>5</v>
      </c>
      <c r="N1294" s="9">
        <f t="shared" si="83"/>
        <v>5</v>
      </c>
    </row>
    <row r="1295" spans="1:14" x14ac:dyDescent="0.25">
      <c r="A1295" t="str">
        <f>TEXT("1/"&amp;data!A1295,"mmmm")</f>
        <v>mai</v>
      </c>
      <c r="B1295">
        <f>data!B1295</f>
        <v>2016</v>
      </c>
      <c r="C1295" t="str">
        <f>data!C1295</f>
        <v>059</v>
      </c>
      <c r="D1295" t="str">
        <f>data!D1295</f>
        <v>CH DU ROUET</v>
      </c>
      <c r="E1295" t="str">
        <f>data!E1295</f>
        <v>059008</v>
      </c>
      <c r="F1295" t="str">
        <f>data!F1295</f>
        <v>AC C.PROVENCE. BELLE POULE</v>
      </c>
      <c r="G1295" s="10">
        <f>data!G1295</f>
        <v>132</v>
      </c>
      <c r="H1295" s="10">
        <f>data!I1295</f>
        <v>66</v>
      </c>
      <c r="I1295" s="10">
        <f t="shared" si="80"/>
        <v>66</v>
      </c>
      <c r="J1295" s="11">
        <f>data!H1295</f>
        <v>30</v>
      </c>
      <c r="K1295" s="11">
        <f>data!J1295</f>
        <v>12</v>
      </c>
      <c r="L1295" s="11">
        <f t="shared" si="81"/>
        <v>18</v>
      </c>
      <c r="M1295" s="9">
        <f t="shared" si="82"/>
        <v>1</v>
      </c>
      <c r="N1295" s="9">
        <f t="shared" si="83"/>
        <v>1.5</v>
      </c>
    </row>
    <row r="1296" spans="1:14" x14ac:dyDescent="0.25">
      <c r="A1296" t="str">
        <f>TEXT("1/"&amp;data!A1296,"mmmm")</f>
        <v>mai</v>
      </c>
      <c r="B1296">
        <f>data!B1296</f>
        <v>2016</v>
      </c>
      <c r="C1296" t="str">
        <f>data!C1296</f>
        <v>059</v>
      </c>
      <c r="D1296" t="str">
        <f>data!D1296</f>
        <v>CH DU ROUET</v>
      </c>
      <c r="E1296" t="str">
        <f>data!E1296</f>
        <v>059010</v>
      </c>
      <c r="F1296" t="str">
        <f>data!F1296</f>
        <v>AC C.PROVENCE. BELLE POULE</v>
      </c>
      <c r="G1296" s="10">
        <f>data!G1296</f>
        <v>198</v>
      </c>
      <c r="H1296" s="10">
        <f>data!I1296</f>
        <v>264</v>
      </c>
      <c r="I1296" s="10">
        <f t="shared" si="80"/>
        <v>-66</v>
      </c>
      <c r="J1296" s="11">
        <f>data!H1296</f>
        <v>36</v>
      </c>
      <c r="K1296" s="11">
        <f>data!J1296</f>
        <v>48</v>
      </c>
      <c r="L1296" s="11">
        <f t="shared" si="81"/>
        <v>-12</v>
      </c>
      <c r="M1296" s="9">
        <f t="shared" si="82"/>
        <v>-0.25</v>
      </c>
      <c r="N1296" s="9">
        <f t="shared" si="83"/>
        <v>-0.25</v>
      </c>
    </row>
    <row r="1297" spans="1:14" x14ac:dyDescent="0.25">
      <c r="A1297" t="str">
        <f>TEXT("1/"&amp;data!A1297,"mmmm")</f>
        <v>mai</v>
      </c>
      <c r="B1297">
        <f>data!B1297</f>
        <v>2016</v>
      </c>
      <c r="C1297" t="str">
        <f>data!C1297</f>
        <v>059</v>
      </c>
      <c r="D1297" t="str">
        <f>data!D1297</f>
        <v>CH DU ROUET</v>
      </c>
      <c r="E1297" t="str">
        <f>data!E1297</f>
        <v>059019</v>
      </c>
      <c r="F1297" t="str">
        <f>data!F1297</f>
        <v>AC COTES DE PROVENCE ESTERELLE</v>
      </c>
      <c r="G1297" s="10">
        <f>data!G1297</f>
        <v>127.8</v>
      </c>
      <c r="H1297" s="10">
        <f>data!I1297</f>
        <v>191.7</v>
      </c>
      <c r="I1297" s="10">
        <f t="shared" si="80"/>
        <v>-63.899999999999991</v>
      </c>
      <c r="J1297" s="11">
        <f>data!H1297</f>
        <v>36</v>
      </c>
      <c r="K1297" s="11">
        <f>data!J1297</f>
        <v>54</v>
      </c>
      <c r="L1297" s="11">
        <f t="shared" si="81"/>
        <v>-18</v>
      </c>
      <c r="M1297" s="9">
        <f t="shared" si="82"/>
        <v>-0.33333333333333331</v>
      </c>
      <c r="N1297" s="9">
        <f t="shared" si="83"/>
        <v>-0.33333333333333331</v>
      </c>
    </row>
    <row r="1298" spans="1:14" x14ac:dyDescent="0.25">
      <c r="A1298" t="str">
        <f>TEXT("1/"&amp;data!A1298,"mmmm")</f>
        <v>mai</v>
      </c>
      <c r="B1298">
        <f>data!B1298</f>
        <v>2016</v>
      </c>
      <c r="C1298" t="str">
        <f>data!C1298</f>
        <v>059</v>
      </c>
      <c r="D1298" t="str">
        <f>data!D1298</f>
        <v>CH DU ROUET</v>
      </c>
      <c r="E1298" t="str">
        <f>data!E1298</f>
        <v>059020</v>
      </c>
      <c r="F1298" t="str">
        <f>data!F1298</f>
        <v>AC C.PROVENCE ESTERELLE</v>
      </c>
      <c r="G1298" s="10">
        <f>data!G1298</f>
        <v>4082.4</v>
      </c>
      <c r="H1298" s="10">
        <f>data!I1298</f>
        <v>6385.2</v>
      </c>
      <c r="I1298" s="10">
        <f t="shared" si="80"/>
        <v>-2302.7999999999997</v>
      </c>
      <c r="J1298" s="11">
        <f>data!H1298</f>
        <v>1134</v>
      </c>
      <c r="K1298" s="11">
        <f>data!J1298</f>
        <v>1854</v>
      </c>
      <c r="L1298" s="11">
        <f t="shared" si="81"/>
        <v>-720</v>
      </c>
      <c r="M1298" s="9">
        <f t="shared" si="82"/>
        <v>-0.36064649501973312</v>
      </c>
      <c r="N1298" s="9">
        <f t="shared" si="83"/>
        <v>-0.38834951456310679</v>
      </c>
    </row>
    <row r="1299" spans="1:14" x14ac:dyDescent="0.25">
      <c r="A1299" t="str">
        <f>TEXT("1/"&amp;data!A1299,"mmmm")</f>
        <v>mai</v>
      </c>
      <c r="B1299">
        <f>data!B1299</f>
        <v>2016</v>
      </c>
      <c r="C1299" t="str">
        <f>data!C1299</f>
        <v>059</v>
      </c>
      <c r="D1299" t="str">
        <f>data!D1299</f>
        <v>CH DU ROUET</v>
      </c>
      <c r="E1299" t="str">
        <f>data!E1299</f>
        <v>059021</v>
      </c>
      <c r="F1299" t="str">
        <f>data!F1299</f>
        <v>AC COTES DE PROVENCE</v>
      </c>
      <c r="G1299" s="10">
        <f>data!G1299</f>
        <v>1117.5</v>
      </c>
      <c r="H1299" s="10">
        <f>data!I1299</f>
        <v>1877.4</v>
      </c>
      <c r="I1299" s="10">
        <f t="shared" si="80"/>
        <v>-759.90000000000009</v>
      </c>
      <c r="J1299" s="11">
        <f>data!H1299</f>
        <v>493.58</v>
      </c>
      <c r="K1299" s="11">
        <f>data!J1299</f>
        <v>847.09</v>
      </c>
      <c r="L1299" s="11">
        <f t="shared" si="81"/>
        <v>-353.51000000000005</v>
      </c>
      <c r="M1299" s="9">
        <f t="shared" si="82"/>
        <v>-0.40476190476190477</v>
      </c>
      <c r="N1299" s="9">
        <f t="shared" si="83"/>
        <v>-0.41732283464566933</v>
      </c>
    </row>
    <row r="1300" spans="1:14" x14ac:dyDescent="0.25">
      <c r="A1300" t="str">
        <f>TEXT("1/"&amp;data!A1300,"mmmm")</f>
        <v>mai</v>
      </c>
      <c r="B1300">
        <f>data!B1300</f>
        <v>2016</v>
      </c>
      <c r="C1300" t="str">
        <f>data!C1300</f>
        <v>059</v>
      </c>
      <c r="D1300" t="str">
        <f>data!D1300</f>
        <v>CH DU ROUET</v>
      </c>
      <c r="E1300" t="str">
        <f>data!E1300</f>
        <v>059024</v>
      </c>
      <c r="F1300" t="str">
        <f>data!F1300</f>
        <v>VDP MEDITERRANEE. TERES</v>
      </c>
      <c r="G1300" s="10">
        <f>data!G1300</f>
        <v>72</v>
      </c>
      <c r="H1300" s="10">
        <f>data!I1300</f>
        <v>323.39999999999998</v>
      </c>
      <c r="I1300" s="10">
        <f t="shared" si="80"/>
        <v>-251.39999999999998</v>
      </c>
      <c r="J1300" s="11">
        <f>data!H1300</f>
        <v>24</v>
      </c>
      <c r="K1300" s="11">
        <f>data!J1300</f>
        <v>108</v>
      </c>
      <c r="L1300" s="11">
        <f t="shared" si="81"/>
        <v>-84</v>
      </c>
      <c r="M1300" s="9">
        <f t="shared" si="82"/>
        <v>-0.77736549165120594</v>
      </c>
      <c r="N1300" s="9">
        <f t="shared" si="83"/>
        <v>-0.77777777777777779</v>
      </c>
    </row>
    <row r="1301" spans="1:14" x14ac:dyDescent="0.25">
      <c r="A1301" t="str">
        <f>TEXT("1/"&amp;data!A1301,"mmmm")</f>
        <v>mai</v>
      </c>
      <c r="B1301">
        <f>data!B1301</f>
        <v>2016</v>
      </c>
      <c r="C1301" t="str">
        <f>data!C1301</f>
        <v>059</v>
      </c>
      <c r="D1301" t="str">
        <f>data!D1301</f>
        <v>CH DU ROUET</v>
      </c>
      <c r="E1301" t="str">
        <f>data!E1301</f>
        <v>059025</v>
      </c>
      <c r="F1301" t="str">
        <f>data!F1301</f>
        <v>VDP MEDITERRANEE TERES</v>
      </c>
      <c r="G1301" s="10">
        <f>data!G1301</f>
        <v>4819.5</v>
      </c>
      <c r="H1301" s="10">
        <f>data!I1301</f>
        <v>9413.1</v>
      </c>
      <c r="I1301" s="10">
        <f t="shared" si="80"/>
        <v>-4593.6000000000004</v>
      </c>
      <c r="J1301" s="11">
        <f>data!H1301</f>
        <v>2142</v>
      </c>
      <c r="K1301" s="11">
        <f>data!J1301</f>
        <v>4494</v>
      </c>
      <c r="L1301" s="11">
        <f t="shared" si="81"/>
        <v>-2352</v>
      </c>
      <c r="M1301" s="9">
        <f t="shared" si="82"/>
        <v>-0.48800076489148103</v>
      </c>
      <c r="N1301" s="9">
        <f t="shared" si="83"/>
        <v>-0.52336448598130836</v>
      </c>
    </row>
    <row r="1302" spans="1:14" x14ac:dyDescent="0.25">
      <c r="A1302" t="str">
        <f>TEXT("1/"&amp;data!A1302,"mmmm")</f>
        <v>mai</v>
      </c>
      <c r="B1302">
        <f>data!B1302</f>
        <v>2016</v>
      </c>
      <c r="C1302" t="str">
        <f>data!C1302</f>
        <v>059</v>
      </c>
      <c r="D1302" t="str">
        <f>data!D1302</f>
        <v>CH DU ROUET</v>
      </c>
      <c r="E1302" t="str">
        <f>data!E1302</f>
        <v>059026</v>
      </c>
      <c r="F1302" t="str">
        <f>data!F1302</f>
        <v>VDP MEDITERRANEE. TERES</v>
      </c>
      <c r="G1302" s="10">
        <f>data!G1302</f>
        <v>2336.4</v>
      </c>
      <c r="H1302" s="10">
        <f>data!I1302</f>
        <v>3455.1</v>
      </c>
      <c r="I1302" s="10">
        <f t="shared" si="80"/>
        <v>-1118.6999999999998</v>
      </c>
      <c r="J1302" s="11">
        <f>data!H1302</f>
        <v>1594.1299999999999</v>
      </c>
      <c r="K1302" s="11">
        <f>data!J1302</f>
        <v>2361.1799999999998</v>
      </c>
      <c r="L1302" s="11">
        <f t="shared" si="81"/>
        <v>-767.05</v>
      </c>
      <c r="M1302" s="9">
        <f t="shared" si="82"/>
        <v>-0.32378223495702002</v>
      </c>
      <c r="N1302" s="9">
        <f t="shared" si="83"/>
        <v>-0.3248587570621469</v>
      </c>
    </row>
    <row r="1303" spans="1:14" x14ac:dyDescent="0.25">
      <c r="A1303" t="str">
        <f>TEXT("1/"&amp;data!A1303,"mmmm")</f>
        <v>mai</v>
      </c>
      <c r="B1303">
        <f>data!B1303</f>
        <v>2016</v>
      </c>
      <c r="C1303" t="str">
        <f>data!C1303</f>
        <v>059</v>
      </c>
      <c r="D1303" t="str">
        <f>data!D1303</f>
        <v>CH DU ROUET</v>
      </c>
      <c r="E1303" t="str">
        <f>data!E1303</f>
        <v>059027</v>
      </c>
      <c r="F1303" t="str">
        <f>data!F1303</f>
        <v>IGP MEDITERRANEE TERES</v>
      </c>
      <c r="G1303" s="10">
        <f>data!G1303</f>
        <v>253.5</v>
      </c>
      <c r="H1303" s="10">
        <f>data!I1303</f>
        <v>152.1</v>
      </c>
      <c r="I1303" s="10">
        <f t="shared" si="80"/>
        <v>101.4</v>
      </c>
      <c r="J1303" s="11">
        <f>data!H1303</f>
        <v>199.95</v>
      </c>
      <c r="K1303" s="11">
        <f>data!J1303</f>
        <v>133.30000000000001</v>
      </c>
      <c r="L1303" s="11">
        <f t="shared" si="81"/>
        <v>66.649999999999977</v>
      </c>
      <c r="M1303" s="9">
        <f t="shared" si="82"/>
        <v>0.66666666666666674</v>
      </c>
      <c r="N1303" s="9">
        <f t="shared" si="83"/>
        <v>0.49999999999999978</v>
      </c>
    </row>
    <row r="1304" spans="1:14" x14ac:dyDescent="0.25">
      <c r="A1304" t="str">
        <f>TEXT("1/"&amp;data!A1304,"mmmm")</f>
        <v>mai</v>
      </c>
      <c r="B1304">
        <f>data!B1304</f>
        <v>2016</v>
      </c>
      <c r="C1304" t="str">
        <f>data!C1304</f>
        <v>059</v>
      </c>
      <c r="D1304" t="str">
        <f>data!D1304</f>
        <v>CH DU ROUET</v>
      </c>
      <c r="E1304" t="str">
        <f>data!E1304</f>
        <v>059101</v>
      </c>
      <c r="F1304" t="str">
        <f>data!F1304</f>
        <v>ICE PAMPLOON ROSE PAMPLEMOUSSE</v>
      </c>
      <c r="G1304" s="10">
        <f>data!G1304</f>
        <v>32.4</v>
      </c>
      <c r="H1304" s="10">
        <f>data!I1304</f>
        <v>118.8</v>
      </c>
      <c r="I1304" s="10">
        <f t="shared" si="80"/>
        <v>-86.4</v>
      </c>
      <c r="J1304" s="11">
        <f>data!H1304</f>
        <v>18</v>
      </c>
      <c r="K1304" s="11">
        <f>data!J1304</f>
        <v>72</v>
      </c>
      <c r="L1304" s="11">
        <f t="shared" si="81"/>
        <v>-54</v>
      </c>
      <c r="M1304" s="9">
        <f t="shared" si="82"/>
        <v>-0.72727272727272729</v>
      </c>
      <c r="N1304" s="9">
        <f t="shared" si="83"/>
        <v>-0.75</v>
      </c>
    </row>
    <row r="1305" spans="1:14" x14ac:dyDescent="0.25">
      <c r="A1305" t="str">
        <f>TEXT("1/"&amp;data!A1305,"mmmm")</f>
        <v>mai</v>
      </c>
      <c r="B1305">
        <f>data!B1305</f>
        <v>2016</v>
      </c>
      <c r="C1305" t="str">
        <f>data!C1305</f>
        <v>059</v>
      </c>
      <c r="D1305" t="str">
        <f>data!D1305</f>
        <v>CH DU ROUET</v>
      </c>
      <c r="E1305" t="str">
        <f>data!E1305</f>
        <v>059104</v>
      </c>
      <c r="F1305" t="str">
        <f>data!F1305</f>
        <v>ICE PAMPLOON BUBBLES</v>
      </c>
      <c r="G1305" s="10">
        <f>data!G1305</f>
        <v>66.599999999999994</v>
      </c>
      <c r="H1305" s="10">
        <f>data!I1305</f>
        <v>310.8</v>
      </c>
      <c r="I1305" s="10">
        <f t="shared" si="80"/>
        <v>-244.20000000000002</v>
      </c>
      <c r="J1305" s="11">
        <f>data!H1305</f>
        <v>18</v>
      </c>
      <c r="K1305" s="11">
        <f>data!J1305</f>
        <v>90</v>
      </c>
      <c r="L1305" s="11">
        <f t="shared" si="81"/>
        <v>-72</v>
      </c>
      <c r="M1305" s="9">
        <f t="shared" si="82"/>
        <v>-0.7857142857142857</v>
      </c>
      <c r="N1305" s="9">
        <f t="shared" si="83"/>
        <v>-0.8</v>
      </c>
    </row>
    <row r="1306" spans="1:14" x14ac:dyDescent="0.25">
      <c r="A1306" t="str">
        <f>TEXT("1/"&amp;data!A1306,"mmmm")</f>
        <v>mai</v>
      </c>
      <c r="B1306">
        <f>data!B1306</f>
        <v>2016</v>
      </c>
      <c r="C1306" t="str">
        <f>data!C1306</f>
        <v>060</v>
      </c>
      <c r="D1306" t="str">
        <f>data!D1306</f>
        <v>GIRARD JM ET NOEL</v>
      </c>
      <c r="E1306" t="str">
        <f>data!E1306</f>
        <v>060015</v>
      </c>
      <c r="F1306" t="str">
        <f>data!F1306</f>
        <v>AC SAUMUR CHAMP. D VX BOURG</v>
      </c>
      <c r="G1306" s="10">
        <f>data!G1306</f>
        <v>1144.44</v>
      </c>
      <c r="H1306" s="10">
        <f>data!I1306</f>
        <v>864</v>
      </c>
      <c r="I1306" s="10">
        <f t="shared" si="80"/>
        <v>280.44000000000005</v>
      </c>
      <c r="J1306" s="11">
        <f>data!H1306</f>
        <v>306</v>
      </c>
      <c r="K1306" s="11">
        <f>data!J1306</f>
        <v>246</v>
      </c>
      <c r="L1306" s="11">
        <f t="shared" si="81"/>
        <v>60</v>
      </c>
      <c r="M1306" s="9">
        <f t="shared" si="82"/>
        <v>0.32458333333333339</v>
      </c>
      <c r="N1306" s="9">
        <f t="shared" si="83"/>
        <v>0.24390243902439024</v>
      </c>
    </row>
    <row r="1307" spans="1:14" x14ac:dyDescent="0.25">
      <c r="A1307" t="str">
        <f>TEXT("1/"&amp;data!A1307,"mmmm")</f>
        <v>mai</v>
      </c>
      <c r="B1307">
        <f>data!B1307</f>
        <v>2016</v>
      </c>
      <c r="C1307" t="str">
        <f>data!C1307</f>
        <v>060</v>
      </c>
      <c r="D1307" t="str">
        <f>data!D1307</f>
        <v>GIRARD JM ET NOEL</v>
      </c>
      <c r="E1307" t="str">
        <f>data!E1307</f>
        <v>060016</v>
      </c>
      <c r="F1307" t="str">
        <f>data!F1307</f>
        <v>AC SAUMUR CHAMP. D VX BOURG</v>
      </c>
      <c r="G1307" s="10">
        <f>data!G1307</f>
        <v>28.44</v>
      </c>
      <c r="H1307" s="10">
        <f>data!I1307</f>
        <v>133.19999999999999</v>
      </c>
      <c r="I1307" s="10">
        <f t="shared" si="80"/>
        <v>-104.75999999999999</v>
      </c>
      <c r="J1307" s="11">
        <f>data!H1307</f>
        <v>6</v>
      </c>
      <c r="K1307" s="11">
        <f>data!J1307</f>
        <v>30</v>
      </c>
      <c r="L1307" s="11">
        <f t="shared" si="81"/>
        <v>-24</v>
      </c>
      <c r="M1307" s="9">
        <f t="shared" si="82"/>
        <v>-0.78648648648648645</v>
      </c>
      <c r="N1307" s="9">
        <f t="shared" si="83"/>
        <v>-0.8</v>
      </c>
    </row>
    <row r="1308" spans="1:14" x14ac:dyDescent="0.25">
      <c r="A1308" t="str">
        <f>TEXT("1/"&amp;data!A1308,"mmmm")</f>
        <v>mai</v>
      </c>
      <c r="B1308">
        <f>data!B1308</f>
        <v>2016</v>
      </c>
      <c r="C1308" t="str">
        <f>data!C1308</f>
        <v>062</v>
      </c>
      <c r="D1308" t="str">
        <f>data!D1308</f>
        <v>CHATEAU CARBON D'ARTIGUES</v>
      </c>
      <c r="E1308" t="str">
        <f>data!E1308</f>
        <v>062003</v>
      </c>
      <c r="F1308" t="str">
        <f>data!F1308</f>
        <v>AC GRAVES. CARBON D'ARTIGUES</v>
      </c>
      <c r="G1308" s="10">
        <f>data!G1308</f>
        <v>501.6</v>
      </c>
      <c r="H1308" s="10">
        <f>data!I1308</f>
        <v>722.4</v>
      </c>
      <c r="I1308" s="10">
        <f t="shared" si="80"/>
        <v>-220.79999999999995</v>
      </c>
      <c r="J1308" s="11">
        <f>data!H1308</f>
        <v>126</v>
      </c>
      <c r="K1308" s="11">
        <f>data!J1308</f>
        <v>168</v>
      </c>
      <c r="L1308" s="11">
        <f t="shared" si="81"/>
        <v>-42</v>
      </c>
      <c r="M1308" s="9">
        <f t="shared" si="82"/>
        <v>-0.30564784053156141</v>
      </c>
      <c r="N1308" s="9">
        <f t="shared" si="83"/>
        <v>-0.25</v>
      </c>
    </row>
    <row r="1309" spans="1:14" x14ac:dyDescent="0.25">
      <c r="A1309" t="str">
        <f>TEXT("1/"&amp;data!A1309,"mmmm")</f>
        <v>mai</v>
      </c>
      <c r="B1309">
        <f>data!B1309</f>
        <v>2016</v>
      </c>
      <c r="C1309" t="str">
        <f>data!C1309</f>
        <v>062</v>
      </c>
      <c r="D1309" t="str">
        <f>data!D1309</f>
        <v>CHATEAU CARBON D'ARTIGUES</v>
      </c>
      <c r="E1309" t="str">
        <f>data!E1309</f>
        <v>062021</v>
      </c>
      <c r="F1309" t="str">
        <f>data!F1309</f>
        <v>AC GRAVES. CARBON D'ARTIGUES</v>
      </c>
      <c r="G1309" s="10">
        <f>data!G1309</f>
        <v>345.6</v>
      </c>
      <c r="H1309" s="10">
        <f>data!I1309</f>
        <v>109.8</v>
      </c>
      <c r="I1309" s="10">
        <f t="shared" si="80"/>
        <v>235.8</v>
      </c>
      <c r="J1309" s="11">
        <f>data!H1309</f>
        <v>126</v>
      </c>
      <c r="K1309" s="11">
        <f>data!J1309</f>
        <v>36</v>
      </c>
      <c r="L1309" s="11">
        <f t="shared" si="81"/>
        <v>90</v>
      </c>
      <c r="M1309" s="9">
        <f t="shared" si="82"/>
        <v>2.1475409836065573</v>
      </c>
      <c r="N1309" s="9">
        <f t="shared" si="83"/>
        <v>2.5</v>
      </c>
    </row>
    <row r="1310" spans="1:14" x14ac:dyDescent="0.25">
      <c r="A1310" t="str">
        <f>TEXT("1/"&amp;data!A1310,"mmmm")</f>
        <v>mai</v>
      </c>
      <c r="B1310">
        <f>data!B1310</f>
        <v>2016</v>
      </c>
      <c r="C1310" t="str">
        <f>data!C1310</f>
        <v>062</v>
      </c>
      <c r="D1310" t="str">
        <f>data!D1310</f>
        <v>CHATEAU CARBON D'ARTIGUES</v>
      </c>
      <c r="E1310" t="str">
        <f>data!E1310</f>
        <v>062022</v>
      </c>
      <c r="F1310" t="str">
        <f>data!F1310</f>
        <v>AC GRAVES. CARBON D'ARTIGUES</v>
      </c>
      <c r="G1310" s="10">
        <f>data!G1310</f>
        <v>45.6</v>
      </c>
      <c r="H1310" s="10">
        <f>data!I1310</f>
        <v>45.6</v>
      </c>
      <c r="I1310" s="10">
        <f t="shared" si="80"/>
        <v>0</v>
      </c>
      <c r="J1310" s="11">
        <f>data!H1310</f>
        <v>12</v>
      </c>
      <c r="K1310" s="11">
        <f>data!J1310</f>
        <v>12</v>
      </c>
      <c r="L1310" s="11">
        <f t="shared" si="81"/>
        <v>0</v>
      </c>
      <c r="M1310" s="9">
        <f t="shared" si="82"/>
        <v>0</v>
      </c>
      <c r="N1310" s="9">
        <f t="shared" si="83"/>
        <v>0</v>
      </c>
    </row>
    <row r="1311" spans="1:14" x14ac:dyDescent="0.25">
      <c r="A1311" t="str">
        <f>TEXT("1/"&amp;data!A1311,"mmmm")</f>
        <v>mai</v>
      </c>
      <c r="B1311">
        <f>data!B1311</f>
        <v>2016</v>
      </c>
      <c r="C1311" t="str">
        <f>data!C1311</f>
        <v>062</v>
      </c>
      <c r="D1311" t="str">
        <f>data!D1311</f>
        <v>CHATEAU CARBON D'ARTIGUES</v>
      </c>
      <c r="E1311" t="str">
        <f>data!E1311</f>
        <v>062030</v>
      </c>
      <c r="F1311" t="str">
        <f>data!F1311</f>
        <v>AC CADILLAC CH LA PASSONNE</v>
      </c>
      <c r="G1311" s="10">
        <f>data!G1311</f>
        <v>57.6</v>
      </c>
      <c r="H1311" s="10">
        <f>data!I1311</f>
        <v>0</v>
      </c>
      <c r="I1311" s="10">
        <f t="shared" si="80"/>
        <v>57.6</v>
      </c>
      <c r="J1311" s="11">
        <f>data!H1311</f>
        <v>96</v>
      </c>
      <c r="K1311" s="11">
        <f>data!J1311</f>
        <v>0</v>
      </c>
      <c r="L1311" s="11">
        <f t="shared" si="81"/>
        <v>96</v>
      </c>
      <c r="M1311" s="9" t="str">
        <f t="shared" si="82"/>
        <v/>
      </c>
      <c r="N1311" s="9" t="str">
        <f t="shared" si="83"/>
        <v/>
      </c>
    </row>
    <row r="1312" spans="1:14" x14ac:dyDescent="0.25">
      <c r="A1312" t="str">
        <f>TEXT("1/"&amp;data!A1312,"mmmm")</f>
        <v>mai</v>
      </c>
      <c r="B1312">
        <f>data!B1312</f>
        <v>2016</v>
      </c>
      <c r="C1312" t="str">
        <f>data!C1312</f>
        <v>062</v>
      </c>
      <c r="D1312" t="str">
        <f>data!D1312</f>
        <v>CHATEAU CARBON D'ARTIGUES</v>
      </c>
      <c r="E1312" t="str">
        <f>data!E1312</f>
        <v>062031</v>
      </c>
      <c r="F1312" t="str">
        <f>data!F1312</f>
        <v>AC GRAVES CUVEE PRESTIGE</v>
      </c>
      <c r="G1312" s="10">
        <f>data!G1312</f>
        <v>124.2</v>
      </c>
      <c r="H1312" s="10">
        <f>data!I1312</f>
        <v>0</v>
      </c>
      <c r="I1312" s="10">
        <f t="shared" si="80"/>
        <v>124.2</v>
      </c>
      <c r="J1312" s="11">
        <f>data!H1312</f>
        <v>18</v>
      </c>
      <c r="K1312" s="11">
        <f>data!J1312</f>
        <v>0</v>
      </c>
      <c r="L1312" s="11">
        <f t="shared" si="81"/>
        <v>18</v>
      </c>
      <c r="M1312" s="9" t="str">
        <f t="shared" si="82"/>
        <v/>
      </c>
      <c r="N1312" s="9" t="str">
        <f t="shared" si="83"/>
        <v/>
      </c>
    </row>
    <row r="1313" spans="1:14" x14ac:dyDescent="0.25">
      <c r="A1313" t="str">
        <f>TEXT("1/"&amp;data!A1313,"mmmm")</f>
        <v>mai</v>
      </c>
      <c r="B1313">
        <f>data!B1313</f>
        <v>2016</v>
      </c>
      <c r="C1313" t="str">
        <f>data!C1313</f>
        <v>074</v>
      </c>
      <c r="D1313" t="str">
        <f>data!D1313</f>
        <v>CAVE DE GIGONDAS</v>
      </c>
      <c r="E1313" t="str">
        <f>data!E1313</f>
        <v>074012</v>
      </c>
      <c r="F1313" t="str">
        <f>data!F1313</f>
        <v>AC GIGONDAS LA REFENCE</v>
      </c>
      <c r="G1313" s="10">
        <f>data!G1313</f>
        <v>547.20000000000005</v>
      </c>
      <c r="H1313" s="10">
        <f>data!I1313</f>
        <v>1140</v>
      </c>
      <c r="I1313" s="10">
        <f t="shared" si="80"/>
        <v>-592.79999999999995</v>
      </c>
      <c r="J1313" s="11">
        <f>data!H1313</f>
        <v>72</v>
      </c>
      <c r="K1313" s="11">
        <f>data!J1313</f>
        <v>150</v>
      </c>
      <c r="L1313" s="11">
        <f t="shared" si="81"/>
        <v>-78</v>
      </c>
      <c r="M1313" s="9">
        <f t="shared" si="82"/>
        <v>-0.51999999999999991</v>
      </c>
      <c r="N1313" s="9">
        <f t="shared" si="83"/>
        <v>-0.52</v>
      </c>
    </row>
    <row r="1314" spans="1:14" x14ac:dyDescent="0.25">
      <c r="A1314" t="str">
        <f>TEXT("1/"&amp;data!A1314,"mmmm")</f>
        <v>mai</v>
      </c>
      <c r="B1314">
        <f>data!B1314</f>
        <v>2016</v>
      </c>
      <c r="C1314" t="str">
        <f>data!C1314</f>
        <v>074</v>
      </c>
      <c r="D1314" t="str">
        <f>data!D1314</f>
        <v>CAVE DE GIGONDAS</v>
      </c>
      <c r="E1314" t="str">
        <f>data!E1314</f>
        <v>074013</v>
      </c>
      <c r="F1314" t="str">
        <f>data!F1314</f>
        <v>AC B DE VENISE TERRISSIMO</v>
      </c>
      <c r="G1314" s="10">
        <f>data!G1314</f>
        <v>2064.6</v>
      </c>
      <c r="H1314" s="10">
        <f>data!I1314</f>
        <v>966</v>
      </c>
      <c r="I1314" s="10">
        <f t="shared" si="80"/>
        <v>1098.5999999999999</v>
      </c>
      <c r="J1314" s="11">
        <f>data!H1314</f>
        <v>444</v>
      </c>
      <c r="K1314" s="11">
        <f>data!J1314</f>
        <v>210</v>
      </c>
      <c r="L1314" s="11">
        <f t="shared" si="81"/>
        <v>234</v>
      </c>
      <c r="M1314" s="9">
        <f t="shared" si="82"/>
        <v>1.1372670807453416</v>
      </c>
      <c r="N1314" s="9">
        <f t="shared" si="83"/>
        <v>1.1142857142857143</v>
      </c>
    </row>
    <row r="1315" spans="1:14" x14ac:dyDescent="0.25">
      <c r="A1315" t="str">
        <f>TEXT("1/"&amp;data!A1315,"mmmm")</f>
        <v>mai</v>
      </c>
      <c r="B1315">
        <f>data!B1315</f>
        <v>2016</v>
      </c>
      <c r="C1315" t="str">
        <f>data!C1315</f>
        <v>074</v>
      </c>
      <c r="D1315" t="str">
        <f>data!D1315</f>
        <v>CAVE DE GIGONDAS</v>
      </c>
      <c r="E1315" t="str">
        <f>data!E1315</f>
        <v>074029</v>
      </c>
      <c r="F1315" t="str">
        <f>data!F1315</f>
        <v>VDN MUSCAT BEAUME DE VENISE</v>
      </c>
      <c r="G1315" s="10">
        <f>data!G1315</f>
        <v>46.2</v>
      </c>
      <c r="H1315" s="10">
        <f>data!I1315</f>
        <v>184.8</v>
      </c>
      <c r="I1315" s="10">
        <f t="shared" si="80"/>
        <v>-138.60000000000002</v>
      </c>
      <c r="J1315" s="11">
        <f>data!H1315</f>
        <v>6</v>
      </c>
      <c r="K1315" s="11">
        <f>data!J1315</f>
        <v>24</v>
      </c>
      <c r="L1315" s="11">
        <f t="shared" si="81"/>
        <v>-18</v>
      </c>
      <c r="M1315" s="9">
        <f t="shared" si="82"/>
        <v>-0.75000000000000011</v>
      </c>
      <c r="N1315" s="9">
        <f t="shared" si="83"/>
        <v>-0.75</v>
      </c>
    </row>
    <row r="1316" spans="1:14" x14ac:dyDescent="0.25">
      <c r="A1316" t="str">
        <f>TEXT("1/"&amp;data!A1316,"mmmm")</f>
        <v>mai</v>
      </c>
      <c r="B1316">
        <f>data!B1316</f>
        <v>2016</v>
      </c>
      <c r="C1316" t="str">
        <f>data!C1316</f>
        <v>075</v>
      </c>
      <c r="D1316" t="str">
        <f>data!D1316</f>
        <v>CHATEAU LE BREUIL RENAISSANCE</v>
      </c>
      <c r="E1316" t="str">
        <f>data!E1316</f>
        <v>075002</v>
      </c>
      <c r="F1316" t="str">
        <f>data!F1316</f>
        <v>AC MEDOC. CH.BREUIL RENAISSANCE</v>
      </c>
      <c r="G1316" s="10">
        <f>data!G1316</f>
        <v>1120.5</v>
      </c>
      <c r="H1316" s="10">
        <f>data!I1316</f>
        <v>2074.3200000000002</v>
      </c>
      <c r="I1316" s="10">
        <f t="shared" si="80"/>
        <v>-953.82000000000016</v>
      </c>
      <c r="J1316" s="11">
        <f>data!H1316</f>
        <v>270</v>
      </c>
      <c r="K1316" s="11">
        <f>data!J1316</f>
        <v>516</v>
      </c>
      <c r="L1316" s="11">
        <f t="shared" si="81"/>
        <v>-246</v>
      </c>
      <c r="M1316" s="9">
        <f t="shared" si="82"/>
        <v>-0.45982297813259287</v>
      </c>
      <c r="N1316" s="9">
        <f t="shared" si="83"/>
        <v>-0.47674418604651164</v>
      </c>
    </row>
    <row r="1317" spans="1:14" x14ac:dyDescent="0.25">
      <c r="A1317" t="str">
        <f>TEXT("1/"&amp;data!A1317,"mmmm")</f>
        <v>mai</v>
      </c>
      <c r="B1317">
        <f>data!B1317</f>
        <v>2016</v>
      </c>
      <c r="C1317" t="str">
        <f>data!C1317</f>
        <v>075</v>
      </c>
      <c r="D1317" t="str">
        <f>data!D1317</f>
        <v>CHATEAU LE BREUIL RENAISSANCE</v>
      </c>
      <c r="E1317" t="str">
        <f>data!E1317</f>
        <v>075004</v>
      </c>
      <c r="F1317" t="str">
        <f>data!F1317</f>
        <v>AC MEDOC. CH.BREUIL RENAISSANCE</v>
      </c>
      <c r="G1317" s="10">
        <f>data!G1317</f>
        <v>57.18</v>
      </c>
      <c r="H1317" s="10">
        <f>data!I1317</f>
        <v>165.6</v>
      </c>
      <c r="I1317" s="10">
        <f t="shared" si="80"/>
        <v>-108.41999999999999</v>
      </c>
      <c r="J1317" s="11">
        <f>data!H1317</f>
        <v>12</v>
      </c>
      <c r="K1317" s="11">
        <f>data!J1317</f>
        <v>36</v>
      </c>
      <c r="L1317" s="11">
        <f t="shared" si="81"/>
        <v>-24</v>
      </c>
      <c r="M1317" s="9">
        <f t="shared" si="82"/>
        <v>-0.65471014492753621</v>
      </c>
      <c r="N1317" s="9">
        <f t="shared" si="83"/>
        <v>-0.66666666666666663</v>
      </c>
    </row>
    <row r="1318" spans="1:14" x14ac:dyDescent="0.25">
      <c r="A1318" t="str">
        <f>TEXT("1/"&amp;data!A1318,"mmmm")</f>
        <v>mai</v>
      </c>
      <c r="B1318">
        <f>data!B1318</f>
        <v>2016</v>
      </c>
      <c r="C1318" t="str">
        <f>data!C1318</f>
        <v>075</v>
      </c>
      <c r="D1318" t="str">
        <f>data!D1318</f>
        <v>CHATEAU LE BREUIL RENAISSANCE</v>
      </c>
      <c r="E1318" t="str">
        <f>data!E1318</f>
        <v>075011</v>
      </c>
      <c r="F1318" t="str">
        <f>data!F1318</f>
        <v>AC MEDOC CRU.B CH LES CABANS</v>
      </c>
      <c r="G1318" s="10">
        <f>data!G1318</f>
        <v>167.4</v>
      </c>
      <c r="H1318" s="10">
        <f>data!I1318</f>
        <v>0</v>
      </c>
      <c r="I1318" s="10">
        <f t="shared" si="80"/>
        <v>167.4</v>
      </c>
      <c r="J1318" s="11">
        <f>data!H1318</f>
        <v>24</v>
      </c>
      <c r="K1318" s="11">
        <f>data!J1318</f>
        <v>0</v>
      </c>
      <c r="L1318" s="11">
        <f t="shared" si="81"/>
        <v>24</v>
      </c>
      <c r="M1318" s="9" t="str">
        <f t="shared" si="82"/>
        <v/>
      </c>
      <c r="N1318" s="9" t="str">
        <f t="shared" si="83"/>
        <v/>
      </c>
    </row>
    <row r="1319" spans="1:14" x14ac:dyDescent="0.25">
      <c r="A1319" t="str">
        <f>TEXT("1/"&amp;data!A1319,"mmmm")</f>
        <v>mai</v>
      </c>
      <c r="B1319">
        <f>data!B1319</f>
        <v>2016</v>
      </c>
      <c r="C1319" t="str">
        <f>data!C1319</f>
        <v>075</v>
      </c>
      <c r="D1319" t="str">
        <f>data!D1319</f>
        <v>CHATEAU LE BREUIL RENAISSANCE</v>
      </c>
      <c r="E1319" t="str">
        <f>data!E1319</f>
        <v>075013</v>
      </c>
      <c r="F1319" t="str">
        <f>data!F1319</f>
        <v>AC MEDOC CRU BOURGEOIS CHATEAU DES CABANS</v>
      </c>
      <c r="G1319" s="10">
        <f>data!G1319</f>
        <v>466.2</v>
      </c>
      <c r="H1319" s="10">
        <f>data!I1319</f>
        <v>561.6</v>
      </c>
      <c r="I1319" s="10">
        <f t="shared" si="80"/>
        <v>-95.400000000000034</v>
      </c>
      <c r="J1319" s="11">
        <f>data!H1319</f>
        <v>84</v>
      </c>
      <c r="K1319" s="11">
        <f>data!J1319</f>
        <v>114</v>
      </c>
      <c r="L1319" s="11">
        <f t="shared" si="81"/>
        <v>-30</v>
      </c>
      <c r="M1319" s="9">
        <f t="shared" si="82"/>
        <v>-0.16987179487179493</v>
      </c>
      <c r="N1319" s="9">
        <f t="shared" si="83"/>
        <v>-0.26315789473684209</v>
      </c>
    </row>
    <row r="1320" spans="1:14" x14ac:dyDescent="0.25">
      <c r="A1320" t="str">
        <f>TEXT("1/"&amp;data!A1320,"mmmm")</f>
        <v>mai</v>
      </c>
      <c r="B1320">
        <f>data!B1320</f>
        <v>2016</v>
      </c>
      <c r="C1320" t="str">
        <f>data!C1320</f>
        <v>075</v>
      </c>
      <c r="D1320" t="str">
        <f>data!D1320</f>
        <v>CHATEAU LE BREUIL RENAISSANCE</v>
      </c>
      <c r="E1320" t="str">
        <f>data!E1320</f>
        <v>CDV075005</v>
      </c>
      <c r="F1320" t="str">
        <f>data!F1320</f>
        <v>AC MEDOC CRU BOURGEOIS BREUIL RENAISSANCE</v>
      </c>
      <c r="G1320" s="10">
        <f>data!G1320</f>
        <v>90</v>
      </c>
      <c r="H1320" s="10">
        <f>data!I1320</f>
        <v>0</v>
      </c>
      <c r="I1320" s="10">
        <f t="shared" si="80"/>
        <v>90</v>
      </c>
      <c r="J1320" s="11">
        <f>data!H1320</f>
        <v>12</v>
      </c>
      <c r="K1320" s="11">
        <f>data!J1320</f>
        <v>0</v>
      </c>
      <c r="L1320" s="11">
        <f t="shared" si="81"/>
        <v>12</v>
      </c>
      <c r="M1320" s="9" t="str">
        <f t="shared" si="82"/>
        <v/>
      </c>
      <c r="N1320" s="9" t="str">
        <f t="shared" si="83"/>
        <v/>
      </c>
    </row>
    <row r="1321" spans="1:14" x14ac:dyDescent="0.25">
      <c r="A1321" t="str">
        <f>TEXT("1/"&amp;data!A1321,"mmmm")</f>
        <v>mai</v>
      </c>
      <c r="B1321">
        <f>data!B1321</f>
        <v>2016</v>
      </c>
      <c r="C1321" t="str">
        <f>data!C1321</f>
        <v>080</v>
      </c>
      <c r="D1321" t="str">
        <f>data!D1321</f>
        <v>DOMAINE DE ST PIERRE</v>
      </c>
      <c r="E1321" t="str">
        <f>data!E1321</f>
        <v>080010</v>
      </c>
      <c r="F1321" t="str">
        <f>data!F1321</f>
        <v>AC SANCERRE D.DE ST PIERRE</v>
      </c>
      <c r="G1321" s="10">
        <f>data!G1321</f>
        <v>38.700000000000003</v>
      </c>
      <c r="H1321" s="10">
        <f>data!I1321</f>
        <v>378</v>
      </c>
      <c r="I1321" s="10">
        <f t="shared" si="80"/>
        <v>-339.3</v>
      </c>
      <c r="J1321" s="11">
        <f>data!H1321</f>
        <v>6</v>
      </c>
      <c r="K1321" s="11">
        <f>data!J1321</f>
        <v>60</v>
      </c>
      <c r="L1321" s="11">
        <f t="shared" si="81"/>
        <v>-54</v>
      </c>
      <c r="M1321" s="9">
        <f t="shared" si="82"/>
        <v>-0.89761904761904765</v>
      </c>
      <c r="N1321" s="9">
        <f t="shared" si="83"/>
        <v>-0.9</v>
      </c>
    </row>
    <row r="1322" spans="1:14" x14ac:dyDescent="0.25">
      <c r="A1322" t="str">
        <f>TEXT("1/"&amp;data!A1322,"mmmm")</f>
        <v>mai</v>
      </c>
      <c r="B1322">
        <f>data!B1322</f>
        <v>2016</v>
      </c>
      <c r="C1322" t="str">
        <f>data!C1322</f>
        <v>080</v>
      </c>
      <c r="D1322" t="str">
        <f>data!D1322</f>
        <v>DOMAINE DE ST PIERRE</v>
      </c>
      <c r="E1322" t="str">
        <f>data!E1322</f>
        <v>080011</v>
      </c>
      <c r="F1322" t="str">
        <f>data!F1322</f>
        <v>AC SANCERRE D.DE ST PIERRE</v>
      </c>
      <c r="G1322" s="10">
        <f>data!G1322</f>
        <v>187.2</v>
      </c>
      <c r="H1322" s="10">
        <f>data!I1322</f>
        <v>46.2</v>
      </c>
      <c r="I1322" s="10">
        <f t="shared" si="80"/>
        <v>141</v>
      </c>
      <c r="J1322" s="11">
        <f>data!H1322</f>
        <v>24</v>
      </c>
      <c r="K1322" s="11">
        <f>data!J1322</f>
        <v>6</v>
      </c>
      <c r="L1322" s="11">
        <f t="shared" si="81"/>
        <v>18</v>
      </c>
      <c r="M1322" s="9">
        <f t="shared" si="82"/>
        <v>3.051948051948052</v>
      </c>
      <c r="N1322" s="9">
        <f t="shared" si="83"/>
        <v>3</v>
      </c>
    </row>
    <row r="1323" spans="1:14" x14ac:dyDescent="0.25">
      <c r="A1323" t="str">
        <f>TEXT("1/"&amp;data!A1323,"mmmm")</f>
        <v>mai</v>
      </c>
      <c r="B1323">
        <f>data!B1323</f>
        <v>2016</v>
      </c>
      <c r="C1323" t="str">
        <f>data!C1323</f>
        <v>080</v>
      </c>
      <c r="D1323" t="str">
        <f>data!D1323</f>
        <v>DOMAINE DE ST PIERRE</v>
      </c>
      <c r="E1323" t="str">
        <f>data!E1323</f>
        <v>080015</v>
      </c>
      <c r="F1323" t="str">
        <f>data!F1323</f>
        <v>AC SANCERRE D.DE ST PIERRE</v>
      </c>
      <c r="G1323" s="10">
        <f>data!G1323</f>
        <v>120.6</v>
      </c>
      <c r="H1323" s="10">
        <f>data!I1323</f>
        <v>237.6</v>
      </c>
      <c r="I1323" s="10">
        <f t="shared" si="80"/>
        <v>-117</v>
      </c>
      <c r="J1323" s="11">
        <f>data!H1323</f>
        <v>18</v>
      </c>
      <c r="K1323" s="11">
        <f>data!J1323</f>
        <v>36</v>
      </c>
      <c r="L1323" s="11">
        <f t="shared" si="81"/>
        <v>-18</v>
      </c>
      <c r="M1323" s="9">
        <f t="shared" si="82"/>
        <v>-0.49242424242424243</v>
      </c>
      <c r="N1323" s="9">
        <f t="shared" si="83"/>
        <v>-0.5</v>
      </c>
    </row>
    <row r="1324" spans="1:14" x14ac:dyDescent="0.25">
      <c r="A1324" t="str">
        <f>TEXT("1/"&amp;data!A1324,"mmmm")</f>
        <v>mai</v>
      </c>
      <c r="B1324">
        <f>data!B1324</f>
        <v>2016</v>
      </c>
      <c r="C1324" t="str">
        <f>data!C1324</f>
        <v>080</v>
      </c>
      <c r="D1324" t="str">
        <f>data!D1324</f>
        <v>DOMAINE DE ST PIERRE</v>
      </c>
      <c r="E1324" t="str">
        <f>data!E1324</f>
        <v>080016</v>
      </c>
      <c r="F1324" t="str">
        <f>data!F1324</f>
        <v>AC SANCERRE D.DE ST PIERRE</v>
      </c>
      <c r="G1324" s="10">
        <f>data!G1324</f>
        <v>46.8</v>
      </c>
      <c r="H1324" s="10">
        <f>data!I1324</f>
        <v>231</v>
      </c>
      <c r="I1324" s="10">
        <f t="shared" si="80"/>
        <v>-184.2</v>
      </c>
      <c r="J1324" s="11">
        <f>data!H1324</f>
        <v>6</v>
      </c>
      <c r="K1324" s="11">
        <f>data!J1324</f>
        <v>30</v>
      </c>
      <c r="L1324" s="11">
        <f t="shared" si="81"/>
        <v>-24</v>
      </c>
      <c r="M1324" s="9">
        <f t="shared" si="82"/>
        <v>-0.79740259740259734</v>
      </c>
      <c r="N1324" s="9">
        <f t="shared" si="83"/>
        <v>-0.8</v>
      </c>
    </row>
    <row r="1325" spans="1:14" x14ac:dyDescent="0.25">
      <c r="A1325" t="str">
        <f>TEXT("1/"&amp;data!A1325,"mmmm")</f>
        <v>mai</v>
      </c>
      <c r="B1325">
        <f>data!B1325</f>
        <v>2016</v>
      </c>
      <c r="C1325" t="str">
        <f>data!C1325</f>
        <v>083</v>
      </c>
      <c r="D1325" t="str">
        <f>data!D1325</f>
        <v>LES TERROIRS D'OCCITANIE</v>
      </c>
      <c r="E1325" t="str">
        <f>data!E1325</f>
        <v>083003</v>
      </c>
      <c r="F1325" t="str">
        <f>data!F1325</f>
        <v>AC FAUGERES C.PREST DE LAURENS</v>
      </c>
      <c r="G1325" s="10">
        <f>data!G1325</f>
        <v>632.1</v>
      </c>
      <c r="H1325" s="10">
        <f>data!I1325</f>
        <v>302.39999999999998</v>
      </c>
      <c r="I1325" s="10">
        <f t="shared" si="80"/>
        <v>329.70000000000005</v>
      </c>
      <c r="J1325" s="11">
        <f>data!H1325</f>
        <v>294</v>
      </c>
      <c r="K1325" s="11">
        <f>data!J1325</f>
        <v>144</v>
      </c>
      <c r="L1325" s="11">
        <f t="shared" si="81"/>
        <v>150</v>
      </c>
      <c r="M1325" s="9">
        <f t="shared" si="82"/>
        <v>1.0902777777777779</v>
      </c>
      <c r="N1325" s="9">
        <f t="shared" si="83"/>
        <v>1.0416666666666667</v>
      </c>
    </row>
    <row r="1326" spans="1:14" x14ac:dyDescent="0.25">
      <c r="A1326" t="str">
        <f>TEXT("1/"&amp;data!A1326,"mmmm")</f>
        <v>mai</v>
      </c>
      <c r="B1326">
        <f>data!B1326</f>
        <v>2016</v>
      </c>
      <c r="C1326" t="str">
        <f>data!C1326</f>
        <v>084</v>
      </c>
      <c r="D1326" t="str">
        <f>data!D1326</f>
        <v>VIGNOBLE CASTELMAURE</v>
      </c>
      <c r="E1326" t="str">
        <f>data!E1326</f>
        <v>084001</v>
      </c>
      <c r="F1326" t="str">
        <f>data!F1326</f>
        <v>AC CORBIERES CASTELMAURE</v>
      </c>
      <c r="G1326" s="10">
        <f>data!G1326</f>
        <v>885.5</v>
      </c>
      <c r="H1326" s="10">
        <f>data!I1326</f>
        <v>1159</v>
      </c>
      <c r="I1326" s="10">
        <f t="shared" si="80"/>
        <v>-273.5</v>
      </c>
      <c r="J1326" s="11">
        <f>data!H1326</f>
        <v>613.17999999999995</v>
      </c>
      <c r="K1326" s="11">
        <f>data!J1326</f>
        <v>813.13</v>
      </c>
      <c r="L1326" s="11">
        <f t="shared" si="81"/>
        <v>-199.95000000000005</v>
      </c>
      <c r="M1326" s="9">
        <f t="shared" si="82"/>
        <v>-0.23597929249352889</v>
      </c>
      <c r="N1326" s="9">
        <f t="shared" si="83"/>
        <v>-0.24590163934426235</v>
      </c>
    </row>
    <row r="1327" spans="1:14" x14ac:dyDescent="0.25">
      <c r="A1327" t="str">
        <f>TEXT("1/"&amp;data!A1327,"mmmm")</f>
        <v>mai</v>
      </c>
      <c r="B1327">
        <f>data!B1327</f>
        <v>2016</v>
      </c>
      <c r="C1327" t="str">
        <f>data!C1327</f>
        <v>084</v>
      </c>
      <c r="D1327" t="str">
        <f>data!D1327</f>
        <v>VIGNOBLE CASTELMAURE</v>
      </c>
      <c r="E1327" t="str">
        <f>data!E1327</f>
        <v>084002</v>
      </c>
      <c r="F1327" t="str">
        <f>data!F1327</f>
        <v>AC CORBIERES CASTELMAURE</v>
      </c>
      <c r="G1327" s="10">
        <f>data!G1327</f>
        <v>1937.6</v>
      </c>
      <c r="H1327" s="10">
        <f>data!I1327</f>
        <v>1760</v>
      </c>
      <c r="I1327" s="10">
        <f t="shared" si="80"/>
        <v>177.59999999999991</v>
      </c>
      <c r="J1327" s="11">
        <f>data!H1327</f>
        <v>1167.25</v>
      </c>
      <c r="K1327" s="11">
        <f>data!J1327</f>
        <v>1067.2</v>
      </c>
      <c r="L1327" s="11">
        <f t="shared" si="81"/>
        <v>100.04999999999995</v>
      </c>
      <c r="M1327" s="9">
        <f t="shared" si="82"/>
        <v>0.10090909090909085</v>
      </c>
      <c r="N1327" s="9">
        <f t="shared" si="83"/>
        <v>9.3749999999999958E-2</v>
      </c>
    </row>
    <row r="1328" spans="1:14" x14ac:dyDescent="0.25">
      <c r="A1328" t="str">
        <f>TEXT("1/"&amp;data!A1328,"mmmm")</f>
        <v>mai</v>
      </c>
      <c r="B1328">
        <f>data!B1328</f>
        <v>2016</v>
      </c>
      <c r="C1328" t="str">
        <f>data!C1328</f>
        <v>084</v>
      </c>
      <c r="D1328" t="str">
        <f>data!D1328</f>
        <v>VIGNOBLE CASTELMAURE</v>
      </c>
      <c r="E1328" t="str">
        <f>data!E1328</f>
        <v>084004</v>
      </c>
      <c r="F1328" t="str">
        <f>data!F1328</f>
        <v>VDT BUVETTE CASTELMAURE (x6)</v>
      </c>
      <c r="G1328" s="10">
        <f>data!G1328</f>
        <v>378</v>
      </c>
      <c r="H1328" s="10">
        <f>data!I1328</f>
        <v>873.3</v>
      </c>
      <c r="I1328" s="10">
        <f t="shared" si="80"/>
        <v>-495.29999999999995</v>
      </c>
      <c r="J1328" s="11">
        <f>data!H1328</f>
        <v>180</v>
      </c>
      <c r="K1328" s="11">
        <f>data!J1328</f>
        <v>426</v>
      </c>
      <c r="L1328" s="11">
        <f t="shared" si="81"/>
        <v>-246</v>
      </c>
      <c r="M1328" s="9">
        <f t="shared" si="82"/>
        <v>-0.56715905187220883</v>
      </c>
      <c r="N1328" s="9">
        <f t="shared" si="83"/>
        <v>-0.57746478873239437</v>
      </c>
    </row>
    <row r="1329" spans="1:14" x14ac:dyDescent="0.25">
      <c r="A1329" t="str">
        <f>TEXT("1/"&amp;data!A1329,"mmmm")</f>
        <v>mai</v>
      </c>
      <c r="B1329">
        <f>data!B1329</f>
        <v>2016</v>
      </c>
      <c r="C1329" t="str">
        <f>data!C1329</f>
        <v>084</v>
      </c>
      <c r="D1329" t="str">
        <f>data!D1329</f>
        <v>VIGNOBLE CASTELMAURE</v>
      </c>
      <c r="E1329" t="str">
        <f>data!E1329</f>
        <v>084006</v>
      </c>
      <c r="F1329" t="str">
        <f>data!F1329</f>
        <v>AOP CORBIERES LE CASTELMAURE</v>
      </c>
      <c r="G1329" s="10">
        <f>data!G1329</f>
        <v>2359.5</v>
      </c>
      <c r="H1329" s="10">
        <f>data!I1329</f>
        <v>2122.1999999999998</v>
      </c>
      <c r="I1329" s="10">
        <f t="shared" si="80"/>
        <v>237.30000000000018</v>
      </c>
      <c r="J1329" s="11">
        <f>data!H1329</f>
        <v>870</v>
      </c>
      <c r="K1329" s="11">
        <f>data!J1329</f>
        <v>792</v>
      </c>
      <c r="L1329" s="11">
        <f t="shared" si="81"/>
        <v>78</v>
      </c>
      <c r="M1329" s="9">
        <f t="shared" si="82"/>
        <v>0.11181792479502413</v>
      </c>
      <c r="N1329" s="9">
        <f t="shared" si="83"/>
        <v>9.8484848484848481E-2</v>
      </c>
    </row>
    <row r="1330" spans="1:14" x14ac:dyDescent="0.25">
      <c r="A1330" t="str">
        <f>TEXT("1/"&amp;data!A1330,"mmmm")</f>
        <v>mai</v>
      </c>
      <c r="B1330">
        <f>data!B1330</f>
        <v>2016</v>
      </c>
      <c r="C1330" t="str">
        <f>data!C1330</f>
        <v>084</v>
      </c>
      <c r="D1330" t="str">
        <f>data!D1330</f>
        <v>VIGNOBLE CASTELMAURE</v>
      </c>
      <c r="E1330" t="str">
        <f>data!E1330</f>
        <v>084007</v>
      </c>
      <c r="F1330" t="str">
        <f>data!F1330</f>
        <v>AC CORBIERES LA POMPADOUR</v>
      </c>
      <c r="G1330" s="10">
        <f>data!G1330</f>
        <v>828</v>
      </c>
      <c r="H1330" s="10">
        <f>data!I1330</f>
        <v>1026</v>
      </c>
      <c r="I1330" s="10">
        <f t="shared" si="80"/>
        <v>-198</v>
      </c>
      <c r="J1330" s="11">
        <f>data!H1330</f>
        <v>186</v>
      </c>
      <c r="K1330" s="11">
        <f>data!J1330</f>
        <v>228</v>
      </c>
      <c r="L1330" s="11">
        <f t="shared" si="81"/>
        <v>-42</v>
      </c>
      <c r="M1330" s="9">
        <f t="shared" si="82"/>
        <v>-0.19298245614035087</v>
      </c>
      <c r="N1330" s="9">
        <f t="shared" si="83"/>
        <v>-0.18421052631578946</v>
      </c>
    </row>
    <row r="1331" spans="1:14" x14ac:dyDescent="0.25">
      <c r="A1331" t="str">
        <f>TEXT("1/"&amp;data!A1331,"mmmm")</f>
        <v>mai</v>
      </c>
      <c r="B1331">
        <f>data!B1331</f>
        <v>2016</v>
      </c>
      <c r="C1331" t="str">
        <f>data!C1331</f>
        <v>084</v>
      </c>
      <c r="D1331" t="str">
        <f>data!D1331</f>
        <v>VIGNOBLE CASTELMAURE</v>
      </c>
      <c r="E1331" t="str">
        <f>data!E1331</f>
        <v>084008</v>
      </c>
      <c r="F1331" t="str">
        <f>data!F1331</f>
        <v>AC CORBIERES LA GDE CUVEE</v>
      </c>
      <c r="G1331" s="10">
        <f>data!G1331</f>
        <v>143.52000000000001</v>
      </c>
      <c r="H1331" s="10">
        <f>data!I1331</f>
        <v>140.4</v>
      </c>
      <c r="I1331" s="10">
        <f t="shared" si="80"/>
        <v>3.1200000000000045</v>
      </c>
      <c r="J1331" s="11">
        <f>data!H1331</f>
        <v>24</v>
      </c>
      <c r="K1331" s="11">
        <f>data!J1331</f>
        <v>24</v>
      </c>
      <c r="L1331" s="11">
        <f t="shared" si="81"/>
        <v>0</v>
      </c>
      <c r="M1331" s="9">
        <f t="shared" si="82"/>
        <v>2.2222222222222254E-2</v>
      </c>
      <c r="N1331" s="9">
        <f t="shared" si="83"/>
        <v>0</v>
      </c>
    </row>
    <row r="1332" spans="1:14" x14ac:dyDescent="0.25">
      <c r="A1332" t="str">
        <f>TEXT("1/"&amp;data!A1332,"mmmm")</f>
        <v>mai</v>
      </c>
      <c r="B1332">
        <f>data!B1332</f>
        <v>2016</v>
      </c>
      <c r="C1332" t="str">
        <f>data!C1332</f>
        <v>084</v>
      </c>
      <c r="D1332" t="str">
        <f>data!D1332</f>
        <v>VIGNOBLE CASTELMAURE</v>
      </c>
      <c r="E1332" t="str">
        <f>data!E1332</f>
        <v>084015</v>
      </c>
      <c r="F1332" t="str">
        <f>data!F1332</f>
        <v>AC CORBIERES " LE 3 "</v>
      </c>
      <c r="G1332" s="10">
        <f>data!G1332</f>
        <v>387</v>
      </c>
      <c r="H1332" s="10">
        <f>data!I1332</f>
        <v>441</v>
      </c>
      <c r="I1332" s="10">
        <f t="shared" si="80"/>
        <v>-54</v>
      </c>
      <c r="J1332" s="11">
        <f>data!H1332</f>
        <v>36</v>
      </c>
      <c r="K1332" s="11">
        <f>data!J1332</f>
        <v>42</v>
      </c>
      <c r="L1332" s="11">
        <f t="shared" si="81"/>
        <v>-6</v>
      </c>
      <c r="M1332" s="9">
        <f t="shared" si="82"/>
        <v>-0.12244897959183673</v>
      </c>
      <c r="N1332" s="9">
        <f t="shared" si="83"/>
        <v>-0.14285714285714285</v>
      </c>
    </row>
    <row r="1333" spans="1:14" x14ac:dyDescent="0.25">
      <c r="A1333" t="str">
        <f>TEXT("1/"&amp;data!A1333,"mmmm")</f>
        <v>mai</v>
      </c>
      <c r="B1333">
        <f>data!B1333</f>
        <v>2016</v>
      </c>
      <c r="C1333" t="str">
        <f>data!C1333</f>
        <v>084</v>
      </c>
      <c r="D1333" t="str">
        <f>data!D1333</f>
        <v>VIGNOBLE CASTELMAURE</v>
      </c>
      <c r="E1333" t="str">
        <f>data!E1333</f>
        <v>084041</v>
      </c>
      <c r="F1333" t="str">
        <f>data!F1333</f>
        <v>AOP CORBIERES ROSE AGRICOLE</v>
      </c>
      <c r="G1333" s="10">
        <f>data!G1333</f>
        <v>0</v>
      </c>
      <c r="H1333" s="10">
        <f>data!I1333</f>
        <v>0</v>
      </c>
      <c r="I1333" s="10">
        <f t="shared" si="80"/>
        <v>0</v>
      </c>
      <c r="J1333" s="11">
        <f>data!H1333</f>
        <v>6</v>
      </c>
      <c r="K1333" s="11">
        <f>data!J1333</f>
        <v>0</v>
      </c>
      <c r="L1333" s="11">
        <f t="shared" si="81"/>
        <v>6</v>
      </c>
      <c r="M1333" s="9" t="str">
        <f t="shared" si="82"/>
        <v/>
      </c>
      <c r="N1333" s="9" t="str">
        <f t="shared" si="83"/>
        <v/>
      </c>
    </row>
    <row r="1334" spans="1:14" x14ac:dyDescent="0.25">
      <c r="A1334" t="str">
        <f>TEXT("1/"&amp;data!A1334,"mmmm")</f>
        <v>mai</v>
      </c>
      <c r="B1334">
        <f>data!B1334</f>
        <v>2016</v>
      </c>
      <c r="C1334" t="str">
        <f>data!C1334</f>
        <v>086B</v>
      </c>
      <c r="D1334" t="str">
        <f>data!D1334</f>
        <v>PRODIFFU - TERRE DE VIGNERONS</v>
      </c>
      <c r="E1334" t="str">
        <f>data!E1334</f>
        <v>086011P</v>
      </c>
      <c r="F1334" t="str">
        <f>data!F1334</f>
        <v>AC C.DE DURAS BERTICOT</v>
      </c>
      <c r="G1334" s="10">
        <f>data!G1334</f>
        <v>197.67</v>
      </c>
      <c r="H1334" s="10">
        <f>data!I1334</f>
        <v>822.71</v>
      </c>
      <c r="I1334" s="10">
        <f t="shared" si="80"/>
        <v>-625.04000000000008</v>
      </c>
      <c r="J1334" s="11">
        <f>data!H1334</f>
        <v>146.63</v>
      </c>
      <c r="K1334" s="11">
        <f>data!J1334</f>
        <v>653.16999999999996</v>
      </c>
      <c r="L1334" s="11">
        <f t="shared" si="81"/>
        <v>-506.53999999999996</v>
      </c>
      <c r="M1334" s="9">
        <f t="shared" si="82"/>
        <v>-0.75973307726902561</v>
      </c>
      <c r="N1334" s="9">
        <f t="shared" si="83"/>
        <v>-0.77551020408163263</v>
      </c>
    </row>
    <row r="1335" spans="1:14" x14ac:dyDescent="0.25">
      <c r="A1335" t="str">
        <f>TEXT("1/"&amp;data!A1335,"mmmm")</f>
        <v>mai</v>
      </c>
      <c r="B1335">
        <f>data!B1335</f>
        <v>2016</v>
      </c>
      <c r="C1335" t="str">
        <f>data!C1335</f>
        <v>086B</v>
      </c>
      <c r="D1335" t="str">
        <f>data!D1335</f>
        <v>PRODIFFU - TERRE DE VIGNERONS</v>
      </c>
      <c r="E1335" t="str">
        <f>data!E1335</f>
        <v>086012P</v>
      </c>
      <c r="F1335" t="str">
        <f>data!F1335</f>
        <v>AC C.DE DURAS BERTICOT</v>
      </c>
      <c r="G1335" s="10">
        <f>data!G1335</f>
        <v>49.55</v>
      </c>
      <c r="H1335" s="10">
        <f>data!I1335</f>
        <v>453.74</v>
      </c>
      <c r="I1335" s="10">
        <f t="shared" si="80"/>
        <v>-404.19</v>
      </c>
      <c r="J1335" s="11">
        <f>data!H1335</f>
        <v>26.68</v>
      </c>
      <c r="K1335" s="11">
        <f>data!J1335</f>
        <v>333.5</v>
      </c>
      <c r="L1335" s="11">
        <f t="shared" si="81"/>
        <v>-306.82</v>
      </c>
      <c r="M1335" s="9">
        <f t="shared" si="82"/>
        <v>-0.8907964913827302</v>
      </c>
      <c r="N1335" s="9">
        <f t="shared" si="83"/>
        <v>-0.91999999999999993</v>
      </c>
    </row>
    <row r="1336" spans="1:14" x14ac:dyDescent="0.25">
      <c r="A1336" t="str">
        <f>TEXT("1/"&amp;data!A1336,"mmmm")</f>
        <v>mai</v>
      </c>
      <c r="B1336">
        <f>data!B1336</f>
        <v>2016</v>
      </c>
      <c r="C1336" t="str">
        <f>data!C1336</f>
        <v>089</v>
      </c>
      <c r="D1336" t="str">
        <f>data!D1336</f>
        <v>DOMAINE DE LA PALEINE</v>
      </c>
      <c r="E1336" t="str">
        <f>data!E1336</f>
        <v>089002</v>
      </c>
      <c r="F1336" t="str">
        <f>data!F1336</f>
        <v>AC SAUMUR C.DU PRINTEMPS LA PALEINE</v>
      </c>
      <c r="G1336" s="10">
        <f>data!G1336</f>
        <v>109.5</v>
      </c>
      <c r="H1336" s="10">
        <f>data!I1336</f>
        <v>21.3</v>
      </c>
      <c r="I1336" s="10">
        <f t="shared" si="80"/>
        <v>88.2</v>
      </c>
      <c r="J1336" s="11">
        <f>data!H1336</f>
        <v>36</v>
      </c>
      <c r="K1336" s="11">
        <f>data!J1336</f>
        <v>6</v>
      </c>
      <c r="L1336" s="11">
        <f t="shared" si="81"/>
        <v>30</v>
      </c>
      <c r="M1336" s="9">
        <f t="shared" si="82"/>
        <v>4.140845070422535</v>
      </c>
      <c r="N1336" s="9">
        <f t="shared" si="83"/>
        <v>5</v>
      </c>
    </row>
    <row r="1337" spans="1:14" x14ac:dyDescent="0.25">
      <c r="A1337" t="str">
        <f>TEXT("1/"&amp;data!A1337,"mmmm")</f>
        <v>mai</v>
      </c>
      <c r="B1337">
        <f>data!B1337</f>
        <v>2016</v>
      </c>
      <c r="C1337" t="str">
        <f>data!C1337</f>
        <v>089</v>
      </c>
      <c r="D1337" t="str">
        <f>data!D1337</f>
        <v>DOMAINE DE LA PALEINE</v>
      </c>
      <c r="E1337" t="str">
        <f>data!E1337</f>
        <v>089010</v>
      </c>
      <c r="F1337" t="str">
        <f>data!F1337</f>
        <v>AC SAUMUR DLA PALEINE</v>
      </c>
      <c r="G1337" s="10">
        <f>data!G1337</f>
        <v>44.4</v>
      </c>
      <c r="H1337" s="10">
        <f>data!I1337</f>
        <v>0</v>
      </c>
      <c r="I1337" s="10">
        <f t="shared" si="80"/>
        <v>44.4</v>
      </c>
      <c r="J1337" s="11">
        <f>data!H1337</f>
        <v>12</v>
      </c>
      <c r="K1337" s="11">
        <f>data!J1337</f>
        <v>0</v>
      </c>
      <c r="L1337" s="11">
        <f t="shared" si="81"/>
        <v>12</v>
      </c>
      <c r="M1337" s="9" t="str">
        <f t="shared" si="82"/>
        <v/>
      </c>
      <c r="N1337" s="9" t="str">
        <f t="shared" si="83"/>
        <v/>
      </c>
    </row>
    <row r="1338" spans="1:14" x14ac:dyDescent="0.25">
      <c r="A1338" t="str">
        <f>TEXT("1/"&amp;data!A1338,"mmmm")</f>
        <v>mai</v>
      </c>
      <c r="B1338">
        <f>data!B1338</f>
        <v>2016</v>
      </c>
      <c r="C1338" t="str">
        <f>data!C1338</f>
        <v>089</v>
      </c>
      <c r="D1338" t="str">
        <f>data!D1338</f>
        <v>DOMAINE DE LA PALEINE</v>
      </c>
      <c r="E1338" t="str">
        <f>data!E1338</f>
        <v>089800</v>
      </c>
      <c r="F1338" t="str">
        <f>data!F1338</f>
        <v>AC SAUMUR BRUT D.DE LA PALEINE</v>
      </c>
      <c r="G1338" s="10">
        <f>data!G1338</f>
        <v>522.9</v>
      </c>
      <c r="H1338" s="10">
        <f>data!I1338</f>
        <v>0</v>
      </c>
      <c r="I1338" s="10">
        <f t="shared" si="80"/>
        <v>522.9</v>
      </c>
      <c r="J1338" s="11">
        <f>data!H1338</f>
        <v>126</v>
      </c>
      <c r="K1338" s="11">
        <f>data!J1338</f>
        <v>0</v>
      </c>
      <c r="L1338" s="11">
        <f t="shared" si="81"/>
        <v>126</v>
      </c>
      <c r="M1338" s="9" t="str">
        <f t="shared" si="82"/>
        <v/>
      </c>
      <c r="N1338" s="9" t="str">
        <f t="shared" si="83"/>
        <v/>
      </c>
    </row>
    <row r="1339" spans="1:14" x14ac:dyDescent="0.25">
      <c r="A1339" t="str">
        <f>TEXT("1/"&amp;data!A1339,"mmmm")</f>
        <v>mai</v>
      </c>
      <c r="B1339">
        <f>data!B1339</f>
        <v>2016</v>
      </c>
      <c r="C1339" t="str">
        <f>data!C1339</f>
        <v>089</v>
      </c>
      <c r="D1339" t="str">
        <f>data!D1339</f>
        <v>DOMAINE DE LA PALEINE</v>
      </c>
      <c r="E1339" t="str">
        <f>data!E1339</f>
        <v>089900</v>
      </c>
      <c r="F1339" t="str">
        <f>data!F1339</f>
        <v>AC SAUMUR RESERVE D.LA PALEINE</v>
      </c>
      <c r="G1339" s="10">
        <f>data!G1339</f>
        <v>658.75</v>
      </c>
      <c r="H1339" s="10">
        <f>data!I1339</f>
        <v>243</v>
      </c>
      <c r="I1339" s="10">
        <f t="shared" si="80"/>
        <v>415.75</v>
      </c>
      <c r="J1339" s="11">
        <f>data!H1339</f>
        <v>413.23</v>
      </c>
      <c r="K1339" s="11">
        <f>data!J1339</f>
        <v>173.29</v>
      </c>
      <c r="L1339" s="11">
        <f t="shared" si="81"/>
        <v>239.94000000000003</v>
      </c>
      <c r="M1339" s="9">
        <f t="shared" si="82"/>
        <v>1.7109053497942386</v>
      </c>
      <c r="N1339" s="9">
        <f t="shared" si="83"/>
        <v>1.3846153846153848</v>
      </c>
    </row>
    <row r="1340" spans="1:14" x14ac:dyDescent="0.25">
      <c r="A1340" t="str">
        <f>TEXT("1/"&amp;data!A1340,"mmmm")</f>
        <v>mai</v>
      </c>
      <c r="B1340">
        <f>data!B1340</f>
        <v>2016</v>
      </c>
      <c r="C1340" t="str">
        <f>data!C1340</f>
        <v>089</v>
      </c>
      <c r="D1340" t="str">
        <f>data!D1340</f>
        <v>DOMAINE DE LA PALEINE</v>
      </c>
      <c r="E1340" t="str">
        <f>data!E1340</f>
        <v>089901</v>
      </c>
      <c r="F1340" t="str">
        <f>data!F1340</f>
        <v>AC SAUMUR D.LA PALEINE</v>
      </c>
      <c r="G1340" s="10">
        <f>data!G1340</f>
        <v>910.8</v>
      </c>
      <c r="H1340" s="10">
        <f>data!I1340</f>
        <v>439.2</v>
      </c>
      <c r="I1340" s="10">
        <f t="shared" si="80"/>
        <v>471.59999999999997</v>
      </c>
      <c r="J1340" s="11">
        <f>data!H1340</f>
        <v>460.23</v>
      </c>
      <c r="K1340" s="11">
        <f>data!J1340</f>
        <v>240.12</v>
      </c>
      <c r="L1340" s="11">
        <f t="shared" si="81"/>
        <v>220.11</v>
      </c>
      <c r="M1340" s="9">
        <f t="shared" si="82"/>
        <v>1.0737704918032787</v>
      </c>
      <c r="N1340" s="9">
        <f t="shared" si="83"/>
        <v>0.91666666666666674</v>
      </c>
    </row>
    <row r="1341" spans="1:14" x14ac:dyDescent="0.25">
      <c r="A1341" t="str">
        <f>TEXT("1/"&amp;data!A1341,"mmmm")</f>
        <v>mai</v>
      </c>
      <c r="B1341">
        <f>data!B1341</f>
        <v>2016</v>
      </c>
      <c r="C1341" t="str">
        <f>data!C1341</f>
        <v>089</v>
      </c>
      <c r="D1341" t="str">
        <f>data!D1341</f>
        <v>DOMAINE DE LA PALEINE</v>
      </c>
      <c r="E1341" t="str">
        <f>data!E1341</f>
        <v>089903</v>
      </c>
      <c r="F1341" t="str">
        <f>data!F1341</f>
        <v>AC SAUMUR BRUT M.TRAD LA PALEINE</v>
      </c>
      <c r="G1341" s="10">
        <f>data!G1341</f>
        <v>418.2</v>
      </c>
      <c r="H1341" s="10">
        <f>data!I1341</f>
        <v>826.2</v>
      </c>
      <c r="I1341" s="10">
        <f t="shared" si="80"/>
        <v>-408.00000000000006</v>
      </c>
      <c r="J1341" s="11">
        <f>data!H1341</f>
        <v>102</v>
      </c>
      <c r="K1341" s="11">
        <f>data!J1341</f>
        <v>204</v>
      </c>
      <c r="L1341" s="11">
        <f t="shared" si="81"/>
        <v>-102</v>
      </c>
      <c r="M1341" s="9">
        <f t="shared" si="82"/>
        <v>-0.49382716049382719</v>
      </c>
      <c r="N1341" s="9">
        <f t="shared" si="83"/>
        <v>-0.5</v>
      </c>
    </row>
    <row r="1342" spans="1:14" x14ac:dyDescent="0.25">
      <c r="A1342" t="str">
        <f>TEXT("1/"&amp;data!A1342,"mmmm")</f>
        <v>mai</v>
      </c>
      <c r="B1342">
        <f>data!B1342</f>
        <v>2016</v>
      </c>
      <c r="C1342" t="str">
        <f>data!C1342</f>
        <v>094</v>
      </c>
      <c r="D1342" t="str">
        <f>data!D1342</f>
        <v>CHATEAU TOUR GRANINS-GRAND POUJEAUX</v>
      </c>
      <c r="E1342" t="str">
        <f>data!E1342</f>
        <v>094001</v>
      </c>
      <c r="F1342" t="str">
        <f>data!F1342</f>
        <v>AC MOULIS EN MEDOC TOUR GRANINS GD-POUJEAUX</v>
      </c>
      <c r="G1342" s="10">
        <f>data!G1342</f>
        <v>811.2</v>
      </c>
      <c r="H1342" s="10">
        <f>data!I1342</f>
        <v>1528.8</v>
      </c>
      <c r="I1342" s="10">
        <f t="shared" si="80"/>
        <v>-717.59999999999991</v>
      </c>
      <c r="J1342" s="11">
        <f>data!H1342</f>
        <v>156</v>
      </c>
      <c r="K1342" s="11">
        <f>data!J1342</f>
        <v>294</v>
      </c>
      <c r="L1342" s="11">
        <f t="shared" si="81"/>
        <v>-138</v>
      </c>
      <c r="M1342" s="9">
        <f t="shared" si="82"/>
        <v>-0.46938775510204078</v>
      </c>
      <c r="N1342" s="9">
        <f t="shared" si="83"/>
        <v>-0.46938775510204084</v>
      </c>
    </row>
    <row r="1343" spans="1:14" x14ac:dyDescent="0.25">
      <c r="A1343" t="str">
        <f>TEXT("1/"&amp;data!A1343,"mmmm")</f>
        <v>mai</v>
      </c>
      <c r="B1343">
        <f>data!B1343</f>
        <v>2016</v>
      </c>
      <c r="C1343" t="str">
        <f>data!C1343</f>
        <v>095</v>
      </c>
      <c r="D1343" t="str">
        <f>data!D1343</f>
        <v>MR FILLON</v>
      </c>
      <c r="E1343" t="str">
        <f>data!E1343</f>
        <v>095001</v>
      </c>
      <c r="F1343" t="str">
        <f>data!F1343</f>
        <v>AC BOURG ALIG D.FILLON</v>
      </c>
      <c r="G1343" s="10">
        <f>data!G1343</f>
        <v>1709.4</v>
      </c>
      <c r="H1343" s="10">
        <f>data!I1343</f>
        <v>2708.4</v>
      </c>
      <c r="I1343" s="10">
        <f t="shared" si="80"/>
        <v>-999</v>
      </c>
      <c r="J1343" s="11">
        <f>data!H1343</f>
        <v>462</v>
      </c>
      <c r="K1343" s="11">
        <f>data!J1343</f>
        <v>738</v>
      </c>
      <c r="L1343" s="11">
        <f t="shared" si="81"/>
        <v>-276</v>
      </c>
      <c r="M1343" s="9">
        <f t="shared" si="82"/>
        <v>-0.36885245901639341</v>
      </c>
      <c r="N1343" s="9">
        <f t="shared" si="83"/>
        <v>-0.37398373983739835</v>
      </c>
    </row>
    <row r="1344" spans="1:14" x14ac:dyDescent="0.25">
      <c r="A1344" t="str">
        <f>TEXT("1/"&amp;data!A1344,"mmmm")</f>
        <v>mai</v>
      </c>
      <c r="B1344">
        <f>data!B1344</f>
        <v>2016</v>
      </c>
      <c r="C1344" t="str">
        <f>data!C1344</f>
        <v>095</v>
      </c>
      <c r="D1344" t="str">
        <f>data!D1344</f>
        <v>MR FILLON</v>
      </c>
      <c r="E1344" t="str">
        <f>data!E1344</f>
        <v>095002</v>
      </c>
      <c r="F1344" t="str">
        <f>data!F1344</f>
        <v>AC BOURG ALIG D.FILLON</v>
      </c>
      <c r="G1344" s="10">
        <f>data!G1344</f>
        <v>-26.4</v>
      </c>
      <c r="H1344" s="10">
        <f>data!I1344</f>
        <v>0</v>
      </c>
      <c r="I1344" s="10">
        <f t="shared" si="80"/>
        <v>-26.4</v>
      </c>
      <c r="J1344" s="11">
        <f>data!H1344</f>
        <v>-6</v>
      </c>
      <c r="K1344" s="11">
        <f>data!J1344</f>
        <v>0</v>
      </c>
      <c r="L1344" s="11">
        <f t="shared" si="81"/>
        <v>-6</v>
      </c>
      <c r="M1344" s="9" t="str">
        <f t="shared" si="82"/>
        <v/>
      </c>
      <c r="N1344" s="9" t="str">
        <f t="shared" si="83"/>
        <v/>
      </c>
    </row>
    <row r="1345" spans="1:14" x14ac:dyDescent="0.25">
      <c r="A1345" t="str">
        <f>TEXT("1/"&amp;data!A1345,"mmmm")</f>
        <v>mai</v>
      </c>
      <c r="B1345">
        <f>data!B1345</f>
        <v>2016</v>
      </c>
      <c r="C1345" t="str">
        <f>data!C1345</f>
        <v>095</v>
      </c>
      <c r="D1345" t="str">
        <f>data!D1345</f>
        <v>MR FILLON</v>
      </c>
      <c r="E1345" t="str">
        <f>data!E1345</f>
        <v>095004</v>
      </c>
      <c r="F1345" t="str">
        <f>data!F1345</f>
        <v>DOM FILLON  BOURGOGNE CHARDONNAY</v>
      </c>
      <c r="G1345" s="10">
        <f>data!G1345</f>
        <v>0</v>
      </c>
      <c r="H1345" s="10">
        <f>data!I1345</f>
        <v>0</v>
      </c>
      <c r="I1345" s="10">
        <f t="shared" si="80"/>
        <v>0</v>
      </c>
      <c r="J1345" s="11">
        <f>data!H1345</f>
        <v>24</v>
      </c>
      <c r="K1345" s="11">
        <f>data!J1345</f>
        <v>0</v>
      </c>
      <c r="L1345" s="11">
        <f t="shared" si="81"/>
        <v>24</v>
      </c>
      <c r="M1345" s="9" t="str">
        <f t="shared" si="82"/>
        <v/>
      </c>
      <c r="N1345" s="9" t="str">
        <f t="shared" si="83"/>
        <v/>
      </c>
    </row>
    <row r="1346" spans="1:14" x14ac:dyDescent="0.25">
      <c r="A1346" t="str">
        <f>TEXT("1/"&amp;data!A1346,"mmmm")</f>
        <v>mai</v>
      </c>
      <c r="B1346">
        <f>data!B1346</f>
        <v>2016</v>
      </c>
      <c r="C1346" t="str">
        <f>data!C1346</f>
        <v>095</v>
      </c>
      <c r="D1346" t="str">
        <f>data!D1346</f>
        <v>MR FILLON</v>
      </c>
      <c r="E1346" t="str">
        <f>data!E1346</f>
        <v>095005</v>
      </c>
      <c r="F1346" t="str">
        <f>data!F1346</f>
        <v>DOM FILLON AC SAUVIGNON DE ST BRIS</v>
      </c>
      <c r="G1346" s="10">
        <f>data!G1346</f>
        <v>140.4</v>
      </c>
      <c r="H1346" s="10">
        <f>data!I1346</f>
        <v>0</v>
      </c>
      <c r="I1346" s="10">
        <f t="shared" si="80"/>
        <v>140.4</v>
      </c>
      <c r="J1346" s="11">
        <f>data!H1346</f>
        <v>36</v>
      </c>
      <c r="K1346" s="11">
        <f>data!J1346</f>
        <v>0</v>
      </c>
      <c r="L1346" s="11">
        <f t="shared" si="81"/>
        <v>36</v>
      </c>
      <c r="M1346" s="9" t="str">
        <f t="shared" si="82"/>
        <v/>
      </c>
      <c r="N1346" s="9" t="str">
        <f t="shared" si="83"/>
        <v/>
      </c>
    </row>
    <row r="1347" spans="1:14" x14ac:dyDescent="0.25">
      <c r="A1347" t="str">
        <f>TEXT("1/"&amp;data!A1347,"mmmm")</f>
        <v>mai</v>
      </c>
      <c r="B1347">
        <f>data!B1347</f>
        <v>2016</v>
      </c>
      <c r="C1347" t="str">
        <f>data!C1347</f>
        <v>095</v>
      </c>
      <c r="D1347" t="str">
        <f>data!D1347</f>
        <v>MR FILLON</v>
      </c>
      <c r="E1347" t="str">
        <f>data!E1347</f>
        <v>095010</v>
      </c>
      <c r="F1347" t="str">
        <f>data!F1347</f>
        <v>DOM FILLON AC PETIT CHABLIS</v>
      </c>
      <c r="G1347" s="10">
        <f>data!G1347</f>
        <v>4290.3</v>
      </c>
      <c r="H1347" s="10">
        <f>data!I1347</f>
        <v>1116</v>
      </c>
      <c r="I1347" s="10">
        <f t="shared" ref="I1347:I1410" si="84">G1347-H1347</f>
        <v>3174.3</v>
      </c>
      <c r="J1347" s="11">
        <f>data!H1347</f>
        <v>948</v>
      </c>
      <c r="K1347" s="11">
        <f>data!J1347</f>
        <v>246</v>
      </c>
      <c r="L1347" s="11">
        <f t="shared" ref="L1347:L1410" si="85">J1347-K1347</f>
        <v>702</v>
      </c>
      <c r="M1347" s="9">
        <f t="shared" ref="M1347:M1410" si="86">IF(ISERR(I1347/H1347),"",I1347/H1347)</f>
        <v>2.8443548387096778</v>
      </c>
      <c r="N1347" s="9">
        <f t="shared" ref="N1347:N1410" si="87">IF(ISERR(L1347/K1347),"",L1347/K1347)</f>
        <v>2.8536585365853657</v>
      </c>
    </row>
    <row r="1348" spans="1:14" x14ac:dyDescent="0.25">
      <c r="A1348" t="str">
        <f>TEXT("1/"&amp;data!A1348,"mmmm")</f>
        <v>mai</v>
      </c>
      <c r="B1348">
        <f>data!B1348</f>
        <v>2016</v>
      </c>
      <c r="C1348" t="str">
        <f>data!C1348</f>
        <v>095</v>
      </c>
      <c r="D1348" t="str">
        <f>data!D1348</f>
        <v>MR FILLON</v>
      </c>
      <c r="E1348" t="str">
        <f>data!E1348</f>
        <v>095012</v>
      </c>
      <c r="F1348" t="str">
        <f>data!F1348</f>
        <v>DOM FILLON AC CHABLIS</v>
      </c>
      <c r="G1348" s="10">
        <f>data!G1348</f>
        <v>260.39999999999998</v>
      </c>
      <c r="H1348" s="10">
        <f>data!I1348</f>
        <v>0</v>
      </c>
      <c r="I1348" s="10">
        <f t="shared" si="84"/>
        <v>260.39999999999998</v>
      </c>
      <c r="J1348" s="11">
        <f>data!H1348</f>
        <v>42</v>
      </c>
      <c r="K1348" s="11">
        <f>data!J1348</f>
        <v>0</v>
      </c>
      <c r="L1348" s="11">
        <f t="shared" si="85"/>
        <v>42</v>
      </c>
      <c r="M1348" s="9" t="str">
        <f t="shared" si="86"/>
        <v/>
      </c>
      <c r="N1348" s="9" t="str">
        <f t="shared" si="87"/>
        <v/>
      </c>
    </row>
    <row r="1349" spans="1:14" x14ac:dyDescent="0.25">
      <c r="A1349" t="str">
        <f>TEXT("1/"&amp;data!A1349,"mmmm")</f>
        <v>mai</v>
      </c>
      <c r="B1349">
        <f>data!B1349</f>
        <v>2016</v>
      </c>
      <c r="C1349" t="str">
        <f>data!C1349</f>
        <v>095</v>
      </c>
      <c r="D1349" t="str">
        <f>data!D1349</f>
        <v>MR FILLON</v>
      </c>
      <c r="E1349" t="str">
        <f>data!E1349</f>
        <v>095014</v>
      </c>
      <c r="F1349" t="str">
        <f>data!F1349</f>
        <v>DOM FILLON AC CHABLIS VIEILLES VIGNES</v>
      </c>
      <c r="G1349" s="10">
        <f>data!G1349</f>
        <v>489.6</v>
      </c>
      <c r="H1349" s="10">
        <f>data!I1349</f>
        <v>163.19999999999999</v>
      </c>
      <c r="I1349" s="10">
        <f t="shared" si="84"/>
        <v>326.40000000000003</v>
      </c>
      <c r="J1349" s="11">
        <f>data!H1349</f>
        <v>72</v>
      </c>
      <c r="K1349" s="11">
        <f>data!J1349</f>
        <v>24</v>
      </c>
      <c r="L1349" s="11">
        <f t="shared" si="85"/>
        <v>48</v>
      </c>
      <c r="M1349" s="9">
        <f t="shared" si="86"/>
        <v>2.0000000000000004</v>
      </c>
      <c r="N1349" s="9">
        <f t="shared" si="87"/>
        <v>2</v>
      </c>
    </row>
    <row r="1350" spans="1:14" x14ac:dyDescent="0.25">
      <c r="A1350" t="str">
        <f>TEXT("1/"&amp;data!A1350,"mmmm")</f>
        <v>mai</v>
      </c>
      <c r="B1350">
        <f>data!B1350</f>
        <v>2016</v>
      </c>
      <c r="C1350" t="str">
        <f>data!C1350</f>
        <v>095</v>
      </c>
      <c r="D1350" t="str">
        <f>data!D1350</f>
        <v>MR FILLON</v>
      </c>
      <c r="E1350" t="str">
        <f>data!E1350</f>
        <v>095015</v>
      </c>
      <c r="F1350" t="str">
        <f>data!F1350</f>
        <v>DOM FILLON AC CHABLIS VIEILLES VIGNES</v>
      </c>
      <c r="G1350" s="10">
        <f>data!G1350</f>
        <v>42</v>
      </c>
      <c r="H1350" s="10">
        <f>data!I1350</f>
        <v>252</v>
      </c>
      <c r="I1350" s="10">
        <f t="shared" si="84"/>
        <v>-210</v>
      </c>
      <c r="J1350" s="11">
        <f>data!H1350</f>
        <v>6</v>
      </c>
      <c r="K1350" s="11">
        <f>data!J1350</f>
        <v>36</v>
      </c>
      <c r="L1350" s="11">
        <f t="shared" si="85"/>
        <v>-30</v>
      </c>
      <c r="M1350" s="9">
        <f t="shared" si="86"/>
        <v>-0.83333333333333337</v>
      </c>
      <c r="N1350" s="9">
        <f t="shared" si="87"/>
        <v>-0.83333333333333337</v>
      </c>
    </row>
    <row r="1351" spans="1:14" x14ac:dyDescent="0.25">
      <c r="A1351" t="str">
        <f>TEXT("1/"&amp;data!A1351,"mmmm")</f>
        <v>mai</v>
      </c>
      <c r="B1351">
        <f>data!B1351</f>
        <v>2016</v>
      </c>
      <c r="C1351" t="str">
        <f>data!C1351</f>
        <v>095</v>
      </c>
      <c r="D1351" t="str">
        <f>data!D1351</f>
        <v>MR FILLON</v>
      </c>
      <c r="E1351" t="str">
        <f>data!E1351</f>
        <v>095017</v>
      </c>
      <c r="F1351" t="str">
        <f>data!F1351</f>
        <v>AC CHABLIS</v>
      </c>
      <c r="G1351" s="10">
        <f>data!G1351</f>
        <v>780</v>
      </c>
      <c r="H1351" s="10">
        <f>data!I1351</f>
        <v>0</v>
      </c>
      <c r="I1351" s="10">
        <f t="shared" si="84"/>
        <v>780</v>
      </c>
      <c r="J1351" s="11">
        <f>data!H1351</f>
        <v>159.96</v>
      </c>
      <c r="K1351" s="11">
        <f>data!J1351</f>
        <v>0</v>
      </c>
      <c r="L1351" s="11">
        <f t="shared" si="85"/>
        <v>159.96</v>
      </c>
      <c r="M1351" s="9" t="str">
        <f t="shared" si="86"/>
        <v/>
      </c>
      <c r="N1351" s="9" t="str">
        <f t="shared" si="87"/>
        <v/>
      </c>
    </row>
    <row r="1352" spans="1:14" x14ac:dyDescent="0.25">
      <c r="A1352" t="str">
        <f>TEXT("1/"&amp;data!A1352,"mmmm")</f>
        <v>mai</v>
      </c>
      <c r="B1352">
        <f>data!B1352</f>
        <v>2016</v>
      </c>
      <c r="C1352" t="str">
        <f>data!C1352</f>
        <v>097</v>
      </c>
      <c r="D1352" t="str">
        <f>data!D1352</f>
        <v>CHATEAU DE COINTES</v>
      </c>
      <c r="E1352" t="str">
        <f>data!E1352</f>
        <v>097003</v>
      </c>
      <c r="F1352" t="str">
        <f>data!F1352</f>
        <v>AC C.MALEPERE C.COINTES</v>
      </c>
      <c r="G1352" s="10">
        <f>data!G1352</f>
        <v>99</v>
      </c>
      <c r="H1352" s="10">
        <f>data!I1352</f>
        <v>390</v>
      </c>
      <c r="I1352" s="10">
        <f t="shared" si="84"/>
        <v>-291</v>
      </c>
      <c r="J1352" s="11">
        <f>data!H1352</f>
        <v>36</v>
      </c>
      <c r="K1352" s="11">
        <f>data!J1352</f>
        <v>150</v>
      </c>
      <c r="L1352" s="11">
        <f t="shared" si="85"/>
        <v>-114</v>
      </c>
      <c r="M1352" s="9">
        <f t="shared" si="86"/>
        <v>-0.74615384615384617</v>
      </c>
      <c r="N1352" s="9">
        <f t="shared" si="87"/>
        <v>-0.76</v>
      </c>
    </row>
    <row r="1353" spans="1:14" x14ac:dyDescent="0.25">
      <c r="A1353" t="str">
        <f>TEXT("1/"&amp;data!A1353,"mmmm")</f>
        <v>mai</v>
      </c>
      <c r="B1353">
        <f>data!B1353</f>
        <v>2016</v>
      </c>
      <c r="C1353" t="str">
        <f>data!C1353</f>
        <v>097</v>
      </c>
      <c r="D1353" t="str">
        <f>data!D1353</f>
        <v>CHATEAU DE COINTES</v>
      </c>
      <c r="E1353" t="str">
        <f>data!E1353</f>
        <v>097004</v>
      </c>
      <c r="F1353" t="str">
        <f>data!F1353</f>
        <v>VDP MERLOT D.DES CONSULS</v>
      </c>
      <c r="G1353" s="10">
        <f>data!G1353</f>
        <v>289.8</v>
      </c>
      <c r="H1353" s="10">
        <f>data!I1353</f>
        <v>1635.9</v>
      </c>
      <c r="I1353" s="10">
        <f t="shared" si="84"/>
        <v>-1346.1000000000001</v>
      </c>
      <c r="J1353" s="11">
        <f>data!H1353</f>
        <v>138</v>
      </c>
      <c r="K1353" s="11">
        <f>data!J1353</f>
        <v>798</v>
      </c>
      <c r="L1353" s="11">
        <f t="shared" si="85"/>
        <v>-660</v>
      </c>
      <c r="M1353" s="9">
        <f t="shared" si="86"/>
        <v>-0.82284980744544289</v>
      </c>
      <c r="N1353" s="9">
        <f t="shared" si="87"/>
        <v>-0.82706766917293228</v>
      </c>
    </row>
    <row r="1354" spans="1:14" x14ac:dyDescent="0.25">
      <c r="A1354" t="str">
        <f>TEXT("1/"&amp;data!A1354,"mmmm")</f>
        <v>mai</v>
      </c>
      <c r="B1354">
        <f>data!B1354</f>
        <v>2016</v>
      </c>
      <c r="C1354" t="str">
        <f>data!C1354</f>
        <v>099</v>
      </c>
      <c r="D1354" t="str">
        <f>data!D1354</f>
        <v>CAVE DE L'ORMARINE</v>
      </c>
      <c r="E1354" t="str">
        <f>data!E1354</f>
        <v>099001</v>
      </c>
      <c r="F1354" t="str">
        <f>data!F1354</f>
        <v>VDP C DE THAU D.VILLEMARIN</v>
      </c>
      <c r="G1354" s="10">
        <f>data!G1354</f>
        <v>1545.48</v>
      </c>
      <c r="H1354" s="10">
        <f>data!I1354</f>
        <v>1384.98</v>
      </c>
      <c r="I1354" s="10">
        <f t="shared" si="84"/>
        <v>160.5</v>
      </c>
      <c r="J1354" s="11">
        <f>data!H1354</f>
        <v>978</v>
      </c>
      <c r="K1354" s="11">
        <f>data!J1354</f>
        <v>894</v>
      </c>
      <c r="L1354" s="11">
        <f t="shared" si="85"/>
        <v>84</v>
      </c>
      <c r="M1354" s="9">
        <f t="shared" si="86"/>
        <v>0.11588614998050513</v>
      </c>
      <c r="N1354" s="9">
        <f t="shared" si="87"/>
        <v>9.3959731543624164E-2</v>
      </c>
    </row>
    <row r="1355" spans="1:14" x14ac:dyDescent="0.25">
      <c r="A1355" t="str">
        <f>TEXT("1/"&amp;data!A1355,"mmmm")</f>
        <v>mai</v>
      </c>
      <c r="B1355">
        <f>data!B1355</f>
        <v>2016</v>
      </c>
      <c r="C1355" t="str">
        <f>data!C1355</f>
        <v>099</v>
      </c>
      <c r="D1355" t="str">
        <f>data!D1355</f>
        <v>CAVE DE L'ORMARINE</v>
      </c>
      <c r="E1355" t="str">
        <f>data!E1355</f>
        <v>099002</v>
      </c>
      <c r="F1355" t="str">
        <f>data!F1355</f>
        <v>VDP C DE THAU D.VILLEMARIN</v>
      </c>
      <c r="G1355" s="10">
        <f>data!G1355</f>
        <v>11223.8</v>
      </c>
      <c r="H1355" s="10">
        <f>data!I1355</f>
        <v>2436.2399999999998</v>
      </c>
      <c r="I1355" s="10">
        <f t="shared" si="84"/>
        <v>8787.56</v>
      </c>
      <c r="J1355" s="11">
        <f>data!H1355</f>
        <v>8010</v>
      </c>
      <c r="K1355" s="11">
        <f>data!J1355</f>
        <v>1464</v>
      </c>
      <c r="L1355" s="11">
        <f t="shared" si="85"/>
        <v>6546</v>
      </c>
      <c r="M1355" s="9">
        <f t="shared" si="86"/>
        <v>3.6070173710307687</v>
      </c>
      <c r="N1355" s="9">
        <f t="shared" si="87"/>
        <v>4.471311475409836</v>
      </c>
    </row>
    <row r="1356" spans="1:14" x14ac:dyDescent="0.25">
      <c r="A1356" t="str">
        <f>TEXT("1/"&amp;data!A1356,"mmmm")</f>
        <v>mai</v>
      </c>
      <c r="B1356">
        <f>data!B1356</f>
        <v>2016</v>
      </c>
      <c r="C1356" t="str">
        <f>data!C1356</f>
        <v>099</v>
      </c>
      <c r="D1356" t="str">
        <f>data!D1356</f>
        <v>CAVE DE L'ORMARINE</v>
      </c>
      <c r="E1356" t="str">
        <f>data!E1356</f>
        <v>099003</v>
      </c>
      <c r="F1356" t="str">
        <f>data!F1356</f>
        <v>VDP C DE THAU D.VILLEMARIN</v>
      </c>
      <c r="G1356" s="10">
        <f>data!G1356</f>
        <v>331.08</v>
      </c>
      <c r="H1356" s="10">
        <f>data!I1356</f>
        <v>493.44</v>
      </c>
      <c r="I1356" s="10">
        <f t="shared" si="84"/>
        <v>-162.36000000000001</v>
      </c>
      <c r="J1356" s="11">
        <f>data!H1356</f>
        <v>186</v>
      </c>
      <c r="K1356" s="11">
        <f>data!J1356</f>
        <v>294</v>
      </c>
      <c r="L1356" s="11">
        <f t="shared" si="85"/>
        <v>-108</v>
      </c>
      <c r="M1356" s="9">
        <f t="shared" si="86"/>
        <v>-0.3290369649805448</v>
      </c>
      <c r="N1356" s="9">
        <f t="shared" si="87"/>
        <v>-0.36734693877551022</v>
      </c>
    </row>
    <row r="1357" spans="1:14" x14ac:dyDescent="0.25">
      <c r="A1357" t="str">
        <f>TEXT("1/"&amp;data!A1357,"mmmm")</f>
        <v>mai</v>
      </c>
      <c r="B1357">
        <f>data!B1357</f>
        <v>2016</v>
      </c>
      <c r="C1357" t="str">
        <f>data!C1357</f>
        <v>099</v>
      </c>
      <c r="D1357" t="str">
        <f>data!D1357</f>
        <v>CAVE DE L'ORMARINE</v>
      </c>
      <c r="E1357" t="str">
        <f>data!E1357</f>
        <v>099013</v>
      </c>
      <c r="F1357" t="str">
        <f>data!F1357</f>
        <v>IGP PAYS D'OC MUSCAT MOELLEUX DOUCEUR DU SUD</v>
      </c>
      <c r="G1357" s="10">
        <f>data!G1357</f>
        <v>50.58</v>
      </c>
      <c r="H1357" s="10">
        <f>data!I1357</f>
        <v>134.88</v>
      </c>
      <c r="I1357" s="10">
        <f t="shared" si="84"/>
        <v>-84.3</v>
      </c>
      <c r="J1357" s="11">
        <f>data!H1357</f>
        <v>18</v>
      </c>
      <c r="K1357" s="11">
        <f>data!J1357</f>
        <v>48</v>
      </c>
      <c r="L1357" s="11">
        <f t="shared" si="85"/>
        <v>-30</v>
      </c>
      <c r="M1357" s="9">
        <f t="shared" si="86"/>
        <v>-0.625</v>
      </c>
      <c r="N1357" s="9">
        <f t="shared" si="87"/>
        <v>-0.625</v>
      </c>
    </row>
    <row r="1358" spans="1:14" x14ac:dyDescent="0.25">
      <c r="A1358" t="str">
        <f>TEXT("1/"&amp;data!A1358,"mmmm")</f>
        <v>mai</v>
      </c>
      <c r="B1358">
        <f>data!B1358</f>
        <v>2016</v>
      </c>
      <c r="C1358" t="str">
        <f>data!C1358</f>
        <v>099</v>
      </c>
      <c r="D1358" t="str">
        <f>data!D1358</f>
        <v>CAVE DE L'ORMARINE</v>
      </c>
      <c r="E1358" t="str">
        <f>data!E1358</f>
        <v>099016</v>
      </c>
      <c r="F1358" t="str">
        <f>data!F1358</f>
        <v>AC PICPOUL PINET CARTE NOIRE</v>
      </c>
      <c r="G1358" s="10">
        <f>data!G1358</f>
        <v>192.72</v>
      </c>
      <c r="H1358" s="10">
        <f>data!I1358</f>
        <v>51.3</v>
      </c>
      <c r="I1358" s="10">
        <f t="shared" si="84"/>
        <v>141.42000000000002</v>
      </c>
      <c r="J1358" s="11">
        <f>data!H1358</f>
        <v>66</v>
      </c>
      <c r="K1358" s="11">
        <f>data!J1358</f>
        <v>24</v>
      </c>
      <c r="L1358" s="11">
        <f t="shared" si="85"/>
        <v>42</v>
      </c>
      <c r="M1358" s="9">
        <f t="shared" si="86"/>
        <v>2.7567251461988307</v>
      </c>
      <c r="N1358" s="9">
        <f t="shared" si="87"/>
        <v>1.75</v>
      </c>
    </row>
    <row r="1359" spans="1:14" x14ac:dyDescent="0.25">
      <c r="A1359" t="str">
        <f>TEXT("1/"&amp;data!A1359,"mmmm")</f>
        <v>mai</v>
      </c>
      <c r="B1359">
        <f>data!B1359</f>
        <v>2016</v>
      </c>
      <c r="C1359" t="str">
        <f>data!C1359</f>
        <v>099</v>
      </c>
      <c r="D1359" t="str">
        <f>data!D1359</f>
        <v>CAVE DE L'ORMARINE</v>
      </c>
      <c r="E1359" t="str">
        <f>data!E1359</f>
        <v>099023</v>
      </c>
      <c r="F1359" t="str">
        <f>data!F1359</f>
        <v>AOP LANGUEDOC ST GEORGES D'ORQUES "PETITES PARCELL</v>
      </c>
      <c r="G1359" s="10">
        <f>data!G1359</f>
        <v>53.76</v>
      </c>
      <c r="H1359" s="10">
        <f>data!I1359</f>
        <v>0</v>
      </c>
      <c r="I1359" s="10">
        <f t="shared" si="84"/>
        <v>53.76</v>
      </c>
      <c r="J1359" s="11">
        <f>data!H1359</f>
        <v>18</v>
      </c>
      <c r="K1359" s="11">
        <f>data!J1359</f>
        <v>0</v>
      </c>
      <c r="L1359" s="11">
        <f t="shared" si="85"/>
        <v>18</v>
      </c>
      <c r="M1359" s="9" t="str">
        <f t="shared" si="86"/>
        <v/>
      </c>
      <c r="N1359" s="9" t="str">
        <f t="shared" si="87"/>
        <v/>
      </c>
    </row>
    <row r="1360" spans="1:14" x14ac:dyDescent="0.25">
      <c r="A1360" t="str">
        <f>TEXT("1/"&amp;data!A1360,"mmmm")</f>
        <v>mai</v>
      </c>
      <c r="B1360">
        <f>data!B1360</f>
        <v>2016</v>
      </c>
      <c r="C1360" t="str">
        <f>data!C1360</f>
        <v>110</v>
      </c>
      <c r="D1360" t="str">
        <f>data!D1360</f>
        <v>CHATEAU LES MARNIERES</v>
      </c>
      <c r="E1360" t="str">
        <f>data!E1360</f>
        <v>110500</v>
      </c>
      <c r="F1360" t="str">
        <f>data!F1360</f>
        <v>AC BERGERAC CH LES MARNIERES</v>
      </c>
      <c r="G1360" s="10">
        <f>data!G1360</f>
        <v>224.4</v>
      </c>
      <c r="H1360" s="10">
        <f>data!I1360</f>
        <v>345.8</v>
      </c>
      <c r="I1360" s="10">
        <f t="shared" si="84"/>
        <v>-121.4</v>
      </c>
      <c r="J1360" s="11">
        <f>data!H1360</f>
        <v>159.96</v>
      </c>
      <c r="K1360" s="11">
        <f>data!J1360</f>
        <v>253.27</v>
      </c>
      <c r="L1360" s="11">
        <f t="shared" si="85"/>
        <v>-93.31</v>
      </c>
      <c r="M1360" s="9">
        <f t="shared" si="86"/>
        <v>-0.35106998264893002</v>
      </c>
      <c r="N1360" s="9">
        <f t="shared" si="87"/>
        <v>-0.36842105263157893</v>
      </c>
    </row>
    <row r="1361" spans="1:14" x14ac:dyDescent="0.25">
      <c r="A1361" t="str">
        <f>TEXT("1/"&amp;data!A1361,"mmmm")</f>
        <v>mai</v>
      </c>
      <c r="B1361">
        <f>data!B1361</f>
        <v>2016</v>
      </c>
      <c r="C1361" t="str">
        <f>data!C1361</f>
        <v>110</v>
      </c>
      <c r="D1361" t="str">
        <f>data!D1361</f>
        <v>CHATEAU LES MARNIERES</v>
      </c>
      <c r="E1361" t="str">
        <f>data!E1361</f>
        <v>110501</v>
      </c>
      <c r="F1361" t="str">
        <f>data!F1361</f>
        <v>AC BERGERAC CH LES MARNIERES</v>
      </c>
      <c r="G1361" s="10">
        <f>data!G1361</f>
        <v>278.75</v>
      </c>
      <c r="H1361" s="10">
        <f>data!I1361</f>
        <v>365.5</v>
      </c>
      <c r="I1361" s="10">
        <f t="shared" si="84"/>
        <v>-86.75</v>
      </c>
      <c r="J1361" s="11">
        <f>data!H1361</f>
        <v>160.07999999999998</v>
      </c>
      <c r="K1361" s="11">
        <f>data!J1361</f>
        <v>233.45</v>
      </c>
      <c r="L1361" s="11">
        <f t="shared" si="85"/>
        <v>-73.37</v>
      </c>
      <c r="M1361" s="9">
        <f t="shared" si="86"/>
        <v>-0.23734610123119015</v>
      </c>
      <c r="N1361" s="9">
        <f t="shared" si="87"/>
        <v>-0.31428571428571433</v>
      </c>
    </row>
    <row r="1362" spans="1:14" x14ac:dyDescent="0.25">
      <c r="A1362" t="str">
        <f>TEXT("1/"&amp;data!A1362,"mmmm")</f>
        <v>mai</v>
      </c>
      <c r="B1362">
        <f>data!B1362</f>
        <v>2016</v>
      </c>
      <c r="C1362" t="str">
        <f>data!C1362</f>
        <v>110</v>
      </c>
      <c r="D1362" t="str">
        <f>data!D1362</f>
        <v>CHATEAU LES MARNIERES</v>
      </c>
      <c r="E1362" t="str">
        <f>data!E1362</f>
        <v>110505</v>
      </c>
      <c r="F1362" t="str">
        <f>data!F1362</f>
        <v>AC BERGERAC CH LES MARNIERES</v>
      </c>
      <c r="G1362" s="10">
        <f>data!G1362</f>
        <v>14.4</v>
      </c>
      <c r="H1362" s="10">
        <f>data!I1362</f>
        <v>0</v>
      </c>
      <c r="I1362" s="10">
        <f t="shared" si="84"/>
        <v>14.4</v>
      </c>
      <c r="J1362" s="11">
        <f>data!H1362</f>
        <v>6</v>
      </c>
      <c r="K1362" s="11">
        <f>data!J1362</f>
        <v>0</v>
      </c>
      <c r="L1362" s="11">
        <f t="shared" si="85"/>
        <v>6</v>
      </c>
      <c r="M1362" s="9" t="str">
        <f t="shared" si="86"/>
        <v/>
      </c>
      <c r="N1362" s="9" t="str">
        <f t="shared" si="87"/>
        <v/>
      </c>
    </row>
    <row r="1363" spans="1:14" x14ac:dyDescent="0.25">
      <c r="A1363" t="str">
        <f>TEXT("1/"&amp;data!A1363,"mmmm")</f>
        <v>mai</v>
      </c>
      <c r="B1363">
        <f>data!B1363</f>
        <v>2016</v>
      </c>
      <c r="C1363" t="str">
        <f>data!C1363</f>
        <v>110</v>
      </c>
      <c r="D1363" t="str">
        <f>data!D1363</f>
        <v>CHATEAU LES MARNIERES</v>
      </c>
      <c r="E1363" t="str">
        <f>data!E1363</f>
        <v>110600</v>
      </c>
      <c r="F1363" t="str">
        <f>data!F1363</f>
        <v>CH LES MARNIERES AC COTES DE BERGERAC MOELLEUX</v>
      </c>
      <c r="G1363" s="10">
        <f>data!G1363</f>
        <v>113.4</v>
      </c>
      <c r="H1363" s="10">
        <f>data!I1363</f>
        <v>91.5</v>
      </c>
      <c r="I1363" s="10">
        <f t="shared" si="84"/>
        <v>21.900000000000006</v>
      </c>
      <c r="J1363" s="11">
        <f>data!H1363</f>
        <v>36</v>
      </c>
      <c r="K1363" s="11">
        <f>data!J1363</f>
        <v>30</v>
      </c>
      <c r="L1363" s="11">
        <f t="shared" si="85"/>
        <v>6</v>
      </c>
      <c r="M1363" s="9">
        <f t="shared" si="86"/>
        <v>0.23934426229508202</v>
      </c>
      <c r="N1363" s="9">
        <f t="shared" si="87"/>
        <v>0.2</v>
      </c>
    </row>
    <row r="1364" spans="1:14" x14ac:dyDescent="0.25">
      <c r="A1364" t="str">
        <f>TEXT("1/"&amp;data!A1364,"mmmm")</f>
        <v>mai</v>
      </c>
      <c r="B1364">
        <f>data!B1364</f>
        <v>2016</v>
      </c>
      <c r="C1364" t="str">
        <f>data!C1364</f>
        <v>113</v>
      </c>
      <c r="D1364" t="str">
        <f>data!D1364</f>
        <v>DOMAINE DU PRIEURE</v>
      </c>
      <c r="E1364" t="str">
        <f>data!E1364</f>
        <v>113001</v>
      </c>
      <c r="F1364" t="str">
        <f>data!F1364</f>
        <v>AC MENETOU SALON. DME PRIEURE</v>
      </c>
      <c r="G1364" s="10">
        <f>data!G1364</f>
        <v>1368</v>
      </c>
      <c r="H1364" s="10">
        <f>data!I1364</f>
        <v>1815</v>
      </c>
      <c r="I1364" s="10">
        <f t="shared" si="84"/>
        <v>-447</v>
      </c>
      <c r="J1364" s="11">
        <f>data!H1364</f>
        <v>240</v>
      </c>
      <c r="K1364" s="11">
        <f>data!J1364</f>
        <v>330</v>
      </c>
      <c r="L1364" s="11">
        <f t="shared" si="85"/>
        <v>-90</v>
      </c>
      <c r="M1364" s="9">
        <f t="shared" si="86"/>
        <v>-0.24628099173553719</v>
      </c>
      <c r="N1364" s="9">
        <f t="shared" si="87"/>
        <v>-0.27272727272727271</v>
      </c>
    </row>
    <row r="1365" spans="1:14" x14ac:dyDescent="0.25">
      <c r="A1365" t="str">
        <f>TEXT("1/"&amp;data!A1365,"mmmm")</f>
        <v>mai</v>
      </c>
      <c r="B1365">
        <f>data!B1365</f>
        <v>2016</v>
      </c>
      <c r="C1365" t="str">
        <f>data!C1365</f>
        <v>113</v>
      </c>
      <c r="D1365" t="str">
        <f>data!D1365</f>
        <v>DOMAINE DU PRIEURE</v>
      </c>
      <c r="E1365" t="str">
        <f>data!E1365</f>
        <v>113002</v>
      </c>
      <c r="F1365" t="str">
        <f>data!F1365</f>
        <v>AC MENETOU SALON. DME PRIEURE</v>
      </c>
      <c r="G1365" s="10">
        <f>data!G1365</f>
        <v>75.599999999999994</v>
      </c>
      <c r="H1365" s="10">
        <f>data!I1365</f>
        <v>36.6</v>
      </c>
      <c r="I1365" s="10">
        <f t="shared" si="84"/>
        <v>38.999999999999993</v>
      </c>
      <c r="J1365" s="11">
        <f>data!H1365</f>
        <v>12</v>
      </c>
      <c r="K1365" s="11">
        <f>data!J1365</f>
        <v>6</v>
      </c>
      <c r="L1365" s="11">
        <f t="shared" si="85"/>
        <v>6</v>
      </c>
      <c r="M1365" s="9">
        <f t="shared" si="86"/>
        <v>1.0655737704918031</v>
      </c>
      <c r="N1365" s="9">
        <f t="shared" si="87"/>
        <v>1</v>
      </c>
    </row>
    <row r="1366" spans="1:14" x14ac:dyDescent="0.25">
      <c r="A1366" t="str">
        <f>TEXT("1/"&amp;data!A1366,"mmmm")</f>
        <v>mai</v>
      </c>
      <c r="B1366">
        <f>data!B1366</f>
        <v>2016</v>
      </c>
      <c r="C1366" t="str">
        <f>data!C1366</f>
        <v>113</v>
      </c>
      <c r="D1366" t="str">
        <f>data!D1366</f>
        <v>DOMAINE DU PRIEURE</v>
      </c>
      <c r="E1366" t="str">
        <f>data!E1366</f>
        <v>113005</v>
      </c>
      <c r="F1366" t="str">
        <f>data!F1366</f>
        <v>AC MENETOU SALON. DME PRIEURE</v>
      </c>
      <c r="G1366" s="10">
        <f>data!G1366</f>
        <v>720</v>
      </c>
      <c r="H1366" s="10">
        <f>data!I1366</f>
        <v>1138.5</v>
      </c>
      <c r="I1366" s="10">
        <f t="shared" si="84"/>
        <v>-418.5</v>
      </c>
      <c r="J1366" s="11">
        <f>data!H1366</f>
        <v>120</v>
      </c>
      <c r="K1366" s="11">
        <f>data!J1366</f>
        <v>198</v>
      </c>
      <c r="L1366" s="11">
        <f t="shared" si="85"/>
        <v>-78</v>
      </c>
      <c r="M1366" s="9">
        <f t="shared" si="86"/>
        <v>-0.3675889328063241</v>
      </c>
      <c r="N1366" s="9">
        <f t="shared" si="87"/>
        <v>-0.39393939393939392</v>
      </c>
    </row>
    <row r="1367" spans="1:14" x14ac:dyDescent="0.25">
      <c r="A1367" t="str">
        <f>TEXT("1/"&amp;data!A1367,"mmmm")</f>
        <v>mai</v>
      </c>
      <c r="B1367">
        <f>data!B1367</f>
        <v>2016</v>
      </c>
      <c r="C1367" t="str">
        <f>data!C1367</f>
        <v>113</v>
      </c>
      <c r="D1367" t="str">
        <f>data!D1367</f>
        <v>DOMAINE DU PRIEURE</v>
      </c>
      <c r="E1367" t="str">
        <f>data!E1367</f>
        <v>113006</v>
      </c>
      <c r="F1367" t="str">
        <f>data!F1367</f>
        <v>AC MENETOU SALON. DME PRIEURE</v>
      </c>
      <c r="G1367" s="10">
        <f>data!G1367</f>
        <v>79.2</v>
      </c>
      <c r="H1367" s="10">
        <f>data!I1367</f>
        <v>345.6</v>
      </c>
      <c r="I1367" s="10">
        <f t="shared" si="84"/>
        <v>-266.40000000000003</v>
      </c>
      <c r="J1367" s="11">
        <f>data!H1367</f>
        <v>12</v>
      </c>
      <c r="K1367" s="11">
        <f>data!J1367</f>
        <v>54</v>
      </c>
      <c r="L1367" s="11">
        <f t="shared" si="85"/>
        <v>-42</v>
      </c>
      <c r="M1367" s="9">
        <f t="shared" si="86"/>
        <v>-0.77083333333333337</v>
      </c>
      <c r="N1367" s="9">
        <f t="shared" si="87"/>
        <v>-0.77777777777777779</v>
      </c>
    </row>
    <row r="1368" spans="1:14" x14ac:dyDescent="0.25">
      <c r="A1368" t="str">
        <f>TEXT("1/"&amp;data!A1368,"mmmm")</f>
        <v>mai</v>
      </c>
      <c r="B1368">
        <f>data!B1368</f>
        <v>2016</v>
      </c>
      <c r="C1368" t="str">
        <f>data!C1368</f>
        <v>115</v>
      </c>
      <c r="D1368" t="str">
        <f>data!D1368</f>
        <v>SCEA CHATEAU DES ROQUES</v>
      </c>
      <c r="E1368" t="str">
        <f>data!E1368</f>
        <v>115005</v>
      </c>
      <c r="F1368" t="str">
        <f>data!F1368</f>
        <v>AC VACQUEYRAS CH DES ROQUES</v>
      </c>
      <c r="G1368" s="10">
        <f>data!G1368</f>
        <v>603</v>
      </c>
      <c r="H1368" s="10">
        <f>data!I1368</f>
        <v>1420.8</v>
      </c>
      <c r="I1368" s="10">
        <f t="shared" si="84"/>
        <v>-817.8</v>
      </c>
      <c r="J1368" s="11">
        <f>data!H1368</f>
        <v>90</v>
      </c>
      <c r="K1368" s="11">
        <f>data!J1368</f>
        <v>222</v>
      </c>
      <c r="L1368" s="11">
        <f t="shared" si="85"/>
        <v>-132</v>
      </c>
      <c r="M1368" s="9">
        <f t="shared" si="86"/>
        <v>-0.57559121621621623</v>
      </c>
      <c r="N1368" s="9">
        <f t="shared" si="87"/>
        <v>-0.59459459459459463</v>
      </c>
    </row>
    <row r="1369" spans="1:14" x14ac:dyDescent="0.25">
      <c r="A1369" t="str">
        <f>TEXT("1/"&amp;data!A1369,"mmmm")</f>
        <v>mai</v>
      </c>
      <c r="B1369">
        <f>data!B1369</f>
        <v>2016</v>
      </c>
      <c r="C1369" t="str">
        <f>data!C1369</f>
        <v>115</v>
      </c>
      <c r="D1369" t="str">
        <f>data!D1369</f>
        <v>SCEA CHATEAU DES ROQUES</v>
      </c>
      <c r="E1369" t="str">
        <f>data!E1369</f>
        <v>115011</v>
      </c>
      <c r="F1369" t="str">
        <f>data!F1369</f>
        <v>VDP VAUCLUSE G.DES ROQUES</v>
      </c>
      <c r="G1369" s="10">
        <f>data!G1369</f>
        <v>42.5</v>
      </c>
      <c r="H1369" s="10">
        <f>data!I1369</f>
        <v>160</v>
      </c>
      <c r="I1369" s="10">
        <f t="shared" si="84"/>
        <v>-117.5</v>
      </c>
      <c r="J1369" s="11">
        <f>data!H1369</f>
        <v>26.68</v>
      </c>
      <c r="K1369" s="11">
        <f>data!J1369</f>
        <v>133.4</v>
      </c>
      <c r="L1369" s="11">
        <f t="shared" si="85"/>
        <v>-106.72</v>
      </c>
      <c r="M1369" s="9">
        <f t="shared" si="86"/>
        <v>-0.734375</v>
      </c>
      <c r="N1369" s="9">
        <f t="shared" si="87"/>
        <v>-0.79999999999999993</v>
      </c>
    </row>
    <row r="1370" spans="1:14" x14ac:dyDescent="0.25">
      <c r="A1370" t="str">
        <f>TEXT("1/"&amp;data!A1370,"mmmm")</f>
        <v>mai</v>
      </c>
      <c r="B1370">
        <f>data!B1370</f>
        <v>2016</v>
      </c>
      <c r="C1370" t="str">
        <f>data!C1370</f>
        <v>116</v>
      </c>
      <c r="D1370" t="str">
        <f>data!D1370</f>
        <v>VIGNOBLE GASNIER</v>
      </c>
      <c r="E1370" t="str">
        <f>data!E1370</f>
        <v>116001</v>
      </c>
      <c r="F1370" t="str">
        <f>data!F1370</f>
        <v>AC CHINON LES GRAVES</v>
      </c>
      <c r="G1370" s="10">
        <f>data!G1370</f>
        <v>1076.4000000000001</v>
      </c>
      <c r="H1370" s="10">
        <f>data!I1370</f>
        <v>1856.4</v>
      </c>
      <c r="I1370" s="10">
        <f t="shared" si="84"/>
        <v>-780</v>
      </c>
      <c r="J1370" s="11">
        <f>data!H1370</f>
        <v>234</v>
      </c>
      <c r="K1370" s="11">
        <f>data!J1370</f>
        <v>408</v>
      </c>
      <c r="L1370" s="11">
        <f t="shared" si="85"/>
        <v>-174</v>
      </c>
      <c r="M1370" s="9">
        <f t="shared" si="86"/>
        <v>-0.42016806722689076</v>
      </c>
      <c r="N1370" s="9">
        <f t="shared" si="87"/>
        <v>-0.4264705882352941</v>
      </c>
    </row>
    <row r="1371" spans="1:14" x14ac:dyDescent="0.25">
      <c r="A1371" t="str">
        <f>TEXT("1/"&amp;data!A1371,"mmmm")</f>
        <v>mai</v>
      </c>
      <c r="B1371">
        <f>data!B1371</f>
        <v>2016</v>
      </c>
      <c r="C1371" t="str">
        <f>data!C1371</f>
        <v>116</v>
      </c>
      <c r="D1371" t="str">
        <f>data!D1371</f>
        <v>VIGNOBLE GASNIER</v>
      </c>
      <c r="E1371" t="str">
        <f>data!E1371</f>
        <v>CDV116006</v>
      </c>
      <c r="F1371" t="str">
        <f>data!F1371</f>
        <v>AC CHINON VIEILLES VIGNES DOMAINE GARNIER</v>
      </c>
      <c r="G1371" s="10">
        <f>data!G1371</f>
        <v>33</v>
      </c>
      <c r="H1371" s="10">
        <f>data!I1371</f>
        <v>0</v>
      </c>
      <c r="I1371" s="10">
        <f t="shared" si="84"/>
        <v>33</v>
      </c>
      <c r="J1371" s="11">
        <f>data!H1371</f>
        <v>6</v>
      </c>
      <c r="K1371" s="11">
        <f>data!J1371</f>
        <v>0</v>
      </c>
      <c r="L1371" s="11">
        <f t="shared" si="85"/>
        <v>6</v>
      </c>
      <c r="M1371" s="9" t="str">
        <f t="shared" si="86"/>
        <v/>
      </c>
      <c r="N1371" s="9" t="str">
        <f t="shared" si="87"/>
        <v/>
      </c>
    </row>
    <row r="1372" spans="1:14" x14ac:dyDescent="0.25">
      <c r="A1372" t="str">
        <f>TEXT("1/"&amp;data!A1372,"mmmm")</f>
        <v>mai</v>
      </c>
      <c r="B1372">
        <f>data!B1372</f>
        <v>2016</v>
      </c>
      <c r="C1372" t="str">
        <f>data!C1372</f>
        <v>119</v>
      </c>
      <c r="D1372" t="str">
        <f>data!D1372</f>
        <v>DOMAINE DES HOMS</v>
      </c>
      <c r="E1372" t="str">
        <f>data!E1372</f>
        <v>119002</v>
      </c>
      <c r="F1372" t="str">
        <f>data!F1372</f>
        <v>IGP OC CHARDONNAY</v>
      </c>
      <c r="G1372" s="10">
        <f>data!G1372</f>
        <v>216</v>
      </c>
      <c r="H1372" s="10">
        <f>data!I1372</f>
        <v>0</v>
      </c>
      <c r="I1372" s="10">
        <f t="shared" si="84"/>
        <v>216</v>
      </c>
      <c r="J1372" s="11">
        <f>data!H1372</f>
        <v>60</v>
      </c>
      <c r="K1372" s="11">
        <f>data!J1372</f>
        <v>0</v>
      </c>
      <c r="L1372" s="11">
        <f t="shared" si="85"/>
        <v>60</v>
      </c>
      <c r="M1372" s="9" t="str">
        <f t="shared" si="86"/>
        <v/>
      </c>
      <c r="N1372" s="9" t="str">
        <f t="shared" si="87"/>
        <v/>
      </c>
    </row>
    <row r="1373" spans="1:14" x14ac:dyDescent="0.25">
      <c r="A1373" t="str">
        <f>TEXT("1/"&amp;data!A1373,"mmmm")</f>
        <v>mai</v>
      </c>
      <c r="B1373">
        <f>data!B1373</f>
        <v>2016</v>
      </c>
      <c r="C1373" t="str">
        <f>data!C1373</f>
        <v>119</v>
      </c>
      <c r="D1373" t="str">
        <f>data!D1373</f>
        <v>DOMAINE DES HOMS</v>
      </c>
      <c r="E1373" t="str">
        <f>data!E1373</f>
        <v>119003</v>
      </c>
      <c r="F1373" t="str">
        <f>data!F1373</f>
        <v>IGP OC VIOGNIER</v>
      </c>
      <c r="G1373" s="10">
        <f>data!G1373</f>
        <v>499.2</v>
      </c>
      <c r="H1373" s="10">
        <f>data!I1373</f>
        <v>0</v>
      </c>
      <c r="I1373" s="10">
        <f t="shared" si="84"/>
        <v>499.2</v>
      </c>
      <c r="J1373" s="11">
        <f>data!H1373</f>
        <v>96</v>
      </c>
      <c r="K1373" s="11">
        <f>data!J1373</f>
        <v>0</v>
      </c>
      <c r="L1373" s="11">
        <f t="shared" si="85"/>
        <v>96</v>
      </c>
      <c r="M1373" s="9" t="str">
        <f t="shared" si="86"/>
        <v/>
      </c>
      <c r="N1373" s="9" t="str">
        <f t="shared" si="87"/>
        <v/>
      </c>
    </row>
    <row r="1374" spans="1:14" x14ac:dyDescent="0.25">
      <c r="A1374" t="str">
        <f>TEXT("1/"&amp;data!A1374,"mmmm")</f>
        <v>mai</v>
      </c>
      <c r="B1374">
        <f>data!B1374</f>
        <v>2016</v>
      </c>
      <c r="C1374" t="str">
        <f>data!C1374</f>
        <v>124</v>
      </c>
      <c r="D1374" t="str">
        <f>data!D1374</f>
        <v>CHATEAU BECHEREAU</v>
      </c>
      <c r="E1374" t="str">
        <f>data!E1374</f>
        <v>124001</v>
      </c>
      <c r="F1374" t="str">
        <f>data!F1374</f>
        <v>AC M ST EMILION CH BECHEREAU</v>
      </c>
      <c r="G1374" s="10">
        <f>data!G1374</f>
        <v>567</v>
      </c>
      <c r="H1374" s="10">
        <f>data!I1374</f>
        <v>-184.8</v>
      </c>
      <c r="I1374" s="10">
        <f t="shared" si="84"/>
        <v>751.8</v>
      </c>
      <c r="J1374" s="11">
        <f>data!H1374</f>
        <v>126</v>
      </c>
      <c r="K1374" s="11">
        <f>data!J1374</f>
        <v>-42</v>
      </c>
      <c r="L1374" s="11">
        <f t="shared" si="85"/>
        <v>168</v>
      </c>
      <c r="M1374" s="9">
        <f t="shared" si="86"/>
        <v>-4.0681818181818175</v>
      </c>
      <c r="N1374" s="9">
        <f t="shared" si="87"/>
        <v>-4</v>
      </c>
    </row>
    <row r="1375" spans="1:14" x14ac:dyDescent="0.25">
      <c r="A1375" t="str">
        <f>TEXT("1/"&amp;data!A1375,"mmmm")</f>
        <v>mai</v>
      </c>
      <c r="B1375">
        <f>data!B1375</f>
        <v>2016</v>
      </c>
      <c r="C1375" t="str">
        <f>data!C1375</f>
        <v>124</v>
      </c>
      <c r="D1375" t="str">
        <f>data!D1375</f>
        <v>CHATEAU BECHEREAU</v>
      </c>
      <c r="E1375" t="str">
        <f>data!E1375</f>
        <v>124002</v>
      </c>
      <c r="F1375" t="str">
        <f>data!F1375</f>
        <v>AC BORDEAUX SUP TRADITION CH BECHEREAU</v>
      </c>
      <c r="G1375" s="10">
        <f>data!G1375</f>
        <v>554.4</v>
      </c>
      <c r="H1375" s="10">
        <f>data!I1375</f>
        <v>1017.6</v>
      </c>
      <c r="I1375" s="10">
        <f t="shared" si="84"/>
        <v>-463.20000000000005</v>
      </c>
      <c r="J1375" s="11">
        <f>data!H1375</f>
        <v>168</v>
      </c>
      <c r="K1375" s="11">
        <f>data!J1375</f>
        <v>318</v>
      </c>
      <c r="L1375" s="11">
        <f t="shared" si="85"/>
        <v>-150</v>
      </c>
      <c r="M1375" s="9">
        <f t="shared" si="86"/>
        <v>-0.45518867924528306</v>
      </c>
      <c r="N1375" s="9">
        <f t="shared" si="87"/>
        <v>-0.47169811320754718</v>
      </c>
    </row>
    <row r="1376" spans="1:14" x14ac:dyDescent="0.25">
      <c r="A1376" t="str">
        <f>TEXT("1/"&amp;data!A1376,"mmmm")</f>
        <v>mai</v>
      </c>
      <c r="B1376">
        <f>data!B1376</f>
        <v>2016</v>
      </c>
      <c r="C1376" t="str">
        <f>data!C1376</f>
        <v>124</v>
      </c>
      <c r="D1376" t="str">
        <f>data!D1376</f>
        <v>CHATEAU BECHEREAU</v>
      </c>
      <c r="E1376" t="str">
        <f>data!E1376</f>
        <v>124010</v>
      </c>
      <c r="F1376" t="str">
        <f>data!F1376</f>
        <v>AC LALANDE POMEROL BECH</v>
      </c>
      <c r="G1376" s="10">
        <f>data!G1376</f>
        <v>226.8</v>
      </c>
      <c r="H1376" s="10">
        <f>data!I1376</f>
        <v>483.6</v>
      </c>
      <c r="I1376" s="10">
        <f t="shared" si="84"/>
        <v>-256.8</v>
      </c>
      <c r="J1376" s="11">
        <f>data!H1376</f>
        <v>36</v>
      </c>
      <c r="K1376" s="11">
        <f>data!J1376</f>
        <v>78</v>
      </c>
      <c r="L1376" s="11">
        <f t="shared" si="85"/>
        <v>-42</v>
      </c>
      <c r="M1376" s="9">
        <f t="shared" si="86"/>
        <v>-0.53101736972704716</v>
      </c>
      <c r="N1376" s="9">
        <f t="shared" si="87"/>
        <v>-0.53846153846153844</v>
      </c>
    </row>
    <row r="1377" spans="1:14" x14ac:dyDescent="0.25">
      <c r="A1377" t="str">
        <f>TEXT("1/"&amp;data!A1377,"mmmm")</f>
        <v>mai</v>
      </c>
      <c r="B1377">
        <f>data!B1377</f>
        <v>2016</v>
      </c>
      <c r="C1377" t="str">
        <f>data!C1377</f>
        <v>137</v>
      </c>
      <c r="D1377" t="str">
        <f>data!D1377</f>
        <v>CHATEAU MAS DES CABRES</v>
      </c>
      <c r="E1377" t="str">
        <f>data!E1377</f>
        <v>137001</v>
      </c>
      <c r="F1377" t="str">
        <f>data!F1377</f>
        <v>AC CTX LANGUEDOC TERRES D'ASPERES M.DES CABRES</v>
      </c>
      <c r="G1377" s="10">
        <f>data!G1377</f>
        <v>1713.6</v>
      </c>
      <c r="H1377" s="10">
        <f>data!I1377</f>
        <v>1272</v>
      </c>
      <c r="I1377" s="10">
        <f t="shared" si="84"/>
        <v>441.59999999999991</v>
      </c>
      <c r="J1377" s="11">
        <f>data!H1377</f>
        <v>612</v>
      </c>
      <c r="K1377" s="11">
        <f>data!J1377</f>
        <v>480</v>
      </c>
      <c r="L1377" s="11">
        <f t="shared" si="85"/>
        <v>132</v>
      </c>
      <c r="M1377" s="9">
        <f t="shared" si="86"/>
        <v>0.34716981132075464</v>
      </c>
      <c r="N1377" s="9">
        <f t="shared" si="87"/>
        <v>0.27500000000000002</v>
      </c>
    </row>
    <row r="1378" spans="1:14" x14ac:dyDescent="0.25">
      <c r="A1378" t="str">
        <f>TEXT("1/"&amp;data!A1378,"mmmm")</f>
        <v>mai</v>
      </c>
      <c r="B1378">
        <f>data!B1378</f>
        <v>2016</v>
      </c>
      <c r="C1378" t="str">
        <f>data!C1378</f>
        <v>137</v>
      </c>
      <c r="D1378" t="str">
        <f>data!D1378</f>
        <v>CHATEAU MAS DES CABRES</v>
      </c>
      <c r="E1378" t="str">
        <f>data!E1378</f>
        <v>137003</v>
      </c>
      <c r="F1378" t="str">
        <f>data!F1378</f>
        <v>AC CTX DU LANGUEDOC LA DRAILLE</v>
      </c>
      <c r="G1378" s="10">
        <f>data!G1378</f>
        <v>415.8</v>
      </c>
      <c r="H1378" s="10">
        <f>data!I1378</f>
        <v>57.6</v>
      </c>
      <c r="I1378" s="10">
        <f t="shared" si="84"/>
        <v>358.2</v>
      </c>
      <c r="J1378" s="11">
        <f>data!H1378</f>
        <v>84</v>
      </c>
      <c r="K1378" s="11">
        <f>data!J1378</f>
        <v>12</v>
      </c>
      <c r="L1378" s="11">
        <f t="shared" si="85"/>
        <v>72</v>
      </c>
      <c r="M1378" s="9">
        <f t="shared" si="86"/>
        <v>6.21875</v>
      </c>
      <c r="N1378" s="9">
        <f t="shared" si="87"/>
        <v>6</v>
      </c>
    </row>
    <row r="1379" spans="1:14" x14ac:dyDescent="0.25">
      <c r="A1379" t="str">
        <f>TEXT("1/"&amp;data!A1379,"mmmm")</f>
        <v>mai</v>
      </c>
      <c r="B1379">
        <f>data!B1379</f>
        <v>2016</v>
      </c>
      <c r="C1379" t="str">
        <f>data!C1379</f>
        <v>140</v>
      </c>
      <c r="D1379" t="str">
        <f>data!D1379</f>
        <v>PHILIPPE GAULTIER</v>
      </c>
      <c r="E1379" t="str">
        <f>data!E1379</f>
        <v>140001</v>
      </c>
      <c r="F1379" t="str">
        <f>data!F1379</f>
        <v>AC VOUVRAY M.TRAD.BR C.DES AUMONES</v>
      </c>
      <c r="G1379" s="10">
        <f>data!G1379</f>
        <v>851.4</v>
      </c>
      <c r="H1379" s="10">
        <f>data!I1379</f>
        <v>352.8</v>
      </c>
      <c r="I1379" s="10">
        <f t="shared" si="84"/>
        <v>498.59999999999997</v>
      </c>
      <c r="J1379" s="11">
        <f>data!H1379</f>
        <v>198</v>
      </c>
      <c r="K1379" s="11">
        <f>data!J1379</f>
        <v>84</v>
      </c>
      <c r="L1379" s="11">
        <f t="shared" si="85"/>
        <v>114</v>
      </c>
      <c r="M1379" s="9">
        <f t="shared" si="86"/>
        <v>1.4132653061224489</v>
      </c>
      <c r="N1379" s="9">
        <f t="shared" si="87"/>
        <v>1.3571428571428572</v>
      </c>
    </row>
    <row r="1380" spans="1:14" x14ac:dyDescent="0.25">
      <c r="A1380" t="str">
        <f>TEXT("1/"&amp;data!A1380,"mmmm")</f>
        <v>mai</v>
      </c>
      <c r="B1380">
        <f>data!B1380</f>
        <v>2016</v>
      </c>
      <c r="C1380" t="str">
        <f>data!C1380</f>
        <v>143</v>
      </c>
      <c r="D1380" t="str">
        <f>data!D1380</f>
        <v>DOMAINE DE VILLARGEAU</v>
      </c>
      <c r="E1380" t="str">
        <f>data!E1380</f>
        <v>143001</v>
      </c>
      <c r="F1380" t="str">
        <f>data!F1380</f>
        <v>AC CX DU GIENNOIS G.THIEBAULT</v>
      </c>
      <c r="G1380" s="10">
        <f>data!G1380</f>
        <v>24</v>
      </c>
      <c r="H1380" s="10">
        <f>data!I1380</f>
        <v>0</v>
      </c>
      <c r="I1380" s="10">
        <f t="shared" si="84"/>
        <v>24</v>
      </c>
      <c r="J1380" s="11">
        <f>data!H1380</f>
        <v>6</v>
      </c>
      <c r="K1380" s="11">
        <f>data!J1380</f>
        <v>0</v>
      </c>
      <c r="L1380" s="11">
        <f t="shared" si="85"/>
        <v>6</v>
      </c>
      <c r="M1380" s="9" t="str">
        <f t="shared" si="86"/>
        <v/>
      </c>
      <c r="N1380" s="9" t="str">
        <f t="shared" si="87"/>
        <v/>
      </c>
    </row>
    <row r="1381" spans="1:14" x14ac:dyDescent="0.25">
      <c r="A1381" t="str">
        <f>TEXT("1/"&amp;data!A1381,"mmmm")</f>
        <v>mai</v>
      </c>
      <c r="B1381">
        <f>data!B1381</f>
        <v>2016</v>
      </c>
      <c r="C1381" t="str">
        <f>data!C1381</f>
        <v>152</v>
      </c>
      <c r="D1381" t="str">
        <f>data!D1381</f>
        <v>VINCENT SIRET COURTAUD</v>
      </c>
      <c r="E1381" t="str">
        <f>data!E1381</f>
        <v>152001</v>
      </c>
      <c r="F1381" t="str">
        <f>data!F1381</f>
        <v>AC QUINCY D.SIRET COURTAUD</v>
      </c>
      <c r="G1381" s="10">
        <f>data!G1381</f>
        <v>881.4</v>
      </c>
      <c r="H1381" s="10">
        <f>data!I1381</f>
        <v>366.3</v>
      </c>
      <c r="I1381" s="10">
        <f t="shared" si="84"/>
        <v>515.09999999999991</v>
      </c>
      <c r="J1381" s="11">
        <f>data!H1381</f>
        <v>162</v>
      </c>
      <c r="K1381" s="11">
        <f>data!J1381</f>
        <v>66</v>
      </c>
      <c r="L1381" s="11">
        <f t="shared" si="85"/>
        <v>96</v>
      </c>
      <c r="M1381" s="9">
        <f t="shared" si="86"/>
        <v>1.406224406224406</v>
      </c>
      <c r="N1381" s="9">
        <f t="shared" si="87"/>
        <v>1.4545454545454546</v>
      </c>
    </row>
    <row r="1382" spans="1:14" x14ac:dyDescent="0.25">
      <c r="A1382" t="str">
        <f>TEXT("1/"&amp;data!A1382,"mmmm")</f>
        <v>mai</v>
      </c>
      <c r="B1382">
        <f>data!B1382</f>
        <v>2016</v>
      </c>
      <c r="C1382" t="str">
        <f>data!C1382</f>
        <v>153</v>
      </c>
      <c r="D1382" t="str">
        <f>data!D1382</f>
        <v>SARL GARNIER ET FILS</v>
      </c>
      <c r="E1382" t="str">
        <f>data!E1382</f>
        <v>153001</v>
      </c>
      <c r="F1382" t="str">
        <f>data!F1382</f>
        <v>AC PETIT CHABLIS D.GARNIER</v>
      </c>
      <c r="G1382" s="10">
        <f>data!G1382</f>
        <v>139.19999999999999</v>
      </c>
      <c r="H1382" s="10">
        <f>data!I1382</f>
        <v>1491.6</v>
      </c>
      <c r="I1382" s="10">
        <f t="shared" si="84"/>
        <v>-1352.3999999999999</v>
      </c>
      <c r="J1382" s="11">
        <f>data!H1382</f>
        <v>24</v>
      </c>
      <c r="K1382" s="11">
        <f>data!J1382</f>
        <v>264</v>
      </c>
      <c r="L1382" s="11">
        <f t="shared" si="85"/>
        <v>-240</v>
      </c>
      <c r="M1382" s="9">
        <f t="shared" si="86"/>
        <v>-0.90667739340305709</v>
      </c>
      <c r="N1382" s="9">
        <f t="shared" si="87"/>
        <v>-0.90909090909090906</v>
      </c>
    </row>
    <row r="1383" spans="1:14" x14ac:dyDescent="0.25">
      <c r="A1383" t="str">
        <f>TEXT("1/"&amp;data!A1383,"mmmm")</f>
        <v>mai</v>
      </c>
      <c r="B1383">
        <f>data!B1383</f>
        <v>2016</v>
      </c>
      <c r="C1383" t="str">
        <f>data!C1383</f>
        <v>153</v>
      </c>
      <c r="D1383" t="str">
        <f>data!D1383</f>
        <v>SARL GARNIER ET FILS</v>
      </c>
      <c r="E1383" t="str">
        <f>data!E1383</f>
        <v>153005</v>
      </c>
      <c r="F1383" t="str">
        <f>data!F1383</f>
        <v>AC CHABLIS 1ER CRU MT DE MILIEU</v>
      </c>
      <c r="G1383" s="10">
        <f>data!G1383</f>
        <v>64.8</v>
      </c>
      <c r="H1383" s="10">
        <f>data!I1383</f>
        <v>248.4</v>
      </c>
      <c r="I1383" s="10">
        <f t="shared" si="84"/>
        <v>-183.60000000000002</v>
      </c>
      <c r="J1383" s="11">
        <f>data!H1383</f>
        <v>6</v>
      </c>
      <c r="K1383" s="11">
        <f>data!J1383</f>
        <v>24</v>
      </c>
      <c r="L1383" s="11">
        <f t="shared" si="85"/>
        <v>-18</v>
      </c>
      <c r="M1383" s="9">
        <f t="shared" si="86"/>
        <v>-0.73913043478260876</v>
      </c>
      <c r="N1383" s="9">
        <f t="shared" si="87"/>
        <v>-0.75</v>
      </c>
    </row>
    <row r="1384" spans="1:14" x14ac:dyDescent="0.25">
      <c r="A1384" t="str">
        <f>TEXT("1/"&amp;data!A1384,"mmmm")</f>
        <v>mai</v>
      </c>
      <c r="B1384">
        <f>data!B1384</f>
        <v>2016</v>
      </c>
      <c r="C1384" t="str">
        <f>data!C1384</f>
        <v>157</v>
      </c>
      <c r="D1384" t="str">
        <f>data!D1384</f>
        <v>DOMAINE DE LA FOLIETTE</v>
      </c>
      <c r="E1384" t="str">
        <f>data!E1384</f>
        <v>157001</v>
      </c>
      <c r="F1384" t="str">
        <f>data!F1384</f>
        <v>AC MUSCADET S&amp;MAINE/LIE FOLIETTES</v>
      </c>
      <c r="G1384" s="10">
        <f>data!G1384</f>
        <v>219.6</v>
      </c>
      <c r="H1384" s="10">
        <f>data!I1384</f>
        <v>371.7</v>
      </c>
      <c r="I1384" s="10">
        <f t="shared" si="84"/>
        <v>-152.1</v>
      </c>
      <c r="J1384" s="11">
        <f>data!H1384</f>
        <v>72</v>
      </c>
      <c r="K1384" s="11">
        <f>data!J1384</f>
        <v>126</v>
      </c>
      <c r="L1384" s="11">
        <f t="shared" si="85"/>
        <v>-54</v>
      </c>
      <c r="M1384" s="9">
        <f t="shared" si="86"/>
        <v>-0.40920096852300242</v>
      </c>
      <c r="N1384" s="9">
        <f t="shared" si="87"/>
        <v>-0.42857142857142855</v>
      </c>
    </row>
    <row r="1385" spans="1:14" x14ac:dyDescent="0.25">
      <c r="A1385" t="str">
        <f>TEXT("1/"&amp;data!A1385,"mmmm")</f>
        <v>mai</v>
      </c>
      <c r="B1385">
        <f>data!B1385</f>
        <v>2016</v>
      </c>
      <c r="C1385" t="str">
        <f>data!C1385</f>
        <v>162</v>
      </c>
      <c r="D1385" t="str">
        <f>data!D1385</f>
        <v>CHATEAU JOUCLARY</v>
      </c>
      <c r="E1385" t="str">
        <f>data!E1385</f>
        <v>162001</v>
      </c>
      <c r="F1385" t="str">
        <f>data!F1385</f>
        <v>AC CABARDES CH JOUCLARY</v>
      </c>
      <c r="G1385" s="10">
        <f>data!G1385</f>
        <v>835.2</v>
      </c>
      <c r="H1385" s="10">
        <f>data!I1385</f>
        <v>1663.2</v>
      </c>
      <c r="I1385" s="10">
        <f t="shared" si="84"/>
        <v>-828</v>
      </c>
      <c r="J1385" s="11">
        <f>data!H1385</f>
        <v>288</v>
      </c>
      <c r="K1385" s="11">
        <f>data!J1385</f>
        <v>594</v>
      </c>
      <c r="L1385" s="11">
        <f t="shared" si="85"/>
        <v>-306</v>
      </c>
      <c r="M1385" s="9">
        <f t="shared" si="86"/>
        <v>-0.4978354978354978</v>
      </c>
      <c r="N1385" s="9">
        <f t="shared" si="87"/>
        <v>-0.51515151515151514</v>
      </c>
    </row>
    <row r="1386" spans="1:14" x14ac:dyDescent="0.25">
      <c r="A1386" t="str">
        <f>TEXT("1/"&amp;data!A1386,"mmmm")</f>
        <v>mai</v>
      </c>
      <c r="B1386">
        <f>data!B1386</f>
        <v>2016</v>
      </c>
      <c r="C1386" t="str">
        <f>data!C1386</f>
        <v>162</v>
      </c>
      <c r="D1386" t="str">
        <f>data!D1386</f>
        <v>CHATEAU JOUCLARY</v>
      </c>
      <c r="E1386" t="str">
        <f>data!E1386</f>
        <v>162002</v>
      </c>
      <c r="F1386" t="str">
        <f>data!F1386</f>
        <v>AC CABARDES JOUCLARY CUVEE AMANDIERS</v>
      </c>
      <c r="G1386" s="10">
        <f>data!G1386</f>
        <v>309.60000000000002</v>
      </c>
      <c r="H1386" s="10">
        <f>data!I1386</f>
        <v>288</v>
      </c>
      <c r="I1386" s="10">
        <f t="shared" si="84"/>
        <v>21.600000000000023</v>
      </c>
      <c r="J1386" s="11">
        <f>data!H1386</f>
        <v>72</v>
      </c>
      <c r="K1386" s="11">
        <f>data!J1386</f>
        <v>72</v>
      </c>
      <c r="L1386" s="11">
        <f t="shared" si="85"/>
        <v>0</v>
      </c>
      <c r="M1386" s="9">
        <f t="shared" si="86"/>
        <v>7.500000000000008E-2</v>
      </c>
      <c r="N1386" s="9">
        <f t="shared" si="87"/>
        <v>0</v>
      </c>
    </row>
    <row r="1387" spans="1:14" x14ac:dyDescent="0.25">
      <c r="A1387" t="str">
        <f>TEXT("1/"&amp;data!A1387,"mmmm")</f>
        <v>mai</v>
      </c>
      <c r="B1387">
        <f>data!B1387</f>
        <v>2016</v>
      </c>
      <c r="C1387" t="str">
        <f>data!C1387</f>
        <v>162</v>
      </c>
      <c r="D1387" t="str">
        <f>data!D1387</f>
        <v>CHATEAU JOUCLARY</v>
      </c>
      <c r="E1387" t="str">
        <f>data!E1387</f>
        <v>162003</v>
      </c>
      <c r="F1387" t="str">
        <f>data!F1387</f>
        <v>AOP CABARDES JOUCLARY</v>
      </c>
      <c r="G1387" s="10">
        <f>data!G1387</f>
        <v>17.399999999999999</v>
      </c>
      <c r="H1387" s="10">
        <f>data!I1387</f>
        <v>84</v>
      </c>
      <c r="I1387" s="10">
        <f t="shared" si="84"/>
        <v>-66.599999999999994</v>
      </c>
      <c r="J1387" s="11">
        <f>data!H1387</f>
        <v>0</v>
      </c>
      <c r="K1387" s="11">
        <f>data!J1387</f>
        <v>30</v>
      </c>
      <c r="L1387" s="11">
        <f t="shared" si="85"/>
        <v>-30</v>
      </c>
      <c r="M1387" s="9">
        <f t="shared" si="86"/>
        <v>-0.79285714285714282</v>
      </c>
      <c r="N1387" s="9">
        <f t="shared" si="87"/>
        <v>-1</v>
      </c>
    </row>
    <row r="1388" spans="1:14" x14ac:dyDescent="0.25">
      <c r="A1388" t="str">
        <f>TEXT("1/"&amp;data!A1388,"mmmm")</f>
        <v>mai</v>
      </c>
      <c r="B1388">
        <f>data!B1388</f>
        <v>2016</v>
      </c>
      <c r="C1388" t="str">
        <f>data!C1388</f>
        <v>162</v>
      </c>
      <c r="D1388" t="str">
        <f>data!D1388</f>
        <v>CHATEAU JOUCLARY</v>
      </c>
      <c r="E1388" t="str">
        <f>data!E1388</f>
        <v>CDV162004</v>
      </c>
      <c r="F1388" t="str">
        <f>data!F1388</f>
        <v>IGP OC SAUVIGNON CH JOUCLARY</v>
      </c>
      <c r="G1388" s="10">
        <f>data!G1388</f>
        <v>30</v>
      </c>
      <c r="H1388" s="10">
        <f>data!I1388</f>
        <v>0</v>
      </c>
      <c r="I1388" s="10">
        <f t="shared" si="84"/>
        <v>30</v>
      </c>
      <c r="J1388" s="11">
        <f>data!H1388</f>
        <v>12</v>
      </c>
      <c r="K1388" s="11">
        <f>data!J1388</f>
        <v>0</v>
      </c>
      <c r="L1388" s="11">
        <f t="shared" si="85"/>
        <v>12</v>
      </c>
      <c r="M1388" s="9" t="str">
        <f t="shared" si="86"/>
        <v/>
      </c>
      <c r="N1388" s="9" t="str">
        <f t="shared" si="87"/>
        <v/>
      </c>
    </row>
    <row r="1389" spans="1:14" x14ac:dyDescent="0.25">
      <c r="A1389" t="str">
        <f>TEXT("1/"&amp;data!A1389,"mmmm")</f>
        <v>mai</v>
      </c>
      <c r="B1389">
        <f>data!B1389</f>
        <v>2016</v>
      </c>
      <c r="C1389" t="str">
        <f>data!C1389</f>
        <v>164</v>
      </c>
      <c r="D1389" t="str">
        <f>data!D1389</f>
        <v>CHATEAU JUPILLE</v>
      </c>
      <c r="E1389" t="str">
        <f>data!E1389</f>
        <v>164002</v>
      </c>
      <c r="F1389" t="str">
        <f>data!F1389</f>
        <v>AC ST EMILION CH JUPILLE CARILLON</v>
      </c>
      <c r="G1389" s="10">
        <f>data!G1389</f>
        <v>475.2</v>
      </c>
      <c r="H1389" s="10">
        <f>data!I1389</f>
        <v>0</v>
      </c>
      <c r="I1389" s="10">
        <f t="shared" si="84"/>
        <v>475.2</v>
      </c>
      <c r="J1389" s="11">
        <f>data!H1389</f>
        <v>72</v>
      </c>
      <c r="K1389" s="11">
        <f>data!J1389</f>
        <v>0</v>
      </c>
      <c r="L1389" s="11">
        <f t="shared" si="85"/>
        <v>72</v>
      </c>
      <c r="M1389" s="9" t="str">
        <f t="shared" si="86"/>
        <v/>
      </c>
      <c r="N1389" s="9" t="str">
        <f t="shared" si="87"/>
        <v/>
      </c>
    </row>
    <row r="1390" spans="1:14" x14ac:dyDescent="0.25">
      <c r="A1390" t="str">
        <f>TEXT("1/"&amp;data!A1390,"mmmm")</f>
        <v>mai</v>
      </c>
      <c r="B1390">
        <f>data!B1390</f>
        <v>2016</v>
      </c>
      <c r="C1390" t="str">
        <f>data!C1390</f>
        <v>164</v>
      </c>
      <c r="D1390" t="str">
        <f>data!D1390</f>
        <v>CHATEAU JUPILLE</v>
      </c>
      <c r="E1390" t="str">
        <f>data!E1390</f>
        <v>164005/12</v>
      </c>
      <c r="F1390" t="str">
        <f>data!F1390</f>
        <v>AC ST EMILION GD CRU CH JUCALIS</v>
      </c>
      <c r="G1390" s="10">
        <f>data!G1390</f>
        <v>54</v>
      </c>
      <c r="H1390" s="10">
        <f>data!I1390</f>
        <v>0</v>
      </c>
      <c r="I1390" s="10">
        <f t="shared" si="84"/>
        <v>54</v>
      </c>
      <c r="J1390" s="11">
        <f>data!H1390</f>
        <v>12</v>
      </c>
      <c r="K1390" s="11">
        <f>data!J1390</f>
        <v>0</v>
      </c>
      <c r="L1390" s="11">
        <f t="shared" si="85"/>
        <v>12</v>
      </c>
      <c r="M1390" s="9" t="str">
        <f t="shared" si="86"/>
        <v/>
      </c>
      <c r="N1390" s="9" t="str">
        <f t="shared" si="87"/>
        <v/>
      </c>
    </row>
    <row r="1391" spans="1:14" x14ac:dyDescent="0.25">
      <c r="A1391" t="str">
        <f>TEXT("1/"&amp;data!A1391,"mmmm")</f>
        <v>mai</v>
      </c>
      <c r="B1391">
        <f>data!B1391</f>
        <v>2016</v>
      </c>
      <c r="C1391" t="str">
        <f>data!C1391</f>
        <v>164</v>
      </c>
      <c r="D1391" t="str">
        <f>data!D1391</f>
        <v>CHATEAU JUPILLE</v>
      </c>
      <c r="E1391" t="str">
        <f>data!E1391</f>
        <v>164010</v>
      </c>
      <c r="F1391" t="str">
        <f>data!F1391</f>
        <v>AOP SAINT EMILION JUPILLE CARILLON</v>
      </c>
      <c r="G1391" s="10">
        <f>data!G1391</f>
        <v>342</v>
      </c>
      <c r="H1391" s="10">
        <f>data!I1391</f>
        <v>0</v>
      </c>
      <c r="I1391" s="10">
        <f t="shared" si="84"/>
        <v>342</v>
      </c>
      <c r="J1391" s="11">
        <f>data!H1391</f>
        <v>113.39</v>
      </c>
      <c r="K1391" s="11">
        <f>data!J1391</f>
        <v>0</v>
      </c>
      <c r="L1391" s="11">
        <f t="shared" si="85"/>
        <v>113.39</v>
      </c>
      <c r="M1391" s="9" t="str">
        <f t="shared" si="86"/>
        <v/>
      </c>
      <c r="N1391" s="9" t="str">
        <f t="shared" si="87"/>
        <v/>
      </c>
    </row>
    <row r="1392" spans="1:14" x14ac:dyDescent="0.25">
      <c r="A1392" t="str">
        <f>TEXT("1/"&amp;data!A1392,"mmmm")</f>
        <v>mai</v>
      </c>
      <c r="B1392">
        <f>data!B1392</f>
        <v>2016</v>
      </c>
      <c r="C1392" t="str">
        <f>data!C1392</f>
        <v>164</v>
      </c>
      <c r="D1392" t="str">
        <f>data!D1392</f>
        <v>CHATEAU JUPILLE</v>
      </c>
      <c r="E1392" t="str">
        <f>data!E1392</f>
        <v>CDV164011</v>
      </c>
      <c r="F1392" t="str">
        <f>data!F1392</f>
        <v>MAGNUM JUPILLE CARILLON</v>
      </c>
      <c r="G1392" s="10">
        <f>data!G1392</f>
        <v>53.1</v>
      </c>
      <c r="H1392" s="10">
        <f>data!I1392</f>
        <v>0</v>
      </c>
      <c r="I1392" s="10">
        <f t="shared" si="84"/>
        <v>53.1</v>
      </c>
      <c r="J1392" s="11">
        <f>data!H1392</f>
        <v>6</v>
      </c>
      <c r="K1392" s="11">
        <f>data!J1392</f>
        <v>0</v>
      </c>
      <c r="L1392" s="11">
        <f t="shared" si="85"/>
        <v>6</v>
      </c>
      <c r="M1392" s="9" t="str">
        <f t="shared" si="86"/>
        <v/>
      </c>
      <c r="N1392" s="9" t="str">
        <f t="shared" si="87"/>
        <v/>
      </c>
    </row>
    <row r="1393" spans="1:14" x14ac:dyDescent="0.25">
      <c r="A1393" t="str">
        <f>TEXT("1/"&amp;data!A1393,"mmmm")</f>
        <v>mai</v>
      </c>
      <c r="B1393">
        <f>data!B1393</f>
        <v>2016</v>
      </c>
      <c r="C1393" t="str">
        <f>data!C1393</f>
        <v>168</v>
      </c>
      <c r="D1393" t="str">
        <f>data!D1393</f>
        <v>CHATEAU LA ROSE SARRON</v>
      </c>
      <c r="E1393" t="str">
        <f>data!E1393</f>
        <v>168001</v>
      </c>
      <c r="F1393" t="str">
        <f>data!F1393</f>
        <v>AC GRAVES CH LA ROSE SARRON</v>
      </c>
      <c r="G1393" s="10">
        <f>data!G1393</f>
        <v>615</v>
      </c>
      <c r="H1393" s="10">
        <f>data!I1393</f>
        <v>1392</v>
      </c>
      <c r="I1393" s="10">
        <f t="shared" si="84"/>
        <v>-777</v>
      </c>
      <c r="J1393" s="11">
        <f>data!H1393</f>
        <v>150</v>
      </c>
      <c r="K1393" s="11">
        <f>data!J1393</f>
        <v>348</v>
      </c>
      <c r="L1393" s="11">
        <f t="shared" si="85"/>
        <v>-198</v>
      </c>
      <c r="M1393" s="9">
        <f t="shared" si="86"/>
        <v>-0.55818965517241381</v>
      </c>
      <c r="N1393" s="9">
        <f t="shared" si="87"/>
        <v>-0.56896551724137934</v>
      </c>
    </row>
    <row r="1394" spans="1:14" x14ac:dyDescent="0.25">
      <c r="A1394" t="str">
        <f>TEXT("1/"&amp;data!A1394,"mmmm")</f>
        <v>mai</v>
      </c>
      <c r="B1394">
        <f>data!B1394</f>
        <v>2016</v>
      </c>
      <c r="C1394" t="str">
        <f>data!C1394</f>
        <v>168</v>
      </c>
      <c r="D1394" t="str">
        <f>data!D1394</f>
        <v>CHATEAU LA ROSE SARRON</v>
      </c>
      <c r="E1394" t="str">
        <f>data!E1394</f>
        <v>168002</v>
      </c>
      <c r="F1394" t="str">
        <f>data!F1394</f>
        <v>AC GRAVES CH. LA ROSE SARRON</v>
      </c>
      <c r="G1394" s="10">
        <f>data!G1394</f>
        <v>207</v>
      </c>
      <c r="H1394" s="10">
        <f>data!I1394</f>
        <v>160.80000000000001</v>
      </c>
      <c r="I1394" s="10">
        <f t="shared" si="84"/>
        <v>46.199999999999989</v>
      </c>
      <c r="J1394" s="11">
        <f>data!H1394</f>
        <v>60</v>
      </c>
      <c r="K1394" s="11">
        <f>data!J1394</f>
        <v>48</v>
      </c>
      <c r="L1394" s="11">
        <f t="shared" si="85"/>
        <v>12</v>
      </c>
      <c r="M1394" s="9">
        <f t="shared" si="86"/>
        <v>0.28731343283582078</v>
      </c>
      <c r="N1394" s="9">
        <f t="shared" si="87"/>
        <v>0.25</v>
      </c>
    </row>
    <row r="1395" spans="1:14" x14ac:dyDescent="0.25">
      <c r="A1395" t="str">
        <f>TEXT("1/"&amp;data!A1395,"mmmm")</f>
        <v>mai</v>
      </c>
      <c r="B1395">
        <f>data!B1395</f>
        <v>2016</v>
      </c>
      <c r="C1395" t="str">
        <f>data!C1395</f>
        <v>169</v>
      </c>
      <c r="D1395" t="str">
        <f>data!D1395</f>
        <v>CHATEAU PERREAU BEL AIR</v>
      </c>
      <c r="E1395" t="str">
        <f>data!E1395</f>
        <v>169001</v>
      </c>
      <c r="F1395" t="str">
        <f>data!F1395</f>
        <v>AC COTES DE CASTILLON CH PERREAU BEL AIR</v>
      </c>
      <c r="G1395" s="10">
        <f>data!G1395</f>
        <v>1233.0999999999999</v>
      </c>
      <c r="H1395" s="10">
        <f>data!I1395</f>
        <v>469.8</v>
      </c>
      <c r="I1395" s="10">
        <f t="shared" si="84"/>
        <v>763.3</v>
      </c>
      <c r="J1395" s="11">
        <f>data!H1395</f>
        <v>418</v>
      </c>
      <c r="K1395" s="11">
        <f>data!J1395</f>
        <v>162</v>
      </c>
      <c r="L1395" s="11">
        <f t="shared" si="85"/>
        <v>256</v>
      </c>
      <c r="M1395" s="9">
        <f t="shared" si="86"/>
        <v>1.6247339293316303</v>
      </c>
      <c r="N1395" s="9">
        <f t="shared" si="87"/>
        <v>1.5802469135802468</v>
      </c>
    </row>
    <row r="1396" spans="1:14" x14ac:dyDescent="0.25">
      <c r="A1396" t="str">
        <f>TEXT("1/"&amp;data!A1396,"mmmm")</f>
        <v>mai</v>
      </c>
      <c r="B1396">
        <f>data!B1396</f>
        <v>2016</v>
      </c>
      <c r="C1396" t="str">
        <f>data!C1396</f>
        <v>169</v>
      </c>
      <c r="D1396" t="str">
        <f>data!D1396</f>
        <v>CHATEAU PERREAU BEL AIR</v>
      </c>
      <c r="E1396" t="str">
        <f>data!E1396</f>
        <v>169002</v>
      </c>
      <c r="F1396" t="str">
        <f>data!F1396</f>
        <v>AC BORDEAUX SUPERIEUR CHATEAU MESSAYA</v>
      </c>
      <c r="G1396" s="10">
        <f>data!G1396</f>
        <v>1348.62</v>
      </c>
      <c r="H1396" s="10">
        <f>data!I1396</f>
        <v>842.16</v>
      </c>
      <c r="I1396" s="10">
        <f t="shared" si="84"/>
        <v>506.45999999999992</v>
      </c>
      <c r="J1396" s="11">
        <f>data!H1396</f>
        <v>552</v>
      </c>
      <c r="K1396" s="11">
        <f>data!J1396</f>
        <v>348</v>
      </c>
      <c r="L1396" s="11">
        <f t="shared" si="85"/>
        <v>204</v>
      </c>
      <c r="M1396" s="9">
        <f t="shared" si="86"/>
        <v>0.60138216015958956</v>
      </c>
      <c r="N1396" s="9">
        <f t="shared" si="87"/>
        <v>0.58620689655172409</v>
      </c>
    </row>
    <row r="1397" spans="1:14" x14ac:dyDescent="0.25">
      <c r="A1397" t="str">
        <f>TEXT("1/"&amp;data!A1397,"mmmm")</f>
        <v>mai</v>
      </c>
      <c r="B1397">
        <f>data!B1397</f>
        <v>2016</v>
      </c>
      <c r="C1397" t="str">
        <f>data!C1397</f>
        <v>169</v>
      </c>
      <c r="D1397" t="str">
        <f>data!D1397</f>
        <v>CHATEAU PERREAU BEL AIR</v>
      </c>
      <c r="E1397" t="str">
        <f>data!E1397</f>
        <v>169005CB</v>
      </c>
      <c r="F1397" t="str">
        <f>data!F1397</f>
        <v>AC COTES DE CASTILLON CB 3 BOUTEILLES</v>
      </c>
      <c r="G1397" s="10">
        <f>data!G1397</f>
        <v>103.2</v>
      </c>
      <c r="H1397" s="10">
        <f>data!I1397</f>
        <v>0</v>
      </c>
      <c r="I1397" s="10">
        <f t="shared" si="84"/>
        <v>103.2</v>
      </c>
      <c r="J1397" s="11">
        <f>data!H1397</f>
        <v>24</v>
      </c>
      <c r="K1397" s="11">
        <f>data!J1397</f>
        <v>0</v>
      </c>
      <c r="L1397" s="11">
        <f t="shared" si="85"/>
        <v>24</v>
      </c>
      <c r="M1397" s="9" t="str">
        <f t="shared" si="86"/>
        <v/>
      </c>
      <c r="N1397" s="9" t="str">
        <f t="shared" si="87"/>
        <v/>
      </c>
    </row>
    <row r="1398" spans="1:14" x14ac:dyDescent="0.25">
      <c r="A1398" t="str">
        <f>TEXT("1/"&amp;data!A1398,"mmmm")</f>
        <v>mai</v>
      </c>
      <c r="B1398">
        <f>data!B1398</f>
        <v>2016</v>
      </c>
      <c r="C1398" t="str">
        <f>data!C1398</f>
        <v>169</v>
      </c>
      <c r="D1398" t="str">
        <f>data!D1398</f>
        <v>CHATEAU PERREAU BEL AIR</v>
      </c>
      <c r="E1398" t="str">
        <f>data!E1398</f>
        <v>169009</v>
      </c>
      <c r="F1398" t="str">
        <f>data!F1398</f>
        <v>AOP COTES DE BORDEAUX LES HAUTS DE PERREAU BEL AIR</v>
      </c>
      <c r="G1398" s="10">
        <f>data!G1398</f>
        <v>740</v>
      </c>
      <c r="H1398" s="10">
        <f>data!I1398</f>
        <v>906.5</v>
      </c>
      <c r="I1398" s="10">
        <f t="shared" si="84"/>
        <v>-166.5</v>
      </c>
      <c r="J1398" s="11">
        <f>data!H1398</f>
        <v>533.20000000000005</v>
      </c>
      <c r="K1398" s="11">
        <f>data!J1398</f>
        <v>653.16999999999996</v>
      </c>
      <c r="L1398" s="11">
        <f t="shared" si="85"/>
        <v>-119.96999999999991</v>
      </c>
      <c r="M1398" s="9">
        <f t="shared" si="86"/>
        <v>-0.18367346938775511</v>
      </c>
      <c r="N1398" s="9">
        <f t="shared" si="87"/>
        <v>-0.18367346938775497</v>
      </c>
    </row>
    <row r="1399" spans="1:14" x14ac:dyDescent="0.25">
      <c r="A1399" t="str">
        <f>TEXT("1/"&amp;data!A1399,"mmmm")</f>
        <v>mai</v>
      </c>
      <c r="B1399">
        <f>data!B1399</f>
        <v>2016</v>
      </c>
      <c r="C1399" t="str">
        <f>data!C1399</f>
        <v>169</v>
      </c>
      <c r="D1399" t="str">
        <f>data!D1399</f>
        <v>CHATEAU PERREAU BEL AIR</v>
      </c>
      <c r="E1399" t="str">
        <f>data!E1399</f>
        <v>169010</v>
      </c>
      <c r="F1399" t="str">
        <f>data!F1399</f>
        <v>AOP COTES DE BORDEAUX LES HAUTS DE PERREAU BEL AIR</v>
      </c>
      <c r="G1399" s="10">
        <f>data!G1399</f>
        <v>493.5</v>
      </c>
      <c r="H1399" s="10">
        <f>data!I1399</f>
        <v>189</v>
      </c>
      <c r="I1399" s="10">
        <f t="shared" si="84"/>
        <v>304.5</v>
      </c>
      <c r="J1399" s="11">
        <f>data!H1399</f>
        <v>306.82</v>
      </c>
      <c r="K1399" s="11">
        <f>data!J1399</f>
        <v>126.73</v>
      </c>
      <c r="L1399" s="11">
        <f t="shared" si="85"/>
        <v>180.08999999999997</v>
      </c>
      <c r="M1399" s="9">
        <f t="shared" si="86"/>
        <v>1.6111111111111112</v>
      </c>
      <c r="N1399" s="9">
        <f t="shared" si="87"/>
        <v>1.4210526315789471</v>
      </c>
    </row>
    <row r="1400" spans="1:14" x14ac:dyDescent="0.25">
      <c r="A1400" t="str">
        <f>TEXT("1/"&amp;data!A1400,"mmmm")</f>
        <v>mai</v>
      </c>
      <c r="B1400">
        <f>data!B1400</f>
        <v>2016</v>
      </c>
      <c r="C1400" t="str">
        <f>data!C1400</f>
        <v>169</v>
      </c>
      <c r="D1400" t="str">
        <f>data!D1400</f>
        <v>CHATEAU PERREAU BEL AIR</v>
      </c>
      <c r="E1400" t="str">
        <f>data!E1400</f>
        <v>169011</v>
      </c>
      <c r="F1400" t="str">
        <f>data!F1400</f>
        <v>CHATEAU DE L'AUZE BERGERAC BLANC</v>
      </c>
      <c r="G1400" s="10">
        <f>data!G1400</f>
        <v>215</v>
      </c>
      <c r="H1400" s="10">
        <f>data!I1400</f>
        <v>0</v>
      </c>
      <c r="I1400" s="10">
        <f t="shared" si="84"/>
        <v>215</v>
      </c>
      <c r="J1400" s="11">
        <f>data!H1400</f>
        <v>96</v>
      </c>
      <c r="K1400" s="11">
        <f>data!J1400</f>
        <v>0</v>
      </c>
      <c r="L1400" s="11">
        <f t="shared" si="85"/>
        <v>96</v>
      </c>
      <c r="M1400" s="9" t="str">
        <f t="shared" si="86"/>
        <v/>
      </c>
      <c r="N1400" s="9" t="str">
        <f t="shared" si="87"/>
        <v/>
      </c>
    </row>
    <row r="1401" spans="1:14" x14ac:dyDescent="0.25">
      <c r="A1401" t="str">
        <f>TEXT("1/"&amp;data!A1401,"mmmm")</f>
        <v>mai</v>
      </c>
      <c r="B1401">
        <f>data!B1401</f>
        <v>2016</v>
      </c>
      <c r="C1401" t="str">
        <f>data!C1401</f>
        <v>174</v>
      </c>
      <c r="D1401" t="str">
        <f>data!D1401</f>
        <v>SAS VIGNOBLES DES 3 CHATEAUX</v>
      </c>
      <c r="E1401" t="str">
        <f>data!E1401</f>
        <v>174001</v>
      </c>
      <c r="F1401" t="str">
        <f>data!F1401</f>
        <v>AC PIC SAINT LOUP LES DEESSES MUETTES EMOTION</v>
      </c>
      <c r="G1401" s="10">
        <f>data!G1401</f>
        <v>2477.52</v>
      </c>
      <c r="H1401" s="10">
        <f>data!I1401</f>
        <v>1964.16</v>
      </c>
      <c r="I1401" s="10">
        <f t="shared" si="84"/>
        <v>513.3599999999999</v>
      </c>
      <c r="J1401" s="11">
        <f>data!H1401</f>
        <v>666</v>
      </c>
      <c r="K1401" s="11">
        <f>data!J1401</f>
        <v>534</v>
      </c>
      <c r="L1401" s="11">
        <f t="shared" si="85"/>
        <v>132</v>
      </c>
      <c r="M1401" s="9">
        <f t="shared" si="86"/>
        <v>0.2613636363636363</v>
      </c>
      <c r="N1401" s="9">
        <f t="shared" si="87"/>
        <v>0.24719101123595505</v>
      </c>
    </row>
    <row r="1402" spans="1:14" x14ac:dyDescent="0.25">
      <c r="A1402" t="str">
        <f>TEXT("1/"&amp;data!A1402,"mmmm")</f>
        <v>mai</v>
      </c>
      <c r="B1402">
        <f>data!B1402</f>
        <v>2016</v>
      </c>
      <c r="C1402" t="str">
        <f>data!C1402</f>
        <v>174</v>
      </c>
      <c r="D1402" t="str">
        <f>data!D1402</f>
        <v>SAS VIGNOBLES DES 3 CHATEAUX</v>
      </c>
      <c r="E1402" t="str">
        <f>data!E1402</f>
        <v>174002</v>
      </c>
      <c r="F1402" t="str">
        <f>data!F1402</f>
        <v>AC PIC SAINT LOUP CUVEE SPECIALE VIEILLI FUT DE CH</v>
      </c>
      <c r="G1402" s="10">
        <f>data!G1402</f>
        <v>223.2</v>
      </c>
      <c r="H1402" s="10">
        <f>data!I1402</f>
        <v>146.88</v>
      </c>
      <c r="I1402" s="10">
        <f t="shared" si="84"/>
        <v>76.319999999999993</v>
      </c>
      <c r="J1402" s="11">
        <f>data!H1402</f>
        <v>36</v>
      </c>
      <c r="K1402" s="11">
        <f>data!J1402</f>
        <v>24</v>
      </c>
      <c r="L1402" s="11">
        <f t="shared" si="85"/>
        <v>12</v>
      </c>
      <c r="M1402" s="9">
        <f t="shared" si="86"/>
        <v>0.51960784313725483</v>
      </c>
      <c r="N1402" s="9">
        <f t="shared" si="87"/>
        <v>0.5</v>
      </c>
    </row>
    <row r="1403" spans="1:14" x14ac:dyDescent="0.25">
      <c r="A1403" t="str">
        <f>TEXT("1/"&amp;data!A1403,"mmmm")</f>
        <v>mai</v>
      </c>
      <c r="B1403">
        <f>data!B1403</f>
        <v>2016</v>
      </c>
      <c r="C1403" t="str">
        <f>data!C1403</f>
        <v>174</v>
      </c>
      <c r="D1403" t="str">
        <f>data!D1403</f>
        <v>SAS VIGNOBLES DES 3 CHATEAUX</v>
      </c>
      <c r="E1403" t="str">
        <f>data!E1403</f>
        <v>174003</v>
      </c>
      <c r="F1403" t="str">
        <f>data!F1403</f>
        <v>IGP CARIGNAN - PETIT LOUP</v>
      </c>
      <c r="G1403" s="10">
        <f>data!G1403</f>
        <v>1513.68</v>
      </c>
      <c r="H1403" s="10">
        <f>data!I1403</f>
        <v>419.76</v>
      </c>
      <c r="I1403" s="10">
        <f t="shared" si="84"/>
        <v>1093.92</v>
      </c>
      <c r="J1403" s="11">
        <f>data!H1403</f>
        <v>762</v>
      </c>
      <c r="K1403" s="11">
        <f>data!J1403</f>
        <v>234</v>
      </c>
      <c r="L1403" s="11">
        <f t="shared" si="85"/>
        <v>528</v>
      </c>
      <c r="M1403" s="9">
        <f t="shared" si="86"/>
        <v>2.6060606060606064</v>
      </c>
      <c r="N1403" s="9">
        <f t="shared" si="87"/>
        <v>2.2564102564102564</v>
      </c>
    </row>
    <row r="1404" spans="1:14" x14ac:dyDescent="0.25">
      <c r="A1404" t="str">
        <f>TEXT("1/"&amp;data!A1404,"mmmm")</f>
        <v>mai</v>
      </c>
      <c r="B1404">
        <f>data!B1404</f>
        <v>2016</v>
      </c>
      <c r="C1404" t="str">
        <f>data!C1404</f>
        <v>174</v>
      </c>
      <c r="D1404" t="str">
        <f>data!D1404</f>
        <v>SAS VIGNOBLES DES 3 CHATEAUX</v>
      </c>
      <c r="E1404" t="str">
        <f>data!E1404</f>
        <v>174005</v>
      </c>
      <c r="F1404" t="str">
        <f>data!F1404</f>
        <v>IGP PAYS D'OC LES SARDINES</v>
      </c>
      <c r="G1404" s="10">
        <f>data!G1404</f>
        <v>1133</v>
      </c>
      <c r="H1404" s="10">
        <f>data!I1404</f>
        <v>0</v>
      </c>
      <c r="I1404" s="10">
        <f t="shared" si="84"/>
        <v>1133</v>
      </c>
      <c r="J1404" s="11">
        <f>data!H1404</f>
        <v>558</v>
      </c>
      <c r="K1404" s="11">
        <f>data!J1404</f>
        <v>0</v>
      </c>
      <c r="L1404" s="11">
        <f t="shared" si="85"/>
        <v>558</v>
      </c>
      <c r="M1404" s="9" t="str">
        <f t="shared" si="86"/>
        <v/>
      </c>
      <c r="N1404" s="9" t="str">
        <f t="shared" si="87"/>
        <v/>
      </c>
    </row>
    <row r="1405" spans="1:14" x14ac:dyDescent="0.25">
      <c r="A1405" t="str">
        <f>TEXT("1/"&amp;data!A1405,"mmmm")</f>
        <v>mai</v>
      </c>
      <c r="B1405">
        <f>data!B1405</f>
        <v>2016</v>
      </c>
      <c r="C1405" t="str">
        <f>data!C1405</f>
        <v>174</v>
      </c>
      <c r="D1405" t="str">
        <f>data!D1405</f>
        <v>SAS VIGNOBLES DES 3 CHATEAUX</v>
      </c>
      <c r="E1405" t="str">
        <f>data!E1405</f>
        <v>174006</v>
      </c>
      <c r="F1405" t="str">
        <f>data!F1405</f>
        <v>IGP PAYS D'OC LES SARDINES</v>
      </c>
      <c r="G1405" s="10">
        <f>data!G1405</f>
        <v>1476.2</v>
      </c>
      <c r="H1405" s="10">
        <f>data!I1405</f>
        <v>0</v>
      </c>
      <c r="I1405" s="10">
        <f t="shared" si="84"/>
        <v>1476.2</v>
      </c>
      <c r="J1405" s="11">
        <f>data!H1405</f>
        <v>720</v>
      </c>
      <c r="K1405" s="11">
        <f>data!J1405</f>
        <v>0</v>
      </c>
      <c r="L1405" s="11">
        <f t="shared" si="85"/>
        <v>720</v>
      </c>
      <c r="M1405" s="9" t="str">
        <f t="shared" si="86"/>
        <v/>
      </c>
      <c r="N1405" s="9" t="str">
        <f t="shared" si="87"/>
        <v/>
      </c>
    </row>
    <row r="1406" spans="1:14" x14ac:dyDescent="0.25">
      <c r="A1406" t="str">
        <f>TEXT("1/"&amp;data!A1406,"mmmm")</f>
        <v>mai</v>
      </c>
      <c r="B1406">
        <f>data!B1406</f>
        <v>2016</v>
      </c>
      <c r="C1406" t="str">
        <f>data!C1406</f>
        <v>174</v>
      </c>
      <c r="D1406" t="str">
        <f>data!D1406</f>
        <v>SAS VIGNOBLES DES 3 CHATEAUX</v>
      </c>
      <c r="E1406" t="str">
        <f>data!E1406</f>
        <v>174007</v>
      </c>
      <c r="F1406" t="str">
        <f>data!F1406</f>
        <v>IGP PAYS D'OC LES SARDINES</v>
      </c>
      <c r="G1406" s="10">
        <f>data!G1406</f>
        <v>1205.2</v>
      </c>
      <c r="H1406" s="10">
        <f>data!I1406</f>
        <v>0</v>
      </c>
      <c r="I1406" s="10">
        <f t="shared" si="84"/>
        <v>1205.2</v>
      </c>
      <c r="J1406" s="11">
        <f>data!H1406</f>
        <v>570</v>
      </c>
      <c r="K1406" s="11">
        <f>data!J1406</f>
        <v>0</v>
      </c>
      <c r="L1406" s="11">
        <f t="shared" si="85"/>
        <v>570</v>
      </c>
      <c r="M1406" s="9" t="str">
        <f t="shared" si="86"/>
        <v/>
      </c>
      <c r="N1406" s="9" t="str">
        <f t="shared" si="87"/>
        <v/>
      </c>
    </row>
    <row r="1407" spans="1:14" x14ac:dyDescent="0.25">
      <c r="A1407" t="str">
        <f>TEXT("1/"&amp;data!A1407,"mmmm")</f>
        <v>mai</v>
      </c>
      <c r="B1407">
        <f>data!B1407</f>
        <v>2016</v>
      </c>
      <c r="C1407" t="str">
        <f>data!C1407</f>
        <v>174</v>
      </c>
      <c r="D1407" t="str">
        <f>data!D1407</f>
        <v>SAS VIGNOBLES DES 3 CHATEAUX</v>
      </c>
      <c r="E1407" t="str">
        <f>data!E1407</f>
        <v>174009</v>
      </c>
      <c r="F1407" t="str">
        <f>data!F1407</f>
        <v>AOP PIC SAINT LOUP LA DIABLESSE</v>
      </c>
      <c r="G1407" s="10">
        <f>data!G1407</f>
        <v>35.4</v>
      </c>
      <c r="H1407" s="10">
        <f>data!I1407</f>
        <v>0</v>
      </c>
      <c r="I1407" s="10">
        <f t="shared" si="84"/>
        <v>35.4</v>
      </c>
      <c r="J1407" s="11">
        <f>data!H1407</f>
        <v>6</v>
      </c>
      <c r="K1407" s="11">
        <f>data!J1407</f>
        <v>0</v>
      </c>
      <c r="L1407" s="11">
        <f t="shared" si="85"/>
        <v>6</v>
      </c>
      <c r="M1407" s="9" t="str">
        <f t="shared" si="86"/>
        <v/>
      </c>
      <c r="N1407" s="9" t="str">
        <f t="shared" si="87"/>
        <v/>
      </c>
    </row>
    <row r="1408" spans="1:14" x14ac:dyDescent="0.25">
      <c r="A1408" t="str">
        <f>TEXT("1/"&amp;data!A1408,"mmmm")</f>
        <v>mai</v>
      </c>
      <c r="B1408">
        <f>data!B1408</f>
        <v>2016</v>
      </c>
      <c r="C1408" t="str">
        <f>data!C1408</f>
        <v>174</v>
      </c>
      <c r="D1408" t="str">
        <f>data!D1408</f>
        <v>SAS VIGNOBLES DES 3 CHATEAUX</v>
      </c>
      <c r="E1408" t="str">
        <f>data!E1408</f>
        <v>174010</v>
      </c>
      <c r="F1408" t="str">
        <f>data!F1408</f>
        <v>IGP OC MERLOT CABERNET TERROIR DES CIGALES</v>
      </c>
      <c r="G1408" s="10">
        <f>data!G1408</f>
        <v>1246.2</v>
      </c>
      <c r="H1408" s="10">
        <f>data!I1408</f>
        <v>1037.4000000000001</v>
      </c>
      <c r="I1408" s="10">
        <f t="shared" si="84"/>
        <v>208.79999999999995</v>
      </c>
      <c r="J1408" s="11">
        <f>data!H1408</f>
        <v>1239.69</v>
      </c>
      <c r="K1408" s="11">
        <f>data!J1408</f>
        <v>1039.74</v>
      </c>
      <c r="L1408" s="11">
        <f t="shared" si="85"/>
        <v>199.95000000000005</v>
      </c>
      <c r="M1408" s="9">
        <f t="shared" si="86"/>
        <v>0.20127241179872751</v>
      </c>
      <c r="N1408" s="9">
        <f t="shared" si="87"/>
        <v>0.19230769230769235</v>
      </c>
    </row>
    <row r="1409" spans="1:14" x14ac:dyDescent="0.25">
      <c r="A1409" t="str">
        <f>TEXT("1/"&amp;data!A1409,"mmmm")</f>
        <v>mai</v>
      </c>
      <c r="B1409">
        <f>data!B1409</f>
        <v>2016</v>
      </c>
      <c r="C1409" t="str">
        <f>data!C1409</f>
        <v>174</v>
      </c>
      <c r="D1409" t="str">
        <f>data!D1409</f>
        <v>SAS VIGNOBLES DES 3 CHATEAUX</v>
      </c>
      <c r="E1409" t="str">
        <f>data!E1409</f>
        <v>174011</v>
      </c>
      <c r="F1409" t="str">
        <f>data!F1409</f>
        <v>IGP OC MERLOT CABERNET TERROIR DES CIGALES</v>
      </c>
      <c r="G1409" s="10">
        <f>data!G1409</f>
        <v>627.20000000000005</v>
      </c>
      <c r="H1409" s="10">
        <f>data!I1409</f>
        <v>1121.76</v>
      </c>
      <c r="I1409" s="10">
        <f t="shared" si="84"/>
        <v>-494.55999999999995</v>
      </c>
      <c r="J1409" s="11">
        <f>data!H1409</f>
        <v>546.93999999999994</v>
      </c>
      <c r="K1409" s="11">
        <f>data!J1409</f>
        <v>980.49</v>
      </c>
      <c r="L1409" s="11">
        <f t="shared" si="85"/>
        <v>-433.55000000000007</v>
      </c>
      <c r="M1409" s="9">
        <f t="shared" si="86"/>
        <v>-0.44087861931250888</v>
      </c>
      <c r="N1409" s="9">
        <f t="shared" si="87"/>
        <v>-0.44217687074829937</v>
      </c>
    </row>
    <row r="1410" spans="1:14" x14ac:dyDescent="0.25">
      <c r="A1410" t="str">
        <f>TEXT("1/"&amp;data!A1410,"mmmm")</f>
        <v>mai</v>
      </c>
      <c r="B1410">
        <f>data!B1410</f>
        <v>2016</v>
      </c>
      <c r="C1410" t="str">
        <f>data!C1410</f>
        <v>174</v>
      </c>
      <c r="D1410" t="str">
        <f>data!D1410</f>
        <v>SAS VIGNOBLES DES 3 CHATEAUX</v>
      </c>
      <c r="E1410" t="str">
        <f>data!E1410</f>
        <v>174015</v>
      </c>
      <c r="F1410" t="str">
        <f>data!F1410</f>
        <v>IGP OC CHARDONNAY LES CITELLES</v>
      </c>
      <c r="G1410" s="10">
        <f>data!G1410</f>
        <v>456.3</v>
      </c>
      <c r="H1410" s="10">
        <f>data!I1410</f>
        <v>456.3</v>
      </c>
      <c r="I1410" s="10">
        <f t="shared" si="84"/>
        <v>0</v>
      </c>
      <c r="J1410" s="11">
        <f>data!H1410</f>
        <v>346.58</v>
      </c>
      <c r="K1410" s="11">
        <f>data!J1410</f>
        <v>346.58</v>
      </c>
      <c r="L1410" s="11">
        <f t="shared" si="85"/>
        <v>0</v>
      </c>
      <c r="M1410" s="9">
        <f t="shared" si="86"/>
        <v>0</v>
      </c>
      <c r="N1410" s="9">
        <f t="shared" si="87"/>
        <v>0</v>
      </c>
    </row>
    <row r="1411" spans="1:14" x14ac:dyDescent="0.25">
      <c r="A1411" t="str">
        <f>TEXT("1/"&amp;data!A1411,"mmmm")</f>
        <v>mai</v>
      </c>
      <c r="B1411">
        <f>data!B1411</f>
        <v>2016</v>
      </c>
      <c r="C1411" t="str">
        <f>data!C1411</f>
        <v>174</v>
      </c>
      <c r="D1411" t="str">
        <f>data!D1411</f>
        <v>SAS VIGNOBLES DES 3 CHATEAUX</v>
      </c>
      <c r="E1411" t="str">
        <f>data!E1411</f>
        <v>174016</v>
      </c>
      <c r="F1411" t="str">
        <f>data!F1411</f>
        <v>IGP OC CHARDONNAY LES CITELLES</v>
      </c>
      <c r="G1411" s="10">
        <f>data!G1411</f>
        <v>816.72</v>
      </c>
      <c r="H1411" s="10">
        <f>data!I1411</f>
        <v>936.24</v>
      </c>
      <c r="I1411" s="10">
        <f t="shared" ref="I1411:I1474" si="88">G1411-H1411</f>
        <v>-119.51999999999998</v>
      </c>
      <c r="J1411" s="11">
        <f>data!H1411</f>
        <v>553.61</v>
      </c>
      <c r="K1411" s="11">
        <f>data!J1411</f>
        <v>633.65</v>
      </c>
      <c r="L1411" s="11">
        <f t="shared" ref="L1411:L1474" si="89">J1411-K1411</f>
        <v>-80.039999999999964</v>
      </c>
      <c r="M1411" s="9">
        <f t="shared" ref="M1411:M1474" si="90">IF(ISERR(I1411/H1411),"",I1411/H1411)</f>
        <v>-0.1276595744680851</v>
      </c>
      <c r="N1411" s="9">
        <f t="shared" ref="N1411:N1474" si="91">IF(ISERR(L1411/K1411),"",L1411/K1411)</f>
        <v>-0.12631578947368416</v>
      </c>
    </row>
    <row r="1412" spans="1:14" x14ac:dyDescent="0.25">
      <c r="A1412" t="str">
        <f>TEXT("1/"&amp;data!A1412,"mmmm")</f>
        <v>mai</v>
      </c>
      <c r="B1412">
        <f>data!B1412</f>
        <v>2016</v>
      </c>
      <c r="C1412" t="str">
        <f>data!C1412</f>
        <v>174</v>
      </c>
      <c r="D1412" t="str">
        <f>data!D1412</f>
        <v>SAS VIGNOBLES DES 3 CHATEAUX</v>
      </c>
      <c r="E1412" t="str">
        <f>data!E1412</f>
        <v>174020</v>
      </c>
      <c r="F1412" t="str">
        <f>data!F1412</f>
        <v>(x4) AOP COTEAUX DU LANGUEDOC GARUS</v>
      </c>
      <c r="G1412" s="10">
        <f>data!G1412</f>
        <v>0</v>
      </c>
      <c r="H1412" s="10">
        <f>data!I1412</f>
        <v>112.8</v>
      </c>
      <c r="I1412" s="10">
        <f t="shared" si="88"/>
        <v>-112.8</v>
      </c>
      <c r="J1412" s="11">
        <f>data!H1412</f>
        <v>-26.68</v>
      </c>
      <c r="K1412" s="11">
        <f>data!J1412</f>
        <v>80.039999999999992</v>
      </c>
      <c r="L1412" s="11">
        <f t="shared" si="89"/>
        <v>-106.72</v>
      </c>
      <c r="M1412" s="9">
        <f t="shared" si="90"/>
        <v>-1</v>
      </c>
      <c r="N1412" s="9">
        <f t="shared" si="91"/>
        <v>-1.3333333333333335</v>
      </c>
    </row>
    <row r="1413" spans="1:14" x14ac:dyDescent="0.25">
      <c r="A1413" t="str">
        <f>TEXT("1/"&amp;data!A1413,"mmmm")</f>
        <v>mai</v>
      </c>
      <c r="B1413">
        <f>data!B1413</f>
        <v>2016</v>
      </c>
      <c r="C1413" t="str">
        <f>data!C1413</f>
        <v>175</v>
      </c>
      <c r="D1413" t="str">
        <f>data!D1413</f>
        <v>SARL MAISON PERE &amp; FILS</v>
      </c>
      <c r="E1413" t="str">
        <f>data!E1413</f>
        <v>175001</v>
      </c>
      <c r="F1413" t="str">
        <f>data!F1413</f>
        <v>AC CHEVERNY DME MAISON</v>
      </c>
      <c r="G1413" s="10">
        <f>data!G1413</f>
        <v>810</v>
      </c>
      <c r="H1413" s="10">
        <f>data!I1413</f>
        <v>111</v>
      </c>
      <c r="I1413" s="10">
        <f t="shared" si="88"/>
        <v>699</v>
      </c>
      <c r="J1413" s="11">
        <f>data!H1413</f>
        <v>216</v>
      </c>
      <c r="K1413" s="11">
        <f>data!J1413</f>
        <v>30</v>
      </c>
      <c r="L1413" s="11">
        <f t="shared" si="89"/>
        <v>186</v>
      </c>
      <c r="M1413" s="9">
        <f t="shared" si="90"/>
        <v>6.2972972972972974</v>
      </c>
      <c r="N1413" s="9">
        <f t="shared" si="91"/>
        <v>6.2</v>
      </c>
    </row>
    <row r="1414" spans="1:14" x14ac:dyDescent="0.25">
      <c r="A1414" t="str">
        <f>TEXT("1/"&amp;data!A1414,"mmmm")</f>
        <v>mai</v>
      </c>
      <c r="B1414">
        <f>data!B1414</f>
        <v>2016</v>
      </c>
      <c r="C1414" t="str">
        <f>data!C1414</f>
        <v>175</v>
      </c>
      <c r="D1414" t="str">
        <f>data!D1414</f>
        <v>SARL MAISON PERE &amp; FILS</v>
      </c>
      <c r="E1414" t="str">
        <f>data!E1414</f>
        <v>175002</v>
      </c>
      <c r="F1414" t="str">
        <f>data!F1414</f>
        <v>AC CHEVERNY DME MAISON</v>
      </c>
      <c r="G1414" s="10">
        <f>data!G1414</f>
        <v>225</v>
      </c>
      <c r="H1414" s="10">
        <f>data!I1414</f>
        <v>266.39999999999998</v>
      </c>
      <c r="I1414" s="10">
        <f t="shared" si="88"/>
        <v>-41.399999999999977</v>
      </c>
      <c r="J1414" s="11">
        <f>data!H1414</f>
        <v>60</v>
      </c>
      <c r="K1414" s="11">
        <f>data!J1414</f>
        <v>72</v>
      </c>
      <c r="L1414" s="11">
        <f t="shared" si="89"/>
        <v>-12</v>
      </c>
      <c r="M1414" s="9">
        <f t="shared" si="90"/>
        <v>-0.15540540540540534</v>
      </c>
      <c r="N1414" s="9">
        <f t="shared" si="91"/>
        <v>-0.16666666666666666</v>
      </c>
    </row>
    <row r="1415" spans="1:14" x14ac:dyDescent="0.25">
      <c r="A1415" t="str">
        <f>TEXT("1/"&amp;data!A1415,"mmmm")</f>
        <v>mai</v>
      </c>
      <c r="B1415">
        <f>data!B1415</f>
        <v>2016</v>
      </c>
      <c r="C1415" t="str">
        <f>data!C1415</f>
        <v>199</v>
      </c>
      <c r="D1415" t="str">
        <f>data!D1415</f>
        <v>PRIEURE SAINT JEAN DE BEBIAN</v>
      </c>
      <c r="E1415" t="str">
        <f>data!E1415</f>
        <v>199001</v>
      </c>
      <c r="F1415" t="str">
        <f>data!F1415</f>
        <v>AC COTEAUX DU LANGUEDOC CHAPELLE</v>
      </c>
      <c r="G1415" s="10">
        <f>data!G1415</f>
        <v>402</v>
      </c>
      <c r="H1415" s="10">
        <f>data!I1415</f>
        <v>334.8</v>
      </c>
      <c r="I1415" s="10">
        <f t="shared" si="88"/>
        <v>67.199999999999989</v>
      </c>
      <c r="J1415" s="11">
        <f>data!H1415</f>
        <v>60</v>
      </c>
      <c r="K1415" s="11">
        <f>data!J1415</f>
        <v>54</v>
      </c>
      <c r="L1415" s="11">
        <f t="shared" si="89"/>
        <v>6</v>
      </c>
      <c r="M1415" s="9">
        <f t="shared" si="90"/>
        <v>0.20071684587813615</v>
      </c>
      <c r="N1415" s="9">
        <f t="shared" si="91"/>
        <v>0.1111111111111111</v>
      </c>
    </row>
    <row r="1416" spans="1:14" x14ac:dyDescent="0.25">
      <c r="A1416" t="str">
        <f>TEXT("1/"&amp;data!A1416,"mmmm")</f>
        <v>mai</v>
      </c>
      <c r="B1416">
        <f>data!B1416</f>
        <v>2016</v>
      </c>
      <c r="C1416" t="str">
        <f>data!C1416</f>
        <v>199</v>
      </c>
      <c r="D1416" t="str">
        <f>data!D1416</f>
        <v>PRIEURE SAINT JEAN DE BEBIAN</v>
      </c>
      <c r="E1416" t="str">
        <f>data!E1416</f>
        <v>199003</v>
      </c>
      <c r="F1416" t="str">
        <f>data!F1416</f>
        <v>AC COTEAUX DU LANGUEDOC LA CROIX DE BEBIAN</v>
      </c>
      <c r="G1416" s="10">
        <f>data!G1416</f>
        <v>75.599999999999994</v>
      </c>
      <c r="H1416" s="10">
        <f>data!I1416</f>
        <v>730.8</v>
      </c>
      <c r="I1416" s="10">
        <f t="shared" si="88"/>
        <v>-655.19999999999993</v>
      </c>
      <c r="J1416" s="11">
        <f>data!H1416</f>
        <v>18</v>
      </c>
      <c r="K1416" s="11">
        <f>data!J1416</f>
        <v>174</v>
      </c>
      <c r="L1416" s="11">
        <f t="shared" si="89"/>
        <v>-156</v>
      </c>
      <c r="M1416" s="9">
        <f t="shared" si="90"/>
        <v>-0.89655172413793105</v>
      </c>
      <c r="N1416" s="9">
        <f t="shared" si="91"/>
        <v>-0.89655172413793105</v>
      </c>
    </row>
    <row r="1417" spans="1:14" x14ac:dyDescent="0.25">
      <c r="A1417" t="str">
        <f>TEXT("1/"&amp;data!A1417,"mmmm")</f>
        <v>mai</v>
      </c>
      <c r="B1417">
        <f>data!B1417</f>
        <v>2016</v>
      </c>
      <c r="C1417" t="str">
        <f>data!C1417</f>
        <v>201</v>
      </c>
      <c r="D1417" t="str">
        <f>data!D1417</f>
        <v>CAVE LES COTEAUX DU RHONE</v>
      </c>
      <c r="E1417" t="str">
        <f>data!E1417</f>
        <v>201001</v>
      </c>
      <c r="F1417" t="str">
        <f>data!F1417</f>
        <v>IGP VAUCLUSE D'ORANGE CAVE LES COTEAUX DU RHONE</v>
      </c>
      <c r="G1417" s="10">
        <f>data!G1417</f>
        <v>979.2</v>
      </c>
      <c r="H1417" s="10">
        <f>data!I1417</f>
        <v>364.8</v>
      </c>
      <c r="I1417" s="10">
        <f t="shared" si="88"/>
        <v>614.40000000000009</v>
      </c>
      <c r="J1417" s="11">
        <f>data!H1417</f>
        <v>867.1</v>
      </c>
      <c r="K1417" s="11">
        <f>data!J1417</f>
        <v>320.15999999999997</v>
      </c>
      <c r="L1417" s="11">
        <f t="shared" si="89"/>
        <v>546.94000000000005</v>
      </c>
      <c r="M1417" s="9">
        <f t="shared" si="90"/>
        <v>1.6842105263157896</v>
      </c>
      <c r="N1417" s="9">
        <f t="shared" si="91"/>
        <v>1.7083333333333337</v>
      </c>
    </row>
    <row r="1418" spans="1:14" x14ac:dyDescent="0.25">
      <c r="A1418" t="str">
        <f>TEXT("1/"&amp;data!A1418,"mmmm")</f>
        <v>mai</v>
      </c>
      <c r="B1418">
        <f>data!B1418</f>
        <v>2016</v>
      </c>
      <c r="C1418" t="str">
        <f>data!C1418</f>
        <v>201</v>
      </c>
      <c r="D1418" t="str">
        <f>data!D1418</f>
        <v>CAVE LES COTEAUX DU RHONE</v>
      </c>
      <c r="E1418" t="str">
        <f>data!E1418</f>
        <v>201002</v>
      </c>
      <c r="F1418" t="str">
        <f>data!F1418</f>
        <v>IGP VAUCLUSE D'ORANGE CAVE LES COTEAUX DU RHONE</v>
      </c>
      <c r="G1418" s="10">
        <f>data!G1418</f>
        <v>587.4</v>
      </c>
      <c r="H1418" s="10">
        <f>data!I1418</f>
        <v>3604</v>
      </c>
      <c r="I1418" s="10">
        <f t="shared" si="88"/>
        <v>-3016.6</v>
      </c>
      <c r="J1418" s="11">
        <f>data!H1418</f>
        <v>586.52</v>
      </c>
      <c r="K1418" s="11">
        <f>data!J1418</f>
        <v>3639.09</v>
      </c>
      <c r="L1418" s="11">
        <f t="shared" si="89"/>
        <v>-3052.57</v>
      </c>
      <c r="M1418" s="9">
        <f t="shared" si="90"/>
        <v>-0.83701442841287454</v>
      </c>
      <c r="N1418" s="9">
        <f t="shared" si="91"/>
        <v>-0.83882783882783885</v>
      </c>
    </row>
    <row r="1419" spans="1:14" x14ac:dyDescent="0.25">
      <c r="A1419" t="str">
        <f>TEXT("1/"&amp;data!A1419,"mmmm")</f>
        <v>mai</v>
      </c>
      <c r="B1419">
        <f>data!B1419</f>
        <v>2016</v>
      </c>
      <c r="C1419" t="str">
        <f>data!C1419</f>
        <v>201</v>
      </c>
      <c r="D1419" t="str">
        <f>data!D1419</f>
        <v>CAVE LES COTEAUX DU RHONE</v>
      </c>
      <c r="E1419" t="str">
        <f>data!E1419</f>
        <v>201003</v>
      </c>
      <c r="F1419" t="str">
        <f>data!F1419</f>
        <v>IGP MEDITERRANEE LES COTEAUX DU RHONE</v>
      </c>
      <c r="G1419" s="10">
        <f>data!G1419</f>
        <v>726.75</v>
      </c>
      <c r="H1419" s="10">
        <f>data!I1419</f>
        <v>889.2</v>
      </c>
      <c r="I1419" s="10">
        <f t="shared" si="88"/>
        <v>-162.45000000000005</v>
      </c>
      <c r="J1419" s="11">
        <f>data!H1419</f>
        <v>646.99</v>
      </c>
      <c r="K1419" s="11">
        <f>data!J1419</f>
        <v>813.74</v>
      </c>
      <c r="L1419" s="11">
        <f t="shared" si="89"/>
        <v>-166.75</v>
      </c>
      <c r="M1419" s="9">
        <f t="shared" si="90"/>
        <v>-0.18269230769230774</v>
      </c>
      <c r="N1419" s="9">
        <f t="shared" si="91"/>
        <v>-0.20491803278688525</v>
      </c>
    </row>
    <row r="1420" spans="1:14" x14ac:dyDescent="0.25">
      <c r="A1420" t="str">
        <f>TEXT("1/"&amp;data!A1420,"mmmm")</f>
        <v>mai</v>
      </c>
      <c r="B1420">
        <f>data!B1420</f>
        <v>2016</v>
      </c>
      <c r="C1420" t="str">
        <f>data!C1420</f>
        <v>201</v>
      </c>
      <c r="D1420" t="str">
        <f>data!D1420</f>
        <v>CAVE LES COTEAUX DU RHONE</v>
      </c>
      <c r="E1420" t="str">
        <f>data!E1420</f>
        <v>201004</v>
      </c>
      <c r="F1420" t="str">
        <f>data!F1420</f>
        <v>IGP MEDITERRANEE LES COTEAUX DU RHONE</v>
      </c>
      <c r="G1420" s="10">
        <f>data!G1420</f>
        <v>1308.3</v>
      </c>
      <c r="H1420" s="10">
        <f>data!I1420</f>
        <v>3763</v>
      </c>
      <c r="I1420" s="10">
        <f t="shared" si="88"/>
        <v>-2454.6999999999998</v>
      </c>
      <c r="J1420" s="11">
        <f>data!H1420</f>
        <v>1306.3399999999999</v>
      </c>
      <c r="K1420" s="11">
        <f>data!J1420</f>
        <v>3785.72</v>
      </c>
      <c r="L1420" s="11">
        <f t="shared" si="89"/>
        <v>-2479.38</v>
      </c>
      <c r="M1420" s="9">
        <f t="shared" si="90"/>
        <v>-0.65232527238905125</v>
      </c>
      <c r="N1420" s="9">
        <f t="shared" si="91"/>
        <v>-0.65492957746478875</v>
      </c>
    </row>
    <row r="1421" spans="1:14" x14ac:dyDescent="0.25">
      <c r="A1421" t="str">
        <f>TEXT("1/"&amp;data!A1421,"mmmm")</f>
        <v>mai</v>
      </c>
      <c r="B1421">
        <f>data!B1421</f>
        <v>2016</v>
      </c>
      <c r="C1421" t="str">
        <f>data!C1421</f>
        <v>201</v>
      </c>
      <c r="D1421" t="str">
        <f>data!D1421</f>
        <v>CAVE LES COTEAUX DU RHONE</v>
      </c>
      <c r="E1421" t="str">
        <f>data!E1421</f>
        <v>201006</v>
      </c>
      <c r="F1421" t="str">
        <f>data!F1421</f>
        <v>AOP COTES DU RHONE MAGIE D'UNE TERRE</v>
      </c>
      <c r="G1421" s="10">
        <f>data!G1421</f>
        <v>288</v>
      </c>
      <c r="H1421" s="10">
        <f>data!I1421</f>
        <v>1612.8</v>
      </c>
      <c r="I1421" s="10">
        <f t="shared" si="88"/>
        <v>-1324.8</v>
      </c>
      <c r="J1421" s="11">
        <f>data!H1421</f>
        <v>120</v>
      </c>
      <c r="K1421" s="11">
        <f>data!J1421</f>
        <v>672</v>
      </c>
      <c r="L1421" s="11">
        <f t="shared" si="89"/>
        <v>-552</v>
      </c>
      <c r="M1421" s="9">
        <f t="shared" si="90"/>
        <v>-0.8214285714285714</v>
      </c>
      <c r="N1421" s="9">
        <f t="shared" si="91"/>
        <v>-0.8214285714285714</v>
      </c>
    </row>
    <row r="1422" spans="1:14" x14ac:dyDescent="0.25">
      <c r="A1422" t="str">
        <f>TEXT("1/"&amp;data!A1422,"mmmm")</f>
        <v>mai</v>
      </c>
      <c r="B1422">
        <f>data!B1422</f>
        <v>2016</v>
      </c>
      <c r="C1422" t="str">
        <f>data!C1422</f>
        <v>201</v>
      </c>
      <c r="D1422" t="str">
        <f>data!D1422</f>
        <v>CAVE LES COTEAUX DU RHONE</v>
      </c>
      <c r="E1422" t="str">
        <f>data!E1422</f>
        <v>201007</v>
      </c>
      <c r="F1422" t="str">
        <f>data!F1422</f>
        <v>AOP VACQUEYRASDOMAINE GRANDY</v>
      </c>
      <c r="G1422" s="10">
        <f>data!G1422</f>
        <v>33.6</v>
      </c>
      <c r="H1422" s="10">
        <f>data!I1422</f>
        <v>66.599999999999994</v>
      </c>
      <c r="I1422" s="10">
        <f t="shared" si="88"/>
        <v>-32.999999999999993</v>
      </c>
      <c r="J1422" s="11">
        <f>data!H1422</f>
        <v>6</v>
      </c>
      <c r="K1422" s="11">
        <f>data!J1422</f>
        <v>12</v>
      </c>
      <c r="L1422" s="11">
        <f t="shared" si="89"/>
        <v>-6</v>
      </c>
      <c r="M1422" s="9">
        <f t="shared" si="90"/>
        <v>-0.49549549549549543</v>
      </c>
      <c r="N1422" s="9">
        <f t="shared" si="91"/>
        <v>-0.5</v>
      </c>
    </row>
    <row r="1423" spans="1:14" x14ac:dyDescent="0.25">
      <c r="A1423" t="str">
        <f>TEXT("1/"&amp;data!A1423,"mmmm")</f>
        <v>mai</v>
      </c>
      <c r="B1423">
        <f>data!B1423</f>
        <v>2016</v>
      </c>
      <c r="C1423" t="str">
        <f>data!C1423</f>
        <v>201</v>
      </c>
      <c r="D1423" t="str">
        <f>data!D1423</f>
        <v>CAVE LES COTEAUX DU RHONE</v>
      </c>
      <c r="E1423" t="str">
        <f>data!E1423</f>
        <v>201008</v>
      </c>
      <c r="F1423" t="str">
        <f>data!F1423</f>
        <v>AOP COTES DU RHONE PATRICE NICOLAS</v>
      </c>
      <c r="G1423" s="10">
        <f>data!G1423</f>
        <v>292.8</v>
      </c>
      <c r="H1423" s="10">
        <f>data!I1423</f>
        <v>422.4</v>
      </c>
      <c r="I1423" s="10">
        <f t="shared" si="88"/>
        <v>-129.59999999999997</v>
      </c>
      <c r="J1423" s="11">
        <f>data!H1423</f>
        <v>96</v>
      </c>
      <c r="K1423" s="11">
        <f>data!J1423</f>
        <v>132</v>
      </c>
      <c r="L1423" s="11">
        <f t="shared" si="89"/>
        <v>-36</v>
      </c>
      <c r="M1423" s="9">
        <f t="shared" si="90"/>
        <v>-0.30681818181818177</v>
      </c>
      <c r="N1423" s="9">
        <f t="shared" si="91"/>
        <v>-0.27272727272727271</v>
      </c>
    </row>
    <row r="1424" spans="1:14" x14ac:dyDescent="0.25">
      <c r="A1424" t="str">
        <f>TEXT("1/"&amp;data!A1424,"mmmm")</f>
        <v>mai</v>
      </c>
      <c r="B1424">
        <f>data!B1424</f>
        <v>2016</v>
      </c>
      <c r="C1424" t="str">
        <f>data!C1424</f>
        <v>201</v>
      </c>
      <c r="D1424" t="str">
        <f>data!D1424</f>
        <v>CAVE LES COTEAUX DU RHONE</v>
      </c>
      <c r="E1424" t="str">
        <f>data!E1424</f>
        <v>201010</v>
      </c>
      <c r="F1424" t="str">
        <f>data!F1424</f>
        <v>AOP COTES DU RHONE</v>
      </c>
      <c r="G1424" s="10">
        <f>data!G1424</f>
        <v>223.2</v>
      </c>
      <c r="H1424" s="10">
        <f>data!I1424</f>
        <v>409.2</v>
      </c>
      <c r="I1424" s="10">
        <f t="shared" si="88"/>
        <v>-186</v>
      </c>
      <c r="J1424" s="11">
        <f>data!H1424</f>
        <v>159.96</v>
      </c>
      <c r="K1424" s="11">
        <f>data!J1424</f>
        <v>293.26</v>
      </c>
      <c r="L1424" s="11">
        <f t="shared" si="89"/>
        <v>-133.29999999999998</v>
      </c>
      <c r="M1424" s="9">
        <f t="shared" si="90"/>
        <v>-0.45454545454545459</v>
      </c>
      <c r="N1424" s="9">
        <f t="shared" si="91"/>
        <v>-0.45454545454545447</v>
      </c>
    </row>
    <row r="1425" spans="1:14" x14ac:dyDescent="0.25">
      <c r="A1425" t="str">
        <f>TEXT("1/"&amp;data!A1425,"mmmm")</f>
        <v>mai</v>
      </c>
      <c r="B1425">
        <f>data!B1425</f>
        <v>2016</v>
      </c>
      <c r="C1425" t="str">
        <f>data!C1425</f>
        <v>201</v>
      </c>
      <c r="D1425" t="str">
        <f>data!D1425</f>
        <v>CAVE LES COTEAUX DU RHONE</v>
      </c>
      <c r="E1425" t="str">
        <f>data!E1425</f>
        <v>201011</v>
      </c>
      <c r="F1425" t="str">
        <f>data!F1425</f>
        <v>AOP COTES DU RHONE</v>
      </c>
      <c r="G1425" s="10">
        <f>data!G1425</f>
        <v>313.10000000000002</v>
      </c>
      <c r="H1425" s="10">
        <f>data!I1425</f>
        <v>191.9</v>
      </c>
      <c r="I1425" s="10">
        <f t="shared" si="88"/>
        <v>121.20000000000002</v>
      </c>
      <c r="J1425" s="11">
        <f>data!H1425</f>
        <v>213.44</v>
      </c>
      <c r="K1425" s="11">
        <f>data!J1425</f>
        <v>133.4</v>
      </c>
      <c r="L1425" s="11">
        <f t="shared" si="89"/>
        <v>80.039999999999992</v>
      </c>
      <c r="M1425" s="9">
        <f t="shared" si="90"/>
        <v>0.63157894736842113</v>
      </c>
      <c r="N1425" s="9">
        <f t="shared" si="91"/>
        <v>0.59999999999999987</v>
      </c>
    </row>
    <row r="1426" spans="1:14" x14ac:dyDescent="0.25">
      <c r="A1426" t="str">
        <f>TEXT("1/"&amp;data!A1426,"mmmm")</f>
        <v>mai</v>
      </c>
      <c r="B1426">
        <f>data!B1426</f>
        <v>2016</v>
      </c>
      <c r="C1426" t="str">
        <f>data!C1426</f>
        <v>201</v>
      </c>
      <c r="D1426" t="str">
        <f>data!D1426</f>
        <v>CAVE LES COTEAUX DU RHONE</v>
      </c>
      <c r="E1426" t="str">
        <f>data!E1426</f>
        <v>201012</v>
      </c>
      <c r="F1426" t="str">
        <f>data!F1426</f>
        <v>AOP CDR VILLAGES PLAN DE DIEU PANICAUT</v>
      </c>
      <c r="G1426" s="10">
        <f>data!G1426</f>
        <v>175.2</v>
      </c>
      <c r="H1426" s="10">
        <f>data!I1426</f>
        <v>237.6</v>
      </c>
      <c r="I1426" s="10">
        <f t="shared" si="88"/>
        <v>-62.400000000000006</v>
      </c>
      <c r="J1426" s="11">
        <f>data!H1426</f>
        <v>48</v>
      </c>
      <c r="K1426" s="11">
        <f>data!J1426</f>
        <v>66</v>
      </c>
      <c r="L1426" s="11">
        <f t="shared" si="89"/>
        <v>-18</v>
      </c>
      <c r="M1426" s="9">
        <f t="shared" si="90"/>
        <v>-0.26262626262626265</v>
      </c>
      <c r="N1426" s="9">
        <f t="shared" si="91"/>
        <v>-0.27272727272727271</v>
      </c>
    </row>
    <row r="1427" spans="1:14" x14ac:dyDescent="0.25">
      <c r="A1427" t="str">
        <f>TEXT("1/"&amp;data!A1427,"mmmm")</f>
        <v>mai</v>
      </c>
      <c r="B1427">
        <f>data!B1427</f>
        <v>2016</v>
      </c>
      <c r="C1427" t="str">
        <f>data!C1427</f>
        <v>201</v>
      </c>
      <c r="D1427" t="str">
        <f>data!D1427</f>
        <v>CAVE LES COTEAUX DU RHONE</v>
      </c>
      <c r="E1427" t="str">
        <f>data!E1427</f>
        <v>201014</v>
      </c>
      <c r="F1427" t="str">
        <f>data!F1427</f>
        <v>AOP COTES DU RHONE VILLAGES JASOUN</v>
      </c>
      <c r="G1427" s="10">
        <f>data!G1427</f>
        <v>774</v>
      </c>
      <c r="H1427" s="10">
        <f>data!I1427</f>
        <v>234</v>
      </c>
      <c r="I1427" s="10">
        <f t="shared" si="88"/>
        <v>540</v>
      </c>
      <c r="J1427" s="11">
        <f>data!H1427</f>
        <v>264</v>
      </c>
      <c r="K1427" s="11">
        <f>data!J1427</f>
        <v>78</v>
      </c>
      <c r="L1427" s="11">
        <f t="shared" si="89"/>
        <v>186</v>
      </c>
      <c r="M1427" s="9">
        <f t="shared" si="90"/>
        <v>2.3076923076923075</v>
      </c>
      <c r="N1427" s="9">
        <f t="shared" si="91"/>
        <v>2.3846153846153846</v>
      </c>
    </row>
    <row r="1428" spans="1:14" x14ac:dyDescent="0.25">
      <c r="A1428" t="str">
        <f>TEXT("1/"&amp;data!A1428,"mmmm")</f>
        <v>mai</v>
      </c>
      <c r="B1428">
        <f>data!B1428</f>
        <v>2016</v>
      </c>
      <c r="C1428" t="str">
        <f>data!C1428</f>
        <v>201</v>
      </c>
      <c r="D1428" t="str">
        <f>data!D1428</f>
        <v>CAVE LES COTEAUX DU RHONE</v>
      </c>
      <c r="E1428" t="str">
        <f>data!E1428</f>
        <v>201017</v>
      </c>
      <c r="F1428" t="str">
        <f>data!F1428</f>
        <v>IGP VAUCLUSE D'ORANGE CHASAN VERMENTINO</v>
      </c>
      <c r="G1428" s="10">
        <f>data!G1428</f>
        <v>24.75</v>
      </c>
      <c r="H1428" s="10">
        <f>data!I1428</f>
        <v>0</v>
      </c>
      <c r="I1428" s="10">
        <f t="shared" si="88"/>
        <v>24.75</v>
      </c>
      <c r="J1428" s="11">
        <f>data!H1428</f>
        <v>20.009999999999998</v>
      </c>
      <c r="K1428" s="11">
        <f>data!J1428</f>
        <v>0</v>
      </c>
      <c r="L1428" s="11">
        <f t="shared" si="89"/>
        <v>20.009999999999998</v>
      </c>
      <c r="M1428" s="9" t="str">
        <f t="shared" si="90"/>
        <v/>
      </c>
      <c r="N1428" s="9" t="str">
        <f t="shared" si="91"/>
        <v/>
      </c>
    </row>
    <row r="1429" spans="1:14" x14ac:dyDescent="0.25">
      <c r="A1429" t="str">
        <f>TEXT("1/"&amp;data!A1429,"mmmm")</f>
        <v>mai</v>
      </c>
      <c r="B1429">
        <f>data!B1429</f>
        <v>2016</v>
      </c>
      <c r="C1429" t="str">
        <f>data!C1429</f>
        <v>201</v>
      </c>
      <c r="D1429" t="str">
        <f>data!D1429</f>
        <v>CAVE LES COTEAUX DU RHONE</v>
      </c>
      <c r="E1429" t="str">
        <f>data!E1429</f>
        <v>201022</v>
      </c>
      <c r="F1429" t="str">
        <f>data!F1429</f>
        <v>IGP PRINCIPAUTE D'ORANGE</v>
      </c>
      <c r="G1429" s="10">
        <f>data!G1429</f>
        <v>40.4</v>
      </c>
      <c r="H1429" s="10">
        <f>data!I1429</f>
        <v>0</v>
      </c>
      <c r="I1429" s="10">
        <f t="shared" si="88"/>
        <v>40.4</v>
      </c>
      <c r="J1429" s="11">
        <f>data!H1429</f>
        <v>36</v>
      </c>
      <c r="K1429" s="11">
        <f>data!J1429</f>
        <v>0</v>
      </c>
      <c r="L1429" s="11">
        <f t="shared" si="89"/>
        <v>36</v>
      </c>
      <c r="M1429" s="9" t="str">
        <f t="shared" si="90"/>
        <v/>
      </c>
      <c r="N1429" s="9" t="str">
        <f t="shared" si="91"/>
        <v/>
      </c>
    </row>
    <row r="1430" spans="1:14" x14ac:dyDescent="0.25">
      <c r="A1430" t="str">
        <f>TEXT("1/"&amp;data!A1430,"mmmm")</f>
        <v>mai</v>
      </c>
      <c r="B1430">
        <f>data!B1430</f>
        <v>2016</v>
      </c>
      <c r="C1430" t="str">
        <f>data!C1430</f>
        <v>201</v>
      </c>
      <c r="D1430" t="str">
        <f>data!D1430</f>
        <v>CAVE LES COTEAUX DU RHONE</v>
      </c>
      <c r="E1430" t="str">
        <f>data!E1430</f>
        <v>201026</v>
      </c>
      <c r="F1430" t="str">
        <f>data!F1430</f>
        <v>IGP VAUCLUSE BALLADE DE COLLINE</v>
      </c>
      <c r="G1430" s="10">
        <f>data!G1430</f>
        <v>149.76</v>
      </c>
      <c r="H1430" s="10">
        <f>data!I1430</f>
        <v>486.4</v>
      </c>
      <c r="I1430" s="10">
        <f t="shared" si="88"/>
        <v>-336.64</v>
      </c>
      <c r="J1430" s="11">
        <f>data!H1430</f>
        <v>78</v>
      </c>
      <c r="K1430" s="11">
        <f>data!J1430</f>
        <v>256</v>
      </c>
      <c r="L1430" s="11">
        <f t="shared" si="89"/>
        <v>-178</v>
      </c>
      <c r="M1430" s="9">
        <f t="shared" si="90"/>
        <v>-0.69210526315789478</v>
      </c>
      <c r="N1430" s="9">
        <f t="shared" si="91"/>
        <v>-0.6953125</v>
      </c>
    </row>
    <row r="1431" spans="1:14" x14ac:dyDescent="0.25">
      <c r="A1431" t="str">
        <f>TEXT("1/"&amp;data!A1431,"mmmm")</f>
        <v>mai</v>
      </c>
      <c r="B1431">
        <f>data!B1431</f>
        <v>2016</v>
      </c>
      <c r="C1431" t="str">
        <f>data!C1431</f>
        <v>201</v>
      </c>
      <c r="D1431" t="str">
        <f>data!D1431</f>
        <v>CAVE LES COTEAUX DU RHONE</v>
      </c>
      <c r="E1431" t="str">
        <f>data!E1431</f>
        <v>201027</v>
      </c>
      <c r="F1431" t="str">
        <f>data!F1431</f>
        <v>IGP VAUCLUSE BALLADE DE COLLINE</v>
      </c>
      <c r="G1431" s="10">
        <f>data!G1431</f>
        <v>34.56</v>
      </c>
      <c r="H1431" s="10">
        <f>data!I1431</f>
        <v>397.1</v>
      </c>
      <c r="I1431" s="10">
        <f t="shared" si="88"/>
        <v>-362.54</v>
      </c>
      <c r="J1431" s="11">
        <f>data!H1431</f>
        <v>18</v>
      </c>
      <c r="K1431" s="11">
        <f>data!J1431</f>
        <v>209</v>
      </c>
      <c r="L1431" s="11">
        <f t="shared" si="89"/>
        <v>-191</v>
      </c>
      <c r="M1431" s="9">
        <f t="shared" si="90"/>
        <v>-0.91296902543439939</v>
      </c>
      <c r="N1431" s="9">
        <f t="shared" si="91"/>
        <v>-0.9138755980861244</v>
      </c>
    </row>
    <row r="1432" spans="1:14" x14ac:dyDescent="0.25">
      <c r="A1432" t="str">
        <f>TEXT("1/"&amp;data!A1432,"mmmm")</f>
        <v>mai</v>
      </c>
      <c r="B1432">
        <f>data!B1432</f>
        <v>2016</v>
      </c>
      <c r="C1432" t="str">
        <f>data!C1432</f>
        <v>201</v>
      </c>
      <c r="D1432" t="str">
        <f>data!D1432</f>
        <v>CAVE LES COTEAUX DU RHONE</v>
      </c>
      <c r="E1432" t="str">
        <f>data!E1432</f>
        <v>201031</v>
      </c>
      <c r="F1432" t="str">
        <f>data!F1432</f>
        <v>IGP MEDITERRANNEE ROSE</v>
      </c>
      <c r="G1432" s="10">
        <f>data!G1432</f>
        <v>80.64</v>
      </c>
      <c r="H1432" s="10">
        <f>data!I1432</f>
        <v>0</v>
      </c>
      <c r="I1432" s="10">
        <f t="shared" si="88"/>
        <v>80.64</v>
      </c>
      <c r="J1432" s="11">
        <f>data!H1432</f>
        <v>42</v>
      </c>
      <c r="K1432" s="11">
        <f>data!J1432</f>
        <v>0</v>
      </c>
      <c r="L1432" s="11">
        <f t="shared" si="89"/>
        <v>42</v>
      </c>
      <c r="M1432" s="9" t="str">
        <f t="shared" si="90"/>
        <v/>
      </c>
      <c r="N1432" s="9" t="str">
        <f t="shared" si="91"/>
        <v/>
      </c>
    </row>
    <row r="1433" spans="1:14" x14ac:dyDescent="0.25">
      <c r="A1433" t="str">
        <f>TEXT("1/"&amp;data!A1433,"mmmm")</f>
        <v>mai</v>
      </c>
      <c r="B1433">
        <f>data!B1433</f>
        <v>2016</v>
      </c>
      <c r="C1433" t="str">
        <f>data!C1433</f>
        <v>202</v>
      </c>
      <c r="D1433" t="str">
        <f>data!D1433</f>
        <v>TERRES D'ALLIANCE</v>
      </c>
      <c r="E1433" t="str">
        <f>data!E1433</f>
        <v>202001</v>
      </c>
      <c r="F1433" t="str">
        <f>data!F1433</f>
        <v>IGP VAUCLUSE LEA</v>
      </c>
      <c r="G1433" s="10">
        <f>data!G1433</f>
        <v>260.82</v>
      </c>
      <c r="H1433" s="10">
        <f>data!I1433</f>
        <v>257.04000000000002</v>
      </c>
      <c r="I1433" s="10">
        <f t="shared" si="88"/>
        <v>3.7799999999999727</v>
      </c>
      <c r="J1433" s="11">
        <f>data!H1433</f>
        <v>126</v>
      </c>
      <c r="K1433" s="11">
        <f>data!J1433</f>
        <v>132</v>
      </c>
      <c r="L1433" s="11">
        <f t="shared" si="89"/>
        <v>-6</v>
      </c>
      <c r="M1433" s="9">
        <f t="shared" si="90"/>
        <v>1.4705882352941069E-2</v>
      </c>
      <c r="N1433" s="9">
        <f t="shared" si="91"/>
        <v>-4.5454545454545456E-2</v>
      </c>
    </row>
    <row r="1434" spans="1:14" x14ac:dyDescent="0.25">
      <c r="A1434" t="str">
        <f>TEXT("1/"&amp;data!A1434,"mmmm")</f>
        <v>mai</v>
      </c>
      <c r="B1434">
        <f>data!B1434</f>
        <v>2016</v>
      </c>
      <c r="C1434" t="str">
        <f>data!C1434</f>
        <v>202</v>
      </c>
      <c r="D1434" t="str">
        <f>data!D1434</f>
        <v>TERRES D'ALLIANCE</v>
      </c>
      <c r="E1434" t="str">
        <f>data!E1434</f>
        <v>202002</v>
      </c>
      <c r="F1434" t="str">
        <f>data!F1434</f>
        <v>IGP VAUCLUSE LEA</v>
      </c>
      <c r="G1434" s="10">
        <f>data!G1434</f>
        <v>385.02</v>
      </c>
      <c r="H1434" s="10">
        <f>data!I1434</f>
        <v>257.04000000000002</v>
      </c>
      <c r="I1434" s="10">
        <f t="shared" si="88"/>
        <v>127.97999999999996</v>
      </c>
      <c r="J1434" s="11">
        <f>data!H1434</f>
        <v>186</v>
      </c>
      <c r="K1434" s="11">
        <f>data!J1434</f>
        <v>132</v>
      </c>
      <c r="L1434" s="11">
        <f t="shared" si="89"/>
        <v>54</v>
      </c>
      <c r="M1434" s="9">
        <f t="shared" si="90"/>
        <v>0.49789915966386533</v>
      </c>
      <c r="N1434" s="9">
        <f t="shared" si="91"/>
        <v>0.40909090909090912</v>
      </c>
    </row>
    <row r="1435" spans="1:14" x14ac:dyDescent="0.25">
      <c r="A1435" t="str">
        <f>TEXT("1/"&amp;data!A1435,"mmmm")</f>
        <v>mai</v>
      </c>
      <c r="B1435">
        <f>data!B1435</f>
        <v>2016</v>
      </c>
      <c r="C1435" t="str">
        <f>data!C1435</f>
        <v>202</v>
      </c>
      <c r="D1435" t="str">
        <f>data!D1435</f>
        <v>TERRES D'ALLIANCE</v>
      </c>
      <c r="E1435" t="str">
        <f>data!E1435</f>
        <v>202003</v>
      </c>
      <c r="F1435" t="str">
        <f>data!F1435</f>
        <v>IGP VAUCLUSE LEA</v>
      </c>
      <c r="G1435" s="10">
        <f>data!G1435</f>
        <v>223.56</v>
      </c>
      <c r="H1435" s="10">
        <f>data!I1435</f>
        <v>244.8</v>
      </c>
      <c r="I1435" s="10">
        <f t="shared" si="88"/>
        <v>-21.240000000000009</v>
      </c>
      <c r="J1435" s="11">
        <f>data!H1435</f>
        <v>108</v>
      </c>
      <c r="K1435" s="11">
        <f>data!J1435</f>
        <v>120</v>
      </c>
      <c r="L1435" s="11">
        <f t="shared" si="89"/>
        <v>-12</v>
      </c>
      <c r="M1435" s="9">
        <f t="shared" si="90"/>
        <v>-8.676470588235298E-2</v>
      </c>
      <c r="N1435" s="9">
        <f t="shared" si="91"/>
        <v>-0.1</v>
      </c>
    </row>
    <row r="1436" spans="1:14" x14ac:dyDescent="0.25">
      <c r="A1436" t="str">
        <f>TEXT("1/"&amp;data!A1436,"mmmm")</f>
        <v>mai</v>
      </c>
      <c r="B1436">
        <f>data!B1436</f>
        <v>2016</v>
      </c>
      <c r="C1436" t="str">
        <f>data!C1436</f>
        <v>202</v>
      </c>
      <c r="D1436" t="str">
        <f>data!D1436</f>
        <v>TERRES D'ALLIANCE</v>
      </c>
      <c r="E1436" t="str">
        <f>data!E1436</f>
        <v>202007</v>
      </c>
      <c r="F1436" t="str">
        <f>data!F1436</f>
        <v>VDF ROSE FRUITE MUSCAT DE HAMBOURG</v>
      </c>
      <c r="G1436" s="10">
        <f>data!G1436</f>
        <v>13.2</v>
      </c>
      <c r="H1436" s="10">
        <f>data!I1436</f>
        <v>52.32</v>
      </c>
      <c r="I1436" s="10">
        <f t="shared" si="88"/>
        <v>-39.120000000000005</v>
      </c>
      <c r="J1436" s="11">
        <f>data!H1436</f>
        <v>6</v>
      </c>
      <c r="K1436" s="11">
        <f>data!J1436</f>
        <v>24</v>
      </c>
      <c r="L1436" s="11">
        <f t="shared" si="89"/>
        <v>-18</v>
      </c>
      <c r="M1436" s="9">
        <f t="shared" si="90"/>
        <v>-0.74770642201834869</v>
      </c>
      <c r="N1436" s="9">
        <f t="shared" si="91"/>
        <v>-0.75</v>
      </c>
    </row>
    <row r="1437" spans="1:14" x14ac:dyDescent="0.25">
      <c r="A1437" t="str">
        <f>TEXT("1/"&amp;data!A1437,"mmmm")</f>
        <v>mai</v>
      </c>
      <c r="B1437">
        <f>data!B1437</f>
        <v>2016</v>
      </c>
      <c r="C1437" t="str">
        <f>data!C1437</f>
        <v>202</v>
      </c>
      <c r="D1437" t="str">
        <f>data!D1437</f>
        <v>TERRES D'ALLIANCE</v>
      </c>
      <c r="E1437" t="str">
        <f>data!E1437</f>
        <v>202010</v>
      </c>
      <c r="F1437" t="str">
        <f>data!F1437</f>
        <v>VIN DE FRANCE ROSE FRUITE LOUERION</v>
      </c>
      <c r="G1437" s="10">
        <f>data!G1437</f>
        <v>35.6</v>
      </c>
      <c r="H1437" s="10">
        <f>data!I1437</f>
        <v>89</v>
      </c>
      <c r="I1437" s="10">
        <f t="shared" si="88"/>
        <v>-53.4</v>
      </c>
      <c r="J1437" s="11">
        <f>data!H1437</f>
        <v>26.68</v>
      </c>
      <c r="K1437" s="11">
        <f>data!J1437</f>
        <v>66.7</v>
      </c>
      <c r="L1437" s="11">
        <f t="shared" si="89"/>
        <v>-40.020000000000003</v>
      </c>
      <c r="M1437" s="9">
        <f t="shared" si="90"/>
        <v>-0.6</v>
      </c>
      <c r="N1437" s="9">
        <f t="shared" si="91"/>
        <v>-0.6</v>
      </c>
    </row>
    <row r="1438" spans="1:14" x14ac:dyDescent="0.25">
      <c r="A1438" t="str">
        <f>TEXT("1/"&amp;data!A1438,"mmmm")</f>
        <v>mai</v>
      </c>
      <c r="B1438">
        <f>data!B1438</f>
        <v>2016</v>
      </c>
      <c r="C1438" t="str">
        <f>data!C1438</f>
        <v>202</v>
      </c>
      <c r="D1438" t="str">
        <f>data!D1438</f>
        <v>TERRES D'ALLIANCE</v>
      </c>
      <c r="E1438" t="str">
        <f>data!E1438</f>
        <v>202015</v>
      </c>
      <c r="F1438" t="str">
        <f>data!F1438</f>
        <v>AOP LUBERON LOUERION</v>
      </c>
      <c r="G1438" s="10">
        <f>data!G1438</f>
        <v>199</v>
      </c>
      <c r="H1438" s="10">
        <f>data!I1438</f>
        <v>49.5</v>
      </c>
      <c r="I1438" s="10">
        <f t="shared" si="88"/>
        <v>149.5</v>
      </c>
      <c r="J1438" s="11">
        <f>data!H1438</f>
        <v>126.73</v>
      </c>
      <c r="K1438" s="11">
        <f>data!J1438</f>
        <v>33.35</v>
      </c>
      <c r="L1438" s="11">
        <f t="shared" si="89"/>
        <v>93.38</v>
      </c>
      <c r="M1438" s="9">
        <f t="shared" si="90"/>
        <v>3.0202020202020203</v>
      </c>
      <c r="N1438" s="9">
        <f t="shared" si="91"/>
        <v>2.8</v>
      </c>
    </row>
    <row r="1439" spans="1:14" x14ac:dyDescent="0.25">
      <c r="A1439" t="str">
        <f>TEXT("1/"&amp;data!A1439,"mmmm")</f>
        <v>mai</v>
      </c>
      <c r="B1439">
        <f>data!B1439</f>
        <v>2016</v>
      </c>
      <c r="C1439" t="str">
        <f>data!C1439</f>
        <v>205</v>
      </c>
      <c r="D1439" t="str">
        <f>data!D1439</f>
        <v>DOMAINE DE MISELLE</v>
      </c>
      <c r="E1439" t="str">
        <f>data!E1439</f>
        <v>205001</v>
      </c>
      <c r="F1439" t="str">
        <f>data!F1439</f>
        <v>IGP COTES DE GASCOGNE SEC COLOMBARD G-MANSENG MISE</v>
      </c>
      <c r="G1439" s="10">
        <f>data!G1439</f>
        <v>661.5</v>
      </c>
      <c r="H1439" s="10">
        <f>data!I1439</f>
        <v>686.4</v>
      </c>
      <c r="I1439" s="10">
        <f t="shared" si="88"/>
        <v>-24.899999999999977</v>
      </c>
      <c r="J1439" s="11">
        <f>data!H1439</f>
        <v>294</v>
      </c>
      <c r="K1439" s="11">
        <f>data!J1439</f>
        <v>318</v>
      </c>
      <c r="L1439" s="11">
        <f t="shared" si="89"/>
        <v>-24</v>
      </c>
      <c r="M1439" s="9">
        <f t="shared" si="90"/>
        <v>-3.6276223776223741E-2</v>
      </c>
      <c r="N1439" s="9">
        <f t="shared" si="91"/>
        <v>-7.5471698113207544E-2</v>
      </c>
    </row>
    <row r="1440" spans="1:14" x14ac:dyDescent="0.25">
      <c r="A1440" t="str">
        <f>TEXT("1/"&amp;data!A1440,"mmmm")</f>
        <v>mai</v>
      </c>
      <c r="B1440">
        <f>data!B1440</f>
        <v>2016</v>
      </c>
      <c r="C1440" t="str">
        <f>data!C1440</f>
        <v>205</v>
      </c>
      <c r="D1440" t="str">
        <f>data!D1440</f>
        <v>DOMAINE DE MISELLE</v>
      </c>
      <c r="E1440" t="str">
        <f>data!E1440</f>
        <v>205002</v>
      </c>
      <c r="F1440" t="str">
        <f>data!F1440</f>
        <v>IGP COTES DE GASCOGNE</v>
      </c>
      <c r="G1440" s="10">
        <f>data!G1440</f>
        <v>86.4</v>
      </c>
      <c r="H1440" s="10">
        <f>data!I1440</f>
        <v>28.2</v>
      </c>
      <c r="I1440" s="10">
        <f t="shared" si="88"/>
        <v>58.2</v>
      </c>
      <c r="J1440" s="11">
        <f>data!H1440</f>
        <v>36</v>
      </c>
      <c r="K1440" s="11">
        <f>data!J1440</f>
        <v>12</v>
      </c>
      <c r="L1440" s="11">
        <f t="shared" si="89"/>
        <v>24</v>
      </c>
      <c r="M1440" s="9">
        <f t="shared" si="90"/>
        <v>2.0638297872340425</v>
      </c>
      <c r="N1440" s="9">
        <f t="shared" si="91"/>
        <v>2</v>
      </c>
    </row>
    <row r="1441" spans="1:14" x14ac:dyDescent="0.25">
      <c r="A1441" t="str">
        <f>TEXT("1/"&amp;data!A1441,"mmmm")</f>
        <v>mai</v>
      </c>
      <c r="B1441">
        <f>data!B1441</f>
        <v>2016</v>
      </c>
      <c r="C1441" t="str">
        <f>data!C1441</f>
        <v>205</v>
      </c>
      <c r="D1441" t="str">
        <f>data!D1441</f>
        <v>DOMAINE DE MISELLE</v>
      </c>
      <c r="E1441" t="str">
        <f>data!E1441</f>
        <v>205003</v>
      </c>
      <c r="F1441" t="str">
        <f>data!F1441</f>
        <v>IGP COTES DE GASCOGNE PETIT MANSENG</v>
      </c>
      <c r="G1441" s="10">
        <f>data!G1441</f>
        <v>266.39999999999998</v>
      </c>
      <c r="H1441" s="10">
        <f>data!I1441</f>
        <v>372.3</v>
      </c>
      <c r="I1441" s="10">
        <f t="shared" si="88"/>
        <v>-105.90000000000003</v>
      </c>
      <c r="J1441" s="11">
        <f>data!H1441</f>
        <v>72</v>
      </c>
      <c r="K1441" s="11">
        <f>data!J1441</f>
        <v>108</v>
      </c>
      <c r="L1441" s="11">
        <f t="shared" si="89"/>
        <v>-36</v>
      </c>
      <c r="M1441" s="9">
        <f t="shared" si="90"/>
        <v>-0.28444802578565681</v>
      </c>
      <c r="N1441" s="9">
        <f t="shared" si="91"/>
        <v>-0.33333333333333331</v>
      </c>
    </row>
    <row r="1442" spans="1:14" x14ac:dyDescent="0.25">
      <c r="A1442" t="str">
        <f>TEXT("1/"&amp;data!A1442,"mmmm")</f>
        <v>mai</v>
      </c>
      <c r="B1442">
        <f>data!B1442</f>
        <v>2016</v>
      </c>
      <c r="C1442" t="str">
        <f>data!C1442</f>
        <v>205</v>
      </c>
      <c r="D1442" t="str">
        <f>data!D1442</f>
        <v>DOMAINE DE MISELLE</v>
      </c>
      <c r="E1442" t="str">
        <f>data!E1442</f>
        <v>205004</v>
      </c>
      <c r="F1442" t="str">
        <f>data!F1442</f>
        <v>IGP COTES DE GASCOGNE MERLOT-TANNAT</v>
      </c>
      <c r="G1442" s="10">
        <f>data!G1442</f>
        <v>57.6</v>
      </c>
      <c r="H1442" s="10">
        <f>data!I1442</f>
        <v>14.1</v>
      </c>
      <c r="I1442" s="10">
        <f t="shared" si="88"/>
        <v>43.5</v>
      </c>
      <c r="J1442" s="11">
        <f>data!H1442</f>
        <v>24</v>
      </c>
      <c r="K1442" s="11">
        <f>data!J1442</f>
        <v>12</v>
      </c>
      <c r="L1442" s="11">
        <f t="shared" si="89"/>
        <v>12</v>
      </c>
      <c r="M1442" s="9">
        <f t="shared" si="90"/>
        <v>3.0851063829787235</v>
      </c>
      <c r="N1442" s="9">
        <f t="shared" si="91"/>
        <v>1</v>
      </c>
    </row>
    <row r="1443" spans="1:14" x14ac:dyDescent="0.25">
      <c r="A1443" t="str">
        <f>TEXT("1/"&amp;data!A1443,"mmmm")</f>
        <v>mai</v>
      </c>
      <c r="B1443">
        <f>data!B1443</f>
        <v>2016</v>
      </c>
      <c r="C1443" t="str">
        <f>data!C1443</f>
        <v>226</v>
      </c>
      <c r="D1443" t="str">
        <f>data!D1443</f>
        <v>SIEUR D'ARQUES</v>
      </c>
      <c r="E1443" t="str">
        <f>data!E1443</f>
        <v>226001</v>
      </c>
      <c r="F1443" t="str">
        <f>data!F1443</f>
        <v>AOP BLANQUETTE DE LIMOUX METHODE TRAD PREMIERE BUL</v>
      </c>
      <c r="G1443" s="10">
        <f>data!G1443</f>
        <v>606</v>
      </c>
      <c r="H1443" s="10">
        <f>data!I1443</f>
        <v>0</v>
      </c>
      <c r="I1443" s="10">
        <f t="shared" si="88"/>
        <v>606</v>
      </c>
      <c r="J1443" s="11">
        <f>data!H1443</f>
        <v>120</v>
      </c>
      <c r="K1443" s="11">
        <f>data!J1443</f>
        <v>0</v>
      </c>
      <c r="L1443" s="11">
        <f t="shared" si="89"/>
        <v>120</v>
      </c>
      <c r="M1443" s="9" t="str">
        <f t="shared" si="90"/>
        <v/>
      </c>
      <c r="N1443" s="9" t="str">
        <f t="shared" si="91"/>
        <v/>
      </c>
    </row>
    <row r="1444" spans="1:14" x14ac:dyDescent="0.25">
      <c r="A1444" t="str">
        <f>TEXT("1/"&amp;data!A1444,"mmmm")</f>
        <v>mai</v>
      </c>
      <c r="B1444">
        <f>data!B1444</f>
        <v>2016</v>
      </c>
      <c r="C1444" t="str">
        <f>data!C1444</f>
        <v>226</v>
      </c>
      <c r="D1444" t="str">
        <f>data!D1444</f>
        <v>SIEUR D'ARQUES</v>
      </c>
      <c r="E1444" t="str">
        <f>data!E1444</f>
        <v>CDV226002</v>
      </c>
      <c r="F1444" t="str">
        <f>data!F1444</f>
        <v>AOP BLANQUETTE DE LIMOUX METHODE TRAD PREMIERE BUL</v>
      </c>
      <c r="G1444" s="10">
        <f>data!G1444</f>
        <v>161.28</v>
      </c>
      <c r="H1444" s="10">
        <f>data!I1444</f>
        <v>0</v>
      </c>
      <c r="I1444" s="10">
        <f t="shared" si="88"/>
        <v>161.28</v>
      </c>
      <c r="J1444" s="11">
        <f>data!H1444</f>
        <v>24</v>
      </c>
      <c r="K1444" s="11">
        <f>data!J1444</f>
        <v>0</v>
      </c>
      <c r="L1444" s="11">
        <f t="shared" si="89"/>
        <v>24</v>
      </c>
      <c r="M1444" s="9" t="str">
        <f t="shared" si="90"/>
        <v/>
      </c>
      <c r="N1444" s="9" t="str">
        <f t="shared" si="91"/>
        <v/>
      </c>
    </row>
    <row r="1445" spans="1:14" x14ac:dyDescent="0.25">
      <c r="A1445" t="str">
        <f>TEXT("1/"&amp;data!A1445,"mmmm")</f>
        <v>mai</v>
      </c>
      <c r="B1445">
        <f>data!B1445</f>
        <v>2016</v>
      </c>
      <c r="C1445" t="str">
        <f>data!C1445</f>
        <v>229</v>
      </c>
      <c r="D1445" t="str">
        <f>data!D1445</f>
        <v>DOMAINE DU BOIS DU JOUR</v>
      </c>
      <c r="E1445" t="str">
        <f>data!E1445</f>
        <v>229004</v>
      </c>
      <c r="F1445" t="str">
        <f>data!F1445</f>
        <v>AOP BEAUJOLAIS NOUVEAU DME DU BOIS DU JOUR</v>
      </c>
      <c r="G1445" s="10">
        <f>data!G1445</f>
        <v>0</v>
      </c>
      <c r="H1445" s="10">
        <f>data!I1445</f>
        <v>0</v>
      </c>
      <c r="I1445" s="10">
        <f t="shared" si="88"/>
        <v>0</v>
      </c>
      <c r="J1445" s="11">
        <f>data!H1445</f>
        <v>6</v>
      </c>
      <c r="K1445" s="11">
        <f>data!J1445</f>
        <v>0</v>
      </c>
      <c r="L1445" s="11">
        <f t="shared" si="89"/>
        <v>6</v>
      </c>
      <c r="M1445" s="9" t="str">
        <f t="shared" si="90"/>
        <v/>
      </c>
      <c r="N1445" s="9" t="str">
        <f t="shared" si="91"/>
        <v/>
      </c>
    </row>
    <row r="1446" spans="1:14" x14ac:dyDescent="0.25">
      <c r="A1446" t="str">
        <f>TEXT("1/"&amp;data!A1446,"mmmm")</f>
        <v>mai</v>
      </c>
      <c r="B1446">
        <f>data!B1446</f>
        <v>2016</v>
      </c>
      <c r="C1446" t="str">
        <f>data!C1446</f>
        <v>229</v>
      </c>
      <c r="D1446" t="str">
        <f>data!D1446</f>
        <v>DOMAINE DU BOIS DU JOUR</v>
      </c>
      <c r="E1446" t="str">
        <f>data!E1446</f>
        <v>229005</v>
      </c>
      <c r="F1446" t="str">
        <f>data!F1446</f>
        <v>AOP BEAUJOLAIS DME DU BOIS DU JOUR</v>
      </c>
      <c r="G1446" s="10">
        <f>data!G1446</f>
        <v>135</v>
      </c>
      <c r="H1446" s="10">
        <f>data!I1446</f>
        <v>0</v>
      </c>
      <c r="I1446" s="10">
        <f t="shared" si="88"/>
        <v>135</v>
      </c>
      <c r="J1446" s="11">
        <f>data!H1446</f>
        <v>30</v>
      </c>
      <c r="K1446" s="11">
        <f>data!J1446</f>
        <v>0</v>
      </c>
      <c r="L1446" s="11">
        <f t="shared" si="89"/>
        <v>30</v>
      </c>
      <c r="M1446" s="9" t="str">
        <f t="shared" si="90"/>
        <v/>
      </c>
      <c r="N1446" s="9" t="str">
        <f t="shared" si="91"/>
        <v/>
      </c>
    </row>
    <row r="1447" spans="1:14" x14ac:dyDescent="0.25">
      <c r="A1447" t="str">
        <f>TEXT("1/"&amp;data!A1447,"mmmm")</f>
        <v>mai</v>
      </c>
      <c r="B1447">
        <f>data!B1447</f>
        <v>2016</v>
      </c>
      <c r="C1447" t="str">
        <f>data!C1447</f>
        <v>229</v>
      </c>
      <c r="D1447" t="str">
        <f>data!D1447</f>
        <v>DOMAINE DU BOIS DU JOUR</v>
      </c>
      <c r="E1447" t="str">
        <f>data!E1447</f>
        <v>229006</v>
      </c>
      <c r="F1447" t="str">
        <f>data!F1447</f>
        <v>AOP BOURGOGNE DME DU BOIS DU JOUR</v>
      </c>
      <c r="G1447" s="10">
        <f>data!G1447</f>
        <v>54.6</v>
      </c>
      <c r="H1447" s="10">
        <f>data!I1447</f>
        <v>0</v>
      </c>
      <c r="I1447" s="10">
        <f t="shared" si="88"/>
        <v>54.6</v>
      </c>
      <c r="J1447" s="11">
        <f>data!H1447</f>
        <v>12</v>
      </c>
      <c r="K1447" s="11">
        <f>data!J1447</f>
        <v>0</v>
      </c>
      <c r="L1447" s="11">
        <f t="shared" si="89"/>
        <v>12</v>
      </c>
      <c r="M1447" s="9" t="str">
        <f t="shared" si="90"/>
        <v/>
      </c>
      <c r="N1447" s="9" t="str">
        <f t="shared" si="91"/>
        <v/>
      </c>
    </row>
    <row r="1448" spans="1:14" x14ac:dyDescent="0.25">
      <c r="A1448" t="str">
        <f>TEXT("1/"&amp;data!A1448,"mmmm")</f>
        <v>mai</v>
      </c>
      <c r="B1448">
        <f>data!B1448</f>
        <v>2016</v>
      </c>
      <c r="C1448" t="str">
        <f>data!C1448</f>
        <v>229</v>
      </c>
      <c r="D1448" t="str">
        <f>data!D1448</f>
        <v>DOMAINE DU BOIS DU JOUR</v>
      </c>
      <c r="E1448" t="str">
        <f>data!E1448</f>
        <v>229007</v>
      </c>
      <c r="F1448" t="str">
        <f>data!F1448</f>
        <v>AOP BEAUJOLAIS VIEILLES VIGNES DME DU BOIS DU JOUR</v>
      </c>
      <c r="G1448" s="10">
        <f>data!G1448</f>
        <v>70.2</v>
      </c>
      <c r="H1448" s="10">
        <f>data!I1448</f>
        <v>0</v>
      </c>
      <c r="I1448" s="10">
        <f t="shared" si="88"/>
        <v>70.2</v>
      </c>
      <c r="J1448" s="11">
        <f>data!H1448</f>
        <v>18</v>
      </c>
      <c r="K1448" s="11">
        <f>data!J1448</f>
        <v>0</v>
      </c>
      <c r="L1448" s="11">
        <f t="shared" si="89"/>
        <v>18</v>
      </c>
      <c r="M1448" s="9" t="str">
        <f t="shared" si="90"/>
        <v/>
      </c>
      <c r="N1448" s="9" t="str">
        <f t="shared" si="91"/>
        <v/>
      </c>
    </row>
    <row r="1449" spans="1:14" x14ac:dyDescent="0.25">
      <c r="A1449" t="str">
        <f>TEXT("1/"&amp;data!A1449,"mmmm")</f>
        <v>mai</v>
      </c>
      <c r="B1449">
        <f>data!B1449</f>
        <v>2016</v>
      </c>
      <c r="C1449" t="str">
        <f>data!C1449</f>
        <v>229</v>
      </c>
      <c r="D1449" t="str">
        <f>data!D1449</f>
        <v>DOMAINE DU BOIS DU JOUR</v>
      </c>
      <c r="E1449" t="str">
        <f>data!E1449</f>
        <v>229008</v>
      </c>
      <c r="F1449" t="str">
        <f>data!F1449</f>
        <v>AOP COTEAUX BOURGUIGNON DME DU BOIS DU JOUR</v>
      </c>
      <c r="G1449" s="10">
        <f>data!G1449</f>
        <v>319.2</v>
      </c>
      <c r="H1449" s="10">
        <f>data!I1449</f>
        <v>0</v>
      </c>
      <c r="I1449" s="10">
        <f t="shared" si="88"/>
        <v>319.2</v>
      </c>
      <c r="J1449" s="11">
        <f>data!H1449</f>
        <v>84</v>
      </c>
      <c r="K1449" s="11">
        <f>data!J1449</f>
        <v>0</v>
      </c>
      <c r="L1449" s="11">
        <f t="shared" si="89"/>
        <v>84</v>
      </c>
      <c r="M1449" s="9" t="str">
        <f t="shared" si="90"/>
        <v/>
      </c>
      <c r="N1449" s="9" t="str">
        <f t="shared" si="91"/>
        <v/>
      </c>
    </row>
    <row r="1450" spans="1:14" x14ac:dyDescent="0.25">
      <c r="A1450" t="str">
        <f>TEXT("1/"&amp;data!A1450,"mmmm")</f>
        <v>mai</v>
      </c>
      <c r="B1450">
        <f>data!B1450</f>
        <v>2016</v>
      </c>
      <c r="C1450" t="str">
        <f>data!C1450</f>
        <v>229</v>
      </c>
      <c r="D1450" t="str">
        <f>data!D1450</f>
        <v>DOMAINE DU BOIS DU JOUR</v>
      </c>
      <c r="E1450" t="str">
        <f>data!E1450</f>
        <v>229021</v>
      </c>
      <c r="F1450" t="str">
        <f>data!F1450</f>
        <v>ECLAT DE ROSE DME BOIS DU JOUR</v>
      </c>
      <c r="G1450" s="10">
        <f>data!G1450</f>
        <v>220.8</v>
      </c>
      <c r="H1450" s="10">
        <f>data!I1450</f>
        <v>0</v>
      </c>
      <c r="I1450" s="10">
        <f t="shared" si="88"/>
        <v>220.8</v>
      </c>
      <c r="J1450" s="11">
        <f>data!H1450</f>
        <v>48</v>
      </c>
      <c r="K1450" s="11">
        <f>data!J1450</f>
        <v>0</v>
      </c>
      <c r="L1450" s="11">
        <f t="shared" si="89"/>
        <v>48</v>
      </c>
      <c r="M1450" s="9" t="str">
        <f t="shared" si="90"/>
        <v/>
      </c>
      <c r="N1450" s="9" t="str">
        <f t="shared" si="91"/>
        <v/>
      </c>
    </row>
    <row r="1451" spans="1:14" x14ac:dyDescent="0.25">
      <c r="A1451" t="str">
        <f>TEXT("1/"&amp;data!A1451,"mmmm")</f>
        <v>juin</v>
      </c>
      <c r="B1451">
        <f>data!B1451</f>
        <v>2016</v>
      </c>
      <c r="C1451" t="str">
        <f>data!C1451</f>
        <v>001</v>
      </c>
      <c r="D1451" t="str">
        <f>data!D1451</f>
        <v>CHAMPAGNE PANNIER</v>
      </c>
      <c r="E1451" t="str">
        <f>data!E1451</f>
        <v>001001</v>
      </c>
      <c r="F1451" t="str">
        <f>data!F1451</f>
        <v>PANNIER AC CHAMP SELECTION BRUT</v>
      </c>
      <c r="G1451" s="10">
        <f>data!G1451</f>
        <v>6248</v>
      </c>
      <c r="H1451" s="10">
        <f>data!I1451</f>
        <v>0</v>
      </c>
      <c r="I1451" s="10">
        <f t="shared" si="88"/>
        <v>6248</v>
      </c>
      <c r="J1451" s="11">
        <f>data!H1451</f>
        <v>480</v>
      </c>
      <c r="K1451" s="11">
        <f>data!J1451</f>
        <v>0</v>
      </c>
      <c r="L1451" s="11">
        <f t="shared" si="89"/>
        <v>480</v>
      </c>
      <c r="M1451" s="9" t="str">
        <f t="shared" si="90"/>
        <v/>
      </c>
      <c r="N1451" s="9" t="str">
        <f t="shared" si="91"/>
        <v/>
      </c>
    </row>
    <row r="1452" spans="1:14" x14ac:dyDescent="0.25">
      <c r="A1452" t="str">
        <f>TEXT("1/"&amp;data!A1452,"mmmm")</f>
        <v>juin</v>
      </c>
      <c r="B1452">
        <f>data!B1452</f>
        <v>2016</v>
      </c>
      <c r="C1452" t="str">
        <f>data!C1452</f>
        <v>002</v>
      </c>
      <c r="D1452" t="str">
        <f>data!D1452</f>
        <v>CAVE DE GALLICIAN</v>
      </c>
      <c r="E1452" t="str">
        <f>data!E1452</f>
        <v>002001</v>
      </c>
      <c r="F1452" t="str">
        <f>data!F1452</f>
        <v>VDP MERLOT C.GALLICIAN</v>
      </c>
      <c r="G1452" s="10">
        <f>data!G1452</f>
        <v>3843.54</v>
      </c>
      <c r="H1452" s="10">
        <f>data!I1452</f>
        <v>2819.88</v>
      </c>
      <c r="I1452" s="10">
        <f t="shared" si="88"/>
        <v>1023.6599999999999</v>
      </c>
      <c r="J1452" s="11">
        <f>data!H1452</f>
        <v>3281.64</v>
      </c>
      <c r="K1452" s="11">
        <f>data!J1452</f>
        <v>2521.2599999999998</v>
      </c>
      <c r="L1452" s="11">
        <f t="shared" si="89"/>
        <v>760.38000000000011</v>
      </c>
      <c r="M1452" s="9">
        <f t="shared" si="90"/>
        <v>0.36301544746584957</v>
      </c>
      <c r="N1452" s="9">
        <f t="shared" si="91"/>
        <v>0.30158730158730168</v>
      </c>
    </row>
    <row r="1453" spans="1:14" x14ac:dyDescent="0.25">
      <c r="A1453" t="str">
        <f>TEXT("1/"&amp;data!A1453,"mmmm")</f>
        <v>juin</v>
      </c>
      <c r="B1453">
        <f>data!B1453</f>
        <v>2016</v>
      </c>
      <c r="C1453" t="str">
        <f>data!C1453</f>
        <v>002</v>
      </c>
      <c r="D1453" t="str">
        <f>data!D1453</f>
        <v>CAVE DE GALLICIAN</v>
      </c>
      <c r="E1453" t="str">
        <f>data!E1453</f>
        <v>002002</v>
      </c>
      <c r="F1453" t="str">
        <f>data!F1453</f>
        <v>VDP MERLOT. C GALLICIAN</v>
      </c>
      <c r="G1453" s="10">
        <f>data!G1453</f>
        <v>9260.16</v>
      </c>
      <c r="H1453" s="10">
        <f>data!I1453</f>
        <v>6214.25</v>
      </c>
      <c r="I1453" s="10">
        <f t="shared" si="88"/>
        <v>3045.91</v>
      </c>
      <c r="J1453" s="11">
        <f>data!H1453</f>
        <v>8984.42</v>
      </c>
      <c r="K1453" s="11">
        <f>data!J1453</f>
        <v>6251.77</v>
      </c>
      <c r="L1453" s="11">
        <f t="shared" si="89"/>
        <v>2732.6499999999996</v>
      </c>
      <c r="M1453" s="9">
        <f t="shared" si="90"/>
        <v>0.49014925373134327</v>
      </c>
      <c r="N1453" s="9">
        <f t="shared" si="91"/>
        <v>0.43710021321961612</v>
      </c>
    </row>
    <row r="1454" spans="1:14" x14ac:dyDescent="0.25">
      <c r="A1454" t="str">
        <f>TEXT("1/"&amp;data!A1454,"mmmm")</f>
        <v>juin</v>
      </c>
      <c r="B1454">
        <f>data!B1454</f>
        <v>2016</v>
      </c>
      <c r="C1454" t="str">
        <f>data!C1454</f>
        <v>002</v>
      </c>
      <c r="D1454" t="str">
        <f>data!D1454</f>
        <v>CAVE DE GALLICIAN</v>
      </c>
      <c r="E1454" t="str">
        <f>data!E1454</f>
        <v>002003</v>
      </c>
      <c r="F1454" t="str">
        <f>data!F1454</f>
        <v>VDP GARD. C GALLICIAN</v>
      </c>
      <c r="G1454" s="10">
        <f>data!G1454</f>
        <v>5797.04</v>
      </c>
      <c r="H1454" s="10">
        <f>data!I1454</f>
        <v>5782.8</v>
      </c>
      <c r="I1454" s="10">
        <f t="shared" si="88"/>
        <v>14.239999999999782</v>
      </c>
      <c r="J1454" s="11">
        <f>data!H1454</f>
        <v>6211.78</v>
      </c>
      <c r="K1454" s="11">
        <f>data!J1454</f>
        <v>6518.37</v>
      </c>
      <c r="L1454" s="11">
        <f t="shared" si="89"/>
        <v>-306.59000000000015</v>
      </c>
      <c r="M1454" s="9">
        <f t="shared" si="90"/>
        <v>2.4624749256415197E-3</v>
      </c>
      <c r="N1454" s="9">
        <f t="shared" si="91"/>
        <v>-4.7034764826175891E-2</v>
      </c>
    </row>
    <row r="1455" spans="1:14" x14ac:dyDescent="0.25">
      <c r="A1455" t="str">
        <f>TEXT("1/"&amp;data!A1455,"mmmm")</f>
        <v>juin</v>
      </c>
      <c r="B1455">
        <f>data!B1455</f>
        <v>2016</v>
      </c>
      <c r="C1455" t="str">
        <f>data!C1455</f>
        <v>002</v>
      </c>
      <c r="D1455" t="str">
        <f>data!D1455</f>
        <v>CAVE DE GALLICIAN</v>
      </c>
      <c r="E1455" t="str">
        <f>data!E1455</f>
        <v>002004</v>
      </c>
      <c r="F1455" t="str">
        <f>data!F1455</f>
        <v>VDP GARD. C GALLICIAN</v>
      </c>
      <c r="G1455" s="10">
        <f>data!G1455</f>
        <v>1425.92</v>
      </c>
      <c r="H1455" s="10">
        <f>data!I1455</f>
        <v>1012.2</v>
      </c>
      <c r="I1455" s="10">
        <f t="shared" si="88"/>
        <v>413.72</v>
      </c>
      <c r="J1455" s="11">
        <f>data!H1455</f>
        <v>1287.31</v>
      </c>
      <c r="K1455" s="11">
        <f>data!J1455</f>
        <v>953.81</v>
      </c>
      <c r="L1455" s="11">
        <f t="shared" si="89"/>
        <v>333.5</v>
      </c>
      <c r="M1455" s="9">
        <f t="shared" si="90"/>
        <v>0.40873345188697885</v>
      </c>
      <c r="N1455" s="9">
        <f t="shared" si="91"/>
        <v>0.34965034965034969</v>
      </c>
    </row>
    <row r="1456" spans="1:14" x14ac:dyDescent="0.25">
      <c r="A1456" t="str">
        <f>TEXT("1/"&amp;data!A1456,"mmmm")</f>
        <v>juin</v>
      </c>
      <c r="B1456">
        <f>data!B1456</f>
        <v>2016</v>
      </c>
      <c r="C1456" t="str">
        <f>data!C1456</f>
        <v>002</v>
      </c>
      <c r="D1456" t="str">
        <f>data!D1456</f>
        <v>CAVE DE GALLICIAN</v>
      </c>
      <c r="E1456" t="str">
        <f>data!E1456</f>
        <v>002007</v>
      </c>
      <c r="F1456" t="str">
        <f>data!F1456</f>
        <v>VDT C GALLICIAN</v>
      </c>
      <c r="G1456" s="10">
        <f>data!G1456</f>
        <v>2420.04</v>
      </c>
      <c r="H1456" s="10">
        <f>data!I1456</f>
        <v>3300.3</v>
      </c>
      <c r="I1456" s="10">
        <f t="shared" si="88"/>
        <v>-880.26000000000022</v>
      </c>
      <c r="J1456" s="11">
        <f>data!H1456</f>
        <v>2679.33</v>
      </c>
      <c r="K1456" s="11">
        <f>data!J1456</f>
        <v>3825.71</v>
      </c>
      <c r="L1456" s="11">
        <f t="shared" si="89"/>
        <v>-1146.3800000000001</v>
      </c>
      <c r="M1456" s="9">
        <f t="shared" si="90"/>
        <v>-0.26672120716298525</v>
      </c>
      <c r="N1456" s="9">
        <f t="shared" si="91"/>
        <v>-0.29965156794425091</v>
      </c>
    </row>
    <row r="1457" spans="1:14" x14ac:dyDescent="0.25">
      <c r="A1457" t="str">
        <f>TEXT("1/"&amp;data!A1457,"mmmm")</f>
        <v>juin</v>
      </c>
      <c r="B1457">
        <f>data!B1457</f>
        <v>2016</v>
      </c>
      <c r="C1457" t="str">
        <f>data!C1457</f>
        <v>002</v>
      </c>
      <c r="D1457" t="str">
        <f>data!D1457</f>
        <v>CAVE DE GALLICIAN</v>
      </c>
      <c r="E1457" t="str">
        <f>data!E1457</f>
        <v>002008</v>
      </c>
      <c r="F1457" t="str">
        <f>data!F1457</f>
        <v>VDT. C GALLICIAN</v>
      </c>
      <c r="G1457" s="10">
        <f>data!G1457</f>
        <v>3330</v>
      </c>
      <c r="H1457" s="10">
        <f>data!I1457</f>
        <v>2245</v>
      </c>
      <c r="I1457" s="10">
        <f t="shared" si="88"/>
        <v>1085</v>
      </c>
      <c r="J1457" s="11">
        <f>data!H1457</f>
        <v>4000.5000000000005</v>
      </c>
      <c r="K1457" s="11">
        <f>data!J1457</f>
        <v>2693.67</v>
      </c>
      <c r="L1457" s="11">
        <f t="shared" si="89"/>
        <v>1306.8300000000004</v>
      </c>
      <c r="M1457" s="9">
        <f t="shared" si="90"/>
        <v>0.48329621380846327</v>
      </c>
      <c r="N1457" s="9">
        <f t="shared" si="91"/>
        <v>0.4851485148514853</v>
      </c>
    </row>
    <row r="1458" spans="1:14" x14ac:dyDescent="0.25">
      <c r="A1458" t="str">
        <f>TEXT("1/"&amp;data!A1458,"mmmm")</f>
        <v>juin</v>
      </c>
      <c r="B1458">
        <f>data!B1458</f>
        <v>2016</v>
      </c>
      <c r="C1458" t="str">
        <f>data!C1458</f>
        <v>002</v>
      </c>
      <c r="D1458" t="str">
        <f>data!D1458</f>
        <v>CAVE DE GALLICIAN</v>
      </c>
      <c r="E1458" t="str">
        <f>data!E1458</f>
        <v>002009</v>
      </c>
      <c r="F1458" t="str">
        <f>data!F1458</f>
        <v>VDT. C GALLICIAN</v>
      </c>
      <c r="G1458" s="10">
        <f>data!G1458</f>
        <v>70.02</v>
      </c>
      <c r="H1458" s="10">
        <f>data!I1458</f>
        <v>269.39999999999998</v>
      </c>
      <c r="I1458" s="10">
        <f t="shared" si="88"/>
        <v>-199.38</v>
      </c>
      <c r="J1458" s="11">
        <f>data!H1458</f>
        <v>80.010000000000005</v>
      </c>
      <c r="K1458" s="11">
        <f>data!J1458</f>
        <v>320.04000000000002</v>
      </c>
      <c r="L1458" s="11">
        <f t="shared" si="89"/>
        <v>-240.03000000000003</v>
      </c>
      <c r="M1458" s="9">
        <f t="shared" si="90"/>
        <v>-0.74008908685968822</v>
      </c>
      <c r="N1458" s="9">
        <f t="shared" si="91"/>
        <v>-0.75</v>
      </c>
    </row>
    <row r="1459" spans="1:14" x14ac:dyDescent="0.25">
      <c r="A1459" t="str">
        <f>TEXT("1/"&amp;data!A1459,"mmmm")</f>
        <v>juin</v>
      </c>
      <c r="B1459">
        <f>data!B1459</f>
        <v>2016</v>
      </c>
      <c r="C1459" t="str">
        <f>data!C1459</f>
        <v>002</v>
      </c>
      <c r="D1459" t="str">
        <f>data!D1459</f>
        <v>CAVE DE GALLICIAN</v>
      </c>
      <c r="E1459" t="str">
        <f>data!E1459</f>
        <v>002010</v>
      </c>
      <c r="F1459" t="str">
        <f>data!F1459</f>
        <v>AC C. DE NIMES. C GALLICIAN</v>
      </c>
      <c r="G1459" s="10">
        <f>data!G1459</f>
        <v>2103.75</v>
      </c>
      <c r="H1459" s="10">
        <f>data!I1459</f>
        <v>1870.12</v>
      </c>
      <c r="I1459" s="10">
        <f t="shared" si="88"/>
        <v>233.63000000000011</v>
      </c>
      <c r="J1459" s="11">
        <f>data!H1459</f>
        <v>1507.42</v>
      </c>
      <c r="K1459" s="11">
        <f>data!J1459</f>
        <v>1387.36</v>
      </c>
      <c r="L1459" s="11">
        <f t="shared" si="89"/>
        <v>120.06000000000017</v>
      </c>
      <c r="M1459" s="9">
        <f t="shared" si="90"/>
        <v>0.12492781211900847</v>
      </c>
      <c r="N1459" s="9">
        <f t="shared" si="91"/>
        <v>8.6538461538461675E-2</v>
      </c>
    </row>
    <row r="1460" spans="1:14" x14ac:dyDescent="0.25">
      <c r="A1460" t="str">
        <f>TEXT("1/"&amp;data!A1460,"mmmm")</f>
        <v>juin</v>
      </c>
      <c r="B1460">
        <f>data!B1460</f>
        <v>2016</v>
      </c>
      <c r="C1460" t="str">
        <f>data!C1460</f>
        <v>002</v>
      </c>
      <c r="D1460" t="str">
        <f>data!D1460</f>
        <v>CAVE DE GALLICIAN</v>
      </c>
      <c r="E1460" t="str">
        <f>data!E1460</f>
        <v>002011</v>
      </c>
      <c r="F1460" t="str">
        <f>data!F1460</f>
        <v>AC C DE NIMES C. GALLICIAN</v>
      </c>
      <c r="G1460" s="10">
        <f>data!G1460</f>
        <v>3100.62</v>
      </c>
      <c r="H1460" s="10">
        <f>data!I1460</f>
        <v>3753.76</v>
      </c>
      <c r="I1460" s="10">
        <f t="shared" si="88"/>
        <v>-653.14000000000033</v>
      </c>
      <c r="J1460" s="11">
        <f>data!H1460</f>
        <v>2599.35</v>
      </c>
      <c r="K1460" s="11">
        <f>data!J1460</f>
        <v>3092.56</v>
      </c>
      <c r="L1460" s="11">
        <f t="shared" si="89"/>
        <v>-493.21000000000004</v>
      </c>
      <c r="M1460" s="9">
        <f t="shared" si="90"/>
        <v>-0.1739962064703125</v>
      </c>
      <c r="N1460" s="9">
        <f t="shared" si="91"/>
        <v>-0.15948275862068967</v>
      </c>
    </row>
    <row r="1461" spans="1:14" x14ac:dyDescent="0.25">
      <c r="A1461" t="str">
        <f>TEXT("1/"&amp;data!A1461,"mmmm")</f>
        <v>juin</v>
      </c>
      <c r="B1461">
        <f>data!B1461</f>
        <v>2016</v>
      </c>
      <c r="C1461" t="str">
        <f>data!C1461</f>
        <v>002</v>
      </c>
      <c r="D1461" t="str">
        <f>data!D1461</f>
        <v>CAVE DE GALLICIAN</v>
      </c>
      <c r="E1461" t="str">
        <f>data!E1461</f>
        <v>002015</v>
      </c>
      <c r="F1461" t="str">
        <f>data!F1461</f>
        <v>AC C DE NIMES C. GALLICIAN</v>
      </c>
      <c r="G1461" s="10">
        <f>data!G1461</f>
        <v>3233.98</v>
      </c>
      <c r="H1461" s="10">
        <f>data!I1461</f>
        <v>4951.08</v>
      </c>
      <c r="I1461" s="10">
        <f t="shared" si="88"/>
        <v>-1717.1</v>
      </c>
      <c r="J1461" s="11">
        <f>data!H1461</f>
        <v>2586.02</v>
      </c>
      <c r="K1461" s="11">
        <f>data!J1461</f>
        <v>4078.98</v>
      </c>
      <c r="L1461" s="11">
        <f t="shared" si="89"/>
        <v>-1492.96</v>
      </c>
      <c r="M1461" s="9">
        <f t="shared" si="90"/>
        <v>-0.3468132205498598</v>
      </c>
      <c r="N1461" s="9">
        <f t="shared" si="91"/>
        <v>-0.36601307189542487</v>
      </c>
    </row>
    <row r="1462" spans="1:14" x14ac:dyDescent="0.25">
      <c r="A1462" t="str">
        <f>TEXT("1/"&amp;data!A1462,"mmmm")</f>
        <v>juin</v>
      </c>
      <c r="B1462">
        <f>data!B1462</f>
        <v>2016</v>
      </c>
      <c r="C1462" t="str">
        <f>data!C1462</f>
        <v>002</v>
      </c>
      <c r="D1462" t="str">
        <f>data!D1462</f>
        <v>CAVE DE GALLICIAN</v>
      </c>
      <c r="E1462" t="str">
        <f>data!E1462</f>
        <v>002016</v>
      </c>
      <c r="F1462" t="str">
        <f>data!F1462</f>
        <v>AC C DE NIMES C. GALLICIAN</v>
      </c>
      <c r="G1462" s="10">
        <f>data!G1462</f>
        <v>3860.45</v>
      </c>
      <c r="H1462" s="10">
        <f>data!I1462</f>
        <v>2524.2399999999998</v>
      </c>
      <c r="I1462" s="10">
        <f t="shared" si="88"/>
        <v>1336.21</v>
      </c>
      <c r="J1462" s="11">
        <f>data!H1462</f>
        <v>2768.05</v>
      </c>
      <c r="K1462" s="11">
        <f>data!J1462</f>
        <v>1860.93</v>
      </c>
      <c r="L1462" s="11">
        <f t="shared" si="89"/>
        <v>907.12000000000012</v>
      </c>
      <c r="M1462" s="9">
        <f t="shared" si="90"/>
        <v>0.52935140874084874</v>
      </c>
      <c r="N1462" s="9">
        <f t="shared" si="91"/>
        <v>0.48745519713261654</v>
      </c>
    </row>
    <row r="1463" spans="1:14" x14ac:dyDescent="0.25">
      <c r="A1463" t="str">
        <f>TEXT("1/"&amp;data!A1463,"mmmm")</f>
        <v>juin</v>
      </c>
      <c r="B1463">
        <f>data!B1463</f>
        <v>2016</v>
      </c>
      <c r="C1463" t="str">
        <f>data!C1463</f>
        <v>002</v>
      </c>
      <c r="D1463" t="str">
        <f>data!D1463</f>
        <v>CAVE DE GALLICIAN</v>
      </c>
      <c r="E1463" t="str">
        <f>data!E1463</f>
        <v>002017</v>
      </c>
      <c r="F1463" t="str">
        <f>data!F1463</f>
        <v>VDP GARD C. GALLICIAN</v>
      </c>
      <c r="G1463" s="10">
        <f>data!G1463</f>
        <v>6481.24</v>
      </c>
      <c r="H1463" s="10">
        <f>data!I1463</f>
        <v>7068.36</v>
      </c>
      <c r="I1463" s="10">
        <f t="shared" si="88"/>
        <v>-587.11999999999989</v>
      </c>
      <c r="J1463" s="11">
        <f>data!H1463</f>
        <v>6971.59</v>
      </c>
      <c r="K1463" s="11">
        <f>data!J1463</f>
        <v>7891.36</v>
      </c>
      <c r="L1463" s="11">
        <f t="shared" si="89"/>
        <v>-919.76999999999953</v>
      </c>
      <c r="M1463" s="9">
        <f t="shared" si="90"/>
        <v>-8.3063115064880663E-2</v>
      </c>
      <c r="N1463" s="9">
        <f t="shared" si="91"/>
        <v>-0.116554054054054</v>
      </c>
    </row>
    <row r="1464" spans="1:14" x14ac:dyDescent="0.25">
      <c r="A1464" t="str">
        <f>TEXT("1/"&amp;data!A1464,"mmmm")</f>
        <v>juin</v>
      </c>
      <c r="B1464">
        <f>data!B1464</f>
        <v>2016</v>
      </c>
      <c r="C1464" t="str">
        <f>data!C1464</f>
        <v>002</v>
      </c>
      <c r="D1464" t="str">
        <f>data!D1464</f>
        <v>CAVE DE GALLICIAN</v>
      </c>
      <c r="E1464" t="str">
        <f>data!E1464</f>
        <v>002018</v>
      </c>
      <c r="F1464" t="str">
        <f>data!F1464</f>
        <v>VDP GARD C. GALLICIAN</v>
      </c>
      <c r="G1464" s="10">
        <f>data!G1464</f>
        <v>4175.5600000000004</v>
      </c>
      <c r="H1464" s="10">
        <f>data!I1464</f>
        <v>2805.75</v>
      </c>
      <c r="I1464" s="10">
        <f t="shared" si="88"/>
        <v>1369.8100000000004</v>
      </c>
      <c r="J1464" s="11">
        <f>data!H1464</f>
        <v>3735.2</v>
      </c>
      <c r="K1464" s="11">
        <f>data!J1464</f>
        <v>2607.9699999999998</v>
      </c>
      <c r="L1464" s="11">
        <f t="shared" si="89"/>
        <v>1127.23</v>
      </c>
      <c r="M1464" s="9">
        <f t="shared" si="90"/>
        <v>0.48821527220885697</v>
      </c>
      <c r="N1464" s="9">
        <f t="shared" si="91"/>
        <v>0.43222506393861898</v>
      </c>
    </row>
    <row r="1465" spans="1:14" x14ac:dyDescent="0.25">
      <c r="A1465" t="str">
        <f>TEXT("1/"&amp;data!A1465,"mmmm")</f>
        <v>juin</v>
      </c>
      <c r="B1465">
        <f>data!B1465</f>
        <v>2016</v>
      </c>
      <c r="C1465" t="str">
        <f>data!C1465</f>
        <v>002</v>
      </c>
      <c r="D1465" t="str">
        <f>data!D1465</f>
        <v>CAVE DE GALLICIAN</v>
      </c>
      <c r="E1465" t="str">
        <f>data!E1465</f>
        <v>002020</v>
      </c>
      <c r="F1465" t="str">
        <f>data!F1465</f>
        <v>AC C DE NIMES C DES LAUNES</v>
      </c>
      <c r="G1465" s="10">
        <f>data!G1465</f>
        <v>2013.9</v>
      </c>
      <c r="H1465" s="10">
        <f>data!I1465</f>
        <v>1036.8</v>
      </c>
      <c r="I1465" s="10">
        <f t="shared" si="88"/>
        <v>977.10000000000014</v>
      </c>
      <c r="J1465" s="11">
        <f>data!H1465</f>
        <v>822</v>
      </c>
      <c r="K1465" s="11">
        <f>data!J1465</f>
        <v>432</v>
      </c>
      <c r="L1465" s="11">
        <f t="shared" si="89"/>
        <v>390</v>
      </c>
      <c r="M1465" s="9">
        <f t="shared" si="90"/>
        <v>0.94241898148148162</v>
      </c>
      <c r="N1465" s="9">
        <f t="shared" si="91"/>
        <v>0.90277777777777779</v>
      </c>
    </row>
    <row r="1466" spans="1:14" x14ac:dyDescent="0.25">
      <c r="A1466" t="str">
        <f>TEXT("1/"&amp;data!A1466,"mmmm")</f>
        <v>juin</v>
      </c>
      <c r="B1466">
        <f>data!B1466</f>
        <v>2016</v>
      </c>
      <c r="C1466" t="str">
        <f>data!C1466</f>
        <v>002</v>
      </c>
      <c r="D1466" t="str">
        <f>data!D1466</f>
        <v>CAVE DE GALLICIAN</v>
      </c>
      <c r="E1466" t="str">
        <f>data!E1466</f>
        <v>002025</v>
      </c>
      <c r="F1466" t="str">
        <f>data!F1466</f>
        <v>AC COSTIERES DE NIMES CUVEE PRESTIGE</v>
      </c>
      <c r="G1466" s="10">
        <f>data!G1466</f>
        <v>118.26</v>
      </c>
      <c r="H1466" s="10">
        <f>data!I1466</f>
        <v>497.13</v>
      </c>
      <c r="I1466" s="10">
        <f t="shared" si="88"/>
        <v>-378.87</v>
      </c>
      <c r="J1466" s="11">
        <f>data!H1466</f>
        <v>60</v>
      </c>
      <c r="K1466" s="11">
        <f>data!J1466</f>
        <v>234</v>
      </c>
      <c r="L1466" s="11">
        <f t="shared" si="89"/>
        <v>-174</v>
      </c>
      <c r="M1466" s="9">
        <f t="shared" si="90"/>
        <v>-0.76211453744493396</v>
      </c>
      <c r="N1466" s="9">
        <f t="shared" si="91"/>
        <v>-0.74358974358974361</v>
      </c>
    </row>
    <row r="1467" spans="1:14" x14ac:dyDescent="0.25">
      <c r="A1467" t="str">
        <f>TEXT("1/"&amp;data!A1467,"mmmm")</f>
        <v>juin</v>
      </c>
      <c r="B1467">
        <f>data!B1467</f>
        <v>2016</v>
      </c>
      <c r="C1467" t="str">
        <f>data!C1467</f>
        <v>002</v>
      </c>
      <c r="D1467" t="str">
        <f>data!D1467</f>
        <v>CAVE DE GALLICIAN</v>
      </c>
      <c r="E1467" t="str">
        <f>data!E1467</f>
        <v>002026</v>
      </c>
      <c r="F1467" t="str">
        <f>data!F1467</f>
        <v>IGP GARD GRES D'OR</v>
      </c>
      <c r="G1467" s="10">
        <f>data!G1467</f>
        <v>296.64</v>
      </c>
      <c r="H1467" s="10">
        <f>data!I1467</f>
        <v>196.32</v>
      </c>
      <c r="I1467" s="10">
        <f t="shared" si="88"/>
        <v>100.32</v>
      </c>
      <c r="J1467" s="11">
        <f>data!H1467</f>
        <v>144</v>
      </c>
      <c r="K1467" s="11">
        <f>data!J1467</f>
        <v>96</v>
      </c>
      <c r="L1467" s="11">
        <f t="shared" si="89"/>
        <v>48</v>
      </c>
      <c r="M1467" s="9">
        <f t="shared" si="90"/>
        <v>0.51100244498777503</v>
      </c>
      <c r="N1467" s="9">
        <f t="shared" si="91"/>
        <v>0.5</v>
      </c>
    </row>
    <row r="1468" spans="1:14" x14ac:dyDescent="0.25">
      <c r="A1468" t="str">
        <f>TEXT("1/"&amp;data!A1468,"mmmm")</f>
        <v>juin</v>
      </c>
      <c r="B1468">
        <f>data!B1468</f>
        <v>2016</v>
      </c>
      <c r="C1468" t="str">
        <f>data!C1468</f>
        <v>002</v>
      </c>
      <c r="D1468" t="str">
        <f>data!D1468</f>
        <v>CAVE DE GALLICIAN</v>
      </c>
      <c r="E1468" t="str">
        <f>data!E1468</f>
        <v>002027</v>
      </c>
      <c r="F1468" t="str">
        <f>data!F1468</f>
        <v>IGP D'OC  GRIS DES LAUNES  GALLICIAN</v>
      </c>
      <c r="G1468" s="10">
        <f>data!G1468</f>
        <v>2730</v>
      </c>
      <c r="H1468" s="10">
        <f>data!I1468</f>
        <v>1366.97</v>
      </c>
      <c r="I1468" s="10">
        <f t="shared" si="88"/>
        <v>1363.03</v>
      </c>
      <c r="J1468" s="11">
        <f>data!H1468</f>
        <v>1440</v>
      </c>
      <c r="K1468" s="11">
        <f>data!J1468</f>
        <v>744</v>
      </c>
      <c r="L1468" s="11">
        <f t="shared" si="89"/>
        <v>696</v>
      </c>
      <c r="M1468" s="9">
        <f t="shared" si="90"/>
        <v>0.99711771289786899</v>
      </c>
      <c r="N1468" s="9">
        <f t="shared" si="91"/>
        <v>0.93548387096774188</v>
      </c>
    </row>
    <row r="1469" spans="1:14" x14ac:dyDescent="0.25">
      <c r="A1469" t="str">
        <f>TEXT("1/"&amp;data!A1469,"mmmm")</f>
        <v>juin</v>
      </c>
      <c r="B1469">
        <f>data!B1469</f>
        <v>2016</v>
      </c>
      <c r="C1469" t="str">
        <f>data!C1469</f>
        <v>002</v>
      </c>
      <c r="D1469" t="str">
        <f>data!D1469</f>
        <v>CAVE DE GALLICIAN</v>
      </c>
      <c r="E1469" t="str">
        <f>data!E1469</f>
        <v>002034</v>
      </c>
      <c r="F1469" t="str">
        <f>data!F1469</f>
        <v>AOP COSTIERES DE NIMES</v>
      </c>
      <c r="G1469" s="10">
        <f>data!G1469</f>
        <v>46.2</v>
      </c>
      <c r="H1469" s="10">
        <f>data!I1469</f>
        <v>199.36</v>
      </c>
      <c r="I1469" s="10">
        <f t="shared" si="88"/>
        <v>-153.16000000000003</v>
      </c>
      <c r="J1469" s="11">
        <f>data!H1469</f>
        <v>28</v>
      </c>
      <c r="K1469" s="11">
        <f>data!J1469</f>
        <v>128</v>
      </c>
      <c r="L1469" s="11">
        <f t="shared" si="89"/>
        <v>-100</v>
      </c>
      <c r="M1469" s="9">
        <f t="shared" si="90"/>
        <v>-0.76825842696629221</v>
      </c>
      <c r="N1469" s="9">
        <f t="shared" si="91"/>
        <v>-0.78125</v>
      </c>
    </row>
    <row r="1470" spans="1:14" x14ac:dyDescent="0.25">
      <c r="A1470" t="str">
        <f>TEXT("1/"&amp;data!A1470,"mmmm")</f>
        <v>juin</v>
      </c>
      <c r="B1470">
        <f>data!B1470</f>
        <v>2016</v>
      </c>
      <c r="C1470" t="str">
        <f>data!C1470</f>
        <v>002</v>
      </c>
      <c r="D1470" t="str">
        <f>data!D1470</f>
        <v>CAVE DE GALLICIAN</v>
      </c>
      <c r="E1470" t="str">
        <f>data!E1470</f>
        <v>002035</v>
      </c>
      <c r="F1470" t="str">
        <f>data!F1470</f>
        <v>AOP COSTIERES DE NIMES</v>
      </c>
      <c r="G1470" s="10">
        <f>data!G1470</f>
        <v>13.2</v>
      </c>
      <c r="H1470" s="10">
        <f>data!I1470</f>
        <v>0</v>
      </c>
      <c r="I1470" s="10">
        <f t="shared" si="88"/>
        <v>13.2</v>
      </c>
      <c r="J1470" s="11">
        <f>data!H1470</f>
        <v>8</v>
      </c>
      <c r="K1470" s="11">
        <f>data!J1470</f>
        <v>0</v>
      </c>
      <c r="L1470" s="11">
        <f t="shared" si="89"/>
        <v>8</v>
      </c>
      <c r="M1470" s="9" t="str">
        <f t="shared" si="90"/>
        <v/>
      </c>
      <c r="N1470" s="9" t="str">
        <f t="shared" si="91"/>
        <v/>
      </c>
    </row>
    <row r="1471" spans="1:14" x14ac:dyDescent="0.25">
      <c r="A1471" t="str">
        <f>TEXT("1/"&amp;data!A1471,"mmmm")</f>
        <v>juin</v>
      </c>
      <c r="B1471">
        <f>data!B1471</f>
        <v>2016</v>
      </c>
      <c r="C1471" t="str">
        <f>data!C1471</f>
        <v>002</v>
      </c>
      <c r="D1471" t="str">
        <f>data!D1471</f>
        <v>CAVE DE GALLICIAN</v>
      </c>
      <c r="E1471" t="str">
        <f>data!E1471</f>
        <v>002037</v>
      </c>
      <c r="F1471" t="str">
        <f>data!F1471</f>
        <v>AOP COSTIERES DE NIMES COMBES DE MEZIERES</v>
      </c>
      <c r="G1471" s="10">
        <f>data!G1471</f>
        <v>357.6</v>
      </c>
      <c r="H1471" s="10">
        <f>data!I1471</f>
        <v>201.6</v>
      </c>
      <c r="I1471" s="10">
        <f t="shared" si="88"/>
        <v>156.00000000000003</v>
      </c>
      <c r="J1471" s="11">
        <f>data!H1471</f>
        <v>120</v>
      </c>
      <c r="K1471" s="11">
        <f>data!J1471</f>
        <v>72</v>
      </c>
      <c r="L1471" s="11">
        <f t="shared" si="89"/>
        <v>48</v>
      </c>
      <c r="M1471" s="9">
        <f t="shared" si="90"/>
        <v>0.77380952380952395</v>
      </c>
      <c r="N1471" s="9">
        <f t="shared" si="91"/>
        <v>0.66666666666666663</v>
      </c>
    </row>
    <row r="1472" spans="1:14" x14ac:dyDescent="0.25">
      <c r="A1472" t="str">
        <f>TEXT("1/"&amp;data!A1472,"mmmm")</f>
        <v>juin</v>
      </c>
      <c r="B1472">
        <f>data!B1472</f>
        <v>2016</v>
      </c>
      <c r="C1472" t="str">
        <f>data!C1472</f>
        <v>002</v>
      </c>
      <c r="D1472" t="str">
        <f>data!D1472</f>
        <v>CAVE DE GALLICIAN</v>
      </c>
      <c r="E1472" t="str">
        <f>data!E1472</f>
        <v>002040</v>
      </c>
      <c r="F1472" t="str">
        <f>data!F1472</f>
        <v>AOP COSTIERES DE NIMES PRESTIGE</v>
      </c>
      <c r="G1472" s="10">
        <f>data!G1472</f>
        <v>183.96</v>
      </c>
      <c r="H1472" s="10">
        <f>data!I1472</f>
        <v>65.7</v>
      </c>
      <c r="I1472" s="10">
        <f t="shared" si="88"/>
        <v>118.26</v>
      </c>
      <c r="J1472" s="11">
        <f>data!H1472</f>
        <v>84</v>
      </c>
      <c r="K1472" s="11">
        <f>data!J1472</f>
        <v>30</v>
      </c>
      <c r="L1472" s="11">
        <f t="shared" si="89"/>
        <v>54</v>
      </c>
      <c r="M1472" s="9">
        <f t="shared" si="90"/>
        <v>1.8</v>
      </c>
      <c r="N1472" s="9">
        <f t="shared" si="91"/>
        <v>1.8</v>
      </c>
    </row>
    <row r="1473" spans="1:14" x14ac:dyDescent="0.25">
      <c r="A1473" t="str">
        <f>TEXT("1/"&amp;data!A1473,"mmmm")</f>
        <v>juin</v>
      </c>
      <c r="B1473">
        <f>data!B1473</f>
        <v>2016</v>
      </c>
      <c r="C1473" t="str">
        <f>data!C1473</f>
        <v>002</v>
      </c>
      <c r="D1473" t="str">
        <f>data!D1473</f>
        <v>CAVE DE GALLICIAN</v>
      </c>
      <c r="E1473" t="str">
        <f>data!E1473</f>
        <v>002100</v>
      </c>
      <c r="F1473" t="str">
        <f>data!F1473</f>
        <v>VDP DU GARD. LOU GRES D'OR</v>
      </c>
      <c r="G1473" s="10">
        <f>data!G1473</f>
        <v>480.6</v>
      </c>
      <c r="H1473" s="10">
        <f>data!I1473</f>
        <v>736.98</v>
      </c>
      <c r="I1473" s="10">
        <f t="shared" si="88"/>
        <v>-256.38</v>
      </c>
      <c r="J1473" s="11">
        <f>data!H1473</f>
        <v>270</v>
      </c>
      <c r="K1473" s="11">
        <f>data!J1473</f>
        <v>426</v>
      </c>
      <c r="L1473" s="11">
        <f t="shared" si="89"/>
        <v>-156</v>
      </c>
      <c r="M1473" s="9">
        <f t="shared" si="90"/>
        <v>-0.34787918261011153</v>
      </c>
      <c r="N1473" s="9">
        <f t="shared" si="91"/>
        <v>-0.36619718309859156</v>
      </c>
    </row>
    <row r="1474" spans="1:14" x14ac:dyDescent="0.25">
      <c r="A1474" t="str">
        <f>TEXT("1/"&amp;data!A1474,"mmmm")</f>
        <v>juin</v>
      </c>
      <c r="B1474">
        <f>data!B1474</f>
        <v>2016</v>
      </c>
      <c r="C1474" t="str">
        <f>data!C1474</f>
        <v>002</v>
      </c>
      <c r="D1474" t="str">
        <f>data!D1474</f>
        <v>CAVE DE GALLICIAN</v>
      </c>
      <c r="E1474" t="str">
        <f>data!E1474</f>
        <v>002101</v>
      </c>
      <c r="F1474" t="str">
        <f>data!F1474</f>
        <v>IGP DU GARD LOU GRES D'OR</v>
      </c>
      <c r="G1474" s="10">
        <f>data!G1474</f>
        <v>373.8</v>
      </c>
      <c r="H1474" s="10">
        <f>data!I1474</f>
        <v>103.8</v>
      </c>
      <c r="I1474" s="10">
        <f t="shared" si="88"/>
        <v>270</v>
      </c>
      <c r="J1474" s="11">
        <f>data!H1474</f>
        <v>210</v>
      </c>
      <c r="K1474" s="11">
        <f>data!J1474</f>
        <v>60</v>
      </c>
      <c r="L1474" s="11">
        <f t="shared" si="89"/>
        <v>150</v>
      </c>
      <c r="M1474" s="9">
        <f t="shared" si="90"/>
        <v>2.601156069364162</v>
      </c>
      <c r="N1474" s="9">
        <f t="shared" si="91"/>
        <v>2.5</v>
      </c>
    </row>
    <row r="1475" spans="1:14" x14ac:dyDescent="0.25">
      <c r="A1475" t="str">
        <f>TEXT("1/"&amp;data!A1475,"mmmm")</f>
        <v>juin</v>
      </c>
      <c r="B1475">
        <f>data!B1475</f>
        <v>2016</v>
      </c>
      <c r="C1475" t="str">
        <f>data!C1475</f>
        <v>002</v>
      </c>
      <c r="D1475" t="str">
        <f>data!D1475</f>
        <v>CAVE DE GALLICIAN</v>
      </c>
      <c r="E1475" t="str">
        <f>data!E1475</f>
        <v>002102</v>
      </c>
      <c r="F1475" t="str">
        <f>data!F1475</f>
        <v>VDP GARD LOU GRES D'OR</v>
      </c>
      <c r="G1475" s="10">
        <f>data!G1475</f>
        <v>54.6</v>
      </c>
      <c r="H1475" s="10">
        <f>data!I1475</f>
        <v>0</v>
      </c>
      <c r="I1475" s="10">
        <f t="shared" ref="I1475:I1538" si="92">G1475-H1475</f>
        <v>54.6</v>
      </c>
      <c r="J1475" s="11">
        <f>data!H1475</f>
        <v>30</v>
      </c>
      <c r="K1475" s="11">
        <f>data!J1475</f>
        <v>0</v>
      </c>
      <c r="L1475" s="11">
        <f t="shared" ref="L1475:L1538" si="93">J1475-K1475</f>
        <v>30</v>
      </c>
      <c r="M1475" s="9" t="str">
        <f t="shared" ref="M1475:M1538" si="94">IF(ISERR(I1475/H1475),"",I1475/H1475)</f>
        <v/>
      </c>
      <c r="N1475" s="9" t="str">
        <f t="shared" ref="N1475:N1538" si="95">IF(ISERR(L1475/K1475),"",L1475/K1475)</f>
        <v/>
      </c>
    </row>
    <row r="1476" spans="1:14" x14ac:dyDescent="0.25">
      <c r="A1476" t="str">
        <f>TEXT("1/"&amp;data!A1476,"mmmm")</f>
        <v>juin</v>
      </c>
      <c r="B1476">
        <f>data!B1476</f>
        <v>2016</v>
      </c>
      <c r="C1476" t="str">
        <f>data!C1476</f>
        <v>002</v>
      </c>
      <c r="D1476" t="str">
        <f>data!D1476</f>
        <v>CAVE DE GALLICIAN</v>
      </c>
      <c r="E1476" t="str">
        <f>data!E1476</f>
        <v>002200</v>
      </c>
      <c r="F1476" t="str">
        <f>data!F1476</f>
        <v>ROSE PAMPLEMOUSSE</v>
      </c>
      <c r="G1476" s="10">
        <f>data!G1476</f>
        <v>125.1</v>
      </c>
      <c r="H1476" s="10">
        <f>data!I1476</f>
        <v>216.64</v>
      </c>
      <c r="I1476" s="10">
        <f t="shared" si="92"/>
        <v>-91.539999999999992</v>
      </c>
      <c r="J1476" s="11">
        <f>data!H1476</f>
        <v>72</v>
      </c>
      <c r="K1476" s="11">
        <f>data!J1476</f>
        <v>128</v>
      </c>
      <c r="L1476" s="11">
        <f t="shared" si="93"/>
        <v>-56</v>
      </c>
      <c r="M1476" s="9">
        <f t="shared" si="94"/>
        <v>-0.42254431314623336</v>
      </c>
      <c r="N1476" s="9">
        <f t="shared" si="95"/>
        <v>-0.4375</v>
      </c>
    </row>
    <row r="1477" spans="1:14" x14ac:dyDescent="0.25">
      <c r="A1477" t="str">
        <f>TEXT("1/"&amp;data!A1477,"mmmm")</f>
        <v>juin</v>
      </c>
      <c r="B1477">
        <f>data!B1477</f>
        <v>2016</v>
      </c>
      <c r="C1477" t="str">
        <f>data!C1477</f>
        <v>002</v>
      </c>
      <c r="D1477" t="str">
        <f>data!D1477</f>
        <v>CAVE DE GALLICIAN</v>
      </c>
      <c r="E1477" t="str">
        <f>data!E1477</f>
        <v>002900</v>
      </c>
      <c r="F1477" t="str">
        <f>data!F1477</f>
        <v>VDT CUVEE PRINCIE étiq perso scaeL</v>
      </c>
      <c r="G1477" s="10">
        <f>data!G1477</f>
        <v>877.5</v>
      </c>
      <c r="H1477" s="10">
        <f>data!I1477</f>
        <v>1939.8</v>
      </c>
      <c r="I1477" s="10">
        <f t="shared" si="92"/>
        <v>-1062.3</v>
      </c>
      <c r="J1477" s="11">
        <f>data!H1477</f>
        <v>1200.1500000000001</v>
      </c>
      <c r="K1477" s="11">
        <f>data!J1477</f>
        <v>2533.65</v>
      </c>
      <c r="L1477" s="11">
        <f t="shared" si="93"/>
        <v>-1333.5</v>
      </c>
      <c r="M1477" s="9">
        <f t="shared" si="94"/>
        <v>-0.54763377667800806</v>
      </c>
      <c r="N1477" s="9">
        <f t="shared" si="95"/>
        <v>-0.52631578947368418</v>
      </c>
    </row>
    <row r="1478" spans="1:14" x14ac:dyDescent="0.25">
      <c r="A1478" t="str">
        <f>TEXT("1/"&amp;data!A1478,"mmmm")</f>
        <v>juin</v>
      </c>
      <c r="B1478">
        <f>data!B1478</f>
        <v>2016</v>
      </c>
      <c r="C1478" t="str">
        <f>data!C1478</f>
        <v>002</v>
      </c>
      <c r="D1478" t="str">
        <f>data!D1478</f>
        <v>CAVE DE GALLICIAN</v>
      </c>
      <c r="E1478" t="str">
        <f>data!E1478</f>
        <v>002901</v>
      </c>
      <c r="F1478" t="str">
        <f>data!F1478</f>
        <v>VDT. CUVEE FIOJOLI étiq perso scaeL</v>
      </c>
      <c r="G1478" s="10">
        <f>data!G1478</f>
        <v>1755</v>
      </c>
      <c r="H1478" s="10">
        <f>data!I1478</f>
        <v>2465.6</v>
      </c>
      <c r="I1478" s="10">
        <f t="shared" si="92"/>
        <v>-710.59999999999991</v>
      </c>
      <c r="J1478" s="11">
        <f>data!H1478</f>
        <v>2400.3000000000002</v>
      </c>
      <c r="K1478" s="11">
        <f>data!J1478</f>
        <v>3067.05</v>
      </c>
      <c r="L1478" s="11">
        <f t="shared" si="93"/>
        <v>-666.75</v>
      </c>
      <c r="M1478" s="9">
        <f t="shared" si="94"/>
        <v>-0.28820571057754701</v>
      </c>
      <c r="N1478" s="9">
        <f t="shared" si="95"/>
        <v>-0.21739130434782608</v>
      </c>
    </row>
    <row r="1479" spans="1:14" x14ac:dyDescent="0.25">
      <c r="A1479" t="str">
        <f>TEXT("1/"&amp;data!A1479,"mmmm")</f>
        <v>juin</v>
      </c>
      <c r="B1479">
        <f>data!B1479</f>
        <v>2016</v>
      </c>
      <c r="C1479" t="str">
        <f>data!C1479</f>
        <v>002</v>
      </c>
      <c r="D1479" t="str">
        <f>data!D1479</f>
        <v>CAVE DE GALLICIAN</v>
      </c>
      <c r="E1479" t="str">
        <f>data!E1479</f>
        <v>002902</v>
      </c>
      <c r="F1479" t="str">
        <f>data!F1479</f>
        <v>VDT. CUVEE LEON étiq perso scaeL</v>
      </c>
      <c r="G1479" s="10">
        <f>data!G1479</f>
        <v>933.3</v>
      </c>
      <c r="H1479" s="10">
        <f>data!I1479</f>
        <v>636.20000000000005</v>
      </c>
      <c r="I1479" s="10">
        <f t="shared" si="92"/>
        <v>297.09999999999991</v>
      </c>
      <c r="J1479" s="11">
        <f>data!H1479</f>
        <v>1200.1500000000001</v>
      </c>
      <c r="K1479" s="11">
        <f>data!J1479</f>
        <v>800.1</v>
      </c>
      <c r="L1479" s="11">
        <f t="shared" si="93"/>
        <v>400.05000000000007</v>
      </c>
      <c r="M1479" s="9">
        <f t="shared" si="94"/>
        <v>0.46699151210311207</v>
      </c>
      <c r="N1479" s="9">
        <f t="shared" si="95"/>
        <v>0.50000000000000011</v>
      </c>
    </row>
    <row r="1480" spans="1:14" x14ac:dyDescent="0.25">
      <c r="A1480" t="str">
        <f>TEXT("1/"&amp;data!A1480,"mmmm")</f>
        <v>juin</v>
      </c>
      <c r="B1480">
        <f>data!B1480</f>
        <v>2016</v>
      </c>
      <c r="C1480" t="str">
        <f>data!C1480</f>
        <v>002</v>
      </c>
      <c r="D1480" t="str">
        <f>data!D1480</f>
        <v>CAVE DE GALLICIAN</v>
      </c>
      <c r="E1480" t="str">
        <f>data!E1480</f>
        <v>002903</v>
      </c>
      <c r="F1480" t="str">
        <f>data!F1480</f>
        <v>VDP MERLOT C. GALLICIAN</v>
      </c>
      <c r="G1480" s="10">
        <f>data!G1480</f>
        <v>1057.5</v>
      </c>
      <c r="H1480" s="10">
        <f>data!I1480</f>
        <v>0</v>
      </c>
      <c r="I1480" s="10">
        <f t="shared" si="92"/>
        <v>1057.5</v>
      </c>
      <c r="J1480" s="11">
        <f>data!H1480</f>
        <v>1200.1500000000001</v>
      </c>
      <c r="K1480" s="11">
        <f>data!J1480</f>
        <v>0</v>
      </c>
      <c r="L1480" s="11">
        <f t="shared" si="93"/>
        <v>1200.1500000000001</v>
      </c>
      <c r="M1480" s="9" t="str">
        <f t="shared" si="94"/>
        <v/>
      </c>
      <c r="N1480" s="9" t="str">
        <f t="shared" si="95"/>
        <v/>
      </c>
    </row>
    <row r="1481" spans="1:14" x14ac:dyDescent="0.25">
      <c r="A1481" t="str">
        <f>TEXT("1/"&amp;data!A1481,"mmmm")</f>
        <v>juin</v>
      </c>
      <c r="B1481">
        <f>data!B1481</f>
        <v>2016</v>
      </c>
      <c r="C1481" t="str">
        <f>data!C1481</f>
        <v>002</v>
      </c>
      <c r="D1481" t="str">
        <f>data!D1481</f>
        <v>CAVE DE GALLICIAN</v>
      </c>
      <c r="E1481" t="str">
        <f>data!E1481</f>
        <v>002905</v>
      </c>
      <c r="F1481" t="str">
        <f>data!F1481</f>
        <v>VDT. CUVEE FIOJOLI étiq perso scaeL</v>
      </c>
      <c r="G1481" s="10">
        <f>data!G1481</f>
        <v>399.6</v>
      </c>
      <c r="H1481" s="10">
        <f>data!I1481</f>
        <v>540</v>
      </c>
      <c r="I1481" s="10">
        <f t="shared" si="92"/>
        <v>-140.39999999999998</v>
      </c>
      <c r="J1481" s="11">
        <f>data!H1481</f>
        <v>493.21</v>
      </c>
      <c r="K1481" s="11">
        <f>data!J1481</f>
        <v>666.5</v>
      </c>
      <c r="L1481" s="11">
        <f t="shared" si="93"/>
        <v>-173.29000000000002</v>
      </c>
      <c r="M1481" s="9">
        <f t="shared" si="94"/>
        <v>-0.25999999999999995</v>
      </c>
      <c r="N1481" s="9">
        <f t="shared" si="95"/>
        <v>-0.26</v>
      </c>
    </row>
    <row r="1482" spans="1:14" x14ac:dyDescent="0.25">
      <c r="A1482" t="str">
        <f>TEXT("1/"&amp;data!A1482,"mmmm")</f>
        <v>juin</v>
      </c>
      <c r="B1482">
        <f>data!B1482</f>
        <v>2016</v>
      </c>
      <c r="C1482" t="str">
        <f>data!C1482</f>
        <v>007</v>
      </c>
      <c r="D1482" t="str">
        <f>data!D1482</f>
        <v>DOMAINE ANDRE DUSSOURT</v>
      </c>
      <c r="E1482" t="str">
        <f>data!E1482</f>
        <v>007001</v>
      </c>
      <c r="F1482" t="str">
        <f>data!F1482</f>
        <v>DME DUSSOURT AC SYLVANER</v>
      </c>
      <c r="G1482" s="10">
        <f>data!G1482</f>
        <v>48</v>
      </c>
      <c r="H1482" s="10">
        <f>data!I1482</f>
        <v>0</v>
      </c>
      <c r="I1482" s="10">
        <f t="shared" si="92"/>
        <v>48</v>
      </c>
      <c r="J1482" s="11">
        <f>data!H1482</f>
        <v>12</v>
      </c>
      <c r="K1482" s="11">
        <f>data!J1482</f>
        <v>0</v>
      </c>
      <c r="L1482" s="11">
        <f t="shared" si="93"/>
        <v>12</v>
      </c>
      <c r="M1482" s="9" t="str">
        <f t="shared" si="94"/>
        <v/>
      </c>
      <c r="N1482" s="9" t="str">
        <f t="shared" si="95"/>
        <v/>
      </c>
    </row>
    <row r="1483" spans="1:14" x14ac:dyDescent="0.25">
      <c r="A1483" t="str">
        <f>TEXT("1/"&amp;data!A1483,"mmmm")</f>
        <v>juin</v>
      </c>
      <c r="B1483">
        <f>data!B1483</f>
        <v>2016</v>
      </c>
      <c r="C1483" t="str">
        <f>data!C1483</f>
        <v>007</v>
      </c>
      <c r="D1483" t="str">
        <f>data!D1483</f>
        <v>DOMAINE ANDRE DUSSOURT</v>
      </c>
      <c r="E1483" t="str">
        <f>data!E1483</f>
        <v>007002</v>
      </c>
      <c r="F1483" t="str">
        <f>data!F1483</f>
        <v>AC RIESLING D. DUSSOURT</v>
      </c>
      <c r="G1483" s="10">
        <f>data!G1483</f>
        <v>303.60000000000002</v>
      </c>
      <c r="H1483" s="10">
        <f>data!I1483</f>
        <v>24.6</v>
      </c>
      <c r="I1483" s="10">
        <f t="shared" si="92"/>
        <v>279</v>
      </c>
      <c r="J1483" s="11">
        <f>data!H1483</f>
        <v>66</v>
      </c>
      <c r="K1483" s="11">
        <f>data!J1483</f>
        <v>6</v>
      </c>
      <c r="L1483" s="11">
        <f t="shared" si="93"/>
        <v>60</v>
      </c>
      <c r="M1483" s="9">
        <f t="shared" si="94"/>
        <v>11.341463414634145</v>
      </c>
      <c r="N1483" s="9">
        <f t="shared" si="95"/>
        <v>10</v>
      </c>
    </row>
    <row r="1484" spans="1:14" x14ac:dyDescent="0.25">
      <c r="A1484" t="str">
        <f>TEXT("1/"&amp;data!A1484,"mmmm")</f>
        <v>juin</v>
      </c>
      <c r="B1484">
        <f>data!B1484</f>
        <v>2016</v>
      </c>
      <c r="C1484" t="str">
        <f>data!C1484</f>
        <v>007</v>
      </c>
      <c r="D1484" t="str">
        <f>data!D1484</f>
        <v>DOMAINE ANDRE DUSSOURT</v>
      </c>
      <c r="E1484" t="str">
        <f>data!E1484</f>
        <v>007003</v>
      </c>
      <c r="F1484" t="str">
        <f>data!F1484</f>
        <v>AC PINOT GRIS D. DUSSOURT</v>
      </c>
      <c r="G1484" s="10">
        <f>data!G1484</f>
        <v>66</v>
      </c>
      <c r="H1484" s="10">
        <f>data!I1484</f>
        <v>124.8</v>
      </c>
      <c r="I1484" s="10">
        <f t="shared" si="92"/>
        <v>-58.8</v>
      </c>
      <c r="J1484" s="11">
        <f>data!H1484</f>
        <v>12</v>
      </c>
      <c r="K1484" s="11">
        <f>data!J1484</f>
        <v>24</v>
      </c>
      <c r="L1484" s="11">
        <f t="shared" si="93"/>
        <v>-12</v>
      </c>
      <c r="M1484" s="9">
        <f t="shared" si="94"/>
        <v>-0.47115384615384615</v>
      </c>
      <c r="N1484" s="9">
        <f t="shared" si="95"/>
        <v>-0.5</v>
      </c>
    </row>
    <row r="1485" spans="1:14" x14ac:dyDescent="0.25">
      <c r="A1485" t="str">
        <f>TEXT("1/"&amp;data!A1485,"mmmm")</f>
        <v>juin</v>
      </c>
      <c r="B1485">
        <f>data!B1485</f>
        <v>2016</v>
      </c>
      <c r="C1485" t="str">
        <f>data!C1485</f>
        <v>007</v>
      </c>
      <c r="D1485" t="str">
        <f>data!D1485</f>
        <v>DOMAINE ANDRE DUSSOURT</v>
      </c>
      <c r="E1485" t="str">
        <f>data!E1485</f>
        <v>007004</v>
      </c>
      <c r="F1485" t="str">
        <f>data!F1485</f>
        <v>AC GEWURZTRAMINER D. DUSSOURT</v>
      </c>
      <c r="G1485" s="10">
        <f>data!G1485</f>
        <v>174</v>
      </c>
      <c r="H1485" s="10">
        <f>data!I1485</f>
        <v>-40.5</v>
      </c>
      <c r="I1485" s="10">
        <f t="shared" si="92"/>
        <v>214.5</v>
      </c>
      <c r="J1485" s="11">
        <f>data!H1485</f>
        <v>24</v>
      </c>
      <c r="K1485" s="11">
        <f>data!J1485</f>
        <v>-6</v>
      </c>
      <c r="L1485" s="11">
        <f t="shared" si="93"/>
        <v>30</v>
      </c>
      <c r="M1485" s="9">
        <f t="shared" si="94"/>
        <v>-5.2962962962962967</v>
      </c>
      <c r="N1485" s="9">
        <f t="shared" si="95"/>
        <v>-5</v>
      </c>
    </row>
    <row r="1486" spans="1:14" x14ac:dyDescent="0.25">
      <c r="A1486" t="str">
        <f>TEXT("1/"&amp;data!A1486,"mmmm")</f>
        <v>juin</v>
      </c>
      <c r="B1486">
        <f>data!B1486</f>
        <v>2016</v>
      </c>
      <c r="C1486" t="str">
        <f>data!C1486</f>
        <v>007</v>
      </c>
      <c r="D1486" t="str">
        <f>data!D1486</f>
        <v>DOMAINE ANDRE DUSSOURT</v>
      </c>
      <c r="E1486" t="str">
        <f>data!E1486</f>
        <v>007006</v>
      </c>
      <c r="F1486" t="str">
        <f>data!F1486</f>
        <v>AC PINOT NOIR D. DUSSOURT</v>
      </c>
      <c r="G1486" s="10">
        <f>data!G1486</f>
        <v>378</v>
      </c>
      <c r="H1486" s="10">
        <f>data!I1486</f>
        <v>70.8</v>
      </c>
      <c r="I1486" s="10">
        <f t="shared" si="92"/>
        <v>307.2</v>
      </c>
      <c r="J1486" s="11">
        <f>data!H1486</f>
        <v>60</v>
      </c>
      <c r="K1486" s="11">
        <f>data!J1486</f>
        <v>12</v>
      </c>
      <c r="L1486" s="11">
        <f t="shared" si="93"/>
        <v>48</v>
      </c>
      <c r="M1486" s="9">
        <f t="shared" si="94"/>
        <v>4.3389830508474576</v>
      </c>
      <c r="N1486" s="9">
        <f t="shared" si="95"/>
        <v>4</v>
      </c>
    </row>
    <row r="1487" spans="1:14" x14ac:dyDescent="0.25">
      <c r="A1487" t="str">
        <f>TEXT("1/"&amp;data!A1487,"mmmm")</f>
        <v>juin</v>
      </c>
      <c r="B1487">
        <f>data!B1487</f>
        <v>2016</v>
      </c>
      <c r="C1487" t="str">
        <f>data!C1487</f>
        <v>007</v>
      </c>
      <c r="D1487" t="str">
        <f>data!D1487</f>
        <v>DOMAINE ANDRE DUSSOURT</v>
      </c>
      <c r="E1487" t="str">
        <f>data!E1487</f>
        <v>007021</v>
      </c>
      <c r="F1487" t="str">
        <f>data!F1487</f>
        <v>DOMAINE DUSSOURT AC GEWURZTRAMINER</v>
      </c>
      <c r="G1487" s="10">
        <f>data!G1487</f>
        <v>51.6</v>
      </c>
      <c r="H1487" s="10">
        <f>data!I1487</f>
        <v>0</v>
      </c>
      <c r="I1487" s="10">
        <f t="shared" si="92"/>
        <v>51.6</v>
      </c>
      <c r="J1487" s="11">
        <f>data!H1487</f>
        <v>6</v>
      </c>
      <c r="K1487" s="11">
        <f>data!J1487</f>
        <v>12</v>
      </c>
      <c r="L1487" s="11">
        <f t="shared" si="93"/>
        <v>-6</v>
      </c>
      <c r="M1487" s="9" t="str">
        <f t="shared" si="94"/>
        <v/>
      </c>
      <c r="N1487" s="9">
        <f t="shared" si="95"/>
        <v>-0.5</v>
      </c>
    </row>
    <row r="1488" spans="1:14" x14ac:dyDescent="0.25">
      <c r="A1488" t="str">
        <f>TEXT("1/"&amp;data!A1488,"mmmm")</f>
        <v>juin</v>
      </c>
      <c r="B1488">
        <f>data!B1488</f>
        <v>2016</v>
      </c>
      <c r="C1488" t="str">
        <f>data!C1488</f>
        <v>010</v>
      </c>
      <c r="D1488" t="str">
        <f>data!D1488</f>
        <v>DOMAINE VIGNEAU CHEVRAU</v>
      </c>
      <c r="E1488" t="str">
        <f>data!E1488</f>
        <v>010001</v>
      </c>
      <c r="F1488" t="str">
        <f>data!F1488</f>
        <v>AC VOUVRAY SEC.C.SILEX  V.CHEV</v>
      </c>
      <c r="G1488" s="10">
        <f>data!G1488</f>
        <v>508.8</v>
      </c>
      <c r="H1488" s="10">
        <f>data!I1488</f>
        <v>748.8</v>
      </c>
      <c r="I1488" s="10">
        <f t="shared" si="92"/>
        <v>-239.99999999999994</v>
      </c>
      <c r="J1488" s="11">
        <f>data!H1488</f>
        <v>96</v>
      </c>
      <c r="K1488" s="11">
        <f>data!J1488</f>
        <v>144</v>
      </c>
      <c r="L1488" s="11">
        <f t="shared" si="93"/>
        <v>-48</v>
      </c>
      <c r="M1488" s="9">
        <f t="shared" si="94"/>
        <v>-0.32051282051282043</v>
      </c>
      <c r="N1488" s="9">
        <f t="shared" si="95"/>
        <v>-0.33333333333333331</v>
      </c>
    </row>
    <row r="1489" spans="1:14" x14ac:dyDescent="0.25">
      <c r="A1489" t="str">
        <f>TEXT("1/"&amp;data!A1489,"mmmm")</f>
        <v>juin</v>
      </c>
      <c r="B1489">
        <f>data!B1489</f>
        <v>2016</v>
      </c>
      <c r="C1489" t="str">
        <f>data!C1489</f>
        <v>010</v>
      </c>
      <c r="D1489" t="str">
        <f>data!D1489</f>
        <v>DOMAINE VIGNEAU CHEVRAU</v>
      </c>
      <c r="E1489" t="str">
        <f>data!E1489</f>
        <v>010019</v>
      </c>
      <c r="F1489" t="str">
        <f>data!F1489</f>
        <v>AC VOUVRAY METH TRAD BRUT. V. CHEV BIO</v>
      </c>
      <c r="G1489" s="10">
        <f>data!G1489</f>
        <v>477</v>
      </c>
      <c r="H1489" s="10">
        <f>data!I1489</f>
        <v>0</v>
      </c>
      <c r="I1489" s="10">
        <f t="shared" si="92"/>
        <v>477</v>
      </c>
      <c r="J1489" s="11">
        <f>data!H1489</f>
        <v>90</v>
      </c>
      <c r="K1489" s="11">
        <f>data!J1489</f>
        <v>0</v>
      </c>
      <c r="L1489" s="11">
        <f t="shared" si="93"/>
        <v>90</v>
      </c>
      <c r="M1489" s="9" t="str">
        <f t="shared" si="94"/>
        <v/>
      </c>
      <c r="N1489" s="9" t="str">
        <f t="shared" si="95"/>
        <v/>
      </c>
    </row>
    <row r="1490" spans="1:14" x14ac:dyDescent="0.25">
      <c r="A1490" t="str">
        <f>TEXT("1/"&amp;data!A1490,"mmmm")</f>
        <v>juin</v>
      </c>
      <c r="B1490">
        <f>data!B1490</f>
        <v>2016</v>
      </c>
      <c r="C1490" t="str">
        <f>data!C1490</f>
        <v>010</v>
      </c>
      <c r="D1490" t="str">
        <f>data!D1490</f>
        <v>DOMAINE VIGNEAU CHEVRAU</v>
      </c>
      <c r="E1490" t="str">
        <f>data!E1490</f>
        <v>CDV010050</v>
      </c>
      <c r="F1490" t="str">
        <f>data!F1490</f>
        <v>AC VOUVRAY CLOS DE ROUGEMONT VIGNEAU CHEVREAU</v>
      </c>
      <c r="G1490" s="10">
        <f>data!G1490</f>
        <v>75.599999999999994</v>
      </c>
      <c r="H1490" s="10">
        <f>data!I1490</f>
        <v>74.400000000000006</v>
      </c>
      <c r="I1490" s="10">
        <f t="shared" si="92"/>
        <v>1.1999999999999886</v>
      </c>
      <c r="J1490" s="11">
        <f>data!H1490</f>
        <v>12</v>
      </c>
      <c r="K1490" s="11">
        <f>data!J1490</f>
        <v>12</v>
      </c>
      <c r="L1490" s="11">
        <f t="shared" si="93"/>
        <v>0</v>
      </c>
      <c r="M1490" s="9">
        <f t="shared" si="94"/>
        <v>1.6129032258064363E-2</v>
      </c>
      <c r="N1490" s="9">
        <f t="shared" si="95"/>
        <v>0</v>
      </c>
    </row>
    <row r="1491" spans="1:14" x14ac:dyDescent="0.25">
      <c r="A1491" t="str">
        <f>TEXT("1/"&amp;data!A1491,"mmmm")</f>
        <v>juin</v>
      </c>
      <c r="B1491">
        <f>data!B1491</f>
        <v>2016</v>
      </c>
      <c r="C1491" t="str">
        <f>data!C1491</f>
        <v>011</v>
      </c>
      <c r="D1491" t="str">
        <f>data!D1491</f>
        <v>CAVE GAUTIER</v>
      </c>
      <c r="E1491" t="str">
        <f>data!E1491</f>
        <v>011001</v>
      </c>
      <c r="F1491" t="str">
        <f>data!F1491</f>
        <v>AC VOUVRAY METH TRAD BRUT  D.CHATAIGNERAIE</v>
      </c>
      <c r="G1491" s="10">
        <f>data!G1491</f>
        <v>2920.68</v>
      </c>
      <c r="H1491" s="10">
        <f>data!I1491</f>
        <v>3303.72</v>
      </c>
      <c r="I1491" s="10">
        <f t="shared" si="92"/>
        <v>-383.03999999999996</v>
      </c>
      <c r="J1491" s="11">
        <f>data!H1491</f>
        <v>732</v>
      </c>
      <c r="K1491" s="11">
        <f>data!J1491</f>
        <v>828</v>
      </c>
      <c r="L1491" s="11">
        <f t="shared" si="93"/>
        <v>-96</v>
      </c>
      <c r="M1491" s="9">
        <f t="shared" si="94"/>
        <v>-0.11594202898550725</v>
      </c>
      <c r="N1491" s="9">
        <f t="shared" si="95"/>
        <v>-0.11594202898550725</v>
      </c>
    </row>
    <row r="1492" spans="1:14" x14ac:dyDescent="0.25">
      <c r="A1492" t="str">
        <f>TEXT("1/"&amp;data!A1492,"mmmm")</f>
        <v>juin</v>
      </c>
      <c r="B1492">
        <f>data!B1492</f>
        <v>2016</v>
      </c>
      <c r="C1492" t="str">
        <f>data!C1492</f>
        <v>011</v>
      </c>
      <c r="D1492" t="str">
        <f>data!D1492</f>
        <v>CAVE GAUTIER</v>
      </c>
      <c r="E1492" t="str">
        <f>data!E1492</f>
        <v>011002</v>
      </c>
      <c r="F1492" t="str">
        <f>data!F1492</f>
        <v>AC VOUVRAY METH TRAD D.SEC  D.CHATAIGNERAIE</v>
      </c>
      <c r="G1492" s="10">
        <f>data!G1492</f>
        <v>191.52</v>
      </c>
      <c r="H1492" s="10">
        <f>data!I1492</f>
        <v>369.6</v>
      </c>
      <c r="I1492" s="10">
        <f t="shared" si="92"/>
        <v>-178.08</v>
      </c>
      <c r="J1492" s="11">
        <f>data!H1492</f>
        <v>48</v>
      </c>
      <c r="K1492" s="11">
        <f>data!J1492</f>
        <v>96</v>
      </c>
      <c r="L1492" s="11">
        <f t="shared" si="93"/>
        <v>-48</v>
      </c>
      <c r="M1492" s="9">
        <f t="shared" si="94"/>
        <v>-0.48181818181818181</v>
      </c>
      <c r="N1492" s="9">
        <f t="shared" si="95"/>
        <v>-0.5</v>
      </c>
    </row>
    <row r="1493" spans="1:14" x14ac:dyDescent="0.25">
      <c r="A1493" t="str">
        <f>TEXT("1/"&amp;data!A1493,"mmmm")</f>
        <v>juin</v>
      </c>
      <c r="B1493">
        <f>data!B1493</f>
        <v>2016</v>
      </c>
      <c r="C1493" t="str">
        <f>data!C1493</f>
        <v>011</v>
      </c>
      <c r="D1493" t="str">
        <f>data!D1493</f>
        <v>CAVE GAUTIER</v>
      </c>
      <c r="E1493" t="str">
        <f>data!E1493</f>
        <v>011005</v>
      </c>
      <c r="F1493" t="str">
        <f>data!F1493</f>
        <v>AC VOUVRAY C. ANTIQUE D.CHATAIGNERAIE</v>
      </c>
      <c r="G1493" s="10">
        <f>data!G1493</f>
        <v>538.91999999999996</v>
      </c>
      <c r="H1493" s="10">
        <f>data!I1493</f>
        <v>323.39999999999998</v>
      </c>
      <c r="I1493" s="10">
        <f t="shared" si="92"/>
        <v>215.51999999999998</v>
      </c>
      <c r="J1493" s="11">
        <f>data!H1493</f>
        <v>108</v>
      </c>
      <c r="K1493" s="11">
        <f>data!J1493</f>
        <v>66</v>
      </c>
      <c r="L1493" s="11">
        <f t="shared" si="93"/>
        <v>42</v>
      </c>
      <c r="M1493" s="9">
        <f t="shared" si="94"/>
        <v>0.6664192949907235</v>
      </c>
      <c r="N1493" s="9">
        <f t="shared" si="95"/>
        <v>0.63636363636363635</v>
      </c>
    </row>
    <row r="1494" spans="1:14" x14ac:dyDescent="0.25">
      <c r="A1494" t="str">
        <f>TEXT("1/"&amp;data!A1494,"mmmm")</f>
        <v>juin</v>
      </c>
      <c r="B1494">
        <f>data!B1494</f>
        <v>2016</v>
      </c>
      <c r="C1494" t="str">
        <f>data!C1494</f>
        <v>011</v>
      </c>
      <c r="D1494" t="str">
        <f>data!D1494</f>
        <v>CAVE GAUTIER</v>
      </c>
      <c r="E1494" t="str">
        <f>data!E1494</f>
        <v>011006</v>
      </c>
      <c r="F1494" t="str">
        <f>data!F1494</f>
        <v>AC VOUVRAY ARGILEX</v>
      </c>
      <c r="G1494" s="10">
        <f>data!G1494</f>
        <v>28.2</v>
      </c>
      <c r="H1494" s="10">
        <f>data!I1494</f>
        <v>269.39999999999998</v>
      </c>
      <c r="I1494" s="10">
        <f t="shared" si="92"/>
        <v>-241.2</v>
      </c>
      <c r="J1494" s="11">
        <f>data!H1494</f>
        <v>6</v>
      </c>
      <c r="K1494" s="11">
        <f>data!J1494</f>
        <v>60</v>
      </c>
      <c r="L1494" s="11">
        <f t="shared" si="93"/>
        <v>-54</v>
      </c>
      <c r="M1494" s="9">
        <f t="shared" si="94"/>
        <v>-0.89532293986636979</v>
      </c>
      <c r="N1494" s="9">
        <f t="shared" si="95"/>
        <v>-0.9</v>
      </c>
    </row>
    <row r="1495" spans="1:14" x14ac:dyDescent="0.25">
      <c r="A1495" t="str">
        <f>TEXT("1/"&amp;data!A1495,"mmmm")</f>
        <v>juin</v>
      </c>
      <c r="B1495">
        <f>data!B1495</f>
        <v>2016</v>
      </c>
      <c r="C1495" t="str">
        <f>data!C1495</f>
        <v>019</v>
      </c>
      <c r="D1495" t="str">
        <f>data!D1495</f>
        <v>VIGNOBLES YON</v>
      </c>
      <c r="E1495" t="str">
        <f>data!E1495</f>
        <v>019003</v>
      </c>
      <c r="F1495" t="str">
        <f>data!F1495</f>
        <v>AC BDX SUP. CH LES HAUTS DE PEREY</v>
      </c>
      <c r="G1495" s="10">
        <f>data!G1495</f>
        <v>5299.5</v>
      </c>
      <c r="H1495" s="10">
        <f>data!I1495</f>
        <v>3813.3</v>
      </c>
      <c r="I1495" s="10">
        <f t="shared" si="92"/>
        <v>1486.1999999999998</v>
      </c>
      <c r="J1495" s="11">
        <f>data!H1495</f>
        <v>2382</v>
      </c>
      <c r="K1495" s="11">
        <f>data!J1495</f>
        <v>1716</v>
      </c>
      <c r="L1495" s="11">
        <f t="shared" si="93"/>
        <v>666</v>
      </c>
      <c r="M1495" s="9">
        <f t="shared" si="94"/>
        <v>0.38974116906616307</v>
      </c>
      <c r="N1495" s="9">
        <f t="shared" si="95"/>
        <v>0.38811188811188813</v>
      </c>
    </row>
    <row r="1496" spans="1:14" x14ac:dyDescent="0.25">
      <c r="A1496" t="str">
        <f>TEXT("1/"&amp;data!A1496,"mmmm")</f>
        <v>juin</v>
      </c>
      <c r="B1496">
        <f>data!B1496</f>
        <v>2016</v>
      </c>
      <c r="C1496" t="str">
        <f>data!C1496</f>
        <v>019</v>
      </c>
      <c r="D1496" t="str">
        <f>data!D1496</f>
        <v>VIGNOBLES YON</v>
      </c>
      <c r="E1496" t="str">
        <f>data!E1496</f>
        <v>019004</v>
      </c>
      <c r="F1496" t="str">
        <f>data!F1496</f>
        <v>AC BDX SUP. CH LES HAUTS DE PEREY</v>
      </c>
      <c r="G1496" s="10">
        <f>data!G1496</f>
        <v>87.6</v>
      </c>
      <c r="H1496" s="10">
        <f>data!I1496</f>
        <v>17.399999999999999</v>
      </c>
      <c r="I1496" s="10">
        <f t="shared" si="92"/>
        <v>70.199999999999989</v>
      </c>
      <c r="J1496" s="11">
        <f>data!H1496</f>
        <v>30</v>
      </c>
      <c r="K1496" s="11">
        <f>data!J1496</f>
        <v>12</v>
      </c>
      <c r="L1496" s="11">
        <f t="shared" si="93"/>
        <v>18</v>
      </c>
      <c r="M1496" s="9">
        <f t="shared" si="94"/>
        <v>4.0344827586206895</v>
      </c>
      <c r="N1496" s="9">
        <f t="shared" si="95"/>
        <v>1.5</v>
      </c>
    </row>
    <row r="1497" spans="1:14" x14ac:dyDescent="0.25">
      <c r="A1497" t="str">
        <f>TEXT("1/"&amp;data!A1497,"mmmm")</f>
        <v>juin</v>
      </c>
      <c r="B1497">
        <f>data!B1497</f>
        <v>2016</v>
      </c>
      <c r="C1497" t="str">
        <f>data!C1497</f>
        <v>019</v>
      </c>
      <c r="D1497" t="str">
        <f>data!D1497</f>
        <v>VIGNOBLES YON</v>
      </c>
      <c r="E1497" t="str">
        <f>data!E1497</f>
        <v>019008</v>
      </c>
      <c r="F1497" t="str">
        <f>data!F1497</f>
        <v>AC BDX. CH LES HAUTS DE PEREY</v>
      </c>
      <c r="G1497" s="10">
        <f>data!G1497</f>
        <v>851.4</v>
      </c>
      <c r="H1497" s="10">
        <f>data!I1497</f>
        <v>791.3</v>
      </c>
      <c r="I1497" s="10">
        <f t="shared" si="92"/>
        <v>60.100000000000023</v>
      </c>
      <c r="J1497" s="11">
        <f>data!H1497</f>
        <v>573.19000000000005</v>
      </c>
      <c r="K1497" s="11">
        <f>data!J1497</f>
        <v>546.53</v>
      </c>
      <c r="L1497" s="11">
        <f t="shared" si="93"/>
        <v>26.660000000000082</v>
      </c>
      <c r="M1497" s="9">
        <f t="shared" si="94"/>
        <v>7.5950966763553673E-2</v>
      </c>
      <c r="N1497" s="9">
        <f t="shared" si="95"/>
        <v>4.8780487804878203E-2</v>
      </c>
    </row>
    <row r="1498" spans="1:14" x14ac:dyDescent="0.25">
      <c r="A1498" t="str">
        <f>TEXT("1/"&amp;data!A1498,"mmmm")</f>
        <v>juin</v>
      </c>
      <c r="B1498">
        <f>data!B1498</f>
        <v>2016</v>
      </c>
      <c r="C1498" t="str">
        <f>data!C1498</f>
        <v>019</v>
      </c>
      <c r="D1498" t="str">
        <f>data!D1498</f>
        <v>VIGNOBLES YON</v>
      </c>
      <c r="E1498" t="str">
        <f>data!E1498</f>
        <v>019009</v>
      </c>
      <c r="F1498" t="str">
        <f>data!F1498</f>
        <v>AC BDX. CH LES HAUTS DE PEREY</v>
      </c>
      <c r="G1498" s="10">
        <f>data!G1498</f>
        <v>638.4</v>
      </c>
      <c r="H1498" s="10">
        <f>data!I1498</f>
        <v>451</v>
      </c>
      <c r="I1498" s="10">
        <f t="shared" si="92"/>
        <v>187.39999999999998</v>
      </c>
      <c r="J1498" s="11">
        <f>data!H1498</f>
        <v>393.53</v>
      </c>
      <c r="K1498" s="11">
        <f>data!J1498</f>
        <v>286.81</v>
      </c>
      <c r="L1498" s="11">
        <f t="shared" si="93"/>
        <v>106.71999999999997</v>
      </c>
      <c r="M1498" s="9">
        <f t="shared" si="94"/>
        <v>0.41552106430155206</v>
      </c>
      <c r="N1498" s="9">
        <f t="shared" si="95"/>
        <v>0.37209302325581384</v>
      </c>
    </row>
    <row r="1499" spans="1:14" x14ac:dyDescent="0.25">
      <c r="A1499" t="str">
        <f>TEXT("1/"&amp;data!A1499,"mmmm")</f>
        <v>juin</v>
      </c>
      <c r="B1499">
        <f>data!B1499</f>
        <v>2016</v>
      </c>
      <c r="C1499" t="str">
        <f>data!C1499</f>
        <v>019</v>
      </c>
      <c r="D1499" t="str">
        <f>data!D1499</f>
        <v>VIGNOBLES YON</v>
      </c>
      <c r="E1499" t="str">
        <f>data!E1499</f>
        <v>019011</v>
      </c>
      <c r="F1499" t="str">
        <f>data!F1499</f>
        <v>AC BX SUP. CH GAURY-BALETTE</v>
      </c>
      <c r="G1499" s="10">
        <f>data!G1499</f>
        <v>163.19999999999999</v>
      </c>
      <c r="H1499" s="10">
        <f>data!I1499</f>
        <v>129.6</v>
      </c>
      <c r="I1499" s="10">
        <f t="shared" si="92"/>
        <v>33.599999999999994</v>
      </c>
      <c r="J1499" s="11">
        <f>data!H1499</f>
        <v>60</v>
      </c>
      <c r="K1499" s="11">
        <f>data!J1499</f>
        <v>48</v>
      </c>
      <c r="L1499" s="11">
        <f t="shared" si="93"/>
        <v>12</v>
      </c>
      <c r="M1499" s="9">
        <f t="shared" si="94"/>
        <v>0.25925925925925924</v>
      </c>
      <c r="N1499" s="9">
        <f t="shared" si="95"/>
        <v>0.25</v>
      </c>
    </row>
    <row r="1500" spans="1:14" x14ac:dyDescent="0.25">
      <c r="A1500" t="str">
        <f>TEXT("1/"&amp;data!A1500,"mmmm")</f>
        <v>juin</v>
      </c>
      <c r="B1500">
        <f>data!B1500</f>
        <v>2016</v>
      </c>
      <c r="C1500" t="str">
        <f>data!C1500</f>
        <v>019</v>
      </c>
      <c r="D1500" t="str">
        <f>data!D1500</f>
        <v>VIGNOBLES YON</v>
      </c>
      <c r="E1500" t="str">
        <f>data!E1500</f>
        <v>019012</v>
      </c>
      <c r="F1500" t="str">
        <f>data!F1500</f>
        <v>AC BDX SUP. CH GAURY BALETTE</v>
      </c>
      <c r="G1500" s="10">
        <f>data!G1500</f>
        <v>111.24</v>
      </c>
      <c r="H1500" s="10">
        <f>data!I1500</f>
        <v>0</v>
      </c>
      <c r="I1500" s="10">
        <f t="shared" si="92"/>
        <v>111.24</v>
      </c>
      <c r="J1500" s="11">
        <f>data!H1500</f>
        <v>36</v>
      </c>
      <c r="K1500" s="11">
        <f>data!J1500</f>
        <v>0</v>
      </c>
      <c r="L1500" s="11">
        <f t="shared" si="93"/>
        <v>36</v>
      </c>
      <c r="M1500" s="9" t="str">
        <f t="shared" si="94"/>
        <v/>
      </c>
      <c r="N1500" s="9" t="str">
        <f t="shared" si="95"/>
        <v/>
      </c>
    </row>
    <row r="1501" spans="1:14" x14ac:dyDescent="0.25">
      <c r="A1501" t="str">
        <f>TEXT("1/"&amp;data!A1501,"mmmm")</f>
        <v>juin</v>
      </c>
      <c r="B1501">
        <f>data!B1501</f>
        <v>2016</v>
      </c>
      <c r="C1501" t="str">
        <f>data!C1501</f>
        <v>019</v>
      </c>
      <c r="D1501" t="str">
        <f>data!D1501</f>
        <v>VIGNOBLES YON</v>
      </c>
      <c r="E1501" t="str">
        <f>data!E1501</f>
        <v>019015</v>
      </c>
      <c r="F1501" t="str">
        <f>data!F1501</f>
        <v>AC E2MERS. CH GAURY-BALETTE</v>
      </c>
      <c r="G1501" s="10">
        <f>data!G1501</f>
        <v>193.2</v>
      </c>
      <c r="H1501" s="10">
        <f>data!I1501</f>
        <v>391.5</v>
      </c>
      <c r="I1501" s="10">
        <f t="shared" si="92"/>
        <v>-198.3</v>
      </c>
      <c r="J1501" s="11">
        <f>data!H1501</f>
        <v>84</v>
      </c>
      <c r="K1501" s="11">
        <f>data!J1501</f>
        <v>174</v>
      </c>
      <c r="L1501" s="11">
        <f t="shared" si="93"/>
        <v>-90</v>
      </c>
      <c r="M1501" s="9">
        <f t="shared" si="94"/>
        <v>-0.50651340996168581</v>
      </c>
      <c r="N1501" s="9">
        <f t="shared" si="95"/>
        <v>-0.51724137931034486</v>
      </c>
    </row>
    <row r="1502" spans="1:14" x14ac:dyDescent="0.25">
      <c r="A1502" t="str">
        <f>TEXT("1/"&amp;data!A1502,"mmmm")</f>
        <v>juin</v>
      </c>
      <c r="B1502">
        <f>data!B1502</f>
        <v>2016</v>
      </c>
      <c r="C1502" t="str">
        <f>data!C1502</f>
        <v>019</v>
      </c>
      <c r="D1502" t="str">
        <f>data!D1502</f>
        <v>VIGNOBLES YON</v>
      </c>
      <c r="E1502" t="str">
        <f>data!E1502</f>
        <v>019999</v>
      </c>
      <c r="F1502" t="str">
        <f>data!F1502</f>
        <v>TONNEAU DOMAINE YON</v>
      </c>
      <c r="G1502" s="10">
        <f>data!G1502</f>
        <v>50</v>
      </c>
      <c r="H1502" s="10">
        <f>data!I1502</f>
        <v>0</v>
      </c>
      <c r="I1502" s="10">
        <f t="shared" si="92"/>
        <v>50</v>
      </c>
      <c r="J1502" s="11">
        <f>data!H1502</f>
        <v>266.66000000000003</v>
      </c>
      <c r="K1502" s="11">
        <f>data!J1502</f>
        <v>0</v>
      </c>
      <c r="L1502" s="11">
        <f t="shared" si="93"/>
        <v>266.66000000000003</v>
      </c>
      <c r="M1502" s="9" t="str">
        <f t="shared" si="94"/>
        <v/>
      </c>
      <c r="N1502" s="9" t="str">
        <f t="shared" si="95"/>
        <v/>
      </c>
    </row>
    <row r="1503" spans="1:14" x14ac:dyDescent="0.25">
      <c r="A1503" t="str">
        <f>TEXT("1/"&amp;data!A1503,"mmmm")</f>
        <v>juin</v>
      </c>
      <c r="B1503">
        <f>data!B1503</f>
        <v>2016</v>
      </c>
      <c r="C1503" t="str">
        <f>data!C1503</f>
        <v>025</v>
      </c>
      <c r="D1503" t="str">
        <f>data!D1503</f>
        <v>COLLOVRAY &amp; TERRIER</v>
      </c>
      <c r="E1503" t="str">
        <f>data!E1503</f>
        <v>025001</v>
      </c>
      <c r="F1503" t="str">
        <f>data!F1503</f>
        <v>AC SAINT VERAN TRAD. COLLOVRAY&amp;TERRIER</v>
      </c>
      <c r="G1503" s="10">
        <f>data!G1503</f>
        <v>651.84</v>
      </c>
      <c r="H1503" s="10">
        <f>data!I1503</f>
        <v>1425.9</v>
      </c>
      <c r="I1503" s="10">
        <f t="shared" si="92"/>
        <v>-774.06000000000006</v>
      </c>
      <c r="J1503" s="11">
        <f>data!H1503</f>
        <v>96</v>
      </c>
      <c r="K1503" s="11">
        <f>data!J1503</f>
        <v>210</v>
      </c>
      <c r="L1503" s="11">
        <f t="shared" si="93"/>
        <v>-114</v>
      </c>
      <c r="M1503" s="9">
        <f t="shared" si="94"/>
        <v>-0.54285714285714282</v>
      </c>
      <c r="N1503" s="9">
        <f t="shared" si="95"/>
        <v>-0.54285714285714282</v>
      </c>
    </row>
    <row r="1504" spans="1:14" x14ac:dyDescent="0.25">
      <c r="A1504" t="str">
        <f>TEXT("1/"&amp;data!A1504,"mmmm")</f>
        <v>juin</v>
      </c>
      <c r="B1504">
        <f>data!B1504</f>
        <v>2016</v>
      </c>
      <c r="C1504" t="str">
        <f>data!C1504</f>
        <v>025</v>
      </c>
      <c r="D1504" t="str">
        <f>data!D1504</f>
        <v>COLLOVRAY &amp; TERRIER</v>
      </c>
      <c r="E1504" t="str">
        <f>data!E1504</f>
        <v>025010</v>
      </c>
      <c r="F1504" t="str">
        <f>data!F1504</f>
        <v>AC MACON VILL TRAD. COLLOVRAY &amp;</v>
      </c>
      <c r="G1504" s="10">
        <f>data!G1504</f>
        <v>299.7</v>
      </c>
      <c r="H1504" s="10">
        <f>data!I1504</f>
        <v>333</v>
      </c>
      <c r="I1504" s="10">
        <f t="shared" si="92"/>
        <v>-33.300000000000011</v>
      </c>
      <c r="J1504" s="11">
        <f>data!H1504</f>
        <v>54</v>
      </c>
      <c r="K1504" s="11">
        <f>data!J1504</f>
        <v>60</v>
      </c>
      <c r="L1504" s="11">
        <f t="shared" si="93"/>
        <v>-6</v>
      </c>
      <c r="M1504" s="9">
        <f t="shared" si="94"/>
        <v>-0.10000000000000003</v>
      </c>
      <c r="N1504" s="9">
        <f t="shared" si="95"/>
        <v>-0.1</v>
      </c>
    </row>
    <row r="1505" spans="1:14" x14ac:dyDescent="0.25">
      <c r="A1505" t="str">
        <f>TEXT("1/"&amp;data!A1505,"mmmm")</f>
        <v>juin</v>
      </c>
      <c r="B1505">
        <f>data!B1505</f>
        <v>2016</v>
      </c>
      <c r="C1505" t="str">
        <f>data!C1505</f>
        <v>025</v>
      </c>
      <c r="D1505" t="str">
        <f>data!D1505</f>
        <v>COLLOVRAY &amp; TERRIER</v>
      </c>
      <c r="E1505" t="str">
        <f>data!E1505</f>
        <v>025013</v>
      </c>
      <c r="F1505" t="str">
        <f>data!F1505</f>
        <v>AC MACON. VERGER DES FEUILLANTS</v>
      </c>
      <c r="G1505" s="10">
        <f>data!G1505</f>
        <v>320.10000000000002</v>
      </c>
      <c r="H1505" s="10">
        <f>data!I1505</f>
        <v>232.8</v>
      </c>
      <c r="I1505" s="10">
        <f t="shared" si="92"/>
        <v>87.300000000000011</v>
      </c>
      <c r="J1505" s="11">
        <f>data!H1505</f>
        <v>72</v>
      </c>
      <c r="K1505" s="11">
        <f>data!J1505</f>
        <v>48</v>
      </c>
      <c r="L1505" s="11">
        <f t="shared" si="93"/>
        <v>24</v>
      </c>
      <c r="M1505" s="9">
        <f t="shared" si="94"/>
        <v>0.37500000000000006</v>
      </c>
      <c r="N1505" s="9">
        <f t="shared" si="95"/>
        <v>0.5</v>
      </c>
    </row>
    <row r="1506" spans="1:14" x14ac:dyDescent="0.25">
      <c r="A1506" t="str">
        <f>TEXT("1/"&amp;data!A1506,"mmmm")</f>
        <v>juin</v>
      </c>
      <c r="B1506">
        <f>data!B1506</f>
        <v>2016</v>
      </c>
      <c r="C1506" t="str">
        <f>data!C1506</f>
        <v>025</v>
      </c>
      <c r="D1506" t="str">
        <f>data!D1506</f>
        <v>COLLOVRAY &amp; TERRIER</v>
      </c>
      <c r="E1506" t="str">
        <f>data!E1506</f>
        <v>025015</v>
      </c>
      <c r="F1506" t="str">
        <f>data!F1506</f>
        <v>VDP PINOT NOIR . D.D'ANTUGNIAC</v>
      </c>
      <c r="G1506" s="10">
        <f>data!G1506</f>
        <v>1394.12</v>
      </c>
      <c r="H1506" s="10">
        <f>data!I1506</f>
        <v>137.88</v>
      </c>
      <c r="I1506" s="10">
        <f t="shared" si="92"/>
        <v>1256.2399999999998</v>
      </c>
      <c r="J1506" s="11">
        <f>data!H1506</f>
        <v>384</v>
      </c>
      <c r="K1506" s="11">
        <f>data!J1506</f>
        <v>36</v>
      </c>
      <c r="L1506" s="11">
        <f t="shared" si="93"/>
        <v>348</v>
      </c>
      <c r="M1506" s="9">
        <f t="shared" si="94"/>
        <v>9.1111111111111107</v>
      </c>
      <c r="N1506" s="9">
        <f t="shared" si="95"/>
        <v>9.6666666666666661</v>
      </c>
    </row>
    <row r="1507" spans="1:14" x14ac:dyDescent="0.25">
      <c r="A1507" t="str">
        <f>TEXT("1/"&amp;data!A1507,"mmmm")</f>
        <v>juin</v>
      </c>
      <c r="B1507">
        <f>data!B1507</f>
        <v>2016</v>
      </c>
      <c r="C1507" t="str">
        <f>data!C1507</f>
        <v>025</v>
      </c>
      <c r="D1507" t="str">
        <f>data!D1507</f>
        <v>COLLOVRAY &amp; TERRIER</v>
      </c>
      <c r="E1507" t="str">
        <f>data!E1507</f>
        <v>025016</v>
      </c>
      <c r="F1507" t="str">
        <f>data!F1507</f>
        <v>VDP MERLOT. D.D'ANTUGNIAC</v>
      </c>
      <c r="G1507" s="10">
        <f>data!G1507</f>
        <v>204.12</v>
      </c>
      <c r="H1507" s="10">
        <f>data!I1507</f>
        <v>0</v>
      </c>
      <c r="I1507" s="10">
        <f t="shared" si="92"/>
        <v>204.12</v>
      </c>
      <c r="J1507" s="11">
        <f>data!H1507</f>
        <v>84</v>
      </c>
      <c r="K1507" s="11">
        <f>data!J1507</f>
        <v>0</v>
      </c>
      <c r="L1507" s="11">
        <f t="shared" si="93"/>
        <v>84</v>
      </c>
      <c r="M1507" s="9" t="str">
        <f t="shared" si="94"/>
        <v/>
      </c>
      <c r="N1507" s="9" t="str">
        <f t="shared" si="95"/>
        <v/>
      </c>
    </row>
    <row r="1508" spans="1:14" x14ac:dyDescent="0.25">
      <c r="A1508" t="str">
        <f>TEXT("1/"&amp;data!A1508,"mmmm")</f>
        <v>juin</v>
      </c>
      <c r="B1508">
        <f>data!B1508</f>
        <v>2016</v>
      </c>
      <c r="C1508" t="str">
        <f>data!C1508</f>
        <v>025</v>
      </c>
      <c r="D1508" t="str">
        <f>data!D1508</f>
        <v>COLLOVRAY &amp; TERRIER</v>
      </c>
      <c r="E1508" t="str">
        <f>data!E1508</f>
        <v>025021</v>
      </c>
      <c r="F1508" t="str">
        <f>data!F1508</f>
        <v>AC POUILLY-FUISSE. V.VIGNES</v>
      </c>
      <c r="G1508" s="10">
        <f>data!G1508</f>
        <v>1348.2</v>
      </c>
      <c r="H1508" s="10">
        <f>data!I1508</f>
        <v>898.8</v>
      </c>
      <c r="I1508" s="10">
        <f t="shared" si="92"/>
        <v>449.40000000000009</v>
      </c>
      <c r="J1508" s="11">
        <f>data!H1508</f>
        <v>126</v>
      </c>
      <c r="K1508" s="11">
        <f>data!J1508</f>
        <v>84</v>
      </c>
      <c r="L1508" s="11">
        <f t="shared" si="93"/>
        <v>42</v>
      </c>
      <c r="M1508" s="9">
        <f t="shared" si="94"/>
        <v>0.50000000000000011</v>
      </c>
      <c r="N1508" s="9">
        <f t="shared" si="95"/>
        <v>0.5</v>
      </c>
    </row>
    <row r="1509" spans="1:14" x14ac:dyDescent="0.25">
      <c r="A1509" t="str">
        <f>TEXT("1/"&amp;data!A1509,"mmmm")</f>
        <v>juin</v>
      </c>
      <c r="B1509">
        <f>data!B1509</f>
        <v>2016</v>
      </c>
      <c r="C1509" t="str">
        <f>data!C1509</f>
        <v>025</v>
      </c>
      <c r="D1509" t="str">
        <f>data!D1509</f>
        <v>COLLOVRAY &amp; TERRIER</v>
      </c>
      <c r="E1509" t="str">
        <f>data!E1509</f>
        <v>025026</v>
      </c>
      <c r="F1509" t="str">
        <f>data!F1509</f>
        <v>VDP CHARDONNAY. D.D'ANTUGNAC</v>
      </c>
      <c r="G1509" s="10">
        <f>data!G1509</f>
        <v>3872.96</v>
      </c>
      <c r="H1509" s="10">
        <f>data!I1509</f>
        <v>1477.44</v>
      </c>
      <c r="I1509" s="10">
        <f t="shared" si="92"/>
        <v>2395.52</v>
      </c>
      <c r="J1509" s="11">
        <f>data!H1509</f>
        <v>1350</v>
      </c>
      <c r="K1509" s="11">
        <f>data!J1509</f>
        <v>486</v>
      </c>
      <c r="L1509" s="11">
        <f t="shared" si="93"/>
        <v>864</v>
      </c>
      <c r="M1509" s="9">
        <f t="shared" si="94"/>
        <v>1.6213991769547325</v>
      </c>
      <c r="N1509" s="9">
        <f t="shared" si="95"/>
        <v>1.7777777777777777</v>
      </c>
    </row>
    <row r="1510" spans="1:14" x14ac:dyDescent="0.25">
      <c r="A1510" t="str">
        <f>TEXT("1/"&amp;data!A1510,"mmmm")</f>
        <v>juin</v>
      </c>
      <c r="B1510">
        <f>data!B1510</f>
        <v>2016</v>
      </c>
      <c r="C1510" t="str">
        <f>data!C1510</f>
        <v>025</v>
      </c>
      <c r="D1510" t="str">
        <f>data!D1510</f>
        <v>COLLOVRAY &amp; TERRIER</v>
      </c>
      <c r="E1510" t="str">
        <f>data!E1510</f>
        <v>025031</v>
      </c>
      <c r="F1510" t="str">
        <f>data!F1510</f>
        <v>AC LIMOUX. Terres Amoureuses D.D'ANTUGNAC</v>
      </c>
      <c r="G1510" s="10">
        <f>data!G1510</f>
        <v>1276.5</v>
      </c>
      <c r="H1510" s="10">
        <f>data!I1510</f>
        <v>434.46</v>
      </c>
      <c r="I1510" s="10">
        <f t="shared" si="92"/>
        <v>842.04</v>
      </c>
      <c r="J1510" s="11">
        <f>data!H1510</f>
        <v>246</v>
      </c>
      <c r="K1510" s="11">
        <f>data!J1510</f>
        <v>84</v>
      </c>
      <c r="L1510" s="11">
        <f t="shared" si="93"/>
        <v>162</v>
      </c>
      <c r="M1510" s="9">
        <f t="shared" si="94"/>
        <v>1.9381300925286562</v>
      </c>
      <c r="N1510" s="9">
        <f t="shared" si="95"/>
        <v>1.9285714285714286</v>
      </c>
    </row>
    <row r="1511" spans="1:14" x14ac:dyDescent="0.25">
      <c r="A1511" t="str">
        <f>TEXT("1/"&amp;data!A1511,"mmmm")</f>
        <v>juin</v>
      </c>
      <c r="B1511">
        <f>data!B1511</f>
        <v>2016</v>
      </c>
      <c r="C1511" t="str">
        <f>data!C1511</f>
        <v>025</v>
      </c>
      <c r="D1511" t="str">
        <f>data!D1511</f>
        <v>COLLOVRAY &amp; TERRIER</v>
      </c>
      <c r="E1511" t="str">
        <f>data!E1511</f>
        <v>025033</v>
      </c>
      <c r="F1511" t="str">
        <f>data!F1511</f>
        <v>AC LIMOUX Aux Bons Hommes D.D'ANTUGNAC</v>
      </c>
      <c r="G1511" s="10">
        <f>data!G1511</f>
        <v>977.04</v>
      </c>
      <c r="H1511" s="10">
        <f>data!I1511</f>
        <v>322.92</v>
      </c>
      <c r="I1511" s="10">
        <f t="shared" si="92"/>
        <v>654.11999999999989</v>
      </c>
      <c r="J1511" s="11">
        <f>data!H1511</f>
        <v>252</v>
      </c>
      <c r="K1511" s="11">
        <f>data!J1511</f>
        <v>78</v>
      </c>
      <c r="L1511" s="11">
        <f t="shared" si="93"/>
        <v>174</v>
      </c>
      <c r="M1511" s="9">
        <f t="shared" si="94"/>
        <v>2.0256410256410251</v>
      </c>
      <c r="N1511" s="9">
        <f t="shared" si="95"/>
        <v>2.2307692307692308</v>
      </c>
    </row>
    <row r="1512" spans="1:14" x14ac:dyDescent="0.25">
      <c r="A1512" t="str">
        <f>TEXT("1/"&amp;data!A1512,"mmmm")</f>
        <v>juin</v>
      </c>
      <c r="B1512">
        <f>data!B1512</f>
        <v>2016</v>
      </c>
      <c r="C1512" t="str">
        <f>data!C1512</f>
        <v>028</v>
      </c>
      <c r="D1512" t="str">
        <f>data!D1512</f>
        <v>VIGNOBLES DUBOIS ET FILS</v>
      </c>
      <c r="E1512" t="str">
        <f>data!E1512</f>
        <v>028001</v>
      </c>
      <c r="F1512" t="str">
        <f>data!F1512</f>
        <v>AC 1ERES C.DE BLAYE. TRADITION  CH L.BERTRANDS</v>
      </c>
      <c r="G1512" s="10">
        <f>data!G1512</f>
        <v>936</v>
      </c>
      <c r="H1512" s="10">
        <f>data!I1512</f>
        <v>1677</v>
      </c>
      <c r="I1512" s="10">
        <f t="shared" si="92"/>
        <v>-741</v>
      </c>
      <c r="J1512" s="11">
        <f>data!H1512</f>
        <v>294</v>
      </c>
      <c r="K1512" s="11">
        <f>data!J1512</f>
        <v>516</v>
      </c>
      <c r="L1512" s="11">
        <f t="shared" si="93"/>
        <v>-222</v>
      </c>
      <c r="M1512" s="9">
        <f t="shared" si="94"/>
        <v>-0.44186046511627908</v>
      </c>
      <c r="N1512" s="9">
        <f t="shared" si="95"/>
        <v>-0.43023255813953487</v>
      </c>
    </row>
    <row r="1513" spans="1:14" x14ac:dyDescent="0.25">
      <c r="A1513" t="str">
        <f>TEXT("1/"&amp;data!A1513,"mmmm")</f>
        <v>juin</v>
      </c>
      <c r="B1513">
        <f>data!B1513</f>
        <v>2016</v>
      </c>
      <c r="C1513" t="str">
        <f>data!C1513</f>
        <v>028</v>
      </c>
      <c r="D1513" t="str">
        <f>data!D1513</f>
        <v>VIGNOBLES DUBOIS ET FILS</v>
      </c>
      <c r="E1513" t="str">
        <f>data!E1513</f>
        <v>028005</v>
      </c>
      <c r="F1513" t="str">
        <f>data!F1513</f>
        <v>AC 1ERES C.BLAYE TRAD. CH L.BERTRANDS</v>
      </c>
      <c r="G1513" s="10">
        <f>data!G1513</f>
        <v>117.6</v>
      </c>
      <c r="H1513" s="10">
        <f>data!I1513</f>
        <v>235.2</v>
      </c>
      <c r="I1513" s="10">
        <f t="shared" si="92"/>
        <v>-117.6</v>
      </c>
      <c r="J1513" s="11">
        <f>data!H1513</f>
        <v>42</v>
      </c>
      <c r="K1513" s="11">
        <f>data!J1513</f>
        <v>84</v>
      </c>
      <c r="L1513" s="11">
        <f t="shared" si="93"/>
        <v>-42</v>
      </c>
      <c r="M1513" s="9">
        <f t="shared" si="94"/>
        <v>-0.5</v>
      </c>
      <c r="N1513" s="9">
        <f t="shared" si="95"/>
        <v>-0.5</v>
      </c>
    </row>
    <row r="1514" spans="1:14" x14ac:dyDescent="0.25">
      <c r="A1514" t="str">
        <f>TEXT("1/"&amp;data!A1514,"mmmm")</f>
        <v>juin</v>
      </c>
      <c r="B1514">
        <f>data!B1514</f>
        <v>2016</v>
      </c>
      <c r="C1514" t="str">
        <f>data!C1514</f>
        <v>028</v>
      </c>
      <c r="D1514" t="str">
        <f>data!D1514</f>
        <v>VIGNOBLES DUBOIS ET FILS</v>
      </c>
      <c r="E1514" t="str">
        <f>data!E1514</f>
        <v>028007</v>
      </c>
      <c r="F1514" t="str">
        <f>data!F1514</f>
        <v>AC 1ERES C BLAYE TRAD. CH L.BERTRANDS</v>
      </c>
      <c r="G1514" s="10">
        <f>data!G1514</f>
        <v>342</v>
      </c>
      <c r="H1514" s="10">
        <f>data!I1514</f>
        <v>632.79999999999995</v>
      </c>
      <c r="I1514" s="10">
        <f t="shared" si="92"/>
        <v>-290.79999999999995</v>
      </c>
      <c r="J1514" s="11">
        <f>data!H1514</f>
        <v>213.28</v>
      </c>
      <c r="K1514" s="11">
        <f>data!J1514</f>
        <v>373.24</v>
      </c>
      <c r="L1514" s="11">
        <f t="shared" si="93"/>
        <v>-159.96</v>
      </c>
      <c r="M1514" s="9">
        <f t="shared" si="94"/>
        <v>-0.45954487989886217</v>
      </c>
      <c r="N1514" s="9">
        <f t="shared" si="95"/>
        <v>-0.4285714285714286</v>
      </c>
    </row>
    <row r="1515" spans="1:14" x14ac:dyDescent="0.25">
      <c r="A1515" t="str">
        <f>TEXT("1/"&amp;data!A1515,"mmmm")</f>
        <v>juin</v>
      </c>
      <c r="B1515">
        <f>data!B1515</f>
        <v>2016</v>
      </c>
      <c r="C1515" t="str">
        <f>data!C1515</f>
        <v>028</v>
      </c>
      <c r="D1515" t="str">
        <f>data!D1515</f>
        <v>VIGNOBLES DUBOIS ET FILS</v>
      </c>
      <c r="E1515" t="str">
        <f>data!E1515</f>
        <v>028008</v>
      </c>
      <c r="F1515" t="str">
        <f>data!F1515</f>
        <v>AC C. DE BLAYE CH L.BERTRANDS</v>
      </c>
      <c r="G1515" s="10">
        <f>data!G1515</f>
        <v>270</v>
      </c>
      <c r="H1515" s="10">
        <f>data!I1515</f>
        <v>678.3</v>
      </c>
      <c r="I1515" s="10">
        <f t="shared" si="92"/>
        <v>-408.29999999999995</v>
      </c>
      <c r="J1515" s="11">
        <f>data!H1515</f>
        <v>133.4</v>
      </c>
      <c r="K1515" s="11">
        <f>data!J1515</f>
        <v>353.51</v>
      </c>
      <c r="L1515" s="11">
        <f t="shared" si="93"/>
        <v>-220.10999999999999</v>
      </c>
      <c r="M1515" s="9">
        <f t="shared" si="94"/>
        <v>-0.60194604157452447</v>
      </c>
      <c r="N1515" s="9">
        <f t="shared" si="95"/>
        <v>-0.62264150943396224</v>
      </c>
    </row>
    <row r="1516" spans="1:14" x14ac:dyDescent="0.25">
      <c r="A1516" t="str">
        <f>TEXT("1/"&amp;data!A1516,"mmmm")</f>
        <v>juin</v>
      </c>
      <c r="B1516">
        <f>data!B1516</f>
        <v>2016</v>
      </c>
      <c r="C1516" t="str">
        <f>data!C1516</f>
        <v>028</v>
      </c>
      <c r="D1516" t="str">
        <f>data!D1516</f>
        <v>VIGNOBLES DUBOIS ET FILS</v>
      </c>
      <c r="E1516" t="str">
        <f>data!E1516</f>
        <v>028013</v>
      </c>
      <c r="F1516" t="str">
        <f>data!F1516</f>
        <v>AC 1ERES COTES DE BLAYE PRESTIGE</v>
      </c>
      <c r="G1516" s="10">
        <f>data!G1516</f>
        <v>801</v>
      </c>
      <c r="H1516" s="10">
        <f>data!I1516</f>
        <v>614.1</v>
      </c>
      <c r="I1516" s="10">
        <f t="shared" si="92"/>
        <v>186.89999999999998</v>
      </c>
      <c r="J1516" s="11">
        <f>data!H1516</f>
        <v>180</v>
      </c>
      <c r="K1516" s="11">
        <f>data!J1516</f>
        <v>138</v>
      </c>
      <c r="L1516" s="11">
        <f t="shared" si="93"/>
        <v>42</v>
      </c>
      <c r="M1516" s="9">
        <f t="shared" si="94"/>
        <v>0.30434782608695649</v>
      </c>
      <c r="N1516" s="9">
        <f t="shared" si="95"/>
        <v>0.30434782608695654</v>
      </c>
    </row>
    <row r="1517" spans="1:14" x14ac:dyDescent="0.25">
      <c r="A1517" t="str">
        <f>TEXT("1/"&amp;data!A1517,"mmmm")</f>
        <v>juin</v>
      </c>
      <c r="B1517">
        <f>data!B1517</f>
        <v>2016</v>
      </c>
      <c r="C1517" t="str">
        <f>data!C1517</f>
        <v>029</v>
      </c>
      <c r="D1517" t="str">
        <f>data!D1517</f>
        <v>DOMAINE DE BELLE MARE</v>
      </c>
      <c r="E1517" t="str">
        <f>data!E1517</f>
        <v>029015</v>
      </c>
      <c r="F1517" t="str">
        <f>data!F1517</f>
        <v>DME BELLE MARE VDPOC CHARDONNAY</v>
      </c>
      <c r="G1517" s="10">
        <f>data!G1517</f>
        <v>28.8</v>
      </c>
      <c r="H1517" s="10">
        <f>data!I1517</f>
        <v>14.4</v>
      </c>
      <c r="I1517" s="10">
        <f t="shared" si="92"/>
        <v>14.4</v>
      </c>
      <c r="J1517" s="11">
        <f>data!H1517</f>
        <v>12</v>
      </c>
      <c r="K1517" s="11">
        <f>data!J1517</f>
        <v>6</v>
      </c>
      <c r="L1517" s="11">
        <f t="shared" si="93"/>
        <v>6</v>
      </c>
      <c r="M1517" s="9">
        <f t="shared" si="94"/>
        <v>1</v>
      </c>
      <c r="N1517" s="9">
        <f t="shared" si="95"/>
        <v>1</v>
      </c>
    </row>
    <row r="1518" spans="1:14" x14ac:dyDescent="0.25">
      <c r="A1518" t="str">
        <f>TEXT("1/"&amp;data!A1518,"mmmm")</f>
        <v>juin</v>
      </c>
      <c r="B1518">
        <f>data!B1518</f>
        <v>2016</v>
      </c>
      <c r="C1518" t="str">
        <f>data!C1518</f>
        <v>035</v>
      </c>
      <c r="D1518" t="str">
        <f>data!D1518</f>
        <v>DOMAINE OLIVIER</v>
      </c>
      <c r="E1518" t="str">
        <f>data!E1518</f>
        <v>035001</v>
      </c>
      <c r="F1518" t="str">
        <f>data!F1518</f>
        <v>AC ST NICOLAS DE BOURG D.OLIVIER</v>
      </c>
      <c r="G1518" s="10">
        <f>data!G1518</f>
        <v>2170.56</v>
      </c>
      <c r="H1518" s="10">
        <f>data!I1518</f>
        <v>1512</v>
      </c>
      <c r="I1518" s="10">
        <f t="shared" si="92"/>
        <v>658.56</v>
      </c>
      <c r="J1518" s="11">
        <f>data!H1518</f>
        <v>558</v>
      </c>
      <c r="K1518" s="11">
        <f>data!J1518</f>
        <v>384</v>
      </c>
      <c r="L1518" s="11">
        <f t="shared" si="93"/>
        <v>174</v>
      </c>
      <c r="M1518" s="9">
        <f t="shared" si="94"/>
        <v>0.43555555555555553</v>
      </c>
      <c r="N1518" s="9">
        <f t="shared" si="95"/>
        <v>0.453125</v>
      </c>
    </row>
    <row r="1519" spans="1:14" x14ac:dyDescent="0.25">
      <c r="A1519" t="str">
        <f>TEXT("1/"&amp;data!A1519,"mmmm")</f>
        <v>juin</v>
      </c>
      <c r="B1519">
        <f>data!B1519</f>
        <v>2016</v>
      </c>
      <c r="C1519" t="str">
        <f>data!C1519</f>
        <v>035</v>
      </c>
      <c r="D1519" t="str">
        <f>data!D1519</f>
        <v>DOMAINE OLIVIER</v>
      </c>
      <c r="E1519" t="str">
        <f>data!E1519</f>
        <v>035002</v>
      </c>
      <c r="F1519" t="str">
        <f>data!F1519</f>
        <v>AC ST NICOLAS DE BOURG D.OLIVIER</v>
      </c>
      <c r="G1519" s="10">
        <f>data!G1519</f>
        <v>728.64</v>
      </c>
      <c r="H1519" s="10">
        <f>data!I1519</f>
        <v>150</v>
      </c>
      <c r="I1519" s="10">
        <f t="shared" si="92"/>
        <v>578.64</v>
      </c>
      <c r="J1519" s="11">
        <f>data!H1519</f>
        <v>144</v>
      </c>
      <c r="K1519" s="11">
        <f>data!J1519</f>
        <v>30</v>
      </c>
      <c r="L1519" s="11">
        <f t="shared" si="93"/>
        <v>114</v>
      </c>
      <c r="M1519" s="9">
        <f t="shared" si="94"/>
        <v>3.8575999999999997</v>
      </c>
      <c r="N1519" s="9">
        <f t="shared" si="95"/>
        <v>3.8</v>
      </c>
    </row>
    <row r="1520" spans="1:14" x14ac:dyDescent="0.25">
      <c r="A1520" t="str">
        <f>TEXT("1/"&amp;data!A1520,"mmmm")</f>
        <v>juin</v>
      </c>
      <c r="B1520">
        <f>data!B1520</f>
        <v>2016</v>
      </c>
      <c r="C1520" t="str">
        <f>data!C1520</f>
        <v>035</v>
      </c>
      <c r="D1520" t="str">
        <f>data!D1520</f>
        <v>DOMAINE OLIVIER</v>
      </c>
      <c r="E1520" t="str">
        <f>data!E1520</f>
        <v>035010</v>
      </c>
      <c r="F1520" t="str">
        <f>data!F1520</f>
        <v>AC BOURGUEIL V.VIGNES D.OLIVIER</v>
      </c>
      <c r="G1520" s="10">
        <f>data!G1520</f>
        <v>786.24</v>
      </c>
      <c r="H1520" s="10">
        <f>data!I1520</f>
        <v>514.08000000000004</v>
      </c>
      <c r="I1520" s="10">
        <f t="shared" si="92"/>
        <v>272.15999999999997</v>
      </c>
      <c r="J1520" s="11">
        <f>data!H1520</f>
        <v>222</v>
      </c>
      <c r="K1520" s="11">
        <f>data!J1520</f>
        <v>150</v>
      </c>
      <c r="L1520" s="11">
        <f t="shared" si="93"/>
        <v>72</v>
      </c>
      <c r="M1520" s="9">
        <f t="shared" si="94"/>
        <v>0.52941176470588225</v>
      </c>
      <c r="N1520" s="9">
        <f t="shared" si="95"/>
        <v>0.48</v>
      </c>
    </row>
    <row r="1521" spans="1:14" x14ac:dyDescent="0.25">
      <c r="A1521" t="str">
        <f>TEXT("1/"&amp;data!A1521,"mmmm")</f>
        <v>juin</v>
      </c>
      <c r="B1521">
        <f>data!B1521</f>
        <v>2016</v>
      </c>
      <c r="C1521" t="str">
        <f>data!C1521</f>
        <v>036</v>
      </c>
      <c r="D1521" t="str">
        <f>data!D1521</f>
        <v>CASTELBARRY</v>
      </c>
      <c r="E1521" t="str">
        <f>data!E1521</f>
        <v>036001</v>
      </c>
      <c r="F1521" t="str">
        <f>data!F1521</f>
        <v>AC CTX DU LANG .COL DU VENT</v>
      </c>
      <c r="G1521" s="10">
        <f>data!G1521</f>
        <v>177</v>
      </c>
      <c r="H1521" s="10">
        <f>data!I1521</f>
        <v>453.6</v>
      </c>
      <c r="I1521" s="10">
        <f t="shared" si="92"/>
        <v>-276.60000000000002</v>
      </c>
      <c r="J1521" s="11">
        <f>data!H1521</f>
        <v>60</v>
      </c>
      <c r="K1521" s="11">
        <f>data!J1521</f>
        <v>162</v>
      </c>
      <c r="L1521" s="11">
        <f t="shared" si="93"/>
        <v>-102</v>
      </c>
      <c r="M1521" s="9">
        <f t="shared" si="94"/>
        <v>-0.60978835978835977</v>
      </c>
      <c r="N1521" s="9">
        <f t="shared" si="95"/>
        <v>-0.62962962962962965</v>
      </c>
    </row>
    <row r="1522" spans="1:14" x14ac:dyDescent="0.25">
      <c r="A1522" t="str">
        <f>TEXT("1/"&amp;data!A1522,"mmmm")</f>
        <v>juin</v>
      </c>
      <c r="B1522">
        <f>data!B1522</f>
        <v>2016</v>
      </c>
      <c r="C1522" t="str">
        <f>data!C1522</f>
        <v>036</v>
      </c>
      <c r="D1522" t="str">
        <f>data!D1522</f>
        <v>CASTELBARRY</v>
      </c>
      <c r="E1522" t="str">
        <f>data!E1522</f>
        <v>036010</v>
      </c>
      <c r="F1522" t="str">
        <f>data!F1522</f>
        <v>IGP SAINT GUILHEM LE DESERT GRENACHE</v>
      </c>
      <c r="G1522" s="10">
        <f>data!G1522</f>
        <v>113.85</v>
      </c>
      <c r="H1522" s="10">
        <f>data!I1522</f>
        <v>148.80000000000001</v>
      </c>
      <c r="I1522" s="10">
        <f t="shared" si="92"/>
        <v>-34.950000000000017</v>
      </c>
      <c r="J1522" s="11">
        <f>data!H1522</f>
        <v>119.97</v>
      </c>
      <c r="K1522" s="11">
        <f>data!J1522</f>
        <v>159.96</v>
      </c>
      <c r="L1522" s="11">
        <f t="shared" si="93"/>
        <v>-39.990000000000009</v>
      </c>
      <c r="M1522" s="9">
        <f t="shared" si="94"/>
        <v>-0.23487903225806461</v>
      </c>
      <c r="N1522" s="9">
        <f t="shared" si="95"/>
        <v>-0.25000000000000006</v>
      </c>
    </row>
    <row r="1523" spans="1:14" x14ac:dyDescent="0.25">
      <c r="A1523" t="str">
        <f>TEXT("1/"&amp;data!A1523,"mmmm")</f>
        <v>juin</v>
      </c>
      <c r="B1523">
        <f>data!B1523</f>
        <v>2016</v>
      </c>
      <c r="C1523" t="str">
        <f>data!C1523</f>
        <v>036</v>
      </c>
      <c r="D1523" t="str">
        <f>data!D1523</f>
        <v>CASTELBARRY</v>
      </c>
      <c r="E1523" t="str">
        <f>data!E1523</f>
        <v>036011</v>
      </c>
      <c r="F1523" t="str">
        <f>data!F1523</f>
        <v>IGP ST GUILHEM LE DESERT</v>
      </c>
      <c r="G1523" s="10">
        <f>data!G1523</f>
        <v>44.1</v>
      </c>
      <c r="H1523" s="10">
        <f>data!I1523</f>
        <v>43.2</v>
      </c>
      <c r="I1523" s="10">
        <f t="shared" si="92"/>
        <v>0.89999999999999858</v>
      </c>
      <c r="J1523" s="11">
        <f>data!H1523</f>
        <v>53.36</v>
      </c>
      <c r="K1523" s="11">
        <f>data!J1523</f>
        <v>46.69</v>
      </c>
      <c r="L1523" s="11">
        <f t="shared" si="93"/>
        <v>6.6700000000000017</v>
      </c>
      <c r="M1523" s="9">
        <f t="shared" si="94"/>
        <v>2.0833333333333297E-2</v>
      </c>
      <c r="N1523" s="9">
        <f t="shared" si="95"/>
        <v>0.1428571428571429</v>
      </c>
    </row>
    <row r="1524" spans="1:14" x14ac:dyDescent="0.25">
      <c r="A1524" t="str">
        <f>TEXT("1/"&amp;data!A1524,"mmmm")</f>
        <v>juin</v>
      </c>
      <c r="B1524">
        <f>data!B1524</f>
        <v>2016</v>
      </c>
      <c r="C1524" t="str">
        <f>data!C1524</f>
        <v>037</v>
      </c>
      <c r="D1524" t="str">
        <f>data!D1524</f>
        <v>SARL RAFFAULT</v>
      </c>
      <c r="E1524" t="str">
        <f>data!E1524</f>
        <v>037003</v>
      </c>
      <c r="F1524" t="str">
        <f>data!F1524</f>
        <v>AC CHINON</v>
      </c>
      <c r="G1524" s="10">
        <f>data!G1524</f>
        <v>273.60000000000002</v>
      </c>
      <c r="H1524" s="10">
        <f>data!I1524</f>
        <v>244.2</v>
      </c>
      <c r="I1524" s="10">
        <f t="shared" si="92"/>
        <v>29.400000000000034</v>
      </c>
      <c r="J1524" s="11">
        <f>data!H1524</f>
        <v>78</v>
      </c>
      <c r="K1524" s="11">
        <f>data!J1524</f>
        <v>66</v>
      </c>
      <c r="L1524" s="11">
        <f t="shared" si="93"/>
        <v>12</v>
      </c>
      <c r="M1524" s="9">
        <f t="shared" si="94"/>
        <v>0.12039312039312054</v>
      </c>
      <c r="N1524" s="9">
        <f t="shared" si="95"/>
        <v>0.18181818181818182</v>
      </c>
    </row>
    <row r="1525" spans="1:14" x14ac:dyDescent="0.25">
      <c r="A1525" t="str">
        <f>TEXT("1/"&amp;data!A1525,"mmmm")</f>
        <v>juin</v>
      </c>
      <c r="B1525">
        <f>data!B1525</f>
        <v>2016</v>
      </c>
      <c r="C1525" t="str">
        <f>data!C1525</f>
        <v>037</v>
      </c>
      <c r="D1525" t="str">
        <f>data!D1525</f>
        <v>SARL RAFFAULT</v>
      </c>
      <c r="E1525" t="str">
        <f>data!E1525</f>
        <v>037005</v>
      </c>
      <c r="F1525" t="str">
        <f>data!F1525</f>
        <v>JM. RAFFAULT AC CHINON</v>
      </c>
      <c r="G1525" s="10">
        <f>data!G1525</f>
        <v>23.1</v>
      </c>
      <c r="H1525" s="10">
        <f>data!I1525</f>
        <v>133.19999999999999</v>
      </c>
      <c r="I1525" s="10">
        <f t="shared" si="92"/>
        <v>-110.1</v>
      </c>
      <c r="J1525" s="11">
        <f>data!H1525</f>
        <v>6</v>
      </c>
      <c r="K1525" s="11">
        <f>data!J1525</f>
        <v>36</v>
      </c>
      <c r="L1525" s="11">
        <f t="shared" si="93"/>
        <v>-30</v>
      </c>
      <c r="M1525" s="9">
        <f t="shared" si="94"/>
        <v>-0.82657657657657657</v>
      </c>
      <c r="N1525" s="9">
        <f t="shared" si="95"/>
        <v>-0.83333333333333337</v>
      </c>
    </row>
    <row r="1526" spans="1:14" x14ac:dyDescent="0.25">
      <c r="A1526" t="str">
        <f>TEXT("1/"&amp;data!A1526,"mmmm")</f>
        <v>juin</v>
      </c>
      <c r="B1526">
        <f>data!B1526</f>
        <v>2016</v>
      </c>
      <c r="C1526" t="str">
        <f>data!C1526</f>
        <v>037</v>
      </c>
      <c r="D1526" t="str">
        <f>data!D1526</f>
        <v>SARL RAFFAULT</v>
      </c>
      <c r="E1526" t="str">
        <f>data!E1526</f>
        <v>037010</v>
      </c>
      <c r="F1526" t="str">
        <f>data!F1526</f>
        <v>AC CHINON SEC</v>
      </c>
      <c r="G1526" s="10">
        <f>data!G1526</f>
        <v>370.5</v>
      </c>
      <c r="H1526" s="10">
        <f>data!I1526</f>
        <v>273</v>
      </c>
      <c r="I1526" s="10">
        <f t="shared" si="92"/>
        <v>97.5</v>
      </c>
      <c r="J1526" s="11">
        <f>data!H1526</f>
        <v>78</v>
      </c>
      <c r="K1526" s="11">
        <f>data!J1526</f>
        <v>66</v>
      </c>
      <c r="L1526" s="11">
        <f t="shared" si="93"/>
        <v>12</v>
      </c>
      <c r="M1526" s="9">
        <f t="shared" si="94"/>
        <v>0.35714285714285715</v>
      </c>
      <c r="N1526" s="9">
        <f t="shared" si="95"/>
        <v>0.18181818181818182</v>
      </c>
    </row>
    <row r="1527" spans="1:14" x14ac:dyDescent="0.25">
      <c r="A1527" t="str">
        <f>TEXT("1/"&amp;data!A1527,"mmmm")</f>
        <v>juin</v>
      </c>
      <c r="B1527">
        <f>data!B1527</f>
        <v>2016</v>
      </c>
      <c r="C1527" t="str">
        <f>data!C1527</f>
        <v>039</v>
      </c>
      <c r="D1527" t="str">
        <f>data!D1527</f>
        <v>LES VIGNERONS DES COTES D'AGLY</v>
      </c>
      <c r="E1527" t="str">
        <f>data!E1527</f>
        <v>039013</v>
      </c>
      <c r="F1527" t="str">
        <f>data!F1527</f>
        <v>AC C.DU ROUSSILLON .MONTNER PREM</v>
      </c>
      <c r="G1527" s="10">
        <f>data!G1527</f>
        <v>226.56</v>
      </c>
      <c r="H1527" s="10">
        <f>data!I1527</f>
        <v>79.92</v>
      </c>
      <c r="I1527" s="10">
        <f t="shared" si="92"/>
        <v>146.63999999999999</v>
      </c>
      <c r="J1527" s="11">
        <f>data!H1527</f>
        <v>48</v>
      </c>
      <c r="K1527" s="11">
        <f>data!J1527</f>
        <v>18</v>
      </c>
      <c r="L1527" s="11">
        <f t="shared" si="93"/>
        <v>30</v>
      </c>
      <c r="M1527" s="9">
        <f t="shared" si="94"/>
        <v>1.8348348348348347</v>
      </c>
      <c r="N1527" s="9">
        <f t="shared" si="95"/>
        <v>1.6666666666666667</v>
      </c>
    </row>
    <row r="1528" spans="1:14" x14ac:dyDescent="0.25">
      <c r="A1528" t="str">
        <f>TEXT("1/"&amp;data!A1528,"mmmm")</f>
        <v>juin</v>
      </c>
      <c r="B1528">
        <f>data!B1528</f>
        <v>2016</v>
      </c>
      <c r="C1528" t="str">
        <f>data!C1528</f>
        <v>039</v>
      </c>
      <c r="D1528" t="str">
        <f>data!D1528</f>
        <v>LES VIGNERONS DES COTES D'AGLY</v>
      </c>
      <c r="E1528" t="str">
        <f>data!E1528</f>
        <v>039017</v>
      </c>
      <c r="F1528" t="str">
        <f>data!F1528</f>
        <v>AC C.ROUSSILLON VILL ARAGO</v>
      </c>
      <c r="G1528" s="10">
        <f>data!G1528</f>
        <v>105</v>
      </c>
      <c r="H1528" s="10">
        <f>data!I1528</f>
        <v>84</v>
      </c>
      <c r="I1528" s="10">
        <f t="shared" si="92"/>
        <v>21</v>
      </c>
      <c r="J1528" s="11">
        <f>data!H1528</f>
        <v>30</v>
      </c>
      <c r="K1528" s="11">
        <f>data!J1528</f>
        <v>24</v>
      </c>
      <c r="L1528" s="11">
        <f t="shared" si="93"/>
        <v>6</v>
      </c>
      <c r="M1528" s="9">
        <f t="shared" si="94"/>
        <v>0.25</v>
      </c>
      <c r="N1528" s="9">
        <f t="shared" si="95"/>
        <v>0.25</v>
      </c>
    </row>
    <row r="1529" spans="1:14" x14ac:dyDescent="0.25">
      <c r="A1529" t="str">
        <f>TEXT("1/"&amp;data!A1529,"mmmm")</f>
        <v>juin</v>
      </c>
      <c r="B1529">
        <f>data!B1529</f>
        <v>2016</v>
      </c>
      <c r="C1529" t="str">
        <f>data!C1529</f>
        <v>039</v>
      </c>
      <c r="D1529" t="str">
        <f>data!D1529</f>
        <v>LES VIGNERONS DES COTES D'AGLY</v>
      </c>
      <c r="E1529" t="str">
        <f>data!E1529</f>
        <v>039018</v>
      </c>
      <c r="F1529" t="str">
        <f>data!F1529</f>
        <v>AC C. ROUSSILLON N D LAVAL</v>
      </c>
      <c r="G1529" s="10">
        <f>data!G1529</f>
        <v>366</v>
      </c>
      <c r="H1529" s="10">
        <f>data!I1529</f>
        <v>39.78</v>
      </c>
      <c r="I1529" s="10">
        <f t="shared" si="92"/>
        <v>326.22000000000003</v>
      </c>
      <c r="J1529" s="11">
        <f>data!H1529</f>
        <v>150</v>
      </c>
      <c r="K1529" s="11">
        <f>data!J1529</f>
        <v>18</v>
      </c>
      <c r="L1529" s="11">
        <f t="shared" si="93"/>
        <v>132</v>
      </c>
      <c r="M1529" s="9">
        <f t="shared" si="94"/>
        <v>8.2006033182503781</v>
      </c>
      <c r="N1529" s="9">
        <f t="shared" si="95"/>
        <v>7.333333333333333</v>
      </c>
    </row>
    <row r="1530" spans="1:14" x14ac:dyDescent="0.25">
      <c r="A1530" t="str">
        <f>TEXT("1/"&amp;data!A1530,"mmmm")</f>
        <v>juin</v>
      </c>
      <c r="B1530">
        <f>data!B1530</f>
        <v>2016</v>
      </c>
      <c r="C1530" t="str">
        <f>data!C1530</f>
        <v>039</v>
      </c>
      <c r="D1530" t="str">
        <f>data!D1530</f>
        <v>LES VIGNERONS DES COTES D'AGLY</v>
      </c>
      <c r="E1530" t="str">
        <f>data!E1530</f>
        <v>039028</v>
      </c>
      <c r="F1530" t="str">
        <f>data!F1530</f>
        <v>VDN MAURY</v>
      </c>
      <c r="G1530" s="10">
        <f>data!G1530</f>
        <v>450</v>
      </c>
      <c r="H1530" s="10">
        <f>data!I1530</f>
        <v>56.64</v>
      </c>
      <c r="I1530" s="10">
        <f t="shared" si="92"/>
        <v>393.36</v>
      </c>
      <c r="J1530" s="11">
        <f>data!H1530</f>
        <v>90</v>
      </c>
      <c r="K1530" s="11">
        <f>data!J1530</f>
        <v>12</v>
      </c>
      <c r="L1530" s="11">
        <f t="shared" si="93"/>
        <v>78</v>
      </c>
      <c r="M1530" s="9">
        <f t="shared" si="94"/>
        <v>6.9449152542372881</v>
      </c>
      <c r="N1530" s="9">
        <f t="shared" si="95"/>
        <v>6.5</v>
      </c>
    </row>
    <row r="1531" spans="1:14" x14ac:dyDescent="0.25">
      <c r="A1531" t="str">
        <f>TEXT("1/"&amp;data!A1531,"mmmm")</f>
        <v>juin</v>
      </c>
      <c r="B1531">
        <f>data!B1531</f>
        <v>2016</v>
      </c>
      <c r="C1531" t="str">
        <f>data!C1531</f>
        <v>039</v>
      </c>
      <c r="D1531" t="str">
        <f>data!D1531</f>
        <v>LES VIGNERONS DES COTES D'AGLY</v>
      </c>
      <c r="E1531" t="str">
        <f>data!E1531</f>
        <v>039030</v>
      </c>
      <c r="F1531" t="str">
        <f>data!F1531</f>
        <v>VDN MUSCAT DE RIVESALTES</v>
      </c>
      <c r="G1531" s="10">
        <f>data!G1531</f>
        <v>249.48</v>
      </c>
      <c r="H1531" s="10">
        <f>data!I1531</f>
        <v>64.98</v>
      </c>
      <c r="I1531" s="10">
        <f t="shared" si="92"/>
        <v>184.5</v>
      </c>
      <c r="J1531" s="11">
        <f>data!H1531</f>
        <v>66</v>
      </c>
      <c r="K1531" s="11">
        <f>data!J1531</f>
        <v>18</v>
      </c>
      <c r="L1531" s="11">
        <f t="shared" si="93"/>
        <v>48</v>
      </c>
      <c r="M1531" s="9">
        <f t="shared" si="94"/>
        <v>2.8393351800554014</v>
      </c>
      <c r="N1531" s="9">
        <f t="shared" si="95"/>
        <v>2.6666666666666665</v>
      </c>
    </row>
    <row r="1532" spans="1:14" x14ac:dyDescent="0.25">
      <c r="A1532" t="str">
        <f>TEXT("1/"&amp;data!A1532,"mmmm")</f>
        <v>juin</v>
      </c>
      <c r="B1532">
        <f>data!B1532</f>
        <v>2016</v>
      </c>
      <c r="C1532" t="str">
        <f>data!C1532</f>
        <v>040</v>
      </c>
      <c r="D1532" t="str">
        <f>data!D1532</f>
        <v>CHÂTEAU DE LA GRAVE</v>
      </c>
      <c r="E1532" t="str">
        <f>data!E1532</f>
        <v>040004</v>
      </c>
      <c r="F1532" t="str">
        <f>data!F1532</f>
        <v>AOP COTES DE BOURG CH DE LA GRAVE GRAINS FINS</v>
      </c>
      <c r="G1532" s="10">
        <f>data!G1532</f>
        <v>34.200000000000003</v>
      </c>
      <c r="H1532" s="10">
        <f>data!I1532</f>
        <v>102.6</v>
      </c>
      <c r="I1532" s="10">
        <f t="shared" si="92"/>
        <v>-68.399999999999991</v>
      </c>
      <c r="J1532" s="11">
        <f>data!H1532</f>
        <v>6</v>
      </c>
      <c r="K1532" s="11">
        <f>data!J1532</f>
        <v>18</v>
      </c>
      <c r="L1532" s="11">
        <f t="shared" si="93"/>
        <v>-12</v>
      </c>
      <c r="M1532" s="9">
        <f t="shared" si="94"/>
        <v>-0.66666666666666663</v>
      </c>
      <c r="N1532" s="9">
        <f t="shared" si="95"/>
        <v>-0.66666666666666663</v>
      </c>
    </row>
    <row r="1533" spans="1:14" x14ac:dyDescent="0.25">
      <c r="A1533" t="str">
        <f>TEXT("1/"&amp;data!A1533,"mmmm")</f>
        <v>juin</v>
      </c>
      <c r="B1533">
        <f>data!B1533</f>
        <v>2016</v>
      </c>
      <c r="C1533" t="str">
        <f>data!C1533</f>
        <v>040</v>
      </c>
      <c r="D1533" t="str">
        <f>data!D1533</f>
        <v>CHÂTEAU DE LA GRAVE</v>
      </c>
      <c r="E1533" t="str">
        <f>data!E1533</f>
        <v>040006</v>
      </c>
      <c r="F1533" t="str">
        <f>data!F1533</f>
        <v>AC COTES DE BOURG CHATEAU DE LA GRAVE</v>
      </c>
      <c r="G1533" s="10">
        <f>data!G1533</f>
        <v>1971</v>
      </c>
      <c r="H1533" s="10">
        <f>data!I1533</f>
        <v>2635.2</v>
      </c>
      <c r="I1533" s="10">
        <f t="shared" si="92"/>
        <v>-664.19999999999982</v>
      </c>
      <c r="J1533" s="11">
        <f>data!H1533</f>
        <v>540</v>
      </c>
      <c r="K1533" s="11">
        <f>data!J1533</f>
        <v>732</v>
      </c>
      <c r="L1533" s="11">
        <f t="shared" si="93"/>
        <v>-192</v>
      </c>
      <c r="M1533" s="9">
        <f t="shared" si="94"/>
        <v>-0.25204918032786883</v>
      </c>
      <c r="N1533" s="9">
        <f t="shared" si="95"/>
        <v>-0.26229508196721313</v>
      </c>
    </row>
    <row r="1534" spans="1:14" x14ac:dyDescent="0.25">
      <c r="A1534" t="str">
        <f>TEXT("1/"&amp;data!A1534,"mmmm")</f>
        <v>juin</v>
      </c>
      <c r="B1534">
        <f>data!B1534</f>
        <v>2016</v>
      </c>
      <c r="C1534" t="str">
        <f>data!C1534</f>
        <v>040</v>
      </c>
      <c r="D1534" t="str">
        <f>data!D1534</f>
        <v>CHÂTEAU DE LA GRAVE</v>
      </c>
      <c r="E1534" t="str">
        <f>data!E1534</f>
        <v>040007</v>
      </c>
      <c r="F1534" t="str">
        <f>data!F1534</f>
        <v>AC COTES DE BOURG G DE LA GRAVE</v>
      </c>
      <c r="G1534" s="10">
        <f>data!G1534</f>
        <v>110.4</v>
      </c>
      <c r="H1534" s="10">
        <f>data!I1534</f>
        <v>591.75</v>
      </c>
      <c r="I1534" s="10">
        <f t="shared" si="92"/>
        <v>-481.35</v>
      </c>
      <c r="J1534" s="11">
        <f>data!H1534</f>
        <v>60.03</v>
      </c>
      <c r="K1534" s="11">
        <f>data!J1534</f>
        <v>306.82</v>
      </c>
      <c r="L1534" s="11">
        <f t="shared" si="93"/>
        <v>-246.79</v>
      </c>
      <c r="M1534" s="9">
        <f t="shared" si="94"/>
        <v>-0.81343472750316859</v>
      </c>
      <c r="N1534" s="9">
        <f t="shared" si="95"/>
        <v>-0.80434782608695654</v>
      </c>
    </row>
    <row r="1535" spans="1:14" x14ac:dyDescent="0.25">
      <c r="A1535" t="str">
        <f>TEXT("1/"&amp;data!A1535,"mmmm")</f>
        <v>juin</v>
      </c>
      <c r="B1535">
        <f>data!B1535</f>
        <v>2016</v>
      </c>
      <c r="C1535" t="str">
        <f>data!C1535</f>
        <v>040</v>
      </c>
      <c r="D1535" t="str">
        <f>data!D1535</f>
        <v>CHÂTEAU DE LA GRAVE</v>
      </c>
      <c r="E1535" t="str">
        <f>data!E1535</f>
        <v>040008</v>
      </c>
      <c r="F1535" t="str">
        <f>data!F1535</f>
        <v>AC COTES DE BOURG G DE LA GRAVE</v>
      </c>
      <c r="G1535" s="10">
        <f>data!G1535</f>
        <v>211.6</v>
      </c>
      <c r="H1535" s="10">
        <f>data!I1535</f>
        <v>352.8</v>
      </c>
      <c r="I1535" s="10">
        <f t="shared" si="92"/>
        <v>-141.20000000000002</v>
      </c>
      <c r="J1535" s="11">
        <f>data!H1535</f>
        <v>106.64</v>
      </c>
      <c r="K1535" s="11">
        <f>data!J1535</f>
        <v>186.62</v>
      </c>
      <c r="L1535" s="11">
        <f t="shared" si="93"/>
        <v>-79.98</v>
      </c>
      <c r="M1535" s="9">
        <f t="shared" si="94"/>
        <v>-0.40022675736961455</v>
      </c>
      <c r="N1535" s="9">
        <f t="shared" si="95"/>
        <v>-0.4285714285714286</v>
      </c>
    </row>
    <row r="1536" spans="1:14" x14ac:dyDescent="0.25">
      <c r="A1536" t="str">
        <f>TEXT("1/"&amp;data!A1536,"mmmm")</f>
        <v>juin</v>
      </c>
      <c r="B1536">
        <f>data!B1536</f>
        <v>2016</v>
      </c>
      <c r="C1536" t="str">
        <f>data!C1536</f>
        <v>040</v>
      </c>
      <c r="D1536" t="str">
        <f>data!D1536</f>
        <v>CHÂTEAU DE LA GRAVE</v>
      </c>
      <c r="E1536" t="str">
        <f>data!E1536</f>
        <v>040015</v>
      </c>
      <c r="F1536" t="str">
        <f>data!F1536</f>
        <v>AC C DE BOURG. CARACTERE</v>
      </c>
      <c r="G1536" s="10">
        <f>data!G1536</f>
        <v>183.6</v>
      </c>
      <c r="H1536" s="10">
        <f>data!I1536</f>
        <v>0</v>
      </c>
      <c r="I1536" s="10">
        <f t="shared" si="92"/>
        <v>183.6</v>
      </c>
      <c r="J1536" s="11">
        <f>data!H1536</f>
        <v>36</v>
      </c>
      <c r="K1536" s="11">
        <f>data!J1536</f>
        <v>0</v>
      </c>
      <c r="L1536" s="11">
        <f t="shared" si="93"/>
        <v>36</v>
      </c>
      <c r="M1536" s="9" t="str">
        <f t="shared" si="94"/>
        <v/>
      </c>
      <c r="N1536" s="9" t="str">
        <f t="shared" si="95"/>
        <v/>
      </c>
    </row>
    <row r="1537" spans="1:14" x14ac:dyDescent="0.25">
      <c r="A1537" t="str">
        <f>TEXT("1/"&amp;data!A1537,"mmmm")</f>
        <v>juin</v>
      </c>
      <c r="B1537">
        <f>data!B1537</f>
        <v>2016</v>
      </c>
      <c r="C1537" t="str">
        <f>data!C1537</f>
        <v>040</v>
      </c>
      <c r="D1537" t="str">
        <f>data!D1537</f>
        <v>CHÂTEAU DE LA GRAVE</v>
      </c>
      <c r="E1537" t="str">
        <f>data!E1537</f>
        <v>040017</v>
      </c>
      <c r="F1537" t="str">
        <f>data!F1537</f>
        <v>AC C DE BOURG F.CHENE NECTAR</v>
      </c>
      <c r="G1537" s="10">
        <f>data!G1537</f>
        <v>49.2</v>
      </c>
      <c r="H1537" s="10">
        <f>data!I1537</f>
        <v>196.8</v>
      </c>
      <c r="I1537" s="10">
        <f t="shared" si="92"/>
        <v>-147.60000000000002</v>
      </c>
      <c r="J1537" s="11">
        <f>data!H1537</f>
        <v>6</v>
      </c>
      <c r="K1537" s="11">
        <f>data!J1537</f>
        <v>24</v>
      </c>
      <c r="L1537" s="11">
        <f t="shared" si="93"/>
        <v>-18</v>
      </c>
      <c r="M1537" s="9">
        <f t="shared" si="94"/>
        <v>-0.75000000000000011</v>
      </c>
      <c r="N1537" s="9">
        <f t="shared" si="95"/>
        <v>-0.75</v>
      </c>
    </row>
    <row r="1538" spans="1:14" x14ac:dyDescent="0.25">
      <c r="A1538" t="str">
        <f>TEXT("1/"&amp;data!A1538,"mmmm")</f>
        <v>juin</v>
      </c>
      <c r="B1538">
        <f>data!B1538</f>
        <v>2016</v>
      </c>
      <c r="C1538" t="str">
        <f>data!C1538</f>
        <v>041</v>
      </c>
      <c r="D1538" t="str">
        <f>data!D1538</f>
        <v>CHATEAU TOUR DE PEZ</v>
      </c>
      <c r="E1538" t="str">
        <f>data!E1538</f>
        <v>041001/10</v>
      </c>
      <c r="F1538" t="str">
        <f>data!F1538</f>
        <v>AC ST ESTEPHE CH TOUR DE PEZ</v>
      </c>
      <c r="G1538" s="10">
        <f>data!G1538</f>
        <v>344.4</v>
      </c>
      <c r="H1538" s="10">
        <f>data!I1538</f>
        <v>3696</v>
      </c>
      <c r="I1538" s="10">
        <f t="shared" si="92"/>
        <v>-3351.6</v>
      </c>
      <c r="J1538" s="11">
        <f>data!H1538</f>
        <v>24</v>
      </c>
      <c r="K1538" s="11">
        <f>data!J1538</f>
        <v>264</v>
      </c>
      <c r="L1538" s="11">
        <f t="shared" si="93"/>
        <v>-240</v>
      </c>
      <c r="M1538" s="9">
        <f t="shared" si="94"/>
        <v>-0.90681818181818175</v>
      </c>
      <c r="N1538" s="9">
        <f t="shared" si="95"/>
        <v>-0.90909090909090906</v>
      </c>
    </row>
    <row r="1539" spans="1:14" x14ac:dyDescent="0.25">
      <c r="A1539" t="str">
        <f>TEXT("1/"&amp;data!A1539,"mmmm")</f>
        <v>juin</v>
      </c>
      <c r="B1539">
        <f>data!B1539</f>
        <v>2016</v>
      </c>
      <c r="C1539" t="str">
        <f>data!C1539</f>
        <v>041</v>
      </c>
      <c r="D1539" t="str">
        <f>data!D1539</f>
        <v>CHATEAU TOUR DE PEZ</v>
      </c>
      <c r="E1539" t="str">
        <f>data!E1539</f>
        <v>041011</v>
      </c>
      <c r="F1539" t="str">
        <f>data!F1539</f>
        <v>AC ST ESTEPHE CRU BOURGEOIS C.HTS PEZ</v>
      </c>
      <c r="G1539" s="10">
        <f>data!G1539</f>
        <v>315</v>
      </c>
      <c r="H1539" s="10">
        <f>data!I1539</f>
        <v>0</v>
      </c>
      <c r="I1539" s="10">
        <f t="shared" ref="I1539:I1602" si="96">G1539-H1539</f>
        <v>315</v>
      </c>
      <c r="J1539" s="11">
        <f>data!H1539</f>
        <v>36</v>
      </c>
      <c r="K1539" s="11">
        <f>data!J1539</f>
        <v>0</v>
      </c>
      <c r="L1539" s="11">
        <f t="shared" ref="L1539:L1602" si="97">J1539-K1539</f>
        <v>36</v>
      </c>
      <c r="M1539" s="9" t="str">
        <f t="shared" ref="M1539:M1602" si="98">IF(ISERR(I1539/H1539),"",I1539/H1539)</f>
        <v/>
      </c>
      <c r="N1539" s="9" t="str">
        <f t="shared" ref="N1539:N1602" si="99">IF(ISERR(L1539/K1539),"",L1539/K1539)</f>
        <v/>
      </c>
    </row>
    <row r="1540" spans="1:14" x14ac:dyDescent="0.25">
      <c r="A1540" t="str">
        <f>TEXT("1/"&amp;data!A1540,"mmmm")</f>
        <v>juin</v>
      </c>
      <c r="B1540">
        <f>data!B1540</f>
        <v>2016</v>
      </c>
      <c r="C1540" t="str">
        <f>data!C1540</f>
        <v>041</v>
      </c>
      <c r="D1540" t="str">
        <f>data!D1540</f>
        <v>CHATEAU TOUR DE PEZ</v>
      </c>
      <c r="E1540" t="str">
        <f>data!E1540</f>
        <v>041016</v>
      </c>
      <c r="F1540" t="str">
        <f>data!F1540</f>
        <v>AOP SAINT- ESTEPHE CH LES HAUTS DE PEZ</v>
      </c>
      <c r="G1540" s="10">
        <f>data!G1540</f>
        <v>1108.8</v>
      </c>
      <c r="H1540" s="10">
        <f>data!I1540</f>
        <v>2154.3000000000002</v>
      </c>
      <c r="I1540" s="10">
        <f t="shared" si="96"/>
        <v>-1045.5000000000002</v>
      </c>
      <c r="J1540" s="11">
        <f>data!H1540</f>
        <v>132</v>
      </c>
      <c r="K1540" s="11">
        <f>data!J1540</f>
        <v>258</v>
      </c>
      <c r="L1540" s="11">
        <f t="shared" si="97"/>
        <v>-126</v>
      </c>
      <c r="M1540" s="9">
        <f t="shared" si="98"/>
        <v>-0.48530845286171848</v>
      </c>
      <c r="N1540" s="9">
        <f t="shared" si="99"/>
        <v>-0.48837209302325579</v>
      </c>
    </row>
    <row r="1541" spans="1:14" x14ac:dyDescent="0.25">
      <c r="A1541" t="str">
        <f>TEXT("1/"&amp;data!A1541,"mmmm")</f>
        <v>juin</v>
      </c>
      <c r="B1541">
        <f>data!B1541</f>
        <v>2016</v>
      </c>
      <c r="C1541" t="str">
        <f>data!C1541</f>
        <v>046</v>
      </c>
      <c r="D1541" t="str">
        <f>data!D1541</f>
        <v>MR JEAN PIERRE CABANES</v>
      </c>
      <c r="E1541" t="str">
        <f>data!E1541</f>
        <v>046001</v>
      </c>
      <c r="F1541" t="str">
        <f>data!F1541</f>
        <v>AC CTX DU LANGU TRAD D.ARCHIMBAUD</v>
      </c>
      <c r="G1541" s="10">
        <f>data!G1541</f>
        <v>162</v>
      </c>
      <c r="H1541" s="10">
        <f>data!I1541</f>
        <v>221.4</v>
      </c>
      <c r="I1541" s="10">
        <f t="shared" si="96"/>
        <v>-59.400000000000006</v>
      </c>
      <c r="J1541" s="11">
        <f>data!H1541</f>
        <v>36</v>
      </c>
      <c r="K1541" s="11">
        <f>data!J1541</f>
        <v>54</v>
      </c>
      <c r="L1541" s="11">
        <f t="shared" si="97"/>
        <v>-18</v>
      </c>
      <c r="M1541" s="9">
        <f t="shared" si="98"/>
        <v>-0.26829268292682928</v>
      </c>
      <c r="N1541" s="9">
        <f t="shared" si="99"/>
        <v>-0.33333333333333331</v>
      </c>
    </row>
    <row r="1542" spans="1:14" x14ac:dyDescent="0.25">
      <c r="A1542" t="str">
        <f>TEXT("1/"&amp;data!A1542,"mmmm")</f>
        <v>juin</v>
      </c>
      <c r="B1542">
        <f>data!B1542</f>
        <v>2016</v>
      </c>
      <c r="C1542" t="str">
        <f>data!C1542</f>
        <v>046</v>
      </c>
      <c r="D1542" t="str">
        <f>data!D1542</f>
        <v>MR JEAN PIERRE CABANES</v>
      </c>
      <c r="E1542" t="str">
        <f>data!E1542</f>
        <v>046015</v>
      </c>
      <c r="F1542" t="str">
        <f>data!F1542</f>
        <v>AC COT DU LANGU D.ARCHIMBAUD</v>
      </c>
      <c r="G1542" s="10">
        <f>data!G1542</f>
        <v>216</v>
      </c>
      <c r="H1542" s="10">
        <f>data!I1542</f>
        <v>525</v>
      </c>
      <c r="I1542" s="10">
        <f t="shared" si="96"/>
        <v>-309</v>
      </c>
      <c r="J1542" s="11">
        <f>data!H1542</f>
        <v>54</v>
      </c>
      <c r="K1542" s="11">
        <f>data!J1542</f>
        <v>150</v>
      </c>
      <c r="L1542" s="11">
        <f t="shared" si="97"/>
        <v>-96</v>
      </c>
      <c r="M1542" s="9">
        <f t="shared" si="98"/>
        <v>-0.58857142857142852</v>
      </c>
      <c r="N1542" s="9">
        <f t="shared" si="99"/>
        <v>-0.64</v>
      </c>
    </row>
    <row r="1543" spans="1:14" x14ac:dyDescent="0.25">
      <c r="A1543" t="str">
        <f>TEXT("1/"&amp;data!A1543,"mmmm")</f>
        <v>juin</v>
      </c>
      <c r="B1543">
        <f>data!B1543</f>
        <v>2016</v>
      </c>
      <c r="C1543" t="str">
        <f>data!C1543</f>
        <v>046</v>
      </c>
      <c r="D1543" t="str">
        <f>data!D1543</f>
        <v>MR JEAN PIERRE CABANES</v>
      </c>
      <c r="E1543" t="str">
        <f>data!E1543</f>
        <v>046020</v>
      </c>
      <c r="F1543" t="str">
        <f>data!F1543</f>
        <v>AC COTEAUX DU LANGUEDOC ENFANT TERRIBLE</v>
      </c>
      <c r="G1543" s="10">
        <f>data!G1543</f>
        <v>315</v>
      </c>
      <c r="H1543" s="10">
        <f>data!I1543</f>
        <v>0</v>
      </c>
      <c r="I1543" s="10">
        <f t="shared" si="96"/>
        <v>315</v>
      </c>
      <c r="J1543" s="11">
        <f>data!H1543</f>
        <v>42</v>
      </c>
      <c r="K1543" s="11">
        <f>data!J1543</f>
        <v>0</v>
      </c>
      <c r="L1543" s="11">
        <f t="shared" si="97"/>
        <v>42</v>
      </c>
      <c r="M1543" s="9" t="str">
        <f t="shared" si="98"/>
        <v/>
      </c>
      <c r="N1543" s="9" t="str">
        <f t="shared" si="99"/>
        <v/>
      </c>
    </row>
    <row r="1544" spans="1:14" x14ac:dyDescent="0.25">
      <c r="A1544" t="str">
        <f>TEXT("1/"&amp;data!A1544,"mmmm")</f>
        <v>juin</v>
      </c>
      <c r="B1544">
        <f>data!B1544</f>
        <v>2016</v>
      </c>
      <c r="C1544" t="str">
        <f>data!C1544</f>
        <v>048B</v>
      </c>
      <c r="D1544" t="str">
        <f>data!D1544</f>
        <v>SCEA BOURLON DESTOUEST</v>
      </c>
      <c r="E1544" t="str">
        <f>data!E1544</f>
        <v>048003B</v>
      </c>
      <c r="F1544" t="str">
        <f>data!F1544</f>
        <v>AC PUISSEGUIN ST EMILION</v>
      </c>
      <c r="G1544" s="10">
        <f>data!G1544</f>
        <v>705.6</v>
      </c>
      <c r="H1544" s="10">
        <f>data!I1544</f>
        <v>1419</v>
      </c>
      <c r="I1544" s="10">
        <f t="shared" si="96"/>
        <v>-713.4</v>
      </c>
      <c r="J1544" s="11">
        <f>data!H1544</f>
        <v>126</v>
      </c>
      <c r="K1544" s="11">
        <f>data!J1544</f>
        <v>258</v>
      </c>
      <c r="L1544" s="11">
        <f t="shared" si="97"/>
        <v>-132</v>
      </c>
      <c r="M1544" s="9">
        <f t="shared" si="98"/>
        <v>-0.50274841437632134</v>
      </c>
      <c r="N1544" s="9">
        <f t="shared" si="99"/>
        <v>-0.51162790697674421</v>
      </c>
    </row>
    <row r="1545" spans="1:14" x14ac:dyDescent="0.25">
      <c r="A1545" t="str">
        <f>TEXT("1/"&amp;data!A1545,"mmmm")</f>
        <v>juin</v>
      </c>
      <c r="B1545">
        <f>data!B1545</f>
        <v>2016</v>
      </c>
      <c r="C1545" t="str">
        <f>data!C1545</f>
        <v>049</v>
      </c>
      <c r="D1545" t="str">
        <f>data!D1545</f>
        <v>MAISON GRANDEAU</v>
      </c>
      <c r="E1545" t="str">
        <f>data!E1545</f>
        <v>049007</v>
      </c>
      <c r="F1545" t="str">
        <f>data!F1545</f>
        <v>AC BX SUP Tradi  CH LAUDUC</v>
      </c>
      <c r="G1545" s="10">
        <f>data!G1545</f>
        <v>140.69999999999999</v>
      </c>
      <c r="H1545" s="10">
        <f>data!I1545</f>
        <v>59.4</v>
      </c>
      <c r="I1545" s="10">
        <f t="shared" si="96"/>
        <v>81.299999999999983</v>
      </c>
      <c r="J1545" s="11">
        <f>data!H1545</f>
        <v>42</v>
      </c>
      <c r="K1545" s="11">
        <f>data!J1545</f>
        <v>18</v>
      </c>
      <c r="L1545" s="11">
        <f t="shared" si="97"/>
        <v>24</v>
      </c>
      <c r="M1545" s="9">
        <f t="shared" si="98"/>
        <v>1.3686868686868685</v>
      </c>
      <c r="N1545" s="9">
        <f t="shared" si="99"/>
        <v>1.3333333333333333</v>
      </c>
    </row>
    <row r="1546" spans="1:14" x14ac:dyDescent="0.25">
      <c r="A1546" t="str">
        <f>TEXT("1/"&amp;data!A1546,"mmmm")</f>
        <v>juin</v>
      </c>
      <c r="B1546">
        <f>data!B1546</f>
        <v>2016</v>
      </c>
      <c r="C1546" t="str">
        <f>data!C1546</f>
        <v>049</v>
      </c>
      <c r="D1546" t="str">
        <f>data!D1546</f>
        <v>MAISON GRANDEAU</v>
      </c>
      <c r="E1546" t="str">
        <f>data!E1546</f>
        <v>049015</v>
      </c>
      <c r="F1546" t="str">
        <f>data!F1546</f>
        <v>AC BDX Classic CH LAUDUC</v>
      </c>
      <c r="G1546" s="10">
        <f>data!G1546</f>
        <v>417.6</v>
      </c>
      <c r="H1546" s="10">
        <f>data!I1546</f>
        <v>0</v>
      </c>
      <c r="I1546" s="10">
        <f t="shared" si="96"/>
        <v>417.6</v>
      </c>
      <c r="J1546" s="11">
        <f>data!H1546</f>
        <v>144</v>
      </c>
      <c r="K1546" s="11">
        <f>data!J1546</f>
        <v>0</v>
      </c>
      <c r="L1546" s="11">
        <f t="shared" si="97"/>
        <v>144</v>
      </c>
      <c r="M1546" s="9" t="str">
        <f t="shared" si="98"/>
        <v/>
      </c>
      <c r="N1546" s="9" t="str">
        <f t="shared" si="99"/>
        <v/>
      </c>
    </row>
    <row r="1547" spans="1:14" x14ac:dyDescent="0.25">
      <c r="A1547" t="str">
        <f>TEXT("1/"&amp;data!A1547,"mmmm")</f>
        <v>juin</v>
      </c>
      <c r="B1547">
        <f>data!B1547</f>
        <v>2016</v>
      </c>
      <c r="C1547" t="str">
        <f>data!C1547</f>
        <v>049</v>
      </c>
      <c r="D1547" t="str">
        <f>data!D1547</f>
        <v>MAISON GRANDEAU</v>
      </c>
      <c r="E1547" t="str">
        <f>data!E1547</f>
        <v>049020</v>
      </c>
      <c r="F1547" t="str">
        <f>data!F1547</f>
        <v>AC BDX CH.FLAMAND BELLEVUE</v>
      </c>
      <c r="G1547" s="10">
        <f>data!G1547</f>
        <v>837</v>
      </c>
      <c r="H1547" s="10">
        <f>data!I1547</f>
        <v>575.46</v>
      </c>
      <c r="I1547" s="10">
        <f t="shared" si="96"/>
        <v>261.53999999999996</v>
      </c>
      <c r="J1547" s="11">
        <f>data!H1547</f>
        <v>384</v>
      </c>
      <c r="K1547" s="11">
        <f>data!J1547</f>
        <v>258</v>
      </c>
      <c r="L1547" s="11">
        <f t="shared" si="97"/>
        <v>126</v>
      </c>
      <c r="M1547" s="9">
        <f t="shared" si="98"/>
        <v>0.45448858304660611</v>
      </c>
      <c r="N1547" s="9">
        <f t="shared" si="99"/>
        <v>0.48837209302325579</v>
      </c>
    </row>
    <row r="1548" spans="1:14" x14ac:dyDescent="0.25">
      <c r="A1548" t="str">
        <f>TEXT("1/"&amp;data!A1548,"mmmm")</f>
        <v>juin</v>
      </c>
      <c r="B1548">
        <f>data!B1548</f>
        <v>2016</v>
      </c>
      <c r="C1548" t="str">
        <f>data!C1548</f>
        <v>049</v>
      </c>
      <c r="D1548" t="str">
        <f>data!D1548</f>
        <v>MAISON GRANDEAU</v>
      </c>
      <c r="E1548" t="str">
        <f>data!E1548</f>
        <v>049023</v>
      </c>
      <c r="F1548" t="str">
        <f>data!F1548</f>
        <v>AC BDX CH.FLAMAND BELLEVUE</v>
      </c>
      <c r="G1548" s="10">
        <f>data!G1548</f>
        <v>39.6</v>
      </c>
      <c r="H1548" s="10">
        <f>data!I1548</f>
        <v>39.6</v>
      </c>
      <c r="I1548" s="10">
        <f t="shared" si="96"/>
        <v>0</v>
      </c>
      <c r="J1548" s="11">
        <f>data!H1548</f>
        <v>12</v>
      </c>
      <c r="K1548" s="11">
        <f>data!J1548</f>
        <v>12</v>
      </c>
      <c r="L1548" s="11">
        <f t="shared" si="97"/>
        <v>0</v>
      </c>
      <c r="M1548" s="9">
        <f t="shared" si="98"/>
        <v>0</v>
      </c>
      <c r="N1548" s="9">
        <f t="shared" si="99"/>
        <v>0</v>
      </c>
    </row>
    <row r="1549" spans="1:14" x14ac:dyDescent="0.25">
      <c r="A1549" t="str">
        <f>TEXT("1/"&amp;data!A1549,"mmmm")</f>
        <v>juin</v>
      </c>
      <c r="B1549">
        <f>data!B1549</f>
        <v>2016</v>
      </c>
      <c r="C1549" t="str">
        <f>data!C1549</f>
        <v>049</v>
      </c>
      <c r="D1549" t="str">
        <f>data!D1549</f>
        <v>MAISON GRANDEAU</v>
      </c>
      <c r="E1549" t="str">
        <f>data!E1549</f>
        <v>049027</v>
      </c>
      <c r="F1549" t="str">
        <f>data!F1549</f>
        <v>AC BX SUP Tradi  CH LAUDUC</v>
      </c>
      <c r="G1549" s="10">
        <f>data!G1549</f>
        <v>162</v>
      </c>
      <c r="H1549" s="10">
        <f>data!I1549</f>
        <v>40.5</v>
      </c>
      <c r="I1549" s="10">
        <f t="shared" si="96"/>
        <v>121.5</v>
      </c>
      <c r="J1549" s="11">
        <f>data!H1549</f>
        <v>48</v>
      </c>
      <c r="K1549" s="11">
        <f>data!J1549</f>
        <v>12</v>
      </c>
      <c r="L1549" s="11">
        <f t="shared" si="97"/>
        <v>36</v>
      </c>
      <c r="M1549" s="9">
        <f t="shared" si="98"/>
        <v>3</v>
      </c>
      <c r="N1549" s="9">
        <f t="shared" si="99"/>
        <v>3</v>
      </c>
    </row>
    <row r="1550" spans="1:14" x14ac:dyDescent="0.25">
      <c r="A1550" t="str">
        <f>TEXT("1/"&amp;data!A1550,"mmmm")</f>
        <v>juin</v>
      </c>
      <c r="B1550">
        <f>data!B1550</f>
        <v>2016</v>
      </c>
      <c r="C1550" t="str">
        <f>data!C1550</f>
        <v>049</v>
      </c>
      <c r="D1550" t="str">
        <f>data!D1550</f>
        <v>MAISON GRANDEAU</v>
      </c>
      <c r="E1550" t="str">
        <f>data!E1550</f>
        <v>CDV049040</v>
      </c>
      <c r="F1550" t="str">
        <f>data!F1550</f>
        <v>AC BORDEAUX CLAIRET ROSE</v>
      </c>
      <c r="G1550" s="10">
        <f>data!G1550</f>
        <v>0</v>
      </c>
      <c r="H1550" s="10">
        <f>data!I1550</f>
        <v>0</v>
      </c>
      <c r="I1550" s="10">
        <f t="shared" si="96"/>
        <v>0</v>
      </c>
      <c r="J1550" s="11">
        <f>data!H1550</f>
        <v>36</v>
      </c>
      <c r="K1550" s="11">
        <f>data!J1550</f>
        <v>0</v>
      </c>
      <c r="L1550" s="11">
        <f t="shared" si="97"/>
        <v>36</v>
      </c>
      <c r="M1550" s="9" t="str">
        <f t="shared" si="98"/>
        <v/>
      </c>
      <c r="N1550" s="9" t="str">
        <f t="shared" si="99"/>
        <v/>
      </c>
    </row>
    <row r="1551" spans="1:14" x14ac:dyDescent="0.25">
      <c r="A1551" t="str">
        <f>TEXT("1/"&amp;data!A1551,"mmmm")</f>
        <v>juin</v>
      </c>
      <c r="B1551">
        <f>data!B1551</f>
        <v>2016</v>
      </c>
      <c r="C1551" t="str">
        <f>data!C1551</f>
        <v>050</v>
      </c>
      <c r="D1551" t="str">
        <f>data!D1551</f>
        <v>CHÂTEAU HAUT LIGNIERES</v>
      </c>
      <c r="E1551" t="str">
        <f>data!E1551</f>
        <v>050001</v>
      </c>
      <c r="F1551" t="str">
        <f>data!F1551</f>
        <v>AC FAUGERES LE 1ER CH HAUT LIGNIERES</v>
      </c>
      <c r="G1551" s="10">
        <f>data!G1551</f>
        <v>1306.5</v>
      </c>
      <c r="H1551" s="10">
        <f>data!I1551</f>
        <v>1958.4</v>
      </c>
      <c r="I1551" s="10">
        <f t="shared" si="96"/>
        <v>-651.90000000000009</v>
      </c>
      <c r="J1551" s="11">
        <f>data!H1551</f>
        <v>402</v>
      </c>
      <c r="K1551" s="11">
        <f>data!J1551</f>
        <v>612</v>
      </c>
      <c r="L1551" s="11">
        <f t="shared" si="97"/>
        <v>-210</v>
      </c>
      <c r="M1551" s="9">
        <f t="shared" si="98"/>
        <v>-0.33287377450980393</v>
      </c>
      <c r="N1551" s="9">
        <f t="shared" si="99"/>
        <v>-0.34313725490196079</v>
      </c>
    </row>
    <row r="1552" spans="1:14" x14ac:dyDescent="0.25">
      <c r="A1552" t="str">
        <f>TEXT("1/"&amp;data!A1552,"mmmm")</f>
        <v>juin</v>
      </c>
      <c r="B1552">
        <f>data!B1552</f>
        <v>2016</v>
      </c>
      <c r="C1552" t="str">
        <f>data!C1552</f>
        <v>050</v>
      </c>
      <c r="D1552" t="str">
        <f>data!D1552</f>
        <v>CHÂTEAU HAUT LIGNIERES</v>
      </c>
      <c r="E1552" t="str">
        <f>data!E1552</f>
        <v>050003</v>
      </c>
      <c r="F1552" t="str">
        <f>data!F1552</f>
        <v>AC FAUGERES HT LIGNIERES</v>
      </c>
      <c r="G1552" s="10">
        <f>data!G1552</f>
        <v>390</v>
      </c>
      <c r="H1552" s="10">
        <f>data!I1552</f>
        <v>230.4</v>
      </c>
      <c r="I1552" s="10">
        <f t="shared" si="96"/>
        <v>159.6</v>
      </c>
      <c r="J1552" s="11">
        <f>data!H1552</f>
        <v>120</v>
      </c>
      <c r="K1552" s="11">
        <f>data!J1552</f>
        <v>72</v>
      </c>
      <c r="L1552" s="11">
        <f t="shared" si="97"/>
        <v>48</v>
      </c>
      <c r="M1552" s="9">
        <f t="shared" si="98"/>
        <v>0.69270833333333326</v>
      </c>
      <c r="N1552" s="9">
        <f t="shared" si="99"/>
        <v>0.66666666666666663</v>
      </c>
    </row>
    <row r="1553" spans="1:14" x14ac:dyDescent="0.25">
      <c r="A1553" t="str">
        <f>TEXT("1/"&amp;data!A1553,"mmmm")</f>
        <v>juin</v>
      </c>
      <c r="B1553">
        <f>data!B1553</f>
        <v>2016</v>
      </c>
      <c r="C1553" t="str">
        <f>data!C1553</f>
        <v>050</v>
      </c>
      <c r="D1553" t="str">
        <f>data!D1553</f>
        <v>CHÂTEAU HAUT LIGNIERES</v>
      </c>
      <c r="E1553" t="str">
        <f>data!E1553</f>
        <v>050005</v>
      </c>
      <c r="F1553" t="str">
        <f>data!F1553</f>
        <v>AC FAUGERES ROMY CH HAUT LIGNIERES</v>
      </c>
      <c r="G1553" s="10">
        <f>data!G1553</f>
        <v>396</v>
      </c>
      <c r="H1553" s="10">
        <f>data!I1553</f>
        <v>0</v>
      </c>
      <c r="I1553" s="10">
        <f t="shared" si="96"/>
        <v>396</v>
      </c>
      <c r="J1553" s="11">
        <f>data!H1553</f>
        <v>90</v>
      </c>
      <c r="K1553" s="11">
        <f>data!J1553</f>
        <v>0</v>
      </c>
      <c r="L1553" s="11">
        <f t="shared" si="97"/>
        <v>90</v>
      </c>
      <c r="M1553" s="9" t="str">
        <f t="shared" si="98"/>
        <v/>
      </c>
      <c r="N1553" s="9" t="str">
        <f t="shared" si="99"/>
        <v/>
      </c>
    </row>
    <row r="1554" spans="1:14" x14ac:dyDescent="0.25">
      <c r="A1554" t="str">
        <f>TEXT("1/"&amp;data!A1554,"mmmm")</f>
        <v>juin</v>
      </c>
      <c r="B1554">
        <f>data!B1554</f>
        <v>2016</v>
      </c>
      <c r="C1554" t="str">
        <f>data!C1554</f>
        <v>050</v>
      </c>
      <c r="D1554" t="str">
        <f>data!D1554</f>
        <v>CHÂTEAU HAUT LIGNIERES</v>
      </c>
      <c r="E1554" t="str">
        <f>data!E1554</f>
        <v>050010</v>
      </c>
      <c r="F1554" t="str">
        <f>data!F1554</f>
        <v>AC FAUGERES CARMINA BUT</v>
      </c>
      <c r="G1554" s="10">
        <f>data!G1554</f>
        <v>39</v>
      </c>
      <c r="H1554" s="10">
        <f>data!I1554</f>
        <v>0</v>
      </c>
      <c r="I1554" s="10">
        <f t="shared" si="96"/>
        <v>39</v>
      </c>
      <c r="J1554" s="11">
        <f>data!H1554</f>
        <v>6</v>
      </c>
      <c r="K1554" s="11">
        <f>data!J1554</f>
        <v>0</v>
      </c>
      <c r="L1554" s="11">
        <f t="shared" si="97"/>
        <v>6</v>
      </c>
      <c r="M1554" s="9" t="str">
        <f t="shared" si="98"/>
        <v/>
      </c>
      <c r="N1554" s="9" t="str">
        <f t="shared" si="99"/>
        <v/>
      </c>
    </row>
    <row r="1555" spans="1:14" x14ac:dyDescent="0.25">
      <c r="A1555" t="str">
        <f>TEXT("1/"&amp;data!A1555,"mmmm")</f>
        <v>juin</v>
      </c>
      <c r="B1555">
        <f>data!B1555</f>
        <v>2016</v>
      </c>
      <c r="C1555" t="str">
        <f>data!C1555</f>
        <v>050</v>
      </c>
      <c r="D1555" t="str">
        <f>data!D1555</f>
        <v>CHÂTEAU HAUT LIGNIERES</v>
      </c>
      <c r="E1555" t="str">
        <f>data!E1555</f>
        <v>CDV050015</v>
      </c>
      <c r="F1555" t="str">
        <f>data!F1555</f>
        <v>EMPREINTES CARBONES AOP FAUGERES</v>
      </c>
      <c r="G1555" s="10">
        <f>data!G1555</f>
        <v>307.2</v>
      </c>
      <c r="H1555" s="10">
        <f>data!I1555</f>
        <v>0</v>
      </c>
      <c r="I1555" s="10">
        <f t="shared" si="96"/>
        <v>307.2</v>
      </c>
      <c r="J1555" s="11">
        <f>data!H1555</f>
        <v>24</v>
      </c>
      <c r="K1555" s="11">
        <f>data!J1555</f>
        <v>0</v>
      </c>
      <c r="L1555" s="11">
        <f t="shared" si="97"/>
        <v>24</v>
      </c>
      <c r="M1555" s="9" t="str">
        <f t="shared" si="98"/>
        <v/>
      </c>
      <c r="N1555" s="9" t="str">
        <f t="shared" si="99"/>
        <v/>
      </c>
    </row>
    <row r="1556" spans="1:14" x14ac:dyDescent="0.25">
      <c r="A1556" t="str">
        <f>TEXT("1/"&amp;data!A1556,"mmmm")</f>
        <v>juin</v>
      </c>
      <c r="B1556">
        <f>data!B1556</f>
        <v>2016</v>
      </c>
      <c r="C1556" t="str">
        <f>data!C1556</f>
        <v>051</v>
      </c>
      <c r="D1556" t="str">
        <f>data!D1556</f>
        <v>CLOS TRIMOULET</v>
      </c>
      <c r="E1556" t="str">
        <f>data!E1556</f>
        <v>051000</v>
      </c>
      <c r="F1556" t="str">
        <f>data!F1556</f>
        <v>AC MONTAGNE ST EMILION .CH ST GEORGES</v>
      </c>
      <c r="G1556" s="10">
        <f>data!G1556</f>
        <v>3091.2</v>
      </c>
      <c r="H1556" s="10">
        <f>data!I1556</f>
        <v>5470.5</v>
      </c>
      <c r="I1556" s="10">
        <f t="shared" si="96"/>
        <v>-2379.3000000000002</v>
      </c>
      <c r="J1556" s="11">
        <f>data!H1556</f>
        <v>552</v>
      </c>
      <c r="K1556" s="11">
        <f>data!J1556</f>
        <v>978</v>
      </c>
      <c r="L1556" s="11">
        <f t="shared" si="97"/>
        <v>-426</v>
      </c>
      <c r="M1556" s="9">
        <f t="shared" si="98"/>
        <v>-0.43493282149712098</v>
      </c>
      <c r="N1556" s="9">
        <f t="shared" si="99"/>
        <v>-0.43558282208588955</v>
      </c>
    </row>
    <row r="1557" spans="1:14" x14ac:dyDescent="0.25">
      <c r="A1557" t="str">
        <f>TEXT("1/"&amp;data!A1557,"mmmm")</f>
        <v>juin</v>
      </c>
      <c r="B1557">
        <f>data!B1557</f>
        <v>2016</v>
      </c>
      <c r="C1557" t="str">
        <f>data!C1557</f>
        <v>051</v>
      </c>
      <c r="D1557" t="str">
        <f>data!D1557</f>
        <v>CLOS TRIMOULET</v>
      </c>
      <c r="E1557" t="str">
        <f>data!E1557</f>
        <v>051002CB</v>
      </c>
      <c r="F1557" t="str">
        <f>data!F1557</f>
        <v>AC ST EMILION GRAND CRU CLOS TRIMOULET CAISSE BOIS</v>
      </c>
      <c r="G1557" s="10">
        <f>data!G1557</f>
        <v>170.1</v>
      </c>
      <c r="H1557" s="10">
        <f>data!I1557</f>
        <v>27.99</v>
      </c>
      <c r="I1557" s="10">
        <f t="shared" si="96"/>
        <v>142.10999999999999</v>
      </c>
      <c r="J1557" s="11">
        <f>data!H1557</f>
        <v>6</v>
      </c>
      <c r="K1557" s="11">
        <f>data!J1557</f>
        <v>3</v>
      </c>
      <c r="L1557" s="11">
        <f t="shared" si="97"/>
        <v>3</v>
      </c>
      <c r="M1557" s="9">
        <f t="shared" si="98"/>
        <v>5.077170418006431</v>
      </c>
      <c r="N1557" s="9">
        <f t="shared" si="99"/>
        <v>1</v>
      </c>
    </row>
    <row r="1558" spans="1:14" x14ac:dyDescent="0.25">
      <c r="A1558" t="str">
        <f>TEXT("1/"&amp;data!A1558,"mmmm")</f>
        <v>juin</v>
      </c>
      <c r="B1558">
        <f>data!B1558</f>
        <v>2016</v>
      </c>
      <c r="C1558" t="str">
        <f>data!C1558</f>
        <v>051</v>
      </c>
      <c r="D1558" t="str">
        <f>data!D1558</f>
        <v>CLOS TRIMOULET</v>
      </c>
      <c r="E1558" t="str">
        <f>data!E1558</f>
        <v>051010/11</v>
      </c>
      <c r="F1558" t="str">
        <f>data!F1558</f>
        <v>CLOS TRIMOULET AC ST EMILION GD CRU</v>
      </c>
      <c r="G1558" s="10">
        <f>data!G1558</f>
        <v>5491.8</v>
      </c>
      <c r="H1558" s="10">
        <f>data!I1558</f>
        <v>0</v>
      </c>
      <c r="I1558" s="10">
        <f t="shared" si="96"/>
        <v>5491.8</v>
      </c>
      <c r="J1558" s="11">
        <f>data!H1558</f>
        <v>678</v>
      </c>
      <c r="K1558" s="11">
        <f>data!J1558</f>
        <v>0</v>
      </c>
      <c r="L1558" s="11">
        <f t="shared" si="97"/>
        <v>678</v>
      </c>
      <c r="M1558" s="9" t="str">
        <f t="shared" si="98"/>
        <v/>
      </c>
      <c r="N1558" s="9" t="str">
        <f t="shared" si="99"/>
        <v/>
      </c>
    </row>
    <row r="1559" spans="1:14" x14ac:dyDescent="0.25">
      <c r="A1559" t="str">
        <f>TEXT("1/"&amp;data!A1559,"mmmm")</f>
        <v>juin</v>
      </c>
      <c r="B1559">
        <f>data!B1559</f>
        <v>2016</v>
      </c>
      <c r="C1559" t="str">
        <f>data!C1559</f>
        <v>051</v>
      </c>
      <c r="D1559" t="str">
        <f>data!D1559</f>
        <v>CLOS TRIMOULET</v>
      </c>
      <c r="E1559" t="str">
        <f>data!E1559</f>
        <v>051016</v>
      </c>
      <c r="F1559" t="str">
        <f>data!F1559</f>
        <v>AC MONTAGNE ST EMILION CH ST GEORGES</v>
      </c>
      <c r="G1559" s="10">
        <f>data!G1559</f>
        <v>158.4</v>
      </c>
      <c r="H1559" s="10">
        <f>data!I1559</f>
        <v>0</v>
      </c>
      <c r="I1559" s="10">
        <f t="shared" si="96"/>
        <v>158.4</v>
      </c>
      <c r="J1559" s="11">
        <f>data!H1559</f>
        <v>24</v>
      </c>
      <c r="K1559" s="11">
        <f>data!J1559</f>
        <v>0</v>
      </c>
      <c r="L1559" s="11">
        <f t="shared" si="97"/>
        <v>24</v>
      </c>
      <c r="M1559" s="9" t="str">
        <f t="shared" si="98"/>
        <v/>
      </c>
      <c r="N1559" s="9" t="str">
        <f t="shared" si="99"/>
        <v/>
      </c>
    </row>
    <row r="1560" spans="1:14" x14ac:dyDescent="0.25">
      <c r="A1560" t="str">
        <f>TEXT("1/"&amp;data!A1560,"mmmm")</f>
        <v>juin</v>
      </c>
      <c r="B1560">
        <f>data!B1560</f>
        <v>2016</v>
      </c>
      <c r="C1560" t="str">
        <f>data!C1560</f>
        <v>051</v>
      </c>
      <c r="D1560" t="str">
        <f>data!D1560</f>
        <v>CLOS TRIMOULET</v>
      </c>
      <c r="E1560" t="str">
        <f>data!E1560</f>
        <v>051017</v>
      </c>
      <c r="F1560" t="str">
        <f>data!F1560</f>
        <v>AC MONTAGNE ST EMILION CH ST GEORGES</v>
      </c>
      <c r="G1560" s="10">
        <f>data!G1560</f>
        <v>914.4</v>
      </c>
      <c r="H1560" s="10">
        <f>data!I1560</f>
        <v>834.6</v>
      </c>
      <c r="I1560" s="10">
        <f t="shared" si="96"/>
        <v>79.799999999999955</v>
      </c>
      <c r="J1560" s="11">
        <f>data!H1560</f>
        <v>144</v>
      </c>
      <c r="K1560" s="11">
        <f>data!J1560</f>
        <v>132</v>
      </c>
      <c r="L1560" s="11">
        <f t="shared" si="97"/>
        <v>12</v>
      </c>
      <c r="M1560" s="9">
        <f t="shared" si="98"/>
        <v>9.5614665708123589E-2</v>
      </c>
      <c r="N1560" s="9">
        <f t="shared" si="99"/>
        <v>9.0909090909090912E-2</v>
      </c>
    </row>
    <row r="1561" spans="1:14" x14ac:dyDescent="0.25">
      <c r="A1561" t="str">
        <f>TEXT("1/"&amp;data!A1561,"mmmm")</f>
        <v>juin</v>
      </c>
      <c r="B1561">
        <f>data!B1561</f>
        <v>2016</v>
      </c>
      <c r="C1561" t="str">
        <f>data!C1561</f>
        <v>051</v>
      </c>
      <c r="D1561" t="str">
        <f>data!D1561</f>
        <v>CLOS TRIMOULET</v>
      </c>
      <c r="E1561" t="str">
        <f>data!E1561</f>
        <v>051133</v>
      </c>
      <c r="F1561" t="str">
        <f>data!F1561</f>
        <v>CLOS TRIMOULET AC ST EMILION GRAND CRU</v>
      </c>
      <c r="G1561" s="10">
        <f>data!G1561</f>
        <v>2124</v>
      </c>
      <c r="H1561" s="10">
        <f>data!I1561</f>
        <v>1584</v>
      </c>
      <c r="I1561" s="10">
        <f t="shared" si="96"/>
        <v>540</v>
      </c>
      <c r="J1561" s="11">
        <f>data!H1561</f>
        <v>240</v>
      </c>
      <c r="K1561" s="11">
        <f>data!J1561</f>
        <v>180</v>
      </c>
      <c r="L1561" s="11">
        <f t="shared" si="97"/>
        <v>60</v>
      </c>
      <c r="M1561" s="9">
        <f t="shared" si="98"/>
        <v>0.34090909090909088</v>
      </c>
      <c r="N1561" s="9">
        <f t="shared" si="99"/>
        <v>0.33333333333333331</v>
      </c>
    </row>
    <row r="1562" spans="1:14" x14ac:dyDescent="0.25">
      <c r="A1562" t="str">
        <f>TEXT("1/"&amp;data!A1562,"mmmm")</f>
        <v>juin</v>
      </c>
      <c r="B1562">
        <f>data!B1562</f>
        <v>2016</v>
      </c>
      <c r="C1562" t="str">
        <f>data!C1562</f>
        <v>051</v>
      </c>
      <c r="D1562" t="str">
        <f>data!D1562</f>
        <v>CLOS TRIMOULET</v>
      </c>
      <c r="E1562" t="str">
        <f>data!E1562</f>
        <v>CDV051000</v>
      </c>
      <c r="F1562" t="str">
        <f>data!F1562</f>
        <v>AC MONTAGNE ST EMILION. CH ST GEORGES</v>
      </c>
      <c r="G1562" s="10">
        <f>data!G1562</f>
        <v>100.8</v>
      </c>
      <c r="H1562" s="10">
        <f>data!I1562</f>
        <v>0</v>
      </c>
      <c r="I1562" s="10">
        <f t="shared" si="96"/>
        <v>100.8</v>
      </c>
      <c r="J1562" s="11">
        <f>data!H1562</f>
        <v>18</v>
      </c>
      <c r="K1562" s="11">
        <f>data!J1562</f>
        <v>0</v>
      </c>
      <c r="L1562" s="11">
        <f t="shared" si="97"/>
        <v>18</v>
      </c>
      <c r="M1562" s="9" t="str">
        <f t="shared" si="98"/>
        <v/>
      </c>
      <c r="N1562" s="9" t="str">
        <f t="shared" si="99"/>
        <v/>
      </c>
    </row>
    <row r="1563" spans="1:14" x14ac:dyDescent="0.25">
      <c r="A1563" t="str">
        <f>TEXT("1/"&amp;data!A1563,"mmmm")</f>
        <v>juin</v>
      </c>
      <c r="B1563">
        <f>data!B1563</f>
        <v>2016</v>
      </c>
      <c r="C1563" t="str">
        <f>data!C1563</f>
        <v>052</v>
      </c>
      <c r="D1563" t="str">
        <f>data!D1563</f>
        <v>GIRONDE ET GASCOGNE SARL</v>
      </c>
      <c r="E1563" t="str">
        <f>data!E1563</f>
        <v>052017</v>
      </c>
      <c r="F1563" t="str">
        <f>data!F1563</f>
        <v>AC HT MEDOC CRU B CH RAMAGE LA BATISSE</v>
      </c>
      <c r="G1563" s="10">
        <f>data!G1563</f>
        <v>353.7</v>
      </c>
      <c r="H1563" s="10">
        <f>data!I1563</f>
        <v>471.6</v>
      </c>
      <c r="I1563" s="10">
        <f t="shared" si="96"/>
        <v>-117.90000000000003</v>
      </c>
      <c r="J1563" s="11">
        <f>data!H1563</f>
        <v>36</v>
      </c>
      <c r="K1563" s="11">
        <f>data!J1563</f>
        <v>48</v>
      </c>
      <c r="L1563" s="11">
        <f t="shared" si="97"/>
        <v>-12</v>
      </c>
      <c r="M1563" s="9">
        <f t="shared" si="98"/>
        <v>-0.25000000000000006</v>
      </c>
      <c r="N1563" s="9">
        <f t="shared" si="99"/>
        <v>-0.25</v>
      </c>
    </row>
    <row r="1564" spans="1:14" x14ac:dyDescent="0.25">
      <c r="A1564" t="str">
        <f>TEXT("1/"&amp;data!A1564,"mmmm")</f>
        <v>juin</v>
      </c>
      <c r="B1564">
        <f>data!B1564</f>
        <v>2016</v>
      </c>
      <c r="C1564" t="str">
        <f>data!C1564</f>
        <v>052</v>
      </c>
      <c r="D1564" t="str">
        <f>data!D1564</f>
        <v>GIRONDE ET GASCOGNE SARL</v>
      </c>
      <c r="E1564" t="str">
        <f>data!E1564</f>
        <v>052021</v>
      </c>
      <c r="F1564" t="str">
        <f>data!F1564</f>
        <v>CH RAMAGE LA BATISSE AC HAUT MEDOC CRU BOURGEOIS C</v>
      </c>
      <c r="G1564" s="10">
        <f>data!G1564</f>
        <v>748.8</v>
      </c>
      <c r="H1564" s="10">
        <f>data!I1564</f>
        <v>979.2</v>
      </c>
      <c r="I1564" s="10">
        <f t="shared" si="96"/>
        <v>-230.40000000000009</v>
      </c>
      <c r="J1564" s="11">
        <f>data!H1564</f>
        <v>78</v>
      </c>
      <c r="K1564" s="11">
        <f>data!J1564</f>
        <v>102</v>
      </c>
      <c r="L1564" s="11">
        <f t="shared" si="97"/>
        <v>-24</v>
      </c>
      <c r="M1564" s="9">
        <f t="shared" si="98"/>
        <v>-0.2352941176470589</v>
      </c>
      <c r="N1564" s="9">
        <f t="shared" si="99"/>
        <v>-0.23529411764705882</v>
      </c>
    </row>
    <row r="1565" spans="1:14" x14ac:dyDescent="0.25">
      <c r="A1565" t="str">
        <f>TEXT("1/"&amp;data!A1565,"mmmm")</f>
        <v>juin</v>
      </c>
      <c r="B1565">
        <f>data!B1565</f>
        <v>2016</v>
      </c>
      <c r="C1565" t="str">
        <f>data!C1565</f>
        <v>052</v>
      </c>
      <c r="D1565" t="str">
        <f>data!D1565</f>
        <v>GIRONDE ET GASCOGNE SARL</v>
      </c>
      <c r="E1565" t="str">
        <f>data!E1565</f>
        <v>052028</v>
      </c>
      <c r="F1565" t="str">
        <f>data!F1565</f>
        <v>AC BX LA ROSEE DE RAMAGE</v>
      </c>
      <c r="G1565" s="10">
        <f>data!G1565</f>
        <v>190.8</v>
      </c>
      <c r="H1565" s="10">
        <f>data!I1565</f>
        <v>349.8</v>
      </c>
      <c r="I1565" s="10">
        <f t="shared" si="96"/>
        <v>-159</v>
      </c>
      <c r="J1565" s="11">
        <f>data!H1565</f>
        <v>72</v>
      </c>
      <c r="K1565" s="11">
        <f>data!J1565</f>
        <v>132</v>
      </c>
      <c r="L1565" s="11">
        <f t="shared" si="97"/>
        <v>-60</v>
      </c>
      <c r="M1565" s="9">
        <f t="shared" si="98"/>
        <v>-0.45454545454545453</v>
      </c>
      <c r="N1565" s="9">
        <f t="shared" si="99"/>
        <v>-0.45454545454545453</v>
      </c>
    </row>
    <row r="1566" spans="1:14" x14ac:dyDescent="0.25">
      <c r="A1566" t="str">
        <f>TEXT("1/"&amp;data!A1566,"mmmm")</f>
        <v>juin</v>
      </c>
      <c r="B1566">
        <f>data!B1566</f>
        <v>2016</v>
      </c>
      <c r="C1566" t="str">
        <f>data!C1566</f>
        <v>052</v>
      </c>
      <c r="D1566" t="str">
        <f>data!D1566</f>
        <v>GIRONDE ET GASCOGNE SARL</v>
      </c>
      <c r="E1566" t="str">
        <f>data!E1566</f>
        <v>052039</v>
      </c>
      <c r="F1566" t="str">
        <f>data!F1566</f>
        <v>AC HT-MEDOC CLOS DE RAMAGE</v>
      </c>
      <c r="G1566" s="10">
        <f>data!G1566</f>
        <v>863.1</v>
      </c>
      <c r="H1566" s="10">
        <f>data!I1566</f>
        <v>1027.5</v>
      </c>
      <c r="I1566" s="10">
        <f t="shared" si="96"/>
        <v>-164.39999999999998</v>
      </c>
      <c r="J1566" s="11">
        <f>data!H1566</f>
        <v>126</v>
      </c>
      <c r="K1566" s="11">
        <f>data!J1566</f>
        <v>150</v>
      </c>
      <c r="L1566" s="11">
        <f t="shared" si="97"/>
        <v>-24</v>
      </c>
      <c r="M1566" s="9">
        <f t="shared" si="98"/>
        <v>-0.15999999999999998</v>
      </c>
      <c r="N1566" s="9">
        <f t="shared" si="99"/>
        <v>-0.16</v>
      </c>
    </row>
    <row r="1567" spans="1:14" x14ac:dyDescent="0.25">
      <c r="A1567" t="str">
        <f>TEXT("1/"&amp;data!A1567,"mmmm")</f>
        <v>juin</v>
      </c>
      <c r="B1567">
        <f>data!B1567</f>
        <v>2016</v>
      </c>
      <c r="C1567" t="str">
        <f>data!C1567</f>
        <v>052</v>
      </c>
      <c r="D1567" t="str">
        <f>data!D1567</f>
        <v>GIRONDE ET GASCOGNE SARL</v>
      </c>
      <c r="E1567" t="str">
        <f>data!E1567</f>
        <v>052046</v>
      </c>
      <c r="F1567" t="str">
        <f>data!F1567</f>
        <v>CLOS DE RAMAGE AC HAUT-MEDOC</v>
      </c>
      <c r="G1567" s="10">
        <f>data!G1567</f>
        <v>424.5</v>
      </c>
      <c r="H1567" s="10">
        <f>data!I1567</f>
        <v>169.8</v>
      </c>
      <c r="I1567" s="10">
        <f t="shared" si="96"/>
        <v>254.7</v>
      </c>
      <c r="J1567" s="11">
        <f>data!H1567</f>
        <v>60</v>
      </c>
      <c r="K1567" s="11">
        <f>data!J1567</f>
        <v>24</v>
      </c>
      <c r="L1567" s="11">
        <f t="shared" si="97"/>
        <v>36</v>
      </c>
      <c r="M1567" s="9">
        <f t="shared" si="98"/>
        <v>1.4999999999999998</v>
      </c>
      <c r="N1567" s="9">
        <f t="shared" si="99"/>
        <v>1.5</v>
      </c>
    </row>
    <row r="1568" spans="1:14" x14ac:dyDescent="0.25">
      <c r="A1568" t="str">
        <f>TEXT("1/"&amp;data!A1568,"mmmm")</f>
        <v>juin</v>
      </c>
      <c r="B1568">
        <f>data!B1568</f>
        <v>2016</v>
      </c>
      <c r="C1568" t="str">
        <f>data!C1568</f>
        <v>052</v>
      </c>
      <c r="D1568" t="str">
        <f>data!D1568</f>
        <v>GIRONDE ET GASCOGNE SARL</v>
      </c>
      <c r="E1568" t="str">
        <f>data!E1568</f>
        <v>052055</v>
      </c>
      <c r="F1568" t="str">
        <f>data!F1568</f>
        <v>AC C CASTILLON. CH BELCIER</v>
      </c>
      <c r="G1568" s="10">
        <f>data!G1568</f>
        <v>493.2</v>
      </c>
      <c r="H1568" s="10">
        <f>data!I1568</f>
        <v>246.6</v>
      </c>
      <c r="I1568" s="10">
        <f t="shared" si="96"/>
        <v>246.6</v>
      </c>
      <c r="J1568" s="11">
        <f>data!H1568</f>
        <v>72</v>
      </c>
      <c r="K1568" s="11">
        <f>data!J1568</f>
        <v>36</v>
      </c>
      <c r="L1568" s="11">
        <f t="shared" si="97"/>
        <v>36</v>
      </c>
      <c r="M1568" s="9">
        <f t="shared" si="98"/>
        <v>1</v>
      </c>
      <c r="N1568" s="9">
        <f t="shared" si="99"/>
        <v>1</v>
      </c>
    </row>
    <row r="1569" spans="1:14" x14ac:dyDescent="0.25">
      <c r="A1569" t="str">
        <f>TEXT("1/"&amp;data!A1569,"mmmm")</f>
        <v>juin</v>
      </c>
      <c r="B1569">
        <f>data!B1569</f>
        <v>2016</v>
      </c>
      <c r="C1569" t="str">
        <f>data!C1569</f>
        <v>054</v>
      </c>
      <c r="D1569" t="str">
        <f>data!D1569</f>
        <v>CHÂTEAU JEANDEMAN</v>
      </c>
      <c r="E1569" t="str">
        <f>data!E1569</f>
        <v>054002</v>
      </c>
      <c r="F1569" t="str">
        <f>data!F1569</f>
        <v>AC FRONSAC CH JEANDEMAN</v>
      </c>
      <c r="G1569" s="10">
        <f>data!G1569</f>
        <v>600</v>
      </c>
      <c r="H1569" s="10">
        <f>data!I1569</f>
        <v>432</v>
      </c>
      <c r="I1569" s="10">
        <f t="shared" si="96"/>
        <v>168</v>
      </c>
      <c r="J1569" s="11">
        <f>data!H1569</f>
        <v>120</v>
      </c>
      <c r="K1569" s="11">
        <f>data!J1569</f>
        <v>90</v>
      </c>
      <c r="L1569" s="11">
        <f t="shared" si="97"/>
        <v>30</v>
      </c>
      <c r="M1569" s="9">
        <f t="shared" si="98"/>
        <v>0.3888888888888889</v>
      </c>
      <c r="N1569" s="9">
        <f t="shared" si="99"/>
        <v>0.33333333333333331</v>
      </c>
    </row>
    <row r="1570" spans="1:14" x14ac:dyDescent="0.25">
      <c r="A1570" t="str">
        <f>TEXT("1/"&amp;data!A1570,"mmmm")</f>
        <v>juin</v>
      </c>
      <c r="B1570">
        <f>data!B1570</f>
        <v>2016</v>
      </c>
      <c r="C1570" t="str">
        <f>data!C1570</f>
        <v>054</v>
      </c>
      <c r="D1570" t="str">
        <f>data!D1570</f>
        <v>CHÂTEAU JEANDEMAN</v>
      </c>
      <c r="E1570" t="str">
        <f>data!E1570</f>
        <v>054005</v>
      </c>
      <c r="F1570" t="str">
        <f>data!F1570</f>
        <v>AC LALANDE DE POMEROL. CH LABORDE</v>
      </c>
      <c r="G1570" s="10">
        <f>data!G1570</f>
        <v>558</v>
      </c>
      <c r="H1570" s="10">
        <f>data!I1570</f>
        <v>617.4</v>
      </c>
      <c r="I1570" s="10">
        <f t="shared" si="96"/>
        <v>-59.399999999999977</v>
      </c>
      <c r="J1570" s="11">
        <f>data!H1570</f>
        <v>72</v>
      </c>
      <c r="K1570" s="11">
        <f>data!J1570</f>
        <v>84</v>
      </c>
      <c r="L1570" s="11">
        <f t="shared" si="97"/>
        <v>-12</v>
      </c>
      <c r="M1570" s="9">
        <f t="shared" si="98"/>
        <v>-9.6209912536443121E-2</v>
      </c>
      <c r="N1570" s="9">
        <f t="shared" si="99"/>
        <v>-0.14285714285714285</v>
      </c>
    </row>
    <row r="1571" spans="1:14" x14ac:dyDescent="0.25">
      <c r="A1571" t="str">
        <f>TEXT("1/"&amp;data!A1571,"mmmm")</f>
        <v>juin</v>
      </c>
      <c r="B1571">
        <f>data!B1571</f>
        <v>2016</v>
      </c>
      <c r="C1571" t="str">
        <f>data!C1571</f>
        <v>054</v>
      </c>
      <c r="D1571" t="str">
        <f>data!D1571</f>
        <v>CHÂTEAU JEANDEMAN</v>
      </c>
      <c r="E1571" t="str">
        <f>data!E1571</f>
        <v>054011</v>
      </c>
      <c r="F1571" t="str">
        <f>data!F1571</f>
        <v>AC PESSAC LEOGNAN. CH MANCEDRE</v>
      </c>
      <c r="G1571" s="10">
        <f>data!G1571</f>
        <v>373.8</v>
      </c>
      <c r="H1571" s="10">
        <f>data!I1571</f>
        <v>508.2</v>
      </c>
      <c r="I1571" s="10">
        <f t="shared" si="96"/>
        <v>-134.39999999999998</v>
      </c>
      <c r="J1571" s="11">
        <f>data!H1571</f>
        <v>42</v>
      </c>
      <c r="K1571" s="11">
        <f>data!J1571</f>
        <v>66</v>
      </c>
      <c r="L1571" s="11">
        <f t="shared" si="97"/>
        <v>-24</v>
      </c>
      <c r="M1571" s="9">
        <f t="shared" si="98"/>
        <v>-0.26446280991735532</v>
      </c>
      <c r="N1571" s="9">
        <f t="shared" si="99"/>
        <v>-0.36363636363636365</v>
      </c>
    </row>
    <row r="1572" spans="1:14" x14ac:dyDescent="0.25">
      <c r="A1572" t="str">
        <f>TEXT("1/"&amp;data!A1572,"mmmm")</f>
        <v>juin</v>
      </c>
      <c r="B1572">
        <f>data!B1572</f>
        <v>2016</v>
      </c>
      <c r="C1572" t="str">
        <f>data!C1572</f>
        <v>059</v>
      </c>
      <c r="D1572" t="str">
        <f>data!D1572</f>
        <v>CH DU ROUET</v>
      </c>
      <c r="E1572" t="str">
        <f>data!E1572</f>
        <v>059002</v>
      </c>
      <c r="F1572" t="str">
        <f>data!F1572</f>
        <v>AC C.PROVENCE. ESTERELLE .ROUET</v>
      </c>
      <c r="G1572" s="10">
        <f>data!G1572</f>
        <v>25.2</v>
      </c>
      <c r="H1572" s="10">
        <f>data!I1572</f>
        <v>655.20000000000005</v>
      </c>
      <c r="I1572" s="10">
        <f t="shared" si="96"/>
        <v>-630</v>
      </c>
      <c r="J1572" s="11">
        <f>data!H1572</f>
        <v>6</v>
      </c>
      <c r="K1572" s="11">
        <f>data!J1572</f>
        <v>156</v>
      </c>
      <c r="L1572" s="11">
        <f t="shared" si="97"/>
        <v>-150</v>
      </c>
      <c r="M1572" s="9">
        <f t="shared" si="98"/>
        <v>-0.96153846153846145</v>
      </c>
      <c r="N1572" s="9">
        <f t="shared" si="99"/>
        <v>-0.96153846153846156</v>
      </c>
    </row>
    <row r="1573" spans="1:14" x14ac:dyDescent="0.25">
      <c r="A1573" t="str">
        <f>TEXT("1/"&amp;data!A1573,"mmmm")</f>
        <v>juin</v>
      </c>
      <c r="B1573">
        <f>data!B1573</f>
        <v>2016</v>
      </c>
      <c r="C1573" t="str">
        <f>data!C1573</f>
        <v>059</v>
      </c>
      <c r="D1573" t="str">
        <f>data!D1573</f>
        <v>CH DU ROUET</v>
      </c>
      <c r="E1573" t="str">
        <f>data!E1573</f>
        <v>059004</v>
      </c>
      <c r="F1573" t="str">
        <f>data!F1573</f>
        <v>AP COTES DE PROVENCE ESTERELLE</v>
      </c>
      <c r="G1573" s="10">
        <f>data!G1573</f>
        <v>21.6</v>
      </c>
      <c r="H1573" s="10">
        <f>data!I1573</f>
        <v>42.6</v>
      </c>
      <c r="I1573" s="10">
        <f t="shared" si="96"/>
        <v>-21</v>
      </c>
      <c r="J1573" s="11">
        <f>data!H1573</f>
        <v>6</v>
      </c>
      <c r="K1573" s="11">
        <f>data!J1573</f>
        <v>12</v>
      </c>
      <c r="L1573" s="11">
        <f t="shared" si="97"/>
        <v>-6</v>
      </c>
      <c r="M1573" s="9">
        <f t="shared" si="98"/>
        <v>-0.49295774647887325</v>
      </c>
      <c r="N1573" s="9">
        <f t="shared" si="99"/>
        <v>-0.5</v>
      </c>
    </row>
    <row r="1574" spans="1:14" x14ac:dyDescent="0.25">
      <c r="A1574" t="str">
        <f>TEXT("1/"&amp;data!A1574,"mmmm")</f>
        <v>juin</v>
      </c>
      <c r="B1574">
        <f>data!B1574</f>
        <v>2016</v>
      </c>
      <c r="C1574" t="str">
        <f>data!C1574</f>
        <v>059</v>
      </c>
      <c r="D1574" t="str">
        <f>data!D1574</f>
        <v>CH DU ROUET</v>
      </c>
      <c r="E1574" t="str">
        <f>data!E1574</f>
        <v>059005</v>
      </c>
      <c r="F1574" t="str">
        <f>data!F1574</f>
        <v>AP COTES DE PROVENCE ESTERELLE</v>
      </c>
      <c r="G1574" s="10">
        <f>data!G1574</f>
        <v>129.6</v>
      </c>
      <c r="H1574" s="10">
        <f>data!I1574</f>
        <v>0</v>
      </c>
      <c r="I1574" s="10">
        <f t="shared" si="96"/>
        <v>129.6</v>
      </c>
      <c r="J1574" s="11">
        <f>data!H1574</f>
        <v>36</v>
      </c>
      <c r="K1574" s="11">
        <f>data!J1574</f>
        <v>0</v>
      </c>
      <c r="L1574" s="11">
        <f t="shared" si="97"/>
        <v>36</v>
      </c>
      <c r="M1574" s="9" t="str">
        <f t="shared" si="98"/>
        <v/>
      </c>
      <c r="N1574" s="9" t="str">
        <f t="shared" si="99"/>
        <v/>
      </c>
    </row>
    <row r="1575" spans="1:14" x14ac:dyDescent="0.25">
      <c r="A1575" t="str">
        <f>TEXT("1/"&amp;data!A1575,"mmmm")</f>
        <v>juin</v>
      </c>
      <c r="B1575">
        <f>data!B1575</f>
        <v>2016</v>
      </c>
      <c r="C1575" t="str">
        <f>data!C1575</f>
        <v>059</v>
      </c>
      <c r="D1575" t="str">
        <f>data!D1575</f>
        <v>CH DU ROUET</v>
      </c>
      <c r="E1575" t="str">
        <f>data!E1575</f>
        <v>059008</v>
      </c>
      <c r="F1575" t="str">
        <f>data!F1575</f>
        <v>AC C.PROVENCE. BELLE POULE</v>
      </c>
      <c r="G1575" s="10">
        <f>data!G1575</f>
        <v>297</v>
      </c>
      <c r="H1575" s="10">
        <f>data!I1575</f>
        <v>66</v>
      </c>
      <c r="I1575" s="10">
        <f t="shared" si="96"/>
        <v>231</v>
      </c>
      <c r="J1575" s="11">
        <f>data!H1575</f>
        <v>54</v>
      </c>
      <c r="K1575" s="11">
        <f>data!J1575</f>
        <v>18</v>
      </c>
      <c r="L1575" s="11">
        <f t="shared" si="97"/>
        <v>36</v>
      </c>
      <c r="M1575" s="9">
        <f t="shared" si="98"/>
        <v>3.5</v>
      </c>
      <c r="N1575" s="9">
        <f t="shared" si="99"/>
        <v>2</v>
      </c>
    </row>
    <row r="1576" spans="1:14" x14ac:dyDescent="0.25">
      <c r="A1576" t="str">
        <f>TEXT("1/"&amp;data!A1576,"mmmm")</f>
        <v>juin</v>
      </c>
      <c r="B1576">
        <f>data!B1576</f>
        <v>2016</v>
      </c>
      <c r="C1576" t="str">
        <f>data!C1576</f>
        <v>059</v>
      </c>
      <c r="D1576" t="str">
        <f>data!D1576</f>
        <v>CH DU ROUET</v>
      </c>
      <c r="E1576" t="str">
        <f>data!E1576</f>
        <v>059010</v>
      </c>
      <c r="F1576" t="str">
        <f>data!F1576</f>
        <v>AC C.PROVENCE. BELLE POULE</v>
      </c>
      <c r="G1576" s="10">
        <f>data!G1576</f>
        <v>198</v>
      </c>
      <c r="H1576" s="10">
        <f>data!I1576</f>
        <v>363</v>
      </c>
      <c r="I1576" s="10">
        <f t="shared" si="96"/>
        <v>-165</v>
      </c>
      <c r="J1576" s="11">
        <f>data!H1576</f>
        <v>36</v>
      </c>
      <c r="K1576" s="11">
        <f>data!J1576</f>
        <v>66</v>
      </c>
      <c r="L1576" s="11">
        <f t="shared" si="97"/>
        <v>-30</v>
      </c>
      <c r="M1576" s="9">
        <f t="shared" si="98"/>
        <v>-0.45454545454545453</v>
      </c>
      <c r="N1576" s="9">
        <f t="shared" si="99"/>
        <v>-0.45454545454545453</v>
      </c>
    </row>
    <row r="1577" spans="1:14" x14ac:dyDescent="0.25">
      <c r="A1577" t="str">
        <f>TEXT("1/"&amp;data!A1577,"mmmm")</f>
        <v>juin</v>
      </c>
      <c r="B1577">
        <f>data!B1577</f>
        <v>2016</v>
      </c>
      <c r="C1577" t="str">
        <f>data!C1577</f>
        <v>059</v>
      </c>
      <c r="D1577" t="str">
        <f>data!D1577</f>
        <v>CH DU ROUET</v>
      </c>
      <c r="E1577" t="str">
        <f>data!E1577</f>
        <v>059019</v>
      </c>
      <c r="F1577" t="str">
        <f>data!F1577</f>
        <v>AC COTES DE PROVENCE ESTERELLE</v>
      </c>
      <c r="G1577" s="10">
        <f>data!G1577</f>
        <v>191.7</v>
      </c>
      <c r="H1577" s="10">
        <f>data!I1577</f>
        <v>255.6</v>
      </c>
      <c r="I1577" s="10">
        <f t="shared" si="96"/>
        <v>-63.900000000000006</v>
      </c>
      <c r="J1577" s="11">
        <f>data!H1577</f>
        <v>54</v>
      </c>
      <c r="K1577" s="11">
        <f>data!J1577</f>
        <v>72</v>
      </c>
      <c r="L1577" s="11">
        <f t="shared" si="97"/>
        <v>-18</v>
      </c>
      <c r="M1577" s="9">
        <f t="shared" si="98"/>
        <v>-0.25000000000000006</v>
      </c>
      <c r="N1577" s="9">
        <f t="shared" si="99"/>
        <v>-0.25</v>
      </c>
    </row>
    <row r="1578" spans="1:14" x14ac:dyDescent="0.25">
      <c r="A1578" t="str">
        <f>TEXT("1/"&amp;data!A1578,"mmmm")</f>
        <v>juin</v>
      </c>
      <c r="B1578">
        <f>data!B1578</f>
        <v>2016</v>
      </c>
      <c r="C1578" t="str">
        <f>data!C1578</f>
        <v>059</v>
      </c>
      <c r="D1578" t="str">
        <f>data!D1578</f>
        <v>CH DU ROUET</v>
      </c>
      <c r="E1578" t="str">
        <f>data!E1578</f>
        <v>059020</v>
      </c>
      <c r="F1578" t="str">
        <f>data!F1578</f>
        <v>AC C.PROVENCE ESTERELLE</v>
      </c>
      <c r="G1578" s="10">
        <f>data!G1578</f>
        <v>4687.2</v>
      </c>
      <c r="H1578" s="10">
        <f>data!I1578</f>
        <v>3559.8</v>
      </c>
      <c r="I1578" s="10">
        <f t="shared" si="96"/>
        <v>1127.3999999999996</v>
      </c>
      <c r="J1578" s="11">
        <f>data!H1578</f>
        <v>1308</v>
      </c>
      <c r="K1578" s="11">
        <f>data!J1578</f>
        <v>1014</v>
      </c>
      <c r="L1578" s="11">
        <f t="shared" si="97"/>
        <v>294</v>
      </c>
      <c r="M1578" s="9">
        <f t="shared" si="98"/>
        <v>0.31670318557222304</v>
      </c>
      <c r="N1578" s="9">
        <f t="shared" si="99"/>
        <v>0.28994082840236685</v>
      </c>
    </row>
    <row r="1579" spans="1:14" x14ac:dyDescent="0.25">
      <c r="A1579" t="str">
        <f>TEXT("1/"&amp;data!A1579,"mmmm")</f>
        <v>juin</v>
      </c>
      <c r="B1579">
        <f>data!B1579</f>
        <v>2016</v>
      </c>
      <c r="C1579" t="str">
        <f>data!C1579</f>
        <v>059</v>
      </c>
      <c r="D1579" t="str">
        <f>data!D1579</f>
        <v>CH DU ROUET</v>
      </c>
      <c r="E1579" t="str">
        <f>data!E1579</f>
        <v>059021</v>
      </c>
      <c r="F1579" t="str">
        <f>data!F1579</f>
        <v>AC COTES DE PROVENCE</v>
      </c>
      <c r="G1579" s="10">
        <f>data!G1579</f>
        <v>1460.2</v>
      </c>
      <c r="H1579" s="10">
        <f>data!I1579</f>
        <v>1385.7</v>
      </c>
      <c r="I1579" s="10">
        <f t="shared" si="96"/>
        <v>74.5</v>
      </c>
      <c r="J1579" s="11">
        <f>data!H1579</f>
        <v>653.66</v>
      </c>
      <c r="K1579" s="11">
        <f>data!J1579</f>
        <v>633.65</v>
      </c>
      <c r="L1579" s="11">
        <f t="shared" si="97"/>
        <v>20.009999999999991</v>
      </c>
      <c r="M1579" s="9">
        <f t="shared" si="98"/>
        <v>5.3763440860215055E-2</v>
      </c>
      <c r="N1579" s="9">
        <f t="shared" si="99"/>
        <v>3.157894736842104E-2</v>
      </c>
    </row>
    <row r="1580" spans="1:14" x14ac:dyDescent="0.25">
      <c r="A1580" t="str">
        <f>TEXT("1/"&amp;data!A1580,"mmmm")</f>
        <v>juin</v>
      </c>
      <c r="B1580">
        <f>data!B1580</f>
        <v>2016</v>
      </c>
      <c r="C1580" t="str">
        <f>data!C1580</f>
        <v>059</v>
      </c>
      <c r="D1580" t="str">
        <f>data!D1580</f>
        <v>CH DU ROUET</v>
      </c>
      <c r="E1580" t="str">
        <f>data!E1580</f>
        <v>059024</v>
      </c>
      <c r="F1580" t="str">
        <f>data!F1580</f>
        <v>VDP MEDITERRANEE. TERES</v>
      </c>
      <c r="G1580" s="10">
        <f>data!G1580</f>
        <v>36</v>
      </c>
      <c r="H1580" s="10">
        <f>data!I1580</f>
        <v>72</v>
      </c>
      <c r="I1580" s="10">
        <f t="shared" si="96"/>
        <v>-36</v>
      </c>
      <c r="J1580" s="11">
        <f>data!H1580</f>
        <v>12</v>
      </c>
      <c r="K1580" s="11">
        <f>data!J1580</f>
        <v>24</v>
      </c>
      <c r="L1580" s="11">
        <f t="shared" si="97"/>
        <v>-12</v>
      </c>
      <c r="M1580" s="9">
        <f t="shared" si="98"/>
        <v>-0.5</v>
      </c>
      <c r="N1580" s="9">
        <f t="shared" si="99"/>
        <v>-0.5</v>
      </c>
    </row>
    <row r="1581" spans="1:14" x14ac:dyDescent="0.25">
      <c r="A1581" t="str">
        <f>TEXT("1/"&amp;data!A1581,"mmmm")</f>
        <v>juin</v>
      </c>
      <c r="B1581">
        <f>data!B1581</f>
        <v>2016</v>
      </c>
      <c r="C1581" t="str">
        <f>data!C1581</f>
        <v>059</v>
      </c>
      <c r="D1581" t="str">
        <f>data!D1581</f>
        <v>CH DU ROUET</v>
      </c>
      <c r="E1581" t="str">
        <f>data!E1581</f>
        <v>059025</v>
      </c>
      <c r="F1581" t="str">
        <f>data!F1581</f>
        <v>VDP MEDITERRANEE TERES</v>
      </c>
      <c r="G1581" s="10">
        <f>data!G1581</f>
        <v>5170.5</v>
      </c>
      <c r="H1581" s="10">
        <f>data!I1581</f>
        <v>6534</v>
      </c>
      <c r="I1581" s="10">
        <f t="shared" si="96"/>
        <v>-1363.5</v>
      </c>
      <c r="J1581" s="11">
        <f>data!H1581</f>
        <v>2334</v>
      </c>
      <c r="K1581" s="11">
        <f>data!J1581</f>
        <v>2934</v>
      </c>
      <c r="L1581" s="11">
        <f t="shared" si="97"/>
        <v>-600</v>
      </c>
      <c r="M1581" s="9">
        <f t="shared" si="98"/>
        <v>-0.20867768595041322</v>
      </c>
      <c r="N1581" s="9">
        <f t="shared" si="99"/>
        <v>-0.20449897750511248</v>
      </c>
    </row>
    <row r="1582" spans="1:14" x14ac:dyDescent="0.25">
      <c r="A1582" t="str">
        <f>TEXT("1/"&amp;data!A1582,"mmmm")</f>
        <v>juin</v>
      </c>
      <c r="B1582">
        <f>data!B1582</f>
        <v>2016</v>
      </c>
      <c r="C1582" t="str">
        <f>data!C1582</f>
        <v>059</v>
      </c>
      <c r="D1582" t="str">
        <f>data!D1582</f>
        <v>CH DU ROUET</v>
      </c>
      <c r="E1582" t="str">
        <f>data!E1582</f>
        <v>059026</v>
      </c>
      <c r="F1582" t="str">
        <f>data!F1582</f>
        <v>VDP MEDITERRANEE. TERES</v>
      </c>
      <c r="G1582" s="10">
        <f>data!G1582</f>
        <v>2605.1999999999998</v>
      </c>
      <c r="H1582" s="10">
        <f>data!I1582</f>
        <v>3059.1</v>
      </c>
      <c r="I1582" s="10">
        <f t="shared" si="96"/>
        <v>-453.90000000000009</v>
      </c>
      <c r="J1582" s="11">
        <f>data!H1582</f>
        <v>1807.57</v>
      </c>
      <c r="K1582" s="11">
        <f>data!J1582</f>
        <v>2087.71</v>
      </c>
      <c r="L1582" s="11">
        <f t="shared" si="97"/>
        <v>-280.1400000000001</v>
      </c>
      <c r="M1582" s="9">
        <f t="shared" si="98"/>
        <v>-0.1483769736196921</v>
      </c>
      <c r="N1582" s="9">
        <f t="shared" si="99"/>
        <v>-0.13418530351437705</v>
      </c>
    </row>
    <row r="1583" spans="1:14" x14ac:dyDescent="0.25">
      <c r="A1583" t="str">
        <f>TEXT("1/"&amp;data!A1583,"mmmm")</f>
        <v>juin</v>
      </c>
      <c r="B1583">
        <f>data!B1583</f>
        <v>2016</v>
      </c>
      <c r="C1583" t="str">
        <f>data!C1583</f>
        <v>059</v>
      </c>
      <c r="D1583" t="str">
        <f>data!D1583</f>
        <v>CH DU ROUET</v>
      </c>
      <c r="E1583" t="str">
        <f>data!E1583</f>
        <v>059027</v>
      </c>
      <c r="F1583" t="str">
        <f>data!F1583</f>
        <v>IGP MEDITERRANEE TERES</v>
      </c>
      <c r="G1583" s="10">
        <f>data!G1583</f>
        <v>135.19999999999999</v>
      </c>
      <c r="H1583" s="10">
        <f>data!I1583</f>
        <v>0</v>
      </c>
      <c r="I1583" s="10">
        <f t="shared" si="96"/>
        <v>135.19999999999999</v>
      </c>
      <c r="J1583" s="11">
        <f>data!H1583</f>
        <v>106.64</v>
      </c>
      <c r="K1583" s="11">
        <f>data!J1583</f>
        <v>0</v>
      </c>
      <c r="L1583" s="11">
        <f t="shared" si="97"/>
        <v>106.64</v>
      </c>
      <c r="M1583" s="9" t="str">
        <f t="shared" si="98"/>
        <v/>
      </c>
      <c r="N1583" s="9" t="str">
        <f t="shared" si="99"/>
        <v/>
      </c>
    </row>
    <row r="1584" spans="1:14" x14ac:dyDescent="0.25">
      <c r="A1584" t="str">
        <f>TEXT("1/"&amp;data!A1584,"mmmm")</f>
        <v>juin</v>
      </c>
      <c r="B1584">
        <f>data!B1584</f>
        <v>2016</v>
      </c>
      <c r="C1584" t="str">
        <f>data!C1584</f>
        <v>059</v>
      </c>
      <c r="D1584" t="str">
        <f>data!D1584</f>
        <v>CH DU ROUET</v>
      </c>
      <c r="E1584" t="str">
        <f>data!E1584</f>
        <v>059028</v>
      </c>
      <c r="F1584" t="str">
        <f>data!F1584</f>
        <v>VDP MEDITERRANEE. TERES</v>
      </c>
      <c r="G1584" s="10">
        <f>data!G1584</f>
        <v>15.5</v>
      </c>
      <c r="H1584" s="10">
        <f>data!I1584</f>
        <v>0</v>
      </c>
      <c r="I1584" s="10">
        <f t="shared" si="96"/>
        <v>15.5</v>
      </c>
      <c r="J1584" s="11">
        <f>data!H1584</f>
        <v>4</v>
      </c>
      <c r="K1584" s="11">
        <f>data!J1584</f>
        <v>0</v>
      </c>
      <c r="L1584" s="11">
        <f t="shared" si="97"/>
        <v>4</v>
      </c>
      <c r="M1584" s="9" t="str">
        <f t="shared" si="98"/>
        <v/>
      </c>
      <c r="N1584" s="9" t="str">
        <f t="shared" si="99"/>
        <v/>
      </c>
    </row>
    <row r="1585" spans="1:14" x14ac:dyDescent="0.25">
      <c r="A1585" t="str">
        <f>TEXT("1/"&amp;data!A1585,"mmmm")</f>
        <v>juin</v>
      </c>
      <c r="B1585">
        <f>data!B1585</f>
        <v>2016</v>
      </c>
      <c r="C1585" t="str">
        <f>data!C1585</f>
        <v>059</v>
      </c>
      <c r="D1585" t="str">
        <f>data!D1585</f>
        <v>CH DU ROUET</v>
      </c>
      <c r="E1585" t="str">
        <f>data!E1585</f>
        <v>059101</v>
      </c>
      <c r="F1585" t="str">
        <f>data!F1585</f>
        <v>ICE PAMPLOON ROSE PAMPLEMOUSSE</v>
      </c>
      <c r="G1585" s="10">
        <f>data!G1585</f>
        <v>237.6</v>
      </c>
      <c r="H1585" s="10">
        <f>data!I1585</f>
        <v>86.4</v>
      </c>
      <c r="I1585" s="10">
        <f t="shared" si="96"/>
        <v>151.19999999999999</v>
      </c>
      <c r="J1585" s="11">
        <f>data!H1585</f>
        <v>132</v>
      </c>
      <c r="K1585" s="11">
        <f>data!J1585</f>
        <v>48</v>
      </c>
      <c r="L1585" s="11">
        <f t="shared" si="97"/>
        <v>84</v>
      </c>
      <c r="M1585" s="9">
        <f t="shared" si="98"/>
        <v>1.7499999999999998</v>
      </c>
      <c r="N1585" s="9">
        <f t="shared" si="99"/>
        <v>1.75</v>
      </c>
    </row>
    <row r="1586" spans="1:14" x14ac:dyDescent="0.25">
      <c r="A1586" t="str">
        <f>TEXT("1/"&amp;data!A1586,"mmmm")</f>
        <v>juin</v>
      </c>
      <c r="B1586">
        <f>data!B1586</f>
        <v>2016</v>
      </c>
      <c r="C1586" t="str">
        <f>data!C1586</f>
        <v>059</v>
      </c>
      <c r="D1586" t="str">
        <f>data!D1586</f>
        <v>CH DU ROUET</v>
      </c>
      <c r="E1586" t="str">
        <f>data!E1586</f>
        <v>059103</v>
      </c>
      <c r="F1586" t="str">
        <f>data!F1586</f>
        <v>ICE GRIOTTES ROUGE</v>
      </c>
      <c r="G1586" s="10">
        <f>data!G1586</f>
        <v>21.6</v>
      </c>
      <c r="H1586" s="10">
        <f>data!I1586</f>
        <v>43.2</v>
      </c>
      <c r="I1586" s="10">
        <f t="shared" si="96"/>
        <v>-21.6</v>
      </c>
      <c r="J1586" s="11">
        <f>data!H1586</f>
        <v>12</v>
      </c>
      <c r="K1586" s="11">
        <f>data!J1586</f>
        <v>24</v>
      </c>
      <c r="L1586" s="11">
        <f t="shared" si="97"/>
        <v>-12</v>
      </c>
      <c r="M1586" s="9">
        <f t="shared" si="98"/>
        <v>-0.5</v>
      </c>
      <c r="N1586" s="9">
        <f t="shared" si="99"/>
        <v>-0.5</v>
      </c>
    </row>
    <row r="1587" spans="1:14" x14ac:dyDescent="0.25">
      <c r="A1587" t="str">
        <f>TEXT("1/"&amp;data!A1587,"mmmm")</f>
        <v>juin</v>
      </c>
      <c r="B1587">
        <f>data!B1587</f>
        <v>2016</v>
      </c>
      <c r="C1587" t="str">
        <f>data!C1587</f>
        <v>059</v>
      </c>
      <c r="D1587" t="str">
        <f>data!D1587</f>
        <v>CH DU ROUET</v>
      </c>
      <c r="E1587" t="str">
        <f>data!E1587</f>
        <v>059104</v>
      </c>
      <c r="F1587" t="str">
        <f>data!F1587</f>
        <v>ICE PAMPLOON BUBBLES</v>
      </c>
      <c r="G1587" s="10">
        <f>data!G1587</f>
        <v>155.4</v>
      </c>
      <c r="H1587" s="10">
        <f>data!I1587</f>
        <v>22.2</v>
      </c>
      <c r="I1587" s="10">
        <f t="shared" si="96"/>
        <v>133.20000000000002</v>
      </c>
      <c r="J1587" s="11">
        <f>data!H1587</f>
        <v>42</v>
      </c>
      <c r="K1587" s="11">
        <f>data!J1587</f>
        <v>6</v>
      </c>
      <c r="L1587" s="11">
        <f t="shared" si="97"/>
        <v>36</v>
      </c>
      <c r="M1587" s="9">
        <f t="shared" si="98"/>
        <v>6.0000000000000009</v>
      </c>
      <c r="N1587" s="9">
        <f t="shared" si="99"/>
        <v>6</v>
      </c>
    </row>
    <row r="1588" spans="1:14" x14ac:dyDescent="0.25">
      <c r="A1588" t="str">
        <f>TEXT("1/"&amp;data!A1588,"mmmm")</f>
        <v>juin</v>
      </c>
      <c r="B1588">
        <f>data!B1588</f>
        <v>2016</v>
      </c>
      <c r="C1588" t="str">
        <f>data!C1588</f>
        <v>060</v>
      </c>
      <c r="D1588" t="str">
        <f>data!D1588</f>
        <v>GIRARD JM ET NOEL</v>
      </c>
      <c r="E1588" t="str">
        <f>data!E1588</f>
        <v>060015</v>
      </c>
      <c r="F1588" t="str">
        <f>data!F1588</f>
        <v>AC SAUMUR CHAMP. D VX BOURG</v>
      </c>
      <c r="G1588" s="10">
        <f>data!G1588</f>
        <v>830.28</v>
      </c>
      <c r="H1588" s="10">
        <f>data!I1588</f>
        <v>1168.8</v>
      </c>
      <c r="I1588" s="10">
        <f t="shared" si="96"/>
        <v>-338.52</v>
      </c>
      <c r="J1588" s="11">
        <f>data!H1588</f>
        <v>228</v>
      </c>
      <c r="K1588" s="11">
        <f>data!J1588</f>
        <v>330</v>
      </c>
      <c r="L1588" s="11">
        <f t="shared" si="97"/>
        <v>-102</v>
      </c>
      <c r="M1588" s="9">
        <f t="shared" si="98"/>
        <v>-0.28963039014373715</v>
      </c>
      <c r="N1588" s="9">
        <f t="shared" si="99"/>
        <v>-0.30909090909090908</v>
      </c>
    </row>
    <row r="1589" spans="1:14" x14ac:dyDescent="0.25">
      <c r="A1589" t="str">
        <f>TEXT("1/"&amp;data!A1589,"mmmm")</f>
        <v>juin</v>
      </c>
      <c r="B1589">
        <f>data!B1589</f>
        <v>2016</v>
      </c>
      <c r="C1589" t="str">
        <f>data!C1589</f>
        <v>060</v>
      </c>
      <c r="D1589" t="str">
        <f>data!D1589</f>
        <v>GIRARD JM ET NOEL</v>
      </c>
      <c r="E1589" t="str">
        <f>data!E1589</f>
        <v>060016</v>
      </c>
      <c r="F1589" t="str">
        <f>data!F1589</f>
        <v>AC SAUMUR CHAMP. D VX BOURG</v>
      </c>
      <c r="G1589" s="10">
        <f>data!G1589</f>
        <v>85.32</v>
      </c>
      <c r="H1589" s="10">
        <f>data!I1589</f>
        <v>133.19999999999999</v>
      </c>
      <c r="I1589" s="10">
        <f t="shared" si="96"/>
        <v>-47.879999999999995</v>
      </c>
      <c r="J1589" s="11">
        <f>data!H1589</f>
        <v>18</v>
      </c>
      <c r="K1589" s="11">
        <f>data!J1589</f>
        <v>30</v>
      </c>
      <c r="L1589" s="11">
        <f t="shared" si="97"/>
        <v>-12</v>
      </c>
      <c r="M1589" s="9">
        <f t="shared" si="98"/>
        <v>-0.35945945945945945</v>
      </c>
      <c r="N1589" s="9">
        <f t="shared" si="99"/>
        <v>-0.4</v>
      </c>
    </row>
    <row r="1590" spans="1:14" x14ac:dyDescent="0.25">
      <c r="A1590" t="str">
        <f>TEXT("1/"&amp;data!A1590,"mmmm")</f>
        <v>juin</v>
      </c>
      <c r="B1590">
        <f>data!B1590</f>
        <v>2016</v>
      </c>
      <c r="C1590" t="str">
        <f>data!C1590</f>
        <v>062</v>
      </c>
      <c r="D1590" t="str">
        <f>data!D1590</f>
        <v>CHATEAU CARBON D'ARTIGUES</v>
      </c>
      <c r="E1590" t="str">
        <f>data!E1590</f>
        <v>062001</v>
      </c>
      <c r="F1590" t="str">
        <f>data!F1590</f>
        <v>AC GRAVES CARBON D'ARTIGUES</v>
      </c>
      <c r="G1590" s="10">
        <f>data!G1590</f>
        <v>120</v>
      </c>
      <c r="H1590" s="10">
        <f>data!I1590</f>
        <v>612</v>
      </c>
      <c r="I1590" s="10">
        <f t="shared" si="96"/>
        <v>-492</v>
      </c>
      <c r="J1590" s="11">
        <f>data!H1590</f>
        <v>24</v>
      </c>
      <c r="K1590" s="11">
        <f>data!J1590</f>
        <v>120</v>
      </c>
      <c r="L1590" s="11">
        <f t="shared" si="97"/>
        <v>-96</v>
      </c>
      <c r="M1590" s="9">
        <f t="shared" si="98"/>
        <v>-0.80392156862745101</v>
      </c>
      <c r="N1590" s="9">
        <f t="shared" si="99"/>
        <v>-0.8</v>
      </c>
    </row>
    <row r="1591" spans="1:14" x14ac:dyDescent="0.25">
      <c r="A1591" t="str">
        <f>TEXT("1/"&amp;data!A1591,"mmmm")</f>
        <v>juin</v>
      </c>
      <c r="B1591">
        <f>data!B1591</f>
        <v>2016</v>
      </c>
      <c r="C1591" t="str">
        <f>data!C1591</f>
        <v>062</v>
      </c>
      <c r="D1591" t="str">
        <f>data!D1591</f>
        <v>CHATEAU CARBON D'ARTIGUES</v>
      </c>
      <c r="E1591" t="str">
        <f>data!E1591</f>
        <v>062002</v>
      </c>
      <c r="F1591" t="str">
        <f>data!F1591</f>
        <v>AC GRAVES. CARBON D'ARTIGUES</v>
      </c>
      <c r="G1591" s="10">
        <f>data!G1591</f>
        <v>110.4</v>
      </c>
      <c r="H1591" s="10">
        <f>data!I1591</f>
        <v>108</v>
      </c>
      <c r="I1591" s="10">
        <f t="shared" si="96"/>
        <v>2.4000000000000057</v>
      </c>
      <c r="J1591" s="11">
        <f>data!H1591</f>
        <v>24</v>
      </c>
      <c r="K1591" s="11">
        <f>data!J1591</f>
        <v>24</v>
      </c>
      <c r="L1591" s="11">
        <f t="shared" si="97"/>
        <v>0</v>
      </c>
      <c r="M1591" s="9">
        <f t="shared" si="98"/>
        <v>2.2222222222222275E-2</v>
      </c>
      <c r="N1591" s="9">
        <f t="shared" si="99"/>
        <v>0</v>
      </c>
    </row>
    <row r="1592" spans="1:14" x14ac:dyDescent="0.25">
      <c r="A1592" t="str">
        <f>TEXT("1/"&amp;data!A1592,"mmmm")</f>
        <v>juin</v>
      </c>
      <c r="B1592">
        <f>data!B1592</f>
        <v>2016</v>
      </c>
      <c r="C1592" t="str">
        <f>data!C1592</f>
        <v>062</v>
      </c>
      <c r="D1592" t="str">
        <f>data!D1592</f>
        <v>CHATEAU CARBON D'ARTIGUES</v>
      </c>
      <c r="E1592" t="str">
        <f>data!E1592</f>
        <v>062003</v>
      </c>
      <c r="F1592" t="str">
        <f>data!F1592</f>
        <v>AC GRAVES. CARBON D'ARTIGUES</v>
      </c>
      <c r="G1592" s="10">
        <f>data!G1592</f>
        <v>2560.8000000000002</v>
      </c>
      <c r="H1592" s="10">
        <f>data!I1592</f>
        <v>4282.8</v>
      </c>
      <c r="I1592" s="10">
        <f t="shared" si="96"/>
        <v>-1722</v>
      </c>
      <c r="J1592" s="11">
        <f>data!H1592</f>
        <v>582</v>
      </c>
      <c r="K1592" s="11">
        <f>data!J1592</f>
        <v>996</v>
      </c>
      <c r="L1592" s="11">
        <f t="shared" si="97"/>
        <v>-414</v>
      </c>
      <c r="M1592" s="9">
        <f t="shared" si="98"/>
        <v>-0.40207340991874474</v>
      </c>
      <c r="N1592" s="9">
        <f t="shared" si="99"/>
        <v>-0.41566265060240964</v>
      </c>
    </row>
    <row r="1593" spans="1:14" x14ac:dyDescent="0.25">
      <c r="A1593" t="str">
        <f>TEXT("1/"&amp;data!A1593,"mmmm")</f>
        <v>juin</v>
      </c>
      <c r="B1593">
        <f>data!B1593</f>
        <v>2016</v>
      </c>
      <c r="C1593" t="str">
        <f>data!C1593</f>
        <v>062</v>
      </c>
      <c r="D1593" t="str">
        <f>data!D1593</f>
        <v>CHATEAU CARBON D'ARTIGUES</v>
      </c>
      <c r="E1593" t="str">
        <f>data!E1593</f>
        <v>062021</v>
      </c>
      <c r="F1593" t="str">
        <f>data!F1593</f>
        <v>AC GRAVES. CARBON D'ARTIGUES</v>
      </c>
      <c r="G1593" s="10">
        <f>data!G1593</f>
        <v>518.4</v>
      </c>
      <c r="H1593" s="10">
        <f>data!I1593</f>
        <v>530.70000000000005</v>
      </c>
      <c r="I1593" s="10">
        <f t="shared" si="96"/>
        <v>-12.300000000000068</v>
      </c>
      <c r="J1593" s="11">
        <f>data!H1593</f>
        <v>162</v>
      </c>
      <c r="K1593" s="11">
        <f>data!J1593</f>
        <v>174</v>
      </c>
      <c r="L1593" s="11">
        <f t="shared" si="97"/>
        <v>-12</v>
      </c>
      <c r="M1593" s="9">
        <f t="shared" si="98"/>
        <v>-2.317693612210301E-2</v>
      </c>
      <c r="N1593" s="9">
        <f t="shared" si="99"/>
        <v>-6.8965517241379309E-2</v>
      </c>
    </row>
    <row r="1594" spans="1:14" x14ac:dyDescent="0.25">
      <c r="A1594" t="str">
        <f>TEXT("1/"&amp;data!A1594,"mmmm")</f>
        <v>juin</v>
      </c>
      <c r="B1594">
        <f>data!B1594</f>
        <v>2016</v>
      </c>
      <c r="C1594" t="str">
        <f>data!C1594</f>
        <v>062</v>
      </c>
      <c r="D1594" t="str">
        <f>data!D1594</f>
        <v>CHATEAU CARBON D'ARTIGUES</v>
      </c>
      <c r="E1594" t="str">
        <f>data!E1594</f>
        <v>062030</v>
      </c>
      <c r="F1594" t="str">
        <f>data!F1594</f>
        <v>AC CADILLAC CH LA PASSONNE</v>
      </c>
      <c r="G1594" s="10">
        <f>data!G1594</f>
        <v>28.8</v>
      </c>
      <c r="H1594" s="10">
        <f>data!I1594</f>
        <v>144</v>
      </c>
      <c r="I1594" s="10">
        <f t="shared" si="96"/>
        <v>-115.2</v>
      </c>
      <c r="J1594" s="11">
        <f>data!H1594</f>
        <v>6</v>
      </c>
      <c r="K1594" s="11">
        <f>data!J1594</f>
        <v>30</v>
      </c>
      <c r="L1594" s="11">
        <f t="shared" si="97"/>
        <v>-24</v>
      </c>
      <c r="M1594" s="9">
        <f t="shared" si="98"/>
        <v>-0.8</v>
      </c>
      <c r="N1594" s="9">
        <f t="shared" si="99"/>
        <v>-0.8</v>
      </c>
    </row>
    <row r="1595" spans="1:14" x14ac:dyDescent="0.25">
      <c r="A1595" t="str">
        <f>TEXT("1/"&amp;data!A1595,"mmmm")</f>
        <v>juin</v>
      </c>
      <c r="B1595">
        <f>data!B1595</f>
        <v>2016</v>
      </c>
      <c r="C1595" t="str">
        <f>data!C1595</f>
        <v>062</v>
      </c>
      <c r="D1595" t="str">
        <f>data!D1595</f>
        <v>CHATEAU CARBON D'ARTIGUES</v>
      </c>
      <c r="E1595" t="str">
        <f>data!E1595</f>
        <v>062031</v>
      </c>
      <c r="F1595" t="str">
        <f>data!F1595</f>
        <v>AC GRAVES CUVEE PRESTIGE</v>
      </c>
      <c r="G1595" s="10">
        <f>data!G1595</f>
        <v>0</v>
      </c>
      <c r="H1595" s="10">
        <f>data!I1595</f>
        <v>0</v>
      </c>
      <c r="I1595" s="10">
        <f t="shared" si="96"/>
        <v>0</v>
      </c>
      <c r="J1595" s="11">
        <f>data!H1595</f>
        <v>-6</v>
      </c>
      <c r="K1595" s="11">
        <f>data!J1595</f>
        <v>0</v>
      </c>
      <c r="L1595" s="11">
        <f t="shared" si="97"/>
        <v>-6</v>
      </c>
      <c r="M1595" s="9" t="str">
        <f t="shared" si="98"/>
        <v/>
      </c>
      <c r="N1595" s="9" t="str">
        <f t="shared" si="99"/>
        <v/>
      </c>
    </row>
    <row r="1596" spans="1:14" x14ac:dyDescent="0.25">
      <c r="A1596" t="str">
        <f>TEXT("1/"&amp;data!A1596,"mmmm")</f>
        <v>juin</v>
      </c>
      <c r="B1596">
        <f>data!B1596</f>
        <v>2016</v>
      </c>
      <c r="C1596" t="str">
        <f>data!C1596</f>
        <v>062</v>
      </c>
      <c r="D1596" t="str">
        <f>data!D1596</f>
        <v>CHATEAU CARBON D'ARTIGUES</v>
      </c>
      <c r="E1596" t="str">
        <f>data!E1596</f>
        <v>062032</v>
      </c>
      <c r="F1596" t="str">
        <f>data!F1596</f>
        <v>AOP GRAVES CH CARBON D'ARTIGUES</v>
      </c>
      <c r="G1596" s="10">
        <f>data!G1596</f>
        <v>2400</v>
      </c>
      <c r="H1596" s="10">
        <f>data!I1596</f>
        <v>1798</v>
      </c>
      <c r="I1596" s="10">
        <f t="shared" si="96"/>
        <v>602</v>
      </c>
      <c r="J1596" s="11">
        <f>data!H1596</f>
        <v>1073.8699999999999</v>
      </c>
      <c r="K1596" s="11">
        <f>data!J1596</f>
        <v>880.43999999999994</v>
      </c>
      <c r="L1596" s="11">
        <f t="shared" si="97"/>
        <v>193.42999999999995</v>
      </c>
      <c r="M1596" s="9">
        <f t="shared" si="98"/>
        <v>0.33481646273637372</v>
      </c>
      <c r="N1596" s="9">
        <f t="shared" si="99"/>
        <v>0.21969696969696967</v>
      </c>
    </row>
    <row r="1597" spans="1:14" x14ac:dyDescent="0.25">
      <c r="A1597" t="str">
        <f>TEXT("1/"&amp;data!A1597,"mmmm")</f>
        <v>juin</v>
      </c>
      <c r="B1597">
        <f>data!B1597</f>
        <v>2016</v>
      </c>
      <c r="C1597" t="str">
        <f>data!C1597</f>
        <v>074</v>
      </c>
      <c r="D1597" t="str">
        <f>data!D1597</f>
        <v>CAVE DE GIGONDAS</v>
      </c>
      <c r="E1597" t="str">
        <f>data!E1597</f>
        <v>074012</v>
      </c>
      <c r="F1597" t="str">
        <f>data!F1597</f>
        <v>AC GIGONDAS LA REFENCE</v>
      </c>
      <c r="G1597" s="10">
        <f>data!G1597</f>
        <v>775.2</v>
      </c>
      <c r="H1597" s="10">
        <f>data!I1597</f>
        <v>912</v>
      </c>
      <c r="I1597" s="10">
        <f t="shared" si="96"/>
        <v>-136.79999999999995</v>
      </c>
      <c r="J1597" s="11">
        <f>data!H1597</f>
        <v>102</v>
      </c>
      <c r="K1597" s="11">
        <f>data!J1597</f>
        <v>120</v>
      </c>
      <c r="L1597" s="11">
        <f t="shared" si="97"/>
        <v>-18</v>
      </c>
      <c r="M1597" s="9">
        <f t="shared" si="98"/>
        <v>-0.14999999999999994</v>
      </c>
      <c r="N1597" s="9">
        <f t="shared" si="99"/>
        <v>-0.15</v>
      </c>
    </row>
    <row r="1598" spans="1:14" x14ac:dyDescent="0.25">
      <c r="A1598" t="str">
        <f>TEXT("1/"&amp;data!A1598,"mmmm")</f>
        <v>juin</v>
      </c>
      <c r="B1598">
        <f>data!B1598</f>
        <v>2016</v>
      </c>
      <c r="C1598" t="str">
        <f>data!C1598</f>
        <v>074</v>
      </c>
      <c r="D1598" t="str">
        <f>data!D1598</f>
        <v>CAVE DE GIGONDAS</v>
      </c>
      <c r="E1598" t="str">
        <f>data!E1598</f>
        <v>074013</v>
      </c>
      <c r="F1598" t="str">
        <f>data!F1598</f>
        <v>AC B DE VENISE TERRISSIMO</v>
      </c>
      <c r="G1598" s="10">
        <f>data!G1598</f>
        <v>1729.8</v>
      </c>
      <c r="H1598" s="10">
        <f>data!I1598</f>
        <v>1214.4000000000001</v>
      </c>
      <c r="I1598" s="10">
        <f t="shared" si="96"/>
        <v>515.39999999999986</v>
      </c>
      <c r="J1598" s="11">
        <f>data!H1598</f>
        <v>372</v>
      </c>
      <c r="K1598" s="11">
        <f>data!J1598</f>
        <v>264</v>
      </c>
      <c r="L1598" s="11">
        <f t="shared" si="97"/>
        <v>108</v>
      </c>
      <c r="M1598" s="9">
        <f t="shared" si="98"/>
        <v>0.42440711462450581</v>
      </c>
      <c r="N1598" s="9">
        <f t="shared" si="99"/>
        <v>0.40909090909090912</v>
      </c>
    </row>
    <row r="1599" spans="1:14" x14ac:dyDescent="0.25">
      <c r="A1599" t="str">
        <f>TEXT("1/"&amp;data!A1599,"mmmm")</f>
        <v>juin</v>
      </c>
      <c r="B1599">
        <f>data!B1599</f>
        <v>2016</v>
      </c>
      <c r="C1599" t="str">
        <f>data!C1599</f>
        <v>074</v>
      </c>
      <c r="D1599" t="str">
        <f>data!D1599</f>
        <v>CAVE DE GIGONDAS</v>
      </c>
      <c r="E1599" t="str">
        <f>data!E1599</f>
        <v>074029</v>
      </c>
      <c r="F1599" t="str">
        <f>data!F1599</f>
        <v>VDN MUSCAT BEAUME DE VENISE</v>
      </c>
      <c r="G1599" s="10">
        <f>data!G1599</f>
        <v>184.8</v>
      </c>
      <c r="H1599" s="10">
        <f>data!I1599</f>
        <v>0</v>
      </c>
      <c r="I1599" s="10">
        <f t="shared" si="96"/>
        <v>184.8</v>
      </c>
      <c r="J1599" s="11">
        <f>data!H1599</f>
        <v>24</v>
      </c>
      <c r="K1599" s="11">
        <f>data!J1599</f>
        <v>0</v>
      </c>
      <c r="L1599" s="11">
        <f t="shared" si="97"/>
        <v>24</v>
      </c>
      <c r="M1599" s="9" t="str">
        <f t="shared" si="98"/>
        <v/>
      </c>
      <c r="N1599" s="9" t="str">
        <f t="shared" si="99"/>
        <v/>
      </c>
    </row>
    <row r="1600" spans="1:14" x14ac:dyDescent="0.25">
      <c r="A1600" t="str">
        <f>TEXT("1/"&amp;data!A1600,"mmmm")</f>
        <v>juin</v>
      </c>
      <c r="B1600">
        <f>data!B1600</f>
        <v>2016</v>
      </c>
      <c r="C1600" t="str">
        <f>data!C1600</f>
        <v>075</v>
      </c>
      <c r="D1600" t="str">
        <f>data!D1600</f>
        <v>CHATEAU LE BREUIL RENAISSANCE</v>
      </c>
      <c r="E1600" t="str">
        <f>data!E1600</f>
        <v>075002</v>
      </c>
      <c r="F1600" t="str">
        <f>data!F1600</f>
        <v>AC MEDOC. CH.BREUIL RENAISSANCE</v>
      </c>
      <c r="G1600" s="10">
        <f>data!G1600</f>
        <v>1220.0999999999999</v>
      </c>
      <c r="H1600" s="10">
        <f>data!I1600</f>
        <v>1423.08</v>
      </c>
      <c r="I1600" s="10">
        <f t="shared" si="96"/>
        <v>-202.98000000000002</v>
      </c>
      <c r="J1600" s="11">
        <f>data!H1600</f>
        <v>300</v>
      </c>
      <c r="K1600" s="11">
        <f>data!J1600</f>
        <v>360</v>
      </c>
      <c r="L1600" s="11">
        <f t="shared" si="97"/>
        <v>-60</v>
      </c>
      <c r="M1600" s="9">
        <f t="shared" si="98"/>
        <v>-0.14263428619613797</v>
      </c>
      <c r="N1600" s="9">
        <f t="shared" si="99"/>
        <v>-0.16666666666666666</v>
      </c>
    </row>
    <row r="1601" spans="1:14" x14ac:dyDescent="0.25">
      <c r="A1601" t="str">
        <f>TEXT("1/"&amp;data!A1601,"mmmm")</f>
        <v>juin</v>
      </c>
      <c r="B1601">
        <f>data!B1601</f>
        <v>2016</v>
      </c>
      <c r="C1601" t="str">
        <f>data!C1601</f>
        <v>075</v>
      </c>
      <c r="D1601" t="str">
        <f>data!D1601</f>
        <v>CHATEAU LE BREUIL RENAISSANCE</v>
      </c>
      <c r="E1601" t="str">
        <f>data!E1601</f>
        <v>075004</v>
      </c>
      <c r="F1601" t="str">
        <f>data!F1601</f>
        <v>AC MEDOC. CH.BREUIL RENAISSANCE</v>
      </c>
      <c r="G1601" s="10">
        <f>data!G1601</f>
        <v>285.89999999999998</v>
      </c>
      <c r="H1601" s="10">
        <f>data!I1601</f>
        <v>55.2</v>
      </c>
      <c r="I1601" s="10">
        <f t="shared" si="96"/>
        <v>230.7</v>
      </c>
      <c r="J1601" s="11">
        <f>data!H1601</f>
        <v>60</v>
      </c>
      <c r="K1601" s="11">
        <f>data!J1601</f>
        <v>12</v>
      </c>
      <c r="L1601" s="11">
        <f t="shared" si="97"/>
        <v>48</v>
      </c>
      <c r="M1601" s="9">
        <f t="shared" si="98"/>
        <v>4.1793478260869561</v>
      </c>
      <c r="N1601" s="9">
        <f t="shared" si="99"/>
        <v>4</v>
      </c>
    </row>
    <row r="1602" spans="1:14" x14ac:dyDescent="0.25">
      <c r="A1602" t="str">
        <f>TEXT("1/"&amp;data!A1602,"mmmm")</f>
        <v>juin</v>
      </c>
      <c r="B1602">
        <f>data!B1602</f>
        <v>2016</v>
      </c>
      <c r="C1602" t="str">
        <f>data!C1602</f>
        <v>075</v>
      </c>
      <c r="D1602" t="str">
        <f>data!D1602</f>
        <v>CHATEAU LE BREUIL RENAISSANCE</v>
      </c>
      <c r="E1602" t="str">
        <f>data!E1602</f>
        <v>075011</v>
      </c>
      <c r="F1602" t="str">
        <f>data!F1602</f>
        <v>AC MEDOC CRU.B CH LES CABANS</v>
      </c>
      <c r="G1602" s="10">
        <f>data!G1602</f>
        <v>167.4</v>
      </c>
      <c r="H1602" s="10">
        <f>data!I1602</f>
        <v>0</v>
      </c>
      <c r="I1602" s="10">
        <f t="shared" si="96"/>
        <v>167.4</v>
      </c>
      <c r="J1602" s="11">
        <f>data!H1602</f>
        <v>24</v>
      </c>
      <c r="K1602" s="11">
        <f>data!J1602</f>
        <v>0</v>
      </c>
      <c r="L1602" s="11">
        <f t="shared" si="97"/>
        <v>24</v>
      </c>
      <c r="M1602" s="9" t="str">
        <f t="shared" si="98"/>
        <v/>
      </c>
      <c r="N1602" s="9" t="str">
        <f t="shared" si="99"/>
        <v/>
      </c>
    </row>
    <row r="1603" spans="1:14" x14ac:dyDescent="0.25">
      <c r="A1603" t="str">
        <f>TEXT("1/"&amp;data!A1603,"mmmm")</f>
        <v>juin</v>
      </c>
      <c r="B1603">
        <f>data!B1603</f>
        <v>2016</v>
      </c>
      <c r="C1603" t="str">
        <f>data!C1603</f>
        <v>075</v>
      </c>
      <c r="D1603" t="str">
        <f>data!D1603</f>
        <v>CHATEAU LE BREUIL RENAISSANCE</v>
      </c>
      <c r="E1603" t="str">
        <f>data!E1603</f>
        <v>075013</v>
      </c>
      <c r="F1603" t="str">
        <f>data!F1603</f>
        <v>AC MEDOC CRU BOURGEOIS CHATEAU DES CABANS</v>
      </c>
      <c r="G1603" s="10">
        <f>data!G1603</f>
        <v>199.8</v>
      </c>
      <c r="H1603" s="10">
        <f>data!I1603</f>
        <v>530.4</v>
      </c>
      <c r="I1603" s="10">
        <f t="shared" ref="I1603:I1666" si="100">G1603-H1603</f>
        <v>-330.59999999999997</v>
      </c>
      <c r="J1603" s="11">
        <f>data!H1603</f>
        <v>36</v>
      </c>
      <c r="K1603" s="11">
        <f>data!J1603</f>
        <v>102</v>
      </c>
      <c r="L1603" s="11">
        <f t="shared" ref="L1603:L1666" si="101">J1603-K1603</f>
        <v>-66</v>
      </c>
      <c r="M1603" s="9">
        <f t="shared" ref="M1603:M1666" si="102">IF(ISERR(I1603/H1603),"",I1603/H1603)</f>
        <v>-0.62330316742081449</v>
      </c>
      <c r="N1603" s="9">
        <f t="shared" ref="N1603:N1666" si="103">IF(ISERR(L1603/K1603),"",L1603/K1603)</f>
        <v>-0.6470588235294118</v>
      </c>
    </row>
    <row r="1604" spans="1:14" x14ac:dyDescent="0.25">
      <c r="A1604" t="str">
        <f>TEXT("1/"&amp;data!A1604,"mmmm")</f>
        <v>juin</v>
      </c>
      <c r="B1604">
        <f>data!B1604</f>
        <v>2016</v>
      </c>
      <c r="C1604" t="str">
        <f>data!C1604</f>
        <v>075</v>
      </c>
      <c r="D1604" t="str">
        <f>data!D1604</f>
        <v>CHATEAU LE BREUIL RENAISSANCE</v>
      </c>
      <c r="E1604" t="str">
        <f>data!E1604</f>
        <v>CDV075005</v>
      </c>
      <c r="F1604" t="str">
        <f>data!F1604</f>
        <v>AC MEDOC CRU BOURGEOIS BREUIL RENAISSANCE</v>
      </c>
      <c r="G1604" s="10">
        <f>data!G1604</f>
        <v>120</v>
      </c>
      <c r="H1604" s="10">
        <f>data!I1604</f>
        <v>0</v>
      </c>
      <c r="I1604" s="10">
        <f t="shared" si="100"/>
        <v>120</v>
      </c>
      <c r="J1604" s="11">
        <f>data!H1604</f>
        <v>16</v>
      </c>
      <c r="K1604" s="11">
        <f>data!J1604</f>
        <v>0</v>
      </c>
      <c r="L1604" s="11">
        <f t="shared" si="101"/>
        <v>16</v>
      </c>
      <c r="M1604" s="9" t="str">
        <f t="shared" si="102"/>
        <v/>
      </c>
      <c r="N1604" s="9" t="str">
        <f t="shared" si="103"/>
        <v/>
      </c>
    </row>
    <row r="1605" spans="1:14" x14ac:dyDescent="0.25">
      <c r="A1605" t="str">
        <f>TEXT("1/"&amp;data!A1605,"mmmm")</f>
        <v>juin</v>
      </c>
      <c r="B1605">
        <f>data!B1605</f>
        <v>2016</v>
      </c>
      <c r="C1605" t="str">
        <f>data!C1605</f>
        <v>080</v>
      </c>
      <c r="D1605" t="str">
        <f>data!D1605</f>
        <v>DOMAINE DE ST PIERRE</v>
      </c>
      <c r="E1605" t="str">
        <f>data!E1605</f>
        <v>080010</v>
      </c>
      <c r="F1605" t="str">
        <f>data!F1605</f>
        <v>AC SANCERRE D.DE ST PIERRE</v>
      </c>
      <c r="G1605" s="10">
        <f>data!G1605</f>
        <v>1006.2</v>
      </c>
      <c r="H1605" s="10">
        <f>data!I1605</f>
        <v>378</v>
      </c>
      <c r="I1605" s="10">
        <f t="shared" si="100"/>
        <v>628.20000000000005</v>
      </c>
      <c r="J1605" s="11">
        <f>data!H1605</f>
        <v>156</v>
      </c>
      <c r="K1605" s="11">
        <f>data!J1605</f>
        <v>60</v>
      </c>
      <c r="L1605" s="11">
        <f t="shared" si="101"/>
        <v>96</v>
      </c>
      <c r="M1605" s="9">
        <f t="shared" si="102"/>
        <v>1.661904761904762</v>
      </c>
      <c r="N1605" s="9">
        <f t="shared" si="103"/>
        <v>1.6</v>
      </c>
    </row>
    <row r="1606" spans="1:14" x14ac:dyDescent="0.25">
      <c r="A1606" t="str">
        <f>TEXT("1/"&amp;data!A1606,"mmmm")</f>
        <v>juin</v>
      </c>
      <c r="B1606">
        <f>data!B1606</f>
        <v>2016</v>
      </c>
      <c r="C1606" t="str">
        <f>data!C1606</f>
        <v>080</v>
      </c>
      <c r="D1606" t="str">
        <f>data!D1606</f>
        <v>DOMAINE DE ST PIERRE</v>
      </c>
      <c r="E1606" t="str">
        <f>data!E1606</f>
        <v>080011</v>
      </c>
      <c r="F1606" t="str">
        <f>data!F1606</f>
        <v>AC SANCERRE D.DE ST PIERRE</v>
      </c>
      <c r="G1606" s="10">
        <f>data!G1606</f>
        <v>280.8</v>
      </c>
      <c r="H1606" s="10">
        <f>data!I1606</f>
        <v>92.4</v>
      </c>
      <c r="I1606" s="10">
        <f t="shared" si="100"/>
        <v>188.4</v>
      </c>
      <c r="J1606" s="11">
        <f>data!H1606</f>
        <v>36</v>
      </c>
      <c r="K1606" s="11">
        <f>data!J1606</f>
        <v>12</v>
      </c>
      <c r="L1606" s="11">
        <f t="shared" si="101"/>
        <v>24</v>
      </c>
      <c r="M1606" s="9">
        <f t="shared" si="102"/>
        <v>2.0389610389610389</v>
      </c>
      <c r="N1606" s="9">
        <f t="shared" si="103"/>
        <v>2</v>
      </c>
    </row>
    <row r="1607" spans="1:14" x14ac:dyDescent="0.25">
      <c r="A1607" t="str">
        <f>TEXT("1/"&amp;data!A1607,"mmmm")</f>
        <v>juin</v>
      </c>
      <c r="B1607">
        <f>data!B1607</f>
        <v>2016</v>
      </c>
      <c r="C1607" t="str">
        <f>data!C1607</f>
        <v>080</v>
      </c>
      <c r="D1607" t="str">
        <f>data!D1607</f>
        <v>DOMAINE DE ST PIERRE</v>
      </c>
      <c r="E1607" t="str">
        <f>data!E1607</f>
        <v>080015</v>
      </c>
      <c r="F1607" t="str">
        <f>data!F1607</f>
        <v>AC SANCERRE D.DE ST PIERRE</v>
      </c>
      <c r="G1607" s="10">
        <f>data!G1607</f>
        <v>160.80000000000001</v>
      </c>
      <c r="H1607" s="10">
        <f>data!I1607</f>
        <v>673.2</v>
      </c>
      <c r="I1607" s="10">
        <f t="shared" si="100"/>
        <v>-512.40000000000009</v>
      </c>
      <c r="J1607" s="11">
        <f>data!H1607</f>
        <v>24</v>
      </c>
      <c r="K1607" s="11">
        <f>data!J1607</f>
        <v>102</v>
      </c>
      <c r="L1607" s="11">
        <f t="shared" si="101"/>
        <v>-78</v>
      </c>
      <c r="M1607" s="9">
        <f t="shared" si="102"/>
        <v>-0.76114081996434946</v>
      </c>
      <c r="N1607" s="9">
        <f t="shared" si="103"/>
        <v>-0.76470588235294112</v>
      </c>
    </row>
    <row r="1608" spans="1:14" x14ac:dyDescent="0.25">
      <c r="A1608" t="str">
        <f>TEXT("1/"&amp;data!A1608,"mmmm")</f>
        <v>juin</v>
      </c>
      <c r="B1608">
        <f>data!B1608</f>
        <v>2016</v>
      </c>
      <c r="C1608" t="str">
        <f>data!C1608</f>
        <v>083</v>
      </c>
      <c r="D1608" t="str">
        <f>data!D1608</f>
        <v>LES TERROIRS D'OCCITANIE</v>
      </c>
      <c r="E1608" t="str">
        <f>data!E1608</f>
        <v>083003</v>
      </c>
      <c r="F1608" t="str">
        <f>data!F1608</f>
        <v>AC FAUGERES C.PREST DE LAURENS</v>
      </c>
      <c r="G1608" s="10">
        <f>data!G1608</f>
        <v>206.4</v>
      </c>
      <c r="H1608" s="10">
        <f>data!I1608</f>
        <v>869.4</v>
      </c>
      <c r="I1608" s="10">
        <f t="shared" si="100"/>
        <v>-663</v>
      </c>
      <c r="J1608" s="11">
        <f>data!H1608</f>
        <v>96</v>
      </c>
      <c r="K1608" s="11">
        <f>data!J1608</f>
        <v>414</v>
      </c>
      <c r="L1608" s="11">
        <f t="shared" si="101"/>
        <v>-318</v>
      </c>
      <c r="M1608" s="9">
        <f t="shared" si="102"/>
        <v>-0.76259489302967565</v>
      </c>
      <c r="N1608" s="9">
        <f t="shared" si="103"/>
        <v>-0.76811594202898548</v>
      </c>
    </row>
    <row r="1609" spans="1:14" x14ac:dyDescent="0.25">
      <c r="A1609" t="str">
        <f>TEXT("1/"&amp;data!A1609,"mmmm")</f>
        <v>juin</v>
      </c>
      <c r="B1609">
        <f>data!B1609</f>
        <v>2016</v>
      </c>
      <c r="C1609" t="str">
        <f>data!C1609</f>
        <v>084</v>
      </c>
      <c r="D1609" t="str">
        <f>data!D1609</f>
        <v>VIGNOBLE CASTELMAURE</v>
      </c>
      <c r="E1609" t="str">
        <f>data!E1609</f>
        <v>084001</v>
      </c>
      <c r="F1609" t="str">
        <f>data!F1609</f>
        <v>AC CORBIERES CASTELMAURE</v>
      </c>
      <c r="G1609" s="10">
        <f>data!G1609</f>
        <v>2310</v>
      </c>
      <c r="H1609" s="10">
        <f>data!I1609</f>
        <v>1539</v>
      </c>
      <c r="I1609" s="10">
        <f t="shared" si="100"/>
        <v>771</v>
      </c>
      <c r="J1609" s="11">
        <f>data!H1609</f>
        <v>1599.6</v>
      </c>
      <c r="K1609" s="11">
        <f>data!J1609</f>
        <v>1093.06</v>
      </c>
      <c r="L1609" s="11">
        <f t="shared" si="101"/>
        <v>506.53999999999996</v>
      </c>
      <c r="M1609" s="9">
        <f t="shared" si="102"/>
        <v>0.50097465886939574</v>
      </c>
      <c r="N1609" s="9">
        <f t="shared" si="103"/>
        <v>0.46341463414634143</v>
      </c>
    </row>
    <row r="1610" spans="1:14" x14ac:dyDescent="0.25">
      <c r="A1610" t="str">
        <f>TEXT("1/"&amp;data!A1610,"mmmm")</f>
        <v>juin</v>
      </c>
      <c r="B1610">
        <f>data!B1610</f>
        <v>2016</v>
      </c>
      <c r="C1610" t="str">
        <f>data!C1610</f>
        <v>084</v>
      </c>
      <c r="D1610" t="str">
        <f>data!D1610</f>
        <v>VIGNOBLE CASTELMAURE</v>
      </c>
      <c r="E1610" t="str">
        <f>data!E1610</f>
        <v>084002</v>
      </c>
      <c r="F1610" t="str">
        <f>data!F1610</f>
        <v>AC CORBIERES CASTELMAURE</v>
      </c>
      <c r="G1610" s="10">
        <f>data!G1610</f>
        <v>2080</v>
      </c>
      <c r="H1610" s="10">
        <f>data!I1610</f>
        <v>1628</v>
      </c>
      <c r="I1610" s="10">
        <f t="shared" si="100"/>
        <v>452</v>
      </c>
      <c r="J1610" s="11">
        <f>data!H1610</f>
        <v>1287.31</v>
      </c>
      <c r="K1610" s="11">
        <f>data!J1610</f>
        <v>1020.51</v>
      </c>
      <c r="L1610" s="11">
        <f t="shared" si="101"/>
        <v>266.79999999999995</v>
      </c>
      <c r="M1610" s="9">
        <f t="shared" si="102"/>
        <v>0.27764127764127766</v>
      </c>
      <c r="N1610" s="9">
        <f t="shared" si="103"/>
        <v>0.26143790849673199</v>
      </c>
    </row>
    <row r="1611" spans="1:14" x14ac:dyDescent="0.25">
      <c r="A1611" t="str">
        <f>TEXT("1/"&amp;data!A1611,"mmmm")</f>
        <v>juin</v>
      </c>
      <c r="B1611">
        <f>data!B1611</f>
        <v>2016</v>
      </c>
      <c r="C1611" t="str">
        <f>data!C1611</f>
        <v>084</v>
      </c>
      <c r="D1611" t="str">
        <f>data!D1611</f>
        <v>VIGNOBLE CASTELMAURE</v>
      </c>
      <c r="E1611" t="str">
        <f>data!E1611</f>
        <v>084004</v>
      </c>
      <c r="F1611" t="str">
        <f>data!F1611</f>
        <v>VDT BUVETTE CASTELMAURE (x6)</v>
      </c>
      <c r="G1611" s="10">
        <f>data!G1611</f>
        <v>579.6</v>
      </c>
      <c r="H1611" s="10">
        <f>data!I1611</f>
        <v>184.5</v>
      </c>
      <c r="I1611" s="10">
        <f t="shared" si="100"/>
        <v>395.1</v>
      </c>
      <c r="J1611" s="11">
        <f>data!H1611</f>
        <v>276</v>
      </c>
      <c r="K1611" s="11">
        <f>data!J1611</f>
        <v>90</v>
      </c>
      <c r="L1611" s="11">
        <f t="shared" si="101"/>
        <v>186</v>
      </c>
      <c r="M1611" s="9">
        <f t="shared" si="102"/>
        <v>2.1414634146341465</v>
      </c>
      <c r="N1611" s="9">
        <f t="shared" si="103"/>
        <v>2.0666666666666669</v>
      </c>
    </row>
    <row r="1612" spans="1:14" x14ac:dyDescent="0.25">
      <c r="A1612" t="str">
        <f>TEXT("1/"&amp;data!A1612,"mmmm")</f>
        <v>juin</v>
      </c>
      <c r="B1612">
        <f>data!B1612</f>
        <v>2016</v>
      </c>
      <c r="C1612" t="str">
        <f>data!C1612</f>
        <v>084</v>
      </c>
      <c r="D1612" t="str">
        <f>data!D1612</f>
        <v>VIGNOBLE CASTELMAURE</v>
      </c>
      <c r="E1612" t="str">
        <f>data!E1612</f>
        <v>084006</v>
      </c>
      <c r="F1612" t="str">
        <f>data!F1612</f>
        <v>AOP CORBIERES LE CASTELMAURE</v>
      </c>
      <c r="G1612" s="10">
        <f>data!G1612</f>
        <v>3795</v>
      </c>
      <c r="H1612" s="10">
        <f>data!I1612</f>
        <v>2106</v>
      </c>
      <c r="I1612" s="10">
        <f t="shared" si="100"/>
        <v>1689</v>
      </c>
      <c r="J1612" s="11">
        <f>data!H1612</f>
        <v>1398</v>
      </c>
      <c r="K1612" s="11">
        <f>data!J1612</f>
        <v>780</v>
      </c>
      <c r="L1612" s="11">
        <f t="shared" si="101"/>
        <v>618</v>
      </c>
      <c r="M1612" s="9">
        <f t="shared" si="102"/>
        <v>0.80199430199430199</v>
      </c>
      <c r="N1612" s="9">
        <f t="shared" si="103"/>
        <v>0.79230769230769227</v>
      </c>
    </row>
    <row r="1613" spans="1:14" x14ac:dyDescent="0.25">
      <c r="A1613" t="str">
        <f>TEXT("1/"&amp;data!A1613,"mmmm")</f>
        <v>juin</v>
      </c>
      <c r="B1613">
        <f>data!B1613</f>
        <v>2016</v>
      </c>
      <c r="C1613" t="str">
        <f>data!C1613</f>
        <v>084</v>
      </c>
      <c r="D1613" t="str">
        <f>data!D1613</f>
        <v>VIGNOBLE CASTELMAURE</v>
      </c>
      <c r="E1613" t="str">
        <f>data!E1613</f>
        <v>084007</v>
      </c>
      <c r="F1613" t="str">
        <f>data!F1613</f>
        <v>AC CORBIERES LA POMPADOUR</v>
      </c>
      <c r="G1613" s="10">
        <f>data!G1613</f>
        <v>1104</v>
      </c>
      <c r="H1613" s="10">
        <f>data!I1613</f>
        <v>567</v>
      </c>
      <c r="I1613" s="10">
        <f t="shared" si="100"/>
        <v>537</v>
      </c>
      <c r="J1613" s="11">
        <f>data!H1613</f>
        <v>240</v>
      </c>
      <c r="K1613" s="11">
        <f>data!J1613</f>
        <v>126</v>
      </c>
      <c r="L1613" s="11">
        <f t="shared" si="101"/>
        <v>114</v>
      </c>
      <c r="M1613" s="9">
        <f t="shared" si="102"/>
        <v>0.94708994708994709</v>
      </c>
      <c r="N1613" s="9">
        <f t="shared" si="103"/>
        <v>0.90476190476190477</v>
      </c>
    </row>
    <row r="1614" spans="1:14" x14ac:dyDescent="0.25">
      <c r="A1614" t="str">
        <f>TEXT("1/"&amp;data!A1614,"mmmm")</f>
        <v>juin</v>
      </c>
      <c r="B1614">
        <f>data!B1614</f>
        <v>2016</v>
      </c>
      <c r="C1614" t="str">
        <f>data!C1614</f>
        <v>084</v>
      </c>
      <c r="D1614" t="str">
        <f>data!D1614</f>
        <v>VIGNOBLE CASTELMAURE</v>
      </c>
      <c r="E1614" t="str">
        <f>data!E1614</f>
        <v>084008</v>
      </c>
      <c r="F1614" t="str">
        <f>data!F1614</f>
        <v>AC CORBIERES LA GDE CUVEE</v>
      </c>
      <c r="G1614" s="10">
        <f>data!G1614</f>
        <v>394.68</v>
      </c>
      <c r="H1614" s="10">
        <f>data!I1614</f>
        <v>70.2</v>
      </c>
      <c r="I1614" s="10">
        <f t="shared" si="100"/>
        <v>324.48</v>
      </c>
      <c r="J1614" s="11">
        <f>data!H1614</f>
        <v>66</v>
      </c>
      <c r="K1614" s="11">
        <f>data!J1614</f>
        <v>12</v>
      </c>
      <c r="L1614" s="11">
        <f t="shared" si="101"/>
        <v>54</v>
      </c>
      <c r="M1614" s="9">
        <f t="shared" si="102"/>
        <v>4.6222222222222227</v>
      </c>
      <c r="N1614" s="9">
        <f t="shared" si="103"/>
        <v>4.5</v>
      </c>
    </row>
    <row r="1615" spans="1:14" x14ac:dyDescent="0.25">
      <c r="A1615" t="str">
        <f>TEXT("1/"&amp;data!A1615,"mmmm")</f>
        <v>juin</v>
      </c>
      <c r="B1615">
        <f>data!B1615</f>
        <v>2016</v>
      </c>
      <c r="C1615" t="str">
        <f>data!C1615</f>
        <v>084</v>
      </c>
      <c r="D1615" t="str">
        <f>data!D1615</f>
        <v>VIGNOBLE CASTELMAURE</v>
      </c>
      <c r="E1615" t="str">
        <f>data!E1615</f>
        <v>084015</v>
      </c>
      <c r="F1615" t="str">
        <f>data!F1615</f>
        <v>AC CORBIERES " LE 3 "</v>
      </c>
      <c r="G1615" s="10">
        <f>data!G1615</f>
        <v>193.5</v>
      </c>
      <c r="H1615" s="10">
        <f>data!I1615</f>
        <v>0</v>
      </c>
      <c r="I1615" s="10">
        <f t="shared" si="100"/>
        <v>193.5</v>
      </c>
      <c r="J1615" s="11">
        <f>data!H1615</f>
        <v>18</v>
      </c>
      <c r="K1615" s="11">
        <f>data!J1615</f>
        <v>0</v>
      </c>
      <c r="L1615" s="11">
        <f t="shared" si="101"/>
        <v>18</v>
      </c>
      <c r="M1615" s="9" t="str">
        <f t="shared" si="102"/>
        <v/>
      </c>
      <c r="N1615" s="9" t="str">
        <f t="shared" si="103"/>
        <v/>
      </c>
    </row>
    <row r="1616" spans="1:14" x14ac:dyDescent="0.25">
      <c r="A1616" t="str">
        <f>TEXT("1/"&amp;data!A1616,"mmmm")</f>
        <v>juin</v>
      </c>
      <c r="B1616">
        <f>data!B1616</f>
        <v>2016</v>
      </c>
      <c r="C1616" t="str">
        <f>data!C1616</f>
        <v>084</v>
      </c>
      <c r="D1616" t="str">
        <f>data!D1616</f>
        <v>VIGNOBLE CASTELMAURE</v>
      </c>
      <c r="E1616" t="str">
        <f>data!E1616</f>
        <v>084039</v>
      </c>
      <c r="F1616" t="str">
        <f>data!F1616</f>
        <v>AOP CORBIERE SOLEIL LIQUID</v>
      </c>
      <c r="G1616" s="10">
        <f>data!G1616</f>
        <v>143.28</v>
      </c>
      <c r="H1616" s="10">
        <f>data!I1616</f>
        <v>0</v>
      </c>
      <c r="I1616" s="10">
        <f t="shared" si="100"/>
        <v>143.28</v>
      </c>
      <c r="J1616" s="11">
        <f>data!H1616</f>
        <v>36</v>
      </c>
      <c r="K1616" s="11">
        <f>data!J1616</f>
        <v>6</v>
      </c>
      <c r="L1616" s="11">
        <f t="shared" si="101"/>
        <v>30</v>
      </c>
      <c r="M1616" s="9" t="str">
        <f t="shared" si="102"/>
        <v/>
      </c>
      <c r="N1616" s="9">
        <f t="shared" si="103"/>
        <v>5</v>
      </c>
    </row>
    <row r="1617" spans="1:14" x14ac:dyDescent="0.25">
      <c r="A1617" t="str">
        <f>TEXT("1/"&amp;data!A1617,"mmmm")</f>
        <v>juin</v>
      </c>
      <c r="B1617">
        <f>data!B1617</f>
        <v>2016</v>
      </c>
      <c r="C1617" t="str">
        <f>data!C1617</f>
        <v>084</v>
      </c>
      <c r="D1617" t="str">
        <f>data!D1617</f>
        <v>VIGNOBLE CASTELMAURE</v>
      </c>
      <c r="E1617" t="str">
        <f>data!E1617</f>
        <v>084041</v>
      </c>
      <c r="F1617" t="str">
        <f>data!F1617</f>
        <v>AOP CORBIERES ROSE AGRICOLE</v>
      </c>
      <c r="G1617" s="10">
        <f>data!G1617</f>
        <v>319</v>
      </c>
      <c r="H1617" s="10">
        <f>data!I1617</f>
        <v>0</v>
      </c>
      <c r="I1617" s="10">
        <f t="shared" si="100"/>
        <v>319</v>
      </c>
      <c r="J1617" s="11">
        <f>data!H1617</f>
        <v>168</v>
      </c>
      <c r="K1617" s="11">
        <f>data!J1617</f>
        <v>0</v>
      </c>
      <c r="L1617" s="11">
        <f t="shared" si="101"/>
        <v>168</v>
      </c>
      <c r="M1617" s="9" t="str">
        <f t="shared" si="102"/>
        <v/>
      </c>
      <c r="N1617" s="9" t="str">
        <f t="shared" si="103"/>
        <v/>
      </c>
    </row>
    <row r="1618" spans="1:14" x14ac:dyDescent="0.25">
      <c r="A1618" t="str">
        <f>TEXT("1/"&amp;data!A1618,"mmmm")</f>
        <v>juin</v>
      </c>
      <c r="B1618">
        <f>data!B1618</f>
        <v>2016</v>
      </c>
      <c r="C1618" t="str">
        <f>data!C1618</f>
        <v>086B</v>
      </c>
      <c r="D1618" t="str">
        <f>data!D1618</f>
        <v>PRODIFFU - TERRE DE VIGNERONS</v>
      </c>
      <c r="E1618" t="str">
        <f>data!E1618</f>
        <v>086002P</v>
      </c>
      <c r="F1618" t="str">
        <f>data!F1618</f>
        <v>AC C.DE DURAS BERTICOT</v>
      </c>
      <c r="G1618" s="10">
        <f>data!G1618</f>
        <v>39.64</v>
      </c>
      <c r="H1618" s="10">
        <f>data!I1618</f>
        <v>64.819999999999993</v>
      </c>
      <c r="I1618" s="10">
        <f t="shared" si="100"/>
        <v>-25.179999999999993</v>
      </c>
      <c r="J1618" s="11">
        <f>data!H1618</f>
        <v>26.68</v>
      </c>
      <c r="K1618" s="11">
        <f>data!J1618</f>
        <v>60.03</v>
      </c>
      <c r="L1618" s="11">
        <f t="shared" si="101"/>
        <v>-33.35</v>
      </c>
      <c r="M1618" s="9">
        <f t="shared" si="102"/>
        <v>-0.38846035174328902</v>
      </c>
      <c r="N1618" s="9">
        <f t="shared" si="103"/>
        <v>-0.55555555555555558</v>
      </c>
    </row>
    <row r="1619" spans="1:14" x14ac:dyDescent="0.25">
      <c r="A1619" t="str">
        <f>TEXT("1/"&amp;data!A1619,"mmmm")</f>
        <v>juin</v>
      </c>
      <c r="B1619">
        <f>data!B1619</f>
        <v>2016</v>
      </c>
      <c r="C1619" t="str">
        <f>data!C1619</f>
        <v>086B</v>
      </c>
      <c r="D1619" t="str">
        <f>data!D1619</f>
        <v>PRODIFFU - TERRE DE VIGNERONS</v>
      </c>
      <c r="E1619" t="str">
        <f>data!E1619</f>
        <v>086011P</v>
      </c>
      <c r="F1619" t="str">
        <f>data!F1619</f>
        <v>AC C.DE DURAS BERTICOT</v>
      </c>
      <c r="G1619" s="10">
        <f>data!G1619</f>
        <v>377.37</v>
      </c>
      <c r="H1619" s="10">
        <f>data!I1619</f>
        <v>218.27</v>
      </c>
      <c r="I1619" s="10">
        <f t="shared" si="100"/>
        <v>159.1</v>
      </c>
      <c r="J1619" s="11">
        <f>data!H1619</f>
        <v>279.93</v>
      </c>
      <c r="K1619" s="11">
        <f>data!J1619</f>
        <v>173.29</v>
      </c>
      <c r="L1619" s="11">
        <f t="shared" si="101"/>
        <v>106.64000000000001</v>
      </c>
      <c r="M1619" s="9">
        <f t="shared" si="102"/>
        <v>0.72891373070050847</v>
      </c>
      <c r="N1619" s="9">
        <f t="shared" si="103"/>
        <v>0.61538461538461553</v>
      </c>
    </row>
    <row r="1620" spans="1:14" x14ac:dyDescent="0.25">
      <c r="A1620" t="str">
        <f>TEXT("1/"&amp;data!A1620,"mmmm")</f>
        <v>juin</v>
      </c>
      <c r="B1620">
        <f>data!B1620</f>
        <v>2016</v>
      </c>
      <c r="C1620" t="str">
        <f>data!C1620</f>
        <v>086B</v>
      </c>
      <c r="D1620" t="str">
        <f>data!D1620</f>
        <v>PRODIFFU - TERRE DE VIGNERONS</v>
      </c>
      <c r="E1620" t="str">
        <f>data!E1620</f>
        <v>086012P</v>
      </c>
      <c r="F1620" t="str">
        <f>data!F1620</f>
        <v>AC C.DE DURAS BERTICOT</v>
      </c>
      <c r="G1620" s="10">
        <f>data!G1620</f>
        <v>287.39</v>
      </c>
      <c r="H1620" s="10">
        <f>data!I1620</f>
        <v>287.06</v>
      </c>
      <c r="I1620" s="10">
        <f t="shared" si="100"/>
        <v>0.32999999999998408</v>
      </c>
      <c r="J1620" s="11">
        <f>data!H1620</f>
        <v>200.1</v>
      </c>
      <c r="K1620" s="11">
        <f>data!J1620</f>
        <v>213.44</v>
      </c>
      <c r="L1620" s="11">
        <f t="shared" si="101"/>
        <v>-13.340000000000003</v>
      </c>
      <c r="M1620" s="9">
        <f t="shared" si="102"/>
        <v>1.1495854525185817E-3</v>
      </c>
      <c r="N1620" s="9">
        <f t="shared" si="103"/>
        <v>-6.2500000000000014E-2</v>
      </c>
    </row>
    <row r="1621" spans="1:14" x14ac:dyDescent="0.25">
      <c r="A1621" t="str">
        <f>TEXT("1/"&amp;data!A1621,"mmmm")</f>
        <v>juin</v>
      </c>
      <c r="B1621">
        <f>data!B1621</f>
        <v>2016</v>
      </c>
      <c r="C1621" t="str">
        <f>data!C1621</f>
        <v>089</v>
      </c>
      <c r="D1621" t="str">
        <f>data!D1621</f>
        <v>DOMAINE DE LA PALEINE</v>
      </c>
      <c r="E1621" t="str">
        <f>data!E1621</f>
        <v>089002</v>
      </c>
      <c r="F1621" t="str">
        <f>data!F1621</f>
        <v>AC SAUMUR C.DU PRINTEMPS LA PALEINE</v>
      </c>
      <c r="G1621" s="10">
        <f>data!G1621</f>
        <v>481.8</v>
      </c>
      <c r="H1621" s="10">
        <f>data!I1621</f>
        <v>234.3</v>
      </c>
      <c r="I1621" s="10">
        <f t="shared" si="100"/>
        <v>247.5</v>
      </c>
      <c r="J1621" s="11">
        <f>data!H1621</f>
        <v>132</v>
      </c>
      <c r="K1621" s="11">
        <f>data!J1621</f>
        <v>66</v>
      </c>
      <c r="L1621" s="11">
        <f t="shared" si="101"/>
        <v>66</v>
      </c>
      <c r="M1621" s="9">
        <f t="shared" si="102"/>
        <v>1.056338028169014</v>
      </c>
      <c r="N1621" s="9">
        <f t="shared" si="103"/>
        <v>1</v>
      </c>
    </row>
    <row r="1622" spans="1:14" x14ac:dyDescent="0.25">
      <c r="A1622" t="str">
        <f>TEXT("1/"&amp;data!A1622,"mmmm")</f>
        <v>juin</v>
      </c>
      <c r="B1622">
        <f>data!B1622</f>
        <v>2016</v>
      </c>
      <c r="C1622" t="str">
        <f>data!C1622</f>
        <v>089</v>
      </c>
      <c r="D1622" t="str">
        <f>data!D1622</f>
        <v>DOMAINE DE LA PALEINE</v>
      </c>
      <c r="E1622" t="str">
        <f>data!E1622</f>
        <v>089010</v>
      </c>
      <c r="F1622" t="str">
        <f>data!F1622</f>
        <v>AC SAUMUR DLA PALEINE</v>
      </c>
      <c r="G1622" s="10">
        <f>data!G1622</f>
        <v>66.599999999999994</v>
      </c>
      <c r="H1622" s="10">
        <f>data!I1622</f>
        <v>21.6</v>
      </c>
      <c r="I1622" s="10">
        <f t="shared" si="100"/>
        <v>44.999999999999993</v>
      </c>
      <c r="J1622" s="11">
        <f>data!H1622</f>
        <v>18</v>
      </c>
      <c r="K1622" s="11">
        <f>data!J1622</f>
        <v>6</v>
      </c>
      <c r="L1622" s="11">
        <f t="shared" si="101"/>
        <v>12</v>
      </c>
      <c r="M1622" s="9">
        <f t="shared" si="102"/>
        <v>2.083333333333333</v>
      </c>
      <c r="N1622" s="9">
        <f t="shared" si="103"/>
        <v>2</v>
      </c>
    </row>
    <row r="1623" spans="1:14" x14ac:dyDescent="0.25">
      <c r="A1623" t="str">
        <f>TEXT("1/"&amp;data!A1623,"mmmm")</f>
        <v>juin</v>
      </c>
      <c r="B1623">
        <f>data!B1623</f>
        <v>2016</v>
      </c>
      <c r="C1623" t="str">
        <f>data!C1623</f>
        <v>089</v>
      </c>
      <c r="D1623" t="str">
        <f>data!D1623</f>
        <v>DOMAINE DE LA PALEINE</v>
      </c>
      <c r="E1623" t="str">
        <f>data!E1623</f>
        <v>089800</v>
      </c>
      <c r="F1623" t="str">
        <f>data!F1623</f>
        <v>AC SAUMUR BRUT D.DE LA PALEINE</v>
      </c>
      <c r="G1623" s="10">
        <f>data!G1623</f>
        <v>946.2</v>
      </c>
      <c r="H1623" s="10">
        <f>data!I1623</f>
        <v>861</v>
      </c>
      <c r="I1623" s="10">
        <f t="shared" si="100"/>
        <v>85.200000000000045</v>
      </c>
      <c r="J1623" s="11">
        <f>data!H1623</f>
        <v>228</v>
      </c>
      <c r="K1623" s="11">
        <f>data!J1623</f>
        <v>210</v>
      </c>
      <c r="L1623" s="11">
        <f t="shared" si="101"/>
        <v>18</v>
      </c>
      <c r="M1623" s="9">
        <f t="shared" si="102"/>
        <v>9.8954703832752663E-2</v>
      </c>
      <c r="N1623" s="9">
        <f t="shared" si="103"/>
        <v>8.5714285714285715E-2</v>
      </c>
    </row>
    <row r="1624" spans="1:14" x14ac:dyDescent="0.25">
      <c r="A1624" t="str">
        <f>TEXT("1/"&amp;data!A1624,"mmmm")</f>
        <v>juin</v>
      </c>
      <c r="B1624">
        <f>data!B1624</f>
        <v>2016</v>
      </c>
      <c r="C1624" t="str">
        <f>data!C1624</f>
        <v>089</v>
      </c>
      <c r="D1624" t="str">
        <f>data!D1624</f>
        <v>DOMAINE DE LA PALEINE</v>
      </c>
      <c r="E1624" t="str">
        <f>data!E1624</f>
        <v>089900</v>
      </c>
      <c r="F1624" t="str">
        <f>data!F1624</f>
        <v>AC SAUMUR RESERVE D.LA PALEINE</v>
      </c>
      <c r="G1624" s="10">
        <f>data!G1624</f>
        <v>510</v>
      </c>
      <c r="H1624" s="10">
        <f>data!I1624</f>
        <v>830.25</v>
      </c>
      <c r="I1624" s="10">
        <f t="shared" si="100"/>
        <v>-320.25</v>
      </c>
      <c r="J1624" s="11">
        <f>data!H1624</f>
        <v>319.92</v>
      </c>
      <c r="K1624" s="11">
        <f>data!J1624</f>
        <v>546.53</v>
      </c>
      <c r="L1624" s="11">
        <f t="shared" si="101"/>
        <v>-226.60999999999996</v>
      </c>
      <c r="M1624" s="9">
        <f t="shared" si="102"/>
        <v>-0.38572719060523941</v>
      </c>
      <c r="N1624" s="9">
        <f t="shared" si="103"/>
        <v>-0.41463414634146334</v>
      </c>
    </row>
    <row r="1625" spans="1:14" x14ac:dyDescent="0.25">
      <c r="A1625" t="str">
        <f>TEXT("1/"&amp;data!A1625,"mmmm")</f>
        <v>juin</v>
      </c>
      <c r="B1625">
        <f>data!B1625</f>
        <v>2016</v>
      </c>
      <c r="C1625" t="str">
        <f>data!C1625</f>
        <v>089</v>
      </c>
      <c r="D1625" t="str">
        <f>data!D1625</f>
        <v>DOMAINE DE LA PALEINE</v>
      </c>
      <c r="E1625" t="str">
        <f>data!E1625</f>
        <v>089901</v>
      </c>
      <c r="F1625" t="str">
        <f>data!F1625</f>
        <v>AC SAUMUR D.LA PALEINE</v>
      </c>
      <c r="G1625" s="10">
        <f>data!G1625</f>
        <v>976.8</v>
      </c>
      <c r="H1625" s="10">
        <f>data!I1625</f>
        <v>890.6</v>
      </c>
      <c r="I1625" s="10">
        <f t="shared" si="100"/>
        <v>86.199999999999932</v>
      </c>
      <c r="J1625" s="11">
        <f>data!H1625</f>
        <v>506.92</v>
      </c>
      <c r="K1625" s="11">
        <f>data!J1625</f>
        <v>493.58</v>
      </c>
      <c r="L1625" s="11">
        <f t="shared" si="101"/>
        <v>13.340000000000032</v>
      </c>
      <c r="M1625" s="9">
        <f t="shared" si="102"/>
        <v>9.6788681787558867E-2</v>
      </c>
      <c r="N1625" s="9">
        <f t="shared" si="103"/>
        <v>2.7027027027027091E-2</v>
      </c>
    </row>
    <row r="1626" spans="1:14" x14ac:dyDescent="0.25">
      <c r="A1626" t="str">
        <f>TEXT("1/"&amp;data!A1626,"mmmm")</f>
        <v>juin</v>
      </c>
      <c r="B1626">
        <f>data!B1626</f>
        <v>2016</v>
      </c>
      <c r="C1626" t="str">
        <f>data!C1626</f>
        <v>089</v>
      </c>
      <c r="D1626" t="str">
        <f>data!D1626</f>
        <v>DOMAINE DE LA PALEINE</v>
      </c>
      <c r="E1626" t="str">
        <f>data!E1626</f>
        <v>089903</v>
      </c>
      <c r="F1626" t="str">
        <f>data!F1626</f>
        <v>AC SAUMUR BRUT M.TRAD LA PALEINE</v>
      </c>
      <c r="G1626" s="10">
        <f>data!G1626</f>
        <v>1746.6</v>
      </c>
      <c r="H1626" s="10">
        <f>data!I1626</f>
        <v>1579.5</v>
      </c>
      <c r="I1626" s="10">
        <f t="shared" si="100"/>
        <v>167.09999999999991</v>
      </c>
      <c r="J1626" s="11">
        <f>data!H1626</f>
        <v>426</v>
      </c>
      <c r="K1626" s="11">
        <f>data!J1626</f>
        <v>390</v>
      </c>
      <c r="L1626" s="11">
        <f t="shared" si="101"/>
        <v>36</v>
      </c>
      <c r="M1626" s="9">
        <f t="shared" si="102"/>
        <v>0.10579297245963906</v>
      </c>
      <c r="N1626" s="9">
        <f t="shared" si="103"/>
        <v>9.2307692307692313E-2</v>
      </c>
    </row>
    <row r="1627" spans="1:14" x14ac:dyDescent="0.25">
      <c r="A1627" t="str">
        <f>TEXT("1/"&amp;data!A1627,"mmmm")</f>
        <v>juin</v>
      </c>
      <c r="B1627">
        <f>data!B1627</f>
        <v>2016</v>
      </c>
      <c r="C1627" t="str">
        <f>data!C1627</f>
        <v>092</v>
      </c>
      <c r="D1627" t="str">
        <f>data!D1627</f>
        <v/>
      </c>
      <c r="E1627" t="str">
        <f>data!E1627</f>
        <v>092002</v>
      </c>
      <c r="F1627" t="str">
        <f>data!F1627</f>
        <v>AC CX LANG P.ST LOUP.M DES COSTES</v>
      </c>
      <c r="G1627" s="10">
        <f>data!G1627</f>
        <v>72.599999999999994</v>
      </c>
      <c r="H1627" s="10">
        <f>data!I1627</f>
        <v>0</v>
      </c>
      <c r="I1627" s="10">
        <f t="shared" si="100"/>
        <v>72.599999999999994</v>
      </c>
      <c r="J1627" s="11">
        <f>data!H1627</f>
        <v>12</v>
      </c>
      <c r="K1627" s="11">
        <f>data!J1627</f>
        <v>0</v>
      </c>
      <c r="L1627" s="11">
        <f t="shared" si="101"/>
        <v>12</v>
      </c>
      <c r="M1627" s="9" t="str">
        <f t="shared" si="102"/>
        <v/>
      </c>
      <c r="N1627" s="9" t="str">
        <f t="shared" si="103"/>
        <v/>
      </c>
    </row>
    <row r="1628" spans="1:14" x14ac:dyDescent="0.25">
      <c r="A1628" t="str">
        <f>TEXT("1/"&amp;data!A1628,"mmmm")</f>
        <v>juin</v>
      </c>
      <c r="B1628">
        <f>data!B1628</f>
        <v>2016</v>
      </c>
      <c r="C1628" t="str">
        <f>data!C1628</f>
        <v>094</v>
      </c>
      <c r="D1628" t="str">
        <f>data!D1628</f>
        <v>CHATEAU TOUR GRANINS-GRAND POUJEAUX</v>
      </c>
      <c r="E1628" t="str">
        <f>data!E1628</f>
        <v>094001</v>
      </c>
      <c r="F1628" t="str">
        <f>data!F1628</f>
        <v>AC MOULIS EN MEDOC TOUR GRANINS GD-POUJEAUX</v>
      </c>
      <c r="G1628" s="10">
        <f>data!G1628</f>
        <v>890.4</v>
      </c>
      <c r="H1628" s="10">
        <f>data!I1628</f>
        <v>2776.8</v>
      </c>
      <c r="I1628" s="10">
        <f t="shared" si="100"/>
        <v>-1886.4</v>
      </c>
      <c r="J1628" s="11">
        <f>data!H1628</f>
        <v>174</v>
      </c>
      <c r="K1628" s="11">
        <f>data!J1628</f>
        <v>534</v>
      </c>
      <c r="L1628" s="11">
        <f t="shared" si="101"/>
        <v>-360</v>
      </c>
      <c r="M1628" s="9">
        <f t="shared" si="102"/>
        <v>-0.67934312878133096</v>
      </c>
      <c r="N1628" s="9">
        <f t="shared" si="103"/>
        <v>-0.6741573033707865</v>
      </c>
    </row>
    <row r="1629" spans="1:14" x14ac:dyDescent="0.25">
      <c r="A1629" t="str">
        <f>TEXT("1/"&amp;data!A1629,"mmmm")</f>
        <v>juin</v>
      </c>
      <c r="B1629">
        <f>data!B1629</f>
        <v>2016</v>
      </c>
      <c r="C1629" t="str">
        <f>data!C1629</f>
        <v>094</v>
      </c>
      <c r="D1629" t="str">
        <f>data!D1629</f>
        <v>CHATEAU TOUR GRANINS-GRAND POUJEAUX</v>
      </c>
      <c r="E1629" t="str">
        <f>data!E1629</f>
        <v>094003</v>
      </c>
      <c r="F1629" t="str">
        <f>data!F1629</f>
        <v>AC MOULIS EN MEDOC GD POUJEAUX</v>
      </c>
      <c r="G1629" s="10">
        <f>data!G1629</f>
        <v>271.2</v>
      </c>
      <c r="H1629" s="10">
        <f>data!I1629</f>
        <v>133.19999999999999</v>
      </c>
      <c r="I1629" s="10">
        <f t="shared" si="100"/>
        <v>138</v>
      </c>
      <c r="J1629" s="11">
        <f>data!H1629</f>
        <v>48</v>
      </c>
      <c r="K1629" s="11">
        <f>data!J1629</f>
        <v>24</v>
      </c>
      <c r="L1629" s="11">
        <f t="shared" si="101"/>
        <v>24</v>
      </c>
      <c r="M1629" s="9">
        <f t="shared" si="102"/>
        <v>1.0360360360360361</v>
      </c>
      <c r="N1629" s="9">
        <f t="shared" si="103"/>
        <v>1</v>
      </c>
    </row>
    <row r="1630" spans="1:14" x14ac:dyDescent="0.25">
      <c r="A1630" t="str">
        <f>TEXT("1/"&amp;data!A1630,"mmmm")</f>
        <v>juin</v>
      </c>
      <c r="B1630">
        <f>data!B1630</f>
        <v>2016</v>
      </c>
      <c r="C1630" t="str">
        <f>data!C1630</f>
        <v>094</v>
      </c>
      <c r="D1630" t="str">
        <f>data!D1630</f>
        <v>CHATEAU TOUR GRANINS-GRAND POUJEAUX</v>
      </c>
      <c r="E1630" t="str">
        <f>data!E1630</f>
        <v>094004</v>
      </c>
      <c r="F1630" t="str">
        <f>data!F1630</f>
        <v>AOP MOULIS EN MEDOC CH GRANINS GD POUJEAUX</v>
      </c>
      <c r="G1630" s="10">
        <f>data!G1630</f>
        <v>95.4</v>
      </c>
      <c r="H1630" s="10">
        <f>data!I1630</f>
        <v>0</v>
      </c>
      <c r="I1630" s="10">
        <f t="shared" si="100"/>
        <v>95.4</v>
      </c>
      <c r="J1630" s="11">
        <f>data!H1630</f>
        <v>18</v>
      </c>
      <c r="K1630" s="11">
        <f>data!J1630</f>
        <v>0</v>
      </c>
      <c r="L1630" s="11">
        <f t="shared" si="101"/>
        <v>18</v>
      </c>
      <c r="M1630" s="9" t="str">
        <f t="shared" si="102"/>
        <v/>
      </c>
      <c r="N1630" s="9" t="str">
        <f t="shared" si="103"/>
        <v/>
      </c>
    </row>
    <row r="1631" spans="1:14" x14ac:dyDescent="0.25">
      <c r="A1631" t="str">
        <f>TEXT("1/"&amp;data!A1631,"mmmm")</f>
        <v>juin</v>
      </c>
      <c r="B1631">
        <f>data!B1631</f>
        <v>2016</v>
      </c>
      <c r="C1631" t="str">
        <f>data!C1631</f>
        <v>095</v>
      </c>
      <c r="D1631" t="str">
        <f>data!D1631</f>
        <v>MR FILLON</v>
      </c>
      <c r="E1631" t="str">
        <f>data!E1631</f>
        <v>095001</v>
      </c>
      <c r="F1631" t="str">
        <f>data!F1631</f>
        <v>AC BOURG ALIG D.FILLON</v>
      </c>
      <c r="G1631" s="10">
        <f>data!G1631</f>
        <v>333</v>
      </c>
      <c r="H1631" s="10">
        <f>data!I1631</f>
        <v>932.4</v>
      </c>
      <c r="I1631" s="10">
        <f t="shared" si="100"/>
        <v>-599.4</v>
      </c>
      <c r="J1631" s="11">
        <f>data!H1631</f>
        <v>90</v>
      </c>
      <c r="K1631" s="11">
        <f>data!J1631</f>
        <v>258</v>
      </c>
      <c r="L1631" s="11">
        <f t="shared" si="101"/>
        <v>-168</v>
      </c>
      <c r="M1631" s="9">
        <f t="shared" si="102"/>
        <v>-0.64285714285714279</v>
      </c>
      <c r="N1631" s="9">
        <f t="shared" si="103"/>
        <v>-0.65116279069767447</v>
      </c>
    </row>
    <row r="1632" spans="1:14" x14ac:dyDescent="0.25">
      <c r="A1632" t="str">
        <f>TEXT("1/"&amp;data!A1632,"mmmm")</f>
        <v>juin</v>
      </c>
      <c r="B1632">
        <f>data!B1632</f>
        <v>2016</v>
      </c>
      <c r="C1632" t="str">
        <f>data!C1632</f>
        <v>095</v>
      </c>
      <c r="D1632" t="str">
        <f>data!D1632</f>
        <v>MR FILLON</v>
      </c>
      <c r="E1632" t="str">
        <f>data!E1632</f>
        <v>095005</v>
      </c>
      <c r="F1632" t="str">
        <f>data!F1632</f>
        <v>DOM FILLON AC SAUVIGNON DE ST BRIS</v>
      </c>
      <c r="G1632" s="10">
        <f>data!G1632</f>
        <v>23.4</v>
      </c>
      <c r="H1632" s="10">
        <f>data!I1632</f>
        <v>0</v>
      </c>
      <c r="I1632" s="10">
        <f t="shared" si="100"/>
        <v>23.4</v>
      </c>
      <c r="J1632" s="11">
        <f>data!H1632</f>
        <v>6</v>
      </c>
      <c r="K1632" s="11">
        <f>data!J1632</f>
        <v>0</v>
      </c>
      <c r="L1632" s="11">
        <f t="shared" si="101"/>
        <v>6</v>
      </c>
      <c r="M1632" s="9" t="str">
        <f t="shared" si="102"/>
        <v/>
      </c>
      <c r="N1632" s="9" t="str">
        <f t="shared" si="103"/>
        <v/>
      </c>
    </row>
    <row r="1633" spans="1:14" x14ac:dyDescent="0.25">
      <c r="A1633" t="str">
        <f>TEXT("1/"&amp;data!A1633,"mmmm")</f>
        <v>juin</v>
      </c>
      <c r="B1633">
        <f>data!B1633</f>
        <v>2016</v>
      </c>
      <c r="C1633" t="str">
        <f>data!C1633</f>
        <v>095</v>
      </c>
      <c r="D1633" t="str">
        <f>data!D1633</f>
        <v>MR FILLON</v>
      </c>
      <c r="E1633" t="str">
        <f>data!E1633</f>
        <v>095008</v>
      </c>
      <c r="F1633" t="str">
        <f>data!F1633</f>
        <v>AC PETIT CHABLIS</v>
      </c>
      <c r="G1633" s="10">
        <f>data!G1633</f>
        <v>-97.2</v>
      </c>
      <c r="H1633" s="10">
        <f>data!I1633</f>
        <v>0</v>
      </c>
      <c r="I1633" s="10">
        <f t="shared" si="100"/>
        <v>-97.2</v>
      </c>
      <c r="J1633" s="11">
        <f>data!H1633</f>
        <v>-18</v>
      </c>
      <c r="K1633" s="11">
        <f>data!J1633</f>
        <v>0</v>
      </c>
      <c r="L1633" s="11">
        <f t="shared" si="101"/>
        <v>-18</v>
      </c>
      <c r="M1633" s="9" t="str">
        <f t="shared" si="102"/>
        <v/>
      </c>
      <c r="N1633" s="9" t="str">
        <f t="shared" si="103"/>
        <v/>
      </c>
    </row>
    <row r="1634" spans="1:14" x14ac:dyDescent="0.25">
      <c r="A1634" t="str">
        <f>TEXT("1/"&amp;data!A1634,"mmmm")</f>
        <v>juin</v>
      </c>
      <c r="B1634">
        <f>data!B1634</f>
        <v>2016</v>
      </c>
      <c r="C1634" t="str">
        <f>data!C1634</f>
        <v>095</v>
      </c>
      <c r="D1634" t="str">
        <f>data!D1634</f>
        <v>MR FILLON</v>
      </c>
      <c r="E1634" t="str">
        <f>data!E1634</f>
        <v>095010</v>
      </c>
      <c r="F1634" t="str">
        <f>data!F1634</f>
        <v>DOM FILLON AC PETIT CHABLIS</v>
      </c>
      <c r="G1634" s="10">
        <f>data!G1634</f>
        <v>1701.9</v>
      </c>
      <c r="H1634" s="10">
        <f>data!I1634</f>
        <v>474.3</v>
      </c>
      <c r="I1634" s="10">
        <f t="shared" si="100"/>
        <v>1227.6000000000001</v>
      </c>
      <c r="J1634" s="11">
        <f>data!H1634</f>
        <v>366</v>
      </c>
      <c r="K1634" s="11">
        <f>data!J1634</f>
        <v>108</v>
      </c>
      <c r="L1634" s="11">
        <f t="shared" si="101"/>
        <v>258</v>
      </c>
      <c r="M1634" s="9">
        <f t="shared" si="102"/>
        <v>2.5882352941176472</v>
      </c>
      <c r="N1634" s="9">
        <f t="shared" si="103"/>
        <v>2.3888888888888888</v>
      </c>
    </row>
    <row r="1635" spans="1:14" x14ac:dyDescent="0.25">
      <c r="A1635" t="str">
        <f>TEXT("1/"&amp;data!A1635,"mmmm")</f>
        <v>juin</v>
      </c>
      <c r="B1635">
        <f>data!B1635</f>
        <v>2016</v>
      </c>
      <c r="C1635" t="str">
        <f>data!C1635</f>
        <v>095</v>
      </c>
      <c r="D1635" t="str">
        <f>data!D1635</f>
        <v>MR FILLON</v>
      </c>
      <c r="E1635" t="str">
        <f>data!E1635</f>
        <v>095012</v>
      </c>
      <c r="F1635" t="str">
        <f>data!F1635</f>
        <v>DOM FILLON AC CHABLIS</v>
      </c>
      <c r="G1635" s="10">
        <f>data!G1635</f>
        <v>669.6</v>
      </c>
      <c r="H1635" s="10">
        <f>data!I1635</f>
        <v>595.20000000000005</v>
      </c>
      <c r="I1635" s="10">
        <f t="shared" si="100"/>
        <v>74.399999999999977</v>
      </c>
      <c r="J1635" s="11">
        <f>data!H1635</f>
        <v>114</v>
      </c>
      <c r="K1635" s="11">
        <f>data!J1635</f>
        <v>96</v>
      </c>
      <c r="L1635" s="11">
        <f t="shared" si="101"/>
        <v>18</v>
      </c>
      <c r="M1635" s="9">
        <f t="shared" si="102"/>
        <v>0.12499999999999996</v>
      </c>
      <c r="N1635" s="9">
        <f t="shared" si="103"/>
        <v>0.1875</v>
      </c>
    </row>
    <row r="1636" spans="1:14" x14ac:dyDescent="0.25">
      <c r="A1636" t="str">
        <f>TEXT("1/"&amp;data!A1636,"mmmm")</f>
        <v>juin</v>
      </c>
      <c r="B1636">
        <f>data!B1636</f>
        <v>2016</v>
      </c>
      <c r="C1636" t="str">
        <f>data!C1636</f>
        <v>095</v>
      </c>
      <c r="D1636" t="str">
        <f>data!D1636</f>
        <v>MR FILLON</v>
      </c>
      <c r="E1636" t="str">
        <f>data!E1636</f>
        <v>095014</v>
      </c>
      <c r="F1636" t="str">
        <f>data!F1636</f>
        <v>DOM FILLON AC CHABLIS VIEILLES VIGNES</v>
      </c>
      <c r="G1636" s="10">
        <f>data!G1636</f>
        <v>367.2</v>
      </c>
      <c r="H1636" s="10">
        <f>data!I1636</f>
        <v>0</v>
      </c>
      <c r="I1636" s="10">
        <f t="shared" si="100"/>
        <v>367.2</v>
      </c>
      <c r="J1636" s="11">
        <f>data!H1636</f>
        <v>60</v>
      </c>
      <c r="K1636" s="11">
        <f>data!J1636</f>
        <v>6</v>
      </c>
      <c r="L1636" s="11">
        <f t="shared" si="101"/>
        <v>54</v>
      </c>
      <c r="M1636" s="9" t="str">
        <f t="shared" si="102"/>
        <v/>
      </c>
      <c r="N1636" s="9">
        <f t="shared" si="103"/>
        <v>9</v>
      </c>
    </row>
    <row r="1637" spans="1:14" x14ac:dyDescent="0.25">
      <c r="A1637" t="str">
        <f>TEXT("1/"&amp;data!A1637,"mmmm")</f>
        <v>juin</v>
      </c>
      <c r="B1637">
        <f>data!B1637</f>
        <v>2016</v>
      </c>
      <c r="C1637" t="str">
        <f>data!C1637</f>
        <v>095</v>
      </c>
      <c r="D1637" t="str">
        <f>data!D1637</f>
        <v>MR FILLON</v>
      </c>
      <c r="E1637" t="str">
        <f>data!E1637</f>
        <v>095015</v>
      </c>
      <c r="F1637" t="str">
        <f>data!F1637</f>
        <v>DOM FILLON AC CHABLIS VIEILLES VIGNES</v>
      </c>
      <c r="G1637" s="10">
        <f>data!G1637</f>
        <v>84</v>
      </c>
      <c r="H1637" s="10">
        <f>data!I1637</f>
        <v>0</v>
      </c>
      <c r="I1637" s="10">
        <f t="shared" si="100"/>
        <v>84</v>
      </c>
      <c r="J1637" s="11">
        <f>data!H1637</f>
        <v>12</v>
      </c>
      <c r="K1637" s="11">
        <f>data!J1637</f>
        <v>0</v>
      </c>
      <c r="L1637" s="11">
        <f t="shared" si="101"/>
        <v>12</v>
      </c>
      <c r="M1637" s="9" t="str">
        <f t="shared" si="102"/>
        <v/>
      </c>
      <c r="N1637" s="9" t="str">
        <f t="shared" si="103"/>
        <v/>
      </c>
    </row>
    <row r="1638" spans="1:14" x14ac:dyDescent="0.25">
      <c r="A1638" t="str">
        <f>TEXT("1/"&amp;data!A1638,"mmmm")</f>
        <v>juin</v>
      </c>
      <c r="B1638">
        <f>data!B1638</f>
        <v>2016</v>
      </c>
      <c r="C1638" t="str">
        <f>data!C1638</f>
        <v>095</v>
      </c>
      <c r="D1638" t="str">
        <f>data!D1638</f>
        <v>MR FILLON</v>
      </c>
      <c r="E1638" t="str">
        <f>data!E1638</f>
        <v>095016</v>
      </c>
      <c r="F1638" t="str">
        <f>data!F1638</f>
        <v>DOM FILLON AC CHABLIS 1ER CRU "BEAUREGARD"</v>
      </c>
      <c r="G1638" s="10">
        <f>data!G1638</f>
        <v>104.4</v>
      </c>
      <c r="H1638" s="10">
        <f>data!I1638</f>
        <v>313.2</v>
      </c>
      <c r="I1638" s="10">
        <f t="shared" si="100"/>
        <v>-208.79999999999998</v>
      </c>
      <c r="J1638" s="11">
        <f>data!H1638</f>
        <v>18</v>
      </c>
      <c r="K1638" s="11">
        <f>data!J1638</f>
        <v>36</v>
      </c>
      <c r="L1638" s="11">
        <f t="shared" si="101"/>
        <v>-18</v>
      </c>
      <c r="M1638" s="9">
        <f t="shared" si="102"/>
        <v>-0.66666666666666663</v>
      </c>
      <c r="N1638" s="9">
        <f t="shared" si="103"/>
        <v>-0.5</v>
      </c>
    </row>
    <row r="1639" spans="1:14" x14ac:dyDescent="0.25">
      <c r="A1639" t="str">
        <f>TEXT("1/"&amp;data!A1639,"mmmm")</f>
        <v>juin</v>
      </c>
      <c r="B1639">
        <f>data!B1639</f>
        <v>2016</v>
      </c>
      <c r="C1639" t="str">
        <f>data!C1639</f>
        <v>095</v>
      </c>
      <c r="D1639" t="str">
        <f>data!D1639</f>
        <v>MR FILLON</v>
      </c>
      <c r="E1639" t="str">
        <f>data!E1639</f>
        <v>CDV095007</v>
      </c>
      <c r="F1639" t="str">
        <f>data!F1639</f>
        <v>AC COTES D'AUXERRE</v>
      </c>
      <c r="G1639" s="10">
        <f>data!G1639</f>
        <v>120</v>
      </c>
      <c r="H1639" s="10">
        <f>data!I1639</f>
        <v>0</v>
      </c>
      <c r="I1639" s="10">
        <f t="shared" si="100"/>
        <v>120</v>
      </c>
      <c r="J1639" s="11">
        <f>data!H1639</f>
        <v>30</v>
      </c>
      <c r="K1639" s="11">
        <f>data!J1639</f>
        <v>0</v>
      </c>
      <c r="L1639" s="11">
        <f t="shared" si="101"/>
        <v>30</v>
      </c>
      <c r="M1639" s="9" t="str">
        <f t="shared" si="102"/>
        <v/>
      </c>
      <c r="N1639" s="9" t="str">
        <f t="shared" si="103"/>
        <v/>
      </c>
    </row>
    <row r="1640" spans="1:14" x14ac:dyDescent="0.25">
      <c r="A1640" t="str">
        <f>TEXT("1/"&amp;data!A1640,"mmmm")</f>
        <v>juin</v>
      </c>
      <c r="B1640">
        <f>data!B1640</f>
        <v>2016</v>
      </c>
      <c r="C1640" t="str">
        <f>data!C1640</f>
        <v>097</v>
      </c>
      <c r="D1640" t="str">
        <f>data!D1640</f>
        <v>CHATEAU DE COINTES</v>
      </c>
      <c r="E1640" t="str">
        <f>data!E1640</f>
        <v>097003</v>
      </c>
      <c r="F1640" t="str">
        <f>data!F1640</f>
        <v>AC C.MALEPERE C.COINTES</v>
      </c>
      <c r="G1640" s="10">
        <f>data!G1640</f>
        <v>33</v>
      </c>
      <c r="H1640" s="10">
        <f>data!I1640</f>
        <v>93.6</v>
      </c>
      <c r="I1640" s="10">
        <f t="shared" si="100"/>
        <v>-60.599999999999994</v>
      </c>
      <c r="J1640" s="11">
        <f>data!H1640</f>
        <v>12</v>
      </c>
      <c r="K1640" s="11">
        <f>data!J1640</f>
        <v>36</v>
      </c>
      <c r="L1640" s="11">
        <f t="shared" si="101"/>
        <v>-24</v>
      </c>
      <c r="M1640" s="9">
        <f t="shared" si="102"/>
        <v>-0.64743589743589747</v>
      </c>
      <c r="N1640" s="9">
        <f t="shared" si="103"/>
        <v>-0.66666666666666663</v>
      </c>
    </row>
    <row r="1641" spans="1:14" x14ac:dyDescent="0.25">
      <c r="A1641" t="str">
        <f>TEXT("1/"&amp;data!A1641,"mmmm")</f>
        <v>juin</v>
      </c>
      <c r="B1641">
        <f>data!B1641</f>
        <v>2016</v>
      </c>
      <c r="C1641" t="str">
        <f>data!C1641</f>
        <v>097</v>
      </c>
      <c r="D1641" t="str">
        <f>data!D1641</f>
        <v>CHATEAU DE COINTES</v>
      </c>
      <c r="E1641" t="str">
        <f>data!E1641</f>
        <v>097004</v>
      </c>
      <c r="F1641" t="str">
        <f>data!F1641</f>
        <v>VDP MERLOT D.DES CONSULS</v>
      </c>
      <c r="G1641" s="10">
        <f>data!G1641</f>
        <v>1848</v>
      </c>
      <c r="H1641" s="10">
        <f>data!I1641</f>
        <v>1488.3</v>
      </c>
      <c r="I1641" s="10">
        <f t="shared" si="100"/>
        <v>359.70000000000005</v>
      </c>
      <c r="J1641" s="11">
        <f>data!H1641</f>
        <v>900</v>
      </c>
      <c r="K1641" s="11">
        <f>data!J1641</f>
        <v>726</v>
      </c>
      <c r="L1641" s="11">
        <f t="shared" si="101"/>
        <v>174</v>
      </c>
      <c r="M1641" s="9">
        <f t="shared" si="102"/>
        <v>0.24168514412416855</v>
      </c>
      <c r="N1641" s="9">
        <f t="shared" si="103"/>
        <v>0.23966942148760331</v>
      </c>
    </row>
    <row r="1642" spans="1:14" x14ac:dyDescent="0.25">
      <c r="A1642" t="str">
        <f>TEXT("1/"&amp;data!A1642,"mmmm")</f>
        <v>juin</v>
      </c>
      <c r="B1642">
        <f>data!B1642</f>
        <v>2016</v>
      </c>
      <c r="C1642" t="str">
        <f>data!C1642</f>
        <v>099</v>
      </c>
      <c r="D1642" t="str">
        <f>data!D1642</f>
        <v>CAVE DE L'ORMARINE</v>
      </c>
      <c r="E1642" t="str">
        <f>data!E1642</f>
        <v>099001</v>
      </c>
      <c r="F1642" t="str">
        <f>data!F1642</f>
        <v>VDP C DE THAU D.VILLEMARIN</v>
      </c>
      <c r="G1642" s="10">
        <f>data!G1642</f>
        <v>2586.12</v>
      </c>
      <c r="H1642" s="10">
        <f>data!I1642</f>
        <v>2142.48</v>
      </c>
      <c r="I1642" s="10">
        <f t="shared" si="100"/>
        <v>443.63999999999987</v>
      </c>
      <c r="J1642" s="11">
        <f>data!H1642</f>
        <v>1674</v>
      </c>
      <c r="K1642" s="11">
        <f>data!J1642</f>
        <v>1380</v>
      </c>
      <c r="L1642" s="11">
        <f t="shared" si="101"/>
        <v>294</v>
      </c>
      <c r="M1642" s="9">
        <f t="shared" si="102"/>
        <v>0.20706844404615207</v>
      </c>
      <c r="N1642" s="9">
        <f t="shared" si="103"/>
        <v>0.21304347826086956</v>
      </c>
    </row>
    <row r="1643" spans="1:14" x14ac:dyDescent="0.25">
      <c r="A1643" t="str">
        <f>TEXT("1/"&amp;data!A1643,"mmmm")</f>
        <v>juin</v>
      </c>
      <c r="B1643">
        <f>data!B1643</f>
        <v>2016</v>
      </c>
      <c r="C1643" t="str">
        <f>data!C1643</f>
        <v>099</v>
      </c>
      <c r="D1643" t="str">
        <f>data!D1643</f>
        <v>CAVE DE L'ORMARINE</v>
      </c>
      <c r="E1643" t="str">
        <f>data!E1643</f>
        <v>099002</v>
      </c>
      <c r="F1643" t="str">
        <f>data!F1643</f>
        <v>VDP C DE THAU D.VILLEMARIN</v>
      </c>
      <c r="G1643" s="10">
        <f>data!G1643</f>
        <v>11030.48</v>
      </c>
      <c r="H1643" s="10">
        <f>data!I1643</f>
        <v>10952.84</v>
      </c>
      <c r="I1643" s="10">
        <f t="shared" si="100"/>
        <v>77.639999999999418</v>
      </c>
      <c r="J1643" s="11">
        <f>data!H1643</f>
        <v>7932</v>
      </c>
      <c r="K1643" s="11">
        <f>data!J1643</f>
        <v>7848</v>
      </c>
      <c r="L1643" s="11">
        <f t="shared" si="101"/>
        <v>84</v>
      </c>
      <c r="M1643" s="9">
        <f t="shared" si="102"/>
        <v>7.0885724615715575E-3</v>
      </c>
      <c r="N1643" s="9">
        <f t="shared" si="103"/>
        <v>1.0703363914373088E-2</v>
      </c>
    </row>
    <row r="1644" spans="1:14" x14ac:dyDescent="0.25">
      <c r="A1644" t="str">
        <f>TEXT("1/"&amp;data!A1644,"mmmm")</f>
        <v>juin</v>
      </c>
      <c r="B1644">
        <f>data!B1644</f>
        <v>2016</v>
      </c>
      <c r="C1644" t="str">
        <f>data!C1644</f>
        <v>099</v>
      </c>
      <c r="D1644" t="str">
        <f>data!D1644</f>
        <v>CAVE DE L'ORMARINE</v>
      </c>
      <c r="E1644" t="str">
        <f>data!E1644</f>
        <v>099003</v>
      </c>
      <c r="F1644" t="str">
        <f>data!F1644</f>
        <v>VDP C DE THAU D.VILLEMARIN</v>
      </c>
      <c r="G1644" s="10">
        <f>data!G1644</f>
        <v>96.12</v>
      </c>
      <c r="H1644" s="10">
        <f>data!I1644</f>
        <v>951.6</v>
      </c>
      <c r="I1644" s="10">
        <f t="shared" si="100"/>
        <v>-855.48</v>
      </c>
      <c r="J1644" s="11">
        <f>data!H1644</f>
        <v>54</v>
      </c>
      <c r="K1644" s="11">
        <f>data!J1644</f>
        <v>570</v>
      </c>
      <c r="L1644" s="11">
        <f t="shared" si="101"/>
        <v>-516</v>
      </c>
      <c r="M1644" s="9">
        <f t="shared" si="102"/>
        <v>-0.89899117276166451</v>
      </c>
      <c r="N1644" s="9">
        <f t="shared" si="103"/>
        <v>-0.90526315789473688</v>
      </c>
    </row>
    <row r="1645" spans="1:14" x14ac:dyDescent="0.25">
      <c r="A1645" t="str">
        <f>TEXT("1/"&amp;data!A1645,"mmmm")</f>
        <v>juin</v>
      </c>
      <c r="B1645">
        <f>data!B1645</f>
        <v>2016</v>
      </c>
      <c r="C1645" t="str">
        <f>data!C1645</f>
        <v>099</v>
      </c>
      <c r="D1645" t="str">
        <f>data!D1645</f>
        <v>CAVE DE L'ORMARINE</v>
      </c>
      <c r="E1645" t="str">
        <f>data!E1645</f>
        <v>099013</v>
      </c>
      <c r="F1645" t="str">
        <f>data!F1645</f>
        <v>IGP PAYS D'OC MUSCAT MOELLEUX DOUCEUR DU SUD</v>
      </c>
      <c r="G1645" s="10">
        <f>data!G1645</f>
        <v>118.02</v>
      </c>
      <c r="H1645" s="10">
        <f>data!I1645</f>
        <v>236.04</v>
      </c>
      <c r="I1645" s="10">
        <f t="shared" si="100"/>
        <v>-118.02</v>
      </c>
      <c r="J1645" s="11">
        <f>data!H1645</f>
        <v>42</v>
      </c>
      <c r="K1645" s="11">
        <f>data!J1645</f>
        <v>90</v>
      </c>
      <c r="L1645" s="11">
        <f t="shared" si="101"/>
        <v>-48</v>
      </c>
      <c r="M1645" s="9">
        <f t="shared" si="102"/>
        <v>-0.5</v>
      </c>
      <c r="N1645" s="9">
        <f t="shared" si="103"/>
        <v>-0.53333333333333333</v>
      </c>
    </row>
    <row r="1646" spans="1:14" x14ac:dyDescent="0.25">
      <c r="A1646" t="str">
        <f>TEXT("1/"&amp;data!A1646,"mmmm")</f>
        <v>juin</v>
      </c>
      <c r="B1646">
        <f>data!B1646</f>
        <v>2016</v>
      </c>
      <c r="C1646" t="str">
        <f>data!C1646</f>
        <v>099</v>
      </c>
      <c r="D1646" t="str">
        <f>data!D1646</f>
        <v>CAVE DE L'ORMARINE</v>
      </c>
      <c r="E1646" t="str">
        <f>data!E1646</f>
        <v>099016</v>
      </c>
      <c r="F1646" t="str">
        <f>data!F1646</f>
        <v>AC PICPOUL PINET CARTE NOIRE</v>
      </c>
      <c r="G1646" s="10">
        <f>data!G1646</f>
        <v>175.2</v>
      </c>
      <c r="H1646" s="10">
        <f>data!I1646</f>
        <v>188.1</v>
      </c>
      <c r="I1646" s="10">
        <f t="shared" si="100"/>
        <v>-12.900000000000006</v>
      </c>
      <c r="J1646" s="11">
        <f>data!H1646</f>
        <v>60</v>
      </c>
      <c r="K1646" s="11">
        <f>data!J1646</f>
        <v>66</v>
      </c>
      <c r="L1646" s="11">
        <f t="shared" si="101"/>
        <v>-6</v>
      </c>
      <c r="M1646" s="9">
        <f t="shared" si="102"/>
        <v>-6.8580542264752825E-2</v>
      </c>
      <c r="N1646" s="9">
        <f t="shared" si="103"/>
        <v>-9.0909090909090912E-2</v>
      </c>
    </row>
    <row r="1647" spans="1:14" x14ac:dyDescent="0.25">
      <c r="A1647" t="str">
        <f>TEXT("1/"&amp;data!A1647,"mmmm")</f>
        <v>juin</v>
      </c>
      <c r="B1647">
        <f>data!B1647</f>
        <v>2016</v>
      </c>
      <c r="C1647" t="str">
        <f>data!C1647</f>
        <v>099</v>
      </c>
      <c r="D1647" t="str">
        <f>data!D1647</f>
        <v>CAVE DE L'ORMARINE</v>
      </c>
      <c r="E1647" t="str">
        <f>data!E1647</f>
        <v>099022</v>
      </c>
      <c r="F1647" t="str">
        <f>data!F1647</f>
        <v>IGP D'OC SAUVIGNON "HAUTS DE SENAUX"</v>
      </c>
      <c r="G1647" s="10">
        <f>data!G1647</f>
        <v>13.44</v>
      </c>
      <c r="H1647" s="10">
        <f>data!I1647</f>
        <v>0</v>
      </c>
      <c r="I1647" s="10">
        <f t="shared" si="100"/>
        <v>13.44</v>
      </c>
      <c r="J1647" s="11">
        <f>data!H1647</f>
        <v>6</v>
      </c>
      <c r="K1647" s="11">
        <f>data!J1647</f>
        <v>0</v>
      </c>
      <c r="L1647" s="11">
        <f t="shared" si="101"/>
        <v>6</v>
      </c>
      <c r="M1647" s="9" t="str">
        <f t="shared" si="102"/>
        <v/>
      </c>
      <c r="N1647" s="9" t="str">
        <f t="shared" si="103"/>
        <v/>
      </c>
    </row>
    <row r="1648" spans="1:14" x14ac:dyDescent="0.25">
      <c r="A1648" t="str">
        <f>TEXT("1/"&amp;data!A1648,"mmmm")</f>
        <v>juin</v>
      </c>
      <c r="B1648">
        <f>data!B1648</f>
        <v>2016</v>
      </c>
      <c r="C1648" t="str">
        <f>data!C1648</f>
        <v>110</v>
      </c>
      <c r="D1648" t="str">
        <f>data!D1648</f>
        <v>CHATEAU LES MARNIERES</v>
      </c>
      <c r="E1648" t="str">
        <f>data!E1648</f>
        <v>110500</v>
      </c>
      <c r="F1648" t="str">
        <f>data!F1648</f>
        <v>AC BERGERAC CH LES MARNIERES</v>
      </c>
      <c r="G1648" s="10">
        <f>data!G1648</f>
        <v>579.70000000000005</v>
      </c>
      <c r="H1648" s="10">
        <f>data!I1648</f>
        <v>600.6</v>
      </c>
      <c r="I1648" s="10">
        <f t="shared" si="100"/>
        <v>-20.899999999999977</v>
      </c>
      <c r="J1648" s="11">
        <f>data!H1648</f>
        <v>413.23</v>
      </c>
      <c r="K1648" s="11">
        <f>data!J1648</f>
        <v>439.89</v>
      </c>
      <c r="L1648" s="11">
        <f t="shared" si="101"/>
        <v>-26.659999999999968</v>
      </c>
      <c r="M1648" s="9">
        <f t="shared" si="102"/>
        <v>-3.4798534798534758E-2</v>
      </c>
      <c r="N1648" s="9">
        <f t="shared" si="103"/>
        <v>-6.0606060606060538E-2</v>
      </c>
    </row>
    <row r="1649" spans="1:14" x14ac:dyDescent="0.25">
      <c r="A1649" t="str">
        <f>TEXT("1/"&amp;data!A1649,"mmmm")</f>
        <v>juin</v>
      </c>
      <c r="B1649">
        <f>data!B1649</f>
        <v>2016</v>
      </c>
      <c r="C1649" t="str">
        <f>data!C1649</f>
        <v>110</v>
      </c>
      <c r="D1649" t="str">
        <f>data!D1649</f>
        <v>CHATEAU LES MARNIERES</v>
      </c>
      <c r="E1649" t="str">
        <f>data!E1649</f>
        <v>110501</v>
      </c>
      <c r="F1649" t="str">
        <f>data!F1649</f>
        <v>AC BERGERAC CH LES MARNIERES</v>
      </c>
      <c r="G1649" s="10">
        <f>data!G1649</f>
        <v>613.25</v>
      </c>
      <c r="H1649" s="10">
        <f>data!I1649</f>
        <v>354.75</v>
      </c>
      <c r="I1649" s="10">
        <f t="shared" si="100"/>
        <v>258.5</v>
      </c>
      <c r="J1649" s="11">
        <f>data!H1649</f>
        <v>366.85</v>
      </c>
      <c r="K1649" s="11">
        <f>data!J1649</f>
        <v>226.78</v>
      </c>
      <c r="L1649" s="11">
        <f t="shared" si="101"/>
        <v>140.07000000000002</v>
      </c>
      <c r="M1649" s="9">
        <f t="shared" si="102"/>
        <v>0.72868217054263562</v>
      </c>
      <c r="N1649" s="9">
        <f t="shared" si="103"/>
        <v>0.61764705882352955</v>
      </c>
    </row>
    <row r="1650" spans="1:14" x14ac:dyDescent="0.25">
      <c r="A1650" t="str">
        <f>TEXT("1/"&amp;data!A1650,"mmmm")</f>
        <v>juin</v>
      </c>
      <c r="B1650">
        <f>data!B1650</f>
        <v>2016</v>
      </c>
      <c r="C1650" t="str">
        <f>data!C1650</f>
        <v>110</v>
      </c>
      <c r="D1650" t="str">
        <f>data!D1650</f>
        <v>CHATEAU LES MARNIERES</v>
      </c>
      <c r="E1650" t="str">
        <f>data!E1650</f>
        <v>110600</v>
      </c>
      <c r="F1650" t="str">
        <f>data!F1650</f>
        <v>CH LES MARNIERES AC COTES DE BERGERAC MOELLEUX</v>
      </c>
      <c r="G1650" s="10">
        <f>data!G1650</f>
        <v>75.599999999999994</v>
      </c>
      <c r="H1650" s="10">
        <f>data!I1650</f>
        <v>91.5</v>
      </c>
      <c r="I1650" s="10">
        <f t="shared" si="100"/>
        <v>-15.900000000000006</v>
      </c>
      <c r="J1650" s="11">
        <f>data!H1650</f>
        <v>24</v>
      </c>
      <c r="K1650" s="11">
        <f>data!J1650</f>
        <v>30</v>
      </c>
      <c r="L1650" s="11">
        <f t="shared" si="101"/>
        <v>-6</v>
      </c>
      <c r="M1650" s="9">
        <f t="shared" si="102"/>
        <v>-0.17377049180327875</v>
      </c>
      <c r="N1650" s="9">
        <f t="shared" si="103"/>
        <v>-0.2</v>
      </c>
    </row>
    <row r="1651" spans="1:14" x14ac:dyDescent="0.25">
      <c r="A1651" t="str">
        <f>TEXT("1/"&amp;data!A1651,"mmmm")</f>
        <v>juin</v>
      </c>
      <c r="B1651">
        <f>data!B1651</f>
        <v>2016</v>
      </c>
      <c r="C1651" t="str">
        <f>data!C1651</f>
        <v>110</v>
      </c>
      <c r="D1651" t="str">
        <f>data!D1651</f>
        <v>CHATEAU LES MARNIERES</v>
      </c>
      <c r="E1651" t="str">
        <f>data!E1651</f>
        <v>110601</v>
      </c>
      <c r="F1651" t="str">
        <f>data!F1651</f>
        <v>AC C.DE BERGERAC F.DE CHENE  MOELL</v>
      </c>
      <c r="G1651" s="10">
        <f>data!G1651</f>
        <v>46.8</v>
      </c>
      <c r="H1651" s="10">
        <f>data!I1651</f>
        <v>0</v>
      </c>
      <c r="I1651" s="10">
        <f t="shared" si="100"/>
        <v>46.8</v>
      </c>
      <c r="J1651" s="11">
        <f>data!H1651</f>
        <v>12</v>
      </c>
      <c r="K1651" s="11">
        <f>data!J1651</f>
        <v>0</v>
      </c>
      <c r="L1651" s="11">
        <f t="shared" si="101"/>
        <v>12</v>
      </c>
      <c r="M1651" s="9" t="str">
        <f t="shared" si="102"/>
        <v/>
      </c>
      <c r="N1651" s="9" t="str">
        <f t="shared" si="103"/>
        <v/>
      </c>
    </row>
    <row r="1652" spans="1:14" x14ac:dyDescent="0.25">
      <c r="A1652" t="str">
        <f>TEXT("1/"&amp;data!A1652,"mmmm")</f>
        <v>juin</v>
      </c>
      <c r="B1652">
        <f>data!B1652</f>
        <v>2016</v>
      </c>
      <c r="C1652" t="str">
        <f>data!C1652</f>
        <v>113</v>
      </c>
      <c r="D1652" t="str">
        <f>data!D1652</f>
        <v>DOMAINE DU PRIEURE</v>
      </c>
      <c r="E1652" t="str">
        <f>data!E1652</f>
        <v>113001</v>
      </c>
      <c r="F1652" t="str">
        <f>data!F1652</f>
        <v>AC MENETOU SALON. DME PRIEURE</v>
      </c>
      <c r="G1652" s="10">
        <f>data!G1652</f>
        <v>1607.4</v>
      </c>
      <c r="H1652" s="10">
        <f>data!I1652</f>
        <v>792</v>
      </c>
      <c r="I1652" s="10">
        <f t="shared" si="100"/>
        <v>815.40000000000009</v>
      </c>
      <c r="J1652" s="11">
        <f>data!H1652</f>
        <v>288</v>
      </c>
      <c r="K1652" s="11">
        <f>data!J1652</f>
        <v>144</v>
      </c>
      <c r="L1652" s="11">
        <f t="shared" si="101"/>
        <v>144</v>
      </c>
      <c r="M1652" s="9">
        <f t="shared" si="102"/>
        <v>1.0295454545454548</v>
      </c>
      <c r="N1652" s="9">
        <f t="shared" si="103"/>
        <v>1</v>
      </c>
    </row>
    <row r="1653" spans="1:14" x14ac:dyDescent="0.25">
      <c r="A1653" t="str">
        <f>TEXT("1/"&amp;data!A1653,"mmmm")</f>
        <v>juin</v>
      </c>
      <c r="B1653">
        <f>data!B1653</f>
        <v>2016</v>
      </c>
      <c r="C1653" t="str">
        <f>data!C1653</f>
        <v>113</v>
      </c>
      <c r="D1653" t="str">
        <f>data!D1653</f>
        <v>DOMAINE DU PRIEURE</v>
      </c>
      <c r="E1653" t="str">
        <f>data!E1653</f>
        <v>113002</v>
      </c>
      <c r="F1653" t="str">
        <f>data!F1653</f>
        <v>AC MENETOU SALON. DME PRIEURE</v>
      </c>
      <c r="G1653" s="10">
        <f>data!G1653</f>
        <v>302.39999999999998</v>
      </c>
      <c r="H1653" s="10">
        <f>data!I1653</f>
        <v>146.4</v>
      </c>
      <c r="I1653" s="10">
        <f t="shared" si="100"/>
        <v>155.99999999999997</v>
      </c>
      <c r="J1653" s="11">
        <f>data!H1653</f>
        <v>48</v>
      </c>
      <c r="K1653" s="11">
        <f>data!J1653</f>
        <v>24</v>
      </c>
      <c r="L1653" s="11">
        <f t="shared" si="101"/>
        <v>24</v>
      </c>
      <c r="M1653" s="9">
        <f t="shared" si="102"/>
        <v>1.0655737704918031</v>
      </c>
      <c r="N1653" s="9">
        <f t="shared" si="103"/>
        <v>1</v>
      </c>
    </row>
    <row r="1654" spans="1:14" x14ac:dyDescent="0.25">
      <c r="A1654" t="str">
        <f>TEXT("1/"&amp;data!A1654,"mmmm")</f>
        <v>juin</v>
      </c>
      <c r="B1654">
        <f>data!B1654</f>
        <v>2016</v>
      </c>
      <c r="C1654" t="str">
        <f>data!C1654</f>
        <v>113</v>
      </c>
      <c r="D1654" t="str">
        <f>data!D1654</f>
        <v>DOMAINE DU PRIEURE</v>
      </c>
      <c r="E1654" t="str">
        <f>data!E1654</f>
        <v>113005</v>
      </c>
      <c r="F1654" t="str">
        <f>data!F1654</f>
        <v>AC MENETOU SALON. DME PRIEURE</v>
      </c>
      <c r="G1654" s="10">
        <f>data!G1654</f>
        <v>1044</v>
      </c>
      <c r="H1654" s="10">
        <f>data!I1654</f>
        <v>828</v>
      </c>
      <c r="I1654" s="10">
        <f t="shared" si="100"/>
        <v>216</v>
      </c>
      <c r="J1654" s="11">
        <f>data!H1654</f>
        <v>174</v>
      </c>
      <c r="K1654" s="11">
        <f>data!J1654</f>
        <v>144</v>
      </c>
      <c r="L1654" s="11">
        <f t="shared" si="101"/>
        <v>30</v>
      </c>
      <c r="M1654" s="9">
        <f t="shared" si="102"/>
        <v>0.2608695652173913</v>
      </c>
      <c r="N1654" s="9">
        <f t="shared" si="103"/>
        <v>0.20833333333333334</v>
      </c>
    </row>
    <row r="1655" spans="1:14" x14ac:dyDescent="0.25">
      <c r="A1655" t="str">
        <f>TEXT("1/"&amp;data!A1655,"mmmm")</f>
        <v>juin</v>
      </c>
      <c r="B1655">
        <f>data!B1655</f>
        <v>2016</v>
      </c>
      <c r="C1655" t="str">
        <f>data!C1655</f>
        <v>113</v>
      </c>
      <c r="D1655" t="str">
        <f>data!D1655</f>
        <v>DOMAINE DU PRIEURE</v>
      </c>
      <c r="E1655" t="str">
        <f>data!E1655</f>
        <v>113006</v>
      </c>
      <c r="F1655" t="str">
        <f>data!F1655</f>
        <v>AC MENETOU SALON. DME PRIEURE</v>
      </c>
      <c r="G1655" s="10">
        <f>data!G1655</f>
        <v>158.4</v>
      </c>
      <c r="H1655" s="10">
        <f>data!I1655</f>
        <v>230.4</v>
      </c>
      <c r="I1655" s="10">
        <f t="shared" si="100"/>
        <v>-72</v>
      </c>
      <c r="J1655" s="11">
        <f>data!H1655</f>
        <v>24</v>
      </c>
      <c r="K1655" s="11">
        <f>data!J1655</f>
        <v>36</v>
      </c>
      <c r="L1655" s="11">
        <f t="shared" si="101"/>
        <v>-12</v>
      </c>
      <c r="M1655" s="9">
        <f t="shared" si="102"/>
        <v>-0.3125</v>
      </c>
      <c r="N1655" s="9">
        <f t="shared" si="103"/>
        <v>-0.33333333333333331</v>
      </c>
    </row>
    <row r="1656" spans="1:14" x14ac:dyDescent="0.25">
      <c r="A1656" t="str">
        <f>TEXT("1/"&amp;data!A1656,"mmmm")</f>
        <v>juin</v>
      </c>
      <c r="B1656">
        <f>data!B1656</f>
        <v>2016</v>
      </c>
      <c r="C1656" t="str">
        <f>data!C1656</f>
        <v>114</v>
      </c>
      <c r="D1656" t="str">
        <f>data!D1656</f>
        <v>DAVAULT VIGNERONS</v>
      </c>
      <c r="E1656" t="str">
        <f>data!E1656</f>
        <v>114001</v>
      </c>
      <c r="F1656" t="str">
        <f>data!F1656</f>
        <v>AC TOURAINE D.LA CHAISE</v>
      </c>
      <c r="G1656" s="10">
        <f>data!G1656</f>
        <v>1683</v>
      </c>
      <c r="H1656" s="10">
        <f>data!I1656</f>
        <v>891</v>
      </c>
      <c r="I1656" s="10">
        <f t="shared" si="100"/>
        <v>792</v>
      </c>
      <c r="J1656" s="11">
        <f>data!H1656</f>
        <v>618</v>
      </c>
      <c r="K1656" s="11">
        <f>data!J1656</f>
        <v>330</v>
      </c>
      <c r="L1656" s="11">
        <f t="shared" si="101"/>
        <v>288</v>
      </c>
      <c r="M1656" s="9">
        <f t="shared" si="102"/>
        <v>0.88888888888888884</v>
      </c>
      <c r="N1656" s="9">
        <f t="shared" si="103"/>
        <v>0.87272727272727268</v>
      </c>
    </row>
    <row r="1657" spans="1:14" x14ac:dyDescent="0.25">
      <c r="A1657" t="str">
        <f>TEXT("1/"&amp;data!A1657,"mmmm")</f>
        <v>juin</v>
      </c>
      <c r="B1657">
        <f>data!B1657</f>
        <v>2016</v>
      </c>
      <c r="C1657" t="str">
        <f>data!C1657</f>
        <v>114</v>
      </c>
      <c r="D1657" t="str">
        <f>data!D1657</f>
        <v>DAVAULT VIGNERONS</v>
      </c>
      <c r="E1657" t="str">
        <f>data!E1657</f>
        <v>114002</v>
      </c>
      <c r="F1657" t="str">
        <f>data!F1657</f>
        <v>AC TOURAINE D.LA CHAISE</v>
      </c>
      <c r="G1657" s="10">
        <f>data!G1657</f>
        <v>81.12</v>
      </c>
      <c r="H1657" s="10">
        <f>data!I1657</f>
        <v>99</v>
      </c>
      <c r="I1657" s="10">
        <f t="shared" si="100"/>
        <v>-17.879999999999995</v>
      </c>
      <c r="J1657" s="11">
        <f>data!H1657</f>
        <v>24</v>
      </c>
      <c r="K1657" s="11">
        <f>data!J1657</f>
        <v>30</v>
      </c>
      <c r="L1657" s="11">
        <f t="shared" si="101"/>
        <v>-6</v>
      </c>
      <c r="M1657" s="9">
        <f t="shared" si="102"/>
        <v>-0.18060606060606055</v>
      </c>
      <c r="N1657" s="9">
        <f t="shared" si="103"/>
        <v>-0.2</v>
      </c>
    </row>
    <row r="1658" spans="1:14" x14ac:dyDescent="0.25">
      <c r="A1658" t="str">
        <f>TEXT("1/"&amp;data!A1658,"mmmm")</f>
        <v>juin</v>
      </c>
      <c r="B1658">
        <f>data!B1658</f>
        <v>2016</v>
      </c>
      <c r="C1658" t="str">
        <f>data!C1658</f>
        <v>114</v>
      </c>
      <c r="D1658" t="str">
        <f>data!D1658</f>
        <v>DAVAULT VIGNERONS</v>
      </c>
      <c r="E1658" t="str">
        <f>data!E1658</f>
        <v>114005</v>
      </c>
      <c r="F1658" t="str">
        <f>data!F1658</f>
        <v>AC GAMAY TOURAINE D.LA CHAISE</v>
      </c>
      <c r="G1658" s="10">
        <f>data!G1658</f>
        <v>112.8</v>
      </c>
      <c r="H1658" s="10">
        <f>data!I1658</f>
        <v>211.5</v>
      </c>
      <c r="I1658" s="10">
        <f t="shared" si="100"/>
        <v>-98.7</v>
      </c>
      <c r="J1658" s="11">
        <f>data!H1658</f>
        <v>54</v>
      </c>
      <c r="K1658" s="11">
        <f>data!J1658</f>
        <v>90</v>
      </c>
      <c r="L1658" s="11">
        <f t="shared" si="101"/>
        <v>-36</v>
      </c>
      <c r="M1658" s="9">
        <f t="shared" si="102"/>
        <v>-0.46666666666666667</v>
      </c>
      <c r="N1658" s="9">
        <f t="shared" si="103"/>
        <v>-0.4</v>
      </c>
    </row>
    <row r="1659" spans="1:14" x14ac:dyDescent="0.25">
      <c r="A1659" t="str">
        <f>TEXT("1/"&amp;data!A1659,"mmmm")</f>
        <v>juin</v>
      </c>
      <c r="B1659">
        <f>data!B1659</f>
        <v>2016</v>
      </c>
      <c r="C1659" t="str">
        <f>data!C1659</f>
        <v>114</v>
      </c>
      <c r="D1659" t="str">
        <f>data!D1659</f>
        <v>DAVAULT VIGNERONS</v>
      </c>
      <c r="E1659" t="str">
        <f>data!E1659</f>
        <v>114006</v>
      </c>
      <c r="F1659" t="str">
        <f>data!F1659</f>
        <v>AC GAMAY TOURAINE D.LA CHAISE</v>
      </c>
      <c r="G1659" s="10">
        <f>data!G1659</f>
        <v>36.24</v>
      </c>
      <c r="H1659" s="10">
        <f>data!I1659</f>
        <v>0</v>
      </c>
      <c r="I1659" s="10">
        <f t="shared" si="100"/>
        <v>36.24</v>
      </c>
      <c r="J1659" s="11">
        <f>data!H1659</f>
        <v>12</v>
      </c>
      <c r="K1659" s="11">
        <f>data!J1659</f>
        <v>0</v>
      </c>
      <c r="L1659" s="11">
        <f t="shared" si="101"/>
        <v>12</v>
      </c>
      <c r="M1659" s="9" t="str">
        <f t="shared" si="102"/>
        <v/>
      </c>
      <c r="N1659" s="9" t="str">
        <f t="shared" si="103"/>
        <v/>
      </c>
    </row>
    <row r="1660" spans="1:14" x14ac:dyDescent="0.25">
      <c r="A1660" t="str">
        <f>TEXT("1/"&amp;data!A1660,"mmmm")</f>
        <v>juin</v>
      </c>
      <c r="B1660">
        <f>data!B1660</f>
        <v>2016</v>
      </c>
      <c r="C1660" t="str">
        <f>data!C1660</f>
        <v>114</v>
      </c>
      <c r="D1660" t="str">
        <f>data!D1660</f>
        <v>DAVAULT VIGNERONS</v>
      </c>
      <c r="E1660" t="str">
        <f>data!E1660</f>
        <v>114010</v>
      </c>
      <c r="F1660" t="str">
        <f>data!F1660</f>
        <v>AC TOURAINE SAUV D.LA CHAISE</v>
      </c>
      <c r="G1660" s="10">
        <f>data!G1660</f>
        <v>277.2</v>
      </c>
      <c r="H1660" s="10">
        <f>data!I1660</f>
        <v>363.2</v>
      </c>
      <c r="I1660" s="10">
        <f t="shared" si="100"/>
        <v>-86</v>
      </c>
      <c r="J1660" s="11">
        <f>data!H1660</f>
        <v>159.96</v>
      </c>
      <c r="K1660" s="11">
        <f>data!J1660</f>
        <v>213.28</v>
      </c>
      <c r="L1660" s="11">
        <f t="shared" si="101"/>
        <v>-53.319999999999993</v>
      </c>
      <c r="M1660" s="9">
        <f t="shared" si="102"/>
        <v>-0.236784140969163</v>
      </c>
      <c r="N1660" s="9">
        <f t="shared" si="103"/>
        <v>-0.24999999999999997</v>
      </c>
    </row>
    <row r="1661" spans="1:14" x14ac:dyDescent="0.25">
      <c r="A1661" t="str">
        <f>TEXT("1/"&amp;data!A1661,"mmmm")</f>
        <v>juin</v>
      </c>
      <c r="B1661">
        <f>data!B1661</f>
        <v>2016</v>
      </c>
      <c r="C1661" t="str">
        <f>data!C1661</f>
        <v>114</v>
      </c>
      <c r="D1661" t="str">
        <f>data!D1661</f>
        <v>DAVAULT VIGNERONS</v>
      </c>
      <c r="E1661" t="str">
        <f>data!E1661</f>
        <v>114011</v>
      </c>
      <c r="F1661" t="str">
        <f>data!F1661</f>
        <v>AC TOURAINE SAUV D.LA CHAISE</v>
      </c>
      <c r="G1661" s="10">
        <f>data!G1661</f>
        <v>283.5</v>
      </c>
      <c r="H1661" s="10">
        <f>data!I1661</f>
        <v>764.64</v>
      </c>
      <c r="I1661" s="10">
        <f t="shared" si="100"/>
        <v>-481.14</v>
      </c>
      <c r="J1661" s="11">
        <f>data!H1661</f>
        <v>146.74</v>
      </c>
      <c r="K1661" s="11">
        <f>data!J1661</f>
        <v>406.87</v>
      </c>
      <c r="L1661" s="11">
        <f t="shared" si="101"/>
        <v>-260.13</v>
      </c>
      <c r="M1661" s="9">
        <f t="shared" si="102"/>
        <v>-0.62923728813559321</v>
      </c>
      <c r="N1661" s="9">
        <f t="shared" si="103"/>
        <v>-0.6393442622950819</v>
      </c>
    </row>
    <row r="1662" spans="1:14" x14ac:dyDescent="0.25">
      <c r="A1662" t="str">
        <f>TEXT("1/"&amp;data!A1662,"mmmm")</f>
        <v>juin</v>
      </c>
      <c r="B1662">
        <f>data!B1662</f>
        <v>2016</v>
      </c>
      <c r="C1662" t="str">
        <f>data!C1662</f>
        <v>114</v>
      </c>
      <c r="D1662" t="str">
        <f>data!D1662</f>
        <v>DAVAULT VIGNERONS</v>
      </c>
      <c r="E1662" t="str">
        <f>data!E1662</f>
        <v>114012</v>
      </c>
      <c r="F1662" t="str">
        <f>data!F1662</f>
        <v>AC TOURAINE GAMAY D.LA CHAISE</v>
      </c>
      <c r="G1662" s="10">
        <f>data!G1662</f>
        <v>35.04</v>
      </c>
      <c r="H1662" s="10">
        <f>data!I1662</f>
        <v>0</v>
      </c>
      <c r="I1662" s="10">
        <f t="shared" si="100"/>
        <v>35.04</v>
      </c>
      <c r="J1662" s="11">
        <f>data!H1662</f>
        <v>26.66</v>
      </c>
      <c r="K1662" s="11">
        <f>data!J1662</f>
        <v>0</v>
      </c>
      <c r="L1662" s="11">
        <f t="shared" si="101"/>
        <v>26.66</v>
      </c>
      <c r="M1662" s="9" t="str">
        <f t="shared" si="102"/>
        <v/>
      </c>
      <c r="N1662" s="9" t="str">
        <f t="shared" si="103"/>
        <v/>
      </c>
    </row>
    <row r="1663" spans="1:14" x14ac:dyDescent="0.25">
      <c r="A1663" t="str">
        <f>TEXT("1/"&amp;data!A1663,"mmmm")</f>
        <v>juin</v>
      </c>
      <c r="B1663">
        <f>data!B1663</f>
        <v>2016</v>
      </c>
      <c r="C1663" t="str">
        <f>data!C1663</f>
        <v>115</v>
      </c>
      <c r="D1663" t="str">
        <f>data!D1663</f>
        <v>SCEA CHATEAU DES ROQUES</v>
      </c>
      <c r="E1663" t="str">
        <f>data!E1663</f>
        <v>115005</v>
      </c>
      <c r="F1663" t="str">
        <f>data!F1663</f>
        <v>AC VACQUEYRAS CH DES ROQUES</v>
      </c>
      <c r="G1663" s="10">
        <f>data!G1663</f>
        <v>683.4</v>
      </c>
      <c r="H1663" s="10">
        <f>data!I1663</f>
        <v>1344</v>
      </c>
      <c r="I1663" s="10">
        <f t="shared" si="100"/>
        <v>-660.6</v>
      </c>
      <c r="J1663" s="11">
        <f>data!H1663</f>
        <v>102</v>
      </c>
      <c r="K1663" s="11">
        <f>data!J1663</f>
        <v>210</v>
      </c>
      <c r="L1663" s="11">
        <f t="shared" si="101"/>
        <v>-108</v>
      </c>
      <c r="M1663" s="9">
        <f t="shared" si="102"/>
        <v>-0.49151785714285717</v>
      </c>
      <c r="N1663" s="9">
        <f t="shared" si="103"/>
        <v>-0.51428571428571423</v>
      </c>
    </row>
    <row r="1664" spans="1:14" x14ac:dyDescent="0.25">
      <c r="A1664" t="str">
        <f>TEXT("1/"&amp;data!A1664,"mmmm")</f>
        <v>juin</v>
      </c>
      <c r="B1664">
        <f>data!B1664</f>
        <v>2016</v>
      </c>
      <c r="C1664" t="str">
        <f>data!C1664</f>
        <v>115</v>
      </c>
      <c r="D1664" t="str">
        <f>data!D1664</f>
        <v>SCEA CHATEAU DES ROQUES</v>
      </c>
      <c r="E1664" t="str">
        <f>data!E1664</f>
        <v>115007</v>
      </c>
      <c r="F1664" t="str">
        <f>data!F1664</f>
        <v>Château des Roques AC VACQUEYRAS</v>
      </c>
      <c r="G1664" s="10">
        <f>data!G1664</f>
        <v>126</v>
      </c>
      <c r="H1664" s="10">
        <f>data!I1664</f>
        <v>120.6</v>
      </c>
      <c r="I1664" s="10">
        <f t="shared" si="100"/>
        <v>5.4000000000000057</v>
      </c>
      <c r="J1664" s="11">
        <f>data!H1664</f>
        <v>18</v>
      </c>
      <c r="K1664" s="11">
        <f>data!J1664</f>
        <v>18</v>
      </c>
      <c r="L1664" s="11">
        <f t="shared" si="101"/>
        <v>0</v>
      </c>
      <c r="M1664" s="9">
        <f t="shared" si="102"/>
        <v>4.4776119402985121E-2</v>
      </c>
      <c r="N1664" s="9">
        <f t="shared" si="103"/>
        <v>0</v>
      </c>
    </row>
    <row r="1665" spans="1:14" x14ac:dyDescent="0.25">
      <c r="A1665" t="str">
        <f>TEXT("1/"&amp;data!A1665,"mmmm")</f>
        <v>juin</v>
      </c>
      <c r="B1665">
        <f>data!B1665</f>
        <v>2016</v>
      </c>
      <c r="C1665" t="str">
        <f>data!C1665</f>
        <v>115</v>
      </c>
      <c r="D1665" t="str">
        <f>data!D1665</f>
        <v>SCEA CHATEAU DES ROQUES</v>
      </c>
      <c r="E1665" t="str">
        <f>data!E1665</f>
        <v>115010</v>
      </c>
      <c r="F1665" t="str">
        <f>data!F1665</f>
        <v>VDP VAUCLUSE G.DES ROQUES</v>
      </c>
      <c r="G1665" s="10">
        <f>data!G1665</f>
        <v>145</v>
      </c>
      <c r="H1665" s="10">
        <f>data!I1665</f>
        <v>41.4</v>
      </c>
      <c r="I1665" s="10">
        <f t="shared" si="100"/>
        <v>103.6</v>
      </c>
      <c r="J1665" s="11">
        <f>data!H1665</f>
        <v>133.30000000000001</v>
      </c>
      <c r="K1665" s="11">
        <f>data!J1665</f>
        <v>39.99</v>
      </c>
      <c r="L1665" s="11">
        <f t="shared" si="101"/>
        <v>93.31</v>
      </c>
      <c r="M1665" s="9">
        <f t="shared" si="102"/>
        <v>2.5024154589371981</v>
      </c>
      <c r="N1665" s="9">
        <f t="shared" si="103"/>
        <v>2.3333333333333335</v>
      </c>
    </row>
    <row r="1666" spans="1:14" x14ac:dyDescent="0.25">
      <c r="A1666" t="str">
        <f>TEXT("1/"&amp;data!A1666,"mmmm")</f>
        <v>juin</v>
      </c>
      <c r="B1666">
        <f>data!B1666</f>
        <v>2016</v>
      </c>
      <c r="C1666" t="str">
        <f>data!C1666</f>
        <v>115</v>
      </c>
      <c r="D1666" t="str">
        <f>data!D1666</f>
        <v>SCEA CHATEAU DES ROQUES</v>
      </c>
      <c r="E1666" t="str">
        <f>data!E1666</f>
        <v>115011</v>
      </c>
      <c r="F1666" t="str">
        <f>data!F1666</f>
        <v>VDP VAUCLUSE G.DES ROQUES</v>
      </c>
      <c r="G1666" s="10">
        <f>data!G1666</f>
        <v>85</v>
      </c>
      <c r="H1666" s="10">
        <f>data!I1666</f>
        <v>24</v>
      </c>
      <c r="I1666" s="10">
        <f t="shared" si="100"/>
        <v>61</v>
      </c>
      <c r="J1666" s="11">
        <f>data!H1666</f>
        <v>66.7</v>
      </c>
      <c r="K1666" s="11">
        <f>data!J1666</f>
        <v>33.35</v>
      </c>
      <c r="L1666" s="11">
        <f t="shared" si="101"/>
        <v>33.35</v>
      </c>
      <c r="M1666" s="9">
        <f t="shared" si="102"/>
        <v>2.5416666666666665</v>
      </c>
      <c r="N1666" s="9">
        <f t="shared" si="103"/>
        <v>1</v>
      </c>
    </row>
    <row r="1667" spans="1:14" x14ac:dyDescent="0.25">
      <c r="A1667" t="str">
        <f>TEXT("1/"&amp;data!A1667,"mmmm")</f>
        <v>juin</v>
      </c>
      <c r="B1667">
        <f>data!B1667</f>
        <v>2016</v>
      </c>
      <c r="C1667" t="str">
        <f>data!C1667</f>
        <v>116</v>
      </c>
      <c r="D1667" t="str">
        <f>data!D1667</f>
        <v>VIGNOBLE GASNIER</v>
      </c>
      <c r="E1667" t="str">
        <f>data!E1667</f>
        <v>116001</v>
      </c>
      <c r="F1667" t="str">
        <f>data!F1667</f>
        <v>AC CHINON LES GRAVES</v>
      </c>
      <c r="G1667" s="10">
        <f>data!G1667</f>
        <v>1186.8</v>
      </c>
      <c r="H1667" s="10">
        <f>data!I1667</f>
        <v>1829.1</v>
      </c>
      <c r="I1667" s="10">
        <f t="shared" ref="I1667:I1730" si="104">G1667-H1667</f>
        <v>-642.29999999999995</v>
      </c>
      <c r="J1667" s="11">
        <f>data!H1667</f>
        <v>264</v>
      </c>
      <c r="K1667" s="11">
        <f>data!J1667</f>
        <v>402</v>
      </c>
      <c r="L1667" s="11">
        <f t="shared" ref="L1667:L1730" si="105">J1667-K1667</f>
        <v>-138</v>
      </c>
      <c r="M1667" s="9">
        <f t="shared" ref="M1667:M1730" si="106">IF(ISERR(I1667/H1667),"",I1667/H1667)</f>
        <v>-0.35115630638018697</v>
      </c>
      <c r="N1667" s="9">
        <f t="shared" ref="N1667:N1730" si="107">IF(ISERR(L1667/K1667),"",L1667/K1667)</f>
        <v>-0.34328358208955223</v>
      </c>
    </row>
    <row r="1668" spans="1:14" x14ac:dyDescent="0.25">
      <c r="A1668" t="str">
        <f>TEXT("1/"&amp;data!A1668,"mmmm")</f>
        <v>juin</v>
      </c>
      <c r="B1668">
        <f>data!B1668</f>
        <v>2016</v>
      </c>
      <c r="C1668" t="str">
        <f>data!C1668</f>
        <v>116</v>
      </c>
      <c r="D1668" t="str">
        <f>data!D1668</f>
        <v>VIGNOBLE GASNIER</v>
      </c>
      <c r="E1668" t="str">
        <f>data!E1668</f>
        <v>116005</v>
      </c>
      <c r="F1668" t="str">
        <f>data!F1668</f>
        <v>AC CHINON DME GASNIER</v>
      </c>
      <c r="G1668" s="10">
        <f>data!G1668</f>
        <v>26.1</v>
      </c>
      <c r="H1668" s="10">
        <f>data!I1668</f>
        <v>154.80000000000001</v>
      </c>
      <c r="I1668" s="10">
        <f t="shared" si="104"/>
        <v>-128.70000000000002</v>
      </c>
      <c r="J1668" s="11">
        <f>data!H1668</f>
        <v>6</v>
      </c>
      <c r="K1668" s="11">
        <f>data!J1668</f>
        <v>36</v>
      </c>
      <c r="L1668" s="11">
        <f t="shared" si="105"/>
        <v>-30</v>
      </c>
      <c r="M1668" s="9">
        <f t="shared" si="106"/>
        <v>-0.83139534883720934</v>
      </c>
      <c r="N1668" s="9">
        <f t="shared" si="107"/>
        <v>-0.83333333333333337</v>
      </c>
    </row>
    <row r="1669" spans="1:14" x14ac:dyDescent="0.25">
      <c r="A1669" t="str">
        <f>TEXT("1/"&amp;data!A1669,"mmmm")</f>
        <v>juin</v>
      </c>
      <c r="B1669">
        <f>data!B1669</f>
        <v>2016</v>
      </c>
      <c r="C1669" t="str">
        <f>data!C1669</f>
        <v>118</v>
      </c>
      <c r="D1669" t="str">
        <f>data!D1669</f>
        <v>ARMAGNAC DELORD</v>
      </c>
      <c r="E1669" t="str">
        <f>data!E1669</f>
        <v>118037</v>
      </c>
      <c r="F1669" t="str">
        <f>data!F1669</f>
        <v>ARMAGNAC RECOLTE 1968 ARIANE en caissette bois</v>
      </c>
      <c r="G1669" s="10">
        <f>data!G1669</f>
        <v>75.53</v>
      </c>
      <c r="H1669" s="10">
        <f>data!I1669</f>
        <v>0</v>
      </c>
      <c r="I1669" s="10">
        <f t="shared" si="104"/>
        <v>75.53</v>
      </c>
      <c r="J1669" s="11">
        <f>data!H1669</f>
        <v>1</v>
      </c>
      <c r="K1669" s="11">
        <f>data!J1669</f>
        <v>0</v>
      </c>
      <c r="L1669" s="11">
        <f t="shared" si="105"/>
        <v>1</v>
      </c>
      <c r="M1669" s="9" t="str">
        <f t="shared" si="106"/>
        <v/>
      </c>
      <c r="N1669" s="9" t="str">
        <f t="shared" si="107"/>
        <v/>
      </c>
    </row>
    <row r="1670" spans="1:14" x14ac:dyDescent="0.25">
      <c r="A1670" t="str">
        <f>TEXT("1/"&amp;data!A1670,"mmmm")</f>
        <v>juin</v>
      </c>
      <c r="B1670">
        <f>data!B1670</f>
        <v>2016</v>
      </c>
      <c r="C1670" t="str">
        <f>data!C1670</f>
        <v>124</v>
      </c>
      <c r="D1670" t="str">
        <f>data!D1670</f>
        <v>CHATEAU BECHEREAU</v>
      </c>
      <c r="E1670" t="str">
        <f>data!E1670</f>
        <v>124001</v>
      </c>
      <c r="F1670" t="str">
        <f>data!F1670</f>
        <v>AC M ST EMILION CH BECHEREAU</v>
      </c>
      <c r="G1670" s="10">
        <f>data!G1670</f>
        <v>1350</v>
      </c>
      <c r="H1670" s="10">
        <f>data!I1670</f>
        <v>475.2</v>
      </c>
      <c r="I1670" s="10">
        <f t="shared" si="104"/>
        <v>874.8</v>
      </c>
      <c r="J1670" s="11">
        <f>data!H1670</f>
        <v>300</v>
      </c>
      <c r="K1670" s="11">
        <f>data!J1670</f>
        <v>108</v>
      </c>
      <c r="L1670" s="11">
        <f t="shared" si="105"/>
        <v>192</v>
      </c>
      <c r="M1670" s="9">
        <f t="shared" si="106"/>
        <v>1.8409090909090908</v>
      </c>
      <c r="N1670" s="9">
        <f t="shared" si="107"/>
        <v>1.7777777777777777</v>
      </c>
    </row>
    <row r="1671" spans="1:14" x14ac:dyDescent="0.25">
      <c r="A1671" t="str">
        <f>TEXT("1/"&amp;data!A1671,"mmmm")</f>
        <v>juin</v>
      </c>
      <c r="B1671">
        <f>data!B1671</f>
        <v>2016</v>
      </c>
      <c r="C1671" t="str">
        <f>data!C1671</f>
        <v>124</v>
      </c>
      <c r="D1671" t="str">
        <f>data!D1671</f>
        <v>CHATEAU BECHEREAU</v>
      </c>
      <c r="E1671" t="str">
        <f>data!E1671</f>
        <v>124002</v>
      </c>
      <c r="F1671" t="str">
        <f>data!F1671</f>
        <v>AC BORDEAUX SUP TRADITION CH BECHEREAU</v>
      </c>
      <c r="G1671" s="10">
        <f>data!G1671</f>
        <v>237.6</v>
      </c>
      <c r="H1671" s="10">
        <f>data!I1671</f>
        <v>480</v>
      </c>
      <c r="I1671" s="10">
        <f t="shared" si="104"/>
        <v>-242.4</v>
      </c>
      <c r="J1671" s="11">
        <f>data!H1671</f>
        <v>72</v>
      </c>
      <c r="K1671" s="11">
        <f>data!J1671</f>
        <v>150</v>
      </c>
      <c r="L1671" s="11">
        <f t="shared" si="105"/>
        <v>-78</v>
      </c>
      <c r="M1671" s="9">
        <f t="shared" si="106"/>
        <v>-0.505</v>
      </c>
      <c r="N1671" s="9">
        <f t="shared" si="107"/>
        <v>-0.52</v>
      </c>
    </row>
    <row r="1672" spans="1:14" x14ac:dyDescent="0.25">
      <c r="A1672" t="str">
        <f>TEXT("1/"&amp;data!A1672,"mmmm")</f>
        <v>juin</v>
      </c>
      <c r="B1672">
        <f>data!B1672</f>
        <v>2016</v>
      </c>
      <c r="C1672" t="str">
        <f>data!C1672</f>
        <v>124</v>
      </c>
      <c r="D1672" t="str">
        <f>data!D1672</f>
        <v>CHATEAU BECHEREAU</v>
      </c>
      <c r="E1672" t="str">
        <f>data!E1672</f>
        <v>124005CB</v>
      </c>
      <c r="F1672" t="str">
        <f>data!F1672</f>
        <v>AC MONTAGNE CH BECHEREAU CB</v>
      </c>
      <c r="G1672" s="10">
        <f>data!G1672</f>
        <v>241.8</v>
      </c>
      <c r="H1672" s="10">
        <f>data!I1672</f>
        <v>0</v>
      </c>
      <c r="I1672" s="10">
        <f t="shared" si="104"/>
        <v>241.8</v>
      </c>
      <c r="J1672" s="11">
        <f>data!H1672</f>
        <v>39</v>
      </c>
      <c r="K1672" s="11">
        <f>data!J1672</f>
        <v>0</v>
      </c>
      <c r="L1672" s="11">
        <f t="shared" si="105"/>
        <v>39</v>
      </c>
      <c r="M1672" s="9" t="str">
        <f t="shared" si="106"/>
        <v/>
      </c>
      <c r="N1672" s="9" t="str">
        <f t="shared" si="107"/>
        <v/>
      </c>
    </row>
    <row r="1673" spans="1:14" x14ac:dyDescent="0.25">
      <c r="A1673" t="str">
        <f>TEXT("1/"&amp;data!A1673,"mmmm")</f>
        <v>juin</v>
      </c>
      <c r="B1673">
        <f>data!B1673</f>
        <v>2016</v>
      </c>
      <c r="C1673" t="str">
        <f>data!C1673</f>
        <v>124</v>
      </c>
      <c r="D1673" t="str">
        <f>data!D1673</f>
        <v>CHATEAU BECHEREAU</v>
      </c>
      <c r="E1673" t="str">
        <f>data!E1673</f>
        <v>124010</v>
      </c>
      <c r="F1673" t="str">
        <f>data!F1673</f>
        <v>AC LALANDE POMEROL BECH</v>
      </c>
      <c r="G1673" s="10">
        <f>data!G1673</f>
        <v>869.4</v>
      </c>
      <c r="H1673" s="10">
        <f>data!I1673</f>
        <v>1078.8</v>
      </c>
      <c r="I1673" s="10">
        <f t="shared" si="104"/>
        <v>-209.39999999999998</v>
      </c>
      <c r="J1673" s="11">
        <f>data!H1673</f>
        <v>138</v>
      </c>
      <c r="K1673" s="11">
        <f>data!J1673</f>
        <v>174</v>
      </c>
      <c r="L1673" s="11">
        <f t="shared" si="105"/>
        <v>-36</v>
      </c>
      <c r="M1673" s="9">
        <f t="shared" si="106"/>
        <v>-0.19410456062291434</v>
      </c>
      <c r="N1673" s="9">
        <f t="shared" si="107"/>
        <v>-0.20689655172413793</v>
      </c>
    </row>
    <row r="1674" spans="1:14" x14ac:dyDescent="0.25">
      <c r="A1674" t="str">
        <f>TEXT("1/"&amp;data!A1674,"mmmm")</f>
        <v>juin</v>
      </c>
      <c r="B1674">
        <f>data!B1674</f>
        <v>2016</v>
      </c>
      <c r="C1674" t="str">
        <f>data!C1674</f>
        <v>134</v>
      </c>
      <c r="D1674" t="str">
        <f>data!D1674</f>
        <v>DOMAINE GALEVAN</v>
      </c>
      <c r="E1674" t="str">
        <f>data!E1674</f>
        <v>134004</v>
      </c>
      <c r="F1674" t="str">
        <f>data!F1674</f>
        <v>AC C.DU RHONE LIBRE EXPRESSION</v>
      </c>
      <c r="G1674" s="10">
        <f>data!G1674</f>
        <v>428.4</v>
      </c>
      <c r="H1674" s="10">
        <f>data!I1674</f>
        <v>331.2</v>
      </c>
      <c r="I1674" s="10">
        <f t="shared" si="104"/>
        <v>97.199999999999989</v>
      </c>
      <c r="J1674" s="11">
        <f>data!H1674</f>
        <v>90</v>
      </c>
      <c r="K1674" s="11">
        <f>data!J1674</f>
        <v>78</v>
      </c>
      <c r="L1674" s="11">
        <f t="shared" si="105"/>
        <v>12</v>
      </c>
      <c r="M1674" s="9">
        <f t="shared" si="106"/>
        <v>0.29347826086956519</v>
      </c>
      <c r="N1674" s="9">
        <f t="shared" si="107"/>
        <v>0.15384615384615385</v>
      </c>
    </row>
    <row r="1675" spans="1:14" x14ac:dyDescent="0.25">
      <c r="A1675" t="str">
        <f>TEXT("1/"&amp;data!A1675,"mmmm")</f>
        <v>juin</v>
      </c>
      <c r="B1675">
        <f>data!B1675</f>
        <v>2016</v>
      </c>
      <c r="C1675" t="str">
        <f>data!C1675</f>
        <v>134</v>
      </c>
      <c r="D1675" t="str">
        <f>data!D1675</f>
        <v>DOMAINE GALEVAN</v>
      </c>
      <c r="E1675" t="str">
        <f>data!E1675</f>
        <v>134005</v>
      </c>
      <c r="F1675" t="str">
        <f>data!F1675</f>
        <v>AC C DU RHONE PAROLES DE FEMME</v>
      </c>
      <c r="G1675" s="10">
        <f>data!G1675</f>
        <v>2671.38</v>
      </c>
      <c r="H1675" s="10">
        <f>data!I1675</f>
        <v>478.44</v>
      </c>
      <c r="I1675" s="10">
        <f t="shared" si="104"/>
        <v>2192.94</v>
      </c>
      <c r="J1675" s="11">
        <f>data!H1675</f>
        <v>582</v>
      </c>
      <c r="K1675" s="11">
        <f>data!J1675</f>
        <v>108</v>
      </c>
      <c r="L1675" s="11">
        <f t="shared" si="105"/>
        <v>474</v>
      </c>
      <c r="M1675" s="9">
        <f t="shared" si="106"/>
        <v>4.5835214446952595</v>
      </c>
      <c r="N1675" s="9">
        <f t="shared" si="107"/>
        <v>4.3888888888888893</v>
      </c>
    </row>
    <row r="1676" spans="1:14" x14ac:dyDescent="0.25">
      <c r="A1676" t="str">
        <f>TEXT("1/"&amp;data!A1676,"mmmm")</f>
        <v>juin</v>
      </c>
      <c r="B1676">
        <f>data!B1676</f>
        <v>2016</v>
      </c>
      <c r="C1676" t="str">
        <f>data!C1676</f>
        <v>134</v>
      </c>
      <c r="D1676" t="str">
        <f>data!D1676</f>
        <v>DOMAINE GALEVAN</v>
      </c>
      <c r="E1676" t="str">
        <f>data!E1676</f>
        <v>134007</v>
      </c>
      <c r="F1676" t="str">
        <f>data!F1676</f>
        <v>AC CHATEAUNEUF DU PAPE</v>
      </c>
      <c r="G1676" s="10">
        <f>data!G1676</f>
        <v>381.12</v>
      </c>
      <c r="H1676" s="10">
        <f>data!I1676</f>
        <v>0</v>
      </c>
      <c r="I1676" s="10">
        <f t="shared" si="104"/>
        <v>381.12</v>
      </c>
      <c r="J1676" s="11">
        <f>data!H1676</f>
        <v>24</v>
      </c>
      <c r="K1676" s="11">
        <f>data!J1676</f>
        <v>0</v>
      </c>
      <c r="L1676" s="11">
        <f t="shared" si="105"/>
        <v>24</v>
      </c>
      <c r="M1676" s="9" t="str">
        <f t="shared" si="106"/>
        <v/>
      </c>
      <c r="N1676" s="9" t="str">
        <f t="shared" si="107"/>
        <v/>
      </c>
    </row>
    <row r="1677" spans="1:14" x14ac:dyDescent="0.25">
      <c r="A1677" t="str">
        <f>TEXT("1/"&amp;data!A1677,"mmmm")</f>
        <v>juin</v>
      </c>
      <c r="B1677">
        <f>data!B1677</f>
        <v>2016</v>
      </c>
      <c r="C1677" t="str">
        <f>data!C1677</f>
        <v>137</v>
      </c>
      <c r="D1677" t="str">
        <f>data!D1677</f>
        <v>CHATEAU MAS DES CABRES</v>
      </c>
      <c r="E1677" t="str">
        <f>data!E1677</f>
        <v>137001</v>
      </c>
      <c r="F1677" t="str">
        <f>data!F1677</f>
        <v>AC CTX LANGUEDOC TERRES D'ASPERES M.DES CABRES</v>
      </c>
      <c r="G1677" s="10">
        <f>data!G1677</f>
        <v>1786.4</v>
      </c>
      <c r="H1677" s="10">
        <f>data!I1677</f>
        <v>922.2</v>
      </c>
      <c r="I1677" s="10">
        <f t="shared" si="104"/>
        <v>864.2</v>
      </c>
      <c r="J1677" s="11">
        <f>data!H1677</f>
        <v>648</v>
      </c>
      <c r="K1677" s="11">
        <f>data!J1677</f>
        <v>348</v>
      </c>
      <c r="L1677" s="11">
        <f t="shared" si="105"/>
        <v>300</v>
      </c>
      <c r="M1677" s="9">
        <f t="shared" si="106"/>
        <v>0.93710691823899372</v>
      </c>
      <c r="N1677" s="9">
        <f t="shared" si="107"/>
        <v>0.86206896551724133</v>
      </c>
    </row>
    <row r="1678" spans="1:14" x14ac:dyDescent="0.25">
      <c r="A1678" t="str">
        <f>TEXT("1/"&amp;data!A1678,"mmmm")</f>
        <v>juin</v>
      </c>
      <c r="B1678">
        <f>data!B1678</f>
        <v>2016</v>
      </c>
      <c r="C1678" t="str">
        <f>data!C1678</f>
        <v>137</v>
      </c>
      <c r="D1678" t="str">
        <f>data!D1678</f>
        <v>CHATEAU MAS DES CABRES</v>
      </c>
      <c r="E1678" t="str">
        <f>data!E1678</f>
        <v>137003</v>
      </c>
      <c r="F1678" t="str">
        <f>data!F1678</f>
        <v>AC CTX DU LANGUEDOC LA DRAILLE</v>
      </c>
      <c r="G1678" s="10">
        <f>data!G1678</f>
        <v>356.4</v>
      </c>
      <c r="H1678" s="10">
        <f>data!I1678</f>
        <v>28.8</v>
      </c>
      <c r="I1678" s="10">
        <f t="shared" si="104"/>
        <v>327.59999999999997</v>
      </c>
      <c r="J1678" s="11">
        <f>data!H1678</f>
        <v>72</v>
      </c>
      <c r="K1678" s="11">
        <f>data!J1678</f>
        <v>6</v>
      </c>
      <c r="L1678" s="11">
        <f t="shared" si="105"/>
        <v>66</v>
      </c>
      <c r="M1678" s="9">
        <f t="shared" si="106"/>
        <v>11.374999999999998</v>
      </c>
      <c r="N1678" s="9">
        <f t="shared" si="107"/>
        <v>11</v>
      </c>
    </row>
    <row r="1679" spans="1:14" x14ac:dyDescent="0.25">
      <c r="A1679" t="str">
        <f>TEXT("1/"&amp;data!A1679,"mmmm")</f>
        <v>juin</v>
      </c>
      <c r="B1679">
        <f>data!B1679</f>
        <v>2016</v>
      </c>
      <c r="C1679" t="str">
        <f>data!C1679</f>
        <v>140</v>
      </c>
      <c r="D1679" t="str">
        <f>data!D1679</f>
        <v>PHILIPPE GAULTIER</v>
      </c>
      <c r="E1679" t="str">
        <f>data!E1679</f>
        <v>140001</v>
      </c>
      <c r="F1679" t="str">
        <f>data!F1679</f>
        <v>AC VOUVRAY M.TRAD.BR C.DES AUMONES</v>
      </c>
      <c r="G1679" s="10">
        <f>data!G1679</f>
        <v>2244.6</v>
      </c>
      <c r="H1679" s="10">
        <f>data!I1679</f>
        <v>982.8</v>
      </c>
      <c r="I1679" s="10">
        <f t="shared" si="104"/>
        <v>1261.8</v>
      </c>
      <c r="J1679" s="11">
        <f>data!H1679</f>
        <v>528</v>
      </c>
      <c r="K1679" s="11">
        <f>data!J1679</f>
        <v>234</v>
      </c>
      <c r="L1679" s="11">
        <f t="shared" si="105"/>
        <v>294</v>
      </c>
      <c r="M1679" s="9">
        <f t="shared" si="106"/>
        <v>1.283882783882784</v>
      </c>
      <c r="N1679" s="9">
        <f t="shared" si="107"/>
        <v>1.2564102564102564</v>
      </c>
    </row>
    <row r="1680" spans="1:14" x14ac:dyDescent="0.25">
      <c r="A1680" t="str">
        <f>TEXT("1/"&amp;data!A1680,"mmmm")</f>
        <v>juin</v>
      </c>
      <c r="B1680">
        <f>data!B1680</f>
        <v>2016</v>
      </c>
      <c r="C1680" t="str">
        <f>data!C1680</f>
        <v>143</v>
      </c>
      <c r="D1680" t="str">
        <f>data!D1680</f>
        <v>DOMAINE DE VILLARGEAU</v>
      </c>
      <c r="E1680" t="str">
        <f>data!E1680</f>
        <v>143001</v>
      </c>
      <c r="F1680" t="str">
        <f>data!F1680</f>
        <v>AC CX DU GIENNOIS G.THIEBAULT</v>
      </c>
      <c r="G1680" s="10">
        <f>data!G1680</f>
        <v>288</v>
      </c>
      <c r="H1680" s="10">
        <f>data!I1680</f>
        <v>327.60000000000002</v>
      </c>
      <c r="I1680" s="10">
        <f t="shared" si="104"/>
        <v>-39.600000000000023</v>
      </c>
      <c r="J1680" s="11">
        <f>data!H1680</f>
        <v>72</v>
      </c>
      <c r="K1680" s="11">
        <f>data!J1680</f>
        <v>84</v>
      </c>
      <c r="L1680" s="11">
        <f t="shared" si="105"/>
        <v>-12</v>
      </c>
      <c r="M1680" s="9">
        <f t="shared" si="106"/>
        <v>-0.12087912087912094</v>
      </c>
      <c r="N1680" s="9">
        <f t="shared" si="107"/>
        <v>-0.14285714285714285</v>
      </c>
    </row>
    <row r="1681" spans="1:14" x14ac:dyDescent="0.25">
      <c r="A1681" t="str">
        <f>TEXT("1/"&amp;data!A1681,"mmmm")</f>
        <v>juin</v>
      </c>
      <c r="B1681">
        <f>data!B1681</f>
        <v>2016</v>
      </c>
      <c r="C1681" t="str">
        <f>data!C1681</f>
        <v>143</v>
      </c>
      <c r="D1681" t="str">
        <f>data!D1681</f>
        <v>DOMAINE DE VILLARGEAU</v>
      </c>
      <c r="E1681" t="str">
        <f>data!E1681</f>
        <v>143002</v>
      </c>
      <c r="F1681" t="str">
        <f>data!F1681</f>
        <v>AC CX DU GIENNOIS G.THIEBAULT</v>
      </c>
      <c r="G1681" s="10">
        <f>data!G1681</f>
        <v>624</v>
      </c>
      <c r="H1681" s="10">
        <f>data!I1681</f>
        <v>1380.6</v>
      </c>
      <c r="I1681" s="10">
        <f t="shared" si="104"/>
        <v>-756.59999999999991</v>
      </c>
      <c r="J1681" s="11">
        <f>data!H1681</f>
        <v>162</v>
      </c>
      <c r="K1681" s="11">
        <f>data!J1681</f>
        <v>354</v>
      </c>
      <c r="L1681" s="11">
        <f t="shared" si="105"/>
        <v>-192</v>
      </c>
      <c r="M1681" s="9">
        <f t="shared" si="106"/>
        <v>-0.54802259887005644</v>
      </c>
      <c r="N1681" s="9">
        <f t="shared" si="107"/>
        <v>-0.5423728813559322</v>
      </c>
    </row>
    <row r="1682" spans="1:14" x14ac:dyDescent="0.25">
      <c r="A1682" t="str">
        <f>TEXT("1/"&amp;data!A1682,"mmmm")</f>
        <v>juin</v>
      </c>
      <c r="B1682">
        <f>data!B1682</f>
        <v>2016</v>
      </c>
      <c r="C1682" t="str">
        <f>data!C1682</f>
        <v>143</v>
      </c>
      <c r="D1682" t="str">
        <f>data!D1682</f>
        <v>DOMAINE DE VILLARGEAU</v>
      </c>
      <c r="E1682" t="str">
        <f>data!E1682</f>
        <v>CDV143003</v>
      </c>
      <c r="F1682" t="str">
        <f>data!F1682</f>
        <v>GIENNOIS CUVEE CHICAGO</v>
      </c>
      <c r="G1682" s="10">
        <f>data!G1682</f>
        <v>117.6</v>
      </c>
      <c r="H1682" s="10">
        <f>data!I1682</f>
        <v>0</v>
      </c>
      <c r="I1682" s="10">
        <f t="shared" si="104"/>
        <v>117.6</v>
      </c>
      <c r="J1682" s="11">
        <f>data!H1682</f>
        <v>42</v>
      </c>
      <c r="K1682" s="11">
        <f>data!J1682</f>
        <v>0</v>
      </c>
      <c r="L1682" s="11">
        <f t="shared" si="105"/>
        <v>42</v>
      </c>
      <c r="M1682" s="9" t="str">
        <f t="shared" si="106"/>
        <v/>
      </c>
      <c r="N1682" s="9" t="str">
        <f t="shared" si="107"/>
        <v/>
      </c>
    </row>
    <row r="1683" spans="1:14" x14ac:dyDescent="0.25">
      <c r="A1683" t="str">
        <f>TEXT("1/"&amp;data!A1683,"mmmm")</f>
        <v>juin</v>
      </c>
      <c r="B1683">
        <f>data!B1683</f>
        <v>2016</v>
      </c>
      <c r="C1683" t="str">
        <f>data!C1683</f>
        <v>152</v>
      </c>
      <c r="D1683" t="str">
        <f>data!D1683</f>
        <v>VINCENT SIRET COURTAUD</v>
      </c>
      <c r="E1683" t="str">
        <f>data!E1683</f>
        <v>152001</v>
      </c>
      <c r="F1683" t="str">
        <f>data!F1683</f>
        <v>AC QUINCY D.SIRET COURTAUD</v>
      </c>
      <c r="G1683" s="10">
        <f>data!G1683</f>
        <v>305.10000000000002</v>
      </c>
      <c r="H1683" s="10">
        <f>data!I1683</f>
        <v>1199.4000000000001</v>
      </c>
      <c r="I1683" s="10">
        <f t="shared" si="104"/>
        <v>-894.30000000000007</v>
      </c>
      <c r="J1683" s="11">
        <f>data!H1683</f>
        <v>60</v>
      </c>
      <c r="K1683" s="11">
        <f>data!J1683</f>
        <v>216</v>
      </c>
      <c r="L1683" s="11">
        <f t="shared" si="105"/>
        <v>-156</v>
      </c>
      <c r="M1683" s="9">
        <f t="shared" si="106"/>
        <v>-0.74562281140570286</v>
      </c>
      <c r="N1683" s="9">
        <f t="shared" si="107"/>
        <v>-0.72222222222222221</v>
      </c>
    </row>
    <row r="1684" spans="1:14" x14ac:dyDescent="0.25">
      <c r="A1684" t="str">
        <f>TEXT("1/"&amp;data!A1684,"mmmm")</f>
        <v>juin</v>
      </c>
      <c r="B1684">
        <f>data!B1684</f>
        <v>2016</v>
      </c>
      <c r="C1684" t="str">
        <f>data!C1684</f>
        <v>153</v>
      </c>
      <c r="D1684" t="str">
        <f>data!D1684</f>
        <v>SARL GARNIER ET FILS</v>
      </c>
      <c r="E1684" t="str">
        <f>data!E1684</f>
        <v>153001</v>
      </c>
      <c r="F1684" t="str">
        <f>data!F1684</f>
        <v>AC PETIT CHABLIS D.GARNIER</v>
      </c>
      <c r="G1684" s="10">
        <f>data!G1684</f>
        <v>1287.5999999999999</v>
      </c>
      <c r="H1684" s="10">
        <f>data!I1684</f>
        <v>1362.9</v>
      </c>
      <c r="I1684" s="10">
        <f t="shared" si="104"/>
        <v>-75.300000000000182</v>
      </c>
      <c r="J1684" s="11">
        <f>data!H1684</f>
        <v>222</v>
      </c>
      <c r="K1684" s="11">
        <f>data!J1684</f>
        <v>246</v>
      </c>
      <c r="L1684" s="11">
        <f t="shared" si="105"/>
        <v>-24</v>
      </c>
      <c r="M1684" s="9">
        <f t="shared" si="106"/>
        <v>-5.5249834910851989E-2</v>
      </c>
      <c r="N1684" s="9">
        <f t="shared" si="107"/>
        <v>-9.7560975609756101E-2</v>
      </c>
    </row>
    <row r="1685" spans="1:14" x14ac:dyDescent="0.25">
      <c r="A1685" t="str">
        <f>TEXT("1/"&amp;data!A1685,"mmmm")</f>
        <v>juin</v>
      </c>
      <c r="B1685">
        <f>data!B1685</f>
        <v>2016</v>
      </c>
      <c r="C1685" t="str">
        <f>data!C1685</f>
        <v>153</v>
      </c>
      <c r="D1685" t="str">
        <f>data!D1685</f>
        <v>SARL GARNIER ET FILS</v>
      </c>
      <c r="E1685" t="str">
        <f>data!E1685</f>
        <v>153005</v>
      </c>
      <c r="F1685" t="str">
        <f>data!F1685</f>
        <v>AC CHABLIS 1ER CRU MT DE MILIEU</v>
      </c>
      <c r="G1685" s="10">
        <f>data!G1685</f>
        <v>453.6</v>
      </c>
      <c r="H1685" s="10">
        <f>data!I1685</f>
        <v>0</v>
      </c>
      <c r="I1685" s="10">
        <f t="shared" si="104"/>
        <v>453.6</v>
      </c>
      <c r="J1685" s="11">
        <f>data!H1685</f>
        <v>42</v>
      </c>
      <c r="K1685" s="11">
        <f>data!J1685</f>
        <v>0</v>
      </c>
      <c r="L1685" s="11">
        <f t="shared" si="105"/>
        <v>42</v>
      </c>
      <c r="M1685" s="9" t="str">
        <f t="shared" si="106"/>
        <v/>
      </c>
      <c r="N1685" s="9" t="str">
        <f t="shared" si="107"/>
        <v/>
      </c>
    </row>
    <row r="1686" spans="1:14" x14ac:dyDescent="0.25">
      <c r="A1686" t="str">
        <f>TEXT("1/"&amp;data!A1686,"mmmm")</f>
        <v>juin</v>
      </c>
      <c r="B1686">
        <f>data!B1686</f>
        <v>2016</v>
      </c>
      <c r="C1686" t="str">
        <f>data!C1686</f>
        <v>157</v>
      </c>
      <c r="D1686" t="str">
        <f>data!D1686</f>
        <v>DOMAINE DE LA FOLIETTE</v>
      </c>
      <c r="E1686" t="str">
        <f>data!E1686</f>
        <v>157001</v>
      </c>
      <c r="F1686" t="str">
        <f>data!F1686</f>
        <v>AC MUSCADET S&amp;MAINE/LIE FOLIETTES</v>
      </c>
      <c r="G1686" s="10">
        <f>data!G1686</f>
        <v>109.8</v>
      </c>
      <c r="H1686" s="10">
        <f>data!I1686</f>
        <v>513.29999999999995</v>
      </c>
      <c r="I1686" s="10">
        <f t="shared" si="104"/>
        <v>-403.49999999999994</v>
      </c>
      <c r="J1686" s="11">
        <f>data!H1686</f>
        <v>36</v>
      </c>
      <c r="K1686" s="11">
        <f>data!J1686</f>
        <v>156</v>
      </c>
      <c r="L1686" s="11">
        <f t="shared" si="105"/>
        <v>-120</v>
      </c>
      <c r="M1686" s="9">
        <f t="shared" si="106"/>
        <v>-0.78609000584453537</v>
      </c>
      <c r="N1686" s="9">
        <f t="shared" si="107"/>
        <v>-0.76923076923076927</v>
      </c>
    </row>
    <row r="1687" spans="1:14" x14ac:dyDescent="0.25">
      <c r="A1687" t="str">
        <f>TEXT("1/"&amp;data!A1687,"mmmm")</f>
        <v>juin</v>
      </c>
      <c r="B1687">
        <f>data!B1687</f>
        <v>2016</v>
      </c>
      <c r="C1687" t="str">
        <f>data!C1687</f>
        <v>162</v>
      </c>
      <c r="D1687" t="str">
        <f>data!D1687</f>
        <v>CHATEAU JOUCLARY</v>
      </c>
      <c r="E1687" t="str">
        <f>data!E1687</f>
        <v>162001</v>
      </c>
      <c r="F1687" t="str">
        <f>data!F1687</f>
        <v>AC CABARDES CH JOUCLARY</v>
      </c>
      <c r="G1687" s="10">
        <f>data!G1687</f>
        <v>2557.8000000000002</v>
      </c>
      <c r="H1687" s="10">
        <f>data!I1687</f>
        <v>1780.8</v>
      </c>
      <c r="I1687" s="10">
        <f t="shared" si="104"/>
        <v>777.00000000000023</v>
      </c>
      <c r="J1687" s="11">
        <f>data!H1687</f>
        <v>882</v>
      </c>
      <c r="K1687" s="11">
        <f>data!J1687</f>
        <v>636</v>
      </c>
      <c r="L1687" s="11">
        <f t="shared" si="105"/>
        <v>246</v>
      </c>
      <c r="M1687" s="9">
        <f t="shared" si="106"/>
        <v>0.43632075471698128</v>
      </c>
      <c r="N1687" s="9">
        <f t="shared" si="107"/>
        <v>0.3867924528301887</v>
      </c>
    </row>
    <row r="1688" spans="1:14" x14ac:dyDescent="0.25">
      <c r="A1688" t="str">
        <f>TEXT("1/"&amp;data!A1688,"mmmm")</f>
        <v>juin</v>
      </c>
      <c r="B1688">
        <f>data!B1688</f>
        <v>2016</v>
      </c>
      <c r="C1688" t="str">
        <f>data!C1688</f>
        <v>162</v>
      </c>
      <c r="D1688" t="str">
        <f>data!D1688</f>
        <v>CHATEAU JOUCLARY</v>
      </c>
      <c r="E1688" t="str">
        <f>data!E1688</f>
        <v>162002</v>
      </c>
      <c r="F1688" t="str">
        <f>data!F1688</f>
        <v>AC CABARDES JOUCLARY CUVEE AMANDIERS</v>
      </c>
      <c r="G1688" s="10">
        <f>data!G1688</f>
        <v>103.2</v>
      </c>
      <c r="H1688" s="10">
        <f>data!I1688</f>
        <v>288</v>
      </c>
      <c r="I1688" s="10">
        <f t="shared" si="104"/>
        <v>-184.8</v>
      </c>
      <c r="J1688" s="11">
        <f>data!H1688</f>
        <v>24</v>
      </c>
      <c r="K1688" s="11">
        <f>data!J1688</f>
        <v>72</v>
      </c>
      <c r="L1688" s="11">
        <f t="shared" si="105"/>
        <v>-48</v>
      </c>
      <c r="M1688" s="9">
        <f t="shared" si="106"/>
        <v>-0.64166666666666672</v>
      </c>
      <c r="N1688" s="9">
        <f t="shared" si="107"/>
        <v>-0.66666666666666663</v>
      </c>
    </row>
    <row r="1689" spans="1:14" x14ac:dyDescent="0.25">
      <c r="A1689" t="str">
        <f>TEXT("1/"&amp;data!A1689,"mmmm")</f>
        <v>juin</v>
      </c>
      <c r="B1689">
        <f>data!B1689</f>
        <v>2016</v>
      </c>
      <c r="C1689" t="str">
        <f>data!C1689</f>
        <v>162</v>
      </c>
      <c r="D1689" t="str">
        <f>data!D1689</f>
        <v>CHATEAU JOUCLARY</v>
      </c>
      <c r="E1689" t="str">
        <f>data!E1689</f>
        <v>162003</v>
      </c>
      <c r="F1689" t="str">
        <f>data!F1689</f>
        <v>AOP CABARDES JOUCLARY</v>
      </c>
      <c r="G1689" s="10">
        <f>data!G1689</f>
        <v>104.4</v>
      </c>
      <c r="H1689" s="10">
        <f>data!I1689</f>
        <v>151.19999999999999</v>
      </c>
      <c r="I1689" s="10">
        <f t="shared" si="104"/>
        <v>-46.799999999999983</v>
      </c>
      <c r="J1689" s="11">
        <f>data!H1689</f>
        <v>36</v>
      </c>
      <c r="K1689" s="11">
        <f>data!J1689</f>
        <v>54</v>
      </c>
      <c r="L1689" s="11">
        <f t="shared" si="105"/>
        <v>-18</v>
      </c>
      <c r="M1689" s="9">
        <f t="shared" si="106"/>
        <v>-0.30952380952380942</v>
      </c>
      <c r="N1689" s="9">
        <f t="shared" si="107"/>
        <v>-0.33333333333333331</v>
      </c>
    </row>
    <row r="1690" spans="1:14" x14ac:dyDescent="0.25">
      <c r="A1690" t="str">
        <f>TEXT("1/"&amp;data!A1690,"mmmm")</f>
        <v>juin</v>
      </c>
      <c r="B1690">
        <f>data!B1690</f>
        <v>2016</v>
      </c>
      <c r="C1690" t="str">
        <f>data!C1690</f>
        <v>162</v>
      </c>
      <c r="D1690" t="str">
        <f>data!D1690</f>
        <v>CHATEAU JOUCLARY</v>
      </c>
      <c r="E1690" t="str">
        <f>data!E1690</f>
        <v>162004</v>
      </c>
      <c r="F1690" t="str">
        <f>data!F1690</f>
        <v>AOP CABARDES CUVEE GUILLAUME</v>
      </c>
      <c r="G1690" s="10">
        <f>data!G1690</f>
        <v>298.8</v>
      </c>
      <c r="H1690" s="10">
        <f>data!I1690</f>
        <v>0</v>
      </c>
      <c r="I1690" s="10">
        <f t="shared" si="104"/>
        <v>298.8</v>
      </c>
      <c r="J1690" s="11">
        <f>data!H1690</f>
        <v>48</v>
      </c>
      <c r="K1690" s="11">
        <f>data!J1690</f>
        <v>0</v>
      </c>
      <c r="L1690" s="11">
        <f t="shared" si="105"/>
        <v>48</v>
      </c>
      <c r="M1690" s="9" t="str">
        <f t="shared" si="106"/>
        <v/>
      </c>
      <c r="N1690" s="9" t="str">
        <f t="shared" si="107"/>
        <v/>
      </c>
    </row>
    <row r="1691" spans="1:14" x14ac:dyDescent="0.25">
      <c r="A1691" t="str">
        <f>TEXT("1/"&amp;data!A1691,"mmmm")</f>
        <v>juin</v>
      </c>
      <c r="B1691">
        <f>data!B1691</f>
        <v>2016</v>
      </c>
      <c r="C1691" t="str">
        <f>data!C1691</f>
        <v>162</v>
      </c>
      <c r="D1691" t="str">
        <f>data!D1691</f>
        <v>CHATEAU JOUCLARY</v>
      </c>
      <c r="E1691" t="str">
        <f>data!E1691</f>
        <v>CDV162004</v>
      </c>
      <c r="F1691" t="str">
        <f>data!F1691</f>
        <v>IGP OC SAUVIGNON CH JOUCLARY</v>
      </c>
      <c r="G1691" s="10">
        <f>data!G1691</f>
        <v>75</v>
      </c>
      <c r="H1691" s="10">
        <f>data!I1691</f>
        <v>60</v>
      </c>
      <c r="I1691" s="10">
        <f t="shared" si="104"/>
        <v>15</v>
      </c>
      <c r="J1691" s="11">
        <f>data!H1691</f>
        <v>30</v>
      </c>
      <c r="K1691" s="11">
        <f>data!J1691</f>
        <v>24</v>
      </c>
      <c r="L1691" s="11">
        <f t="shared" si="105"/>
        <v>6</v>
      </c>
      <c r="M1691" s="9">
        <f t="shared" si="106"/>
        <v>0.25</v>
      </c>
      <c r="N1691" s="9">
        <f t="shared" si="107"/>
        <v>0.25</v>
      </c>
    </row>
    <row r="1692" spans="1:14" x14ac:dyDescent="0.25">
      <c r="A1692" t="str">
        <f>TEXT("1/"&amp;data!A1692,"mmmm")</f>
        <v>juin</v>
      </c>
      <c r="B1692">
        <f>data!B1692</f>
        <v>2016</v>
      </c>
      <c r="C1692" t="str">
        <f>data!C1692</f>
        <v>164</v>
      </c>
      <c r="D1692" t="str">
        <f>data!D1692</f>
        <v>CHATEAU JUPILLE</v>
      </c>
      <c r="E1692" t="str">
        <f>data!E1692</f>
        <v>164002</v>
      </c>
      <c r="F1692" t="str">
        <f>data!F1692</f>
        <v>AC ST EMILION CH JUPILLE CARILLON</v>
      </c>
      <c r="G1692" s="10">
        <f>data!G1692</f>
        <v>1069.2</v>
      </c>
      <c r="H1692" s="10">
        <f>data!I1692</f>
        <v>0</v>
      </c>
      <c r="I1692" s="10">
        <f t="shared" si="104"/>
        <v>1069.2</v>
      </c>
      <c r="J1692" s="11">
        <f>data!H1692</f>
        <v>162</v>
      </c>
      <c r="K1692" s="11">
        <f>data!J1692</f>
        <v>0</v>
      </c>
      <c r="L1692" s="11">
        <f t="shared" si="105"/>
        <v>162</v>
      </c>
      <c r="M1692" s="9" t="str">
        <f t="shared" si="106"/>
        <v/>
      </c>
      <c r="N1692" s="9" t="str">
        <f t="shared" si="107"/>
        <v/>
      </c>
    </row>
    <row r="1693" spans="1:14" x14ac:dyDescent="0.25">
      <c r="A1693" t="str">
        <f>TEXT("1/"&amp;data!A1693,"mmmm")</f>
        <v>juin</v>
      </c>
      <c r="B1693">
        <f>data!B1693</f>
        <v>2016</v>
      </c>
      <c r="C1693" t="str">
        <f>data!C1693</f>
        <v>164</v>
      </c>
      <c r="D1693" t="str">
        <f>data!D1693</f>
        <v>CHATEAU JUPILLE</v>
      </c>
      <c r="E1693" t="str">
        <f>data!E1693</f>
        <v>164005/12</v>
      </c>
      <c r="F1693" t="str">
        <f>data!F1693</f>
        <v>AC ST EMILION GD CRU CH JUCALIS</v>
      </c>
      <c r="G1693" s="10">
        <f>data!G1693</f>
        <v>216</v>
      </c>
      <c r="H1693" s="10">
        <f>data!I1693</f>
        <v>0</v>
      </c>
      <c r="I1693" s="10">
        <f t="shared" si="104"/>
        <v>216</v>
      </c>
      <c r="J1693" s="11">
        <f>data!H1693</f>
        <v>24</v>
      </c>
      <c r="K1693" s="11">
        <f>data!J1693</f>
        <v>0</v>
      </c>
      <c r="L1693" s="11">
        <f t="shared" si="105"/>
        <v>24</v>
      </c>
      <c r="M1693" s="9" t="str">
        <f t="shared" si="106"/>
        <v/>
      </c>
      <c r="N1693" s="9" t="str">
        <f t="shared" si="107"/>
        <v/>
      </c>
    </row>
    <row r="1694" spans="1:14" x14ac:dyDescent="0.25">
      <c r="A1694" t="str">
        <f>TEXT("1/"&amp;data!A1694,"mmmm")</f>
        <v>juin</v>
      </c>
      <c r="B1694">
        <f>data!B1694</f>
        <v>2016</v>
      </c>
      <c r="C1694" t="str">
        <f>data!C1694</f>
        <v>164</v>
      </c>
      <c r="D1694" t="str">
        <f>data!D1694</f>
        <v>CHATEAU JUPILLE</v>
      </c>
      <c r="E1694" t="str">
        <f>data!E1694</f>
        <v>164010</v>
      </c>
      <c r="F1694" t="str">
        <f>data!F1694</f>
        <v>AOP SAINT EMILION JUPILLE CARILLON</v>
      </c>
      <c r="G1694" s="10">
        <f>data!G1694</f>
        <v>38</v>
      </c>
      <c r="H1694" s="10">
        <f>data!I1694</f>
        <v>228</v>
      </c>
      <c r="I1694" s="10">
        <f t="shared" si="104"/>
        <v>-190</v>
      </c>
      <c r="J1694" s="11">
        <f>data!H1694</f>
        <v>13.34</v>
      </c>
      <c r="K1694" s="11">
        <f>data!J1694</f>
        <v>93.38</v>
      </c>
      <c r="L1694" s="11">
        <f t="shared" si="105"/>
        <v>-80.039999999999992</v>
      </c>
      <c r="M1694" s="9">
        <f t="shared" si="106"/>
        <v>-0.83333333333333337</v>
      </c>
      <c r="N1694" s="9">
        <f t="shared" si="107"/>
        <v>-0.8571428571428571</v>
      </c>
    </row>
    <row r="1695" spans="1:14" x14ac:dyDescent="0.25">
      <c r="A1695" t="str">
        <f>TEXT("1/"&amp;data!A1695,"mmmm")</f>
        <v>juin</v>
      </c>
      <c r="B1695">
        <f>data!B1695</f>
        <v>2016</v>
      </c>
      <c r="C1695" t="str">
        <f>data!C1695</f>
        <v>168</v>
      </c>
      <c r="D1695" t="str">
        <f>data!D1695</f>
        <v>CHATEAU LA ROSE SARRON</v>
      </c>
      <c r="E1695" t="str">
        <f>data!E1695</f>
        <v>168001</v>
      </c>
      <c r="F1695" t="str">
        <f>data!F1695</f>
        <v>AC GRAVES CH LA ROSE SARRON</v>
      </c>
      <c r="G1695" s="10">
        <f>data!G1695</f>
        <v>959.4</v>
      </c>
      <c r="H1695" s="10">
        <f>data!I1695</f>
        <v>408</v>
      </c>
      <c r="I1695" s="10">
        <f t="shared" si="104"/>
        <v>551.4</v>
      </c>
      <c r="J1695" s="11">
        <f>data!H1695</f>
        <v>240</v>
      </c>
      <c r="K1695" s="11">
        <f>data!J1695</f>
        <v>102</v>
      </c>
      <c r="L1695" s="11">
        <f t="shared" si="105"/>
        <v>138</v>
      </c>
      <c r="M1695" s="9">
        <f t="shared" si="106"/>
        <v>1.351470588235294</v>
      </c>
      <c r="N1695" s="9">
        <f t="shared" si="107"/>
        <v>1.3529411764705883</v>
      </c>
    </row>
    <row r="1696" spans="1:14" x14ac:dyDescent="0.25">
      <c r="A1696" t="str">
        <f>TEXT("1/"&amp;data!A1696,"mmmm")</f>
        <v>juin</v>
      </c>
      <c r="B1696">
        <f>data!B1696</f>
        <v>2016</v>
      </c>
      <c r="C1696" t="str">
        <f>data!C1696</f>
        <v>168</v>
      </c>
      <c r="D1696" t="str">
        <f>data!D1696</f>
        <v>CHATEAU LA ROSE SARRON</v>
      </c>
      <c r="E1696" t="str">
        <f>data!E1696</f>
        <v>168002</v>
      </c>
      <c r="F1696" t="str">
        <f>data!F1696</f>
        <v>AC GRAVES CH. LA ROSE SARRON</v>
      </c>
      <c r="G1696" s="10">
        <f>data!G1696</f>
        <v>62.1</v>
      </c>
      <c r="H1696" s="10">
        <f>data!I1696</f>
        <v>40.200000000000003</v>
      </c>
      <c r="I1696" s="10">
        <f t="shared" si="104"/>
        <v>21.9</v>
      </c>
      <c r="J1696" s="11">
        <f>data!H1696</f>
        <v>18</v>
      </c>
      <c r="K1696" s="11">
        <f>data!J1696</f>
        <v>12</v>
      </c>
      <c r="L1696" s="11">
        <f t="shared" si="105"/>
        <v>6</v>
      </c>
      <c r="M1696" s="9">
        <f t="shared" si="106"/>
        <v>0.54477611940298498</v>
      </c>
      <c r="N1696" s="9">
        <f t="shared" si="107"/>
        <v>0.5</v>
      </c>
    </row>
    <row r="1697" spans="1:14" x14ac:dyDescent="0.25">
      <c r="A1697" t="str">
        <f>TEXT("1/"&amp;data!A1697,"mmmm")</f>
        <v>juin</v>
      </c>
      <c r="B1697">
        <f>data!B1697</f>
        <v>2016</v>
      </c>
      <c r="C1697" t="str">
        <f>data!C1697</f>
        <v>168</v>
      </c>
      <c r="D1697" t="str">
        <f>data!D1697</f>
        <v>CHATEAU LA ROSE SARRON</v>
      </c>
      <c r="E1697" t="str">
        <f>data!E1697</f>
        <v>168020CB</v>
      </c>
      <c r="F1697" t="str">
        <f>data!F1697</f>
        <v>AOP GRAVES CH LA ROSE SARRON CAISSE BOIS 3 BLLES</v>
      </c>
      <c r="G1697" s="10">
        <f>data!G1697</f>
        <v>170.28</v>
      </c>
      <c r="H1697" s="10">
        <f>data!I1697</f>
        <v>61.92</v>
      </c>
      <c r="I1697" s="10">
        <f t="shared" si="104"/>
        <v>108.36</v>
      </c>
      <c r="J1697" s="11">
        <f>data!H1697</f>
        <v>33</v>
      </c>
      <c r="K1697" s="11">
        <f>data!J1697</f>
        <v>12</v>
      </c>
      <c r="L1697" s="11">
        <f t="shared" si="105"/>
        <v>21</v>
      </c>
      <c r="M1697" s="9">
        <f t="shared" si="106"/>
        <v>1.75</v>
      </c>
      <c r="N1697" s="9">
        <f t="shared" si="107"/>
        <v>1.75</v>
      </c>
    </row>
    <row r="1698" spans="1:14" x14ac:dyDescent="0.25">
      <c r="A1698" t="str">
        <f>TEXT("1/"&amp;data!A1698,"mmmm")</f>
        <v>juin</v>
      </c>
      <c r="B1698">
        <f>data!B1698</f>
        <v>2016</v>
      </c>
      <c r="C1698" t="str">
        <f>data!C1698</f>
        <v>169</v>
      </c>
      <c r="D1698" t="str">
        <f>data!D1698</f>
        <v>CHATEAU PERREAU BEL AIR</v>
      </c>
      <c r="E1698" t="str">
        <f>data!E1698</f>
        <v>169001</v>
      </c>
      <c r="F1698" t="str">
        <f>data!F1698</f>
        <v>AC COTES DE CASTILLON CH PERREAU BEL AIR</v>
      </c>
      <c r="G1698" s="10">
        <f>data!G1698</f>
        <v>1911.6</v>
      </c>
      <c r="H1698" s="10">
        <f>data!I1698</f>
        <v>1827</v>
      </c>
      <c r="I1698" s="10">
        <f t="shared" si="104"/>
        <v>84.599999999999909</v>
      </c>
      <c r="J1698" s="11">
        <f>data!H1698</f>
        <v>654</v>
      </c>
      <c r="K1698" s="11">
        <f>data!J1698</f>
        <v>630</v>
      </c>
      <c r="L1698" s="11">
        <f t="shared" si="105"/>
        <v>24</v>
      </c>
      <c r="M1698" s="9">
        <f t="shared" si="106"/>
        <v>4.6305418719211774E-2</v>
      </c>
      <c r="N1698" s="9">
        <f t="shared" si="107"/>
        <v>3.8095238095238099E-2</v>
      </c>
    </row>
    <row r="1699" spans="1:14" x14ac:dyDescent="0.25">
      <c r="A1699" t="str">
        <f>TEXT("1/"&amp;data!A1699,"mmmm")</f>
        <v>juin</v>
      </c>
      <c r="B1699">
        <f>data!B1699</f>
        <v>2016</v>
      </c>
      <c r="C1699" t="str">
        <f>data!C1699</f>
        <v>169</v>
      </c>
      <c r="D1699" t="str">
        <f>data!D1699</f>
        <v>CHATEAU PERREAU BEL AIR</v>
      </c>
      <c r="E1699" t="str">
        <f>data!E1699</f>
        <v>169002</v>
      </c>
      <c r="F1699" t="str">
        <f>data!F1699</f>
        <v>AC BORDEAUX SUPERIEUR CHATEAU MESSAYA</v>
      </c>
      <c r="G1699" s="10">
        <f>data!G1699</f>
        <v>1556.1</v>
      </c>
      <c r="H1699" s="10">
        <f>data!I1699</f>
        <v>2601.48</v>
      </c>
      <c r="I1699" s="10">
        <f t="shared" si="104"/>
        <v>-1045.3800000000001</v>
      </c>
      <c r="J1699" s="11">
        <f>data!H1699</f>
        <v>630</v>
      </c>
      <c r="K1699" s="11">
        <f>data!J1699</f>
        <v>1074</v>
      </c>
      <c r="L1699" s="11">
        <f t="shared" si="105"/>
        <v>-444</v>
      </c>
      <c r="M1699" s="9">
        <f t="shared" si="106"/>
        <v>-0.40184049079754602</v>
      </c>
      <c r="N1699" s="9">
        <f t="shared" si="107"/>
        <v>-0.41340782122905029</v>
      </c>
    </row>
    <row r="1700" spans="1:14" x14ac:dyDescent="0.25">
      <c r="A1700" t="str">
        <f>TEXT("1/"&amp;data!A1700,"mmmm")</f>
        <v>juin</v>
      </c>
      <c r="B1700">
        <f>data!B1700</f>
        <v>2016</v>
      </c>
      <c r="C1700" t="str">
        <f>data!C1700</f>
        <v>169</v>
      </c>
      <c r="D1700" t="str">
        <f>data!D1700</f>
        <v>CHATEAU PERREAU BEL AIR</v>
      </c>
      <c r="E1700" t="str">
        <f>data!E1700</f>
        <v>169005CB</v>
      </c>
      <c r="F1700" t="str">
        <f>data!F1700</f>
        <v>AC COTES DE CASTILLON CB 3 BOUTEILLES</v>
      </c>
      <c r="G1700" s="10">
        <f>data!G1700</f>
        <v>38.700000000000003</v>
      </c>
      <c r="H1700" s="10">
        <f>data!I1700</f>
        <v>77.400000000000006</v>
      </c>
      <c r="I1700" s="10">
        <f t="shared" si="104"/>
        <v>-38.700000000000003</v>
      </c>
      <c r="J1700" s="11">
        <f>data!H1700</f>
        <v>9</v>
      </c>
      <c r="K1700" s="11">
        <f>data!J1700</f>
        <v>18</v>
      </c>
      <c r="L1700" s="11">
        <f t="shared" si="105"/>
        <v>-9</v>
      </c>
      <c r="M1700" s="9">
        <f t="shared" si="106"/>
        <v>-0.5</v>
      </c>
      <c r="N1700" s="9">
        <f t="shared" si="107"/>
        <v>-0.5</v>
      </c>
    </row>
    <row r="1701" spans="1:14" x14ac:dyDescent="0.25">
      <c r="A1701" t="str">
        <f>TEXT("1/"&amp;data!A1701,"mmmm")</f>
        <v>juin</v>
      </c>
      <c r="B1701">
        <f>data!B1701</f>
        <v>2016</v>
      </c>
      <c r="C1701" t="str">
        <f>data!C1701</f>
        <v>169</v>
      </c>
      <c r="D1701" t="str">
        <f>data!D1701</f>
        <v>CHATEAU PERREAU BEL AIR</v>
      </c>
      <c r="E1701" t="str">
        <f>data!E1701</f>
        <v>169009</v>
      </c>
      <c r="F1701" t="str">
        <f>data!F1701</f>
        <v>AOP COTES DE BORDEAUX LES HAUTS DE PERREAU BEL AIR</v>
      </c>
      <c r="G1701" s="10">
        <f>data!G1701</f>
        <v>333</v>
      </c>
      <c r="H1701" s="10">
        <f>data!I1701</f>
        <v>1720.5</v>
      </c>
      <c r="I1701" s="10">
        <f t="shared" si="104"/>
        <v>-1387.5</v>
      </c>
      <c r="J1701" s="11">
        <f>data!H1701</f>
        <v>239.94</v>
      </c>
      <c r="K1701" s="11">
        <f>data!J1701</f>
        <v>1239.69</v>
      </c>
      <c r="L1701" s="11">
        <f t="shared" si="105"/>
        <v>-999.75</v>
      </c>
      <c r="M1701" s="9">
        <f t="shared" si="106"/>
        <v>-0.80645161290322576</v>
      </c>
      <c r="N1701" s="9">
        <f t="shared" si="107"/>
        <v>-0.80645161290322576</v>
      </c>
    </row>
    <row r="1702" spans="1:14" x14ac:dyDescent="0.25">
      <c r="A1702" t="str">
        <f>TEXT("1/"&amp;data!A1702,"mmmm")</f>
        <v>juin</v>
      </c>
      <c r="B1702">
        <f>data!B1702</f>
        <v>2016</v>
      </c>
      <c r="C1702" t="str">
        <f>data!C1702</f>
        <v>169</v>
      </c>
      <c r="D1702" t="str">
        <f>data!D1702</f>
        <v>CHATEAU PERREAU BEL AIR</v>
      </c>
      <c r="E1702" t="str">
        <f>data!E1702</f>
        <v>169010</v>
      </c>
      <c r="F1702" t="str">
        <f>data!F1702</f>
        <v>AOP COTES DE BORDEAUX LES HAUTS DE PERREAU BEL AIR</v>
      </c>
      <c r="G1702" s="10">
        <f>data!G1702</f>
        <v>724.5</v>
      </c>
      <c r="H1702" s="10">
        <f>data!I1702</f>
        <v>1680</v>
      </c>
      <c r="I1702" s="10">
        <f t="shared" si="104"/>
        <v>-955.5</v>
      </c>
      <c r="J1702" s="11">
        <f>data!H1702</f>
        <v>460.23</v>
      </c>
      <c r="K1702" s="11">
        <f>data!J1702</f>
        <v>1073.8699999999999</v>
      </c>
      <c r="L1702" s="11">
        <f t="shared" si="105"/>
        <v>-613.63999999999987</v>
      </c>
      <c r="M1702" s="9">
        <f t="shared" si="106"/>
        <v>-0.56874999999999998</v>
      </c>
      <c r="N1702" s="9">
        <f t="shared" si="107"/>
        <v>-0.5714285714285714</v>
      </c>
    </row>
    <row r="1703" spans="1:14" x14ac:dyDescent="0.25">
      <c r="A1703" t="str">
        <f>TEXT("1/"&amp;data!A1703,"mmmm")</f>
        <v>juin</v>
      </c>
      <c r="B1703">
        <f>data!B1703</f>
        <v>2016</v>
      </c>
      <c r="C1703" t="str">
        <f>data!C1703</f>
        <v>169</v>
      </c>
      <c r="D1703" t="str">
        <f>data!D1703</f>
        <v>CHATEAU PERREAU BEL AIR</v>
      </c>
      <c r="E1703" t="str">
        <f>data!E1703</f>
        <v>169012</v>
      </c>
      <c r="F1703" t="str">
        <f>data!F1703</f>
        <v>CHATEAU DE L'AUZE BERGERAC</v>
      </c>
      <c r="G1703" s="10">
        <f>data!G1703</f>
        <v>0</v>
      </c>
      <c r="H1703" s="10">
        <f>data!I1703</f>
        <v>0</v>
      </c>
      <c r="I1703" s="10">
        <f t="shared" si="104"/>
        <v>0</v>
      </c>
      <c r="J1703" s="11">
        <f>data!H1703</f>
        <v>6</v>
      </c>
      <c r="K1703" s="11">
        <f>data!J1703</f>
        <v>0</v>
      </c>
      <c r="L1703" s="11">
        <f t="shared" si="105"/>
        <v>6</v>
      </c>
      <c r="M1703" s="9" t="str">
        <f t="shared" si="106"/>
        <v/>
      </c>
      <c r="N1703" s="9" t="str">
        <f t="shared" si="107"/>
        <v/>
      </c>
    </row>
    <row r="1704" spans="1:14" x14ac:dyDescent="0.25">
      <c r="A1704" t="str">
        <f>TEXT("1/"&amp;data!A1704,"mmmm")</f>
        <v>juin</v>
      </c>
      <c r="B1704">
        <f>data!B1704</f>
        <v>2016</v>
      </c>
      <c r="C1704" t="str">
        <f>data!C1704</f>
        <v>174</v>
      </c>
      <c r="D1704" t="str">
        <f>data!D1704</f>
        <v>SAS VIGNOBLES DES 3 CHATEAUX</v>
      </c>
      <c r="E1704" t="str">
        <f>data!E1704</f>
        <v>174001</v>
      </c>
      <c r="F1704" t="str">
        <f>data!F1704</f>
        <v>AC PIC SAINT LOUP LES DEESSES MUETTES EMOTION</v>
      </c>
      <c r="G1704" s="10">
        <f>data!G1704</f>
        <v>2008.8</v>
      </c>
      <c r="H1704" s="10">
        <f>data!I1704</f>
        <v>2053.44</v>
      </c>
      <c r="I1704" s="10">
        <f t="shared" si="104"/>
        <v>-44.6400000000001</v>
      </c>
      <c r="J1704" s="11">
        <f>data!H1704</f>
        <v>546</v>
      </c>
      <c r="K1704" s="11">
        <f>data!J1704</f>
        <v>552</v>
      </c>
      <c r="L1704" s="11">
        <f t="shared" si="105"/>
        <v>-6</v>
      </c>
      <c r="M1704" s="9">
        <f t="shared" si="106"/>
        <v>-2.1739130434782657E-2</v>
      </c>
      <c r="N1704" s="9">
        <f t="shared" si="107"/>
        <v>-1.0869565217391304E-2</v>
      </c>
    </row>
    <row r="1705" spans="1:14" x14ac:dyDescent="0.25">
      <c r="A1705" t="str">
        <f>TEXT("1/"&amp;data!A1705,"mmmm")</f>
        <v>juin</v>
      </c>
      <c r="B1705">
        <f>data!B1705</f>
        <v>2016</v>
      </c>
      <c r="C1705" t="str">
        <f>data!C1705</f>
        <v>174</v>
      </c>
      <c r="D1705" t="str">
        <f>data!D1705</f>
        <v>SAS VIGNOBLES DES 3 CHATEAUX</v>
      </c>
      <c r="E1705" t="str">
        <f>data!E1705</f>
        <v>174002</v>
      </c>
      <c r="F1705" t="str">
        <f>data!F1705</f>
        <v>AC PIC SAINT LOUP CUVEE SPECIALE VIEILLI FUT DE CH</v>
      </c>
      <c r="G1705" s="10">
        <f>data!G1705</f>
        <v>297.60000000000002</v>
      </c>
      <c r="H1705" s="10">
        <f>data!I1705</f>
        <v>220.32</v>
      </c>
      <c r="I1705" s="10">
        <f t="shared" si="104"/>
        <v>77.28000000000003</v>
      </c>
      <c r="J1705" s="11">
        <f>data!H1705</f>
        <v>54</v>
      </c>
      <c r="K1705" s="11">
        <f>data!J1705</f>
        <v>36</v>
      </c>
      <c r="L1705" s="11">
        <f t="shared" si="105"/>
        <v>18</v>
      </c>
      <c r="M1705" s="9">
        <f t="shared" si="106"/>
        <v>0.35076252723311563</v>
      </c>
      <c r="N1705" s="9">
        <f t="shared" si="107"/>
        <v>0.5</v>
      </c>
    </row>
    <row r="1706" spans="1:14" x14ac:dyDescent="0.25">
      <c r="A1706" t="str">
        <f>TEXT("1/"&amp;data!A1706,"mmmm")</f>
        <v>juin</v>
      </c>
      <c r="B1706">
        <f>data!B1706</f>
        <v>2016</v>
      </c>
      <c r="C1706" t="str">
        <f>data!C1706</f>
        <v>174</v>
      </c>
      <c r="D1706" t="str">
        <f>data!D1706</f>
        <v>SAS VIGNOBLES DES 3 CHATEAUX</v>
      </c>
      <c r="E1706" t="str">
        <f>data!E1706</f>
        <v>174003</v>
      </c>
      <c r="F1706" t="str">
        <f>data!F1706</f>
        <v>IGP CARIGNAN - PETIT LOUP</v>
      </c>
      <c r="G1706" s="10">
        <f>data!G1706</f>
        <v>2446.48</v>
      </c>
      <c r="H1706" s="10">
        <f>data!I1706</f>
        <v>864.96</v>
      </c>
      <c r="I1706" s="10">
        <f t="shared" si="104"/>
        <v>1581.52</v>
      </c>
      <c r="J1706" s="11">
        <f>data!H1706</f>
        <v>1200</v>
      </c>
      <c r="K1706" s="11">
        <f>data!J1706</f>
        <v>426</v>
      </c>
      <c r="L1706" s="11">
        <f t="shared" si="105"/>
        <v>774</v>
      </c>
      <c r="M1706" s="9">
        <f t="shared" si="106"/>
        <v>1.8284313725490196</v>
      </c>
      <c r="N1706" s="9">
        <f t="shared" si="107"/>
        <v>1.8169014084507042</v>
      </c>
    </row>
    <row r="1707" spans="1:14" x14ac:dyDescent="0.25">
      <c r="A1707" t="str">
        <f>TEXT("1/"&amp;data!A1707,"mmmm")</f>
        <v>juin</v>
      </c>
      <c r="B1707">
        <f>data!B1707</f>
        <v>2016</v>
      </c>
      <c r="C1707" t="str">
        <f>data!C1707</f>
        <v>174</v>
      </c>
      <c r="D1707" t="str">
        <f>data!D1707</f>
        <v>SAS VIGNOBLES DES 3 CHATEAUX</v>
      </c>
      <c r="E1707" t="str">
        <f>data!E1707</f>
        <v>174005</v>
      </c>
      <c r="F1707" t="str">
        <f>data!F1707</f>
        <v>IGP PAYS D'OC LES SARDINES</v>
      </c>
      <c r="G1707" s="10">
        <f>data!G1707</f>
        <v>3126</v>
      </c>
      <c r="H1707" s="10">
        <f>data!I1707</f>
        <v>0</v>
      </c>
      <c r="I1707" s="10">
        <f t="shared" si="104"/>
        <v>3126</v>
      </c>
      <c r="J1707" s="11">
        <f>data!H1707</f>
        <v>1440</v>
      </c>
      <c r="K1707" s="11">
        <f>data!J1707</f>
        <v>0</v>
      </c>
      <c r="L1707" s="11">
        <f t="shared" si="105"/>
        <v>1440</v>
      </c>
      <c r="M1707" s="9" t="str">
        <f t="shared" si="106"/>
        <v/>
      </c>
      <c r="N1707" s="9" t="str">
        <f t="shared" si="107"/>
        <v/>
      </c>
    </row>
    <row r="1708" spans="1:14" x14ac:dyDescent="0.25">
      <c r="A1708" t="str">
        <f>TEXT("1/"&amp;data!A1708,"mmmm")</f>
        <v>juin</v>
      </c>
      <c r="B1708">
        <f>data!B1708</f>
        <v>2016</v>
      </c>
      <c r="C1708" t="str">
        <f>data!C1708</f>
        <v>174</v>
      </c>
      <c r="D1708" t="str">
        <f>data!D1708</f>
        <v>SAS VIGNOBLES DES 3 CHATEAUX</v>
      </c>
      <c r="E1708" t="str">
        <f>data!E1708</f>
        <v>174006</v>
      </c>
      <c r="F1708" t="str">
        <f>data!F1708</f>
        <v>IGP PAYS D'OC LES SARDINES</v>
      </c>
      <c r="G1708" s="10">
        <f>data!G1708</f>
        <v>4011.8</v>
      </c>
      <c r="H1708" s="10">
        <f>data!I1708</f>
        <v>0</v>
      </c>
      <c r="I1708" s="10">
        <f t="shared" si="104"/>
        <v>4011.8</v>
      </c>
      <c r="J1708" s="11">
        <f>data!H1708</f>
        <v>1098</v>
      </c>
      <c r="K1708" s="11">
        <f>data!J1708</f>
        <v>0</v>
      </c>
      <c r="L1708" s="11">
        <f t="shared" si="105"/>
        <v>1098</v>
      </c>
      <c r="M1708" s="9" t="str">
        <f t="shared" si="106"/>
        <v/>
      </c>
      <c r="N1708" s="9" t="str">
        <f t="shared" si="107"/>
        <v/>
      </c>
    </row>
    <row r="1709" spans="1:14" x14ac:dyDescent="0.25">
      <c r="A1709" t="str">
        <f>TEXT("1/"&amp;data!A1709,"mmmm")</f>
        <v>juin</v>
      </c>
      <c r="B1709">
        <f>data!B1709</f>
        <v>2016</v>
      </c>
      <c r="C1709" t="str">
        <f>data!C1709</f>
        <v>174</v>
      </c>
      <c r="D1709" t="str">
        <f>data!D1709</f>
        <v>SAS VIGNOBLES DES 3 CHATEAUX</v>
      </c>
      <c r="E1709" t="str">
        <f>data!E1709</f>
        <v>174007</v>
      </c>
      <c r="F1709" t="str">
        <f>data!F1709</f>
        <v>IGP PAYS D'OC LES SARDINES</v>
      </c>
      <c r="G1709" s="10">
        <f>data!G1709</f>
        <v>938.4</v>
      </c>
      <c r="H1709" s="10">
        <f>data!I1709</f>
        <v>0</v>
      </c>
      <c r="I1709" s="10">
        <f t="shared" si="104"/>
        <v>938.4</v>
      </c>
      <c r="J1709" s="11">
        <f>data!H1709</f>
        <v>432</v>
      </c>
      <c r="K1709" s="11">
        <f>data!J1709</f>
        <v>0</v>
      </c>
      <c r="L1709" s="11">
        <f t="shared" si="105"/>
        <v>432</v>
      </c>
      <c r="M1709" s="9" t="str">
        <f t="shared" si="106"/>
        <v/>
      </c>
      <c r="N1709" s="9" t="str">
        <f t="shared" si="107"/>
        <v/>
      </c>
    </row>
    <row r="1710" spans="1:14" x14ac:dyDescent="0.25">
      <c r="A1710" t="str">
        <f>TEXT("1/"&amp;data!A1710,"mmmm")</f>
        <v>juin</v>
      </c>
      <c r="B1710">
        <f>data!B1710</f>
        <v>2016</v>
      </c>
      <c r="C1710" t="str">
        <f>data!C1710</f>
        <v>174</v>
      </c>
      <c r="D1710" t="str">
        <f>data!D1710</f>
        <v>SAS VIGNOBLES DES 3 CHATEAUX</v>
      </c>
      <c r="E1710" t="str">
        <f>data!E1710</f>
        <v>174009</v>
      </c>
      <c r="F1710" t="str">
        <f>data!F1710</f>
        <v>AOP PIC SAINT LOUP LA DIABLESSE</v>
      </c>
      <c r="G1710" s="10">
        <f>data!G1710</f>
        <v>70.8</v>
      </c>
      <c r="H1710" s="10">
        <f>data!I1710</f>
        <v>0</v>
      </c>
      <c r="I1710" s="10">
        <f t="shared" si="104"/>
        <v>70.8</v>
      </c>
      <c r="J1710" s="11">
        <f>data!H1710</f>
        <v>12</v>
      </c>
      <c r="K1710" s="11">
        <f>data!J1710</f>
        <v>0</v>
      </c>
      <c r="L1710" s="11">
        <f t="shared" si="105"/>
        <v>12</v>
      </c>
      <c r="M1710" s="9" t="str">
        <f t="shared" si="106"/>
        <v/>
      </c>
      <c r="N1710" s="9" t="str">
        <f t="shared" si="107"/>
        <v/>
      </c>
    </row>
    <row r="1711" spans="1:14" x14ac:dyDescent="0.25">
      <c r="A1711" t="str">
        <f>TEXT("1/"&amp;data!A1711,"mmmm")</f>
        <v>juin</v>
      </c>
      <c r="B1711">
        <f>data!B1711</f>
        <v>2016</v>
      </c>
      <c r="C1711" t="str">
        <f>data!C1711</f>
        <v>174</v>
      </c>
      <c r="D1711" t="str">
        <f>data!D1711</f>
        <v>SAS VIGNOBLES DES 3 CHATEAUX</v>
      </c>
      <c r="E1711" t="str">
        <f>data!E1711</f>
        <v>174010</v>
      </c>
      <c r="F1711" t="str">
        <f>data!F1711</f>
        <v>IGP OC MERLOT CABERNET TERROIR DES CIGALES</v>
      </c>
      <c r="G1711" s="10">
        <f>data!G1711</f>
        <v>1085.4000000000001</v>
      </c>
      <c r="H1711" s="10">
        <f>data!I1711</f>
        <v>1303.4000000000001</v>
      </c>
      <c r="I1711" s="10">
        <f t="shared" si="104"/>
        <v>-218</v>
      </c>
      <c r="J1711" s="11">
        <f>data!H1711</f>
        <v>1079.73</v>
      </c>
      <c r="K1711" s="11">
        <f>data!J1711</f>
        <v>1306.3399999999999</v>
      </c>
      <c r="L1711" s="11">
        <f t="shared" si="105"/>
        <v>-226.6099999999999</v>
      </c>
      <c r="M1711" s="9">
        <f t="shared" si="106"/>
        <v>-0.16725487187356144</v>
      </c>
      <c r="N1711" s="9">
        <f t="shared" si="107"/>
        <v>-0.17346938775510198</v>
      </c>
    </row>
    <row r="1712" spans="1:14" x14ac:dyDescent="0.25">
      <c r="A1712" t="str">
        <f>TEXT("1/"&amp;data!A1712,"mmmm")</f>
        <v>juin</v>
      </c>
      <c r="B1712">
        <f>data!B1712</f>
        <v>2016</v>
      </c>
      <c r="C1712" t="str">
        <f>data!C1712</f>
        <v>174</v>
      </c>
      <c r="D1712" t="str">
        <f>data!D1712</f>
        <v>SAS VIGNOBLES DES 3 CHATEAUX</v>
      </c>
      <c r="E1712" t="str">
        <f>data!E1712</f>
        <v>174011</v>
      </c>
      <c r="F1712" t="str">
        <f>data!F1712</f>
        <v>IGP OC MERLOT CABERNET TERROIR DES CIGALES</v>
      </c>
      <c r="G1712" s="10">
        <f>data!G1712</f>
        <v>548.79999999999995</v>
      </c>
      <c r="H1712" s="10">
        <f>data!I1712</f>
        <v>880.27</v>
      </c>
      <c r="I1712" s="10">
        <f t="shared" si="104"/>
        <v>-331.47</v>
      </c>
      <c r="J1712" s="11">
        <f>data!H1712</f>
        <v>480.24</v>
      </c>
      <c r="K1712" s="11">
        <f>data!J1712</f>
        <v>787.06</v>
      </c>
      <c r="L1712" s="11">
        <f t="shared" si="105"/>
        <v>-306.81999999999994</v>
      </c>
      <c r="M1712" s="9">
        <f t="shared" si="106"/>
        <v>-0.37655492064934626</v>
      </c>
      <c r="N1712" s="9">
        <f t="shared" si="107"/>
        <v>-0.38983050847457623</v>
      </c>
    </row>
    <row r="1713" spans="1:14" x14ac:dyDescent="0.25">
      <c r="A1713" t="str">
        <f>TEXT("1/"&amp;data!A1713,"mmmm")</f>
        <v>juin</v>
      </c>
      <c r="B1713">
        <f>data!B1713</f>
        <v>2016</v>
      </c>
      <c r="C1713" t="str">
        <f>data!C1713</f>
        <v>174</v>
      </c>
      <c r="D1713" t="str">
        <f>data!D1713</f>
        <v>SAS VIGNOBLES DES 3 CHATEAUX</v>
      </c>
      <c r="E1713" t="str">
        <f>data!E1713</f>
        <v>174015</v>
      </c>
      <c r="F1713" t="str">
        <f>data!F1713</f>
        <v>IGP OC CHARDONNAY LES CITELLES</v>
      </c>
      <c r="G1713" s="10">
        <f>data!G1713</f>
        <v>368.55</v>
      </c>
      <c r="H1713" s="10">
        <f>data!I1713</f>
        <v>1105.6500000000001</v>
      </c>
      <c r="I1713" s="10">
        <f t="shared" si="104"/>
        <v>-737.10000000000014</v>
      </c>
      <c r="J1713" s="11">
        <f>data!H1713</f>
        <v>279.93</v>
      </c>
      <c r="K1713" s="11">
        <f>data!J1713</f>
        <v>839.79</v>
      </c>
      <c r="L1713" s="11">
        <f t="shared" si="105"/>
        <v>-559.8599999999999</v>
      </c>
      <c r="M1713" s="9">
        <f t="shared" si="106"/>
        <v>-0.66666666666666674</v>
      </c>
      <c r="N1713" s="9">
        <f t="shared" si="107"/>
        <v>-0.66666666666666663</v>
      </c>
    </row>
    <row r="1714" spans="1:14" x14ac:dyDescent="0.25">
      <c r="A1714" t="str">
        <f>TEXT("1/"&amp;data!A1714,"mmmm")</f>
        <v>juin</v>
      </c>
      <c r="B1714">
        <f>data!B1714</f>
        <v>2016</v>
      </c>
      <c r="C1714" t="str">
        <f>data!C1714</f>
        <v>174</v>
      </c>
      <c r="D1714" t="str">
        <f>data!D1714</f>
        <v>SAS VIGNOBLES DES 3 CHATEAUX</v>
      </c>
      <c r="E1714" t="str">
        <f>data!E1714</f>
        <v>174016</v>
      </c>
      <c r="F1714" t="str">
        <f>data!F1714</f>
        <v>IGP OC CHARDONNAY LES CITELLES</v>
      </c>
      <c r="G1714" s="10">
        <f>data!G1714</f>
        <v>956.16</v>
      </c>
      <c r="H1714" s="10">
        <f>data!I1714</f>
        <v>627.48</v>
      </c>
      <c r="I1714" s="10">
        <f t="shared" si="104"/>
        <v>328.67999999999995</v>
      </c>
      <c r="J1714" s="11">
        <f>data!H1714</f>
        <v>653.66</v>
      </c>
      <c r="K1714" s="11">
        <f>data!J1714</f>
        <v>426.88</v>
      </c>
      <c r="L1714" s="11">
        <f t="shared" si="105"/>
        <v>226.77999999999997</v>
      </c>
      <c r="M1714" s="9">
        <f t="shared" si="106"/>
        <v>0.52380952380952372</v>
      </c>
      <c r="N1714" s="9">
        <f t="shared" si="107"/>
        <v>0.53124999999999989</v>
      </c>
    </row>
    <row r="1715" spans="1:14" x14ac:dyDescent="0.25">
      <c r="A1715" t="str">
        <f>TEXT("1/"&amp;data!A1715,"mmmm")</f>
        <v>juin</v>
      </c>
      <c r="B1715">
        <f>data!B1715</f>
        <v>2016</v>
      </c>
      <c r="C1715" t="str">
        <f>data!C1715</f>
        <v>175</v>
      </c>
      <c r="D1715" t="str">
        <f>data!D1715</f>
        <v>SARL MAISON PERE &amp; FILS</v>
      </c>
      <c r="E1715" t="str">
        <f>data!E1715</f>
        <v>175001</v>
      </c>
      <c r="F1715" t="str">
        <f>data!F1715</f>
        <v>AC CHEVERNY DME MAISON</v>
      </c>
      <c r="G1715" s="10">
        <f>data!G1715</f>
        <v>742.5</v>
      </c>
      <c r="H1715" s="10">
        <f>data!I1715</f>
        <v>399.6</v>
      </c>
      <c r="I1715" s="10">
        <f t="shared" si="104"/>
        <v>342.9</v>
      </c>
      <c r="J1715" s="11">
        <f>data!H1715</f>
        <v>198</v>
      </c>
      <c r="K1715" s="11">
        <f>data!J1715</f>
        <v>108</v>
      </c>
      <c r="L1715" s="11">
        <f t="shared" si="105"/>
        <v>90</v>
      </c>
      <c r="M1715" s="9">
        <f t="shared" si="106"/>
        <v>0.858108108108108</v>
      </c>
      <c r="N1715" s="9">
        <f t="shared" si="107"/>
        <v>0.83333333333333337</v>
      </c>
    </row>
    <row r="1716" spans="1:14" x14ac:dyDescent="0.25">
      <c r="A1716" t="str">
        <f>TEXT("1/"&amp;data!A1716,"mmmm")</f>
        <v>juin</v>
      </c>
      <c r="B1716">
        <f>data!B1716</f>
        <v>2016</v>
      </c>
      <c r="C1716" t="str">
        <f>data!C1716</f>
        <v>175</v>
      </c>
      <c r="D1716" t="str">
        <f>data!D1716</f>
        <v>SARL MAISON PERE &amp; FILS</v>
      </c>
      <c r="E1716" t="str">
        <f>data!E1716</f>
        <v>175002</v>
      </c>
      <c r="F1716" t="str">
        <f>data!F1716</f>
        <v>AC CHEVERNY DME MAISON</v>
      </c>
      <c r="G1716" s="10">
        <f>data!G1716</f>
        <v>517.5</v>
      </c>
      <c r="H1716" s="10">
        <f>data!I1716</f>
        <v>333</v>
      </c>
      <c r="I1716" s="10">
        <f t="shared" si="104"/>
        <v>184.5</v>
      </c>
      <c r="J1716" s="11">
        <f>data!H1716</f>
        <v>144</v>
      </c>
      <c r="K1716" s="11">
        <f>data!J1716</f>
        <v>90</v>
      </c>
      <c r="L1716" s="11">
        <f t="shared" si="105"/>
        <v>54</v>
      </c>
      <c r="M1716" s="9">
        <f t="shared" si="106"/>
        <v>0.55405405405405406</v>
      </c>
      <c r="N1716" s="9">
        <f t="shared" si="107"/>
        <v>0.6</v>
      </c>
    </row>
    <row r="1717" spans="1:14" x14ac:dyDescent="0.25">
      <c r="A1717" t="str">
        <f>TEXT("1/"&amp;data!A1717,"mmmm")</f>
        <v>juin</v>
      </c>
      <c r="B1717">
        <f>data!B1717</f>
        <v>2016</v>
      </c>
      <c r="C1717" t="str">
        <f>data!C1717</f>
        <v>175</v>
      </c>
      <c r="D1717" t="str">
        <f>data!D1717</f>
        <v>SARL MAISON PERE &amp; FILS</v>
      </c>
      <c r="E1717" t="str">
        <f>data!E1717</f>
        <v>175003</v>
      </c>
      <c r="F1717" t="str">
        <f>data!F1717</f>
        <v>AC CHEVERNY DME MAISON</v>
      </c>
      <c r="G1717" s="10">
        <f>data!G1717</f>
        <v>90</v>
      </c>
      <c r="H1717" s="10">
        <f>data!I1717</f>
        <v>0</v>
      </c>
      <c r="I1717" s="10">
        <f t="shared" si="104"/>
        <v>90</v>
      </c>
      <c r="J1717" s="11">
        <f>data!H1717</f>
        <v>24</v>
      </c>
      <c r="K1717" s="11">
        <f>data!J1717</f>
        <v>0</v>
      </c>
      <c r="L1717" s="11">
        <f t="shared" si="105"/>
        <v>24</v>
      </c>
      <c r="M1717" s="9" t="str">
        <f t="shared" si="106"/>
        <v/>
      </c>
      <c r="N1717" s="9" t="str">
        <f t="shared" si="107"/>
        <v/>
      </c>
    </row>
    <row r="1718" spans="1:14" x14ac:dyDescent="0.25">
      <c r="A1718" t="str">
        <f>TEXT("1/"&amp;data!A1718,"mmmm")</f>
        <v>juin</v>
      </c>
      <c r="B1718">
        <f>data!B1718</f>
        <v>2016</v>
      </c>
      <c r="C1718" t="str">
        <f>data!C1718</f>
        <v>199</v>
      </c>
      <c r="D1718" t="str">
        <f>data!D1718</f>
        <v>PRIEURE SAINT JEAN DE BEBIAN</v>
      </c>
      <c r="E1718" t="str">
        <f>data!E1718</f>
        <v>199001</v>
      </c>
      <c r="F1718" t="str">
        <f>data!F1718</f>
        <v>AC COTEAUX DU LANGUEDOC CHAPELLE</v>
      </c>
      <c r="G1718" s="10">
        <f>data!G1718</f>
        <v>40.200000000000003</v>
      </c>
      <c r="H1718" s="10">
        <f>data!I1718</f>
        <v>520.79999999999995</v>
      </c>
      <c r="I1718" s="10">
        <f t="shared" si="104"/>
        <v>-480.59999999999997</v>
      </c>
      <c r="J1718" s="11">
        <f>data!H1718</f>
        <v>6</v>
      </c>
      <c r="K1718" s="11">
        <f>data!J1718</f>
        <v>84</v>
      </c>
      <c r="L1718" s="11">
        <f t="shared" si="105"/>
        <v>-78</v>
      </c>
      <c r="M1718" s="9">
        <f t="shared" si="106"/>
        <v>-0.92281105990783407</v>
      </c>
      <c r="N1718" s="9">
        <f t="shared" si="107"/>
        <v>-0.9285714285714286</v>
      </c>
    </row>
    <row r="1719" spans="1:14" x14ac:dyDescent="0.25">
      <c r="A1719" t="str">
        <f>TEXT("1/"&amp;data!A1719,"mmmm")</f>
        <v>juin</v>
      </c>
      <c r="B1719">
        <f>data!B1719</f>
        <v>2016</v>
      </c>
      <c r="C1719" t="str">
        <f>data!C1719</f>
        <v>199</v>
      </c>
      <c r="D1719" t="str">
        <f>data!D1719</f>
        <v>PRIEURE SAINT JEAN DE BEBIAN</v>
      </c>
      <c r="E1719" t="str">
        <f>data!E1719</f>
        <v>199003</v>
      </c>
      <c r="F1719" t="str">
        <f>data!F1719</f>
        <v>AC COTEAUX DU LANGUEDOC LA CROIX DE BEBIAN</v>
      </c>
      <c r="G1719" s="10">
        <f>data!G1719</f>
        <v>999.6</v>
      </c>
      <c r="H1719" s="10">
        <f>data!I1719</f>
        <v>126</v>
      </c>
      <c r="I1719" s="10">
        <f t="shared" si="104"/>
        <v>873.6</v>
      </c>
      <c r="J1719" s="11">
        <f>data!H1719</f>
        <v>270</v>
      </c>
      <c r="K1719" s="11">
        <f>data!J1719</f>
        <v>30</v>
      </c>
      <c r="L1719" s="11">
        <f t="shared" si="105"/>
        <v>240</v>
      </c>
      <c r="M1719" s="9">
        <f t="shared" si="106"/>
        <v>6.9333333333333336</v>
      </c>
      <c r="N1719" s="9">
        <f t="shared" si="107"/>
        <v>8</v>
      </c>
    </row>
    <row r="1720" spans="1:14" x14ac:dyDescent="0.25">
      <c r="A1720" t="str">
        <f>TEXT("1/"&amp;data!A1720,"mmmm")</f>
        <v>juin</v>
      </c>
      <c r="B1720">
        <f>data!B1720</f>
        <v>2016</v>
      </c>
      <c r="C1720" t="str">
        <f>data!C1720</f>
        <v>199</v>
      </c>
      <c r="D1720" t="str">
        <f>data!D1720</f>
        <v>PRIEURE SAINT JEAN DE BEBIAN</v>
      </c>
      <c r="E1720" t="str">
        <f>data!E1720</f>
        <v>199004</v>
      </c>
      <c r="F1720" t="str">
        <f>data!F1720</f>
        <v>IGP PAYS D'OC LA CROIX DE BEBIAN</v>
      </c>
      <c r="G1720" s="10">
        <f>data!G1720</f>
        <v>246</v>
      </c>
      <c r="H1720" s="10">
        <f>data!I1720</f>
        <v>0</v>
      </c>
      <c r="I1720" s="10">
        <f t="shared" si="104"/>
        <v>246</v>
      </c>
      <c r="J1720" s="11">
        <f>data!H1720</f>
        <v>72</v>
      </c>
      <c r="K1720" s="11">
        <f>data!J1720</f>
        <v>0</v>
      </c>
      <c r="L1720" s="11">
        <f t="shared" si="105"/>
        <v>72</v>
      </c>
      <c r="M1720" s="9" t="str">
        <f t="shared" si="106"/>
        <v/>
      </c>
      <c r="N1720" s="9" t="str">
        <f t="shared" si="107"/>
        <v/>
      </c>
    </row>
    <row r="1721" spans="1:14" x14ac:dyDescent="0.25">
      <c r="A1721" t="str">
        <f>TEXT("1/"&amp;data!A1721,"mmmm")</f>
        <v>juin</v>
      </c>
      <c r="B1721">
        <f>data!B1721</f>
        <v>2016</v>
      </c>
      <c r="C1721" t="str">
        <f>data!C1721</f>
        <v>201</v>
      </c>
      <c r="D1721" t="str">
        <f>data!D1721</f>
        <v>CAVE LES COTEAUX DU RHONE</v>
      </c>
      <c r="E1721" t="str">
        <f>data!E1721</f>
        <v>201001</v>
      </c>
      <c r="F1721" t="str">
        <f>data!F1721</f>
        <v>IGP VAUCLUSE D'ORANGE CAVE LES COTEAUX DU RHONE</v>
      </c>
      <c r="G1721" s="10">
        <f>data!G1721</f>
        <v>864.45</v>
      </c>
      <c r="H1721" s="10">
        <f>data!I1721</f>
        <v>706.8</v>
      </c>
      <c r="I1721" s="10">
        <f t="shared" si="104"/>
        <v>157.65000000000009</v>
      </c>
      <c r="J1721" s="11">
        <f>data!H1721</f>
        <v>813.74</v>
      </c>
      <c r="K1721" s="11">
        <f>data!J1721</f>
        <v>633.65</v>
      </c>
      <c r="L1721" s="11">
        <f t="shared" si="105"/>
        <v>180.09000000000003</v>
      </c>
      <c r="M1721" s="9">
        <f t="shared" si="106"/>
        <v>0.22304753820033971</v>
      </c>
      <c r="N1721" s="9">
        <f t="shared" si="107"/>
        <v>0.28421052631578952</v>
      </c>
    </row>
    <row r="1722" spans="1:14" x14ac:dyDescent="0.25">
      <c r="A1722" t="str">
        <f>TEXT("1/"&amp;data!A1722,"mmmm")</f>
        <v>juin</v>
      </c>
      <c r="B1722">
        <f>data!B1722</f>
        <v>2016</v>
      </c>
      <c r="C1722" t="str">
        <f>data!C1722</f>
        <v>201</v>
      </c>
      <c r="D1722" t="str">
        <f>data!D1722</f>
        <v>CAVE LES COTEAUX DU RHONE</v>
      </c>
      <c r="E1722" t="str">
        <f>data!E1722</f>
        <v>201002</v>
      </c>
      <c r="F1722" t="str">
        <f>data!F1722</f>
        <v>IGP VAUCLUSE D'ORANGE CAVE LES COTEAUX DU RHONE</v>
      </c>
      <c r="G1722" s="10">
        <f>data!G1722</f>
        <v>987.9</v>
      </c>
      <c r="H1722" s="10">
        <f>data!I1722</f>
        <v>1908</v>
      </c>
      <c r="I1722" s="10">
        <f t="shared" si="104"/>
        <v>-920.1</v>
      </c>
      <c r="J1722" s="11">
        <f>data!H1722</f>
        <v>1013.08</v>
      </c>
      <c r="K1722" s="11">
        <f>data!J1722</f>
        <v>1946.18</v>
      </c>
      <c r="L1722" s="11">
        <f t="shared" si="105"/>
        <v>-933.1</v>
      </c>
      <c r="M1722" s="9">
        <f t="shared" si="106"/>
        <v>-0.48223270440251575</v>
      </c>
      <c r="N1722" s="9">
        <f t="shared" si="107"/>
        <v>-0.47945205479452052</v>
      </c>
    </row>
    <row r="1723" spans="1:14" x14ac:dyDescent="0.25">
      <c r="A1723" t="str">
        <f>TEXT("1/"&amp;data!A1723,"mmmm")</f>
        <v>juin</v>
      </c>
      <c r="B1723">
        <f>data!B1723</f>
        <v>2016</v>
      </c>
      <c r="C1723" t="str">
        <f>data!C1723</f>
        <v>201</v>
      </c>
      <c r="D1723" t="str">
        <f>data!D1723</f>
        <v>CAVE LES COTEAUX DU RHONE</v>
      </c>
      <c r="E1723" t="str">
        <f>data!E1723</f>
        <v>201003</v>
      </c>
      <c r="F1723" t="str">
        <f>data!F1723</f>
        <v>IGP MEDITERRANEE LES COTEAUX DU RHONE</v>
      </c>
      <c r="G1723" s="10">
        <f>data!G1723</f>
        <v>2187.9</v>
      </c>
      <c r="H1723" s="10">
        <f>data!I1723</f>
        <v>2652.4</v>
      </c>
      <c r="I1723" s="10">
        <f t="shared" si="104"/>
        <v>-464.5</v>
      </c>
      <c r="J1723" s="11">
        <f>data!H1723</f>
        <v>1974.32</v>
      </c>
      <c r="K1723" s="11">
        <f>data!J1723</f>
        <v>2374.52</v>
      </c>
      <c r="L1723" s="11">
        <f t="shared" si="105"/>
        <v>-400.20000000000005</v>
      </c>
      <c r="M1723" s="9">
        <f t="shared" si="106"/>
        <v>-0.17512441562358619</v>
      </c>
      <c r="N1723" s="9">
        <f t="shared" si="107"/>
        <v>-0.16853932584269665</v>
      </c>
    </row>
    <row r="1724" spans="1:14" x14ac:dyDescent="0.25">
      <c r="A1724" t="str">
        <f>TEXT("1/"&amp;data!A1724,"mmmm")</f>
        <v>juin</v>
      </c>
      <c r="B1724">
        <f>data!B1724</f>
        <v>2016</v>
      </c>
      <c r="C1724" t="str">
        <f>data!C1724</f>
        <v>201</v>
      </c>
      <c r="D1724" t="str">
        <f>data!D1724</f>
        <v>CAVE LES COTEAUX DU RHONE</v>
      </c>
      <c r="E1724" t="str">
        <f>data!E1724</f>
        <v>201004</v>
      </c>
      <c r="F1724" t="str">
        <f>data!F1724</f>
        <v>IGP MEDITERRANEE LES COTEAUX DU RHONE</v>
      </c>
      <c r="G1724" s="10">
        <f>data!G1724</f>
        <v>4098.45</v>
      </c>
      <c r="H1724" s="10">
        <f>data!I1724</f>
        <v>3325.75</v>
      </c>
      <c r="I1724" s="10">
        <f t="shared" si="104"/>
        <v>772.69999999999982</v>
      </c>
      <c r="J1724" s="11">
        <f>data!H1724</f>
        <v>4118.97</v>
      </c>
      <c r="K1724" s="11">
        <f>data!J1724</f>
        <v>3359.16</v>
      </c>
      <c r="L1724" s="11">
        <f t="shared" si="105"/>
        <v>759.8100000000004</v>
      </c>
      <c r="M1724" s="9">
        <f t="shared" si="106"/>
        <v>0.23233857024731258</v>
      </c>
      <c r="N1724" s="9">
        <f t="shared" si="107"/>
        <v>0.22619047619047633</v>
      </c>
    </row>
    <row r="1725" spans="1:14" x14ac:dyDescent="0.25">
      <c r="A1725" t="str">
        <f>TEXT("1/"&amp;data!A1725,"mmmm")</f>
        <v>juin</v>
      </c>
      <c r="B1725">
        <f>data!B1725</f>
        <v>2016</v>
      </c>
      <c r="C1725" t="str">
        <f>data!C1725</f>
        <v>201</v>
      </c>
      <c r="D1725" t="str">
        <f>data!D1725</f>
        <v>CAVE LES COTEAUX DU RHONE</v>
      </c>
      <c r="E1725" t="str">
        <f>data!E1725</f>
        <v>201006</v>
      </c>
      <c r="F1725" t="str">
        <f>data!F1725</f>
        <v>AOP COTES DU RHONE MAGIE D'UNE TERRE</v>
      </c>
      <c r="G1725" s="10">
        <f>data!G1725</f>
        <v>2236.8000000000002</v>
      </c>
      <c r="H1725" s="10">
        <f>data!I1725</f>
        <v>835.2</v>
      </c>
      <c r="I1725" s="10">
        <f t="shared" si="104"/>
        <v>1401.6000000000001</v>
      </c>
      <c r="J1725" s="11">
        <f>data!H1725</f>
        <v>954</v>
      </c>
      <c r="K1725" s="11">
        <f>data!J1725</f>
        <v>354</v>
      </c>
      <c r="L1725" s="11">
        <f t="shared" si="105"/>
        <v>600</v>
      </c>
      <c r="M1725" s="9">
        <f t="shared" si="106"/>
        <v>1.6781609195402301</v>
      </c>
      <c r="N1725" s="9">
        <f t="shared" si="107"/>
        <v>1.6949152542372881</v>
      </c>
    </row>
    <row r="1726" spans="1:14" x14ac:dyDescent="0.25">
      <c r="A1726" t="str">
        <f>TEXT("1/"&amp;data!A1726,"mmmm")</f>
        <v>juin</v>
      </c>
      <c r="B1726">
        <f>data!B1726</f>
        <v>2016</v>
      </c>
      <c r="C1726" t="str">
        <f>data!C1726</f>
        <v>201</v>
      </c>
      <c r="D1726" t="str">
        <f>data!D1726</f>
        <v>CAVE LES COTEAUX DU RHONE</v>
      </c>
      <c r="E1726" t="str">
        <f>data!E1726</f>
        <v>201007</v>
      </c>
      <c r="F1726" t="str">
        <f>data!F1726</f>
        <v>AOP VACQUEYRASDOMAINE GRANDY</v>
      </c>
      <c r="G1726" s="10">
        <f>data!G1726</f>
        <v>201.6</v>
      </c>
      <c r="H1726" s="10">
        <f>data!I1726</f>
        <v>-63.96</v>
      </c>
      <c r="I1726" s="10">
        <f t="shared" si="104"/>
        <v>265.56</v>
      </c>
      <c r="J1726" s="11">
        <f>data!H1726</f>
        <v>36</v>
      </c>
      <c r="K1726" s="11">
        <f>data!J1726</f>
        <v>6</v>
      </c>
      <c r="L1726" s="11">
        <f t="shared" si="105"/>
        <v>30</v>
      </c>
      <c r="M1726" s="9">
        <f t="shared" si="106"/>
        <v>-4.151969981238274</v>
      </c>
      <c r="N1726" s="9">
        <f t="shared" si="107"/>
        <v>5</v>
      </c>
    </row>
    <row r="1727" spans="1:14" x14ac:dyDescent="0.25">
      <c r="A1727" t="str">
        <f>TEXT("1/"&amp;data!A1727,"mmmm")</f>
        <v>juin</v>
      </c>
      <c r="B1727">
        <f>data!B1727</f>
        <v>2016</v>
      </c>
      <c r="C1727" t="str">
        <f>data!C1727</f>
        <v>201</v>
      </c>
      <c r="D1727" t="str">
        <f>data!D1727</f>
        <v>CAVE LES COTEAUX DU RHONE</v>
      </c>
      <c r="E1727" t="str">
        <f>data!E1727</f>
        <v>201008</v>
      </c>
      <c r="F1727" t="str">
        <f>data!F1727</f>
        <v>AOP COTES DU RHONE PATRICE NICOLAS</v>
      </c>
      <c r="G1727" s="10">
        <f>data!G1727</f>
        <v>695.4</v>
      </c>
      <c r="H1727" s="10">
        <f>data!I1727</f>
        <v>249.6</v>
      </c>
      <c r="I1727" s="10">
        <f t="shared" si="104"/>
        <v>445.79999999999995</v>
      </c>
      <c r="J1727" s="11">
        <f>data!H1727</f>
        <v>228</v>
      </c>
      <c r="K1727" s="11">
        <f>data!J1727</f>
        <v>78</v>
      </c>
      <c r="L1727" s="11">
        <f t="shared" si="105"/>
        <v>150</v>
      </c>
      <c r="M1727" s="9">
        <f t="shared" si="106"/>
        <v>1.7860576923076921</v>
      </c>
      <c r="N1727" s="9">
        <f t="shared" si="107"/>
        <v>1.9230769230769231</v>
      </c>
    </row>
    <row r="1728" spans="1:14" x14ac:dyDescent="0.25">
      <c r="A1728" t="str">
        <f>TEXT("1/"&amp;data!A1728,"mmmm")</f>
        <v>juin</v>
      </c>
      <c r="B1728">
        <f>data!B1728</f>
        <v>2016</v>
      </c>
      <c r="C1728" t="str">
        <f>data!C1728</f>
        <v>201</v>
      </c>
      <c r="D1728" t="str">
        <f>data!D1728</f>
        <v>CAVE LES COTEAUX DU RHONE</v>
      </c>
      <c r="E1728" t="str">
        <f>data!E1728</f>
        <v>201010</v>
      </c>
      <c r="F1728" t="str">
        <f>data!F1728</f>
        <v>AOP COTES DU RHONE</v>
      </c>
      <c r="G1728" s="10">
        <f>data!G1728</f>
        <v>1581</v>
      </c>
      <c r="H1728" s="10">
        <f>data!I1728</f>
        <v>1134.5999999999999</v>
      </c>
      <c r="I1728" s="10">
        <f t="shared" si="104"/>
        <v>446.40000000000009</v>
      </c>
      <c r="J1728" s="11">
        <f>data!H1728</f>
        <v>1133.05</v>
      </c>
      <c r="K1728" s="11">
        <f>data!J1728</f>
        <v>813.13</v>
      </c>
      <c r="L1728" s="11">
        <f t="shared" si="105"/>
        <v>319.91999999999996</v>
      </c>
      <c r="M1728" s="9">
        <f t="shared" si="106"/>
        <v>0.39344262295081978</v>
      </c>
      <c r="N1728" s="9">
        <f t="shared" si="107"/>
        <v>0.39344262295081961</v>
      </c>
    </row>
    <row r="1729" spans="1:14" x14ac:dyDescent="0.25">
      <c r="A1729" t="str">
        <f>TEXT("1/"&amp;data!A1729,"mmmm")</f>
        <v>juin</v>
      </c>
      <c r="B1729">
        <f>data!B1729</f>
        <v>2016</v>
      </c>
      <c r="C1729" t="str">
        <f>data!C1729</f>
        <v>201</v>
      </c>
      <c r="D1729" t="str">
        <f>data!D1729</f>
        <v>CAVE LES COTEAUX DU RHONE</v>
      </c>
      <c r="E1729" t="str">
        <f>data!E1729</f>
        <v>201011</v>
      </c>
      <c r="F1729" t="str">
        <f>data!F1729</f>
        <v>AOP COTES DU RHONE</v>
      </c>
      <c r="G1729" s="10">
        <f>data!G1729</f>
        <v>424.2</v>
      </c>
      <c r="H1729" s="10">
        <f>data!I1729</f>
        <v>434.3</v>
      </c>
      <c r="I1729" s="10">
        <f t="shared" si="104"/>
        <v>-10.100000000000023</v>
      </c>
      <c r="J1729" s="11">
        <f>data!H1729</f>
        <v>280.14</v>
      </c>
      <c r="K1729" s="11">
        <f>data!J1729</f>
        <v>313.49</v>
      </c>
      <c r="L1729" s="11">
        <f t="shared" si="105"/>
        <v>-33.350000000000023</v>
      </c>
      <c r="M1729" s="9">
        <f t="shared" si="106"/>
        <v>-2.3255813953488424E-2</v>
      </c>
      <c r="N1729" s="9">
        <f t="shared" si="107"/>
        <v>-0.10638297872340433</v>
      </c>
    </row>
    <row r="1730" spans="1:14" x14ac:dyDescent="0.25">
      <c r="A1730" t="str">
        <f>TEXT("1/"&amp;data!A1730,"mmmm")</f>
        <v>juin</v>
      </c>
      <c r="B1730">
        <f>data!B1730</f>
        <v>2016</v>
      </c>
      <c r="C1730" t="str">
        <f>data!C1730</f>
        <v>201</v>
      </c>
      <c r="D1730" t="str">
        <f>data!D1730</f>
        <v>CAVE LES COTEAUX DU RHONE</v>
      </c>
      <c r="E1730" t="str">
        <f>data!E1730</f>
        <v>201012</v>
      </c>
      <c r="F1730" t="str">
        <f>data!F1730</f>
        <v>AOP CDR VILLAGES PLAN DE DIEU PANICAUT</v>
      </c>
      <c r="G1730" s="10">
        <f>data!G1730</f>
        <v>481.8</v>
      </c>
      <c r="H1730" s="10">
        <f>data!I1730</f>
        <v>432</v>
      </c>
      <c r="I1730" s="10">
        <f t="shared" si="104"/>
        <v>49.800000000000011</v>
      </c>
      <c r="J1730" s="11">
        <f>data!H1730</f>
        <v>132</v>
      </c>
      <c r="K1730" s="11">
        <f>data!J1730</f>
        <v>120</v>
      </c>
      <c r="L1730" s="11">
        <f t="shared" si="105"/>
        <v>12</v>
      </c>
      <c r="M1730" s="9">
        <f t="shared" si="106"/>
        <v>0.1152777777777778</v>
      </c>
      <c r="N1730" s="9">
        <f t="shared" si="107"/>
        <v>0.1</v>
      </c>
    </row>
    <row r="1731" spans="1:14" x14ac:dyDescent="0.25">
      <c r="A1731" t="str">
        <f>TEXT("1/"&amp;data!A1731,"mmmm")</f>
        <v>juin</v>
      </c>
      <c r="B1731">
        <f>data!B1731</f>
        <v>2016</v>
      </c>
      <c r="C1731" t="str">
        <f>data!C1731</f>
        <v>201</v>
      </c>
      <c r="D1731" t="str">
        <f>data!D1731</f>
        <v>CAVE LES COTEAUX DU RHONE</v>
      </c>
      <c r="E1731" t="str">
        <f>data!E1731</f>
        <v>201013</v>
      </c>
      <c r="F1731" t="str">
        <f>data!F1731</f>
        <v>AOP CDR VILLAGES CAIRANNE LA BOSQUETTE</v>
      </c>
      <c r="G1731" s="10">
        <f>data!G1731</f>
        <v>92.4</v>
      </c>
      <c r="H1731" s="10">
        <f>data!I1731</f>
        <v>0</v>
      </c>
      <c r="I1731" s="10">
        <f t="shared" ref="I1731:I1794" si="108">G1731-H1731</f>
        <v>92.4</v>
      </c>
      <c r="J1731" s="11">
        <f>data!H1731</f>
        <v>24</v>
      </c>
      <c r="K1731" s="11">
        <f>data!J1731</f>
        <v>6</v>
      </c>
      <c r="L1731" s="11">
        <f t="shared" ref="L1731:L1794" si="109">J1731-K1731</f>
        <v>18</v>
      </c>
      <c r="M1731" s="9" t="str">
        <f t="shared" ref="M1731:M1794" si="110">IF(ISERR(I1731/H1731),"",I1731/H1731)</f>
        <v/>
      </c>
      <c r="N1731" s="9">
        <f t="shared" ref="N1731:N1794" si="111">IF(ISERR(L1731/K1731),"",L1731/K1731)</f>
        <v>3</v>
      </c>
    </row>
    <row r="1732" spans="1:14" x14ac:dyDescent="0.25">
      <c r="A1732" t="str">
        <f>TEXT("1/"&amp;data!A1732,"mmmm")</f>
        <v>juin</v>
      </c>
      <c r="B1732">
        <f>data!B1732</f>
        <v>2016</v>
      </c>
      <c r="C1732" t="str">
        <f>data!C1732</f>
        <v>201</v>
      </c>
      <c r="D1732" t="str">
        <f>data!D1732</f>
        <v>CAVE LES COTEAUX DU RHONE</v>
      </c>
      <c r="E1732" t="str">
        <f>data!E1732</f>
        <v>201014</v>
      </c>
      <c r="F1732" t="str">
        <f>data!F1732</f>
        <v>AOP COTES DU RHONE VILLAGES JASOUN</v>
      </c>
      <c r="G1732" s="10">
        <f>data!G1732</f>
        <v>648</v>
      </c>
      <c r="H1732" s="10">
        <f>data!I1732</f>
        <v>738</v>
      </c>
      <c r="I1732" s="10">
        <f t="shared" si="108"/>
        <v>-90</v>
      </c>
      <c r="J1732" s="11">
        <f>data!H1732</f>
        <v>222</v>
      </c>
      <c r="K1732" s="11">
        <f>data!J1732</f>
        <v>246</v>
      </c>
      <c r="L1732" s="11">
        <f t="shared" si="109"/>
        <v>-24</v>
      </c>
      <c r="M1732" s="9">
        <f t="shared" si="110"/>
        <v>-0.12195121951219512</v>
      </c>
      <c r="N1732" s="9">
        <f t="shared" si="111"/>
        <v>-9.7560975609756101E-2</v>
      </c>
    </row>
    <row r="1733" spans="1:14" x14ac:dyDescent="0.25">
      <c r="A1733" t="str">
        <f>TEXT("1/"&amp;data!A1733,"mmmm")</f>
        <v>juin</v>
      </c>
      <c r="B1733">
        <f>data!B1733</f>
        <v>2016</v>
      </c>
      <c r="C1733" t="str">
        <f>data!C1733</f>
        <v>201</v>
      </c>
      <c r="D1733" t="str">
        <f>data!D1733</f>
        <v>CAVE LES COTEAUX DU RHONE</v>
      </c>
      <c r="E1733" t="str">
        <f>data!E1733</f>
        <v>201015</v>
      </c>
      <c r="F1733" t="str">
        <f>data!F1733</f>
        <v>AOP CDR VILLAGES MASSIF D'UCHAUX ARBOUSE</v>
      </c>
      <c r="G1733" s="10">
        <f>data!G1733</f>
        <v>136.5</v>
      </c>
      <c r="H1733" s="10">
        <f>data!I1733</f>
        <v>0</v>
      </c>
      <c r="I1733" s="10">
        <f t="shared" si="108"/>
        <v>136.5</v>
      </c>
      <c r="J1733" s="11">
        <f>data!H1733</f>
        <v>42</v>
      </c>
      <c r="K1733" s="11">
        <f>data!J1733</f>
        <v>0</v>
      </c>
      <c r="L1733" s="11">
        <f t="shared" si="109"/>
        <v>42</v>
      </c>
      <c r="M1733" s="9" t="str">
        <f t="shared" si="110"/>
        <v/>
      </c>
      <c r="N1733" s="9" t="str">
        <f t="shared" si="111"/>
        <v/>
      </c>
    </row>
    <row r="1734" spans="1:14" x14ac:dyDescent="0.25">
      <c r="A1734" t="str">
        <f>TEXT("1/"&amp;data!A1734,"mmmm")</f>
        <v>juin</v>
      </c>
      <c r="B1734">
        <f>data!B1734</f>
        <v>2016</v>
      </c>
      <c r="C1734" t="str">
        <f>data!C1734</f>
        <v>201</v>
      </c>
      <c r="D1734" t="str">
        <f>data!D1734</f>
        <v>CAVE LES COTEAUX DU RHONE</v>
      </c>
      <c r="E1734" t="str">
        <f>data!E1734</f>
        <v>201016</v>
      </c>
      <c r="F1734" t="str">
        <f>data!F1734</f>
        <v>AC COTES DU RHONE MAGIE D'UNE TERRE</v>
      </c>
      <c r="G1734" s="10">
        <f>data!G1734</f>
        <v>227.04</v>
      </c>
      <c r="H1734" s="10">
        <f>data!I1734</f>
        <v>61.92</v>
      </c>
      <c r="I1734" s="10">
        <f t="shared" si="108"/>
        <v>165.12</v>
      </c>
      <c r="J1734" s="11">
        <f>data!H1734</f>
        <v>66</v>
      </c>
      <c r="K1734" s="11">
        <f>data!J1734</f>
        <v>18</v>
      </c>
      <c r="L1734" s="11">
        <f t="shared" si="109"/>
        <v>48</v>
      </c>
      <c r="M1734" s="9">
        <f t="shared" si="110"/>
        <v>2.6666666666666665</v>
      </c>
      <c r="N1734" s="9">
        <f t="shared" si="111"/>
        <v>2.6666666666666665</v>
      </c>
    </row>
    <row r="1735" spans="1:14" x14ac:dyDescent="0.25">
      <c r="A1735" t="str">
        <f>TEXT("1/"&amp;data!A1735,"mmmm")</f>
        <v>juin</v>
      </c>
      <c r="B1735">
        <f>data!B1735</f>
        <v>2016</v>
      </c>
      <c r="C1735" t="str">
        <f>data!C1735</f>
        <v>201</v>
      </c>
      <c r="D1735" t="str">
        <f>data!D1735</f>
        <v>CAVE LES COTEAUX DU RHONE</v>
      </c>
      <c r="E1735" t="str">
        <f>data!E1735</f>
        <v>201017</v>
      </c>
      <c r="F1735" t="str">
        <f>data!F1735</f>
        <v>IGP VAUCLUSE D'ORANGE CHASAN VERMENTINO</v>
      </c>
      <c r="G1735" s="10">
        <f>data!G1735</f>
        <v>49.5</v>
      </c>
      <c r="H1735" s="10">
        <f>data!I1735</f>
        <v>0</v>
      </c>
      <c r="I1735" s="10">
        <f t="shared" si="108"/>
        <v>49.5</v>
      </c>
      <c r="J1735" s="11">
        <f>data!H1735</f>
        <v>46.69</v>
      </c>
      <c r="K1735" s="11">
        <f>data!J1735</f>
        <v>0</v>
      </c>
      <c r="L1735" s="11">
        <f t="shared" si="109"/>
        <v>46.69</v>
      </c>
      <c r="M1735" s="9" t="str">
        <f t="shared" si="110"/>
        <v/>
      </c>
      <c r="N1735" s="9" t="str">
        <f t="shared" si="111"/>
        <v/>
      </c>
    </row>
    <row r="1736" spans="1:14" x14ac:dyDescent="0.25">
      <c r="A1736" t="str">
        <f>TEXT("1/"&amp;data!A1736,"mmmm")</f>
        <v>juin</v>
      </c>
      <c r="B1736">
        <f>data!B1736</f>
        <v>2016</v>
      </c>
      <c r="C1736" t="str">
        <f>data!C1736</f>
        <v>201</v>
      </c>
      <c r="D1736" t="str">
        <f>data!D1736</f>
        <v>CAVE LES COTEAUX DU RHONE</v>
      </c>
      <c r="E1736" t="str">
        <f>data!E1736</f>
        <v>201018</v>
      </c>
      <c r="F1736" t="str">
        <f>data!F1736</f>
        <v>IGP VAUCLUSE D'ORANGE VIOGNIER</v>
      </c>
      <c r="G1736" s="10">
        <f>data!G1736</f>
        <v>150</v>
      </c>
      <c r="H1736" s="10">
        <f>data!I1736</f>
        <v>0</v>
      </c>
      <c r="I1736" s="10">
        <f t="shared" si="108"/>
        <v>150</v>
      </c>
      <c r="J1736" s="11">
        <f>data!H1736</f>
        <v>108</v>
      </c>
      <c r="K1736" s="11">
        <f>data!J1736</f>
        <v>0</v>
      </c>
      <c r="L1736" s="11">
        <f t="shared" si="109"/>
        <v>108</v>
      </c>
      <c r="M1736" s="9" t="str">
        <f t="shared" si="110"/>
        <v/>
      </c>
      <c r="N1736" s="9" t="str">
        <f t="shared" si="111"/>
        <v/>
      </c>
    </row>
    <row r="1737" spans="1:14" x14ac:dyDescent="0.25">
      <c r="A1737" t="str">
        <f>TEXT("1/"&amp;data!A1737,"mmmm")</f>
        <v>juin</v>
      </c>
      <c r="B1737">
        <f>data!B1737</f>
        <v>2016</v>
      </c>
      <c r="C1737" t="str">
        <f>data!C1737</f>
        <v>201</v>
      </c>
      <c r="D1737" t="str">
        <f>data!D1737</f>
        <v>CAVE LES COTEAUX DU RHONE</v>
      </c>
      <c r="E1737" t="str">
        <f>data!E1737</f>
        <v>201022</v>
      </c>
      <c r="F1737" t="str">
        <f>data!F1737</f>
        <v>IGP PRINCIPAUTE D'ORANGE</v>
      </c>
      <c r="G1737" s="10">
        <f>data!G1737</f>
        <v>116.15</v>
      </c>
      <c r="H1737" s="10">
        <f>data!I1737</f>
        <v>0</v>
      </c>
      <c r="I1737" s="10">
        <f t="shared" si="108"/>
        <v>116.15</v>
      </c>
      <c r="J1737" s="11">
        <f>data!H1737</f>
        <v>92</v>
      </c>
      <c r="K1737" s="11">
        <f>data!J1737</f>
        <v>0</v>
      </c>
      <c r="L1737" s="11">
        <f t="shared" si="109"/>
        <v>92</v>
      </c>
      <c r="M1737" s="9" t="str">
        <f t="shared" si="110"/>
        <v/>
      </c>
      <c r="N1737" s="9" t="str">
        <f t="shared" si="111"/>
        <v/>
      </c>
    </row>
    <row r="1738" spans="1:14" x14ac:dyDescent="0.25">
      <c r="A1738" t="str">
        <f>TEXT("1/"&amp;data!A1738,"mmmm")</f>
        <v>juin</v>
      </c>
      <c r="B1738">
        <f>data!B1738</f>
        <v>2016</v>
      </c>
      <c r="C1738" t="str">
        <f>data!C1738</f>
        <v>201</v>
      </c>
      <c r="D1738" t="str">
        <f>data!D1738</f>
        <v>CAVE LES COTEAUX DU RHONE</v>
      </c>
      <c r="E1738" t="str">
        <f>data!E1738</f>
        <v>201023</v>
      </c>
      <c r="F1738" t="str">
        <f>data!F1738</f>
        <v>AC COTES DU RHONE</v>
      </c>
      <c r="G1738" s="10">
        <f>data!G1738</f>
        <v>26.4</v>
      </c>
      <c r="H1738" s="10">
        <f>data!I1738</f>
        <v>0</v>
      </c>
      <c r="I1738" s="10">
        <f t="shared" si="108"/>
        <v>26.4</v>
      </c>
      <c r="J1738" s="11">
        <f>data!H1738</f>
        <v>16</v>
      </c>
      <c r="K1738" s="11">
        <f>data!J1738</f>
        <v>0</v>
      </c>
      <c r="L1738" s="11">
        <f t="shared" si="109"/>
        <v>16</v>
      </c>
      <c r="M1738" s="9" t="str">
        <f t="shared" si="110"/>
        <v/>
      </c>
      <c r="N1738" s="9" t="str">
        <f t="shared" si="111"/>
        <v/>
      </c>
    </row>
    <row r="1739" spans="1:14" x14ac:dyDescent="0.25">
      <c r="A1739" t="str">
        <f>TEXT("1/"&amp;data!A1739,"mmmm")</f>
        <v>juin</v>
      </c>
      <c r="B1739">
        <f>data!B1739</f>
        <v>2016</v>
      </c>
      <c r="C1739" t="str">
        <f>data!C1739</f>
        <v>201</v>
      </c>
      <c r="D1739" t="str">
        <f>data!D1739</f>
        <v>CAVE LES COTEAUX DU RHONE</v>
      </c>
      <c r="E1739" t="str">
        <f>data!E1739</f>
        <v>201026</v>
      </c>
      <c r="F1739" t="str">
        <f>data!F1739</f>
        <v>IGP VAUCLUSE BALLADE DE COLLINE</v>
      </c>
      <c r="G1739" s="10">
        <f>data!G1739</f>
        <v>403.2</v>
      </c>
      <c r="H1739" s="10">
        <f>data!I1739</f>
        <v>319.2</v>
      </c>
      <c r="I1739" s="10">
        <f t="shared" si="108"/>
        <v>84</v>
      </c>
      <c r="J1739" s="11">
        <f>data!H1739</f>
        <v>210</v>
      </c>
      <c r="K1739" s="11">
        <f>data!J1739</f>
        <v>186</v>
      </c>
      <c r="L1739" s="11">
        <f t="shared" si="109"/>
        <v>24</v>
      </c>
      <c r="M1739" s="9">
        <f t="shared" si="110"/>
        <v>0.26315789473684209</v>
      </c>
      <c r="N1739" s="9">
        <f t="shared" si="111"/>
        <v>0.12903225806451613</v>
      </c>
    </row>
    <row r="1740" spans="1:14" x14ac:dyDescent="0.25">
      <c r="A1740" t="str">
        <f>TEXT("1/"&amp;data!A1740,"mmmm")</f>
        <v>juin</v>
      </c>
      <c r="B1740">
        <f>data!B1740</f>
        <v>2016</v>
      </c>
      <c r="C1740" t="str">
        <f>data!C1740</f>
        <v>201</v>
      </c>
      <c r="D1740" t="str">
        <f>data!D1740</f>
        <v>CAVE LES COTEAUX DU RHONE</v>
      </c>
      <c r="E1740" t="str">
        <f>data!E1740</f>
        <v>201027</v>
      </c>
      <c r="F1740" t="str">
        <f>data!F1740</f>
        <v>IGP VAUCLUSE BALLADE DE COLLINE</v>
      </c>
      <c r="G1740" s="10">
        <f>data!G1740</f>
        <v>867.84</v>
      </c>
      <c r="H1740" s="10">
        <f>data!I1740</f>
        <v>980.4</v>
      </c>
      <c r="I1740" s="10">
        <f t="shared" si="108"/>
        <v>-112.55999999999995</v>
      </c>
      <c r="J1740" s="11">
        <f>data!H1740</f>
        <v>468</v>
      </c>
      <c r="K1740" s="11">
        <f>data!J1740</f>
        <v>540</v>
      </c>
      <c r="L1740" s="11">
        <f t="shared" si="109"/>
        <v>-72</v>
      </c>
      <c r="M1740" s="9">
        <f t="shared" si="110"/>
        <v>-0.1148102815177478</v>
      </c>
      <c r="N1740" s="9">
        <f t="shared" si="111"/>
        <v>-0.13333333333333333</v>
      </c>
    </row>
    <row r="1741" spans="1:14" x14ac:dyDescent="0.25">
      <c r="A1741" t="str">
        <f>TEXT("1/"&amp;data!A1741,"mmmm")</f>
        <v>juin</v>
      </c>
      <c r="B1741">
        <f>data!B1741</f>
        <v>2016</v>
      </c>
      <c r="C1741" t="str">
        <f>data!C1741</f>
        <v>201</v>
      </c>
      <c r="D1741" t="str">
        <f>data!D1741</f>
        <v>CAVE LES COTEAUX DU RHONE</v>
      </c>
      <c r="E1741" t="str">
        <f>data!E1741</f>
        <v>201028</v>
      </c>
      <c r="F1741" t="str">
        <f>data!F1741</f>
        <v>IGP VIOGNIER  BALLADE DE COLLINE</v>
      </c>
      <c r="G1741" s="10">
        <f>data!G1741</f>
        <v>0</v>
      </c>
      <c r="H1741" s="10">
        <f>data!I1741</f>
        <v>0</v>
      </c>
      <c r="I1741" s="10">
        <f t="shared" si="108"/>
        <v>0</v>
      </c>
      <c r="J1741" s="11">
        <f>data!H1741</f>
        <v>-6</v>
      </c>
      <c r="K1741" s="11">
        <f>data!J1741</f>
        <v>0</v>
      </c>
      <c r="L1741" s="11">
        <f t="shared" si="109"/>
        <v>-6</v>
      </c>
      <c r="M1741" s="9" t="str">
        <f t="shared" si="110"/>
        <v/>
      </c>
      <c r="N1741" s="9" t="str">
        <f t="shared" si="111"/>
        <v/>
      </c>
    </row>
    <row r="1742" spans="1:14" x14ac:dyDescent="0.25">
      <c r="A1742" t="str">
        <f>TEXT("1/"&amp;data!A1742,"mmmm")</f>
        <v>juin</v>
      </c>
      <c r="B1742">
        <f>data!B1742</f>
        <v>2016</v>
      </c>
      <c r="C1742" t="str">
        <f>data!C1742</f>
        <v>201</v>
      </c>
      <c r="D1742" t="str">
        <f>data!D1742</f>
        <v>CAVE LES COTEAUX DU RHONE</v>
      </c>
      <c r="E1742" t="str">
        <f>data!E1742</f>
        <v>201031</v>
      </c>
      <c r="F1742" t="str">
        <f>data!F1742</f>
        <v>IGP MEDITERRANNEE ROSE</v>
      </c>
      <c r="G1742" s="10">
        <f>data!G1742</f>
        <v>92.16</v>
      </c>
      <c r="H1742" s="10">
        <f>data!I1742</f>
        <v>0</v>
      </c>
      <c r="I1742" s="10">
        <f t="shared" si="108"/>
        <v>92.16</v>
      </c>
      <c r="J1742" s="11">
        <f>data!H1742</f>
        <v>66</v>
      </c>
      <c r="K1742" s="11">
        <f>data!J1742</f>
        <v>0</v>
      </c>
      <c r="L1742" s="11">
        <f t="shared" si="109"/>
        <v>66</v>
      </c>
      <c r="M1742" s="9" t="str">
        <f t="shared" si="110"/>
        <v/>
      </c>
      <c r="N1742" s="9" t="str">
        <f t="shared" si="111"/>
        <v/>
      </c>
    </row>
    <row r="1743" spans="1:14" x14ac:dyDescent="0.25">
      <c r="A1743" t="str">
        <f>TEXT("1/"&amp;data!A1743,"mmmm")</f>
        <v>juin</v>
      </c>
      <c r="B1743">
        <f>data!B1743</f>
        <v>2016</v>
      </c>
      <c r="C1743" t="str">
        <f>data!C1743</f>
        <v>202</v>
      </c>
      <c r="D1743" t="str">
        <f>data!D1743</f>
        <v>TERRES D'ALLIANCE</v>
      </c>
      <c r="E1743" t="str">
        <f>data!E1743</f>
        <v>202001</v>
      </c>
      <c r="F1743" t="str">
        <f>data!F1743</f>
        <v>IGP VAUCLUSE LEA</v>
      </c>
      <c r="G1743" s="10">
        <f>data!G1743</f>
        <v>62.1</v>
      </c>
      <c r="H1743" s="10">
        <f>data!I1743</f>
        <v>146.88</v>
      </c>
      <c r="I1743" s="10">
        <f t="shared" si="108"/>
        <v>-84.78</v>
      </c>
      <c r="J1743" s="11">
        <f>data!H1743</f>
        <v>30</v>
      </c>
      <c r="K1743" s="11">
        <f>data!J1743</f>
        <v>72</v>
      </c>
      <c r="L1743" s="11">
        <f t="shared" si="109"/>
        <v>-42</v>
      </c>
      <c r="M1743" s="9">
        <f t="shared" si="110"/>
        <v>-0.57720588235294124</v>
      </c>
      <c r="N1743" s="9">
        <f t="shared" si="111"/>
        <v>-0.58333333333333337</v>
      </c>
    </row>
    <row r="1744" spans="1:14" x14ac:dyDescent="0.25">
      <c r="A1744" t="str">
        <f>TEXT("1/"&amp;data!A1744,"mmmm")</f>
        <v>juin</v>
      </c>
      <c r="B1744">
        <f>data!B1744</f>
        <v>2016</v>
      </c>
      <c r="C1744" t="str">
        <f>data!C1744</f>
        <v>202</v>
      </c>
      <c r="D1744" t="str">
        <f>data!D1744</f>
        <v>TERRES D'ALLIANCE</v>
      </c>
      <c r="E1744" t="str">
        <f>data!E1744</f>
        <v>202002</v>
      </c>
      <c r="F1744" t="str">
        <f>data!F1744</f>
        <v>IGP VAUCLUSE LEA</v>
      </c>
      <c r="G1744" s="10">
        <f>data!G1744</f>
        <v>706.38</v>
      </c>
      <c r="H1744" s="10">
        <f>data!I1744</f>
        <v>771.12</v>
      </c>
      <c r="I1744" s="10">
        <f t="shared" si="108"/>
        <v>-64.740000000000009</v>
      </c>
      <c r="J1744" s="11">
        <f>data!H1744</f>
        <v>354</v>
      </c>
      <c r="K1744" s="11">
        <f>data!J1744</f>
        <v>378</v>
      </c>
      <c r="L1744" s="11">
        <f t="shared" si="109"/>
        <v>-24</v>
      </c>
      <c r="M1744" s="9">
        <f t="shared" si="110"/>
        <v>-8.395580454403985E-2</v>
      </c>
      <c r="N1744" s="9">
        <f t="shared" si="111"/>
        <v>-6.3492063492063489E-2</v>
      </c>
    </row>
    <row r="1745" spans="1:14" x14ac:dyDescent="0.25">
      <c r="A1745" t="str">
        <f>TEXT("1/"&amp;data!A1745,"mmmm")</f>
        <v>juin</v>
      </c>
      <c r="B1745">
        <f>data!B1745</f>
        <v>2016</v>
      </c>
      <c r="C1745" t="str">
        <f>data!C1745</f>
        <v>202</v>
      </c>
      <c r="D1745" t="str">
        <f>data!D1745</f>
        <v>TERRES D'ALLIANCE</v>
      </c>
      <c r="E1745" t="str">
        <f>data!E1745</f>
        <v>202003</v>
      </c>
      <c r="F1745" t="str">
        <f>data!F1745</f>
        <v>IGP VAUCLUSE LEA</v>
      </c>
      <c r="G1745" s="10">
        <f>data!G1745</f>
        <v>86.94</v>
      </c>
      <c r="H1745" s="10">
        <f>data!I1745</f>
        <v>134.63999999999999</v>
      </c>
      <c r="I1745" s="10">
        <f t="shared" si="108"/>
        <v>-47.699999999999989</v>
      </c>
      <c r="J1745" s="11">
        <f>data!H1745</f>
        <v>48</v>
      </c>
      <c r="K1745" s="11">
        <f>data!J1745</f>
        <v>66</v>
      </c>
      <c r="L1745" s="11">
        <f t="shared" si="109"/>
        <v>-18</v>
      </c>
      <c r="M1745" s="9">
        <f t="shared" si="110"/>
        <v>-0.35427807486631013</v>
      </c>
      <c r="N1745" s="9">
        <f t="shared" si="111"/>
        <v>-0.27272727272727271</v>
      </c>
    </row>
    <row r="1746" spans="1:14" x14ac:dyDescent="0.25">
      <c r="A1746" t="str">
        <f>TEXT("1/"&amp;data!A1746,"mmmm")</f>
        <v>juin</v>
      </c>
      <c r="B1746">
        <f>data!B1746</f>
        <v>2016</v>
      </c>
      <c r="C1746" t="str">
        <f>data!C1746</f>
        <v>202</v>
      </c>
      <c r="D1746" t="str">
        <f>data!D1746</f>
        <v>TERRES D'ALLIANCE</v>
      </c>
      <c r="E1746" t="str">
        <f>data!E1746</f>
        <v>202004</v>
      </c>
      <c r="F1746" t="str">
        <f>data!F1746</f>
        <v>AOP LUBERON FIEF</v>
      </c>
      <c r="G1746" s="10">
        <f>data!G1746</f>
        <v>0</v>
      </c>
      <c r="H1746" s="10">
        <f>data!I1746</f>
        <v>0</v>
      </c>
      <c r="I1746" s="10">
        <f t="shared" si="108"/>
        <v>0</v>
      </c>
      <c r="J1746" s="11">
        <f>data!H1746</f>
        <v>6</v>
      </c>
      <c r="K1746" s="11">
        <f>data!J1746</f>
        <v>0</v>
      </c>
      <c r="L1746" s="11">
        <f t="shared" si="109"/>
        <v>6</v>
      </c>
      <c r="M1746" s="9" t="str">
        <f t="shared" si="110"/>
        <v/>
      </c>
      <c r="N1746" s="9" t="str">
        <f t="shared" si="111"/>
        <v/>
      </c>
    </row>
    <row r="1747" spans="1:14" x14ac:dyDescent="0.25">
      <c r="A1747" t="str">
        <f>TEXT("1/"&amp;data!A1747,"mmmm")</f>
        <v>juin</v>
      </c>
      <c r="B1747">
        <f>data!B1747</f>
        <v>2016</v>
      </c>
      <c r="C1747" t="str">
        <f>data!C1747</f>
        <v>202</v>
      </c>
      <c r="D1747" t="str">
        <f>data!D1747</f>
        <v>TERRES D'ALLIANCE</v>
      </c>
      <c r="E1747" t="str">
        <f>data!E1747</f>
        <v>202007</v>
      </c>
      <c r="F1747" t="str">
        <f>data!F1747</f>
        <v>VDF ROSE FRUITE MUSCAT DE HAMBOURG</v>
      </c>
      <c r="G1747" s="10">
        <f>data!G1747</f>
        <v>0</v>
      </c>
      <c r="H1747" s="10">
        <f>data!I1747</f>
        <v>117.72</v>
      </c>
      <c r="I1747" s="10">
        <f t="shared" si="108"/>
        <v>-117.72</v>
      </c>
      <c r="J1747" s="11">
        <f>data!H1747</f>
        <v>78</v>
      </c>
      <c r="K1747" s="11">
        <f>data!J1747</f>
        <v>60</v>
      </c>
      <c r="L1747" s="11">
        <f t="shared" si="109"/>
        <v>18</v>
      </c>
      <c r="M1747" s="9">
        <f t="shared" si="110"/>
        <v>-1</v>
      </c>
      <c r="N1747" s="9">
        <f t="shared" si="111"/>
        <v>0.3</v>
      </c>
    </row>
    <row r="1748" spans="1:14" x14ac:dyDescent="0.25">
      <c r="A1748" t="str">
        <f>TEXT("1/"&amp;data!A1748,"mmmm")</f>
        <v>juin</v>
      </c>
      <c r="B1748">
        <f>data!B1748</f>
        <v>2016</v>
      </c>
      <c r="C1748" t="str">
        <f>data!C1748</f>
        <v>202</v>
      </c>
      <c r="D1748" t="str">
        <f>data!D1748</f>
        <v>TERRES D'ALLIANCE</v>
      </c>
      <c r="E1748" t="str">
        <f>data!E1748</f>
        <v>202008</v>
      </c>
      <c r="F1748" t="str">
        <f>data!F1748</f>
        <v>MUSCAT - PETITS GRAINS - LOUERION</v>
      </c>
      <c r="G1748" s="10">
        <f>data!G1748</f>
        <v>0</v>
      </c>
      <c r="H1748" s="10">
        <f>data!I1748</f>
        <v>0</v>
      </c>
      <c r="I1748" s="10">
        <f t="shared" si="108"/>
        <v>0</v>
      </c>
      <c r="J1748" s="11">
        <f>data!H1748</f>
        <v>246</v>
      </c>
      <c r="K1748" s="11">
        <f>data!J1748</f>
        <v>6</v>
      </c>
      <c r="L1748" s="11">
        <f t="shared" si="109"/>
        <v>240</v>
      </c>
      <c r="M1748" s="9" t="str">
        <f t="shared" si="110"/>
        <v/>
      </c>
      <c r="N1748" s="9">
        <f t="shared" si="111"/>
        <v>40</v>
      </c>
    </row>
    <row r="1749" spans="1:14" x14ac:dyDescent="0.25">
      <c r="A1749" t="str">
        <f>TEXT("1/"&amp;data!A1749,"mmmm")</f>
        <v>juin</v>
      </c>
      <c r="B1749">
        <f>data!B1749</f>
        <v>2016</v>
      </c>
      <c r="C1749" t="str">
        <f>data!C1749</f>
        <v>202</v>
      </c>
      <c r="D1749" t="str">
        <f>data!D1749</f>
        <v>TERRES D'ALLIANCE</v>
      </c>
      <c r="E1749" t="str">
        <f>data!E1749</f>
        <v>202010</v>
      </c>
      <c r="F1749" t="str">
        <f>data!F1749</f>
        <v>VIN DE FRANCE ROSE FRUITE LOUERION</v>
      </c>
      <c r="G1749" s="10">
        <f>data!G1749</f>
        <v>133.5</v>
      </c>
      <c r="H1749" s="10">
        <f>data!I1749</f>
        <v>293.7</v>
      </c>
      <c r="I1749" s="10">
        <f t="shared" si="108"/>
        <v>-160.19999999999999</v>
      </c>
      <c r="J1749" s="11">
        <f>data!H1749</f>
        <v>106.72</v>
      </c>
      <c r="K1749" s="11">
        <f>data!J1749</f>
        <v>240.12</v>
      </c>
      <c r="L1749" s="11">
        <f t="shared" si="109"/>
        <v>-133.4</v>
      </c>
      <c r="M1749" s="9">
        <f t="shared" si="110"/>
        <v>-0.54545454545454541</v>
      </c>
      <c r="N1749" s="9">
        <f t="shared" si="111"/>
        <v>-0.55555555555555558</v>
      </c>
    </row>
    <row r="1750" spans="1:14" x14ac:dyDescent="0.25">
      <c r="A1750" t="str">
        <f>TEXT("1/"&amp;data!A1750,"mmmm")</f>
        <v>juin</v>
      </c>
      <c r="B1750">
        <f>data!B1750</f>
        <v>2016</v>
      </c>
      <c r="C1750" t="str">
        <f>data!C1750</f>
        <v>202</v>
      </c>
      <c r="D1750" t="str">
        <f>data!D1750</f>
        <v>TERRES D'ALLIANCE</v>
      </c>
      <c r="E1750" t="str">
        <f>data!E1750</f>
        <v>202012</v>
      </c>
      <c r="F1750" t="str">
        <f>data!F1750</f>
        <v>AOP LUBERON - TERRARMONIE - LOUERION</v>
      </c>
      <c r="G1750" s="10">
        <f>data!G1750</f>
        <v>0</v>
      </c>
      <c r="H1750" s="10">
        <f>data!I1750</f>
        <v>0</v>
      </c>
      <c r="I1750" s="10">
        <f t="shared" si="108"/>
        <v>0</v>
      </c>
      <c r="J1750" s="11">
        <f>data!H1750</f>
        <v>36</v>
      </c>
      <c r="K1750" s="11">
        <f>data!J1750</f>
        <v>0</v>
      </c>
      <c r="L1750" s="11">
        <f t="shared" si="109"/>
        <v>36</v>
      </c>
      <c r="M1750" s="9" t="str">
        <f t="shared" si="110"/>
        <v/>
      </c>
      <c r="N1750" s="9" t="str">
        <f t="shared" si="111"/>
        <v/>
      </c>
    </row>
    <row r="1751" spans="1:14" x14ac:dyDescent="0.25">
      <c r="A1751" t="str">
        <f>TEXT("1/"&amp;data!A1751,"mmmm")</f>
        <v>juin</v>
      </c>
      <c r="B1751">
        <f>data!B1751</f>
        <v>2016</v>
      </c>
      <c r="C1751" t="str">
        <f>data!C1751</f>
        <v>202</v>
      </c>
      <c r="D1751" t="str">
        <f>data!D1751</f>
        <v>TERRES D'ALLIANCE</v>
      </c>
      <c r="E1751" t="str">
        <f>data!E1751</f>
        <v>202013</v>
      </c>
      <c r="F1751" t="str">
        <f>data!F1751</f>
        <v>AOP LUBERON - TERRARMONIE - LOUERION</v>
      </c>
      <c r="G1751" s="10">
        <f>data!G1751</f>
        <v>0</v>
      </c>
      <c r="H1751" s="10">
        <f>data!I1751</f>
        <v>0</v>
      </c>
      <c r="I1751" s="10">
        <f t="shared" si="108"/>
        <v>0</v>
      </c>
      <c r="J1751" s="11">
        <f>data!H1751</f>
        <v>48</v>
      </c>
      <c r="K1751" s="11">
        <f>data!J1751</f>
        <v>0</v>
      </c>
      <c r="L1751" s="11">
        <f t="shared" si="109"/>
        <v>48</v>
      </c>
      <c r="M1751" s="9" t="str">
        <f t="shared" si="110"/>
        <v/>
      </c>
      <c r="N1751" s="9" t="str">
        <f t="shared" si="111"/>
        <v/>
      </c>
    </row>
    <row r="1752" spans="1:14" x14ac:dyDescent="0.25">
      <c r="A1752" t="str">
        <f>TEXT("1/"&amp;data!A1752,"mmmm")</f>
        <v>juin</v>
      </c>
      <c r="B1752">
        <f>data!B1752</f>
        <v>2016</v>
      </c>
      <c r="C1752" t="str">
        <f>data!C1752</f>
        <v>202</v>
      </c>
      <c r="D1752" t="str">
        <f>data!D1752</f>
        <v>TERRES D'ALLIANCE</v>
      </c>
      <c r="E1752" t="str">
        <f>data!E1752</f>
        <v>202015</v>
      </c>
      <c r="F1752" t="str">
        <f>data!F1752</f>
        <v>AOP LUBERON LOUERION</v>
      </c>
      <c r="G1752" s="10">
        <f>data!G1752</f>
        <v>0</v>
      </c>
      <c r="H1752" s="10">
        <f>data!I1752</f>
        <v>108.9</v>
      </c>
      <c r="I1752" s="10">
        <f t="shared" si="108"/>
        <v>-108.9</v>
      </c>
      <c r="J1752" s="11">
        <f>data!H1752</f>
        <v>6.67</v>
      </c>
      <c r="K1752" s="11">
        <f>data!J1752</f>
        <v>86.71</v>
      </c>
      <c r="L1752" s="11">
        <f t="shared" si="109"/>
        <v>-80.039999999999992</v>
      </c>
      <c r="M1752" s="9">
        <f t="shared" si="110"/>
        <v>-1</v>
      </c>
      <c r="N1752" s="9">
        <f t="shared" si="111"/>
        <v>-0.92307692307692302</v>
      </c>
    </row>
    <row r="1753" spans="1:14" x14ac:dyDescent="0.25">
      <c r="A1753" t="str">
        <f>TEXT("1/"&amp;data!A1753,"mmmm")</f>
        <v>juin</v>
      </c>
      <c r="B1753">
        <f>data!B1753</f>
        <v>2016</v>
      </c>
      <c r="C1753" t="str">
        <f>data!C1753</f>
        <v>205</v>
      </c>
      <c r="D1753" t="str">
        <f>data!D1753</f>
        <v>DOMAINE DE MISELLE</v>
      </c>
      <c r="E1753" t="str">
        <f>data!E1753</f>
        <v>205001</v>
      </c>
      <c r="F1753" t="str">
        <f>data!F1753</f>
        <v>IGP COTES DE GASCOGNE SEC COLOMBARD G-MANSENG MISE</v>
      </c>
      <c r="G1753" s="10">
        <f>data!G1753</f>
        <v>445.5</v>
      </c>
      <c r="H1753" s="10">
        <f>data!I1753</f>
        <v>-184.8</v>
      </c>
      <c r="I1753" s="10">
        <f t="shared" si="108"/>
        <v>630.29999999999995</v>
      </c>
      <c r="J1753" s="11">
        <f>data!H1753</f>
        <v>198</v>
      </c>
      <c r="K1753" s="11">
        <f>data!J1753</f>
        <v>-84</v>
      </c>
      <c r="L1753" s="11">
        <f t="shared" si="109"/>
        <v>282</v>
      </c>
      <c r="M1753" s="9">
        <f t="shared" si="110"/>
        <v>-3.4107142857142851</v>
      </c>
      <c r="N1753" s="9">
        <f t="shared" si="111"/>
        <v>-3.3571428571428572</v>
      </c>
    </row>
    <row r="1754" spans="1:14" x14ac:dyDescent="0.25">
      <c r="A1754" t="str">
        <f>TEXT("1/"&amp;data!A1754,"mmmm")</f>
        <v>juin</v>
      </c>
      <c r="B1754">
        <f>data!B1754</f>
        <v>2016</v>
      </c>
      <c r="C1754" t="str">
        <f>data!C1754</f>
        <v>205</v>
      </c>
      <c r="D1754" t="str">
        <f>data!D1754</f>
        <v>DOMAINE DE MISELLE</v>
      </c>
      <c r="E1754" t="str">
        <f>data!E1754</f>
        <v>205002</v>
      </c>
      <c r="F1754" t="str">
        <f>data!F1754</f>
        <v>IGP COTES DE GASCOGNE</v>
      </c>
      <c r="G1754" s="10">
        <f>data!G1754</f>
        <v>43.2</v>
      </c>
      <c r="H1754" s="10">
        <f>data!I1754</f>
        <v>28.2</v>
      </c>
      <c r="I1754" s="10">
        <f t="shared" si="108"/>
        <v>15.000000000000004</v>
      </c>
      <c r="J1754" s="11">
        <f>data!H1754</f>
        <v>18</v>
      </c>
      <c r="K1754" s="11">
        <f>data!J1754</f>
        <v>12</v>
      </c>
      <c r="L1754" s="11">
        <f t="shared" si="109"/>
        <v>6</v>
      </c>
      <c r="M1754" s="9">
        <f t="shared" si="110"/>
        <v>0.53191489361702138</v>
      </c>
      <c r="N1754" s="9">
        <f t="shared" si="111"/>
        <v>0.5</v>
      </c>
    </row>
    <row r="1755" spans="1:14" x14ac:dyDescent="0.25">
      <c r="A1755" t="str">
        <f>TEXT("1/"&amp;data!A1755,"mmmm")</f>
        <v>juin</v>
      </c>
      <c r="B1755">
        <f>data!B1755</f>
        <v>2016</v>
      </c>
      <c r="C1755" t="str">
        <f>data!C1755</f>
        <v>205</v>
      </c>
      <c r="D1755" t="str">
        <f>data!D1755</f>
        <v>DOMAINE DE MISELLE</v>
      </c>
      <c r="E1755" t="str">
        <f>data!E1755</f>
        <v>205003</v>
      </c>
      <c r="F1755" t="str">
        <f>data!F1755</f>
        <v>IGP COTES DE GASCOGNE PETIT MANSENG</v>
      </c>
      <c r="G1755" s="10">
        <f>data!G1755</f>
        <v>133.19999999999999</v>
      </c>
      <c r="H1755" s="10">
        <f>data!I1755</f>
        <v>21.9</v>
      </c>
      <c r="I1755" s="10">
        <f t="shared" si="108"/>
        <v>111.29999999999998</v>
      </c>
      <c r="J1755" s="11">
        <f>data!H1755</f>
        <v>36</v>
      </c>
      <c r="K1755" s="11">
        <f>data!J1755</f>
        <v>6</v>
      </c>
      <c r="L1755" s="11">
        <f t="shared" si="109"/>
        <v>30</v>
      </c>
      <c r="M1755" s="9">
        <f t="shared" si="110"/>
        <v>5.0821917808219172</v>
      </c>
      <c r="N1755" s="9">
        <f t="shared" si="111"/>
        <v>5</v>
      </c>
    </row>
    <row r="1756" spans="1:14" x14ac:dyDescent="0.25">
      <c r="A1756" t="str">
        <f>TEXT("1/"&amp;data!A1756,"mmmm")</f>
        <v>juin</v>
      </c>
      <c r="B1756">
        <f>data!B1756</f>
        <v>2016</v>
      </c>
      <c r="C1756" t="str">
        <f>data!C1756</f>
        <v>226</v>
      </c>
      <c r="D1756" t="str">
        <f>data!D1756</f>
        <v>SIEUR D'ARQUES</v>
      </c>
      <c r="E1756" t="str">
        <f>data!E1756</f>
        <v>226003</v>
      </c>
      <c r="F1756" t="str">
        <f>data!F1756</f>
        <v>AOP CREMANT DE LIMOUX PREMIERE BULLE PREMIUM</v>
      </c>
      <c r="G1756" s="10">
        <f>data!G1756</f>
        <v>67.56</v>
      </c>
      <c r="H1756" s="10">
        <f>data!I1756</f>
        <v>0</v>
      </c>
      <c r="I1756" s="10">
        <f t="shared" si="108"/>
        <v>67.56</v>
      </c>
      <c r="J1756" s="11">
        <f>data!H1756</f>
        <v>12</v>
      </c>
      <c r="K1756" s="11">
        <f>data!J1756</f>
        <v>0</v>
      </c>
      <c r="L1756" s="11">
        <f t="shared" si="109"/>
        <v>12</v>
      </c>
      <c r="M1756" s="9" t="str">
        <f t="shared" si="110"/>
        <v/>
      </c>
      <c r="N1756" s="9" t="str">
        <f t="shared" si="111"/>
        <v/>
      </c>
    </row>
    <row r="1757" spans="1:14" x14ac:dyDescent="0.25">
      <c r="A1757" t="str">
        <f>TEXT("1/"&amp;data!A1757,"mmmm")</f>
        <v>juin</v>
      </c>
      <c r="B1757">
        <f>data!B1757</f>
        <v>2016</v>
      </c>
      <c r="C1757" t="str">
        <f>data!C1757</f>
        <v>229</v>
      </c>
      <c r="D1757" t="str">
        <f>data!D1757</f>
        <v>DOMAINE DU BOIS DU JOUR</v>
      </c>
      <c r="E1757" t="str">
        <f>data!E1757</f>
        <v>229005</v>
      </c>
      <c r="F1757" t="str">
        <f>data!F1757</f>
        <v>AOP BEAUJOLAIS DME DU BOIS DU JOUR</v>
      </c>
      <c r="G1757" s="10">
        <f>data!G1757</f>
        <v>135</v>
      </c>
      <c r="H1757" s="10">
        <f>data!I1757</f>
        <v>0</v>
      </c>
      <c r="I1757" s="10">
        <f t="shared" si="108"/>
        <v>135</v>
      </c>
      <c r="J1757" s="11">
        <f>data!H1757</f>
        <v>30</v>
      </c>
      <c r="K1757" s="11">
        <f>data!J1757</f>
        <v>0</v>
      </c>
      <c r="L1757" s="11">
        <f t="shared" si="109"/>
        <v>30</v>
      </c>
      <c r="M1757" s="9" t="str">
        <f t="shared" si="110"/>
        <v/>
      </c>
      <c r="N1757" s="9" t="str">
        <f t="shared" si="111"/>
        <v/>
      </c>
    </row>
    <row r="1758" spans="1:14" x14ac:dyDescent="0.25">
      <c r="A1758" t="str">
        <f>TEXT("1/"&amp;data!A1758,"mmmm")</f>
        <v>juin</v>
      </c>
      <c r="B1758">
        <f>data!B1758</f>
        <v>2016</v>
      </c>
      <c r="C1758" t="str">
        <f>data!C1758</f>
        <v>229</v>
      </c>
      <c r="D1758" t="str">
        <f>data!D1758</f>
        <v>DOMAINE DU BOIS DU JOUR</v>
      </c>
      <c r="E1758" t="str">
        <f>data!E1758</f>
        <v>229006</v>
      </c>
      <c r="F1758" t="str">
        <f>data!F1758</f>
        <v>AOP BOURGOGNE DME DU BOIS DU JOUR</v>
      </c>
      <c r="G1758" s="10">
        <f>data!G1758</f>
        <v>0</v>
      </c>
      <c r="H1758" s="10">
        <f>data!I1758</f>
        <v>0</v>
      </c>
      <c r="I1758" s="10">
        <f t="shared" si="108"/>
        <v>0</v>
      </c>
      <c r="J1758" s="11">
        <f>data!H1758</f>
        <v>6</v>
      </c>
      <c r="K1758" s="11">
        <f>data!J1758</f>
        <v>0</v>
      </c>
      <c r="L1758" s="11">
        <f t="shared" si="109"/>
        <v>6</v>
      </c>
      <c r="M1758" s="9" t="str">
        <f t="shared" si="110"/>
        <v/>
      </c>
      <c r="N1758" s="9" t="str">
        <f t="shared" si="111"/>
        <v/>
      </c>
    </row>
    <row r="1759" spans="1:14" x14ac:dyDescent="0.25">
      <c r="A1759" t="str">
        <f>TEXT("1/"&amp;data!A1759,"mmmm")</f>
        <v>juin</v>
      </c>
      <c r="B1759">
        <f>data!B1759</f>
        <v>2016</v>
      </c>
      <c r="C1759" t="str">
        <f>data!C1759</f>
        <v>229</v>
      </c>
      <c r="D1759" t="str">
        <f>data!D1759</f>
        <v>DOMAINE DU BOIS DU JOUR</v>
      </c>
      <c r="E1759" t="str">
        <f>data!E1759</f>
        <v>229008</v>
      </c>
      <c r="F1759" t="str">
        <f>data!F1759</f>
        <v>AOP COTEAUX BOURGUIGNON DME DU BOIS DU JOUR</v>
      </c>
      <c r="G1759" s="10">
        <f>data!G1759</f>
        <v>296.39999999999998</v>
      </c>
      <c r="H1759" s="10">
        <f>data!I1759</f>
        <v>0</v>
      </c>
      <c r="I1759" s="10">
        <f t="shared" si="108"/>
        <v>296.39999999999998</v>
      </c>
      <c r="J1759" s="11">
        <f>data!H1759</f>
        <v>78</v>
      </c>
      <c r="K1759" s="11">
        <f>data!J1759</f>
        <v>0</v>
      </c>
      <c r="L1759" s="11">
        <f t="shared" si="109"/>
        <v>78</v>
      </c>
      <c r="M1759" s="9" t="str">
        <f t="shared" si="110"/>
        <v/>
      </c>
      <c r="N1759" s="9" t="str">
        <f t="shared" si="111"/>
        <v/>
      </c>
    </row>
    <row r="1760" spans="1:14" x14ac:dyDescent="0.25">
      <c r="A1760" t="str">
        <f>TEXT("1/"&amp;data!A1760,"mmmm")</f>
        <v>juillet</v>
      </c>
      <c r="B1760">
        <f>data!B1760</f>
        <v>2016</v>
      </c>
      <c r="C1760" t="str">
        <f>data!C1760</f>
        <v>002</v>
      </c>
      <c r="D1760" t="str">
        <f>data!D1760</f>
        <v>CAVE DE GALLICIAN</v>
      </c>
      <c r="E1760" t="str">
        <f>data!E1760</f>
        <v>002001</v>
      </c>
      <c r="F1760" t="str">
        <f>data!F1760</f>
        <v>VDP MERLOT C.GALLICIAN</v>
      </c>
      <c r="G1760" s="10">
        <f>data!G1760</f>
        <v>4511.6400000000003</v>
      </c>
      <c r="H1760" s="10">
        <f>data!I1760</f>
        <v>5103</v>
      </c>
      <c r="I1760" s="10">
        <f t="shared" si="108"/>
        <v>-591.35999999999967</v>
      </c>
      <c r="J1760" s="11">
        <f>data!H1760</f>
        <v>3855.2599999999998</v>
      </c>
      <c r="K1760" s="11">
        <f>data!J1760</f>
        <v>4528.93</v>
      </c>
      <c r="L1760" s="11">
        <f t="shared" si="109"/>
        <v>-673.67000000000053</v>
      </c>
      <c r="M1760" s="9">
        <f t="shared" si="110"/>
        <v>-0.11588477366255137</v>
      </c>
      <c r="N1760" s="9">
        <f t="shared" si="111"/>
        <v>-0.14874815905743752</v>
      </c>
    </row>
    <row r="1761" spans="1:14" x14ac:dyDescent="0.25">
      <c r="A1761" t="str">
        <f>TEXT("1/"&amp;data!A1761,"mmmm")</f>
        <v>juillet</v>
      </c>
      <c r="B1761">
        <f>data!B1761</f>
        <v>2016</v>
      </c>
      <c r="C1761" t="str">
        <f>data!C1761</f>
        <v>002</v>
      </c>
      <c r="D1761" t="str">
        <f>data!D1761</f>
        <v>CAVE DE GALLICIAN</v>
      </c>
      <c r="E1761" t="str">
        <f>data!E1761</f>
        <v>002002</v>
      </c>
      <c r="F1761" t="str">
        <f>data!F1761</f>
        <v>VDP MERLOT. C GALLICIAN</v>
      </c>
      <c r="G1761" s="10">
        <f>data!G1761</f>
        <v>13780</v>
      </c>
      <c r="H1761" s="10">
        <f>data!I1761</f>
        <v>17211.75</v>
      </c>
      <c r="I1761" s="10">
        <f t="shared" si="108"/>
        <v>-3431.75</v>
      </c>
      <c r="J1761" s="11">
        <f>data!H1761</f>
        <v>13423.31</v>
      </c>
      <c r="K1761" s="11">
        <f>data!J1761</f>
        <v>17355.66</v>
      </c>
      <c r="L1761" s="11">
        <f t="shared" si="109"/>
        <v>-3932.3500000000004</v>
      </c>
      <c r="M1761" s="9">
        <f t="shared" si="110"/>
        <v>-0.1993841416474211</v>
      </c>
      <c r="N1761" s="9">
        <f t="shared" si="111"/>
        <v>-0.22657450076804919</v>
      </c>
    </row>
    <row r="1762" spans="1:14" x14ac:dyDescent="0.25">
      <c r="A1762" t="str">
        <f>TEXT("1/"&amp;data!A1762,"mmmm")</f>
        <v>juillet</v>
      </c>
      <c r="B1762">
        <f>data!B1762</f>
        <v>2016</v>
      </c>
      <c r="C1762" t="str">
        <f>data!C1762</f>
        <v>002</v>
      </c>
      <c r="D1762" t="str">
        <f>data!D1762</f>
        <v>CAVE DE GALLICIAN</v>
      </c>
      <c r="E1762" t="str">
        <f>data!E1762</f>
        <v>002003</v>
      </c>
      <c r="F1762" t="str">
        <f>data!F1762</f>
        <v>VDP GARD. C GALLICIAN</v>
      </c>
      <c r="G1762" s="10">
        <f>data!G1762</f>
        <v>7911.54</v>
      </c>
      <c r="H1762" s="10">
        <f>data!I1762</f>
        <v>6861.15</v>
      </c>
      <c r="I1762" s="10">
        <f t="shared" si="108"/>
        <v>1050.3900000000003</v>
      </c>
      <c r="J1762" s="11">
        <f>data!H1762</f>
        <v>8491.2100000000009</v>
      </c>
      <c r="K1762" s="11">
        <f>data!J1762</f>
        <v>7771.39</v>
      </c>
      <c r="L1762" s="11">
        <f t="shared" si="109"/>
        <v>719.82000000000062</v>
      </c>
      <c r="M1762" s="9">
        <f t="shared" si="110"/>
        <v>0.15309241162195847</v>
      </c>
      <c r="N1762" s="9">
        <f t="shared" si="111"/>
        <v>9.2624356775300246E-2</v>
      </c>
    </row>
    <row r="1763" spans="1:14" x14ac:dyDescent="0.25">
      <c r="A1763" t="str">
        <f>TEXT("1/"&amp;data!A1763,"mmmm")</f>
        <v>juillet</v>
      </c>
      <c r="B1763">
        <f>data!B1763</f>
        <v>2016</v>
      </c>
      <c r="C1763" t="str">
        <f>data!C1763</f>
        <v>002</v>
      </c>
      <c r="D1763" t="str">
        <f>data!D1763</f>
        <v>CAVE DE GALLICIAN</v>
      </c>
      <c r="E1763" t="str">
        <f>data!E1763</f>
        <v>002004</v>
      </c>
      <c r="F1763" t="str">
        <f>data!F1763</f>
        <v>VDP GARD. C GALLICIAN</v>
      </c>
      <c r="G1763" s="10">
        <f>data!G1763</f>
        <v>2098.5</v>
      </c>
      <c r="H1763" s="10">
        <f>data!I1763</f>
        <v>1981.02</v>
      </c>
      <c r="I1763" s="10">
        <f t="shared" si="108"/>
        <v>117.48000000000002</v>
      </c>
      <c r="J1763" s="11">
        <f>data!H1763</f>
        <v>2021.01</v>
      </c>
      <c r="K1763" s="11">
        <f>data!J1763</f>
        <v>1874.27</v>
      </c>
      <c r="L1763" s="11">
        <f t="shared" si="109"/>
        <v>146.74</v>
      </c>
      <c r="M1763" s="9">
        <f t="shared" si="110"/>
        <v>5.9302783414604605E-2</v>
      </c>
      <c r="N1763" s="9">
        <f t="shared" si="111"/>
        <v>7.8291814946619229E-2</v>
      </c>
    </row>
    <row r="1764" spans="1:14" x14ac:dyDescent="0.25">
      <c r="A1764" t="str">
        <f>TEXT("1/"&amp;data!A1764,"mmmm")</f>
        <v>juillet</v>
      </c>
      <c r="B1764">
        <f>data!B1764</f>
        <v>2016</v>
      </c>
      <c r="C1764" t="str">
        <f>data!C1764</f>
        <v>002</v>
      </c>
      <c r="D1764" t="str">
        <f>data!D1764</f>
        <v>CAVE DE GALLICIAN</v>
      </c>
      <c r="E1764" t="str">
        <f>data!E1764</f>
        <v>002007</v>
      </c>
      <c r="F1764" t="str">
        <f>data!F1764</f>
        <v>VDT C GALLICIAN</v>
      </c>
      <c r="G1764" s="10">
        <f>data!G1764</f>
        <v>2636.76</v>
      </c>
      <c r="H1764" s="10">
        <f>data!I1764</f>
        <v>3172.92</v>
      </c>
      <c r="I1764" s="10">
        <f t="shared" si="108"/>
        <v>-536.15999999999985</v>
      </c>
      <c r="J1764" s="11">
        <f>data!H1764</f>
        <v>2919.27</v>
      </c>
      <c r="K1764" s="11">
        <f>data!J1764</f>
        <v>3679.08</v>
      </c>
      <c r="L1764" s="11">
        <f t="shared" si="109"/>
        <v>-759.81</v>
      </c>
      <c r="M1764" s="9">
        <f t="shared" si="110"/>
        <v>-0.16897999319239054</v>
      </c>
      <c r="N1764" s="9">
        <f t="shared" si="111"/>
        <v>-0.20652173913043478</v>
      </c>
    </row>
    <row r="1765" spans="1:14" x14ac:dyDescent="0.25">
      <c r="A1765" t="str">
        <f>TEXT("1/"&amp;data!A1765,"mmmm")</f>
        <v>juillet</v>
      </c>
      <c r="B1765">
        <f>data!B1765</f>
        <v>2016</v>
      </c>
      <c r="C1765" t="str">
        <f>data!C1765</f>
        <v>002</v>
      </c>
      <c r="D1765" t="str">
        <f>data!D1765</f>
        <v>CAVE DE GALLICIAN</v>
      </c>
      <c r="E1765" t="str">
        <f>data!E1765</f>
        <v>002008</v>
      </c>
      <c r="F1765" t="str">
        <f>data!F1765</f>
        <v>VDT. C GALLICIAN</v>
      </c>
      <c r="G1765" s="10">
        <f>data!G1765</f>
        <v>2037.6</v>
      </c>
      <c r="H1765" s="10">
        <f>data!I1765</f>
        <v>2453.8000000000002</v>
      </c>
      <c r="I1765" s="10">
        <f t="shared" si="108"/>
        <v>-416.20000000000027</v>
      </c>
      <c r="J1765" s="11">
        <f>data!H1765</f>
        <v>2400.3000000000002</v>
      </c>
      <c r="K1765" s="11">
        <f>data!J1765</f>
        <v>2987.04</v>
      </c>
      <c r="L1765" s="11">
        <f t="shared" si="109"/>
        <v>-586.73999999999978</v>
      </c>
      <c r="M1765" s="9">
        <f t="shared" si="110"/>
        <v>-0.16961447550737641</v>
      </c>
      <c r="N1765" s="9">
        <f t="shared" si="111"/>
        <v>-0.19642857142857137</v>
      </c>
    </row>
    <row r="1766" spans="1:14" x14ac:dyDescent="0.25">
      <c r="A1766" t="str">
        <f>TEXT("1/"&amp;data!A1766,"mmmm")</f>
        <v>juillet</v>
      </c>
      <c r="B1766">
        <f>data!B1766</f>
        <v>2016</v>
      </c>
      <c r="C1766" t="str">
        <f>data!C1766</f>
        <v>002</v>
      </c>
      <c r="D1766" t="str">
        <f>data!D1766</f>
        <v>CAVE DE GALLICIAN</v>
      </c>
      <c r="E1766" t="str">
        <f>data!E1766</f>
        <v>002009</v>
      </c>
      <c r="F1766" t="str">
        <f>data!F1766</f>
        <v>VDT. C GALLICIAN</v>
      </c>
      <c r="G1766" s="10">
        <f>data!G1766</f>
        <v>1360.74</v>
      </c>
      <c r="H1766" s="10">
        <f>data!I1766</f>
        <v>157.15</v>
      </c>
      <c r="I1766" s="10">
        <f t="shared" si="108"/>
        <v>1203.5899999999999</v>
      </c>
      <c r="J1766" s="11">
        <f>data!H1766</f>
        <v>1653.5400000000002</v>
      </c>
      <c r="K1766" s="11">
        <f>data!J1766</f>
        <v>186.69</v>
      </c>
      <c r="L1766" s="11">
        <f t="shared" si="109"/>
        <v>1466.8500000000001</v>
      </c>
      <c r="M1766" s="9">
        <f t="shared" si="110"/>
        <v>7.6588609608654146</v>
      </c>
      <c r="N1766" s="9">
        <f t="shared" si="111"/>
        <v>7.8571428571428577</v>
      </c>
    </row>
    <row r="1767" spans="1:14" x14ac:dyDescent="0.25">
      <c r="A1767" t="str">
        <f>TEXT("1/"&amp;data!A1767,"mmmm")</f>
        <v>juillet</v>
      </c>
      <c r="B1767">
        <f>data!B1767</f>
        <v>2016</v>
      </c>
      <c r="C1767" t="str">
        <f>data!C1767</f>
        <v>002</v>
      </c>
      <c r="D1767" t="str">
        <f>data!D1767</f>
        <v>CAVE DE GALLICIAN</v>
      </c>
      <c r="E1767" t="str">
        <f>data!E1767</f>
        <v>002010</v>
      </c>
      <c r="F1767" t="str">
        <f>data!F1767</f>
        <v>AC C. DE NIMES. C GALLICIAN</v>
      </c>
      <c r="G1767" s="10">
        <f>data!G1767</f>
        <v>3197.7</v>
      </c>
      <c r="H1767" s="10">
        <f>data!I1767</f>
        <v>2931.04</v>
      </c>
      <c r="I1767" s="10">
        <f t="shared" si="108"/>
        <v>266.65999999999985</v>
      </c>
      <c r="J1767" s="11">
        <f>data!H1767</f>
        <v>2294.48</v>
      </c>
      <c r="K1767" s="11">
        <f>data!J1767</f>
        <v>2174.42</v>
      </c>
      <c r="L1767" s="11">
        <f t="shared" si="109"/>
        <v>120.05999999999995</v>
      </c>
      <c r="M1767" s="9">
        <f t="shared" si="110"/>
        <v>9.0977946394453793E-2</v>
      </c>
      <c r="N1767" s="9">
        <f t="shared" si="111"/>
        <v>5.5214723926380341E-2</v>
      </c>
    </row>
    <row r="1768" spans="1:14" x14ac:dyDescent="0.25">
      <c r="A1768" t="str">
        <f>TEXT("1/"&amp;data!A1768,"mmmm")</f>
        <v>juillet</v>
      </c>
      <c r="B1768">
        <f>data!B1768</f>
        <v>2016</v>
      </c>
      <c r="C1768" t="str">
        <f>data!C1768</f>
        <v>002</v>
      </c>
      <c r="D1768" t="str">
        <f>data!D1768</f>
        <v>CAVE DE GALLICIAN</v>
      </c>
      <c r="E1768" t="str">
        <f>data!E1768</f>
        <v>002011</v>
      </c>
      <c r="F1768" t="str">
        <f>data!F1768</f>
        <v>AC C DE NIMES C. GALLICIAN</v>
      </c>
      <c r="G1768" s="10">
        <f>data!G1768</f>
        <v>3617.39</v>
      </c>
      <c r="H1768" s="10">
        <f>data!I1768</f>
        <v>3559.6</v>
      </c>
      <c r="I1768" s="10">
        <f t="shared" si="108"/>
        <v>57.789999999999964</v>
      </c>
      <c r="J1768" s="11">
        <f>data!H1768</f>
        <v>2892.61</v>
      </c>
      <c r="K1768" s="11">
        <f>data!J1768</f>
        <v>2985.92</v>
      </c>
      <c r="L1768" s="11">
        <f t="shared" si="109"/>
        <v>-93.309999999999945</v>
      </c>
      <c r="M1768" s="9">
        <f t="shared" si="110"/>
        <v>1.6234970221373178E-2</v>
      </c>
      <c r="N1768" s="9">
        <f t="shared" si="111"/>
        <v>-3.1249999999999983E-2</v>
      </c>
    </row>
    <row r="1769" spans="1:14" x14ac:dyDescent="0.25">
      <c r="A1769" t="str">
        <f>TEXT("1/"&amp;data!A1769,"mmmm")</f>
        <v>juillet</v>
      </c>
      <c r="B1769">
        <f>data!B1769</f>
        <v>2016</v>
      </c>
      <c r="C1769" t="str">
        <f>data!C1769</f>
        <v>002</v>
      </c>
      <c r="D1769" t="str">
        <f>data!D1769</f>
        <v>CAVE DE GALLICIAN</v>
      </c>
      <c r="E1769" t="str">
        <f>data!E1769</f>
        <v>002015</v>
      </c>
      <c r="F1769" t="str">
        <f>data!F1769</f>
        <v>AC C DE NIMES C. GALLICIAN</v>
      </c>
      <c r="G1769" s="10">
        <f>data!G1769</f>
        <v>5534.44</v>
      </c>
      <c r="H1769" s="10">
        <f>data!I1769</f>
        <v>9384.4</v>
      </c>
      <c r="I1769" s="10">
        <f t="shared" si="108"/>
        <v>-3849.96</v>
      </c>
      <c r="J1769" s="11">
        <f>data!H1769</f>
        <v>4425.5600000000004</v>
      </c>
      <c r="K1769" s="11">
        <f>data!J1769</f>
        <v>7798.05</v>
      </c>
      <c r="L1769" s="11">
        <f t="shared" si="109"/>
        <v>-3372.49</v>
      </c>
      <c r="M1769" s="9">
        <f t="shared" si="110"/>
        <v>-0.41025105494224462</v>
      </c>
      <c r="N1769" s="9">
        <f t="shared" si="111"/>
        <v>-0.43247863247863244</v>
      </c>
    </row>
    <row r="1770" spans="1:14" x14ac:dyDescent="0.25">
      <c r="A1770" t="str">
        <f>TEXT("1/"&amp;data!A1770,"mmmm")</f>
        <v>juillet</v>
      </c>
      <c r="B1770">
        <f>data!B1770</f>
        <v>2016</v>
      </c>
      <c r="C1770" t="str">
        <f>data!C1770</f>
        <v>002</v>
      </c>
      <c r="D1770" t="str">
        <f>data!D1770</f>
        <v>CAVE DE GALLICIAN</v>
      </c>
      <c r="E1770" t="str">
        <f>data!E1770</f>
        <v>002016</v>
      </c>
      <c r="F1770" t="str">
        <f>data!F1770</f>
        <v>AC C DE NIMES C. GALLICIAN</v>
      </c>
      <c r="G1770" s="10">
        <f>data!G1770</f>
        <v>4983.8999999999996</v>
      </c>
      <c r="H1770" s="10">
        <f>data!I1770</f>
        <v>5221</v>
      </c>
      <c r="I1770" s="10">
        <f t="shared" si="108"/>
        <v>-237.10000000000036</v>
      </c>
      <c r="J1770" s="11">
        <f>data!H1770</f>
        <v>3501.75</v>
      </c>
      <c r="K1770" s="11">
        <f>data!J1770</f>
        <v>3868.6</v>
      </c>
      <c r="L1770" s="11">
        <f t="shared" si="109"/>
        <v>-366.84999999999991</v>
      </c>
      <c r="M1770" s="9">
        <f t="shared" si="110"/>
        <v>-4.541275617697766E-2</v>
      </c>
      <c r="N1770" s="9">
        <f t="shared" si="111"/>
        <v>-9.4827586206896533E-2</v>
      </c>
    </row>
    <row r="1771" spans="1:14" x14ac:dyDescent="0.25">
      <c r="A1771" t="str">
        <f>TEXT("1/"&amp;data!A1771,"mmmm")</f>
        <v>juillet</v>
      </c>
      <c r="B1771">
        <f>data!B1771</f>
        <v>2016</v>
      </c>
      <c r="C1771" t="str">
        <f>data!C1771</f>
        <v>002</v>
      </c>
      <c r="D1771" t="str">
        <f>data!D1771</f>
        <v>CAVE DE GALLICIAN</v>
      </c>
      <c r="E1771" t="str">
        <f>data!E1771</f>
        <v>002017</v>
      </c>
      <c r="F1771" t="str">
        <f>data!F1771</f>
        <v>VDP GARD C. GALLICIAN</v>
      </c>
      <c r="G1771" s="10">
        <f>data!G1771</f>
        <v>9899.84</v>
      </c>
      <c r="H1771" s="10">
        <f>data!I1771</f>
        <v>10500.88</v>
      </c>
      <c r="I1771" s="10">
        <f t="shared" si="108"/>
        <v>-601.03999999999905</v>
      </c>
      <c r="J1771" s="11">
        <f>data!H1771</f>
        <v>10610.68</v>
      </c>
      <c r="K1771" s="11">
        <f>data!J1771</f>
        <v>11810.38</v>
      </c>
      <c r="L1771" s="11">
        <f t="shared" si="109"/>
        <v>-1199.6999999999989</v>
      </c>
      <c r="M1771" s="9">
        <f t="shared" si="110"/>
        <v>-5.7237107747160156E-2</v>
      </c>
      <c r="N1771" s="9">
        <f t="shared" si="111"/>
        <v>-0.10158013544018051</v>
      </c>
    </row>
    <row r="1772" spans="1:14" x14ac:dyDescent="0.25">
      <c r="A1772" t="str">
        <f>TEXT("1/"&amp;data!A1772,"mmmm")</f>
        <v>juillet</v>
      </c>
      <c r="B1772">
        <f>data!B1772</f>
        <v>2016</v>
      </c>
      <c r="C1772" t="str">
        <f>data!C1772</f>
        <v>002</v>
      </c>
      <c r="D1772" t="str">
        <f>data!D1772</f>
        <v>CAVE DE GALLICIAN</v>
      </c>
      <c r="E1772" t="str">
        <f>data!E1772</f>
        <v>002018</v>
      </c>
      <c r="F1772" t="str">
        <f>data!F1772</f>
        <v>VDP GARD C. GALLICIAN</v>
      </c>
      <c r="G1772" s="10">
        <f>data!G1772</f>
        <v>4468.45</v>
      </c>
      <c r="H1772" s="10">
        <f>data!I1772</f>
        <v>5582.5</v>
      </c>
      <c r="I1772" s="10">
        <f t="shared" si="108"/>
        <v>-1114.0500000000002</v>
      </c>
      <c r="J1772" s="11">
        <f>data!H1772</f>
        <v>3988.66</v>
      </c>
      <c r="K1772" s="11">
        <f>data!J1772</f>
        <v>5195.93</v>
      </c>
      <c r="L1772" s="11">
        <f t="shared" si="109"/>
        <v>-1207.2700000000004</v>
      </c>
      <c r="M1772" s="9">
        <f t="shared" si="110"/>
        <v>-0.19956112852664579</v>
      </c>
      <c r="N1772" s="9">
        <f t="shared" si="111"/>
        <v>-0.2323491655969192</v>
      </c>
    </row>
    <row r="1773" spans="1:14" x14ac:dyDescent="0.25">
      <c r="A1773" t="str">
        <f>TEXT("1/"&amp;data!A1773,"mmmm")</f>
        <v>juillet</v>
      </c>
      <c r="B1773">
        <f>data!B1773</f>
        <v>2016</v>
      </c>
      <c r="C1773" t="str">
        <f>data!C1773</f>
        <v>002</v>
      </c>
      <c r="D1773" t="str">
        <f>data!D1773</f>
        <v>CAVE DE GALLICIAN</v>
      </c>
      <c r="E1773" t="str">
        <f>data!E1773</f>
        <v>002020</v>
      </c>
      <c r="F1773" t="str">
        <f>data!F1773</f>
        <v>AC C DE NIMES C DES LAUNES</v>
      </c>
      <c r="G1773" s="10">
        <f>data!G1773</f>
        <v>2435.3000000000002</v>
      </c>
      <c r="H1773" s="10">
        <f>data!I1773</f>
        <v>1339.2</v>
      </c>
      <c r="I1773" s="10">
        <f t="shared" si="108"/>
        <v>1096.1000000000001</v>
      </c>
      <c r="J1773" s="11">
        <f>data!H1773</f>
        <v>1038</v>
      </c>
      <c r="K1773" s="11">
        <f>data!J1773</f>
        <v>558</v>
      </c>
      <c r="L1773" s="11">
        <f t="shared" si="109"/>
        <v>480</v>
      </c>
      <c r="M1773" s="9">
        <f t="shared" si="110"/>
        <v>0.81847371565113503</v>
      </c>
      <c r="N1773" s="9">
        <f t="shared" si="111"/>
        <v>0.86021505376344087</v>
      </c>
    </row>
    <row r="1774" spans="1:14" x14ac:dyDescent="0.25">
      <c r="A1774" t="str">
        <f>TEXT("1/"&amp;data!A1774,"mmmm")</f>
        <v>juillet</v>
      </c>
      <c r="B1774">
        <f>data!B1774</f>
        <v>2016</v>
      </c>
      <c r="C1774" t="str">
        <f>data!C1774</f>
        <v>002</v>
      </c>
      <c r="D1774" t="str">
        <f>data!D1774</f>
        <v>CAVE DE GALLICIAN</v>
      </c>
      <c r="E1774" t="str">
        <f>data!E1774</f>
        <v>002023</v>
      </c>
      <c r="F1774" t="str">
        <f>data!F1774</f>
        <v>AC COSTIERES DE NIMES LES COMBES DE MEZIERES</v>
      </c>
      <c r="G1774" s="10">
        <f>data!G1774</f>
        <v>105.48</v>
      </c>
      <c r="H1774" s="10">
        <f>data!I1774</f>
        <v>0</v>
      </c>
      <c r="I1774" s="10">
        <f t="shared" si="108"/>
        <v>105.48</v>
      </c>
      <c r="J1774" s="11">
        <f>data!H1774</f>
        <v>36</v>
      </c>
      <c r="K1774" s="11">
        <f>data!J1774</f>
        <v>0</v>
      </c>
      <c r="L1774" s="11">
        <f t="shared" si="109"/>
        <v>36</v>
      </c>
      <c r="M1774" s="9" t="str">
        <f t="shared" si="110"/>
        <v/>
      </c>
      <c r="N1774" s="9" t="str">
        <f t="shared" si="111"/>
        <v/>
      </c>
    </row>
    <row r="1775" spans="1:14" x14ac:dyDescent="0.25">
      <c r="A1775" t="str">
        <f>TEXT("1/"&amp;data!A1775,"mmmm")</f>
        <v>juillet</v>
      </c>
      <c r="B1775">
        <f>data!B1775</f>
        <v>2016</v>
      </c>
      <c r="C1775" t="str">
        <f>data!C1775</f>
        <v>002</v>
      </c>
      <c r="D1775" t="str">
        <f>data!D1775</f>
        <v>CAVE DE GALLICIAN</v>
      </c>
      <c r="E1775" t="str">
        <f>data!E1775</f>
        <v>002025</v>
      </c>
      <c r="F1775" t="str">
        <f>data!F1775</f>
        <v>AC COSTIERES DE NIMES CUVEE PRESTIGE</v>
      </c>
      <c r="G1775" s="10">
        <f>data!G1775</f>
        <v>229.95</v>
      </c>
      <c r="H1775" s="10">
        <f>data!I1775</f>
        <v>904.47</v>
      </c>
      <c r="I1775" s="10">
        <f t="shared" si="108"/>
        <v>-674.52</v>
      </c>
      <c r="J1775" s="11">
        <f>data!H1775</f>
        <v>108</v>
      </c>
      <c r="K1775" s="11">
        <f>data!J1775</f>
        <v>426</v>
      </c>
      <c r="L1775" s="11">
        <f t="shared" si="109"/>
        <v>-318</v>
      </c>
      <c r="M1775" s="9">
        <f t="shared" si="110"/>
        <v>-0.74576271186440679</v>
      </c>
      <c r="N1775" s="9">
        <f t="shared" si="111"/>
        <v>-0.74647887323943662</v>
      </c>
    </row>
    <row r="1776" spans="1:14" x14ac:dyDescent="0.25">
      <c r="A1776" t="str">
        <f>TEXT("1/"&amp;data!A1776,"mmmm")</f>
        <v>juillet</v>
      </c>
      <c r="B1776">
        <f>data!B1776</f>
        <v>2016</v>
      </c>
      <c r="C1776" t="str">
        <f>data!C1776</f>
        <v>002</v>
      </c>
      <c r="D1776" t="str">
        <f>data!D1776</f>
        <v>CAVE DE GALLICIAN</v>
      </c>
      <c r="E1776" t="str">
        <f>data!E1776</f>
        <v>002026</v>
      </c>
      <c r="F1776" t="str">
        <f>data!F1776</f>
        <v>IGP GARD GRES D'OR</v>
      </c>
      <c r="G1776" s="10">
        <f>data!G1776</f>
        <v>271.92</v>
      </c>
      <c r="H1776" s="10">
        <f>data!I1776</f>
        <v>220.86</v>
      </c>
      <c r="I1776" s="10">
        <f t="shared" si="108"/>
        <v>51.06</v>
      </c>
      <c r="J1776" s="11">
        <f>data!H1776</f>
        <v>132</v>
      </c>
      <c r="K1776" s="11">
        <f>data!J1776</f>
        <v>108</v>
      </c>
      <c r="L1776" s="11">
        <f t="shared" si="109"/>
        <v>24</v>
      </c>
      <c r="M1776" s="9">
        <f t="shared" si="110"/>
        <v>0.23118717739744635</v>
      </c>
      <c r="N1776" s="9">
        <f t="shared" si="111"/>
        <v>0.22222222222222221</v>
      </c>
    </row>
    <row r="1777" spans="1:14" x14ac:dyDescent="0.25">
      <c r="A1777" t="str">
        <f>TEXT("1/"&amp;data!A1777,"mmmm")</f>
        <v>juillet</v>
      </c>
      <c r="B1777">
        <f>data!B1777</f>
        <v>2016</v>
      </c>
      <c r="C1777" t="str">
        <f>data!C1777</f>
        <v>002</v>
      </c>
      <c r="D1777" t="str">
        <f>data!D1777</f>
        <v>CAVE DE GALLICIAN</v>
      </c>
      <c r="E1777" t="str">
        <f>data!E1777</f>
        <v>002027</v>
      </c>
      <c r="F1777" t="str">
        <f>data!F1777</f>
        <v>IGP D'OC  GRIS DES LAUNES  GALLICIAN</v>
      </c>
      <c r="G1777" s="10">
        <f>data!G1777</f>
        <v>1948</v>
      </c>
      <c r="H1777" s="10">
        <f>data!I1777</f>
        <v>547.91</v>
      </c>
      <c r="I1777" s="10">
        <f t="shared" si="108"/>
        <v>1400.0900000000001</v>
      </c>
      <c r="J1777" s="11">
        <f>data!H1777</f>
        <v>1080</v>
      </c>
      <c r="K1777" s="11">
        <f>data!J1777</f>
        <v>312</v>
      </c>
      <c r="L1777" s="11">
        <f t="shared" si="109"/>
        <v>768</v>
      </c>
      <c r="M1777" s="9">
        <f t="shared" si="110"/>
        <v>2.5553284298516186</v>
      </c>
      <c r="N1777" s="9">
        <f t="shared" si="111"/>
        <v>2.4615384615384617</v>
      </c>
    </row>
    <row r="1778" spans="1:14" x14ac:dyDescent="0.25">
      <c r="A1778" t="str">
        <f>TEXT("1/"&amp;data!A1778,"mmmm")</f>
        <v>juillet</v>
      </c>
      <c r="B1778">
        <f>data!B1778</f>
        <v>2016</v>
      </c>
      <c r="C1778" t="str">
        <f>data!C1778</f>
        <v>002</v>
      </c>
      <c r="D1778" t="str">
        <f>data!D1778</f>
        <v>CAVE DE GALLICIAN</v>
      </c>
      <c r="E1778" t="str">
        <f>data!E1778</f>
        <v>002033</v>
      </c>
      <c r="F1778" t="str">
        <f>data!F1778</f>
        <v>AOP COSTIERES DE NIMES</v>
      </c>
      <c r="G1778" s="10">
        <f>data!G1778</f>
        <v>6.6</v>
      </c>
      <c r="H1778" s="10">
        <f>data!I1778</f>
        <v>37.380000000000003</v>
      </c>
      <c r="I1778" s="10">
        <f t="shared" si="108"/>
        <v>-30.78</v>
      </c>
      <c r="J1778" s="11">
        <f>data!H1778</f>
        <v>4</v>
      </c>
      <c r="K1778" s="11">
        <f>data!J1778</f>
        <v>24</v>
      </c>
      <c r="L1778" s="11">
        <f t="shared" si="109"/>
        <v>-20</v>
      </c>
      <c r="M1778" s="9">
        <f t="shared" si="110"/>
        <v>-0.8234349919743178</v>
      </c>
      <c r="N1778" s="9">
        <f t="shared" si="111"/>
        <v>-0.83333333333333337</v>
      </c>
    </row>
    <row r="1779" spans="1:14" x14ac:dyDescent="0.25">
      <c r="A1779" t="str">
        <f>TEXT("1/"&amp;data!A1779,"mmmm")</f>
        <v>juillet</v>
      </c>
      <c r="B1779">
        <f>data!B1779</f>
        <v>2016</v>
      </c>
      <c r="C1779" t="str">
        <f>data!C1779</f>
        <v>002</v>
      </c>
      <c r="D1779" t="str">
        <f>data!D1779</f>
        <v>CAVE DE GALLICIAN</v>
      </c>
      <c r="E1779" t="str">
        <f>data!E1779</f>
        <v>002034</v>
      </c>
      <c r="F1779" t="str">
        <f>data!F1779</f>
        <v>AOP COSTIERES DE NIMES</v>
      </c>
      <c r="G1779" s="10">
        <f>data!G1779</f>
        <v>39.6</v>
      </c>
      <c r="H1779" s="10">
        <f>data!I1779</f>
        <v>249.2</v>
      </c>
      <c r="I1779" s="10">
        <f t="shared" si="108"/>
        <v>-209.6</v>
      </c>
      <c r="J1779" s="11">
        <f>data!H1779</f>
        <v>24</v>
      </c>
      <c r="K1779" s="11">
        <f>data!J1779</f>
        <v>160</v>
      </c>
      <c r="L1779" s="11">
        <f t="shared" si="109"/>
        <v>-136</v>
      </c>
      <c r="M1779" s="9">
        <f t="shared" si="110"/>
        <v>-0.841091492776886</v>
      </c>
      <c r="N1779" s="9">
        <f t="shared" si="111"/>
        <v>-0.85</v>
      </c>
    </row>
    <row r="1780" spans="1:14" x14ac:dyDescent="0.25">
      <c r="A1780" t="str">
        <f>TEXT("1/"&amp;data!A1780,"mmmm")</f>
        <v>juillet</v>
      </c>
      <c r="B1780">
        <f>data!B1780</f>
        <v>2016</v>
      </c>
      <c r="C1780" t="str">
        <f>data!C1780</f>
        <v>002</v>
      </c>
      <c r="D1780" t="str">
        <f>data!D1780</f>
        <v>CAVE DE GALLICIAN</v>
      </c>
      <c r="E1780" t="str">
        <f>data!E1780</f>
        <v>002035</v>
      </c>
      <c r="F1780" t="str">
        <f>data!F1780</f>
        <v>AOP COSTIERES DE NIMES</v>
      </c>
      <c r="G1780" s="10">
        <f>data!G1780</f>
        <v>39.6</v>
      </c>
      <c r="H1780" s="10">
        <f>data!I1780</f>
        <v>74.760000000000005</v>
      </c>
      <c r="I1780" s="10">
        <f t="shared" si="108"/>
        <v>-35.160000000000004</v>
      </c>
      <c r="J1780" s="11">
        <f>data!H1780</f>
        <v>24</v>
      </c>
      <c r="K1780" s="11">
        <f>data!J1780</f>
        <v>52</v>
      </c>
      <c r="L1780" s="11">
        <f t="shared" si="109"/>
        <v>-28</v>
      </c>
      <c r="M1780" s="9">
        <f t="shared" si="110"/>
        <v>-0.47030497592295345</v>
      </c>
      <c r="N1780" s="9">
        <f t="shared" si="111"/>
        <v>-0.53846153846153844</v>
      </c>
    </row>
    <row r="1781" spans="1:14" x14ac:dyDescent="0.25">
      <c r="A1781" t="str">
        <f>TEXT("1/"&amp;data!A1781,"mmmm")</f>
        <v>juillet</v>
      </c>
      <c r="B1781">
        <f>data!B1781</f>
        <v>2016</v>
      </c>
      <c r="C1781" t="str">
        <f>data!C1781</f>
        <v>002</v>
      </c>
      <c r="D1781" t="str">
        <f>data!D1781</f>
        <v>CAVE DE GALLICIAN</v>
      </c>
      <c r="E1781" t="str">
        <f>data!E1781</f>
        <v>002037</v>
      </c>
      <c r="F1781" t="str">
        <f>data!F1781</f>
        <v>AOP COSTIERES DE NIMES COMBES DE MEZIERES</v>
      </c>
      <c r="G1781" s="10">
        <f>data!G1781</f>
        <v>500.64</v>
      </c>
      <c r="H1781" s="10">
        <f>data!I1781</f>
        <v>344.4</v>
      </c>
      <c r="I1781" s="10">
        <f t="shared" si="108"/>
        <v>156.24</v>
      </c>
      <c r="J1781" s="11">
        <f>data!H1781</f>
        <v>168</v>
      </c>
      <c r="K1781" s="11">
        <f>data!J1781</f>
        <v>120</v>
      </c>
      <c r="L1781" s="11">
        <f t="shared" si="109"/>
        <v>48</v>
      </c>
      <c r="M1781" s="9">
        <f t="shared" si="110"/>
        <v>0.45365853658536592</v>
      </c>
      <c r="N1781" s="9">
        <f t="shared" si="111"/>
        <v>0.4</v>
      </c>
    </row>
    <row r="1782" spans="1:14" x14ac:dyDescent="0.25">
      <c r="A1782" t="str">
        <f>TEXT("1/"&amp;data!A1782,"mmmm")</f>
        <v>juillet</v>
      </c>
      <c r="B1782">
        <f>data!B1782</f>
        <v>2016</v>
      </c>
      <c r="C1782" t="str">
        <f>data!C1782</f>
        <v>002</v>
      </c>
      <c r="D1782" t="str">
        <f>data!D1782</f>
        <v>CAVE DE GALLICIAN</v>
      </c>
      <c r="E1782" t="str">
        <f>data!E1782</f>
        <v>002040</v>
      </c>
      <c r="F1782" t="str">
        <f>data!F1782</f>
        <v>AOP COSTIERES DE NIMES PRESTIGE</v>
      </c>
      <c r="G1782" s="10">
        <f>data!G1782</f>
        <v>470.85</v>
      </c>
      <c r="H1782" s="10">
        <f>data!I1782</f>
        <v>341.64</v>
      </c>
      <c r="I1782" s="10">
        <f t="shared" si="108"/>
        <v>129.21000000000004</v>
      </c>
      <c r="J1782" s="11">
        <f>data!H1782</f>
        <v>222</v>
      </c>
      <c r="K1782" s="11">
        <f>data!J1782</f>
        <v>156</v>
      </c>
      <c r="L1782" s="11">
        <f t="shared" si="109"/>
        <v>66</v>
      </c>
      <c r="M1782" s="9">
        <f t="shared" si="110"/>
        <v>0.3782051282051283</v>
      </c>
      <c r="N1782" s="9">
        <f t="shared" si="111"/>
        <v>0.42307692307692307</v>
      </c>
    </row>
    <row r="1783" spans="1:14" x14ac:dyDescent="0.25">
      <c r="A1783" t="str">
        <f>TEXT("1/"&amp;data!A1783,"mmmm")</f>
        <v>juillet</v>
      </c>
      <c r="B1783">
        <f>data!B1783</f>
        <v>2016</v>
      </c>
      <c r="C1783" t="str">
        <f>data!C1783</f>
        <v>002</v>
      </c>
      <c r="D1783" t="str">
        <f>data!D1783</f>
        <v>CAVE DE GALLICIAN</v>
      </c>
      <c r="E1783" t="str">
        <f>data!E1783</f>
        <v>002100</v>
      </c>
      <c r="F1783" t="str">
        <f>data!F1783</f>
        <v>VDP DU GARD. LOU GRES D'OR</v>
      </c>
      <c r="G1783" s="10">
        <f>data!G1783</f>
        <v>395.16</v>
      </c>
      <c r="H1783" s="10">
        <f>data!I1783</f>
        <v>606</v>
      </c>
      <c r="I1783" s="10">
        <f t="shared" si="108"/>
        <v>-210.83999999999997</v>
      </c>
      <c r="J1783" s="11">
        <f>data!H1783</f>
        <v>228</v>
      </c>
      <c r="K1783" s="11">
        <f>data!J1783</f>
        <v>360</v>
      </c>
      <c r="L1783" s="11">
        <f t="shared" si="109"/>
        <v>-132</v>
      </c>
      <c r="M1783" s="9">
        <f t="shared" si="110"/>
        <v>-0.3479207920792079</v>
      </c>
      <c r="N1783" s="9">
        <f t="shared" si="111"/>
        <v>-0.36666666666666664</v>
      </c>
    </row>
    <row r="1784" spans="1:14" x14ac:dyDescent="0.25">
      <c r="A1784" t="str">
        <f>TEXT("1/"&amp;data!A1784,"mmmm")</f>
        <v>juillet</v>
      </c>
      <c r="B1784">
        <f>data!B1784</f>
        <v>2016</v>
      </c>
      <c r="C1784" t="str">
        <f>data!C1784</f>
        <v>002</v>
      </c>
      <c r="D1784" t="str">
        <f>data!D1784</f>
        <v>CAVE DE GALLICIAN</v>
      </c>
      <c r="E1784" t="str">
        <f>data!E1784</f>
        <v>002101</v>
      </c>
      <c r="F1784" t="str">
        <f>data!F1784</f>
        <v>IGP DU GARD LOU GRES D'OR</v>
      </c>
      <c r="G1784" s="10">
        <f>data!G1784</f>
        <v>736.92</v>
      </c>
      <c r="H1784" s="10">
        <f>data!I1784</f>
        <v>1785.12</v>
      </c>
      <c r="I1784" s="10">
        <f t="shared" si="108"/>
        <v>-1048.1999999999998</v>
      </c>
      <c r="J1784" s="11">
        <f>data!H1784</f>
        <v>414</v>
      </c>
      <c r="K1784" s="11">
        <f>data!J1784</f>
        <v>1044</v>
      </c>
      <c r="L1784" s="11">
        <f t="shared" si="109"/>
        <v>-630</v>
      </c>
      <c r="M1784" s="9">
        <f t="shared" si="110"/>
        <v>-0.58718741597203539</v>
      </c>
      <c r="N1784" s="9">
        <f t="shared" si="111"/>
        <v>-0.60344827586206895</v>
      </c>
    </row>
    <row r="1785" spans="1:14" x14ac:dyDescent="0.25">
      <c r="A1785" t="str">
        <f>TEXT("1/"&amp;data!A1785,"mmmm")</f>
        <v>juillet</v>
      </c>
      <c r="B1785">
        <f>data!B1785</f>
        <v>2016</v>
      </c>
      <c r="C1785" t="str">
        <f>data!C1785</f>
        <v>002</v>
      </c>
      <c r="D1785" t="str">
        <f>data!D1785</f>
        <v>CAVE DE GALLICIAN</v>
      </c>
      <c r="E1785" t="str">
        <f>data!E1785</f>
        <v>002200</v>
      </c>
      <c r="F1785" t="str">
        <f>data!F1785</f>
        <v>ROSE PAMPLEMOUSSE</v>
      </c>
      <c r="G1785" s="10">
        <f>data!G1785</f>
        <v>222.4</v>
      </c>
      <c r="H1785" s="10">
        <f>data!I1785</f>
        <v>264.02999999999997</v>
      </c>
      <c r="I1785" s="10">
        <f t="shared" si="108"/>
        <v>-41.629999999999967</v>
      </c>
      <c r="J1785" s="11">
        <f>data!H1785</f>
        <v>128</v>
      </c>
      <c r="K1785" s="11">
        <f>data!J1785</f>
        <v>156</v>
      </c>
      <c r="L1785" s="11">
        <f t="shared" si="109"/>
        <v>-28</v>
      </c>
      <c r="M1785" s="9">
        <f t="shared" si="110"/>
        <v>-0.15767147672612949</v>
      </c>
      <c r="N1785" s="9">
        <f t="shared" si="111"/>
        <v>-0.17948717948717949</v>
      </c>
    </row>
    <row r="1786" spans="1:14" x14ac:dyDescent="0.25">
      <c r="A1786" t="str">
        <f>TEXT("1/"&amp;data!A1786,"mmmm")</f>
        <v>juillet</v>
      </c>
      <c r="B1786">
        <f>data!B1786</f>
        <v>2016</v>
      </c>
      <c r="C1786" t="str">
        <f>data!C1786</f>
        <v>002</v>
      </c>
      <c r="D1786" t="str">
        <f>data!D1786</f>
        <v>CAVE DE GALLICIAN</v>
      </c>
      <c r="E1786" t="str">
        <f>data!E1786</f>
        <v>002903</v>
      </c>
      <c r="F1786" t="str">
        <f>data!F1786</f>
        <v>VDP MERLOT C. GALLICIAN</v>
      </c>
      <c r="G1786" s="10">
        <f>data!G1786</f>
        <v>2096.5500000000002</v>
      </c>
      <c r="H1786" s="10">
        <f>data!I1786</f>
        <v>297.7</v>
      </c>
      <c r="I1786" s="10">
        <f t="shared" si="108"/>
        <v>1798.8500000000001</v>
      </c>
      <c r="J1786" s="11">
        <f>data!H1786</f>
        <v>2506.98</v>
      </c>
      <c r="K1786" s="11">
        <f>data!J1786</f>
        <v>346.71000000000004</v>
      </c>
      <c r="L1786" s="11">
        <f t="shared" si="109"/>
        <v>2160.27</v>
      </c>
      <c r="M1786" s="9">
        <f t="shared" si="110"/>
        <v>6.0424924420557611</v>
      </c>
      <c r="N1786" s="9">
        <f t="shared" si="111"/>
        <v>6.2307692307692299</v>
      </c>
    </row>
    <row r="1787" spans="1:14" x14ac:dyDescent="0.25">
      <c r="A1787" t="str">
        <f>TEXT("1/"&amp;data!A1787,"mmmm")</f>
        <v>juillet</v>
      </c>
      <c r="B1787">
        <f>data!B1787</f>
        <v>2016</v>
      </c>
      <c r="C1787" t="str">
        <f>data!C1787</f>
        <v>002</v>
      </c>
      <c r="D1787" t="str">
        <f>data!D1787</f>
        <v>CAVE DE GALLICIAN</v>
      </c>
      <c r="E1787" t="str">
        <f>data!E1787</f>
        <v>002905</v>
      </c>
      <c r="F1787" t="str">
        <f>data!F1787</f>
        <v>VDT. CUVEE FIOJOLI étiq perso scaeL</v>
      </c>
      <c r="G1787" s="10">
        <f>data!G1787</f>
        <v>648</v>
      </c>
      <c r="H1787" s="10">
        <f>data!I1787</f>
        <v>270</v>
      </c>
      <c r="I1787" s="10">
        <f t="shared" si="108"/>
        <v>378</v>
      </c>
      <c r="J1787" s="11">
        <f>data!H1787</f>
        <v>799.8</v>
      </c>
      <c r="K1787" s="11">
        <f>data!J1787</f>
        <v>1053.07</v>
      </c>
      <c r="L1787" s="11">
        <f t="shared" si="109"/>
        <v>-253.26999999999998</v>
      </c>
      <c r="M1787" s="9">
        <f t="shared" si="110"/>
        <v>1.4</v>
      </c>
      <c r="N1787" s="9">
        <f t="shared" si="111"/>
        <v>-0.24050632911392406</v>
      </c>
    </row>
    <row r="1788" spans="1:14" x14ac:dyDescent="0.25">
      <c r="A1788" t="str">
        <f>TEXT("1/"&amp;data!A1788,"mmmm")</f>
        <v>juillet</v>
      </c>
      <c r="B1788">
        <f>data!B1788</f>
        <v>2016</v>
      </c>
      <c r="C1788" t="str">
        <f>data!C1788</f>
        <v>007</v>
      </c>
      <c r="D1788" t="str">
        <f>data!D1788</f>
        <v>DOMAINE ANDRE DUSSOURT</v>
      </c>
      <c r="E1788" t="str">
        <f>data!E1788</f>
        <v>007002</v>
      </c>
      <c r="F1788" t="str">
        <f>data!F1788</f>
        <v>AC RIESLING D. DUSSOURT</v>
      </c>
      <c r="G1788" s="10">
        <f>data!G1788</f>
        <v>55.2</v>
      </c>
      <c r="H1788" s="10">
        <f>data!I1788</f>
        <v>516.6</v>
      </c>
      <c r="I1788" s="10">
        <f t="shared" si="108"/>
        <v>-461.40000000000003</v>
      </c>
      <c r="J1788" s="11">
        <f>data!H1788</f>
        <v>12</v>
      </c>
      <c r="K1788" s="11">
        <f>data!J1788</f>
        <v>126</v>
      </c>
      <c r="L1788" s="11">
        <f t="shared" si="109"/>
        <v>-114</v>
      </c>
      <c r="M1788" s="9">
        <f t="shared" si="110"/>
        <v>-0.89314750290360045</v>
      </c>
      <c r="N1788" s="9">
        <f t="shared" si="111"/>
        <v>-0.90476190476190477</v>
      </c>
    </row>
    <row r="1789" spans="1:14" x14ac:dyDescent="0.25">
      <c r="A1789" t="str">
        <f>TEXT("1/"&amp;data!A1789,"mmmm")</f>
        <v>juillet</v>
      </c>
      <c r="B1789">
        <f>data!B1789</f>
        <v>2016</v>
      </c>
      <c r="C1789" t="str">
        <f>data!C1789</f>
        <v>007</v>
      </c>
      <c r="D1789" t="str">
        <f>data!D1789</f>
        <v>DOMAINE ANDRE DUSSOURT</v>
      </c>
      <c r="E1789" t="str">
        <f>data!E1789</f>
        <v>007003</v>
      </c>
      <c r="F1789" t="str">
        <f>data!F1789</f>
        <v>AC PINOT GRIS D. DUSSOURT</v>
      </c>
      <c r="G1789" s="10">
        <f>data!G1789</f>
        <v>198</v>
      </c>
      <c r="H1789" s="10">
        <f>data!I1789</f>
        <v>62.4</v>
      </c>
      <c r="I1789" s="10">
        <f t="shared" si="108"/>
        <v>135.6</v>
      </c>
      <c r="J1789" s="11">
        <f>data!H1789</f>
        <v>36</v>
      </c>
      <c r="K1789" s="11">
        <f>data!J1789</f>
        <v>12</v>
      </c>
      <c r="L1789" s="11">
        <f t="shared" si="109"/>
        <v>24</v>
      </c>
      <c r="M1789" s="9">
        <f t="shared" si="110"/>
        <v>2.1730769230769229</v>
      </c>
      <c r="N1789" s="9">
        <f t="shared" si="111"/>
        <v>2</v>
      </c>
    </row>
    <row r="1790" spans="1:14" x14ac:dyDescent="0.25">
      <c r="A1790" t="str">
        <f>TEXT("1/"&amp;data!A1790,"mmmm")</f>
        <v>juillet</v>
      </c>
      <c r="B1790">
        <f>data!B1790</f>
        <v>2016</v>
      </c>
      <c r="C1790" t="str">
        <f>data!C1790</f>
        <v>007</v>
      </c>
      <c r="D1790" t="str">
        <f>data!D1790</f>
        <v>DOMAINE ANDRE DUSSOURT</v>
      </c>
      <c r="E1790" t="str">
        <f>data!E1790</f>
        <v>007004</v>
      </c>
      <c r="F1790" t="str">
        <f>data!F1790</f>
        <v>AC GEWURZTRAMINER D. DUSSOURT</v>
      </c>
      <c r="G1790" s="10">
        <f>data!G1790</f>
        <v>304.5</v>
      </c>
      <c r="H1790" s="10">
        <f>data!I1790</f>
        <v>364.5</v>
      </c>
      <c r="I1790" s="10">
        <f t="shared" si="108"/>
        <v>-60</v>
      </c>
      <c r="J1790" s="11">
        <f>data!H1790</f>
        <v>42</v>
      </c>
      <c r="K1790" s="11">
        <f>data!J1790</f>
        <v>54</v>
      </c>
      <c r="L1790" s="11">
        <f t="shared" si="109"/>
        <v>-12</v>
      </c>
      <c r="M1790" s="9">
        <f t="shared" si="110"/>
        <v>-0.16460905349794239</v>
      </c>
      <c r="N1790" s="9">
        <f t="shared" si="111"/>
        <v>-0.22222222222222221</v>
      </c>
    </row>
    <row r="1791" spans="1:14" x14ac:dyDescent="0.25">
      <c r="A1791" t="str">
        <f>TEXT("1/"&amp;data!A1791,"mmmm")</f>
        <v>juillet</v>
      </c>
      <c r="B1791">
        <f>data!B1791</f>
        <v>2016</v>
      </c>
      <c r="C1791" t="str">
        <f>data!C1791</f>
        <v>007</v>
      </c>
      <c r="D1791" t="str">
        <f>data!D1791</f>
        <v>DOMAINE ANDRE DUSSOURT</v>
      </c>
      <c r="E1791" t="str">
        <f>data!E1791</f>
        <v>007005</v>
      </c>
      <c r="F1791" t="str">
        <f>data!F1791</f>
        <v>AC CREMANT D'ALSACE RIESLING M.TRAD</v>
      </c>
      <c r="G1791" s="10">
        <f>data!G1791</f>
        <v>119.7</v>
      </c>
      <c r="H1791" s="10">
        <f>data!I1791</f>
        <v>516.6</v>
      </c>
      <c r="I1791" s="10">
        <f t="shared" si="108"/>
        <v>-396.90000000000003</v>
      </c>
      <c r="J1791" s="11">
        <f>data!H1791</f>
        <v>18</v>
      </c>
      <c r="K1791" s="11">
        <f>data!J1791</f>
        <v>84</v>
      </c>
      <c r="L1791" s="11">
        <f t="shared" si="109"/>
        <v>-66</v>
      </c>
      <c r="M1791" s="9">
        <f t="shared" si="110"/>
        <v>-0.76829268292682928</v>
      </c>
      <c r="N1791" s="9">
        <f t="shared" si="111"/>
        <v>-0.7857142857142857</v>
      </c>
    </row>
    <row r="1792" spans="1:14" x14ac:dyDescent="0.25">
      <c r="A1792" t="str">
        <f>TEXT("1/"&amp;data!A1792,"mmmm")</f>
        <v>juillet</v>
      </c>
      <c r="B1792">
        <f>data!B1792</f>
        <v>2016</v>
      </c>
      <c r="C1792" t="str">
        <f>data!C1792</f>
        <v>007</v>
      </c>
      <c r="D1792" t="str">
        <f>data!D1792</f>
        <v>DOMAINE ANDRE DUSSOURT</v>
      </c>
      <c r="E1792" t="str">
        <f>data!E1792</f>
        <v>007006</v>
      </c>
      <c r="F1792" t="str">
        <f>data!F1792</f>
        <v>AC PINOT NOIR D. DUSSOURT</v>
      </c>
      <c r="G1792" s="10">
        <f>data!G1792</f>
        <v>226.8</v>
      </c>
      <c r="H1792" s="10">
        <f>data!I1792</f>
        <v>354</v>
      </c>
      <c r="I1792" s="10">
        <f t="shared" si="108"/>
        <v>-127.19999999999999</v>
      </c>
      <c r="J1792" s="11">
        <f>data!H1792</f>
        <v>36</v>
      </c>
      <c r="K1792" s="11">
        <f>data!J1792</f>
        <v>60</v>
      </c>
      <c r="L1792" s="11">
        <f t="shared" si="109"/>
        <v>-24</v>
      </c>
      <c r="M1792" s="9">
        <f t="shared" si="110"/>
        <v>-0.35932203389830503</v>
      </c>
      <c r="N1792" s="9">
        <f t="shared" si="111"/>
        <v>-0.4</v>
      </c>
    </row>
    <row r="1793" spans="1:14" x14ac:dyDescent="0.25">
      <c r="A1793" t="str">
        <f>TEXT("1/"&amp;data!A1793,"mmmm")</f>
        <v>juillet</v>
      </c>
      <c r="B1793">
        <f>data!B1793</f>
        <v>2016</v>
      </c>
      <c r="C1793" t="str">
        <f>data!C1793</f>
        <v>007</v>
      </c>
      <c r="D1793" t="str">
        <f>data!D1793</f>
        <v>DOMAINE ANDRE DUSSOURT</v>
      </c>
      <c r="E1793" t="str">
        <f>data!E1793</f>
        <v>007011</v>
      </c>
      <c r="F1793" t="str">
        <f>data!F1793</f>
        <v>AC ALSACE PINOT NOIR</v>
      </c>
      <c r="G1793" s="10">
        <f>data!G1793</f>
        <v>45.6</v>
      </c>
      <c r="H1793" s="10">
        <f>data!I1793</f>
        <v>35.4</v>
      </c>
      <c r="I1793" s="10">
        <f t="shared" si="108"/>
        <v>10.200000000000003</v>
      </c>
      <c r="J1793" s="11">
        <f>data!H1793</f>
        <v>6</v>
      </c>
      <c r="K1793" s="11">
        <f>data!J1793</f>
        <v>6</v>
      </c>
      <c r="L1793" s="11">
        <f t="shared" si="109"/>
        <v>0</v>
      </c>
      <c r="M1793" s="9">
        <f t="shared" si="110"/>
        <v>0.28813559322033905</v>
      </c>
      <c r="N1793" s="9">
        <f t="shared" si="111"/>
        <v>0</v>
      </c>
    </row>
    <row r="1794" spans="1:14" x14ac:dyDescent="0.25">
      <c r="A1794" t="str">
        <f>TEXT("1/"&amp;data!A1794,"mmmm")</f>
        <v>juillet</v>
      </c>
      <c r="B1794">
        <f>data!B1794</f>
        <v>2016</v>
      </c>
      <c r="C1794" t="str">
        <f>data!C1794</f>
        <v>010</v>
      </c>
      <c r="D1794" t="str">
        <f>data!D1794</f>
        <v>DOMAINE VIGNEAU CHEVRAU</v>
      </c>
      <c r="E1794" t="str">
        <f>data!E1794</f>
        <v>010019</v>
      </c>
      <c r="F1794" t="str">
        <f>data!F1794</f>
        <v>AC VOUVRAY METH TRAD BRUT. V. CHEV BIO</v>
      </c>
      <c r="G1794" s="10">
        <f>data!G1794</f>
        <v>1462.8</v>
      </c>
      <c r="H1794" s="10">
        <f>data!I1794</f>
        <v>0</v>
      </c>
      <c r="I1794" s="10">
        <f t="shared" si="108"/>
        <v>1462.8</v>
      </c>
      <c r="J1794" s="11">
        <f>data!H1794</f>
        <v>276</v>
      </c>
      <c r="K1794" s="11">
        <f>data!J1794</f>
        <v>0</v>
      </c>
      <c r="L1794" s="11">
        <f t="shared" si="109"/>
        <v>276</v>
      </c>
      <c r="M1794" s="9" t="str">
        <f t="shared" si="110"/>
        <v/>
      </c>
      <c r="N1794" s="9" t="str">
        <f t="shared" si="111"/>
        <v/>
      </c>
    </row>
    <row r="1795" spans="1:14" x14ac:dyDescent="0.25">
      <c r="A1795" t="str">
        <f>TEXT("1/"&amp;data!A1795,"mmmm")</f>
        <v>juillet</v>
      </c>
      <c r="B1795">
        <f>data!B1795</f>
        <v>2016</v>
      </c>
      <c r="C1795" t="str">
        <f>data!C1795</f>
        <v>011</v>
      </c>
      <c r="D1795" t="str">
        <f>data!D1795</f>
        <v>CAVE GAUTIER</v>
      </c>
      <c r="E1795" t="str">
        <f>data!E1795</f>
        <v>011001</v>
      </c>
      <c r="F1795" t="str">
        <f>data!F1795</f>
        <v>AC VOUVRAY METH TRAD BRUT  D.CHATAIGNERAIE</v>
      </c>
      <c r="G1795" s="10">
        <f>data!G1795</f>
        <v>1747.62</v>
      </c>
      <c r="H1795" s="10">
        <f>data!I1795</f>
        <v>4859.82</v>
      </c>
      <c r="I1795" s="10">
        <f t="shared" ref="I1795:I1858" si="112">G1795-H1795</f>
        <v>-3112.2</v>
      </c>
      <c r="J1795" s="11">
        <f>data!H1795</f>
        <v>438</v>
      </c>
      <c r="K1795" s="11">
        <f>data!J1795</f>
        <v>1230</v>
      </c>
      <c r="L1795" s="11">
        <f t="shared" ref="L1795:L1858" si="113">J1795-K1795</f>
        <v>-792</v>
      </c>
      <c r="M1795" s="9">
        <f t="shared" ref="M1795:M1858" si="114">IF(ISERR(I1795/H1795),"",I1795/H1795)</f>
        <v>-0.64039408866995073</v>
      </c>
      <c r="N1795" s="9">
        <f t="shared" ref="N1795:N1858" si="115">IF(ISERR(L1795/K1795),"",L1795/K1795)</f>
        <v>-0.64390243902439026</v>
      </c>
    </row>
    <row r="1796" spans="1:14" x14ac:dyDescent="0.25">
      <c r="A1796" t="str">
        <f>TEXT("1/"&amp;data!A1796,"mmmm")</f>
        <v>juillet</v>
      </c>
      <c r="B1796">
        <f>data!B1796</f>
        <v>2016</v>
      </c>
      <c r="C1796" t="str">
        <f>data!C1796</f>
        <v>011</v>
      </c>
      <c r="D1796" t="str">
        <f>data!D1796</f>
        <v>CAVE GAUTIER</v>
      </c>
      <c r="E1796" t="str">
        <f>data!E1796</f>
        <v>011002</v>
      </c>
      <c r="F1796" t="str">
        <f>data!F1796</f>
        <v>AC VOUVRAY METH TRAD D.SEC  D.CHATAIGNERAIE</v>
      </c>
      <c r="G1796" s="10">
        <f>data!G1796</f>
        <v>119.7</v>
      </c>
      <c r="H1796" s="10">
        <f>data!I1796</f>
        <v>161.69999999999999</v>
      </c>
      <c r="I1796" s="10">
        <f t="shared" si="112"/>
        <v>-41.999999999999986</v>
      </c>
      <c r="J1796" s="11">
        <f>data!H1796</f>
        <v>30</v>
      </c>
      <c r="K1796" s="11">
        <f>data!J1796</f>
        <v>42</v>
      </c>
      <c r="L1796" s="11">
        <f t="shared" si="113"/>
        <v>-12</v>
      </c>
      <c r="M1796" s="9">
        <f t="shared" si="114"/>
        <v>-0.25974025974025966</v>
      </c>
      <c r="N1796" s="9">
        <f t="shared" si="115"/>
        <v>-0.2857142857142857</v>
      </c>
    </row>
    <row r="1797" spans="1:14" x14ac:dyDescent="0.25">
      <c r="A1797" t="str">
        <f>TEXT("1/"&amp;data!A1797,"mmmm")</f>
        <v>juillet</v>
      </c>
      <c r="B1797">
        <f>data!B1797</f>
        <v>2016</v>
      </c>
      <c r="C1797" t="str">
        <f>data!C1797</f>
        <v>011</v>
      </c>
      <c r="D1797" t="str">
        <f>data!D1797</f>
        <v>CAVE GAUTIER</v>
      </c>
      <c r="E1797" t="str">
        <f>data!E1797</f>
        <v>011005</v>
      </c>
      <c r="F1797" t="str">
        <f>data!F1797</f>
        <v>AC VOUVRAY C. ANTIQUE D.CHATAIGNERAIE</v>
      </c>
      <c r="G1797" s="10">
        <f>data!G1797</f>
        <v>1167.6600000000001</v>
      </c>
      <c r="H1797" s="10">
        <f>data!I1797</f>
        <v>1491.3</v>
      </c>
      <c r="I1797" s="10">
        <f t="shared" si="112"/>
        <v>-323.63999999999987</v>
      </c>
      <c r="J1797" s="11">
        <f>data!H1797</f>
        <v>234</v>
      </c>
      <c r="K1797" s="11">
        <f>data!J1797</f>
        <v>306</v>
      </c>
      <c r="L1797" s="11">
        <f t="shared" si="113"/>
        <v>-72</v>
      </c>
      <c r="M1797" s="9">
        <f t="shared" si="114"/>
        <v>-0.21701870850935417</v>
      </c>
      <c r="N1797" s="9">
        <f t="shared" si="115"/>
        <v>-0.23529411764705882</v>
      </c>
    </row>
    <row r="1798" spans="1:14" x14ac:dyDescent="0.25">
      <c r="A1798" t="str">
        <f>TEXT("1/"&amp;data!A1798,"mmmm")</f>
        <v>juillet</v>
      </c>
      <c r="B1798">
        <f>data!B1798</f>
        <v>2016</v>
      </c>
      <c r="C1798" t="str">
        <f>data!C1798</f>
        <v>011</v>
      </c>
      <c r="D1798" t="str">
        <f>data!D1798</f>
        <v>CAVE GAUTIER</v>
      </c>
      <c r="E1798" t="str">
        <f>data!E1798</f>
        <v>011006</v>
      </c>
      <c r="F1798" t="str">
        <f>data!F1798</f>
        <v>AC VOUVRAY ARGILEX</v>
      </c>
      <c r="G1798" s="10">
        <f>data!G1798</f>
        <v>112.8</v>
      </c>
      <c r="H1798" s="10">
        <f>data!I1798</f>
        <v>0</v>
      </c>
      <c r="I1798" s="10">
        <f t="shared" si="112"/>
        <v>112.8</v>
      </c>
      <c r="J1798" s="11">
        <f>data!H1798</f>
        <v>24</v>
      </c>
      <c r="K1798" s="11">
        <f>data!J1798</f>
        <v>0</v>
      </c>
      <c r="L1798" s="11">
        <f t="shared" si="113"/>
        <v>24</v>
      </c>
      <c r="M1798" s="9" t="str">
        <f t="shared" si="114"/>
        <v/>
      </c>
      <c r="N1798" s="9" t="str">
        <f t="shared" si="115"/>
        <v/>
      </c>
    </row>
    <row r="1799" spans="1:14" x14ac:dyDescent="0.25">
      <c r="A1799" t="str">
        <f>TEXT("1/"&amp;data!A1799,"mmmm")</f>
        <v>juillet</v>
      </c>
      <c r="B1799">
        <f>data!B1799</f>
        <v>2016</v>
      </c>
      <c r="C1799" t="str">
        <f>data!C1799</f>
        <v>019</v>
      </c>
      <c r="D1799" t="str">
        <f>data!D1799</f>
        <v>VIGNOBLES YON</v>
      </c>
      <c r="E1799" t="str">
        <f>data!E1799</f>
        <v>019003</v>
      </c>
      <c r="F1799" t="str">
        <f>data!F1799</f>
        <v>AC BDX SUP. CH LES HAUTS DE PEREY</v>
      </c>
      <c r="G1799" s="10">
        <f>data!G1799</f>
        <v>4455</v>
      </c>
      <c r="H1799" s="10">
        <f>data!I1799</f>
        <v>4362.9399999999996</v>
      </c>
      <c r="I1799" s="10">
        <f t="shared" si="112"/>
        <v>92.0600000000004</v>
      </c>
      <c r="J1799" s="11">
        <f>data!H1799</f>
        <v>1980</v>
      </c>
      <c r="K1799" s="11">
        <f>data!J1799</f>
        <v>1980</v>
      </c>
      <c r="L1799" s="11">
        <f t="shared" si="113"/>
        <v>0</v>
      </c>
      <c r="M1799" s="9">
        <f t="shared" si="114"/>
        <v>2.1100450613577178E-2</v>
      </c>
      <c r="N1799" s="9">
        <f t="shared" si="115"/>
        <v>0</v>
      </c>
    </row>
    <row r="1800" spans="1:14" x14ac:dyDescent="0.25">
      <c r="A1800" t="str">
        <f>TEXT("1/"&amp;data!A1800,"mmmm")</f>
        <v>juillet</v>
      </c>
      <c r="B1800">
        <f>data!B1800</f>
        <v>2016</v>
      </c>
      <c r="C1800" t="str">
        <f>data!C1800</f>
        <v>019</v>
      </c>
      <c r="D1800" t="str">
        <f>data!D1800</f>
        <v>VIGNOBLES YON</v>
      </c>
      <c r="E1800" t="str">
        <f>data!E1800</f>
        <v>019004</v>
      </c>
      <c r="F1800" t="str">
        <f>data!F1800</f>
        <v>AC BDX SUP. CH LES HAUTS DE PEREY</v>
      </c>
      <c r="G1800" s="10">
        <f>data!G1800</f>
        <v>105.12</v>
      </c>
      <c r="H1800" s="10">
        <f>data!I1800</f>
        <v>104.4</v>
      </c>
      <c r="I1800" s="10">
        <f t="shared" si="112"/>
        <v>0.71999999999999886</v>
      </c>
      <c r="J1800" s="11">
        <f>data!H1800</f>
        <v>36</v>
      </c>
      <c r="K1800" s="11">
        <f>data!J1800</f>
        <v>36</v>
      </c>
      <c r="L1800" s="11">
        <f t="shared" si="113"/>
        <v>0</v>
      </c>
      <c r="M1800" s="9">
        <f t="shared" si="114"/>
        <v>6.8965517241379197E-3</v>
      </c>
      <c r="N1800" s="9">
        <f t="shared" si="115"/>
        <v>0</v>
      </c>
    </row>
    <row r="1801" spans="1:14" x14ac:dyDescent="0.25">
      <c r="A1801" t="str">
        <f>TEXT("1/"&amp;data!A1801,"mmmm")</f>
        <v>juillet</v>
      </c>
      <c r="B1801">
        <f>data!B1801</f>
        <v>2016</v>
      </c>
      <c r="C1801" t="str">
        <f>data!C1801</f>
        <v>019</v>
      </c>
      <c r="D1801" t="str">
        <f>data!D1801</f>
        <v>VIGNOBLES YON</v>
      </c>
      <c r="E1801" t="str">
        <f>data!E1801</f>
        <v>019008</v>
      </c>
      <c r="F1801" t="str">
        <f>data!F1801</f>
        <v>AC BDX. CH LES HAUTS DE PEREY</v>
      </c>
      <c r="G1801" s="10">
        <f>data!G1801</f>
        <v>693</v>
      </c>
      <c r="H1801" s="10">
        <f>data!I1801</f>
        <v>926.4</v>
      </c>
      <c r="I1801" s="10">
        <f t="shared" si="112"/>
        <v>-233.39999999999998</v>
      </c>
      <c r="J1801" s="11">
        <f>data!H1801</f>
        <v>466.55</v>
      </c>
      <c r="K1801" s="11">
        <f>data!J1801</f>
        <v>639.84</v>
      </c>
      <c r="L1801" s="11">
        <f t="shared" si="113"/>
        <v>-173.29000000000002</v>
      </c>
      <c r="M1801" s="9">
        <f t="shared" si="114"/>
        <v>-0.25194300518134716</v>
      </c>
      <c r="N1801" s="9">
        <f t="shared" si="115"/>
        <v>-0.27083333333333337</v>
      </c>
    </row>
    <row r="1802" spans="1:14" x14ac:dyDescent="0.25">
      <c r="A1802" t="str">
        <f>TEXT("1/"&amp;data!A1802,"mmmm")</f>
        <v>juillet</v>
      </c>
      <c r="B1802">
        <f>data!B1802</f>
        <v>2016</v>
      </c>
      <c r="C1802" t="str">
        <f>data!C1802</f>
        <v>019</v>
      </c>
      <c r="D1802" t="str">
        <f>data!D1802</f>
        <v>VIGNOBLES YON</v>
      </c>
      <c r="E1802" t="str">
        <f>data!E1802</f>
        <v>019009</v>
      </c>
      <c r="F1802" t="str">
        <f>data!F1802</f>
        <v>AC BDX. CH LES HAUTS DE PEREY</v>
      </c>
      <c r="G1802" s="10">
        <f>data!G1802</f>
        <v>537.6</v>
      </c>
      <c r="H1802" s="10">
        <f>data!I1802</f>
        <v>407</v>
      </c>
      <c r="I1802" s="10">
        <f t="shared" si="112"/>
        <v>130.60000000000002</v>
      </c>
      <c r="J1802" s="11">
        <f>data!H1802</f>
        <v>326.83</v>
      </c>
      <c r="K1802" s="11">
        <f>data!J1802</f>
        <v>246.79</v>
      </c>
      <c r="L1802" s="11">
        <f t="shared" si="113"/>
        <v>80.039999999999992</v>
      </c>
      <c r="M1802" s="9">
        <f t="shared" si="114"/>
        <v>0.32088452088452096</v>
      </c>
      <c r="N1802" s="9">
        <f t="shared" si="115"/>
        <v>0.32432432432432429</v>
      </c>
    </row>
    <row r="1803" spans="1:14" x14ac:dyDescent="0.25">
      <c r="A1803" t="str">
        <f>TEXT("1/"&amp;data!A1803,"mmmm")</f>
        <v>juillet</v>
      </c>
      <c r="B1803">
        <f>data!B1803</f>
        <v>2016</v>
      </c>
      <c r="C1803" t="str">
        <f>data!C1803</f>
        <v>019</v>
      </c>
      <c r="D1803" t="str">
        <f>data!D1803</f>
        <v>VIGNOBLES YON</v>
      </c>
      <c r="E1803" t="str">
        <f>data!E1803</f>
        <v>019011</v>
      </c>
      <c r="F1803" t="str">
        <f>data!F1803</f>
        <v>AC BX SUP. CH GAURY-BALETTE</v>
      </c>
      <c r="G1803" s="10">
        <f>data!G1803</f>
        <v>277.44</v>
      </c>
      <c r="H1803" s="10">
        <f>data!I1803</f>
        <v>194.4</v>
      </c>
      <c r="I1803" s="10">
        <f t="shared" si="112"/>
        <v>83.039999999999992</v>
      </c>
      <c r="J1803" s="11">
        <f>data!H1803</f>
        <v>102</v>
      </c>
      <c r="K1803" s="11">
        <f>data!J1803</f>
        <v>72</v>
      </c>
      <c r="L1803" s="11">
        <f t="shared" si="113"/>
        <v>30</v>
      </c>
      <c r="M1803" s="9">
        <f t="shared" si="114"/>
        <v>0.42716049382716043</v>
      </c>
      <c r="N1803" s="9">
        <f t="shared" si="115"/>
        <v>0.41666666666666669</v>
      </c>
    </row>
    <row r="1804" spans="1:14" x14ac:dyDescent="0.25">
      <c r="A1804" t="str">
        <f>TEXT("1/"&amp;data!A1804,"mmmm")</f>
        <v>juillet</v>
      </c>
      <c r="B1804">
        <f>data!B1804</f>
        <v>2016</v>
      </c>
      <c r="C1804" t="str">
        <f>data!C1804</f>
        <v>019</v>
      </c>
      <c r="D1804" t="str">
        <f>data!D1804</f>
        <v>VIGNOBLES YON</v>
      </c>
      <c r="E1804" t="str">
        <f>data!E1804</f>
        <v>019014</v>
      </c>
      <c r="F1804" t="str">
        <f>data!F1804</f>
        <v>AC BX SUP. CH GAURY-BALETTE</v>
      </c>
      <c r="G1804" s="10">
        <f>data!G1804</f>
        <v>20.399999999999999</v>
      </c>
      <c r="H1804" s="10">
        <f>data!I1804</f>
        <v>0</v>
      </c>
      <c r="I1804" s="10">
        <f t="shared" si="112"/>
        <v>20.399999999999999</v>
      </c>
      <c r="J1804" s="11">
        <f>data!H1804</f>
        <v>6</v>
      </c>
      <c r="K1804" s="11">
        <f>data!J1804</f>
        <v>0</v>
      </c>
      <c r="L1804" s="11">
        <f t="shared" si="113"/>
        <v>6</v>
      </c>
      <c r="M1804" s="9" t="str">
        <f t="shared" si="114"/>
        <v/>
      </c>
      <c r="N1804" s="9" t="str">
        <f t="shared" si="115"/>
        <v/>
      </c>
    </row>
    <row r="1805" spans="1:14" x14ac:dyDescent="0.25">
      <c r="A1805" t="str">
        <f>TEXT("1/"&amp;data!A1805,"mmmm")</f>
        <v>juillet</v>
      </c>
      <c r="B1805">
        <f>data!B1805</f>
        <v>2016</v>
      </c>
      <c r="C1805" t="str">
        <f>data!C1805</f>
        <v>019</v>
      </c>
      <c r="D1805" t="str">
        <f>data!D1805</f>
        <v>VIGNOBLES YON</v>
      </c>
      <c r="E1805" t="str">
        <f>data!E1805</f>
        <v>019015</v>
      </c>
      <c r="F1805" t="str">
        <f>data!F1805</f>
        <v>AC E2MERS. CH GAURY-BALETTE</v>
      </c>
      <c r="G1805" s="10">
        <f>data!G1805</f>
        <v>55.2</v>
      </c>
      <c r="H1805" s="10">
        <f>data!I1805</f>
        <v>189</v>
      </c>
      <c r="I1805" s="10">
        <f t="shared" si="112"/>
        <v>-133.80000000000001</v>
      </c>
      <c r="J1805" s="11">
        <f>data!H1805</f>
        <v>24</v>
      </c>
      <c r="K1805" s="11">
        <f>data!J1805</f>
        <v>84</v>
      </c>
      <c r="L1805" s="11">
        <f t="shared" si="113"/>
        <v>-60</v>
      </c>
      <c r="M1805" s="9">
        <f t="shared" si="114"/>
        <v>-0.70793650793650797</v>
      </c>
      <c r="N1805" s="9">
        <f t="shared" si="115"/>
        <v>-0.7142857142857143</v>
      </c>
    </row>
    <row r="1806" spans="1:14" x14ac:dyDescent="0.25">
      <c r="A1806" t="str">
        <f>TEXT("1/"&amp;data!A1806,"mmmm")</f>
        <v>juillet</v>
      </c>
      <c r="B1806">
        <f>data!B1806</f>
        <v>2016</v>
      </c>
      <c r="C1806" t="str">
        <f>data!C1806</f>
        <v>025</v>
      </c>
      <c r="D1806" t="str">
        <f>data!D1806</f>
        <v>COLLOVRAY &amp; TERRIER</v>
      </c>
      <c r="E1806" t="str">
        <f>data!E1806</f>
        <v>025001</v>
      </c>
      <c r="F1806" t="str">
        <f>data!F1806</f>
        <v>AC SAINT VERAN TRAD. COLLOVRAY&amp;TERRIER</v>
      </c>
      <c r="G1806" s="10">
        <f>data!G1806</f>
        <v>285.18</v>
      </c>
      <c r="H1806" s="10">
        <f>data!I1806</f>
        <v>1018.5</v>
      </c>
      <c r="I1806" s="10">
        <f t="shared" si="112"/>
        <v>-733.31999999999994</v>
      </c>
      <c r="J1806" s="11">
        <f>data!H1806</f>
        <v>42</v>
      </c>
      <c r="K1806" s="11">
        <f>data!J1806</f>
        <v>150</v>
      </c>
      <c r="L1806" s="11">
        <f t="shared" si="113"/>
        <v>-108</v>
      </c>
      <c r="M1806" s="9">
        <f t="shared" si="114"/>
        <v>-0.72</v>
      </c>
      <c r="N1806" s="9">
        <f t="shared" si="115"/>
        <v>-0.72</v>
      </c>
    </row>
    <row r="1807" spans="1:14" x14ac:dyDescent="0.25">
      <c r="A1807" t="str">
        <f>TEXT("1/"&amp;data!A1807,"mmmm")</f>
        <v>juillet</v>
      </c>
      <c r="B1807">
        <f>data!B1807</f>
        <v>2016</v>
      </c>
      <c r="C1807" t="str">
        <f>data!C1807</f>
        <v>025</v>
      </c>
      <c r="D1807" t="str">
        <f>data!D1807</f>
        <v>COLLOVRAY &amp; TERRIER</v>
      </c>
      <c r="E1807" t="str">
        <f>data!E1807</f>
        <v>025003</v>
      </c>
      <c r="F1807" t="str">
        <f>data!F1807</f>
        <v>DME DEUX ROCHES AC ST VERAN RIVES DE LONGSAULT</v>
      </c>
      <c r="G1807" s="10">
        <f>data!G1807</f>
        <v>183.6</v>
      </c>
      <c r="H1807" s="10">
        <f>data!I1807</f>
        <v>229.5</v>
      </c>
      <c r="I1807" s="10">
        <f t="shared" si="112"/>
        <v>-45.900000000000006</v>
      </c>
      <c r="J1807" s="11">
        <f>data!H1807</f>
        <v>24</v>
      </c>
      <c r="K1807" s="11">
        <f>data!J1807</f>
        <v>30</v>
      </c>
      <c r="L1807" s="11">
        <f t="shared" si="113"/>
        <v>-6</v>
      </c>
      <c r="M1807" s="9">
        <f t="shared" si="114"/>
        <v>-0.2</v>
      </c>
      <c r="N1807" s="9">
        <f t="shared" si="115"/>
        <v>-0.2</v>
      </c>
    </row>
    <row r="1808" spans="1:14" x14ac:dyDescent="0.25">
      <c r="A1808" t="str">
        <f>TEXT("1/"&amp;data!A1808,"mmmm")</f>
        <v>juillet</v>
      </c>
      <c r="B1808">
        <f>data!B1808</f>
        <v>2016</v>
      </c>
      <c r="C1808" t="str">
        <f>data!C1808</f>
        <v>025</v>
      </c>
      <c r="D1808" t="str">
        <f>data!D1808</f>
        <v>COLLOVRAY &amp; TERRIER</v>
      </c>
      <c r="E1808" t="str">
        <f>data!E1808</f>
        <v>025010</v>
      </c>
      <c r="F1808" t="str">
        <f>data!F1808</f>
        <v>AC MACON VILL TRAD. COLLOVRAY &amp;</v>
      </c>
      <c r="G1808" s="10">
        <f>data!G1808</f>
        <v>399.6</v>
      </c>
      <c r="H1808" s="10">
        <f>data!I1808</f>
        <v>666</v>
      </c>
      <c r="I1808" s="10">
        <f t="shared" si="112"/>
        <v>-266.39999999999998</v>
      </c>
      <c r="J1808" s="11">
        <f>data!H1808</f>
        <v>72</v>
      </c>
      <c r="K1808" s="11">
        <f>data!J1808</f>
        <v>120</v>
      </c>
      <c r="L1808" s="11">
        <f t="shared" si="113"/>
        <v>-48</v>
      </c>
      <c r="M1808" s="9">
        <f t="shared" si="114"/>
        <v>-0.39999999999999997</v>
      </c>
      <c r="N1808" s="9">
        <f t="shared" si="115"/>
        <v>-0.4</v>
      </c>
    </row>
    <row r="1809" spans="1:14" x14ac:dyDescent="0.25">
      <c r="A1809" t="str">
        <f>TEXT("1/"&amp;data!A1809,"mmmm")</f>
        <v>juillet</v>
      </c>
      <c r="B1809">
        <f>data!B1809</f>
        <v>2016</v>
      </c>
      <c r="C1809" t="str">
        <f>data!C1809</f>
        <v>025</v>
      </c>
      <c r="D1809" t="str">
        <f>data!D1809</f>
        <v>COLLOVRAY &amp; TERRIER</v>
      </c>
      <c r="E1809" t="str">
        <f>data!E1809</f>
        <v>025013</v>
      </c>
      <c r="F1809" t="str">
        <f>data!F1809</f>
        <v>AC MACON. VERGER DES FEUILLANTS</v>
      </c>
      <c r="G1809" s="10">
        <f>data!G1809</f>
        <v>87.3</v>
      </c>
      <c r="H1809" s="10">
        <f>data!I1809</f>
        <v>116.4</v>
      </c>
      <c r="I1809" s="10">
        <f t="shared" si="112"/>
        <v>-29.100000000000009</v>
      </c>
      <c r="J1809" s="11">
        <f>data!H1809</f>
        <v>18</v>
      </c>
      <c r="K1809" s="11">
        <f>data!J1809</f>
        <v>24</v>
      </c>
      <c r="L1809" s="11">
        <f t="shared" si="113"/>
        <v>-6</v>
      </c>
      <c r="M1809" s="9">
        <f t="shared" si="114"/>
        <v>-0.25000000000000006</v>
      </c>
      <c r="N1809" s="9">
        <f t="shared" si="115"/>
        <v>-0.25</v>
      </c>
    </row>
    <row r="1810" spans="1:14" x14ac:dyDescent="0.25">
      <c r="A1810" t="str">
        <f>TEXT("1/"&amp;data!A1810,"mmmm")</f>
        <v>juillet</v>
      </c>
      <c r="B1810">
        <f>data!B1810</f>
        <v>2016</v>
      </c>
      <c r="C1810" t="str">
        <f>data!C1810</f>
        <v>025</v>
      </c>
      <c r="D1810" t="str">
        <f>data!D1810</f>
        <v>COLLOVRAY &amp; TERRIER</v>
      </c>
      <c r="E1810" t="str">
        <f>data!E1810</f>
        <v>025015</v>
      </c>
      <c r="F1810" t="str">
        <f>data!F1810</f>
        <v>VDP PINOT NOIR . D.D'ANTUGNIAC</v>
      </c>
      <c r="G1810" s="10">
        <f>data!G1810</f>
        <v>333.21</v>
      </c>
      <c r="H1810" s="10">
        <f>data!I1810</f>
        <v>183.84</v>
      </c>
      <c r="I1810" s="10">
        <f t="shared" si="112"/>
        <v>149.36999999999998</v>
      </c>
      <c r="J1810" s="11">
        <f>data!H1810</f>
        <v>102</v>
      </c>
      <c r="K1810" s="11">
        <f>data!J1810</f>
        <v>48</v>
      </c>
      <c r="L1810" s="11">
        <f t="shared" si="113"/>
        <v>54</v>
      </c>
      <c r="M1810" s="9">
        <f t="shared" si="114"/>
        <v>0.81249999999999989</v>
      </c>
      <c r="N1810" s="9">
        <f t="shared" si="115"/>
        <v>1.125</v>
      </c>
    </row>
    <row r="1811" spans="1:14" x14ac:dyDescent="0.25">
      <c r="A1811" t="str">
        <f>TEXT("1/"&amp;data!A1811,"mmmm")</f>
        <v>juillet</v>
      </c>
      <c r="B1811">
        <f>data!B1811</f>
        <v>2016</v>
      </c>
      <c r="C1811" t="str">
        <f>data!C1811</f>
        <v>025</v>
      </c>
      <c r="D1811" t="str">
        <f>data!D1811</f>
        <v>COLLOVRAY &amp; TERRIER</v>
      </c>
      <c r="E1811" t="str">
        <f>data!E1811</f>
        <v>025016</v>
      </c>
      <c r="F1811" t="str">
        <f>data!F1811</f>
        <v>VDP MERLOT. D.D'ANTUGNIAC</v>
      </c>
      <c r="G1811" s="10">
        <f>data!G1811</f>
        <v>43.74</v>
      </c>
      <c r="H1811" s="10">
        <f>data!I1811</f>
        <v>0</v>
      </c>
      <c r="I1811" s="10">
        <f t="shared" si="112"/>
        <v>43.74</v>
      </c>
      <c r="J1811" s="11">
        <f>data!H1811</f>
        <v>24</v>
      </c>
      <c r="K1811" s="11">
        <f>data!J1811</f>
        <v>0</v>
      </c>
      <c r="L1811" s="11">
        <f t="shared" si="113"/>
        <v>24</v>
      </c>
      <c r="M1811" s="9" t="str">
        <f t="shared" si="114"/>
        <v/>
      </c>
      <c r="N1811" s="9" t="str">
        <f t="shared" si="115"/>
        <v/>
      </c>
    </row>
    <row r="1812" spans="1:14" x14ac:dyDescent="0.25">
      <c r="A1812" t="str">
        <f>TEXT("1/"&amp;data!A1812,"mmmm")</f>
        <v>juillet</v>
      </c>
      <c r="B1812">
        <f>data!B1812</f>
        <v>2016</v>
      </c>
      <c r="C1812" t="str">
        <f>data!C1812</f>
        <v>025</v>
      </c>
      <c r="D1812" t="str">
        <f>data!D1812</f>
        <v>COLLOVRAY &amp; TERRIER</v>
      </c>
      <c r="E1812" t="str">
        <f>data!E1812</f>
        <v>025021</v>
      </c>
      <c r="F1812" t="str">
        <f>data!F1812</f>
        <v>AC POUILLY-FUISSE. V.VIGNES</v>
      </c>
      <c r="G1812" s="10">
        <f>data!G1812</f>
        <v>642</v>
      </c>
      <c r="H1812" s="10">
        <f>data!I1812</f>
        <v>963</v>
      </c>
      <c r="I1812" s="10">
        <f t="shared" si="112"/>
        <v>-321</v>
      </c>
      <c r="J1812" s="11">
        <f>data!H1812</f>
        <v>60</v>
      </c>
      <c r="K1812" s="11">
        <f>data!J1812</f>
        <v>90</v>
      </c>
      <c r="L1812" s="11">
        <f t="shared" si="113"/>
        <v>-30</v>
      </c>
      <c r="M1812" s="9">
        <f t="shared" si="114"/>
        <v>-0.33333333333333331</v>
      </c>
      <c r="N1812" s="9">
        <f t="shared" si="115"/>
        <v>-0.33333333333333331</v>
      </c>
    </row>
    <row r="1813" spans="1:14" x14ac:dyDescent="0.25">
      <c r="A1813" t="str">
        <f>TEXT("1/"&amp;data!A1813,"mmmm")</f>
        <v>juillet</v>
      </c>
      <c r="B1813">
        <f>data!B1813</f>
        <v>2016</v>
      </c>
      <c r="C1813" t="str">
        <f>data!C1813</f>
        <v>025</v>
      </c>
      <c r="D1813" t="str">
        <f>data!D1813</f>
        <v>COLLOVRAY &amp; TERRIER</v>
      </c>
      <c r="E1813" t="str">
        <f>data!E1813</f>
        <v>025026</v>
      </c>
      <c r="F1813" t="str">
        <f>data!F1813</f>
        <v>VDP CHARDONNAY. D.D'ANTUGNAC</v>
      </c>
      <c r="G1813" s="10">
        <f>data!G1813</f>
        <v>994.08</v>
      </c>
      <c r="H1813" s="10">
        <f>data!I1813</f>
        <v>1620</v>
      </c>
      <c r="I1813" s="10">
        <f t="shared" si="112"/>
        <v>-625.91999999999996</v>
      </c>
      <c r="J1813" s="11">
        <f>data!H1813</f>
        <v>336</v>
      </c>
      <c r="K1813" s="11">
        <f>data!J1813</f>
        <v>540</v>
      </c>
      <c r="L1813" s="11">
        <f t="shared" si="113"/>
        <v>-204</v>
      </c>
      <c r="M1813" s="9">
        <f t="shared" si="114"/>
        <v>-0.38637037037037036</v>
      </c>
      <c r="N1813" s="9">
        <f t="shared" si="115"/>
        <v>-0.37777777777777777</v>
      </c>
    </row>
    <row r="1814" spans="1:14" x14ac:dyDescent="0.25">
      <c r="A1814" t="str">
        <f>TEXT("1/"&amp;data!A1814,"mmmm")</f>
        <v>juillet</v>
      </c>
      <c r="B1814">
        <f>data!B1814</f>
        <v>2016</v>
      </c>
      <c r="C1814" t="str">
        <f>data!C1814</f>
        <v>025</v>
      </c>
      <c r="D1814" t="str">
        <f>data!D1814</f>
        <v>COLLOVRAY &amp; TERRIER</v>
      </c>
      <c r="E1814" t="str">
        <f>data!E1814</f>
        <v>025031</v>
      </c>
      <c r="F1814" t="str">
        <f>data!F1814</f>
        <v>AC LIMOUX. Terres Amoureuses D.D'ANTUGNAC</v>
      </c>
      <c r="G1814" s="10">
        <f>data!G1814</f>
        <v>549.45000000000005</v>
      </c>
      <c r="H1814" s="10">
        <f>data!I1814</f>
        <v>0</v>
      </c>
      <c r="I1814" s="10">
        <f t="shared" si="112"/>
        <v>549.45000000000005</v>
      </c>
      <c r="J1814" s="11">
        <f>data!H1814</f>
        <v>102</v>
      </c>
      <c r="K1814" s="11">
        <f>data!J1814</f>
        <v>0</v>
      </c>
      <c r="L1814" s="11">
        <f t="shared" si="113"/>
        <v>102</v>
      </c>
      <c r="M1814" s="9" t="str">
        <f t="shared" si="114"/>
        <v/>
      </c>
      <c r="N1814" s="9" t="str">
        <f t="shared" si="115"/>
        <v/>
      </c>
    </row>
    <row r="1815" spans="1:14" x14ac:dyDescent="0.25">
      <c r="A1815" t="str">
        <f>TEXT("1/"&amp;data!A1815,"mmmm")</f>
        <v>juillet</v>
      </c>
      <c r="B1815">
        <f>data!B1815</f>
        <v>2016</v>
      </c>
      <c r="C1815" t="str">
        <f>data!C1815</f>
        <v>025</v>
      </c>
      <c r="D1815" t="str">
        <f>data!D1815</f>
        <v>COLLOVRAY &amp; TERRIER</v>
      </c>
      <c r="E1815" t="str">
        <f>data!E1815</f>
        <v>025033</v>
      </c>
      <c r="F1815" t="str">
        <f>data!F1815</f>
        <v>AC LIMOUX Aux Bons Hommes D.D'ANTUGNAC</v>
      </c>
      <c r="G1815" s="10">
        <f>data!G1815</f>
        <v>99.36</v>
      </c>
      <c r="H1815" s="10">
        <f>data!I1815</f>
        <v>149.04</v>
      </c>
      <c r="I1815" s="10">
        <f t="shared" si="112"/>
        <v>-49.679999999999993</v>
      </c>
      <c r="J1815" s="11">
        <f>data!H1815</f>
        <v>24</v>
      </c>
      <c r="K1815" s="11">
        <f>data!J1815</f>
        <v>36</v>
      </c>
      <c r="L1815" s="11">
        <f t="shared" si="113"/>
        <v>-12</v>
      </c>
      <c r="M1815" s="9">
        <f t="shared" si="114"/>
        <v>-0.33333333333333331</v>
      </c>
      <c r="N1815" s="9">
        <f t="shared" si="115"/>
        <v>-0.33333333333333331</v>
      </c>
    </row>
    <row r="1816" spans="1:14" x14ac:dyDescent="0.25">
      <c r="A1816" t="str">
        <f>TEXT("1/"&amp;data!A1816,"mmmm")</f>
        <v>juillet</v>
      </c>
      <c r="B1816">
        <f>data!B1816</f>
        <v>2016</v>
      </c>
      <c r="C1816" t="str">
        <f>data!C1816</f>
        <v>028</v>
      </c>
      <c r="D1816" t="str">
        <f>data!D1816</f>
        <v>VIGNOBLES DUBOIS ET FILS</v>
      </c>
      <c r="E1816" t="str">
        <f>data!E1816</f>
        <v>028001</v>
      </c>
      <c r="F1816" t="str">
        <f>data!F1816</f>
        <v>AC 1ERES C.DE BLAYE. TRADITION  CH L.BERTRANDS</v>
      </c>
      <c r="G1816" s="10">
        <f>data!G1816</f>
        <v>838.5</v>
      </c>
      <c r="H1816" s="10">
        <f>data!I1816</f>
        <v>916.5</v>
      </c>
      <c r="I1816" s="10">
        <f t="shared" si="112"/>
        <v>-78</v>
      </c>
      <c r="J1816" s="11">
        <f>data!H1816</f>
        <v>258</v>
      </c>
      <c r="K1816" s="11">
        <f>data!J1816</f>
        <v>282</v>
      </c>
      <c r="L1816" s="11">
        <f t="shared" si="113"/>
        <v>-24</v>
      </c>
      <c r="M1816" s="9">
        <f t="shared" si="114"/>
        <v>-8.5106382978723402E-2</v>
      </c>
      <c r="N1816" s="9">
        <f t="shared" si="115"/>
        <v>-8.5106382978723402E-2</v>
      </c>
    </row>
    <row r="1817" spans="1:14" x14ac:dyDescent="0.25">
      <c r="A1817" t="str">
        <f>TEXT("1/"&amp;data!A1817,"mmmm")</f>
        <v>juillet</v>
      </c>
      <c r="B1817">
        <f>data!B1817</f>
        <v>2016</v>
      </c>
      <c r="C1817" t="str">
        <f>data!C1817</f>
        <v>028</v>
      </c>
      <c r="D1817" t="str">
        <f>data!D1817</f>
        <v>VIGNOBLES DUBOIS ET FILS</v>
      </c>
      <c r="E1817" t="str">
        <f>data!E1817</f>
        <v>028005</v>
      </c>
      <c r="F1817" t="str">
        <f>data!F1817</f>
        <v>AC 1ERES C.BLAYE TRAD. CH L.BERTRANDS</v>
      </c>
      <c r="G1817" s="10">
        <f>data!G1817</f>
        <v>436.8</v>
      </c>
      <c r="H1817" s="10">
        <f>data!I1817</f>
        <v>168</v>
      </c>
      <c r="I1817" s="10">
        <f t="shared" si="112"/>
        <v>268.8</v>
      </c>
      <c r="J1817" s="11">
        <f>data!H1817</f>
        <v>156</v>
      </c>
      <c r="K1817" s="11">
        <f>data!J1817</f>
        <v>60</v>
      </c>
      <c r="L1817" s="11">
        <f t="shared" si="113"/>
        <v>96</v>
      </c>
      <c r="M1817" s="9">
        <f t="shared" si="114"/>
        <v>1.6</v>
      </c>
      <c r="N1817" s="9">
        <f t="shared" si="115"/>
        <v>1.6</v>
      </c>
    </row>
    <row r="1818" spans="1:14" x14ac:dyDescent="0.25">
      <c r="A1818" t="str">
        <f>TEXT("1/"&amp;data!A1818,"mmmm")</f>
        <v>juillet</v>
      </c>
      <c r="B1818">
        <f>data!B1818</f>
        <v>2016</v>
      </c>
      <c r="C1818" t="str">
        <f>data!C1818</f>
        <v>028</v>
      </c>
      <c r="D1818" t="str">
        <f>data!D1818</f>
        <v>VIGNOBLES DUBOIS ET FILS</v>
      </c>
      <c r="E1818" t="str">
        <f>data!E1818</f>
        <v>028007</v>
      </c>
      <c r="F1818" t="str">
        <f>data!F1818</f>
        <v>AC 1ERES C BLAYE TRAD. CH L.BERTRANDS</v>
      </c>
      <c r="G1818" s="10">
        <f>data!G1818</f>
        <v>684</v>
      </c>
      <c r="H1818" s="10">
        <f>data!I1818</f>
        <v>180.8</v>
      </c>
      <c r="I1818" s="10">
        <f t="shared" si="112"/>
        <v>503.2</v>
      </c>
      <c r="J1818" s="11">
        <f>data!H1818</f>
        <v>426.56</v>
      </c>
      <c r="K1818" s="11">
        <f>data!J1818</f>
        <v>106.64</v>
      </c>
      <c r="L1818" s="11">
        <f t="shared" si="113"/>
        <v>319.92</v>
      </c>
      <c r="M1818" s="9">
        <f t="shared" si="114"/>
        <v>2.7831858407079642</v>
      </c>
      <c r="N1818" s="9">
        <f t="shared" si="115"/>
        <v>3</v>
      </c>
    </row>
    <row r="1819" spans="1:14" x14ac:dyDescent="0.25">
      <c r="A1819" t="str">
        <f>TEXT("1/"&amp;data!A1819,"mmmm")</f>
        <v>juillet</v>
      </c>
      <c r="B1819">
        <f>data!B1819</f>
        <v>2016</v>
      </c>
      <c r="C1819" t="str">
        <f>data!C1819</f>
        <v>028</v>
      </c>
      <c r="D1819" t="str">
        <f>data!D1819</f>
        <v>VIGNOBLES DUBOIS ET FILS</v>
      </c>
      <c r="E1819" t="str">
        <f>data!E1819</f>
        <v>028008</v>
      </c>
      <c r="F1819" t="str">
        <f>data!F1819</f>
        <v>AC C. DE BLAYE CH L.BERTRANDS</v>
      </c>
      <c r="G1819" s="10">
        <f>data!G1819</f>
        <v>607.5</v>
      </c>
      <c r="H1819" s="10">
        <f>data!I1819</f>
        <v>518.70000000000005</v>
      </c>
      <c r="I1819" s="10">
        <f t="shared" si="112"/>
        <v>88.799999999999955</v>
      </c>
      <c r="J1819" s="11">
        <f>data!H1819</f>
        <v>300.14999999999998</v>
      </c>
      <c r="K1819" s="11">
        <f>data!J1819</f>
        <v>260.13</v>
      </c>
      <c r="L1819" s="11">
        <f t="shared" si="113"/>
        <v>40.019999999999982</v>
      </c>
      <c r="M1819" s="9">
        <f t="shared" si="114"/>
        <v>0.17119722382880267</v>
      </c>
      <c r="N1819" s="9">
        <f t="shared" si="115"/>
        <v>0.15384615384615377</v>
      </c>
    </row>
    <row r="1820" spans="1:14" x14ac:dyDescent="0.25">
      <c r="A1820" t="str">
        <f>TEXT("1/"&amp;data!A1820,"mmmm")</f>
        <v>juillet</v>
      </c>
      <c r="B1820">
        <f>data!B1820</f>
        <v>2016</v>
      </c>
      <c r="C1820" t="str">
        <f>data!C1820</f>
        <v>028</v>
      </c>
      <c r="D1820" t="str">
        <f>data!D1820</f>
        <v>VIGNOBLES DUBOIS ET FILS</v>
      </c>
      <c r="E1820" t="str">
        <f>data!E1820</f>
        <v>028013</v>
      </c>
      <c r="F1820" t="str">
        <f>data!F1820</f>
        <v>AC 1ERES COTES DE BLAYE PRESTIGE</v>
      </c>
      <c r="G1820" s="10">
        <f>data!G1820</f>
        <v>640.79999999999995</v>
      </c>
      <c r="H1820" s="10">
        <f>data!I1820</f>
        <v>560.70000000000005</v>
      </c>
      <c r="I1820" s="10">
        <f t="shared" si="112"/>
        <v>80.099999999999909</v>
      </c>
      <c r="J1820" s="11">
        <f>data!H1820</f>
        <v>144</v>
      </c>
      <c r="K1820" s="11">
        <f>data!J1820</f>
        <v>126</v>
      </c>
      <c r="L1820" s="11">
        <f t="shared" si="113"/>
        <v>18</v>
      </c>
      <c r="M1820" s="9">
        <f t="shared" si="114"/>
        <v>0.14285714285714268</v>
      </c>
      <c r="N1820" s="9">
        <f t="shared" si="115"/>
        <v>0.14285714285714285</v>
      </c>
    </row>
    <row r="1821" spans="1:14" x14ac:dyDescent="0.25">
      <c r="A1821" t="str">
        <f>TEXT("1/"&amp;data!A1821,"mmmm")</f>
        <v>juillet</v>
      </c>
      <c r="B1821">
        <f>data!B1821</f>
        <v>2016</v>
      </c>
      <c r="C1821" t="str">
        <f>data!C1821</f>
        <v>035</v>
      </c>
      <c r="D1821" t="str">
        <f>data!D1821</f>
        <v>DOMAINE OLIVIER</v>
      </c>
      <c r="E1821" t="str">
        <f>data!E1821</f>
        <v>035001</v>
      </c>
      <c r="F1821" t="str">
        <f>data!F1821</f>
        <v>AC ST NICOLAS DE BOURG D.OLIVIER</v>
      </c>
      <c r="G1821" s="10">
        <f>data!G1821</f>
        <v>5839.32</v>
      </c>
      <c r="H1821" s="10">
        <f>data!I1821</f>
        <v>3870</v>
      </c>
      <c r="I1821" s="10">
        <f t="shared" si="112"/>
        <v>1969.3199999999997</v>
      </c>
      <c r="J1821" s="11">
        <f>data!H1821</f>
        <v>1482</v>
      </c>
      <c r="K1821" s="11">
        <f>data!J1821</f>
        <v>996</v>
      </c>
      <c r="L1821" s="11">
        <f t="shared" si="113"/>
        <v>486</v>
      </c>
      <c r="M1821" s="9">
        <f t="shared" si="114"/>
        <v>0.50886821705426344</v>
      </c>
      <c r="N1821" s="9">
        <f t="shared" si="115"/>
        <v>0.48795180722891568</v>
      </c>
    </row>
    <row r="1822" spans="1:14" x14ac:dyDescent="0.25">
      <c r="A1822" t="str">
        <f>TEXT("1/"&amp;data!A1822,"mmmm")</f>
        <v>juillet</v>
      </c>
      <c r="B1822">
        <f>data!B1822</f>
        <v>2016</v>
      </c>
      <c r="C1822" t="str">
        <f>data!C1822</f>
        <v>035</v>
      </c>
      <c r="D1822" t="str">
        <f>data!D1822</f>
        <v>DOMAINE OLIVIER</v>
      </c>
      <c r="E1822" t="str">
        <f>data!E1822</f>
        <v>035002</v>
      </c>
      <c r="F1822" t="str">
        <f>data!F1822</f>
        <v>AC ST NICOLAS DE BOURG D.OLIVIER</v>
      </c>
      <c r="G1822" s="10">
        <f>data!G1822</f>
        <v>182.16</v>
      </c>
      <c r="H1822" s="10">
        <f>data!I1822</f>
        <v>1263</v>
      </c>
      <c r="I1822" s="10">
        <f t="shared" si="112"/>
        <v>-1080.8399999999999</v>
      </c>
      <c r="J1822" s="11">
        <f>data!H1822</f>
        <v>36</v>
      </c>
      <c r="K1822" s="11">
        <f>data!J1822</f>
        <v>270</v>
      </c>
      <c r="L1822" s="11">
        <f t="shared" si="113"/>
        <v>-234</v>
      </c>
      <c r="M1822" s="9">
        <f t="shared" si="114"/>
        <v>-0.85577197149643702</v>
      </c>
      <c r="N1822" s="9">
        <f t="shared" si="115"/>
        <v>-0.8666666666666667</v>
      </c>
    </row>
    <row r="1823" spans="1:14" x14ac:dyDescent="0.25">
      <c r="A1823" t="str">
        <f>TEXT("1/"&amp;data!A1823,"mmmm")</f>
        <v>juillet</v>
      </c>
      <c r="B1823">
        <f>data!B1823</f>
        <v>2016</v>
      </c>
      <c r="C1823" t="str">
        <f>data!C1823</f>
        <v>035</v>
      </c>
      <c r="D1823" t="str">
        <f>data!D1823</f>
        <v>DOMAINE OLIVIER</v>
      </c>
      <c r="E1823" t="str">
        <f>data!E1823</f>
        <v>035010</v>
      </c>
      <c r="F1823" t="str">
        <f>data!F1823</f>
        <v>AC BOURGUEIL V.VIGNES D.OLIVIER</v>
      </c>
      <c r="G1823" s="10">
        <f>data!G1823</f>
        <v>502.32</v>
      </c>
      <c r="H1823" s="10">
        <f>data!I1823</f>
        <v>428.4</v>
      </c>
      <c r="I1823" s="10">
        <f t="shared" si="112"/>
        <v>73.920000000000016</v>
      </c>
      <c r="J1823" s="11">
        <f>data!H1823</f>
        <v>138</v>
      </c>
      <c r="K1823" s="11">
        <f>data!J1823</f>
        <v>120</v>
      </c>
      <c r="L1823" s="11">
        <f t="shared" si="113"/>
        <v>18</v>
      </c>
      <c r="M1823" s="9">
        <f t="shared" si="114"/>
        <v>0.17254901960784319</v>
      </c>
      <c r="N1823" s="9">
        <f t="shared" si="115"/>
        <v>0.15</v>
      </c>
    </row>
    <row r="1824" spans="1:14" x14ac:dyDescent="0.25">
      <c r="A1824" t="str">
        <f>TEXT("1/"&amp;data!A1824,"mmmm")</f>
        <v>juillet</v>
      </c>
      <c r="B1824">
        <f>data!B1824</f>
        <v>2016</v>
      </c>
      <c r="C1824" t="str">
        <f>data!C1824</f>
        <v>037</v>
      </c>
      <c r="D1824" t="str">
        <f>data!D1824</f>
        <v>SARL RAFFAULT</v>
      </c>
      <c r="E1824" t="str">
        <f>data!E1824</f>
        <v>037001</v>
      </c>
      <c r="F1824" t="str">
        <f>data!F1824</f>
        <v>JM. RAFFAULT AC CHINON LES PICASSES</v>
      </c>
      <c r="G1824" s="10">
        <f>data!G1824</f>
        <v>118.32</v>
      </c>
      <c r="H1824" s="10">
        <f>data!I1824</f>
        <v>59.16</v>
      </c>
      <c r="I1824" s="10">
        <f t="shared" si="112"/>
        <v>59.16</v>
      </c>
      <c r="J1824" s="11">
        <f>data!H1824</f>
        <v>24</v>
      </c>
      <c r="K1824" s="11">
        <f>data!J1824</f>
        <v>12</v>
      </c>
      <c r="L1824" s="11">
        <f t="shared" si="113"/>
        <v>12</v>
      </c>
      <c r="M1824" s="9">
        <f t="shared" si="114"/>
        <v>1</v>
      </c>
      <c r="N1824" s="9">
        <f t="shared" si="115"/>
        <v>1</v>
      </c>
    </row>
    <row r="1825" spans="1:14" x14ac:dyDescent="0.25">
      <c r="A1825" t="str">
        <f>TEXT("1/"&amp;data!A1825,"mmmm")</f>
        <v>juillet</v>
      </c>
      <c r="B1825">
        <f>data!B1825</f>
        <v>2016</v>
      </c>
      <c r="C1825" t="str">
        <f>data!C1825</f>
        <v>037</v>
      </c>
      <c r="D1825" t="str">
        <f>data!D1825</f>
        <v>SARL RAFFAULT</v>
      </c>
      <c r="E1825" t="str">
        <f>data!E1825</f>
        <v>037002</v>
      </c>
      <c r="F1825" t="str">
        <f>data!F1825</f>
        <v>JM. RAFFAULT AC CHINON LES PICASSES</v>
      </c>
      <c r="G1825" s="10">
        <f>data!G1825</f>
        <v>69.12</v>
      </c>
      <c r="H1825" s="10">
        <f>data!I1825</f>
        <v>57.6</v>
      </c>
      <c r="I1825" s="10">
        <f t="shared" si="112"/>
        <v>11.520000000000003</v>
      </c>
      <c r="J1825" s="11">
        <f>data!H1825</f>
        <v>12</v>
      </c>
      <c r="K1825" s="11">
        <f>data!J1825</f>
        <v>10</v>
      </c>
      <c r="L1825" s="11">
        <f t="shared" si="113"/>
        <v>2</v>
      </c>
      <c r="M1825" s="9">
        <f t="shared" si="114"/>
        <v>0.20000000000000004</v>
      </c>
      <c r="N1825" s="9">
        <f t="shared" si="115"/>
        <v>0.2</v>
      </c>
    </row>
    <row r="1826" spans="1:14" x14ac:dyDescent="0.25">
      <c r="A1826" t="str">
        <f>TEXT("1/"&amp;data!A1826,"mmmm")</f>
        <v>juillet</v>
      </c>
      <c r="B1826">
        <f>data!B1826</f>
        <v>2016</v>
      </c>
      <c r="C1826" t="str">
        <f>data!C1826</f>
        <v>037</v>
      </c>
      <c r="D1826" t="str">
        <f>data!D1826</f>
        <v>SARL RAFFAULT</v>
      </c>
      <c r="E1826" t="str">
        <f>data!E1826</f>
        <v>037003</v>
      </c>
      <c r="F1826" t="str">
        <f>data!F1826</f>
        <v>AC CHINON</v>
      </c>
      <c r="G1826" s="10">
        <f>data!G1826</f>
        <v>205.2</v>
      </c>
      <c r="H1826" s="10">
        <f>data!I1826</f>
        <v>466.2</v>
      </c>
      <c r="I1826" s="10">
        <f t="shared" si="112"/>
        <v>-261</v>
      </c>
      <c r="J1826" s="11">
        <f>data!H1826</f>
        <v>54</v>
      </c>
      <c r="K1826" s="11">
        <f>data!J1826</f>
        <v>126</v>
      </c>
      <c r="L1826" s="11">
        <f t="shared" si="113"/>
        <v>-72</v>
      </c>
      <c r="M1826" s="9">
        <f t="shared" si="114"/>
        <v>-0.55984555984555984</v>
      </c>
      <c r="N1826" s="9">
        <f t="shared" si="115"/>
        <v>-0.5714285714285714</v>
      </c>
    </row>
    <row r="1827" spans="1:14" x14ac:dyDescent="0.25">
      <c r="A1827" t="str">
        <f>TEXT("1/"&amp;data!A1827,"mmmm")</f>
        <v>juillet</v>
      </c>
      <c r="B1827">
        <f>data!B1827</f>
        <v>2016</v>
      </c>
      <c r="C1827" t="str">
        <f>data!C1827</f>
        <v>037</v>
      </c>
      <c r="D1827" t="str">
        <f>data!D1827</f>
        <v>SARL RAFFAULT</v>
      </c>
      <c r="E1827" t="str">
        <f>data!E1827</f>
        <v>037005</v>
      </c>
      <c r="F1827" t="str">
        <f>data!F1827</f>
        <v>JM. RAFFAULT AC CHINON</v>
      </c>
      <c r="G1827" s="10">
        <f>data!G1827</f>
        <v>46.2</v>
      </c>
      <c r="H1827" s="10">
        <f>data!I1827</f>
        <v>88.8</v>
      </c>
      <c r="I1827" s="10">
        <f t="shared" si="112"/>
        <v>-42.599999999999994</v>
      </c>
      <c r="J1827" s="11">
        <f>data!H1827</f>
        <v>12</v>
      </c>
      <c r="K1827" s="11">
        <f>data!J1827</f>
        <v>24</v>
      </c>
      <c r="L1827" s="11">
        <f t="shared" si="113"/>
        <v>-12</v>
      </c>
      <c r="M1827" s="9">
        <f t="shared" si="114"/>
        <v>-0.47972972972972966</v>
      </c>
      <c r="N1827" s="9">
        <f t="shared" si="115"/>
        <v>-0.5</v>
      </c>
    </row>
    <row r="1828" spans="1:14" x14ac:dyDescent="0.25">
      <c r="A1828" t="str">
        <f>TEXT("1/"&amp;data!A1828,"mmmm")</f>
        <v>juillet</v>
      </c>
      <c r="B1828">
        <f>data!B1828</f>
        <v>2016</v>
      </c>
      <c r="C1828" t="str">
        <f>data!C1828</f>
        <v>037</v>
      </c>
      <c r="D1828" t="str">
        <f>data!D1828</f>
        <v>SARL RAFFAULT</v>
      </c>
      <c r="E1828" t="str">
        <f>data!E1828</f>
        <v>037006</v>
      </c>
      <c r="F1828" t="str">
        <f>data!F1828</f>
        <v>JM. RAFFAULT AC CHINON</v>
      </c>
      <c r="G1828" s="10">
        <f>data!G1828</f>
        <v>56.64</v>
      </c>
      <c r="H1828" s="10">
        <f>data!I1828</f>
        <v>47.2</v>
      </c>
      <c r="I1828" s="10">
        <f t="shared" si="112"/>
        <v>9.4399999999999977</v>
      </c>
      <c r="J1828" s="11">
        <f>data!H1828</f>
        <v>12</v>
      </c>
      <c r="K1828" s="11">
        <f>data!J1828</f>
        <v>10</v>
      </c>
      <c r="L1828" s="11">
        <f t="shared" si="113"/>
        <v>2</v>
      </c>
      <c r="M1828" s="9">
        <f t="shared" si="114"/>
        <v>0.19999999999999993</v>
      </c>
      <c r="N1828" s="9">
        <f t="shared" si="115"/>
        <v>0.2</v>
      </c>
    </row>
    <row r="1829" spans="1:14" x14ac:dyDescent="0.25">
      <c r="A1829" t="str">
        <f>TEXT("1/"&amp;data!A1829,"mmmm")</f>
        <v>juillet</v>
      </c>
      <c r="B1829">
        <f>data!B1829</f>
        <v>2016</v>
      </c>
      <c r="C1829" t="str">
        <f>data!C1829</f>
        <v>037</v>
      </c>
      <c r="D1829" t="str">
        <f>data!D1829</f>
        <v>SARL RAFFAULT</v>
      </c>
      <c r="E1829" t="str">
        <f>data!E1829</f>
        <v>037010</v>
      </c>
      <c r="F1829" t="str">
        <f>data!F1829</f>
        <v>AC CHINON SEC</v>
      </c>
      <c r="G1829" s="10">
        <f>data!G1829</f>
        <v>342</v>
      </c>
      <c r="H1829" s="10">
        <f>data!I1829</f>
        <v>464.1</v>
      </c>
      <c r="I1829" s="10">
        <f t="shared" si="112"/>
        <v>-122.10000000000002</v>
      </c>
      <c r="J1829" s="11">
        <f>data!H1829</f>
        <v>72</v>
      </c>
      <c r="K1829" s="11">
        <f>data!J1829</f>
        <v>102</v>
      </c>
      <c r="L1829" s="11">
        <f t="shared" si="113"/>
        <v>-30</v>
      </c>
      <c r="M1829" s="9">
        <f t="shared" si="114"/>
        <v>-0.26308985132514545</v>
      </c>
      <c r="N1829" s="9">
        <f t="shared" si="115"/>
        <v>-0.29411764705882354</v>
      </c>
    </row>
    <row r="1830" spans="1:14" x14ac:dyDescent="0.25">
      <c r="A1830" t="str">
        <f>TEXT("1/"&amp;data!A1830,"mmmm")</f>
        <v>juillet</v>
      </c>
      <c r="B1830">
        <f>data!B1830</f>
        <v>2016</v>
      </c>
      <c r="C1830" t="str">
        <f>data!C1830</f>
        <v>037</v>
      </c>
      <c r="D1830" t="str">
        <f>data!D1830</f>
        <v>SARL RAFFAULT</v>
      </c>
      <c r="E1830" t="str">
        <f>data!E1830</f>
        <v>037011</v>
      </c>
      <c r="F1830" t="str">
        <f>data!F1830</f>
        <v>JM. RAFFAULT AC CHINON SEC</v>
      </c>
      <c r="G1830" s="10">
        <f>data!G1830</f>
        <v>0</v>
      </c>
      <c r="H1830" s="10">
        <f>data!I1830</f>
        <v>101</v>
      </c>
      <c r="I1830" s="10">
        <f t="shared" si="112"/>
        <v>-101</v>
      </c>
      <c r="J1830" s="11">
        <f>data!H1830</f>
        <v>12</v>
      </c>
      <c r="K1830" s="11">
        <f>data!J1830</f>
        <v>10</v>
      </c>
      <c r="L1830" s="11">
        <f t="shared" si="113"/>
        <v>2</v>
      </c>
      <c r="M1830" s="9">
        <f t="shared" si="114"/>
        <v>-1</v>
      </c>
      <c r="N1830" s="9">
        <f t="shared" si="115"/>
        <v>0.2</v>
      </c>
    </row>
    <row r="1831" spans="1:14" x14ac:dyDescent="0.25">
      <c r="A1831" t="str">
        <f>TEXT("1/"&amp;data!A1831,"mmmm")</f>
        <v>juillet</v>
      </c>
      <c r="B1831">
        <f>data!B1831</f>
        <v>2016</v>
      </c>
      <c r="C1831" t="str">
        <f>data!C1831</f>
        <v>039</v>
      </c>
      <c r="D1831" t="str">
        <f>data!D1831</f>
        <v>LES VIGNERONS DES COTES D'AGLY</v>
      </c>
      <c r="E1831" t="str">
        <f>data!E1831</f>
        <v>039002</v>
      </c>
      <c r="F1831" t="str">
        <f>data!F1831</f>
        <v>VIGNERONS ALGLY AC MUSCAT DE RIVESALTES</v>
      </c>
      <c r="G1831" s="10">
        <f>data!G1831</f>
        <v>38.1</v>
      </c>
      <c r="H1831" s="10">
        <f>data!I1831</f>
        <v>76.2</v>
      </c>
      <c r="I1831" s="10">
        <f t="shared" si="112"/>
        <v>-38.1</v>
      </c>
      <c r="J1831" s="11">
        <f>data!H1831</f>
        <v>13.34</v>
      </c>
      <c r="K1831" s="11">
        <f>data!J1831</f>
        <v>26.68</v>
      </c>
      <c r="L1831" s="11">
        <f t="shared" si="113"/>
        <v>-13.34</v>
      </c>
      <c r="M1831" s="9">
        <f t="shared" si="114"/>
        <v>-0.5</v>
      </c>
      <c r="N1831" s="9">
        <f t="shared" si="115"/>
        <v>-0.5</v>
      </c>
    </row>
    <row r="1832" spans="1:14" x14ac:dyDescent="0.25">
      <c r="A1832" t="str">
        <f>TEXT("1/"&amp;data!A1832,"mmmm")</f>
        <v>juillet</v>
      </c>
      <c r="B1832">
        <f>data!B1832</f>
        <v>2016</v>
      </c>
      <c r="C1832" t="str">
        <f>data!C1832</f>
        <v>039</v>
      </c>
      <c r="D1832" t="str">
        <f>data!D1832</f>
        <v>LES VIGNERONS DES COTES D'AGLY</v>
      </c>
      <c r="E1832" t="str">
        <f>data!E1832</f>
        <v>039017</v>
      </c>
      <c r="F1832" t="str">
        <f>data!F1832</f>
        <v>AC C.ROUSSILLON VILL ARAGO</v>
      </c>
      <c r="G1832" s="10">
        <f>data!G1832</f>
        <v>84</v>
      </c>
      <c r="H1832" s="10">
        <f>data!I1832</f>
        <v>84</v>
      </c>
      <c r="I1832" s="10">
        <f t="shared" si="112"/>
        <v>0</v>
      </c>
      <c r="J1832" s="11">
        <f>data!H1832</f>
        <v>24</v>
      </c>
      <c r="K1832" s="11">
        <f>data!J1832</f>
        <v>24</v>
      </c>
      <c r="L1832" s="11">
        <f t="shared" si="113"/>
        <v>0</v>
      </c>
      <c r="M1832" s="9">
        <f t="shared" si="114"/>
        <v>0</v>
      </c>
      <c r="N1832" s="9">
        <f t="shared" si="115"/>
        <v>0</v>
      </c>
    </row>
    <row r="1833" spans="1:14" x14ac:dyDescent="0.25">
      <c r="A1833" t="str">
        <f>TEXT("1/"&amp;data!A1833,"mmmm")</f>
        <v>juillet</v>
      </c>
      <c r="B1833">
        <f>data!B1833</f>
        <v>2016</v>
      </c>
      <c r="C1833" t="str">
        <f>data!C1833</f>
        <v>039</v>
      </c>
      <c r="D1833" t="str">
        <f>data!D1833</f>
        <v>LES VIGNERONS DES COTES D'AGLY</v>
      </c>
      <c r="E1833" t="str">
        <f>data!E1833</f>
        <v>039018</v>
      </c>
      <c r="F1833" t="str">
        <f>data!F1833</f>
        <v>AC C. ROUSSILLON N D LAVAL</v>
      </c>
      <c r="G1833" s="10">
        <f>data!G1833</f>
        <v>380.64</v>
      </c>
      <c r="H1833" s="10">
        <f>data!I1833</f>
        <v>185.64</v>
      </c>
      <c r="I1833" s="10">
        <f t="shared" si="112"/>
        <v>195</v>
      </c>
      <c r="J1833" s="11">
        <f>data!H1833</f>
        <v>156</v>
      </c>
      <c r="K1833" s="11">
        <f>data!J1833</f>
        <v>84</v>
      </c>
      <c r="L1833" s="11">
        <f t="shared" si="113"/>
        <v>72</v>
      </c>
      <c r="M1833" s="9">
        <f t="shared" si="114"/>
        <v>1.0504201680672269</v>
      </c>
      <c r="N1833" s="9">
        <f t="shared" si="115"/>
        <v>0.8571428571428571</v>
      </c>
    </row>
    <row r="1834" spans="1:14" x14ac:dyDescent="0.25">
      <c r="A1834" t="str">
        <f>TEXT("1/"&amp;data!A1834,"mmmm")</f>
        <v>juillet</v>
      </c>
      <c r="B1834">
        <f>data!B1834</f>
        <v>2016</v>
      </c>
      <c r="C1834" t="str">
        <f>data!C1834</f>
        <v>039</v>
      </c>
      <c r="D1834" t="str">
        <f>data!D1834</f>
        <v>LES VIGNERONS DES COTES D'AGLY</v>
      </c>
      <c r="E1834" t="str">
        <f>data!E1834</f>
        <v>039028</v>
      </c>
      <c r="F1834" t="str">
        <f>data!F1834</f>
        <v>VDN MAURY</v>
      </c>
      <c r="G1834" s="10">
        <f>data!G1834</f>
        <v>210</v>
      </c>
      <c r="H1834" s="10">
        <f>data!I1834</f>
        <v>169.92</v>
      </c>
      <c r="I1834" s="10">
        <f t="shared" si="112"/>
        <v>40.080000000000013</v>
      </c>
      <c r="J1834" s="11">
        <f>data!H1834</f>
        <v>42</v>
      </c>
      <c r="K1834" s="11">
        <f>data!J1834</f>
        <v>36</v>
      </c>
      <c r="L1834" s="11">
        <f t="shared" si="113"/>
        <v>6</v>
      </c>
      <c r="M1834" s="9">
        <f t="shared" si="114"/>
        <v>0.23587570621468937</v>
      </c>
      <c r="N1834" s="9">
        <f t="shared" si="115"/>
        <v>0.16666666666666666</v>
      </c>
    </row>
    <row r="1835" spans="1:14" x14ac:dyDescent="0.25">
      <c r="A1835" t="str">
        <f>TEXT("1/"&amp;data!A1835,"mmmm")</f>
        <v>juillet</v>
      </c>
      <c r="B1835">
        <f>data!B1835</f>
        <v>2016</v>
      </c>
      <c r="C1835" t="str">
        <f>data!C1835</f>
        <v>039</v>
      </c>
      <c r="D1835" t="str">
        <f>data!D1835</f>
        <v>LES VIGNERONS DES COTES D'AGLY</v>
      </c>
      <c r="E1835" t="str">
        <f>data!E1835</f>
        <v>039030</v>
      </c>
      <c r="F1835" t="str">
        <f>data!F1835</f>
        <v>VDN MUSCAT DE RIVESALTES</v>
      </c>
      <c r="G1835" s="10">
        <f>data!G1835</f>
        <v>68.040000000000006</v>
      </c>
      <c r="H1835" s="10">
        <f>data!I1835</f>
        <v>64.98</v>
      </c>
      <c r="I1835" s="10">
        <f t="shared" si="112"/>
        <v>3.0600000000000023</v>
      </c>
      <c r="J1835" s="11">
        <f>data!H1835</f>
        <v>18</v>
      </c>
      <c r="K1835" s="11">
        <f>data!J1835</f>
        <v>24</v>
      </c>
      <c r="L1835" s="11">
        <f t="shared" si="113"/>
        <v>-6</v>
      </c>
      <c r="M1835" s="9">
        <f t="shared" si="114"/>
        <v>4.7091412742382301E-2</v>
      </c>
      <c r="N1835" s="9">
        <f t="shared" si="115"/>
        <v>-0.25</v>
      </c>
    </row>
    <row r="1836" spans="1:14" x14ac:dyDescent="0.25">
      <c r="A1836" t="str">
        <f>TEXT("1/"&amp;data!A1836,"mmmm")</f>
        <v>juillet</v>
      </c>
      <c r="B1836">
        <f>data!B1836</f>
        <v>2016</v>
      </c>
      <c r="C1836" t="str">
        <f>data!C1836</f>
        <v>040</v>
      </c>
      <c r="D1836" t="str">
        <f>data!D1836</f>
        <v>CHÂTEAU DE LA GRAVE</v>
      </c>
      <c r="E1836" t="str">
        <f>data!E1836</f>
        <v>040006</v>
      </c>
      <c r="F1836" t="str">
        <f>data!F1836</f>
        <v>AC COTES DE BOURG CHATEAU DE LA GRAVE</v>
      </c>
      <c r="G1836" s="10">
        <f>data!G1836</f>
        <v>1861.5</v>
      </c>
      <c r="H1836" s="10">
        <f>data!I1836</f>
        <v>3283.2</v>
      </c>
      <c r="I1836" s="10">
        <f t="shared" si="112"/>
        <v>-1421.6999999999998</v>
      </c>
      <c r="J1836" s="11">
        <f>data!H1836</f>
        <v>510</v>
      </c>
      <c r="K1836" s="11">
        <f>data!J1836</f>
        <v>912</v>
      </c>
      <c r="L1836" s="11">
        <f t="shared" si="113"/>
        <v>-402</v>
      </c>
      <c r="M1836" s="9">
        <f t="shared" si="114"/>
        <v>-0.43302266081871343</v>
      </c>
      <c r="N1836" s="9">
        <f t="shared" si="115"/>
        <v>-0.44078947368421051</v>
      </c>
    </row>
    <row r="1837" spans="1:14" x14ac:dyDescent="0.25">
      <c r="A1837" t="str">
        <f>TEXT("1/"&amp;data!A1837,"mmmm")</f>
        <v>juillet</v>
      </c>
      <c r="B1837">
        <f>data!B1837</f>
        <v>2016</v>
      </c>
      <c r="C1837" t="str">
        <f>data!C1837</f>
        <v>040</v>
      </c>
      <c r="D1837" t="str">
        <f>data!D1837</f>
        <v>CHÂTEAU DE LA GRAVE</v>
      </c>
      <c r="E1837" t="str">
        <f>data!E1837</f>
        <v>040007</v>
      </c>
      <c r="F1837" t="str">
        <f>data!F1837</f>
        <v>AC COTES DE BOURG G DE LA GRAVE</v>
      </c>
      <c r="G1837" s="10">
        <f>data!G1837</f>
        <v>1048.8</v>
      </c>
      <c r="H1837" s="10">
        <f>data!I1837</f>
        <v>1157.2</v>
      </c>
      <c r="I1837" s="10">
        <f t="shared" si="112"/>
        <v>-108.40000000000009</v>
      </c>
      <c r="J1837" s="11">
        <f>data!H1837</f>
        <v>506.92</v>
      </c>
      <c r="K1837" s="11">
        <f>data!J1837</f>
        <v>593.63</v>
      </c>
      <c r="L1837" s="11">
        <f t="shared" si="113"/>
        <v>-86.70999999999998</v>
      </c>
      <c r="M1837" s="9">
        <f t="shared" si="114"/>
        <v>-9.3674386450051925E-2</v>
      </c>
      <c r="N1837" s="9">
        <f t="shared" si="115"/>
        <v>-0.14606741573033705</v>
      </c>
    </row>
    <row r="1838" spans="1:14" x14ac:dyDescent="0.25">
      <c r="A1838" t="str">
        <f>TEXT("1/"&amp;data!A1838,"mmmm")</f>
        <v>juillet</v>
      </c>
      <c r="B1838">
        <f>data!B1838</f>
        <v>2016</v>
      </c>
      <c r="C1838" t="str">
        <f>data!C1838</f>
        <v>040</v>
      </c>
      <c r="D1838" t="str">
        <f>data!D1838</f>
        <v>CHÂTEAU DE LA GRAVE</v>
      </c>
      <c r="E1838" t="str">
        <f>data!E1838</f>
        <v>040008</v>
      </c>
      <c r="F1838" t="str">
        <f>data!F1838</f>
        <v>AC COTES DE BOURG G DE LA GRAVE</v>
      </c>
      <c r="G1838" s="10">
        <f>data!G1838</f>
        <v>317.39999999999998</v>
      </c>
      <c r="H1838" s="10">
        <f>data!I1838</f>
        <v>630</v>
      </c>
      <c r="I1838" s="10">
        <f t="shared" si="112"/>
        <v>-312.60000000000002</v>
      </c>
      <c r="J1838" s="11">
        <f>data!H1838</f>
        <v>159.96</v>
      </c>
      <c r="K1838" s="11">
        <f>data!J1838</f>
        <v>333.25</v>
      </c>
      <c r="L1838" s="11">
        <f t="shared" si="113"/>
        <v>-173.29</v>
      </c>
      <c r="M1838" s="9">
        <f t="shared" si="114"/>
        <v>-0.49619047619047624</v>
      </c>
      <c r="N1838" s="9">
        <f t="shared" si="115"/>
        <v>-0.52</v>
      </c>
    </row>
    <row r="1839" spans="1:14" x14ac:dyDescent="0.25">
      <c r="A1839" t="str">
        <f>TEXT("1/"&amp;data!A1839,"mmmm")</f>
        <v>juillet</v>
      </c>
      <c r="B1839">
        <f>data!B1839</f>
        <v>2016</v>
      </c>
      <c r="C1839" t="str">
        <f>data!C1839</f>
        <v>040</v>
      </c>
      <c r="D1839" t="str">
        <f>data!D1839</f>
        <v>CHÂTEAU DE LA GRAVE</v>
      </c>
      <c r="E1839" t="str">
        <f>data!E1839</f>
        <v>040011</v>
      </c>
      <c r="F1839" t="str">
        <f>data!F1839</f>
        <v>AC C DE BOURG BEL AIR</v>
      </c>
      <c r="G1839" s="10">
        <f>data!G1839</f>
        <v>135</v>
      </c>
      <c r="H1839" s="10">
        <f>data!I1839</f>
        <v>999</v>
      </c>
      <c r="I1839" s="10">
        <f t="shared" si="112"/>
        <v>-864</v>
      </c>
      <c r="J1839" s="11">
        <f>data!H1839</f>
        <v>30</v>
      </c>
      <c r="K1839" s="11">
        <f>data!J1839</f>
        <v>222</v>
      </c>
      <c r="L1839" s="11">
        <f t="shared" si="113"/>
        <v>-192</v>
      </c>
      <c r="M1839" s="9">
        <f t="shared" si="114"/>
        <v>-0.86486486486486491</v>
      </c>
      <c r="N1839" s="9">
        <f t="shared" si="115"/>
        <v>-0.86486486486486491</v>
      </c>
    </row>
    <row r="1840" spans="1:14" x14ac:dyDescent="0.25">
      <c r="A1840" t="str">
        <f>TEXT("1/"&amp;data!A1840,"mmmm")</f>
        <v>juillet</v>
      </c>
      <c r="B1840">
        <f>data!B1840</f>
        <v>2016</v>
      </c>
      <c r="C1840" t="str">
        <f>data!C1840</f>
        <v>040</v>
      </c>
      <c r="D1840" t="str">
        <f>data!D1840</f>
        <v>CHÂTEAU DE LA GRAVE</v>
      </c>
      <c r="E1840" t="str">
        <f>data!E1840</f>
        <v>040012</v>
      </c>
      <c r="F1840" t="str">
        <f>data!F1840</f>
        <v>AC C DE BOURG BEL AIR</v>
      </c>
      <c r="G1840" s="10">
        <f>data!G1840</f>
        <v>48.9</v>
      </c>
      <c r="H1840" s="10">
        <f>data!I1840</f>
        <v>48.3</v>
      </c>
      <c r="I1840" s="10">
        <f t="shared" si="112"/>
        <v>0.60000000000000142</v>
      </c>
      <c r="J1840" s="11">
        <f>data!H1840</f>
        <v>12</v>
      </c>
      <c r="K1840" s="11">
        <f>data!J1840</f>
        <v>12</v>
      </c>
      <c r="L1840" s="11">
        <f t="shared" si="113"/>
        <v>0</v>
      </c>
      <c r="M1840" s="9">
        <f t="shared" si="114"/>
        <v>1.2422360248447235E-2</v>
      </c>
      <c r="N1840" s="9">
        <f t="shared" si="115"/>
        <v>0</v>
      </c>
    </row>
    <row r="1841" spans="1:14" x14ac:dyDescent="0.25">
      <c r="A1841" t="str">
        <f>TEXT("1/"&amp;data!A1841,"mmmm")</f>
        <v>juillet</v>
      </c>
      <c r="B1841">
        <f>data!B1841</f>
        <v>2016</v>
      </c>
      <c r="C1841" t="str">
        <f>data!C1841</f>
        <v>040</v>
      </c>
      <c r="D1841" t="str">
        <f>data!D1841</f>
        <v>CHÂTEAU DE LA GRAVE</v>
      </c>
      <c r="E1841" t="str">
        <f>data!E1841</f>
        <v>040015</v>
      </c>
      <c r="F1841" t="str">
        <f>data!F1841</f>
        <v>AC C DE BOURG. CARACTERE</v>
      </c>
      <c r="G1841" s="10">
        <f>data!G1841</f>
        <v>61.2</v>
      </c>
      <c r="H1841" s="10">
        <f>data!I1841</f>
        <v>29.7</v>
      </c>
      <c r="I1841" s="10">
        <f t="shared" si="112"/>
        <v>31.500000000000004</v>
      </c>
      <c r="J1841" s="11">
        <f>data!H1841</f>
        <v>12</v>
      </c>
      <c r="K1841" s="11">
        <f>data!J1841</f>
        <v>6</v>
      </c>
      <c r="L1841" s="11">
        <f t="shared" si="113"/>
        <v>6</v>
      </c>
      <c r="M1841" s="9">
        <f t="shared" si="114"/>
        <v>1.0606060606060608</v>
      </c>
      <c r="N1841" s="9">
        <f t="shared" si="115"/>
        <v>1</v>
      </c>
    </row>
    <row r="1842" spans="1:14" x14ac:dyDescent="0.25">
      <c r="A1842" t="str">
        <f>TEXT("1/"&amp;data!A1842,"mmmm")</f>
        <v>juillet</v>
      </c>
      <c r="B1842">
        <f>data!B1842</f>
        <v>2016</v>
      </c>
      <c r="C1842" t="str">
        <f>data!C1842</f>
        <v>040</v>
      </c>
      <c r="D1842" t="str">
        <f>data!D1842</f>
        <v>CHÂTEAU DE LA GRAVE</v>
      </c>
      <c r="E1842" t="str">
        <f>data!E1842</f>
        <v>040017</v>
      </c>
      <c r="F1842" t="str">
        <f>data!F1842</f>
        <v>AC C DE BOURG F.CHENE NECTAR</v>
      </c>
      <c r="G1842" s="10">
        <f>data!G1842</f>
        <v>196.8</v>
      </c>
      <c r="H1842" s="10">
        <f>data!I1842</f>
        <v>49.2</v>
      </c>
      <c r="I1842" s="10">
        <f t="shared" si="112"/>
        <v>147.60000000000002</v>
      </c>
      <c r="J1842" s="11">
        <f>data!H1842</f>
        <v>24</v>
      </c>
      <c r="K1842" s="11">
        <f>data!J1842</f>
        <v>6</v>
      </c>
      <c r="L1842" s="11">
        <f t="shared" si="113"/>
        <v>18</v>
      </c>
      <c r="M1842" s="9">
        <f t="shared" si="114"/>
        <v>3.0000000000000004</v>
      </c>
      <c r="N1842" s="9">
        <f t="shared" si="115"/>
        <v>3</v>
      </c>
    </row>
    <row r="1843" spans="1:14" x14ac:dyDescent="0.25">
      <c r="A1843" t="str">
        <f>TEXT("1/"&amp;data!A1843,"mmmm")</f>
        <v>juillet</v>
      </c>
      <c r="B1843">
        <f>data!B1843</f>
        <v>2016</v>
      </c>
      <c r="C1843" t="str">
        <f>data!C1843</f>
        <v>041</v>
      </c>
      <c r="D1843" t="str">
        <f>data!D1843</f>
        <v>CHATEAU TOUR DE PEZ</v>
      </c>
      <c r="E1843" t="str">
        <f>data!E1843</f>
        <v>041001/10</v>
      </c>
      <c r="F1843" t="str">
        <f>data!F1843</f>
        <v>AC ST ESTEPHE CH TOUR DE PEZ</v>
      </c>
      <c r="G1843" s="10">
        <f>data!G1843</f>
        <v>1119.3</v>
      </c>
      <c r="H1843" s="10">
        <f>data!I1843</f>
        <v>336</v>
      </c>
      <c r="I1843" s="10">
        <f t="shared" si="112"/>
        <v>783.3</v>
      </c>
      <c r="J1843" s="11">
        <f>data!H1843</f>
        <v>78</v>
      </c>
      <c r="K1843" s="11">
        <f>data!J1843</f>
        <v>24</v>
      </c>
      <c r="L1843" s="11">
        <f t="shared" si="113"/>
        <v>54</v>
      </c>
      <c r="M1843" s="9">
        <f t="shared" si="114"/>
        <v>2.3312499999999998</v>
      </c>
      <c r="N1843" s="9">
        <f t="shared" si="115"/>
        <v>2.25</v>
      </c>
    </row>
    <row r="1844" spans="1:14" x14ac:dyDescent="0.25">
      <c r="A1844" t="str">
        <f>TEXT("1/"&amp;data!A1844,"mmmm")</f>
        <v>juillet</v>
      </c>
      <c r="B1844">
        <f>data!B1844</f>
        <v>2016</v>
      </c>
      <c r="C1844" t="str">
        <f>data!C1844</f>
        <v>041</v>
      </c>
      <c r="D1844" t="str">
        <f>data!D1844</f>
        <v>CHATEAU TOUR DE PEZ</v>
      </c>
      <c r="E1844" t="str">
        <f>data!E1844</f>
        <v>041001/12</v>
      </c>
      <c r="F1844" t="str">
        <f>data!F1844</f>
        <v>AC ST ESTEPHE CH TOUR DE PEZ</v>
      </c>
      <c r="G1844" s="10">
        <f>data!G1844</f>
        <v>79.5</v>
      </c>
      <c r="H1844" s="10">
        <f>data!I1844</f>
        <v>0</v>
      </c>
      <c r="I1844" s="10">
        <f t="shared" si="112"/>
        <v>79.5</v>
      </c>
      <c r="J1844" s="11">
        <f>data!H1844</f>
        <v>6</v>
      </c>
      <c r="K1844" s="11">
        <f>data!J1844</f>
        <v>0</v>
      </c>
      <c r="L1844" s="11">
        <f t="shared" si="113"/>
        <v>6</v>
      </c>
      <c r="M1844" s="9" t="str">
        <f t="shared" si="114"/>
        <v/>
      </c>
      <c r="N1844" s="9" t="str">
        <f t="shared" si="115"/>
        <v/>
      </c>
    </row>
    <row r="1845" spans="1:14" x14ac:dyDescent="0.25">
      <c r="A1845" t="str">
        <f>TEXT("1/"&amp;data!A1845,"mmmm")</f>
        <v>juillet</v>
      </c>
      <c r="B1845">
        <f>data!B1845</f>
        <v>2016</v>
      </c>
      <c r="C1845" t="str">
        <f>data!C1845</f>
        <v>041</v>
      </c>
      <c r="D1845" t="str">
        <f>data!D1845</f>
        <v>CHATEAU TOUR DE PEZ</v>
      </c>
      <c r="E1845" t="str">
        <f>data!E1845</f>
        <v>041011</v>
      </c>
      <c r="F1845" t="str">
        <f>data!F1845</f>
        <v>AC ST ESTEPHE CRU BOURGEOIS C.HTS PEZ</v>
      </c>
      <c r="G1845" s="10">
        <f>data!G1845</f>
        <v>105</v>
      </c>
      <c r="H1845" s="10">
        <f>data!I1845</f>
        <v>0</v>
      </c>
      <c r="I1845" s="10">
        <f t="shared" si="112"/>
        <v>105</v>
      </c>
      <c r="J1845" s="11">
        <f>data!H1845</f>
        <v>12</v>
      </c>
      <c r="K1845" s="11">
        <f>data!J1845</f>
        <v>0</v>
      </c>
      <c r="L1845" s="11">
        <f t="shared" si="113"/>
        <v>12</v>
      </c>
      <c r="M1845" s="9" t="str">
        <f t="shared" si="114"/>
        <v/>
      </c>
      <c r="N1845" s="9" t="str">
        <f t="shared" si="115"/>
        <v/>
      </c>
    </row>
    <row r="1846" spans="1:14" x14ac:dyDescent="0.25">
      <c r="A1846" t="str">
        <f>TEXT("1/"&amp;data!A1846,"mmmm")</f>
        <v>juillet</v>
      </c>
      <c r="B1846">
        <f>data!B1846</f>
        <v>2016</v>
      </c>
      <c r="C1846" t="str">
        <f>data!C1846</f>
        <v>041</v>
      </c>
      <c r="D1846" t="str">
        <f>data!D1846</f>
        <v>CHATEAU TOUR DE PEZ</v>
      </c>
      <c r="E1846" t="str">
        <f>data!E1846</f>
        <v>041016</v>
      </c>
      <c r="F1846" t="str">
        <f>data!F1846</f>
        <v>AOP SAINT- ESTEPHE CH LES HAUTS DE PEZ</v>
      </c>
      <c r="G1846" s="10">
        <f>data!G1846</f>
        <v>1058.4000000000001</v>
      </c>
      <c r="H1846" s="10">
        <f>data!I1846</f>
        <v>3106.2</v>
      </c>
      <c r="I1846" s="10">
        <f t="shared" si="112"/>
        <v>-2047.7999999999997</v>
      </c>
      <c r="J1846" s="11">
        <f>data!H1846</f>
        <v>126</v>
      </c>
      <c r="K1846" s="11">
        <f>data!J1846</f>
        <v>372</v>
      </c>
      <c r="L1846" s="11">
        <f t="shared" si="113"/>
        <v>-246</v>
      </c>
      <c r="M1846" s="9">
        <f t="shared" si="114"/>
        <v>-0.65926212091945136</v>
      </c>
      <c r="N1846" s="9">
        <f t="shared" si="115"/>
        <v>-0.66129032258064513</v>
      </c>
    </row>
    <row r="1847" spans="1:14" x14ac:dyDescent="0.25">
      <c r="A1847" t="str">
        <f>TEXT("1/"&amp;data!A1847,"mmmm")</f>
        <v>juillet</v>
      </c>
      <c r="B1847">
        <f>data!B1847</f>
        <v>2016</v>
      </c>
      <c r="C1847" t="str">
        <f>data!C1847</f>
        <v>046</v>
      </c>
      <c r="D1847" t="str">
        <f>data!D1847</f>
        <v>MR JEAN PIERRE CABANES</v>
      </c>
      <c r="E1847" t="str">
        <f>data!E1847</f>
        <v>046001</v>
      </c>
      <c r="F1847" t="str">
        <f>data!F1847</f>
        <v>AC CTX DU LANGU TRAD D.ARCHIMBAUD</v>
      </c>
      <c r="G1847" s="10">
        <f>data!G1847</f>
        <v>189</v>
      </c>
      <c r="H1847" s="10">
        <f>data!I1847</f>
        <v>442.8</v>
      </c>
      <c r="I1847" s="10">
        <f t="shared" si="112"/>
        <v>-253.8</v>
      </c>
      <c r="J1847" s="11">
        <f>data!H1847</f>
        <v>42</v>
      </c>
      <c r="K1847" s="11">
        <f>data!J1847</f>
        <v>114</v>
      </c>
      <c r="L1847" s="11">
        <f t="shared" si="113"/>
        <v>-72</v>
      </c>
      <c r="M1847" s="9">
        <f t="shared" si="114"/>
        <v>-0.57317073170731714</v>
      </c>
      <c r="N1847" s="9">
        <f t="shared" si="115"/>
        <v>-0.63157894736842102</v>
      </c>
    </row>
    <row r="1848" spans="1:14" x14ac:dyDescent="0.25">
      <c r="A1848" t="str">
        <f>TEXT("1/"&amp;data!A1848,"mmmm")</f>
        <v>juillet</v>
      </c>
      <c r="B1848">
        <f>data!B1848</f>
        <v>2016</v>
      </c>
      <c r="C1848" t="str">
        <f>data!C1848</f>
        <v>046</v>
      </c>
      <c r="D1848" t="str">
        <f>data!D1848</f>
        <v>MR JEAN PIERRE CABANES</v>
      </c>
      <c r="E1848" t="str">
        <f>data!E1848</f>
        <v>046010</v>
      </c>
      <c r="F1848" t="str">
        <f>data!F1848</f>
        <v>AC COT DU LANG ROBE POURPRE</v>
      </c>
      <c r="G1848" s="10">
        <f>data!G1848</f>
        <v>331.2</v>
      </c>
      <c r="H1848" s="10">
        <f>data!I1848</f>
        <v>422.4</v>
      </c>
      <c r="I1848" s="10">
        <f t="shared" si="112"/>
        <v>-91.199999999999989</v>
      </c>
      <c r="J1848" s="11">
        <f>data!H1848</f>
        <v>48</v>
      </c>
      <c r="K1848" s="11">
        <f>data!J1848</f>
        <v>66</v>
      </c>
      <c r="L1848" s="11">
        <f t="shared" si="113"/>
        <v>-18</v>
      </c>
      <c r="M1848" s="9">
        <f t="shared" si="114"/>
        <v>-0.21590909090909088</v>
      </c>
      <c r="N1848" s="9">
        <f t="shared" si="115"/>
        <v>-0.27272727272727271</v>
      </c>
    </row>
    <row r="1849" spans="1:14" x14ac:dyDescent="0.25">
      <c r="A1849" t="str">
        <f>TEXT("1/"&amp;data!A1849,"mmmm")</f>
        <v>juillet</v>
      </c>
      <c r="B1849">
        <f>data!B1849</f>
        <v>2016</v>
      </c>
      <c r="C1849" t="str">
        <f>data!C1849</f>
        <v>046</v>
      </c>
      <c r="D1849" t="str">
        <f>data!D1849</f>
        <v>MR JEAN PIERRE CABANES</v>
      </c>
      <c r="E1849" t="str">
        <f>data!E1849</f>
        <v>046015</v>
      </c>
      <c r="F1849" t="str">
        <f>data!F1849</f>
        <v>AC COT DU LANGU D.ARCHIMBAUD</v>
      </c>
      <c r="G1849" s="10">
        <f>data!G1849</f>
        <v>360</v>
      </c>
      <c r="H1849" s="10">
        <f>data!I1849</f>
        <v>1176</v>
      </c>
      <c r="I1849" s="10">
        <f t="shared" si="112"/>
        <v>-816</v>
      </c>
      <c r="J1849" s="11">
        <f>data!H1849</f>
        <v>90</v>
      </c>
      <c r="K1849" s="11">
        <f>data!J1849</f>
        <v>342</v>
      </c>
      <c r="L1849" s="11">
        <f t="shared" si="113"/>
        <v>-252</v>
      </c>
      <c r="M1849" s="9">
        <f t="shared" si="114"/>
        <v>-0.69387755102040816</v>
      </c>
      <c r="N1849" s="9">
        <f t="shared" si="115"/>
        <v>-0.73684210526315785</v>
      </c>
    </row>
    <row r="1850" spans="1:14" x14ac:dyDescent="0.25">
      <c r="A1850" t="str">
        <f>TEXT("1/"&amp;data!A1850,"mmmm")</f>
        <v>juillet</v>
      </c>
      <c r="B1850">
        <f>data!B1850</f>
        <v>2016</v>
      </c>
      <c r="C1850" t="str">
        <f>data!C1850</f>
        <v>046</v>
      </c>
      <c r="D1850" t="str">
        <f>data!D1850</f>
        <v>MR JEAN PIERRE CABANES</v>
      </c>
      <c r="E1850" t="str">
        <f>data!E1850</f>
        <v>046020</v>
      </c>
      <c r="F1850" t="str">
        <f>data!F1850</f>
        <v>AC COTEAUX DU LANGUEDOC ENFANT TERRIBLE</v>
      </c>
      <c r="G1850" s="10">
        <f>data!G1850</f>
        <v>90</v>
      </c>
      <c r="H1850" s="10">
        <f>data!I1850</f>
        <v>420</v>
      </c>
      <c r="I1850" s="10">
        <f t="shared" si="112"/>
        <v>-330</v>
      </c>
      <c r="J1850" s="11">
        <f>data!H1850</f>
        <v>12</v>
      </c>
      <c r="K1850" s="11">
        <f>data!J1850</f>
        <v>60</v>
      </c>
      <c r="L1850" s="11">
        <f t="shared" si="113"/>
        <v>-48</v>
      </c>
      <c r="M1850" s="9">
        <f t="shared" si="114"/>
        <v>-0.7857142857142857</v>
      </c>
      <c r="N1850" s="9">
        <f t="shared" si="115"/>
        <v>-0.8</v>
      </c>
    </row>
    <row r="1851" spans="1:14" x14ac:dyDescent="0.25">
      <c r="A1851" t="str">
        <f>TEXT("1/"&amp;data!A1851,"mmmm")</f>
        <v>juillet</v>
      </c>
      <c r="B1851">
        <f>data!B1851</f>
        <v>2016</v>
      </c>
      <c r="C1851" t="str">
        <f>data!C1851</f>
        <v>049</v>
      </c>
      <c r="D1851" t="str">
        <f>data!D1851</f>
        <v>MAISON GRANDEAU</v>
      </c>
      <c r="E1851" t="str">
        <f>data!E1851</f>
        <v>049007</v>
      </c>
      <c r="F1851" t="str">
        <f>data!F1851</f>
        <v>AC BX SUP Tradi  CH LAUDUC</v>
      </c>
      <c r="G1851" s="10">
        <f>data!G1851</f>
        <v>160.80000000000001</v>
      </c>
      <c r="H1851" s="10">
        <f>data!I1851</f>
        <v>257.39999999999998</v>
      </c>
      <c r="I1851" s="10">
        <f t="shared" si="112"/>
        <v>-96.599999999999966</v>
      </c>
      <c r="J1851" s="11">
        <f>data!H1851</f>
        <v>48</v>
      </c>
      <c r="K1851" s="11">
        <f>data!J1851</f>
        <v>78</v>
      </c>
      <c r="L1851" s="11">
        <f t="shared" si="113"/>
        <v>-30</v>
      </c>
      <c r="M1851" s="9">
        <f t="shared" si="114"/>
        <v>-0.37529137529137518</v>
      </c>
      <c r="N1851" s="9">
        <f t="shared" si="115"/>
        <v>-0.38461538461538464</v>
      </c>
    </row>
    <row r="1852" spans="1:14" x14ac:dyDescent="0.25">
      <c r="A1852" t="str">
        <f>TEXT("1/"&amp;data!A1852,"mmmm")</f>
        <v>juillet</v>
      </c>
      <c r="B1852">
        <f>data!B1852</f>
        <v>2016</v>
      </c>
      <c r="C1852" t="str">
        <f>data!C1852</f>
        <v>049</v>
      </c>
      <c r="D1852" t="str">
        <f>data!D1852</f>
        <v>MAISON GRANDEAU</v>
      </c>
      <c r="E1852" t="str">
        <f>data!E1852</f>
        <v>049014</v>
      </c>
      <c r="F1852" t="str">
        <f>data!F1852</f>
        <v>AC ENTRE DEUX MER CH FLAMAND BELLEVUE</v>
      </c>
      <c r="G1852" s="10">
        <f>data!G1852</f>
        <v>121.5</v>
      </c>
      <c r="H1852" s="10">
        <f>data!I1852</f>
        <v>54</v>
      </c>
      <c r="I1852" s="10">
        <f t="shared" si="112"/>
        <v>67.5</v>
      </c>
      <c r="J1852" s="11">
        <f>data!H1852</f>
        <v>54</v>
      </c>
      <c r="K1852" s="11">
        <f>data!J1852</f>
        <v>24</v>
      </c>
      <c r="L1852" s="11">
        <f t="shared" si="113"/>
        <v>30</v>
      </c>
      <c r="M1852" s="9">
        <f t="shared" si="114"/>
        <v>1.25</v>
      </c>
      <c r="N1852" s="9">
        <f t="shared" si="115"/>
        <v>1.25</v>
      </c>
    </row>
    <row r="1853" spans="1:14" x14ac:dyDescent="0.25">
      <c r="A1853" t="str">
        <f>TEXT("1/"&amp;data!A1853,"mmmm")</f>
        <v>juillet</v>
      </c>
      <c r="B1853">
        <f>data!B1853</f>
        <v>2016</v>
      </c>
      <c r="C1853" t="str">
        <f>data!C1853</f>
        <v>049</v>
      </c>
      <c r="D1853" t="str">
        <f>data!D1853</f>
        <v>MAISON GRANDEAU</v>
      </c>
      <c r="E1853" t="str">
        <f>data!E1853</f>
        <v>049015</v>
      </c>
      <c r="F1853" t="str">
        <f>data!F1853</f>
        <v>AC BDX Classic CH LAUDUC</v>
      </c>
      <c r="G1853" s="10">
        <f>data!G1853</f>
        <v>295.8</v>
      </c>
      <c r="H1853" s="10">
        <f>data!I1853</f>
        <v>2052</v>
      </c>
      <c r="I1853" s="10">
        <f t="shared" si="112"/>
        <v>-1756.2</v>
      </c>
      <c r="J1853" s="11">
        <f>data!H1853</f>
        <v>102</v>
      </c>
      <c r="K1853" s="11">
        <f>data!J1853</f>
        <v>720</v>
      </c>
      <c r="L1853" s="11">
        <f t="shared" si="113"/>
        <v>-618</v>
      </c>
      <c r="M1853" s="9">
        <f t="shared" si="114"/>
        <v>-0.8558479532163743</v>
      </c>
      <c r="N1853" s="9">
        <f t="shared" si="115"/>
        <v>-0.85833333333333328</v>
      </c>
    </row>
    <row r="1854" spans="1:14" x14ac:dyDescent="0.25">
      <c r="A1854" t="str">
        <f>TEXT("1/"&amp;data!A1854,"mmmm")</f>
        <v>juillet</v>
      </c>
      <c r="B1854">
        <f>data!B1854</f>
        <v>2016</v>
      </c>
      <c r="C1854" t="str">
        <f>data!C1854</f>
        <v>049</v>
      </c>
      <c r="D1854" t="str">
        <f>data!D1854</f>
        <v>MAISON GRANDEAU</v>
      </c>
      <c r="E1854" t="str">
        <f>data!E1854</f>
        <v>049020</v>
      </c>
      <c r="F1854" t="str">
        <f>data!F1854</f>
        <v>AC BDX CH.FLAMAND BELLEVUE</v>
      </c>
      <c r="G1854" s="10">
        <f>data!G1854</f>
        <v>567</v>
      </c>
      <c r="H1854" s="10">
        <f>data!I1854</f>
        <v>919.8</v>
      </c>
      <c r="I1854" s="10">
        <f t="shared" si="112"/>
        <v>-352.79999999999995</v>
      </c>
      <c r="J1854" s="11">
        <f>data!H1854</f>
        <v>252</v>
      </c>
      <c r="K1854" s="11">
        <f>data!J1854</f>
        <v>420</v>
      </c>
      <c r="L1854" s="11">
        <f t="shared" si="113"/>
        <v>-168</v>
      </c>
      <c r="M1854" s="9">
        <f t="shared" si="114"/>
        <v>-0.38356164383561642</v>
      </c>
      <c r="N1854" s="9">
        <f t="shared" si="115"/>
        <v>-0.4</v>
      </c>
    </row>
    <row r="1855" spans="1:14" x14ac:dyDescent="0.25">
      <c r="A1855" t="str">
        <f>TEXT("1/"&amp;data!A1855,"mmmm")</f>
        <v>juillet</v>
      </c>
      <c r="B1855">
        <f>data!B1855</f>
        <v>2016</v>
      </c>
      <c r="C1855" t="str">
        <f>data!C1855</f>
        <v>049</v>
      </c>
      <c r="D1855" t="str">
        <f>data!D1855</f>
        <v>MAISON GRANDEAU</v>
      </c>
      <c r="E1855" t="str">
        <f>data!E1855</f>
        <v>049023</v>
      </c>
      <c r="F1855" t="str">
        <f>data!F1855</f>
        <v>AC BDX CH.FLAMAND BELLEVUE</v>
      </c>
      <c r="G1855" s="10">
        <f>data!G1855</f>
        <v>138.6</v>
      </c>
      <c r="H1855" s="10">
        <f>data!I1855</f>
        <v>19.8</v>
      </c>
      <c r="I1855" s="10">
        <f t="shared" si="112"/>
        <v>118.8</v>
      </c>
      <c r="J1855" s="11">
        <f>data!H1855</f>
        <v>42</v>
      </c>
      <c r="K1855" s="11">
        <f>data!J1855</f>
        <v>6</v>
      </c>
      <c r="L1855" s="11">
        <f t="shared" si="113"/>
        <v>36</v>
      </c>
      <c r="M1855" s="9">
        <f t="shared" si="114"/>
        <v>6</v>
      </c>
      <c r="N1855" s="9">
        <f t="shared" si="115"/>
        <v>6</v>
      </c>
    </row>
    <row r="1856" spans="1:14" x14ac:dyDescent="0.25">
      <c r="A1856" t="str">
        <f>TEXT("1/"&amp;data!A1856,"mmmm")</f>
        <v>juillet</v>
      </c>
      <c r="B1856">
        <f>data!B1856</f>
        <v>2016</v>
      </c>
      <c r="C1856" t="str">
        <f>data!C1856</f>
        <v>049</v>
      </c>
      <c r="D1856" t="str">
        <f>data!D1856</f>
        <v>MAISON GRANDEAU</v>
      </c>
      <c r="E1856" t="str">
        <f>data!E1856</f>
        <v>049027</v>
      </c>
      <c r="F1856" t="str">
        <f>data!F1856</f>
        <v>AC BX SUP Tradi  CH LAUDUC</v>
      </c>
      <c r="G1856" s="10">
        <f>data!G1856</f>
        <v>40.5</v>
      </c>
      <c r="H1856" s="10">
        <f>data!I1856</f>
        <v>202.5</v>
      </c>
      <c r="I1856" s="10">
        <f t="shared" si="112"/>
        <v>-162</v>
      </c>
      <c r="J1856" s="11">
        <f>data!H1856</f>
        <v>12</v>
      </c>
      <c r="K1856" s="11">
        <f>data!J1856</f>
        <v>60</v>
      </c>
      <c r="L1856" s="11">
        <f t="shared" si="113"/>
        <v>-48</v>
      </c>
      <c r="M1856" s="9">
        <f t="shared" si="114"/>
        <v>-0.8</v>
      </c>
      <c r="N1856" s="9">
        <f t="shared" si="115"/>
        <v>-0.8</v>
      </c>
    </row>
    <row r="1857" spans="1:14" x14ac:dyDescent="0.25">
      <c r="A1857" t="str">
        <f>TEXT("1/"&amp;data!A1857,"mmmm")</f>
        <v>juillet</v>
      </c>
      <c r="B1857">
        <f>data!B1857</f>
        <v>2016</v>
      </c>
      <c r="C1857" t="str">
        <f>data!C1857</f>
        <v>050</v>
      </c>
      <c r="D1857" t="str">
        <f>data!D1857</f>
        <v>CHÂTEAU HAUT LIGNIERES</v>
      </c>
      <c r="E1857" t="str">
        <f>data!E1857</f>
        <v>050001</v>
      </c>
      <c r="F1857" t="str">
        <f>data!F1857</f>
        <v>AC FAUGERES LE 1ER CH HAUT LIGNIERES</v>
      </c>
      <c r="G1857" s="10">
        <f>data!G1857</f>
        <v>1189.5</v>
      </c>
      <c r="H1857" s="10">
        <f>data!I1857</f>
        <v>1766.4</v>
      </c>
      <c r="I1857" s="10">
        <f t="shared" si="112"/>
        <v>-576.90000000000009</v>
      </c>
      <c r="J1857" s="11">
        <f>data!H1857</f>
        <v>366</v>
      </c>
      <c r="K1857" s="11">
        <f>data!J1857</f>
        <v>552</v>
      </c>
      <c r="L1857" s="11">
        <f t="shared" si="113"/>
        <v>-186</v>
      </c>
      <c r="M1857" s="9">
        <f t="shared" si="114"/>
        <v>-0.32659646739130438</v>
      </c>
      <c r="N1857" s="9">
        <f t="shared" si="115"/>
        <v>-0.33695652173913043</v>
      </c>
    </row>
    <row r="1858" spans="1:14" x14ac:dyDescent="0.25">
      <c r="A1858" t="str">
        <f>TEXT("1/"&amp;data!A1858,"mmmm")</f>
        <v>juillet</v>
      </c>
      <c r="B1858">
        <f>data!B1858</f>
        <v>2016</v>
      </c>
      <c r="C1858" t="str">
        <f>data!C1858</f>
        <v>050</v>
      </c>
      <c r="D1858" t="str">
        <f>data!D1858</f>
        <v>CHÂTEAU HAUT LIGNIERES</v>
      </c>
      <c r="E1858" t="str">
        <f>data!E1858</f>
        <v>050005</v>
      </c>
      <c r="F1858" t="str">
        <f>data!F1858</f>
        <v>AC FAUGERES ROMY CH HAUT LIGNIERES</v>
      </c>
      <c r="G1858" s="10">
        <f>data!G1858</f>
        <v>158.4</v>
      </c>
      <c r="H1858" s="10">
        <f>data!I1858</f>
        <v>105.6</v>
      </c>
      <c r="I1858" s="10">
        <f t="shared" si="112"/>
        <v>52.800000000000011</v>
      </c>
      <c r="J1858" s="11">
        <f>data!H1858</f>
        <v>36</v>
      </c>
      <c r="K1858" s="11">
        <f>data!J1858</f>
        <v>24</v>
      </c>
      <c r="L1858" s="11">
        <f t="shared" si="113"/>
        <v>12</v>
      </c>
      <c r="M1858" s="9">
        <f t="shared" si="114"/>
        <v>0.50000000000000011</v>
      </c>
      <c r="N1858" s="9">
        <f t="shared" si="115"/>
        <v>0.5</v>
      </c>
    </row>
    <row r="1859" spans="1:14" x14ac:dyDescent="0.25">
      <c r="A1859" t="str">
        <f>TEXT("1/"&amp;data!A1859,"mmmm")</f>
        <v>juillet</v>
      </c>
      <c r="B1859">
        <f>data!B1859</f>
        <v>2016</v>
      </c>
      <c r="C1859" t="str">
        <f>data!C1859</f>
        <v>051</v>
      </c>
      <c r="D1859" t="str">
        <f>data!D1859</f>
        <v>CLOS TRIMOULET</v>
      </c>
      <c r="E1859" t="str">
        <f>data!E1859</f>
        <v>051000</v>
      </c>
      <c r="F1859" t="str">
        <f>data!F1859</f>
        <v>AC MONTAGNE ST EMILION .CH ST GEORGES</v>
      </c>
      <c r="G1859" s="10">
        <f>data!G1859</f>
        <v>2856</v>
      </c>
      <c r="H1859" s="10">
        <f>data!I1859</f>
        <v>3455.2</v>
      </c>
      <c r="I1859" s="10">
        <f t="shared" ref="I1859:I1922" si="116">G1859-H1859</f>
        <v>-599.19999999999982</v>
      </c>
      <c r="J1859" s="11">
        <f>data!H1859</f>
        <v>510</v>
      </c>
      <c r="K1859" s="11">
        <f>data!J1859</f>
        <v>624</v>
      </c>
      <c r="L1859" s="11">
        <f t="shared" ref="L1859:L1922" si="117">J1859-K1859</f>
        <v>-114</v>
      </c>
      <c r="M1859" s="9">
        <f t="shared" ref="M1859:M1922" si="118">IF(ISERR(I1859/H1859),"",I1859/H1859)</f>
        <v>-0.17341977309562395</v>
      </c>
      <c r="N1859" s="9">
        <f t="shared" ref="N1859:N1922" si="119">IF(ISERR(L1859/K1859),"",L1859/K1859)</f>
        <v>-0.18269230769230768</v>
      </c>
    </row>
    <row r="1860" spans="1:14" x14ac:dyDescent="0.25">
      <c r="A1860" t="str">
        <f>TEXT("1/"&amp;data!A1860,"mmmm")</f>
        <v>juillet</v>
      </c>
      <c r="B1860">
        <f>data!B1860</f>
        <v>2016</v>
      </c>
      <c r="C1860" t="str">
        <f>data!C1860</f>
        <v>051</v>
      </c>
      <c r="D1860" t="str">
        <f>data!D1860</f>
        <v>CLOS TRIMOULET</v>
      </c>
      <c r="E1860" t="str">
        <f>data!E1860</f>
        <v>051002CB</v>
      </c>
      <c r="F1860" t="str">
        <f>data!F1860</f>
        <v>AC ST EMILION GRAND CRU CLOS TRIMOULET CAISSE BOIS</v>
      </c>
      <c r="G1860" s="10">
        <f>data!G1860</f>
        <v>113.4</v>
      </c>
      <c r="H1860" s="10">
        <f>data!I1860</f>
        <v>223.92</v>
      </c>
      <c r="I1860" s="10">
        <f t="shared" si="116"/>
        <v>-110.51999999999998</v>
      </c>
      <c r="J1860" s="11">
        <f>data!H1860</f>
        <v>12</v>
      </c>
      <c r="K1860" s="11">
        <f>data!J1860</f>
        <v>24</v>
      </c>
      <c r="L1860" s="11">
        <f t="shared" si="117"/>
        <v>-12</v>
      </c>
      <c r="M1860" s="9">
        <f t="shared" si="118"/>
        <v>-0.49356913183279738</v>
      </c>
      <c r="N1860" s="9">
        <f t="shared" si="119"/>
        <v>-0.5</v>
      </c>
    </row>
    <row r="1861" spans="1:14" x14ac:dyDescent="0.25">
      <c r="A1861" t="str">
        <f>TEXT("1/"&amp;data!A1861,"mmmm")</f>
        <v>juillet</v>
      </c>
      <c r="B1861">
        <f>data!B1861</f>
        <v>2016</v>
      </c>
      <c r="C1861" t="str">
        <f>data!C1861</f>
        <v>051</v>
      </c>
      <c r="D1861" t="str">
        <f>data!D1861</f>
        <v>CLOS TRIMOULET</v>
      </c>
      <c r="E1861" t="str">
        <f>data!E1861</f>
        <v>051010/11</v>
      </c>
      <c r="F1861" t="str">
        <f>data!F1861</f>
        <v>CLOS TRIMOULET AC ST EMILION GD CRU</v>
      </c>
      <c r="G1861" s="10">
        <f>data!G1861</f>
        <v>5734.8</v>
      </c>
      <c r="H1861" s="10">
        <f>data!I1861</f>
        <v>0</v>
      </c>
      <c r="I1861" s="10">
        <f t="shared" si="116"/>
        <v>5734.8</v>
      </c>
      <c r="J1861" s="11">
        <f>data!H1861</f>
        <v>708</v>
      </c>
      <c r="K1861" s="11">
        <f>data!J1861</f>
        <v>0</v>
      </c>
      <c r="L1861" s="11">
        <f t="shared" si="117"/>
        <v>708</v>
      </c>
      <c r="M1861" s="9" t="str">
        <f t="shared" si="118"/>
        <v/>
      </c>
      <c r="N1861" s="9" t="str">
        <f t="shared" si="119"/>
        <v/>
      </c>
    </row>
    <row r="1862" spans="1:14" x14ac:dyDescent="0.25">
      <c r="A1862" t="str">
        <f>TEXT("1/"&amp;data!A1862,"mmmm")</f>
        <v>juillet</v>
      </c>
      <c r="B1862">
        <f>data!B1862</f>
        <v>2016</v>
      </c>
      <c r="C1862" t="str">
        <f>data!C1862</f>
        <v>051</v>
      </c>
      <c r="D1862" t="str">
        <f>data!D1862</f>
        <v>CLOS TRIMOULET</v>
      </c>
      <c r="E1862" t="str">
        <f>data!E1862</f>
        <v>051017</v>
      </c>
      <c r="F1862" t="str">
        <f>data!F1862</f>
        <v>AC MONTAGNE ST EMILION CH ST GEORGES</v>
      </c>
      <c r="G1862" s="10">
        <f>data!G1862</f>
        <v>228.6</v>
      </c>
      <c r="H1862" s="10">
        <f>data!I1862</f>
        <v>533.4</v>
      </c>
      <c r="I1862" s="10">
        <f t="shared" si="116"/>
        <v>-304.79999999999995</v>
      </c>
      <c r="J1862" s="11">
        <f>data!H1862</f>
        <v>36</v>
      </c>
      <c r="K1862" s="11">
        <f>data!J1862</f>
        <v>84</v>
      </c>
      <c r="L1862" s="11">
        <f t="shared" si="117"/>
        <v>-48</v>
      </c>
      <c r="M1862" s="9">
        <f t="shared" si="118"/>
        <v>-0.5714285714285714</v>
      </c>
      <c r="N1862" s="9">
        <f t="shared" si="119"/>
        <v>-0.5714285714285714</v>
      </c>
    </row>
    <row r="1863" spans="1:14" x14ac:dyDescent="0.25">
      <c r="A1863" t="str">
        <f>TEXT("1/"&amp;data!A1863,"mmmm")</f>
        <v>juillet</v>
      </c>
      <c r="B1863">
        <f>data!B1863</f>
        <v>2016</v>
      </c>
      <c r="C1863" t="str">
        <f>data!C1863</f>
        <v>051</v>
      </c>
      <c r="D1863" t="str">
        <f>data!D1863</f>
        <v>CLOS TRIMOULET</v>
      </c>
      <c r="E1863" t="str">
        <f>data!E1863</f>
        <v>051133</v>
      </c>
      <c r="F1863" t="str">
        <f>data!F1863</f>
        <v>CLOS TRIMOULET AC ST EMILION GRAND CRU</v>
      </c>
      <c r="G1863" s="10">
        <f>data!G1863</f>
        <v>1062</v>
      </c>
      <c r="H1863" s="10">
        <f>data!I1863</f>
        <v>1056</v>
      </c>
      <c r="I1863" s="10">
        <f t="shared" si="116"/>
        <v>6</v>
      </c>
      <c r="J1863" s="11">
        <f>data!H1863</f>
        <v>120</v>
      </c>
      <c r="K1863" s="11">
        <f>data!J1863</f>
        <v>120</v>
      </c>
      <c r="L1863" s="11">
        <f t="shared" si="117"/>
        <v>0</v>
      </c>
      <c r="M1863" s="9">
        <f t="shared" si="118"/>
        <v>5.681818181818182E-3</v>
      </c>
      <c r="N1863" s="9">
        <f t="shared" si="119"/>
        <v>0</v>
      </c>
    </row>
    <row r="1864" spans="1:14" x14ac:dyDescent="0.25">
      <c r="A1864" t="str">
        <f>TEXT("1/"&amp;data!A1864,"mmmm")</f>
        <v>juillet</v>
      </c>
      <c r="B1864">
        <f>data!B1864</f>
        <v>2016</v>
      </c>
      <c r="C1864" t="str">
        <f>data!C1864</f>
        <v>051</v>
      </c>
      <c r="D1864" t="str">
        <f>data!D1864</f>
        <v>CLOS TRIMOULET</v>
      </c>
      <c r="E1864" t="str">
        <f>data!E1864</f>
        <v>CDV051016</v>
      </c>
      <c r="F1864" t="str">
        <f>data!F1864</f>
        <v>AC MONTAGNE ST EMILION CHEVALIER ST GEORGES</v>
      </c>
      <c r="G1864" s="10">
        <f>data!G1864</f>
        <v>237.6</v>
      </c>
      <c r="H1864" s="10">
        <f>data!I1864</f>
        <v>79.2</v>
      </c>
      <c r="I1864" s="10">
        <f t="shared" si="116"/>
        <v>158.39999999999998</v>
      </c>
      <c r="J1864" s="11">
        <f>data!H1864</f>
        <v>36</v>
      </c>
      <c r="K1864" s="11">
        <f>data!J1864</f>
        <v>12</v>
      </c>
      <c r="L1864" s="11">
        <f t="shared" si="117"/>
        <v>24</v>
      </c>
      <c r="M1864" s="9">
        <f t="shared" si="118"/>
        <v>1.9999999999999996</v>
      </c>
      <c r="N1864" s="9">
        <f t="shared" si="119"/>
        <v>2</v>
      </c>
    </row>
    <row r="1865" spans="1:14" x14ac:dyDescent="0.25">
      <c r="A1865" t="str">
        <f>TEXT("1/"&amp;data!A1865,"mmmm")</f>
        <v>juillet</v>
      </c>
      <c r="B1865">
        <f>data!B1865</f>
        <v>2016</v>
      </c>
      <c r="C1865" t="str">
        <f>data!C1865</f>
        <v>052</v>
      </c>
      <c r="D1865" t="str">
        <f>data!D1865</f>
        <v>GIRONDE ET GASCOGNE SARL</v>
      </c>
      <c r="E1865" t="str">
        <f>data!E1865</f>
        <v>052017</v>
      </c>
      <c r="F1865" t="str">
        <f>data!F1865</f>
        <v>AC HT MEDOC CRU B CH RAMAGE LA BATISSE</v>
      </c>
      <c r="G1865" s="10">
        <f>data!G1865</f>
        <v>117.9</v>
      </c>
      <c r="H1865" s="10">
        <f>data!I1865</f>
        <v>0</v>
      </c>
      <c r="I1865" s="10">
        <f t="shared" si="116"/>
        <v>117.9</v>
      </c>
      <c r="J1865" s="11">
        <f>data!H1865</f>
        <v>12</v>
      </c>
      <c r="K1865" s="11">
        <f>data!J1865</f>
        <v>0</v>
      </c>
      <c r="L1865" s="11">
        <f t="shared" si="117"/>
        <v>12</v>
      </c>
      <c r="M1865" s="9" t="str">
        <f t="shared" si="118"/>
        <v/>
      </c>
      <c r="N1865" s="9" t="str">
        <f t="shared" si="119"/>
        <v/>
      </c>
    </row>
    <row r="1866" spans="1:14" x14ac:dyDescent="0.25">
      <c r="A1866" t="str">
        <f>TEXT("1/"&amp;data!A1866,"mmmm")</f>
        <v>juillet</v>
      </c>
      <c r="B1866">
        <f>data!B1866</f>
        <v>2016</v>
      </c>
      <c r="C1866" t="str">
        <f>data!C1866</f>
        <v>052</v>
      </c>
      <c r="D1866" t="str">
        <f>data!D1866</f>
        <v>GIRONDE ET GASCOGNE SARL</v>
      </c>
      <c r="E1866" t="str">
        <f>data!E1866</f>
        <v>052021</v>
      </c>
      <c r="F1866" t="str">
        <f>data!F1866</f>
        <v>CH RAMAGE LA BATISSE AC HAUT MEDOC CRU BOURGEOIS C</v>
      </c>
      <c r="G1866" s="10">
        <f>data!G1866</f>
        <v>518.4</v>
      </c>
      <c r="H1866" s="10">
        <f>data!I1866</f>
        <v>115.2</v>
      </c>
      <c r="I1866" s="10">
        <f t="shared" si="116"/>
        <v>403.2</v>
      </c>
      <c r="J1866" s="11">
        <f>data!H1866</f>
        <v>54</v>
      </c>
      <c r="K1866" s="11">
        <f>data!J1866</f>
        <v>12</v>
      </c>
      <c r="L1866" s="11">
        <f t="shared" si="117"/>
        <v>42</v>
      </c>
      <c r="M1866" s="9">
        <f t="shared" si="118"/>
        <v>3.5</v>
      </c>
      <c r="N1866" s="9">
        <f t="shared" si="119"/>
        <v>3.5</v>
      </c>
    </row>
    <row r="1867" spans="1:14" x14ac:dyDescent="0.25">
      <c r="A1867" t="str">
        <f>TEXT("1/"&amp;data!A1867,"mmmm")</f>
        <v>juillet</v>
      </c>
      <c r="B1867">
        <f>data!B1867</f>
        <v>2016</v>
      </c>
      <c r="C1867" t="str">
        <f>data!C1867</f>
        <v>052</v>
      </c>
      <c r="D1867" t="str">
        <f>data!D1867</f>
        <v>GIRONDE ET GASCOGNE SARL</v>
      </c>
      <c r="E1867" t="str">
        <f>data!E1867</f>
        <v>052028</v>
      </c>
      <c r="F1867" t="str">
        <f>data!F1867</f>
        <v>AC BX LA ROSEE DE RAMAGE</v>
      </c>
      <c r="G1867" s="10">
        <f>data!G1867</f>
        <v>302.10000000000002</v>
      </c>
      <c r="H1867" s="10">
        <f>data!I1867</f>
        <v>365.7</v>
      </c>
      <c r="I1867" s="10">
        <f t="shared" si="116"/>
        <v>-63.599999999999966</v>
      </c>
      <c r="J1867" s="11">
        <f>data!H1867</f>
        <v>114</v>
      </c>
      <c r="K1867" s="11">
        <f>data!J1867</f>
        <v>138</v>
      </c>
      <c r="L1867" s="11">
        <f t="shared" si="117"/>
        <v>-24</v>
      </c>
      <c r="M1867" s="9">
        <f t="shared" si="118"/>
        <v>-0.17391304347826078</v>
      </c>
      <c r="N1867" s="9">
        <f t="shared" si="119"/>
        <v>-0.17391304347826086</v>
      </c>
    </row>
    <row r="1868" spans="1:14" x14ac:dyDescent="0.25">
      <c r="A1868" t="str">
        <f>TEXT("1/"&amp;data!A1868,"mmmm")</f>
        <v>juillet</v>
      </c>
      <c r="B1868">
        <f>data!B1868</f>
        <v>2016</v>
      </c>
      <c r="C1868" t="str">
        <f>data!C1868</f>
        <v>052</v>
      </c>
      <c r="D1868" t="str">
        <f>data!D1868</f>
        <v>GIRONDE ET GASCOGNE SARL</v>
      </c>
      <c r="E1868" t="str">
        <f>data!E1868</f>
        <v>052039</v>
      </c>
      <c r="F1868" t="str">
        <f>data!F1868</f>
        <v>AC HT-MEDOC CLOS DE RAMAGE</v>
      </c>
      <c r="G1868" s="10">
        <f>data!G1868</f>
        <v>1191.9000000000001</v>
      </c>
      <c r="H1868" s="10">
        <f>data!I1868</f>
        <v>452.1</v>
      </c>
      <c r="I1868" s="10">
        <f t="shared" si="116"/>
        <v>739.80000000000007</v>
      </c>
      <c r="J1868" s="11">
        <f>data!H1868</f>
        <v>174</v>
      </c>
      <c r="K1868" s="11">
        <f>data!J1868</f>
        <v>66</v>
      </c>
      <c r="L1868" s="11">
        <f t="shared" si="117"/>
        <v>108</v>
      </c>
      <c r="M1868" s="9">
        <f t="shared" si="118"/>
        <v>1.6363636363636365</v>
      </c>
      <c r="N1868" s="9">
        <f t="shared" si="119"/>
        <v>1.6363636363636365</v>
      </c>
    </row>
    <row r="1869" spans="1:14" x14ac:dyDescent="0.25">
      <c r="A1869" t="str">
        <f>TEXT("1/"&amp;data!A1869,"mmmm")</f>
        <v>juillet</v>
      </c>
      <c r="B1869">
        <f>data!B1869</f>
        <v>2016</v>
      </c>
      <c r="C1869" t="str">
        <f>data!C1869</f>
        <v>052</v>
      </c>
      <c r="D1869" t="str">
        <f>data!D1869</f>
        <v>GIRONDE ET GASCOGNE SARL</v>
      </c>
      <c r="E1869" t="str">
        <f>data!E1869</f>
        <v>052046</v>
      </c>
      <c r="F1869" t="str">
        <f>data!F1869</f>
        <v>CLOS DE RAMAGE AC HAUT-MEDOC</v>
      </c>
      <c r="G1869" s="10">
        <f>data!G1869</f>
        <v>84.9</v>
      </c>
      <c r="H1869" s="10">
        <f>data!I1869</f>
        <v>169.8</v>
      </c>
      <c r="I1869" s="10">
        <f t="shared" si="116"/>
        <v>-84.9</v>
      </c>
      <c r="J1869" s="11">
        <f>data!H1869</f>
        <v>12</v>
      </c>
      <c r="K1869" s="11">
        <f>data!J1869</f>
        <v>24</v>
      </c>
      <c r="L1869" s="11">
        <f t="shared" si="117"/>
        <v>-12</v>
      </c>
      <c r="M1869" s="9">
        <f t="shared" si="118"/>
        <v>-0.5</v>
      </c>
      <c r="N1869" s="9">
        <f t="shared" si="119"/>
        <v>-0.5</v>
      </c>
    </row>
    <row r="1870" spans="1:14" x14ac:dyDescent="0.25">
      <c r="A1870" t="str">
        <f>TEXT("1/"&amp;data!A1870,"mmmm")</f>
        <v>juillet</v>
      </c>
      <c r="B1870">
        <f>data!B1870</f>
        <v>2016</v>
      </c>
      <c r="C1870" t="str">
        <f>data!C1870</f>
        <v>052</v>
      </c>
      <c r="D1870" t="str">
        <f>data!D1870</f>
        <v>GIRONDE ET GASCOGNE SARL</v>
      </c>
      <c r="E1870" t="str">
        <f>data!E1870</f>
        <v>052055</v>
      </c>
      <c r="F1870" t="str">
        <f>data!F1870</f>
        <v>AC C CASTILLON. CH BELCIER</v>
      </c>
      <c r="G1870" s="10">
        <f>data!G1870</f>
        <v>0</v>
      </c>
      <c r="H1870" s="10">
        <f>data!I1870</f>
        <v>411</v>
      </c>
      <c r="I1870" s="10">
        <f t="shared" si="116"/>
        <v>-411</v>
      </c>
      <c r="J1870" s="11">
        <f>data!H1870</f>
        <v>6</v>
      </c>
      <c r="K1870" s="11">
        <f>data!J1870</f>
        <v>60</v>
      </c>
      <c r="L1870" s="11">
        <f t="shared" si="117"/>
        <v>-54</v>
      </c>
      <c r="M1870" s="9">
        <f t="shared" si="118"/>
        <v>-1</v>
      </c>
      <c r="N1870" s="9">
        <f t="shared" si="119"/>
        <v>-0.9</v>
      </c>
    </row>
    <row r="1871" spans="1:14" x14ac:dyDescent="0.25">
      <c r="A1871" t="str">
        <f>TEXT("1/"&amp;data!A1871,"mmmm")</f>
        <v>juillet</v>
      </c>
      <c r="B1871">
        <f>data!B1871</f>
        <v>2016</v>
      </c>
      <c r="C1871" t="str">
        <f>data!C1871</f>
        <v>052</v>
      </c>
      <c r="D1871" t="str">
        <f>data!D1871</f>
        <v>GIRONDE ET GASCOGNE SARL</v>
      </c>
      <c r="E1871" t="str">
        <f>data!E1871</f>
        <v>052320</v>
      </c>
      <c r="F1871" t="str">
        <f>data!F1871</f>
        <v>CH GUILLEMIN GAFFELIERE AC ST EMILION GRAND CRU</v>
      </c>
      <c r="G1871" s="10">
        <f>data!G1871</f>
        <v>507.6</v>
      </c>
      <c r="H1871" s="10">
        <f>data!I1871</f>
        <v>0</v>
      </c>
      <c r="I1871" s="10">
        <f t="shared" si="116"/>
        <v>507.6</v>
      </c>
      <c r="J1871" s="11">
        <f>data!H1871</f>
        <v>36</v>
      </c>
      <c r="K1871" s="11">
        <f>data!J1871</f>
        <v>0</v>
      </c>
      <c r="L1871" s="11">
        <f t="shared" si="117"/>
        <v>36</v>
      </c>
      <c r="M1871" s="9" t="str">
        <f t="shared" si="118"/>
        <v/>
      </c>
      <c r="N1871" s="9" t="str">
        <f t="shared" si="119"/>
        <v/>
      </c>
    </row>
    <row r="1872" spans="1:14" x14ac:dyDescent="0.25">
      <c r="A1872" t="str">
        <f>TEXT("1/"&amp;data!A1872,"mmmm")</f>
        <v>juillet</v>
      </c>
      <c r="B1872">
        <f>data!B1872</f>
        <v>2016</v>
      </c>
      <c r="C1872" t="str">
        <f>data!C1872</f>
        <v>052</v>
      </c>
      <c r="D1872" t="str">
        <f>data!D1872</f>
        <v>GIRONDE ET GASCOGNE SARL</v>
      </c>
      <c r="E1872" t="str">
        <f>data!E1872</f>
        <v>052322</v>
      </c>
      <c r="F1872" t="str">
        <f>data!F1872</f>
        <v>CH GUILLEMIN GAFFELIERE AC ST EMILION GRAND CRU</v>
      </c>
      <c r="G1872" s="10">
        <f>data!G1872</f>
        <v>94.8</v>
      </c>
      <c r="H1872" s="10">
        <f>data!I1872</f>
        <v>0</v>
      </c>
      <c r="I1872" s="10">
        <f t="shared" si="116"/>
        <v>94.8</v>
      </c>
      <c r="J1872" s="11">
        <f>data!H1872</f>
        <v>6</v>
      </c>
      <c r="K1872" s="11">
        <f>data!J1872</f>
        <v>0</v>
      </c>
      <c r="L1872" s="11">
        <f t="shared" si="117"/>
        <v>6</v>
      </c>
      <c r="M1872" s="9" t="str">
        <f t="shared" si="118"/>
        <v/>
      </c>
      <c r="N1872" s="9" t="str">
        <f t="shared" si="119"/>
        <v/>
      </c>
    </row>
    <row r="1873" spans="1:14" x14ac:dyDescent="0.25">
      <c r="A1873" t="str">
        <f>TEXT("1/"&amp;data!A1873,"mmmm")</f>
        <v>juillet</v>
      </c>
      <c r="B1873">
        <f>data!B1873</f>
        <v>2016</v>
      </c>
      <c r="C1873" t="str">
        <f>data!C1873</f>
        <v>054</v>
      </c>
      <c r="D1873" t="str">
        <f>data!D1873</f>
        <v>CHÂTEAU JEANDEMAN</v>
      </c>
      <c r="E1873" t="str">
        <f>data!E1873</f>
        <v>054002</v>
      </c>
      <c r="F1873" t="str">
        <f>data!F1873</f>
        <v>AC FRONSAC CH JEANDEMAN</v>
      </c>
      <c r="G1873" s="10">
        <f>data!G1873</f>
        <v>390</v>
      </c>
      <c r="H1873" s="10">
        <f>data!I1873</f>
        <v>576</v>
      </c>
      <c r="I1873" s="10">
        <f t="shared" si="116"/>
        <v>-186</v>
      </c>
      <c r="J1873" s="11">
        <f>data!H1873</f>
        <v>78</v>
      </c>
      <c r="K1873" s="11">
        <f>data!J1873</f>
        <v>120</v>
      </c>
      <c r="L1873" s="11">
        <f t="shared" si="117"/>
        <v>-42</v>
      </c>
      <c r="M1873" s="9">
        <f t="shared" si="118"/>
        <v>-0.32291666666666669</v>
      </c>
      <c r="N1873" s="9">
        <f t="shared" si="119"/>
        <v>-0.35</v>
      </c>
    </row>
    <row r="1874" spans="1:14" x14ac:dyDescent="0.25">
      <c r="A1874" t="str">
        <f>TEXT("1/"&amp;data!A1874,"mmmm")</f>
        <v>juillet</v>
      </c>
      <c r="B1874">
        <f>data!B1874</f>
        <v>2016</v>
      </c>
      <c r="C1874" t="str">
        <f>data!C1874</f>
        <v>054</v>
      </c>
      <c r="D1874" t="str">
        <f>data!D1874</f>
        <v>CHÂTEAU JEANDEMAN</v>
      </c>
      <c r="E1874" t="str">
        <f>data!E1874</f>
        <v>054005</v>
      </c>
      <c r="F1874" t="str">
        <f>data!F1874</f>
        <v>AC LALANDE DE POMEROL. CH LABORDE</v>
      </c>
      <c r="G1874" s="10">
        <f>data!G1874</f>
        <v>279</v>
      </c>
      <c r="H1874" s="10">
        <f>data!I1874</f>
        <v>396.9</v>
      </c>
      <c r="I1874" s="10">
        <f t="shared" si="116"/>
        <v>-117.89999999999998</v>
      </c>
      <c r="J1874" s="11">
        <f>data!H1874</f>
        <v>36</v>
      </c>
      <c r="K1874" s="11">
        <f>data!J1874</f>
        <v>54</v>
      </c>
      <c r="L1874" s="11">
        <f t="shared" si="117"/>
        <v>-18</v>
      </c>
      <c r="M1874" s="9">
        <f t="shared" si="118"/>
        <v>-0.2970521541950113</v>
      </c>
      <c r="N1874" s="9">
        <f t="shared" si="119"/>
        <v>-0.33333333333333331</v>
      </c>
    </row>
    <row r="1875" spans="1:14" x14ac:dyDescent="0.25">
      <c r="A1875" t="str">
        <f>TEXT("1/"&amp;data!A1875,"mmmm")</f>
        <v>juillet</v>
      </c>
      <c r="B1875">
        <f>data!B1875</f>
        <v>2016</v>
      </c>
      <c r="C1875" t="str">
        <f>data!C1875</f>
        <v>054</v>
      </c>
      <c r="D1875" t="str">
        <f>data!D1875</f>
        <v>CHÂTEAU JEANDEMAN</v>
      </c>
      <c r="E1875" t="str">
        <f>data!E1875</f>
        <v>054011</v>
      </c>
      <c r="F1875" t="str">
        <f>data!F1875</f>
        <v>AC PESSAC LEOGNAN. CH MANCEDRE</v>
      </c>
      <c r="G1875" s="10">
        <f>data!G1875</f>
        <v>320.39999999999998</v>
      </c>
      <c r="H1875" s="10">
        <f>data!I1875</f>
        <v>138.6</v>
      </c>
      <c r="I1875" s="10">
        <f t="shared" si="116"/>
        <v>181.79999999999998</v>
      </c>
      <c r="J1875" s="11">
        <f>data!H1875</f>
        <v>36</v>
      </c>
      <c r="K1875" s="11">
        <f>data!J1875</f>
        <v>18</v>
      </c>
      <c r="L1875" s="11">
        <f t="shared" si="117"/>
        <v>18</v>
      </c>
      <c r="M1875" s="9">
        <f t="shared" si="118"/>
        <v>1.3116883116883116</v>
      </c>
      <c r="N1875" s="9">
        <f t="shared" si="119"/>
        <v>1</v>
      </c>
    </row>
    <row r="1876" spans="1:14" x14ac:dyDescent="0.25">
      <c r="A1876" t="str">
        <f>TEXT("1/"&amp;data!A1876,"mmmm")</f>
        <v>juillet</v>
      </c>
      <c r="B1876">
        <f>data!B1876</f>
        <v>2016</v>
      </c>
      <c r="C1876" t="str">
        <f>data!C1876</f>
        <v>059</v>
      </c>
      <c r="D1876" t="str">
        <f>data!D1876</f>
        <v>CH DU ROUET</v>
      </c>
      <c r="E1876" t="str">
        <f>data!E1876</f>
        <v>059002</v>
      </c>
      <c r="F1876" t="str">
        <f>data!F1876</f>
        <v>AC C.PROVENCE. ESTERELLE .ROUET</v>
      </c>
      <c r="G1876" s="10">
        <f>data!G1876</f>
        <v>126</v>
      </c>
      <c r="H1876" s="10">
        <f>data!I1876</f>
        <v>252</v>
      </c>
      <c r="I1876" s="10">
        <f t="shared" si="116"/>
        <v>-126</v>
      </c>
      <c r="J1876" s="11">
        <f>data!H1876</f>
        <v>30</v>
      </c>
      <c r="K1876" s="11">
        <f>data!J1876</f>
        <v>60</v>
      </c>
      <c r="L1876" s="11">
        <f t="shared" si="117"/>
        <v>-30</v>
      </c>
      <c r="M1876" s="9">
        <f t="shared" si="118"/>
        <v>-0.5</v>
      </c>
      <c r="N1876" s="9">
        <f t="shared" si="119"/>
        <v>-0.5</v>
      </c>
    </row>
    <row r="1877" spans="1:14" x14ac:dyDescent="0.25">
      <c r="A1877" t="str">
        <f>TEXT("1/"&amp;data!A1877,"mmmm")</f>
        <v>juillet</v>
      </c>
      <c r="B1877">
        <f>data!B1877</f>
        <v>2016</v>
      </c>
      <c r="C1877" t="str">
        <f>data!C1877</f>
        <v>059</v>
      </c>
      <c r="D1877" t="str">
        <f>data!D1877</f>
        <v>CH DU ROUET</v>
      </c>
      <c r="E1877" t="str">
        <f>data!E1877</f>
        <v>059004</v>
      </c>
      <c r="F1877" t="str">
        <f>data!F1877</f>
        <v>AP COTES DE PROVENCE ESTERELLE</v>
      </c>
      <c r="G1877" s="10">
        <f>data!G1877</f>
        <v>86.4</v>
      </c>
      <c r="H1877" s="10">
        <f>data!I1877</f>
        <v>149.1</v>
      </c>
      <c r="I1877" s="10">
        <f t="shared" si="116"/>
        <v>-62.699999999999989</v>
      </c>
      <c r="J1877" s="11">
        <f>data!H1877</f>
        <v>24</v>
      </c>
      <c r="K1877" s="11">
        <f>data!J1877</f>
        <v>48</v>
      </c>
      <c r="L1877" s="11">
        <f t="shared" si="117"/>
        <v>-24</v>
      </c>
      <c r="M1877" s="9">
        <f t="shared" si="118"/>
        <v>-0.42052313883299791</v>
      </c>
      <c r="N1877" s="9">
        <f t="shared" si="119"/>
        <v>-0.5</v>
      </c>
    </row>
    <row r="1878" spans="1:14" x14ac:dyDescent="0.25">
      <c r="A1878" t="str">
        <f>TEXT("1/"&amp;data!A1878,"mmmm")</f>
        <v>juillet</v>
      </c>
      <c r="B1878">
        <f>data!B1878</f>
        <v>2016</v>
      </c>
      <c r="C1878" t="str">
        <f>data!C1878</f>
        <v>059</v>
      </c>
      <c r="D1878" t="str">
        <f>data!D1878</f>
        <v>CH DU ROUET</v>
      </c>
      <c r="E1878" t="str">
        <f>data!E1878</f>
        <v>059005</v>
      </c>
      <c r="F1878" t="str">
        <f>data!F1878</f>
        <v>AP COTES DE PROVENCE ESTERELLE</v>
      </c>
      <c r="G1878" s="10">
        <f>data!G1878</f>
        <v>86.4</v>
      </c>
      <c r="H1878" s="10">
        <f>data!I1878</f>
        <v>0</v>
      </c>
      <c r="I1878" s="10">
        <f t="shared" si="116"/>
        <v>86.4</v>
      </c>
      <c r="J1878" s="11">
        <f>data!H1878</f>
        <v>24</v>
      </c>
      <c r="K1878" s="11">
        <f>data!J1878</f>
        <v>0</v>
      </c>
      <c r="L1878" s="11">
        <f t="shared" si="117"/>
        <v>24</v>
      </c>
      <c r="M1878" s="9" t="str">
        <f t="shared" si="118"/>
        <v/>
      </c>
      <c r="N1878" s="9" t="str">
        <f t="shared" si="119"/>
        <v/>
      </c>
    </row>
    <row r="1879" spans="1:14" x14ac:dyDescent="0.25">
      <c r="A1879" t="str">
        <f>TEXT("1/"&amp;data!A1879,"mmmm")</f>
        <v>juillet</v>
      </c>
      <c r="B1879">
        <f>data!B1879</f>
        <v>2016</v>
      </c>
      <c r="C1879" t="str">
        <f>data!C1879</f>
        <v>059</v>
      </c>
      <c r="D1879" t="str">
        <f>data!D1879</f>
        <v>CH DU ROUET</v>
      </c>
      <c r="E1879" t="str">
        <f>data!E1879</f>
        <v>059006</v>
      </c>
      <c r="F1879" t="str">
        <f>data!F1879</f>
        <v>AC C.PROVENCE. BELLE POULE</v>
      </c>
      <c r="G1879" s="10">
        <f>data!G1879</f>
        <v>33</v>
      </c>
      <c r="H1879" s="10">
        <f>data!I1879</f>
        <v>99</v>
      </c>
      <c r="I1879" s="10">
        <f t="shared" si="116"/>
        <v>-66</v>
      </c>
      <c r="J1879" s="11">
        <f>data!H1879</f>
        <v>6</v>
      </c>
      <c r="K1879" s="11">
        <f>data!J1879</f>
        <v>24</v>
      </c>
      <c r="L1879" s="11">
        <f t="shared" si="117"/>
        <v>-18</v>
      </c>
      <c r="M1879" s="9">
        <f t="shared" si="118"/>
        <v>-0.66666666666666663</v>
      </c>
      <c r="N1879" s="9">
        <f t="shared" si="119"/>
        <v>-0.75</v>
      </c>
    </row>
    <row r="1880" spans="1:14" x14ac:dyDescent="0.25">
      <c r="A1880" t="str">
        <f>TEXT("1/"&amp;data!A1880,"mmmm")</f>
        <v>juillet</v>
      </c>
      <c r="B1880">
        <f>data!B1880</f>
        <v>2016</v>
      </c>
      <c r="C1880" t="str">
        <f>data!C1880</f>
        <v>059</v>
      </c>
      <c r="D1880" t="str">
        <f>data!D1880</f>
        <v>CH DU ROUET</v>
      </c>
      <c r="E1880" t="str">
        <f>data!E1880</f>
        <v>059019</v>
      </c>
      <c r="F1880" t="str">
        <f>data!F1880</f>
        <v>AC COTES DE PROVENCE ESTERELLE</v>
      </c>
      <c r="G1880" s="10">
        <f>data!G1880</f>
        <v>63.9</v>
      </c>
      <c r="H1880" s="10">
        <f>data!I1880</f>
        <v>383.4</v>
      </c>
      <c r="I1880" s="10">
        <f t="shared" si="116"/>
        <v>-319.5</v>
      </c>
      <c r="J1880" s="11">
        <f>data!H1880</f>
        <v>18</v>
      </c>
      <c r="K1880" s="11">
        <f>data!J1880</f>
        <v>108</v>
      </c>
      <c r="L1880" s="11">
        <f t="shared" si="117"/>
        <v>-90</v>
      </c>
      <c r="M1880" s="9">
        <f t="shared" si="118"/>
        <v>-0.83333333333333337</v>
      </c>
      <c r="N1880" s="9">
        <f t="shared" si="119"/>
        <v>-0.83333333333333337</v>
      </c>
    </row>
    <row r="1881" spans="1:14" x14ac:dyDescent="0.25">
      <c r="A1881" t="str">
        <f>TEXT("1/"&amp;data!A1881,"mmmm")</f>
        <v>juillet</v>
      </c>
      <c r="B1881">
        <f>data!B1881</f>
        <v>2016</v>
      </c>
      <c r="C1881" t="str">
        <f>data!C1881</f>
        <v>059</v>
      </c>
      <c r="D1881" t="str">
        <f>data!D1881</f>
        <v>CH DU ROUET</v>
      </c>
      <c r="E1881" t="str">
        <f>data!E1881</f>
        <v>059020</v>
      </c>
      <c r="F1881" t="str">
        <f>data!F1881</f>
        <v>AC C.PROVENCE ESTERELLE</v>
      </c>
      <c r="G1881" s="10">
        <f>data!G1881</f>
        <v>4557.6000000000004</v>
      </c>
      <c r="H1881" s="10">
        <f>data!I1881</f>
        <v>9240</v>
      </c>
      <c r="I1881" s="10">
        <f t="shared" si="116"/>
        <v>-4682.3999999999996</v>
      </c>
      <c r="J1881" s="11">
        <f>data!H1881</f>
        <v>1266</v>
      </c>
      <c r="K1881" s="11">
        <f>data!J1881</f>
        <v>2646</v>
      </c>
      <c r="L1881" s="11">
        <f t="shared" si="117"/>
        <v>-1380</v>
      </c>
      <c r="M1881" s="9">
        <f t="shared" si="118"/>
        <v>-0.50675324675324673</v>
      </c>
      <c r="N1881" s="9">
        <f t="shared" si="119"/>
        <v>-0.52154195011337867</v>
      </c>
    </row>
    <row r="1882" spans="1:14" x14ac:dyDescent="0.25">
      <c r="A1882" t="str">
        <f>TEXT("1/"&amp;data!A1882,"mmmm")</f>
        <v>juillet</v>
      </c>
      <c r="B1882">
        <f>data!B1882</f>
        <v>2016</v>
      </c>
      <c r="C1882" t="str">
        <f>data!C1882</f>
        <v>059</v>
      </c>
      <c r="D1882" t="str">
        <f>data!D1882</f>
        <v>CH DU ROUET</v>
      </c>
      <c r="E1882" t="str">
        <f>data!E1882</f>
        <v>059021</v>
      </c>
      <c r="F1882" t="str">
        <f>data!F1882</f>
        <v>AC COTES DE PROVENCE</v>
      </c>
      <c r="G1882" s="10">
        <f>data!G1882</f>
        <v>1534.7</v>
      </c>
      <c r="H1882" s="10">
        <f>data!I1882</f>
        <v>3456.8</v>
      </c>
      <c r="I1882" s="10">
        <f t="shared" si="116"/>
        <v>-1922.1000000000001</v>
      </c>
      <c r="J1882" s="11">
        <f>data!H1882</f>
        <v>687.01</v>
      </c>
      <c r="K1882" s="11">
        <f>data!J1882</f>
        <v>1547.44</v>
      </c>
      <c r="L1882" s="11">
        <f t="shared" si="117"/>
        <v>-860.43000000000006</v>
      </c>
      <c r="M1882" s="9">
        <f t="shared" si="118"/>
        <v>-0.55603448275862066</v>
      </c>
      <c r="N1882" s="9">
        <f t="shared" si="119"/>
        <v>-0.55603448275862066</v>
      </c>
    </row>
    <row r="1883" spans="1:14" x14ac:dyDescent="0.25">
      <c r="A1883" t="str">
        <f>TEXT("1/"&amp;data!A1883,"mmmm")</f>
        <v>juillet</v>
      </c>
      <c r="B1883">
        <f>data!B1883</f>
        <v>2016</v>
      </c>
      <c r="C1883" t="str">
        <f>data!C1883</f>
        <v>059</v>
      </c>
      <c r="D1883" t="str">
        <f>data!D1883</f>
        <v>CH DU ROUET</v>
      </c>
      <c r="E1883" t="str">
        <f>data!E1883</f>
        <v>059024</v>
      </c>
      <c r="F1883" t="str">
        <f>data!F1883</f>
        <v>VDP MEDITERRANEE. TERES</v>
      </c>
      <c r="G1883" s="10">
        <f>data!G1883</f>
        <v>126</v>
      </c>
      <c r="H1883" s="10">
        <f>data!I1883</f>
        <v>936</v>
      </c>
      <c r="I1883" s="10">
        <f t="shared" si="116"/>
        <v>-810</v>
      </c>
      <c r="J1883" s="11">
        <f>data!H1883</f>
        <v>42</v>
      </c>
      <c r="K1883" s="11">
        <f>data!J1883</f>
        <v>324</v>
      </c>
      <c r="L1883" s="11">
        <f t="shared" si="117"/>
        <v>-282</v>
      </c>
      <c r="M1883" s="9">
        <f t="shared" si="118"/>
        <v>-0.86538461538461542</v>
      </c>
      <c r="N1883" s="9">
        <f t="shared" si="119"/>
        <v>-0.87037037037037035</v>
      </c>
    </row>
    <row r="1884" spans="1:14" x14ac:dyDescent="0.25">
      <c r="A1884" t="str">
        <f>TEXT("1/"&amp;data!A1884,"mmmm")</f>
        <v>juillet</v>
      </c>
      <c r="B1884">
        <f>data!B1884</f>
        <v>2016</v>
      </c>
      <c r="C1884" t="str">
        <f>data!C1884</f>
        <v>059</v>
      </c>
      <c r="D1884" t="str">
        <f>data!D1884</f>
        <v>CH DU ROUET</v>
      </c>
      <c r="E1884" t="str">
        <f>data!E1884</f>
        <v>059025</v>
      </c>
      <c r="F1884" t="str">
        <f>data!F1884</f>
        <v>VDP MEDITERRANEE TERES</v>
      </c>
      <c r="G1884" s="10">
        <f>data!G1884</f>
        <v>4468.5</v>
      </c>
      <c r="H1884" s="10">
        <f>data!I1884</f>
        <v>13405.5</v>
      </c>
      <c r="I1884" s="10">
        <f t="shared" si="116"/>
        <v>-8937</v>
      </c>
      <c r="J1884" s="11">
        <f>data!H1884</f>
        <v>2046</v>
      </c>
      <c r="K1884" s="11">
        <f>data!J1884</f>
        <v>5964</v>
      </c>
      <c r="L1884" s="11">
        <f t="shared" si="117"/>
        <v>-3918</v>
      </c>
      <c r="M1884" s="9">
        <f t="shared" si="118"/>
        <v>-0.66666666666666663</v>
      </c>
      <c r="N1884" s="9">
        <f t="shared" si="119"/>
        <v>-0.65694164989939641</v>
      </c>
    </row>
    <row r="1885" spans="1:14" x14ac:dyDescent="0.25">
      <c r="A1885" t="str">
        <f>TEXT("1/"&amp;data!A1885,"mmmm")</f>
        <v>juillet</v>
      </c>
      <c r="B1885">
        <f>data!B1885</f>
        <v>2016</v>
      </c>
      <c r="C1885" t="str">
        <f>data!C1885</f>
        <v>059</v>
      </c>
      <c r="D1885" t="str">
        <f>data!D1885</f>
        <v>CH DU ROUET</v>
      </c>
      <c r="E1885" t="str">
        <f>data!E1885</f>
        <v>059026</v>
      </c>
      <c r="F1885" t="str">
        <f>data!F1885</f>
        <v>VDP MEDITERRANEE. TERES</v>
      </c>
      <c r="G1885" s="10">
        <f>data!G1885</f>
        <v>3326.4</v>
      </c>
      <c r="H1885" s="10">
        <f>data!I1885</f>
        <v>7801.2</v>
      </c>
      <c r="I1885" s="10">
        <f t="shared" si="116"/>
        <v>-4474.7999999999993</v>
      </c>
      <c r="J1885" s="11">
        <f>data!H1885</f>
        <v>2261.13</v>
      </c>
      <c r="K1885" s="11">
        <f>data!J1885</f>
        <v>5262.63</v>
      </c>
      <c r="L1885" s="11">
        <f t="shared" si="117"/>
        <v>-3001.5</v>
      </c>
      <c r="M1885" s="9">
        <f t="shared" si="118"/>
        <v>-0.57360406091370553</v>
      </c>
      <c r="N1885" s="9">
        <f t="shared" si="119"/>
        <v>-0.57034220532319391</v>
      </c>
    </row>
    <row r="1886" spans="1:14" x14ac:dyDescent="0.25">
      <c r="A1886" t="str">
        <f>TEXT("1/"&amp;data!A1886,"mmmm")</f>
        <v>juillet</v>
      </c>
      <c r="B1886">
        <f>data!B1886</f>
        <v>2016</v>
      </c>
      <c r="C1886" t="str">
        <f>data!C1886</f>
        <v>059</v>
      </c>
      <c r="D1886" t="str">
        <f>data!D1886</f>
        <v>CH DU ROUET</v>
      </c>
      <c r="E1886" t="str">
        <f>data!E1886</f>
        <v>059027</v>
      </c>
      <c r="F1886" t="str">
        <f>data!F1886</f>
        <v>IGP MEDITERRANEE TERES</v>
      </c>
      <c r="G1886" s="10">
        <f>data!G1886</f>
        <v>118.3</v>
      </c>
      <c r="H1886" s="10">
        <f>data!I1886</f>
        <v>304.2</v>
      </c>
      <c r="I1886" s="10">
        <f t="shared" si="116"/>
        <v>-185.89999999999998</v>
      </c>
      <c r="J1886" s="11">
        <f>data!H1886</f>
        <v>93.31</v>
      </c>
      <c r="K1886" s="11">
        <f>data!J1886</f>
        <v>239.94</v>
      </c>
      <c r="L1886" s="11">
        <f t="shared" si="117"/>
        <v>-146.63</v>
      </c>
      <c r="M1886" s="9">
        <f t="shared" si="118"/>
        <v>-0.61111111111111105</v>
      </c>
      <c r="N1886" s="9">
        <f t="shared" si="119"/>
        <v>-0.61111111111111105</v>
      </c>
    </row>
    <row r="1887" spans="1:14" x14ac:dyDescent="0.25">
      <c r="A1887" t="str">
        <f>TEXT("1/"&amp;data!A1887,"mmmm")</f>
        <v>juillet</v>
      </c>
      <c r="B1887">
        <f>data!B1887</f>
        <v>2016</v>
      </c>
      <c r="C1887" t="str">
        <f>data!C1887</f>
        <v>059</v>
      </c>
      <c r="D1887" t="str">
        <f>data!D1887</f>
        <v>CH DU ROUET</v>
      </c>
      <c r="E1887" t="str">
        <f>data!E1887</f>
        <v>059101</v>
      </c>
      <c r="F1887" t="str">
        <f>data!F1887</f>
        <v>ICE PAMPLOON ROSE PAMPLEMOUSSE</v>
      </c>
      <c r="G1887" s="10">
        <f>data!G1887</f>
        <v>-10.8</v>
      </c>
      <c r="H1887" s="10">
        <f>data!I1887</f>
        <v>172.8</v>
      </c>
      <c r="I1887" s="10">
        <f t="shared" si="116"/>
        <v>-183.60000000000002</v>
      </c>
      <c r="J1887" s="11">
        <f>data!H1887</f>
        <v>-6</v>
      </c>
      <c r="K1887" s="11">
        <f>data!J1887</f>
        <v>102</v>
      </c>
      <c r="L1887" s="11">
        <f t="shared" si="117"/>
        <v>-108</v>
      </c>
      <c r="M1887" s="9">
        <f t="shared" si="118"/>
        <v>-1.0625</v>
      </c>
      <c r="N1887" s="9">
        <f t="shared" si="119"/>
        <v>-1.0588235294117647</v>
      </c>
    </row>
    <row r="1888" spans="1:14" x14ac:dyDescent="0.25">
      <c r="A1888" t="str">
        <f>TEXT("1/"&amp;data!A1888,"mmmm")</f>
        <v>juillet</v>
      </c>
      <c r="B1888">
        <f>data!B1888</f>
        <v>2016</v>
      </c>
      <c r="C1888" t="str">
        <f>data!C1888</f>
        <v>059</v>
      </c>
      <c r="D1888" t="str">
        <f>data!D1888</f>
        <v>CH DU ROUET</v>
      </c>
      <c r="E1888" t="str">
        <f>data!E1888</f>
        <v>059104</v>
      </c>
      <c r="F1888" t="str">
        <f>data!F1888</f>
        <v>ICE PAMPLOON BUBBLES</v>
      </c>
      <c r="G1888" s="10">
        <f>data!G1888</f>
        <v>22.2</v>
      </c>
      <c r="H1888" s="10">
        <f>data!I1888</f>
        <v>111</v>
      </c>
      <c r="I1888" s="10">
        <f t="shared" si="116"/>
        <v>-88.8</v>
      </c>
      <c r="J1888" s="11">
        <f>data!H1888</f>
        <v>6</v>
      </c>
      <c r="K1888" s="11">
        <f>data!J1888</f>
        <v>30</v>
      </c>
      <c r="L1888" s="11">
        <f t="shared" si="117"/>
        <v>-24</v>
      </c>
      <c r="M1888" s="9">
        <f t="shared" si="118"/>
        <v>-0.79999999999999993</v>
      </c>
      <c r="N1888" s="9">
        <f t="shared" si="119"/>
        <v>-0.8</v>
      </c>
    </row>
    <row r="1889" spans="1:14" x14ac:dyDescent="0.25">
      <c r="A1889" t="str">
        <f>TEXT("1/"&amp;data!A1889,"mmmm")</f>
        <v>juillet</v>
      </c>
      <c r="B1889">
        <f>data!B1889</f>
        <v>2016</v>
      </c>
      <c r="C1889" t="str">
        <f>data!C1889</f>
        <v>060</v>
      </c>
      <c r="D1889" t="str">
        <f>data!D1889</f>
        <v>GIRARD JM ET NOEL</v>
      </c>
      <c r="E1889" t="str">
        <f>data!E1889</f>
        <v>060015</v>
      </c>
      <c r="F1889" t="str">
        <f>data!F1889</f>
        <v>AC SAUMUR CHAMP. D VX BOURG</v>
      </c>
      <c r="G1889" s="10">
        <f>data!G1889</f>
        <v>1122</v>
      </c>
      <c r="H1889" s="10">
        <f>data!I1889</f>
        <v>1209.5999999999999</v>
      </c>
      <c r="I1889" s="10">
        <f t="shared" si="116"/>
        <v>-87.599999999999909</v>
      </c>
      <c r="J1889" s="11">
        <f>data!H1889</f>
        <v>300</v>
      </c>
      <c r="K1889" s="11">
        <f>data!J1889</f>
        <v>336</v>
      </c>
      <c r="L1889" s="11">
        <f t="shared" si="117"/>
        <v>-36</v>
      </c>
      <c r="M1889" s="9">
        <f t="shared" si="118"/>
        <v>-7.2420634920634858E-2</v>
      </c>
      <c r="N1889" s="9">
        <f t="shared" si="119"/>
        <v>-0.10714285714285714</v>
      </c>
    </row>
    <row r="1890" spans="1:14" x14ac:dyDescent="0.25">
      <c r="A1890" t="str">
        <f>TEXT("1/"&amp;data!A1890,"mmmm")</f>
        <v>juillet</v>
      </c>
      <c r="B1890">
        <f>data!B1890</f>
        <v>2016</v>
      </c>
      <c r="C1890" t="str">
        <f>data!C1890</f>
        <v>060</v>
      </c>
      <c r="D1890" t="str">
        <f>data!D1890</f>
        <v>GIRARD JM ET NOEL</v>
      </c>
      <c r="E1890" t="str">
        <f>data!E1890</f>
        <v>060016</v>
      </c>
      <c r="F1890" t="str">
        <f>data!F1890</f>
        <v>AC SAUMUR CHAMP. D VX BOURG</v>
      </c>
      <c r="G1890" s="10">
        <f>data!G1890</f>
        <v>142.19999999999999</v>
      </c>
      <c r="H1890" s="10">
        <f>data!I1890</f>
        <v>159.84</v>
      </c>
      <c r="I1890" s="10">
        <f t="shared" si="116"/>
        <v>-17.640000000000015</v>
      </c>
      <c r="J1890" s="11">
        <f>data!H1890</f>
        <v>30</v>
      </c>
      <c r="K1890" s="11">
        <f>data!J1890</f>
        <v>36</v>
      </c>
      <c r="L1890" s="11">
        <f t="shared" si="117"/>
        <v>-6</v>
      </c>
      <c r="M1890" s="9">
        <f t="shared" si="118"/>
        <v>-0.11036036036036045</v>
      </c>
      <c r="N1890" s="9">
        <f t="shared" si="119"/>
        <v>-0.16666666666666666</v>
      </c>
    </row>
    <row r="1891" spans="1:14" x14ac:dyDescent="0.25">
      <c r="A1891" t="str">
        <f>TEXT("1/"&amp;data!A1891,"mmmm")</f>
        <v>juillet</v>
      </c>
      <c r="B1891">
        <f>data!B1891</f>
        <v>2016</v>
      </c>
      <c r="C1891" t="str">
        <f>data!C1891</f>
        <v>062</v>
      </c>
      <c r="D1891" t="str">
        <f>data!D1891</f>
        <v>CHATEAU CARBON D'ARTIGUES</v>
      </c>
      <c r="E1891" t="str">
        <f>data!E1891</f>
        <v>062001</v>
      </c>
      <c r="F1891" t="str">
        <f>data!F1891</f>
        <v>AC GRAVES CARBON D'ARTIGUES</v>
      </c>
      <c r="G1891" s="10">
        <f>data!G1891</f>
        <v>120</v>
      </c>
      <c r="H1891" s="10">
        <f>data!I1891</f>
        <v>61.2</v>
      </c>
      <c r="I1891" s="10">
        <f t="shared" si="116"/>
        <v>58.8</v>
      </c>
      <c r="J1891" s="11">
        <f>data!H1891</f>
        <v>24</v>
      </c>
      <c r="K1891" s="11">
        <f>data!J1891</f>
        <v>12</v>
      </c>
      <c r="L1891" s="11">
        <f t="shared" si="117"/>
        <v>12</v>
      </c>
      <c r="M1891" s="9">
        <f t="shared" si="118"/>
        <v>0.96078431372549011</v>
      </c>
      <c r="N1891" s="9">
        <f t="shared" si="119"/>
        <v>1</v>
      </c>
    </row>
    <row r="1892" spans="1:14" x14ac:dyDescent="0.25">
      <c r="A1892" t="str">
        <f>TEXT("1/"&amp;data!A1892,"mmmm")</f>
        <v>juillet</v>
      </c>
      <c r="B1892">
        <f>data!B1892</f>
        <v>2016</v>
      </c>
      <c r="C1892" t="str">
        <f>data!C1892</f>
        <v>062</v>
      </c>
      <c r="D1892" t="str">
        <f>data!D1892</f>
        <v>CHATEAU CARBON D'ARTIGUES</v>
      </c>
      <c r="E1892" t="str">
        <f>data!E1892</f>
        <v>062003</v>
      </c>
      <c r="F1892" t="str">
        <f>data!F1892</f>
        <v>AC GRAVES. CARBON D'ARTIGUES</v>
      </c>
      <c r="G1892" s="10">
        <f>data!G1892</f>
        <v>1108.8</v>
      </c>
      <c r="H1892" s="10">
        <f>data!I1892</f>
        <v>1186.8</v>
      </c>
      <c r="I1892" s="10">
        <f t="shared" si="116"/>
        <v>-78</v>
      </c>
      <c r="J1892" s="11">
        <f>data!H1892</f>
        <v>252</v>
      </c>
      <c r="K1892" s="11">
        <f>data!J1892</f>
        <v>276</v>
      </c>
      <c r="L1892" s="11">
        <f t="shared" si="117"/>
        <v>-24</v>
      </c>
      <c r="M1892" s="9">
        <f t="shared" si="118"/>
        <v>-6.5722952477249755E-2</v>
      </c>
      <c r="N1892" s="9">
        <f t="shared" si="119"/>
        <v>-8.6956521739130432E-2</v>
      </c>
    </row>
    <row r="1893" spans="1:14" x14ac:dyDescent="0.25">
      <c r="A1893" t="str">
        <f>TEXT("1/"&amp;data!A1893,"mmmm")</f>
        <v>juillet</v>
      </c>
      <c r="B1893">
        <f>data!B1893</f>
        <v>2016</v>
      </c>
      <c r="C1893" t="str">
        <f>data!C1893</f>
        <v>062</v>
      </c>
      <c r="D1893" t="str">
        <f>data!D1893</f>
        <v>CHATEAU CARBON D'ARTIGUES</v>
      </c>
      <c r="E1893" t="str">
        <f>data!E1893</f>
        <v>062021</v>
      </c>
      <c r="F1893" t="str">
        <f>data!F1893</f>
        <v>AC GRAVES. CARBON D'ARTIGUES</v>
      </c>
      <c r="G1893" s="10">
        <f>data!G1893</f>
        <v>211.2</v>
      </c>
      <c r="H1893" s="10">
        <f>data!I1893</f>
        <v>164.7</v>
      </c>
      <c r="I1893" s="10">
        <f t="shared" si="116"/>
        <v>46.5</v>
      </c>
      <c r="J1893" s="11">
        <f>data!H1893</f>
        <v>66</v>
      </c>
      <c r="K1893" s="11">
        <f>data!J1893</f>
        <v>60</v>
      </c>
      <c r="L1893" s="11">
        <f t="shared" si="117"/>
        <v>6</v>
      </c>
      <c r="M1893" s="9">
        <f t="shared" si="118"/>
        <v>0.28233151183970856</v>
      </c>
      <c r="N1893" s="9">
        <f t="shared" si="119"/>
        <v>0.1</v>
      </c>
    </row>
    <row r="1894" spans="1:14" x14ac:dyDescent="0.25">
      <c r="A1894" t="str">
        <f>TEXT("1/"&amp;data!A1894,"mmmm")</f>
        <v>juillet</v>
      </c>
      <c r="B1894">
        <f>data!B1894</f>
        <v>2016</v>
      </c>
      <c r="C1894" t="str">
        <f>data!C1894</f>
        <v>062</v>
      </c>
      <c r="D1894" t="str">
        <f>data!D1894</f>
        <v>CHATEAU CARBON D'ARTIGUES</v>
      </c>
      <c r="E1894" t="str">
        <f>data!E1894</f>
        <v>062032</v>
      </c>
      <c r="F1894" t="str">
        <f>data!F1894</f>
        <v>AOP GRAVES CH CARBON D'ARTIGUES</v>
      </c>
      <c r="G1894" s="10">
        <f>data!G1894</f>
        <v>930</v>
      </c>
      <c r="H1894" s="10">
        <f>data!I1894</f>
        <v>855.5</v>
      </c>
      <c r="I1894" s="10">
        <f t="shared" si="116"/>
        <v>74.5</v>
      </c>
      <c r="J1894" s="11">
        <f>data!H1894</f>
        <v>420.21</v>
      </c>
      <c r="K1894" s="11">
        <f>data!J1894</f>
        <v>393.53</v>
      </c>
      <c r="L1894" s="11">
        <f t="shared" si="117"/>
        <v>26.680000000000007</v>
      </c>
      <c r="M1894" s="9">
        <f t="shared" si="118"/>
        <v>8.7083576855639971E-2</v>
      </c>
      <c r="N1894" s="9">
        <f t="shared" si="119"/>
        <v>6.7796610169491553E-2</v>
      </c>
    </row>
    <row r="1895" spans="1:14" x14ac:dyDescent="0.25">
      <c r="A1895" t="str">
        <f>TEXT("1/"&amp;data!A1895,"mmmm")</f>
        <v>juillet</v>
      </c>
      <c r="B1895">
        <f>data!B1895</f>
        <v>2016</v>
      </c>
      <c r="C1895" t="str">
        <f>data!C1895</f>
        <v>074</v>
      </c>
      <c r="D1895" t="str">
        <f>data!D1895</f>
        <v>CAVE DE GIGONDAS</v>
      </c>
      <c r="E1895" t="str">
        <f>data!E1895</f>
        <v>074012</v>
      </c>
      <c r="F1895" t="str">
        <f>data!F1895</f>
        <v>AC GIGONDAS LA REFENCE</v>
      </c>
      <c r="G1895" s="10">
        <f>data!G1895</f>
        <v>820.8</v>
      </c>
      <c r="H1895" s="10">
        <f>data!I1895</f>
        <v>1048.8</v>
      </c>
      <c r="I1895" s="10">
        <f t="shared" si="116"/>
        <v>-228</v>
      </c>
      <c r="J1895" s="11">
        <f>data!H1895</f>
        <v>108</v>
      </c>
      <c r="K1895" s="11">
        <f>data!J1895</f>
        <v>138</v>
      </c>
      <c r="L1895" s="11">
        <f t="shared" si="117"/>
        <v>-30</v>
      </c>
      <c r="M1895" s="9">
        <f t="shared" si="118"/>
        <v>-0.21739130434782611</v>
      </c>
      <c r="N1895" s="9">
        <f t="shared" si="119"/>
        <v>-0.21739130434782608</v>
      </c>
    </row>
    <row r="1896" spans="1:14" x14ac:dyDescent="0.25">
      <c r="A1896" t="str">
        <f>TEXT("1/"&amp;data!A1896,"mmmm")</f>
        <v>juillet</v>
      </c>
      <c r="B1896">
        <f>data!B1896</f>
        <v>2016</v>
      </c>
      <c r="C1896" t="str">
        <f>data!C1896</f>
        <v>074</v>
      </c>
      <c r="D1896" t="str">
        <f>data!D1896</f>
        <v>CAVE DE GIGONDAS</v>
      </c>
      <c r="E1896" t="str">
        <f>data!E1896</f>
        <v>074013</v>
      </c>
      <c r="F1896" t="str">
        <f>data!F1896</f>
        <v>AC B DE VENISE TERRISSIMO</v>
      </c>
      <c r="G1896" s="10">
        <f>data!G1896</f>
        <v>279</v>
      </c>
      <c r="H1896" s="10">
        <f>data!I1896</f>
        <v>910.8</v>
      </c>
      <c r="I1896" s="10">
        <f t="shared" si="116"/>
        <v>-631.79999999999995</v>
      </c>
      <c r="J1896" s="11">
        <f>data!H1896</f>
        <v>60</v>
      </c>
      <c r="K1896" s="11">
        <f>data!J1896</f>
        <v>198</v>
      </c>
      <c r="L1896" s="11">
        <f t="shared" si="117"/>
        <v>-138</v>
      </c>
      <c r="M1896" s="9">
        <f t="shared" si="118"/>
        <v>-0.69367588932806323</v>
      </c>
      <c r="N1896" s="9">
        <f t="shared" si="119"/>
        <v>-0.69696969696969702</v>
      </c>
    </row>
    <row r="1897" spans="1:14" x14ac:dyDescent="0.25">
      <c r="A1897" t="str">
        <f>TEXT("1/"&amp;data!A1897,"mmmm")</f>
        <v>juillet</v>
      </c>
      <c r="B1897">
        <f>data!B1897</f>
        <v>2016</v>
      </c>
      <c r="C1897" t="str">
        <f>data!C1897</f>
        <v>074</v>
      </c>
      <c r="D1897" t="str">
        <f>data!D1897</f>
        <v>CAVE DE GIGONDAS</v>
      </c>
      <c r="E1897" t="str">
        <f>data!E1897</f>
        <v>074029</v>
      </c>
      <c r="F1897" t="str">
        <f>data!F1897</f>
        <v>VDN MUSCAT BEAUME DE VENISE</v>
      </c>
      <c r="G1897" s="10">
        <f>data!G1897</f>
        <v>46.2</v>
      </c>
      <c r="H1897" s="10">
        <f>data!I1897</f>
        <v>277.2</v>
      </c>
      <c r="I1897" s="10">
        <f t="shared" si="116"/>
        <v>-231</v>
      </c>
      <c r="J1897" s="11">
        <f>data!H1897</f>
        <v>6</v>
      </c>
      <c r="K1897" s="11">
        <f>data!J1897</f>
        <v>36</v>
      </c>
      <c r="L1897" s="11">
        <f t="shared" si="117"/>
        <v>-30</v>
      </c>
      <c r="M1897" s="9">
        <f t="shared" si="118"/>
        <v>-0.83333333333333337</v>
      </c>
      <c r="N1897" s="9">
        <f t="shared" si="119"/>
        <v>-0.83333333333333337</v>
      </c>
    </row>
    <row r="1898" spans="1:14" x14ac:dyDescent="0.25">
      <c r="A1898" t="str">
        <f>TEXT("1/"&amp;data!A1898,"mmmm")</f>
        <v>juillet</v>
      </c>
      <c r="B1898">
        <f>data!B1898</f>
        <v>2016</v>
      </c>
      <c r="C1898" t="str">
        <f>data!C1898</f>
        <v>075</v>
      </c>
      <c r="D1898" t="str">
        <f>data!D1898</f>
        <v>CHATEAU LE BREUIL RENAISSANCE</v>
      </c>
      <c r="E1898" t="str">
        <f>data!E1898</f>
        <v>075002</v>
      </c>
      <c r="F1898" t="str">
        <f>data!F1898</f>
        <v>AC MEDOC. CH.BREUIL RENAISSANCE</v>
      </c>
      <c r="G1898" s="10">
        <f>data!G1898</f>
        <v>1718.1</v>
      </c>
      <c r="H1898" s="10">
        <f>data!I1898</f>
        <v>1495.44</v>
      </c>
      <c r="I1898" s="10">
        <f t="shared" si="116"/>
        <v>222.65999999999985</v>
      </c>
      <c r="J1898" s="11">
        <f>data!H1898</f>
        <v>414</v>
      </c>
      <c r="K1898" s="11">
        <f>data!J1898</f>
        <v>372</v>
      </c>
      <c r="L1898" s="11">
        <f t="shared" si="117"/>
        <v>42</v>
      </c>
      <c r="M1898" s="9">
        <f t="shared" si="118"/>
        <v>0.14889263360616264</v>
      </c>
      <c r="N1898" s="9">
        <f t="shared" si="119"/>
        <v>0.11290322580645161</v>
      </c>
    </row>
    <row r="1899" spans="1:14" x14ac:dyDescent="0.25">
      <c r="A1899" t="str">
        <f>TEXT("1/"&amp;data!A1899,"mmmm")</f>
        <v>juillet</v>
      </c>
      <c r="B1899">
        <f>data!B1899</f>
        <v>2016</v>
      </c>
      <c r="C1899" t="str">
        <f>data!C1899</f>
        <v>075</v>
      </c>
      <c r="D1899" t="str">
        <f>data!D1899</f>
        <v>CHATEAU LE BREUIL RENAISSANCE</v>
      </c>
      <c r="E1899" t="str">
        <f>data!E1899</f>
        <v>075004</v>
      </c>
      <c r="F1899" t="str">
        <f>data!F1899</f>
        <v>AC MEDOC. CH.BREUIL RENAISSANCE</v>
      </c>
      <c r="G1899" s="10">
        <f>data!G1899</f>
        <v>57.18</v>
      </c>
      <c r="H1899" s="10">
        <f>data!I1899</f>
        <v>110.4</v>
      </c>
      <c r="I1899" s="10">
        <f t="shared" si="116"/>
        <v>-53.220000000000006</v>
      </c>
      <c r="J1899" s="11">
        <f>data!H1899</f>
        <v>12</v>
      </c>
      <c r="K1899" s="11">
        <f>data!J1899</f>
        <v>24</v>
      </c>
      <c r="L1899" s="11">
        <f t="shared" si="117"/>
        <v>-12</v>
      </c>
      <c r="M1899" s="9">
        <f t="shared" si="118"/>
        <v>-0.48206521739130437</v>
      </c>
      <c r="N1899" s="9">
        <f t="shared" si="119"/>
        <v>-0.5</v>
      </c>
    </row>
    <row r="1900" spans="1:14" x14ac:dyDescent="0.25">
      <c r="A1900" t="str">
        <f>TEXT("1/"&amp;data!A1900,"mmmm")</f>
        <v>juillet</v>
      </c>
      <c r="B1900">
        <f>data!B1900</f>
        <v>2016</v>
      </c>
      <c r="C1900" t="str">
        <f>data!C1900</f>
        <v>075</v>
      </c>
      <c r="D1900" t="str">
        <f>data!D1900</f>
        <v>CHATEAU LE BREUIL RENAISSANCE</v>
      </c>
      <c r="E1900" t="str">
        <f>data!E1900</f>
        <v>075013</v>
      </c>
      <c r="F1900" t="str">
        <f>data!F1900</f>
        <v>AC MEDOC CRU BOURGEOIS CHATEAU DES CABANS</v>
      </c>
      <c r="G1900" s="10">
        <f>data!G1900</f>
        <v>765.9</v>
      </c>
      <c r="H1900" s="10">
        <f>data!I1900</f>
        <v>93.6</v>
      </c>
      <c r="I1900" s="10">
        <f t="shared" si="116"/>
        <v>672.3</v>
      </c>
      <c r="J1900" s="11">
        <f>data!H1900</f>
        <v>138</v>
      </c>
      <c r="K1900" s="11">
        <f>data!J1900</f>
        <v>18</v>
      </c>
      <c r="L1900" s="11">
        <f t="shared" si="117"/>
        <v>120</v>
      </c>
      <c r="M1900" s="9">
        <f t="shared" si="118"/>
        <v>7.1826923076923075</v>
      </c>
      <c r="N1900" s="9">
        <f t="shared" si="119"/>
        <v>6.666666666666667</v>
      </c>
    </row>
    <row r="1901" spans="1:14" x14ac:dyDescent="0.25">
      <c r="A1901" t="str">
        <f>TEXT("1/"&amp;data!A1901,"mmmm")</f>
        <v>juillet</v>
      </c>
      <c r="B1901">
        <f>data!B1901</f>
        <v>2016</v>
      </c>
      <c r="C1901" t="str">
        <f>data!C1901</f>
        <v>080</v>
      </c>
      <c r="D1901" t="str">
        <f>data!D1901</f>
        <v>DOMAINE DE ST PIERRE</v>
      </c>
      <c r="E1901" t="str">
        <f>data!E1901</f>
        <v>080010</v>
      </c>
      <c r="F1901" t="str">
        <f>data!F1901</f>
        <v>AC SANCERRE D.DE ST PIERRE</v>
      </c>
      <c r="G1901" s="10">
        <f>data!G1901</f>
        <v>735.3</v>
      </c>
      <c r="H1901" s="10">
        <f>data!I1901</f>
        <v>1512</v>
      </c>
      <c r="I1901" s="10">
        <f t="shared" si="116"/>
        <v>-776.7</v>
      </c>
      <c r="J1901" s="11">
        <f>data!H1901</f>
        <v>114</v>
      </c>
      <c r="K1901" s="11">
        <f>data!J1901</f>
        <v>240</v>
      </c>
      <c r="L1901" s="11">
        <f t="shared" si="117"/>
        <v>-126</v>
      </c>
      <c r="M1901" s="9">
        <f t="shared" si="118"/>
        <v>-0.51369047619047625</v>
      </c>
      <c r="N1901" s="9">
        <f t="shared" si="119"/>
        <v>-0.52500000000000002</v>
      </c>
    </row>
    <row r="1902" spans="1:14" x14ac:dyDescent="0.25">
      <c r="A1902" t="str">
        <f>TEXT("1/"&amp;data!A1902,"mmmm")</f>
        <v>juillet</v>
      </c>
      <c r="B1902">
        <f>data!B1902</f>
        <v>2016</v>
      </c>
      <c r="C1902" t="str">
        <f>data!C1902</f>
        <v>080</v>
      </c>
      <c r="D1902" t="str">
        <f>data!D1902</f>
        <v>DOMAINE DE ST PIERRE</v>
      </c>
      <c r="E1902" t="str">
        <f>data!E1902</f>
        <v>080011</v>
      </c>
      <c r="F1902" t="str">
        <f>data!F1902</f>
        <v>AC SANCERRE D.DE ST PIERRE</v>
      </c>
      <c r="G1902" s="10">
        <f>data!G1902</f>
        <v>140.4</v>
      </c>
      <c r="H1902" s="10">
        <f>data!I1902</f>
        <v>415.8</v>
      </c>
      <c r="I1902" s="10">
        <f t="shared" si="116"/>
        <v>-275.39999999999998</v>
      </c>
      <c r="J1902" s="11">
        <f>data!H1902</f>
        <v>18</v>
      </c>
      <c r="K1902" s="11">
        <f>data!J1902</f>
        <v>54</v>
      </c>
      <c r="L1902" s="11">
        <f t="shared" si="117"/>
        <v>-36</v>
      </c>
      <c r="M1902" s="9">
        <f t="shared" si="118"/>
        <v>-0.66233766233766223</v>
      </c>
      <c r="N1902" s="9">
        <f t="shared" si="119"/>
        <v>-0.66666666666666663</v>
      </c>
    </row>
    <row r="1903" spans="1:14" x14ac:dyDescent="0.25">
      <c r="A1903" t="str">
        <f>TEXT("1/"&amp;data!A1903,"mmmm")</f>
        <v>juillet</v>
      </c>
      <c r="B1903">
        <f>data!B1903</f>
        <v>2016</v>
      </c>
      <c r="C1903" t="str">
        <f>data!C1903</f>
        <v>080</v>
      </c>
      <c r="D1903" t="str">
        <f>data!D1903</f>
        <v>DOMAINE DE ST PIERRE</v>
      </c>
      <c r="E1903" t="str">
        <f>data!E1903</f>
        <v>080013</v>
      </c>
      <c r="F1903" t="str">
        <f>data!F1903</f>
        <v>AC SANCERRE D.DE ST PIERRE</v>
      </c>
      <c r="G1903" s="10">
        <f>data!G1903</f>
        <v>113.4</v>
      </c>
      <c r="H1903" s="10">
        <f>data!I1903</f>
        <v>109.8</v>
      </c>
      <c r="I1903" s="10">
        <f t="shared" si="116"/>
        <v>3.6000000000000085</v>
      </c>
      <c r="J1903" s="11">
        <f>data!H1903</f>
        <v>18</v>
      </c>
      <c r="K1903" s="11">
        <f>data!J1903</f>
        <v>18</v>
      </c>
      <c r="L1903" s="11">
        <f t="shared" si="117"/>
        <v>0</v>
      </c>
      <c r="M1903" s="9">
        <f t="shared" si="118"/>
        <v>3.2786885245901717E-2</v>
      </c>
      <c r="N1903" s="9">
        <f t="shared" si="119"/>
        <v>0</v>
      </c>
    </row>
    <row r="1904" spans="1:14" x14ac:dyDescent="0.25">
      <c r="A1904" t="str">
        <f>TEXT("1/"&amp;data!A1904,"mmmm")</f>
        <v>juillet</v>
      </c>
      <c r="B1904">
        <f>data!B1904</f>
        <v>2016</v>
      </c>
      <c r="C1904" t="str">
        <f>data!C1904</f>
        <v>080</v>
      </c>
      <c r="D1904" t="str">
        <f>data!D1904</f>
        <v>DOMAINE DE ST PIERRE</v>
      </c>
      <c r="E1904" t="str">
        <f>data!E1904</f>
        <v>080014</v>
      </c>
      <c r="F1904" t="str">
        <f>data!F1904</f>
        <v>AC SANCERRE D.DE ST PIERRE</v>
      </c>
      <c r="G1904" s="10">
        <f>data!G1904</f>
        <v>45</v>
      </c>
      <c r="H1904" s="10">
        <f>data!I1904</f>
        <v>88.8</v>
      </c>
      <c r="I1904" s="10">
        <f t="shared" si="116"/>
        <v>-43.8</v>
      </c>
      <c r="J1904" s="11">
        <f>data!H1904</f>
        <v>6</v>
      </c>
      <c r="K1904" s="11">
        <f>data!J1904</f>
        <v>12</v>
      </c>
      <c r="L1904" s="11">
        <f t="shared" si="117"/>
        <v>-6</v>
      </c>
      <c r="M1904" s="9">
        <f t="shared" si="118"/>
        <v>-0.4932432432432432</v>
      </c>
      <c r="N1904" s="9">
        <f t="shared" si="119"/>
        <v>-0.5</v>
      </c>
    </row>
    <row r="1905" spans="1:14" x14ac:dyDescent="0.25">
      <c r="A1905" t="str">
        <f>TEXT("1/"&amp;data!A1905,"mmmm")</f>
        <v>juillet</v>
      </c>
      <c r="B1905">
        <f>data!B1905</f>
        <v>2016</v>
      </c>
      <c r="C1905" t="str">
        <f>data!C1905</f>
        <v>080</v>
      </c>
      <c r="D1905" t="str">
        <f>data!D1905</f>
        <v>DOMAINE DE ST PIERRE</v>
      </c>
      <c r="E1905" t="str">
        <f>data!E1905</f>
        <v>080015</v>
      </c>
      <c r="F1905" t="str">
        <f>data!F1905</f>
        <v>AC SANCERRE D.DE ST PIERRE</v>
      </c>
      <c r="G1905" s="10">
        <f>data!G1905</f>
        <v>321.60000000000002</v>
      </c>
      <c r="H1905" s="10">
        <f>data!I1905</f>
        <v>752.4</v>
      </c>
      <c r="I1905" s="10">
        <f t="shared" si="116"/>
        <v>-430.79999999999995</v>
      </c>
      <c r="J1905" s="11">
        <f>data!H1905</f>
        <v>48</v>
      </c>
      <c r="K1905" s="11">
        <f>data!J1905</f>
        <v>114</v>
      </c>
      <c r="L1905" s="11">
        <f t="shared" si="117"/>
        <v>-66</v>
      </c>
      <c r="M1905" s="9">
        <f t="shared" si="118"/>
        <v>-0.57256778309409884</v>
      </c>
      <c r="N1905" s="9">
        <f t="shared" si="119"/>
        <v>-0.57894736842105265</v>
      </c>
    </row>
    <row r="1906" spans="1:14" x14ac:dyDescent="0.25">
      <c r="A1906" t="str">
        <f>TEXT("1/"&amp;data!A1906,"mmmm")</f>
        <v>juillet</v>
      </c>
      <c r="B1906">
        <f>data!B1906</f>
        <v>2016</v>
      </c>
      <c r="C1906" t="str">
        <f>data!C1906</f>
        <v>080</v>
      </c>
      <c r="D1906" t="str">
        <f>data!D1906</f>
        <v>DOMAINE DE ST PIERRE</v>
      </c>
      <c r="E1906" t="str">
        <f>data!E1906</f>
        <v>080016</v>
      </c>
      <c r="F1906" t="str">
        <f>data!F1906</f>
        <v>AC SANCERRE D.DE ST PIERRE</v>
      </c>
      <c r="G1906" s="10">
        <f>data!G1906</f>
        <v>93.6</v>
      </c>
      <c r="H1906" s="10">
        <f>data!I1906</f>
        <v>46.2</v>
      </c>
      <c r="I1906" s="10">
        <f t="shared" si="116"/>
        <v>47.399999999999991</v>
      </c>
      <c r="J1906" s="11">
        <f>data!H1906</f>
        <v>12</v>
      </c>
      <c r="K1906" s="11">
        <f>data!J1906</f>
        <v>6</v>
      </c>
      <c r="L1906" s="11">
        <f t="shared" si="117"/>
        <v>6</v>
      </c>
      <c r="M1906" s="9">
        <f t="shared" si="118"/>
        <v>1.0259740259740258</v>
      </c>
      <c r="N1906" s="9">
        <f t="shared" si="119"/>
        <v>1</v>
      </c>
    </row>
    <row r="1907" spans="1:14" x14ac:dyDescent="0.25">
      <c r="A1907" t="str">
        <f>TEXT("1/"&amp;data!A1907,"mmmm")</f>
        <v>juillet</v>
      </c>
      <c r="B1907">
        <f>data!B1907</f>
        <v>2016</v>
      </c>
      <c r="C1907" t="str">
        <f>data!C1907</f>
        <v>083</v>
      </c>
      <c r="D1907" t="str">
        <f>data!D1907</f>
        <v>LES TERROIRS D'OCCITANIE</v>
      </c>
      <c r="E1907" t="str">
        <f>data!E1907</f>
        <v>083003</v>
      </c>
      <c r="F1907" t="str">
        <f>data!F1907</f>
        <v>AC FAUGERES C.PREST DE LAURENS</v>
      </c>
      <c r="G1907" s="10">
        <f>data!G1907</f>
        <v>309.60000000000002</v>
      </c>
      <c r="H1907" s="10">
        <f>data!I1907</f>
        <v>365.4</v>
      </c>
      <c r="I1907" s="10">
        <f t="shared" si="116"/>
        <v>-55.799999999999955</v>
      </c>
      <c r="J1907" s="11">
        <f>data!H1907</f>
        <v>150</v>
      </c>
      <c r="K1907" s="11">
        <f>data!J1907</f>
        <v>174</v>
      </c>
      <c r="L1907" s="11">
        <f t="shared" si="117"/>
        <v>-24</v>
      </c>
      <c r="M1907" s="9">
        <f t="shared" si="118"/>
        <v>-0.15270935960591123</v>
      </c>
      <c r="N1907" s="9">
        <f t="shared" si="119"/>
        <v>-0.13793103448275862</v>
      </c>
    </row>
    <row r="1908" spans="1:14" x14ac:dyDescent="0.25">
      <c r="A1908" t="str">
        <f>TEXT("1/"&amp;data!A1908,"mmmm")</f>
        <v>juillet</v>
      </c>
      <c r="B1908">
        <f>data!B1908</f>
        <v>2016</v>
      </c>
      <c r="C1908" t="str">
        <f>data!C1908</f>
        <v>084</v>
      </c>
      <c r="D1908" t="str">
        <f>data!D1908</f>
        <v>VIGNOBLE CASTELMAURE</v>
      </c>
      <c r="E1908" t="str">
        <f>data!E1908</f>
        <v>084001</v>
      </c>
      <c r="F1908" t="str">
        <f>data!F1908</f>
        <v>AC CORBIERES CASTELMAURE</v>
      </c>
      <c r="G1908" s="10">
        <f>data!G1908</f>
        <v>1925</v>
      </c>
      <c r="H1908" s="10">
        <f>data!I1908</f>
        <v>304</v>
      </c>
      <c r="I1908" s="10">
        <f t="shared" si="116"/>
        <v>1621</v>
      </c>
      <c r="J1908" s="11">
        <f>data!H1908</f>
        <v>1333</v>
      </c>
      <c r="K1908" s="11">
        <f>data!J1908</f>
        <v>213.28</v>
      </c>
      <c r="L1908" s="11">
        <f t="shared" si="117"/>
        <v>1119.72</v>
      </c>
      <c r="M1908" s="9">
        <f t="shared" si="118"/>
        <v>5.3322368421052628</v>
      </c>
      <c r="N1908" s="9">
        <f t="shared" si="119"/>
        <v>5.25</v>
      </c>
    </row>
    <row r="1909" spans="1:14" x14ac:dyDescent="0.25">
      <c r="A1909" t="str">
        <f>TEXT("1/"&amp;data!A1909,"mmmm")</f>
        <v>juillet</v>
      </c>
      <c r="B1909">
        <f>data!B1909</f>
        <v>2016</v>
      </c>
      <c r="C1909" t="str">
        <f>data!C1909</f>
        <v>084</v>
      </c>
      <c r="D1909" t="str">
        <f>data!D1909</f>
        <v>VIGNOBLE CASTELMAURE</v>
      </c>
      <c r="E1909" t="str">
        <f>data!E1909</f>
        <v>084002</v>
      </c>
      <c r="F1909" t="str">
        <f>data!F1909</f>
        <v>AC CORBIERES CASTELMAURE</v>
      </c>
      <c r="G1909" s="10">
        <f>data!G1909</f>
        <v>2352.6</v>
      </c>
      <c r="H1909" s="10">
        <f>data!I1909</f>
        <v>1529</v>
      </c>
      <c r="I1909" s="10">
        <f t="shared" si="116"/>
        <v>823.59999999999991</v>
      </c>
      <c r="J1909" s="11">
        <f>data!H1909</f>
        <v>1427.3799999999999</v>
      </c>
      <c r="K1909" s="11">
        <f>data!J1909</f>
        <v>933.8</v>
      </c>
      <c r="L1909" s="11">
        <f t="shared" si="117"/>
        <v>493.57999999999993</v>
      </c>
      <c r="M1909" s="9">
        <f t="shared" si="118"/>
        <v>0.53865271419228244</v>
      </c>
      <c r="N1909" s="9">
        <f t="shared" si="119"/>
        <v>0.52857142857142847</v>
      </c>
    </row>
    <row r="1910" spans="1:14" x14ac:dyDescent="0.25">
      <c r="A1910" t="str">
        <f>TEXT("1/"&amp;data!A1910,"mmmm")</f>
        <v>juillet</v>
      </c>
      <c r="B1910">
        <f>data!B1910</f>
        <v>2016</v>
      </c>
      <c r="C1910" t="str">
        <f>data!C1910</f>
        <v>084</v>
      </c>
      <c r="D1910" t="str">
        <f>data!D1910</f>
        <v>VIGNOBLE CASTELMAURE</v>
      </c>
      <c r="E1910" t="str">
        <f>data!E1910</f>
        <v>084004</v>
      </c>
      <c r="F1910" t="str">
        <f>data!F1910</f>
        <v>VDT BUVETTE CASTELMAURE (x6)</v>
      </c>
      <c r="G1910" s="10">
        <f>data!G1910</f>
        <v>77.7</v>
      </c>
      <c r="H1910" s="10">
        <f>data!I1910</f>
        <v>0</v>
      </c>
      <c r="I1910" s="10">
        <f t="shared" si="116"/>
        <v>77.7</v>
      </c>
      <c r="J1910" s="11">
        <f>data!H1910</f>
        <v>42</v>
      </c>
      <c r="K1910" s="11">
        <f>data!J1910</f>
        <v>0</v>
      </c>
      <c r="L1910" s="11">
        <f t="shared" si="117"/>
        <v>42</v>
      </c>
      <c r="M1910" s="9" t="str">
        <f t="shared" si="118"/>
        <v/>
      </c>
      <c r="N1910" s="9" t="str">
        <f t="shared" si="119"/>
        <v/>
      </c>
    </row>
    <row r="1911" spans="1:14" x14ac:dyDescent="0.25">
      <c r="A1911" t="str">
        <f>TEXT("1/"&amp;data!A1911,"mmmm")</f>
        <v>juillet</v>
      </c>
      <c r="B1911">
        <f>data!B1911</f>
        <v>2016</v>
      </c>
      <c r="C1911" t="str">
        <f>data!C1911</f>
        <v>084</v>
      </c>
      <c r="D1911" t="str">
        <f>data!D1911</f>
        <v>VIGNOBLE CASTELMAURE</v>
      </c>
      <c r="E1911" t="str">
        <f>data!E1911</f>
        <v>084006</v>
      </c>
      <c r="F1911" t="str">
        <f>data!F1911</f>
        <v>AOP CORBIERES LE CASTELMAURE</v>
      </c>
      <c r="G1911" s="10">
        <f>data!G1911</f>
        <v>3165.25</v>
      </c>
      <c r="H1911" s="10">
        <f>data!I1911</f>
        <v>1992.6</v>
      </c>
      <c r="I1911" s="10">
        <f t="shared" si="116"/>
        <v>1172.6500000000001</v>
      </c>
      <c r="J1911" s="11">
        <f>data!H1911</f>
        <v>1176</v>
      </c>
      <c r="K1911" s="11">
        <f>data!J1911</f>
        <v>738</v>
      </c>
      <c r="L1911" s="11">
        <f t="shared" si="117"/>
        <v>438</v>
      </c>
      <c r="M1911" s="9">
        <f t="shared" si="118"/>
        <v>0.58850245909866516</v>
      </c>
      <c r="N1911" s="9">
        <f t="shared" si="119"/>
        <v>0.5934959349593496</v>
      </c>
    </row>
    <row r="1912" spans="1:14" x14ac:dyDescent="0.25">
      <c r="A1912" t="str">
        <f>TEXT("1/"&amp;data!A1912,"mmmm")</f>
        <v>juillet</v>
      </c>
      <c r="B1912">
        <f>data!B1912</f>
        <v>2016</v>
      </c>
      <c r="C1912" t="str">
        <f>data!C1912</f>
        <v>084</v>
      </c>
      <c r="D1912" t="str">
        <f>data!D1912</f>
        <v>VIGNOBLE CASTELMAURE</v>
      </c>
      <c r="E1912" t="str">
        <f>data!E1912</f>
        <v>084007</v>
      </c>
      <c r="F1912" t="str">
        <f>data!F1912</f>
        <v>AC CORBIERES LA POMPADOUR</v>
      </c>
      <c r="G1912" s="10">
        <f>data!G1912</f>
        <v>552</v>
      </c>
      <c r="H1912" s="10">
        <f>data!I1912</f>
        <v>756</v>
      </c>
      <c r="I1912" s="10">
        <f t="shared" si="116"/>
        <v>-204</v>
      </c>
      <c r="J1912" s="11">
        <f>data!H1912</f>
        <v>120</v>
      </c>
      <c r="K1912" s="11">
        <f>data!J1912</f>
        <v>168</v>
      </c>
      <c r="L1912" s="11">
        <f t="shared" si="117"/>
        <v>-48</v>
      </c>
      <c r="M1912" s="9">
        <f t="shared" si="118"/>
        <v>-0.26984126984126983</v>
      </c>
      <c r="N1912" s="9">
        <f t="shared" si="119"/>
        <v>-0.2857142857142857</v>
      </c>
    </row>
    <row r="1913" spans="1:14" x14ac:dyDescent="0.25">
      <c r="A1913" t="str">
        <f>TEXT("1/"&amp;data!A1913,"mmmm")</f>
        <v>juillet</v>
      </c>
      <c r="B1913">
        <f>data!B1913</f>
        <v>2016</v>
      </c>
      <c r="C1913" t="str">
        <f>data!C1913</f>
        <v>084</v>
      </c>
      <c r="D1913" t="str">
        <f>data!D1913</f>
        <v>VIGNOBLE CASTELMAURE</v>
      </c>
      <c r="E1913" t="str">
        <f>data!E1913</f>
        <v>084008</v>
      </c>
      <c r="F1913" t="str">
        <f>data!F1913</f>
        <v>AC CORBIERES LA GDE CUVEE</v>
      </c>
      <c r="G1913" s="10">
        <f>data!G1913</f>
        <v>287.04000000000002</v>
      </c>
      <c r="H1913" s="10">
        <f>data!I1913</f>
        <v>210.6</v>
      </c>
      <c r="I1913" s="10">
        <f t="shared" si="116"/>
        <v>76.440000000000026</v>
      </c>
      <c r="J1913" s="11">
        <f>data!H1913</f>
        <v>48</v>
      </c>
      <c r="K1913" s="11">
        <f>data!J1913</f>
        <v>36</v>
      </c>
      <c r="L1913" s="11">
        <f t="shared" si="117"/>
        <v>12</v>
      </c>
      <c r="M1913" s="9">
        <f t="shared" si="118"/>
        <v>0.3629629629629631</v>
      </c>
      <c r="N1913" s="9">
        <f t="shared" si="119"/>
        <v>0.33333333333333331</v>
      </c>
    </row>
    <row r="1914" spans="1:14" x14ac:dyDescent="0.25">
      <c r="A1914" t="str">
        <f>TEXT("1/"&amp;data!A1914,"mmmm")</f>
        <v>juillet</v>
      </c>
      <c r="B1914">
        <f>data!B1914</f>
        <v>2016</v>
      </c>
      <c r="C1914" t="str">
        <f>data!C1914</f>
        <v>084</v>
      </c>
      <c r="D1914" t="str">
        <f>data!D1914</f>
        <v>VIGNOBLE CASTELMAURE</v>
      </c>
      <c r="E1914" t="str">
        <f>data!E1914</f>
        <v>084010</v>
      </c>
      <c r="F1914" t="str">
        <f>data!F1914</f>
        <v>L'ESPRIT DU VENT à perpète AC CORBIERES</v>
      </c>
      <c r="G1914" s="10">
        <f>data!G1914</f>
        <v>74.400000000000006</v>
      </c>
      <c r="H1914" s="10">
        <f>data!I1914</f>
        <v>74.400000000000006</v>
      </c>
      <c r="I1914" s="10">
        <f t="shared" si="116"/>
        <v>0</v>
      </c>
      <c r="J1914" s="11">
        <f>data!H1914</f>
        <v>12</v>
      </c>
      <c r="K1914" s="11">
        <f>data!J1914</f>
        <v>12</v>
      </c>
      <c r="L1914" s="11">
        <f t="shared" si="117"/>
        <v>0</v>
      </c>
      <c r="M1914" s="9">
        <f t="shared" si="118"/>
        <v>0</v>
      </c>
      <c r="N1914" s="9">
        <f t="shared" si="119"/>
        <v>0</v>
      </c>
    </row>
    <row r="1915" spans="1:14" x14ac:dyDescent="0.25">
      <c r="A1915" t="str">
        <f>TEXT("1/"&amp;data!A1915,"mmmm")</f>
        <v>juillet</v>
      </c>
      <c r="B1915">
        <f>data!B1915</f>
        <v>2016</v>
      </c>
      <c r="C1915" t="str">
        <f>data!C1915</f>
        <v>084</v>
      </c>
      <c r="D1915" t="str">
        <f>data!D1915</f>
        <v>VIGNOBLE CASTELMAURE</v>
      </c>
      <c r="E1915" t="str">
        <f>data!E1915</f>
        <v>084015</v>
      </c>
      <c r="F1915" t="str">
        <f>data!F1915</f>
        <v>AC CORBIERES " LE 3 "</v>
      </c>
      <c r="G1915" s="10">
        <f>data!G1915</f>
        <v>580.5</v>
      </c>
      <c r="H1915" s="10">
        <f>data!I1915</f>
        <v>567</v>
      </c>
      <c r="I1915" s="10">
        <f t="shared" si="116"/>
        <v>13.5</v>
      </c>
      <c r="J1915" s="11">
        <f>data!H1915</f>
        <v>54</v>
      </c>
      <c r="K1915" s="11">
        <f>data!J1915</f>
        <v>54</v>
      </c>
      <c r="L1915" s="11">
        <f t="shared" si="117"/>
        <v>0</v>
      </c>
      <c r="M1915" s="9">
        <f t="shared" si="118"/>
        <v>2.3809523809523808E-2</v>
      </c>
      <c r="N1915" s="9">
        <f t="shared" si="119"/>
        <v>0</v>
      </c>
    </row>
    <row r="1916" spans="1:14" x14ac:dyDescent="0.25">
      <c r="A1916" t="str">
        <f>TEXT("1/"&amp;data!A1916,"mmmm")</f>
        <v>juillet</v>
      </c>
      <c r="B1916">
        <f>data!B1916</f>
        <v>2016</v>
      </c>
      <c r="C1916" t="str">
        <f>data!C1916</f>
        <v>084</v>
      </c>
      <c r="D1916" t="str">
        <f>data!D1916</f>
        <v>VIGNOBLE CASTELMAURE</v>
      </c>
      <c r="E1916" t="str">
        <f>data!E1916</f>
        <v>084032</v>
      </c>
      <c r="F1916" t="str">
        <f>data!F1916</f>
        <v>AC CORBIERE CASTELMAURE</v>
      </c>
      <c r="G1916" s="10">
        <f>data!G1916</f>
        <v>264</v>
      </c>
      <c r="H1916" s="10">
        <f>data!I1916</f>
        <v>0</v>
      </c>
      <c r="I1916" s="10">
        <f t="shared" si="116"/>
        <v>264</v>
      </c>
      <c r="J1916" s="11">
        <f>data!H1916</f>
        <v>96</v>
      </c>
      <c r="K1916" s="11">
        <f>data!J1916</f>
        <v>0</v>
      </c>
      <c r="L1916" s="11">
        <f t="shared" si="117"/>
        <v>96</v>
      </c>
      <c r="M1916" s="9" t="str">
        <f t="shared" si="118"/>
        <v/>
      </c>
      <c r="N1916" s="9" t="str">
        <f t="shared" si="119"/>
        <v/>
      </c>
    </row>
    <row r="1917" spans="1:14" x14ac:dyDescent="0.25">
      <c r="A1917" t="str">
        <f>TEXT("1/"&amp;data!A1917,"mmmm")</f>
        <v>juillet</v>
      </c>
      <c r="B1917">
        <f>data!B1917</f>
        <v>2016</v>
      </c>
      <c r="C1917" t="str">
        <f>data!C1917</f>
        <v>084</v>
      </c>
      <c r="D1917" t="str">
        <f>data!D1917</f>
        <v>VIGNOBLE CASTELMAURE</v>
      </c>
      <c r="E1917" t="str">
        <f>data!E1917</f>
        <v>084041</v>
      </c>
      <c r="F1917" t="str">
        <f>data!F1917</f>
        <v>AOP CORBIERES ROSE AGRICOLE</v>
      </c>
      <c r="G1917" s="10">
        <f>data!G1917</f>
        <v>319</v>
      </c>
      <c r="H1917" s="10">
        <f>data!I1917</f>
        <v>0</v>
      </c>
      <c r="I1917" s="10">
        <f t="shared" si="116"/>
        <v>319</v>
      </c>
      <c r="J1917" s="11">
        <f>data!H1917</f>
        <v>126</v>
      </c>
      <c r="K1917" s="11">
        <f>data!J1917</f>
        <v>0</v>
      </c>
      <c r="L1917" s="11">
        <f t="shared" si="117"/>
        <v>126</v>
      </c>
      <c r="M1917" s="9" t="str">
        <f t="shared" si="118"/>
        <v/>
      </c>
      <c r="N1917" s="9" t="str">
        <f t="shared" si="119"/>
        <v/>
      </c>
    </row>
    <row r="1918" spans="1:14" x14ac:dyDescent="0.25">
      <c r="A1918" t="str">
        <f>TEXT("1/"&amp;data!A1918,"mmmm")</f>
        <v>juillet</v>
      </c>
      <c r="B1918">
        <f>data!B1918</f>
        <v>2016</v>
      </c>
      <c r="C1918" t="str">
        <f>data!C1918</f>
        <v>084</v>
      </c>
      <c r="D1918" t="str">
        <f>data!D1918</f>
        <v>VIGNOBLE CASTELMAURE</v>
      </c>
      <c r="E1918" t="str">
        <f>data!E1918</f>
        <v>084100</v>
      </c>
      <c r="F1918" t="str">
        <f>data!F1918</f>
        <v>AOP CORBIERES LA TETE DANS LES ETOILES</v>
      </c>
      <c r="G1918" s="10">
        <f>data!G1918</f>
        <v>1808.86</v>
      </c>
      <c r="H1918" s="10">
        <f>data!I1918</f>
        <v>0</v>
      </c>
      <c r="I1918" s="10">
        <f t="shared" si="116"/>
        <v>1808.86</v>
      </c>
      <c r="J1918" s="11">
        <f>data!H1918</f>
        <v>623</v>
      </c>
      <c r="K1918" s="11">
        <f>data!J1918</f>
        <v>0</v>
      </c>
      <c r="L1918" s="11">
        <f t="shared" si="117"/>
        <v>623</v>
      </c>
      <c r="M1918" s="9" t="str">
        <f t="shared" si="118"/>
        <v/>
      </c>
      <c r="N1918" s="9" t="str">
        <f t="shared" si="119"/>
        <v/>
      </c>
    </row>
    <row r="1919" spans="1:14" x14ac:dyDescent="0.25">
      <c r="A1919" t="str">
        <f>TEXT("1/"&amp;data!A1919,"mmmm")</f>
        <v>juillet</v>
      </c>
      <c r="B1919">
        <f>data!B1919</f>
        <v>2016</v>
      </c>
      <c r="C1919" t="str">
        <f>data!C1919</f>
        <v>084</v>
      </c>
      <c r="D1919" t="str">
        <f>data!D1919</f>
        <v>VIGNOBLE CASTELMAURE</v>
      </c>
      <c r="E1919" t="str">
        <f>data!E1919</f>
        <v>084101</v>
      </c>
      <c r="F1919" t="str">
        <f>data!F1919</f>
        <v>AOP CORBIERES LA TETE DANS LES ETOILES</v>
      </c>
      <c r="G1919" s="10">
        <f>data!G1919</f>
        <v>178.8</v>
      </c>
      <c r="H1919" s="10">
        <f>data!I1919</f>
        <v>0</v>
      </c>
      <c r="I1919" s="10">
        <f t="shared" si="116"/>
        <v>178.8</v>
      </c>
      <c r="J1919" s="11">
        <f>data!H1919</f>
        <v>60</v>
      </c>
      <c r="K1919" s="11">
        <f>data!J1919</f>
        <v>0</v>
      </c>
      <c r="L1919" s="11">
        <f t="shared" si="117"/>
        <v>60</v>
      </c>
      <c r="M1919" s="9" t="str">
        <f t="shared" si="118"/>
        <v/>
      </c>
      <c r="N1919" s="9" t="str">
        <f t="shared" si="119"/>
        <v/>
      </c>
    </row>
    <row r="1920" spans="1:14" x14ac:dyDescent="0.25">
      <c r="A1920" t="str">
        <f>TEXT("1/"&amp;data!A1920,"mmmm")</f>
        <v>juillet</v>
      </c>
      <c r="B1920">
        <f>data!B1920</f>
        <v>2016</v>
      </c>
      <c r="C1920" t="str">
        <f>data!C1920</f>
        <v>084</v>
      </c>
      <c r="D1920" t="str">
        <f>data!D1920</f>
        <v>VIGNOBLE CASTELMAURE</v>
      </c>
      <c r="E1920" t="str">
        <f>data!E1920</f>
        <v>084102</v>
      </c>
      <c r="F1920" t="str">
        <f>data!F1920</f>
        <v>AOP CORBIERES LES PIEDS DANS LA TERRE</v>
      </c>
      <c r="G1920" s="10">
        <f>data!G1920</f>
        <v>1869.6</v>
      </c>
      <c r="H1920" s="10">
        <f>data!I1920</f>
        <v>0</v>
      </c>
      <c r="I1920" s="10">
        <f t="shared" si="116"/>
        <v>1869.6</v>
      </c>
      <c r="J1920" s="11">
        <f>data!H1920</f>
        <v>462</v>
      </c>
      <c r="K1920" s="11">
        <f>data!J1920</f>
        <v>0</v>
      </c>
      <c r="L1920" s="11">
        <f t="shared" si="117"/>
        <v>462</v>
      </c>
      <c r="M1920" s="9" t="str">
        <f t="shared" si="118"/>
        <v/>
      </c>
      <c r="N1920" s="9" t="str">
        <f t="shared" si="119"/>
        <v/>
      </c>
    </row>
    <row r="1921" spans="1:14" x14ac:dyDescent="0.25">
      <c r="A1921" t="str">
        <f>TEXT("1/"&amp;data!A1921,"mmmm")</f>
        <v>juillet</v>
      </c>
      <c r="B1921">
        <f>data!B1921</f>
        <v>2016</v>
      </c>
      <c r="C1921" t="str">
        <f>data!C1921</f>
        <v>084</v>
      </c>
      <c r="D1921" t="str">
        <f>data!D1921</f>
        <v>VIGNOBLE CASTELMAURE</v>
      </c>
      <c r="E1921" t="str">
        <f>data!E1921</f>
        <v>084103</v>
      </c>
      <c r="F1921" t="str">
        <f>data!F1921</f>
        <v>AOP CORBIERES LES PIEDS DANS LA TERRE</v>
      </c>
      <c r="G1921" s="10">
        <f>data!G1921</f>
        <v>393.6</v>
      </c>
      <c r="H1921" s="10">
        <f>data!I1921</f>
        <v>0</v>
      </c>
      <c r="I1921" s="10">
        <f t="shared" si="116"/>
        <v>393.6</v>
      </c>
      <c r="J1921" s="11">
        <f>data!H1921</f>
        <v>96</v>
      </c>
      <c r="K1921" s="11">
        <f>data!J1921</f>
        <v>0</v>
      </c>
      <c r="L1921" s="11">
        <f t="shared" si="117"/>
        <v>96</v>
      </c>
      <c r="M1921" s="9" t="str">
        <f t="shared" si="118"/>
        <v/>
      </c>
      <c r="N1921" s="9" t="str">
        <f t="shared" si="119"/>
        <v/>
      </c>
    </row>
    <row r="1922" spans="1:14" x14ac:dyDescent="0.25">
      <c r="A1922" t="str">
        <f>TEXT("1/"&amp;data!A1922,"mmmm")</f>
        <v>juillet</v>
      </c>
      <c r="B1922">
        <f>data!B1922</f>
        <v>2016</v>
      </c>
      <c r="C1922" t="str">
        <f>data!C1922</f>
        <v>086B</v>
      </c>
      <c r="D1922" t="str">
        <f>data!D1922</f>
        <v>PRODIFFU - TERRE DE VIGNERONS</v>
      </c>
      <c r="E1922" t="str">
        <f>data!E1922</f>
        <v>086011P</v>
      </c>
      <c r="F1922" t="str">
        <f>data!F1922</f>
        <v>AC C.DE DURAS BERTICOT</v>
      </c>
      <c r="G1922" s="10">
        <f>data!G1922</f>
        <v>35.94</v>
      </c>
      <c r="H1922" s="10">
        <f>data!I1922</f>
        <v>453.33</v>
      </c>
      <c r="I1922" s="10">
        <f t="shared" si="116"/>
        <v>-417.39</v>
      </c>
      <c r="J1922" s="11">
        <f>data!H1922</f>
        <v>26.66</v>
      </c>
      <c r="K1922" s="11">
        <f>data!J1922</f>
        <v>359.91</v>
      </c>
      <c r="L1922" s="11">
        <f t="shared" si="117"/>
        <v>-333.25</v>
      </c>
      <c r="M1922" s="9">
        <f t="shared" si="118"/>
        <v>-0.92072000529415654</v>
      </c>
      <c r="N1922" s="9">
        <f t="shared" si="119"/>
        <v>-0.92592592592592582</v>
      </c>
    </row>
    <row r="1923" spans="1:14" x14ac:dyDescent="0.25">
      <c r="A1923" t="str">
        <f>TEXT("1/"&amp;data!A1923,"mmmm")</f>
        <v>juillet</v>
      </c>
      <c r="B1923">
        <f>data!B1923</f>
        <v>2016</v>
      </c>
      <c r="C1923" t="str">
        <f>data!C1923</f>
        <v>086B</v>
      </c>
      <c r="D1923" t="str">
        <f>data!D1923</f>
        <v>PRODIFFU - TERRE DE VIGNERONS</v>
      </c>
      <c r="E1923" t="str">
        <f>data!E1923</f>
        <v>086012P</v>
      </c>
      <c r="F1923" t="str">
        <f>data!F1923</f>
        <v>AC C.DE DURAS BERTICOT</v>
      </c>
      <c r="G1923" s="10">
        <f>data!G1923</f>
        <v>317.12</v>
      </c>
      <c r="H1923" s="10">
        <f>data!I1923</f>
        <v>305.58</v>
      </c>
      <c r="I1923" s="10">
        <f t="shared" ref="I1923:I1986" si="120">G1923-H1923</f>
        <v>11.54000000000002</v>
      </c>
      <c r="J1923" s="11">
        <f>data!H1923</f>
        <v>213.44</v>
      </c>
      <c r="K1923" s="11">
        <f>data!J1923</f>
        <v>220.10999999999999</v>
      </c>
      <c r="L1923" s="11">
        <f t="shared" ref="L1923:L1986" si="121">J1923-K1923</f>
        <v>-6.6699999999999875</v>
      </c>
      <c r="M1923" s="9">
        <f t="shared" ref="M1923:M1986" si="122">IF(ISERR(I1923/H1923),"",I1923/H1923)</f>
        <v>3.7764251587145824E-2</v>
      </c>
      <c r="N1923" s="9">
        <f t="shared" ref="N1923:N1986" si="123">IF(ISERR(L1923/K1923),"",L1923/K1923)</f>
        <v>-3.0303030303030248E-2</v>
      </c>
    </row>
    <row r="1924" spans="1:14" x14ac:dyDescent="0.25">
      <c r="A1924" t="str">
        <f>TEXT("1/"&amp;data!A1924,"mmmm")</f>
        <v>juillet</v>
      </c>
      <c r="B1924">
        <f>data!B1924</f>
        <v>2016</v>
      </c>
      <c r="C1924" t="str">
        <f>data!C1924</f>
        <v>089</v>
      </c>
      <c r="D1924" t="str">
        <f>data!D1924</f>
        <v>DOMAINE DE LA PALEINE</v>
      </c>
      <c r="E1924" t="str">
        <f>data!E1924</f>
        <v>089002</v>
      </c>
      <c r="F1924" t="str">
        <f>data!F1924</f>
        <v>AC SAUMUR C.DU PRINTEMPS LA PALEINE</v>
      </c>
      <c r="G1924" s="10">
        <f>data!G1924</f>
        <v>65.7</v>
      </c>
      <c r="H1924" s="10">
        <f>data!I1924</f>
        <v>127.8</v>
      </c>
      <c r="I1924" s="10">
        <f t="shared" si="120"/>
        <v>-62.099999999999994</v>
      </c>
      <c r="J1924" s="11">
        <f>data!H1924</f>
        <v>18</v>
      </c>
      <c r="K1924" s="11">
        <f>data!J1924</f>
        <v>36</v>
      </c>
      <c r="L1924" s="11">
        <f t="shared" si="121"/>
        <v>-18</v>
      </c>
      <c r="M1924" s="9">
        <f t="shared" si="122"/>
        <v>-0.48591549295774644</v>
      </c>
      <c r="N1924" s="9">
        <f t="shared" si="123"/>
        <v>-0.5</v>
      </c>
    </row>
    <row r="1925" spans="1:14" x14ac:dyDescent="0.25">
      <c r="A1925" t="str">
        <f>TEXT("1/"&amp;data!A1925,"mmmm")</f>
        <v>juillet</v>
      </c>
      <c r="B1925">
        <f>data!B1925</f>
        <v>2016</v>
      </c>
      <c r="C1925" t="str">
        <f>data!C1925</f>
        <v>089</v>
      </c>
      <c r="D1925" t="str">
        <f>data!D1925</f>
        <v>DOMAINE DE LA PALEINE</v>
      </c>
      <c r="E1925" t="str">
        <f>data!E1925</f>
        <v>089010</v>
      </c>
      <c r="F1925" t="str">
        <f>data!F1925</f>
        <v>AC SAUMUR DLA PALEINE</v>
      </c>
      <c r="G1925" s="10">
        <f>data!G1925</f>
        <v>88.8</v>
      </c>
      <c r="H1925" s="10">
        <f>data!I1925</f>
        <v>0</v>
      </c>
      <c r="I1925" s="10">
        <f t="shared" si="120"/>
        <v>88.8</v>
      </c>
      <c r="J1925" s="11">
        <f>data!H1925</f>
        <v>24</v>
      </c>
      <c r="K1925" s="11">
        <f>data!J1925</f>
        <v>0</v>
      </c>
      <c r="L1925" s="11">
        <f t="shared" si="121"/>
        <v>24</v>
      </c>
      <c r="M1925" s="9" t="str">
        <f t="shared" si="122"/>
        <v/>
      </c>
      <c r="N1925" s="9" t="str">
        <f t="shared" si="123"/>
        <v/>
      </c>
    </row>
    <row r="1926" spans="1:14" x14ac:dyDescent="0.25">
      <c r="A1926" t="str">
        <f>TEXT("1/"&amp;data!A1926,"mmmm")</f>
        <v>juillet</v>
      </c>
      <c r="B1926">
        <f>data!B1926</f>
        <v>2016</v>
      </c>
      <c r="C1926" t="str">
        <f>data!C1926</f>
        <v>089</v>
      </c>
      <c r="D1926" t="str">
        <f>data!D1926</f>
        <v>DOMAINE DE LA PALEINE</v>
      </c>
      <c r="E1926" t="str">
        <f>data!E1926</f>
        <v>089800</v>
      </c>
      <c r="F1926" t="str">
        <f>data!F1926</f>
        <v>AC SAUMUR BRUT D.DE LA PALEINE</v>
      </c>
      <c r="G1926" s="10">
        <f>data!G1926</f>
        <v>398.4</v>
      </c>
      <c r="H1926" s="10">
        <f>data!I1926</f>
        <v>516.6</v>
      </c>
      <c r="I1926" s="10">
        <f t="shared" si="120"/>
        <v>-118.20000000000005</v>
      </c>
      <c r="J1926" s="11">
        <f>data!H1926</f>
        <v>96</v>
      </c>
      <c r="K1926" s="11">
        <f>data!J1926</f>
        <v>126</v>
      </c>
      <c r="L1926" s="11">
        <f t="shared" si="121"/>
        <v>-30</v>
      </c>
      <c r="M1926" s="9">
        <f t="shared" si="122"/>
        <v>-0.22880371660859475</v>
      </c>
      <c r="N1926" s="9">
        <f t="shared" si="123"/>
        <v>-0.23809523809523808</v>
      </c>
    </row>
    <row r="1927" spans="1:14" x14ac:dyDescent="0.25">
      <c r="A1927" t="str">
        <f>TEXT("1/"&amp;data!A1927,"mmmm")</f>
        <v>juillet</v>
      </c>
      <c r="B1927">
        <f>data!B1927</f>
        <v>2016</v>
      </c>
      <c r="C1927" t="str">
        <f>data!C1927</f>
        <v>089</v>
      </c>
      <c r="D1927" t="str">
        <f>data!D1927</f>
        <v>DOMAINE DE LA PALEINE</v>
      </c>
      <c r="E1927" t="str">
        <f>data!E1927</f>
        <v>089900</v>
      </c>
      <c r="F1927" t="str">
        <f>data!F1927</f>
        <v>AC SAUMUR RESERVE D.LA PALEINE</v>
      </c>
      <c r="G1927" s="10">
        <f>data!G1927</f>
        <v>935</v>
      </c>
      <c r="H1927" s="10">
        <f>data!I1927</f>
        <v>465.75</v>
      </c>
      <c r="I1927" s="10">
        <f t="shared" si="120"/>
        <v>469.25</v>
      </c>
      <c r="J1927" s="11">
        <f>data!H1927</f>
        <v>586.52</v>
      </c>
      <c r="K1927" s="11">
        <f>data!J1927</f>
        <v>306.58999999999997</v>
      </c>
      <c r="L1927" s="11">
        <f t="shared" si="121"/>
        <v>279.93</v>
      </c>
      <c r="M1927" s="9">
        <f t="shared" si="122"/>
        <v>1.0075147611379496</v>
      </c>
      <c r="N1927" s="9">
        <f t="shared" si="123"/>
        <v>0.91304347826086962</v>
      </c>
    </row>
    <row r="1928" spans="1:14" x14ac:dyDescent="0.25">
      <c r="A1928" t="str">
        <f>TEXT("1/"&amp;data!A1928,"mmmm")</f>
        <v>juillet</v>
      </c>
      <c r="B1928">
        <f>data!B1928</f>
        <v>2016</v>
      </c>
      <c r="C1928" t="str">
        <f>data!C1928</f>
        <v>089</v>
      </c>
      <c r="D1928" t="str">
        <f>data!D1928</f>
        <v>DOMAINE DE LA PALEINE</v>
      </c>
      <c r="E1928" t="str">
        <f>data!E1928</f>
        <v>089901</v>
      </c>
      <c r="F1928" t="str">
        <f>data!F1928</f>
        <v>AC SAUMUR D.LA PALEINE</v>
      </c>
      <c r="G1928" s="10">
        <f>data!G1928</f>
        <v>990</v>
      </c>
      <c r="H1928" s="10">
        <f>data!I1928</f>
        <v>671</v>
      </c>
      <c r="I1928" s="10">
        <f t="shared" si="120"/>
        <v>319</v>
      </c>
      <c r="J1928" s="11">
        <f>data!H1928</f>
        <v>500.25</v>
      </c>
      <c r="K1928" s="11">
        <f>data!J1928</f>
        <v>380.19</v>
      </c>
      <c r="L1928" s="11">
        <f t="shared" si="121"/>
        <v>120.06</v>
      </c>
      <c r="M1928" s="9">
        <f t="shared" si="122"/>
        <v>0.47540983606557374</v>
      </c>
      <c r="N1928" s="9">
        <f t="shared" si="123"/>
        <v>0.31578947368421051</v>
      </c>
    </row>
    <row r="1929" spans="1:14" x14ac:dyDescent="0.25">
      <c r="A1929" t="str">
        <f>TEXT("1/"&amp;data!A1929,"mmmm")</f>
        <v>juillet</v>
      </c>
      <c r="B1929">
        <f>data!B1929</f>
        <v>2016</v>
      </c>
      <c r="C1929" t="str">
        <f>data!C1929</f>
        <v>089</v>
      </c>
      <c r="D1929" t="str">
        <f>data!D1929</f>
        <v>DOMAINE DE LA PALEINE</v>
      </c>
      <c r="E1929" t="str">
        <f>data!E1929</f>
        <v>089903</v>
      </c>
      <c r="F1929" t="str">
        <f>data!F1929</f>
        <v>AC SAUMUR BRUT M.TRAD LA PALEINE</v>
      </c>
      <c r="G1929" s="10">
        <f>data!G1929</f>
        <v>811.8</v>
      </c>
      <c r="H1929" s="10">
        <f>data!I1929</f>
        <v>1579.5</v>
      </c>
      <c r="I1929" s="10">
        <f t="shared" si="120"/>
        <v>-767.7</v>
      </c>
      <c r="J1929" s="11">
        <f>data!H1929</f>
        <v>198</v>
      </c>
      <c r="K1929" s="11">
        <f>data!J1929</f>
        <v>390</v>
      </c>
      <c r="L1929" s="11">
        <f t="shared" si="121"/>
        <v>-192</v>
      </c>
      <c r="M1929" s="9">
        <f t="shared" si="122"/>
        <v>-0.48603988603988607</v>
      </c>
      <c r="N1929" s="9">
        <f t="shared" si="123"/>
        <v>-0.49230769230769234</v>
      </c>
    </row>
    <row r="1930" spans="1:14" x14ac:dyDescent="0.25">
      <c r="A1930" t="str">
        <f>TEXT("1/"&amp;data!A1930,"mmmm")</f>
        <v>juillet</v>
      </c>
      <c r="B1930">
        <f>data!B1930</f>
        <v>2016</v>
      </c>
      <c r="C1930" t="str">
        <f>data!C1930</f>
        <v>094</v>
      </c>
      <c r="D1930" t="str">
        <f>data!D1930</f>
        <v>CHATEAU TOUR GRANINS-GRAND POUJEAUX</v>
      </c>
      <c r="E1930" t="str">
        <f>data!E1930</f>
        <v>094001</v>
      </c>
      <c r="F1930" t="str">
        <f>data!F1930</f>
        <v>AC MOULIS EN MEDOC TOUR GRANINS GD-POUJEAUX</v>
      </c>
      <c r="G1930" s="10">
        <f>data!G1930</f>
        <v>922.2</v>
      </c>
      <c r="H1930" s="10">
        <f>data!I1930</f>
        <v>1404</v>
      </c>
      <c r="I1930" s="10">
        <f t="shared" si="120"/>
        <v>-481.79999999999995</v>
      </c>
      <c r="J1930" s="11">
        <f>data!H1930</f>
        <v>174</v>
      </c>
      <c r="K1930" s="11">
        <f>data!J1930</f>
        <v>270</v>
      </c>
      <c r="L1930" s="11">
        <f t="shared" si="121"/>
        <v>-96</v>
      </c>
      <c r="M1930" s="9">
        <f t="shared" si="122"/>
        <v>-0.34316239316239311</v>
      </c>
      <c r="N1930" s="9">
        <f t="shared" si="123"/>
        <v>-0.35555555555555557</v>
      </c>
    </row>
    <row r="1931" spans="1:14" x14ac:dyDescent="0.25">
      <c r="A1931" t="str">
        <f>TEXT("1/"&amp;data!A1931,"mmmm")</f>
        <v>juillet</v>
      </c>
      <c r="B1931">
        <f>data!B1931</f>
        <v>2016</v>
      </c>
      <c r="C1931" t="str">
        <f>data!C1931</f>
        <v>095</v>
      </c>
      <c r="D1931" t="str">
        <f>data!D1931</f>
        <v>MR FILLON</v>
      </c>
      <c r="E1931" t="str">
        <f>data!E1931</f>
        <v>095001</v>
      </c>
      <c r="F1931" t="str">
        <f>data!F1931</f>
        <v>AC BOURG ALIG D.FILLON</v>
      </c>
      <c r="G1931" s="10">
        <f>data!G1931</f>
        <v>1087.8</v>
      </c>
      <c r="H1931" s="10">
        <f>data!I1931</f>
        <v>2375.4</v>
      </c>
      <c r="I1931" s="10">
        <f t="shared" si="120"/>
        <v>-1287.6000000000001</v>
      </c>
      <c r="J1931" s="11">
        <f>data!H1931</f>
        <v>294</v>
      </c>
      <c r="K1931" s="11">
        <f>data!J1931</f>
        <v>642</v>
      </c>
      <c r="L1931" s="11">
        <f t="shared" si="121"/>
        <v>-348</v>
      </c>
      <c r="M1931" s="9">
        <f t="shared" si="122"/>
        <v>-0.5420560747663552</v>
      </c>
      <c r="N1931" s="9">
        <f t="shared" si="123"/>
        <v>-0.54205607476635509</v>
      </c>
    </row>
    <row r="1932" spans="1:14" x14ac:dyDescent="0.25">
      <c r="A1932" t="str">
        <f>TEXT("1/"&amp;data!A1932,"mmmm")</f>
        <v>juillet</v>
      </c>
      <c r="B1932">
        <f>data!B1932</f>
        <v>2016</v>
      </c>
      <c r="C1932" t="str">
        <f>data!C1932</f>
        <v>095</v>
      </c>
      <c r="D1932" t="str">
        <f>data!D1932</f>
        <v>MR FILLON</v>
      </c>
      <c r="E1932" t="str">
        <f>data!E1932</f>
        <v>095003</v>
      </c>
      <c r="F1932" t="str">
        <f>data!F1932</f>
        <v>AC BOURGOGNE ALIGOTE</v>
      </c>
      <c r="G1932" s="10">
        <f>data!G1932</f>
        <v>26.4</v>
      </c>
      <c r="H1932" s="10">
        <f>data!I1932</f>
        <v>211.2</v>
      </c>
      <c r="I1932" s="10">
        <f t="shared" si="120"/>
        <v>-184.79999999999998</v>
      </c>
      <c r="J1932" s="11">
        <f>data!H1932</f>
        <v>6</v>
      </c>
      <c r="K1932" s="11">
        <f>data!J1932</f>
        <v>48</v>
      </c>
      <c r="L1932" s="11">
        <f t="shared" si="121"/>
        <v>-42</v>
      </c>
      <c r="M1932" s="9">
        <f t="shared" si="122"/>
        <v>-0.875</v>
      </c>
      <c r="N1932" s="9">
        <f t="shared" si="123"/>
        <v>-0.875</v>
      </c>
    </row>
    <row r="1933" spans="1:14" x14ac:dyDescent="0.25">
      <c r="A1933" t="str">
        <f>TEXT("1/"&amp;data!A1933,"mmmm")</f>
        <v>juillet</v>
      </c>
      <c r="B1933">
        <f>data!B1933</f>
        <v>2016</v>
      </c>
      <c r="C1933" t="str">
        <f>data!C1933</f>
        <v>095</v>
      </c>
      <c r="D1933" t="str">
        <f>data!D1933</f>
        <v>MR FILLON</v>
      </c>
      <c r="E1933" t="str">
        <f>data!E1933</f>
        <v>095004</v>
      </c>
      <c r="F1933" t="str">
        <f>data!F1933</f>
        <v>DOM FILLON  BOURGOGNE CHARDONNAY</v>
      </c>
      <c r="G1933" s="10">
        <f>data!G1933</f>
        <v>0</v>
      </c>
      <c r="H1933" s="10">
        <f>data!I1933</f>
        <v>0</v>
      </c>
      <c r="I1933" s="10">
        <f t="shared" si="120"/>
        <v>0</v>
      </c>
      <c r="J1933" s="11">
        <f>data!H1933</f>
        <v>6</v>
      </c>
      <c r="K1933" s="11">
        <f>data!J1933</f>
        <v>0</v>
      </c>
      <c r="L1933" s="11">
        <f t="shared" si="121"/>
        <v>6</v>
      </c>
      <c r="M1933" s="9" t="str">
        <f t="shared" si="122"/>
        <v/>
      </c>
      <c r="N1933" s="9" t="str">
        <f t="shared" si="123"/>
        <v/>
      </c>
    </row>
    <row r="1934" spans="1:14" x14ac:dyDescent="0.25">
      <c r="A1934" t="str">
        <f>TEXT("1/"&amp;data!A1934,"mmmm")</f>
        <v>juillet</v>
      </c>
      <c r="B1934">
        <f>data!B1934</f>
        <v>2016</v>
      </c>
      <c r="C1934" t="str">
        <f>data!C1934</f>
        <v>095</v>
      </c>
      <c r="D1934" t="str">
        <f>data!D1934</f>
        <v>MR FILLON</v>
      </c>
      <c r="E1934" t="str">
        <f>data!E1934</f>
        <v>095005</v>
      </c>
      <c r="F1934" t="str">
        <f>data!F1934</f>
        <v>DOM FILLON AC SAUVIGNON DE ST BRIS</v>
      </c>
      <c r="G1934" s="10">
        <f>data!G1934</f>
        <v>397.8</v>
      </c>
      <c r="H1934" s="10">
        <f>data!I1934</f>
        <v>0</v>
      </c>
      <c r="I1934" s="10">
        <f t="shared" si="120"/>
        <v>397.8</v>
      </c>
      <c r="J1934" s="11">
        <f>data!H1934</f>
        <v>108</v>
      </c>
      <c r="K1934" s="11">
        <f>data!J1934</f>
        <v>6</v>
      </c>
      <c r="L1934" s="11">
        <f t="shared" si="121"/>
        <v>102</v>
      </c>
      <c r="M1934" s="9" t="str">
        <f t="shared" si="122"/>
        <v/>
      </c>
      <c r="N1934" s="9">
        <f t="shared" si="123"/>
        <v>17</v>
      </c>
    </row>
    <row r="1935" spans="1:14" x14ac:dyDescent="0.25">
      <c r="A1935" t="str">
        <f>TEXT("1/"&amp;data!A1935,"mmmm")</f>
        <v>juillet</v>
      </c>
      <c r="B1935">
        <f>data!B1935</f>
        <v>2016</v>
      </c>
      <c r="C1935" t="str">
        <f>data!C1935</f>
        <v>095</v>
      </c>
      <c r="D1935" t="str">
        <f>data!D1935</f>
        <v>MR FILLON</v>
      </c>
      <c r="E1935" t="str">
        <f>data!E1935</f>
        <v>095008</v>
      </c>
      <c r="F1935" t="str">
        <f>data!F1935</f>
        <v>AC PETIT CHABLIS</v>
      </c>
      <c r="G1935" s="10">
        <f>data!G1935</f>
        <v>64.8</v>
      </c>
      <c r="H1935" s="10">
        <f>data!I1935</f>
        <v>64.8</v>
      </c>
      <c r="I1935" s="10">
        <f t="shared" si="120"/>
        <v>0</v>
      </c>
      <c r="J1935" s="11">
        <f>data!H1935</f>
        <v>12</v>
      </c>
      <c r="K1935" s="11">
        <f>data!J1935</f>
        <v>12</v>
      </c>
      <c r="L1935" s="11">
        <f t="shared" si="121"/>
        <v>0</v>
      </c>
      <c r="M1935" s="9">
        <f t="shared" si="122"/>
        <v>0</v>
      </c>
      <c r="N1935" s="9">
        <f t="shared" si="123"/>
        <v>0</v>
      </c>
    </row>
    <row r="1936" spans="1:14" x14ac:dyDescent="0.25">
      <c r="A1936" t="str">
        <f>TEXT("1/"&amp;data!A1936,"mmmm")</f>
        <v>juillet</v>
      </c>
      <c r="B1936">
        <f>data!B1936</f>
        <v>2016</v>
      </c>
      <c r="C1936" t="str">
        <f>data!C1936</f>
        <v>095</v>
      </c>
      <c r="D1936" t="str">
        <f>data!D1936</f>
        <v>MR FILLON</v>
      </c>
      <c r="E1936" t="str">
        <f>data!E1936</f>
        <v>095010</v>
      </c>
      <c r="F1936" t="str">
        <f>data!F1936</f>
        <v>DOM FILLON AC PETIT CHABLIS</v>
      </c>
      <c r="G1936" s="10">
        <f>data!G1936</f>
        <v>1032.3</v>
      </c>
      <c r="H1936" s="10">
        <f>data!I1936</f>
        <v>1004.4</v>
      </c>
      <c r="I1936" s="10">
        <f t="shared" si="120"/>
        <v>27.899999999999977</v>
      </c>
      <c r="J1936" s="11">
        <f>data!H1936</f>
        <v>222</v>
      </c>
      <c r="K1936" s="11">
        <f>data!J1936</f>
        <v>216</v>
      </c>
      <c r="L1936" s="11">
        <f t="shared" si="121"/>
        <v>6</v>
      </c>
      <c r="M1936" s="9">
        <f t="shared" si="122"/>
        <v>2.7777777777777755E-2</v>
      </c>
      <c r="N1936" s="9">
        <f t="shared" si="123"/>
        <v>2.7777777777777776E-2</v>
      </c>
    </row>
    <row r="1937" spans="1:14" x14ac:dyDescent="0.25">
      <c r="A1937" t="str">
        <f>TEXT("1/"&amp;data!A1937,"mmmm")</f>
        <v>juillet</v>
      </c>
      <c r="B1937">
        <f>data!B1937</f>
        <v>2016</v>
      </c>
      <c r="C1937" t="str">
        <f>data!C1937</f>
        <v>095</v>
      </c>
      <c r="D1937" t="str">
        <f>data!D1937</f>
        <v>MR FILLON</v>
      </c>
      <c r="E1937" t="str">
        <f>data!E1937</f>
        <v>095012</v>
      </c>
      <c r="F1937" t="str">
        <f>data!F1937</f>
        <v>DOM FILLON AC CHABLIS</v>
      </c>
      <c r="G1937" s="10">
        <f>data!G1937</f>
        <v>148.80000000000001</v>
      </c>
      <c r="H1937" s="10">
        <f>data!I1937</f>
        <v>111.6</v>
      </c>
      <c r="I1937" s="10">
        <f t="shared" si="120"/>
        <v>37.200000000000017</v>
      </c>
      <c r="J1937" s="11">
        <f>data!H1937</f>
        <v>24</v>
      </c>
      <c r="K1937" s="11">
        <f>data!J1937</f>
        <v>24</v>
      </c>
      <c r="L1937" s="11">
        <f t="shared" si="121"/>
        <v>0</v>
      </c>
      <c r="M1937" s="9">
        <f t="shared" si="122"/>
        <v>0.33333333333333348</v>
      </c>
      <c r="N1937" s="9">
        <f t="shared" si="123"/>
        <v>0</v>
      </c>
    </row>
    <row r="1938" spans="1:14" x14ac:dyDescent="0.25">
      <c r="A1938" t="str">
        <f>TEXT("1/"&amp;data!A1938,"mmmm")</f>
        <v>juillet</v>
      </c>
      <c r="B1938">
        <f>data!B1938</f>
        <v>2016</v>
      </c>
      <c r="C1938" t="str">
        <f>data!C1938</f>
        <v>095</v>
      </c>
      <c r="D1938" t="str">
        <f>data!D1938</f>
        <v>MR FILLON</v>
      </c>
      <c r="E1938" t="str">
        <f>data!E1938</f>
        <v>095014</v>
      </c>
      <c r="F1938" t="str">
        <f>data!F1938</f>
        <v>DOM FILLON AC CHABLIS VIEILLES VIGNES</v>
      </c>
      <c r="G1938" s="10">
        <f>data!G1938</f>
        <v>244.8</v>
      </c>
      <c r="H1938" s="10">
        <f>data!I1938</f>
        <v>408</v>
      </c>
      <c r="I1938" s="10">
        <f t="shared" si="120"/>
        <v>-163.19999999999999</v>
      </c>
      <c r="J1938" s="11">
        <f>data!H1938</f>
        <v>36</v>
      </c>
      <c r="K1938" s="11">
        <f>data!J1938</f>
        <v>60</v>
      </c>
      <c r="L1938" s="11">
        <f t="shared" si="121"/>
        <v>-24</v>
      </c>
      <c r="M1938" s="9">
        <f t="shared" si="122"/>
        <v>-0.39999999999999997</v>
      </c>
      <c r="N1938" s="9">
        <f t="shared" si="123"/>
        <v>-0.4</v>
      </c>
    </row>
    <row r="1939" spans="1:14" x14ac:dyDescent="0.25">
      <c r="A1939" t="str">
        <f>TEXT("1/"&amp;data!A1939,"mmmm")</f>
        <v>juillet</v>
      </c>
      <c r="B1939">
        <f>data!B1939</f>
        <v>2016</v>
      </c>
      <c r="C1939" t="str">
        <f>data!C1939</f>
        <v>095</v>
      </c>
      <c r="D1939" t="str">
        <f>data!D1939</f>
        <v>MR FILLON</v>
      </c>
      <c r="E1939" t="str">
        <f>data!E1939</f>
        <v>095015</v>
      </c>
      <c r="F1939" t="str">
        <f>data!F1939</f>
        <v>DOM FILLON AC CHABLIS VIEILLES VIGNES</v>
      </c>
      <c r="G1939" s="10">
        <f>data!G1939</f>
        <v>42</v>
      </c>
      <c r="H1939" s="10">
        <f>data!I1939</f>
        <v>0</v>
      </c>
      <c r="I1939" s="10">
        <f t="shared" si="120"/>
        <v>42</v>
      </c>
      <c r="J1939" s="11">
        <f>data!H1939</f>
        <v>6</v>
      </c>
      <c r="K1939" s="11">
        <f>data!J1939</f>
        <v>0</v>
      </c>
      <c r="L1939" s="11">
        <f t="shared" si="121"/>
        <v>6</v>
      </c>
      <c r="M1939" s="9" t="str">
        <f t="shared" si="122"/>
        <v/>
      </c>
      <c r="N1939" s="9" t="str">
        <f t="shared" si="123"/>
        <v/>
      </c>
    </row>
    <row r="1940" spans="1:14" x14ac:dyDescent="0.25">
      <c r="A1940" t="str">
        <f>TEXT("1/"&amp;data!A1940,"mmmm")</f>
        <v>juillet</v>
      </c>
      <c r="B1940">
        <f>data!B1940</f>
        <v>2016</v>
      </c>
      <c r="C1940" t="str">
        <f>data!C1940</f>
        <v>095</v>
      </c>
      <c r="D1940" t="str">
        <f>data!D1940</f>
        <v>MR FILLON</v>
      </c>
      <c r="E1940" t="str">
        <f>data!E1940</f>
        <v>095017</v>
      </c>
      <c r="F1940" t="str">
        <f>data!F1940</f>
        <v>AC CHABLIS</v>
      </c>
      <c r="G1940" s="10">
        <f>data!G1940</f>
        <v>390</v>
      </c>
      <c r="H1940" s="10">
        <f>data!I1940</f>
        <v>0</v>
      </c>
      <c r="I1940" s="10">
        <f t="shared" si="120"/>
        <v>390</v>
      </c>
      <c r="J1940" s="11">
        <f>data!H1940</f>
        <v>79.98</v>
      </c>
      <c r="K1940" s="11">
        <f>data!J1940</f>
        <v>0</v>
      </c>
      <c r="L1940" s="11">
        <f t="shared" si="121"/>
        <v>79.98</v>
      </c>
      <c r="M1940" s="9" t="str">
        <f t="shared" si="122"/>
        <v/>
      </c>
      <c r="N1940" s="9" t="str">
        <f t="shared" si="123"/>
        <v/>
      </c>
    </row>
    <row r="1941" spans="1:14" x14ac:dyDescent="0.25">
      <c r="A1941" t="str">
        <f>TEXT("1/"&amp;data!A1941,"mmmm")</f>
        <v>juillet</v>
      </c>
      <c r="B1941">
        <f>data!B1941</f>
        <v>2016</v>
      </c>
      <c r="C1941" t="str">
        <f>data!C1941</f>
        <v>095</v>
      </c>
      <c r="D1941" t="str">
        <f>data!D1941</f>
        <v>MR FILLON</v>
      </c>
      <c r="E1941" t="str">
        <f>data!E1941</f>
        <v>CDV095017</v>
      </c>
      <c r="F1941" t="str">
        <f>data!F1941</f>
        <v>AC CHABLIS</v>
      </c>
      <c r="G1941" s="10">
        <f>data!G1941</f>
        <v>195</v>
      </c>
      <c r="H1941" s="10">
        <f>data!I1941</f>
        <v>0</v>
      </c>
      <c r="I1941" s="10">
        <f t="shared" si="120"/>
        <v>195</v>
      </c>
      <c r="J1941" s="11">
        <f>data!H1941</f>
        <v>39.99</v>
      </c>
      <c r="K1941" s="11">
        <f>data!J1941</f>
        <v>0</v>
      </c>
      <c r="L1941" s="11">
        <f t="shared" si="121"/>
        <v>39.99</v>
      </c>
      <c r="M1941" s="9" t="str">
        <f t="shared" si="122"/>
        <v/>
      </c>
      <c r="N1941" s="9" t="str">
        <f t="shared" si="123"/>
        <v/>
      </c>
    </row>
    <row r="1942" spans="1:14" x14ac:dyDescent="0.25">
      <c r="A1942" t="str">
        <f>TEXT("1/"&amp;data!A1942,"mmmm")</f>
        <v>juillet</v>
      </c>
      <c r="B1942">
        <f>data!B1942</f>
        <v>2016</v>
      </c>
      <c r="C1942" t="str">
        <f>data!C1942</f>
        <v>096</v>
      </c>
      <c r="D1942" t="str">
        <f>data!D1942</f>
        <v>L DE L</v>
      </c>
      <c r="E1942" t="str">
        <f>data!E1942</f>
        <v>096003</v>
      </c>
      <c r="F1942" t="str">
        <f>data!F1942</f>
        <v>AC MEDOC CH LOUDENNE</v>
      </c>
      <c r="G1942" s="10">
        <f>data!G1942</f>
        <v>135</v>
      </c>
      <c r="H1942" s="10">
        <f>data!I1942</f>
        <v>0</v>
      </c>
      <c r="I1942" s="10">
        <f t="shared" si="120"/>
        <v>135</v>
      </c>
      <c r="J1942" s="11">
        <f>data!H1942</f>
        <v>18</v>
      </c>
      <c r="K1942" s="11">
        <f>data!J1942</f>
        <v>0</v>
      </c>
      <c r="L1942" s="11">
        <f t="shared" si="121"/>
        <v>18</v>
      </c>
      <c r="M1942" s="9" t="str">
        <f t="shared" si="122"/>
        <v/>
      </c>
      <c r="N1942" s="9" t="str">
        <f t="shared" si="123"/>
        <v/>
      </c>
    </row>
    <row r="1943" spans="1:14" x14ac:dyDescent="0.25">
      <c r="A1943" t="str">
        <f>TEXT("1/"&amp;data!A1943,"mmmm")</f>
        <v>juillet</v>
      </c>
      <c r="B1943">
        <f>data!B1943</f>
        <v>2016</v>
      </c>
      <c r="C1943" t="str">
        <f>data!C1943</f>
        <v>097</v>
      </c>
      <c r="D1943" t="str">
        <f>data!D1943</f>
        <v>CHATEAU DE COINTES</v>
      </c>
      <c r="E1943" t="str">
        <f>data!E1943</f>
        <v>097003</v>
      </c>
      <c r="F1943" t="str">
        <f>data!F1943</f>
        <v>AC C.MALEPERE C.COINTES</v>
      </c>
      <c r="G1943" s="10">
        <f>data!G1943</f>
        <v>99</v>
      </c>
      <c r="H1943" s="10">
        <f>data!I1943</f>
        <v>358.8</v>
      </c>
      <c r="I1943" s="10">
        <f t="shared" si="120"/>
        <v>-259.8</v>
      </c>
      <c r="J1943" s="11">
        <f>data!H1943</f>
        <v>36</v>
      </c>
      <c r="K1943" s="11">
        <f>data!J1943</f>
        <v>138</v>
      </c>
      <c r="L1943" s="11">
        <f t="shared" si="121"/>
        <v>-102</v>
      </c>
      <c r="M1943" s="9">
        <f t="shared" si="122"/>
        <v>-0.72408026755852839</v>
      </c>
      <c r="N1943" s="9">
        <f t="shared" si="123"/>
        <v>-0.73913043478260865</v>
      </c>
    </row>
    <row r="1944" spans="1:14" x14ac:dyDescent="0.25">
      <c r="A1944" t="str">
        <f>TEXT("1/"&amp;data!A1944,"mmmm")</f>
        <v>juillet</v>
      </c>
      <c r="B1944">
        <f>data!B1944</f>
        <v>2016</v>
      </c>
      <c r="C1944" t="str">
        <f>data!C1944</f>
        <v>097</v>
      </c>
      <c r="D1944" t="str">
        <f>data!D1944</f>
        <v>CHATEAU DE COINTES</v>
      </c>
      <c r="E1944" t="str">
        <f>data!E1944</f>
        <v>097004</v>
      </c>
      <c r="F1944" t="str">
        <f>data!F1944</f>
        <v>VDP MERLOT D.DES CONSULS</v>
      </c>
      <c r="G1944" s="10">
        <f>data!G1944</f>
        <v>932.4</v>
      </c>
      <c r="H1944" s="10">
        <f>data!I1944</f>
        <v>947.1</v>
      </c>
      <c r="I1944" s="10">
        <f t="shared" si="120"/>
        <v>-14.700000000000045</v>
      </c>
      <c r="J1944" s="11">
        <f>data!H1944</f>
        <v>444</v>
      </c>
      <c r="K1944" s="11">
        <f>data!J1944</f>
        <v>462</v>
      </c>
      <c r="L1944" s="11">
        <f t="shared" si="121"/>
        <v>-18</v>
      </c>
      <c r="M1944" s="9">
        <f t="shared" si="122"/>
        <v>-1.5521064301552154E-2</v>
      </c>
      <c r="N1944" s="9">
        <f t="shared" si="123"/>
        <v>-3.896103896103896E-2</v>
      </c>
    </row>
    <row r="1945" spans="1:14" x14ac:dyDescent="0.25">
      <c r="A1945" t="str">
        <f>TEXT("1/"&amp;data!A1945,"mmmm")</f>
        <v>juillet</v>
      </c>
      <c r="B1945">
        <f>data!B1945</f>
        <v>2016</v>
      </c>
      <c r="C1945" t="str">
        <f>data!C1945</f>
        <v>099</v>
      </c>
      <c r="D1945" t="str">
        <f>data!D1945</f>
        <v>CAVE DE L'ORMARINE</v>
      </c>
      <c r="E1945" t="str">
        <f>data!E1945</f>
        <v>099001</v>
      </c>
      <c r="F1945" t="str">
        <f>data!F1945</f>
        <v>VDP C DE THAU D.VILLEMARIN</v>
      </c>
      <c r="G1945" s="10">
        <f>data!G1945</f>
        <v>3567.42</v>
      </c>
      <c r="H1945" s="10">
        <f>data!I1945</f>
        <v>2337.6</v>
      </c>
      <c r="I1945" s="10">
        <f t="shared" si="120"/>
        <v>1229.8200000000002</v>
      </c>
      <c r="J1945" s="11">
        <f>data!H1945</f>
        <v>2352</v>
      </c>
      <c r="K1945" s="11">
        <f>data!J1945</f>
        <v>1536</v>
      </c>
      <c r="L1945" s="11">
        <f t="shared" si="121"/>
        <v>816</v>
      </c>
      <c r="M1945" s="9">
        <f t="shared" si="122"/>
        <v>0.52610369609856267</v>
      </c>
      <c r="N1945" s="9">
        <f t="shared" si="123"/>
        <v>0.53125</v>
      </c>
    </row>
    <row r="1946" spans="1:14" x14ac:dyDescent="0.25">
      <c r="A1946" t="str">
        <f>TEXT("1/"&amp;data!A1946,"mmmm")</f>
        <v>juillet</v>
      </c>
      <c r="B1946">
        <f>data!B1946</f>
        <v>2016</v>
      </c>
      <c r="C1946" t="str">
        <f>data!C1946</f>
        <v>099</v>
      </c>
      <c r="D1946" t="str">
        <f>data!D1946</f>
        <v>CAVE DE L'ORMARINE</v>
      </c>
      <c r="E1946" t="str">
        <f>data!E1946</f>
        <v>099002</v>
      </c>
      <c r="F1946" t="str">
        <f>data!F1946</f>
        <v>VDP C DE THAU D.VILLEMARIN</v>
      </c>
      <c r="G1946" s="10">
        <f>data!G1946</f>
        <v>12402.58</v>
      </c>
      <c r="H1946" s="10">
        <f>data!I1946</f>
        <v>12179.36</v>
      </c>
      <c r="I1946" s="10">
        <f t="shared" si="120"/>
        <v>223.21999999999935</v>
      </c>
      <c r="J1946" s="11">
        <f>data!H1946</f>
        <v>8706</v>
      </c>
      <c r="K1946" s="11">
        <f>data!J1946</f>
        <v>8694</v>
      </c>
      <c r="L1946" s="11">
        <f t="shared" si="121"/>
        <v>12</v>
      </c>
      <c r="M1946" s="9">
        <f t="shared" si="122"/>
        <v>1.8327728222172539E-2</v>
      </c>
      <c r="N1946" s="9">
        <f t="shared" si="123"/>
        <v>1.3802622498274672E-3</v>
      </c>
    </row>
    <row r="1947" spans="1:14" x14ac:dyDescent="0.25">
      <c r="A1947" t="str">
        <f>TEXT("1/"&amp;data!A1947,"mmmm")</f>
        <v>juillet</v>
      </c>
      <c r="B1947">
        <f>data!B1947</f>
        <v>2016</v>
      </c>
      <c r="C1947" t="str">
        <f>data!C1947</f>
        <v>099</v>
      </c>
      <c r="D1947" t="str">
        <f>data!D1947</f>
        <v>CAVE DE L'ORMARINE</v>
      </c>
      <c r="E1947" t="str">
        <f>data!E1947</f>
        <v>099003</v>
      </c>
      <c r="F1947" t="str">
        <f>data!F1947</f>
        <v>VDP C DE THAU D.VILLEMARIN</v>
      </c>
      <c r="G1947" s="10">
        <f>data!G1947</f>
        <v>138.84</v>
      </c>
      <c r="H1947" s="10">
        <f>data!I1947</f>
        <v>232.32</v>
      </c>
      <c r="I1947" s="10">
        <f t="shared" si="120"/>
        <v>-93.47999999999999</v>
      </c>
      <c r="J1947" s="11">
        <f>data!H1947</f>
        <v>84</v>
      </c>
      <c r="K1947" s="11">
        <f>data!J1947</f>
        <v>138</v>
      </c>
      <c r="L1947" s="11">
        <f t="shared" si="121"/>
        <v>-54</v>
      </c>
      <c r="M1947" s="9">
        <f t="shared" si="122"/>
        <v>-0.40237603305785119</v>
      </c>
      <c r="N1947" s="9">
        <f t="shared" si="123"/>
        <v>-0.39130434782608697</v>
      </c>
    </row>
    <row r="1948" spans="1:14" x14ac:dyDescent="0.25">
      <c r="A1948" t="str">
        <f>TEXT("1/"&amp;data!A1948,"mmmm")</f>
        <v>juillet</v>
      </c>
      <c r="B1948">
        <f>data!B1948</f>
        <v>2016</v>
      </c>
      <c r="C1948" t="str">
        <f>data!C1948</f>
        <v>099</v>
      </c>
      <c r="D1948" t="str">
        <f>data!D1948</f>
        <v>CAVE DE L'ORMARINE</v>
      </c>
      <c r="E1948" t="str">
        <f>data!E1948</f>
        <v>099013</v>
      </c>
      <c r="F1948" t="str">
        <f>data!F1948</f>
        <v>IGP PAYS D'OC MUSCAT MOELLEUX DOUCEUR DU SUD</v>
      </c>
      <c r="G1948" s="10">
        <f>data!G1948</f>
        <v>320.33999999999997</v>
      </c>
      <c r="H1948" s="10">
        <f>data!I1948</f>
        <v>168.6</v>
      </c>
      <c r="I1948" s="10">
        <f t="shared" si="120"/>
        <v>151.73999999999998</v>
      </c>
      <c r="J1948" s="11">
        <f>data!H1948</f>
        <v>114</v>
      </c>
      <c r="K1948" s="11">
        <f>data!J1948</f>
        <v>60</v>
      </c>
      <c r="L1948" s="11">
        <f t="shared" si="121"/>
        <v>54</v>
      </c>
      <c r="M1948" s="9">
        <f t="shared" si="122"/>
        <v>0.89999999999999991</v>
      </c>
      <c r="N1948" s="9">
        <f t="shared" si="123"/>
        <v>0.9</v>
      </c>
    </row>
    <row r="1949" spans="1:14" x14ac:dyDescent="0.25">
      <c r="A1949" t="str">
        <f>TEXT("1/"&amp;data!A1949,"mmmm")</f>
        <v>juillet</v>
      </c>
      <c r="B1949">
        <f>data!B1949</f>
        <v>2016</v>
      </c>
      <c r="C1949" t="str">
        <f>data!C1949</f>
        <v>099</v>
      </c>
      <c r="D1949" t="str">
        <f>data!D1949</f>
        <v>CAVE DE L'ORMARINE</v>
      </c>
      <c r="E1949" t="str">
        <f>data!E1949</f>
        <v>099016</v>
      </c>
      <c r="F1949" t="str">
        <f>data!F1949</f>
        <v>AC PICPOUL PINET CARTE NOIRE</v>
      </c>
      <c r="G1949" s="10">
        <f>data!G1949</f>
        <v>140.16</v>
      </c>
      <c r="H1949" s="10">
        <f>data!I1949</f>
        <v>136.80000000000001</v>
      </c>
      <c r="I1949" s="10">
        <f t="shared" si="120"/>
        <v>3.3599999999999852</v>
      </c>
      <c r="J1949" s="11">
        <f>data!H1949</f>
        <v>48</v>
      </c>
      <c r="K1949" s="11">
        <f>data!J1949</f>
        <v>48</v>
      </c>
      <c r="L1949" s="11">
        <f t="shared" si="121"/>
        <v>0</v>
      </c>
      <c r="M1949" s="9">
        <f t="shared" si="122"/>
        <v>2.4561403508771819E-2</v>
      </c>
      <c r="N1949" s="9">
        <f t="shared" si="123"/>
        <v>0</v>
      </c>
    </row>
    <row r="1950" spans="1:14" x14ac:dyDescent="0.25">
      <c r="A1950" t="str">
        <f>TEXT("1/"&amp;data!A1950,"mmmm")</f>
        <v>juillet</v>
      </c>
      <c r="B1950">
        <f>data!B1950</f>
        <v>2016</v>
      </c>
      <c r="C1950" t="str">
        <f>data!C1950</f>
        <v>099</v>
      </c>
      <c r="D1950" t="str">
        <f>data!D1950</f>
        <v>CAVE DE L'ORMARINE</v>
      </c>
      <c r="E1950" t="str">
        <f>data!E1950</f>
        <v>099022</v>
      </c>
      <c r="F1950" t="str">
        <f>data!F1950</f>
        <v>IGP D'OC SAUVIGNON "HAUTS DE SENAUX"</v>
      </c>
      <c r="G1950" s="10">
        <f>data!G1950</f>
        <v>53.76</v>
      </c>
      <c r="H1950" s="10">
        <f>data!I1950</f>
        <v>0</v>
      </c>
      <c r="I1950" s="10">
        <f t="shared" si="120"/>
        <v>53.76</v>
      </c>
      <c r="J1950" s="11">
        <f>data!H1950</f>
        <v>24</v>
      </c>
      <c r="K1950" s="11">
        <f>data!J1950</f>
        <v>0</v>
      </c>
      <c r="L1950" s="11">
        <f t="shared" si="121"/>
        <v>24</v>
      </c>
      <c r="M1950" s="9" t="str">
        <f t="shared" si="122"/>
        <v/>
      </c>
      <c r="N1950" s="9" t="str">
        <f t="shared" si="123"/>
        <v/>
      </c>
    </row>
    <row r="1951" spans="1:14" x14ac:dyDescent="0.25">
      <c r="A1951" t="str">
        <f>TEXT("1/"&amp;data!A1951,"mmmm")</f>
        <v>juillet</v>
      </c>
      <c r="B1951">
        <f>data!B1951</f>
        <v>2016</v>
      </c>
      <c r="C1951" t="str">
        <f>data!C1951</f>
        <v>110</v>
      </c>
      <c r="D1951" t="str">
        <f>data!D1951</f>
        <v>CHATEAU LES MARNIERES</v>
      </c>
      <c r="E1951" t="str">
        <f>data!E1951</f>
        <v>110500</v>
      </c>
      <c r="F1951" t="str">
        <f>data!F1951</f>
        <v>AC BERGERAC CH LES MARNIERES</v>
      </c>
      <c r="G1951" s="10">
        <f>data!G1951</f>
        <v>336.6</v>
      </c>
      <c r="H1951" s="10">
        <f>data!I1951</f>
        <v>546</v>
      </c>
      <c r="I1951" s="10">
        <f t="shared" si="120"/>
        <v>-209.39999999999998</v>
      </c>
      <c r="J1951" s="11">
        <f>data!H1951</f>
        <v>239.94</v>
      </c>
      <c r="K1951" s="11">
        <f>data!J1951</f>
        <v>399.9</v>
      </c>
      <c r="L1951" s="11">
        <f t="shared" si="121"/>
        <v>-159.95999999999998</v>
      </c>
      <c r="M1951" s="9">
        <f t="shared" si="122"/>
        <v>-0.38351648351648349</v>
      </c>
      <c r="N1951" s="9">
        <f t="shared" si="123"/>
        <v>-0.39999999999999997</v>
      </c>
    </row>
    <row r="1952" spans="1:14" x14ac:dyDescent="0.25">
      <c r="A1952" t="str">
        <f>TEXT("1/"&amp;data!A1952,"mmmm")</f>
        <v>juillet</v>
      </c>
      <c r="B1952">
        <f>data!B1952</f>
        <v>2016</v>
      </c>
      <c r="C1952" t="str">
        <f>data!C1952</f>
        <v>110</v>
      </c>
      <c r="D1952" t="str">
        <f>data!D1952</f>
        <v>CHATEAU LES MARNIERES</v>
      </c>
      <c r="E1952" t="str">
        <f>data!E1952</f>
        <v>110501</v>
      </c>
      <c r="F1952" t="str">
        <f>data!F1952</f>
        <v>AC BERGERAC CH LES MARNIERES</v>
      </c>
      <c r="G1952" s="10">
        <f>data!G1952</f>
        <v>334.5</v>
      </c>
      <c r="H1952" s="10">
        <f>data!I1952</f>
        <v>376.25</v>
      </c>
      <c r="I1952" s="10">
        <f t="shared" si="120"/>
        <v>-41.75</v>
      </c>
      <c r="J1952" s="11">
        <f>data!H1952</f>
        <v>200.1</v>
      </c>
      <c r="K1952" s="11">
        <f>data!J1952</f>
        <v>233.45</v>
      </c>
      <c r="L1952" s="11">
        <f t="shared" si="121"/>
        <v>-33.349999999999994</v>
      </c>
      <c r="M1952" s="9">
        <f t="shared" si="122"/>
        <v>-0.11096345514950166</v>
      </c>
      <c r="N1952" s="9">
        <f t="shared" si="123"/>
        <v>-0.14285714285714285</v>
      </c>
    </row>
    <row r="1953" spans="1:14" x14ac:dyDescent="0.25">
      <c r="A1953" t="str">
        <f>TEXT("1/"&amp;data!A1953,"mmmm")</f>
        <v>juillet</v>
      </c>
      <c r="B1953">
        <f>data!B1953</f>
        <v>2016</v>
      </c>
      <c r="C1953" t="str">
        <f>data!C1953</f>
        <v>110</v>
      </c>
      <c r="D1953" t="str">
        <f>data!D1953</f>
        <v>CHATEAU LES MARNIERES</v>
      </c>
      <c r="E1953" t="str">
        <f>data!E1953</f>
        <v>110505</v>
      </c>
      <c r="F1953" t="str">
        <f>data!F1953</f>
        <v>AC BERGERAC CH LES MARNIERES</v>
      </c>
      <c r="G1953" s="10">
        <f>data!G1953</f>
        <v>28.8</v>
      </c>
      <c r="H1953" s="10">
        <f>data!I1953</f>
        <v>115.2</v>
      </c>
      <c r="I1953" s="10">
        <f t="shared" si="120"/>
        <v>-86.4</v>
      </c>
      <c r="J1953" s="11">
        <f>data!H1953</f>
        <v>12</v>
      </c>
      <c r="K1953" s="11">
        <f>data!J1953</f>
        <v>48</v>
      </c>
      <c r="L1953" s="11">
        <f t="shared" si="121"/>
        <v>-36</v>
      </c>
      <c r="M1953" s="9">
        <f t="shared" si="122"/>
        <v>-0.75</v>
      </c>
      <c r="N1953" s="9">
        <f t="shared" si="123"/>
        <v>-0.75</v>
      </c>
    </row>
    <row r="1954" spans="1:14" x14ac:dyDescent="0.25">
      <c r="A1954" t="str">
        <f>TEXT("1/"&amp;data!A1954,"mmmm")</f>
        <v>juillet</v>
      </c>
      <c r="B1954">
        <f>data!B1954</f>
        <v>2016</v>
      </c>
      <c r="C1954" t="str">
        <f>data!C1954</f>
        <v>110</v>
      </c>
      <c r="D1954" t="str">
        <f>data!D1954</f>
        <v>CHATEAU LES MARNIERES</v>
      </c>
      <c r="E1954" t="str">
        <f>data!E1954</f>
        <v>110600</v>
      </c>
      <c r="F1954" t="str">
        <f>data!F1954</f>
        <v>CH LES MARNIERES AC COTES DE BERGERAC MOELLEUX</v>
      </c>
      <c r="G1954" s="10">
        <f>data!G1954</f>
        <v>18.899999999999999</v>
      </c>
      <c r="H1954" s="10">
        <f>data!I1954</f>
        <v>585.6</v>
      </c>
      <c r="I1954" s="10">
        <f t="shared" si="120"/>
        <v>-566.70000000000005</v>
      </c>
      <c r="J1954" s="11">
        <f>data!H1954</f>
        <v>6</v>
      </c>
      <c r="K1954" s="11">
        <f>data!J1954</f>
        <v>192</v>
      </c>
      <c r="L1954" s="11">
        <f t="shared" si="121"/>
        <v>-186</v>
      </c>
      <c r="M1954" s="9">
        <f t="shared" si="122"/>
        <v>-0.96772540983606559</v>
      </c>
      <c r="N1954" s="9">
        <f t="shared" si="123"/>
        <v>-0.96875</v>
      </c>
    </row>
    <row r="1955" spans="1:14" x14ac:dyDescent="0.25">
      <c r="A1955" t="str">
        <f>TEXT("1/"&amp;data!A1955,"mmmm")</f>
        <v>juillet</v>
      </c>
      <c r="B1955">
        <f>data!B1955</f>
        <v>2016</v>
      </c>
      <c r="C1955" t="str">
        <f>data!C1955</f>
        <v>110</v>
      </c>
      <c r="D1955" t="str">
        <f>data!D1955</f>
        <v>CHATEAU LES MARNIERES</v>
      </c>
      <c r="E1955" t="str">
        <f>data!E1955</f>
        <v>110601</v>
      </c>
      <c r="F1955" t="str">
        <f>data!F1955</f>
        <v>AC C.DE BERGERAC F.DE CHENE  MOELL</v>
      </c>
      <c r="G1955" s="10">
        <f>data!G1955</f>
        <v>46.8</v>
      </c>
      <c r="H1955" s="10">
        <f>data!I1955</f>
        <v>93.6</v>
      </c>
      <c r="I1955" s="10">
        <f t="shared" si="120"/>
        <v>-46.8</v>
      </c>
      <c r="J1955" s="11">
        <f>data!H1955</f>
        <v>12</v>
      </c>
      <c r="K1955" s="11">
        <f>data!J1955</f>
        <v>24</v>
      </c>
      <c r="L1955" s="11">
        <f t="shared" si="121"/>
        <v>-12</v>
      </c>
      <c r="M1955" s="9">
        <f t="shared" si="122"/>
        <v>-0.5</v>
      </c>
      <c r="N1955" s="9">
        <f t="shared" si="123"/>
        <v>-0.5</v>
      </c>
    </row>
    <row r="1956" spans="1:14" x14ac:dyDescent="0.25">
      <c r="A1956" t="str">
        <f>TEXT("1/"&amp;data!A1956,"mmmm")</f>
        <v>juillet</v>
      </c>
      <c r="B1956">
        <f>data!B1956</f>
        <v>2016</v>
      </c>
      <c r="C1956" t="str">
        <f>data!C1956</f>
        <v>113</v>
      </c>
      <c r="D1956" t="str">
        <f>data!D1956</f>
        <v>DOMAINE DU PRIEURE</v>
      </c>
      <c r="E1956" t="str">
        <f>data!E1956</f>
        <v>113001</v>
      </c>
      <c r="F1956" t="str">
        <f>data!F1956</f>
        <v>AC MENETOU SALON. DME PRIEURE</v>
      </c>
      <c r="G1956" s="10">
        <f>data!G1956</f>
        <v>923.4</v>
      </c>
      <c r="H1956" s="10">
        <f>data!I1956</f>
        <v>1188</v>
      </c>
      <c r="I1956" s="10">
        <f t="shared" si="120"/>
        <v>-264.60000000000002</v>
      </c>
      <c r="J1956" s="11">
        <f>data!H1956</f>
        <v>162</v>
      </c>
      <c r="K1956" s="11">
        <f>data!J1956</f>
        <v>216</v>
      </c>
      <c r="L1956" s="11">
        <f t="shared" si="121"/>
        <v>-54</v>
      </c>
      <c r="M1956" s="9">
        <f t="shared" si="122"/>
        <v>-0.22272727272727275</v>
      </c>
      <c r="N1956" s="9">
        <f t="shared" si="123"/>
        <v>-0.25</v>
      </c>
    </row>
    <row r="1957" spans="1:14" x14ac:dyDescent="0.25">
      <c r="A1957" t="str">
        <f>TEXT("1/"&amp;data!A1957,"mmmm")</f>
        <v>juillet</v>
      </c>
      <c r="B1957">
        <f>data!B1957</f>
        <v>2016</v>
      </c>
      <c r="C1957" t="str">
        <f>data!C1957</f>
        <v>113</v>
      </c>
      <c r="D1957" t="str">
        <f>data!D1957</f>
        <v>DOMAINE DU PRIEURE</v>
      </c>
      <c r="E1957" t="str">
        <f>data!E1957</f>
        <v>113002</v>
      </c>
      <c r="F1957" t="str">
        <f>data!F1957</f>
        <v>AC MENETOU SALON. DME PRIEURE</v>
      </c>
      <c r="G1957" s="10">
        <f>data!G1957</f>
        <v>264.60000000000002</v>
      </c>
      <c r="H1957" s="10">
        <f>data!I1957</f>
        <v>0</v>
      </c>
      <c r="I1957" s="10">
        <f t="shared" si="120"/>
        <v>264.60000000000002</v>
      </c>
      <c r="J1957" s="11">
        <f>data!H1957</f>
        <v>42</v>
      </c>
      <c r="K1957" s="11">
        <f>data!J1957</f>
        <v>0</v>
      </c>
      <c r="L1957" s="11">
        <f t="shared" si="121"/>
        <v>42</v>
      </c>
      <c r="M1957" s="9" t="str">
        <f t="shared" si="122"/>
        <v/>
      </c>
      <c r="N1957" s="9" t="str">
        <f t="shared" si="123"/>
        <v/>
      </c>
    </row>
    <row r="1958" spans="1:14" x14ac:dyDescent="0.25">
      <c r="A1958" t="str">
        <f>TEXT("1/"&amp;data!A1958,"mmmm")</f>
        <v>juillet</v>
      </c>
      <c r="B1958">
        <f>data!B1958</f>
        <v>2016</v>
      </c>
      <c r="C1958" t="str">
        <f>data!C1958</f>
        <v>113</v>
      </c>
      <c r="D1958" t="str">
        <f>data!D1958</f>
        <v>DOMAINE DU PRIEURE</v>
      </c>
      <c r="E1958" t="str">
        <f>data!E1958</f>
        <v>113005</v>
      </c>
      <c r="F1958" t="str">
        <f>data!F1958</f>
        <v>AC MENETOU SALON. DME PRIEURE</v>
      </c>
      <c r="G1958" s="10">
        <f>data!G1958</f>
        <v>684</v>
      </c>
      <c r="H1958" s="10">
        <f>data!I1958</f>
        <v>1000.5</v>
      </c>
      <c r="I1958" s="10">
        <f t="shared" si="120"/>
        <v>-316.5</v>
      </c>
      <c r="J1958" s="11">
        <f>data!H1958</f>
        <v>114</v>
      </c>
      <c r="K1958" s="11">
        <f>data!J1958</f>
        <v>174</v>
      </c>
      <c r="L1958" s="11">
        <f t="shared" si="121"/>
        <v>-60</v>
      </c>
      <c r="M1958" s="9">
        <f t="shared" si="122"/>
        <v>-0.31634182908545727</v>
      </c>
      <c r="N1958" s="9">
        <f t="shared" si="123"/>
        <v>-0.34482758620689657</v>
      </c>
    </row>
    <row r="1959" spans="1:14" x14ac:dyDescent="0.25">
      <c r="A1959" t="str">
        <f>TEXT("1/"&amp;data!A1959,"mmmm")</f>
        <v>juillet</v>
      </c>
      <c r="B1959">
        <f>data!B1959</f>
        <v>2016</v>
      </c>
      <c r="C1959" t="str">
        <f>data!C1959</f>
        <v>113</v>
      </c>
      <c r="D1959" t="str">
        <f>data!D1959</f>
        <v>DOMAINE DU PRIEURE</v>
      </c>
      <c r="E1959" t="str">
        <f>data!E1959</f>
        <v>113006</v>
      </c>
      <c r="F1959" t="str">
        <f>data!F1959</f>
        <v>AC MENETOU SALON. DME PRIEURE</v>
      </c>
      <c r="G1959" s="10">
        <f>data!G1959</f>
        <v>198</v>
      </c>
      <c r="H1959" s="10">
        <f>data!I1959</f>
        <v>38.4</v>
      </c>
      <c r="I1959" s="10">
        <f t="shared" si="120"/>
        <v>159.6</v>
      </c>
      <c r="J1959" s="11">
        <f>data!H1959</f>
        <v>30</v>
      </c>
      <c r="K1959" s="11">
        <f>data!J1959</f>
        <v>6</v>
      </c>
      <c r="L1959" s="11">
        <f t="shared" si="121"/>
        <v>24</v>
      </c>
      <c r="M1959" s="9">
        <f t="shared" si="122"/>
        <v>4.15625</v>
      </c>
      <c r="N1959" s="9">
        <f t="shared" si="123"/>
        <v>4</v>
      </c>
    </row>
    <row r="1960" spans="1:14" x14ac:dyDescent="0.25">
      <c r="A1960" t="str">
        <f>TEXT("1/"&amp;data!A1960,"mmmm")</f>
        <v>juillet</v>
      </c>
      <c r="B1960">
        <f>data!B1960</f>
        <v>2016</v>
      </c>
      <c r="C1960" t="str">
        <f>data!C1960</f>
        <v>114</v>
      </c>
      <c r="D1960" t="str">
        <f>data!D1960</f>
        <v>DAVAULT VIGNERONS</v>
      </c>
      <c r="E1960" t="str">
        <f>data!E1960</f>
        <v>114001</v>
      </c>
      <c r="F1960" t="str">
        <f>data!F1960</f>
        <v>AC TOURAINE D.LA CHAISE</v>
      </c>
      <c r="G1960" s="10">
        <f>data!G1960</f>
        <v>643.5</v>
      </c>
      <c r="H1960" s="10">
        <f>data!I1960</f>
        <v>1539</v>
      </c>
      <c r="I1960" s="10">
        <f t="shared" si="120"/>
        <v>-895.5</v>
      </c>
      <c r="J1960" s="11">
        <f>data!H1960</f>
        <v>234</v>
      </c>
      <c r="K1960" s="11">
        <f>data!J1960</f>
        <v>570</v>
      </c>
      <c r="L1960" s="11">
        <f t="shared" si="121"/>
        <v>-336</v>
      </c>
      <c r="M1960" s="9">
        <f t="shared" si="122"/>
        <v>-0.58187134502923976</v>
      </c>
      <c r="N1960" s="9">
        <f t="shared" si="123"/>
        <v>-0.58947368421052626</v>
      </c>
    </row>
    <row r="1961" spans="1:14" x14ac:dyDescent="0.25">
      <c r="A1961" t="str">
        <f>TEXT("1/"&amp;data!A1961,"mmmm")</f>
        <v>juillet</v>
      </c>
      <c r="B1961">
        <f>data!B1961</f>
        <v>2016</v>
      </c>
      <c r="C1961" t="str">
        <f>data!C1961</f>
        <v>114</v>
      </c>
      <c r="D1961" t="str">
        <f>data!D1961</f>
        <v>DAVAULT VIGNERONS</v>
      </c>
      <c r="E1961" t="str">
        <f>data!E1961</f>
        <v>114002</v>
      </c>
      <c r="F1961" t="str">
        <f>data!F1961</f>
        <v>AC TOURAINE D.LA CHAISE</v>
      </c>
      <c r="G1961" s="10">
        <f>data!G1961</f>
        <v>101.4</v>
      </c>
      <c r="H1961" s="10">
        <f>data!I1961</f>
        <v>257.39999999999998</v>
      </c>
      <c r="I1961" s="10">
        <f t="shared" si="120"/>
        <v>-155.99999999999997</v>
      </c>
      <c r="J1961" s="11">
        <f>data!H1961</f>
        <v>30</v>
      </c>
      <c r="K1961" s="11">
        <f>data!J1961</f>
        <v>78</v>
      </c>
      <c r="L1961" s="11">
        <f t="shared" si="121"/>
        <v>-48</v>
      </c>
      <c r="M1961" s="9">
        <f t="shared" si="122"/>
        <v>-0.60606060606060597</v>
      </c>
      <c r="N1961" s="9">
        <f t="shared" si="123"/>
        <v>-0.61538461538461542</v>
      </c>
    </row>
    <row r="1962" spans="1:14" x14ac:dyDescent="0.25">
      <c r="A1962" t="str">
        <f>TEXT("1/"&amp;data!A1962,"mmmm")</f>
        <v>juillet</v>
      </c>
      <c r="B1962">
        <f>data!B1962</f>
        <v>2016</v>
      </c>
      <c r="C1962" t="str">
        <f>data!C1962</f>
        <v>114</v>
      </c>
      <c r="D1962" t="str">
        <f>data!D1962</f>
        <v>DAVAULT VIGNERONS</v>
      </c>
      <c r="E1962" t="str">
        <f>data!E1962</f>
        <v>114005</v>
      </c>
      <c r="F1962" t="str">
        <f>data!F1962</f>
        <v>AC GAMAY TOURAINE D.LA CHAISE</v>
      </c>
      <c r="G1962" s="10">
        <f>data!G1962</f>
        <v>42.3</v>
      </c>
      <c r="H1962" s="10">
        <f>data!I1962</f>
        <v>310.2</v>
      </c>
      <c r="I1962" s="10">
        <f t="shared" si="120"/>
        <v>-267.89999999999998</v>
      </c>
      <c r="J1962" s="11">
        <f>data!H1962</f>
        <v>18</v>
      </c>
      <c r="K1962" s="11">
        <f>data!J1962</f>
        <v>132</v>
      </c>
      <c r="L1962" s="11">
        <f t="shared" si="121"/>
        <v>-114</v>
      </c>
      <c r="M1962" s="9">
        <f t="shared" si="122"/>
        <v>-0.86363636363636365</v>
      </c>
      <c r="N1962" s="9">
        <f t="shared" si="123"/>
        <v>-0.86363636363636365</v>
      </c>
    </row>
    <row r="1963" spans="1:14" x14ac:dyDescent="0.25">
      <c r="A1963" t="str">
        <f>TEXT("1/"&amp;data!A1963,"mmmm")</f>
        <v>juillet</v>
      </c>
      <c r="B1963">
        <f>data!B1963</f>
        <v>2016</v>
      </c>
      <c r="C1963" t="str">
        <f>data!C1963</f>
        <v>114</v>
      </c>
      <c r="D1963" t="str">
        <f>data!D1963</f>
        <v>DAVAULT VIGNERONS</v>
      </c>
      <c r="E1963" t="str">
        <f>data!E1963</f>
        <v>114006</v>
      </c>
      <c r="F1963" t="str">
        <f>data!F1963</f>
        <v>AC GAMAY TOURAINE D.LA CHAISE</v>
      </c>
      <c r="G1963" s="10">
        <f>data!G1963</f>
        <v>54.36</v>
      </c>
      <c r="H1963" s="10">
        <f>data!I1963</f>
        <v>0</v>
      </c>
      <c r="I1963" s="10">
        <f t="shared" si="120"/>
        <v>54.36</v>
      </c>
      <c r="J1963" s="11">
        <f>data!H1963</f>
        <v>18</v>
      </c>
      <c r="K1963" s="11">
        <f>data!J1963</f>
        <v>0</v>
      </c>
      <c r="L1963" s="11">
        <f t="shared" si="121"/>
        <v>18</v>
      </c>
      <c r="M1963" s="9" t="str">
        <f t="shared" si="122"/>
        <v/>
      </c>
      <c r="N1963" s="9" t="str">
        <f t="shared" si="123"/>
        <v/>
      </c>
    </row>
    <row r="1964" spans="1:14" x14ac:dyDescent="0.25">
      <c r="A1964" t="str">
        <f>TEXT("1/"&amp;data!A1964,"mmmm")</f>
        <v>juillet</v>
      </c>
      <c r="B1964">
        <f>data!B1964</f>
        <v>2016</v>
      </c>
      <c r="C1964" t="str">
        <f>data!C1964</f>
        <v>114</v>
      </c>
      <c r="D1964" t="str">
        <f>data!D1964</f>
        <v>DAVAULT VIGNERONS</v>
      </c>
      <c r="E1964" t="str">
        <f>data!E1964</f>
        <v>114010</v>
      </c>
      <c r="F1964" t="str">
        <f>data!F1964</f>
        <v>AC TOURAINE SAUV D.LA CHAISE</v>
      </c>
      <c r="G1964" s="10">
        <f>data!G1964</f>
        <v>346.5</v>
      </c>
      <c r="H1964" s="10">
        <f>data!I1964</f>
        <v>499.4</v>
      </c>
      <c r="I1964" s="10">
        <f t="shared" si="120"/>
        <v>-152.89999999999998</v>
      </c>
      <c r="J1964" s="11">
        <f>data!H1964</f>
        <v>199.95</v>
      </c>
      <c r="K1964" s="11">
        <f>data!J1964</f>
        <v>293.26</v>
      </c>
      <c r="L1964" s="11">
        <f t="shared" si="121"/>
        <v>-93.31</v>
      </c>
      <c r="M1964" s="9">
        <f t="shared" si="122"/>
        <v>-0.30616740088105726</v>
      </c>
      <c r="N1964" s="9">
        <f t="shared" si="123"/>
        <v>-0.31818181818181818</v>
      </c>
    </row>
    <row r="1965" spans="1:14" x14ac:dyDescent="0.25">
      <c r="A1965" t="str">
        <f>TEXT("1/"&amp;data!A1965,"mmmm")</f>
        <v>juillet</v>
      </c>
      <c r="B1965">
        <f>data!B1965</f>
        <v>2016</v>
      </c>
      <c r="C1965" t="str">
        <f>data!C1965</f>
        <v>114</v>
      </c>
      <c r="D1965" t="str">
        <f>data!D1965</f>
        <v>DAVAULT VIGNERONS</v>
      </c>
      <c r="E1965" t="str">
        <f>data!E1965</f>
        <v>114011</v>
      </c>
      <c r="F1965" t="str">
        <f>data!F1965</f>
        <v>AC TOURAINE SAUV D.LA CHAISE</v>
      </c>
      <c r="G1965" s="10">
        <f>data!G1965</f>
        <v>607.5</v>
      </c>
      <c r="H1965" s="10">
        <f>data!I1965</f>
        <v>673.92</v>
      </c>
      <c r="I1965" s="10">
        <f t="shared" si="120"/>
        <v>-66.419999999999959</v>
      </c>
      <c r="J1965" s="11">
        <f>data!H1965</f>
        <v>300.14999999999998</v>
      </c>
      <c r="K1965" s="11">
        <f>data!J1965</f>
        <v>353.51</v>
      </c>
      <c r="L1965" s="11">
        <f t="shared" si="121"/>
        <v>-53.360000000000014</v>
      </c>
      <c r="M1965" s="9">
        <f t="shared" si="122"/>
        <v>-9.8557692307692249E-2</v>
      </c>
      <c r="N1965" s="9">
        <f t="shared" si="123"/>
        <v>-0.15094339622641514</v>
      </c>
    </row>
    <row r="1966" spans="1:14" x14ac:dyDescent="0.25">
      <c r="A1966" t="str">
        <f>TEXT("1/"&amp;data!A1966,"mmmm")</f>
        <v>juillet</v>
      </c>
      <c r="B1966">
        <f>data!B1966</f>
        <v>2016</v>
      </c>
      <c r="C1966" t="str">
        <f>data!C1966</f>
        <v>114</v>
      </c>
      <c r="D1966" t="str">
        <f>data!D1966</f>
        <v>DAVAULT VIGNERONS</v>
      </c>
      <c r="E1966" t="str">
        <f>data!E1966</f>
        <v>114012</v>
      </c>
      <c r="F1966" t="str">
        <f>data!F1966</f>
        <v>AC TOURAINE GAMAY D.LA CHAISE</v>
      </c>
      <c r="G1966" s="10">
        <f>data!G1966</f>
        <v>140.16</v>
      </c>
      <c r="H1966" s="10">
        <f>data!I1966</f>
        <v>245.28</v>
      </c>
      <c r="I1966" s="10">
        <f t="shared" si="120"/>
        <v>-105.12</v>
      </c>
      <c r="J1966" s="11">
        <f>data!H1966</f>
        <v>106.64</v>
      </c>
      <c r="K1966" s="11">
        <f>data!J1966</f>
        <v>186.62</v>
      </c>
      <c r="L1966" s="11">
        <f t="shared" si="121"/>
        <v>-79.98</v>
      </c>
      <c r="M1966" s="9">
        <f t="shared" si="122"/>
        <v>-0.4285714285714286</v>
      </c>
      <c r="N1966" s="9">
        <f t="shared" si="123"/>
        <v>-0.4285714285714286</v>
      </c>
    </row>
    <row r="1967" spans="1:14" x14ac:dyDescent="0.25">
      <c r="A1967" t="str">
        <f>TEXT("1/"&amp;data!A1967,"mmmm")</f>
        <v>juillet</v>
      </c>
      <c r="B1967">
        <f>data!B1967</f>
        <v>2016</v>
      </c>
      <c r="C1967" t="str">
        <f>data!C1967</f>
        <v>114</v>
      </c>
      <c r="D1967" t="str">
        <f>data!D1967</f>
        <v>DAVAULT VIGNERONS</v>
      </c>
      <c r="E1967" t="str">
        <f>data!E1967</f>
        <v>114013</v>
      </c>
      <c r="F1967" t="str">
        <f>data!F1967</f>
        <v>AC TOURAINE GAMAY</v>
      </c>
      <c r="G1967" s="10">
        <f>data!G1967</f>
        <v>39.92</v>
      </c>
      <c r="H1967" s="10">
        <f>data!I1967</f>
        <v>19.96</v>
      </c>
      <c r="I1967" s="10">
        <f t="shared" si="120"/>
        <v>19.96</v>
      </c>
      <c r="J1967" s="11">
        <f>data!H1967</f>
        <v>26.68</v>
      </c>
      <c r="K1967" s="11">
        <f>data!J1967</f>
        <v>13.34</v>
      </c>
      <c r="L1967" s="11">
        <f t="shared" si="121"/>
        <v>13.34</v>
      </c>
      <c r="M1967" s="9">
        <f t="shared" si="122"/>
        <v>1</v>
      </c>
      <c r="N1967" s="9">
        <f t="shared" si="123"/>
        <v>1</v>
      </c>
    </row>
    <row r="1968" spans="1:14" x14ac:dyDescent="0.25">
      <c r="A1968" t="str">
        <f>TEXT("1/"&amp;data!A1968,"mmmm")</f>
        <v>juillet</v>
      </c>
      <c r="B1968">
        <f>data!B1968</f>
        <v>2016</v>
      </c>
      <c r="C1968" t="str">
        <f>data!C1968</f>
        <v>115</v>
      </c>
      <c r="D1968" t="str">
        <f>data!D1968</f>
        <v>SCEA CHATEAU DES ROQUES</v>
      </c>
      <c r="E1968" t="str">
        <f>data!E1968</f>
        <v>115005</v>
      </c>
      <c r="F1968" t="str">
        <f>data!F1968</f>
        <v>AC VACQUEYRAS CH DES ROQUES</v>
      </c>
      <c r="G1968" s="10">
        <f>data!G1968</f>
        <v>1246.2</v>
      </c>
      <c r="H1968" s="10">
        <f>data!I1968</f>
        <v>729.6</v>
      </c>
      <c r="I1968" s="10">
        <f t="shared" si="120"/>
        <v>516.6</v>
      </c>
      <c r="J1968" s="11">
        <f>data!H1968</f>
        <v>186</v>
      </c>
      <c r="K1968" s="11">
        <f>data!J1968</f>
        <v>114</v>
      </c>
      <c r="L1968" s="11">
        <f t="shared" si="121"/>
        <v>72</v>
      </c>
      <c r="M1968" s="9">
        <f t="shared" si="122"/>
        <v>0.70805921052631582</v>
      </c>
      <c r="N1968" s="9">
        <f t="shared" si="123"/>
        <v>0.63157894736842102</v>
      </c>
    </row>
    <row r="1969" spans="1:14" x14ac:dyDescent="0.25">
      <c r="A1969" t="str">
        <f>TEXT("1/"&amp;data!A1969,"mmmm")</f>
        <v>juillet</v>
      </c>
      <c r="B1969">
        <f>data!B1969</f>
        <v>2016</v>
      </c>
      <c r="C1969" t="str">
        <f>data!C1969</f>
        <v>115</v>
      </c>
      <c r="D1969" t="str">
        <f>data!D1969</f>
        <v>SCEA CHATEAU DES ROQUES</v>
      </c>
      <c r="E1969" t="str">
        <f>data!E1969</f>
        <v>115007</v>
      </c>
      <c r="F1969" t="str">
        <f>data!F1969</f>
        <v>Château des Roques AC VACQUEYRAS</v>
      </c>
      <c r="G1969" s="10">
        <f>data!G1969</f>
        <v>42</v>
      </c>
      <c r="H1969" s="10">
        <f>data!I1969</f>
        <v>0</v>
      </c>
      <c r="I1969" s="10">
        <f t="shared" si="120"/>
        <v>42</v>
      </c>
      <c r="J1969" s="11">
        <f>data!H1969</f>
        <v>6</v>
      </c>
      <c r="K1969" s="11">
        <f>data!J1969</f>
        <v>0</v>
      </c>
      <c r="L1969" s="11">
        <f t="shared" si="121"/>
        <v>6</v>
      </c>
      <c r="M1969" s="9" t="str">
        <f t="shared" si="122"/>
        <v/>
      </c>
      <c r="N1969" s="9" t="str">
        <f t="shared" si="123"/>
        <v/>
      </c>
    </row>
    <row r="1970" spans="1:14" x14ac:dyDescent="0.25">
      <c r="A1970" t="str">
        <f>TEXT("1/"&amp;data!A1970,"mmmm")</f>
        <v>juillet</v>
      </c>
      <c r="B1970">
        <f>data!B1970</f>
        <v>2016</v>
      </c>
      <c r="C1970" t="str">
        <f>data!C1970</f>
        <v>115</v>
      </c>
      <c r="D1970" t="str">
        <f>data!D1970</f>
        <v>SCEA CHATEAU DES ROQUES</v>
      </c>
      <c r="E1970" t="str">
        <f>data!E1970</f>
        <v>115010</v>
      </c>
      <c r="F1970" t="str">
        <f>data!F1970</f>
        <v>VDP VAUCLUSE G.DES ROQUES</v>
      </c>
      <c r="G1970" s="10">
        <f>data!G1970</f>
        <v>43.5</v>
      </c>
      <c r="H1970" s="10">
        <f>data!I1970</f>
        <v>303.60000000000002</v>
      </c>
      <c r="I1970" s="10">
        <f t="shared" si="120"/>
        <v>-260.10000000000002</v>
      </c>
      <c r="J1970" s="11">
        <f>data!H1970</f>
        <v>39.99</v>
      </c>
      <c r="K1970" s="11">
        <f>data!J1970</f>
        <v>293.26</v>
      </c>
      <c r="L1970" s="11">
        <f t="shared" si="121"/>
        <v>-253.26999999999998</v>
      </c>
      <c r="M1970" s="9">
        <f t="shared" si="122"/>
        <v>-0.85671936758893286</v>
      </c>
      <c r="N1970" s="9">
        <f t="shared" si="123"/>
        <v>-0.86363636363636365</v>
      </c>
    </row>
    <row r="1971" spans="1:14" x14ac:dyDescent="0.25">
      <c r="A1971" t="str">
        <f>TEXT("1/"&amp;data!A1971,"mmmm")</f>
        <v>juillet</v>
      </c>
      <c r="B1971">
        <f>data!B1971</f>
        <v>2016</v>
      </c>
      <c r="C1971" t="str">
        <f>data!C1971</f>
        <v>116</v>
      </c>
      <c r="D1971" t="str">
        <f>data!D1971</f>
        <v>VIGNOBLE GASNIER</v>
      </c>
      <c r="E1971" t="str">
        <f>data!E1971</f>
        <v>116001</v>
      </c>
      <c r="F1971" t="str">
        <f>data!F1971</f>
        <v>AC CHINON LES GRAVES</v>
      </c>
      <c r="G1971" s="10">
        <f>data!G1971</f>
        <v>690</v>
      </c>
      <c r="H1971" s="10">
        <f>data!I1971</f>
        <v>1688.05</v>
      </c>
      <c r="I1971" s="10">
        <f t="shared" si="120"/>
        <v>-998.05</v>
      </c>
      <c r="J1971" s="11">
        <f>data!H1971</f>
        <v>150</v>
      </c>
      <c r="K1971" s="11">
        <f>data!J1971</f>
        <v>372</v>
      </c>
      <c r="L1971" s="11">
        <f t="shared" si="121"/>
        <v>-222</v>
      </c>
      <c r="M1971" s="9">
        <f t="shared" si="122"/>
        <v>-0.59124433517964514</v>
      </c>
      <c r="N1971" s="9">
        <f t="shared" si="123"/>
        <v>-0.59677419354838712</v>
      </c>
    </row>
    <row r="1972" spans="1:14" x14ac:dyDescent="0.25">
      <c r="A1972" t="str">
        <f>TEXT("1/"&amp;data!A1972,"mmmm")</f>
        <v>juillet</v>
      </c>
      <c r="B1972">
        <f>data!B1972</f>
        <v>2016</v>
      </c>
      <c r="C1972" t="str">
        <f>data!C1972</f>
        <v>118</v>
      </c>
      <c r="D1972" t="str">
        <f>data!D1972</f>
        <v>ARMAGNAC DELORD</v>
      </c>
      <c r="E1972" t="str">
        <f>data!E1972</f>
        <v>118004</v>
      </c>
      <c r="F1972" t="str">
        <f>data!F1972</f>
        <v>ARMAGNAC VSOP ARIANE en étui</v>
      </c>
      <c r="G1972" s="10">
        <f>data!G1972</f>
        <v>154.80000000000001</v>
      </c>
      <c r="H1972" s="10">
        <f>data!I1972</f>
        <v>307.8</v>
      </c>
      <c r="I1972" s="10">
        <f t="shared" si="120"/>
        <v>-153</v>
      </c>
      <c r="J1972" s="11">
        <f>data!H1972</f>
        <v>9</v>
      </c>
      <c r="K1972" s="11">
        <f>data!J1972</f>
        <v>18</v>
      </c>
      <c r="L1972" s="11">
        <f t="shared" si="121"/>
        <v>-9</v>
      </c>
      <c r="M1972" s="9">
        <f t="shared" si="122"/>
        <v>-0.49707602339181284</v>
      </c>
      <c r="N1972" s="9">
        <f t="shared" si="123"/>
        <v>-0.5</v>
      </c>
    </row>
    <row r="1973" spans="1:14" x14ac:dyDescent="0.25">
      <c r="A1973" t="str">
        <f>TEXT("1/"&amp;data!A1973,"mmmm")</f>
        <v>juillet</v>
      </c>
      <c r="B1973">
        <f>data!B1973</f>
        <v>2016</v>
      </c>
      <c r="C1973" t="str">
        <f>data!C1973</f>
        <v>118</v>
      </c>
      <c r="D1973" t="str">
        <f>data!D1973</f>
        <v>ARMAGNAC DELORD</v>
      </c>
      <c r="E1973" t="str">
        <f>data!E1973</f>
        <v>118006</v>
      </c>
      <c r="F1973" t="str">
        <f>data!F1973</f>
        <v>ARMAGNAC 20 ANS D'AGE ARIANE en étui</v>
      </c>
      <c r="G1973" s="10">
        <f>data!G1973</f>
        <v>171.72</v>
      </c>
      <c r="H1973" s="10">
        <f>data!I1973</f>
        <v>0</v>
      </c>
      <c r="I1973" s="10">
        <f t="shared" si="120"/>
        <v>171.72</v>
      </c>
      <c r="J1973" s="11">
        <f>data!H1973</f>
        <v>6</v>
      </c>
      <c r="K1973" s="11">
        <f>data!J1973</f>
        <v>0</v>
      </c>
      <c r="L1973" s="11">
        <f t="shared" si="121"/>
        <v>6</v>
      </c>
      <c r="M1973" s="9" t="str">
        <f t="shared" si="122"/>
        <v/>
      </c>
      <c r="N1973" s="9" t="str">
        <f t="shared" si="123"/>
        <v/>
      </c>
    </row>
    <row r="1974" spans="1:14" x14ac:dyDescent="0.25">
      <c r="A1974" t="str">
        <f>TEXT("1/"&amp;data!A1974,"mmmm")</f>
        <v>juillet</v>
      </c>
      <c r="B1974">
        <f>data!B1974</f>
        <v>2016</v>
      </c>
      <c r="C1974" t="str">
        <f>data!C1974</f>
        <v>118</v>
      </c>
      <c r="D1974" t="str">
        <f>data!D1974</f>
        <v>ARMAGNAC DELORD</v>
      </c>
      <c r="E1974" t="str">
        <f>data!E1974</f>
        <v>118007</v>
      </c>
      <c r="F1974" t="str">
        <f>data!F1974</f>
        <v>ARMAGNAC 25 ANS D'AGE ARIANE en étui</v>
      </c>
      <c r="G1974" s="10">
        <f>data!G1974</f>
        <v>189.18</v>
      </c>
      <c r="H1974" s="10">
        <f>data!I1974</f>
        <v>0</v>
      </c>
      <c r="I1974" s="10">
        <f t="shared" si="120"/>
        <v>189.18</v>
      </c>
      <c r="J1974" s="11">
        <f>data!H1974</f>
        <v>6</v>
      </c>
      <c r="K1974" s="11">
        <f>data!J1974</f>
        <v>0</v>
      </c>
      <c r="L1974" s="11">
        <f t="shared" si="121"/>
        <v>6</v>
      </c>
      <c r="M1974" s="9" t="str">
        <f t="shared" si="122"/>
        <v/>
      </c>
      <c r="N1974" s="9" t="str">
        <f t="shared" si="123"/>
        <v/>
      </c>
    </row>
    <row r="1975" spans="1:14" x14ac:dyDescent="0.25">
      <c r="A1975" t="str">
        <f>TEXT("1/"&amp;data!A1975,"mmmm")</f>
        <v>juillet</v>
      </c>
      <c r="B1975">
        <f>data!B1975</f>
        <v>2016</v>
      </c>
      <c r="C1975" t="str">
        <f>data!C1975</f>
        <v>118</v>
      </c>
      <c r="D1975" t="str">
        <f>data!D1975</f>
        <v>ARMAGNAC DELORD</v>
      </c>
      <c r="E1975" t="str">
        <f>data!E1975</f>
        <v>118302</v>
      </c>
      <c r="F1975" t="str">
        <f>data!F1975</f>
        <v>ARMAGNAC NAPOLEON ARIANE en étui</v>
      </c>
      <c r="G1975" s="10">
        <f>data!G1975</f>
        <v>56.13</v>
      </c>
      <c r="H1975" s="10">
        <f>data!I1975</f>
        <v>0</v>
      </c>
      <c r="I1975" s="10">
        <f t="shared" si="120"/>
        <v>56.13</v>
      </c>
      <c r="J1975" s="11">
        <f>data!H1975</f>
        <v>3</v>
      </c>
      <c r="K1975" s="11">
        <f>data!J1975</f>
        <v>0</v>
      </c>
      <c r="L1975" s="11">
        <f t="shared" si="121"/>
        <v>3</v>
      </c>
      <c r="M1975" s="9" t="str">
        <f t="shared" si="122"/>
        <v/>
      </c>
      <c r="N1975" s="9" t="str">
        <f t="shared" si="123"/>
        <v/>
      </c>
    </row>
    <row r="1976" spans="1:14" x14ac:dyDescent="0.25">
      <c r="A1976" t="str">
        <f>TEXT("1/"&amp;data!A1976,"mmmm")</f>
        <v>juillet</v>
      </c>
      <c r="B1976">
        <f>data!B1976</f>
        <v>2016</v>
      </c>
      <c r="C1976" t="str">
        <f>data!C1976</f>
        <v>119</v>
      </c>
      <c r="D1976" t="str">
        <f>data!D1976</f>
        <v>DOMAINE DES HOMS</v>
      </c>
      <c r="E1976" t="str">
        <f>data!E1976</f>
        <v>119001</v>
      </c>
      <c r="F1976" t="str">
        <f>data!F1976</f>
        <v>AC MINERVOIS CUVEE PAUL D.DES HOMS</v>
      </c>
      <c r="G1976" s="10">
        <f>data!G1976</f>
        <v>1188</v>
      </c>
      <c r="H1976" s="10">
        <f>data!I1976</f>
        <v>2193</v>
      </c>
      <c r="I1976" s="10">
        <f t="shared" si="120"/>
        <v>-1005</v>
      </c>
      <c r="J1976" s="11">
        <f>data!H1976</f>
        <v>264</v>
      </c>
      <c r="K1976" s="11">
        <f>data!J1976</f>
        <v>516</v>
      </c>
      <c r="L1976" s="11">
        <f t="shared" si="121"/>
        <v>-252</v>
      </c>
      <c r="M1976" s="9">
        <f t="shared" si="122"/>
        <v>-0.45827633378932969</v>
      </c>
      <c r="N1976" s="9">
        <f t="shared" si="123"/>
        <v>-0.48837209302325579</v>
      </c>
    </row>
    <row r="1977" spans="1:14" x14ac:dyDescent="0.25">
      <c r="A1977" t="str">
        <f>TEXT("1/"&amp;data!A1977,"mmmm")</f>
        <v>juillet</v>
      </c>
      <c r="B1977">
        <f>data!B1977</f>
        <v>2016</v>
      </c>
      <c r="C1977" t="str">
        <f>data!C1977</f>
        <v>119</v>
      </c>
      <c r="D1977" t="str">
        <f>data!D1977</f>
        <v>DOMAINE DES HOMS</v>
      </c>
      <c r="E1977" t="str">
        <f>data!E1977</f>
        <v>119002</v>
      </c>
      <c r="F1977" t="str">
        <f>data!F1977</f>
        <v>IGP OC CHARDONNAY</v>
      </c>
      <c r="G1977" s="10">
        <f>data!G1977</f>
        <v>1036.8</v>
      </c>
      <c r="H1977" s="10">
        <f>data!I1977</f>
        <v>612</v>
      </c>
      <c r="I1977" s="10">
        <f t="shared" si="120"/>
        <v>424.79999999999995</v>
      </c>
      <c r="J1977" s="11">
        <f>data!H1977</f>
        <v>288</v>
      </c>
      <c r="K1977" s="11">
        <f>data!J1977</f>
        <v>180</v>
      </c>
      <c r="L1977" s="11">
        <f t="shared" si="121"/>
        <v>108</v>
      </c>
      <c r="M1977" s="9">
        <f t="shared" si="122"/>
        <v>0.69411764705882351</v>
      </c>
      <c r="N1977" s="9">
        <f t="shared" si="123"/>
        <v>0.6</v>
      </c>
    </row>
    <row r="1978" spans="1:14" x14ac:dyDescent="0.25">
      <c r="A1978" t="str">
        <f>TEXT("1/"&amp;data!A1978,"mmmm")</f>
        <v>juillet</v>
      </c>
      <c r="B1978">
        <f>data!B1978</f>
        <v>2016</v>
      </c>
      <c r="C1978" t="str">
        <f>data!C1978</f>
        <v>119</v>
      </c>
      <c r="D1978" t="str">
        <f>data!D1978</f>
        <v>DOMAINE DES HOMS</v>
      </c>
      <c r="E1978" t="str">
        <f>data!E1978</f>
        <v>119003</v>
      </c>
      <c r="F1978" t="str">
        <f>data!F1978</f>
        <v>IGP OC VIOGNIER</v>
      </c>
      <c r="G1978" s="10">
        <f>data!G1978</f>
        <v>31.2</v>
      </c>
      <c r="H1978" s="10">
        <f>data!I1978</f>
        <v>356.4</v>
      </c>
      <c r="I1978" s="10">
        <f t="shared" si="120"/>
        <v>-325.2</v>
      </c>
      <c r="J1978" s="11">
        <f>data!H1978</f>
        <v>6</v>
      </c>
      <c r="K1978" s="11">
        <f>data!J1978</f>
        <v>78</v>
      </c>
      <c r="L1978" s="11">
        <f t="shared" si="121"/>
        <v>-72</v>
      </c>
      <c r="M1978" s="9">
        <f t="shared" si="122"/>
        <v>-0.91245791245791252</v>
      </c>
      <c r="N1978" s="9">
        <f t="shared" si="123"/>
        <v>-0.92307692307692313</v>
      </c>
    </row>
    <row r="1979" spans="1:14" x14ac:dyDescent="0.25">
      <c r="A1979" t="str">
        <f>TEXT("1/"&amp;data!A1979,"mmmm")</f>
        <v>juillet</v>
      </c>
      <c r="B1979">
        <f>data!B1979</f>
        <v>2016</v>
      </c>
      <c r="C1979" t="str">
        <f>data!C1979</f>
        <v>124</v>
      </c>
      <c r="D1979" t="str">
        <f>data!D1979</f>
        <v>CHATEAU BECHEREAU</v>
      </c>
      <c r="E1979" t="str">
        <f>data!E1979</f>
        <v>124001</v>
      </c>
      <c r="F1979" t="str">
        <f>data!F1979</f>
        <v>AC M ST EMILION CH BECHEREAU</v>
      </c>
      <c r="G1979" s="10">
        <f>data!G1979</f>
        <v>1539</v>
      </c>
      <c r="H1979" s="10">
        <f>data!I1979</f>
        <v>686.4</v>
      </c>
      <c r="I1979" s="10">
        <f t="shared" si="120"/>
        <v>852.6</v>
      </c>
      <c r="J1979" s="11">
        <f>data!H1979</f>
        <v>348</v>
      </c>
      <c r="K1979" s="11">
        <f>data!J1979</f>
        <v>156</v>
      </c>
      <c r="L1979" s="11">
        <f t="shared" si="121"/>
        <v>192</v>
      </c>
      <c r="M1979" s="9">
        <f t="shared" si="122"/>
        <v>1.2421328671328673</v>
      </c>
      <c r="N1979" s="9">
        <f t="shared" si="123"/>
        <v>1.2307692307692308</v>
      </c>
    </row>
    <row r="1980" spans="1:14" x14ac:dyDescent="0.25">
      <c r="A1980" t="str">
        <f>TEXT("1/"&amp;data!A1980,"mmmm")</f>
        <v>juillet</v>
      </c>
      <c r="B1980">
        <f>data!B1980</f>
        <v>2016</v>
      </c>
      <c r="C1980" t="str">
        <f>data!C1980</f>
        <v>124</v>
      </c>
      <c r="D1980" t="str">
        <f>data!D1980</f>
        <v>CHATEAU BECHEREAU</v>
      </c>
      <c r="E1980" t="str">
        <f>data!E1980</f>
        <v>124002</v>
      </c>
      <c r="F1980" t="str">
        <f>data!F1980</f>
        <v>AC BORDEAUX SUP TRADITION CH BECHEREAU</v>
      </c>
      <c r="G1980" s="10">
        <f>data!G1980</f>
        <v>871.2</v>
      </c>
      <c r="H1980" s="10">
        <f>data!I1980</f>
        <v>134.4</v>
      </c>
      <c r="I1980" s="10">
        <f t="shared" si="120"/>
        <v>736.80000000000007</v>
      </c>
      <c r="J1980" s="11">
        <f>data!H1980</f>
        <v>264</v>
      </c>
      <c r="K1980" s="11">
        <f>data!J1980</f>
        <v>42</v>
      </c>
      <c r="L1980" s="11">
        <f t="shared" si="121"/>
        <v>222</v>
      </c>
      <c r="M1980" s="9">
        <f t="shared" si="122"/>
        <v>5.4821428571428577</v>
      </c>
      <c r="N1980" s="9">
        <f t="shared" si="123"/>
        <v>5.2857142857142856</v>
      </c>
    </row>
    <row r="1981" spans="1:14" x14ac:dyDescent="0.25">
      <c r="A1981" t="str">
        <f>TEXT("1/"&amp;data!A1981,"mmmm")</f>
        <v>juillet</v>
      </c>
      <c r="B1981">
        <f>data!B1981</f>
        <v>2016</v>
      </c>
      <c r="C1981" t="str">
        <f>data!C1981</f>
        <v>124</v>
      </c>
      <c r="D1981" t="str">
        <f>data!D1981</f>
        <v>CHATEAU BECHEREAU</v>
      </c>
      <c r="E1981" t="str">
        <f>data!E1981</f>
        <v>124005CB</v>
      </c>
      <c r="F1981" t="str">
        <f>data!F1981</f>
        <v>AC MONTAGNE CH BECHEREAU CB</v>
      </c>
      <c r="G1981" s="10">
        <f>data!G1981</f>
        <v>37.200000000000003</v>
      </c>
      <c r="H1981" s="10">
        <f>data!I1981</f>
        <v>55.62</v>
      </c>
      <c r="I1981" s="10">
        <f t="shared" si="120"/>
        <v>-18.419999999999995</v>
      </c>
      <c r="J1981" s="11">
        <f>data!H1981</f>
        <v>6</v>
      </c>
      <c r="K1981" s="11">
        <f>data!J1981</f>
        <v>9</v>
      </c>
      <c r="L1981" s="11">
        <f t="shared" si="121"/>
        <v>-3</v>
      </c>
      <c r="M1981" s="9">
        <f t="shared" si="122"/>
        <v>-0.3311758360302049</v>
      </c>
      <c r="N1981" s="9">
        <f t="shared" si="123"/>
        <v>-0.33333333333333331</v>
      </c>
    </row>
    <row r="1982" spans="1:14" x14ac:dyDescent="0.25">
      <c r="A1982" t="str">
        <f>TEXT("1/"&amp;data!A1982,"mmmm")</f>
        <v>juillet</v>
      </c>
      <c r="B1982">
        <f>data!B1982</f>
        <v>2016</v>
      </c>
      <c r="C1982" t="str">
        <f>data!C1982</f>
        <v>124</v>
      </c>
      <c r="D1982" t="str">
        <f>data!D1982</f>
        <v>CHATEAU BECHEREAU</v>
      </c>
      <c r="E1982" t="str">
        <f>data!E1982</f>
        <v>124010</v>
      </c>
      <c r="F1982" t="str">
        <f>data!F1982</f>
        <v>AC LALANDE POMEROL BECH</v>
      </c>
      <c r="G1982" s="10">
        <f>data!G1982</f>
        <v>378</v>
      </c>
      <c r="H1982" s="10">
        <f>data!I1982</f>
        <v>669.6</v>
      </c>
      <c r="I1982" s="10">
        <f t="shared" si="120"/>
        <v>-291.60000000000002</v>
      </c>
      <c r="J1982" s="11">
        <f>data!H1982</f>
        <v>60</v>
      </c>
      <c r="K1982" s="11">
        <f>data!J1982</f>
        <v>108</v>
      </c>
      <c r="L1982" s="11">
        <f t="shared" si="121"/>
        <v>-48</v>
      </c>
      <c r="M1982" s="9">
        <f t="shared" si="122"/>
        <v>-0.43548387096774194</v>
      </c>
      <c r="N1982" s="9">
        <f t="shared" si="123"/>
        <v>-0.44444444444444442</v>
      </c>
    </row>
    <row r="1983" spans="1:14" x14ac:dyDescent="0.25">
      <c r="A1983" t="str">
        <f>TEXT("1/"&amp;data!A1983,"mmmm")</f>
        <v>juillet</v>
      </c>
      <c r="B1983">
        <f>data!B1983</f>
        <v>2016</v>
      </c>
      <c r="C1983" t="str">
        <f>data!C1983</f>
        <v>137</v>
      </c>
      <c r="D1983" t="str">
        <f>data!D1983</f>
        <v>CHATEAU MAS DES CABRES</v>
      </c>
      <c r="E1983" t="str">
        <f>data!E1983</f>
        <v>137001</v>
      </c>
      <c r="F1983" t="str">
        <f>data!F1983</f>
        <v>AC CTX LANGUEDOC TERRES D'ASPERES M.DES CABRES</v>
      </c>
      <c r="G1983" s="10">
        <f>data!G1983</f>
        <v>907.2</v>
      </c>
      <c r="H1983" s="10">
        <f>data!I1983</f>
        <v>413.4</v>
      </c>
      <c r="I1983" s="10">
        <f t="shared" si="120"/>
        <v>493.80000000000007</v>
      </c>
      <c r="J1983" s="11">
        <f>data!H1983</f>
        <v>324</v>
      </c>
      <c r="K1983" s="11">
        <f>data!J1983</f>
        <v>156</v>
      </c>
      <c r="L1983" s="11">
        <f t="shared" si="121"/>
        <v>168</v>
      </c>
      <c r="M1983" s="9">
        <f t="shared" si="122"/>
        <v>1.1944847605224966</v>
      </c>
      <c r="N1983" s="9">
        <f t="shared" si="123"/>
        <v>1.0769230769230769</v>
      </c>
    </row>
    <row r="1984" spans="1:14" x14ac:dyDescent="0.25">
      <c r="A1984" t="str">
        <f>TEXT("1/"&amp;data!A1984,"mmmm")</f>
        <v>juillet</v>
      </c>
      <c r="B1984">
        <f>data!B1984</f>
        <v>2016</v>
      </c>
      <c r="C1984" t="str">
        <f>data!C1984</f>
        <v>137</v>
      </c>
      <c r="D1984" t="str">
        <f>data!D1984</f>
        <v>CHATEAU MAS DES CABRES</v>
      </c>
      <c r="E1984" t="str">
        <f>data!E1984</f>
        <v>137003</v>
      </c>
      <c r="F1984" t="str">
        <f>data!F1984</f>
        <v>AC CTX DU LANGUEDOC LA DRAILLE</v>
      </c>
      <c r="G1984" s="10">
        <f>data!G1984</f>
        <v>148.5</v>
      </c>
      <c r="H1984" s="10">
        <f>data!I1984</f>
        <v>201.6</v>
      </c>
      <c r="I1984" s="10">
        <f t="shared" si="120"/>
        <v>-53.099999999999994</v>
      </c>
      <c r="J1984" s="11">
        <f>data!H1984</f>
        <v>30</v>
      </c>
      <c r="K1984" s="11">
        <f>data!J1984</f>
        <v>42</v>
      </c>
      <c r="L1984" s="11">
        <f t="shared" si="121"/>
        <v>-12</v>
      </c>
      <c r="M1984" s="9">
        <f t="shared" si="122"/>
        <v>-0.2633928571428571</v>
      </c>
      <c r="N1984" s="9">
        <f t="shared" si="123"/>
        <v>-0.2857142857142857</v>
      </c>
    </row>
    <row r="1985" spans="1:14" x14ac:dyDescent="0.25">
      <c r="A1985" t="str">
        <f>TEXT("1/"&amp;data!A1985,"mmmm")</f>
        <v>juillet</v>
      </c>
      <c r="B1985">
        <f>data!B1985</f>
        <v>2016</v>
      </c>
      <c r="C1985" t="str">
        <f>data!C1985</f>
        <v>140</v>
      </c>
      <c r="D1985" t="str">
        <f>data!D1985</f>
        <v>PHILIPPE GAULTIER</v>
      </c>
      <c r="E1985" t="str">
        <f>data!E1985</f>
        <v>140001</v>
      </c>
      <c r="F1985" t="str">
        <f>data!F1985</f>
        <v>AC VOUVRAY M.TRAD.BR C.DES AUMONES</v>
      </c>
      <c r="G1985" s="10">
        <f>data!G1985</f>
        <v>1083.5999999999999</v>
      </c>
      <c r="H1985" s="10">
        <f>data!I1985</f>
        <v>1159.2</v>
      </c>
      <c r="I1985" s="10">
        <f t="shared" si="120"/>
        <v>-75.600000000000136</v>
      </c>
      <c r="J1985" s="11">
        <f>data!H1985</f>
        <v>252</v>
      </c>
      <c r="K1985" s="11">
        <f>data!J1985</f>
        <v>270</v>
      </c>
      <c r="L1985" s="11">
        <f t="shared" si="121"/>
        <v>-18</v>
      </c>
      <c r="M1985" s="9">
        <f t="shared" si="122"/>
        <v>-6.5217391304347935E-2</v>
      </c>
      <c r="N1985" s="9">
        <f t="shared" si="123"/>
        <v>-6.6666666666666666E-2</v>
      </c>
    </row>
    <row r="1986" spans="1:14" x14ac:dyDescent="0.25">
      <c r="A1986" t="str">
        <f>TEXT("1/"&amp;data!A1986,"mmmm")</f>
        <v>juillet</v>
      </c>
      <c r="B1986">
        <f>data!B1986</f>
        <v>2016</v>
      </c>
      <c r="C1986" t="str">
        <f>data!C1986</f>
        <v>152</v>
      </c>
      <c r="D1986" t="str">
        <f>data!D1986</f>
        <v>VINCENT SIRET COURTAUD</v>
      </c>
      <c r="E1986" t="str">
        <f>data!E1986</f>
        <v>152001</v>
      </c>
      <c r="F1986" t="str">
        <f>data!F1986</f>
        <v>AC QUINCY D.SIRET COURTAUD</v>
      </c>
      <c r="G1986" s="10">
        <f>data!G1986</f>
        <v>542.4</v>
      </c>
      <c r="H1986" s="10">
        <f>data!I1986</f>
        <v>865.8</v>
      </c>
      <c r="I1986" s="10">
        <f t="shared" si="120"/>
        <v>-323.39999999999998</v>
      </c>
      <c r="J1986" s="11">
        <f>data!H1986</f>
        <v>96</v>
      </c>
      <c r="K1986" s="11">
        <f>data!J1986</f>
        <v>156</v>
      </c>
      <c r="L1986" s="11">
        <f t="shared" si="121"/>
        <v>-60</v>
      </c>
      <c r="M1986" s="9">
        <f t="shared" si="122"/>
        <v>-0.37352737352737353</v>
      </c>
      <c r="N1986" s="9">
        <f t="shared" si="123"/>
        <v>-0.38461538461538464</v>
      </c>
    </row>
    <row r="1987" spans="1:14" x14ac:dyDescent="0.25">
      <c r="A1987" t="str">
        <f>TEXT("1/"&amp;data!A1987,"mmmm")</f>
        <v>juillet</v>
      </c>
      <c r="B1987">
        <f>data!B1987</f>
        <v>2016</v>
      </c>
      <c r="C1987" t="str">
        <f>data!C1987</f>
        <v>153</v>
      </c>
      <c r="D1987" t="str">
        <f>data!D1987</f>
        <v>SARL GARNIER ET FILS</v>
      </c>
      <c r="E1987" t="str">
        <f>data!E1987</f>
        <v>153001</v>
      </c>
      <c r="F1987" t="str">
        <f>data!F1987</f>
        <v>AC PETIT CHABLIS D.GARNIER</v>
      </c>
      <c r="G1987" s="10">
        <f>data!G1987</f>
        <v>522</v>
      </c>
      <c r="H1987" s="10">
        <f>data!I1987</f>
        <v>0</v>
      </c>
      <c r="I1987" s="10">
        <f t="shared" ref="I1987:I2050" si="124">G1987-H1987</f>
        <v>522</v>
      </c>
      <c r="J1987" s="11">
        <f>data!H1987</f>
        <v>90</v>
      </c>
      <c r="K1987" s="11">
        <f>data!J1987</f>
        <v>0</v>
      </c>
      <c r="L1987" s="11">
        <f t="shared" ref="L1987:L2050" si="125">J1987-K1987</f>
        <v>90</v>
      </c>
      <c r="M1987" s="9" t="str">
        <f t="shared" ref="M1987:M2050" si="126">IF(ISERR(I1987/H1987),"",I1987/H1987)</f>
        <v/>
      </c>
      <c r="N1987" s="9" t="str">
        <f t="shared" ref="N1987:N2050" si="127">IF(ISERR(L1987/K1987),"",L1987/K1987)</f>
        <v/>
      </c>
    </row>
    <row r="1988" spans="1:14" x14ac:dyDescent="0.25">
      <c r="A1988" t="str">
        <f>TEXT("1/"&amp;data!A1988,"mmmm")</f>
        <v>juillet</v>
      </c>
      <c r="B1988">
        <f>data!B1988</f>
        <v>2016</v>
      </c>
      <c r="C1988" t="str">
        <f>data!C1988</f>
        <v>153</v>
      </c>
      <c r="D1988" t="str">
        <f>data!D1988</f>
        <v>SARL GARNIER ET FILS</v>
      </c>
      <c r="E1988" t="str">
        <f>data!E1988</f>
        <v>153003</v>
      </c>
      <c r="F1988" t="str">
        <f>data!F1988</f>
        <v>AC CHABLIS DME GARNIER</v>
      </c>
      <c r="G1988" s="10">
        <f>data!G1988</f>
        <v>1283.4000000000001</v>
      </c>
      <c r="H1988" s="10">
        <f>data!I1988</f>
        <v>0</v>
      </c>
      <c r="I1988" s="10">
        <f t="shared" si="124"/>
        <v>1283.4000000000001</v>
      </c>
      <c r="J1988" s="11">
        <f>data!H1988</f>
        <v>186</v>
      </c>
      <c r="K1988" s="11">
        <f>data!J1988</f>
        <v>0</v>
      </c>
      <c r="L1988" s="11">
        <f t="shared" si="125"/>
        <v>186</v>
      </c>
      <c r="M1988" s="9" t="str">
        <f t="shared" si="126"/>
        <v/>
      </c>
      <c r="N1988" s="9" t="str">
        <f t="shared" si="127"/>
        <v/>
      </c>
    </row>
    <row r="1989" spans="1:14" x14ac:dyDescent="0.25">
      <c r="A1989" t="str">
        <f>TEXT("1/"&amp;data!A1989,"mmmm")</f>
        <v>juillet</v>
      </c>
      <c r="B1989">
        <f>data!B1989</f>
        <v>2016</v>
      </c>
      <c r="C1989" t="str">
        <f>data!C1989</f>
        <v>153</v>
      </c>
      <c r="D1989" t="str">
        <f>data!D1989</f>
        <v>SARL GARNIER ET FILS</v>
      </c>
      <c r="E1989" t="str">
        <f>data!E1989</f>
        <v>153004</v>
      </c>
      <c r="F1989" t="str">
        <f>data!F1989</f>
        <v>AC CHABLIS DME GARNIER</v>
      </c>
      <c r="G1989" s="10">
        <f>data!G1989</f>
        <v>237</v>
      </c>
      <c r="H1989" s="10">
        <f>data!I1989</f>
        <v>0</v>
      </c>
      <c r="I1989" s="10">
        <f t="shared" si="124"/>
        <v>237</v>
      </c>
      <c r="J1989" s="11">
        <f>data!H1989</f>
        <v>30</v>
      </c>
      <c r="K1989" s="11">
        <f>data!J1989</f>
        <v>0</v>
      </c>
      <c r="L1989" s="11">
        <f t="shared" si="125"/>
        <v>30</v>
      </c>
      <c r="M1989" s="9" t="str">
        <f t="shared" si="126"/>
        <v/>
      </c>
      <c r="N1989" s="9" t="str">
        <f t="shared" si="127"/>
        <v/>
      </c>
    </row>
    <row r="1990" spans="1:14" x14ac:dyDescent="0.25">
      <c r="A1990" t="str">
        <f>TEXT("1/"&amp;data!A1990,"mmmm")</f>
        <v>juillet</v>
      </c>
      <c r="B1990">
        <f>data!B1990</f>
        <v>2016</v>
      </c>
      <c r="C1990" t="str">
        <f>data!C1990</f>
        <v>153</v>
      </c>
      <c r="D1990" t="str">
        <f>data!D1990</f>
        <v>SARL GARNIER ET FILS</v>
      </c>
      <c r="E1990" t="str">
        <f>data!E1990</f>
        <v>153012</v>
      </c>
      <c r="F1990" t="str">
        <f>data!F1990</f>
        <v>BOURGOGNE EPINEUIL PINOT NOIR GARNIER</v>
      </c>
      <c r="G1990" s="10">
        <f>data!G1990</f>
        <v>316.8</v>
      </c>
      <c r="H1990" s="10">
        <f>data!I1990</f>
        <v>0</v>
      </c>
      <c r="I1990" s="10">
        <f t="shared" si="124"/>
        <v>316.8</v>
      </c>
      <c r="J1990" s="11">
        <f>data!H1990</f>
        <v>48</v>
      </c>
      <c r="K1990" s="11">
        <f>data!J1990</f>
        <v>0</v>
      </c>
      <c r="L1990" s="11">
        <f t="shared" si="125"/>
        <v>48</v>
      </c>
      <c r="M1990" s="9" t="str">
        <f t="shared" si="126"/>
        <v/>
      </c>
      <c r="N1990" s="9" t="str">
        <f t="shared" si="127"/>
        <v/>
      </c>
    </row>
    <row r="1991" spans="1:14" x14ac:dyDescent="0.25">
      <c r="A1991" t="str">
        <f>TEXT("1/"&amp;data!A1991,"mmmm")</f>
        <v>juillet</v>
      </c>
      <c r="B1991">
        <f>data!B1991</f>
        <v>2016</v>
      </c>
      <c r="C1991" t="str">
        <f>data!C1991</f>
        <v>162</v>
      </c>
      <c r="D1991" t="str">
        <f>data!D1991</f>
        <v>CHATEAU JOUCLARY</v>
      </c>
      <c r="E1991" t="str">
        <f>data!E1991</f>
        <v>162001</v>
      </c>
      <c r="F1991" t="str">
        <f>data!F1991</f>
        <v>AC CABARDES CH JOUCLARY</v>
      </c>
      <c r="G1991" s="10">
        <f>data!G1991</f>
        <v>1705.2</v>
      </c>
      <c r="H1991" s="10">
        <f>data!I1991</f>
        <v>2688</v>
      </c>
      <c r="I1991" s="10">
        <f t="shared" si="124"/>
        <v>-982.8</v>
      </c>
      <c r="J1991" s="11">
        <f>data!H1991</f>
        <v>588</v>
      </c>
      <c r="K1991" s="11">
        <f>data!J1991</f>
        <v>960</v>
      </c>
      <c r="L1991" s="11">
        <f t="shared" si="125"/>
        <v>-372</v>
      </c>
      <c r="M1991" s="9">
        <f t="shared" si="126"/>
        <v>-0.36562499999999998</v>
      </c>
      <c r="N1991" s="9">
        <f t="shared" si="127"/>
        <v>-0.38750000000000001</v>
      </c>
    </row>
    <row r="1992" spans="1:14" x14ac:dyDescent="0.25">
      <c r="A1992" t="str">
        <f>TEXT("1/"&amp;data!A1992,"mmmm")</f>
        <v>juillet</v>
      </c>
      <c r="B1992">
        <f>data!B1992</f>
        <v>2016</v>
      </c>
      <c r="C1992" t="str">
        <f>data!C1992</f>
        <v>162</v>
      </c>
      <c r="D1992" t="str">
        <f>data!D1992</f>
        <v>CHATEAU JOUCLARY</v>
      </c>
      <c r="E1992" t="str">
        <f>data!E1992</f>
        <v>162002</v>
      </c>
      <c r="F1992" t="str">
        <f>data!F1992</f>
        <v>AC CABARDES JOUCLARY CUVEE AMANDIERS</v>
      </c>
      <c r="G1992" s="10">
        <f>data!G1992</f>
        <v>335.4</v>
      </c>
      <c r="H1992" s="10">
        <f>data!I1992</f>
        <v>48</v>
      </c>
      <c r="I1992" s="10">
        <f t="shared" si="124"/>
        <v>287.39999999999998</v>
      </c>
      <c r="J1992" s="11">
        <f>data!H1992</f>
        <v>78</v>
      </c>
      <c r="K1992" s="11">
        <f>data!J1992</f>
        <v>12</v>
      </c>
      <c r="L1992" s="11">
        <f t="shared" si="125"/>
        <v>66</v>
      </c>
      <c r="M1992" s="9">
        <f t="shared" si="126"/>
        <v>5.9874999999999998</v>
      </c>
      <c r="N1992" s="9">
        <f t="shared" si="127"/>
        <v>5.5</v>
      </c>
    </row>
    <row r="1993" spans="1:14" x14ac:dyDescent="0.25">
      <c r="A1993" t="str">
        <f>TEXT("1/"&amp;data!A1993,"mmmm")</f>
        <v>juillet</v>
      </c>
      <c r="B1993">
        <f>data!B1993</f>
        <v>2016</v>
      </c>
      <c r="C1993" t="str">
        <f>data!C1993</f>
        <v>162</v>
      </c>
      <c r="D1993" t="str">
        <f>data!D1993</f>
        <v>CHATEAU JOUCLARY</v>
      </c>
      <c r="E1993" t="str">
        <f>data!E1993</f>
        <v>162003</v>
      </c>
      <c r="F1993" t="str">
        <f>data!F1993</f>
        <v>AOP CABARDES JOUCLARY</v>
      </c>
      <c r="G1993" s="10">
        <f>data!G1993</f>
        <v>121.8</v>
      </c>
      <c r="H1993" s="10">
        <f>data!I1993</f>
        <v>403.2</v>
      </c>
      <c r="I1993" s="10">
        <f t="shared" si="124"/>
        <v>-281.39999999999998</v>
      </c>
      <c r="J1993" s="11">
        <f>data!H1993</f>
        <v>42</v>
      </c>
      <c r="K1993" s="11">
        <f>data!J1993</f>
        <v>144</v>
      </c>
      <c r="L1993" s="11">
        <f t="shared" si="125"/>
        <v>-102</v>
      </c>
      <c r="M1993" s="9">
        <f t="shared" si="126"/>
        <v>-0.69791666666666663</v>
      </c>
      <c r="N1993" s="9">
        <f t="shared" si="127"/>
        <v>-0.70833333333333337</v>
      </c>
    </row>
    <row r="1994" spans="1:14" x14ac:dyDescent="0.25">
      <c r="A1994" t="str">
        <f>TEXT("1/"&amp;data!A1994,"mmmm")</f>
        <v>juillet</v>
      </c>
      <c r="B1994">
        <f>data!B1994</f>
        <v>2016</v>
      </c>
      <c r="C1994" t="str">
        <f>data!C1994</f>
        <v>164</v>
      </c>
      <c r="D1994" t="str">
        <f>data!D1994</f>
        <v>CHATEAU JUPILLE</v>
      </c>
      <c r="E1994" t="str">
        <f>data!E1994</f>
        <v>164002</v>
      </c>
      <c r="F1994" t="str">
        <f>data!F1994</f>
        <v>AC ST EMILION CH JUPILLE CARILLON</v>
      </c>
      <c r="G1994" s="10">
        <f>data!G1994</f>
        <v>514.79999999999995</v>
      </c>
      <c r="H1994" s="10">
        <f>data!I1994</f>
        <v>0</v>
      </c>
      <c r="I1994" s="10">
        <f t="shared" si="124"/>
        <v>514.79999999999995</v>
      </c>
      <c r="J1994" s="11">
        <f>data!H1994</f>
        <v>78</v>
      </c>
      <c r="K1994" s="11">
        <f>data!J1994</f>
        <v>0</v>
      </c>
      <c r="L1994" s="11">
        <f t="shared" si="125"/>
        <v>78</v>
      </c>
      <c r="M1994" s="9" t="str">
        <f t="shared" si="126"/>
        <v/>
      </c>
      <c r="N1994" s="9" t="str">
        <f t="shared" si="127"/>
        <v/>
      </c>
    </row>
    <row r="1995" spans="1:14" x14ac:dyDescent="0.25">
      <c r="A1995" t="str">
        <f>TEXT("1/"&amp;data!A1995,"mmmm")</f>
        <v>juillet</v>
      </c>
      <c r="B1995">
        <f>data!B1995</f>
        <v>2016</v>
      </c>
      <c r="C1995" t="str">
        <f>data!C1995</f>
        <v>164</v>
      </c>
      <c r="D1995" t="str">
        <f>data!D1995</f>
        <v>CHATEAU JUPILLE</v>
      </c>
      <c r="E1995" t="str">
        <f>data!E1995</f>
        <v>164005/12</v>
      </c>
      <c r="F1995" t="str">
        <f>data!F1995</f>
        <v>AC ST EMILION GD CRU CH JUCALIS</v>
      </c>
      <c r="G1995" s="10">
        <f>data!G1995</f>
        <v>432</v>
      </c>
      <c r="H1995" s="10">
        <f>data!I1995</f>
        <v>0</v>
      </c>
      <c r="I1995" s="10">
        <f t="shared" si="124"/>
        <v>432</v>
      </c>
      <c r="J1995" s="11">
        <f>data!H1995</f>
        <v>48</v>
      </c>
      <c r="K1995" s="11">
        <f>data!J1995</f>
        <v>0</v>
      </c>
      <c r="L1995" s="11">
        <f t="shared" si="125"/>
        <v>48</v>
      </c>
      <c r="M1995" s="9" t="str">
        <f t="shared" si="126"/>
        <v/>
      </c>
      <c r="N1995" s="9" t="str">
        <f t="shared" si="127"/>
        <v/>
      </c>
    </row>
    <row r="1996" spans="1:14" x14ac:dyDescent="0.25">
      <c r="A1996" t="str">
        <f>TEXT("1/"&amp;data!A1996,"mmmm")</f>
        <v>juillet</v>
      </c>
      <c r="B1996">
        <f>data!B1996</f>
        <v>2016</v>
      </c>
      <c r="C1996" t="str">
        <f>data!C1996</f>
        <v>164</v>
      </c>
      <c r="D1996" t="str">
        <f>data!D1996</f>
        <v>CHATEAU JUPILLE</v>
      </c>
      <c r="E1996" t="str">
        <f>data!E1996</f>
        <v>164010</v>
      </c>
      <c r="F1996" t="str">
        <f>data!F1996</f>
        <v>AOP SAINT EMILION JUPILLE CARILLON</v>
      </c>
      <c r="G1996" s="10">
        <f>data!G1996</f>
        <v>361</v>
      </c>
      <c r="H1996" s="10">
        <f>data!I1996</f>
        <v>95</v>
      </c>
      <c r="I1996" s="10">
        <f t="shared" si="124"/>
        <v>266</v>
      </c>
      <c r="J1996" s="11">
        <f>data!H1996</f>
        <v>126.73</v>
      </c>
      <c r="K1996" s="11">
        <f>data!J1996</f>
        <v>33.35</v>
      </c>
      <c r="L1996" s="11">
        <f t="shared" si="125"/>
        <v>93.38</v>
      </c>
      <c r="M1996" s="9">
        <f t="shared" si="126"/>
        <v>2.8</v>
      </c>
      <c r="N1996" s="9">
        <f t="shared" si="127"/>
        <v>2.8</v>
      </c>
    </row>
    <row r="1997" spans="1:14" x14ac:dyDescent="0.25">
      <c r="A1997" t="str">
        <f>TEXT("1/"&amp;data!A1997,"mmmm")</f>
        <v>juillet</v>
      </c>
      <c r="B1997">
        <f>data!B1997</f>
        <v>2016</v>
      </c>
      <c r="C1997" t="str">
        <f>data!C1997</f>
        <v>168</v>
      </c>
      <c r="D1997" t="str">
        <f>data!D1997</f>
        <v>CHATEAU LA ROSE SARRON</v>
      </c>
      <c r="E1997" t="str">
        <f>data!E1997</f>
        <v>168001</v>
      </c>
      <c r="F1997" t="str">
        <f>data!F1997</f>
        <v>AC GRAVES CH LA ROSE SARRON</v>
      </c>
      <c r="G1997" s="10">
        <f>data!G1997</f>
        <v>984</v>
      </c>
      <c r="H1997" s="10">
        <f>data!I1997</f>
        <v>1464</v>
      </c>
      <c r="I1997" s="10">
        <f t="shared" si="124"/>
        <v>-480</v>
      </c>
      <c r="J1997" s="11">
        <f>data!H1997</f>
        <v>240</v>
      </c>
      <c r="K1997" s="11">
        <f>data!J1997</f>
        <v>372</v>
      </c>
      <c r="L1997" s="11">
        <f t="shared" si="125"/>
        <v>-132</v>
      </c>
      <c r="M1997" s="9">
        <f t="shared" si="126"/>
        <v>-0.32786885245901637</v>
      </c>
      <c r="N1997" s="9">
        <f t="shared" si="127"/>
        <v>-0.35483870967741937</v>
      </c>
    </row>
    <row r="1998" spans="1:14" x14ac:dyDescent="0.25">
      <c r="A1998" t="str">
        <f>TEXT("1/"&amp;data!A1998,"mmmm")</f>
        <v>juillet</v>
      </c>
      <c r="B1998">
        <f>data!B1998</f>
        <v>2016</v>
      </c>
      <c r="C1998" t="str">
        <f>data!C1998</f>
        <v>168</v>
      </c>
      <c r="D1998" t="str">
        <f>data!D1998</f>
        <v>CHATEAU LA ROSE SARRON</v>
      </c>
      <c r="E1998" t="str">
        <f>data!E1998</f>
        <v>168002</v>
      </c>
      <c r="F1998" t="str">
        <f>data!F1998</f>
        <v>AC GRAVES CH. LA ROSE SARRON</v>
      </c>
      <c r="G1998" s="10">
        <f>data!G1998</f>
        <v>62.1</v>
      </c>
      <c r="H1998" s="10">
        <f>data!I1998</f>
        <v>100.5</v>
      </c>
      <c r="I1998" s="10">
        <f t="shared" si="124"/>
        <v>-38.4</v>
      </c>
      <c r="J1998" s="11">
        <f>data!H1998</f>
        <v>24</v>
      </c>
      <c r="K1998" s="11">
        <f>data!J1998</f>
        <v>30</v>
      </c>
      <c r="L1998" s="11">
        <f t="shared" si="125"/>
        <v>-6</v>
      </c>
      <c r="M1998" s="9">
        <f t="shared" si="126"/>
        <v>-0.38208955223880597</v>
      </c>
      <c r="N1998" s="9">
        <f t="shared" si="127"/>
        <v>-0.2</v>
      </c>
    </row>
    <row r="1999" spans="1:14" x14ac:dyDescent="0.25">
      <c r="A1999" t="str">
        <f>TEXT("1/"&amp;data!A1999,"mmmm")</f>
        <v>juillet</v>
      </c>
      <c r="B1999">
        <f>data!B1999</f>
        <v>2016</v>
      </c>
      <c r="C1999" t="str">
        <f>data!C1999</f>
        <v>169</v>
      </c>
      <c r="D1999" t="str">
        <f>data!D1999</f>
        <v>CHATEAU PERREAU BEL AIR</v>
      </c>
      <c r="E1999" t="str">
        <f>data!E1999</f>
        <v>169001</v>
      </c>
      <c r="F1999" t="str">
        <f>data!F1999</f>
        <v>AC COTES DE CASTILLON CH PERREAU BEL AIR</v>
      </c>
      <c r="G1999" s="10">
        <f>data!G1999</f>
        <v>1333.4</v>
      </c>
      <c r="H1999" s="10">
        <f>data!I1999</f>
        <v>1792.2</v>
      </c>
      <c r="I1999" s="10">
        <f t="shared" si="124"/>
        <v>-458.79999999999995</v>
      </c>
      <c r="J1999" s="11">
        <f>data!H1999</f>
        <v>452</v>
      </c>
      <c r="K1999" s="11">
        <f>data!J1999</f>
        <v>630</v>
      </c>
      <c r="L1999" s="11">
        <f t="shared" si="125"/>
        <v>-178</v>
      </c>
      <c r="M1999" s="9">
        <f t="shared" si="126"/>
        <v>-0.25599821448499049</v>
      </c>
      <c r="N1999" s="9">
        <f t="shared" si="127"/>
        <v>-0.28253968253968254</v>
      </c>
    </row>
    <row r="2000" spans="1:14" x14ac:dyDescent="0.25">
      <c r="A2000" t="str">
        <f>TEXT("1/"&amp;data!A2000,"mmmm")</f>
        <v>juillet</v>
      </c>
      <c r="B2000">
        <f>data!B2000</f>
        <v>2016</v>
      </c>
      <c r="C2000" t="str">
        <f>data!C2000</f>
        <v>169</v>
      </c>
      <c r="D2000" t="str">
        <f>data!D2000</f>
        <v>CHATEAU PERREAU BEL AIR</v>
      </c>
      <c r="E2000" t="str">
        <f>data!E2000</f>
        <v>169002</v>
      </c>
      <c r="F2000" t="str">
        <f>data!F2000</f>
        <v>AC BORDEAUX SUPERIEUR CHATEAU MESSAYA</v>
      </c>
      <c r="G2000" s="10">
        <f>data!G2000</f>
        <v>1096.68</v>
      </c>
      <c r="H2000" s="10">
        <f>data!I2000</f>
        <v>1045.44</v>
      </c>
      <c r="I2000" s="10">
        <f t="shared" si="124"/>
        <v>51.240000000000009</v>
      </c>
      <c r="J2000" s="11">
        <f>data!H2000</f>
        <v>444</v>
      </c>
      <c r="K2000" s="11">
        <f>data!J2000</f>
        <v>438</v>
      </c>
      <c r="L2000" s="11">
        <f t="shared" si="125"/>
        <v>6</v>
      </c>
      <c r="M2000" s="9">
        <f t="shared" si="126"/>
        <v>4.9012855831037656E-2</v>
      </c>
      <c r="N2000" s="9">
        <f t="shared" si="127"/>
        <v>1.3698630136986301E-2</v>
      </c>
    </row>
    <row r="2001" spans="1:14" x14ac:dyDescent="0.25">
      <c r="A2001" t="str">
        <f>TEXT("1/"&amp;data!A2001,"mmmm")</f>
        <v>juillet</v>
      </c>
      <c r="B2001">
        <f>data!B2001</f>
        <v>2016</v>
      </c>
      <c r="C2001" t="str">
        <f>data!C2001</f>
        <v>169</v>
      </c>
      <c r="D2001" t="str">
        <f>data!D2001</f>
        <v>CHATEAU PERREAU BEL AIR</v>
      </c>
      <c r="E2001" t="str">
        <f>data!E2001</f>
        <v>169009</v>
      </c>
      <c r="F2001" t="str">
        <f>data!F2001</f>
        <v>AOP COTES DE BORDEAUX LES HAUTS DE PERREAU BEL AIR</v>
      </c>
      <c r="G2001" s="10">
        <f>data!G2001</f>
        <v>721.5</v>
      </c>
      <c r="H2001" s="10">
        <f>data!I2001</f>
        <v>1350.5</v>
      </c>
      <c r="I2001" s="10">
        <f t="shared" si="124"/>
        <v>-629</v>
      </c>
      <c r="J2001" s="11">
        <f>data!H2001</f>
        <v>519.87</v>
      </c>
      <c r="K2001" s="11">
        <f>data!J2001</f>
        <v>973.09</v>
      </c>
      <c r="L2001" s="11">
        <f t="shared" si="125"/>
        <v>-453.22</v>
      </c>
      <c r="M2001" s="9">
        <f t="shared" si="126"/>
        <v>-0.46575342465753422</v>
      </c>
      <c r="N2001" s="9">
        <f t="shared" si="127"/>
        <v>-0.46575342465753428</v>
      </c>
    </row>
    <row r="2002" spans="1:14" x14ac:dyDescent="0.25">
      <c r="A2002" t="str">
        <f>TEXT("1/"&amp;data!A2002,"mmmm")</f>
        <v>juillet</v>
      </c>
      <c r="B2002">
        <f>data!B2002</f>
        <v>2016</v>
      </c>
      <c r="C2002" t="str">
        <f>data!C2002</f>
        <v>169</v>
      </c>
      <c r="D2002" t="str">
        <f>data!D2002</f>
        <v>CHATEAU PERREAU BEL AIR</v>
      </c>
      <c r="E2002" t="str">
        <f>data!E2002</f>
        <v>169010</v>
      </c>
      <c r="F2002" t="str">
        <f>data!F2002</f>
        <v>AOP COTES DE BORDEAUX LES HAUTS DE PERREAU BEL AIR</v>
      </c>
      <c r="G2002" s="10">
        <f>data!G2002</f>
        <v>262.5</v>
      </c>
      <c r="H2002" s="10">
        <f>data!I2002</f>
        <v>1396.5</v>
      </c>
      <c r="I2002" s="10">
        <f t="shared" si="124"/>
        <v>-1134</v>
      </c>
      <c r="J2002" s="11">
        <f>data!H2002</f>
        <v>166.75</v>
      </c>
      <c r="K2002" s="11">
        <f>data!J2002</f>
        <v>907.12</v>
      </c>
      <c r="L2002" s="11">
        <f t="shared" si="125"/>
        <v>-740.37</v>
      </c>
      <c r="M2002" s="9">
        <f t="shared" si="126"/>
        <v>-0.81203007518796988</v>
      </c>
      <c r="N2002" s="9">
        <f t="shared" si="127"/>
        <v>-0.81617647058823528</v>
      </c>
    </row>
    <row r="2003" spans="1:14" x14ac:dyDescent="0.25">
      <c r="A2003" t="str">
        <f>TEXT("1/"&amp;data!A2003,"mmmm")</f>
        <v>juillet</v>
      </c>
      <c r="B2003">
        <f>data!B2003</f>
        <v>2016</v>
      </c>
      <c r="C2003" t="str">
        <f>data!C2003</f>
        <v>169</v>
      </c>
      <c r="D2003" t="str">
        <f>data!D2003</f>
        <v>CHATEAU PERREAU BEL AIR</v>
      </c>
      <c r="E2003" t="str">
        <f>data!E2003</f>
        <v>169011</v>
      </c>
      <c r="F2003" t="str">
        <f>data!F2003</f>
        <v>CHATEAU DE L'AUZE BERGERAC BLANC</v>
      </c>
      <c r="G2003" s="10">
        <f>data!G2003</f>
        <v>150</v>
      </c>
      <c r="H2003" s="10">
        <f>data!I2003</f>
        <v>0</v>
      </c>
      <c r="I2003" s="10">
        <f t="shared" si="124"/>
        <v>150</v>
      </c>
      <c r="J2003" s="11">
        <f>data!H2003</f>
        <v>60</v>
      </c>
      <c r="K2003" s="11">
        <f>data!J2003</f>
        <v>0</v>
      </c>
      <c r="L2003" s="11">
        <f t="shared" si="125"/>
        <v>60</v>
      </c>
      <c r="M2003" s="9" t="str">
        <f t="shared" si="126"/>
        <v/>
      </c>
      <c r="N2003" s="9" t="str">
        <f t="shared" si="127"/>
        <v/>
      </c>
    </row>
    <row r="2004" spans="1:14" x14ac:dyDescent="0.25">
      <c r="A2004" t="str">
        <f>TEXT("1/"&amp;data!A2004,"mmmm")</f>
        <v>juillet</v>
      </c>
      <c r="B2004">
        <f>data!B2004</f>
        <v>2016</v>
      </c>
      <c r="C2004" t="str">
        <f>data!C2004</f>
        <v>174</v>
      </c>
      <c r="D2004" t="str">
        <f>data!D2004</f>
        <v>SAS VIGNOBLES DES 3 CHATEAUX</v>
      </c>
      <c r="E2004" t="str">
        <f>data!E2004</f>
        <v>174001</v>
      </c>
      <c r="F2004" t="str">
        <f>data!F2004</f>
        <v>AC PIC SAINT LOUP LES DEESSES MUETTES EMOTION</v>
      </c>
      <c r="G2004" s="10">
        <f>data!G2004</f>
        <v>2075.7600000000002</v>
      </c>
      <c r="H2004" s="10">
        <f>data!I2004</f>
        <v>1406.16</v>
      </c>
      <c r="I2004" s="10">
        <f t="shared" si="124"/>
        <v>669.60000000000014</v>
      </c>
      <c r="J2004" s="11">
        <f>data!H2004</f>
        <v>564</v>
      </c>
      <c r="K2004" s="11">
        <f>data!J2004</f>
        <v>378</v>
      </c>
      <c r="L2004" s="11">
        <f t="shared" si="125"/>
        <v>186</v>
      </c>
      <c r="M2004" s="9">
        <f t="shared" si="126"/>
        <v>0.47619047619047628</v>
      </c>
      <c r="N2004" s="9">
        <f t="shared" si="127"/>
        <v>0.49206349206349204</v>
      </c>
    </row>
    <row r="2005" spans="1:14" x14ac:dyDescent="0.25">
      <c r="A2005" t="str">
        <f>TEXT("1/"&amp;data!A2005,"mmmm")</f>
        <v>juillet</v>
      </c>
      <c r="B2005">
        <f>data!B2005</f>
        <v>2016</v>
      </c>
      <c r="C2005" t="str">
        <f>data!C2005</f>
        <v>174</v>
      </c>
      <c r="D2005" t="str">
        <f>data!D2005</f>
        <v>SAS VIGNOBLES DES 3 CHATEAUX</v>
      </c>
      <c r="E2005" t="str">
        <f>data!E2005</f>
        <v>174002</v>
      </c>
      <c r="F2005" t="str">
        <f>data!F2005</f>
        <v>AC PIC SAINT LOUP CUVEE SPECIALE VIEILLI FUT DE CH</v>
      </c>
      <c r="G2005" s="10">
        <f>data!G2005</f>
        <v>334.8</v>
      </c>
      <c r="H2005" s="10">
        <f>data!I2005</f>
        <v>257.04000000000002</v>
      </c>
      <c r="I2005" s="10">
        <f t="shared" si="124"/>
        <v>77.759999999999991</v>
      </c>
      <c r="J2005" s="11">
        <f>data!H2005</f>
        <v>54</v>
      </c>
      <c r="K2005" s="11">
        <f>data!J2005</f>
        <v>42</v>
      </c>
      <c r="L2005" s="11">
        <f t="shared" si="125"/>
        <v>12</v>
      </c>
      <c r="M2005" s="9">
        <f t="shared" si="126"/>
        <v>0.30252100840336127</v>
      </c>
      <c r="N2005" s="9">
        <f t="shared" si="127"/>
        <v>0.2857142857142857</v>
      </c>
    </row>
    <row r="2006" spans="1:14" x14ac:dyDescent="0.25">
      <c r="A2006" t="str">
        <f>TEXT("1/"&amp;data!A2006,"mmmm")</f>
        <v>juillet</v>
      </c>
      <c r="B2006">
        <f>data!B2006</f>
        <v>2016</v>
      </c>
      <c r="C2006" t="str">
        <f>data!C2006</f>
        <v>174</v>
      </c>
      <c r="D2006" t="str">
        <f>data!D2006</f>
        <v>SAS VIGNOBLES DES 3 CHATEAUX</v>
      </c>
      <c r="E2006" t="str">
        <f>data!E2006</f>
        <v>174003</v>
      </c>
      <c r="F2006" t="str">
        <f>data!F2006</f>
        <v>IGP CARIGNAN - PETIT LOUP</v>
      </c>
      <c r="G2006" s="10">
        <f>data!G2006</f>
        <v>1208.4000000000001</v>
      </c>
      <c r="H2006" s="10">
        <f>data!I2006</f>
        <v>216.24</v>
      </c>
      <c r="I2006" s="10">
        <f t="shared" si="124"/>
        <v>992.16000000000008</v>
      </c>
      <c r="J2006" s="11">
        <f>data!H2006</f>
        <v>570</v>
      </c>
      <c r="K2006" s="11">
        <f>data!J2006</f>
        <v>102</v>
      </c>
      <c r="L2006" s="11">
        <f t="shared" si="125"/>
        <v>468</v>
      </c>
      <c r="M2006" s="9">
        <f t="shared" si="126"/>
        <v>4.5882352941176476</v>
      </c>
      <c r="N2006" s="9">
        <f t="shared" si="127"/>
        <v>4.5882352941176467</v>
      </c>
    </row>
    <row r="2007" spans="1:14" x14ac:dyDescent="0.25">
      <c r="A2007" t="str">
        <f>TEXT("1/"&amp;data!A2007,"mmmm")</f>
        <v>juillet</v>
      </c>
      <c r="B2007">
        <f>data!B2007</f>
        <v>2016</v>
      </c>
      <c r="C2007" t="str">
        <f>data!C2007</f>
        <v>174</v>
      </c>
      <c r="D2007" t="str">
        <f>data!D2007</f>
        <v>SAS VIGNOBLES DES 3 CHATEAUX</v>
      </c>
      <c r="E2007" t="str">
        <f>data!E2007</f>
        <v>174005</v>
      </c>
      <c r="F2007" t="str">
        <f>data!F2007</f>
        <v>IGP PAYS D'OC LES SARDINES</v>
      </c>
      <c r="G2007" s="10">
        <f>data!G2007</f>
        <v>1392.6</v>
      </c>
      <c r="H2007" s="10">
        <f>data!I2007</f>
        <v>0</v>
      </c>
      <c r="I2007" s="10">
        <f t="shared" si="124"/>
        <v>1392.6</v>
      </c>
      <c r="J2007" s="11">
        <f>data!H2007</f>
        <v>678</v>
      </c>
      <c r="K2007" s="11">
        <f>data!J2007</f>
        <v>0</v>
      </c>
      <c r="L2007" s="11">
        <f t="shared" si="125"/>
        <v>678</v>
      </c>
      <c r="M2007" s="9" t="str">
        <f t="shared" si="126"/>
        <v/>
      </c>
      <c r="N2007" s="9" t="str">
        <f t="shared" si="127"/>
        <v/>
      </c>
    </row>
    <row r="2008" spans="1:14" x14ac:dyDescent="0.25">
      <c r="A2008" t="str">
        <f>TEXT("1/"&amp;data!A2008,"mmmm")</f>
        <v>juillet</v>
      </c>
      <c r="B2008">
        <f>data!B2008</f>
        <v>2016</v>
      </c>
      <c r="C2008" t="str">
        <f>data!C2008</f>
        <v>174</v>
      </c>
      <c r="D2008" t="str">
        <f>data!D2008</f>
        <v>SAS VIGNOBLES DES 3 CHATEAUX</v>
      </c>
      <c r="E2008" t="str">
        <f>data!E2008</f>
        <v>174006</v>
      </c>
      <c r="F2008" t="str">
        <f>data!F2008</f>
        <v>IGP PAYS D'OC LES SARDINES</v>
      </c>
      <c r="G2008" s="10">
        <f>data!G2008</f>
        <v>1669.8</v>
      </c>
      <c r="H2008" s="10">
        <f>data!I2008</f>
        <v>0</v>
      </c>
      <c r="I2008" s="10">
        <f t="shared" si="124"/>
        <v>1669.8</v>
      </c>
      <c r="J2008" s="11">
        <f>data!H2008</f>
        <v>804</v>
      </c>
      <c r="K2008" s="11">
        <f>data!J2008</f>
        <v>0</v>
      </c>
      <c r="L2008" s="11">
        <f t="shared" si="125"/>
        <v>804</v>
      </c>
      <c r="M2008" s="9" t="str">
        <f t="shared" si="126"/>
        <v/>
      </c>
      <c r="N2008" s="9" t="str">
        <f t="shared" si="127"/>
        <v/>
      </c>
    </row>
    <row r="2009" spans="1:14" x14ac:dyDescent="0.25">
      <c r="A2009" t="str">
        <f>TEXT("1/"&amp;data!A2009,"mmmm")</f>
        <v>juillet</v>
      </c>
      <c r="B2009">
        <f>data!B2009</f>
        <v>2016</v>
      </c>
      <c r="C2009" t="str">
        <f>data!C2009</f>
        <v>174</v>
      </c>
      <c r="D2009" t="str">
        <f>data!D2009</f>
        <v>SAS VIGNOBLES DES 3 CHATEAUX</v>
      </c>
      <c r="E2009" t="str">
        <f>data!E2009</f>
        <v>174007</v>
      </c>
      <c r="F2009" t="str">
        <f>data!F2009</f>
        <v>IGP PAYS D'OC LES SARDINES</v>
      </c>
      <c r="G2009" s="10">
        <f>data!G2009</f>
        <v>1589.3</v>
      </c>
      <c r="H2009" s="10">
        <f>data!I2009</f>
        <v>0</v>
      </c>
      <c r="I2009" s="10">
        <f t="shared" si="124"/>
        <v>1589.3</v>
      </c>
      <c r="J2009" s="11">
        <f>data!H2009</f>
        <v>708</v>
      </c>
      <c r="K2009" s="11">
        <f>data!J2009</f>
        <v>0</v>
      </c>
      <c r="L2009" s="11">
        <f t="shared" si="125"/>
        <v>708</v>
      </c>
      <c r="M2009" s="9" t="str">
        <f t="shared" si="126"/>
        <v/>
      </c>
      <c r="N2009" s="9" t="str">
        <f t="shared" si="127"/>
        <v/>
      </c>
    </row>
    <row r="2010" spans="1:14" x14ac:dyDescent="0.25">
      <c r="A2010" t="str">
        <f>TEXT("1/"&amp;data!A2010,"mmmm")</f>
        <v>juillet</v>
      </c>
      <c r="B2010">
        <f>data!B2010</f>
        <v>2016</v>
      </c>
      <c r="C2010" t="str">
        <f>data!C2010</f>
        <v>174</v>
      </c>
      <c r="D2010" t="str">
        <f>data!D2010</f>
        <v>SAS VIGNOBLES DES 3 CHATEAUX</v>
      </c>
      <c r="E2010" t="str">
        <f>data!E2010</f>
        <v>174010</v>
      </c>
      <c r="F2010" t="str">
        <f>data!F2010</f>
        <v>IGP OC MERLOT CABERNET TERROIR DES CIGALES</v>
      </c>
      <c r="G2010" s="10">
        <f>data!G2010</f>
        <v>1112.2</v>
      </c>
      <c r="H2010" s="10">
        <f>data!I2010</f>
        <v>1649.2</v>
      </c>
      <c r="I2010" s="10">
        <f t="shared" si="124"/>
        <v>-537</v>
      </c>
      <c r="J2010" s="11">
        <f>data!H2010</f>
        <v>1106.3900000000001</v>
      </c>
      <c r="K2010" s="11">
        <f>data!J2010</f>
        <v>1652.92</v>
      </c>
      <c r="L2010" s="11">
        <f t="shared" si="125"/>
        <v>-546.53</v>
      </c>
      <c r="M2010" s="9">
        <f t="shared" si="126"/>
        <v>-0.32561241814212949</v>
      </c>
      <c r="N2010" s="9">
        <f t="shared" si="127"/>
        <v>-0.33064516129032256</v>
      </c>
    </row>
    <row r="2011" spans="1:14" x14ac:dyDescent="0.25">
      <c r="A2011" t="str">
        <f>TEXT("1/"&amp;data!A2011,"mmmm")</f>
        <v>juillet</v>
      </c>
      <c r="B2011">
        <f>data!B2011</f>
        <v>2016</v>
      </c>
      <c r="C2011" t="str">
        <f>data!C2011</f>
        <v>174</v>
      </c>
      <c r="D2011" t="str">
        <f>data!D2011</f>
        <v>SAS VIGNOBLES DES 3 CHATEAUX</v>
      </c>
      <c r="E2011" t="str">
        <f>data!E2011</f>
        <v>174011</v>
      </c>
      <c r="F2011" t="str">
        <f>data!F2011</f>
        <v>IGP OC MERLOT CABERNET TERROIR DES CIGALES</v>
      </c>
      <c r="G2011" s="10">
        <f>data!G2011</f>
        <v>893.76</v>
      </c>
      <c r="H2011" s="10">
        <f>data!I2011</f>
        <v>919.22</v>
      </c>
      <c r="I2011" s="10">
        <f t="shared" si="124"/>
        <v>-25.460000000000036</v>
      </c>
      <c r="J2011" s="11">
        <f>data!H2011</f>
        <v>780.39</v>
      </c>
      <c r="K2011" s="11">
        <f>data!J2011</f>
        <v>793.73</v>
      </c>
      <c r="L2011" s="11">
        <f t="shared" si="125"/>
        <v>-13.340000000000032</v>
      </c>
      <c r="M2011" s="9">
        <f t="shared" si="126"/>
        <v>-2.7697395618024017E-2</v>
      </c>
      <c r="N2011" s="9">
        <f t="shared" si="127"/>
        <v>-1.6806722689075671E-2</v>
      </c>
    </row>
    <row r="2012" spans="1:14" x14ac:dyDescent="0.25">
      <c r="A2012" t="str">
        <f>TEXT("1/"&amp;data!A2012,"mmmm")</f>
        <v>juillet</v>
      </c>
      <c r="B2012">
        <f>data!B2012</f>
        <v>2016</v>
      </c>
      <c r="C2012" t="str">
        <f>data!C2012</f>
        <v>174</v>
      </c>
      <c r="D2012" t="str">
        <f>data!D2012</f>
        <v>SAS VIGNOBLES DES 3 CHATEAUX</v>
      </c>
      <c r="E2012" t="str">
        <f>data!E2012</f>
        <v>174015</v>
      </c>
      <c r="F2012" t="str">
        <f>data!F2012</f>
        <v>IGP OC CHARDONNAY LES CITELLES</v>
      </c>
      <c r="G2012" s="10">
        <f>data!G2012</f>
        <v>333.45</v>
      </c>
      <c r="H2012" s="10">
        <f>data!I2012</f>
        <v>333.45</v>
      </c>
      <c r="I2012" s="10">
        <f t="shared" si="124"/>
        <v>0</v>
      </c>
      <c r="J2012" s="11">
        <f>data!H2012</f>
        <v>266.60000000000002</v>
      </c>
      <c r="K2012" s="11">
        <f>data!J2012</f>
        <v>253.27</v>
      </c>
      <c r="L2012" s="11">
        <f t="shared" si="125"/>
        <v>13.330000000000013</v>
      </c>
      <c r="M2012" s="9">
        <f t="shared" si="126"/>
        <v>0</v>
      </c>
      <c r="N2012" s="9">
        <f t="shared" si="127"/>
        <v>5.2631578947368467E-2</v>
      </c>
    </row>
    <row r="2013" spans="1:14" x14ac:dyDescent="0.25">
      <c r="A2013" t="str">
        <f>TEXT("1/"&amp;data!A2013,"mmmm")</f>
        <v>juillet</v>
      </c>
      <c r="B2013">
        <f>data!B2013</f>
        <v>2016</v>
      </c>
      <c r="C2013" t="str">
        <f>data!C2013</f>
        <v>174</v>
      </c>
      <c r="D2013" t="str">
        <f>data!D2013</f>
        <v>SAS VIGNOBLES DES 3 CHATEAUX</v>
      </c>
      <c r="E2013" t="str">
        <f>data!E2013</f>
        <v>174016</v>
      </c>
      <c r="F2013" t="str">
        <f>data!F2013</f>
        <v>IGP OC CHARDONNAY LES CITELLES</v>
      </c>
      <c r="G2013" s="10">
        <f>data!G2013</f>
        <v>278.88</v>
      </c>
      <c r="H2013" s="10">
        <f>data!I2013</f>
        <v>1284.8399999999999</v>
      </c>
      <c r="I2013" s="10">
        <f t="shared" si="124"/>
        <v>-1005.9599999999999</v>
      </c>
      <c r="J2013" s="11">
        <f>data!H2013</f>
        <v>186.76</v>
      </c>
      <c r="K2013" s="11">
        <f>data!J2013</f>
        <v>860.43</v>
      </c>
      <c r="L2013" s="11">
        <f t="shared" si="125"/>
        <v>-673.67</v>
      </c>
      <c r="M2013" s="9">
        <f t="shared" si="126"/>
        <v>-0.78294573643410847</v>
      </c>
      <c r="N2013" s="9">
        <f t="shared" si="127"/>
        <v>-0.78294573643410847</v>
      </c>
    </row>
    <row r="2014" spans="1:14" x14ac:dyDescent="0.25">
      <c r="A2014" t="str">
        <f>TEXT("1/"&amp;data!A2014,"mmmm")</f>
        <v>juillet</v>
      </c>
      <c r="B2014">
        <f>data!B2014</f>
        <v>2016</v>
      </c>
      <c r="C2014" t="str">
        <f>data!C2014</f>
        <v>175</v>
      </c>
      <c r="D2014" t="str">
        <f>data!D2014</f>
        <v>SARL MAISON PERE &amp; FILS</v>
      </c>
      <c r="E2014" t="str">
        <f>data!E2014</f>
        <v>175001</v>
      </c>
      <c r="F2014" t="str">
        <f>data!F2014</f>
        <v>AC CHEVERNY DME MAISON</v>
      </c>
      <c r="G2014" s="10">
        <f>data!G2014</f>
        <v>540</v>
      </c>
      <c r="H2014" s="10">
        <f>data!I2014</f>
        <v>421.8</v>
      </c>
      <c r="I2014" s="10">
        <f t="shared" si="124"/>
        <v>118.19999999999999</v>
      </c>
      <c r="J2014" s="11">
        <f>data!H2014</f>
        <v>144</v>
      </c>
      <c r="K2014" s="11">
        <f>data!J2014</f>
        <v>114</v>
      </c>
      <c r="L2014" s="11">
        <f t="shared" si="125"/>
        <v>30</v>
      </c>
      <c r="M2014" s="9">
        <f t="shared" si="126"/>
        <v>0.28022759601706965</v>
      </c>
      <c r="N2014" s="9">
        <f t="shared" si="127"/>
        <v>0.26315789473684209</v>
      </c>
    </row>
    <row r="2015" spans="1:14" x14ac:dyDescent="0.25">
      <c r="A2015" t="str">
        <f>TEXT("1/"&amp;data!A2015,"mmmm")</f>
        <v>juillet</v>
      </c>
      <c r="B2015">
        <f>data!B2015</f>
        <v>2016</v>
      </c>
      <c r="C2015" t="str">
        <f>data!C2015</f>
        <v>175</v>
      </c>
      <c r="D2015" t="str">
        <f>data!D2015</f>
        <v>SARL MAISON PERE &amp; FILS</v>
      </c>
      <c r="E2015" t="str">
        <f>data!E2015</f>
        <v>175002</v>
      </c>
      <c r="F2015" t="str">
        <f>data!F2015</f>
        <v>AC CHEVERNY DME MAISON</v>
      </c>
      <c r="G2015" s="10">
        <f>data!G2015</f>
        <v>225</v>
      </c>
      <c r="H2015" s="10">
        <f>data!I2015</f>
        <v>0</v>
      </c>
      <c r="I2015" s="10">
        <f t="shared" si="124"/>
        <v>225</v>
      </c>
      <c r="J2015" s="11">
        <f>data!H2015</f>
        <v>60</v>
      </c>
      <c r="K2015" s="11">
        <f>data!J2015</f>
        <v>0</v>
      </c>
      <c r="L2015" s="11">
        <f t="shared" si="125"/>
        <v>60</v>
      </c>
      <c r="M2015" s="9" t="str">
        <f t="shared" si="126"/>
        <v/>
      </c>
      <c r="N2015" s="9" t="str">
        <f t="shared" si="127"/>
        <v/>
      </c>
    </row>
    <row r="2016" spans="1:14" x14ac:dyDescent="0.25">
      <c r="A2016" t="str">
        <f>TEXT("1/"&amp;data!A2016,"mmmm")</f>
        <v>juillet</v>
      </c>
      <c r="B2016">
        <f>data!B2016</f>
        <v>2016</v>
      </c>
      <c r="C2016" t="str">
        <f>data!C2016</f>
        <v>199</v>
      </c>
      <c r="D2016" t="str">
        <f>data!D2016</f>
        <v>PRIEURE SAINT JEAN DE BEBIAN</v>
      </c>
      <c r="E2016" t="str">
        <f>data!E2016</f>
        <v>199001</v>
      </c>
      <c r="F2016" t="str">
        <f>data!F2016</f>
        <v>AC COTEAUX DU LANGUEDOC CHAPELLE</v>
      </c>
      <c r="G2016" s="10">
        <f>data!G2016</f>
        <v>643.20000000000005</v>
      </c>
      <c r="H2016" s="10">
        <f>data!I2016</f>
        <v>520.79999999999995</v>
      </c>
      <c r="I2016" s="10">
        <f t="shared" si="124"/>
        <v>122.40000000000009</v>
      </c>
      <c r="J2016" s="11">
        <f>data!H2016</f>
        <v>96</v>
      </c>
      <c r="K2016" s="11">
        <f>data!J2016</f>
        <v>84</v>
      </c>
      <c r="L2016" s="11">
        <f t="shared" si="125"/>
        <v>12</v>
      </c>
      <c r="M2016" s="9">
        <f t="shared" si="126"/>
        <v>0.23502304147465458</v>
      </c>
      <c r="N2016" s="9">
        <f t="shared" si="127"/>
        <v>0.14285714285714285</v>
      </c>
    </row>
    <row r="2017" spans="1:14" x14ac:dyDescent="0.25">
      <c r="A2017" t="str">
        <f>TEXT("1/"&amp;data!A2017,"mmmm")</f>
        <v>juillet</v>
      </c>
      <c r="B2017">
        <f>data!B2017</f>
        <v>2016</v>
      </c>
      <c r="C2017" t="str">
        <f>data!C2017</f>
        <v>199</v>
      </c>
      <c r="D2017" t="str">
        <f>data!D2017</f>
        <v>PRIEURE SAINT JEAN DE BEBIAN</v>
      </c>
      <c r="E2017" t="str">
        <f>data!E2017</f>
        <v>199002</v>
      </c>
      <c r="F2017" t="str">
        <f>data!F2017</f>
        <v>AC COTEAUX DU LANGUEDOC PRIEURE ST JEAN</v>
      </c>
      <c r="G2017" s="10">
        <f>data!G2017</f>
        <v>489.6</v>
      </c>
      <c r="H2017" s="10">
        <f>data!I2017</f>
        <v>78</v>
      </c>
      <c r="I2017" s="10">
        <f t="shared" si="124"/>
        <v>411.6</v>
      </c>
      <c r="J2017" s="11">
        <f>data!H2017</f>
        <v>36</v>
      </c>
      <c r="K2017" s="11">
        <f>data!J2017</f>
        <v>6</v>
      </c>
      <c r="L2017" s="11">
        <f t="shared" si="125"/>
        <v>30</v>
      </c>
      <c r="M2017" s="9">
        <f t="shared" si="126"/>
        <v>5.2769230769230768</v>
      </c>
      <c r="N2017" s="9">
        <f t="shared" si="127"/>
        <v>5</v>
      </c>
    </row>
    <row r="2018" spans="1:14" x14ac:dyDescent="0.25">
      <c r="A2018" t="str">
        <f>TEXT("1/"&amp;data!A2018,"mmmm")</f>
        <v>juillet</v>
      </c>
      <c r="B2018">
        <f>data!B2018</f>
        <v>2016</v>
      </c>
      <c r="C2018" t="str">
        <f>data!C2018</f>
        <v>199</v>
      </c>
      <c r="D2018" t="str">
        <f>data!D2018</f>
        <v>PRIEURE SAINT JEAN DE BEBIAN</v>
      </c>
      <c r="E2018" t="str">
        <f>data!E2018</f>
        <v>199003</v>
      </c>
      <c r="F2018" t="str">
        <f>data!F2018</f>
        <v>AC COTEAUX DU LANGUEDOC LA CROIX DE BEBIAN</v>
      </c>
      <c r="G2018" s="10">
        <f>data!G2018</f>
        <v>470.4</v>
      </c>
      <c r="H2018" s="10">
        <f>data!I2018</f>
        <v>554.4</v>
      </c>
      <c r="I2018" s="10">
        <f t="shared" si="124"/>
        <v>-84</v>
      </c>
      <c r="J2018" s="11">
        <f>data!H2018</f>
        <v>132</v>
      </c>
      <c r="K2018" s="11">
        <f>data!J2018</f>
        <v>138</v>
      </c>
      <c r="L2018" s="11">
        <f t="shared" si="125"/>
        <v>-6</v>
      </c>
      <c r="M2018" s="9">
        <f t="shared" si="126"/>
        <v>-0.15151515151515152</v>
      </c>
      <c r="N2018" s="9">
        <f t="shared" si="127"/>
        <v>-4.3478260869565216E-2</v>
      </c>
    </row>
    <row r="2019" spans="1:14" x14ac:dyDescent="0.25">
      <c r="A2019" t="str">
        <f>TEXT("1/"&amp;data!A2019,"mmmm")</f>
        <v>juillet</v>
      </c>
      <c r="B2019">
        <f>data!B2019</f>
        <v>2016</v>
      </c>
      <c r="C2019" t="str">
        <f>data!C2019</f>
        <v>201</v>
      </c>
      <c r="D2019" t="str">
        <f>data!D2019</f>
        <v>CAVE LES COTEAUX DU RHONE</v>
      </c>
      <c r="E2019" t="str">
        <f>data!E2019</f>
        <v>201001</v>
      </c>
      <c r="F2019" t="str">
        <f>data!F2019</f>
        <v>IGP VAUCLUSE D'ORANGE CAVE LES COTEAUX DU RHONE</v>
      </c>
      <c r="G2019" s="10">
        <f>data!G2019</f>
        <v>206.55</v>
      </c>
      <c r="H2019" s="10">
        <f>data!I2019</f>
        <v>813.2</v>
      </c>
      <c r="I2019" s="10">
        <f t="shared" si="124"/>
        <v>-606.65000000000009</v>
      </c>
      <c r="J2019" s="11">
        <f>data!H2019</f>
        <v>200.1</v>
      </c>
      <c r="K2019" s="11">
        <f>data!J2019</f>
        <v>713.68999999999994</v>
      </c>
      <c r="L2019" s="11">
        <f t="shared" si="125"/>
        <v>-513.58999999999992</v>
      </c>
      <c r="M2019" s="9">
        <f t="shared" si="126"/>
        <v>-0.74600344318740786</v>
      </c>
      <c r="N2019" s="9">
        <f t="shared" si="127"/>
        <v>-0.71962616822429903</v>
      </c>
    </row>
    <row r="2020" spans="1:14" x14ac:dyDescent="0.25">
      <c r="A2020" t="str">
        <f>TEXT("1/"&amp;data!A2020,"mmmm")</f>
        <v>juillet</v>
      </c>
      <c r="B2020">
        <f>data!B2020</f>
        <v>2016</v>
      </c>
      <c r="C2020" t="str">
        <f>data!C2020</f>
        <v>201</v>
      </c>
      <c r="D2020" t="str">
        <f>data!D2020</f>
        <v>CAVE LES COTEAUX DU RHONE</v>
      </c>
      <c r="E2020" t="str">
        <f>data!E2020</f>
        <v>201002</v>
      </c>
      <c r="F2020" t="str">
        <f>data!F2020</f>
        <v>IGP VAUCLUSE D'ORANGE CAVE LES COTEAUX DU RHONE</v>
      </c>
      <c r="G2020" s="10">
        <f>data!G2020</f>
        <v>467.25</v>
      </c>
      <c r="H2020" s="10">
        <f>data!I2020</f>
        <v>2226</v>
      </c>
      <c r="I2020" s="10">
        <f t="shared" si="124"/>
        <v>-1758.75</v>
      </c>
      <c r="J2020" s="11">
        <f>data!H2020</f>
        <v>479.88</v>
      </c>
      <c r="K2020" s="11">
        <f>data!J2020</f>
        <v>2239.44</v>
      </c>
      <c r="L2020" s="11">
        <f t="shared" si="125"/>
        <v>-1759.56</v>
      </c>
      <c r="M2020" s="9">
        <f t="shared" si="126"/>
        <v>-0.79009433962264153</v>
      </c>
      <c r="N2020" s="9">
        <f t="shared" si="127"/>
        <v>-0.7857142857142857</v>
      </c>
    </row>
    <row r="2021" spans="1:14" x14ac:dyDescent="0.25">
      <c r="A2021" t="str">
        <f>TEXT("1/"&amp;data!A2021,"mmmm")</f>
        <v>juillet</v>
      </c>
      <c r="B2021">
        <f>data!B2021</f>
        <v>2016</v>
      </c>
      <c r="C2021" t="str">
        <f>data!C2021</f>
        <v>201</v>
      </c>
      <c r="D2021" t="str">
        <f>data!D2021</f>
        <v>CAVE LES COTEAUX DU RHONE</v>
      </c>
      <c r="E2021" t="str">
        <f>data!E2021</f>
        <v>201003</v>
      </c>
      <c r="F2021" t="str">
        <f>data!F2021</f>
        <v>IGP MEDITERRANEE LES COTEAUX DU RHONE</v>
      </c>
      <c r="G2021" s="10">
        <f>data!G2021</f>
        <v>1415.25</v>
      </c>
      <c r="H2021" s="10">
        <f>data!I2021</f>
        <v>1808.8</v>
      </c>
      <c r="I2021" s="10">
        <f t="shared" si="124"/>
        <v>-393.54999999999995</v>
      </c>
      <c r="J2021" s="11">
        <f>data!H2021</f>
        <v>1293.98</v>
      </c>
      <c r="K2021" s="11">
        <f>data!J2021</f>
        <v>1594.1299999999999</v>
      </c>
      <c r="L2021" s="11">
        <f t="shared" si="125"/>
        <v>-300.14999999999986</v>
      </c>
      <c r="M2021" s="9">
        <f t="shared" si="126"/>
        <v>-0.21757518796992478</v>
      </c>
      <c r="N2021" s="9">
        <f t="shared" si="127"/>
        <v>-0.18828451882845182</v>
      </c>
    </row>
    <row r="2022" spans="1:14" x14ac:dyDescent="0.25">
      <c r="A2022" t="str">
        <f>TEXT("1/"&amp;data!A2022,"mmmm")</f>
        <v>juillet</v>
      </c>
      <c r="B2022">
        <f>data!B2022</f>
        <v>2016</v>
      </c>
      <c r="C2022" t="str">
        <f>data!C2022</f>
        <v>201</v>
      </c>
      <c r="D2022" t="str">
        <f>data!D2022</f>
        <v>CAVE LES COTEAUX DU RHONE</v>
      </c>
      <c r="E2022" t="str">
        <f>data!E2022</f>
        <v>201004</v>
      </c>
      <c r="F2022" t="str">
        <f>data!F2022</f>
        <v>IGP MEDITERRANEE LES COTEAUX DU RHONE</v>
      </c>
      <c r="G2022" s="10">
        <f>data!G2022</f>
        <v>1628.7</v>
      </c>
      <c r="H2022" s="10">
        <f>data!I2022</f>
        <v>4783.25</v>
      </c>
      <c r="I2022" s="10">
        <f t="shared" si="124"/>
        <v>-3154.55</v>
      </c>
      <c r="J2022" s="11">
        <f>data!H2022</f>
        <v>1652.92</v>
      </c>
      <c r="K2022" s="11">
        <f>data!J2022</f>
        <v>4812.13</v>
      </c>
      <c r="L2022" s="11">
        <f t="shared" si="125"/>
        <v>-3159.21</v>
      </c>
      <c r="M2022" s="9">
        <f t="shared" si="126"/>
        <v>-0.65949929441279465</v>
      </c>
      <c r="N2022" s="9">
        <f t="shared" si="127"/>
        <v>-0.65650969529085867</v>
      </c>
    </row>
    <row r="2023" spans="1:14" x14ac:dyDescent="0.25">
      <c r="A2023" t="str">
        <f>TEXT("1/"&amp;data!A2023,"mmmm")</f>
        <v>juillet</v>
      </c>
      <c r="B2023">
        <f>data!B2023</f>
        <v>2016</v>
      </c>
      <c r="C2023" t="str">
        <f>data!C2023</f>
        <v>201</v>
      </c>
      <c r="D2023" t="str">
        <f>data!D2023</f>
        <v>CAVE LES COTEAUX DU RHONE</v>
      </c>
      <c r="E2023" t="str">
        <f>data!E2023</f>
        <v>201006</v>
      </c>
      <c r="F2023" t="str">
        <f>data!F2023</f>
        <v>AOP COTES DU RHONE MAGIE D'UNE TERRE</v>
      </c>
      <c r="G2023" s="10">
        <f>data!G2023</f>
        <v>840</v>
      </c>
      <c r="H2023" s="10">
        <f>data!I2023</f>
        <v>1147.2</v>
      </c>
      <c r="I2023" s="10">
        <f t="shared" si="124"/>
        <v>-307.20000000000005</v>
      </c>
      <c r="J2023" s="11">
        <f>data!H2023</f>
        <v>366</v>
      </c>
      <c r="K2023" s="11">
        <f>data!J2023</f>
        <v>486</v>
      </c>
      <c r="L2023" s="11">
        <f t="shared" si="125"/>
        <v>-120</v>
      </c>
      <c r="M2023" s="9">
        <f t="shared" si="126"/>
        <v>-0.26778242677824271</v>
      </c>
      <c r="N2023" s="9">
        <f t="shared" si="127"/>
        <v>-0.24691358024691357</v>
      </c>
    </row>
    <row r="2024" spans="1:14" x14ac:dyDescent="0.25">
      <c r="A2024" t="str">
        <f>TEXT("1/"&amp;data!A2024,"mmmm")</f>
        <v>juillet</v>
      </c>
      <c r="B2024">
        <f>data!B2024</f>
        <v>2016</v>
      </c>
      <c r="C2024" t="str">
        <f>data!C2024</f>
        <v>201</v>
      </c>
      <c r="D2024" t="str">
        <f>data!D2024</f>
        <v>CAVE LES COTEAUX DU RHONE</v>
      </c>
      <c r="E2024" t="str">
        <f>data!E2024</f>
        <v>201008</v>
      </c>
      <c r="F2024" t="str">
        <f>data!F2024</f>
        <v>AOP COTES DU RHONE PATRICE NICOLAS</v>
      </c>
      <c r="G2024" s="10">
        <f>data!G2024</f>
        <v>164.7</v>
      </c>
      <c r="H2024" s="10">
        <f>data!I2024</f>
        <v>249.6</v>
      </c>
      <c r="I2024" s="10">
        <f t="shared" si="124"/>
        <v>-84.9</v>
      </c>
      <c r="J2024" s="11">
        <f>data!H2024</f>
        <v>54</v>
      </c>
      <c r="K2024" s="11">
        <f>data!J2024</f>
        <v>78</v>
      </c>
      <c r="L2024" s="11">
        <f t="shared" si="125"/>
        <v>-24</v>
      </c>
      <c r="M2024" s="9">
        <f t="shared" si="126"/>
        <v>-0.34014423076923078</v>
      </c>
      <c r="N2024" s="9">
        <f t="shared" si="127"/>
        <v>-0.30769230769230771</v>
      </c>
    </row>
    <row r="2025" spans="1:14" x14ac:dyDescent="0.25">
      <c r="A2025" t="str">
        <f>TEXT("1/"&amp;data!A2025,"mmmm")</f>
        <v>juillet</v>
      </c>
      <c r="B2025">
        <f>data!B2025</f>
        <v>2016</v>
      </c>
      <c r="C2025" t="str">
        <f>data!C2025</f>
        <v>201</v>
      </c>
      <c r="D2025" t="str">
        <f>data!D2025</f>
        <v>CAVE LES COTEAUX DU RHONE</v>
      </c>
      <c r="E2025" t="str">
        <f>data!E2025</f>
        <v>201010</v>
      </c>
      <c r="F2025" t="str">
        <f>data!F2025</f>
        <v>AOP COTES DU RHONE</v>
      </c>
      <c r="G2025" s="10">
        <f>data!G2025</f>
        <v>706.8</v>
      </c>
      <c r="H2025" s="10">
        <f>data!I2025</f>
        <v>837</v>
      </c>
      <c r="I2025" s="10">
        <f t="shared" si="124"/>
        <v>-130.20000000000005</v>
      </c>
      <c r="J2025" s="11">
        <f>data!H2025</f>
        <v>506.54</v>
      </c>
      <c r="K2025" s="11">
        <f>data!J2025</f>
        <v>599.85</v>
      </c>
      <c r="L2025" s="11">
        <f t="shared" si="125"/>
        <v>-93.31</v>
      </c>
      <c r="M2025" s="9">
        <f t="shared" si="126"/>
        <v>-0.15555555555555561</v>
      </c>
      <c r="N2025" s="9">
        <f t="shared" si="127"/>
        <v>-0.15555555555555556</v>
      </c>
    </row>
    <row r="2026" spans="1:14" x14ac:dyDescent="0.25">
      <c r="A2026" t="str">
        <f>TEXT("1/"&amp;data!A2026,"mmmm")</f>
        <v>juillet</v>
      </c>
      <c r="B2026">
        <f>data!B2026</f>
        <v>2016</v>
      </c>
      <c r="C2026" t="str">
        <f>data!C2026</f>
        <v>201</v>
      </c>
      <c r="D2026" t="str">
        <f>data!D2026</f>
        <v>CAVE LES COTEAUX DU RHONE</v>
      </c>
      <c r="E2026" t="str">
        <f>data!E2026</f>
        <v>201011</v>
      </c>
      <c r="F2026" t="str">
        <f>data!F2026</f>
        <v>AOP COTES DU RHONE</v>
      </c>
      <c r="G2026" s="10">
        <f>data!G2026</f>
        <v>505</v>
      </c>
      <c r="H2026" s="10">
        <f>data!I2026</f>
        <v>464.6</v>
      </c>
      <c r="I2026" s="10">
        <f t="shared" si="124"/>
        <v>40.399999999999977</v>
      </c>
      <c r="J2026" s="11">
        <f>data!H2026</f>
        <v>333.5</v>
      </c>
      <c r="K2026" s="11">
        <f>data!J2026</f>
        <v>313.49</v>
      </c>
      <c r="L2026" s="11">
        <f t="shared" si="125"/>
        <v>20.009999999999991</v>
      </c>
      <c r="M2026" s="9">
        <f t="shared" si="126"/>
        <v>8.6956521739130377E-2</v>
      </c>
      <c r="N2026" s="9">
        <f t="shared" si="127"/>
        <v>6.382978723404252E-2</v>
      </c>
    </row>
    <row r="2027" spans="1:14" x14ac:dyDescent="0.25">
      <c r="A2027" t="str">
        <f>TEXT("1/"&amp;data!A2027,"mmmm")</f>
        <v>juillet</v>
      </c>
      <c r="B2027">
        <f>data!B2027</f>
        <v>2016</v>
      </c>
      <c r="C2027" t="str">
        <f>data!C2027</f>
        <v>201</v>
      </c>
      <c r="D2027" t="str">
        <f>data!D2027</f>
        <v>CAVE LES COTEAUX DU RHONE</v>
      </c>
      <c r="E2027" t="str">
        <f>data!E2027</f>
        <v>201012</v>
      </c>
      <c r="F2027" t="str">
        <f>data!F2027</f>
        <v>AOP CDR VILLAGES PLAN DE DIEU PANICAUT</v>
      </c>
      <c r="G2027" s="10">
        <f>data!G2027</f>
        <v>262.8</v>
      </c>
      <c r="H2027" s="10">
        <f>data!I2027</f>
        <v>237.6</v>
      </c>
      <c r="I2027" s="10">
        <f t="shared" si="124"/>
        <v>25.200000000000017</v>
      </c>
      <c r="J2027" s="11">
        <f>data!H2027</f>
        <v>78</v>
      </c>
      <c r="K2027" s="11">
        <f>data!J2027</f>
        <v>66</v>
      </c>
      <c r="L2027" s="11">
        <f t="shared" si="125"/>
        <v>12</v>
      </c>
      <c r="M2027" s="9">
        <f t="shared" si="126"/>
        <v>0.10606060606060613</v>
      </c>
      <c r="N2027" s="9">
        <f t="shared" si="127"/>
        <v>0.18181818181818182</v>
      </c>
    </row>
    <row r="2028" spans="1:14" x14ac:dyDescent="0.25">
      <c r="A2028" t="str">
        <f>TEXT("1/"&amp;data!A2028,"mmmm")</f>
        <v>juillet</v>
      </c>
      <c r="B2028">
        <f>data!B2028</f>
        <v>2016</v>
      </c>
      <c r="C2028" t="str">
        <f>data!C2028</f>
        <v>201</v>
      </c>
      <c r="D2028" t="str">
        <f>data!D2028</f>
        <v>CAVE LES COTEAUX DU RHONE</v>
      </c>
      <c r="E2028" t="str">
        <f>data!E2028</f>
        <v>201013</v>
      </c>
      <c r="F2028" t="str">
        <f>data!F2028</f>
        <v>AOP CDR VILLAGES CAIRANNE LA BOSQUETTE</v>
      </c>
      <c r="G2028" s="10">
        <f>data!G2028</f>
        <v>69.3</v>
      </c>
      <c r="H2028" s="10">
        <f>data!I2028</f>
        <v>72.900000000000006</v>
      </c>
      <c r="I2028" s="10">
        <f t="shared" si="124"/>
        <v>-3.6000000000000085</v>
      </c>
      <c r="J2028" s="11">
        <f>data!H2028</f>
        <v>18</v>
      </c>
      <c r="K2028" s="11">
        <f>data!J2028</f>
        <v>18</v>
      </c>
      <c r="L2028" s="11">
        <f t="shared" si="125"/>
        <v>0</v>
      </c>
      <c r="M2028" s="9">
        <f t="shared" si="126"/>
        <v>-4.9382716049382831E-2</v>
      </c>
      <c r="N2028" s="9">
        <f t="shared" si="127"/>
        <v>0</v>
      </c>
    </row>
    <row r="2029" spans="1:14" x14ac:dyDescent="0.25">
      <c r="A2029" t="str">
        <f>TEXT("1/"&amp;data!A2029,"mmmm")</f>
        <v>juillet</v>
      </c>
      <c r="B2029">
        <f>data!B2029</f>
        <v>2016</v>
      </c>
      <c r="C2029" t="str">
        <f>data!C2029</f>
        <v>201</v>
      </c>
      <c r="D2029" t="str">
        <f>data!D2029</f>
        <v>CAVE LES COTEAUX DU RHONE</v>
      </c>
      <c r="E2029" t="str">
        <f>data!E2029</f>
        <v>201014</v>
      </c>
      <c r="F2029" t="str">
        <f>data!F2029</f>
        <v>AOP COTES DU RHONE VILLAGES JASOUN</v>
      </c>
      <c r="G2029" s="10">
        <f>data!G2029</f>
        <v>396</v>
      </c>
      <c r="H2029" s="10">
        <f>data!I2029</f>
        <v>720</v>
      </c>
      <c r="I2029" s="10">
        <f t="shared" si="124"/>
        <v>-324</v>
      </c>
      <c r="J2029" s="11">
        <f>data!H2029</f>
        <v>132</v>
      </c>
      <c r="K2029" s="11">
        <f>data!J2029</f>
        <v>240</v>
      </c>
      <c r="L2029" s="11">
        <f t="shared" si="125"/>
        <v>-108</v>
      </c>
      <c r="M2029" s="9">
        <f t="shared" si="126"/>
        <v>-0.45</v>
      </c>
      <c r="N2029" s="9">
        <f t="shared" si="127"/>
        <v>-0.45</v>
      </c>
    </row>
    <row r="2030" spans="1:14" x14ac:dyDescent="0.25">
      <c r="A2030" t="str">
        <f>TEXT("1/"&amp;data!A2030,"mmmm")</f>
        <v>juillet</v>
      </c>
      <c r="B2030">
        <f>data!B2030</f>
        <v>2016</v>
      </c>
      <c r="C2030" t="str">
        <f>data!C2030</f>
        <v>201</v>
      </c>
      <c r="D2030" t="str">
        <f>data!D2030</f>
        <v>CAVE LES COTEAUX DU RHONE</v>
      </c>
      <c r="E2030" t="str">
        <f>data!E2030</f>
        <v>201015</v>
      </c>
      <c r="F2030" t="str">
        <f>data!F2030</f>
        <v>AOP CDR VILLAGES MASSIF D'UCHAUX ARBOUSE</v>
      </c>
      <c r="G2030" s="10">
        <f>data!G2030</f>
        <v>0</v>
      </c>
      <c r="H2030" s="10">
        <f>data!I2030</f>
        <v>0</v>
      </c>
      <c r="I2030" s="10">
        <f t="shared" si="124"/>
        <v>0</v>
      </c>
      <c r="J2030" s="11">
        <f>data!H2030</f>
        <v>6</v>
      </c>
      <c r="K2030" s="11">
        <f>data!J2030</f>
        <v>0</v>
      </c>
      <c r="L2030" s="11">
        <f t="shared" si="125"/>
        <v>6</v>
      </c>
      <c r="M2030" s="9" t="str">
        <f t="shared" si="126"/>
        <v/>
      </c>
      <c r="N2030" s="9" t="str">
        <f t="shared" si="127"/>
        <v/>
      </c>
    </row>
    <row r="2031" spans="1:14" x14ac:dyDescent="0.25">
      <c r="A2031" t="str">
        <f>TEXT("1/"&amp;data!A2031,"mmmm")</f>
        <v>juillet</v>
      </c>
      <c r="B2031">
        <f>data!B2031</f>
        <v>2016</v>
      </c>
      <c r="C2031" t="str">
        <f>data!C2031</f>
        <v>201</v>
      </c>
      <c r="D2031" t="str">
        <f>data!D2031</f>
        <v>CAVE LES COTEAUX DU RHONE</v>
      </c>
      <c r="E2031" t="str">
        <f>data!E2031</f>
        <v>201016</v>
      </c>
      <c r="F2031" t="str">
        <f>data!F2031</f>
        <v>AC COTES DU RHONE MAGIE D'UNE TERRE</v>
      </c>
      <c r="G2031" s="10">
        <f>data!G2031</f>
        <v>123.84</v>
      </c>
      <c r="H2031" s="10">
        <f>data!I2031</f>
        <v>20.64</v>
      </c>
      <c r="I2031" s="10">
        <f t="shared" si="124"/>
        <v>103.2</v>
      </c>
      <c r="J2031" s="11">
        <f>data!H2031</f>
        <v>36</v>
      </c>
      <c r="K2031" s="11">
        <f>data!J2031</f>
        <v>6</v>
      </c>
      <c r="L2031" s="11">
        <f t="shared" si="125"/>
        <v>30</v>
      </c>
      <c r="M2031" s="9">
        <f t="shared" si="126"/>
        <v>5</v>
      </c>
      <c r="N2031" s="9">
        <f t="shared" si="127"/>
        <v>5</v>
      </c>
    </row>
    <row r="2032" spans="1:14" x14ac:dyDescent="0.25">
      <c r="A2032" t="str">
        <f>TEXT("1/"&amp;data!A2032,"mmmm")</f>
        <v>juillet</v>
      </c>
      <c r="B2032">
        <f>data!B2032</f>
        <v>2016</v>
      </c>
      <c r="C2032" t="str">
        <f>data!C2032</f>
        <v>201</v>
      </c>
      <c r="D2032" t="str">
        <f>data!D2032</f>
        <v>CAVE LES COTEAUX DU RHONE</v>
      </c>
      <c r="E2032" t="str">
        <f>data!E2032</f>
        <v>201017</v>
      </c>
      <c r="F2032" t="str">
        <f>data!F2032</f>
        <v>IGP VAUCLUSE D'ORANGE CHASAN VERMENTINO</v>
      </c>
      <c r="G2032" s="10">
        <f>data!G2032</f>
        <v>33</v>
      </c>
      <c r="H2032" s="10">
        <f>data!I2032</f>
        <v>0</v>
      </c>
      <c r="I2032" s="10">
        <f t="shared" si="124"/>
        <v>33</v>
      </c>
      <c r="J2032" s="11">
        <f>data!H2032</f>
        <v>40.019999999999996</v>
      </c>
      <c r="K2032" s="11">
        <f>data!J2032</f>
        <v>0</v>
      </c>
      <c r="L2032" s="11">
        <f t="shared" si="125"/>
        <v>40.019999999999996</v>
      </c>
      <c r="M2032" s="9" t="str">
        <f t="shared" si="126"/>
        <v/>
      </c>
      <c r="N2032" s="9" t="str">
        <f t="shared" si="127"/>
        <v/>
      </c>
    </row>
    <row r="2033" spans="1:14" x14ac:dyDescent="0.25">
      <c r="A2033" t="str">
        <f>TEXT("1/"&amp;data!A2033,"mmmm")</f>
        <v>juillet</v>
      </c>
      <c r="B2033">
        <f>data!B2033</f>
        <v>2016</v>
      </c>
      <c r="C2033" t="str">
        <f>data!C2033</f>
        <v>201</v>
      </c>
      <c r="D2033" t="str">
        <f>data!D2033</f>
        <v>CAVE LES COTEAUX DU RHONE</v>
      </c>
      <c r="E2033" t="str">
        <f>data!E2033</f>
        <v>201018</v>
      </c>
      <c r="F2033" t="str">
        <f>data!F2033</f>
        <v>IGP VAUCLUSE D'ORANGE VIOGNIER</v>
      </c>
      <c r="G2033" s="10">
        <f>data!G2033</f>
        <v>31.25</v>
      </c>
      <c r="H2033" s="10">
        <f>data!I2033</f>
        <v>0</v>
      </c>
      <c r="I2033" s="10">
        <f t="shared" si="124"/>
        <v>31.25</v>
      </c>
      <c r="J2033" s="11">
        <f>data!H2033</f>
        <v>20</v>
      </c>
      <c r="K2033" s="11">
        <f>data!J2033</f>
        <v>0</v>
      </c>
      <c r="L2033" s="11">
        <f t="shared" si="125"/>
        <v>20</v>
      </c>
      <c r="M2033" s="9" t="str">
        <f t="shared" si="126"/>
        <v/>
      </c>
      <c r="N2033" s="9" t="str">
        <f t="shared" si="127"/>
        <v/>
      </c>
    </row>
    <row r="2034" spans="1:14" x14ac:dyDescent="0.25">
      <c r="A2034" t="str">
        <f>TEXT("1/"&amp;data!A2034,"mmmm")</f>
        <v>juillet</v>
      </c>
      <c r="B2034">
        <f>data!B2034</f>
        <v>2016</v>
      </c>
      <c r="C2034" t="str">
        <f>data!C2034</f>
        <v>201</v>
      </c>
      <c r="D2034" t="str">
        <f>data!D2034</f>
        <v>CAVE LES COTEAUX DU RHONE</v>
      </c>
      <c r="E2034" t="str">
        <f>data!E2034</f>
        <v>201022</v>
      </c>
      <c r="F2034" t="str">
        <f>data!F2034</f>
        <v>IGP PRINCIPAUTE D'ORANGE</v>
      </c>
      <c r="G2034" s="10">
        <f>data!G2034</f>
        <v>147.69999999999999</v>
      </c>
      <c r="H2034" s="10">
        <f>data!I2034</f>
        <v>95.95</v>
      </c>
      <c r="I2034" s="10">
        <f t="shared" si="124"/>
        <v>51.749999999999986</v>
      </c>
      <c r="J2034" s="11">
        <f>data!H2034</f>
        <v>116</v>
      </c>
      <c r="K2034" s="11">
        <f>data!J2034</f>
        <v>76</v>
      </c>
      <c r="L2034" s="11">
        <f t="shared" si="125"/>
        <v>40</v>
      </c>
      <c r="M2034" s="9">
        <f t="shared" si="126"/>
        <v>0.5393434080250129</v>
      </c>
      <c r="N2034" s="9">
        <f t="shared" si="127"/>
        <v>0.52631578947368418</v>
      </c>
    </row>
    <row r="2035" spans="1:14" x14ac:dyDescent="0.25">
      <c r="A2035" t="str">
        <f>TEXT("1/"&amp;data!A2035,"mmmm")</f>
        <v>juillet</v>
      </c>
      <c r="B2035">
        <f>data!B2035</f>
        <v>2016</v>
      </c>
      <c r="C2035" t="str">
        <f>data!C2035</f>
        <v>201</v>
      </c>
      <c r="D2035" t="str">
        <f>data!D2035</f>
        <v>CAVE LES COTEAUX DU RHONE</v>
      </c>
      <c r="E2035" t="str">
        <f>data!E2035</f>
        <v>201023</v>
      </c>
      <c r="F2035" t="str">
        <f>data!F2035</f>
        <v>AC COTES DU RHONE</v>
      </c>
      <c r="G2035" s="10">
        <f>data!G2035</f>
        <v>19.8</v>
      </c>
      <c r="H2035" s="10">
        <f>data!I2035</f>
        <v>26.4</v>
      </c>
      <c r="I2035" s="10">
        <f t="shared" si="124"/>
        <v>-6.5999999999999979</v>
      </c>
      <c r="J2035" s="11">
        <f>data!H2035</f>
        <v>12</v>
      </c>
      <c r="K2035" s="11">
        <f>data!J2035</f>
        <v>16</v>
      </c>
      <c r="L2035" s="11">
        <f t="shared" si="125"/>
        <v>-4</v>
      </c>
      <c r="M2035" s="9">
        <f t="shared" si="126"/>
        <v>-0.24999999999999994</v>
      </c>
      <c r="N2035" s="9">
        <f t="shared" si="127"/>
        <v>-0.25</v>
      </c>
    </row>
    <row r="2036" spans="1:14" x14ac:dyDescent="0.25">
      <c r="A2036" t="str">
        <f>TEXT("1/"&amp;data!A2036,"mmmm")</f>
        <v>juillet</v>
      </c>
      <c r="B2036">
        <f>data!B2036</f>
        <v>2016</v>
      </c>
      <c r="C2036" t="str">
        <f>data!C2036</f>
        <v>201</v>
      </c>
      <c r="D2036" t="str">
        <f>data!D2036</f>
        <v>CAVE LES COTEAUX DU RHONE</v>
      </c>
      <c r="E2036" t="str">
        <f>data!E2036</f>
        <v>201026</v>
      </c>
      <c r="F2036" t="str">
        <f>data!F2036</f>
        <v>IGP VAUCLUSE BALLADE DE COLLINE</v>
      </c>
      <c r="G2036" s="10">
        <f>data!G2036</f>
        <v>245.76</v>
      </c>
      <c r="H2036" s="10">
        <f>data!I2036</f>
        <v>114</v>
      </c>
      <c r="I2036" s="10">
        <f t="shared" si="124"/>
        <v>131.76</v>
      </c>
      <c r="J2036" s="11">
        <f>data!H2036</f>
        <v>138</v>
      </c>
      <c r="K2036" s="11">
        <f>data!J2036</f>
        <v>60</v>
      </c>
      <c r="L2036" s="11">
        <f t="shared" si="125"/>
        <v>78</v>
      </c>
      <c r="M2036" s="9">
        <f t="shared" si="126"/>
        <v>1.1557894736842105</v>
      </c>
      <c r="N2036" s="9">
        <f t="shared" si="127"/>
        <v>1.3</v>
      </c>
    </row>
    <row r="2037" spans="1:14" x14ac:dyDescent="0.25">
      <c r="A2037" t="str">
        <f>TEXT("1/"&amp;data!A2037,"mmmm")</f>
        <v>juillet</v>
      </c>
      <c r="B2037">
        <f>data!B2037</f>
        <v>2016</v>
      </c>
      <c r="C2037" t="str">
        <f>data!C2037</f>
        <v>201</v>
      </c>
      <c r="D2037" t="str">
        <f>data!D2037</f>
        <v>CAVE LES COTEAUX DU RHONE</v>
      </c>
      <c r="E2037" t="str">
        <f>data!E2037</f>
        <v>201027</v>
      </c>
      <c r="F2037" t="str">
        <f>data!F2037</f>
        <v>IGP VAUCLUSE BALLADE DE COLLINE</v>
      </c>
      <c r="G2037" s="10">
        <f>data!G2037</f>
        <v>197.76</v>
      </c>
      <c r="H2037" s="10">
        <f>data!I2037</f>
        <v>1003.2</v>
      </c>
      <c r="I2037" s="10">
        <f t="shared" si="124"/>
        <v>-805.44</v>
      </c>
      <c r="J2037" s="11">
        <f>data!H2037</f>
        <v>108</v>
      </c>
      <c r="K2037" s="11">
        <f>data!J2037</f>
        <v>528</v>
      </c>
      <c r="L2037" s="11">
        <f t="shared" si="125"/>
        <v>-420</v>
      </c>
      <c r="M2037" s="9">
        <f t="shared" si="126"/>
        <v>-0.80287081339712918</v>
      </c>
      <c r="N2037" s="9">
        <f t="shared" si="127"/>
        <v>-0.79545454545454541</v>
      </c>
    </row>
    <row r="2038" spans="1:14" x14ac:dyDescent="0.25">
      <c r="A2038" t="str">
        <f>TEXT("1/"&amp;data!A2038,"mmmm")</f>
        <v>juillet</v>
      </c>
      <c r="B2038">
        <f>data!B2038</f>
        <v>2016</v>
      </c>
      <c r="C2038" t="str">
        <f>data!C2038</f>
        <v>201</v>
      </c>
      <c r="D2038" t="str">
        <f>data!D2038</f>
        <v>CAVE LES COTEAUX DU RHONE</v>
      </c>
      <c r="E2038" t="str">
        <f>data!E2038</f>
        <v>201031</v>
      </c>
      <c r="F2038" t="str">
        <f>data!F2038</f>
        <v>IGP MEDITERRANNEE ROSE</v>
      </c>
      <c r="G2038" s="10">
        <f>data!G2038</f>
        <v>11.52</v>
      </c>
      <c r="H2038" s="10">
        <f>data!I2038</f>
        <v>0</v>
      </c>
      <c r="I2038" s="10">
        <f t="shared" si="124"/>
        <v>11.52</v>
      </c>
      <c r="J2038" s="11">
        <f>data!H2038</f>
        <v>6</v>
      </c>
      <c r="K2038" s="11">
        <f>data!J2038</f>
        <v>0</v>
      </c>
      <c r="L2038" s="11">
        <f t="shared" si="125"/>
        <v>6</v>
      </c>
      <c r="M2038" s="9" t="str">
        <f t="shared" si="126"/>
        <v/>
      </c>
      <c r="N2038" s="9" t="str">
        <f t="shared" si="127"/>
        <v/>
      </c>
    </row>
    <row r="2039" spans="1:14" x14ac:dyDescent="0.25">
      <c r="A2039" t="str">
        <f>TEXT("1/"&amp;data!A2039,"mmmm")</f>
        <v>juillet</v>
      </c>
      <c r="B2039">
        <f>data!B2039</f>
        <v>2016</v>
      </c>
      <c r="C2039" t="str">
        <f>data!C2039</f>
        <v>202</v>
      </c>
      <c r="D2039" t="str">
        <f>data!D2039</f>
        <v>TERRES D'ALLIANCE</v>
      </c>
      <c r="E2039" t="str">
        <f>data!E2039</f>
        <v>202001</v>
      </c>
      <c r="F2039" t="str">
        <f>data!F2039</f>
        <v>IGP VAUCLUSE LEA</v>
      </c>
      <c r="G2039" s="10">
        <f>data!G2039</f>
        <v>124.2</v>
      </c>
      <c r="H2039" s="10">
        <f>data!I2039</f>
        <v>110.16</v>
      </c>
      <c r="I2039" s="10">
        <f t="shared" si="124"/>
        <v>14.040000000000006</v>
      </c>
      <c r="J2039" s="11">
        <f>data!H2039</f>
        <v>60</v>
      </c>
      <c r="K2039" s="11">
        <f>data!J2039</f>
        <v>54</v>
      </c>
      <c r="L2039" s="11">
        <f t="shared" si="125"/>
        <v>6</v>
      </c>
      <c r="M2039" s="9">
        <f t="shared" si="126"/>
        <v>0.12745098039215694</v>
      </c>
      <c r="N2039" s="9">
        <f t="shared" si="127"/>
        <v>0.1111111111111111</v>
      </c>
    </row>
    <row r="2040" spans="1:14" x14ac:dyDescent="0.25">
      <c r="A2040" t="str">
        <f>TEXT("1/"&amp;data!A2040,"mmmm")</f>
        <v>juillet</v>
      </c>
      <c r="B2040">
        <f>data!B2040</f>
        <v>2016</v>
      </c>
      <c r="C2040" t="str">
        <f>data!C2040</f>
        <v>202</v>
      </c>
      <c r="D2040" t="str">
        <f>data!D2040</f>
        <v>TERRES D'ALLIANCE</v>
      </c>
      <c r="E2040" t="str">
        <f>data!E2040</f>
        <v>202002</v>
      </c>
      <c r="F2040" t="str">
        <f>data!F2040</f>
        <v>IGP VAUCLUSE LEA</v>
      </c>
      <c r="G2040" s="10">
        <f>data!G2040</f>
        <v>488.94</v>
      </c>
      <c r="H2040" s="10">
        <f>data!I2040</f>
        <v>893.52</v>
      </c>
      <c r="I2040" s="10">
        <f t="shared" si="124"/>
        <v>-404.58</v>
      </c>
      <c r="J2040" s="11">
        <f>data!H2040</f>
        <v>264</v>
      </c>
      <c r="K2040" s="11">
        <f>data!J2040</f>
        <v>438</v>
      </c>
      <c r="L2040" s="11">
        <f t="shared" si="125"/>
        <v>-174</v>
      </c>
      <c r="M2040" s="9">
        <f t="shared" si="126"/>
        <v>-0.45279344614558154</v>
      </c>
      <c r="N2040" s="9">
        <f t="shared" si="127"/>
        <v>-0.39726027397260272</v>
      </c>
    </row>
    <row r="2041" spans="1:14" x14ac:dyDescent="0.25">
      <c r="A2041" t="str">
        <f>TEXT("1/"&amp;data!A2041,"mmmm")</f>
        <v>juillet</v>
      </c>
      <c r="B2041">
        <f>data!B2041</f>
        <v>2016</v>
      </c>
      <c r="C2041" t="str">
        <f>data!C2041</f>
        <v>202</v>
      </c>
      <c r="D2041" t="str">
        <f>data!D2041</f>
        <v>TERRES D'ALLIANCE</v>
      </c>
      <c r="E2041" t="str">
        <f>data!E2041</f>
        <v>202003</v>
      </c>
      <c r="F2041" t="str">
        <f>data!F2041</f>
        <v>IGP VAUCLUSE LEA</v>
      </c>
      <c r="G2041" s="10">
        <f>data!G2041</f>
        <v>74.52</v>
      </c>
      <c r="H2041" s="10">
        <f>data!I2041</f>
        <v>110.16</v>
      </c>
      <c r="I2041" s="10">
        <f t="shared" si="124"/>
        <v>-35.64</v>
      </c>
      <c r="J2041" s="11">
        <f>data!H2041</f>
        <v>36</v>
      </c>
      <c r="K2041" s="11">
        <f>data!J2041</f>
        <v>54</v>
      </c>
      <c r="L2041" s="11">
        <f t="shared" si="125"/>
        <v>-18</v>
      </c>
      <c r="M2041" s="9">
        <f t="shared" si="126"/>
        <v>-0.3235294117647059</v>
      </c>
      <c r="N2041" s="9">
        <f t="shared" si="127"/>
        <v>-0.33333333333333331</v>
      </c>
    </row>
    <row r="2042" spans="1:14" x14ac:dyDescent="0.25">
      <c r="A2042" t="str">
        <f>TEXT("1/"&amp;data!A2042,"mmmm")</f>
        <v>juillet</v>
      </c>
      <c r="B2042">
        <f>data!B2042</f>
        <v>2016</v>
      </c>
      <c r="C2042" t="str">
        <f>data!C2042</f>
        <v>202</v>
      </c>
      <c r="D2042" t="str">
        <f>data!D2042</f>
        <v>TERRES D'ALLIANCE</v>
      </c>
      <c r="E2042" t="str">
        <f>data!E2042</f>
        <v>202008</v>
      </c>
      <c r="F2042" t="str">
        <f>data!F2042</f>
        <v>MUSCAT - PETITS GRAINS - LOUERION</v>
      </c>
      <c r="G2042" s="10">
        <f>data!G2042</f>
        <v>0</v>
      </c>
      <c r="H2042" s="10">
        <f>data!I2042</f>
        <v>0</v>
      </c>
      <c r="I2042" s="10">
        <f t="shared" si="124"/>
        <v>0</v>
      </c>
      <c r="J2042" s="11">
        <f>data!H2042</f>
        <v>0</v>
      </c>
      <c r="K2042" s="11">
        <f>data!J2042</f>
        <v>6</v>
      </c>
      <c r="L2042" s="11">
        <f t="shared" si="125"/>
        <v>-6</v>
      </c>
      <c r="M2042" s="9" t="str">
        <f t="shared" si="126"/>
        <v/>
      </c>
      <c r="N2042" s="9">
        <f t="shared" si="127"/>
        <v>-1</v>
      </c>
    </row>
    <row r="2043" spans="1:14" x14ac:dyDescent="0.25">
      <c r="A2043" t="str">
        <f>TEXT("1/"&amp;data!A2043,"mmmm")</f>
        <v>juillet</v>
      </c>
      <c r="B2043">
        <f>data!B2043</f>
        <v>2016</v>
      </c>
      <c r="C2043" t="str">
        <f>data!C2043</f>
        <v>202</v>
      </c>
      <c r="D2043" t="str">
        <f>data!D2043</f>
        <v>TERRES D'ALLIANCE</v>
      </c>
      <c r="E2043" t="str">
        <f>data!E2043</f>
        <v>202010</v>
      </c>
      <c r="F2043" t="str">
        <f>data!F2043</f>
        <v>VIN DE FRANCE ROSE FRUITE LOUERION</v>
      </c>
      <c r="G2043" s="10">
        <f>data!G2043</f>
        <v>35.6</v>
      </c>
      <c r="H2043" s="10">
        <f>data!I2043</f>
        <v>382.7</v>
      </c>
      <c r="I2043" s="10">
        <f t="shared" si="124"/>
        <v>-347.09999999999997</v>
      </c>
      <c r="J2043" s="11">
        <f>data!H2043</f>
        <v>26.68</v>
      </c>
      <c r="K2043" s="11">
        <f>data!J2043</f>
        <v>300.14999999999998</v>
      </c>
      <c r="L2043" s="11">
        <f t="shared" si="125"/>
        <v>-273.46999999999997</v>
      </c>
      <c r="M2043" s="9">
        <f t="shared" si="126"/>
        <v>-0.90697674418604646</v>
      </c>
      <c r="N2043" s="9">
        <f t="shared" si="127"/>
        <v>-0.91111111111111109</v>
      </c>
    </row>
    <row r="2044" spans="1:14" x14ac:dyDescent="0.25">
      <c r="A2044" t="str">
        <f>TEXT("1/"&amp;data!A2044,"mmmm")</f>
        <v>juillet</v>
      </c>
      <c r="B2044">
        <f>data!B2044</f>
        <v>2016</v>
      </c>
      <c r="C2044" t="str">
        <f>data!C2044</f>
        <v>202</v>
      </c>
      <c r="D2044" t="str">
        <f>data!D2044</f>
        <v>TERRES D'ALLIANCE</v>
      </c>
      <c r="E2044" t="str">
        <f>data!E2044</f>
        <v>202015</v>
      </c>
      <c r="F2044" t="str">
        <f>data!F2044</f>
        <v>AOP LUBERON LOUERION</v>
      </c>
      <c r="G2044" s="10">
        <f>data!G2044</f>
        <v>139.30000000000001</v>
      </c>
      <c r="H2044" s="10">
        <f>data!I2044</f>
        <v>0</v>
      </c>
      <c r="I2044" s="10">
        <f t="shared" si="124"/>
        <v>139.30000000000001</v>
      </c>
      <c r="J2044" s="11">
        <f>data!H2044</f>
        <v>93.38</v>
      </c>
      <c r="K2044" s="11">
        <f>data!J2044</f>
        <v>0</v>
      </c>
      <c r="L2044" s="11">
        <f t="shared" si="125"/>
        <v>93.38</v>
      </c>
      <c r="M2044" s="9" t="str">
        <f t="shared" si="126"/>
        <v/>
      </c>
      <c r="N2044" s="9" t="str">
        <f t="shared" si="127"/>
        <v/>
      </c>
    </row>
    <row r="2045" spans="1:14" x14ac:dyDescent="0.25">
      <c r="A2045" t="str">
        <f>TEXT("1/"&amp;data!A2045,"mmmm")</f>
        <v>juillet</v>
      </c>
      <c r="B2045">
        <f>data!B2045</f>
        <v>2016</v>
      </c>
      <c r="C2045" t="str">
        <f>data!C2045</f>
        <v>205</v>
      </c>
      <c r="D2045" t="str">
        <f>data!D2045</f>
        <v>DOMAINE DE MISELLE</v>
      </c>
      <c r="E2045" t="str">
        <f>data!E2045</f>
        <v>205001</v>
      </c>
      <c r="F2045" t="str">
        <f>data!F2045</f>
        <v>IGP COTES DE GASCOGNE SEC COLOMBARD G-MANSENG MISE</v>
      </c>
      <c r="G2045" s="10">
        <f>data!G2045</f>
        <v>310.5</v>
      </c>
      <c r="H2045" s="10">
        <f>data!I2045</f>
        <v>501.6</v>
      </c>
      <c r="I2045" s="10">
        <f t="shared" si="124"/>
        <v>-191.10000000000002</v>
      </c>
      <c r="J2045" s="11">
        <f>data!H2045</f>
        <v>138</v>
      </c>
      <c r="K2045" s="11">
        <f>data!J2045</f>
        <v>228</v>
      </c>
      <c r="L2045" s="11">
        <f t="shared" si="125"/>
        <v>-90</v>
      </c>
      <c r="M2045" s="9">
        <f t="shared" si="126"/>
        <v>-0.38098086124401914</v>
      </c>
      <c r="N2045" s="9">
        <f t="shared" si="127"/>
        <v>-0.39473684210526316</v>
      </c>
    </row>
    <row r="2046" spans="1:14" x14ac:dyDescent="0.25">
      <c r="A2046" t="str">
        <f>TEXT("1/"&amp;data!A2046,"mmmm")</f>
        <v>juillet</v>
      </c>
      <c r="B2046">
        <f>data!B2046</f>
        <v>2016</v>
      </c>
      <c r="C2046" t="str">
        <f>data!C2046</f>
        <v>205</v>
      </c>
      <c r="D2046" t="str">
        <f>data!D2046</f>
        <v>DOMAINE DE MISELLE</v>
      </c>
      <c r="E2046" t="str">
        <f>data!E2046</f>
        <v>205002</v>
      </c>
      <c r="F2046" t="str">
        <f>data!F2046</f>
        <v>IGP COTES DE GASCOGNE</v>
      </c>
      <c r="G2046" s="10">
        <f>data!G2046</f>
        <v>100.8</v>
      </c>
      <c r="H2046" s="10">
        <f>data!I2046</f>
        <v>902.4</v>
      </c>
      <c r="I2046" s="10">
        <f t="shared" si="124"/>
        <v>-801.6</v>
      </c>
      <c r="J2046" s="11">
        <f>data!H2046</f>
        <v>42</v>
      </c>
      <c r="K2046" s="11">
        <f>data!J2046</f>
        <v>390</v>
      </c>
      <c r="L2046" s="11">
        <f t="shared" si="125"/>
        <v>-348</v>
      </c>
      <c r="M2046" s="9">
        <f t="shared" si="126"/>
        <v>-0.88829787234042556</v>
      </c>
      <c r="N2046" s="9">
        <f t="shared" si="127"/>
        <v>-0.89230769230769236</v>
      </c>
    </row>
    <row r="2047" spans="1:14" x14ac:dyDescent="0.25">
      <c r="A2047" t="str">
        <f>TEXT("1/"&amp;data!A2047,"mmmm")</f>
        <v>juillet</v>
      </c>
      <c r="B2047">
        <f>data!B2047</f>
        <v>2016</v>
      </c>
      <c r="C2047" t="str">
        <f>data!C2047</f>
        <v>205</v>
      </c>
      <c r="D2047" t="str">
        <f>data!D2047</f>
        <v>DOMAINE DE MISELLE</v>
      </c>
      <c r="E2047" t="str">
        <f>data!E2047</f>
        <v>205003</v>
      </c>
      <c r="F2047" t="str">
        <f>data!F2047</f>
        <v>IGP COTES DE GASCOGNE PETIT MANSENG</v>
      </c>
      <c r="G2047" s="10">
        <f>data!G2047</f>
        <v>133.19999999999999</v>
      </c>
      <c r="H2047" s="10">
        <f>data!I2047</f>
        <v>240.9</v>
      </c>
      <c r="I2047" s="10">
        <f t="shared" si="124"/>
        <v>-107.70000000000002</v>
      </c>
      <c r="J2047" s="11">
        <f>data!H2047</f>
        <v>36</v>
      </c>
      <c r="K2047" s="11">
        <f>data!J2047</f>
        <v>66</v>
      </c>
      <c r="L2047" s="11">
        <f t="shared" si="125"/>
        <v>-30</v>
      </c>
      <c r="M2047" s="9">
        <f t="shared" si="126"/>
        <v>-0.44707347447073481</v>
      </c>
      <c r="N2047" s="9">
        <f t="shared" si="127"/>
        <v>-0.45454545454545453</v>
      </c>
    </row>
    <row r="2048" spans="1:14" x14ac:dyDescent="0.25">
      <c r="A2048" t="str">
        <f>TEXT("1/"&amp;data!A2048,"mmmm")</f>
        <v>juillet</v>
      </c>
      <c r="B2048">
        <f>data!B2048</f>
        <v>2016</v>
      </c>
      <c r="C2048" t="str">
        <f>data!C2048</f>
        <v>205</v>
      </c>
      <c r="D2048" t="str">
        <f>data!D2048</f>
        <v>DOMAINE DE MISELLE</v>
      </c>
      <c r="E2048" t="str">
        <f>data!E2048</f>
        <v>205004</v>
      </c>
      <c r="F2048" t="str">
        <f>data!F2048</f>
        <v>IGP COTES DE GASCOGNE MERLOT-TANNAT</v>
      </c>
      <c r="G2048" s="10">
        <f>data!G2048</f>
        <v>57.6</v>
      </c>
      <c r="H2048" s="10">
        <f>data!I2048</f>
        <v>0</v>
      </c>
      <c r="I2048" s="10">
        <f t="shared" si="124"/>
        <v>57.6</v>
      </c>
      <c r="J2048" s="11">
        <f>data!H2048</f>
        <v>24</v>
      </c>
      <c r="K2048" s="11">
        <f>data!J2048</f>
        <v>0</v>
      </c>
      <c r="L2048" s="11">
        <f t="shared" si="125"/>
        <v>24</v>
      </c>
      <c r="M2048" s="9" t="str">
        <f t="shared" si="126"/>
        <v/>
      </c>
      <c r="N2048" s="9" t="str">
        <f t="shared" si="127"/>
        <v/>
      </c>
    </row>
    <row r="2049" spans="1:14" x14ac:dyDescent="0.25">
      <c r="A2049" t="str">
        <f>TEXT("1/"&amp;data!A2049,"mmmm")</f>
        <v>juillet</v>
      </c>
      <c r="B2049">
        <f>data!B2049</f>
        <v>2016</v>
      </c>
      <c r="C2049" t="str">
        <f>data!C2049</f>
        <v>226</v>
      </c>
      <c r="D2049" t="str">
        <f>data!D2049</f>
        <v>SIEUR D'ARQUES</v>
      </c>
      <c r="E2049" t="str">
        <f>data!E2049</f>
        <v>226001</v>
      </c>
      <c r="F2049" t="str">
        <f>data!F2049</f>
        <v>AOP BLANQUETTE DE LIMOUX METHODE TRAD PREMIERE BUL</v>
      </c>
      <c r="G2049" s="10">
        <f>data!G2049</f>
        <v>1015.8</v>
      </c>
      <c r="H2049" s="10">
        <f>data!I2049</f>
        <v>0</v>
      </c>
      <c r="I2049" s="10">
        <f t="shared" si="124"/>
        <v>1015.8</v>
      </c>
      <c r="J2049" s="11">
        <f>data!H2049</f>
        <v>204</v>
      </c>
      <c r="K2049" s="11">
        <f>data!J2049</f>
        <v>0</v>
      </c>
      <c r="L2049" s="11">
        <f t="shared" si="125"/>
        <v>204</v>
      </c>
      <c r="M2049" s="9" t="str">
        <f t="shared" si="126"/>
        <v/>
      </c>
      <c r="N2049" s="9" t="str">
        <f t="shared" si="127"/>
        <v/>
      </c>
    </row>
    <row r="2050" spans="1:14" x14ac:dyDescent="0.25">
      <c r="A2050" t="str">
        <f>TEXT("1/"&amp;data!A2050,"mmmm")</f>
        <v>juillet</v>
      </c>
      <c r="B2050">
        <f>data!B2050</f>
        <v>2016</v>
      </c>
      <c r="C2050" t="str">
        <f>data!C2050</f>
        <v>229</v>
      </c>
      <c r="D2050" t="str">
        <f>data!D2050</f>
        <v>DOMAINE DU BOIS DU JOUR</v>
      </c>
      <c r="E2050" t="str">
        <f>data!E2050</f>
        <v>229008</v>
      </c>
      <c r="F2050" t="str">
        <f>data!F2050</f>
        <v>AOP COTEAUX BOURGUIGNON DME DU BOIS DU JOUR</v>
      </c>
      <c r="G2050" s="10">
        <f>data!G2050</f>
        <v>68.400000000000006</v>
      </c>
      <c r="H2050" s="10">
        <f>data!I2050</f>
        <v>0</v>
      </c>
      <c r="I2050" s="10">
        <f t="shared" si="124"/>
        <v>68.400000000000006</v>
      </c>
      <c r="J2050" s="11">
        <f>data!H2050</f>
        <v>18</v>
      </c>
      <c r="K2050" s="11">
        <f>data!J2050</f>
        <v>0</v>
      </c>
      <c r="L2050" s="11">
        <f t="shared" si="125"/>
        <v>18</v>
      </c>
      <c r="M2050" s="9" t="str">
        <f t="shared" si="126"/>
        <v/>
      </c>
      <c r="N2050" s="9" t="str">
        <f t="shared" si="127"/>
        <v/>
      </c>
    </row>
    <row r="2051" spans="1:14" x14ac:dyDescent="0.25">
      <c r="A2051" t="str">
        <f>TEXT("1/"&amp;data!A2051,"mmmm")</f>
        <v>août</v>
      </c>
      <c r="B2051">
        <f>data!B2051</f>
        <v>2016</v>
      </c>
      <c r="C2051" t="str">
        <f>data!C2051</f>
        <v>001</v>
      </c>
      <c r="D2051" t="str">
        <f>data!D2051</f>
        <v>CHAMPAGNE PANNIER</v>
      </c>
      <c r="E2051" t="str">
        <f>data!E2051</f>
        <v>001001</v>
      </c>
      <c r="F2051" t="str">
        <f>data!F2051</f>
        <v>PANNIER AC CHAMP SELECTION BRUT</v>
      </c>
      <c r="G2051" s="10">
        <f>data!G2051</f>
        <v>2343</v>
      </c>
      <c r="H2051" s="10">
        <f>data!I2051</f>
        <v>0</v>
      </c>
      <c r="I2051" s="10">
        <f t="shared" ref="I2051:I2114" si="128">G2051-H2051</f>
        <v>2343</v>
      </c>
      <c r="J2051" s="11">
        <f>data!H2051</f>
        <v>180</v>
      </c>
      <c r="K2051" s="11">
        <f>data!J2051</f>
        <v>0</v>
      </c>
      <c r="L2051" s="11">
        <f t="shared" ref="L2051:L2114" si="129">J2051-K2051</f>
        <v>180</v>
      </c>
      <c r="M2051" s="9" t="str">
        <f t="shared" ref="M2051:M2114" si="130">IF(ISERR(I2051/H2051),"",I2051/H2051)</f>
        <v/>
      </c>
      <c r="N2051" s="9" t="str">
        <f t="shared" ref="N2051:N2114" si="131">IF(ISERR(L2051/K2051),"",L2051/K2051)</f>
        <v/>
      </c>
    </row>
    <row r="2052" spans="1:14" x14ac:dyDescent="0.25">
      <c r="A2052" t="str">
        <f>TEXT("1/"&amp;data!A2052,"mmmm")</f>
        <v>août</v>
      </c>
      <c r="B2052">
        <f>data!B2052</f>
        <v>2016</v>
      </c>
      <c r="C2052" t="str">
        <f>data!C2052</f>
        <v>001</v>
      </c>
      <c r="D2052" t="str">
        <f>data!D2052</f>
        <v>CHAMPAGNE PANNIER</v>
      </c>
      <c r="E2052" t="str">
        <f>data!E2052</f>
        <v>001002</v>
      </c>
      <c r="F2052" t="str">
        <f>data!F2052</f>
        <v>PANNIER AC CHAMP SELECTION BRUT</v>
      </c>
      <c r="G2052" s="10">
        <f>data!G2052</f>
        <v>168.52</v>
      </c>
      <c r="H2052" s="10">
        <f>data!I2052</f>
        <v>0</v>
      </c>
      <c r="I2052" s="10">
        <f t="shared" si="128"/>
        <v>168.52</v>
      </c>
      <c r="J2052" s="11">
        <f>data!H2052</f>
        <v>12</v>
      </c>
      <c r="K2052" s="11">
        <f>data!J2052</f>
        <v>0</v>
      </c>
      <c r="L2052" s="11">
        <f t="shared" si="129"/>
        <v>12</v>
      </c>
      <c r="M2052" s="9" t="str">
        <f t="shared" si="130"/>
        <v/>
      </c>
      <c r="N2052" s="9" t="str">
        <f t="shared" si="131"/>
        <v/>
      </c>
    </row>
    <row r="2053" spans="1:14" x14ac:dyDescent="0.25">
      <c r="A2053" t="str">
        <f>TEXT("1/"&amp;data!A2053,"mmmm")</f>
        <v>août</v>
      </c>
      <c r="B2053">
        <f>data!B2053</f>
        <v>2016</v>
      </c>
      <c r="C2053" t="str">
        <f>data!C2053</f>
        <v>001</v>
      </c>
      <c r="D2053" t="str">
        <f>data!D2053</f>
        <v>CHAMPAGNE PANNIER</v>
      </c>
      <c r="E2053" t="str">
        <f>data!E2053</f>
        <v>001015</v>
      </c>
      <c r="F2053" t="str">
        <f>data!F2053</f>
        <v>PANNIER CHAMP BRUT BLANC DE BLANCS</v>
      </c>
      <c r="G2053" s="10">
        <f>data!G2053</f>
        <v>412.56</v>
      </c>
      <c r="H2053" s="10">
        <f>data!I2053</f>
        <v>0</v>
      </c>
      <c r="I2053" s="10">
        <f t="shared" si="128"/>
        <v>412.56</v>
      </c>
      <c r="J2053" s="11">
        <f>data!H2053</f>
        <v>24</v>
      </c>
      <c r="K2053" s="11">
        <f>data!J2053</f>
        <v>0</v>
      </c>
      <c r="L2053" s="11">
        <f t="shared" si="129"/>
        <v>24</v>
      </c>
      <c r="M2053" s="9" t="str">
        <f t="shared" si="130"/>
        <v/>
      </c>
      <c r="N2053" s="9" t="str">
        <f t="shared" si="131"/>
        <v/>
      </c>
    </row>
    <row r="2054" spans="1:14" x14ac:dyDescent="0.25">
      <c r="A2054" t="str">
        <f>TEXT("1/"&amp;data!A2054,"mmmm")</f>
        <v>août</v>
      </c>
      <c r="B2054">
        <f>data!B2054</f>
        <v>2016</v>
      </c>
      <c r="C2054" t="str">
        <f>data!C2054</f>
        <v>001</v>
      </c>
      <c r="D2054" t="str">
        <f>data!D2054</f>
        <v>CHAMPAGNE PANNIER</v>
      </c>
      <c r="E2054" t="str">
        <f>data!E2054</f>
        <v>001031</v>
      </c>
      <c r="F2054" t="str">
        <f>data!F2054</f>
        <v>AC CHAMPAGNE EXTRA BRUT SELECTION - CHAMPAGNE PANN</v>
      </c>
      <c r="G2054" s="10">
        <f>data!G2054</f>
        <v>659.04</v>
      </c>
      <c r="H2054" s="10">
        <f>data!I2054</f>
        <v>0</v>
      </c>
      <c r="I2054" s="10">
        <f t="shared" si="128"/>
        <v>659.04</v>
      </c>
      <c r="J2054" s="11">
        <f>data!H2054</f>
        <v>48</v>
      </c>
      <c r="K2054" s="11">
        <f>data!J2054</f>
        <v>0</v>
      </c>
      <c r="L2054" s="11">
        <f t="shared" si="129"/>
        <v>48</v>
      </c>
      <c r="M2054" s="9" t="str">
        <f t="shared" si="130"/>
        <v/>
      </c>
      <c r="N2054" s="9" t="str">
        <f t="shared" si="131"/>
        <v/>
      </c>
    </row>
    <row r="2055" spans="1:14" x14ac:dyDescent="0.25">
      <c r="A2055" t="str">
        <f>TEXT("1/"&amp;data!A2055,"mmmm")</f>
        <v>août</v>
      </c>
      <c r="B2055">
        <f>data!B2055</f>
        <v>2016</v>
      </c>
      <c r="C2055" t="str">
        <f>data!C2055</f>
        <v>002</v>
      </c>
      <c r="D2055" t="str">
        <f>data!D2055</f>
        <v>CAVE DE GALLICIAN</v>
      </c>
      <c r="E2055" t="str">
        <f>data!E2055</f>
        <v>002001</v>
      </c>
      <c r="F2055" t="str">
        <f>data!F2055</f>
        <v>VDP MERLOT C.GALLICIAN</v>
      </c>
      <c r="G2055" s="10">
        <f>data!G2055</f>
        <v>3639.18</v>
      </c>
      <c r="H2055" s="10">
        <f>data!I2055</f>
        <v>1640.52</v>
      </c>
      <c r="I2055" s="10">
        <f t="shared" si="128"/>
        <v>1998.6599999999999</v>
      </c>
      <c r="J2055" s="11">
        <f>data!H2055</f>
        <v>3094.88</v>
      </c>
      <c r="K2055" s="11">
        <f>data!J2055</f>
        <v>1447.3899999999999</v>
      </c>
      <c r="L2055" s="11">
        <f t="shared" si="129"/>
        <v>1647.4900000000002</v>
      </c>
      <c r="M2055" s="9">
        <f t="shared" si="130"/>
        <v>1.2183088289079071</v>
      </c>
      <c r="N2055" s="9">
        <f t="shared" si="131"/>
        <v>1.1382488479262676</v>
      </c>
    </row>
    <row r="2056" spans="1:14" x14ac:dyDescent="0.25">
      <c r="A2056" t="str">
        <f>TEXT("1/"&amp;data!A2056,"mmmm")</f>
        <v>août</v>
      </c>
      <c r="B2056">
        <f>data!B2056</f>
        <v>2016</v>
      </c>
      <c r="C2056" t="str">
        <f>data!C2056</f>
        <v>002</v>
      </c>
      <c r="D2056" t="str">
        <f>data!D2056</f>
        <v>CAVE DE GALLICIAN</v>
      </c>
      <c r="E2056" t="str">
        <f>data!E2056</f>
        <v>002002</v>
      </c>
      <c r="F2056" t="str">
        <f>data!F2056</f>
        <v>VDP MERLOT. C GALLICIAN</v>
      </c>
      <c r="G2056" s="10">
        <f>data!G2056</f>
        <v>10004.280000000001</v>
      </c>
      <c r="H2056" s="10">
        <f>data!I2056</f>
        <v>5644.5</v>
      </c>
      <c r="I2056" s="10">
        <f t="shared" si="128"/>
        <v>4359.7800000000007</v>
      </c>
      <c r="J2056" s="11">
        <f>data!H2056</f>
        <v>9837.5400000000009</v>
      </c>
      <c r="K2056" s="11">
        <f>data!J2056</f>
        <v>5691.91</v>
      </c>
      <c r="L2056" s="11">
        <f t="shared" si="129"/>
        <v>4145.630000000001</v>
      </c>
      <c r="M2056" s="9">
        <f t="shared" si="130"/>
        <v>0.77239436619718327</v>
      </c>
      <c r="N2056" s="9">
        <f t="shared" si="131"/>
        <v>0.72833723653395799</v>
      </c>
    </row>
    <row r="2057" spans="1:14" x14ac:dyDescent="0.25">
      <c r="A2057" t="str">
        <f>TEXT("1/"&amp;data!A2057,"mmmm")</f>
        <v>août</v>
      </c>
      <c r="B2057">
        <f>data!B2057</f>
        <v>2016</v>
      </c>
      <c r="C2057" t="str">
        <f>data!C2057</f>
        <v>002</v>
      </c>
      <c r="D2057" t="str">
        <f>data!D2057</f>
        <v>CAVE DE GALLICIAN</v>
      </c>
      <c r="E2057" t="str">
        <f>data!E2057</f>
        <v>002003</v>
      </c>
      <c r="F2057" t="str">
        <f>data!F2057</f>
        <v>VDP GARD. C GALLICIAN</v>
      </c>
      <c r="G2057" s="10">
        <f>data!G2057</f>
        <v>6642.96</v>
      </c>
      <c r="H2057" s="10">
        <f>data!I2057</f>
        <v>3566.85</v>
      </c>
      <c r="I2057" s="10">
        <f t="shared" si="128"/>
        <v>3076.11</v>
      </c>
      <c r="J2057" s="11">
        <f>data!H2057</f>
        <v>7131.55</v>
      </c>
      <c r="K2057" s="11">
        <f>data!J2057</f>
        <v>4012.33</v>
      </c>
      <c r="L2057" s="11">
        <f t="shared" si="129"/>
        <v>3119.2200000000003</v>
      </c>
      <c r="M2057" s="9">
        <f t="shared" si="130"/>
        <v>0.86241641784768075</v>
      </c>
      <c r="N2057" s="9">
        <f t="shared" si="131"/>
        <v>0.77740863787375425</v>
      </c>
    </row>
    <row r="2058" spans="1:14" x14ac:dyDescent="0.25">
      <c r="A2058" t="str">
        <f>TEXT("1/"&amp;data!A2058,"mmmm")</f>
        <v>août</v>
      </c>
      <c r="B2058">
        <f>data!B2058</f>
        <v>2016</v>
      </c>
      <c r="C2058" t="str">
        <f>data!C2058</f>
        <v>002</v>
      </c>
      <c r="D2058" t="str">
        <f>data!D2058</f>
        <v>CAVE DE GALLICIAN</v>
      </c>
      <c r="E2058" t="str">
        <f>data!E2058</f>
        <v>002004</v>
      </c>
      <c r="F2058" t="str">
        <f>data!F2058</f>
        <v>VDP GARD. C GALLICIAN</v>
      </c>
      <c r="G2058" s="10">
        <f>data!G2058</f>
        <v>1430.04</v>
      </c>
      <c r="H2058" s="10">
        <f>data!I2058</f>
        <v>614.54999999999995</v>
      </c>
      <c r="I2058" s="10">
        <f t="shared" si="128"/>
        <v>815.49</v>
      </c>
      <c r="J2058" s="11">
        <f>data!H2058</f>
        <v>1360.68</v>
      </c>
      <c r="K2058" s="11">
        <f>data!J2058</f>
        <v>566.95000000000005</v>
      </c>
      <c r="L2058" s="11">
        <f t="shared" si="129"/>
        <v>793.73</v>
      </c>
      <c r="M2058" s="9">
        <f t="shared" si="130"/>
        <v>1.3269709543568466</v>
      </c>
      <c r="N2058" s="9">
        <f t="shared" si="131"/>
        <v>1.4</v>
      </c>
    </row>
    <row r="2059" spans="1:14" x14ac:dyDescent="0.25">
      <c r="A2059" t="str">
        <f>TEXT("1/"&amp;data!A2059,"mmmm")</f>
        <v>août</v>
      </c>
      <c r="B2059">
        <f>data!B2059</f>
        <v>2016</v>
      </c>
      <c r="C2059" t="str">
        <f>data!C2059</f>
        <v>002</v>
      </c>
      <c r="D2059" t="str">
        <f>data!D2059</f>
        <v>CAVE DE GALLICIAN</v>
      </c>
      <c r="E2059" t="str">
        <f>data!E2059</f>
        <v>002007</v>
      </c>
      <c r="F2059" t="str">
        <f>data!F2059</f>
        <v>VDT C GALLICIAN</v>
      </c>
      <c r="G2059" s="10">
        <f>data!G2059</f>
        <v>2167.1999999999998</v>
      </c>
      <c r="H2059" s="10">
        <f>data!I2059</f>
        <v>1123.26</v>
      </c>
      <c r="I2059" s="10">
        <f t="shared" si="128"/>
        <v>1043.9399999999998</v>
      </c>
      <c r="J2059" s="11">
        <f>data!H2059</f>
        <v>2399.4</v>
      </c>
      <c r="K2059" s="11">
        <f>data!J2059</f>
        <v>1306.3399999999999</v>
      </c>
      <c r="L2059" s="11">
        <f t="shared" si="129"/>
        <v>1093.0600000000002</v>
      </c>
      <c r="M2059" s="9">
        <f t="shared" si="130"/>
        <v>0.92938411409646904</v>
      </c>
      <c r="N2059" s="9">
        <f t="shared" si="131"/>
        <v>0.83673469387755117</v>
      </c>
    </row>
    <row r="2060" spans="1:14" x14ac:dyDescent="0.25">
      <c r="A2060" t="str">
        <f>TEXT("1/"&amp;data!A2060,"mmmm")</f>
        <v>août</v>
      </c>
      <c r="B2060">
        <f>data!B2060</f>
        <v>2016</v>
      </c>
      <c r="C2060" t="str">
        <f>data!C2060</f>
        <v>002</v>
      </c>
      <c r="D2060" t="str">
        <f>data!D2060</f>
        <v>CAVE DE GALLICIAN</v>
      </c>
      <c r="E2060" t="str">
        <f>data!E2060</f>
        <v>002008</v>
      </c>
      <c r="F2060" t="str">
        <f>data!F2060</f>
        <v>VDT. C GALLICIAN</v>
      </c>
      <c r="G2060" s="10">
        <f>data!G2060</f>
        <v>1540.44</v>
      </c>
      <c r="H2060" s="10">
        <f>data!I2060</f>
        <v>1615.85</v>
      </c>
      <c r="I2060" s="10">
        <f t="shared" si="128"/>
        <v>-75.409999999999854</v>
      </c>
      <c r="J2060" s="11">
        <f>data!H2060</f>
        <v>1760.22</v>
      </c>
      <c r="K2060" s="11">
        <f>data!J2060</f>
        <v>1973.5800000000002</v>
      </c>
      <c r="L2060" s="11">
        <f t="shared" si="129"/>
        <v>-213.36000000000013</v>
      </c>
      <c r="M2060" s="9">
        <f t="shared" si="130"/>
        <v>-4.66689358541943E-2</v>
      </c>
      <c r="N2060" s="9">
        <f t="shared" si="131"/>
        <v>-0.10810810810810817</v>
      </c>
    </row>
    <row r="2061" spans="1:14" x14ac:dyDescent="0.25">
      <c r="A2061" t="str">
        <f>TEXT("1/"&amp;data!A2061,"mmmm")</f>
        <v>août</v>
      </c>
      <c r="B2061">
        <f>data!B2061</f>
        <v>2016</v>
      </c>
      <c r="C2061" t="str">
        <f>data!C2061</f>
        <v>002</v>
      </c>
      <c r="D2061" t="str">
        <f>data!D2061</f>
        <v>CAVE DE GALLICIAN</v>
      </c>
      <c r="E2061" t="str">
        <f>data!E2061</f>
        <v>002009</v>
      </c>
      <c r="F2061" t="str">
        <f>data!F2061</f>
        <v>VDT. C GALLICIAN</v>
      </c>
      <c r="G2061" s="10">
        <f>data!G2061</f>
        <v>93.36</v>
      </c>
      <c r="H2061" s="10">
        <f>data!I2061</f>
        <v>22.45</v>
      </c>
      <c r="I2061" s="10">
        <f t="shared" si="128"/>
        <v>70.91</v>
      </c>
      <c r="J2061" s="11">
        <f>data!H2061</f>
        <v>106.68</v>
      </c>
      <c r="K2061" s="11">
        <f>data!J2061</f>
        <v>26.67</v>
      </c>
      <c r="L2061" s="11">
        <f t="shared" si="129"/>
        <v>80.010000000000005</v>
      </c>
      <c r="M2061" s="9">
        <f t="shared" si="130"/>
        <v>3.158574610244989</v>
      </c>
      <c r="N2061" s="9">
        <f t="shared" si="131"/>
        <v>3</v>
      </c>
    </row>
    <row r="2062" spans="1:14" x14ac:dyDescent="0.25">
      <c r="A2062" t="str">
        <f>TEXT("1/"&amp;data!A2062,"mmmm")</f>
        <v>août</v>
      </c>
      <c r="B2062">
        <f>data!B2062</f>
        <v>2016</v>
      </c>
      <c r="C2062" t="str">
        <f>data!C2062</f>
        <v>002</v>
      </c>
      <c r="D2062" t="str">
        <f>data!D2062</f>
        <v>CAVE DE GALLICIAN</v>
      </c>
      <c r="E2062" t="str">
        <f>data!E2062</f>
        <v>002010</v>
      </c>
      <c r="F2062" t="str">
        <f>data!F2062</f>
        <v>AC C. DE NIMES. C GALLICIAN</v>
      </c>
      <c r="G2062" s="10">
        <f>data!G2062</f>
        <v>1944.8</v>
      </c>
      <c r="H2062" s="10">
        <f>data!I2062</f>
        <v>1253.04</v>
      </c>
      <c r="I2062" s="10">
        <f t="shared" si="128"/>
        <v>691.76</v>
      </c>
      <c r="J2062" s="11">
        <f>data!H2062</f>
        <v>1400.7</v>
      </c>
      <c r="K2062" s="11">
        <f>data!J2062</f>
        <v>920.46</v>
      </c>
      <c r="L2062" s="11">
        <f t="shared" si="129"/>
        <v>480.24</v>
      </c>
      <c r="M2062" s="9">
        <f t="shared" si="130"/>
        <v>0.55206537700312841</v>
      </c>
      <c r="N2062" s="9">
        <f t="shared" si="131"/>
        <v>0.52173913043478259</v>
      </c>
    </row>
    <row r="2063" spans="1:14" x14ac:dyDescent="0.25">
      <c r="A2063" t="str">
        <f>TEXT("1/"&amp;data!A2063,"mmmm")</f>
        <v>août</v>
      </c>
      <c r="B2063">
        <f>data!B2063</f>
        <v>2016</v>
      </c>
      <c r="C2063" t="str">
        <f>data!C2063</f>
        <v>002</v>
      </c>
      <c r="D2063" t="str">
        <f>data!D2063</f>
        <v>CAVE DE GALLICIAN</v>
      </c>
      <c r="E2063" t="str">
        <f>data!E2063</f>
        <v>002011</v>
      </c>
      <c r="F2063" t="str">
        <f>data!F2063</f>
        <v>AC C DE NIMES C. GALLICIAN</v>
      </c>
      <c r="G2063" s="10">
        <f>data!G2063</f>
        <v>2733.88</v>
      </c>
      <c r="H2063" s="10">
        <f>data!I2063</f>
        <v>2151.94</v>
      </c>
      <c r="I2063" s="10">
        <f t="shared" si="128"/>
        <v>581.94000000000005</v>
      </c>
      <c r="J2063" s="11">
        <f>data!H2063</f>
        <v>2186.12</v>
      </c>
      <c r="K2063" s="11">
        <f>data!J2063</f>
        <v>1772.89</v>
      </c>
      <c r="L2063" s="11">
        <f t="shared" si="129"/>
        <v>413.22999999999979</v>
      </c>
      <c r="M2063" s="9">
        <f t="shared" si="130"/>
        <v>0.27042575536492652</v>
      </c>
      <c r="N2063" s="9">
        <f t="shared" si="131"/>
        <v>0.23308270676691717</v>
      </c>
    </row>
    <row r="2064" spans="1:14" x14ac:dyDescent="0.25">
      <c r="A2064" t="str">
        <f>TEXT("1/"&amp;data!A2064,"mmmm")</f>
        <v>août</v>
      </c>
      <c r="B2064">
        <f>data!B2064</f>
        <v>2016</v>
      </c>
      <c r="C2064" t="str">
        <f>data!C2064</f>
        <v>002</v>
      </c>
      <c r="D2064" t="str">
        <f>data!D2064</f>
        <v>CAVE DE GALLICIAN</v>
      </c>
      <c r="E2064" t="str">
        <f>data!E2064</f>
        <v>002015</v>
      </c>
      <c r="F2064" t="str">
        <f>data!F2064</f>
        <v>AC C DE NIMES C. GALLICIAN</v>
      </c>
      <c r="G2064" s="10">
        <f>data!G2064</f>
        <v>5084.3500000000004</v>
      </c>
      <c r="H2064" s="10">
        <f>data!I2064</f>
        <v>4902.54</v>
      </c>
      <c r="I2064" s="10">
        <f t="shared" si="128"/>
        <v>181.8100000000004</v>
      </c>
      <c r="J2064" s="11">
        <f>data!H2064</f>
        <v>4065.65</v>
      </c>
      <c r="K2064" s="11">
        <f>data!J2064</f>
        <v>4065.65</v>
      </c>
      <c r="L2064" s="11">
        <f t="shared" si="129"/>
        <v>0</v>
      </c>
      <c r="M2064" s="9">
        <f t="shared" si="130"/>
        <v>3.708485805317252E-2</v>
      </c>
      <c r="N2064" s="9">
        <f t="shared" si="131"/>
        <v>0</v>
      </c>
    </row>
    <row r="2065" spans="1:14" x14ac:dyDescent="0.25">
      <c r="A2065" t="str">
        <f>TEXT("1/"&amp;data!A2065,"mmmm")</f>
        <v>août</v>
      </c>
      <c r="B2065">
        <f>data!B2065</f>
        <v>2016</v>
      </c>
      <c r="C2065" t="str">
        <f>data!C2065</f>
        <v>002</v>
      </c>
      <c r="D2065" t="str">
        <f>data!D2065</f>
        <v>CAVE DE GALLICIAN</v>
      </c>
      <c r="E2065" t="str">
        <f>data!E2065</f>
        <v>002016</v>
      </c>
      <c r="F2065" t="str">
        <f>data!F2065</f>
        <v>AC C DE NIMES C. GALLICIAN</v>
      </c>
      <c r="G2065" s="10">
        <f>data!G2065</f>
        <v>4975.55</v>
      </c>
      <c r="H2065" s="10">
        <f>data!I2065</f>
        <v>2052.08</v>
      </c>
      <c r="I2065" s="10">
        <f t="shared" si="128"/>
        <v>2923.4700000000003</v>
      </c>
      <c r="J2065" s="11">
        <f>data!H2065</f>
        <v>3481.74</v>
      </c>
      <c r="K2065" s="11">
        <f>data!J2065</f>
        <v>1514.09</v>
      </c>
      <c r="L2065" s="11">
        <f t="shared" si="129"/>
        <v>1967.6499999999999</v>
      </c>
      <c r="M2065" s="9">
        <f t="shared" si="130"/>
        <v>1.4246374410354374</v>
      </c>
      <c r="N2065" s="9">
        <f t="shared" si="131"/>
        <v>1.2995594713656387</v>
      </c>
    </row>
    <row r="2066" spans="1:14" x14ac:dyDescent="0.25">
      <c r="A2066" t="str">
        <f>TEXT("1/"&amp;data!A2066,"mmmm")</f>
        <v>août</v>
      </c>
      <c r="B2066">
        <f>data!B2066</f>
        <v>2016</v>
      </c>
      <c r="C2066" t="str">
        <f>data!C2066</f>
        <v>002</v>
      </c>
      <c r="D2066" t="str">
        <f>data!D2066</f>
        <v>CAVE DE GALLICIAN</v>
      </c>
      <c r="E2066" t="str">
        <f>data!E2066</f>
        <v>002017</v>
      </c>
      <c r="F2066" t="str">
        <f>data!F2066</f>
        <v>VDP GARD C. GALLICIAN</v>
      </c>
      <c r="G2066" s="10">
        <f>data!G2066</f>
        <v>5971.2</v>
      </c>
      <c r="H2066" s="10">
        <f>data!I2066</f>
        <v>4700.28</v>
      </c>
      <c r="I2066" s="10">
        <f t="shared" si="128"/>
        <v>1270.92</v>
      </c>
      <c r="J2066" s="11">
        <f>data!H2066</f>
        <v>6398.4</v>
      </c>
      <c r="K2066" s="11">
        <f>data!J2066</f>
        <v>5265.35</v>
      </c>
      <c r="L2066" s="11">
        <f t="shared" si="129"/>
        <v>1133.0499999999993</v>
      </c>
      <c r="M2066" s="9">
        <f t="shared" si="130"/>
        <v>0.27039240215476529</v>
      </c>
      <c r="N2066" s="9">
        <f t="shared" si="131"/>
        <v>0.21518987341772136</v>
      </c>
    </row>
    <row r="2067" spans="1:14" x14ac:dyDescent="0.25">
      <c r="A2067" t="str">
        <f>TEXT("1/"&amp;data!A2067,"mmmm")</f>
        <v>août</v>
      </c>
      <c r="B2067">
        <f>data!B2067</f>
        <v>2016</v>
      </c>
      <c r="C2067" t="str">
        <f>data!C2067</f>
        <v>002</v>
      </c>
      <c r="D2067" t="str">
        <f>data!D2067</f>
        <v>CAVE DE GALLICIAN</v>
      </c>
      <c r="E2067" t="str">
        <f>data!E2067</f>
        <v>002018</v>
      </c>
      <c r="F2067" t="str">
        <f>data!F2067</f>
        <v>VDP GARD C. GALLICIAN</v>
      </c>
      <c r="G2067" s="10">
        <f>data!G2067</f>
        <v>3334.44</v>
      </c>
      <c r="H2067" s="10">
        <f>data!I2067</f>
        <v>2399.75</v>
      </c>
      <c r="I2067" s="10">
        <f t="shared" si="128"/>
        <v>934.69</v>
      </c>
      <c r="J2067" s="11">
        <f>data!H2067</f>
        <v>2968.15</v>
      </c>
      <c r="K2067" s="11">
        <f>data!J2067</f>
        <v>2221.11</v>
      </c>
      <c r="L2067" s="11">
        <f t="shared" si="129"/>
        <v>747.04</v>
      </c>
      <c r="M2067" s="9">
        <f t="shared" si="130"/>
        <v>0.38949473903531623</v>
      </c>
      <c r="N2067" s="9">
        <f t="shared" si="131"/>
        <v>0.33633633633633631</v>
      </c>
    </row>
    <row r="2068" spans="1:14" x14ac:dyDescent="0.25">
      <c r="A2068" t="str">
        <f>TEXT("1/"&amp;data!A2068,"mmmm")</f>
        <v>août</v>
      </c>
      <c r="B2068">
        <f>data!B2068</f>
        <v>2016</v>
      </c>
      <c r="C2068" t="str">
        <f>data!C2068</f>
        <v>002</v>
      </c>
      <c r="D2068" t="str">
        <f>data!D2068</f>
        <v>CAVE DE GALLICIAN</v>
      </c>
      <c r="E2068" t="str">
        <f>data!E2068</f>
        <v>002020</v>
      </c>
      <c r="F2068" t="str">
        <f>data!F2068</f>
        <v>AC C DE NIMES C DES LAUNES</v>
      </c>
      <c r="G2068" s="10">
        <f>data!G2068</f>
        <v>1278.9000000000001</v>
      </c>
      <c r="H2068" s="10">
        <f>data!I2068</f>
        <v>907.2</v>
      </c>
      <c r="I2068" s="10">
        <f t="shared" si="128"/>
        <v>371.70000000000005</v>
      </c>
      <c r="J2068" s="11">
        <f>data!H2068</f>
        <v>522</v>
      </c>
      <c r="K2068" s="11">
        <f>data!J2068</f>
        <v>378</v>
      </c>
      <c r="L2068" s="11">
        <f t="shared" si="129"/>
        <v>144</v>
      </c>
      <c r="M2068" s="9">
        <f t="shared" si="130"/>
        <v>0.40972222222222227</v>
      </c>
      <c r="N2068" s="9">
        <f t="shared" si="131"/>
        <v>0.38095238095238093</v>
      </c>
    </row>
    <row r="2069" spans="1:14" x14ac:dyDescent="0.25">
      <c r="A2069" t="str">
        <f>TEXT("1/"&amp;data!A2069,"mmmm")</f>
        <v>août</v>
      </c>
      <c r="B2069">
        <f>data!B2069</f>
        <v>2016</v>
      </c>
      <c r="C2069" t="str">
        <f>data!C2069</f>
        <v>002</v>
      </c>
      <c r="D2069" t="str">
        <f>data!D2069</f>
        <v>CAVE DE GALLICIAN</v>
      </c>
      <c r="E2069" t="str">
        <f>data!E2069</f>
        <v>002021</v>
      </c>
      <c r="F2069" t="str">
        <f>data!F2069</f>
        <v>AC COSTIERES DE NIMES CUVEE PRESTIGE</v>
      </c>
      <c r="G2069" s="10">
        <f>data!G2069</f>
        <v>144.54</v>
      </c>
      <c r="H2069" s="10">
        <f>data!I2069</f>
        <v>87.36</v>
      </c>
      <c r="I2069" s="10">
        <f t="shared" si="128"/>
        <v>57.179999999999993</v>
      </c>
      <c r="J2069" s="11">
        <f>data!H2069</f>
        <v>66</v>
      </c>
      <c r="K2069" s="11">
        <f>data!J2069</f>
        <v>48</v>
      </c>
      <c r="L2069" s="11">
        <f t="shared" si="129"/>
        <v>18</v>
      </c>
      <c r="M2069" s="9">
        <f t="shared" si="130"/>
        <v>0.65453296703296693</v>
      </c>
      <c r="N2069" s="9">
        <f t="shared" si="131"/>
        <v>0.375</v>
      </c>
    </row>
    <row r="2070" spans="1:14" x14ac:dyDescent="0.25">
      <c r="A2070" t="str">
        <f>TEXT("1/"&amp;data!A2070,"mmmm")</f>
        <v>août</v>
      </c>
      <c r="B2070">
        <f>data!B2070</f>
        <v>2016</v>
      </c>
      <c r="C2070" t="str">
        <f>data!C2070</f>
        <v>002</v>
      </c>
      <c r="D2070" t="str">
        <f>data!D2070</f>
        <v>CAVE DE GALLICIAN</v>
      </c>
      <c r="E2070" t="str">
        <f>data!E2070</f>
        <v>002025</v>
      </c>
      <c r="F2070" t="str">
        <f>data!F2070</f>
        <v>AC COSTIERES DE NIMES CUVEE PRESTIGE</v>
      </c>
      <c r="G2070" s="10">
        <f>data!G2070</f>
        <v>26.28</v>
      </c>
      <c r="H2070" s="10">
        <f>data!I2070</f>
        <v>131.4</v>
      </c>
      <c r="I2070" s="10">
        <f t="shared" si="128"/>
        <v>-105.12</v>
      </c>
      <c r="J2070" s="11">
        <f>data!H2070</f>
        <v>12</v>
      </c>
      <c r="K2070" s="11">
        <f>data!J2070</f>
        <v>60</v>
      </c>
      <c r="L2070" s="11">
        <f t="shared" si="129"/>
        <v>-48</v>
      </c>
      <c r="M2070" s="9">
        <f t="shared" si="130"/>
        <v>-0.8</v>
      </c>
      <c r="N2070" s="9">
        <f t="shared" si="131"/>
        <v>-0.8</v>
      </c>
    </row>
    <row r="2071" spans="1:14" x14ac:dyDescent="0.25">
      <c r="A2071" t="str">
        <f>TEXT("1/"&amp;data!A2071,"mmmm")</f>
        <v>août</v>
      </c>
      <c r="B2071">
        <f>data!B2071</f>
        <v>2016</v>
      </c>
      <c r="C2071" t="str">
        <f>data!C2071</f>
        <v>002</v>
      </c>
      <c r="D2071" t="str">
        <f>data!D2071</f>
        <v>CAVE DE GALLICIAN</v>
      </c>
      <c r="E2071" t="str">
        <f>data!E2071</f>
        <v>002026</v>
      </c>
      <c r="F2071" t="str">
        <f>data!F2071</f>
        <v>IGP GARD GRES D'OR</v>
      </c>
      <c r="G2071" s="10">
        <f>data!G2071</f>
        <v>321.36</v>
      </c>
      <c r="H2071" s="10">
        <f>data!I2071</f>
        <v>196.32</v>
      </c>
      <c r="I2071" s="10">
        <f t="shared" si="128"/>
        <v>125.04000000000002</v>
      </c>
      <c r="J2071" s="11">
        <f>data!H2071</f>
        <v>156</v>
      </c>
      <c r="K2071" s="11">
        <f>data!J2071</f>
        <v>96</v>
      </c>
      <c r="L2071" s="11">
        <f t="shared" si="129"/>
        <v>60</v>
      </c>
      <c r="M2071" s="9">
        <f t="shared" si="130"/>
        <v>0.63691931540342306</v>
      </c>
      <c r="N2071" s="9">
        <f t="shared" si="131"/>
        <v>0.625</v>
      </c>
    </row>
    <row r="2072" spans="1:14" x14ac:dyDescent="0.25">
      <c r="A2072" t="str">
        <f>TEXT("1/"&amp;data!A2072,"mmmm")</f>
        <v>août</v>
      </c>
      <c r="B2072">
        <f>data!B2072</f>
        <v>2016</v>
      </c>
      <c r="C2072" t="str">
        <f>data!C2072</f>
        <v>002</v>
      </c>
      <c r="D2072" t="str">
        <f>data!D2072</f>
        <v>CAVE DE GALLICIAN</v>
      </c>
      <c r="E2072" t="str">
        <f>data!E2072</f>
        <v>002027</v>
      </c>
      <c r="F2072" t="str">
        <f>data!F2072</f>
        <v>IGP D'OC  GRIS DES LAUNES  GALLICIAN</v>
      </c>
      <c r="G2072" s="10">
        <f>data!G2072</f>
        <v>696</v>
      </c>
      <c r="H2072" s="10">
        <f>data!I2072</f>
        <v>44.88</v>
      </c>
      <c r="I2072" s="10">
        <f t="shared" si="128"/>
        <v>651.12</v>
      </c>
      <c r="J2072" s="11">
        <f>data!H2072</f>
        <v>348</v>
      </c>
      <c r="K2072" s="11">
        <f>data!J2072</f>
        <v>24</v>
      </c>
      <c r="L2072" s="11">
        <f t="shared" si="129"/>
        <v>324</v>
      </c>
      <c r="M2072" s="9">
        <f t="shared" si="130"/>
        <v>14.508021390374331</v>
      </c>
      <c r="N2072" s="9">
        <f t="shared" si="131"/>
        <v>13.5</v>
      </c>
    </row>
    <row r="2073" spans="1:14" x14ac:dyDescent="0.25">
      <c r="A2073" t="str">
        <f>TEXT("1/"&amp;data!A2073,"mmmm")</f>
        <v>août</v>
      </c>
      <c r="B2073">
        <f>data!B2073</f>
        <v>2016</v>
      </c>
      <c r="C2073" t="str">
        <f>data!C2073</f>
        <v>002</v>
      </c>
      <c r="D2073" t="str">
        <f>data!D2073</f>
        <v>CAVE DE GALLICIAN</v>
      </c>
      <c r="E2073" t="str">
        <f>data!E2073</f>
        <v>002028</v>
      </c>
      <c r="F2073" t="str">
        <f>data!F2073</f>
        <v>VDT GALLICIAN</v>
      </c>
      <c r="G2073" s="10">
        <f>data!G2073</f>
        <v>21.58</v>
      </c>
      <c r="H2073" s="10">
        <f>data!I2073</f>
        <v>107.9</v>
      </c>
      <c r="I2073" s="10">
        <f t="shared" si="128"/>
        <v>-86.320000000000007</v>
      </c>
      <c r="J2073" s="11">
        <f>data!H2073</f>
        <v>26.67</v>
      </c>
      <c r="K2073" s="11">
        <f>data!J2073</f>
        <v>133.35000000000002</v>
      </c>
      <c r="L2073" s="11">
        <f t="shared" si="129"/>
        <v>-106.68000000000002</v>
      </c>
      <c r="M2073" s="9">
        <f t="shared" si="130"/>
        <v>-0.8</v>
      </c>
      <c r="N2073" s="9">
        <f t="shared" si="131"/>
        <v>-0.8</v>
      </c>
    </row>
    <row r="2074" spans="1:14" x14ac:dyDescent="0.25">
      <c r="A2074" t="str">
        <f>TEXT("1/"&amp;data!A2074,"mmmm")</f>
        <v>août</v>
      </c>
      <c r="B2074">
        <f>data!B2074</f>
        <v>2016</v>
      </c>
      <c r="C2074" t="str">
        <f>data!C2074</f>
        <v>002</v>
      </c>
      <c r="D2074" t="str">
        <f>data!D2074</f>
        <v>CAVE DE GALLICIAN</v>
      </c>
      <c r="E2074" t="str">
        <f>data!E2074</f>
        <v>002034</v>
      </c>
      <c r="F2074" t="str">
        <f>data!F2074</f>
        <v>AOP COSTIERES DE NIMES</v>
      </c>
      <c r="G2074" s="10">
        <f>data!G2074</f>
        <v>59.4</v>
      </c>
      <c r="H2074" s="10">
        <f>data!I2074</f>
        <v>74.760000000000005</v>
      </c>
      <c r="I2074" s="10">
        <f t="shared" si="128"/>
        <v>-15.360000000000007</v>
      </c>
      <c r="J2074" s="11">
        <f>data!H2074</f>
        <v>36</v>
      </c>
      <c r="K2074" s="11">
        <f>data!J2074</f>
        <v>48</v>
      </c>
      <c r="L2074" s="11">
        <f t="shared" si="129"/>
        <v>-12</v>
      </c>
      <c r="M2074" s="9">
        <f t="shared" si="130"/>
        <v>-0.20545746388443026</v>
      </c>
      <c r="N2074" s="9">
        <f t="shared" si="131"/>
        <v>-0.25</v>
      </c>
    </row>
    <row r="2075" spans="1:14" x14ac:dyDescent="0.25">
      <c r="A2075" t="str">
        <f>TEXT("1/"&amp;data!A2075,"mmmm")</f>
        <v>août</v>
      </c>
      <c r="B2075">
        <f>data!B2075</f>
        <v>2016</v>
      </c>
      <c r="C2075" t="str">
        <f>data!C2075</f>
        <v>002</v>
      </c>
      <c r="D2075" t="str">
        <f>data!D2075</f>
        <v>CAVE DE GALLICIAN</v>
      </c>
      <c r="E2075" t="str">
        <f>data!E2075</f>
        <v>002035</v>
      </c>
      <c r="F2075" t="str">
        <f>data!F2075</f>
        <v>AOP COSTIERES DE NIMES</v>
      </c>
      <c r="G2075" s="10">
        <f>data!G2075</f>
        <v>52.8</v>
      </c>
      <c r="H2075" s="10">
        <f>data!I2075</f>
        <v>43.61</v>
      </c>
      <c r="I2075" s="10">
        <f t="shared" si="128"/>
        <v>9.1899999999999977</v>
      </c>
      <c r="J2075" s="11">
        <f>data!H2075</f>
        <v>32</v>
      </c>
      <c r="K2075" s="11">
        <f>data!J2075</f>
        <v>28</v>
      </c>
      <c r="L2075" s="11">
        <f t="shared" si="129"/>
        <v>4</v>
      </c>
      <c r="M2075" s="9">
        <f t="shared" si="130"/>
        <v>0.21073148360467778</v>
      </c>
      <c r="N2075" s="9">
        <f t="shared" si="131"/>
        <v>0.14285714285714285</v>
      </c>
    </row>
    <row r="2076" spans="1:14" x14ac:dyDescent="0.25">
      <c r="A2076" t="str">
        <f>TEXT("1/"&amp;data!A2076,"mmmm")</f>
        <v>août</v>
      </c>
      <c r="B2076">
        <f>data!B2076</f>
        <v>2016</v>
      </c>
      <c r="C2076" t="str">
        <f>data!C2076</f>
        <v>002</v>
      </c>
      <c r="D2076" t="str">
        <f>data!D2076</f>
        <v>CAVE DE GALLICIAN</v>
      </c>
      <c r="E2076" t="str">
        <f>data!E2076</f>
        <v>002037</v>
      </c>
      <c r="F2076" t="str">
        <f>data!F2076</f>
        <v>AOP COSTIERES DE NIMES COMBES DE MEZIERES</v>
      </c>
      <c r="G2076" s="10">
        <f>data!G2076</f>
        <v>107.28</v>
      </c>
      <c r="H2076" s="10">
        <f>data!I2076</f>
        <v>0</v>
      </c>
      <c r="I2076" s="10">
        <f t="shared" si="128"/>
        <v>107.28</v>
      </c>
      <c r="J2076" s="11">
        <f>data!H2076</f>
        <v>36</v>
      </c>
      <c r="K2076" s="11">
        <f>data!J2076</f>
        <v>0</v>
      </c>
      <c r="L2076" s="11">
        <f t="shared" si="129"/>
        <v>36</v>
      </c>
      <c r="M2076" s="9" t="str">
        <f t="shared" si="130"/>
        <v/>
      </c>
      <c r="N2076" s="9" t="str">
        <f t="shared" si="131"/>
        <v/>
      </c>
    </row>
    <row r="2077" spans="1:14" x14ac:dyDescent="0.25">
      <c r="A2077" t="str">
        <f>TEXT("1/"&amp;data!A2077,"mmmm")</f>
        <v>août</v>
      </c>
      <c r="B2077">
        <f>data!B2077</f>
        <v>2016</v>
      </c>
      <c r="C2077" t="str">
        <f>data!C2077</f>
        <v>002</v>
      </c>
      <c r="D2077" t="str">
        <f>data!D2077</f>
        <v>CAVE DE GALLICIAN</v>
      </c>
      <c r="E2077" t="str">
        <f>data!E2077</f>
        <v>002040</v>
      </c>
      <c r="F2077" t="str">
        <f>data!F2077</f>
        <v>AOP COSTIERES DE NIMES PRESTIGE</v>
      </c>
      <c r="G2077" s="10">
        <f>data!G2077</f>
        <v>289.08</v>
      </c>
      <c r="H2077" s="10">
        <f>data!I2077</f>
        <v>210.24</v>
      </c>
      <c r="I2077" s="10">
        <f t="shared" si="128"/>
        <v>78.839999999999975</v>
      </c>
      <c r="J2077" s="11">
        <f>data!H2077</f>
        <v>132</v>
      </c>
      <c r="K2077" s="11">
        <f>data!J2077</f>
        <v>96</v>
      </c>
      <c r="L2077" s="11">
        <f t="shared" si="129"/>
        <v>36</v>
      </c>
      <c r="M2077" s="9">
        <f t="shared" si="130"/>
        <v>0.37499999999999989</v>
      </c>
      <c r="N2077" s="9">
        <f t="shared" si="131"/>
        <v>0.375</v>
      </c>
    </row>
    <row r="2078" spans="1:14" x14ac:dyDescent="0.25">
      <c r="A2078" t="str">
        <f>TEXT("1/"&amp;data!A2078,"mmmm")</f>
        <v>août</v>
      </c>
      <c r="B2078">
        <f>data!B2078</f>
        <v>2016</v>
      </c>
      <c r="C2078" t="str">
        <f>data!C2078</f>
        <v>002</v>
      </c>
      <c r="D2078" t="str">
        <f>data!D2078</f>
        <v>CAVE DE GALLICIAN</v>
      </c>
      <c r="E2078" t="str">
        <f>data!E2078</f>
        <v>002100</v>
      </c>
      <c r="F2078" t="str">
        <f>data!F2078</f>
        <v>VDP DU GARD. LOU GRES D'OR</v>
      </c>
      <c r="G2078" s="10">
        <f>data!G2078</f>
        <v>405.84</v>
      </c>
      <c r="H2078" s="10">
        <f>data!I2078</f>
        <v>653.94000000000005</v>
      </c>
      <c r="I2078" s="10">
        <f t="shared" si="128"/>
        <v>-248.10000000000008</v>
      </c>
      <c r="J2078" s="11">
        <f>data!H2078</f>
        <v>228</v>
      </c>
      <c r="K2078" s="11">
        <f>data!J2078</f>
        <v>378</v>
      </c>
      <c r="L2078" s="11">
        <f t="shared" si="129"/>
        <v>-150</v>
      </c>
      <c r="M2078" s="9">
        <f t="shared" si="130"/>
        <v>-0.37939260482613091</v>
      </c>
      <c r="N2078" s="9">
        <f t="shared" si="131"/>
        <v>-0.3968253968253968</v>
      </c>
    </row>
    <row r="2079" spans="1:14" x14ac:dyDescent="0.25">
      <c r="A2079" t="str">
        <f>TEXT("1/"&amp;data!A2079,"mmmm")</f>
        <v>août</v>
      </c>
      <c r="B2079">
        <f>data!B2079</f>
        <v>2016</v>
      </c>
      <c r="C2079" t="str">
        <f>data!C2079</f>
        <v>002</v>
      </c>
      <c r="D2079" t="str">
        <f>data!D2079</f>
        <v>CAVE DE GALLICIAN</v>
      </c>
      <c r="E2079" t="str">
        <f>data!E2079</f>
        <v>002101</v>
      </c>
      <c r="F2079" t="str">
        <f>data!F2079</f>
        <v>IGP DU GARD LOU GRES D'OR</v>
      </c>
      <c r="G2079" s="10">
        <f>data!G2079</f>
        <v>117.48</v>
      </c>
      <c r="H2079" s="10">
        <f>data!I2079</f>
        <v>217.98</v>
      </c>
      <c r="I2079" s="10">
        <f t="shared" si="128"/>
        <v>-100.49999999999999</v>
      </c>
      <c r="J2079" s="11">
        <f>data!H2079</f>
        <v>66</v>
      </c>
      <c r="K2079" s="11">
        <f>data!J2079</f>
        <v>126</v>
      </c>
      <c r="L2079" s="11">
        <f t="shared" si="129"/>
        <v>-60</v>
      </c>
      <c r="M2079" s="9">
        <f t="shared" si="130"/>
        <v>-0.46105147261216622</v>
      </c>
      <c r="N2079" s="9">
        <f t="shared" si="131"/>
        <v>-0.47619047619047616</v>
      </c>
    </row>
    <row r="2080" spans="1:14" x14ac:dyDescent="0.25">
      <c r="A2080" t="str">
        <f>TEXT("1/"&amp;data!A2080,"mmmm")</f>
        <v>août</v>
      </c>
      <c r="B2080">
        <f>data!B2080</f>
        <v>2016</v>
      </c>
      <c r="C2080" t="str">
        <f>data!C2080</f>
        <v>002</v>
      </c>
      <c r="D2080" t="str">
        <f>data!D2080</f>
        <v>CAVE DE GALLICIAN</v>
      </c>
      <c r="E2080" t="str">
        <f>data!E2080</f>
        <v>002200</v>
      </c>
      <c r="F2080" t="str">
        <f>data!F2080</f>
        <v>ROSE PAMPLEMOUSSE</v>
      </c>
      <c r="G2080" s="10">
        <f>data!G2080</f>
        <v>27.8</v>
      </c>
      <c r="H2080" s="10">
        <f>data!I2080</f>
        <v>0</v>
      </c>
      <c r="I2080" s="10">
        <f t="shared" si="128"/>
        <v>27.8</v>
      </c>
      <c r="J2080" s="11">
        <f>data!H2080</f>
        <v>16</v>
      </c>
      <c r="K2080" s="11">
        <f>data!J2080</f>
        <v>0</v>
      </c>
      <c r="L2080" s="11">
        <f t="shared" si="129"/>
        <v>16</v>
      </c>
      <c r="M2080" s="9" t="str">
        <f t="shared" si="130"/>
        <v/>
      </c>
      <c r="N2080" s="9" t="str">
        <f t="shared" si="131"/>
        <v/>
      </c>
    </row>
    <row r="2081" spans="1:14" x14ac:dyDescent="0.25">
      <c r="A2081" t="str">
        <f>TEXT("1/"&amp;data!A2081,"mmmm")</f>
        <v>août</v>
      </c>
      <c r="B2081">
        <f>data!B2081</f>
        <v>2016</v>
      </c>
      <c r="C2081" t="str">
        <f>data!C2081</f>
        <v>002</v>
      </c>
      <c r="D2081" t="str">
        <f>data!D2081</f>
        <v>CAVE DE GALLICIAN</v>
      </c>
      <c r="E2081" t="str">
        <f>data!E2081</f>
        <v>002903</v>
      </c>
      <c r="F2081" t="str">
        <f>data!F2081</f>
        <v>VDP MERLOT C. GALLICIAN</v>
      </c>
      <c r="G2081" s="10">
        <f>data!G2081</f>
        <v>1260</v>
      </c>
      <c r="H2081" s="10">
        <f>data!I2081</f>
        <v>0</v>
      </c>
      <c r="I2081" s="10">
        <f t="shared" si="128"/>
        <v>1260</v>
      </c>
      <c r="J2081" s="11">
        <f>data!H2081</f>
        <v>1493.52</v>
      </c>
      <c r="K2081" s="11">
        <f>data!J2081</f>
        <v>0</v>
      </c>
      <c r="L2081" s="11">
        <f t="shared" si="129"/>
        <v>1493.52</v>
      </c>
      <c r="M2081" s="9" t="str">
        <f t="shared" si="130"/>
        <v/>
      </c>
      <c r="N2081" s="9" t="str">
        <f t="shared" si="131"/>
        <v/>
      </c>
    </row>
    <row r="2082" spans="1:14" x14ac:dyDescent="0.25">
      <c r="A2082" t="str">
        <f>TEXT("1/"&amp;data!A2082,"mmmm")</f>
        <v>août</v>
      </c>
      <c r="B2082">
        <f>data!B2082</f>
        <v>2016</v>
      </c>
      <c r="C2082" t="str">
        <f>data!C2082</f>
        <v>002</v>
      </c>
      <c r="D2082" t="str">
        <f>data!D2082</f>
        <v>CAVE DE GALLICIAN</v>
      </c>
      <c r="E2082" t="str">
        <f>data!E2082</f>
        <v>002905</v>
      </c>
      <c r="F2082" t="str">
        <f>data!F2082</f>
        <v>VDT. CUVEE FIOJOLI étiq perso scaeL</v>
      </c>
      <c r="G2082" s="10">
        <f>data!G2082</f>
        <v>270</v>
      </c>
      <c r="H2082" s="10">
        <f>data!I2082</f>
        <v>0</v>
      </c>
      <c r="I2082" s="10">
        <f t="shared" si="128"/>
        <v>270</v>
      </c>
      <c r="J2082" s="11">
        <f>data!H2082</f>
        <v>333.25</v>
      </c>
      <c r="K2082" s="11">
        <f>data!J2082</f>
        <v>0</v>
      </c>
      <c r="L2082" s="11">
        <f t="shared" si="129"/>
        <v>333.25</v>
      </c>
      <c r="M2082" s="9" t="str">
        <f t="shared" si="130"/>
        <v/>
      </c>
      <c r="N2082" s="9" t="str">
        <f t="shared" si="131"/>
        <v/>
      </c>
    </row>
    <row r="2083" spans="1:14" x14ac:dyDescent="0.25">
      <c r="A2083" t="str">
        <f>TEXT("1/"&amp;data!A2083,"mmmm")</f>
        <v>août</v>
      </c>
      <c r="B2083">
        <f>data!B2083</f>
        <v>2016</v>
      </c>
      <c r="C2083" t="str">
        <f>data!C2083</f>
        <v>007</v>
      </c>
      <c r="D2083" t="str">
        <f>data!D2083</f>
        <v>DOMAINE ANDRE DUSSOURT</v>
      </c>
      <c r="E2083" t="str">
        <f>data!E2083</f>
        <v>007002</v>
      </c>
      <c r="F2083" t="str">
        <f>data!F2083</f>
        <v>AC RIESLING D. DUSSOURT</v>
      </c>
      <c r="G2083" s="10">
        <f>data!G2083</f>
        <v>138</v>
      </c>
      <c r="H2083" s="10">
        <f>data!I2083</f>
        <v>147.6</v>
      </c>
      <c r="I2083" s="10">
        <f t="shared" si="128"/>
        <v>-9.5999999999999943</v>
      </c>
      <c r="J2083" s="11">
        <f>data!H2083</f>
        <v>30</v>
      </c>
      <c r="K2083" s="11">
        <f>data!J2083</f>
        <v>36</v>
      </c>
      <c r="L2083" s="11">
        <f t="shared" si="129"/>
        <v>-6</v>
      </c>
      <c r="M2083" s="9">
        <f t="shared" si="130"/>
        <v>-6.504065040650403E-2</v>
      </c>
      <c r="N2083" s="9">
        <f t="shared" si="131"/>
        <v>-0.16666666666666666</v>
      </c>
    </row>
    <row r="2084" spans="1:14" x14ac:dyDescent="0.25">
      <c r="A2084" t="str">
        <f>TEXT("1/"&amp;data!A2084,"mmmm")</f>
        <v>août</v>
      </c>
      <c r="B2084">
        <f>data!B2084</f>
        <v>2016</v>
      </c>
      <c r="C2084" t="str">
        <f>data!C2084</f>
        <v>007</v>
      </c>
      <c r="D2084" t="str">
        <f>data!D2084</f>
        <v>DOMAINE ANDRE DUSSOURT</v>
      </c>
      <c r="E2084" t="str">
        <f>data!E2084</f>
        <v>007003</v>
      </c>
      <c r="F2084" t="str">
        <f>data!F2084</f>
        <v>AC PINOT GRIS D. DUSSOURT</v>
      </c>
      <c r="G2084" s="10">
        <f>data!G2084</f>
        <v>264</v>
      </c>
      <c r="H2084" s="10">
        <f>data!I2084</f>
        <v>0</v>
      </c>
      <c r="I2084" s="10">
        <f t="shared" si="128"/>
        <v>264</v>
      </c>
      <c r="J2084" s="11">
        <f>data!H2084</f>
        <v>48</v>
      </c>
      <c r="K2084" s="11">
        <f>data!J2084</f>
        <v>0</v>
      </c>
      <c r="L2084" s="11">
        <f t="shared" si="129"/>
        <v>48</v>
      </c>
      <c r="M2084" s="9" t="str">
        <f t="shared" si="130"/>
        <v/>
      </c>
      <c r="N2084" s="9" t="str">
        <f t="shared" si="131"/>
        <v/>
      </c>
    </row>
    <row r="2085" spans="1:14" x14ac:dyDescent="0.25">
      <c r="A2085" t="str">
        <f>TEXT("1/"&amp;data!A2085,"mmmm")</f>
        <v>août</v>
      </c>
      <c r="B2085">
        <f>data!B2085</f>
        <v>2016</v>
      </c>
      <c r="C2085" t="str">
        <f>data!C2085</f>
        <v>007</v>
      </c>
      <c r="D2085" t="str">
        <f>data!D2085</f>
        <v>DOMAINE ANDRE DUSSOURT</v>
      </c>
      <c r="E2085" t="str">
        <f>data!E2085</f>
        <v>007004</v>
      </c>
      <c r="F2085" t="str">
        <f>data!F2085</f>
        <v>AC GEWURZTRAMINER D. DUSSOURT</v>
      </c>
      <c r="G2085" s="10">
        <f>data!G2085</f>
        <v>217.5</v>
      </c>
      <c r="H2085" s="10">
        <f>data!I2085</f>
        <v>202.5</v>
      </c>
      <c r="I2085" s="10">
        <f t="shared" si="128"/>
        <v>15</v>
      </c>
      <c r="J2085" s="11">
        <f>data!H2085</f>
        <v>30</v>
      </c>
      <c r="K2085" s="11">
        <f>data!J2085</f>
        <v>30</v>
      </c>
      <c r="L2085" s="11">
        <f t="shared" si="129"/>
        <v>0</v>
      </c>
      <c r="M2085" s="9">
        <f t="shared" si="130"/>
        <v>7.407407407407407E-2</v>
      </c>
      <c r="N2085" s="9">
        <f t="shared" si="131"/>
        <v>0</v>
      </c>
    </row>
    <row r="2086" spans="1:14" x14ac:dyDescent="0.25">
      <c r="A2086" t="str">
        <f>TEXT("1/"&amp;data!A2086,"mmmm")</f>
        <v>août</v>
      </c>
      <c r="B2086">
        <f>data!B2086</f>
        <v>2016</v>
      </c>
      <c r="C2086" t="str">
        <f>data!C2086</f>
        <v>007</v>
      </c>
      <c r="D2086" t="str">
        <f>data!D2086</f>
        <v>DOMAINE ANDRE DUSSOURT</v>
      </c>
      <c r="E2086" t="str">
        <f>data!E2086</f>
        <v>007006</v>
      </c>
      <c r="F2086" t="str">
        <f>data!F2086</f>
        <v>AC PINOT NOIR D. DUSSOURT</v>
      </c>
      <c r="G2086" s="10">
        <f>data!G2086</f>
        <v>113.4</v>
      </c>
      <c r="H2086" s="10">
        <f>data!I2086</f>
        <v>106.2</v>
      </c>
      <c r="I2086" s="10">
        <f t="shared" si="128"/>
        <v>7.2000000000000028</v>
      </c>
      <c r="J2086" s="11">
        <f>data!H2086</f>
        <v>18</v>
      </c>
      <c r="K2086" s="11">
        <f>data!J2086</f>
        <v>18</v>
      </c>
      <c r="L2086" s="11">
        <f t="shared" si="129"/>
        <v>0</v>
      </c>
      <c r="M2086" s="9">
        <f t="shared" si="130"/>
        <v>6.7796610169491553E-2</v>
      </c>
      <c r="N2086" s="9">
        <f t="shared" si="131"/>
        <v>0</v>
      </c>
    </row>
    <row r="2087" spans="1:14" x14ac:dyDescent="0.25">
      <c r="A2087" t="str">
        <f>TEXT("1/"&amp;data!A2087,"mmmm")</f>
        <v>août</v>
      </c>
      <c r="B2087">
        <f>data!B2087</f>
        <v>2016</v>
      </c>
      <c r="C2087" t="str">
        <f>data!C2087</f>
        <v>007</v>
      </c>
      <c r="D2087" t="str">
        <f>data!D2087</f>
        <v>DOMAINE ANDRE DUSSOURT</v>
      </c>
      <c r="E2087" t="str">
        <f>data!E2087</f>
        <v>007008</v>
      </c>
      <c r="F2087" t="str">
        <f>data!F2087</f>
        <v>AC RIESLING D. DUSSOURT</v>
      </c>
      <c r="G2087" s="10">
        <f>data!G2087</f>
        <v>37.200000000000003</v>
      </c>
      <c r="H2087" s="10">
        <f>data!I2087</f>
        <v>34.200000000000003</v>
      </c>
      <c r="I2087" s="10">
        <f t="shared" si="128"/>
        <v>3</v>
      </c>
      <c r="J2087" s="11">
        <f>data!H2087</f>
        <v>6</v>
      </c>
      <c r="K2087" s="11">
        <f>data!J2087</f>
        <v>6</v>
      </c>
      <c r="L2087" s="11">
        <f t="shared" si="129"/>
        <v>0</v>
      </c>
      <c r="M2087" s="9">
        <f t="shared" si="130"/>
        <v>8.771929824561403E-2</v>
      </c>
      <c r="N2087" s="9">
        <f t="shared" si="131"/>
        <v>0</v>
      </c>
    </row>
    <row r="2088" spans="1:14" x14ac:dyDescent="0.25">
      <c r="A2088" t="str">
        <f>TEXT("1/"&amp;data!A2088,"mmmm")</f>
        <v>août</v>
      </c>
      <c r="B2088">
        <f>data!B2088</f>
        <v>2016</v>
      </c>
      <c r="C2088" t="str">
        <f>data!C2088</f>
        <v>007</v>
      </c>
      <c r="D2088" t="str">
        <f>data!D2088</f>
        <v>DOMAINE ANDRE DUSSOURT</v>
      </c>
      <c r="E2088" t="str">
        <f>data!E2088</f>
        <v>007021</v>
      </c>
      <c r="F2088" t="str">
        <f>data!F2088</f>
        <v>DOMAINE DUSSOURT AC GEWURZTRAMINER</v>
      </c>
      <c r="G2088" s="10">
        <f>data!G2088</f>
        <v>51.6</v>
      </c>
      <c r="H2088" s="10">
        <f>data!I2088</f>
        <v>0</v>
      </c>
      <c r="I2088" s="10">
        <f t="shared" si="128"/>
        <v>51.6</v>
      </c>
      <c r="J2088" s="11">
        <f>data!H2088</f>
        <v>6</v>
      </c>
      <c r="K2088" s="11">
        <f>data!J2088</f>
        <v>0</v>
      </c>
      <c r="L2088" s="11">
        <f t="shared" si="129"/>
        <v>6</v>
      </c>
      <c r="M2088" s="9" t="str">
        <f t="shared" si="130"/>
        <v/>
      </c>
      <c r="N2088" s="9" t="str">
        <f t="shared" si="131"/>
        <v/>
      </c>
    </row>
    <row r="2089" spans="1:14" x14ac:dyDescent="0.25">
      <c r="A2089" t="str">
        <f>TEXT("1/"&amp;data!A2089,"mmmm")</f>
        <v>août</v>
      </c>
      <c r="B2089">
        <f>data!B2089</f>
        <v>2016</v>
      </c>
      <c r="C2089" t="str">
        <f>data!C2089</f>
        <v>010</v>
      </c>
      <c r="D2089" t="str">
        <f>data!D2089</f>
        <v>DOMAINE VIGNEAU CHEVRAU</v>
      </c>
      <c r="E2089" t="str">
        <f>data!E2089</f>
        <v>010001</v>
      </c>
      <c r="F2089" t="str">
        <f>data!F2089</f>
        <v>AC VOUVRAY SEC.C.SILEX  V.CHEV</v>
      </c>
      <c r="G2089" s="10">
        <f>data!G2089</f>
        <v>604.20000000000005</v>
      </c>
      <c r="H2089" s="10">
        <f>data!I2089</f>
        <v>561.6</v>
      </c>
      <c r="I2089" s="10">
        <f t="shared" si="128"/>
        <v>42.600000000000023</v>
      </c>
      <c r="J2089" s="11">
        <f>data!H2089</f>
        <v>114</v>
      </c>
      <c r="K2089" s="11">
        <f>data!J2089</f>
        <v>108</v>
      </c>
      <c r="L2089" s="11">
        <f t="shared" si="129"/>
        <v>6</v>
      </c>
      <c r="M2089" s="9">
        <f t="shared" si="130"/>
        <v>7.5854700854700891E-2</v>
      </c>
      <c r="N2089" s="9">
        <f t="shared" si="131"/>
        <v>5.5555555555555552E-2</v>
      </c>
    </row>
    <row r="2090" spans="1:14" x14ac:dyDescent="0.25">
      <c r="A2090" t="str">
        <f>TEXT("1/"&amp;data!A2090,"mmmm")</f>
        <v>août</v>
      </c>
      <c r="B2090">
        <f>data!B2090</f>
        <v>2016</v>
      </c>
      <c r="C2090" t="str">
        <f>data!C2090</f>
        <v>010</v>
      </c>
      <c r="D2090" t="str">
        <f>data!D2090</f>
        <v>DOMAINE VIGNEAU CHEVRAU</v>
      </c>
      <c r="E2090" t="str">
        <f>data!E2090</f>
        <v>010019</v>
      </c>
      <c r="F2090" t="str">
        <f>data!F2090</f>
        <v>AC VOUVRAY METH TRAD BRUT. V. CHEV BIO</v>
      </c>
      <c r="G2090" s="10">
        <f>data!G2090</f>
        <v>95.4</v>
      </c>
      <c r="H2090" s="10">
        <f>data!I2090</f>
        <v>0</v>
      </c>
      <c r="I2090" s="10">
        <f t="shared" si="128"/>
        <v>95.4</v>
      </c>
      <c r="J2090" s="11">
        <f>data!H2090</f>
        <v>18</v>
      </c>
      <c r="K2090" s="11">
        <f>data!J2090</f>
        <v>0</v>
      </c>
      <c r="L2090" s="11">
        <f t="shared" si="129"/>
        <v>18</v>
      </c>
      <c r="M2090" s="9" t="str">
        <f t="shared" si="130"/>
        <v/>
      </c>
      <c r="N2090" s="9" t="str">
        <f t="shared" si="131"/>
        <v/>
      </c>
    </row>
    <row r="2091" spans="1:14" x14ac:dyDescent="0.25">
      <c r="A2091" t="str">
        <f>TEXT("1/"&amp;data!A2091,"mmmm")</f>
        <v>août</v>
      </c>
      <c r="B2091">
        <f>data!B2091</f>
        <v>2016</v>
      </c>
      <c r="C2091" t="str">
        <f>data!C2091</f>
        <v>011</v>
      </c>
      <c r="D2091" t="str">
        <f>data!D2091</f>
        <v>CAVE GAUTIER</v>
      </c>
      <c r="E2091" t="str">
        <f>data!E2091</f>
        <v>011001</v>
      </c>
      <c r="F2091" t="str">
        <f>data!F2091</f>
        <v>AC VOUVRAY METH TRAD BRUT  D.CHATAIGNERAIE</v>
      </c>
      <c r="G2091" s="10">
        <f>data!G2091</f>
        <v>2370.06</v>
      </c>
      <c r="H2091" s="10">
        <f>data!I2091</f>
        <v>2394</v>
      </c>
      <c r="I2091" s="10">
        <f t="shared" si="128"/>
        <v>-23.940000000000055</v>
      </c>
      <c r="J2091" s="11">
        <f>data!H2091</f>
        <v>594</v>
      </c>
      <c r="K2091" s="11">
        <f>data!J2091</f>
        <v>600</v>
      </c>
      <c r="L2091" s="11">
        <f t="shared" si="129"/>
        <v>-6</v>
      </c>
      <c r="M2091" s="9">
        <f t="shared" si="130"/>
        <v>-1.0000000000000023E-2</v>
      </c>
      <c r="N2091" s="9">
        <f t="shared" si="131"/>
        <v>-0.01</v>
      </c>
    </row>
    <row r="2092" spans="1:14" x14ac:dyDescent="0.25">
      <c r="A2092" t="str">
        <f>TEXT("1/"&amp;data!A2092,"mmmm")</f>
        <v>août</v>
      </c>
      <c r="B2092">
        <f>data!B2092</f>
        <v>2016</v>
      </c>
      <c r="C2092" t="str">
        <f>data!C2092</f>
        <v>011</v>
      </c>
      <c r="D2092" t="str">
        <f>data!D2092</f>
        <v>CAVE GAUTIER</v>
      </c>
      <c r="E2092" t="str">
        <f>data!E2092</f>
        <v>011002</v>
      </c>
      <c r="F2092" t="str">
        <f>data!F2092</f>
        <v>AC VOUVRAY METH TRAD D.SEC  D.CHATAIGNERAIE</v>
      </c>
      <c r="G2092" s="10">
        <f>data!G2092</f>
        <v>23.94</v>
      </c>
      <c r="H2092" s="10">
        <f>data!I2092</f>
        <v>46.2</v>
      </c>
      <c r="I2092" s="10">
        <f t="shared" si="128"/>
        <v>-22.26</v>
      </c>
      <c r="J2092" s="11">
        <f>data!H2092</f>
        <v>6</v>
      </c>
      <c r="K2092" s="11">
        <f>data!J2092</f>
        <v>12</v>
      </c>
      <c r="L2092" s="11">
        <f t="shared" si="129"/>
        <v>-6</v>
      </c>
      <c r="M2092" s="9">
        <f t="shared" si="130"/>
        <v>-0.48181818181818181</v>
      </c>
      <c r="N2092" s="9">
        <f t="shared" si="131"/>
        <v>-0.5</v>
      </c>
    </row>
    <row r="2093" spans="1:14" x14ac:dyDescent="0.25">
      <c r="A2093" t="str">
        <f>TEXT("1/"&amp;data!A2093,"mmmm")</f>
        <v>août</v>
      </c>
      <c r="B2093">
        <f>data!B2093</f>
        <v>2016</v>
      </c>
      <c r="C2093" t="str">
        <f>data!C2093</f>
        <v>011</v>
      </c>
      <c r="D2093" t="str">
        <f>data!D2093</f>
        <v>CAVE GAUTIER</v>
      </c>
      <c r="E2093" t="str">
        <f>data!E2093</f>
        <v>011005</v>
      </c>
      <c r="F2093" t="str">
        <f>data!F2093</f>
        <v>AC VOUVRAY C. ANTIQUE D.CHATAIGNERAIE</v>
      </c>
      <c r="G2093" s="10">
        <f>data!G2093</f>
        <v>898.2</v>
      </c>
      <c r="H2093" s="10">
        <f>data!I2093</f>
        <v>382.2</v>
      </c>
      <c r="I2093" s="10">
        <f t="shared" si="128"/>
        <v>516</v>
      </c>
      <c r="J2093" s="11">
        <f>data!H2093</f>
        <v>180</v>
      </c>
      <c r="K2093" s="11">
        <f>data!J2093</f>
        <v>78</v>
      </c>
      <c r="L2093" s="11">
        <f t="shared" si="129"/>
        <v>102</v>
      </c>
      <c r="M2093" s="9">
        <f t="shared" si="130"/>
        <v>1.3500784929356358</v>
      </c>
      <c r="N2093" s="9">
        <f t="shared" si="131"/>
        <v>1.3076923076923077</v>
      </c>
    </row>
    <row r="2094" spans="1:14" x14ac:dyDescent="0.25">
      <c r="A2094" t="str">
        <f>TEXT("1/"&amp;data!A2094,"mmmm")</f>
        <v>août</v>
      </c>
      <c r="B2094">
        <f>data!B2094</f>
        <v>2016</v>
      </c>
      <c r="C2094" t="str">
        <f>data!C2094</f>
        <v>011</v>
      </c>
      <c r="D2094" t="str">
        <f>data!D2094</f>
        <v>CAVE GAUTIER</v>
      </c>
      <c r="E2094" t="str">
        <f>data!E2094</f>
        <v>011006</v>
      </c>
      <c r="F2094" t="str">
        <f>data!F2094</f>
        <v>AC VOUVRAY ARGILEX</v>
      </c>
      <c r="G2094" s="10">
        <f>data!G2094</f>
        <v>141</v>
      </c>
      <c r="H2094" s="10">
        <f>data!I2094</f>
        <v>0</v>
      </c>
      <c r="I2094" s="10">
        <f t="shared" si="128"/>
        <v>141</v>
      </c>
      <c r="J2094" s="11">
        <f>data!H2094</f>
        <v>30</v>
      </c>
      <c r="K2094" s="11">
        <f>data!J2094</f>
        <v>0</v>
      </c>
      <c r="L2094" s="11">
        <f t="shared" si="129"/>
        <v>30</v>
      </c>
      <c r="M2094" s="9" t="str">
        <f t="shared" si="130"/>
        <v/>
      </c>
      <c r="N2094" s="9" t="str">
        <f t="shared" si="131"/>
        <v/>
      </c>
    </row>
    <row r="2095" spans="1:14" x14ac:dyDescent="0.25">
      <c r="A2095" t="str">
        <f>TEXT("1/"&amp;data!A2095,"mmmm")</f>
        <v>août</v>
      </c>
      <c r="B2095">
        <f>data!B2095</f>
        <v>2016</v>
      </c>
      <c r="C2095" t="str">
        <f>data!C2095</f>
        <v>019</v>
      </c>
      <c r="D2095" t="str">
        <f>data!D2095</f>
        <v>VIGNOBLES YON</v>
      </c>
      <c r="E2095" t="str">
        <f>data!E2095</f>
        <v>019003</v>
      </c>
      <c r="F2095" t="str">
        <f>data!F2095</f>
        <v>AC BDX SUP. CH LES HAUTS DE PEREY</v>
      </c>
      <c r="G2095" s="10">
        <f>data!G2095</f>
        <v>3216.9</v>
      </c>
      <c r="H2095" s="10">
        <f>data!I2095</f>
        <v>856.32</v>
      </c>
      <c r="I2095" s="10">
        <f t="shared" si="128"/>
        <v>2360.58</v>
      </c>
      <c r="J2095" s="11">
        <f>data!H2095</f>
        <v>1482</v>
      </c>
      <c r="K2095" s="11">
        <f>data!J2095</f>
        <v>384</v>
      </c>
      <c r="L2095" s="11">
        <f t="shared" si="129"/>
        <v>1098</v>
      </c>
      <c r="M2095" s="9">
        <f t="shared" si="130"/>
        <v>2.7566563901345291</v>
      </c>
      <c r="N2095" s="9">
        <f t="shared" si="131"/>
        <v>2.859375</v>
      </c>
    </row>
    <row r="2096" spans="1:14" x14ac:dyDescent="0.25">
      <c r="A2096" t="str">
        <f>TEXT("1/"&amp;data!A2096,"mmmm")</f>
        <v>août</v>
      </c>
      <c r="B2096">
        <f>data!B2096</f>
        <v>2016</v>
      </c>
      <c r="C2096" t="str">
        <f>data!C2096</f>
        <v>019</v>
      </c>
      <c r="D2096" t="str">
        <f>data!D2096</f>
        <v>VIGNOBLES YON</v>
      </c>
      <c r="E2096" t="str">
        <f>data!E2096</f>
        <v>019004</v>
      </c>
      <c r="F2096" t="str">
        <f>data!F2096</f>
        <v>AC BDX SUP. CH LES HAUTS DE PEREY</v>
      </c>
      <c r="G2096" s="10">
        <f>data!G2096</f>
        <v>190.56</v>
      </c>
      <c r="H2096" s="10">
        <f>data!I2096</f>
        <v>0</v>
      </c>
      <c r="I2096" s="10">
        <f t="shared" si="128"/>
        <v>190.56</v>
      </c>
      <c r="J2096" s="11">
        <f>data!H2096</f>
        <v>66</v>
      </c>
      <c r="K2096" s="11">
        <f>data!J2096</f>
        <v>0</v>
      </c>
      <c r="L2096" s="11">
        <f t="shared" si="129"/>
        <v>66</v>
      </c>
      <c r="M2096" s="9" t="str">
        <f t="shared" si="130"/>
        <v/>
      </c>
      <c r="N2096" s="9" t="str">
        <f t="shared" si="131"/>
        <v/>
      </c>
    </row>
    <row r="2097" spans="1:14" x14ac:dyDescent="0.25">
      <c r="A2097" t="str">
        <f>TEXT("1/"&amp;data!A2097,"mmmm")</f>
        <v>août</v>
      </c>
      <c r="B2097">
        <f>data!B2097</f>
        <v>2016</v>
      </c>
      <c r="C2097" t="str">
        <f>data!C2097</f>
        <v>019</v>
      </c>
      <c r="D2097" t="str">
        <f>data!D2097</f>
        <v>VIGNOBLES YON</v>
      </c>
      <c r="E2097" t="str">
        <f>data!E2097</f>
        <v>019008</v>
      </c>
      <c r="F2097" t="str">
        <f>data!F2097</f>
        <v>AC BDX. CH LES HAUTS DE PEREY</v>
      </c>
      <c r="G2097" s="10">
        <f>data!G2097</f>
        <v>415.8</v>
      </c>
      <c r="H2097" s="10">
        <f>data!I2097</f>
        <v>308.8</v>
      </c>
      <c r="I2097" s="10">
        <f t="shared" si="128"/>
        <v>107</v>
      </c>
      <c r="J2097" s="11">
        <f>data!H2097</f>
        <v>279.93</v>
      </c>
      <c r="K2097" s="11">
        <f>data!J2097</f>
        <v>226.61</v>
      </c>
      <c r="L2097" s="11">
        <f t="shared" si="129"/>
        <v>53.319999999999993</v>
      </c>
      <c r="M2097" s="9">
        <f t="shared" si="130"/>
        <v>0.34650259067357514</v>
      </c>
      <c r="N2097" s="9">
        <f t="shared" si="131"/>
        <v>0.23529411764705879</v>
      </c>
    </row>
    <row r="2098" spans="1:14" x14ac:dyDescent="0.25">
      <c r="A2098" t="str">
        <f>TEXT("1/"&amp;data!A2098,"mmmm")</f>
        <v>août</v>
      </c>
      <c r="B2098">
        <f>data!B2098</f>
        <v>2016</v>
      </c>
      <c r="C2098" t="str">
        <f>data!C2098</f>
        <v>019</v>
      </c>
      <c r="D2098" t="str">
        <f>data!D2098</f>
        <v>VIGNOBLES YON</v>
      </c>
      <c r="E2098" t="str">
        <f>data!E2098</f>
        <v>019009</v>
      </c>
      <c r="F2098" t="str">
        <f>data!F2098</f>
        <v>AC BDX. CH LES HAUTS DE PEREY</v>
      </c>
      <c r="G2098" s="10">
        <f>data!G2098</f>
        <v>560</v>
      </c>
      <c r="H2098" s="10">
        <f>data!I2098</f>
        <v>484</v>
      </c>
      <c r="I2098" s="10">
        <f t="shared" si="128"/>
        <v>76</v>
      </c>
      <c r="J2098" s="11">
        <f>data!H2098</f>
        <v>340.17</v>
      </c>
      <c r="K2098" s="11">
        <f>data!J2098</f>
        <v>293.48</v>
      </c>
      <c r="L2098" s="11">
        <f t="shared" si="129"/>
        <v>46.69</v>
      </c>
      <c r="M2098" s="9">
        <f t="shared" si="130"/>
        <v>0.15702479338842976</v>
      </c>
      <c r="N2098" s="9">
        <f t="shared" si="131"/>
        <v>0.15909090909090906</v>
      </c>
    </row>
    <row r="2099" spans="1:14" x14ac:dyDescent="0.25">
      <c r="A2099" t="str">
        <f>TEXT("1/"&amp;data!A2099,"mmmm")</f>
        <v>août</v>
      </c>
      <c r="B2099">
        <f>data!B2099</f>
        <v>2016</v>
      </c>
      <c r="C2099" t="str">
        <f>data!C2099</f>
        <v>019</v>
      </c>
      <c r="D2099" t="str">
        <f>data!D2099</f>
        <v>VIGNOBLES YON</v>
      </c>
      <c r="E2099" t="str">
        <f>data!E2099</f>
        <v>019015</v>
      </c>
      <c r="F2099" t="str">
        <f>data!F2099</f>
        <v>AC E2MERS. CH GAURY-BALETTE</v>
      </c>
      <c r="G2099" s="10">
        <f>data!G2099</f>
        <v>828.6</v>
      </c>
      <c r="H2099" s="10">
        <f>data!I2099</f>
        <v>81</v>
      </c>
      <c r="I2099" s="10">
        <f t="shared" si="128"/>
        <v>747.6</v>
      </c>
      <c r="J2099" s="11">
        <f>data!H2099</f>
        <v>378</v>
      </c>
      <c r="K2099" s="11">
        <f>data!J2099</f>
        <v>36</v>
      </c>
      <c r="L2099" s="11">
        <f t="shared" si="129"/>
        <v>342</v>
      </c>
      <c r="M2099" s="9">
        <f t="shared" si="130"/>
        <v>9.2296296296296294</v>
      </c>
      <c r="N2099" s="9">
        <f t="shared" si="131"/>
        <v>9.5</v>
      </c>
    </row>
    <row r="2100" spans="1:14" x14ac:dyDescent="0.25">
      <c r="A2100" t="str">
        <f>TEXT("1/"&amp;data!A2100,"mmmm")</f>
        <v>août</v>
      </c>
      <c r="B2100">
        <f>data!B2100</f>
        <v>2016</v>
      </c>
      <c r="C2100" t="str">
        <f>data!C2100</f>
        <v>025</v>
      </c>
      <c r="D2100" t="str">
        <f>data!D2100</f>
        <v>COLLOVRAY &amp; TERRIER</v>
      </c>
      <c r="E2100" t="str">
        <f>data!E2100</f>
        <v>025001</v>
      </c>
      <c r="F2100" t="str">
        <f>data!F2100</f>
        <v>AC SAINT VERAN TRAD. COLLOVRAY&amp;TERRIER</v>
      </c>
      <c r="G2100" s="10">
        <f>data!G2100</f>
        <v>1262.94</v>
      </c>
      <c r="H2100" s="10">
        <f>data!I2100</f>
        <v>1344.42</v>
      </c>
      <c r="I2100" s="10">
        <f t="shared" si="128"/>
        <v>-81.480000000000018</v>
      </c>
      <c r="J2100" s="11">
        <f>data!H2100</f>
        <v>186</v>
      </c>
      <c r="K2100" s="11">
        <f>data!J2100</f>
        <v>198</v>
      </c>
      <c r="L2100" s="11">
        <f t="shared" si="129"/>
        <v>-12</v>
      </c>
      <c r="M2100" s="9">
        <f t="shared" si="130"/>
        <v>-6.0606060606060615E-2</v>
      </c>
      <c r="N2100" s="9">
        <f t="shared" si="131"/>
        <v>-6.0606060606060608E-2</v>
      </c>
    </row>
    <row r="2101" spans="1:14" x14ac:dyDescent="0.25">
      <c r="A2101" t="str">
        <f>TEXT("1/"&amp;data!A2101,"mmmm")</f>
        <v>août</v>
      </c>
      <c r="B2101">
        <f>data!B2101</f>
        <v>2016</v>
      </c>
      <c r="C2101" t="str">
        <f>data!C2101</f>
        <v>025</v>
      </c>
      <c r="D2101" t="str">
        <f>data!D2101</f>
        <v>COLLOVRAY &amp; TERRIER</v>
      </c>
      <c r="E2101" t="str">
        <f>data!E2101</f>
        <v>025010</v>
      </c>
      <c r="F2101" t="str">
        <f>data!F2101</f>
        <v>AC MACON VILL TRAD. COLLOVRAY &amp;</v>
      </c>
      <c r="G2101" s="10">
        <f>data!G2101</f>
        <v>466.2</v>
      </c>
      <c r="H2101" s="10">
        <f>data!I2101</f>
        <v>499.5</v>
      </c>
      <c r="I2101" s="10">
        <f t="shared" si="128"/>
        <v>-33.300000000000011</v>
      </c>
      <c r="J2101" s="11">
        <f>data!H2101</f>
        <v>84</v>
      </c>
      <c r="K2101" s="11">
        <f>data!J2101</f>
        <v>90</v>
      </c>
      <c r="L2101" s="11">
        <f t="shared" si="129"/>
        <v>-6</v>
      </c>
      <c r="M2101" s="9">
        <f t="shared" si="130"/>
        <v>-6.6666666666666693E-2</v>
      </c>
      <c r="N2101" s="9">
        <f t="shared" si="131"/>
        <v>-6.6666666666666666E-2</v>
      </c>
    </row>
    <row r="2102" spans="1:14" x14ac:dyDescent="0.25">
      <c r="A2102" t="str">
        <f>TEXT("1/"&amp;data!A2102,"mmmm")</f>
        <v>août</v>
      </c>
      <c r="B2102">
        <f>data!B2102</f>
        <v>2016</v>
      </c>
      <c r="C2102" t="str">
        <f>data!C2102</f>
        <v>025</v>
      </c>
      <c r="D2102" t="str">
        <f>data!D2102</f>
        <v>COLLOVRAY &amp; TERRIER</v>
      </c>
      <c r="E2102" t="str">
        <f>data!E2102</f>
        <v>025013</v>
      </c>
      <c r="F2102" t="str">
        <f>data!F2102</f>
        <v>AC MACON. VERGER DES FEUILLANTS</v>
      </c>
      <c r="G2102" s="10">
        <f>data!G2102</f>
        <v>552.9</v>
      </c>
      <c r="H2102" s="10">
        <f>data!I2102</f>
        <v>407.4</v>
      </c>
      <c r="I2102" s="10">
        <f t="shared" si="128"/>
        <v>145.5</v>
      </c>
      <c r="J2102" s="11">
        <f>data!H2102</f>
        <v>114</v>
      </c>
      <c r="K2102" s="11">
        <f>data!J2102</f>
        <v>84</v>
      </c>
      <c r="L2102" s="11">
        <f t="shared" si="129"/>
        <v>30</v>
      </c>
      <c r="M2102" s="9">
        <f t="shared" si="130"/>
        <v>0.35714285714285715</v>
      </c>
      <c r="N2102" s="9">
        <f t="shared" si="131"/>
        <v>0.35714285714285715</v>
      </c>
    </row>
    <row r="2103" spans="1:14" x14ac:dyDescent="0.25">
      <c r="A2103" t="str">
        <f>TEXT("1/"&amp;data!A2103,"mmmm")</f>
        <v>août</v>
      </c>
      <c r="B2103">
        <f>data!B2103</f>
        <v>2016</v>
      </c>
      <c r="C2103" t="str">
        <f>data!C2103</f>
        <v>025</v>
      </c>
      <c r="D2103" t="str">
        <f>data!D2103</f>
        <v>COLLOVRAY &amp; TERRIER</v>
      </c>
      <c r="E2103" t="str">
        <f>data!E2103</f>
        <v>025015</v>
      </c>
      <c r="F2103" t="str">
        <f>data!F2103</f>
        <v>VDP PINOT NOIR . D.D'ANTUGNIAC</v>
      </c>
      <c r="G2103" s="10">
        <f>data!G2103</f>
        <v>137.88</v>
      </c>
      <c r="H2103" s="10">
        <f>data!I2103</f>
        <v>137.88</v>
      </c>
      <c r="I2103" s="10">
        <f t="shared" si="128"/>
        <v>0</v>
      </c>
      <c r="J2103" s="11">
        <f>data!H2103</f>
        <v>42</v>
      </c>
      <c r="K2103" s="11">
        <f>data!J2103</f>
        <v>36</v>
      </c>
      <c r="L2103" s="11">
        <f t="shared" si="129"/>
        <v>6</v>
      </c>
      <c r="M2103" s="9">
        <f t="shared" si="130"/>
        <v>0</v>
      </c>
      <c r="N2103" s="9">
        <f t="shared" si="131"/>
        <v>0.16666666666666666</v>
      </c>
    </row>
    <row r="2104" spans="1:14" x14ac:dyDescent="0.25">
      <c r="A2104" t="str">
        <f>TEXT("1/"&amp;data!A2104,"mmmm")</f>
        <v>août</v>
      </c>
      <c r="B2104">
        <f>data!B2104</f>
        <v>2016</v>
      </c>
      <c r="C2104" t="str">
        <f>data!C2104</f>
        <v>025</v>
      </c>
      <c r="D2104" t="str">
        <f>data!D2104</f>
        <v>COLLOVRAY &amp; TERRIER</v>
      </c>
      <c r="E2104" t="str">
        <f>data!E2104</f>
        <v>025016</v>
      </c>
      <c r="F2104" t="str">
        <f>data!F2104</f>
        <v>VDP MERLOT. D.D'ANTUGNIAC</v>
      </c>
      <c r="G2104" s="10">
        <f>data!G2104</f>
        <v>29.16</v>
      </c>
      <c r="H2104" s="10">
        <f>data!I2104</f>
        <v>0</v>
      </c>
      <c r="I2104" s="10">
        <f t="shared" si="128"/>
        <v>29.16</v>
      </c>
      <c r="J2104" s="11">
        <f>data!H2104</f>
        <v>12</v>
      </c>
      <c r="K2104" s="11">
        <f>data!J2104</f>
        <v>0</v>
      </c>
      <c r="L2104" s="11">
        <f t="shared" si="129"/>
        <v>12</v>
      </c>
      <c r="M2104" s="9" t="str">
        <f t="shared" si="130"/>
        <v/>
      </c>
      <c r="N2104" s="9" t="str">
        <f t="shared" si="131"/>
        <v/>
      </c>
    </row>
    <row r="2105" spans="1:14" x14ac:dyDescent="0.25">
      <c r="A2105" t="str">
        <f>TEXT("1/"&amp;data!A2105,"mmmm")</f>
        <v>août</v>
      </c>
      <c r="B2105">
        <f>data!B2105</f>
        <v>2016</v>
      </c>
      <c r="C2105" t="str">
        <f>data!C2105</f>
        <v>025</v>
      </c>
      <c r="D2105" t="str">
        <f>data!D2105</f>
        <v>COLLOVRAY &amp; TERRIER</v>
      </c>
      <c r="E2105" t="str">
        <f>data!E2105</f>
        <v>025021</v>
      </c>
      <c r="F2105" t="str">
        <f>data!F2105</f>
        <v>AC POUILLY-FUISSE. V.VIGNES</v>
      </c>
      <c r="G2105" s="10">
        <f>data!G2105</f>
        <v>577.79999999999995</v>
      </c>
      <c r="H2105" s="10">
        <f>data!I2105</f>
        <v>770.4</v>
      </c>
      <c r="I2105" s="10">
        <f t="shared" si="128"/>
        <v>-192.60000000000002</v>
      </c>
      <c r="J2105" s="11">
        <f>data!H2105</f>
        <v>54</v>
      </c>
      <c r="K2105" s="11">
        <f>data!J2105</f>
        <v>72</v>
      </c>
      <c r="L2105" s="11">
        <f t="shared" si="129"/>
        <v>-18</v>
      </c>
      <c r="M2105" s="9">
        <f t="shared" si="130"/>
        <v>-0.25000000000000006</v>
      </c>
      <c r="N2105" s="9">
        <f t="shared" si="131"/>
        <v>-0.25</v>
      </c>
    </row>
    <row r="2106" spans="1:14" x14ac:dyDescent="0.25">
      <c r="A2106" t="str">
        <f>TEXT("1/"&amp;data!A2106,"mmmm")</f>
        <v>août</v>
      </c>
      <c r="B2106">
        <f>data!B2106</f>
        <v>2016</v>
      </c>
      <c r="C2106" t="str">
        <f>data!C2106</f>
        <v>025</v>
      </c>
      <c r="D2106" t="str">
        <f>data!D2106</f>
        <v>COLLOVRAY &amp; TERRIER</v>
      </c>
      <c r="E2106" t="str">
        <f>data!E2106</f>
        <v>025026</v>
      </c>
      <c r="F2106" t="str">
        <f>data!F2106</f>
        <v>VDP CHARDONNAY. D.D'ANTUGNAC</v>
      </c>
      <c r="G2106" s="10">
        <f>data!G2106</f>
        <v>2788.32</v>
      </c>
      <c r="H2106" s="10">
        <f>data!I2106</f>
        <v>1842.24</v>
      </c>
      <c r="I2106" s="10">
        <f t="shared" si="128"/>
        <v>946.08000000000015</v>
      </c>
      <c r="J2106" s="11">
        <f>data!H2106</f>
        <v>948</v>
      </c>
      <c r="K2106" s="11">
        <f>data!J2106</f>
        <v>606</v>
      </c>
      <c r="L2106" s="11">
        <f t="shared" si="129"/>
        <v>342</v>
      </c>
      <c r="M2106" s="9">
        <f t="shared" si="130"/>
        <v>0.51354872329338208</v>
      </c>
      <c r="N2106" s="9">
        <f t="shared" si="131"/>
        <v>0.5643564356435643</v>
      </c>
    </row>
    <row r="2107" spans="1:14" x14ac:dyDescent="0.25">
      <c r="A2107" t="str">
        <f>TEXT("1/"&amp;data!A2107,"mmmm")</f>
        <v>août</v>
      </c>
      <c r="B2107">
        <f>data!B2107</f>
        <v>2016</v>
      </c>
      <c r="C2107" t="str">
        <f>data!C2107</f>
        <v>025</v>
      </c>
      <c r="D2107" t="str">
        <f>data!D2107</f>
        <v>COLLOVRAY &amp; TERRIER</v>
      </c>
      <c r="E2107" t="str">
        <f>data!E2107</f>
        <v>025031</v>
      </c>
      <c r="F2107" t="str">
        <f>data!F2107</f>
        <v>AC LIMOUX. Terres Amoureuses D.D'ANTUGNAC</v>
      </c>
      <c r="G2107" s="10">
        <f>data!G2107</f>
        <v>699.3</v>
      </c>
      <c r="H2107" s="10">
        <f>data!I2107</f>
        <v>668.4</v>
      </c>
      <c r="I2107" s="10">
        <f t="shared" si="128"/>
        <v>30.899999999999977</v>
      </c>
      <c r="J2107" s="11">
        <f>data!H2107</f>
        <v>126</v>
      </c>
      <c r="K2107" s="11">
        <f>data!J2107</f>
        <v>120</v>
      </c>
      <c r="L2107" s="11">
        <f t="shared" si="129"/>
        <v>6</v>
      </c>
      <c r="M2107" s="9">
        <f t="shared" si="130"/>
        <v>4.6229802513464958E-2</v>
      </c>
      <c r="N2107" s="9">
        <f t="shared" si="131"/>
        <v>0.05</v>
      </c>
    </row>
    <row r="2108" spans="1:14" x14ac:dyDescent="0.25">
      <c r="A2108" t="str">
        <f>TEXT("1/"&amp;data!A2108,"mmmm")</f>
        <v>août</v>
      </c>
      <c r="B2108">
        <f>data!B2108</f>
        <v>2016</v>
      </c>
      <c r="C2108" t="str">
        <f>data!C2108</f>
        <v>028</v>
      </c>
      <c r="D2108" t="str">
        <f>data!D2108</f>
        <v>VIGNOBLES DUBOIS ET FILS</v>
      </c>
      <c r="E2108" t="str">
        <f>data!E2108</f>
        <v>028001</v>
      </c>
      <c r="F2108" t="str">
        <f>data!F2108</f>
        <v>AC 1ERES C.DE BLAYE. TRADITION  CH L.BERTRANDS</v>
      </c>
      <c r="G2108" s="10">
        <f>data!G2108</f>
        <v>760.5</v>
      </c>
      <c r="H2108" s="10">
        <f>data!I2108</f>
        <v>468</v>
      </c>
      <c r="I2108" s="10">
        <f t="shared" si="128"/>
        <v>292.5</v>
      </c>
      <c r="J2108" s="11">
        <f>data!H2108</f>
        <v>234</v>
      </c>
      <c r="K2108" s="11">
        <f>data!J2108</f>
        <v>144</v>
      </c>
      <c r="L2108" s="11">
        <f t="shared" si="129"/>
        <v>90</v>
      </c>
      <c r="M2108" s="9">
        <f t="shared" si="130"/>
        <v>0.625</v>
      </c>
      <c r="N2108" s="9">
        <f t="shared" si="131"/>
        <v>0.625</v>
      </c>
    </row>
    <row r="2109" spans="1:14" x14ac:dyDescent="0.25">
      <c r="A2109" t="str">
        <f>TEXT("1/"&amp;data!A2109,"mmmm")</f>
        <v>août</v>
      </c>
      <c r="B2109">
        <f>data!B2109</f>
        <v>2016</v>
      </c>
      <c r="C2109" t="str">
        <f>data!C2109</f>
        <v>028</v>
      </c>
      <c r="D2109" t="str">
        <f>data!D2109</f>
        <v>VIGNOBLES DUBOIS ET FILS</v>
      </c>
      <c r="E2109" t="str">
        <f>data!E2109</f>
        <v>028005</v>
      </c>
      <c r="F2109" t="str">
        <f>data!F2109</f>
        <v>AC 1ERES C.BLAYE TRAD. CH L.BERTRANDS</v>
      </c>
      <c r="G2109" s="10">
        <f>data!G2109</f>
        <v>33.6</v>
      </c>
      <c r="H2109" s="10">
        <f>data!I2109</f>
        <v>100.8</v>
      </c>
      <c r="I2109" s="10">
        <f t="shared" si="128"/>
        <v>-67.199999999999989</v>
      </c>
      <c r="J2109" s="11">
        <f>data!H2109</f>
        <v>12</v>
      </c>
      <c r="K2109" s="11">
        <f>data!J2109</f>
        <v>36</v>
      </c>
      <c r="L2109" s="11">
        <f t="shared" si="129"/>
        <v>-24</v>
      </c>
      <c r="M2109" s="9">
        <f t="shared" si="130"/>
        <v>-0.66666666666666652</v>
      </c>
      <c r="N2109" s="9">
        <f t="shared" si="131"/>
        <v>-0.66666666666666663</v>
      </c>
    </row>
    <row r="2110" spans="1:14" x14ac:dyDescent="0.25">
      <c r="A2110" t="str">
        <f>TEXT("1/"&amp;data!A2110,"mmmm")</f>
        <v>août</v>
      </c>
      <c r="B2110">
        <f>data!B2110</f>
        <v>2016</v>
      </c>
      <c r="C2110" t="str">
        <f>data!C2110</f>
        <v>028</v>
      </c>
      <c r="D2110" t="str">
        <f>data!D2110</f>
        <v>VIGNOBLES DUBOIS ET FILS</v>
      </c>
      <c r="E2110" t="str">
        <f>data!E2110</f>
        <v>028007</v>
      </c>
      <c r="F2110" t="str">
        <f>data!F2110</f>
        <v>AC 1ERES C BLAYE TRAD. CH L.BERTRANDS</v>
      </c>
      <c r="G2110" s="10">
        <f>data!G2110</f>
        <v>159.6</v>
      </c>
      <c r="H2110" s="10">
        <f>data!I2110</f>
        <v>22.6</v>
      </c>
      <c r="I2110" s="10">
        <f t="shared" si="128"/>
        <v>137</v>
      </c>
      <c r="J2110" s="11">
        <f>data!H2110</f>
        <v>93.31</v>
      </c>
      <c r="K2110" s="11">
        <f>data!J2110</f>
        <v>13.33</v>
      </c>
      <c r="L2110" s="11">
        <f t="shared" si="129"/>
        <v>79.98</v>
      </c>
      <c r="M2110" s="9">
        <f t="shared" si="130"/>
        <v>6.0619469026548671</v>
      </c>
      <c r="N2110" s="9">
        <f t="shared" si="131"/>
        <v>6</v>
      </c>
    </row>
    <row r="2111" spans="1:14" x14ac:dyDescent="0.25">
      <c r="A2111" t="str">
        <f>TEXT("1/"&amp;data!A2111,"mmmm")</f>
        <v>août</v>
      </c>
      <c r="B2111">
        <f>data!B2111</f>
        <v>2016</v>
      </c>
      <c r="C2111" t="str">
        <f>data!C2111</f>
        <v>028</v>
      </c>
      <c r="D2111" t="str">
        <f>data!D2111</f>
        <v>VIGNOBLES DUBOIS ET FILS</v>
      </c>
      <c r="E2111" t="str">
        <f>data!E2111</f>
        <v>028008</v>
      </c>
      <c r="F2111" t="str">
        <f>data!F2111</f>
        <v>AC C. DE BLAYE CH L.BERTRANDS</v>
      </c>
      <c r="G2111" s="10">
        <f>data!G2111</f>
        <v>243</v>
      </c>
      <c r="H2111" s="10">
        <f>data!I2111</f>
        <v>26.6</v>
      </c>
      <c r="I2111" s="10">
        <f t="shared" si="128"/>
        <v>216.4</v>
      </c>
      <c r="J2111" s="11">
        <f>data!H2111</f>
        <v>120.06</v>
      </c>
      <c r="K2111" s="11">
        <f>data!J2111</f>
        <v>13.34</v>
      </c>
      <c r="L2111" s="11">
        <f t="shared" si="129"/>
        <v>106.72</v>
      </c>
      <c r="M2111" s="9">
        <f t="shared" si="130"/>
        <v>8.1353383458646622</v>
      </c>
      <c r="N2111" s="9">
        <f t="shared" si="131"/>
        <v>8</v>
      </c>
    </row>
    <row r="2112" spans="1:14" x14ac:dyDescent="0.25">
      <c r="A2112" t="str">
        <f>TEXT("1/"&amp;data!A2112,"mmmm")</f>
        <v>août</v>
      </c>
      <c r="B2112">
        <f>data!B2112</f>
        <v>2016</v>
      </c>
      <c r="C2112" t="str">
        <f>data!C2112</f>
        <v>028</v>
      </c>
      <c r="D2112" t="str">
        <f>data!D2112</f>
        <v>VIGNOBLES DUBOIS ET FILS</v>
      </c>
      <c r="E2112" t="str">
        <f>data!E2112</f>
        <v>028013</v>
      </c>
      <c r="F2112" t="str">
        <f>data!F2112</f>
        <v>AC 1ERES COTES DE BLAYE PRESTIGE</v>
      </c>
      <c r="G2112" s="10">
        <f>data!G2112</f>
        <v>320.39999999999998</v>
      </c>
      <c r="H2112" s="10">
        <f>data!I2112</f>
        <v>427.2</v>
      </c>
      <c r="I2112" s="10">
        <f t="shared" si="128"/>
        <v>-106.80000000000001</v>
      </c>
      <c r="J2112" s="11">
        <f>data!H2112</f>
        <v>72</v>
      </c>
      <c r="K2112" s="11">
        <f>data!J2112</f>
        <v>96</v>
      </c>
      <c r="L2112" s="11">
        <f t="shared" si="129"/>
        <v>-24</v>
      </c>
      <c r="M2112" s="9">
        <f t="shared" si="130"/>
        <v>-0.25000000000000006</v>
      </c>
      <c r="N2112" s="9">
        <f t="shared" si="131"/>
        <v>-0.25</v>
      </c>
    </row>
    <row r="2113" spans="1:14" x14ac:dyDescent="0.25">
      <c r="A2113" t="str">
        <f>TEXT("1/"&amp;data!A2113,"mmmm")</f>
        <v>août</v>
      </c>
      <c r="B2113">
        <f>data!B2113</f>
        <v>2016</v>
      </c>
      <c r="C2113" t="str">
        <f>data!C2113</f>
        <v>029</v>
      </c>
      <c r="D2113" t="str">
        <f>data!D2113</f>
        <v>DOMAINE DE BELLE MARE</v>
      </c>
      <c r="E2113" t="str">
        <f>data!E2113</f>
        <v>029015</v>
      </c>
      <c r="F2113" t="str">
        <f>data!F2113</f>
        <v>DME BELLE MARE VDPOC CHARDONNAY</v>
      </c>
      <c r="G2113" s="10">
        <f>data!G2113</f>
        <v>14.4</v>
      </c>
      <c r="H2113" s="10">
        <f>data!I2113</f>
        <v>86.4</v>
      </c>
      <c r="I2113" s="10">
        <f t="shared" si="128"/>
        <v>-72</v>
      </c>
      <c r="J2113" s="11">
        <f>data!H2113</f>
        <v>12</v>
      </c>
      <c r="K2113" s="11">
        <f>data!J2113</f>
        <v>36</v>
      </c>
      <c r="L2113" s="11">
        <f t="shared" si="129"/>
        <v>-24</v>
      </c>
      <c r="M2113" s="9">
        <f t="shared" si="130"/>
        <v>-0.83333333333333326</v>
      </c>
      <c r="N2113" s="9">
        <f t="shared" si="131"/>
        <v>-0.66666666666666663</v>
      </c>
    </row>
    <row r="2114" spans="1:14" x14ac:dyDescent="0.25">
      <c r="A2114" t="str">
        <f>TEXT("1/"&amp;data!A2114,"mmmm")</f>
        <v>août</v>
      </c>
      <c r="B2114">
        <f>data!B2114</f>
        <v>2016</v>
      </c>
      <c r="C2114" t="str">
        <f>data!C2114</f>
        <v>035</v>
      </c>
      <c r="D2114" t="str">
        <f>data!D2114</f>
        <v>DOMAINE OLIVIER</v>
      </c>
      <c r="E2114" t="str">
        <f>data!E2114</f>
        <v>035001</v>
      </c>
      <c r="F2114" t="str">
        <f>data!F2114</f>
        <v>AC ST NICOLAS DE BOURG D.OLIVIER</v>
      </c>
      <c r="G2114" s="10">
        <f>data!G2114</f>
        <v>4668.42</v>
      </c>
      <c r="H2114" s="10">
        <f>data!I2114</f>
        <v>2064</v>
      </c>
      <c r="I2114" s="10">
        <f t="shared" si="128"/>
        <v>2604.42</v>
      </c>
      <c r="J2114" s="11">
        <f>data!H2114</f>
        <v>1206</v>
      </c>
      <c r="K2114" s="11">
        <f>data!J2114</f>
        <v>516</v>
      </c>
      <c r="L2114" s="11">
        <f t="shared" si="129"/>
        <v>690</v>
      </c>
      <c r="M2114" s="9">
        <f t="shared" si="130"/>
        <v>1.2618313953488371</v>
      </c>
      <c r="N2114" s="9">
        <f t="shared" si="131"/>
        <v>1.3372093023255813</v>
      </c>
    </row>
    <row r="2115" spans="1:14" x14ac:dyDescent="0.25">
      <c r="A2115" t="str">
        <f>TEXT("1/"&amp;data!A2115,"mmmm")</f>
        <v>août</v>
      </c>
      <c r="B2115">
        <f>data!B2115</f>
        <v>2016</v>
      </c>
      <c r="C2115" t="str">
        <f>data!C2115</f>
        <v>035</v>
      </c>
      <c r="D2115" t="str">
        <f>data!D2115</f>
        <v>DOMAINE OLIVIER</v>
      </c>
      <c r="E2115" t="str">
        <f>data!E2115</f>
        <v>035002</v>
      </c>
      <c r="F2115" t="str">
        <f>data!F2115</f>
        <v>AC ST NICOLAS DE BOURG D.OLIVIER</v>
      </c>
      <c r="G2115" s="10">
        <f>data!G2115</f>
        <v>440.4</v>
      </c>
      <c r="H2115" s="10">
        <f>data!I2115</f>
        <v>90</v>
      </c>
      <c r="I2115" s="10">
        <f t="shared" ref="I2115:I2178" si="132">G2115-H2115</f>
        <v>350.4</v>
      </c>
      <c r="J2115" s="11">
        <f>data!H2115</f>
        <v>96</v>
      </c>
      <c r="K2115" s="11">
        <f>data!J2115</f>
        <v>18</v>
      </c>
      <c r="L2115" s="11">
        <f t="shared" ref="L2115:L2178" si="133">J2115-K2115</f>
        <v>78</v>
      </c>
      <c r="M2115" s="9">
        <f t="shared" ref="M2115:M2178" si="134">IF(ISERR(I2115/H2115),"",I2115/H2115)</f>
        <v>3.8933333333333331</v>
      </c>
      <c r="N2115" s="9">
        <f t="shared" ref="N2115:N2178" si="135">IF(ISERR(L2115/K2115),"",L2115/K2115)</f>
        <v>4.333333333333333</v>
      </c>
    </row>
    <row r="2116" spans="1:14" x14ac:dyDescent="0.25">
      <c r="A2116" t="str">
        <f>TEXT("1/"&amp;data!A2116,"mmmm")</f>
        <v>août</v>
      </c>
      <c r="B2116">
        <f>data!B2116</f>
        <v>2016</v>
      </c>
      <c r="C2116" t="str">
        <f>data!C2116</f>
        <v>035</v>
      </c>
      <c r="D2116" t="str">
        <f>data!D2116</f>
        <v>DOMAINE OLIVIER</v>
      </c>
      <c r="E2116" t="str">
        <f>data!E2116</f>
        <v>035010</v>
      </c>
      <c r="F2116" t="str">
        <f>data!F2116</f>
        <v>AC BOURGUEIL V.VIGNES D.OLIVIER</v>
      </c>
      <c r="G2116" s="10">
        <f>data!G2116</f>
        <v>633.36</v>
      </c>
      <c r="H2116" s="10">
        <f>data!I2116</f>
        <v>342.72</v>
      </c>
      <c r="I2116" s="10">
        <f t="shared" si="132"/>
        <v>290.64</v>
      </c>
      <c r="J2116" s="11">
        <f>data!H2116</f>
        <v>174</v>
      </c>
      <c r="K2116" s="11">
        <f>data!J2116</f>
        <v>96</v>
      </c>
      <c r="L2116" s="11">
        <f t="shared" si="133"/>
        <v>78</v>
      </c>
      <c r="M2116" s="9">
        <f t="shared" si="134"/>
        <v>0.84803921568627438</v>
      </c>
      <c r="N2116" s="9">
        <f t="shared" si="135"/>
        <v>0.8125</v>
      </c>
    </row>
    <row r="2117" spans="1:14" x14ac:dyDescent="0.25">
      <c r="A2117" t="str">
        <f>TEXT("1/"&amp;data!A2117,"mmmm")</f>
        <v>août</v>
      </c>
      <c r="B2117">
        <f>data!B2117</f>
        <v>2016</v>
      </c>
      <c r="C2117" t="str">
        <f>data!C2117</f>
        <v>037</v>
      </c>
      <c r="D2117" t="str">
        <f>data!D2117</f>
        <v>SARL RAFFAULT</v>
      </c>
      <c r="E2117" t="str">
        <f>data!E2117</f>
        <v>037010</v>
      </c>
      <c r="F2117" t="str">
        <f>data!F2117</f>
        <v>AC CHINON SEC</v>
      </c>
      <c r="G2117" s="10">
        <f>data!G2117</f>
        <v>199.5</v>
      </c>
      <c r="H2117" s="10">
        <f>data!I2117</f>
        <v>464.1</v>
      </c>
      <c r="I2117" s="10">
        <f t="shared" si="132"/>
        <v>-264.60000000000002</v>
      </c>
      <c r="J2117" s="11">
        <f>data!H2117</f>
        <v>42</v>
      </c>
      <c r="K2117" s="11">
        <f>data!J2117</f>
        <v>102</v>
      </c>
      <c r="L2117" s="11">
        <f t="shared" si="133"/>
        <v>-60</v>
      </c>
      <c r="M2117" s="9">
        <f t="shared" si="134"/>
        <v>-0.57013574660633481</v>
      </c>
      <c r="N2117" s="9">
        <f t="shared" si="135"/>
        <v>-0.58823529411764708</v>
      </c>
    </row>
    <row r="2118" spans="1:14" x14ac:dyDescent="0.25">
      <c r="A2118" t="str">
        <f>TEXT("1/"&amp;data!A2118,"mmmm")</f>
        <v>août</v>
      </c>
      <c r="B2118">
        <f>data!B2118</f>
        <v>2016</v>
      </c>
      <c r="C2118" t="str">
        <f>data!C2118</f>
        <v>039</v>
      </c>
      <c r="D2118" t="str">
        <f>data!D2118</f>
        <v>LES VIGNERONS DES COTES D'AGLY</v>
      </c>
      <c r="E2118" t="str">
        <f>data!E2118</f>
        <v>039017</v>
      </c>
      <c r="F2118" t="str">
        <f>data!F2118</f>
        <v>AC C.ROUSSILLON VILL ARAGO</v>
      </c>
      <c r="G2118" s="10">
        <f>data!G2118</f>
        <v>84</v>
      </c>
      <c r="H2118" s="10">
        <f>data!I2118</f>
        <v>126</v>
      </c>
      <c r="I2118" s="10">
        <f t="shared" si="132"/>
        <v>-42</v>
      </c>
      <c r="J2118" s="11">
        <f>data!H2118</f>
        <v>24</v>
      </c>
      <c r="K2118" s="11">
        <f>data!J2118</f>
        <v>36</v>
      </c>
      <c r="L2118" s="11">
        <f t="shared" si="133"/>
        <v>-12</v>
      </c>
      <c r="M2118" s="9">
        <f t="shared" si="134"/>
        <v>-0.33333333333333331</v>
      </c>
      <c r="N2118" s="9">
        <f t="shared" si="135"/>
        <v>-0.33333333333333331</v>
      </c>
    </row>
    <row r="2119" spans="1:14" x14ac:dyDescent="0.25">
      <c r="A2119" t="str">
        <f>TEXT("1/"&amp;data!A2119,"mmmm")</f>
        <v>août</v>
      </c>
      <c r="B2119">
        <f>data!B2119</f>
        <v>2016</v>
      </c>
      <c r="C2119" t="str">
        <f>data!C2119</f>
        <v>039</v>
      </c>
      <c r="D2119" t="str">
        <f>data!D2119</f>
        <v>LES VIGNERONS DES COTES D'AGLY</v>
      </c>
      <c r="E2119" t="str">
        <f>data!E2119</f>
        <v>039018</v>
      </c>
      <c r="F2119" t="str">
        <f>data!F2119</f>
        <v>AC C. ROUSSILLON N D LAVAL</v>
      </c>
      <c r="G2119" s="10">
        <f>data!G2119</f>
        <v>73.2</v>
      </c>
      <c r="H2119" s="10">
        <f>data!I2119</f>
        <v>53.04</v>
      </c>
      <c r="I2119" s="10">
        <f t="shared" si="132"/>
        <v>20.160000000000004</v>
      </c>
      <c r="J2119" s="11">
        <f>data!H2119</f>
        <v>30</v>
      </c>
      <c r="K2119" s="11">
        <f>data!J2119</f>
        <v>24</v>
      </c>
      <c r="L2119" s="11">
        <f t="shared" si="133"/>
        <v>6</v>
      </c>
      <c r="M2119" s="9">
        <f t="shared" si="134"/>
        <v>0.38009049773755665</v>
      </c>
      <c r="N2119" s="9">
        <f t="shared" si="135"/>
        <v>0.25</v>
      </c>
    </row>
    <row r="2120" spans="1:14" x14ac:dyDescent="0.25">
      <c r="A2120" t="str">
        <f>TEXT("1/"&amp;data!A2120,"mmmm")</f>
        <v>août</v>
      </c>
      <c r="B2120">
        <f>data!B2120</f>
        <v>2016</v>
      </c>
      <c r="C2120" t="str">
        <f>data!C2120</f>
        <v>039</v>
      </c>
      <c r="D2120" t="str">
        <f>data!D2120</f>
        <v>LES VIGNERONS DES COTES D'AGLY</v>
      </c>
      <c r="E2120" t="str">
        <f>data!E2120</f>
        <v>039028</v>
      </c>
      <c r="F2120" t="str">
        <f>data!F2120</f>
        <v>VDN MAURY</v>
      </c>
      <c r="G2120" s="10">
        <f>data!G2120</f>
        <v>150</v>
      </c>
      <c r="H2120" s="10">
        <f>data!I2120</f>
        <v>0</v>
      </c>
      <c r="I2120" s="10">
        <f t="shared" si="132"/>
        <v>150</v>
      </c>
      <c r="J2120" s="11">
        <f>data!H2120</f>
        <v>30</v>
      </c>
      <c r="K2120" s="11">
        <f>data!J2120</f>
        <v>0</v>
      </c>
      <c r="L2120" s="11">
        <f t="shared" si="133"/>
        <v>30</v>
      </c>
      <c r="M2120" s="9" t="str">
        <f t="shared" si="134"/>
        <v/>
      </c>
      <c r="N2120" s="9" t="str">
        <f t="shared" si="135"/>
        <v/>
      </c>
    </row>
    <row r="2121" spans="1:14" x14ac:dyDescent="0.25">
      <c r="A2121" t="str">
        <f>TEXT("1/"&amp;data!A2121,"mmmm")</f>
        <v>août</v>
      </c>
      <c r="B2121">
        <f>data!B2121</f>
        <v>2016</v>
      </c>
      <c r="C2121" t="str">
        <f>data!C2121</f>
        <v>039</v>
      </c>
      <c r="D2121" t="str">
        <f>data!D2121</f>
        <v>LES VIGNERONS DES COTES D'AGLY</v>
      </c>
      <c r="E2121" t="str">
        <f>data!E2121</f>
        <v>039030</v>
      </c>
      <c r="F2121" t="str">
        <f>data!F2121</f>
        <v>VDN MUSCAT DE RIVESALTES</v>
      </c>
      <c r="G2121" s="10">
        <f>data!G2121</f>
        <v>22.68</v>
      </c>
      <c r="H2121" s="10">
        <f>data!I2121</f>
        <v>0</v>
      </c>
      <c r="I2121" s="10">
        <f t="shared" si="132"/>
        <v>22.68</v>
      </c>
      <c r="J2121" s="11">
        <f>data!H2121</f>
        <v>6</v>
      </c>
      <c r="K2121" s="11">
        <f>data!J2121</f>
        <v>0</v>
      </c>
      <c r="L2121" s="11">
        <f t="shared" si="133"/>
        <v>6</v>
      </c>
      <c r="M2121" s="9" t="str">
        <f t="shared" si="134"/>
        <v/>
      </c>
      <c r="N2121" s="9" t="str">
        <f t="shared" si="135"/>
        <v/>
      </c>
    </row>
    <row r="2122" spans="1:14" x14ac:dyDescent="0.25">
      <c r="A2122" t="str">
        <f>TEXT("1/"&amp;data!A2122,"mmmm")</f>
        <v>août</v>
      </c>
      <c r="B2122">
        <f>data!B2122</f>
        <v>2016</v>
      </c>
      <c r="C2122" t="str">
        <f>data!C2122</f>
        <v>040</v>
      </c>
      <c r="D2122" t="str">
        <f>data!D2122</f>
        <v>CHÂTEAU DE LA GRAVE</v>
      </c>
      <c r="E2122" t="str">
        <f>data!E2122</f>
        <v>040006</v>
      </c>
      <c r="F2122" t="str">
        <f>data!F2122</f>
        <v>AC COTES DE BOURG CHATEAU DE LA GRAVE</v>
      </c>
      <c r="G2122" s="10">
        <f>data!G2122</f>
        <v>1598.7</v>
      </c>
      <c r="H2122" s="10">
        <f>data!I2122</f>
        <v>2116.8000000000002</v>
      </c>
      <c r="I2122" s="10">
        <f t="shared" si="132"/>
        <v>-518.10000000000014</v>
      </c>
      <c r="J2122" s="11">
        <f>data!H2122</f>
        <v>438</v>
      </c>
      <c r="K2122" s="11">
        <f>data!J2122</f>
        <v>588</v>
      </c>
      <c r="L2122" s="11">
        <f t="shared" si="133"/>
        <v>-150</v>
      </c>
      <c r="M2122" s="9">
        <f t="shared" si="134"/>
        <v>-0.24475623582766445</v>
      </c>
      <c r="N2122" s="9">
        <f t="shared" si="135"/>
        <v>-0.25510204081632654</v>
      </c>
    </row>
    <row r="2123" spans="1:14" x14ac:dyDescent="0.25">
      <c r="A2123" t="str">
        <f>TEXT("1/"&amp;data!A2123,"mmmm")</f>
        <v>août</v>
      </c>
      <c r="B2123">
        <f>data!B2123</f>
        <v>2016</v>
      </c>
      <c r="C2123" t="str">
        <f>data!C2123</f>
        <v>040</v>
      </c>
      <c r="D2123" t="str">
        <f>data!D2123</f>
        <v>CHÂTEAU DE LA GRAVE</v>
      </c>
      <c r="E2123" t="str">
        <f>data!E2123</f>
        <v>040007</v>
      </c>
      <c r="F2123" t="str">
        <f>data!F2123</f>
        <v>AC COTES DE BOURG G DE LA GRAVE</v>
      </c>
      <c r="G2123" s="10">
        <f>data!G2123</f>
        <v>510.6</v>
      </c>
      <c r="H2123" s="10">
        <f>data!I2123</f>
        <v>460.25</v>
      </c>
      <c r="I2123" s="10">
        <f t="shared" si="132"/>
        <v>50.350000000000023</v>
      </c>
      <c r="J2123" s="11">
        <f>data!H2123</f>
        <v>246.79</v>
      </c>
      <c r="K2123" s="11">
        <f>data!J2123</f>
        <v>233.45</v>
      </c>
      <c r="L2123" s="11">
        <f t="shared" si="133"/>
        <v>13.340000000000003</v>
      </c>
      <c r="M2123" s="9">
        <f t="shared" si="134"/>
        <v>0.10939706681151554</v>
      </c>
      <c r="N2123" s="9">
        <f t="shared" si="135"/>
        <v>5.7142857142857162E-2</v>
      </c>
    </row>
    <row r="2124" spans="1:14" x14ac:dyDescent="0.25">
      <c r="A2124" t="str">
        <f>TEXT("1/"&amp;data!A2124,"mmmm")</f>
        <v>août</v>
      </c>
      <c r="B2124">
        <f>data!B2124</f>
        <v>2016</v>
      </c>
      <c r="C2124" t="str">
        <f>data!C2124</f>
        <v>040</v>
      </c>
      <c r="D2124" t="str">
        <f>data!D2124</f>
        <v>CHÂTEAU DE LA GRAVE</v>
      </c>
      <c r="E2124" t="str">
        <f>data!E2124</f>
        <v>040008</v>
      </c>
      <c r="F2124" t="str">
        <f>data!F2124</f>
        <v>AC COTES DE BOURG G DE LA GRAVE</v>
      </c>
      <c r="G2124" s="10">
        <f>data!G2124</f>
        <v>132.25</v>
      </c>
      <c r="H2124" s="10">
        <f>data!I2124</f>
        <v>100.8</v>
      </c>
      <c r="I2124" s="10">
        <f t="shared" si="132"/>
        <v>31.450000000000003</v>
      </c>
      <c r="J2124" s="11">
        <f>data!H2124</f>
        <v>66.650000000000006</v>
      </c>
      <c r="K2124" s="11">
        <f>data!J2124</f>
        <v>53.32</v>
      </c>
      <c r="L2124" s="11">
        <f t="shared" si="133"/>
        <v>13.330000000000005</v>
      </c>
      <c r="M2124" s="9">
        <f t="shared" si="134"/>
        <v>0.31200396825396831</v>
      </c>
      <c r="N2124" s="9">
        <f t="shared" si="135"/>
        <v>0.25000000000000011</v>
      </c>
    </row>
    <row r="2125" spans="1:14" x14ac:dyDescent="0.25">
      <c r="A2125" t="str">
        <f>TEXT("1/"&amp;data!A2125,"mmmm")</f>
        <v>août</v>
      </c>
      <c r="B2125">
        <f>data!B2125</f>
        <v>2016</v>
      </c>
      <c r="C2125" t="str">
        <f>data!C2125</f>
        <v>040</v>
      </c>
      <c r="D2125" t="str">
        <f>data!D2125</f>
        <v>CHÂTEAU DE LA GRAVE</v>
      </c>
      <c r="E2125" t="str">
        <f>data!E2125</f>
        <v>040011</v>
      </c>
      <c r="F2125" t="str">
        <f>data!F2125</f>
        <v>AC C DE BOURG BEL AIR</v>
      </c>
      <c r="G2125" s="10">
        <f>data!G2125</f>
        <v>135</v>
      </c>
      <c r="H2125" s="10">
        <f>data!I2125</f>
        <v>0</v>
      </c>
      <c r="I2125" s="10">
        <f t="shared" si="132"/>
        <v>135</v>
      </c>
      <c r="J2125" s="11">
        <f>data!H2125</f>
        <v>30</v>
      </c>
      <c r="K2125" s="11">
        <f>data!J2125</f>
        <v>0</v>
      </c>
      <c r="L2125" s="11">
        <f t="shared" si="133"/>
        <v>30</v>
      </c>
      <c r="M2125" s="9" t="str">
        <f t="shared" si="134"/>
        <v/>
      </c>
      <c r="N2125" s="9" t="str">
        <f t="shared" si="135"/>
        <v/>
      </c>
    </row>
    <row r="2126" spans="1:14" x14ac:dyDescent="0.25">
      <c r="A2126" t="str">
        <f>TEXT("1/"&amp;data!A2126,"mmmm")</f>
        <v>août</v>
      </c>
      <c r="B2126">
        <f>data!B2126</f>
        <v>2016</v>
      </c>
      <c r="C2126" t="str">
        <f>data!C2126</f>
        <v>040</v>
      </c>
      <c r="D2126" t="str">
        <f>data!D2126</f>
        <v>CHÂTEAU DE LA GRAVE</v>
      </c>
      <c r="E2126" t="str">
        <f>data!E2126</f>
        <v>040015</v>
      </c>
      <c r="F2126" t="str">
        <f>data!F2126</f>
        <v>AC C DE BOURG. CARACTERE</v>
      </c>
      <c r="G2126" s="10">
        <f>data!G2126</f>
        <v>61.2</v>
      </c>
      <c r="H2126" s="10">
        <f>data!I2126</f>
        <v>386.1</v>
      </c>
      <c r="I2126" s="10">
        <f t="shared" si="132"/>
        <v>-324.90000000000003</v>
      </c>
      <c r="J2126" s="11">
        <f>data!H2126</f>
        <v>12</v>
      </c>
      <c r="K2126" s="11">
        <f>data!J2126</f>
        <v>78</v>
      </c>
      <c r="L2126" s="11">
        <f t="shared" si="133"/>
        <v>-66</v>
      </c>
      <c r="M2126" s="9">
        <f t="shared" si="134"/>
        <v>-0.84149184149184153</v>
      </c>
      <c r="N2126" s="9">
        <f t="shared" si="135"/>
        <v>-0.84615384615384615</v>
      </c>
    </row>
    <row r="2127" spans="1:14" x14ac:dyDescent="0.25">
      <c r="A2127" t="str">
        <f>TEXT("1/"&amp;data!A2127,"mmmm")</f>
        <v>août</v>
      </c>
      <c r="B2127">
        <f>data!B2127</f>
        <v>2016</v>
      </c>
      <c r="C2127" t="str">
        <f>data!C2127</f>
        <v>040</v>
      </c>
      <c r="D2127" t="str">
        <f>data!D2127</f>
        <v>CHÂTEAU DE LA GRAVE</v>
      </c>
      <c r="E2127" t="str">
        <f>data!E2127</f>
        <v>040017</v>
      </c>
      <c r="F2127" t="str">
        <f>data!F2127</f>
        <v>AC C DE BOURG F.CHENE NECTAR</v>
      </c>
      <c r="G2127" s="10">
        <f>data!G2127</f>
        <v>49.2</v>
      </c>
      <c r="H2127" s="10">
        <f>data!I2127</f>
        <v>49.2</v>
      </c>
      <c r="I2127" s="10">
        <f t="shared" si="132"/>
        <v>0</v>
      </c>
      <c r="J2127" s="11">
        <f>data!H2127</f>
        <v>6</v>
      </c>
      <c r="K2127" s="11">
        <f>data!J2127</f>
        <v>6</v>
      </c>
      <c r="L2127" s="11">
        <f t="shared" si="133"/>
        <v>0</v>
      </c>
      <c r="M2127" s="9">
        <f t="shared" si="134"/>
        <v>0</v>
      </c>
      <c r="N2127" s="9">
        <f t="shared" si="135"/>
        <v>0</v>
      </c>
    </row>
    <row r="2128" spans="1:14" x14ac:dyDescent="0.25">
      <c r="A2128" t="str">
        <f>TEXT("1/"&amp;data!A2128,"mmmm")</f>
        <v>août</v>
      </c>
      <c r="B2128">
        <f>data!B2128</f>
        <v>2016</v>
      </c>
      <c r="C2128" t="str">
        <f>data!C2128</f>
        <v>041</v>
      </c>
      <c r="D2128" t="str">
        <f>data!D2128</f>
        <v>CHATEAU TOUR DE PEZ</v>
      </c>
      <c r="E2128" t="str">
        <f>data!E2128</f>
        <v>041001/10</v>
      </c>
      <c r="F2128" t="str">
        <f>data!F2128</f>
        <v>AC ST ESTEPHE CH TOUR DE PEZ</v>
      </c>
      <c r="G2128" s="10">
        <f>data!G2128</f>
        <v>602.70000000000005</v>
      </c>
      <c r="H2128" s="10">
        <f>data!I2128</f>
        <v>0</v>
      </c>
      <c r="I2128" s="10">
        <f t="shared" si="132"/>
        <v>602.70000000000005</v>
      </c>
      <c r="J2128" s="11">
        <f>data!H2128</f>
        <v>42</v>
      </c>
      <c r="K2128" s="11">
        <f>data!J2128</f>
        <v>0</v>
      </c>
      <c r="L2128" s="11">
        <f t="shared" si="133"/>
        <v>42</v>
      </c>
      <c r="M2128" s="9" t="str">
        <f t="shared" si="134"/>
        <v/>
      </c>
      <c r="N2128" s="9" t="str">
        <f t="shared" si="135"/>
        <v/>
      </c>
    </row>
    <row r="2129" spans="1:14" x14ac:dyDescent="0.25">
      <c r="A2129" t="str">
        <f>TEXT("1/"&amp;data!A2129,"mmmm")</f>
        <v>août</v>
      </c>
      <c r="B2129">
        <f>data!B2129</f>
        <v>2016</v>
      </c>
      <c r="C2129" t="str">
        <f>data!C2129</f>
        <v>041</v>
      </c>
      <c r="D2129" t="str">
        <f>data!D2129</f>
        <v>CHATEAU TOUR DE PEZ</v>
      </c>
      <c r="E2129" t="str">
        <f>data!E2129</f>
        <v>041016</v>
      </c>
      <c r="F2129" t="str">
        <f>data!F2129</f>
        <v>AOP SAINT- ESTEPHE CH LES HAUTS DE PEZ</v>
      </c>
      <c r="G2129" s="10">
        <f>data!G2129</f>
        <v>1562.4</v>
      </c>
      <c r="H2129" s="10">
        <f>data!I2129</f>
        <v>951.9</v>
      </c>
      <c r="I2129" s="10">
        <f t="shared" si="132"/>
        <v>610.50000000000011</v>
      </c>
      <c r="J2129" s="11">
        <f>data!H2129</f>
        <v>186</v>
      </c>
      <c r="K2129" s="11">
        <f>data!J2129</f>
        <v>114</v>
      </c>
      <c r="L2129" s="11">
        <f t="shared" si="133"/>
        <v>72</v>
      </c>
      <c r="M2129" s="9">
        <f t="shared" si="134"/>
        <v>0.64134888118499855</v>
      </c>
      <c r="N2129" s="9">
        <f t="shared" si="135"/>
        <v>0.63157894736842102</v>
      </c>
    </row>
    <row r="2130" spans="1:14" x14ac:dyDescent="0.25">
      <c r="A2130" t="str">
        <f>TEXT("1/"&amp;data!A2130,"mmmm")</f>
        <v>août</v>
      </c>
      <c r="B2130">
        <f>data!B2130</f>
        <v>2016</v>
      </c>
      <c r="C2130" t="str">
        <f>data!C2130</f>
        <v>046</v>
      </c>
      <c r="D2130" t="str">
        <f>data!D2130</f>
        <v>MR JEAN PIERRE CABANES</v>
      </c>
      <c r="E2130" t="str">
        <f>data!E2130</f>
        <v>046020</v>
      </c>
      <c r="F2130" t="str">
        <f>data!F2130</f>
        <v>AC COTEAUX DU LANGUEDOC ENFANT TERRIBLE</v>
      </c>
      <c r="G2130" s="10">
        <f>data!G2130</f>
        <v>90</v>
      </c>
      <c r="H2130" s="10">
        <f>data!I2130</f>
        <v>84</v>
      </c>
      <c r="I2130" s="10">
        <f t="shared" si="132"/>
        <v>6</v>
      </c>
      <c r="J2130" s="11">
        <f>data!H2130</f>
        <v>12</v>
      </c>
      <c r="K2130" s="11">
        <f>data!J2130</f>
        <v>12</v>
      </c>
      <c r="L2130" s="11">
        <f t="shared" si="133"/>
        <v>0</v>
      </c>
      <c r="M2130" s="9">
        <f t="shared" si="134"/>
        <v>7.1428571428571425E-2</v>
      </c>
      <c r="N2130" s="9">
        <f t="shared" si="135"/>
        <v>0</v>
      </c>
    </row>
    <row r="2131" spans="1:14" x14ac:dyDescent="0.25">
      <c r="A2131" t="str">
        <f>TEXT("1/"&amp;data!A2131,"mmmm")</f>
        <v>août</v>
      </c>
      <c r="B2131">
        <f>data!B2131</f>
        <v>2016</v>
      </c>
      <c r="C2131" t="str">
        <f>data!C2131</f>
        <v>049</v>
      </c>
      <c r="D2131" t="str">
        <f>data!D2131</f>
        <v>MAISON GRANDEAU</v>
      </c>
      <c r="E2131" t="str">
        <f>data!E2131</f>
        <v>049007</v>
      </c>
      <c r="F2131" t="str">
        <f>data!F2131</f>
        <v>AC BX SUP Tradi  CH LAUDUC</v>
      </c>
      <c r="G2131" s="10">
        <f>data!G2131</f>
        <v>120.6</v>
      </c>
      <c r="H2131" s="10">
        <f>data!I2131</f>
        <v>316.8</v>
      </c>
      <c r="I2131" s="10">
        <f t="shared" si="132"/>
        <v>-196.20000000000002</v>
      </c>
      <c r="J2131" s="11">
        <f>data!H2131</f>
        <v>42</v>
      </c>
      <c r="K2131" s="11">
        <f>data!J2131</f>
        <v>96</v>
      </c>
      <c r="L2131" s="11">
        <f t="shared" si="133"/>
        <v>-54</v>
      </c>
      <c r="M2131" s="9">
        <f t="shared" si="134"/>
        <v>-0.61931818181818188</v>
      </c>
      <c r="N2131" s="9">
        <f t="shared" si="135"/>
        <v>-0.5625</v>
      </c>
    </row>
    <row r="2132" spans="1:14" x14ac:dyDescent="0.25">
      <c r="A2132" t="str">
        <f>TEXT("1/"&amp;data!A2132,"mmmm")</f>
        <v>août</v>
      </c>
      <c r="B2132">
        <f>data!B2132</f>
        <v>2016</v>
      </c>
      <c r="C2132" t="str">
        <f>data!C2132</f>
        <v>049</v>
      </c>
      <c r="D2132" t="str">
        <f>data!D2132</f>
        <v>MAISON GRANDEAU</v>
      </c>
      <c r="E2132" t="str">
        <f>data!E2132</f>
        <v>049014</v>
      </c>
      <c r="F2132" t="str">
        <f>data!F2132</f>
        <v>AC ENTRE DEUX MER CH FLAMAND BELLEVUE</v>
      </c>
      <c r="G2132" s="10">
        <f>data!G2132</f>
        <v>0</v>
      </c>
      <c r="H2132" s="10">
        <f>data!I2132</f>
        <v>54</v>
      </c>
      <c r="I2132" s="10">
        <f t="shared" si="132"/>
        <v>-54</v>
      </c>
      <c r="J2132" s="11">
        <f>data!H2132</f>
        <v>6</v>
      </c>
      <c r="K2132" s="11">
        <f>data!J2132</f>
        <v>24</v>
      </c>
      <c r="L2132" s="11">
        <f t="shared" si="133"/>
        <v>-18</v>
      </c>
      <c r="M2132" s="9">
        <f t="shared" si="134"/>
        <v>-1</v>
      </c>
      <c r="N2132" s="9">
        <f t="shared" si="135"/>
        <v>-0.75</v>
      </c>
    </row>
    <row r="2133" spans="1:14" x14ac:dyDescent="0.25">
      <c r="A2133" t="str">
        <f>TEXT("1/"&amp;data!A2133,"mmmm")</f>
        <v>août</v>
      </c>
      <c r="B2133">
        <f>data!B2133</f>
        <v>2016</v>
      </c>
      <c r="C2133" t="str">
        <f>data!C2133</f>
        <v>049</v>
      </c>
      <c r="D2133" t="str">
        <f>data!D2133</f>
        <v>MAISON GRANDEAU</v>
      </c>
      <c r="E2133" t="str">
        <f>data!E2133</f>
        <v>049015</v>
      </c>
      <c r="F2133" t="str">
        <f>data!F2133</f>
        <v>AC BDX Classic CH LAUDUC</v>
      </c>
      <c r="G2133" s="10">
        <f>data!G2133</f>
        <v>295.8</v>
      </c>
      <c r="H2133" s="10">
        <f>data!I2133</f>
        <v>85.5</v>
      </c>
      <c r="I2133" s="10">
        <f t="shared" si="132"/>
        <v>210.3</v>
      </c>
      <c r="J2133" s="11">
        <f>data!H2133</f>
        <v>102</v>
      </c>
      <c r="K2133" s="11">
        <f>data!J2133</f>
        <v>30</v>
      </c>
      <c r="L2133" s="11">
        <f t="shared" si="133"/>
        <v>72</v>
      </c>
      <c r="M2133" s="9">
        <f t="shared" si="134"/>
        <v>2.4596491228070176</v>
      </c>
      <c r="N2133" s="9">
        <f t="shared" si="135"/>
        <v>2.4</v>
      </c>
    </row>
    <row r="2134" spans="1:14" x14ac:dyDescent="0.25">
      <c r="A2134" t="str">
        <f>TEXT("1/"&amp;data!A2134,"mmmm")</f>
        <v>août</v>
      </c>
      <c r="B2134">
        <f>data!B2134</f>
        <v>2016</v>
      </c>
      <c r="C2134" t="str">
        <f>data!C2134</f>
        <v>049</v>
      </c>
      <c r="D2134" t="str">
        <f>data!D2134</f>
        <v>MAISON GRANDEAU</v>
      </c>
      <c r="E2134" t="str">
        <f>data!E2134</f>
        <v>049016</v>
      </c>
      <c r="F2134" t="str">
        <f>data!F2134</f>
        <v>AC BDX Classic CH LAUDUC</v>
      </c>
      <c r="G2134" s="10">
        <f>data!G2134</f>
        <v>177.6</v>
      </c>
      <c r="H2134" s="10">
        <f>data!I2134</f>
        <v>43.2</v>
      </c>
      <c r="I2134" s="10">
        <f t="shared" si="132"/>
        <v>134.39999999999998</v>
      </c>
      <c r="J2134" s="11">
        <f>data!H2134</f>
        <v>48</v>
      </c>
      <c r="K2134" s="11">
        <f>data!J2134</f>
        <v>12</v>
      </c>
      <c r="L2134" s="11">
        <f t="shared" si="133"/>
        <v>36</v>
      </c>
      <c r="M2134" s="9">
        <f t="shared" si="134"/>
        <v>3.1111111111111103</v>
      </c>
      <c r="N2134" s="9">
        <f t="shared" si="135"/>
        <v>3</v>
      </c>
    </row>
    <row r="2135" spans="1:14" x14ac:dyDescent="0.25">
      <c r="A2135" t="str">
        <f>TEXT("1/"&amp;data!A2135,"mmmm")</f>
        <v>août</v>
      </c>
      <c r="B2135">
        <f>data!B2135</f>
        <v>2016</v>
      </c>
      <c r="C2135" t="str">
        <f>data!C2135</f>
        <v>049</v>
      </c>
      <c r="D2135" t="str">
        <f>data!D2135</f>
        <v>MAISON GRANDEAU</v>
      </c>
      <c r="E2135" t="str">
        <f>data!E2135</f>
        <v>049020</v>
      </c>
      <c r="F2135" t="str">
        <f>data!F2135</f>
        <v>AC BDX CH.FLAMAND BELLEVUE</v>
      </c>
      <c r="G2135" s="10">
        <f>data!G2135</f>
        <v>297</v>
      </c>
      <c r="H2135" s="10">
        <f>data!I2135</f>
        <v>351</v>
      </c>
      <c r="I2135" s="10">
        <f t="shared" si="132"/>
        <v>-54</v>
      </c>
      <c r="J2135" s="11">
        <f>data!H2135</f>
        <v>138</v>
      </c>
      <c r="K2135" s="11">
        <f>data!J2135</f>
        <v>156</v>
      </c>
      <c r="L2135" s="11">
        <f t="shared" si="133"/>
        <v>-18</v>
      </c>
      <c r="M2135" s="9">
        <f t="shared" si="134"/>
        <v>-0.15384615384615385</v>
      </c>
      <c r="N2135" s="9">
        <f t="shared" si="135"/>
        <v>-0.11538461538461539</v>
      </c>
    </row>
    <row r="2136" spans="1:14" x14ac:dyDescent="0.25">
      <c r="A2136" t="str">
        <f>TEXT("1/"&amp;data!A2136,"mmmm")</f>
        <v>août</v>
      </c>
      <c r="B2136">
        <f>data!B2136</f>
        <v>2016</v>
      </c>
      <c r="C2136" t="str">
        <f>data!C2136</f>
        <v>049</v>
      </c>
      <c r="D2136" t="str">
        <f>data!D2136</f>
        <v>MAISON GRANDEAU</v>
      </c>
      <c r="E2136" t="str">
        <f>data!E2136</f>
        <v>049023</v>
      </c>
      <c r="F2136" t="str">
        <f>data!F2136</f>
        <v>AC BDX CH.FLAMAND BELLEVUE</v>
      </c>
      <c r="G2136" s="10">
        <f>data!G2136</f>
        <v>59.4</v>
      </c>
      <c r="H2136" s="10">
        <f>data!I2136</f>
        <v>0</v>
      </c>
      <c r="I2136" s="10">
        <f t="shared" si="132"/>
        <v>59.4</v>
      </c>
      <c r="J2136" s="11">
        <f>data!H2136</f>
        <v>18</v>
      </c>
      <c r="K2136" s="11">
        <f>data!J2136</f>
        <v>0</v>
      </c>
      <c r="L2136" s="11">
        <f t="shared" si="133"/>
        <v>18</v>
      </c>
      <c r="M2136" s="9" t="str">
        <f t="shared" si="134"/>
        <v/>
      </c>
      <c r="N2136" s="9" t="str">
        <f t="shared" si="135"/>
        <v/>
      </c>
    </row>
    <row r="2137" spans="1:14" x14ac:dyDescent="0.25">
      <c r="A2137" t="str">
        <f>TEXT("1/"&amp;data!A2137,"mmmm")</f>
        <v>août</v>
      </c>
      <c r="B2137">
        <f>data!B2137</f>
        <v>2016</v>
      </c>
      <c r="C2137" t="str">
        <f>data!C2137</f>
        <v>050</v>
      </c>
      <c r="D2137" t="str">
        <f>data!D2137</f>
        <v>CHÂTEAU HAUT LIGNIERES</v>
      </c>
      <c r="E2137" t="str">
        <f>data!E2137</f>
        <v>050001</v>
      </c>
      <c r="F2137" t="str">
        <f>data!F2137</f>
        <v>AC FAUGERES LE 1ER CH HAUT LIGNIERES</v>
      </c>
      <c r="G2137" s="10">
        <f>data!G2137</f>
        <v>1209</v>
      </c>
      <c r="H2137" s="10">
        <f>data!I2137</f>
        <v>1593.6</v>
      </c>
      <c r="I2137" s="10">
        <f t="shared" si="132"/>
        <v>-384.59999999999991</v>
      </c>
      <c r="J2137" s="11">
        <f>data!H2137</f>
        <v>378</v>
      </c>
      <c r="K2137" s="11">
        <f>data!J2137</f>
        <v>498</v>
      </c>
      <c r="L2137" s="11">
        <f t="shared" si="133"/>
        <v>-120</v>
      </c>
      <c r="M2137" s="9">
        <f t="shared" si="134"/>
        <v>-0.24134036144578308</v>
      </c>
      <c r="N2137" s="9">
        <f t="shared" si="135"/>
        <v>-0.24096385542168675</v>
      </c>
    </row>
    <row r="2138" spans="1:14" x14ac:dyDescent="0.25">
      <c r="A2138" t="str">
        <f>TEXT("1/"&amp;data!A2138,"mmmm")</f>
        <v>août</v>
      </c>
      <c r="B2138">
        <f>data!B2138</f>
        <v>2016</v>
      </c>
      <c r="C2138" t="str">
        <f>data!C2138</f>
        <v>050</v>
      </c>
      <c r="D2138" t="str">
        <f>data!D2138</f>
        <v>CHÂTEAU HAUT LIGNIERES</v>
      </c>
      <c r="E2138" t="str">
        <f>data!E2138</f>
        <v>050003</v>
      </c>
      <c r="F2138" t="str">
        <f>data!F2138</f>
        <v>AC FAUGERES HT LIGNIERES</v>
      </c>
      <c r="G2138" s="10">
        <f>data!G2138</f>
        <v>58.5</v>
      </c>
      <c r="H2138" s="10">
        <f>data!I2138</f>
        <v>0</v>
      </c>
      <c r="I2138" s="10">
        <f t="shared" si="132"/>
        <v>58.5</v>
      </c>
      <c r="J2138" s="11">
        <f>data!H2138</f>
        <v>24</v>
      </c>
      <c r="K2138" s="11">
        <f>data!J2138</f>
        <v>0</v>
      </c>
      <c r="L2138" s="11">
        <f t="shared" si="133"/>
        <v>24</v>
      </c>
      <c r="M2138" s="9" t="str">
        <f t="shared" si="134"/>
        <v/>
      </c>
      <c r="N2138" s="9" t="str">
        <f t="shared" si="135"/>
        <v/>
      </c>
    </row>
    <row r="2139" spans="1:14" x14ac:dyDescent="0.25">
      <c r="A2139" t="str">
        <f>TEXT("1/"&amp;data!A2139,"mmmm")</f>
        <v>août</v>
      </c>
      <c r="B2139">
        <f>data!B2139</f>
        <v>2016</v>
      </c>
      <c r="C2139" t="str">
        <f>data!C2139</f>
        <v>050</v>
      </c>
      <c r="D2139" t="str">
        <f>data!D2139</f>
        <v>CHÂTEAU HAUT LIGNIERES</v>
      </c>
      <c r="E2139" t="str">
        <f>data!E2139</f>
        <v>050005</v>
      </c>
      <c r="F2139" t="str">
        <f>data!F2139</f>
        <v>AC FAUGERES ROMY CH HAUT LIGNIERES</v>
      </c>
      <c r="G2139" s="10">
        <f>data!G2139</f>
        <v>211.2</v>
      </c>
      <c r="H2139" s="10">
        <f>data!I2139</f>
        <v>79.2</v>
      </c>
      <c r="I2139" s="10">
        <f t="shared" si="132"/>
        <v>132</v>
      </c>
      <c r="J2139" s="11">
        <f>data!H2139</f>
        <v>48</v>
      </c>
      <c r="K2139" s="11">
        <f>data!J2139</f>
        <v>18</v>
      </c>
      <c r="L2139" s="11">
        <f t="shared" si="133"/>
        <v>30</v>
      </c>
      <c r="M2139" s="9">
        <f t="shared" si="134"/>
        <v>1.6666666666666665</v>
      </c>
      <c r="N2139" s="9">
        <f t="shared" si="135"/>
        <v>1.6666666666666667</v>
      </c>
    </row>
    <row r="2140" spans="1:14" x14ac:dyDescent="0.25">
      <c r="A2140" t="str">
        <f>TEXT("1/"&amp;data!A2140,"mmmm")</f>
        <v>août</v>
      </c>
      <c r="B2140">
        <f>data!B2140</f>
        <v>2016</v>
      </c>
      <c r="C2140" t="str">
        <f>data!C2140</f>
        <v>050</v>
      </c>
      <c r="D2140" t="str">
        <f>data!D2140</f>
        <v>CHÂTEAU HAUT LIGNIERES</v>
      </c>
      <c r="E2140" t="str">
        <f>data!E2140</f>
        <v>050010</v>
      </c>
      <c r="F2140" t="str">
        <f>data!F2140</f>
        <v>AC FAUGERES CARMINA BUT</v>
      </c>
      <c r="G2140" s="10">
        <f>data!G2140</f>
        <v>39</v>
      </c>
      <c r="H2140" s="10">
        <f>data!I2140</f>
        <v>39</v>
      </c>
      <c r="I2140" s="10">
        <f t="shared" si="132"/>
        <v>0</v>
      </c>
      <c r="J2140" s="11">
        <f>data!H2140</f>
        <v>6</v>
      </c>
      <c r="K2140" s="11">
        <f>data!J2140</f>
        <v>6</v>
      </c>
      <c r="L2140" s="11">
        <f t="shared" si="133"/>
        <v>0</v>
      </c>
      <c r="M2140" s="9">
        <f t="shared" si="134"/>
        <v>0</v>
      </c>
      <c r="N2140" s="9">
        <f t="shared" si="135"/>
        <v>0</v>
      </c>
    </row>
    <row r="2141" spans="1:14" x14ac:dyDescent="0.25">
      <c r="A2141" t="str">
        <f>TEXT("1/"&amp;data!A2141,"mmmm")</f>
        <v>août</v>
      </c>
      <c r="B2141">
        <f>data!B2141</f>
        <v>2016</v>
      </c>
      <c r="C2141" t="str">
        <f>data!C2141</f>
        <v>051</v>
      </c>
      <c r="D2141" t="str">
        <f>data!D2141</f>
        <v>CLOS TRIMOULET</v>
      </c>
      <c r="E2141" t="str">
        <f>data!E2141</f>
        <v>051000</v>
      </c>
      <c r="F2141" t="str">
        <f>data!F2141</f>
        <v>AC MONTAGNE ST EMILION .CH ST GEORGES</v>
      </c>
      <c r="G2141" s="10">
        <f>data!G2141</f>
        <v>4334.3999999999996</v>
      </c>
      <c r="H2141" s="10">
        <f>data!I2141</f>
        <v>1911</v>
      </c>
      <c r="I2141" s="10">
        <f t="shared" si="132"/>
        <v>2423.3999999999996</v>
      </c>
      <c r="J2141" s="11">
        <f>data!H2141</f>
        <v>774</v>
      </c>
      <c r="K2141" s="11">
        <f>data!J2141</f>
        <v>342</v>
      </c>
      <c r="L2141" s="11">
        <f t="shared" si="133"/>
        <v>432</v>
      </c>
      <c r="M2141" s="9">
        <f t="shared" si="134"/>
        <v>1.2681318681318678</v>
      </c>
      <c r="N2141" s="9">
        <f t="shared" si="135"/>
        <v>1.263157894736842</v>
      </c>
    </row>
    <row r="2142" spans="1:14" x14ac:dyDescent="0.25">
      <c r="A2142" t="str">
        <f>TEXT("1/"&amp;data!A2142,"mmmm")</f>
        <v>août</v>
      </c>
      <c r="B2142">
        <f>data!B2142</f>
        <v>2016</v>
      </c>
      <c r="C2142" t="str">
        <f>data!C2142</f>
        <v>051</v>
      </c>
      <c r="D2142" t="str">
        <f>data!D2142</f>
        <v>CLOS TRIMOULET</v>
      </c>
      <c r="E2142" t="str">
        <f>data!E2142</f>
        <v>051002CB</v>
      </c>
      <c r="F2142" t="str">
        <f>data!F2142</f>
        <v>AC ST EMILION GRAND CRU CLOS TRIMOULET CAISSE BOIS</v>
      </c>
      <c r="G2142" s="10">
        <f>data!G2142</f>
        <v>141.75</v>
      </c>
      <c r="H2142" s="10">
        <f>data!I2142</f>
        <v>167.94</v>
      </c>
      <c r="I2142" s="10">
        <f t="shared" si="132"/>
        <v>-26.189999999999998</v>
      </c>
      <c r="J2142" s="11">
        <f>data!H2142</f>
        <v>15</v>
      </c>
      <c r="K2142" s="11">
        <f>data!J2142</f>
        <v>18</v>
      </c>
      <c r="L2142" s="11">
        <f t="shared" si="133"/>
        <v>-3</v>
      </c>
      <c r="M2142" s="9">
        <f t="shared" si="134"/>
        <v>-0.15594855305466238</v>
      </c>
      <c r="N2142" s="9">
        <f t="shared" si="135"/>
        <v>-0.16666666666666666</v>
      </c>
    </row>
    <row r="2143" spans="1:14" x14ac:dyDescent="0.25">
      <c r="A2143" t="str">
        <f>TEXT("1/"&amp;data!A2143,"mmmm")</f>
        <v>août</v>
      </c>
      <c r="B2143">
        <f>data!B2143</f>
        <v>2016</v>
      </c>
      <c r="C2143" t="str">
        <f>data!C2143</f>
        <v>051</v>
      </c>
      <c r="D2143" t="str">
        <f>data!D2143</f>
        <v>CLOS TRIMOULET</v>
      </c>
      <c r="E2143" t="str">
        <f>data!E2143</f>
        <v>051010/11</v>
      </c>
      <c r="F2143" t="str">
        <f>data!F2143</f>
        <v>CLOS TRIMOULET AC ST EMILION GD CRU</v>
      </c>
      <c r="G2143" s="10">
        <f>data!G2143</f>
        <v>6123.6</v>
      </c>
      <c r="H2143" s="10">
        <f>data!I2143</f>
        <v>2028.6</v>
      </c>
      <c r="I2143" s="10">
        <f t="shared" si="132"/>
        <v>4095.0000000000005</v>
      </c>
      <c r="J2143" s="11">
        <f>data!H2143</f>
        <v>756</v>
      </c>
      <c r="K2143" s="11">
        <f>data!J2143</f>
        <v>252</v>
      </c>
      <c r="L2143" s="11">
        <f t="shared" si="133"/>
        <v>504</v>
      </c>
      <c r="M2143" s="9">
        <f t="shared" si="134"/>
        <v>2.018633540372671</v>
      </c>
      <c r="N2143" s="9">
        <f t="shared" si="135"/>
        <v>2</v>
      </c>
    </row>
    <row r="2144" spans="1:14" x14ac:dyDescent="0.25">
      <c r="A2144" t="str">
        <f>TEXT("1/"&amp;data!A2144,"mmmm")</f>
        <v>août</v>
      </c>
      <c r="B2144">
        <f>data!B2144</f>
        <v>2016</v>
      </c>
      <c r="C2144" t="str">
        <f>data!C2144</f>
        <v>051</v>
      </c>
      <c r="D2144" t="str">
        <f>data!D2144</f>
        <v>CLOS TRIMOULET</v>
      </c>
      <c r="E2144" t="str">
        <f>data!E2144</f>
        <v>051016</v>
      </c>
      <c r="F2144" t="str">
        <f>data!F2144</f>
        <v>AC MONTAGNE ST EMILION CH ST GEORGES</v>
      </c>
      <c r="G2144" s="10">
        <f>data!G2144</f>
        <v>79.2</v>
      </c>
      <c r="H2144" s="10">
        <f>data!I2144</f>
        <v>0</v>
      </c>
      <c r="I2144" s="10">
        <f t="shared" si="132"/>
        <v>79.2</v>
      </c>
      <c r="J2144" s="11">
        <f>data!H2144</f>
        <v>12</v>
      </c>
      <c r="K2144" s="11">
        <f>data!J2144</f>
        <v>0</v>
      </c>
      <c r="L2144" s="11">
        <f t="shared" si="133"/>
        <v>12</v>
      </c>
      <c r="M2144" s="9" t="str">
        <f t="shared" si="134"/>
        <v/>
      </c>
      <c r="N2144" s="9" t="str">
        <f t="shared" si="135"/>
        <v/>
      </c>
    </row>
    <row r="2145" spans="1:14" x14ac:dyDescent="0.25">
      <c r="A2145" t="str">
        <f>TEXT("1/"&amp;data!A2145,"mmmm")</f>
        <v>août</v>
      </c>
      <c r="B2145">
        <f>data!B2145</f>
        <v>2016</v>
      </c>
      <c r="C2145" t="str">
        <f>data!C2145</f>
        <v>051</v>
      </c>
      <c r="D2145" t="str">
        <f>data!D2145</f>
        <v>CLOS TRIMOULET</v>
      </c>
      <c r="E2145" t="str">
        <f>data!E2145</f>
        <v>051017</v>
      </c>
      <c r="F2145" t="str">
        <f>data!F2145</f>
        <v>AC MONTAGNE ST EMILION CH ST GEORGES</v>
      </c>
      <c r="G2145" s="10">
        <f>data!G2145</f>
        <v>381</v>
      </c>
      <c r="H2145" s="10">
        <f>data!I2145</f>
        <v>457.2</v>
      </c>
      <c r="I2145" s="10">
        <f t="shared" si="132"/>
        <v>-76.199999999999989</v>
      </c>
      <c r="J2145" s="11">
        <f>data!H2145</f>
        <v>60</v>
      </c>
      <c r="K2145" s="11">
        <f>data!J2145</f>
        <v>72</v>
      </c>
      <c r="L2145" s="11">
        <f t="shared" si="133"/>
        <v>-12</v>
      </c>
      <c r="M2145" s="9">
        <f t="shared" si="134"/>
        <v>-0.16666666666666666</v>
      </c>
      <c r="N2145" s="9">
        <f t="shared" si="135"/>
        <v>-0.16666666666666666</v>
      </c>
    </row>
    <row r="2146" spans="1:14" x14ac:dyDescent="0.25">
      <c r="A2146" t="str">
        <f>TEXT("1/"&amp;data!A2146,"mmmm")</f>
        <v>août</v>
      </c>
      <c r="B2146">
        <f>data!B2146</f>
        <v>2016</v>
      </c>
      <c r="C2146" t="str">
        <f>data!C2146</f>
        <v>051</v>
      </c>
      <c r="D2146" t="str">
        <f>data!D2146</f>
        <v>CLOS TRIMOULET</v>
      </c>
      <c r="E2146" t="str">
        <f>data!E2146</f>
        <v>051133</v>
      </c>
      <c r="F2146" t="str">
        <f>data!F2146</f>
        <v>CLOS TRIMOULET AC ST EMILION GRAND CRU</v>
      </c>
      <c r="G2146" s="10">
        <f>data!G2146</f>
        <v>1362.9</v>
      </c>
      <c r="H2146" s="10">
        <f>data!I2146</f>
        <v>1689.6</v>
      </c>
      <c r="I2146" s="10">
        <f t="shared" si="132"/>
        <v>-326.69999999999982</v>
      </c>
      <c r="J2146" s="11">
        <f>data!H2146</f>
        <v>154</v>
      </c>
      <c r="K2146" s="11">
        <f>data!J2146</f>
        <v>192</v>
      </c>
      <c r="L2146" s="11">
        <f t="shared" si="133"/>
        <v>-38</v>
      </c>
      <c r="M2146" s="9">
        <f t="shared" si="134"/>
        <v>-0.19335937499999989</v>
      </c>
      <c r="N2146" s="9">
        <f t="shared" si="135"/>
        <v>-0.19791666666666666</v>
      </c>
    </row>
    <row r="2147" spans="1:14" x14ac:dyDescent="0.25">
      <c r="A2147" t="str">
        <f>TEXT("1/"&amp;data!A2147,"mmmm")</f>
        <v>août</v>
      </c>
      <c r="B2147">
        <f>data!B2147</f>
        <v>2016</v>
      </c>
      <c r="C2147" t="str">
        <f>data!C2147</f>
        <v>052</v>
      </c>
      <c r="D2147" t="str">
        <f>data!D2147</f>
        <v>GIRONDE ET GASCOGNE SARL</v>
      </c>
      <c r="E2147" t="str">
        <f>data!E2147</f>
        <v>052021</v>
      </c>
      <c r="F2147" t="str">
        <f>data!F2147</f>
        <v>CH RAMAGE LA BATISSE AC HAUT MEDOC CRU BOURGEOIS C</v>
      </c>
      <c r="G2147" s="10">
        <f>data!G2147</f>
        <v>1728</v>
      </c>
      <c r="H2147" s="10">
        <f>data!I2147</f>
        <v>172.8</v>
      </c>
      <c r="I2147" s="10">
        <f t="shared" si="132"/>
        <v>1555.2</v>
      </c>
      <c r="J2147" s="11">
        <f>data!H2147</f>
        <v>180</v>
      </c>
      <c r="K2147" s="11">
        <f>data!J2147</f>
        <v>18</v>
      </c>
      <c r="L2147" s="11">
        <f t="shared" si="133"/>
        <v>162</v>
      </c>
      <c r="M2147" s="9">
        <f t="shared" si="134"/>
        <v>9</v>
      </c>
      <c r="N2147" s="9">
        <f t="shared" si="135"/>
        <v>9</v>
      </c>
    </row>
    <row r="2148" spans="1:14" x14ac:dyDescent="0.25">
      <c r="A2148" t="str">
        <f>TEXT("1/"&amp;data!A2148,"mmmm")</f>
        <v>août</v>
      </c>
      <c r="B2148">
        <f>data!B2148</f>
        <v>2016</v>
      </c>
      <c r="C2148" t="str">
        <f>data!C2148</f>
        <v>052</v>
      </c>
      <c r="D2148" t="str">
        <f>data!D2148</f>
        <v>GIRONDE ET GASCOGNE SARL</v>
      </c>
      <c r="E2148" t="str">
        <f>data!E2148</f>
        <v>052028</v>
      </c>
      <c r="F2148" t="str">
        <f>data!F2148</f>
        <v>AC BX LA ROSEE DE RAMAGE</v>
      </c>
      <c r="G2148" s="10">
        <f>data!G2148</f>
        <v>238.5</v>
      </c>
      <c r="H2148" s="10">
        <f>data!I2148</f>
        <v>254.4</v>
      </c>
      <c r="I2148" s="10">
        <f t="shared" si="132"/>
        <v>-15.900000000000006</v>
      </c>
      <c r="J2148" s="11">
        <f>data!H2148</f>
        <v>90</v>
      </c>
      <c r="K2148" s="11">
        <f>data!J2148</f>
        <v>96</v>
      </c>
      <c r="L2148" s="11">
        <f t="shared" si="133"/>
        <v>-6</v>
      </c>
      <c r="M2148" s="9">
        <f t="shared" si="134"/>
        <v>-6.2500000000000028E-2</v>
      </c>
      <c r="N2148" s="9">
        <f t="shared" si="135"/>
        <v>-6.25E-2</v>
      </c>
    </row>
    <row r="2149" spans="1:14" x14ac:dyDescent="0.25">
      <c r="A2149" t="str">
        <f>TEXT("1/"&amp;data!A2149,"mmmm")</f>
        <v>août</v>
      </c>
      <c r="B2149">
        <f>data!B2149</f>
        <v>2016</v>
      </c>
      <c r="C2149" t="str">
        <f>data!C2149</f>
        <v>052</v>
      </c>
      <c r="D2149" t="str">
        <f>data!D2149</f>
        <v>GIRONDE ET GASCOGNE SARL</v>
      </c>
      <c r="E2149" t="str">
        <f>data!E2149</f>
        <v>052039</v>
      </c>
      <c r="F2149" t="str">
        <f>data!F2149</f>
        <v>AC HT-MEDOC CLOS DE RAMAGE</v>
      </c>
      <c r="G2149" s="10">
        <f>data!G2149</f>
        <v>904.2</v>
      </c>
      <c r="H2149" s="10">
        <f>data!I2149</f>
        <v>452.1</v>
      </c>
      <c r="I2149" s="10">
        <f t="shared" si="132"/>
        <v>452.1</v>
      </c>
      <c r="J2149" s="11">
        <f>data!H2149</f>
        <v>132</v>
      </c>
      <c r="K2149" s="11">
        <f>data!J2149</f>
        <v>66</v>
      </c>
      <c r="L2149" s="11">
        <f t="shared" si="133"/>
        <v>66</v>
      </c>
      <c r="M2149" s="9">
        <f t="shared" si="134"/>
        <v>1</v>
      </c>
      <c r="N2149" s="9">
        <f t="shared" si="135"/>
        <v>1</v>
      </c>
    </row>
    <row r="2150" spans="1:14" x14ac:dyDescent="0.25">
      <c r="A2150" t="str">
        <f>TEXT("1/"&amp;data!A2150,"mmmm")</f>
        <v>août</v>
      </c>
      <c r="B2150">
        <f>data!B2150</f>
        <v>2016</v>
      </c>
      <c r="C2150" t="str">
        <f>data!C2150</f>
        <v>052</v>
      </c>
      <c r="D2150" t="str">
        <f>data!D2150</f>
        <v>GIRONDE ET GASCOGNE SARL</v>
      </c>
      <c r="E2150" t="str">
        <f>data!E2150</f>
        <v>052046</v>
      </c>
      <c r="F2150" t="str">
        <f>data!F2150</f>
        <v>CLOS DE RAMAGE AC HAUT-MEDOC</v>
      </c>
      <c r="G2150" s="10">
        <f>data!G2150</f>
        <v>169.8</v>
      </c>
      <c r="H2150" s="10">
        <f>data!I2150</f>
        <v>169.8</v>
      </c>
      <c r="I2150" s="10">
        <f t="shared" si="132"/>
        <v>0</v>
      </c>
      <c r="J2150" s="11">
        <f>data!H2150</f>
        <v>24</v>
      </c>
      <c r="K2150" s="11">
        <f>data!J2150</f>
        <v>24</v>
      </c>
      <c r="L2150" s="11">
        <f t="shared" si="133"/>
        <v>0</v>
      </c>
      <c r="M2150" s="9">
        <f t="shared" si="134"/>
        <v>0</v>
      </c>
      <c r="N2150" s="9">
        <f t="shared" si="135"/>
        <v>0</v>
      </c>
    </row>
    <row r="2151" spans="1:14" x14ac:dyDescent="0.25">
      <c r="A2151" t="str">
        <f>TEXT("1/"&amp;data!A2151,"mmmm")</f>
        <v>août</v>
      </c>
      <c r="B2151">
        <f>data!B2151</f>
        <v>2016</v>
      </c>
      <c r="C2151" t="str">
        <f>data!C2151</f>
        <v>052</v>
      </c>
      <c r="D2151" t="str">
        <f>data!D2151</f>
        <v>GIRONDE ET GASCOGNE SARL</v>
      </c>
      <c r="E2151" t="str">
        <f>data!E2151</f>
        <v>052054</v>
      </c>
      <c r="F2151" t="str">
        <f>data!F2151</f>
        <v>CH DE BELCIER AC COTES DE CASTILLON</v>
      </c>
      <c r="G2151" s="10">
        <f>data!G2151</f>
        <v>0</v>
      </c>
      <c r="H2151" s="10">
        <f>data!I2151</f>
        <v>0</v>
      </c>
      <c r="I2151" s="10">
        <f t="shared" si="132"/>
        <v>0</v>
      </c>
      <c r="J2151" s="11">
        <f>data!H2151</f>
        <v>12</v>
      </c>
      <c r="K2151" s="11">
        <f>data!J2151</f>
        <v>0</v>
      </c>
      <c r="L2151" s="11">
        <f t="shared" si="133"/>
        <v>12</v>
      </c>
      <c r="M2151" s="9" t="str">
        <f t="shared" si="134"/>
        <v/>
      </c>
      <c r="N2151" s="9" t="str">
        <f t="shared" si="135"/>
        <v/>
      </c>
    </row>
    <row r="2152" spans="1:14" x14ac:dyDescent="0.25">
      <c r="A2152" t="str">
        <f>TEXT("1/"&amp;data!A2152,"mmmm")</f>
        <v>août</v>
      </c>
      <c r="B2152">
        <f>data!B2152</f>
        <v>2016</v>
      </c>
      <c r="C2152" t="str">
        <f>data!C2152</f>
        <v>052</v>
      </c>
      <c r="D2152" t="str">
        <f>data!D2152</f>
        <v>GIRONDE ET GASCOGNE SARL</v>
      </c>
      <c r="E2152" t="str">
        <f>data!E2152</f>
        <v>052055</v>
      </c>
      <c r="F2152" t="str">
        <f>data!F2152</f>
        <v>AC C CASTILLON. CH BELCIER</v>
      </c>
      <c r="G2152" s="10">
        <f>data!G2152</f>
        <v>411</v>
      </c>
      <c r="H2152" s="10">
        <f>data!I2152</f>
        <v>0</v>
      </c>
      <c r="I2152" s="10">
        <f t="shared" si="132"/>
        <v>411</v>
      </c>
      <c r="J2152" s="11">
        <f>data!H2152</f>
        <v>60</v>
      </c>
      <c r="K2152" s="11">
        <f>data!J2152</f>
        <v>0</v>
      </c>
      <c r="L2152" s="11">
        <f t="shared" si="133"/>
        <v>60</v>
      </c>
      <c r="M2152" s="9" t="str">
        <f t="shared" si="134"/>
        <v/>
      </c>
      <c r="N2152" s="9" t="str">
        <f t="shared" si="135"/>
        <v/>
      </c>
    </row>
    <row r="2153" spans="1:14" x14ac:dyDescent="0.25">
      <c r="A2153" t="str">
        <f>TEXT("1/"&amp;data!A2153,"mmmm")</f>
        <v>août</v>
      </c>
      <c r="B2153">
        <f>data!B2153</f>
        <v>2016</v>
      </c>
      <c r="C2153" t="str">
        <f>data!C2153</f>
        <v>052</v>
      </c>
      <c r="D2153" t="str">
        <f>data!D2153</f>
        <v>GIRONDE ET GASCOGNE SARL</v>
      </c>
      <c r="E2153" t="str">
        <f>data!E2153</f>
        <v>052062</v>
      </c>
      <c r="F2153" t="str">
        <f>data!F2153</f>
        <v>AC C CASTILLON. CH BELCIER</v>
      </c>
      <c r="G2153" s="10">
        <f>data!G2153</f>
        <v>84.9</v>
      </c>
      <c r="H2153" s="10">
        <f>data!I2153</f>
        <v>0</v>
      </c>
      <c r="I2153" s="10">
        <f t="shared" si="132"/>
        <v>84.9</v>
      </c>
      <c r="J2153" s="11">
        <f>data!H2153</f>
        <v>12</v>
      </c>
      <c r="K2153" s="11">
        <f>data!J2153</f>
        <v>0</v>
      </c>
      <c r="L2153" s="11">
        <f t="shared" si="133"/>
        <v>12</v>
      </c>
      <c r="M2153" s="9" t="str">
        <f t="shared" si="134"/>
        <v/>
      </c>
      <c r="N2153" s="9" t="str">
        <f t="shared" si="135"/>
        <v/>
      </c>
    </row>
    <row r="2154" spans="1:14" x14ac:dyDescent="0.25">
      <c r="A2154" t="str">
        <f>TEXT("1/"&amp;data!A2154,"mmmm")</f>
        <v>août</v>
      </c>
      <c r="B2154">
        <f>data!B2154</f>
        <v>2016</v>
      </c>
      <c r="C2154" t="str">
        <f>data!C2154</f>
        <v>054</v>
      </c>
      <c r="D2154" t="str">
        <f>data!D2154</f>
        <v>CHÂTEAU JEANDEMAN</v>
      </c>
      <c r="E2154" t="str">
        <f>data!E2154</f>
        <v>054002</v>
      </c>
      <c r="F2154" t="str">
        <f>data!F2154</f>
        <v>AC FRONSAC CH JEANDEMAN</v>
      </c>
      <c r="G2154" s="10">
        <f>data!G2154</f>
        <v>90</v>
      </c>
      <c r="H2154" s="10">
        <f>data!I2154</f>
        <v>0</v>
      </c>
      <c r="I2154" s="10">
        <f t="shared" si="132"/>
        <v>90</v>
      </c>
      <c r="J2154" s="11">
        <f>data!H2154</f>
        <v>18</v>
      </c>
      <c r="K2154" s="11">
        <f>data!J2154</f>
        <v>0</v>
      </c>
      <c r="L2154" s="11">
        <f t="shared" si="133"/>
        <v>18</v>
      </c>
      <c r="M2154" s="9" t="str">
        <f t="shared" si="134"/>
        <v/>
      </c>
      <c r="N2154" s="9" t="str">
        <f t="shared" si="135"/>
        <v/>
      </c>
    </row>
    <row r="2155" spans="1:14" x14ac:dyDescent="0.25">
      <c r="A2155" t="str">
        <f>TEXT("1/"&amp;data!A2155,"mmmm")</f>
        <v>août</v>
      </c>
      <c r="B2155">
        <f>data!B2155</f>
        <v>2016</v>
      </c>
      <c r="C2155" t="str">
        <f>data!C2155</f>
        <v>054</v>
      </c>
      <c r="D2155" t="str">
        <f>data!D2155</f>
        <v>CHÂTEAU JEANDEMAN</v>
      </c>
      <c r="E2155" t="str">
        <f>data!E2155</f>
        <v>054005</v>
      </c>
      <c r="F2155" t="str">
        <f>data!F2155</f>
        <v>AC LALANDE DE POMEROL. CH LABORDE</v>
      </c>
      <c r="G2155" s="10">
        <f>data!G2155</f>
        <v>93</v>
      </c>
      <c r="H2155" s="10">
        <f>data!I2155</f>
        <v>0</v>
      </c>
      <c r="I2155" s="10">
        <f t="shared" si="132"/>
        <v>93</v>
      </c>
      <c r="J2155" s="11">
        <f>data!H2155</f>
        <v>12</v>
      </c>
      <c r="K2155" s="11">
        <f>data!J2155</f>
        <v>0</v>
      </c>
      <c r="L2155" s="11">
        <f t="shared" si="133"/>
        <v>12</v>
      </c>
      <c r="M2155" s="9" t="str">
        <f t="shared" si="134"/>
        <v/>
      </c>
      <c r="N2155" s="9" t="str">
        <f t="shared" si="135"/>
        <v/>
      </c>
    </row>
    <row r="2156" spans="1:14" x14ac:dyDescent="0.25">
      <c r="A2156" t="str">
        <f>TEXT("1/"&amp;data!A2156,"mmmm")</f>
        <v>août</v>
      </c>
      <c r="B2156">
        <f>data!B2156</f>
        <v>2016</v>
      </c>
      <c r="C2156" t="str">
        <f>data!C2156</f>
        <v>054</v>
      </c>
      <c r="D2156" t="str">
        <f>data!D2156</f>
        <v>CHÂTEAU JEANDEMAN</v>
      </c>
      <c r="E2156" t="str">
        <f>data!E2156</f>
        <v>054011</v>
      </c>
      <c r="F2156" t="str">
        <f>data!F2156</f>
        <v>AC PESSAC LEOGNAN. CH MANCEDRE</v>
      </c>
      <c r="G2156" s="10">
        <f>data!G2156</f>
        <v>694.2</v>
      </c>
      <c r="H2156" s="10">
        <f>data!I2156</f>
        <v>0</v>
      </c>
      <c r="I2156" s="10">
        <f t="shared" si="132"/>
        <v>694.2</v>
      </c>
      <c r="J2156" s="11">
        <f>data!H2156</f>
        <v>78</v>
      </c>
      <c r="K2156" s="11">
        <f>data!J2156</f>
        <v>0</v>
      </c>
      <c r="L2156" s="11">
        <f t="shared" si="133"/>
        <v>78</v>
      </c>
      <c r="M2156" s="9" t="str">
        <f t="shared" si="134"/>
        <v/>
      </c>
      <c r="N2156" s="9" t="str">
        <f t="shared" si="135"/>
        <v/>
      </c>
    </row>
    <row r="2157" spans="1:14" x14ac:dyDescent="0.25">
      <c r="A2157" t="str">
        <f>TEXT("1/"&amp;data!A2157,"mmmm")</f>
        <v>août</v>
      </c>
      <c r="B2157">
        <f>data!B2157</f>
        <v>2016</v>
      </c>
      <c r="C2157" t="str">
        <f>data!C2157</f>
        <v>059</v>
      </c>
      <c r="D2157" t="str">
        <f>data!D2157</f>
        <v>CH DU ROUET</v>
      </c>
      <c r="E2157" t="str">
        <f>data!E2157</f>
        <v>059002</v>
      </c>
      <c r="F2157" t="str">
        <f>data!F2157</f>
        <v>AC C.PROVENCE. ESTERELLE .ROUET</v>
      </c>
      <c r="G2157" s="10">
        <f>data!G2157</f>
        <v>277.2</v>
      </c>
      <c r="H2157" s="10">
        <f>data!I2157</f>
        <v>453.6</v>
      </c>
      <c r="I2157" s="10">
        <f t="shared" si="132"/>
        <v>-176.40000000000003</v>
      </c>
      <c r="J2157" s="11">
        <f>data!H2157</f>
        <v>66</v>
      </c>
      <c r="K2157" s="11">
        <f>data!J2157</f>
        <v>108</v>
      </c>
      <c r="L2157" s="11">
        <f t="shared" si="133"/>
        <v>-42</v>
      </c>
      <c r="M2157" s="9">
        <f t="shared" si="134"/>
        <v>-0.38888888888888895</v>
      </c>
      <c r="N2157" s="9">
        <f t="shared" si="135"/>
        <v>-0.3888888888888889</v>
      </c>
    </row>
    <row r="2158" spans="1:14" x14ac:dyDescent="0.25">
      <c r="A2158" t="str">
        <f>TEXT("1/"&amp;data!A2158,"mmmm")</f>
        <v>août</v>
      </c>
      <c r="B2158">
        <f>data!B2158</f>
        <v>2016</v>
      </c>
      <c r="C2158" t="str">
        <f>data!C2158</f>
        <v>059</v>
      </c>
      <c r="D2158" t="str">
        <f>data!D2158</f>
        <v>CH DU ROUET</v>
      </c>
      <c r="E2158" t="str">
        <f>data!E2158</f>
        <v>059004</v>
      </c>
      <c r="F2158" t="str">
        <f>data!F2158</f>
        <v>AP COTES DE PROVENCE ESTERELLE</v>
      </c>
      <c r="G2158" s="10">
        <f>data!G2158</f>
        <v>43.2</v>
      </c>
      <c r="H2158" s="10">
        <f>data!I2158</f>
        <v>21.3</v>
      </c>
      <c r="I2158" s="10">
        <f t="shared" si="132"/>
        <v>21.900000000000002</v>
      </c>
      <c r="J2158" s="11">
        <f>data!H2158</f>
        <v>12</v>
      </c>
      <c r="K2158" s="11">
        <f>data!J2158</f>
        <v>6</v>
      </c>
      <c r="L2158" s="11">
        <f t="shared" si="133"/>
        <v>6</v>
      </c>
      <c r="M2158" s="9">
        <f t="shared" si="134"/>
        <v>1.028169014084507</v>
      </c>
      <c r="N2158" s="9">
        <f t="shared" si="135"/>
        <v>1</v>
      </c>
    </row>
    <row r="2159" spans="1:14" x14ac:dyDescent="0.25">
      <c r="A2159" t="str">
        <f>TEXT("1/"&amp;data!A2159,"mmmm")</f>
        <v>août</v>
      </c>
      <c r="B2159">
        <f>data!B2159</f>
        <v>2016</v>
      </c>
      <c r="C2159" t="str">
        <f>data!C2159</f>
        <v>059</v>
      </c>
      <c r="D2159" t="str">
        <f>data!D2159</f>
        <v>CH DU ROUET</v>
      </c>
      <c r="E2159" t="str">
        <f>data!E2159</f>
        <v>059005</v>
      </c>
      <c r="F2159" t="str">
        <f>data!F2159</f>
        <v>AP COTES DE PROVENCE ESTERELLE</v>
      </c>
      <c r="G2159" s="10">
        <f>data!G2159</f>
        <v>21.6</v>
      </c>
      <c r="H2159" s="10">
        <f>data!I2159</f>
        <v>0</v>
      </c>
      <c r="I2159" s="10">
        <f t="shared" si="132"/>
        <v>21.6</v>
      </c>
      <c r="J2159" s="11">
        <f>data!H2159</f>
        <v>6</v>
      </c>
      <c r="K2159" s="11">
        <f>data!J2159</f>
        <v>0</v>
      </c>
      <c r="L2159" s="11">
        <f t="shared" si="133"/>
        <v>6</v>
      </c>
      <c r="M2159" s="9" t="str">
        <f t="shared" si="134"/>
        <v/>
      </c>
      <c r="N2159" s="9" t="str">
        <f t="shared" si="135"/>
        <v/>
      </c>
    </row>
    <row r="2160" spans="1:14" x14ac:dyDescent="0.25">
      <c r="A2160" t="str">
        <f>TEXT("1/"&amp;data!A2160,"mmmm")</f>
        <v>août</v>
      </c>
      <c r="B2160">
        <f>data!B2160</f>
        <v>2016</v>
      </c>
      <c r="C2160" t="str">
        <f>data!C2160</f>
        <v>059</v>
      </c>
      <c r="D2160" t="str">
        <f>data!D2160</f>
        <v>CH DU ROUET</v>
      </c>
      <c r="E2160" t="str">
        <f>data!E2160</f>
        <v>059008</v>
      </c>
      <c r="F2160" t="str">
        <f>data!F2160</f>
        <v>AC C.PROVENCE. BELLE POULE</v>
      </c>
      <c r="G2160" s="10">
        <f>data!G2160</f>
        <v>33</v>
      </c>
      <c r="H2160" s="10">
        <f>data!I2160</f>
        <v>132</v>
      </c>
      <c r="I2160" s="10">
        <f t="shared" si="132"/>
        <v>-99</v>
      </c>
      <c r="J2160" s="11">
        <f>data!H2160</f>
        <v>6</v>
      </c>
      <c r="K2160" s="11">
        <f>data!J2160</f>
        <v>24</v>
      </c>
      <c r="L2160" s="11">
        <f t="shared" si="133"/>
        <v>-18</v>
      </c>
      <c r="M2160" s="9">
        <f t="shared" si="134"/>
        <v>-0.75</v>
      </c>
      <c r="N2160" s="9">
        <f t="shared" si="135"/>
        <v>-0.75</v>
      </c>
    </row>
    <row r="2161" spans="1:14" x14ac:dyDescent="0.25">
      <c r="A2161" t="str">
        <f>TEXT("1/"&amp;data!A2161,"mmmm")</f>
        <v>août</v>
      </c>
      <c r="B2161">
        <f>data!B2161</f>
        <v>2016</v>
      </c>
      <c r="C2161" t="str">
        <f>data!C2161</f>
        <v>059</v>
      </c>
      <c r="D2161" t="str">
        <f>data!D2161</f>
        <v>CH DU ROUET</v>
      </c>
      <c r="E2161" t="str">
        <f>data!E2161</f>
        <v>059010</v>
      </c>
      <c r="F2161" t="str">
        <f>data!F2161</f>
        <v>AC C.PROVENCE. BELLE POULE</v>
      </c>
      <c r="G2161" s="10">
        <f>data!G2161</f>
        <v>132</v>
      </c>
      <c r="H2161" s="10">
        <f>data!I2161</f>
        <v>231</v>
      </c>
      <c r="I2161" s="10">
        <f t="shared" si="132"/>
        <v>-99</v>
      </c>
      <c r="J2161" s="11">
        <f>data!H2161</f>
        <v>24</v>
      </c>
      <c r="K2161" s="11">
        <f>data!J2161</f>
        <v>42</v>
      </c>
      <c r="L2161" s="11">
        <f t="shared" si="133"/>
        <v>-18</v>
      </c>
      <c r="M2161" s="9">
        <f t="shared" si="134"/>
        <v>-0.42857142857142855</v>
      </c>
      <c r="N2161" s="9">
        <f t="shared" si="135"/>
        <v>-0.42857142857142855</v>
      </c>
    </row>
    <row r="2162" spans="1:14" x14ac:dyDescent="0.25">
      <c r="A2162" t="str">
        <f>TEXT("1/"&amp;data!A2162,"mmmm")</f>
        <v>août</v>
      </c>
      <c r="B2162">
        <f>data!B2162</f>
        <v>2016</v>
      </c>
      <c r="C2162" t="str">
        <f>data!C2162</f>
        <v>059</v>
      </c>
      <c r="D2162" t="str">
        <f>data!D2162</f>
        <v>CH DU ROUET</v>
      </c>
      <c r="E2162" t="str">
        <f>data!E2162</f>
        <v>059014</v>
      </c>
      <c r="F2162" t="str">
        <f>data!F2162</f>
        <v>AC COTES DE PROVENCE BELLE POULE</v>
      </c>
      <c r="G2162" s="10">
        <f>data!G2162</f>
        <v>66</v>
      </c>
      <c r="H2162" s="10">
        <f>data!I2162</f>
        <v>66</v>
      </c>
      <c r="I2162" s="10">
        <f t="shared" si="132"/>
        <v>0</v>
      </c>
      <c r="J2162" s="11">
        <f>data!H2162</f>
        <v>12</v>
      </c>
      <c r="K2162" s="11">
        <f>data!J2162</f>
        <v>12</v>
      </c>
      <c r="L2162" s="11">
        <f t="shared" si="133"/>
        <v>0</v>
      </c>
      <c r="M2162" s="9">
        <f t="shared" si="134"/>
        <v>0</v>
      </c>
      <c r="N2162" s="9">
        <f t="shared" si="135"/>
        <v>0</v>
      </c>
    </row>
    <row r="2163" spans="1:14" x14ac:dyDescent="0.25">
      <c r="A2163" t="str">
        <f>TEXT("1/"&amp;data!A2163,"mmmm")</f>
        <v>août</v>
      </c>
      <c r="B2163">
        <f>data!B2163</f>
        <v>2016</v>
      </c>
      <c r="C2163" t="str">
        <f>data!C2163</f>
        <v>059</v>
      </c>
      <c r="D2163" t="str">
        <f>data!D2163</f>
        <v>CH DU ROUET</v>
      </c>
      <c r="E2163" t="str">
        <f>data!E2163</f>
        <v>059019</v>
      </c>
      <c r="F2163" t="str">
        <f>data!F2163</f>
        <v>AC COTES DE PROVENCE ESTERELLE</v>
      </c>
      <c r="G2163" s="10">
        <f>data!G2163</f>
        <v>447.3</v>
      </c>
      <c r="H2163" s="10">
        <f>data!I2163</f>
        <v>42.6</v>
      </c>
      <c r="I2163" s="10">
        <f t="shared" si="132"/>
        <v>404.7</v>
      </c>
      <c r="J2163" s="11">
        <f>data!H2163</f>
        <v>126</v>
      </c>
      <c r="K2163" s="11">
        <f>data!J2163</f>
        <v>12</v>
      </c>
      <c r="L2163" s="11">
        <f t="shared" si="133"/>
        <v>114</v>
      </c>
      <c r="M2163" s="9">
        <f t="shared" si="134"/>
        <v>9.5</v>
      </c>
      <c r="N2163" s="9">
        <f t="shared" si="135"/>
        <v>9.5</v>
      </c>
    </row>
    <row r="2164" spans="1:14" x14ac:dyDescent="0.25">
      <c r="A2164" t="str">
        <f>TEXT("1/"&amp;data!A2164,"mmmm")</f>
        <v>août</v>
      </c>
      <c r="B2164">
        <f>data!B2164</f>
        <v>2016</v>
      </c>
      <c r="C2164" t="str">
        <f>data!C2164</f>
        <v>059</v>
      </c>
      <c r="D2164" t="str">
        <f>data!D2164</f>
        <v>CH DU ROUET</v>
      </c>
      <c r="E2164" t="str">
        <f>data!E2164</f>
        <v>059020</v>
      </c>
      <c r="F2164" t="str">
        <f>data!F2164</f>
        <v>AC C.PROVENCE ESTERELLE</v>
      </c>
      <c r="G2164" s="10">
        <f>data!G2164</f>
        <v>4021.2</v>
      </c>
      <c r="H2164" s="10">
        <f>data!I2164</f>
        <v>5040</v>
      </c>
      <c r="I2164" s="10">
        <f t="shared" si="132"/>
        <v>-1018.8000000000002</v>
      </c>
      <c r="J2164" s="11">
        <f>data!H2164</f>
        <v>1128</v>
      </c>
      <c r="K2164" s="11">
        <f>data!J2164</f>
        <v>1446</v>
      </c>
      <c r="L2164" s="11">
        <f t="shared" si="133"/>
        <v>-318</v>
      </c>
      <c r="M2164" s="9">
        <f t="shared" si="134"/>
        <v>-0.20214285714285718</v>
      </c>
      <c r="N2164" s="9">
        <f t="shared" si="135"/>
        <v>-0.21991701244813278</v>
      </c>
    </row>
    <row r="2165" spans="1:14" x14ac:dyDescent="0.25">
      <c r="A2165" t="str">
        <f>TEXT("1/"&amp;data!A2165,"mmmm")</f>
        <v>août</v>
      </c>
      <c r="B2165">
        <f>data!B2165</f>
        <v>2016</v>
      </c>
      <c r="C2165" t="str">
        <f>data!C2165</f>
        <v>059</v>
      </c>
      <c r="D2165" t="str">
        <f>data!D2165</f>
        <v>CH DU ROUET</v>
      </c>
      <c r="E2165" t="str">
        <f>data!E2165</f>
        <v>059021</v>
      </c>
      <c r="F2165" t="str">
        <f>data!F2165</f>
        <v>AC COTES DE PROVENCE</v>
      </c>
      <c r="G2165" s="10">
        <f>data!G2165</f>
        <v>2249.9</v>
      </c>
      <c r="H2165" s="10">
        <f>data!I2165</f>
        <v>1743.3</v>
      </c>
      <c r="I2165" s="10">
        <f t="shared" si="132"/>
        <v>506.60000000000014</v>
      </c>
      <c r="J2165" s="11">
        <f>data!H2165</f>
        <v>1007.17</v>
      </c>
      <c r="K2165" s="11">
        <f>data!J2165</f>
        <v>780.39</v>
      </c>
      <c r="L2165" s="11">
        <f t="shared" si="133"/>
        <v>226.77999999999997</v>
      </c>
      <c r="M2165" s="9">
        <f t="shared" si="134"/>
        <v>0.29059829059829068</v>
      </c>
      <c r="N2165" s="9">
        <f t="shared" si="135"/>
        <v>0.29059829059829057</v>
      </c>
    </row>
    <row r="2166" spans="1:14" x14ac:dyDescent="0.25">
      <c r="A2166" t="str">
        <f>TEXT("1/"&amp;data!A2166,"mmmm")</f>
        <v>août</v>
      </c>
      <c r="B2166">
        <f>data!B2166</f>
        <v>2016</v>
      </c>
      <c r="C2166" t="str">
        <f>data!C2166</f>
        <v>059</v>
      </c>
      <c r="D2166" t="str">
        <f>data!D2166</f>
        <v>CH DU ROUET</v>
      </c>
      <c r="E2166" t="str">
        <f>data!E2166</f>
        <v>059024</v>
      </c>
      <c r="F2166" t="str">
        <f>data!F2166</f>
        <v>VDP MEDITERRANEE. TERES</v>
      </c>
      <c r="G2166" s="10">
        <f>data!G2166</f>
        <v>126</v>
      </c>
      <c r="H2166" s="10">
        <f>data!I2166</f>
        <v>180</v>
      </c>
      <c r="I2166" s="10">
        <f t="shared" si="132"/>
        <v>-54</v>
      </c>
      <c r="J2166" s="11">
        <f>data!H2166</f>
        <v>42</v>
      </c>
      <c r="K2166" s="11">
        <f>data!J2166</f>
        <v>60</v>
      </c>
      <c r="L2166" s="11">
        <f t="shared" si="133"/>
        <v>-18</v>
      </c>
      <c r="M2166" s="9">
        <f t="shared" si="134"/>
        <v>-0.3</v>
      </c>
      <c r="N2166" s="9">
        <f t="shared" si="135"/>
        <v>-0.3</v>
      </c>
    </row>
    <row r="2167" spans="1:14" x14ac:dyDescent="0.25">
      <c r="A2167" t="str">
        <f>TEXT("1/"&amp;data!A2167,"mmmm")</f>
        <v>août</v>
      </c>
      <c r="B2167">
        <f>data!B2167</f>
        <v>2016</v>
      </c>
      <c r="C2167" t="str">
        <f>data!C2167</f>
        <v>059</v>
      </c>
      <c r="D2167" t="str">
        <f>data!D2167</f>
        <v>CH DU ROUET</v>
      </c>
      <c r="E2167" t="str">
        <f>data!E2167</f>
        <v>059025</v>
      </c>
      <c r="F2167" t="str">
        <f>data!F2167</f>
        <v>VDP MEDITERRANEE TERES</v>
      </c>
      <c r="G2167" s="10">
        <f>data!G2167</f>
        <v>4900.5</v>
      </c>
      <c r="H2167" s="10">
        <f>data!I2167</f>
        <v>5278.5</v>
      </c>
      <c r="I2167" s="10">
        <f t="shared" si="132"/>
        <v>-378</v>
      </c>
      <c r="J2167" s="11">
        <f>data!H2167</f>
        <v>2184</v>
      </c>
      <c r="K2167" s="11">
        <f>data!J2167</f>
        <v>2358</v>
      </c>
      <c r="L2167" s="11">
        <f t="shared" si="133"/>
        <v>-174</v>
      </c>
      <c r="M2167" s="9">
        <f t="shared" si="134"/>
        <v>-7.1611253196930943E-2</v>
      </c>
      <c r="N2167" s="9">
        <f t="shared" si="135"/>
        <v>-7.3791348600508899E-2</v>
      </c>
    </row>
    <row r="2168" spans="1:14" x14ac:dyDescent="0.25">
      <c r="A2168" t="str">
        <f>TEXT("1/"&amp;data!A2168,"mmmm")</f>
        <v>août</v>
      </c>
      <c r="B2168">
        <f>data!B2168</f>
        <v>2016</v>
      </c>
      <c r="C2168" t="str">
        <f>data!C2168</f>
        <v>059</v>
      </c>
      <c r="D2168" t="str">
        <f>data!D2168</f>
        <v>CH DU ROUET</v>
      </c>
      <c r="E2168" t="str">
        <f>data!E2168</f>
        <v>059026</v>
      </c>
      <c r="F2168" t="str">
        <f>data!F2168</f>
        <v>VDP MEDITERRANEE. TERES</v>
      </c>
      <c r="G2168" s="10">
        <f>data!G2168</f>
        <v>4346.1000000000004</v>
      </c>
      <c r="H2168" s="10">
        <f>data!I2168</f>
        <v>3870.9</v>
      </c>
      <c r="I2168" s="10">
        <f t="shared" si="132"/>
        <v>475.20000000000027</v>
      </c>
      <c r="J2168" s="11">
        <f>data!H2168</f>
        <v>2968.15</v>
      </c>
      <c r="K2168" s="11">
        <f>data!J2168</f>
        <v>2607.9699999999998</v>
      </c>
      <c r="L2168" s="11">
        <f t="shared" si="133"/>
        <v>360.18000000000029</v>
      </c>
      <c r="M2168" s="9">
        <f t="shared" si="134"/>
        <v>0.12276214833759598</v>
      </c>
      <c r="N2168" s="9">
        <f t="shared" si="135"/>
        <v>0.13810741687979552</v>
      </c>
    </row>
    <row r="2169" spans="1:14" x14ac:dyDescent="0.25">
      <c r="A2169" t="str">
        <f>TEXT("1/"&amp;data!A2169,"mmmm")</f>
        <v>août</v>
      </c>
      <c r="B2169">
        <f>data!B2169</f>
        <v>2016</v>
      </c>
      <c r="C2169" t="str">
        <f>data!C2169</f>
        <v>059</v>
      </c>
      <c r="D2169" t="str">
        <f>data!D2169</f>
        <v>CH DU ROUET</v>
      </c>
      <c r="E2169" t="str">
        <f>data!E2169</f>
        <v>059027</v>
      </c>
      <c r="F2169" t="str">
        <f>data!F2169</f>
        <v>IGP MEDITERRANEE TERES</v>
      </c>
      <c r="G2169" s="10">
        <f>data!G2169</f>
        <v>236.6</v>
      </c>
      <c r="H2169" s="10">
        <f>data!I2169</f>
        <v>169</v>
      </c>
      <c r="I2169" s="10">
        <f t="shared" si="132"/>
        <v>67.599999999999994</v>
      </c>
      <c r="J2169" s="11">
        <f>data!H2169</f>
        <v>186.62</v>
      </c>
      <c r="K2169" s="11">
        <f>data!J2169</f>
        <v>133.30000000000001</v>
      </c>
      <c r="L2169" s="11">
        <f t="shared" si="133"/>
        <v>53.319999999999993</v>
      </c>
      <c r="M2169" s="9">
        <f t="shared" si="134"/>
        <v>0.39999999999999997</v>
      </c>
      <c r="N2169" s="9">
        <f t="shared" si="135"/>
        <v>0.39999999999999991</v>
      </c>
    </row>
    <row r="2170" spans="1:14" x14ac:dyDescent="0.25">
      <c r="A2170" t="str">
        <f>TEXT("1/"&amp;data!A2170,"mmmm")</f>
        <v>août</v>
      </c>
      <c r="B2170">
        <f>data!B2170</f>
        <v>2016</v>
      </c>
      <c r="C2170" t="str">
        <f>data!C2170</f>
        <v>059</v>
      </c>
      <c r="D2170" t="str">
        <f>data!D2170</f>
        <v>CH DU ROUET</v>
      </c>
      <c r="E2170" t="str">
        <f>data!E2170</f>
        <v>059101</v>
      </c>
      <c r="F2170" t="str">
        <f>data!F2170</f>
        <v>ICE PAMPLOON ROSE PAMPLEMOUSSE</v>
      </c>
      <c r="G2170" s="10">
        <f>data!G2170</f>
        <v>183.6</v>
      </c>
      <c r="H2170" s="10">
        <f>data!I2170</f>
        <v>32.4</v>
      </c>
      <c r="I2170" s="10">
        <f t="shared" si="132"/>
        <v>151.19999999999999</v>
      </c>
      <c r="J2170" s="11">
        <f>data!H2170</f>
        <v>102</v>
      </c>
      <c r="K2170" s="11">
        <f>data!J2170</f>
        <v>18</v>
      </c>
      <c r="L2170" s="11">
        <f t="shared" si="133"/>
        <v>84</v>
      </c>
      <c r="M2170" s="9">
        <f t="shared" si="134"/>
        <v>4.666666666666667</v>
      </c>
      <c r="N2170" s="9">
        <f t="shared" si="135"/>
        <v>4.666666666666667</v>
      </c>
    </row>
    <row r="2171" spans="1:14" x14ac:dyDescent="0.25">
      <c r="A2171" t="str">
        <f>TEXT("1/"&amp;data!A2171,"mmmm")</f>
        <v>août</v>
      </c>
      <c r="B2171">
        <f>data!B2171</f>
        <v>2016</v>
      </c>
      <c r="C2171" t="str">
        <f>data!C2171</f>
        <v>059</v>
      </c>
      <c r="D2171" t="str">
        <f>data!D2171</f>
        <v>CH DU ROUET</v>
      </c>
      <c r="E2171" t="str">
        <f>data!E2171</f>
        <v>059104</v>
      </c>
      <c r="F2171" t="str">
        <f>data!F2171</f>
        <v>ICE PAMPLOON BUBBLES</v>
      </c>
      <c r="G2171" s="10">
        <f>data!G2171</f>
        <v>377.4</v>
      </c>
      <c r="H2171" s="10">
        <f>data!I2171</f>
        <v>155.4</v>
      </c>
      <c r="I2171" s="10">
        <f t="shared" si="132"/>
        <v>221.99999999999997</v>
      </c>
      <c r="J2171" s="11">
        <f>data!H2171</f>
        <v>102</v>
      </c>
      <c r="K2171" s="11">
        <f>data!J2171</f>
        <v>42</v>
      </c>
      <c r="L2171" s="11">
        <f t="shared" si="133"/>
        <v>60</v>
      </c>
      <c r="M2171" s="9">
        <f t="shared" si="134"/>
        <v>1.4285714285714284</v>
      </c>
      <c r="N2171" s="9">
        <f t="shared" si="135"/>
        <v>1.4285714285714286</v>
      </c>
    </row>
    <row r="2172" spans="1:14" x14ac:dyDescent="0.25">
      <c r="A2172" t="str">
        <f>TEXT("1/"&amp;data!A2172,"mmmm")</f>
        <v>août</v>
      </c>
      <c r="B2172">
        <f>data!B2172</f>
        <v>2016</v>
      </c>
      <c r="C2172" t="str">
        <f>data!C2172</f>
        <v>060</v>
      </c>
      <c r="D2172" t="str">
        <f>data!D2172</f>
        <v>GIRARD JM ET NOEL</v>
      </c>
      <c r="E2172" t="str">
        <f>data!E2172</f>
        <v>060015</v>
      </c>
      <c r="F2172" t="str">
        <f>data!F2172</f>
        <v>AC SAUMUR CHAMP. D VX BOURG</v>
      </c>
      <c r="G2172" s="10">
        <f>data!G2172</f>
        <v>1705.44</v>
      </c>
      <c r="H2172" s="10">
        <f>data!I2172</f>
        <v>1449.6</v>
      </c>
      <c r="I2172" s="10">
        <f t="shared" si="132"/>
        <v>255.84000000000015</v>
      </c>
      <c r="J2172" s="11">
        <f>data!H2172</f>
        <v>456</v>
      </c>
      <c r="K2172" s="11">
        <f>data!J2172</f>
        <v>408</v>
      </c>
      <c r="L2172" s="11">
        <f t="shared" si="133"/>
        <v>48</v>
      </c>
      <c r="M2172" s="9">
        <f t="shared" si="134"/>
        <v>0.17649006622516566</v>
      </c>
      <c r="N2172" s="9">
        <f t="shared" si="135"/>
        <v>0.11764705882352941</v>
      </c>
    </row>
    <row r="2173" spans="1:14" x14ac:dyDescent="0.25">
      <c r="A2173" t="str">
        <f>TEXT("1/"&amp;data!A2173,"mmmm")</f>
        <v>août</v>
      </c>
      <c r="B2173">
        <f>data!B2173</f>
        <v>2016</v>
      </c>
      <c r="C2173" t="str">
        <f>data!C2173</f>
        <v>060</v>
      </c>
      <c r="D2173" t="str">
        <f>data!D2173</f>
        <v>GIRARD JM ET NOEL</v>
      </c>
      <c r="E2173" t="str">
        <f>data!E2173</f>
        <v>060016</v>
      </c>
      <c r="F2173" t="str">
        <f>data!F2173</f>
        <v>AC SAUMUR CHAMP. D VX BOURG</v>
      </c>
      <c r="G2173" s="10">
        <f>data!G2173</f>
        <v>142.19999999999999</v>
      </c>
      <c r="H2173" s="10">
        <f>data!I2173</f>
        <v>133.19999999999999</v>
      </c>
      <c r="I2173" s="10">
        <f t="shared" si="132"/>
        <v>9</v>
      </c>
      <c r="J2173" s="11">
        <f>data!H2173</f>
        <v>30</v>
      </c>
      <c r="K2173" s="11">
        <f>data!J2173</f>
        <v>30</v>
      </c>
      <c r="L2173" s="11">
        <f t="shared" si="133"/>
        <v>0</v>
      </c>
      <c r="M2173" s="9">
        <f t="shared" si="134"/>
        <v>6.7567567567567571E-2</v>
      </c>
      <c r="N2173" s="9">
        <f t="shared" si="135"/>
        <v>0</v>
      </c>
    </row>
    <row r="2174" spans="1:14" x14ac:dyDescent="0.25">
      <c r="A2174" t="str">
        <f>TEXT("1/"&amp;data!A2174,"mmmm")</f>
        <v>août</v>
      </c>
      <c r="B2174">
        <f>data!B2174</f>
        <v>2016</v>
      </c>
      <c r="C2174" t="str">
        <f>data!C2174</f>
        <v>062</v>
      </c>
      <c r="D2174" t="str">
        <f>data!D2174</f>
        <v>CHATEAU CARBON D'ARTIGUES</v>
      </c>
      <c r="E2174" t="str">
        <f>data!E2174</f>
        <v>062001</v>
      </c>
      <c r="F2174" t="str">
        <f>data!F2174</f>
        <v>AC GRAVES CARBON D'ARTIGUES</v>
      </c>
      <c r="G2174" s="10">
        <f>data!G2174</f>
        <v>120</v>
      </c>
      <c r="H2174" s="10">
        <f>data!I2174</f>
        <v>61.2</v>
      </c>
      <c r="I2174" s="10">
        <f t="shared" si="132"/>
        <v>58.8</v>
      </c>
      <c r="J2174" s="11">
        <f>data!H2174</f>
        <v>24</v>
      </c>
      <c r="K2174" s="11">
        <f>data!J2174</f>
        <v>12</v>
      </c>
      <c r="L2174" s="11">
        <f t="shared" si="133"/>
        <v>12</v>
      </c>
      <c r="M2174" s="9">
        <f t="shared" si="134"/>
        <v>0.96078431372549011</v>
      </c>
      <c r="N2174" s="9">
        <f t="shared" si="135"/>
        <v>1</v>
      </c>
    </row>
    <row r="2175" spans="1:14" x14ac:dyDescent="0.25">
      <c r="A2175" t="str">
        <f>TEXT("1/"&amp;data!A2175,"mmmm")</f>
        <v>août</v>
      </c>
      <c r="B2175">
        <f>data!B2175</f>
        <v>2016</v>
      </c>
      <c r="C2175" t="str">
        <f>data!C2175</f>
        <v>062</v>
      </c>
      <c r="D2175" t="str">
        <f>data!D2175</f>
        <v>CHATEAU CARBON D'ARTIGUES</v>
      </c>
      <c r="E2175" t="str">
        <f>data!E2175</f>
        <v>062002</v>
      </c>
      <c r="F2175" t="str">
        <f>data!F2175</f>
        <v>AC GRAVES. CARBON D'ARTIGUES</v>
      </c>
      <c r="G2175" s="10">
        <f>data!G2175</f>
        <v>165.6</v>
      </c>
      <c r="H2175" s="10">
        <f>data!I2175</f>
        <v>108</v>
      </c>
      <c r="I2175" s="10">
        <f t="shared" si="132"/>
        <v>57.599999999999994</v>
      </c>
      <c r="J2175" s="11">
        <f>data!H2175</f>
        <v>36</v>
      </c>
      <c r="K2175" s="11">
        <f>data!J2175</f>
        <v>24</v>
      </c>
      <c r="L2175" s="11">
        <f t="shared" si="133"/>
        <v>12</v>
      </c>
      <c r="M2175" s="9">
        <f t="shared" si="134"/>
        <v>0.53333333333333333</v>
      </c>
      <c r="N2175" s="9">
        <f t="shared" si="135"/>
        <v>0.5</v>
      </c>
    </row>
    <row r="2176" spans="1:14" x14ac:dyDescent="0.25">
      <c r="A2176" t="str">
        <f>TEXT("1/"&amp;data!A2176,"mmmm")</f>
        <v>août</v>
      </c>
      <c r="B2176">
        <f>data!B2176</f>
        <v>2016</v>
      </c>
      <c r="C2176" t="str">
        <f>data!C2176</f>
        <v>062</v>
      </c>
      <c r="D2176" t="str">
        <f>data!D2176</f>
        <v>CHATEAU CARBON D'ARTIGUES</v>
      </c>
      <c r="E2176" t="str">
        <f>data!E2176</f>
        <v>062003</v>
      </c>
      <c r="F2176" t="str">
        <f>data!F2176</f>
        <v>AC GRAVES. CARBON D'ARTIGUES</v>
      </c>
      <c r="G2176" s="10">
        <f>data!G2176</f>
        <v>1584</v>
      </c>
      <c r="H2176" s="10">
        <f>data!I2176</f>
        <v>2038.2</v>
      </c>
      <c r="I2176" s="10">
        <f t="shared" si="132"/>
        <v>-454.20000000000005</v>
      </c>
      <c r="J2176" s="11">
        <f>data!H2176</f>
        <v>360</v>
      </c>
      <c r="K2176" s="11">
        <f>data!J2176</f>
        <v>474</v>
      </c>
      <c r="L2176" s="11">
        <f t="shared" si="133"/>
        <v>-114</v>
      </c>
      <c r="M2176" s="9">
        <f t="shared" si="134"/>
        <v>-0.22284368560494555</v>
      </c>
      <c r="N2176" s="9">
        <f t="shared" si="135"/>
        <v>-0.24050632911392406</v>
      </c>
    </row>
    <row r="2177" spans="1:14" x14ac:dyDescent="0.25">
      <c r="A2177" t="str">
        <f>TEXT("1/"&amp;data!A2177,"mmmm")</f>
        <v>août</v>
      </c>
      <c r="B2177">
        <f>data!B2177</f>
        <v>2016</v>
      </c>
      <c r="C2177" t="str">
        <f>data!C2177</f>
        <v>062</v>
      </c>
      <c r="D2177" t="str">
        <f>data!D2177</f>
        <v>CHATEAU CARBON D'ARTIGUES</v>
      </c>
      <c r="E2177" t="str">
        <f>data!E2177</f>
        <v>062021</v>
      </c>
      <c r="F2177" t="str">
        <f>data!F2177</f>
        <v>AC GRAVES. CARBON D'ARTIGUES</v>
      </c>
      <c r="G2177" s="10">
        <f>data!G2177</f>
        <v>614.4</v>
      </c>
      <c r="H2177" s="10">
        <f>data!I2177</f>
        <v>1171.2</v>
      </c>
      <c r="I2177" s="10">
        <f t="shared" si="132"/>
        <v>-556.80000000000007</v>
      </c>
      <c r="J2177" s="11">
        <f>data!H2177</f>
        <v>192</v>
      </c>
      <c r="K2177" s="11">
        <f>data!J2177</f>
        <v>384</v>
      </c>
      <c r="L2177" s="11">
        <f t="shared" si="133"/>
        <v>-192</v>
      </c>
      <c r="M2177" s="9">
        <f t="shared" si="134"/>
        <v>-0.4754098360655738</v>
      </c>
      <c r="N2177" s="9">
        <f t="shared" si="135"/>
        <v>-0.5</v>
      </c>
    </row>
    <row r="2178" spans="1:14" x14ac:dyDescent="0.25">
      <c r="A2178" t="str">
        <f>TEXT("1/"&amp;data!A2178,"mmmm")</f>
        <v>août</v>
      </c>
      <c r="B2178">
        <f>data!B2178</f>
        <v>2016</v>
      </c>
      <c r="C2178" t="str">
        <f>data!C2178</f>
        <v>062</v>
      </c>
      <c r="D2178" t="str">
        <f>data!D2178</f>
        <v>CHATEAU CARBON D'ARTIGUES</v>
      </c>
      <c r="E2178" t="str">
        <f>data!E2178</f>
        <v>062031</v>
      </c>
      <c r="F2178" t="str">
        <f>data!F2178</f>
        <v>AC GRAVES CUVEE PRESTIGE</v>
      </c>
      <c r="G2178" s="10">
        <f>data!G2178</f>
        <v>124.2</v>
      </c>
      <c r="H2178" s="10">
        <f>data!I2178</f>
        <v>0</v>
      </c>
      <c r="I2178" s="10">
        <f t="shared" si="132"/>
        <v>124.2</v>
      </c>
      <c r="J2178" s="11">
        <f>data!H2178</f>
        <v>18</v>
      </c>
      <c r="K2178" s="11">
        <f>data!J2178</f>
        <v>0</v>
      </c>
      <c r="L2178" s="11">
        <f t="shared" si="133"/>
        <v>18</v>
      </c>
      <c r="M2178" s="9" t="str">
        <f t="shared" si="134"/>
        <v/>
      </c>
      <c r="N2178" s="9" t="str">
        <f t="shared" si="135"/>
        <v/>
      </c>
    </row>
    <row r="2179" spans="1:14" x14ac:dyDescent="0.25">
      <c r="A2179" t="str">
        <f>TEXT("1/"&amp;data!A2179,"mmmm")</f>
        <v>août</v>
      </c>
      <c r="B2179">
        <f>data!B2179</f>
        <v>2016</v>
      </c>
      <c r="C2179" t="str">
        <f>data!C2179</f>
        <v>062</v>
      </c>
      <c r="D2179" t="str">
        <f>data!D2179</f>
        <v>CHATEAU CARBON D'ARTIGUES</v>
      </c>
      <c r="E2179" t="str">
        <f>data!E2179</f>
        <v>062032</v>
      </c>
      <c r="F2179" t="str">
        <f>data!F2179</f>
        <v>AOP GRAVES CH CARBON D'ARTIGUES</v>
      </c>
      <c r="G2179" s="10">
        <f>data!G2179</f>
        <v>1035</v>
      </c>
      <c r="H2179" s="10">
        <f>data!I2179</f>
        <v>2320</v>
      </c>
      <c r="I2179" s="10">
        <f t="shared" ref="I2179:I2242" si="136">G2179-H2179</f>
        <v>-1285</v>
      </c>
      <c r="J2179" s="11">
        <f>data!H2179</f>
        <v>466.9</v>
      </c>
      <c r="K2179" s="11">
        <f>data!J2179</f>
        <v>1080.54</v>
      </c>
      <c r="L2179" s="11">
        <f t="shared" ref="L2179:L2242" si="137">J2179-K2179</f>
        <v>-613.64</v>
      </c>
      <c r="M2179" s="9">
        <f t="shared" ref="M2179:M2242" si="138">IF(ISERR(I2179/H2179),"",I2179/H2179)</f>
        <v>-0.55387931034482762</v>
      </c>
      <c r="N2179" s="9">
        <f t="shared" ref="N2179:N2242" si="139">IF(ISERR(L2179/K2179),"",L2179/K2179)</f>
        <v>-0.5679012345679012</v>
      </c>
    </row>
    <row r="2180" spans="1:14" x14ac:dyDescent="0.25">
      <c r="A2180" t="str">
        <f>TEXT("1/"&amp;data!A2180,"mmmm")</f>
        <v>août</v>
      </c>
      <c r="B2180">
        <f>data!B2180</f>
        <v>2016</v>
      </c>
      <c r="C2180" t="str">
        <f>data!C2180</f>
        <v>074</v>
      </c>
      <c r="D2180" t="str">
        <f>data!D2180</f>
        <v>CAVE DE GIGONDAS</v>
      </c>
      <c r="E2180" t="str">
        <f>data!E2180</f>
        <v>074012</v>
      </c>
      <c r="F2180" t="str">
        <f>data!F2180</f>
        <v>AC GIGONDAS LA REFENCE</v>
      </c>
      <c r="G2180" s="10">
        <f>data!G2180</f>
        <v>364.8</v>
      </c>
      <c r="H2180" s="10">
        <f>data!I2180</f>
        <v>456</v>
      </c>
      <c r="I2180" s="10">
        <f t="shared" si="136"/>
        <v>-91.199999999999989</v>
      </c>
      <c r="J2180" s="11">
        <f>data!H2180</f>
        <v>48</v>
      </c>
      <c r="K2180" s="11">
        <f>data!J2180</f>
        <v>60</v>
      </c>
      <c r="L2180" s="11">
        <f t="shared" si="137"/>
        <v>-12</v>
      </c>
      <c r="M2180" s="9">
        <f t="shared" si="138"/>
        <v>-0.19999999999999998</v>
      </c>
      <c r="N2180" s="9">
        <f t="shared" si="139"/>
        <v>-0.2</v>
      </c>
    </row>
    <row r="2181" spans="1:14" x14ac:dyDescent="0.25">
      <c r="A2181" t="str">
        <f>TEXT("1/"&amp;data!A2181,"mmmm")</f>
        <v>août</v>
      </c>
      <c r="B2181">
        <f>data!B2181</f>
        <v>2016</v>
      </c>
      <c r="C2181" t="str">
        <f>data!C2181</f>
        <v>074</v>
      </c>
      <c r="D2181" t="str">
        <f>data!D2181</f>
        <v>CAVE DE GIGONDAS</v>
      </c>
      <c r="E2181" t="str">
        <f>data!E2181</f>
        <v>074013</v>
      </c>
      <c r="F2181" t="str">
        <f>data!F2181</f>
        <v>AC B DE VENISE TERRISSIMO</v>
      </c>
      <c r="G2181" s="10">
        <f>data!G2181</f>
        <v>334.8</v>
      </c>
      <c r="H2181" s="10">
        <f>data!I2181</f>
        <v>524.4</v>
      </c>
      <c r="I2181" s="10">
        <f t="shared" si="136"/>
        <v>-189.59999999999997</v>
      </c>
      <c r="J2181" s="11">
        <f>data!H2181</f>
        <v>72</v>
      </c>
      <c r="K2181" s="11">
        <f>data!J2181</f>
        <v>114</v>
      </c>
      <c r="L2181" s="11">
        <f t="shared" si="137"/>
        <v>-42</v>
      </c>
      <c r="M2181" s="9">
        <f t="shared" si="138"/>
        <v>-0.36155606407322649</v>
      </c>
      <c r="N2181" s="9">
        <f t="shared" si="139"/>
        <v>-0.36842105263157893</v>
      </c>
    </row>
    <row r="2182" spans="1:14" x14ac:dyDescent="0.25">
      <c r="A2182" t="str">
        <f>TEXT("1/"&amp;data!A2182,"mmmm")</f>
        <v>août</v>
      </c>
      <c r="B2182">
        <f>data!B2182</f>
        <v>2016</v>
      </c>
      <c r="C2182" t="str">
        <f>data!C2182</f>
        <v>074</v>
      </c>
      <c r="D2182" t="str">
        <f>data!D2182</f>
        <v>CAVE DE GIGONDAS</v>
      </c>
      <c r="E2182" t="str">
        <f>data!E2182</f>
        <v>074029</v>
      </c>
      <c r="F2182" t="str">
        <f>data!F2182</f>
        <v>VDN MUSCAT BEAUME DE VENISE</v>
      </c>
      <c r="G2182" s="10">
        <f>data!G2182</f>
        <v>46.2</v>
      </c>
      <c r="H2182" s="10">
        <f>data!I2182</f>
        <v>-138.6</v>
      </c>
      <c r="I2182" s="10">
        <f t="shared" si="136"/>
        <v>184.8</v>
      </c>
      <c r="J2182" s="11">
        <f>data!H2182</f>
        <v>6</v>
      </c>
      <c r="K2182" s="11">
        <f>data!J2182</f>
        <v>-18</v>
      </c>
      <c r="L2182" s="11">
        <f t="shared" si="137"/>
        <v>24</v>
      </c>
      <c r="M2182" s="9">
        <f t="shared" si="138"/>
        <v>-1.3333333333333335</v>
      </c>
      <c r="N2182" s="9">
        <f t="shared" si="139"/>
        <v>-1.3333333333333333</v>
      </c>
    </row>
    <row r="2183" spans="1:14" x14ac:dyDescent="0.25">
      <c r="A2183" t="str">
        <f>TEXT("1/"&amp;data!A2183,"mmmm")</f>
        <v>août</v>
      </c>
      <c r="B2183">
        <f>data!B2183</f>
        <v>2016</v>
      </c>
      <c r="C2183" t="str">
        <f>data!C2183</f>
        <v>080</v>
      </c>
      <c r="D2183" t="str">
        <f>data!D2183</f>
        <v>DOMAINE DE ST PIERRE</v>
      </c>
      <c r="E2183" t="str">
        <f>data!E2183</f>
        <v>080010</v>
      </c>
      <c r="F2183" t="str">
        <f>data!F2183</f>
        <v>AC SANCERRE D.DE ST PIERRE</v>
      </c>
      <c r="G2183" s="10">
        <f>data!G2183</f>
        <v>1238.4000000000001</v>
      </c>
      <c r="H2183" s="10">
        <f>data!I2183</f>
        <v>1058.4000000000001</v>
      </c>
      <c r="I2183" s="10">
        <f t="shared" si="136"/>
        <v>180</v>
      </c>
      <c r="J2183" s="11">
        <f>data!H2183</f>
        <v>192</v>
      </c>
      <c r="K2183" s="11">
        <f>data!J2183</f>
        <v>168</v>
      </c>
      <c r="L2183" s="11">
        <f t="shared" si="137"/>
        <v>24</v>
      </c>
      <c r="M2183" s="9">
        <f t="shared" si="138"/>
        <v>0.17006802721088435</v>
      </c>
      <c r="N2183" s="9">
        <f t="shared" si="139"/>
        <v>0.14285714285714285</v>
      </c>
    </row>
    <row r="2184" spans="1:14" x14ac:dyDescent="0.25">
      <c r="A2184" t="str">
        <f>TEXT("1/"&amp;data!A2184,"mmmm")</f>
        <v>août</v>
      </c>
      <c r="B2184">
        <f>data!B2184</f>
        <v>2016</v>
      </c>
      <c r="C2184" t="str">
        <f>data!C2184</f>
        <v>080</v>
      </c>
      <c r="D2184" t="str">
        <f>data!D2184</f>
        <v>DOMAINE DE ST PIERRE</v>
      </c>
      <c r="E2184" t="str">
        <f>data!E2184</f>
        <v>080011</v>
      </c>
      <c r="F2184" t="str">
        <f>data!F2184</f>
        <v>AC SANCERRE D.DE ST PIERRE</v>
      </c>
      <c r="G2184" s="10">
        <f>data!G2184</f>
        <v>374.4</v>
      </c>
      <c r="H2184" s="10">
        <f>data!I2184</f>
        <v>323.39999999999998</v>
      </c>
      <c r="I2184" s="10">
        <f t="shared" si="136"/>
        <v>51</v>
      </c>
      <c r="J2184" s="11">
        <f>data!H2184</f>
        <v>48</v>
      </c>
      <c r="K2184" s="11">
        <f>data!J2184</f>
        <v>42</v>
      </c>
      <c r="L2184" s="11">
        <f t="shared" si="137"/>
        <v>6</v>
      </c>
      <c r="M2184" s="9">
        <f t="shared" si="138"/>
        <v>0.15769944341372913</v>
      </c>
      <c r="N2184" s="9">
        <f t="shared" si="139"/>
        <v>0.14285714285714285</v>
      </c>
    </row>
    <row r="2185" spans="1:14" x14ac:dyDescent="0.25">
      <c r="A2185" t="str">
        <f>TEXT("1/"&amp;data!A2185,"mmmm")</f>
        <v>août</v>
      </c>
      <c r="B2185">
        <f>data!B2185</f>
        <v>2016</v>
      </c>
      <c r="C2185" t="str">
        <f>data!C2185</f>
        <v>080</v>
      </c>
      <c r="D2185" t="str">
        <f>data!D2185</f>
        <v>DOMAINE DE ST PIERRE</v>
      </c>
      <c r="E2185" t="str">
        <f>data!E2185</f>
        <v>080013</v>
      </c>
      <c r="F2185" t="str">
        <f>data!F2185</f>
        <v>AC SANCERRE D.DE ST PIERRE</v>
      </c>
      <c r="G2185" s="10">
        <f>data!G2185</f>
        <v>37.799999999999997</v>
      </c>
      <c r="H2185" s="10">
        <f>data!I2185</f>
        <v>0</v>
      </c>
      <c r="I2185" s="10">
        <f t="shared" si="136"/>
        <v>37.799999999999997</v>
      </c>
      <c r="J2185" s="11">
        <f>data!H2185</f>
        <v>6</v>
      </c>
      <c r="K2185" s="11">
        <f>data!J2185</f>
        <v>0</v>
      </c>
      <c r="L2185" s="11">
        <f t="shared" si="137"/>
        <v>6</v>
      </c>
      <c r="M2185" s="9" t="str">
        <f t="shared" si="138"/>
        <v/>
      </c>
      <c r="N2185" s="9" t="str">
        <f t="shared" si="139"/>
        <v/>
      </c>
    </row>
    <row r="2186" spans="1:14" x14ac:dyDescent="0.25">
      <c r="A2186" t="str">
        <f>TEXT("1/"&amp;data!A2186,"mmmm")</f>
        <v>août</v>
      </c>
      <c r="B2186">
        <f>data!B2186</f>
        <v>2016</v>
      </c>
      <c r="C2186" t="str">
        <f>data!C2186</f>
        <v>080</v>
      </c>
      <c r="D2186" t="str">
        <f>data!D2186</f>
        <v>DOMAINE DE ST PIERRE</v>
      </c>
      <c r="E2186" t="str">
        <f>data!E2186</f>
        <v>080015</v>
      </c>
      <c r="F2186" t="str">
        <f>data!F2186</f>
        <v>AC SANCERRE D.DE ST PIERRE</v>
      </c>
      <c r="G2186" s="10">
        <f>data!G2186</f>
        <v>562.79999999999995</v>
      </c>
      <c r="H2186" s="10">
        <f>data!I2186</f>
        <v>475.2</v>
      </c>
      <c r="I2186" s="10">
        <f t="shared" si="136"/>
        <v>87.599999999999966</v>
      </c>
      <c r="J2186" s="11">
        <f>data!H2186</f>
        <v>84</v>
      </c>
      <c r="K2186" s="11">
        <f>data!J2186</f>
        <v>72</v>
      </c>
      <c r="L2186" s="11">
        <f t="shared" si="137"/>
        <v>12</v>
      </c>
      <c r="M2186" s="9">
        <f t="shared" si="138"/>
        <v>0.18434343434343428</v>
      </c>
      <c r="N2186" s="9">
        <f t="shared" si="139"/>
        <v>0.16666666666666666</v>
      </c>
    </row>
    <row r="2187" spans="1:14" x14ac:dyDescent="0.25">
      <c r="A2187" t="str">
        <f>TEXT("1/"&amp;data!A2187,"mmmm")</f>
        <v>août</v>
      </c>
      <c r="B2187">
        <f>data!B2187</f>
        <v>2016</v>
      </c>
      <c r="C2187" t="str">
        <f>data!C2187</f>
        <v>080</v>
      </c>
      <c r="D2187" t="str">
        <f>data!D2187</f>
        <v>DOMAINE DE ST PIERRE</v>
      </c>
      <c r="E2187" t="str">
        <f>data!E2187</f>
        <v>080016</v>
      </c>
      <c r="F2187" t="str">
        <f>data!F2187</f>
        <v>AC SANCERRE D.DE ST PIERRE</v>
      </c>
      <c r="G2187" s="10">
        <f>data!G2187</f>
        <v>46.8</v>
      </c>
      <c r="H2187" s="10">
        <f>data!I2187</f>
        <v>46.2</v>
      </c>
      <c r="I2187" s="10">
        <f t="shared" si="136"/>
        <v>0.59999999999999432</v>
      </c>
      <c r="J2187" s="11">
        <f>data!H2187</f>
        <v>6</v>
      </c>
      <c r="K2187" s="11">
        <f>data!J2187</f>
        <v>6</v>
      </c>
      <c r="L2187" s="11">
        <f t="shared" si="137"/>
        <v>0</v>
      </c>
      <c r="M2187" s="9">
        <f t="shared" si="138"/>
        <v>1.2987012987012863E-2</v>
      </c>
      <c r="N2187" s="9">
        <f t="shared" si="139"/>
        <v>0</v>
      </c>
    </row>
    <row r="2188" spans="1:14" x14ac:dyDescent="0.25">
      <c r="A2188" t="str">
        <f>TEXT("1/"&amp;data!A2188,"mmmm")</f>
        <v>août</v>
      </c>
      <c r="B2188">
        <f>data!B2188</f>
        <v>2016</v>
      </c>
      <c r="C2188" t="str">
        <f>data!C2188</f>
        <v>080</v>
      </c>
      <c r="D2188" t="str">
        <f>data!D2188</f>
        <v>DOMAINE DE ST PIERRE</v>
      </c>
      <c r="E2188" t="str">
        <f>data!E2188</f>
        <v>CDV080020</v>
      </c>
      <c r="F2188" t="str">
        <f>data!F2188</f>
        <v>AOP SANCERRE CUVEE MARECHAL PRIEUR</v>
      </c>
      <c r="G2188" s="10">
        <f>data!G2188</f>
        <v>189</v>
      </c>
      <c r="H2188" s="10">
        <f>data!I2188</f>
        <v>0</v>
      </c>
      <c r="I2188" s="10">
        <f t="shared" si="136"/>
        <v>189</v>
      </c>
      <c r="J2188" s="11">
        <f>data!H2188</f>
        <v>18</v>
      </c>
      <c r="K2188" s="11">
        <f>data!J2188</f>
        <v>0</v>
      </c>
      <c r="L2188" s="11">
        <f t="shared" si="137"/>
        <v>18</v>
      </c>
      <c r="M2188" s="9" t="str">
        <f t="shared" si="138"/>
        <v/>
      </c>
      <c r="N2188" s="9" t="str">
        <f t="shared" si="139"/>
        <v/>
      </c>
    </row>
    <row r="2189" spans="1:14" x14ac:dyDescent="0.25">
      <c r="A2189" t="str">
        <f>TEXT("1/"&amp;data!A2189,"mmmm")</f>
        <v>août</v>
      </c>
      <c r="B2189">
        <f>data!B2189</f>
        <v>2016</v>
      </c>
      <c r="C2189" t="str">
        <f>data!C2189</f>
        <v>084</v>
      </c>
      <c r="D2189" t="str">
        <f>data!D2189</f>
        <v>VIGNOBLE CASTELMAURE</v>
      </c>
      <c r="E2189" t="str">
        <f>data!E2189</f>
        <v>084001</v>
      </c>
      <c r="F2189" t="str">
        <f>data!F2189</f>
        <v>AC CORBIERES CASTELMAURE</v>
      </c>
      <c r="G2189" s="10">
        <f>data!G2189</f>
        <v>1309</v>
      </c>
      <c r="H2189" s="10">
        <f>data!I2189</f>
        <v>1482</v>
      </c>
      <c r="I2189" s="10">
        <f t="shared" si="136"/>
        <v>-173</v>
      </c>
      <c r="J2189" s="11">
        <f>data!H2189</f>
        <v>906.44</v>
      </c>
      <c r="K2189" s="11">
        <f>data!J2189</f>
        <v>1039.74</v>
      </c>
      <c r="L2189" s="11">
        <f t="shared" si="137"/>
        <v>-133.29999999999995</v>
      </c>
      <c r="M2189" s="9">
        <f t="shared" si="138"/>
        <v>-0.11673414304993253</v>
      </c>
      <c r="N2189" s="9">
        <f t="shared" si="139"/>
        <v>-0.12820512820512817</v>
      </c>
    </row>
    <row r="2190" spans="1:14" x14ac:dyDescent="0.25">
      <c r="A2190" t="str">
        <f>TEXT("1/"&amp;data!A2190,"mmmm")</f>
        <v>août</v>
      </c>
      <c r="B2190">
        <f>data!B2190</f>
        <v>2016</v>
      </c>
      <c r="C2190" t="str">
        <f>data!C2190</f>
        <v>084</v>
      </c>
      <c r="D2190" t="str">
        <f>data!D2190</f>
        <v>VIGNOBLE CASTELMAURE</v>
      </c>
      <c r="E2190" t="str">
        <f>data!E2190</f>
        <v>084002</v>
      </c>
      <c r="F2190" t="str">
        <f>data!F2190</f>
        <v>AC CORBIERES CASTELMAURE</v>
      </c>
      <c r="G2190" s="10">
        <f>data!G2190</f>
        <v>1792</v>
      </c>
      <c r="H2190" s="10">
        <f>data!I2190</f>
        <v>1562</v>
      </c>
      <c r="I2190" s="10">
        <f t="shared" si="136"/>
        <v>230</v>
      </c>
      <c r="J2190" s="11">
        <f>data!H2190</f>
        <v>1073.8699999999999</v>
      </c>
      <c r="K2190" s="11">
        <f>data!J2190</f>
        <v>953.81</v>
      </c>
      <c r="L2190" s="11">
        <f t="shared" si="137"/>
        <v>120.05999999999995</v>
      </c>
      <c r="M2190" s="9">
        <f t="shared" si="138"/>
        <v>0.147247119078105</v>
      </c>
      <c r="N2190" s="9">
        <f t="shared" si="139"/>
        <v>0.12587412587412583</v>
      </c>
    </row>
    <row r="2191" spans="1:14" x14ac:dyDescent="0.25">
      <c r="A2191" t="str">
        <f>TEXT("1/"&amp;data!A2191,"mmmm")</f>
        <v>août</v>
      </c>
      <c r="B2191">
        <f>data!B2191</f>
        <v>2016</v>
      </c>
      <c r="C2191" t="str">
        <f>data!C2191</f>
        <v>084</v>
      </c>
      <c r="D2191" t="str">
        <f>data!D2191</f>
        <v>VIGNOBLE CASTELMAURE</v>
      </c>
      <c r="E2191" t="str">
        <f>data!E2191</f>
        <v>084004</v>
      </c>
      <c r="F2191" t="str">
        <f>data!F2191</f>
        <v>VDT BUVETTE CASTELMAURE (x6)</v>
      </c>
      <c r="G2191" s="10">
        <f>data!G2191</f>
        <v>100.8</v>
      </c>
      <c r="H2191" s="10">
        <f>data!I2191</f>
        <v>0</v>
      </c>
      <c r="I2191" s="10">
        <f t="shared" si="136"/>
        <v>100.8</v>
      </c>
      <c r="J2191" s="11">
        <f>data!H2191</f>
        <v>48</v>
      </c>
      <c r="K2191" s="11">
        <f>data!J2191</f>
        <v>0</v>
      </c>
      <c r="L2191" s="11">
        <f t="shared" si="137"/>
        <v>48</v>
      </c>
      <c r="M2191" s="9" t="str">
        <f t="shared" si="138"/>
        <v/>
      </c>
      <c r="N2191" s="9" t="str">
        <f t="shared" si="139"/>
        <v/>
      </c>
    </row>
    <row r="2192" spans="1:14" x14ac:dyDescent="0.25">
      <c r="A2192" t="str">
        <f>TEXT("1/"&amp;data!A2192,"mmmm")</f>
        <v>août</v>
      </c>
      <c r="B2192">
        <f>data!B2192</f>
        <v>2016</v>
      </c>
      <c r="C2192" t="str">
        <f>data!C2192</f>
        <v>084</v>
      </c>
      <c r="D2192" t="str">
        <f>data!D2192</f>
        <v>VIGNOBLE CASTELMAURE</v>
      </c>
      <c r="E2192" t="str">
        <f>data!E2192</f>
        <v>084006</v>
      </c>
      <c r="F2192" t="str">
        <f>data!F2192</f>
        <v>AOP CORBIERES LE CASTELMAURE</v>
      </c>
      <c r="G2192" s="10">
        <f>data!G2192</f>
        <v>1485</v>
      </c>
      <c r="H2192" s="10">
        <f>data!I2192</f>
        <v>1393.2</v>
      </c>
      <c r="I2192" s="10">
        <f t="shared" si="136"/>
        <v>91.799999999999955</v>
      </c>
      <c r="J2192" s="11">
        <f>data!H2192</f>
        <v>540</v>
      </c>
      <c r="K2192" s="11">
        <f>data!J2192</f>
        <v>516</v>
      </c>
      <c r="L2192" s="11">
        <f t="shared" si="137"/>
        <v>24</v>
      </c>
      <c r="M2192" s="9">
        <f t="shared" si="138"/>
        <v>6.5891472868217019E-2</v>
      </c>
      <c r="N2192" s="9">
        <f t="shared" si="139"/>
        <v>4.6511627906976744E-2</v>
      </c>
    </row>
    <row r="2193" spans="1:14" x14ac:dyDescent="0.25">
      <c r="A2193" t="str">
        <f>TEXT("1/"&amp;data!A2193,"mmmm")</f>
        <v>août</v>
      </c>
      <c r="B2193">
        <f>data!B2193</f>
        <v>2016</v>
      </c>
      <c r="C2193" t="str">
        <f>data!C2193</f>
        <v>084</v>
      </c>
      <c r="D2193" t="str">
        <f>data!D2193</f>
        <v>VIGNOBLE CASTELMAURE</v>
      </c>
      <c r="E2193" t="str">
        <f>data!E2193</f>
        <v>084007</v>
      </c>
      <c r="F2193" t="str">
        <f>data!F2193</f>
        <v>AC CORBIERES LA POMPADOUR</v>
      </c>
      <c r="G2193" s="10">
        <f>data!G2193</f>
        <v>772.8</v>
      </c>
      <c r="H2193" s="10">
        <f>data!I2193</f>
        <v>864</v>
      </c>
      <c r="I2193" s="10">
        <f t="shared" si="136"/>
        <v>-91.200000000000045</v>
      </c>
      <c r="J2193" s="11">
        <f>data!H2193</f>
        <v>168</v>
      </c>
      <c r="K2193" s="11">
        <f>data!J2193</f>
        <v>192</v>
      </c>
      <c r="L2193" s="11">
        <f t="shared" si="137"/>
        <v>-24</v>
      </c>
      <c r="M2193" s="9">
        <f t="shared" si="138"/>
        <v>-0.10555555555555561</v>
      </c>
      <c r="N2193" s="9">
        <f t="shared" si="139"/>
        <v>-0.125</v>
      </c>
    </row>
    <row r="2194" spans="1:14" x14ac:dyDescent="0.25">
      <c r="A2194" t="str">
        <f>TEXT("1/"&amp;data!A2194,"mmmm")</f>
        <v>août</v>
      </c>
      <c r="B2194">
        <f>data!B2194</f>
        <v>2016</v>
      </c>
      <c r="C2194" t="str">
        <f>data!C2194</f>
        <v>084</v>
      </c>
      <c r="D2194" t="str">
        <f>data!D2194</f>
        <v>VIGNOBLE CASTELMAURE</v>
      </c>
      <c r="E2194" t="str">
        <f>data!E2194</f>
        <v>084008</v>
      </c>
      <c r="F2194" t="str">
        <f>data!F2194</f>
        <v>AC CORBIERES LA GDE CUVEE</v>
      </c>
      <c r="G2194" s="10">
        <f>data!G2194</f>
        <v>71.760000000000005</v>
      </c>
      <c r="H2194" s="10">
        <f>data!I2194</f>
        <v>70.2</v>
      </c>
      <c r="I2194" s="10">
        <f t="shared" si="136"/>
        <v>1.5600000000000023</v>
      </c>
      <c r="J2194" s="11">
        <f>data!H2194</f>
        <v>12</v>
      </c>
      <c r="K2194" s="11">
        <f>data!J2194</f>
        <v>12</v>
      </c>
      <c r="L2194" s="11">
        <f t="shared" si="137"/>
        <v>0</v>
      </c>
      <c r="M2194" s="9">
        <f t="shared" si="138"/>
        <v>2.2222222222222254E-2</v>
      </c>
      <c r="N2194" s="9">
        <f t="shared" si="139"/>
        <v>0</v>
      </c>
    </row>
    <row r="2195" spans="1:14" x14ac:dyDescent="0.25">
      <c r="A2195" t="str">
        <f>TEXT("1/"&amp;data!A2195,"mmmm")</f>
        <v>août</v>
      </c>
      <c r="B2195">
        <f>data!B2195</f>
        <v>2016</v>
      </c>
      <c r="C2195" t="str">
        <f>data!C2195</f>
        <v>084</v>
      </c>
      <c r="D2195" t="str">
        <f>data!D2195</f>
        <v>VIGNOBLE CASTELMAURE</v>
      </c>
      <c r="E2195" t="str">
        <f>data!E2195</f>
        <v>084015</v>
      </c>
      <c r="F2195" t="str">
        <f>data!F2195</f>
        <v>AC CORBIERES " LE 3 "</v>
      </c>
      <c r="G2195" s="10">
        <f>data!G2195</f>
        <v>64.5</v>
      </c>
      <c r="H2195" s="10">
        <f>data!I2195</f>
        <v>0</v>
      </c>
      <c r="I2195" s="10">
        <f t="shared" si="136"/>
        <v>64.5</v>
      </c>
      <c r="J2195" s="11">
        <f>data!H2195</f>
        <v>6</v>
      </c>
      <c r="K2195" s="11">
        <f>data!J2195</f>
        <v>0</v>
      </c>
      <c r="L2195" s="11">
        <f t="shared" si="137"/>
        <v>6</v>
      </c>
      <c r="M2195" s="9" t="str">
        <f t="shared" si="138"/>
        <v/>
      </c>
      <c r="N2195" s="9" t="str">
        <f t="shared" si="139"/>
        <v/>
      </c>
    </row>
    <row r="2196" spans="1:14" x14ac:dyDescent="0.25">
      <c r="A2196" t="str">
        <f>TEXT("1/"&amp;data!A2196,"mmmm")</f>
        <v>août</v>
      </c>
      <c r="B2196">
        <f>data!B2196</f>
        <v>2016</v>
      </c>
      <c r="C2196" t="str">
        <f>data!C2196</f>
        <v>084</v>
      </c>
      <c r="D2196" t="str">
        <f>data!D2196</f>
        <v>VIGNOBLE CASTELMAURE</v>
      </c>
      <c r="E2196" t="str">
        <f>data!E2196</f>
        <v>084032</v>
      </c>
      <c r="F2196" t="str">
        <f>data!F2196</f>
        <v>AC CORBIERE CASTELMAURE</v>
      </c>
      <c r="G2196" s="10">
        <f>data!G2196</f>
        <v>198</v>
      </c>
      <c r="H2196" s="10">
        <f>data!I2196</f>
        <v>32.4</v>
      </c>
      <c r="I2196" s="10">
        <f t="shared" si="136"/>
        <v>165.6</v>
      </c>
      <c r="J2196" s="11">
        <f>data!H2196</f>
        <v>72</v>
      </c>
      <c r="K2196" s="11">
        <f>data!J2196</f>
        <v>12</v>
      </c>
      <c r="L2196" s="11">
        <f t="shared" si="137"/>
        <v>60</v>
      </c>
      <c r="M2196" s="9">
        <f t="shared" si="138"/>
        <v>5.1111111111111107</v>
      </c>
      <c r="N2196" s="9">
        <f t="shared" si="139"/>
        <v>5</v>
      </c>
    </row>
    <row r="2197" spans="1:14" x14ac:dyDescent="0.25">
      <c r="A2197" t="str">
        <f>TEXT("1/"&amp;data!A2197,"mmmm")</f>
        <v>août</v>
      </c>
      <c r="B2197">
        <f>data!B2197</f>
        <v>2016</v>
      </c>
      <c r="C2197" t="str">
        <f>data!C2197</f>
        <v>084</v>
      </c>
      <c r="D2197" t="str">
        <f>data!D2197</f>
        <v>VIGNOBLE CASTELMAURE</v>
      </c>
      <c r="E2197" t="str">
        <f>data!E2197</f>
        <v>084041</v>
      </c>
      <c r="F2197" t="str">
        <f>data!F2197</f>
        <v>AOP CORBIERES ROSE AGRICOLE</v>
      </c>
      <c r="G2197" s="10">
        <f>data!G2197</f>
        <v>181.5</v>
      </c>
      <c r="H2197" s="10">
        <f>data!I2197</f>
        <v>0</v>
      </c>
      <c r="I2197" s="10">
        <f t="shared" si="136"/>
        <v>181.5</v>
      </c>
      <c r="J2197" s="11">
        <f>data!H2197</f>
        <v>66</v>
      </c>
      <c r="K2197" s="11">
        <f>data!J2197</f>
        <v>0</v>
      </c>
      <c r="L2197" s="11">
        <f t="shared" si="137"/>
        <v>66</v>
      </c>
      <c r="M2197" s="9" t="str">
        <f t="shared" si="138"/>
        <v/>
      </c>
      <c r="N2197" s="9" t="str">
        <f t="shared" si="139"/>
        <v/>
      </c>
    </row>
    <row r="2198" spans="1:14" x14ac:dyDescent="0.25">
      <c r="A2198" t="str">
        <f>TEXT("1/"&amp;data!A2198,"mmmm")</f>
        <v>août</v>
      </c>
      <c r="B2198">
        <f>data!B2198</f>
        <v>2016</v>
      </c>
      <c r="C2198" t="str">
        <f>data!C2198</f>
        <v>084</v>
      </c>
      <c r="D2198" t="str">
        <f>data!D2198</f>
        <v>VIGNOBLE CASTELMAURE</v>
      </c>
      <c r="E2198" t="str">
        <f>data!E2198</f>
        <v>084100</v>
      </c>
      <c r="F2198" t="str">
        <f>data!F2198</f>
        <v>AOP CORBIERES LA TETE DANS LES ETOILES</v>
      </c>
      <c r="G2198" s="10">
        <f>data!G2198</f>
        <v>491.7</v>
      </c>
      <c r="H2198" s="10">
        <f>data!I2198</f>
        <v>0</v>
      </c>
      <c r="I2198" s="10">
        <f t="shared" si="136"/>
        <v>491.7</v>
      </c>
      <c r="J2198" s="11">
        <f>data!H2198</f>
        <v>180</v>
      </c>
      <c r="K2198" s="11">
        <f>data!J2198</f>
        <v>0</v>
      </c>
      <c r="L2198" s="11">
        <f t="shared" si="137"/>
        <v>180</v>
      </c>
      <c r="M2198" s="9" t="str">
        <f t="shared" si="138"/>
        <v/>
      </c>
      <c r="N2198" s="9" t="str">
        <f t="shared" si="139"/>
        <v/>
      </c>
    </row>
    <row r="2199" spans="1:14" x14ac:dyDescent="0.25">
      <c r="A2199" t="str">
        <f>TEXT("1/"&amp;data!A2199,"mmmm")</f>
        <v>août</v>
      </c>
      <c r="B2199">
        <f>data!B2199</f>
        <v>2016</v>
      </c>
      <c r="C2199" t="str">
        <f>data!C2199</f>
        <v>084</v>
      </c>
      <c r="D2199" t="str">
        <f>data!D2199</f>
        <v>VIGNOBLE CASTELMAURE</v>
      </c>
      <c r="E2199" t="str">
        <f>data!E2199</f>
        <v>084102</v>
      </c>
      <c r="F2199" t="str">
        <f>data!F2199</f>
        <v>AOP CORBIERES LES PIEDS DANS LA TERRE</v>
      </c>
      <c r="G2199" s="10">
        <f>data!G2199</f>
        <v>1353</v>
      </c>
      <c r="H2199" s="10">
        <f>data!I2199</f>
        <v>0</v>
      </c>
      <c r="I2199" s="10">
        <f t="shared" si="136"/>
        <v>1353</v>
      </c>
      <c r="J2199" s="11">
        <f>data!H2199</f>
        <v>360</v>
      </c>
      <c r="K2199" s="11">
        <f>data!J2199</f>
        <v>0</v>
      </c>
      <c r="L2199" s="11">
        <f t="shared" si="137"/>
        <v>360</v>
      </c>
      <c r="M2199" s="9" t="str">
        <f t="shared" si="138"/>
        <v/>
      </c>
      <c r="N2199" s="9" t="str">
        <f t="shared" si="139"/>
        <v/>
      </c>
    </row>
    <row r="2200" spans="1:14" x14ac:dyDescent="0.25">
      <c r="A2200" t="str">
        <f>TEXT("1/"&amp;data!A2200,"mmmm")</f>
        <v>août</v>
      </c>
      <c r="B2200">
        <f>data!B2200</f>
        <v>2016</v>
      </c>
      <c r="C2200" t="str">
        <f>data!C2200</f>
        <v>084</v>
      </c>
      <c r="D2200" t="str">
        <f>data!D2200</f>
        <v>VIGNOBLE CASTELMAURE</v>
      </c>
      <c r="E2200" t="str">
        <f>data!E2200</f>
        <v>084103</v>
      </c>
      <c r="F2200" t="str">
        <f>data!F2200</f>
        <v>AOP CORBIERES LES PIEDS DANS LA TERRE</v>
      </c>
      <c r="G2200" s="10">
        <f>data!G2200</f>
        <v>180.4</v>
      </c>
      <c r="H2200" s="10">
        <f>data!I2200</f>
        <v>0</v>
      </c>
      <c r="I2200" s="10">
        <f t="shared" si="136"/>
        <v>180.4</v>
      </c>
      <c r="J2200" s="11">
        <f>data!H2200</f>
        <v>48</v>
      </c>
      <c r="K2200" s="11">
        <f>data!J2200</f>
        <v>0</v>
      </c>
      <c r="L2200" s="11">
        <f t="shared" si="137"/>
        <v>48</v>
      </c>
      <c r="M2200" s="9" t="str">
        <f t="shared" si="138"/>
        <v/>
      </c>
      <c r="N2200" s="9" t="str">
        <f t="shared" si="139"/>
        <v/>
      </c>
    </row>
    <row r="2201" spans="1:14" x14ac:dyDescent="0.25">
      <c r="A2201" t="str">
        <f>TEXT("1/"&amp;data!A2201,"mmmm")</f>
        <v>août</v>
      </c>
      <c r="B2201">
        <f>data!B2201</f>
        <v>2016</v>
      </c>
      <c r="C2201" t="str">
        <f>data!C2201</f>
        <v>086B</v>
      </c>
      <c r="D2201" t="str">
        <f>data!D2201</f>
        <v>PRODIFFU - TERRE DE VIGNERONS</v>
      </c>
      <c r="E2201" t="str">
        <f>data!E2201</f>
        <v>086002P</v>
      </c>
      <c r="F2201" t="str">
        <f>data!F2201</f>
        <v>AC C.DE DURAS BERTICOT</v>
      </c>
      <c r="G2201" s="10">
        <f>data!G2201</f>
        <v>9.91</v>
      </c>
      <c r="H2201" s="10">
        <f>data!I2201</f>
        <v>74.08</v>
      </c>
      <c r="I2201" s="10">
        <f t="shared" si="136"/>
        <v>-64.17</v>
      </c>
      <c r="J2201" s="11">
        <f>data!H2201</f>
        <v>6.67</v>
      </c>
      <c r="K2201" s="11">
        <f>data!J2201</f>
        <v>53.36</v>
      </c>
      <c r="L2201" s="11">
        <f t="shared" si="137"/>
        <v>-46.69</v>
      </c>
      <c r="M2201" s="9">
        <f t="shared" si="138"/>
        <v>-0.86622570194384452</v>
      </c>
      <c r="N2201" s="9">
        <f t="shared" si="139"/>
        <v>-0.875</v>
      </c>
    </row>
    <row r="2202" spans="1:14" x14ac:dyDescent="0.25">
      <c r="A2202" t="str">
        <f>TEXT("1/"&amp;data!A2202,"mmmm")</f>
        <v>août</v>
      </c>
      <c r="B2202">
        <f>data!B2202</f>
        <v>2016</v>
      </c>
      <c r="C2202" t="str">
        <f>data!C2202</f>
        <v>086B</v>
      </c>
      <c r="D2202" t="str">
        <f>data!D2202</f>
        <v>PRODIFFU - TERRE DE VIGNERONS</v>
      </c>
      <c r="E2202" t="str">
        <f>data!E2202</f>
        <v>086011P</v>
      </c>
      <c r="F2202" t="str">
        <f>data!F2202</f>
        <v>AC C.DE DURAS BERTICOT</v>
      </c>
      <c r="G2202" s="10">
        <f>data!G2202</f>
        <v>71.88</v>
      </c>
      <c r="H2202" s="10">
        <f>data!I2202</f>
        <v>319.01</v>
      </c>
      <c r="I2202" s="10">
        <f t="shared" si="136"/>
        <v>-247.13</v>
      </c>
      <c r="J2202" s="11">
        <f>data!H2202</f>
        <v>53.32</v>
      </c>
      <c r="K2202" s="11">
        <f>data!J2202</f>
        <v>266.60000000000002</v>
      </c>
      <c r="L2202" s="11">
        <f t="shared" si="137"/>
        <v>-213.28000000000003</v>
      </c>
      <c r="M2202" s="9">
        <f t="shared" si="138"/>
        <v>-0.77467790978339235</v>
      </c>
      <c r="N2202" s="9">
        <f t="shared" si="139"/>
        <v>-0.8</v>
      </c>
    </row>
    <row r="2203" spans="1:14" x14ac:dyDescent="0.25">
      <c r="A2203" t="str">
        <f>TEXT("1/"&amp;data!A2203,"mmmm")</f>
        <v>août</v>
      </c>
      <c r="B2203">
        <f>data!B2203</f>
        <v>2016</v>
      </c>
      <c r="C2203" t="str">
        <f>data!C2203</f>
        <v>086B</v>
      </c>
      <c r="D2203" t="str">
        <f>data!D2203</f>
        <v>PRODIFFU - TERRE DE VIGNERONS</v>
      </c>
      <c r="E2203" t="str">
        <f>data!E2203</f>
        <v>086012P</v>
      </c>
      <c r="F2203" t="str">
        <f>data!F2203</f>
        <v>AC C.DE DURAS BERTICOT</v>
      </c>
      <c r="G2203" s="10">
        <f>data!G2203</f>
        <v>79.28</v>
      </c>
      <c r="H2203" s="10">
        <f>data!I2203</f>
        <v>277.8</v>
      </c>
      <c r="I2203" s="10">
        <f t="shared" si="136"/>
        <v>-198.52</v>
      </c>
      <c r="J2203" s="11">
        <f>data!H2203</f>
        <v>60.03</v>
      </c>
      <c r="K2203" s="11">
        <f>data!J2203</f>
        <v>200.1</v>
      </c>
      <c r="L2203" s="11">
        <f t="shared" si="137"/>
        <v>-140.07</v>
      </c>
      <c r="M2203" s="9">
        <f t="shared" si="138"/>
        <v>-0.71461483081353494</v>
      </c>
      <c r="N2203" s="9">
        <f t="shared" si="139"/>
        <v>-0.7</v>
      </c>
    </row>
    <row r="2204" spans="1:14" x14ac:dyDescent="0.25">
      <c r="A2204" t="str">
        <f>TEXT("1/"&amp;data!A2204,"mmmm")</f>
        <v>août</v>
      </c>
      <c r="B2204">
        <f>data!B2204</f>
        <v>2016</v>
      </c>
      <c r="C2204" t="str">
        <f>data!C2204</f>
        <v>094</v>
      </c>
      <c r="D2204" t="str">
        <f>data!D2204</f>
        <v>CHATEAU TOUR GRANINS-GRAND POUJEAUX</v>
      </c>
      <c r="E2204" t="str">
        <f>data!E2204</f>
        <v>094001</v>
      </c>
      <c r="F2204" t="str">
        <f>data!F2204</f>
        <v>AC MOULIS EN MEDOC TOUR GRANINS GD-POUJEAUX</v>
      </c>
      <c r="G2204" s="10">
        <f>data!G2204</f>
        <v>381.6</v>
      </c>
      <c r="H2204" s="10">
        <f>data!I2204</f>
        <v>374.4</v>
      </c>
      <c r="I2204" s="10">
        <f t="shared" si="136"/>
        <v>7.2000000000000455</v>
      </c>
      <c r="J2204" s="11">
        <f>data!H2204</f>
        <v>72</v>
      </c>
      <c r="K2204" s="11">
        <f>data!J2204</f>
        <v>72</v>
      </c>
      <c r="L2204" s="11">
        <f t="shared" si="137"/>
        <v>0</v>
      </c>
      <c r="M2204" s="9">
        <f t="shared" si="138"/>
        <v>1.9230769230769353E-2</v>
      </c>
      <c r="N2204" s="9">
        <f t="shared" si="139"/>
        <v>0</v>
      </c>
    </row>
    <row r="2205" spans="1:14" x14ac:dyDescent="0.25">
      <c r="A2205" t="str">
        <f>TEXT("1/"&amp;data!A2205,"mmmm")</f>
        <v>août</v>
      </c>
      <c r="B2205">
        <f>data!B2205</f>
        <v>2016</v>
      </c>
      <c r="C2205" t="str">
        <f>data!C2205</f>
        <v>094</v>
      </c>
      <c r="D2205" t="str">
        <f>data!D2205</f>
        <v>CHATEAU TOUR GRANINS-GRAND POUJEAUX</v>
      </c>
      <c r="E2205" t="str">
        <f>data!E2205</f>
        <v>094004</v>
      </c>
      <c r="F2205" t="str">
        <f>data!F2205</f>
        <v>AOP MOULIS EN MEDOC CH GRANINS GD POUJEAUX</v>
      </c>
      <c r="G2205" s="10">
        <f>data!G2205</f>
        <v>47.7</v>
      </c>
      <c r="H2205" s="10">
        <f>data!I2205</f>
        <v>0</v>
      </c>
      <c r="I2205" s="10">
        <f t="shared" si="136"/>
        <v>47.7</v>
      </c>
      <c r="J2205" s="11">
        <f>data!H2205</f>
        <v>6</v>
      </c>
      <c r="K2205" s="11">
        <f>data!J2205</f>
        <v>0</v>
      </c>
      <c r="L2205" s="11">
        <f t="shared" si="137"/>
        <v>6</v>
      </c>
      <c r="M2205" s="9" t="str">
        <f t="shared" si="138"/>
        <v/>
      </c>
      <c r="N2205" s="9" t="str">
        <f t="shared" si="139"/>
        <v/>
      </c>
    </row>
    <row r="2206" spans="1:14" x14ac:dyDescent="0.25">
      <c r="A2206" t="str">
        <f>TEXT("1/"&amp;data!A2206,"mmmm")</f>
        <v>août</v>
      </c>
      <c r="B2206">
        <f>data!B2206</f>
        <v>2016</v>
      </c>
      <c r="C2206" t="str">
        <f>data!C2206</f>
        <v>095</v>
      </c>
      <c r="D2206" t="str">
        <f>data!D2206</f>
        <v>MR FILLON</v>
      </c>
      <c r="E2206" t="str">
        <f>data!E2206</f>
        <v>095001</v>
      </c>
      <c r="F2206" t="str">
        <f>data!F2206</f>
        <v>AC BOURG ALIG D.FILLON</v>
      </c>
      <c r="G2206" s="10">
        <f>data!G2206</f>
        <v>1909.2</v>
      </c>
      <c r="H2206" s="10">
        <f>data!I2206</f>
        <v>1887</v>
      </c>
      <c r="I2206" s="10">
        <f t="shared" si="136"/>
        <v>22.200000000000045</v>
      </c>
      <c r="J2206" s="11">
        <f>data!H2206</f>
        <v>516</v>
      </c>
      <c r="K2206" s="11">
        <f>data!J2206</f>
        <v>510</v>
      </c>
      <c r="L2206" s="11">
        <f t="shared" si="137"/>
        <v>6</v>
      </c>
      <c r="M2206" s="9">
        <f t="shared" si="138"/>
        <v>1.1764705882352965E-2</v>
      </c>
      <c r="N2206" s="9">
        <f t="shared" si="139"/>
        <v>1.1764705882352941E-2</v>
      </c>
    </row>
    <row r="2207" spans="1:14" x14ac:dyDescent="0.25">
      <c r="A2207" t="str">
        <f>TEXT("1/"&amp;data!A2207,"mmmm")</f>
        <v>août</v>
      </c>
      <c r="B2207">
        <f>data!B2207</f>
        <v>2016</v>
      </c>
      <c r="C2207" t="str">
        <f>data!C2207</f>
        <v>095</v>
      </c>
      <c r="D2207" t="str">
        <f>data!D2207</f>
        <v>MR FILLON</v>
      </c>
      <c r="E2207" t="str">
        <f>data!E2207</f>
        <v>095004</v>
      </c>
      <c r="F2207" t="str">
        <f>data!F2207</f>
        <v>DOM FILLON  BOURGOGNE CHARDONNAY</v>
      </c>
      <c r="G2207" s="10">
        <f>data!G2207</f>
        <v>132</v>
      </c>
      <c r="H2207" s="10">
        <f>data!I2207</f>
        <v>0</v>
      </c>
      <c r="I2207" s="10">
        <f t="shared" si="136"/>
        <v>132</v>
      </c>
      <c r="J2207" s="11">
        <f>data!H2207</f>
        <v>30</v>
      </c>
      <c r="K2207" s="11">
        <f>data!J2207</f>
        <v>0</v>
      </c>
      <c r="L2207" s="11">
        <f t="shared" si="137"/>
        <v>30</v>
      </c>
      <c r="M2207" s="9" t="str">
        <f t="shared" si="138"/>
        <v/>
      </c>
      <c r="N2207" s="9" t="str">
        <f t="shared" si="139"/>
        <v/>
      </c>
    </row>
    <row r="2208" spans="1:14" x14ac:dyDescent="0.25">
      <c r="A2208" t="str">
        <f>TEXT("1/"&amp;data!A2208,"mmmm")</f>
        <v>août</v>
      </c>
      <c r="B2208">
        <f>data!B2208</f>
        <v>2016</v>
      </c>
      <c r="C2208" t="str">
        <f>data!C2208</f>
        <v>095</v>
      </c>
      <c r="D2208" t="str">
        <f>data!D2208</f>
        <v>MR FILLON</v>
      </c>
      <c r="E2208" t="str">
        <f>data!E2208</f>
        <v>095005</v>
      </c>
      <c r="F2208" t="str">
        <f>data!F2208</f>
        <v>DOM FILLON AC SAUVIGNON DE ST BRIS</v>
      </c>
      <c r="G2208" s="10">
        <f>data!G2208</f>
        <v>46.8</v>
      </c>
      <c r="H2208" s="10">
        <f>data!I2208</f>
        <v>187.2</v>
      </c>
      <c r="I2208" s="10">
        <f t="shared" si="136"/>
        <v>-140.39999999999998</v>
      </c>
      <c r="J2208" s="11">
        <f>data!H2208</f>
        <v>12</v>
      </c>
      <c r="K2208" s="11">
        <f>data!J2208</f>
        <v>48</v>
      </c>
      <c r="L2208" s="11">
        <f t="shared" si="137"/>
        <v>-36</v>
      </c>
      <c r="M2208" s="9">
        <f t="shared" si="138"/>
        <v>-0.74999999999999989</v>
      </c>
      <c r="N2208" s="9">
        <f t="shared" si="139"/>
        <v>-0.75</v>
      </c>
    </row>
    <row r="2209" spans="1:14" x14ac:dyDescent="0.25">
      <c r="A2209" t="str">
        <f>TEXT("1/"&amp;data!A2209,"mmmm")</f>
        <v>août</v>
      </c>
      <c r="B2209">
        <f>data!B2209</f>
        <v>2016</v>
      </c>
      <c r="C2209" t="str">
        <f>data!C2209</f>
        <v>095</v>
      </c>
      <c r="D2209" t="str">
        <f>data!D2209</f>
        <v>MR FILLON</v>
      </c>
      <c r="E2209" t="str">
        <f>data!E2209</f>
        <v>095010</v>
      </c>
      <c r="F2209" t="str">
        <f>data!F2209</f>
        <v>DOM FILLON AC PETIT CHABLIS</v>
      </c>
      <c r="G2209" s="10">
        <f>data!G2209</f>
        <v>4318.2</v>
      </c>
      <c r="H2209" s="10">
        <f>data!I2209</f>
        <v>837</v>
      </c>
      <c r="I2209" s="10">
        <f t="shared" si="136"/>
        <v>3481.2</v>
      </c>
      <c r="J2209" s="11">
        <f>data!H2209</f>
        <v>948</v>
      </c>
      <c r="K2209" s="11">
        <f>data!J2209</f>
        <v>180</v>
      </c>
      <c r="L2209" s="11">
        <f t="shared" si="137"/>
        <v>768</v>
      </c>
      <c r="M2209" s="9">
        <f t="shared" si="138"/>
        <v>4.1591397849462366</v>
      </c>
      <c r="N2209" s="9">
        <f t="shared" si="139"/>
        <v>4.2666666666666666</v>
      </c>
    </row>
    <row r="2210" spans="1:14" x14ac:dyDescent="0.25">
      <c r="A2210" t="str">
        <f>TEXT("1/"&amp;data!A2210,"mmmm")</f>
        <v>août</v>
      </c>
      <c r="B2210">
        <f>data!B2210</f>
        <v>2016</v>
      </c>
      <c r="C2210" t="str">
        <f>data!C2210</f>
        <v>095</v>
      </c>
      <c r="D2210" t="str">
        <f>data!D2210</f>
        <v>MR FILLON</v>
      </c>
      <c r="E2210" t="str">
        <f>data!E2210</f>
        <v>095014</v>
      </c>
      <c r="F2210" t="str">
        <f>data!F2210</f>
        <v>DOM FILLON AC CHABLIS VIEILLES VIGNES</v>
      </c>
      <c r="G2210" s="10">
        <f>data!G2210</f>
        <v>81.599999999999994</v>
      </c>
      <c r="H2210" s="10">
        <f>data!I2210</f>
        <v>163.19999999999999</v>
      </c>
      <c r="I2210" s="10">
        <f t="shared" si="136"/>
        <v>-81.599999999999994</v>
      </c>
      <c r="J2210" s="11">
        <f>data!H2210</f>
        <v>12</v>
      </c>
      <c r="K2210" s="11">
        <f>data!J2210</f>
        <v>24</v>
      </c>
      <c r="L2210" s="11">
        <f t="shared" si="137"/>
        <v>-12</v>
      </c>
      <c r="M2210" s="9">
        <f t="shared" si="138"/>
        <v>-0.5</v>
      </c>
      <c r="N2210" s="9">
        <f t="shared" si="139"/>
        <v>-0.5</v>
      </c>
    </row>
    <row r="2211" spans="1:14" x14ac:dyDescent="0.25">
      <c r="A2211" t="str">
        <f>TEXT("1/"&amp;data!A2211,"mmmm")</f>
        <v>août</v>
      </c>
      <c r="B2211">
        <f>data!B2211</f>
        <v>2016</v>
      </c>
      <c r="C2211" t="str">
        <f>data!C2211</f>
        <v>097</v>
      </c>
      <c r="D2211" t="str">
        <f>data!D2211</f>
        <v>CHATEAU DE COINTES</v>
      </c>
      <c r="E2211" t="str">
        <f>data!E2211</f>
        <v>097004</v>
      </c>
      <c r="F2211" t="str">
        <f>data!F2211</f>
        <v>VDP MERLOT D.DES CONSULS</v>
      </c>
      <c r="G2211" s="10">
        <f>data!G2211</f>
        <v>403.2</v>
      </c>
      <c r="H2211" s="10">
        <f>data!I2211</f>
        <v>418.2</v>
      </c>
      <c r="I2211" s="10">
        <f t="shared" si="136"/>
        <v>-15</v>
      </c>
      <c r="J2211" s="11">
        <f>data!H2211</f>
        <v>192</v>
      </c>
      <c r="K2211" s="11">
        <f>data!J2211</f>
        <v>204</v>
      </c>
      <c r="L2211" s="11">
        <f t="shared" si="137"/>
        <v>-12</v>
      </c>
      <c r="M2211" s="9">
        <f t="shared" si="138"/>
        <v>-3.5868005738880916E-2</v>
      </c>
      <c r="N2211" s="9">
        <f t="shared" si="139"/>
        <v>-5.8823529411764705E-2</v>
      </c>
    </row>
    <row r="2212" spans="1:14" x14ac:dyDescent="0.25">
      <c r="A2212" t="str">
        <f>TEXT("1/"&amp;data!A2212,"mmmm")</f>
        <v>août</v>
      </c>
      <c r="B2212">
        <f>data!B2212</f>
        <v>2016</v>
      </c>
      <c r="C2212" t="str">
        <f>data!C2212</f>
        <v>099</v>
      </c>
      <c r="D2212" t="str">
        <f>data!D2212</f>
        <v>CAVE DE L'ORMARINE</v>
      </c>
      <c r="E2212" t="str">
        <f>data!E2212</f>
        <v>099001</v>
      </c>
      <c r="F2212" t="str">
        <f>data!F2212</f>
        <v>VDP C DE THAU D.VILLEMARIN</v>
      </c>
      <c r="G2212" s="10">
        <f>data!G2212</f>
        <v>2049.12</v>
      </c>
      <c r="H2212" s="10">
        <f>data!I2212</f>
        <v>1068.54</v>
      </c>
      <c r="I2212" s="10">
        <f t="shared" si="136"/>
        <v>980.57999999999993</v>
      </c>
      <c r="J2212" s="11">
        <f>data!H2212</f>
        <v>1350</v>
      </c>
      <c r="K2212" s="11">
        <f>data!J2212</f>
        <v>702</v>
      </c>
      <c r="L2212" s="11">
        <f t="shared" si="137"/>
        <v>648</v>
      </c>
      <c r="M2212" s="9">
        <f t="shared" si="138"/>
        <v>0.91768207086304676</v>
      </c>
      <c r="N2212" s="9">
        <f t="shared" si="139"/>
        <v>0.92307692307692313</v>
      </c>
    </row>
    <row r="2213" spans="1:14" x14ac:dyDescent="0.25">
      <c r="A2213" t="str">
        <f>TEXT("1/"&amp;data!A2213,"mmmm")</f>
        <v>août</v>
      </c>
      <c r="B2213">
        <f>data!B2213</f>
        <v>2016</v>
      </c>
      <c r="C2213" t="str">
        <f>data!C2213</f>
        <v>099</v>
      </c>
      <c r="D2213" t="str">
        <f>data!D2213</f>
        <v>CAVE DE L'ORMARINE</v>
      </c>
      <c r="E2213" t="str">
        <f>data!E2213</f>
        <v>099002</v>
      </c>
      <c r="F2213" t="str">
        <f>data!F2213</f>
        <v>VDP C DE THAU D.VILLEMARIN</v>
      </c>
      <c r="G2213" s="10">
        <f>data!G2213</f>
        <v>10359.280000000001</v>
      </c>
      <c r="H2213" s="10">
        <f>data!I2213</f>
        <v>2108.88</v>
      </c>
      <c r="I2213" s="10">
        <f t="shared" si="136"/>
        <v>8250.4000000000015</v>
      </c>
      <c r="J2213" s="11">
        <f>data!H2213</f>
        <v>7450</v>
      </c>
      <c r="K2213" s="11">
        <f>data!J2213</f>
        <v>1266</v>
      </c>
      <c r="L2213" s="11">
        <f t="shared" si="137"/>
        <v>6184</v>
      </c>
      <c r="M2213" s="9">
        <f t="shared" si="138"/>
        <v>3.9122188080877058</v>
      </c>
      <c r="N2213" s="9">
        <f t="shared" si="139"/>
        <v>4.8846761453396521</v>
      </c>
    </row>
    <row r="2214" spans="1:14" x14ac:dyDescent="0.25">
      <c r="A2214" t="str">
        <f>TEXT("1/"&amp;data!A2214,"mmmm")</f>
        <v>août</v>
      </c>
      <c r="B2214">
        <f>data!B2214</f>
        <v>2016</v>
      </c>
      <c r="C2214" t="str">
        <f>data!C2214</f>
        <v>099</v>
      </c>
      <c r="D2214" t="str">
        <f>data!D2214</f>
        <v>CAVE DE L'ORMARINE</v>
      </c>
      <c r="E2214" t="str">
        <f>data!E2214</f>
        <v>099003</v>
      </c>
      <c r="F2214" t="str">
        <f>data!F2214</f>
        <v>VDP C DE THAU D.VILLEMARIN</v>
      </c>
      <c r="G2214" s="10">
        <f>data!G2214</f>
        <v>320.04000000000002</v>
      </c>
      <c r="H2214" s="10">
        <f>data!I2214</f>
        <v>651.36</v>
      </c>
      <c r="I2214" s="10">
        <f t="shared" si="136"/>
        <v>-331.32</v>
      </c>
      <c r="J2214" s="11">
        <f>data!H2214</f>
        <v>198</v>
      </c>
      <c r="K2214" s="11">
        <f>data!J2214</f>
        <v>396</v>
      </c>
      <c r="L2214" s="11">
        <f t="shared" si="137"/>
        <v>-198</v>
      </c>
      <c r="M2214" s="9">
        <f t="shared" si="138"/>
        <v>-0.50865880619012527</v>
      </c>
      <c r="N2214" s="9">
        <f t="shared" si="139"/>
        <v>-0.5</v>
      </c>
    </row>
    <row r="2215" spans="1:14" x14ac:dyDescent="0.25">
      <c r="A2215" t="str">
        <f>TEXT("1/"&amp;data!A2215,"mmmm")</f>
        <v>août</v>
      </c>
      <c r="B2215">
        <f>data!B2215</f>
        <v>2016</v>
      </c>
      <c r="C2215" t="str">
        <f>data!C2215</f>
        <v>099</v>
      </c>
      <c r="D2215" t="str">
        <f>data!D2215</f>
        <v>CAVE DE L'ORMARINE</v>
      </c>
      <c r="E2215" t="str">
        <f>data!E2215</f>
        <v>099015</v>
      </c>
      <c r="F2215" t="str">
        <f>data!F2215</f>
        <v>AC PICPOUL DE PINET C.L'ORMARINE</v>
      </c>
      <c r="G2215" s="10">
        <f>data!G2215</f>
        <v>17.100000000000001</v>
      </c>
      <c r="H2215" s="10">
        <f>data!I2215</f>
        <v>0</v>
      </c>
      <c r="I2215" s="10">
        <f t="shared" si="136"/>
        <v>17.100000000000001</v>
      </c>
      <c r="J2215" s="11">
        <f>data!H2215</f>
        <v>6</v>
      </c>
      <c r="K2215" s="11">
        <f>data!J2215</f>
        <v>0</v>
      </c>
      <c r="L2215" s="11">
        <f t="shared" si="137"/>
        <v>6</v>
      </c>
      <c r="M2215" s="9" t="str">
        <f t="shared" si="138"/>
        <v/>
      </c>
      <c r="N2215" s="9" t="str">
        <f t="shared" si="139"/>
        <v/>
      </c>
    </row>
    <row r="2216" spans="1:14" x14ac:dyDescent="0.25">
      <c r="A2216" t="str">
        <f>TEXT("1/"&amp;data!A2216,"mmmm")</f>
        <v>août</v>
      </c>
      <c r="B2216">
        <f>data!B2216</f>
        <v>2016</v>
      </c>
      <c r="C2216" t="str">
        <f>data!C2216</f>
        <v>099</v>
      </c>
      <c r="D2216" t="str">
        <f>data!D2216</f>
        <v>CAVE DE L'ORMARINE</v>
      </c>
      <c r="E2216" t="str">
        <f>data!E2216</f>
        <v>099016</v>
      </c>
      <c r="F2216" t="str">
        <f>data!F2216</f>
        <v>AC PICPOUL PINET CARTE NOIRE</v>
      </c>
      <c r="G2216" s="10">
        <f>data!G2216</f>
        <v>227.76</v>
      </c>
      <c r="H2216" s="10">
        <f>data!I2216</f>
        <v>153.9</v>
      </c>
      <c r="I2216" s="10">
        <f t="shared" si="136"/>
        <v>73.859999999999985</v>
      </c>
      <c r="J2216" s="11">
        <f>data!H2216</f>
        <v>78</v>
      </c>
      <c r="K2216" s="11">
        <f>data!J2216</f>
        <v>54</v>
      </c>
      <c r="L2216" s="11">
        <f t="shared" si="137"/>
        <v>24</v>
      </c>
      <c r="M2216" s="9">
        <f t="shared" si="138"/>
        <v>0.47992202729044825</v>
      </c>
      <c r="N2216" s="9">
        <f t="shared" si="139"/>
        <v>0.44444444444444442</v>
      </c>
    </row>
    <row r="2217" spans="1:14" x14ac:dyDescent="0.25">
      <c r="A2217" t="str">
        <f>TEXT("1/"&amp;data!A2217,"mmmm")</f>
        <v>août</v>
      </c>
      <c r="B2217">
        <f>data!B2217</f>
        <v>2016</v>
      </c>
      <c r="C2217" t="str">
        <f>data!C2217</f>
        <v>110</v>
      </c>
      <c r="D2217" t="str">
        <f>data!D2217</f>
        <v>CHATEAU LES MARNIERES</v>
      </c>
      <c r="E2217" t="str">
        <f>data!E2217</f>
        <v>110500</v>
      </c>
      <c r="F2217" t="str">
        <f>data!F2217</f>
        <v>AC BERGERAC CH LES MARNIERES</v>
      </c>
      <c r="G2217" s="10">
        <f>data!G2217</f>
        <v>355.3</v>
      </c>
      <c r="H2217" s="10">
        <f>data!I2217</f>
        <v>637</v>
      </c>
      <c r="I2217" s="10">
        <f t="shared" si="136"/>
        <v>-281.7</v>
      </c>
      <c r="J2217" s="11">
        <f>data!H2217</f>
        <v>253.27</v>
      </c>
      <c r="K2217" s="11">
        <f>data!J2217</f>
        <v>466.55</v>
      </c>
      <c r="L2217" s="11">
        <f t="shared" si="137"/>
        <v>-213.28</v>
      </c>
      <c r="M2217" s="9">
        <f t="shared" si="138"/>
        <v>-0.44222919937205651</v>
      </c>
      <c r="N2217" s="9">
        <f t="shared" si="139"/>
        <v>-0.45714285714285713</v>
      </c>
    </row>
    <row r="2218" spans="1:14" x14ac:dyDescent="0.25">
      <c r="A2218" t="str">
        <f>TEXT("1/"&amp;data!A2218,"mmmm")</f>
        <v>août</v>
      </c>
      <c r="B2218">
        <f>data!B2218</f>
        <v>2016</v>
      </c>
      <c r="C2218" t="str">
        <f>data!C2218</f>
        <v>110</v>
      </c>
      <c r="D2218" t="str">
        <f>data!D2218</f>
        <v>CHATEAU LES MARNIERES</v>
      </c>
      <c r="E2218" t="str">
        <f>data!E2218</f>
        <v>110501</v>
      </c>
      <c r="F2218" t="str">
        <f>data!F2218</f>
        <v>AC BERGERAC CH LES MARNIERES</v>
      </c>
      <c r="G2218" s="10">
        <f>data!G2218</f>
        <v>557.5</v>
      </c>
      <c r="H2218" s="10">
        <f>data!I2218</f>
        <v>569.75</v>
      </c>
      <c r="I2218" s="10">
        <f t="shared" si="136"/>
        <v>-12.25</v>
      </c>
      <c r="J2218" s="11">
        <f>data!H2218</f>
        <v>333.5</v>
      </c>
      <c r="K2218" s="11">
        <f>data!J2218</f>
        <v>353.51</v>
      </c>
      <c r="L2218" s="11">
        <f t="shared" si="137"/>
        <v>-20.009999999999991</v>
      </c>
      <c r="M2218" s="9">
        <f t="shared" si="138"/>
        <v>-2.150065818341378E-2</v>
      </c>
      <c r="N2218" s="9">
        <f t="shared" si="139"/>
        <v>-5.6603773584905634E-2</v>
      </c>
    </row>
    <row r="2219" spans="1:14" x14ac:dyDescent="0.25">
      <c r="A2219" t="str">
        <f>TEXT("1/"&amp;data!A2219,"mmmm")</f>
        <v>août</v>
      </c>
      <c r="B2219">
        <f>data!B2219</f>
        <v>2016</v>
      </c>
      <c r="C2219" t="str">
        <f>data!C2219</f>
        <v>113</v>
      </c>
      <c r="D2219" t="str">
        <f>data!D2219</f>
        <v>DOMAINE DU PRIEURE</v>
      </c>
      <c r="E2219" t="str">
        <f>data!E2219</f>
        <v>113001</v>
      </c>
      <c r="F2219" t="str">
        <f>data!F2219</f>
        <v>AC MENETOU SALON. DME PRIEURE</v>
      </c>
      <c r="G2219" s="10">
        <f>data!G2219</f>
        <v>923.4</v>
      </c>
      <c r="H2219" s="10">
        <f>data!I2219</f>
        <v>759</v>
      </c>
      <c r="I2219" s="10">
        <f t="shared" si="136"/>
        <v>164.39999999999998</v>
      </c>
      <c r="J2219" s="11">
        <f>data!H2219</f>
        <v>162</v>
      </c>
      <c r="K2219" s="11">
        <f>data!J2219</f>
        <v>138</v>
      </c>
      <c r="L2219" s="11">
        <f t="shared" si="137"/>
        <v>24</v>
      </c>
      <c r="M2219" s="9">
        <f t="shared" si="138"/>
        <v>0.21660079051383396</v>
      </c>
      <c r="N2219" s="9">
        <f t="shared" si="139"/>
        <v>0.17391304347826086</v>
      </c>
    </row>
    <row r="2220" spans="1:14" x14ac:dyDescent="0.25">
      <c r="A2220" t="str">
        <f>TEXT("1/"&amp;data!A2220,"mmmm")</f>
        <v>août</v>
      </c>
      <c r="B2220">
        <f>data!B2220</f>
        <v>2016</v>
      </c>
      <c r="C2220" t="str">
        <f>data!C2220</f>
        <v>113</v>
      </c>
      <c r="D2220" t="str">
        <f>data!D2220</f>
        <v>DOMAINE DU PRIEURE</v>
      </c>
      <c r="E2220" t="str">
        <f>data!E2220</f>
        <v>113002</v>
      </c>
      <c r="F2220" t="str">
        <f>data!F2220</f>
        <v>AC MENETOU SALON. DME PRIEURE</v>
      </c>
      <c r="G2220" s="10">
        <f>data!G2220</f>
        <v>151.19999999999999</v>
      </c>
      <c r="H2220" s="10">
        <f>data!I2220</f>
        <v>0</v>
      </c>
      <c r="I2220" s="10">
        <f t="shared" si="136"/>
        <v>151.19999999999999</v>
      </c>
      <c r="J2220" s="11">
        <f>data!H2220</f>
        <v>24</v>
      </c>
      <c r="K2220" s="11">
        <f>data!J2220</f>
        <v>0</v>
      </c>
      <c r="L2220" s="11">
        <f t="shared" si="137"/>
        <v>24</v>
      </c>
      <c r="M2220" s="9" t="str">
        <f t="shared" si="138"/>
        <v/>
      </c>
      <c r="N2220" s="9" t="str">
        <f t="shared" si="139"/>
        <v/>
      </c>
    </row>
    <row r="2221" spans="1:14" x14ac:dyDescent="0.25">
      <c r="A2221" t="str">
        <f>TEXT("1/"&amp;data!A2221,"mmmm")</f>
        <v>août</v>
      </c>
      <c r="B2221">
        <f>data!B2221</f>
        <v>2016</v>
      </c>
      <c r="C2221" t="str">
        <f>data!C2221</f>
        <v>113</v>
      </c>
      <c r="D2221" t="str">
        <f>data!D2221</f>
        <v>DOMAINE DU PRIEURE</v>
      </c>
      <c r="E2221" t="str">
        <f>data!E2221</f>
        <v>113005</v>
      </c>
      <c r="F2221" t="str">
        <f>data!F2221</f>
        <v>AC MENETOU SALON. DME PRIEURE</v>
      </c>
      <c r="G2221" s="10">
        <f>data!G2221</f>
        <v>612</v>
      </c>
      <c r="H2221" s="10">
        <f>data!I2221</f>
        <v>483</v>
      </c>
      <c r="I2221" s="10">
        <f t="shared" si="136"/>
        <v>129</v>
      </c>
      <c r="J2221" s="11">
        <f>data!H2221</f>
        <v>102</v>
      </c>
      <c r="K2221" s="11">
        <f>data!J2221</f>
        <v>84</v>
      </c>
      <c r="L2221" s="11">
        <f t="shared" si="137"/>
        <v>18</v>
      </c>
      <c r="M2221" s="9">
        <f t="shared" si="138"/>
        <v>0.26708074534161491</v>
      </c>
      <c r="N2221" s="9">
        <f t="shared" si="139"/>
        <v>0.21428571428571427</v>
      </c>
    </row>
    <row r="2222" spans="1:14" x14ac:dyDescent="0.25">
      <c r="A2222" t="str">
        <f>TEXT("1/"&amp;data!A2222,"mmmm")</f>
        <v>août</v>
      </c>
      <c r="B2222">
        <f>data!B2222</f>
        <v>2016</v>
      </c>
      <c r="C2222" t="str">
        <f>data!C2222</f>
        <v>113</v>
      </c>
      <c r="D2222" t="str">
        <f>data!D2222</f>
        <v>DOMAINE DU PRIEURE</v>
      </c>
      <c r="E2222" t="str">
        <f>data!E2222</f>
        <v>113006</v>
      </c>
      <c r="F2222" t="str">
        <f>data!F2222</f>
        <v>AC MENETOU SALON. DME PRIEURE</v>
      </c>
      <c r="G2222" s="10">
        <f>data!G2222</f>
        <v>118.8</v>
      </c>
      <c r="H2222" s="10">
        <f>data!I2222</f>
        <v>0</v>
      </c>
      <c r="I2222" s="10">
        <f t="shared" si="136"/>
        <v>118.8</v>
      </c>
      <c r="J2222" s="11">
        <f>data!H2222</f>
        <v>18</v>
      </c>
      <c r="K2222" s="11">
        <f>data!J2222</f>
        <v>0</v>
      </c>
      <c r="L2222" s="11">
        <f t="shared" si="137"/>
        <v>18</v>
      </c>
      <c r="M2222" s="9" t="str">
        <f t="shared" si="138"/>
        <v/>
      </c>
      <c r="N2222" s="9" t="str">
        <f t="shared" si="139"/>
        <v/>
      </c>
    </row>
    <row r="2223" spans="1:14" x14ac:dyDescent="0.25">
      <c r="A2223" t="str">
        <f>TEXT("1/"&amp;data!A2223,"mmmm")</f>
        <v>août</v>
      </c>
      <c r="B2223">
        <f>data!B2223</f>
        <v>2016</v>
      </c>
      <c r="C2223" t="str">
        <f>data!C2223</f>
        <v>115</v>
      </c>
      <c r="D2223" t="str">
        <f>data!D2223</f>
        <v>SCEA CHATEAU DES ROQUES</v>
      </c>
      <c r="E2223" t="str">
        <f>data!E2223</f>
        <v>115005</v>
      </c>
      <c r="F2223" t="str">
        <f>data!F2223</f>
        <v>AC VACQUEYRAS CH DES ROQUES</v>
      </c>
      <c r="G2223" s="10">
        <f>data!G2223</f>
        <v>120.6</v>
      </c>
      <c r="H2223" s="10">
        <f>data!I2223</f>
        <v>921.6</v>
      </c>
      <c r="I2223" s="10">
        <f t="shared" si="136"/>
        <v>-801</v>
      </c>
      <c r="J2223" s="11">
        <f>data!H2223</f>
        <v>18</v>
      </c>
      <c r="K2223" s="11">
        <f>data!J2223</f>
        <v>144</v>
      </c>
      <c r="L2223" s="11">
        <f t="shared" si="137"/>
        <v>-126</v>
      </c>
      <c r="M2223" s="9">
        <f t="shared" si="138"/>
        <v>-0.869140625</v>
      </c>
      <c r="N2223" s="9">
        <f t="shared" si="139"/>
        <v>-0.875</v>
      </c>
    </row>
    <row r="2224" spans="1:14" x14ac:dyDescent="0.25">
      <c r="A2224" t="str">
        <f>TEXT("1/"&amp;data!A2224,"mmmm")</f>
        <v>août</v>
      </c>
      <c r="B2224">
        <f>data!B2224</f>
        <v>2016</v>
      </c>
      <c r="C2224" t="str">
        <f>data!C2224</f>
        <v>116</v>
      </c>
      <c r="D2224" t="str">
        <f>data!D2224</f>
        <v>VIGNOBLE GASNIER</v>
      </c>
      <c r="E2224" t="str">
        <f>data!E2224</f>
        <v>116001</v>
      </c>
      <c r="F2224" t="str">
        <f>data!F2224</f>
        <v>AC CHINON LES GRAVES</v>
      </c>
      <c r="G2224" s="10">
        <f>data!G2224</f>
        <v>386.4</v>
      </c>
      <c r="H2224" s="10">
        <f>data!I2224</f>
        <v>354.9</v>
      </c>
      <c r="I2224" s="10">
        <f t="shared" si="136"/>
        <v>31.5</v>
      </c>
      <c r="J2224" s="11">
        <f>data!H2224</f>
        <v>84</v>
      </c>
      <c r="K2224" s="11">
        <f>data!J2224</f>
        <v>78</v>
      </c>
      <c r="L2224" s="11">
        <f t="shared" si="137"/>
        <v>6</v>
      </c>
      <c r="M2224" s="9">
        <f t="shared" si="138"/>
        <v>8.8757396449704151E-2</v>
      </c>
      <c r="N2224" s="9">
        <f t="shared" si="139"/>
        <v>7.6923076923076927E-2</v>
      </c>
    </row>
    <row r="2225" spans="1:14" x14ac:dyDescent="0.25">
      <c r="A2225" t="str">
        <f>TEXT("1/"&amp;data!A2225,"mmmm")</f>
        <v>août</v>
      </c>
      <c r="B2225">
        <f>data!B2225</f>
        <v>2016</v>
      </c>
      <c r="C2225" t="str">
        <f>data!C2225</f>
        <v>116</v>
      </c>
      <c r="D2225" t="str">
        <f>data!D2225</f>
        <v>VIGNOBLE GASNIER</v>
      </c>
      <c r="E2225" t="str">
        <f>data!E2225</f>
        <v>CDV116006</v>
      </c>
      <c r="F2225" t="str">
        <f>data!F2225</f>
        <v>AC CHINON VIEILLES VIGNES DOMAINE GARNIER</v>
      </c>
      <c r="G2225" s="10">
        <f>data!G2225</f>
        <v>33</v>
      </c>
      <c r="H2225" s="10">
        <f>data!I2225</f>
        <v>198</v>
      </c>
      <c r="I2225" s="10">
        <f t="shared" si="136"/>
        <v>-165</v>
      </c>
      <c r="J2225" s="11">
        <f>data!H2225</f>
        <v>6</v>
      </c>
      <c r="K2225" s="11">
        <f>data!J2225</f>
        <v>36</v>
      </c>
      <c r="L2225" s="11">
        <f t="shared" si="137"/>
        <v>-30</v>
      </c>
      <c r="M2225" s="9">
        <f t="shared" si="138"/>
        <v>-0.83333333333333337</v>
      </c>
      <c r="N2225" s="9">
        <f t="shared" si="139"/>
        <v>-0.83333333333333337</v>
      </c>
    </row>
    <row r="2226" spans="1:14" x14ac:dyDescent="0.25">
      <c r="A2226" t="str">
        <f>TEXT("1/"&amp;data!A2226,"mmmm")</f>
        <v>août</v>
      </c>
      <c r="B2226">
        <f>data!B2226</f>
        <v>2016</v>
      </c>
      <c r="C2226" t="str">
        <f>data!C2226</f>
        <v>118</v>
      </c>
      <c r="D2226" t="str">
        <f>data!D2226</f>
        <v>ARMAGNAC DELORD</v>
      </c>
      <c r="E2226" t="str">
        <f>data!E2226</f>
        <v>118013</v>
      </c>
      <c r="F2226" t="str">
        <f>data!F2226</f>
        <v>ARMAGNAC RECOLTE 1989 ARIANE</v>
      </c>
      <c r="G2226" s="10">
        <f>data!G2226</f>
        <v>58.78</v>
      </c>
      <c r="H2226" s="10">
        <f>data!I2226</f>
        <v>0</v>
      </c>
      <c r="I2226" s="10">
        <f t="shared" si="136"/>
        <v>58.78</v>
      </c>
      <c r="J2226" s="11">
        <f>data!H2226</f>
        <v>2</v>
      </c>
      <c r="K2226" s="11">
        <f>data!J2226</f>
        <v>0</v>
      </c>
      <c r="L2226" s="11">
        <f t="shared" si="137"/>
        <v>2</v>
      </c>
      <c r="M2226" s="9" t="str">
        <f t="shared" si="138"/>
        <v/>
      </c>
      <c r="N2226" s="9" t="str">
        <f t="shared" si="139"/>
        <v/>
      </c>
    </row>
    <row r="2227" spans="1:14" x14ac:dyDescent="0.25">
      <c r="A2227" t="str">
        <f>TEXT("1/"&amp;data!A2227,"mmmm")</f>
        <v>août</v>
      </c>
      <c r="B2227">
        <f>data!B2227</f>
        <v>2016</v>
      </c>
      <c r="C2227" t="str">
        <f>data!C2227</f>
        <v>118</v>
      </c>
      <c r="D2227" t="str">
        <f>data!D2227</f>
        <v>ARMAGNAC DELORD</v>
      </c>
      <c r="E2227" t="str">
        <f>data!E2227</f>
        <v>118014</v>
      </c>
      <c r="F2227" t="str">
        <f>data!F2227</f>
        <v>ARMAGNAC RECOLTE 1987 ARIANE en caissette bois</v>
      </c>
      <c r="G2227" s="10">
        <f>data!G2227</f>
        <v>60.52</v>
      </c>
      <c r="H2227" s="10">
        <f>data!I2227</f>
        <v>0</v>
      </c>
      <c r="I2227" s="10">
        <f t="shared" si="136"/>
        <v>60.52</v>
      </c>
      <c r="J2227" s="11">
        <f>data!H2227</f>
        <v>2</v>
      </c>
      <c r="K2227" s="11">
        <f>data!J2227</f>
        <v>0</v>
      </c>
      <c r="L2227" s="11">
        <f t="shared" si="137"/>
        <v>2</v>
      </c>
      <c r="M2227" s="9" t="str">
        <f t="shared" si="138"/>
        <v/>
      </c>
      <c r="N2227" s="9" t="str">
        <f t="shared" si="139"/>
        <v/>
      </c>
    </row>
    <row r="2228" spans="1:14" x14ac:dyDescent="0.25">
      <c r="A2228" t="str">
        <f>TEXT("1/"&amp;data!A2228,"mmmm")</f>
        <v>août</v>
      </c>
      <c r="B2228">
        <f>data!B2228</f>
        <v>2016</v>
      </c>
      <c r="C2228" t="str">
        <f>data!C2228</f>
        <v>118</v>
      </c>
      <c r="D2228" t="str">
        <f>data!D2228</f>
        <v>ARMAGNAC DELORD</v>
      </c>
      <c r="E2228" t="str">
        <f>data!E2228</f>
        <v>118016</v>
      </c>
      <c r="F2228" t="str">
        <f>data!F2228</f>
        <v>ARMAGNAC RECOLTE 1976 ARIANE</v>
      </c>
      <c r="G2228" s="10">
        <f>data!G2228</f>
        <v>75.38</v>
      </c>
      <c r="H2228" s="10">
        <f>data!I2228</f>
        <v>0</v>
      </c>
      <c r="I2228" s="10">
        <f t="shared" si="136"/>
        <v>75.38</v>
      </c>
      <c r="J2228" s="11">
        <f>data!H2228</f>
        <v>2</v>
      </c>
      <c r="K2228" s="11">
        <f>data!J2228</f>
        <v>0</v>
      </c>
      <c r="L2228" s="11">
        <f t="shared" si="137"/>
        <v>2</v>
      </c>
      <c r="M2228" s="9" t="str">
        <f t="shared" si="138"/>
        <v/>
      </c>
      <c r="N2228" s="9" t="str">
        <f t="shared" si="139"/>
        <v/>
      </c>
    </row>
    <row r="2229" spans="1:14" x14ac:dyDescent="0.25">
      <c r="A2229" t="str">
        <f>TEXT("1/"&amp;data!A2229,"mmmm")</f>
        <v>août</v>
      </c>
      <c r="B2229">
        <f>data!B2229</f>
        <v>2016</v>
      </c>
      <c r="C2229" t="str">
        <f>data!C2229</f>
        <v>118</v>
      </c>
      <c r="D2229" t="str">
        <f>data!D2229</f>
        <v>ARMAGNAC DELORD</v>
      </c>
      <c r="E2229" t="str">
        <f>data!E2229</f>
        <v>118018</v>
      </c>
      <c r="F2229" t="str">
        <f>data!F2229</f>
        <v>ARMAGNAC RECOLTE 1990 ARIANE</v>
      </c>
      <c r="G2229" s="10">
        <f>data!G2229</f>
        <v>58.02</v>
      </c>
      <c r="H2229" s="10">
        <f>data!I2229</f>
        <v>0</v>
      </c>
      <c r="I2229" s="10">
        <f t="shared" si="136"/>
        <v>58.02</v>
      </c>
      <c r="J2229" s="11">
        <f>data!H2229</f>
        <v>2</v>
      </c>
      <c r="K2229" s="11">
        <f>data!J2229</f>
        <v>0</v>
      </c>
      <c r="L2229" s="11">
        <f t="shared" si="137"/>
        <v>2</v>
      </c>
      <c r="M2229" s="9" t="str">
        <f t="shared" si="138"/>
        <v/>
      </c>
      <c r="N2229" s="9" t="str">
        <f t="shared" si="139"/>
        <v/>
      </c>
    </row>
    <row r="2230" spans="1:14" x14ac:dyDescent="0.25">
      <c r="A2230" t="str">
        <f>TEXT("1/"&amp;data!A2230,"mmmm")</f>
        <v>août</v>
      </c>
      <c r="B2230">
        <f>data!B2230</f>
        <v>2016</v>
      </c>
      <c r="C2230" t="str">
        <f>data!C2230</f>
        <v>118</v>
      </c>
      <c r="D2230" t="str">
        <f>data!D2230</f>
        <v>ARMAGNAC DELORD</v>
      </c>
      <c r="E2230" t="str">
        <f>data!E2230</f>
        <v>118020</v>
      </c>
      <c r="F2230" t="str">
        <f>data!F2230</f>
        <v>ARMAGNAC RECOLTE 1986 ARIANE</v>
      </c>
      <c r="G2230" s="10">
        <f>data!G2230</f>
        <v>93</v>
      </c>
      <c r="H2230" s="10">
        <f>data!I2230</f>
        <v>0</v>
      </c>
      <c r="I2230" s="10">
        <f t="shared" si="136"/>
        <v>93</v>
      </c>
      <c r="J2230" s="11">
        <f>data!H2230</f>
        <v>3</v>
      </c>
      <c r="K2230" s="11">
        <f>data!J2230</f>
        <v>0</v>
      </c>
      <c r="L2230" s="11">
        <f t="shared" si="137"/>
        <v>3</v>
      </c>
      <c r="M2230" s="9" t="str">
        <f t="shared" si="138"/>
        <v/>
      </c>
      <c r="N2230" s="9" t="str">
        <f t="shared" si="139"/>
        <v/>
      </c>
    </row>
    <row r="2231" spans="1:14" x14ac:dyDescent="0.25">
      <c r="A2231" t="str">
        <f>TEXT("1/"&amp;data!A2231,"mmmm")</f>
        <v>août</v>
      </c>
      <c r="B2231">
        <f>data!B2231</f>
        <v>2016</v>
      </c>
      <c r="C2231" t="str">
        <f>data!C2231</f>
        <v>118</v>
      </c>
      <c r="D2231" t="str">
        <f>data!D2231</f>
        <v>ARMAGNAC DELORD</v>
      </c>
      <c r="E2231" t="str">
        <f>data!E2231</f>
        <v>118024</v>
      </c>
      <c r="F2231" t="str">
        <f>data!F2231</f>
        <v>ARMAGNAC RECOLTE 1982 ARIANE</v>
      </c>
      <c r="G2231" s="10">
        <f>data!G2231</f>
        <v>67.22</v>
      </c>
      <c r="H2231" s="10">
        <f>data!I2231</f>
        <v>0</v>
      </c>
      <c r="I2231" s="10">
        <f t="shared" si="136"/>
        <v>67.22</v>
      </c>
      <c r="J2231" s="11">
        <f>data!H2231</f>
        <v>2</v>
      </c>
      <c r="K2231" s="11">
        <f>data!J2231</f>
        <v>0</v>
      </c>
      <c r="L2231" s="11">
        <f t="shared" si="137"/>
        <v>2</v>
      </c>
      <c r="M2231" s="9" t="str">
        <f t="shared" si="138"/>
        <v/>
      </c>
      <c r="N2231" s="9" t="str">
        <f t="shared" si="139"/>
        <v/>
      </c>
    </row>
    <row r="2232" spans="1:14" x14ac:dyDescent="0.25">
      <c r="A2232" t="str">
        <f>TEXT("1/"&amp;data!A2232,"mmmm")</f>
        <v>août</v>
      </c>
      <c r="B2232">
        <f>data!B2232</f>
        <v>2016</v>
      </c>
      <c r="C2232" t="str">
        <f>data!C2232</f>
        <v>118</v>
      </c>
      <c r="D2232" t="str">
        <f>data!D2232</f>
        <v>ARMAGNAC DELORD</v>
      </c>
      <c r="E2232" t="str">
        <f>data!E2232</f>
        <v>118028</v>
      </c>
      <c r="F2232" t="str">
        <f>data!F2232</f>
        <v>ARMAGNAC RECOLTE 1977 ARIANE</v>
      </c>
      <c r="G2232" s="10">
        <f>data!G2232</f>
        <v>111.21</v>
      </c>
      <c r="H2232" s="10">
        <f>data!I2232</f>
        <v>0</v>
      </c>
      <c r="I2232" s="10">
        <f t="shared" si="136"/>
        <v>111.21</v>
      </c>
      <c r="J2232" s="11">
        <f>data!H2232</f>
        <v>3</v>
      </c>
      <c r="K2232" s="11">
        <f>data!J2232</f>
        <v>0</v>
      </c>
      <c r="L2232" s="11">
        <f t="shared" si="137"/>
        <v>3</v>
      </c>
      <c r="M2232" s="9" t="str">
        <f t="shared" si="138"/>
        <v/>
      </c>
      <c r="N2232" s="9" t="str">
        <f t="shared" si="139"/>
        <v/>
      </c>
    </row>
    <row r="2233" spans="1:14" x14ac:dyDescent="0.25">
      <c r="A2233" t="str">
        <f>TEXT("1/"&amp;data!A2233,"mmmm")</f>
        <v>août</v>
      </c>
      <c r="B2233">
        <f>data!B2233</f>
        <v>2016</v>
      </c>
      <c r="C2233" t="str">
        <f>data!C2233</f>
        <v>118</v>
      </c>
      <c r="D2233" t="str">
        <f>data!D2233</f>
        <v>ARMAGNAC DELORD</v>
      </c>
      <c r="E2233" t="str">
        <f>data!E2233</f>
        <v>118038</v>
      </c>
      <c r="F2233" t="str">
        <f>data!F2233</f>
        <v>ARMAGNAC RECOLTE 1967 ARIANE</v>
      </c>
      <c r="G2233" s="10">
        <f>data!G2233</f>
        <v>72.53</v>
      </c>
      <c r="H2233" s="10">
        <f>data!I2233</f>
        <v>0</v>
      </c>
      <c r="I2233" s="10">
        <f t="shared" si="136"/>
        <v>72.53</v>
      </c>
      <c r="J2233" s="11">
        <f>data!H2233</f>
        <v>1</v>
      </c>
      <c r="K2233" s="11">
        <f>data!J2233</f>
        <v>0</v>
      </c>
      <c r="L2233" s="11">
        <f t="shared" si="137"/>
        <v>1</v>
      </c>
      <c r="M2233" s="9" t="str">
        <f t="shared" si="138"/>
        <v/>
      </c>
      <c r="N2233" s="9" t="str">
        <f t="shared" si="139"/>
        <v/>
      </c>
    </row>
    <row r="2234" spans="1:14" x14ac:dyDescent="0.25">
      <c r="A2234" t="str">
        <f>TEXT("1/"&amp;data!A2234,"mmmm")</f>
        <v>août</v>
      </c>
      <c r="B2234">
        <f>data!B2234</f>
        <v>2016</v>
      </c>
      <c r="C2234" t="str">
        <f>data!C2234</f>
        <v>118</v>
      </c>
      <c r="D2234" t="str">
        <f>data!D2234</f>
        <v>ARMAGNAC DELORD</v>
      </c>
      <c r="E2234" t="str">
        <f>data!E2234</f>
        <v>118039</v>
      </c>
      <c r="F2234" t="str">
        <f>data!F2234</f>
        <v>ARMAGNAC RECOLTE 1966 ARIANE</v>
      </c>
      <c r="G2234" s="10">
        <f>data!G2234</f>
        <v>75.13</v>
      </c>
      <c r="H2234" s="10">
        <f>data!I2234</f>
        <v>0</v>
      </c>
      <c r="I2234" s="10">
        <f t="shared" si="136"/>
        <v>75.13</v>
      </c>
      <c r="J2234" s="11">
        <f>data!H2234</f>
        <v>1</v>
      </c>
      <c r="K2234" s="11">
        <f>data!J2234</f>
        <v>0</v>
      </c>
      <c r="L2234" s="11">
        <f t="shared" si="137"/>
        <v>1</v>
      </c>
      <c r="M2234" s="9" t="str">
        <f t="shared" si="138"/>
        <v/>
      </c>
      <c r="N2234" s="9" t="str">
        <f t="shared" si="139"/>
        <v/>
      </c>
    </row>
    <row r="2235" spans="1:14" x14ac:dyDescent="0.25">
      <c r="A2235" t="str">
        <f>TEXT("1/"&amp;data!A2235,"mmmm")</f>
        <v>août</v>
      </c>
      <c r="B2235">
        <f>data!B2235</f>
        <v>2016</v>
      </c>
      <c r="C2235" t="str">
        <f>data!C2235</f>
        <v>119</v>
      </c>
      <c r="D2235" t="str">
        <f>data!D2235</f>
        <v>DOMAINE DES HOMS</v>
      </c>
      <c r="E2235" t="str">
        <f>data!E2235</f>
        <v>119001</v>
      </c>
      <c r="F2235" t="str">
        <f>data!F2235</f>
        <v>AC MINERVOIS CUVEE PAUL D.DES HOMS</v>
      </c>
      <c r="G2235" s="10">
        <f>data!G2235</f>
        <v>1645.8</v>
      </c>
      <c r="H2235" s="10">
        <f>data!I2235</f>
        <v>0</v>
      </c>
      <c r="I2235" s="10">
        <f t="shared" si="136"/>
        <v>1645.8</v>
      </c>
      <c r="J2235" s="11">
        <f>data!H2235</f>
        <v>366</v>
      </c>
      <c r="K2235" s="11">
        <f>data!J2235</f>
        <v>0</v>
      </c>
      <c r="L2235" s="11">
        <f t="shared" si="137"/>
        <v>366</v>
      </c>
      <c r="M2235" s="9" t="str">
        <f t="shared" si="138"/>
        <v/>
      </c>
      <c r="N2235" s="9" t="str">
        <f t="shared" si="139"/>
        <v/>
      </c>
    </row>
    <row r="2236" spans="1:14" x14ac:dyDescent="0.25">
      <c r="A2236" t="str">
        <f>TEXT("1/"&amp;data!A2236,"mmmm")</f>
        <v>août</v>
      </c>
      <c r="B2236">
        <f>data!B2236</f>
        <v>2016</v>
      </c>
      <c r="C2236" t="str">
        <f>data!C2236</f>
        <v>119</v>
      </c>
      <c r="D2236" t="str">
        <f>data!D2236</f>
        <v>DOMAINE DES HOMS</v>
      </c>
      <c r="E2236" t="str">
        <f>data!E2236</f>
        <v>119002</v>
      </c>
      <c r="F2236" t="str">
        <f>data!F2236</f>
        <v>IGP OC CHARDONNAY</v>
      </c>
      <c r="G2236" s="10">
        <f>data!G2236</f>
        <v>43.2</v>
      </c>
      <c r="H2236" s="10">
        <f>data!I2236</f>
        <v>0</v>
      </c>
      <c r="I2236" s="10">
        <f t="shared" si="136"/>
        <v>43.2</v>
      </c>
      <c r="J2236" s="11">
        <f>data!H2236</f>
        <v>12</v>
      </c>
      <c r="K2236" s="11">
        <f>data!J2236</f>
        <v>0</v>
      </c>
      <c r="L2236" s="11">
        <f t="shared" si="137"/>
        <v>12</v>
      </c>
      <c r="M2236" s="9" t="str">
        <f t="shared" si="138"/>
        <v/>
      </c>
      <c r="N2236" s="9" t="str">
        <f t="shared" si="139"/>
        <v/>
      </c>
    </row>
    <row r="2237" spans="1:14" x14ac:dyDescent="0.25">
      <c r="A2237" t="str">
        <f>TEXT("1/"&amp;data!A2237,"mmmm")</f>
        <v>août</v>
      </c>
      <c r="B2237">
        <f>data!B2237</f>
        <v>2016</v>
      </c>
      <c r="C2237" t="str">
        <f>data!C2237</f>
        <v>124</v>
      </c>
      <c r="D2237" t="str">
        <f>data!D2237</f>
        <v>CHATEAU BECHEREAU</v>
      </c>
      <c r="E2237" t="str">
        <f>data!E2237</f>
        <v>124001</v>
      </c>
      <c r="F2237" t="str">
        <f>data!F2237</f>
        <v>AC M ST EMILION CH BECHEREAU</v>
      </c>
      <c r="G2237" s="10">
        <f>data!G2237</f>
        <v>702</v>
      </c>
      <c r="H2237" s="10">
        <f>data!I2237</f>
        <v>924</v>
      </c>
      <c r="I2237" s="10">
        <f t="shared" si="136"/>
        <v>-222</v>
      </c>
      <c r="J2237" s="11">
        <f>data!H2237</f>
        <v>156</v>
      </c>
      <c r="K2237" s="11">
        <f>data!J2237</f>
        <v>210</v>
      </c>
      <c r="L2237" s="11">
        <f t="shared" si="137"/>
        <v>-54</v>
      </c>
      <c r="M2237" s="9">
        <f t="shared" si="138"/>
        <v>-0.24025974025974026</v>
      </c>
      <c r="N2237" s="9">
        <f t="shared" si="139"/>
        <v>-0.25714285714285712</v>
      </c>
    </row>
    <row r="2238" spans="1:14" x14ac:dyDescent="0.25">
      <c r="A2238" t="str">
        <f>TEXT("1/"&amp;data!A2238,"mmmm")</f>
        <v>août</v>
      </c>
      <c r="B2238">
        <f>data!B2238</f>
        <v>2016</v>
      </c>
      <c r="C2238" t="str">
        <f>data!C2238</f>
        <v>124</v>
      </c>
      <c r="D2238" t="str">
        <f>data!D2238</f>
        <v>CHATEAU BECHEREAU</v>
      </c>
      <c r="E2238" t="str">
        <f>data!E2238</f>
        <v>124002</v>
      </c>
      <c r="F2238" t="str">
        <f>data!F2238</f>
        <v>AC BORDEAUX SUP TRADITION CH BECHEREAU</v>
      </c>
      <c r="G2238" s="10">
        <f>data!G2238</f>
        <v>99</v>
      </c>
      <c r="H2238" s="10">
        <f>data!I2238</f>
        <v>153.6</v>
      </c>
      <c r="I2238" s="10">
        <f t="shared" si="136"/>
        <v>-54.599999999999994</v>
      </c>
      <c r="J2238" s="11">
        <f>data!H2238</f>
        <v>30</v>
      </c>
      <c r="K2238" s="11">
        <f>data!J2238</f>
        <v>48</v>
      </c>
      <c r="L2238" s="11">
        <f t="shared" si="137"/>
        <v>-18</v>
      </c>
      <c r="M2238" s="9">
        <f t="shared" si="138"/>
        <v>-0.35546875</v>
      </c>
      <c r="N2238" s="9">
        <f t="shared" si="139"/>
        <v>-0.375</v>
      </c>
    </row>
    <row r="2239" spans="1:14" x14ac:dyDescent="0.25">
      <c r="A2239" t="str">
        <f>TEXT("1/"&amp;data!A2239,"mmmm")</f>
        <v>août</v>
      </c>
      <c r="B2239">
        <f>data!B2239</f>
        <v>2016</v>
      </c>
      <c r="C2239" t="str">
        <f>data!C2239</f>
        <v>124</v>
      </c>
      <c r="D2239" t="str">
        <f>data!D2239</f>
        <v>CHATEAU BECHEREAU</v>
      </c>
      <c r="E2239" t="str">
        <f>data!E2239</f>
        <v>124010</v>
      </c>
      <c r="F2239" t="str">
        <f>data!F2239</f>
        <v>AC LALANDE POMEROL BECH</v>
      </c>
      <c r="G2239" s="10">
        <f>data!G2239</f>
        <v>189</v>
      </c>
      <c r="H2239" s="10">
        <f>data!I2239</f>
        <v>260.39999999999998</v>
      </c>
      <c r="I2239" s="10">
        <f t="shared" si="136"/>
        <v>-71.399999999999977</v>
      </c>
      <c r="J2239" s="11">
        <f>data!H2239</f>
        <v>30</v>
      </c>
      <c r="K2239" s="11">
        <f>data!J2239</f>
        <v>42</v>
      </c>
      <c r="L2239" s="11">
        <f t="shared" si="137"/>
        <v>-12</v>
      </c>
      <c r="M2239" s="9">
        <f t="shared" si="138"/>
        <v>-0.2741935483870967</v>
      </c>
      <c r="N2239" s="9">
        <f t="shared" si="139"/>
        <v>-0.2857142857142857</v>
      </c>
    </row>
    <row r="2240" spans="1:14" x14ac:dyDescent="0.25">
      <c r="A2240" t="str">
        <f>TEXT("1/"&amp;data!A2240,"mmmm")</f>
        <v>août</v>
      </c>
      <c r="B2240">
        <f>data!B2240</f>
        <v>2016</v>
      </c>
      <c r="C2240" t="str">
        <f>data!C2240</f>
        <v>134</v>
      </c>
      <c r="D2240" t="str">
        <f>data!D2240</f>
        <v>DOMAINE GALEVAN</v>
      </c>
      <c r="E2240" t="str">
        <f>data!E2240</f>
        <v>134003</v>
      </c>
      <c r="F2240" t="str">
        <f>data!F2240</f>
        <v>IGP VAUCLUSE LE PUY SAINT MARTIN</v>
      </c>
      <c r="G2240" s="10">
        <f>data!G2240</f>
        <v>0</v>
      </c>
      <c r="H2240" s="10">
        <f>data!I2240</f>
        <v>0</v>
      </c>
      <c r="I2240" s="10">
        <f t="shared" si="136"/>
        <v>0</v>
      </c>
      <c r="J2240" s="11">
        <f>data!H2240</f>
        <v>6</v>
      </c>
      <c r="K2240" s="11">
        <f>data!J2240</f>
        <v>0</v>
      </c>
      <c r="L2240" s="11">
        <f t="shared" si="137"/>
        <v>6</v>
      </c>
      <c r="M2240" s="9" t="str">
        <f t="shared" si="138"/>
        <v/>
      </c>
      <c r="N2240" s="9" t="str">
        <f t="shared" si="139"/>
        <v/>
      </c>
    </row>
    <row r="2241" spans="1:14" x14ac:dyDescent="0.25">
      <c r="A2241" t="str">
        <f>TEXT("1/"&amp;data!A2241,"mmmm")</f>
        <v>août</v>
      </c>
      <c r="B2241">
        <f>data!B2241</f>
        <v>2016</v>
      </c>
      <c r="C2241" t="str">
        <f>data!C2241</f>
        <v>134</v>
      </c>
      <c r="D2241" t="str">
        <f>data!D2241</f>
        <v>DOMAINE GALEVAN</v>
      </c>
      <c r="E2241" t="str">
        <f>data!E2241</f>
        <v>134005</v>
      </c>
      <c r="F2241" t="str">
        <f>data!F2241</f>
        <v>AC C DU RHONE PAROLES DE FEMME</v>
      </c>
      <c r="G2241" s="10">
        <f>data!G2241</f>
        <v>1294.3800000000001</v>
      </c>
      <c r="H2241" s="10">
        <f>data!I2241</f>
        <v>1329</v>
      </c>
      <c r="I2241" s="10">
        <f t="shared" si="136"/>
        <v>-34.619999999999891</v>
      </c>
      <c r="J2241" s="11">
        <f>data!H2241</f>
        <v>282</v>
      </c>
      <c r="K2241" s="11">
        <f>data!J2241</f>
        <v>300</v>
      </c>
      <c r="L2241" s="11">
        <f t="shared" si="137"/>
        <v>-18</v>
      </c>
      <c r="M2241" s="9">
        <f t="shared" si="138"/>
        <v>-2.6049661399548452E-2</v>
      </c>
      <c r="N2241" s="9">
        <f t="shared" si="139"/>
        <v>-0.06</v>
      </c>
    </row>
    <row r="2242" spans="1:14" x14ac:dyDescent="0.25">
      <c r="A2242" t="str">
        <f>TEXT("1/"&amp;data!A2242,"mmmm")</f>
        <v>août</v>
      </c>
      <c r="B2242">
        <f>data!B2242</f>
        <v>2016</v>
      </c>
      <c r="C2242" t="str">
        <f>data!C2242</f>
        <v>137</v>
      </c>
      <c r="D2242" t="str">
        <f>data!D2242</f>
        <v>CHATEAU MAS DES CABRES</v>
      </c>
      <c r="E2242" t="str">
        <f>data!E2242</f>
        <v>137001</v>
      </c>
      <c r="F2242" t="str">
        <f>data!F2242</f>
        <v>AC CTX LANGUEDOC TERRES D'ASPERES M.DES CABRES</v>
      </c>
      <c r="G2242" s="10">
        <f>data!G2242</f>
        <v>1159.2</v>
      </c>
      <c r="H2242" s="10">
        <f>data!I2242</f>
        <v>969.9</v>
      </c>
      <c r="I2242" s="10">
        <f t="shared" si="136"/>
        <v>189.30000000000007</v>
      </c>
      <c r="J2242" s="11">
        <f>data!H2242</f>
        <v>414</v>
      </c>
      <c r="K2242" s="11">
        <f>data!J2242</f>
        <v>366</v>
      </c>
      <c r="L2242" s="11">
        <f t="shared" si="137"/>
        <v>48</v>
      </c>
      <c r="M2242" s="9">
        <f t="shared" si="138"/>
        <v>0.19517476028456548</v>
      </c>
      <c r="N2242" s="9">
        <f t="shared" si="139"/>
        <v>0.13114754098360656</v>
      </c>
    </row>
    <row r="2243" spans="1:14" x14ac:dyDescent="0.25">
      <c r="A2243" t="str">
        <f>TEXT("1/"&amp;data!A2243,"mmmm")</f>
        <v>août</v>
      </c>
      <c r="B2243">
        <f>data!B2243</f>
        <v>2016</v>
      </c>
      <c r="C2243" t="str">
        <f>data!C2243</f>
        <v>137</v>
      </c>
      <c r="D2243" t="str">
        <f>data!D2243</f>
        <v>CHATEAU MAS DES CABRES</v>
      </c>
      <c r="E2243" t="str">
        <f>data!E2243</f>
        <v>137003</v>
      </c>
      <c r="F2243" t="str">
        <f>data!F2243</f>
        <v>AC CTX DU LANGUEDOC LA DRAILLE</v>
      </c>
      <c r="G2243" s="10">
        <f>data!G2243</f>
        <v>118.8</v>
      </c>
      <c r="H2243" s="10">
        <f>data!I2243</f>
        <v>86.4</v>
      </c>
      <c r="I2243" s="10">
        <f t="shared" ref="I2243:I2306" si="140">G2243-H2243</f>
        <v>32.399999999999991</v>
      </c>
      <c r="J2243" s="11">
        <f>data!H2243</f>
        <v>24</v>
      </c>
      <c r="K2243" s="11">
        <f>data!J2243</f>
        <v>18</v>
      </c>
      <c r="L2243" s="11">
        <f t="shared" ref="L2243:L2306" si="141">J2243-K2243</f>
        <v>6</v>
      </c>
      <c r="M2243" s="9">
        <f t="shared" ref="M2243:M2306" si="142">IF(ISERR(I2243/H2243),"",I2243/H2243)</f>
        <v>0.37499999999999989</v>
      </c>
      <c r="N2243" s="9">
        <f t="shared" ref="N2243:N2306" si="143">IF(ISERR(L2243/K2243),"",L2243/K2243)</f>
        <v>0.33333333333333331</v>
      </c>
    </row>
    <row r="2244" spans="1:14" x14ac:dyDescent="0.25">
      <c r="A2244" t="str">
        <f>TEXT("1/"&amp;data!A2244,"mmmm")</f>
        <v>août</v>
      </c>
      <c r="B2244">
        <f>data!B2244</f>
        <v>2016</v>
      </c>
      <c r="C2244" t="str">
        <f>data!C2244</f>
        <v>140</v>
      </c>
      <c r="D2244" t="str">
        <f>data!D2244</f>
        <v>PHILIPPE GAULTIER</v>
      </c>
      <c r="E2244" t="str">
        <f>data!E2244</f>
        <v>140001</v>
      </c>
      <c r="F2244" t="str">
        <f>data!F2244</f>
        <v>AC VOUVRAY M.TRAD.BR C.DES AUMONES</v>
      </c>
      <c r="G2244" s="10">
        <f>data!G2244</f>
        <v>645</v>
      </c>
      <c r="H2244" s="10">
        <f>data!I2244</f>
        <v>705.6</v>
      </c>
      <c r="I2244" s="10">
        <f t="shared" si="140"/>
        <v>-60.600000000000023</v>
      </c>
      <c r="J2244" s="11">
        <f>data!H2244</f>
        <v>150</v>
      </c>
      <c r="K2244" s="11">
        <f>data!J2244</f>
        <v>174</v>
      </c>
      <c r="L2244" s="11">
        <f t="shared" si="141"/>
        <v>-24</v>
      </c>
      <c r="M2244" s="9">
        <f t="shared" si="142"/>
        <v>-8.5884353741496625E-2</v>
      </c>
      <c r="N2244" s="9">
        <f t="shared" si="143"/>
        <v>-0.13793103448275862</v>
      </c>
    </row>
    <row r="2245" spans="1:14" x14ac:dyDescent="0.25">
      <c r="A2245" t="str">
        <f>TEXT("1/"&amp;data!A2245,"mmmm")</f>
        <v>août</v>
      </c>
      <c r="B2245">
        <f>data!B2245</f>
        <v>2016</v>
      </c>
      <c r="C2245" t="str">
        <f>data!C2245</f>
        <v>143</v>
      </c>
      <c r="D2245" t="str">
        <f>data!D2245</f>
        <v>DOMAINE DE VILLARGEAU</v>
      </c>
      <c r="E2245" t="str">
        <f>data!E2245</f>
        <v>143001</v>
      </c>
      <c r="F2245" t="str">
        <f>data!F2245</f>
        <v>AC CX DU GIENNOIS G.THIEBAULT</v>
      </c>
      <c r="G2245" s="10">
        <f>data!G2245</f>
        <v>168</v>
      </c>
      <c r="H2245" s="10">
        <f>data!I2245</f>
        <v>117</v>
      </c>
      <c r="I2245" s="10">
        <f t="shared" si="140"/>
        <v>51</v>
      </c>
      <c r="J2245" s="11">
        <f>data!H2245</f>
        <v>42</v>
      </c>
      <c r="K2245" s="11">
        <f>data!J2245</f>
        <v>30</v>
      </c>
      <c r="L2245" s="11">
        <f t="shared" si="141"/>
        <v>12</v>
      </c>
      <c r="M2245" s="9">
        <f t="shared" si="142"/>
        <v>0.4358974358974359</v>
      </c>
      <c r="N2245" s="9">
        <f t="shared" si="143"/>
        <v>0.4</v>
      </c>
    </row>
    <row r="2246" spans="1:14" x14ac:dyDescent="0.25">
      <c r="A2246" t="str">
        <f>TEXT("1/"&amp;data!A2246,"mmmm")</f>
        <v>août</v>
      </c>
      <c r="B2246">
        <f>data!B2246</f>
        <v>2016</v>
      </c>
      <c r="C2246" t="str">
        <f>data!C2246</f>
        <v>143</v>
      </c>
      <c r="D2246" t="str">
        <f>data!D2246</f>
        <v>DOMAINE DE VILLARGEAU</v>
      </c>
      <c r="E2246" t="str">
        <f>data!E2246</f>
        <v>143002</v>
      </c>
      <c r="F2246" t="str">
        <f>data!F2246</f>
        <v>AC CX DU GIENNOIS G.THIEBAULT</v>
      </c>
      <c r="G2246" s="10">
        <f>data!G2246</f>
        <v>768</v>
      </c>
      <c r="H2246" s="10">
        <f>data!I2246</f>
        <v>140.4</v>
      </c>
      <c r="I2246" s="10">
        <f t="shared" si="140"/>
        <v>627.6</v>
      </c>
      <c r="J2246" s="11">
        <f>data!H2246</f>
        <v>192</v>
      </c>
      <c r="K2246" s="11">
        <f>data!J2246</f>
        <v>36</v>
      </c>
      <c r="L2246" s="11">
        <f t="shared" si="141"/>
        <v>156</v>
      </c>
      <c r="M2246" s="9">
        <f t="shared" si="142"/>
        <v>4.4700854700854702</v>
      </c>
      <c r="N2246" s="9">
        <f t="shared" si="143"/>
        <v>4.333333333333333</v>
      </c>
    </row>
    <row r="2247" spans="1:14" x14ac:dyDescent="0.25">
      <c r="A2247" t="str">
        <f>TEXT("1/"&amp;data!A2247,"mmmm")</f>
        <v>août</v>
      </c>
      <c r="B2247">
        <f>data!B2247</f>
        <v>2016</v>
      </c>
      <c r="C2247" t="str">
        <f>data!C2247</f>
        <v>153</v>
      </c>
      <c r="D2247" t="str">
        <f>data!D2247</f>
        <v>SARL GARNIER ET FILS</v>
      </c>
      <c r="E2247" t="str">
        <f>data!E2247</f>
        <v>153001</v>
      </c>
      <c r="F2247" t="str">
        <f>data!F2247</f>
        <v>AC PETIT CHABLIS D.GARNIER</v>
      </c>
      <c r="G2247" s="10">
        <f>data!G2247</f>
        <v>417.6</v>
      </c>
      <c r="H2247" s="10">
        <f>data!I2247</f>
        <v>644.1</v>
      </c>
      <c r="I2247" s="10">
        <f t="shared" si="140"/>
        <v>-226.5</v>
      </c>
      <c r="J2247" s="11">
        <f>data!H2247</f>
        <v>72</v>
      </c>
      <c r="K2247" s="11">
        <f>data!J2247</f>
        <v>120</v>
      </c>
      <c r="L2247" s="11">
        <f t="shared" si="141"/>
        <v>-48</v>
      </c>
      <c r="M2247" s="9">
        <f t="shared" si="142"/>
        <v>-0.35165346995808106</v>
      </c>
      <c r="N2247" s="9">
        <f t="shared" si="143"/>
        <v>-0.4</v>
      </c>
    </row>
    <row r="2248" spans="1:14" x14ac:dyDescent="0.25">
      <c r="A2248" t="str">
        <f>TEXT("1/"&amp;data!A2248,"mmmm")</f>
        <v>août</v>
      </c>
      <c r="B2248">
        <f>data!B2248</f>
        <v>2016</v>
      </c>
      <c r="C2248" t="str">
        <f>data!C2248</f>
        <v>153</v>
      </c>
      <c r="D2248" t="str">
        <f>data!D2248</f>
        <v>SARL GARNIER ET FILS</v>
      </c>
      <c r="E2248" t="str">
        <f>data!E2248</f>
        <v>153003</v>
      </c>
      <c r="F2248" t="str">
        <f>data!F2248</f>
        <v>AC CHABLIS DME GARNIER</v>
      </c>
      <c r="G2248" s="10">
        <f>data!G2248</f>
        <v>1283.4000000000001</v>
      </c>
      <c r="H2248" s="10">
        <f>data!I2248</f>
        <v>2130.6</v>
      </c>
      <c r="I2248" s="10">
        <f t="shared" si="140"/>
        <v>-847.19999999999982</v>
      </c>
      <c r="J2248" s="11">
        <f>data!H2248</f>
        <v>186</v>
      </c>
      <c r="K2248" s="11">
        <f>data!J2248</f>
        <v>324</v>
      </c>
      <c r="L2248" s="11">
        <f t="shared" si="141"/>
        <v>-138</v>
      </c>
      <c r="M2248" s="9">
        <f t="shared" si="142"/>
        <v>-0.39763446916361583</v>
      </c>
      <c r="N2248" s="9">
        <f t="shared" si="143"/>
        <v>-0.42592592592592593</v>
      </c>
    </row>
    <row r="2249" spans="1:14" x14ac:dyDescent="0.25">
      <c r="A2249" t="str">
        <f>TEXT("1/"&amp;data!A2249,"mmmm")</f>
        <v>août</v>
      </c>
      <c r="B2249">
        <f>data!B2249</f>
        <v>2016</v>
      </c>
      <c r="C2249" t="str">
        <f>data!C2249</f>
        <v>153</v>
      </c>
      <c r="D2249" t="str">
        <f>data!D2249</f>
        <v>SARL GARNIER ET FILS</v>
      </c>
      <c r="E2249" t="str">
        <f>data!E2249</f>
        <v>153004</v>
      </c>
      <c r="F2249" t="str">
        <f>data!F2249</f>
        <v>AC CHABLIS DME GARNIER</v>
      </c>
      <c r="G2249" s="10">
        <f>data!G2249</f>
        <v>142.19999999999999</v>
      </c>
      <c r="H2249" s="10">
        <f>data!I2249</f>
        <v>554.4</v>
      </c>
      <c r="I2249" s="10">
        <f t="shared" si="140"/>
        <v>-412.2</v>
      </c>
      <c r="J2249" s="11">
        <f>data!H2249</f>
        <v>18</v>
      </c>
      <c r="K2249" s="11">
        <f>data!J2249</f>
        <v>72</v>
      </c>
      <c r="L2249" s="11">
        <f t="shared" si="141"/>
        <v>-54</v>
      </c>
      <c r="M2249" s="9">
        <f t="shared" si="142"/>
        <v>-0.74350649350649356</v>
      </c>
      <c r="N2249" s="9">
        <f t="shared" si="143"/>
        <v>-0.75</v>
      </c>
    </row>
    <row r="2250" spans="1:14" x14ac:dyDescent="0.25">
      <c r="A2250" t="str">
        <f>TEXT("1/"&amp;data!A2250,"mmmm")</f>
        <v>août</v>
      </c>
      <c r="B2250">
        <f>data!B2250</f>
        <v>2016</v>
      </c>
      <c r="C2250" t="str">
        <f>data!C2250</f>
        <v>153</v>
      </c>
      <c r="D2250" t="str">
        <f>data!D2250</f>
        <v>SARL GARNIER ET FILS</v>
      </c>
      <c r="E2250" t="str">
        <f>data!E2250</f>
        <v>153005</v>
      </c>
      <c r="F2250" t="str">
        <f>data!F2250</f>
        <v>AC CHABLIS 1ER CRU MT DE MILIEU</v>
      </c>
      <c r="G2250" s="10">
        <f>data!G2250</f>
        <v>453.6</v>
      </c>
      <c r="H2250" s="10">
        <f>data!I2250</f>
        <v>62.1</v>
      </c>
      <c r="I2250" s="10">
        <f t="shared" si="140"/>
        <v>391.5</v>
      </c>
      <c r="J2250" s="11">
        <f>data!H2250</f>
        <v>42</v>
      </c>
      <c r="K2250" s="11">
        <f>data!J2250</f>
        <v>6</v>
      </c>
      <c r="L2250" s="11">
        <f t="shared" si="141"/>
        <v>36</v>
      </c>
      <c r="M2250" s="9">
        <f t="shared" si="142"/>
        <v>6.3043478260869561</v>
      </c>
      <c r="N2250" s="9">
        <f t="shared" si="143"/>
        <v>6</v>
      </c>
    </row>
    <row r="2251" spans="1:14" x14ac:dyDescent="0.25">
      <c r="A2251" t="str">
        <f>TEXT("1/"&amp;data!A2251,"mmmm")</f>
        <v>août</v>
      </c>
      <c r="B2251">
        <f>data!B2251</f>
        <v>2016</v>
      </c>
      <c r="C2251" t="str">
        <f>data!C2251</f>
        <v>153</v>
      </c>
      <c r="D2251" t="str">
        <f>data!D2251</f>
        <v>SARL GARNIER ET FILS</v>
      </c>
      <c r="E2251" t="str">
        <f>data!E2251</f>
        <v>153012</v>
      </c>
      <c r="F2251" t="str">
        <f>data!F2251</f>
        <v>BOURGOGNE EPINEUIL PINOT NOIR GARNIER</v>
      </c>
      <c r="G2251" s="10">
        <f>data!G2251</f>
        <v>712.8</v>
      </c>
      <c r="H2251" s="10">
        <f>data!I2251</f>
        <v>0</v>
      </c>
      <c r="I2251" s="10">
        <f t="shared" si="140"/>
        <v>712.8</v>
      </c>
      <c r="J2251" s="11">
        <f>data!H2251</f>
        <v>108</v>
      </c>
      <c r="K2251" s="11">
        <f>data!J2251</f>
        <v>0</v>
      </c>
      <c r="L2251" s="11">
        <f t="shared" si="141"/>
        <v>108</v>
      </c>
      <c r="M2251" s="9" t="str">
        <f t="shared" si="142"/>
        <v/>
      </c>
      <c r="N2251" s="9" t="str">
        <f t="shared" si="143"/>
        <v/>
      </c>
    </row>
    <row r="2252" spans="1:14" x14ac:dyDescent="0.25">
      <c r="A2252" t="str">
        <f>TEXT("1/"&amp;data!A2252,"mmmm")</f>
        <v>août</v>
      </c>
      <c r="B2252">
        <f>data!B2252</f>
        <v>2016</v>
      </c>
      <c r="C2252" t="str">
        <f>data!C2252</f>
        <v>157</v>
      </c>
      <c r="D2252" t="str">
        <f>data!D2252</f>
        <v>DOMAINE DE LA FOLIETTE</v>
      </c>
      <c r="E2252" t="str">
        <f>data!E2252</f>
        <v>157001</v>
      </c>
      <c r="F2252" t="str">
        <f>data!F2252</f>
        <v>AC MUSCADET S&amp;MAINE/LIE FOLIETTES</v>
      </c>
      <c r="G2252" s="10">
        <f>data!G2252</f>
        <v>494.1</v>
      </c>
      <c r="H2252" s="10">
        <f>data!I2252</f>
        <v>354</v>
      </c>
      <c r="I2252" s="10">
        <f t="shared" si="140"/>
        <v>140.10000000000002</v>
      </c>
      <c r="J2252" s="11">
        <f>data!H2252</f>
        <v>162</v>
      </c>
      <c r="K2252" s="11">
        <f>data!J2252</f>
        <v>120</v>
      </c>
      <c r="L2252" s="11">
        <f t="shared" si="141"/>
        <v>42</v>
      </c>
      <c r="M2252" s="9">
        <f t="shared" si="142"/>
        <v>0.39576271186440687</v>
      </c>
      <c r="N2252" s="9">
        <f t="shared" si="143"/>
        <v>0.35</v>
      </c>
    </row>
    <row r="2253" spans="1:14" x14ac:dyDescent="0.25">
      <c r="A2253" t="str">
        <f>TEXT("1/"&amp;data!A2253,"mmmm")</f>
        <v>août</v>
      </c>
      <c r="B2253">
        <f>data!B2253</f>
        <v>2016</v>
      </c>
      <c r="C2253" t="str">
        <f>data!C2253</f>
        <v>162</v>
      </c>
      <c r="D2253" t="str">
        <f>data!D2253</f>
        <v>CHATEAU JOUCLARY</v>
      </c>
      <c r="E2253" t="str">
        <f>data!E2253</f>
        <v>162001</v>
      </c>
      <c r="F2253" t="str">
        <f>data!F2253</f>
        <v>AC CABARDES CH JOUCLARY</v>
      </c>
      <c r="G2253" s="10">
        <f>data!G2253</f>
        <v>1096.2</v>
      </c>
      <c r="H2253" s="10">
        <f>data!I2253</f>
        <v>2116.8000000000002</v>
      </c>
      <c r="I2253" s="10">
        <f t="shared" si="140"/>
        <v>-1020.6000000000001</v>
      </c>
      <c r="J2253" s="11">
        <f>data!H2253</f>
        <v>378</v>
      </c>
      <c r="K2253" s="11">
        <f>data!J2253</f>
        <v>756</v>
      </c>
      <c r="L2253" s="11">
        <f t="shared" si="141"/>
        <v>-378</v>
      </c>
      <c r="M2253" s="9">
        <f t="shared" si="142"/>
        <v>-0.48214285714285715</v>
      </c>
      <c r="N2253" s="9">
        <f t="shared" si="143"/>
        <v>-0.5</v>
      </c>
    </row>
    <row r="2254" spans="1:14" x14ac:dyDescent="0.25">
      <c r="A2254" t="str">
        <f>TEXT("1/"&amp;data!A2254,"mmmm")</f>
        <v>août</v>
      </c>
      <c r="B2254">
        <f>data!B2254</f>
        <v>2016</v>
      </c>
      <c r="C2254" t="str">
        <f>data!C2254</f>
        <v>162</v>
      </c>
      <c r="D2254" t="str">
        <f>data!D2254</f>
        <v>CHATEAU JOUCLARY</v>
      </c>
      <c r="E2254" t="str">
        <f>data!E2254</f>
        <v>162002</v>
      </c>
      <c r="F2254" t="str">
        <f>data!F2254</f>
        <v>AC CABARDES JOUCLARY CUVEE AMANDIERS</v>
      </c>
      <c r="G2254" s="10">
        <f>data!G2254</f>
        <v>154.80000000000001</v>
      </c>
      <c r="H2254" s="10">
        <f>data!I2254</f>
        <v>216</v>
      </c>
      <c r="I2254" s="10">
        <f t="shared" si="140"/>
        <v>-61.199999999999989</v>
      </c>
      <c r="J2254" s="11">
        <f>data!H2254</f>
        <v>36</v>
      </c>
      <c r="K2254" s="11">
        <f>data!J2254</f>
        <v>54</v>
      </c>
      <c r="L2254" s="11">
        <f t="shared" si="141"/>
        <v>-18</v>
      </c>
      <c r="M2254" s="9">
        <f t="shared" si="142"/>
        <v>-0.28333333333333327</v>
      </c>
      <c r="N2254" s="9">
        <f t="shared" si="143"/>
        <v>-0.33333333333333331</v>
      </c>
    </row>
    <row r="2255" spans="1:14" x14ac:dyDescent="0.25">
      <c r="A2255" t="str">
        <f>TEXT("1/"&amp;data!A2255,"mmmm")</f>
        <v>août</v>
      </c>
      <c r="B2255">
        <f>data!B2255</f>
        <v>2016</v>
      </c>
      <c r="C2255" t="str">
        <f>data!C2255</f>
        <v>162</v>
      </c>
      <c r="D2255" t="str">
        <f>data!D2255</f>
        <v>CHATEAU JOUCLARY</v>
      </c>
      <c r="E2255" t="str">
        <f>data!E2255</f>
        <v>162003</v>
      </c>
      <c r="F2255" t="str">
        <f>data!F2255</f>
        <v>AOP CABARDES JOUCLARY</v>
      </c>
      <c r="G2255" s="10">
        <f>data!G2255</f>
        <v>69.599999999999994</v>
      </c>
      <c r="H2255" s="10">
        <f>data!I2255</f>
        <v>100.8</v>
      </c>
      <c r="I2255" s="10">
        <f t="shared" si="140"/>
        <v>-31.200000000000003</v>
      </c>
      <c r="J2255" s="11">
        <f>data!H2255</f>
        <v>24</v>
      </c>
      <c r="K2255" s="11">
        <f>data!J2255</f>
        <v>36</v>
      </c>
      <c r="L2255" s="11">
        <f t="shared" si="141"/>
        <v>-12</v>
      </c>
      <c r="M2255" s="9">
        <f t="shared" si="142"/>
        <v>-0.30952380952380953</v>
      </c>
      <c r="N2255" s="9">
        <f t="shared" si="143"/>
        <v>-0.33333333333333331</v>
      </c>
    </row>
    <row r="2256" spans="1:14" x14ac:dyDescent="0.25">
      <c r="A2256" t="str">
        <f>TEXT("1/"&amp;data!A2256,"mmmm")</f>
        <v>août</v>
      </c>
      <c r="B2256">
        <f>data!B2256</f>
        <v>2016</v>
      </c>
      <c r="C2256" t="str">
        <f>data!C2256</f>
        <v>164</v>
      </c>
      <c r="D2256" t="str">
        <f>data!D2256</f>
        <v>CHATEAU JUPILLE</v>
      </c>
      <c r="E2256" t="str">
        <f>data!E2256</f>
        <v>164002</v>
      </c>
      <c r="F2256" t="str">
        <f>data!F2256</f>
        <v>AC ST EMILION CH JUPILLE CARILLON</v>
      </c>
      <c r="G2256" s="10">
        <f>data!G2256</f>
        <v>831.6</v>
      </c>
      <c r="H2256" s="10">
        <f>data!I2256</f>
        <v>0</v>
      </c>
      <c r="I2256" s="10">
        <f t="shared" si="140"/>
        <v>831.6</v>
      </c>
      <c r="J2256" s="11">
        <f>data!H2256</f>
        <v>126</v>
      </c>
      <c r="K2256" s="11">
        <f>data!J2256</f>
        <v>0</v>
      </c>
      <c r="L2256" s="11">
        <f t="shared" si="141"/>
        <v>126</v>
      </c>
      <c r="M2256" s="9" t="str">
        <f t="shared" si="142"/>
        <v/>
      </c>
      <c r="N2256" s="9" t="str">
        <f t="shared" si="143"/>
        <v/>
      </c>
    </row>
    <row r="2257" spans="1:14" x14ac:dyDescent="0.25">
      <c r="A2257" t="str">
        <f>TEXT("1/"&amp;data!A2257,"mmmm")</f>
        <v>août</v>
      </c>
      <c r="B2257">
        <f>data!B2257</f>
        <v>2016</v>
      </c>
      <c r="C2257" t="str">
        <f>data!C2257</f>
        <v>164</v>
      </c>
      <c r="D2257" t="str">
        <f>data!D2257</f>
        <v>CHATEAU JUPILLE</v>
      </c>
      <c r="E2257" t="str">
        <f>data!E2257</f>
        <v>164010</v>
      </c>
      <c r="F2257" t="str">
        <f>data!F2257</f>
        <v>AOP SAINT EMILION JUPILLE CARILLON</v>
      </c>
      <c r="G2257" s="10">
        <f>data!G2257</f>
        <v>190</v>
      </c>
      <c r="H2257" s="10">
        <f>data!I2257</f>
        <v>38</v>
      </c>
      <c r="I2257" s="10">
        <f t="shared" si="140"/>
        <v>152</v>
      </c>
      <c r="J2257" s="11">
        <f>data!H2257</f>
        <v>66.7</v>
      </c>
      <c r="K2257" s="11">
        <f>data!J2257</f>
        <v>13.34</v>
      </c>
      <c r="L2257" s="11">
        <f t="shared" si="141"/>
        <v>53.36</v>
      </c>
      <c r="M2257" s="9">
        <f t="shared" si="142"/>
        <v>4</v>
      </c>
      <c r="N2257" s="9">
        <f t="shared" si="143"/>
        <v>4</v>
      </c>
    </row>
    <row r="2258" spans="1:14" x14ac:dyDescent="0.25">
      <c r="A2258" t="str">
        <f>TEXT("1/"&amp;data!A2258,"mmmm")</f>
        <v>août</v>
      </c>
      <c r="B2258">
        <f>data!B2258</f>
        <v>2016</v>
      </c>
      <c r="C2258" t="str">
        <f>data!C2258</f>
        <v>168</v>
      </c>
      <c r="D2258" t="str">
        <f>data!D2258</f>
        <v>CHATEAU LA ROSE SARRON</v>
      </c>
      <c r="E2258" t="str">
        <f>data!E2258</f>
        <v>168001</v>
      </c>
      <c r="F2258" t="str">
        <f>data!F2258</f>
        <v>AC GRAVES CH LA ROSE SARRON</v>
      </c>
      <c r="G2258" s="10">
        <f>data!G2258</f>
        <v>660.1</v>
      </c>
      <c r="H2258" s="10">
        <f>data!I2258</f>
        <v>816</v>
      </c>
      <c r="I2258" s="10">
        <f t="shared" si="140"/>
        <v>-155.89999999999998</v>
      </c>
      <c r="J2258" s="11">
        <f>data!H2258</f>
        <v>162</v>
      </c>
      <c r="K2258" s="11">
        <f>data!J2258</f>
        <v>204</v>
      </c>
      <c r="L2258" s="11">
        <f t="shared" si="141"/>
        <v>-42</v>
      </c>
      <c r="M2258" s="9">
        <f t="shared" si="142"/>
        <v>-0.19105392156862741</v>
      </c>
      <c r="N2258" s="9">
        <f t="shared" si="143"/>
        <v>-0.20588235294117646</v>
      </c>
    </row>
    <row r="2259" spans="1:14" x14ac:dyDescent="0.25">
      <c r="A2259" t="str">
        <f>TEXT("1/"&amp;data!A2259,"mmmm")</f>
        <v>août</v>
      </c>
      <c r="B2259">
        <f>data!B2259</f>
        <v>2016</v>
      </c>
      <c r="C2259" t="str">
        <f>data!C2259</f>
        <v>168</v>
      </c>
      <c r="D2259" t="str">
        <f>data!D2259</f>
        <v>CHATEAU LA ROSE SARRON</v>
      </c>
      <c r="E2259" t="str">
        <f>data!E2259</f>
        <v>168002</v>
      </c>
      <c r="F2259" t="str">
        <f>data!F2259</f>
        <v>AC GRAVES CH. LA ROSE SARRON</v>
      </c>
      <c r="G2259" s="10">
        <f>data!G2259</f>
        <v>37.950000000000003</v>
      </c>
      <c r="H2259" s="10">
        <f>data!I2259</f>
        <v>140.69999999999999</v>
      </c>
      <c r="I2259" s="10">
        <f t="shared" si="140"/>
        <v>-102.74999999999999</v>
      </c>
      <c r="J2259" s="11">
        <f>data!H2259</f>
        <v>12</v>
      </c>
      <c r="K2259" s="11">
        <f>data!J2259</f>
        <v>42</v>
      </c>
      <c r="L2259" s="11">
        <f t="shared" si="141"/>
        <v>-30</v>
      </c>
      <c r="M2259" s="9">
        <f t="shared" si="142"/>
        <v>-0.73027718550106602</v>
      </c>
      <c r="N2259" s="9">
        <f t="shared" si="143"/>
        <v>-0.7142857142857143</v>
      </c>
    </row>
    <row r="2260" spans="1:14" x14ac:dyDescent="0.25">
      <c r="A2260" t="str">
        <f>TEXT("1/"&amp;data!A2260,"mmmm")</f>
        <v>août</v>
      </c>
      <c r="B2260">
        <f>data!B2260</f>
        <v>2016</v>
      </c>
      <c r="C2260" t="str">
        <f>data!C2260</f>
        <v>168</v>
      </c>
      <c r="D2260" t="str">
        <f>data!D2260</f>
        <v>CHATEAU LA ROSE SARRON</v>
      </c>
      <c r="E2260" t="str">
        <f>data!E2260</f>
        <v>168003</v>
      </c>
      <c r="F2260" t="str">
        <f>data!F2260</f>
        <v>AOP GRAVES LA ROSE SARRON</v>
      </c>
      <c r="G2260" s="10">
        <f>data!G2260</f>
        <v>63.84</v>
      </c>
      <c r="H2260" s="10">
        <f>data!I2260</f>
        <v>0</v>
      </c>
      <c r="I2260" s="10">
        <f t="shared" si="140"/>
        <v>63.84</v>
      </c>
      <c r="J2260" s="11">
        <f>data!H2260</f>
        <v>12</v>
      </c>
      <c r="K2260" s="11">
        <f>data!J2260</f>
        <v>0</v>
      </c>
      <c r="L2260" s="11">
        <f t="shared" si="141"/>
        <v>12</v>
      </c>
      <c r="M2260" s="9" t="str">
        <f t="shared" si="142"/>
        <v/>
      </c>
      <c r="N2260" s="9" t="str">
        <f t="shared" si="143"/>
        <v/>
      </c>
    </row>
    <row r="2261" spans="1:14" x14ac:dyDescent="0.25">
      <c r="A2261" t="str">
        <f>TEXT("1/"&amp;data!A2261,"mmmm")</f>
        <v>août</v>
      </c>
      <c r="B2261">
        <f>data!B2261</f>
        <v>2016</v>
      </c>
      <c r="C2261" t="str">
        <f>data!C2261</f>
        <v>169</v>
      </c>
      <c r="D2261" t="str">
        <f>data!D2261</f>
        <v>CHATEAU PERREAU BEL AIR</v>
      </c>
      <c r="E2261" t="str">
        <f>data!E2261</f>
        <v>169001</v>
      </c>
      <c r="F2261" t="str">
        <f>data!F2261</f>
        <v>AC COTES DE CASTILLON CH PERREAU BEL AIR</v>
      </c>
      <c r="G2261" s="10">
        <f>data!G2261</f>
        <v>407.1</v>
      </c>
      <c r="H2261" s="10">
        <f>data!I2261</f>
        <v>1218</v>
      </c>
      <c r="I2261" s="10">
        <f t="shared" si="140"/>
        <v>-810.9</v>
      </c>
      <c r="J2261" s="11">
        <f>data!H2261</f>
        <v>138</v>
      </c>
      <c r="K2261" s="11">
        <f>data!J2261</f>
        <v>420</v>
      </c>
      <c r="L2261" s="11">
        <f t="shared" si="141"/>
        <v>-282</v>
      </c>
      <c r="M2261" s="9">
        <f t="shared" si="142"/>
        <v>-0.66576354679802952</v>
      </c>
      <c r="N2261" s="9">
        <f t="shared" si="143"/>
        <v>-0.67142857142857137</v>
      </c>
    </row>
    <row r="2262" spans="1:14" x14ac:dyDescent="0.25">
      <c r="A2262" t="str">
        <f>TEXT("1/"&amp;data!A2262,"mmmm")</f>
        <v>août</v>
      </c>
      <c r="B2262">
        <f>data!B2262</f>
        <v>2016</v>
      </c>
      <c r="C2262" t="str">
        <f>data!C2262</f>
        <v>169</v>
      </c>
      <c r="D2262" t="str">
        <f>data!D2262</f>
        <v>CHATEAU PERREAU BEL AIR</v>
      </c>
      <c r="E2262" t="str">
        <f>data!E2262</f>
        <v>169002</v>
      </c>
      <c r="F2262" t="str">
        <f>data!F2262</f>
        <v>AC BORDEAUX SUPERIEUR CHATEAU MESSAYA</v>
      </c>
      <c r="G2262" s="10">
        <f>data!G2262</f>
        <v>1037.4000000000001</v>
      </c>
      <c r="H2262" s="10">
        <f>data!I2262</f>
        <v>580.79999999999995</v>
      </c>
      <c r="I2262" s="10">
        <f t="shared" si="140"/>
        <v>456.60000000000014</v>
      </c>
      <c r="J2262" s="11">
        <f>data!H2262</f>
        <v>420</v>
      </c>
      <c r="K2262" s="11">
        <f>data!J2262</f>
        <v>240</v>
      </c>
      <c r="L2262" s="11">
        <f t="shared" si="141"/>
        <v>180</v>
      </c>
      <c r="M2262" s="9">
        <f t="shared" si="142"/>
        <v>0.78615702479338878</v>
      </c>
      <c r="N2262" s="9">
        <f t="shared" si="143"/>
        <v>0.75</v>
      </c>
    </row>
    <row r="2263" spans="1:14" x14ac:dyDescent="0.25">
      <c r="A2263" t="str">
        <f>TEXT("1/"&amp;data!A2263,"mmmm")</f>
        <v>août</v>
      </c>
      <c r="B2263">
        <f>data!B2263</f>
        <v>2016</v>
      </c>
      <c r="C2263" t="str">
        <f>data!C2263</f>
        <v>169</v>
      </c>
      <c r="D2263" t="str">
        <f>data!D2263</f>
        <v>CHATEAU PERREAU BEL AIR</v>
      </c>
      <c r="E2263" t="str">
        <f>data!E2263</f>
        <v>169003CB</v>
      </c>
      <c r="F2263" t="str">
        <f>data!F2263</f>
        <v>AOP COTES DE CASTILLON HARMONIE</v>
      </c>
      <c r="G2263" s="10">
        <f>data!G2263</f>
        <v>83.76</v>
      </c>
      <c r="H2263" s="10">
        <f>data!I2263</f>
        <v>0</v>
      </c>
      <c r="I2263" s="10">
        <f t="shared" si="140"/>
        <v>83.76</v>
      </c>
      <c r="J2263" s="11">
        <f>data!H2263</f>
        <v>12</v>
      </c>
      <c r="K2263" s="11">
        <f>data!J2263</f>
        <v>0</v>
      </c>
      <c r="L2263" s="11">
        <f t="shared" si="141"/>
        <v>12</v>
      </c>
      <c r="M2263" s="9" t="str">
        <f t="shared" si="142"/>
        <v/>
      </c>
      <c r="N2263" s="9" t="str">
        <f t="shared" si="143"/>
        <v/>
      </c>
    </row>
    <row r="2264" spans="1:14" x14ac:dyDescent="0.25">
      <c r="A2264" t="str">
        <f>TEXT("1/"&amp;data!A2264,"mmmm")</f>
        <v>août</v>
      </c>
      <c r="B2264">
        <f>data!B2264</f>
        <v>2016</v>
      </c>
      <c r="C2264" t="str">
        <f>data!C2264</f>
        <v>169</v>
      </c>
      <c r="D2264" t="str">
        <f>data!D2264</f>
        <v>CHATEAU PERREAU BEL AIR</v>
      </c>
      <c r="E2264" t="str">
        <f>data!E2264</f>
        <v>169009</v>
      </c>
      <c r="F2264" t="str">
        <f>data!F2264</f>
        <v>AOP COTES DE BORDEAUX LES HAUTS DE PERREAU BEL AIR</v>
      </c>
      <c r="G2264" s="10">
        <f>data!G2264</f>
        <v>407</v>
      </c>
      <c r="H2264" s="10">
        <f>data!I2264</f>
        <v>555</v>
      </c>
      <c r="I2264" s="10">
        <f t="shared" si="140"/>
        <v>-148</v>
      </c>
      <c r="J2264" s="11">
        <f>data!H2264</f>
        <v>293.26</v>
      </c>
      <c r="K2264" s="11">
        <f>data!J2264</f>
        <v>399.9</v>
      </c>
      <c r="L2264" s="11">
        <f t="shared" si="141"/>
        <v>-106.63999999999999</v>
      </c>
      <c r="M2264" s="9">
        <f t="shared" si="142"/>
        <v>-0.26666666666666666</v>
      </c>
      <c r="N2264" s="9">
        <f t="shared" si="143"/>
        <v>-0.26666666666666666</v>
      </c>
    </row>
    <row r="2265" spans="1:14" x14ac:dyDescent="0.25">
      <c r="A2265" t="str">
        <f>TEXT("1/"&amp;data!A2265,"mmmm")</f>
        <v>août</v>
      </c>
      <c r="B2265">
        <f>data!B2265</f>
        <v>2016</v>
      </c>
      <c r="C2265" t="str">
        <f>data!C2265</f>
        <v>169</v>
      </c>
      <c r="D2265" t="str">
        <f>data!D2265</f>
        <v>CHATEAU PERREAU BEL AIR</v>
      </c>
      <c r="E2265" t="str">
        <f>data!E2265</f>
        <v>169010</v>
      </c>
      <c r="F2265" t="str">
        <f>data!F2265</f>
        <v>AOP COTES DE BORDEAUX LES HAUTS DE PERREAU BEL AIR</v>
      </c>
      <c r="G2265" s="10">
        <f>data!G2265</f>
        <v>294</v>
      </c>
      <c r="H2265" s="10">
        <f>data!I2265</f>
        <v>493.5</v>
      </c>
      <c r="I2265" s="10">
        <f t="shared" si="140"/>
        <v>-199.5</v>
      </c>
      <c r="J2265" s="11">
        <f>data!H2265</f>
        <v>186.76</v>
      </c>
      <c r="K2265" s="11">
        <f>data!J2265</f>
        <v>320.15999999999997</v>
      </c>
      <c r="L2265" s="11">
        <f t="shared" si="141"/>
        <v>-133.39999999999998</v>
      </c>
      <c r="M2265" s="9">
        <f t="shared" si="142"/>
        <v>-0.40425531914893614</v>
      </c>
      <c r="N2265" s="9">
        <f t="shared" si="143"/>
        <v>-0.41666666666666663</v>
      </c>
    </row>
    <row r="2266" spans="1:14" x14ac:dyDescent="0.25">
      <c r="A2266" t="str">
        <f>TEXT("1/"&amp;data!A2266,"mmmm")</f>
        <v>août</v>
      </c>
      <c r="B2266">
        <f>data!B2266</f>
        <v>2016</v>
      </c>
      <c r="C2266" t="str">
        <f>data!C2266</f>
        <v>169</v>
      </c>
      <c r="D2266" t="str">
        <f>data!D2266</f>
        <v>CHATEAU PERREAU BEL AIR</v>
      </c>
      <c r="E2266" t="str">
        <f>data!E2266</f>
        <v>169011</v>
      </c>
      <c r="F2266" t="str">
        <f>data!F2266</f>
        <v>CHATEAU DE L'AUZE BERGERAC BLANC</v>
      </c>
      <c r="G2266" s="10">
        <f>data!G2266</f>
        <v>0</v>
      </c>
      <c r="H2266" s="10">
        <f>data!I2266</f>
        <v>0</v>
      </c>
      <c r="I2266" s="10">
        <f t="shared" si="140"/>
        <v>0</v>
      </c>
      <c r="J2266" s="11">
        <f>data!H2266</f>
        <v>0</v>
      </c>
      <c r="K2266" s="11">
        <f>data!J2266</f>
        <v>0</v>
      </c>
      <c r="L2266" s="11">
        <f t="shared" si="141"/>
        <v>0</v>
      </c>
      <c r="M2266" s="9" t="str">
        <f t="shared" si="142"/>
        <v/>
      </c>
      <c r="N2266" s="9" t="str">
        <f t="shared" si="143"/>
        <v/>
      </c>
    </row>
    <row r="2267" spans="1:14" x14ac:dyDescent="0.25">
      <c r="A2267" t="str">
        <f>TEXT("1/"&amp;data!A2267,"mmmm")</f>
        <v>août</v>
      </c>
      <c r="B2267">
        <f>data!B2267</f>
        <v>2016</v>
      </c>
      <c r="C2267" t="str">
        <f>data!C2267</f>
        <v>174</v>
      </c>
      <c r="D2267" t="str">
        <f>data!D2267</f>
        <v>SAS VIGNOBLES DES 3 CHATEAUX</v>
      </c>
      <c r="E2267" t="str">
        <f>data!E2267</f>
        <v>174001</v>
      </c>
      <c r="F2267" t="str">
        <f>data!F2267</f>
        <v>AC PIC SAINT LOUP LES DEESSES MUETTES EMOTION</v>
      </c>
      <c r="G2267" s="10">
        <f>data!G2267</f>
        <v>1919.52</v>
      </c>
      <c r="H2267" s="10">
        <f>data!I2267</f>
        <v>558</v>
      </c>
      <c r="I2267" s="10">
        <f t="shared" si="140"/>
        <v>1361.52</v>
      </c>
      <c r="J2267" s="11">
        <f>data!H2267</f>
        <v>516</v>
      </c>
      <c r="K2267" s="11">
        <f>data!J2267</f>
        <v>150</v>
      </c>
      <c r="L2267" s="11">
        <f t="shared" si="141"/>
        <v>366</v>
      </c>
      <c r="M2267" s="9">
        <f t="shared" si="142"/>
        <v>2.44</v>
      </c>
      <c r="N2267" s="9">
        <f t="shared" si="143"/>
        <v>2.44</v>
      </c>
    </row>
    <row r="2268" spans="1:14" x14ac:dyDescent="0.25">
      <c r="A2268" t="str">
        <f>TEXT("1/"&amp;data!A2268,"mmmm")</f>
        <v>août</v>
      </c>
      <c r="B2268">
        <f>data!B2268</f>
        <v>2016</v>
      </c>
      <c r="C2268" t="str">
        <f>data!C2268</f>
        <v>174</v>
      </c>
      <c r="D2268" t="str">
        <f>data!D2268</f>
        <v>SAS VIGNOBLES DES 3 CHATEAUX</v>
      </c>
      <c r="E2268" t="str">
        <f>data!E2268</f>
        <v>174002</v>
      </c>
      <c r="F2268" t="str">
        <f>data!F2268</f>
        <v>AC PIC SAINT LOUP CUVEE SPECIALE VIEILLI FUT DE CH</v>
      </c>
      <c r="G2268" s="10">
        <f>data!G2268</f>
        <v>558</v>
      </c>
      <c r="H2268" s="10">
        <f>data!I2268</f>
        <v>293.76</v>
      </c>
      <c r="I2268" s="10">
        <f t="shared" si="140"/>
        <v>264.24</v>
      </c>
      <c r="J2268" s="11">
        <f>data!H2268</f>
        <v>90</v>
      </c>
      <c r="K2268" s="11">
        <f>data!J2268</f>
        <v>48</v>
      </c>
      <c r="L2268" s="11">
        <f t="shared" si="141"/>
        <v>42</v>
      </c>
      <c r="M2268" s="9">
        <f t="shared" si="142"/>
        <v>0.89950980392156865</v>
      </c>
      <c r="N2268" s="9">
        <f t="shared" si="143"/>
        <v>0.875</v>
      </c>
    </row>
    <row r="2269" spans="1:14" x14ac:dyDescent="0.25">
      <c r="A2269" t="str">
        <f>TEXT("1/"&amp;data!A2269,"mmmm")</f>
        <v>août</v>
      </c>
      <c r="B2269">
        <f>data!B2269</f>
        <v>2016</v>
      </c>
      <c r="C2269" t="str">
        <f>data!C2269</f>
        <v>174</v>
      </c>
      <c r="D2269" t="str">
        <f>data!D2269</f>
        <v>SAS VIGNOBLES DES 3 CHATEAUX</v>
      </c>
      <c r="E2269" t="str">
        <f>data!E2269</f>
        <v>174003</v>
      </c>
      <c r="F2269" t="str">
        <f>data!F2269</f>
        <v>IGP CARIGNAN - PETIT LOUP</v>
      </c>
      <c r="G2269" s="10">
        <f>data!G2269</f>
        <v>1399.2</v>
      </c>
      <c r="H2269" s="10">
        <f>data!I2269</f>
        <v>572.4</v>
      </c>
      <c r="I2269" s="10">
        <f t="shared" si="140"/>
        <v>826.80000000000007</v>
      </c>
      <c r="J2269" s="11">
        <f>data!H2269</f>
        <v>660</v>
      </c>
      <c r="K2269" s="11">
        <f>data!J2269</f>
        <v>270</v>
      </c>
      <c r="L2269" s="11">
        <f t="shared" si="141"/>
        <v>390</v>
      </c>
      <c r="M2269" s="9">
        <f t="shared" si="142"/>
        <v>1.4444444444444446</v>
      </c>
      <c r="N2269" s="9">
        <f t="shared" si="143"/>
        <v>1.4444444444444444</v>
      </c>
    </row>
    <row r="2270" spans="1:14" x14ac:dyDescent="0.25">
      <c r="A2270" t="str">
        <f>TEXT("1/"&amp;data!A2270,"mmmm")</f>
        <v>août</v>
      </c>
      <c r="B2270">
        <f>data!B2270</f>
        <v>2016</v>
      </c>
      <c r="C2270" t="str">
        <f>data!C2270</f>
        <v>174</v>
      </c>
      <c r="D2270" t="str">
        <f>data!D2270</f>
        <v>SAS VIGNOBLES DES 3 CHATEAUX</v>
      </c>
      <c r="E2270" t="str">
        <f>data!E2270</f>
        <v>174005</v>
      </c>
      <c r="F2270" t="str">
        <f>data!F2270</f>
        <v>IGP PAYS D'OC LES SARDINES</v>
      </c>
      <c r="G2270" s="10">
        <f>data!G2270</f>
        <v>739.2</v>
      </c>
      <c r="H2270" s="10">
        <f>data!I2270</f>
        <v>0</v>
      </c>
      <c r="I2270" s="10">
        <f t="shared" si="140"/>
        <v>739.2</v>
      </c>
      <c r="J2270" s="11">
        <f>data!H2270</f>
        <v>336</v>
      </c>
      <c r="K2270" s="11">
        <f>data!J2270</f>
        <v>0</v>
      </c>
      <c r="L2270" s="11">
        <f t="shared" si="141"/>
        <v>336</v>
      </c>
      <c r="M2270" s="9" t="str">
        <f t="shared" si="142"/>
        <v/>
      </c>
      <c r="N2270" s="9" t="str">
        <f t="shared" si="143"/>
        <v/>
      </c>
    </row>
    <row r="2271" spans="1:14" x14ac:dyDescent="0.25">
      <c r="A2271" t="str">
        <f>TEXT("1/"&amp;data!A2271,"mmmm")</f>
        <v>août</v>
      </c>
      <c r="B2271">
        <f>data!B2271</f>
        <v>2016</v>
      </c>
      <c r="C2271" t="str">
        <f>data!C2271</f>
        <v>174</v>
      </c>
      <c r="D2271" t="str">
        <f>data!D2271</f>
        <v>SAS VIGNOBLES DES 3 CHATEAUX</v>
      </c>
      <c r="E2271" t="str">
        <f>data!E2271</f>
        <v>174006</v>
      </c>
      <c r="F2271" t="str">
        <f>data!F2271</f>
        <v>IGP PAYS D'OC LES SARDINES</v>
      </c>
      <c r="G2271" s="10">
        <f>data!G2271</f>
        <v>1953.6</v>
      </c>
      <c r="H2271" s="10">
        <f>data!I2271</f>
        <v>0</v>
      </c>
      <c r="I2271" s="10">
        <f t="shared" si="140"/>
        <v>1953.6</v>
      </c>
      <c r="J2271" s="11">
        <f>data!H2271</f>
        <v>888</v>
      </c>
      <c r="K2271" s="11">
        <f>data!J2271</f>
        <v>0</v>
      </c>
      <c r="L2271" s="11">
        <f t="shared" si="141"/>
        <v>888</v>
      </c>
      <c r="M2271" s="9" t="str">
        <f t="shared" si="142"/>
        <v/>
      </c>
      <c r="N2271" s="9" t="str">
        <f t="shared" si="143"/>
        <v/>
      </c>
    </row>
    <row r="2272" spans="1:14" x14ac:dyDescent="0.25">
      <c r="A2272" t="str">
        <f>TEXT("1/"&amp;data!A2272,"mmmm")</f>
        <v>août</v>
      </c>
      <c r="B2272">
        <f>data!B2272</f>
        <v>2016</v>
      </c>
      <c r="C2272" t="str">
        <f>data!C2272</f>
        <v>174</v>
      </c>
      <c r="D2272" t="str">
        <f>data!D2272</f>
        <v>SAS VIGNOBLES DES 3 CHATEAUX</v>
      </c>
      <c r="E2272" t="str">
        <f>data!E2272</f>
        <v>174007</v>
      </c>
      <c r="F2272" t="str">
        <f>data!F2272</f>
        <v>IGP PAYS D'OC LES SARDINES</v>
      </c>
      <c r="G2272" s="10">
        <f>data!G2272</f>
        <v>565.79999999999995</v>
      </c>
      <c r="H2272" s="10">
        <f>data!I2272</f>
        <v>0</v>
      </c>
      <c r="I2272" s="10">
        <f t="shared" si="140"/>
        <v>565.79999999999995</v>
      </c>
      <c r="J2272" s="11">
        <f>data!H2272</f>
        <v>246</v>
      </c>
      <c r="K2272" s="11">
        <f>data!J2272</f>
        <v>0</v>
      </c>
      <c r="L2272" s="11">
        <f t="shared" si="141"/>
        <v>246</v>
      </c>
      <c r="M2272" s="9" t="str">
        <f t="shared" si="142"/>
        <v/>
      </c>
      <c r="N2272" s="9" t="str">
        <f t="shared" si="143"/>
        <v/>
      </c>
    </row>
    <row r="2273" spans="1:14" x14ac:dyDescent="0.25">
      <c r="A2273" t="str">
        <f>TEXT("1/"&amp;data!A2273,"mmmm")</f>
        <v>août</v>
      </c>
      <c r="B2273">
        <f>data!B2273</f>
        <v>2016</v>
      </c>
      <c r="C2273" t="str">
        <f>data!C2273</f>
        <v>174</v>
      </c>
      <c r="D2273" t="str">
        <f>data!D2273</f>
        <v>SAS VIGNOBLES DES 3 CHATEAUX</v>
      </c>
      <c r="E2273" t="str">
        <f>data!E2273</f>
        <v>174009</v>
      </c>
      <c r="F2273" t="str">
        <f>data!F2273</f>
        <v>AOP PIC SAINT LOUP LA DIABLESSE</v>
      </c>
      <c r="G2273" s="10">
        <f>data!G2273</f>
        <v>35.4</v>
      </c>
      <c r="H2273" s="10">
        <f>data!I2273</f>
        <v>0</v>
      </c>
      <c r="I2273" s="10">
        <f t="shared" si="140"/>
        <v>35.4</v>
      </c>
      <c r="J2273" s="11">
        <f>data!H2273</f>
        <v>6</v>
      </c>
      <c r="K2273" s="11">
        <f>data!J2273</f>
        <v>0</v>
      </c>
      <c r="L2273" s="11">
        <f t="shared" si="141"/>
        <v>6</v>
      </c>
      <c r="M2273" s="9" t="str">
        <f t="shared" si="142"/>
        <v/>
      </c>
      <c r="N2273" s="9" t="str">
        <f t="shared" si="143"/>
        <v/>
      </c>
    </row>
    <row r="2274" spans="1:14" x14ac:dyDescent="0.25">
      <c r="A2274" t="str">
        <f>TEXT("1/"&amp;data!A2274,"mmmm")</f>
        <v>août</v>
      </c>
      <c r="B2274">
        <f>data!B2274</f>
        <v>2016</v>
      </c>
      <c r="C2274" t="str">
        <f>data!C2274</f>
        <v>174</v>
      </c>
      <c r="D2274" t="str">
        <f>data!D2274</f>
        <v>SAS VIGNOBLES DES 3 CHATEAUX</v>
      </c>
      <c r="E2274" t="str">
        <f>data!E2274</f>
        <v>174010</v>
      </c>
      <c r="F2274" t="str">
        <f>data!F2274</f>
        <v>IGP OC MERLOT CABERNET TERROIR DES CIGALES</v>
      </c>
      <c r="G2274" s="10">
        <f>data!G2274</f>
        <v>991.6</v>
      </c>
      <c r="H2274" s="10">
        <f>data!I2274</f>
        <v>226.1</v>
      </c>
      <c r="I2274" s="10">
        <f t="shared" si="140"/>
        <v>765.5</v>
      </c>
      <c r="J2274" s="11">
        <f>data!H2274</f>
        <v>986.42</v>
      </c>
      <c r="K2274" s="11">
        <f>data!J2274</f>
        <v>226.61</v>
      </c>
      <c r="L2274" s="11">
        <f t="shared" si="141"/>
        <v>759.81</v>
      </c>
      <c r="M2274" s="9">
        <f t="shared" si="142"/>
        <v>3.3856700574966831</v>
      </c>
      <c r="N2274" s="9">
        <f t="shared" si="143"/>
        <v>3.3529411764705879</v>
      </c>
    </row>
    <row r="2275" spans="1:14" x14ac:dyDescent="0.25">
      <c r="A2275" t="str">
        <f>TEXT("1/"&amp;data!A2275,"mmmm")</f>
        <v>août</v>
      </c>
      <c r="B2275">
        <f>data!B2275</f>
        <v>2016</v>
      </c>
      <c r="C2275" t="str">
        <f>data!C2275</f>
        <v>174</v>
      </c>
      <c r="D2275" t="str">
        <f>data!D2275</f>
        <v>SAS VIGNOBLES DES 3 CHATEAUX</v>
      </c>
      <c r="E2275" t="str">
        <f>data!E2275</f>
        <v>174011</v>
      </c>
      <c r="F2275" t="str">
        <f>data!F2275</f>
        <v>IGP OC MERLOT CABERNET TERROIR DES CIGALES</v>
      </c>
      <c r="G2275" s="10">
        <f>data!G2275</f>
        <v>478.24</v>
      </c>
      <c r="H2275" s="10">
        <f>data!I2275</f>
        <v>786.79</v>
      </c>
      <c r="I2275" s="10">
        <f t="shared" si="140"/>
        <v>-308.54999999999995</v>
      </c>
      <c r="J2275" s="11">
        <f>data!H2275</f>
        <v>406.87</v>
      </c>
      <c r="K2275" s="11">
        <f>data!J2275</f>
        <v>673.67</v>
      </c>
      <c r="L2275" s="11">
        <f t="shared" si="141"/>
        <v>-266.79999999999995</v>
      </c>
      <c r="M2275" s="9">
        <f t="shared" si="142"/>
        <v>-0.39216309307439084</v>
      </c>
      <c r="N2275" s="9">
        <f t="shared" si="143"/>
        <v>-0.396039603960396</v>
      </c>
    </row>
    <row r="2276" spans="1:14" x14ac:dyDescent="0.25">
      <c r="A2276" t="str">
        <f>TEXT("1/"&amp;data!A2276,"mmmm")</f>
        <v>août</v>
      </c>
      <c r="B2276">
        <f>data!B2276</f>
        <v>2016</v>
      </c>
      <c r="C2276" t="str">
        <f>data!C2276</f>
        <v>174</v>
      </c>
      <c r="D2276" t="str">
        <f>data!D2276</f>
        <v>SAS VIGNOBLES DES 3 CHATEAUX</v>
      </c>
      <c r="E2276" t="str">
        <f>data!E2276</f>
        <v>174015</v>
      </c>
      <c r="F2276" t="str">
        <f>data!F2276</f>
        <v>IGP OC CHARDONNAY LES CITELLES</v>
      </c>
      <c r="G2276" s="10">
        <f>data!G2276</f>
        <v>631.79999999999995</v>
      </c>
      <c r="H2276" s="10">
        <f>data!I2276</f>
        <v>280.8</v>
      </c>
      <c r="I2276" s="10">
        <f t="shared" si="140"/>
        <v>350.99999999999994</v>
      </c>
      <c r="J2276" s="11">
        <f>data!H2276</f>
        <v>479.88</v>
      </c>
      <c r="K2276" s="11">
        <f>data!J2276</f>
        <v>213.28</v>
      </c>
      <c r="L2276" s="11">
        <f t="shared" si="141"/>
        <v>266.60000000000002</v>
      </c>
      <c r="M2276" s="9">
        <f t="shared" si="142"/>
        <v>1.2499999999999998</v>
      </c>
      <c r="N2276" s="9">
        <f t="shared" si="143"/>
        <v>1.25</v>
      </c>
    </row>
    <row r="2277" spans="1:14" x14ac:dyDescent="0.25">
      <c r="A2277" t="str">
        <f>TEXT("1/"&amp;data!A2277,"mmmm")</f>
        <v>août</v>
      </c>
      <c r="B2277">
        <f>data!B2277</f>
        <v>2016</v>
      </c>
      <c r="C2277" t="str">
        <f>data!C2277</f>
        <v>174</v>
      </c>
      <c r="D2277" t="str">
        <f>data!D2277</f>
        <v>SAS VIGNOBLES DES 3 CHATEAUX</v>
      </c>
      <c r="E2277" t="str">
        <f>data!E2277</f>
        <v>174016</v>
      </c>
      <c r="F2277" t="str">
        <f>data!F2277</f>
        <v>IGP OC CHARDONNAY LES CITELLES</v>
      </c>
      <c r="G2277" s="10">
        <f>data!G2277</f>
        <v>727.08</v>
      </c>
      <c r="H2277" s="10">
        <f>data!I2277</f>
        <v>368.52</v>
      </c>
      <c r="I2277" s="10">
        <f t="shared" si="140"/>
        <v>358.56000000000006</v>
      </c>
      <c r="J2277" s="11">
        <f>data!H2277</f>
        <v>486.90999999999997</v>
      </c>
      <c r="K2277" s="11">
        <f>data!J2277</f>
        <v>246.79</v>
      </c>
      <c r="L2277" s="11">
        <f t="shared" si="141"/>
        <v>240.11999999999998</v>
      </c>
      <c r="M2277" s="9">
        <f t="shared" si="142"/>
        <v>0.97297297297297314</v>
      </c>
      <c r="N2277" s="9">
        <f t="shared" si="143"/>
        <v>0.97297297297297292</v>
      </c>
    </row>
    <row r="2278" spans="1:14" x14ac:dyDescent="0.25">
      <c r="A2278" t="str">
        <f>TEXT("1/"&amp;data!A2278,"mmmm")</f>
        <v>août</v>
      </c>
      <c r="B2278">
        <f>data!B2278</f>
        <v>2016</v>
      </c>
      <c r="C2278" t="str">
        <f>data!C2278</f>
        <v>175</v>
      </c>
      <c r="D2278" t="str">
        <f>data!D2278</f>
        <v>SARL MAISON PERE &amp; FILS</v>
      </c>
      <c r="E2278" t="str">
        <f>data!E2278</f>
        <v>175001</v>
      </c>
      <c r="F2278" t="str">
        <f>data!F2278</f>
        <v>AC CHEVERNY DME MAISON</v>
      </c>
      <c r="G2278" s="10">
        <f>data!G2278</f>
        <v>472.5</v>
      </c>
      <c r="H2278" s="10">
        <f>data!I2278</f>
        <v>377.4</v>
      </c>
      <c r="I2278" s="10">
        <f t="shared" si="140"/>
        <v>95.100000000000023</v>
      </c>
      <c r="J2278" s="11">
        <f>data!H2278</f>
        <v>126</v>
      </c>
      <c r="K2278" s="11">
        <f>data!J2278</f>
        <v>108</v>
      </c>
      <c r="L2278" s="11">
        <f t="shared" si="141"/>
        <v>18</v>
      </c>
      <c r="M2278" s="9">
        <f t="shared" si="142"/>
        <v>0.25198728139904619</v>
      </c>
      <c r="N2278" s="9">
        <f t="shared" si="143"/>
        <v>0.16666666666666666</v>
      </c>
    </row>
    <row r="2279" spans="1:14" x14ac:dyDescent="0.25">
      <c r="A2279" t="str">
        <f>TEXT("1/"&amp;data!A2279,"mmmm")</f>
        <v>août</v>
      </c>
      <c r="B2279">
        <f>data!B2279</f>
        <v>2016</v>
      </c>
      <c r="C2279" t="str">
        <f>data!C2279</f>
        <v>175</v>
      </c>
      <c r="D2279" t="str">
        <f>data!D2279</f>
        <v>SARL MAISON PERE &amp; FILS</v>
      </c>
      <c r="E2279" t="str">
        <f>data!E2279</f>
        <v>175002</v>
      </c>
      <c r="F2279" t="str">
        <f>data!F2279</f>
        <v>AC CHEVERNY DME MAISON</v>
      </c>
      <c r="G2279" s="10">
        <f>data!G2279</f>
        <v>292.5</v>
      </c>
      <c r="H2279" s="10">
        <f>data!I2279</f>
        <v>244.2</v>
      </c>
      <c r="I2279" s="10">
        <f t="shared" si="140"/>
        <v>48.300000000000011</v>
      </c>
      <c r="J2279" s="11">
        <f>data!H2279</f>
        <v>78</v>
      </c>
      <c r="K2279" s="11">
        <f>data!J2279</f>
        <v>66</v>
      </c>
      <c r="L2279" s="11">
        <f t="shared" si="141"/>
        <v>12</v>
      </c>
      <c r="M2279" s="9">
        <f t="shared" si="142"/>
        <v>0.19778869778869784</v>
      </c>
      <c r="N2279" s="9">
        <f t="shared" si="143"/>
        <v>0.18181818181818182</v>
      </c>
    </row>
    <row r="2280" spans="1:14" x14ac:dyDescent="0.25">
      <c r="A2280" t="str">
        <f>TEXT("1/"&amp;data!A2280,"mmmm")</f>
        <v>août</v>
      </c>
      <c r="B2280">
        <f>data!B2280</f>
        <v>2016</v>
      </c>
      <c r="C2280" t="str">
        <f>data!C2280</f>
        <v>199</v>
      </c>
      <c r="D2280" t="str">
        <f>data!D2280</f>
        <v>PRIEURE SAINT JEAN DE BEBIAN</v>
      </c>
      <c r="E2280" t="str">
        <f>data!E2280</f>
        <v>199001</v>
      </c>
      <c r="F2280" t="str">
        <f>data!F2280</f>
        <v>AC COTEAUX DU LANGUEDOC CHAPELLE</v>
      </c>
      <c r="G2280" s="10">
        <f>data!G2280</f>
        <v>723.6</v>
      </c>
      <c r="H2280" s="10">
        <f>data!I2280</f>
        <v>0</v>
      </c>
      <c r="I2280" s="10">
        <f t="shared" si="140"/>
        <v>723.6</v>
      </c>
      <c r="J2280" s="11">
        <f>data!H2280</f>
        <v>108</v>
      </c>
      <c r="K2280" s="11">
        <f>data!J2280</f>
        <v>0</v>
      </c>
      <c r="L2280" s="11">
        <f t="shared" si="141"/>
        <v>108</v>
      </c>
      <c r="M2280" s="9" t="str">
        <f t="shared" si="142"/>
        <v/>
      </c>
      <c r="N2280" s="9" t="str">
        <f t="shared" si="143"/>
        <v/>
      </c>
    </row>
    <row r="2281" spans="1:14" x14ac:dyDescent="0.25">
      <c r="A2281" t="str">
        <f>TEXT("1/"&amp;data!A2281,"mmmm")</f>
        <v>août</v>
      </c>
      <c r="B2281">
        <f>data!B2281</f>
        <v>2016</v>
      </c>
      <c r="C2281" t="str">
        <f>data!C2281</f>
        <v>199</v>
      </c>
      <c r="D2281" t="str">
        <f>data!D2281</f>
        <v>PRIEURE SAINT JEAN DE BEBIAN</v>
      </c>
      <c r="E2281" t="str">
        <f>data!E2281</f>
        <v>199002</v>
      </c>
      <c r="F2281" t="str">
        <f>data!F2281</f>
        <v>AC COTEAUX DU LANGUEDOC PRIEURE ST JEAN</v>
      </c>
      <c r="G2281" s="10">
        <f>data!G2281</f>
        <v>652.79999999999995</v>
      </c>
      <c r="H2281" s="10">
        <f>data!I2281</f>
        <v>0</v>
      </c>
      <c r="I2281" s="10">
        <f t="shared" si="140"/>
        <v>652.79999999999995</v>
      </c>
      <c r="J2281" s="11">
        <f>data!H2281</f>
        <v>48</v>
      </c>
      <c r="K2281" s="11">
        <f>data!J2281</f>
        <v>0</v>
      </c>
      <c r="L2281" s="11">
        <f t="shared" si="141"/>
        <v>48</v>
      </c>
      <c r="M2281" s="9" t="str">
        <f t="shared" si="142"/>
        <v/>
      </c>
      <c r="N2281" s="9" t="str">
        <f t="shared" si="143"/>
        <v/>
      </c>
    </row>
    <row r="2282" spans="1:14" x14ac:dyDescent="0.25">
      <c r="A2282" t="str">
        <f>TEXT("1/"&amp;data!A2282,"mmmm")</f>
        <v>août</v>
      </c>
      <c r="B2282">
        <f>data!B2282</f>
        <v>2016</v>
      </c>
      <c r="C2282" t="str">
        <f>data!C2282</f>
        <v>199</v>
      </c>
      <c r="D2282" t="str">
        <f>data!D2282</f>
        <v>PRIEURE SAINT JEAN DE BEBIAN</v>
      </c>
      <c r="E2282" t="str">
        <f>data!E2282</f>
        <v>199004</v>
      </c>
      <c r="F2282" t="str">
        <f>data!F2282</f>
        <v>IGP PAYS D'OC LA CROIX DE BEBIAN</v>
      </c>
      <c r="G2282" s="10">
        <f>data!G2282</f>
        <v>73.8</v>
      </c>
      <c r="H2282" s="10">
        <f>data!I2282</f>
        <v>0</v>
      </c>
      <c r="I2282" s="10">
        <f t="shared" si="140"/>
        <v>73.8</v>
      </c>
      <c r="J2282" s="11">
        <f>data!H2282</f>
        <v>18</v>
      </c>
      <c r="K2282" s="11">
        <f>data!J2282</f>
        <v>0</v>
      </c>
      <c r="L2282" s="11">
        <f t="shared" si="141"/>
        <v>18</v>
      </c>
      <c r="M2282" s="9" t="str">
        <f t="shared" si="142"/>
        <v/>
      </c>
      <c r="N2282" s="9" t="str">
        <f t="shared" si="143"/>
        <v/>
      </c>
    </row>
    <row r="2283" spans="1:14" x14ac:dyDescent="0.25">
      <c r="A2283" t="str">
        <f>TEXT("1/"&amp;data!A2283,"mmmm")</f>
        <v>août</v>
      </c>
      <c r="B2283">
        <f>data!B2283</f>
        <v>2016</v>
      </c>
      <c r="C2283" t="str">
        <f>data!C2283</f>
        <v>201</v>
      </c>
      <c r="D2283" t="str">
        <f>data!D2283</f>
        <v>CAVE LES COTEAUX DU RHONE</v>
      </c>
      <c r="E2283" t="str">
        <f>data!E2283</f>
        <v>201001</v>
      </c>
      <c r="F2283" t="str">
        <f>data!F2283</f>
        <v>IGP VAUCLUSE D'ORANGE CAVE LES COTEAUX DU RHONE</v>
      </c>
      <c r="G2283" s="10">
        <f>data!G2283</f>
        <v>206.55</v>
      </c>
      <c r="H2283" s="10">
        <f>data!I2283</f>
        <v>152</v>
      </c>
      <c r="I2283" s="10">
        <f t="shared" si="140"/>
        <v>54.550000000000011</v>
      </c>
      <c r="J2283" s="11">
        <f>data!H2283</f>
        <v>186.76</v>
      </c>
      <c r="K2283" s="11">
        <f>data!J2283</f>
        <v>133.4</v>
      </c>
      <c r="L2283" s="11">
        <f t="shared" si="141"/>
        <v>53.359999999999985</v>
      </c>
      <c r="M2283" s="9">
        <f t="shared" si="142"/>
        <v>0.3588815789473685</v>
      </c>
      <c r="N2283" s="9">
        <f t="shared" si="143"/>
        <v>0.39999999999999986</v>
      </c>
    </row>
    <row r="2284" spans="1:14" x14ac:dyDescent="0.25">
      <c r="A2284" t="str">
        <f>TEXT("1/"&amp;data!A2284,"mmmm")</f>
        <v>août</v>
      </c>
      <c r="B2284">
        <f>data!B2284</f>
        <v>2016</v>
      </c>
      <c r="C2284" t="str">
        <f>data!C2284</f>
        <v>201</v>
      </c>
      <c r="D2284" t="str">
        <f>data!D2284</f>
        <v>CAVE LES COTEAUX DU RHONE</v>
      </c>
      <c r="E2284" t="str">
        <f>data!E2284</f>
        <v>201002</v>
      </c>
      <c r="F2284" t="str">
        <f>data!F2284</f>
        <v>IGP VAUCLUSE D'ORANGE CAVE LES COTEAUX DU RHONE</v>
      </c>
      <c r="G2284" s="10">
        <f>data!G2284</f>
        <v>707.55</v>
      </c>
      <c r="H2284" s="10">
        <f>data!I2284</f>
        <v>1192.5</v>
      </c>
      <c r="I2284" s="10">
        <f t="shared" si="140"/>
        <v>-484.95000000000005</v>
      </c>
      <c r="J2284" s="11">
        <f>data!H2284</f>
        <v>746.48</v>
      </c>
      <c r="K2284" s="11">
        <f>data!J2284</f>
        <v>1199.7</v>
      </c>
      <c r="L2284" s="11">
        <f t="shared" si="141"/>
        <v>-453.22</v>
      </c>
      <c r="M2284" s="9">
        <f t="shared" si="142"/>
        <v>-0.40666666666666673</v>
      </c>
      <c r="N2284" s="9">
        <f t="shared" si="143"/>
        <v>-0.37777777777777777</v>
      </c>
    </row>
    <row r="2285" spans="1:14" x14ac:dyDescent="0.25">
      <c r="A2285" t="str">
        <f>TEXT("1/"&amp;data!A2285,"mmmm")</f>
        <v>août</v>
      </c>
      <c r="B2285">
        <f>data!B2285</f>
        <v>2016</v>
      </c>
      <c r="C2285" t="str">
        <f>data!C2285</f>
        <v>201</v>
      </c>
      <c r="D2285" t="str">
        <f>data!D2285</f>
        <v>CAVE LES COTEAUX DU RHONE</v>
      </c>
      <c r="E2285" t="str">
        <f>data!E2285</f>
        <v>201003</v>
      </c>
      <c r="F2285" t="str">
        <f>data!F2285</f>
        <v>IGP MEDITERRANEE LES COTEAUX DU RHONE</v>
      </c>
      <c r="G2285" s="10">
        <f>data!G2285</f>
        <v>2394.4499999999998</v>
      </c>
      <c r="H2285" s="10">
        <f>data!I2285</f>
        <v>1580.8</v>
      </c>
      <c r="I2285" s="10">
        <f t="shared" si="140"/>
        <v>813.64999999999986</v>
      </c>
      <c r="J2285" s="11">
        <f>data!H2285</f>
        <v>2107.7199999999998</v>
      </c>
      <c r="K2285" s="11">
        <f>data!J2285</f>
        <v>1387.36</v>
      </c>
      <c r="L2285" s="11">
        <f t="shared" si="141"/>
        <v>720.3599999999999</v>
      </c>
      <c r="M2285" s="9">
        <f t="shared" si="142"/>
        <v>0.51470774291497967</v>
      </c>
      <c r="N2285" s="9">
        <f t="shared" si="143"/>
        <v>0.51923076923076916</v>
      </c>
    </row>
    <row r="2286" spans="1:14" x14ac:dyDescent="0.25">
      <c r="A2286" t="str">
        <f>TEXT("1/"&amp;data!A2286,"mmmm")</f>
        <v>août</v>
      </c>
      <c r="B2286">
        <f>data!B2286</f>
        <v>2016</v>
      </c>
      <c r="C2286" t="str">
        <f>data!C2286</f>
        <v>201</v>
      </c>
      <c r="D2286" t="str">
        <f>data!D2286</f>
        <v>CAVE LES COTEAUX DU RHONE</v>
      </c>
      <c r="E2286" t="str">
        <f>data!E2286</f>
        <v>201004</v>
      </c>
      <c r="F2286" t="str">
        <f>data!F2286</f>
        <v>IGP MEDITERRANEE LES COTEAUX DU RHONE</v>
      </c>
      <c r="G2286" s="10">
        <f>data!G2286</f>
        <v>2683.35</v>
      </c>
      <c r="H2286" s="10">
        <f>data!I2286</f>
        <v>2597</v>
      </c>
      <c r="I2286" s="10">
        <f t="shared" si="140"/>
        <v>86.349999999999909</v>
      </c>
      <c r="J2286" s="11">
        <f>data!H2286</f>
        <v>2679.33</v>
      </c>
      <c r="K2286" s="11">
        <f>data!J2286</f>
        <v>2612.6799999999998</v>
      </c>
      <c r="L2286" s="11">
        <f t="shared" si="141"/>
        <v>66.650000000000091</v>
      </c>
      <c r="M2286" s="9">
        <f t="shared" si="142"/>
        <v>3.3249903735078905E-2</v>
      </c>
      <c r="N2286" s="9">
        <f t="shared" si="143"/>
        <v>2.5510204081632688E-2</v>
      </c>
    </row>
    <row r="2287" spans="1:14" x14ac:dyDescent="0.25">
      <c r="A2287" t="str">
        <f>TEXT("1/"&amp;data!A2287,"mmmm")</f>
        <v>août</v>
      </c>
      <c r="B2287">
        <f>data!B2287</f>
        <v>2016</v>
      </c>
      <c r="C2287" t="str">
        <f>data!C2287</f>
        <v>201</v>
      </c>
      <c r="D2287" t="str">
        <f>data!D2287</f>
        <v>CAVE LES COTEAUX DU RHONE</v>
      </c>
      <c r="E2287" t="str">
        <f>data!E2287</f>
        <v>201006</v>
      </c>
      <c r="F2287" t="str">
        <f>data!F2287</f>
        <v>AOP COTES DU RHONE MAGIE D'UNE TERRE</v>
      </c>
      <c r="G2287" s="10">
        <f>data!G2287</f>
        <v>604.79999999999995</v>
      </c>
      <c r="H2287" s="10">
        <f>data!I2287</f>
        <v>518.4</v>
      </c>
      <c r="I2287" s="10">
        <f t="shared" si="140"/>
        <v>86.399999999999977</v>
      </c>
      <c r="J2287" s="11">
        <f>data!H2287</f>
        <v>252</v>
      </c>
      <c r="K2287" s="11">
        <f>data!J2287</f>
        <v>216</v>
      </c>
      <c r="L2287" s="11">
        <f t="shared" si="141"/>
        <v>36</v>
      </c>
      <c r="M2287" s="9">
        <f t="shared" si="142"/>
        <v>0.16666666666666663</v>
      </c>
      <c r="N2287" s="9">
        <f t="shared" si="143"/>
        <v>0.16666666666666666</v>
      </c>
    </row>
    <row r="2288" spans="1:14" x14ac:dyDescent="0.25">
      <c r="A2288" t="str">
        <f>TEXT("1/"&amp;data!A2288,"mmmm")</f>
        <v>août</v>
      </c>
      <c r="B2288">
        <f>data!B2288</f>
        <v>2016</v>
      </c>
      <c r="C2288" t="str">
        <f>data!C2288</f>
        <v>201</v>
      </c>
      <c r="D2288" t="str">
        <f>data!D2288</f>
        <v>CAVE LES COTEAUX DU RHONE</v>
      </c>
      <c r="E2288" t="str">
        <f>data!E2288</f>
        <v>201008</v>
      </c>
      <c r="F2288" t="str">
        <f>data!F2288</f>
        <v>AOP COTES DU RHONE PATRICE NICOLAS</v>
      </c>
      <c r="G2288" s="10">
        <f>data!G2288</f>
        <v>439.2</v>
      </c>
      <c r="H2288" s="10">
        <f>data!I2288</f>
        <v>76.8</v>
      </c>
      <c r="I2288" s="10">
        <f t="shared" si="140"/>
        <v>362.4</v>
      </c>
      <c r="J2288" s="11">
        <f>data!H2288</f>
        <v>144</v>
      </c>
      <c r="K2288" s="11">
        <f>data!J2288</f>
        <v>24</v>
      </c>
      <c r="L2288" s="11">
        <f t="shared" si="141"/>
        <v>120</v>
      </c>
      <c r="M2288" s="9">
        <f t="shared" si="142"/>
        <v>4.71875</v>
      </c>
      <c r="N2288" s="9">
        <f t="shared" si="143"/>
        <v>5</v>
      </c>
    </row>
    <row r="2289" spans="1:14" x14ac:dyDescent="0.25">
      <c r="A2289" t="str">
        <f>TEXT("1/"&amp;data!A2289,"mmmm")</f>
        <v>août</v>
      </c>
      <c r="B2289">
        <f>data!B2289</f>
        <v>2016</v>
      </c>
      <c r="C2289" t="str">
        <f>data!C2289</f>
        <v>201</v>
      </c>
      <c r="D2289" t="str">
        <f>data!D2289</f>
        <v>CAVE LES COTEAUX DU RHONE</v>
      </c>
      <c r="E2289" t="str">
        <f>data!E2289</f>
        <v>201010</v>
      </c>
      <c r="F2289" t="str">
        <f>data!F2289</f>
        <v>AOP COTES DU RHONE</v>
      </c>
      <c r="G2289" s="10">
        <f>data!G2289</f>
        <v>576.6</v>
      </c>
      <c r="H2289" s="10">
        <f>data!I2289</f>
        <v>409.2</v>
      </c>
      <c r="I2289" s="10">
        <f t="shared" si="140"/>
        <v>167.40000000000003</v>
      </c>
      <c r="J2289" s="11">
        <f>data!H2289</f>
        <v>413.23</v>
      </c>
      <c r="K2289" s="11">
        <f>data!J2289</f>
        <v>293.26</v>
      </c>
      <c r="L2289" s="11">
        <f t="shared" si="141"/>
        <v>119.97000000000003</v>
      </c>
      <c r="M2289" s="9">
        <f t="shared" si="142"/>
        <v>0.40909090909090917</v>
      </c>
      <c r="N2289" s="9">
        <f t="shared" si="143"/>
        <v>0.40909090909090917</v>
      </c>
    </row>
    <row r="2290" spans="1:14" x14ac:dyDescent="0.25">
      <c r="A2290" t="str">
        <f>TEXT("1/"&amp;data!A2290,"mmmm")</f>
        <v>août</v>
      </c>
      <c r="B2290">
        <f>data!B2290</f>
        <v>2016</v>
      </c>
      <c r="C2290" t="str">
        <f>data!C2290</f>
        <v>201</v>
      </c>
      <c r="D2290" t="str">
        <f>data!D2290</f>
        <v>CAVE LES COTEAUX DU RHONE</v>
      </c>
      <c r="E2290" t="str">
        <f>data!E2290</f>
        <v>201011</v>
      </c>
      <c r="F2290" t="str">
        <f>data!F2290</f>
        <v>AOP COTES DU RHONE</v>
      </c>
      <c r="G2290" s="10">
        <f>data!G2290</f>
        <v>393.9</v>
      </c>
      <c r="H2290" s="10">
        <f>data!I2290</f>
        <v>121.2</v>
      </c>
      <c r="I2290" s="10">
        <f t="shared" si="140"/>
        <v>272.7</v>
      </c>
      <c r="J2290" s="11">
        <f>data!H2290</f>
        <v>260.13</v>
      </c>
      <c r="K2290" s="11">
        <f>data!J2290</f>
        <v>80.039999999999992</v>
      </c>
      <c r="L2290" s="11">
        <f t="shared" si="141"/>
        <v>180.09</v>
      </c>
      <c r="M2290" s="9">
        <f t="shared" si="142"/>
        <v>2.25</v>
      </c>
      <c r="N2290" s="9">
        <f t="shared" si="143"/>
        <v>2.2500000000000004</v>
      </c>
    </row>
    <row r="2291" spans="1:14" x14ac:dyDescent="0.25">
      <c r="A2291" t="str">
        <f>TEXT("1/"&amp;data!A2291,"mmmm")</f>
        <v>août</v>
      </c>
      <c r="B2291">
        <f>data!B2291</f>
        <v>2016</v>
      </c>
      <c r="C2291" t="str">
        <f>data!C2291</f>
        <v>201</v>
      </c>
      <c r="D2291" t="str">
        <f>data!D2291</f>
        <v>CAVE LES COTEAUX DU RHONE</v>
      </c>
      <c r="E2291" t="str">
        <f>data!E2291</f>
        <v>201012</v>
      </c>
      <c r="F2291" t="str">
        <f>data!F2291</f>
        <v>AOP CDR VILLAGES PLAN DE DIEU PANICAUT</v>
      </c>
      <c r="G2291" s="10">
        <f>data!G2291</f>
        <v>175.2</v>
      </c>
      <c r="H2291" s="10">
        <f>data!I2291</f>
        <v>129.6</v>
      </c>
      <c r="I2291" s="10">
        <f t="shared" si="140"/>
        <v>45.599999999999994</v>
      </c>
      <c r="J2291" s="11">
        <f>data!H2291</f>
        <v>48</v>
      </c>
      <c r="K2291" s="11">
        <f>data!J2291</f>
        <v>36</v>
      </c>
      <c r="L2291" s="11">
        <f t="shared" si="141"/>
        <v>12</v>
      </c>
      <c r="M2291" s="9">
        <f t="shared" si="142"/>
        <v>0.3518518518518518</v>
      </c>
      <c r="N2291" s="9">
        <f t="shared" si="143"/>
        <v>0.33333333333333331</v>
      </c>
    </row>
    <row r="2292" spans="1:14" x14ac:dyDescent="0.25">
      <c r="A2292" t="str">
        <f>TEXT("1/"&amp;data!A2292,"mmmm")</f>
        <v>août</v>
      </c>
      <c r="B2292">
        <f>data!B2292</f>
        <v>2016</v>
      </c>
      <c r="C2292" t="str">
        <f>data!C2292</f>
        <v>201</v>
      </c>
      <c r="D2292" t="str">
        <f>data!D2292</f>
        <v>CAVE LES COTEAUX DU RHONE</v>
      </c>
      <c r="E2292" t="str">
        <f>data!E2292</f>
        <v>201013</v>
      </c>
      <c r="F2292" t="str">
        <f>data!F2292</f>
        <v>AOP CDR VILLAGES CAIRANNE LA BOSQUETTE</v>
      </c>
      <c r="G2292" s="10">
        <f>data!G2292</f>
        <v>23.1</v>
      </c>
      <c r="H2292" s="10">
        <f>data!I2292</f>
        <v>48.6</v>
      </c>
      <c r="I2292" s="10">
        <f t="shared" si="140"/>
        <v>-25.5</v>
      </c>
      <c r="J2292" s="11">
        <f>data!H2292</f>
        <v>6</v>
      </c>
      <c r="K2292" s="11">
        <f>data!J2292</f>
        <v>12</v>
      </c>
      <c r="L2292" s="11">
        <f t="shared" si="141"/>
        <v>-6</v>
      </c>
      <c r="M2292" s="9">
        <f t="shared" si="142"/>
        <v>-0.52469135802469136</v>
      </c>
      <c r="N2292" s="9">
        <f t="shared" si="143"/>
        <v>-0.5</v>
      </c>
    </row>
    <row r="2293" spans="1:14" x14ac:dyDescent="0.25">
      <c r="A2293" t="str">
        <f>TEXT("1/"&amp;data!A2293,"mmmm")</f>
        <v>août</v>
      </c>
      <c r="B2293">
        <f>data!B2293</f>
        <v>2016</v>
      </c>
      <c r="C2293" t="str">
        <f>data!C2293</f>
        <v>201</v>
      </c>
      <c r="D2293" t="str">
        <f>data!D2293</f>
        <v>CAVE LES COTEAUX DU RHONE</v>
      </c>
      <c r="E2293" t="str">
        <f>data!E2293</f>
        <v>201014</v>
      </c>
      <c r="F2293" t="str">
        <f>data!F2293</f>
        <v>AOP COTES DU RHONE VILLAGES JASOUN</v>
      </c>
      <c r="G2293" s="10">
        <f>data!G2293</f>
        <v>360</v>
      </c>
      <c r="H2293" s="10">
        <f>data!I2293</f>
        <v>306</v>
      </c>
      <c r="I2293" s="10">
        <f t="shared" si="140"/>
        <v>54</v>
      </c>
      <c r="J2293" s="11">
        <f>data!H2293</f>
        <v>120</v>
      </c>
      <c r="K2293" s="11">
        <f>data!J2293</f>
        <v>102</v>
      </c>
      <c r="L2293" s="11">
        <f t="shared" si="141"/>
        <v>18</v>
      </c>
      <c r="M2293" s="9">
        <f t="shared" si="142"/>
        <v>0.17647058823529413</v>
      </c>
      <c r="N2293" s="9">
        <f t="shared" si="143"/>
        <v>0.17647058823529413</v>
      </c>
    </row>
    <row r="2294" spans="1:14" x14ac:dyDescent="0.25">
      <c r="A2294" t="str">
        <f>TEXT("1/"&amp;data!A2294,"mmmm")</f>
        <v>août</v>
      </c>
      <c r="B2294">
        <f>data!B2294</f>
        <v>2016</v>
      </c>
      <c r="C2294" t="str">
        <f>data!C2294</f>
        <v>201</v>
      </c>
      <c r="D2294" t="str">
        <f>data!D2294</f>
        <v>CAVE LES COTEAUX DU RHONE</v>
      </c>
      <c r="E2294" t="str">
        <f>data!E2294</f>
        <v>201016</v>
      </c>
      <c r="F2294" t="str">
        <f>data!F2294</f>
        <v>AC COTES DU RHONE MAGIE D'UNE TERRE</v>
      </c>
      <c r="G2294" s="10">
        <f>data!G2294</f>
        <v>165.12</v>
      </c>
      <c r="H2294" s="10">
        <f>data!I2294</f>
        <v>165.12</v>
      </c>
      <c r="I2294" s="10">
        <f t="shared" si="140"/>
        <v>0</v>
      </c>
      <c r="J2294" s="11">
        <f>data!H2294</f>
        <v>48</v>
      </c>
      <c r="K2294" s="11">
        <f>data!J2294</f>
        <v>48</v>
      </c>
      <c r="L2294" s="11">
        <f t="shared" si="141"/>
        <v>0</v>
      </c>
      <c r="M2294" s="9">
        <f t="shared" si="142"/>
        <v>0</v>
      </c>
      <c r="N2294" s="9">
        <f t="shared" si="143"/>
        <v>0</v>
      </c>
    </row>
    <row r="2295" spans="1:14" x14ac:dyDescent="0.25">
      <c r="A2295" t="str">
        <f>TEXT("1/"&amp;data!A2295,"mmmm")</f>
        <v>août</v>
      </c>
      <c r="B2295">
        <f>data!B2295</f>
        <v>2016</v>
      </c>
      <c r="C2295" t="str">
        <f>data!C2295</f>
        <v>201</v>
      </c>
      <c r="D2295" t="str">
        <f>data!D2295</f>
        <v>CAVE LES COTEAUX DU RHONE</v>
      </c>
      <c r="E2295" t="str">
        <f>data!E2295</f>
        <v>201017</v>
      </c>
      <c r="F2295" t="str">
        <f>data!F2295</f>
        <v>IGP VAUCLUSE D'ORANGE CHASAN VERMENTINO</v>
      </c>
      <c r="G2295" s="10">
        <f>data!G2295</f>
        <v>41.25</v>
      </c>
      <c r="H2295" s="10">
        <f>data!I2295</f>
        <v>0</v>
      </c>
      <c r="I2295" s="10">
        <f t="shared" si="140"/>
        <v>41.25</v>
      </c>
      <c r="J2295" s="11">
        <f>data!H2295</f>
        <v>40.019999999999996</v>
      </c>
      <c r="K2295" s="11">
        <f>data!J2295</f>
        <v>0</v>
      </c>
      <c r="L2295" s="11">
        <f t="shared" si="141"/>
        <v>40.019999999999996</v>
      </c>
      <c r="M2295" s="9" t="str">
        <f t="shared" si="142"/>
        <v/>
      </c>
      <c r="N2295" s="9" t="str">
        <f t="shared" si="143"/>
        <v/>
      </c>
    </row>
    <row r="2296" spans="1:14" x14ac:dyDescent="0.25">
      <c r="A2296" t="str">
        <f>TEXT("1/"&amp;data!A2296,"mmmm")</f>
        <v>août</v>
      </c>
      <c r="B2296">
        <f>data!B2296</f>
        <v>2016</v>
      </c>
      <c r="C2296" t="str">
        <f>data!C2296</f>
        <v>201</v>
      </c>
      <c r="D2296" t="str">
        <f>data!D2296</f>
        <v>CAVE LES COTEAUX DU RHONE</v>
      </c>
      <c r="E2296" t="str">
        <f>data!E2296</f>
        <v>201018</v>
      </c>
      <c r="F2296" t="str">
        <f>data!F2296</f>
        <v>IGP VAUCLUSE D'ORANGE VIOGNIER</v>
      </c>
      <c r="G2296" s="10">
        <f>data!G2296</f>
        <v>143.75</v>
      </c>
      <c r="H2296" s="10">
        <f>data!I2296</f>
        <v>0</v>
      </c>
      <c r="I2296" s="10">
        <f t="shared" si="140"/>
        <v>143.75</v>
      </c>
      <c r="J2296" s="11">
        <f>data!H2296</f>
        <v>92</v>
      </c>
      <c r="K2296" s="11">
        <f>data!J2296</f>
        <v>0</v>
      </c>
      <c r="L2296" s="11">
        <f t="shared" si="141"/>
        <v>92</v>
      </c>
      <c r="M2296" s="9" t="str">
        <f t="shared" si="142"/>
        <v/>
      </c>
      <c r="N2296" s="9" t="str">
        <f t="shared" si="143"/>
        <v/>
      </c>
    </row>
    <row r="2297" spans="1:14" x14ac:dyDescent="0.25">
      <c r="A2297" t="str">
        <f>TEXT("1/"&amp;data!A2297,"mmmm")</f>
        <v>août</v>
      </c>
      <c r="B2297">
        <f>data!B2297</f>
        <v>2016</v>
      </c>
      <c r="C2297" t="str">
        <f>data!C2297</f>
        <v>201</v>
      </c>
      <c r="D2297" t="str">
        <f>data!D2297</f>
        <v>CAVE LES COTEAUX DU RHONE</v>
      </c>
      <c r="E2297" t="str">
        <f>data!E2297</f>
        <v>201022</v>
      </c>
      <c r="F2297" t="str">
        <f>data!F2297</f>
        <v>IGP PRINCIPAUTE D'ORANGE</v>
      </c>
      <c r="G2297" s="10">
        <f>data!G2297</f>
        <v>10.199999999999999</v>
      </c>
      <c r="H2297" s="10">
        <f>data!I2297</f>
        <v>106.05</v>
      </c>
      <c r="I2297" s="10">
        <f t="shared" si="140"/>
        <v>-95.85</v>
      </c>
      <c r="J2297" s="11">
        <f>data!H2297</f>
        <v>8</v>
      </c>
      <c r="K2297" s="11">
        <f>data!J2297</f>
        <v>84</v>
      </c>
      <c r="L2297" s="11">
        <f t="shared" si="141"/>
        <v>-76</v>
      </c>
      <c r="M2297" s="9">
        <f t="shared" si="142"/>
        <v>-0.90381895332390383</v>
      </c>
      <c r="N2297" s="9">
        <f t="shared" si="143"/>
        <v>-0.90476190476190477</v>
      </c>
    </row>
    <row r="2298" spans="1:14" x14ac:dyDescent="0.25">
      <c r="A2298" t="str">
        <f>TEXT("1/"&amp;data!A2298,"mmmm")</f>
        <v>août</v>
      </c>
      <c r="B2298">
        <f>data!B2298</f>
        <v>2016</v>
      </c>
      <c r="C2298" t="str">
        <f>data!C2298</f>
        <v>201</v>
      </c>
      <c r="D2298" t="str">
        <f>data!D2298</f>
        <v>CAVE LES COTEAUX DU RHONE</v>
      </c>
      <c r="E2298" t="str">
        <f>data!E2298</f>
        <v>201023</v>
      </c>
      <c r="F2298" t="str">
        <f>data!F2298</f>
        <v>AC COTES DU RHONE</v>
      </c>
      <c r="G2298" s="10">
        <f>data!G2298</f>
        <v>26.4</v>
      </c>
      <c r="H2298" s="10">
        <f>data!I2298</f>
        <v>39.6</v>
      </c>
      <c r="I2298" s="10">
        <f t="shared" si="140"/>
        <v>-13.200000000000003</v>
      </c>
      <c r="J2298" s="11">
        <f>data!H2298</f>
        <v>16</v>
      </c>
      <c r="K2298" s="11">
        <f>data!J2298</f>
        <v>24</v>
      </c>
      <c r="L2298" s="11">
        <f t="shared" si="141"/>
        <v>-8</v>
      </c>
      <c r="M2298" s="9">
        <f t="shared" si="142"/>
        <v>-0.33333333333333337</v>
      </c>
      <c r="N2298" s="9">
        <f t="shared" si="143"/>
        <v>-0.33333333333333331</v>
      </c>
    </row>
    <row r="2299" spans="1:14" x14ac:dyDescent="0.25">
      <c r="A2299" t="str">
        <f>TEXT("1/"&amp;data!A2299,"mmmm")</f>
        <v>août</v>
      </c>
      <c r="B2299">
        <f>data!B2299</f>
        <v>2016</v>
      </c>
      <c r="C2299" t="str">
        <f>data!C2299</f>
        <v>201</v>
      </c>
      <c r="D2299" t="str">
        <f>data!D2299</f>
        <v>CAVE LES COTEAUX DU RHONE</v>
      </c>
      <c r="E2299" t="str">
        <f>data!E2299</f>
        <v>201026</v>
      </c>
      <c r="F2299" t="str">
        <f>data!F2299</f>
        <v>IGP VAUCLUSE BALLADE DE COLLINE</v>
      </c>
      <c r="G2299" s="10">
        <f>data!G2299</f>
        <v>46.08</v>
      </c>
      <c r="H2299" s="10">
        <f>data!I2299</f>
        <v>229.9</v>
      </c>
      <c r="I2299" s="10">
        <f t="shared" si="140"/>
        <v>-183.82</v>
      </c>
      <c r="J2299" s="11">
        <f>data!H2299</f>
        <v>24</v>
      </c>
      <c r="K2299" s="11">
        <f>data!J2299</f>
        <v>132</v>
      </c>
      <c r="L2299" s="11">
        <f t="shared" si="141"/>
        <v>-108</v>
      </c>
      <c r="M2299" s="9">
        <f t="shared" si="142"/>
        <v>-0.79956502827316223</v>
      </c>
      <c r="N2299" s="9">
        <f t="shared" si="143"/>
        <v>-0.81818181818181823</v>
      </c>
    </row>
    <row r="2300" spans="1:14" x14ac:dyDescent="0.25">
      <c r="A2300" t="str">
        <f>TEXT("1/"&amp;data!A2300,"mmmm")</f>
        <v>août</v>
      </c>
      <c r="B2300">
        <f>data!B2300</f>
        <v>2016</v>
      </c>
      <c r="C2300" t="str">
        <f>data!C2300</f>
        <v>201</v>
      </c>
      <c r="D2300" t="str">
        <f>data!D2300</f>
        <v>CAVE LES COTEAUX DU RHONE</v>
      </c>
      <c r="E2300" t="str">
        <f>data!E2300</f>
        <v>201027</v>
      </c>
      <c r="F2300" t="str">
        <f>data!F2300</f>
        <v>IGP VAUCLUSE BALLADE DE COLLINE</v>
      </c>
      <c r="G2300" s="10">
        <f>data!G2300</f>
        <v>426.24</v>
      </c>
      <c r="H2300" s="10">
        <f>data!I2300</f>
        <v>323</v>
      </c>
      <c r="I2300" s="10">
        <f t="shared" si="140"/>
        <v>103.24000000000001</v>
      </c>
      <c r="J2300" s="11">
        <f>data!H2300</f>
        <v>222</v>
      </c>
      <c r="K2300" s="11">
        <f>data!J2300</f>
        <v>186</v>
      </c>
      <c r="L2300" s="11">
        <f t="shared" si="141"/>
        <v>36</v>
      </c>
      <c r="M2300" s="9">
        <f t="shared" si="142"/>
        <v>0.31962848297213625</v>
      </c>
      <c r="N2300" s="9">
        <f t="shared" si="143"/>
        <v>0.19354838709677419</v>
      </c>
    </row>
    <row r="2301" spans="1:14" x14ac:dyDescent="0.25">
      <c r="A2301" t="str">
        <f>TEXT("1/"&amp;data!A2301,"mmmm")</f>
        <v>août</v>
      </c>
      <c r="B2301">
        <f>data!B2301</f>
        <v>2016</v>
      </c>
      <c r="C2301" t="str">
        <f>data!C2301</f>
        <v>201</v>
      </c>
      <c r="D2301" t="str">
        <f>data!D2301</f>
        <v>CAVE LES COTEAUX DU RHONE</v>
      </c>
      <c r="E2301" t="str">
        <f>data!E2301</f>
        <v>201031</v>
      </c>
      <c r="F2301" t="str">
        <f>data!F2301</f>
        <v>IGP MEDITERRANNEE ROSE</v>
      </c>
      <c r="G2301" s="10">
        <f>data!G2301</f>
        <v>161.28</v>
      </c>
      <c r="H2301" s="10">
        <f>data!I2301</f>
        <v>0</v>
      </c>
      <c r="I2301" s="10">
        <f t="shared" si="140"/>
        <v>161.28</v>
      </c>
      <c r="J2301" s="11">
        <f>data!H2301</f>
        <v>90</v>
      </c>
      <c r="K2301" s="11">
        <f>data!J2301</f>
        <v>0</v>
      </c>
      <c r="L2301" s="11">
        <f t="shared" si="141"/>
        <v>90</v>
      </c>
      <c r="M2301" s="9" t="str">
        <f t="shared" si="142"/>
        <v/>
      </c>
      <c r="N2301" s="9" t="str">
        <f t="shared" si="143"/>
        <v/>
      </c>
    </row>
    <row r="2302" spans="1:14" x14ac:dyDescent="0.25">
      <c r="A2302" t="str">
        <f>TEXT("1/"&amp;data!A2302,"mmmm")</f>
        <v>août</v>
      </c>
      <c r="B2302">
        <f>data!B2302</f>
        <v>2016</v>
      </c>
      <c r="C2302" t="str">
        <f>data!C2302</f>
        <v>202</v>
      </c>
      <c r="D2302" t="str">
        <f>data!D2302</f>
        <v>TERRES D'ALLIANCE</v>
      </c>
      <c r="E2302" t="str">
        <f>data!E2302</f>
        <v>202002</v>
      </c>
      <c r="F2302" t="str">
        <f>data!F2302</f>
        <v>IGP VAUCLUSE LEA</v>
      </c>
      <c r="G2302" s="10">
        <f>data!G2302</f>
        <v>286.98</v>
      </c>
      <c r="H2302" s="10">
        <f>data!I2302</f>
        <v>403.92</v>
      </c>
      <c r="I2302" s="10">
        <f t="shared" si="140"/>
        <v>-116.94</v>
      </c>
      <c r="J2302" s="11">
        <f>data!H2302</f>
        <v>156</v>
      </c>
      <c r="K2302" s="11">
        <f>data!J2302</f>
        <v>198</v>
      </c>
      <c r="L2302" s="11">
        <f t="shared" si="141"/>
        <v>-42</v>
      </c>
      <c r="M2302" s="9">
        <f t="shared" si="142"/>
        <v>-0.28951277480689241</v>
      </c>
      <c r="N2302" s="9">
        <f t="shared" si="143"/>
        <v>-0.21212121212121213</v>
      </c>
    </row>
    <row r="2303" spans="1:14" x14ac:dyDescent="0.25">
      <c r="A2303" t="str">
        <f>TEXT("1/"&amp;data!A2303,"mmmm")</f>
        <v>août</v>
      </c>
      <c r="B2303">
        <f>data!B2303</f>
        <v>2016</v>
      </c>
      <c r="C2303" t="str">
        <f>data!C2303</f>
        <v>202</v>
      </c>
      <c r="D2303" t="str">
        <f>data!D2303</f>
        <v>TERRES D'ALLIANCE</v>
      </c>
      <c r="E2303" t="str">
        <f>data!E2303</f>
        <v>202003</v>
      </c>
      <c r="F2303" t="str">
        <f>data!F2303</f>
        <v>IGP VAUCLUSE LEA</v>
      </c>
      <c r="G2303" s="10">
        <f>data!G2303</f>
        <v>24.84</v>
      </c>
      <c r="H2303" s="10">
        <f>data!I2303</f>
        <v>97.92</v>
      </c>
      <c r="I2303" s="10">
        <f t="shared" si="140"/>
        <v>-73.08</v>
      </c>
      <c r="J2303" s="11">
        <f>data!H2303</f>
        <v>12</v>
      </c>
      <c r="K2303" s="11">
        <f>data!J2303</f>
        <v>48</v>
      </c>
      <c r="L2303" s="11">
        <f t="shared" si="141"/>
        <v>-36</v>
      </c>
      <c r="M2303" s="9">
        <f t="shared" si="142"/>
        <v>-0.74632352941176472</v>
      </c>
      <c r="N2303" s="9">
        <f t="shared" si="143"/>
        <v>-0.75</v>
      </c>
    </row>
    <row r="2304" spans="1:14" x14ac:dyDescent="0.25">
      <c r="A2304" t="str">
        <f>TEXT("1/"&amp;data!A2304,"mmmm")</f>
        <v>août</v>
      </c>
      <c r="B2304">
        <f>data!B2304</f>
        <v>2016</v>
      </c>
      <c r="C2304" t="str">
        <f>data!C2304</f>
        <v>202</v>
      </c>
      <c r="D2304" t="str">
        <f>data!D2304</f>
        <v>TERRES D'ALLIANCE</v>
      </c>
      <c r="E2304" t="str">
        <f>data!E2304</f>
        <v>202006</v>
      </c>
      <c r="F2304" t="str">
        <f>data!F2304</f>
        <v>AOP LUBERON FIEF</v>
      </c>
      <c r="G2304" s="10">
        <f>data!G2304</f>
        <v>16.8</v>
      </c>
      <c r="H2304" s="10">
        <f>data!I2304</f>
        <v>66.48</v>
      </c>
      <c r="I2304" s="10">
        <f t="shared" si="140"/>
        <v>-49.680000000000007</v>
      </c>
      <c r="J2304" s="11">
        <f>data!H2304</f>
        <v>6</v>
      </c>
      <c r="K2304" s="11">
        <f>data!J2304</f>
        <v>30</v>
      </c>
      <c r="L2304" s="11">
        <f t="shared" si="141"/>
        <v>-24</v>
      </c>
      <c r="M2304" s="9">
        <f t="shared" si="142"/>
        <v>-0.74729241877256325</v>
      </c>
      <c r="N2304" s="9">
        <f t="shared" si="143"/>
        <v>-0.8</v>
      </c>
    </row>
    <row r="2305" spans="1:14" x14ac:dyDescent="0.25">
      <c r="A2305" t="str">
        <f>TEXT("1/"&amp;data!A2305,"mmmm")</f>
        <v>août</v>
      </c>
      <c r="B2305">
        <f>data!B2305</f>
        <v>2016</v>
      </c>
      <c r="C2305" t="str">
        <f>data!C2305</f>
        <v>202</v>
      </c>
      <c r="D2305" t="str">
        <f>data!D2305</f>
        <v>TERRES D'ALLIANCE</v>
      </c>
      <c r="E2305" t="str">
        <f>data!E2305</f>
        <v>202007</v>
      </c>
      <c r="F2305" t="str">
        <f>data!F2305</f>
        <v>VDF ROSE FRUITE MUSCAT DE HAMBOURG</v>
      </c>
      <c r="G2305" s="10">
        <f>data!G2305</f>
        <v>26.4</v>
      </c>
      <c r="H2305" s="10">
        <f>data!I2305</f>
        <v>13.08</v>
      </c>
      <c r="I2305" s="10">
        <f t="shared" si="140"/>
        <v>13.319999999999999</v>
      </c>
      <c r="J2305" s="11">
        <f>data!H2305</f>
        <v>12</v>
      </c>
      <c r="K2305" s="11">
        <f>data!J2305</f>
        <v>6</v>
      </c>
      <c r="L2305" s="11">
        <f t="shared" si="141"/>
        <v>6</v>
      </c>
      <c r="M2305" s="9">
        <f t="shared" si="142"/>
        <v>1.0183486238532109</v>
      </c>
      <c r="N2305" s="9">
        <f t="shared" si="143"/>
        <v>1</v>
      </c>
    </row>
    <row r="2306" spans="1:14" x14ac:dyDescent="0.25">
      <c r="A2306" t="str">
        <f>TEXT("1/"&amp;data!A2306,"mmmm")</f>
        <v>août</v>
      </c>
      <c r="B2306">
        <f>data!B2306</f>
        <v>2016</v>
      </c>
      <c r="C2306" t="str">
        <f>data!C2306</f>
        <v>202</v>
      </c>
      <c r="D2306" t="str">
        <f>data!D2306</f>
        <v>TERRES D'ALLIANCE</v>
      </c>
      <c r="E2306" t="str">
        <f>data!E2306</f>
        <v>202010</v>
      </c>
      <c r="F2306" t="str">
        <f>data!F2306</f>
        <v>VIN DE FRANCE ROSE FRUITE LOUERION</v>
      </c>
      <c r="G2306" s="10">
        <f>data!G2306</f>
        <v>97.9</v>
      </c>
      <c r="H2306" s="10">
        <f>data!I2306</f>
        <v>151.30000000000001</v>
      </c>
      <c r="I2306" s="10">
        <f t="shared" si="140"/>
        <v>-53.400000000000006</v>
      </c>
      <c r="J2306" s="11">
        <f>data!H2306</f>
        <v>73.37</v>
      </c>
      <c r="K2306" s="11">
        <f>data!J2306</f>
        <v>120.06</v>
      </c>
      <c r="L2306" s="11">
        <f t="shared" si="141"/>
        <v>-46.69</v>
      </c>
      <c r="M2306" s="9">
        <f t="shared" si="142"/>
        <v>-0.35294117647058826</v>
      </c>
      <c r="N2306" s="9">
        <f t="shared" si="143"/>
        <v>-0.38888888888888884</v>
      </c>
    </row>
    <row r="2307" spans="1:14" x14ac:dyDescent="0.25">
      <c r="A2307" t="str">
        <f>TEXT("1/"&amp;data!A2307,"mmmm")</f>
        <v>août</v>
      </c>
      <c r="B2307">
        <f>data!B2307</f>
        <v>2016</v>
      </c>
      <c r="C2307" t="str">
        <f>data!C2307</f>
        <v>202</v>
      </c>
      <c r="D2307" t="str">
        <f>data!D2307</f>
        <v>TERRES D'ALLIANCE</v>
      </c>
      <c r="E2307" t="str">
        <f>data!E2307</f>
        <v>202015</v>
      </c>
      <c r="F2307" t="str">
        <f>data!F2307</f>
        <v>AOP LUBERON LOUERION</v>
      </c>
      <c r="G2307" s="10">
        <f>data!G2307</f>
        <v>59.7</v>
      </c>
      <c r="H2307" s="10">
        <f>data!I2307</f>
        <v>118.8</v>
      </c>
      <c r="I2307" s="10">
        <f t="shared" ref="I2307:I2370" si="144">G2307-H2307</f>
        <v>-59.099999999999994</v>
      </c>
      <c r="J2307" s="11">
        <f>data!H2307</f>
        <v>40.019999999999996</v>
      </c>
      <c r="K2307" s="11">
        <f>data!J2307</f>
        <v>80.039999999999992</v>
      </c>
      <c r="L2307" s="11">
        <f t="shared" ref="L2307:L2370" si="145">J2307-K2307</f>
        <v>-40.019999999999996</v>
      </c>
      <c r="M2307" s="9">
        <f t="shared" ref="M2307:M2370" si="146">IF(ISERR(I2307/H2307),"",I2307/H2307)</f>
        <v>-0.49747474747474746</v>
      </c>
      <c r="N2307" s="9">
        <f t="shared" ref="N2307:N2370" si="147">IF(ISERR(L2307/K2307),"",L2307/K2307)</f>
        <v>-0.5</v>
      </c>
    </row>
    <row r="2308" spans="1:14" x14ac:dyDescent="0.25">
      <c r="A2308" t="str">
        <f>TEXT("1/"&amp;data!A2308,"mmmm")</f>
        <v>août</v>
      </c>
      <c r="B2308">
        <f>data!B2308</f>
        <v>2016</v>
      </c>
      <c r="C2308" t="str">
        <f>data!C2308</f>
        <v>205</v>
      </c>
      <c r="D2308" t="str">
        <f>data!D2308</f>
        <v>DOMAINE DE MISELLE</v>
      </c>
      <c r="E2308" t="str">
        <f>data!E2308</f>
        <v>205001</v>
      </c>
      <c r="F2308" t="str">
        <f>data!F2308</f>
        <v>IGP COTES DE GASCOGNE SEC COLOMBARD G-MANSENG MISE</v>
      </c>
      <c r="G2308" s="10">
        <f>data!G2308</f>
        <v>337.5</v>
      </c>
      <c r="H2308" s="10">
        <f>data!I2308</f>
        <v>118.8</v>
      </c>
      <c r="I2308" s="10">
        <f t="shared" si="144"/>
        <v>218.7</v>
      </c>
      <c r="J2308" s="11">
        <f>data!H2308</f>
        <v>150</v>
      </c>
      <c r="K2308" s="11">
        <f>data!J2308</f>
        <v>54</v>
      </c>
      <c r="L2308" s="11">
        <f t="shared" si="145"/>
        <v>96</v>
      </c>
      <c r="M2308" s="9">
        <f t="shared" si="146"/>
        <v>1.8409090909090908</v>
      </c>
      <c r="N2308" s="9">
        <f t="shared" si="147"/>
        <v>1.7777777777777777</v>
      </c>
    </row>
    <row r="2309" spans="1:14" x14ac:dyDescent="0.25">
      <c r="A2309" t="str">
        <f>TEXT("1/"&amp;data!A2309,"mmmm")</f>
        <v>août</v>
      </c>
      <c r="B2309">
        <f>data!B2309</f>
        <v>2016</v>
      </c>
      <c r="C2309" t="str">
        <f>data!C2309</f>
        <v>205</v>
      </c>
      <c r="D2309" t="str">
        <f>data!D2309</f>
        <v>DOMAINE DE MISELLE</v>
      </c>
      <c r="E2309" t="str">
        <f>data!E2309</f>
        <v>205002</v>
      </c>
      <c r="F2309" t="str">
        <f>data!F2309</f>
        <v>IGP COTES DE GASCOGNE</v>
      </c>
      <c r="G2309" s="10">
        <f>data!G2309</f>
        <v>187.2</v>
      </c>
      <c r="H2309" s="10">
        <f>data!I2309</f>
        <v>84.6</v>
      </c>
      <c r="I2309" s="10">
        <f t="shared" si="144"/>
        <v>102.6</v>
      </c>
      <c r="J2309" s="11">
        <f>data!H2309</f>
        <v>78</v>
      </c>
      <c r="K2309" s="11">
        <f>data!J2309</f>
        <v>36</v>
      </c>
      <c r="L2309" s="11">
        <f t="shared" si="145"/>
        <v>42</v>
      </c>
      <c r="M2309" s="9">
        <f t="shared" si="146"/>
        <v>1.2127659574468086</v>
      </c>
      <c r="N2309" s="9">
        <f t="shared" si="147"/>
        <v>1.1666666666666667</v>
      </c>
    </row>
    <row r="2310" spans="1:14" x14ac:dyDescent="0.25">
      <c r="A2310" t="str">
        <f>TEXT("1/"&amp;data!A2310,"mmmm")</f>
        <v>août</v>
      </c>
      <c r="B2310">
        <f>data!B2310</f>
        <v>2016</v>
      </c>
      <c r="C2310" t="str">
        <f>data!C2310</f>
        <v>205</v>
      </c>
      <c r="D2310" t="str">
        <f>data!D2310</f>
        <v>DOMAINE DE MISELLE</v>
      </c>
      <c r="E2310" t="str">
        <f>data!E2310</f>
        <v>205003</v>
      </c>
      <c r="F2310" t="str">
        <f>data!F2310</f>
        <v>IGP COTES DE GASCOGNE PETIT MANSENG</v>
      </c>
      <c r="G2310" s="10">
        <f>data!G2310</f>
        <v>111</v>
      </c>
      <c r="H2310" s="10">
        <f>data!I2310</f>
        <v>0</v>
      </c>
      <c r="I2310" s="10">
        <f t="shared" si="144"/>
        <v>111</v>
      </c>
      <c r="J2310" s="11">
        <f>data!H2310</f>
        <v>30</v>
      </c>
      <c r="K2310" s="11">
        <f>data!J2310</f>
        <v>0</v>
      </c>
      <c r="L2310" s="11">
        <f t="shared" si="145"/>
        <v>30</v>
      </c>
      <c r="M2310" s="9" t="str">
        <f t="shared" si="146"/>
        <v/>
      </c>
      <c r="N2310" s="9" t="str">
        <f t="shared" si="147"/>
        <v/>
      </c>
    </row>
    <row r="2311" spans="1:14" x14ac:dyDescent="0.25">
      <c r="A2311" t="str">
        <f>TEXT("1/"&amp;data!A2311,"mmmm")</f>
        <v>août</v>
      </c>
      <c r="B2311">
        <f>data!B2311</f>
        <v>2016</v>
      </c>
      <c r="C2311" t="str">
        <f>data!C2311</f>
        <v>205</v>
      </c>
      <c r="D2311" t="str">
        <f>data!D2311</f>
        <v>DOMAINE DE MISELLE</v>
      </c>
      <c r="E2311" t="str">
        <f>data!E2311</f>
        <v>205004</v>
      </c>
      <c r="F2311" t="str">
        <f>data!F2311</f>
        <v>IGP COTES DE GASCOGNE MERLOT-TANNAT</v>
      </c>
      <c r="G2311" s="10">
        <f>data!G2311</f>
        <v>57.6</v>
      </c>
      <c r="H2311" s="10">
        <f>data!I2311</f>
        <v>42.3</v>
      </c>
      <c r="I2311" s="10">
        <f t="shared" si="144"/>
        <v>15.300000000000004</v>
      </c>
      <c r="J2311" s="11">
        <f>data!H2311</f>
        <v>24</v>
      </c>
      <c r="K2311" s="11">
        <f>data!J2311</f>
        <v>18</v>
      </c>
      <c r="L2311" s="11">
        <f t="shared" si="145"/>
        <v>6</v>
      </c>
      <c r="M2311" s="9">
        <f t="shared" si="146"/>
        <v>0.3617021276595746</v>
      </c>
      <c r="N2311" s="9">
        <f t="shared" si="147"/>
        <v>0.33333333333333331</v>
      </c>
    </row>
    <row r="2312" spans="1:14" x14ac:dyDescent="0.25">
      <c r="A2312" t="str">
        <f>TEXT("1/"&amp;data!A2312,"mmmm")</f>
        <v>août</v>
      </c>
      <c r="B2312">
        <f>data!B2312</f>
        <v>2016</v>
      </c>
      <c r="C2312" t="str">
        <f>data!C2312</f>
        <v>226</v>
      </c>
      <c r="D2312" t="str">
        <f>data!D2312</f>
        <v>SIEUR D'ARQUES</v>
      </c>
      <c r="E2312" t="str">
        <f>data!E2312</f>
        <v>226001</v>
      </c>
      <c r="F2312" t="str">
        <f>data!F2312</f>
        <v>AOP BLANQUETTE DE LIMOUX METHODE TRAD PREMIERE BUL</v>
      </c>
      <c r="G2312" s="10">
        <f>data!G2312</f>
        <v>636.29999999999995</v>
      </c>
      <c r="H2312" s="10">
        <f>data!I2312</f>
        <v>0</v>
      </c>
      <c r="I2312" s="10">
        <f t="shared" si="144"/>
        <v>636.29999999999995</v>
      </c>
      <c r="J2312" s="11">
        <f>data!H2312</f>
        <v>126</v>
      </c>
      <c r="K2312" s="11">
        <f>data!J2312</f>
        <v>0</v>
      </c>
      <c r="L2312" s="11">
        <f t="shared" si="145"/>
        <v>126</v>
      </c>
      <c r="M2312" s="9" t="str">
        <f t="shared" si="146"/>
        <v/>
      </c>
      <c r="N2312" s="9" t="str">
        <f t="shared" si="147"/>
        <v/>
      </c>
    </row>
    <row r="2313" spans="1:14" x14ac:dyDescent="0.25">
      <c r="A2313" t="str">
        <f>TEXT("1/"&amp;data!A2313,"mmmm")</f>
        <v>août</v>
      </c>
      <c r="B2313">
        <f>data!B2313</f>
        <v>2016</v>
      </c>
      <c r="C2313" t="str">
        <f>data!C2313</f>
        <v>229</v>
      </c>
      <c r="D2313" t="str">
        <f>data!D2313</f>
        <v>DOMAINE DU BOIS DU JOUR</v>
      </c>
      <c r="E2313" t="str">
        <f>data!E2313</f>
        <v>229008</v>
      </c>
      <c r="F2313" t="str">
        <f>data!F2313</f>
        <v>AOP COTEAUX BOURGUIGNON DME DU BOIS DU JOUR</v>
      </c>
      <c r="G2313" s="10">
        <f>data!G2313</f>
        <v>159.6</v>
      </c>
      <c r="H2313" s="10">
        <f>data!I2313</f>
        <v>0</v>
      </c>
      <c r="I2313" s="10">
        <f t="shared" si="144"/>
        <v>159.6</v>
      </c>
      <c r="J2313" s="11">
        <f>data!H2313</f>
        <v>42</v>
      </c>
      <c r="K2313" s="11">
        <f>data!J2313</f>
        <v>0</v>
      </c>
      <c r="L2313" s="11">
        <f t="shared" si="145"/>
        <v>42</v>
      </c>
      <c r="M2313" s="9" t="str">
        <f t="shared" si="146"/>
        <v/>
      </c>
      <c r="N2313" s="9" t="str">
        <f t="shared" si="147"/>
        <v/>
      </c>
    </row>
    <row r="2314" spans="1:14" x14ac:dyDescent="0.25">
      <c r="A2314" t="str">
        <f>TEXT("1/"&amp;data!A2314,"mmmm")</f>
        <v>août</v>
      </c>
      <c r="B2314">
        <f>data!B2314</f>
        <v>2016</v>
      </c>
      <c r="C2314" t="str">
        <f>data!C2314</f>
        <v>229</v>
      </c>
      <c r="D2314" t="str">
        <f>data!D2314</f>
        <v>DOMAINE DU BOIS DU JOUR</v>
      </c>
      <c r="E2314" t="str">
        <f>data!E2314</f>
        <v>229009</v>
      </c>
      <c r="F2314" t="str">
        <f>data!F2314</f>
        <v>AOP COTEAUX BOURGUIGNON DME DU BOIS DU JOUR</v>
      </c>
      <c r="G2314" s="10">
        <f>data!G2314</f>
        <v>52.2</v>
      </c>
      <c r="H2314" s="10">
        <f>data!I2314</f>
        <v>0</v>
      </c>
      <c r="I2314" s="10">
        <f t="shared" si="144"/>
        <v>52.2</v>
      </c>
      <c r="J2314" s="11">
        <f>data!H2314</f>
        <v>12</v>
      </c>
      <c r="K2314" s="11">
        <f>data!J2314</f>
        <v>0</v>
      </c>
      <c r="L2314" s="11">
        <f t="shared" si="145"/>
        <v>12</v>
      </c>
      <c r="M2314" s="9" t="str">
        <f t="shared" si="146"/>
        <v/>
      </c>
      <c r="N2314" s="9" t="str">
        <f t="shared" si="147"/>
        <v/>
      </c>
    </row>
    <row r="2315" spans="1:14" x14ac:dyDescent="0.25">
      <c r="A2315" t="str">
        <f>TEXT("1/"&amp;data!A2315,"mmmm")</f>
        <v>septembre</v>
      </c>
      <c r="B2315">
        <f>data!B2315</f>
        <v>2016</v>
      </c>
      <c r="C2315" t="str">
        <f>data!C2315</f>
        <v>002</v>
      </c>
      <c r="D2315" t="str">
        <f>data!D2315</f>
        <v>CAVE DE GALLICIAN</v>
      </c>
      <c r="E2315" t="str">
        <f>data!E2315</f>
        <v>002001</v>
      </c>
      <c r="F2315" t="str">
        <f>data!F2315</f>
        <v>VDP MERLOT C.GALLICIAN</v>
      </c>
      <c r="G2315" s="10">
        <f>data!G2315</f>
        <v>3403.38</v>
      </c>
      <c r="H2315" s="10">
        <f>data!I2315</f>
        <v>5700.24</v>
      </c>
      <c r="I2315" s="10">
        <f t="shared" si="144"/>
        <v>-2296.8599999999997</v>
      </c>
      <c r="J2315" s="11">
        <f>data!H2315</f>
        <v>2894.7799999999997</v>
      </c>
      <c r="K2315" s="11">
        <f>data!J2315</f>
        <v>5029.18</v>
      </c>
      <c r="L2315" s="11">
        <f t="shared" si="145"/>
        <v>-2134.4000000000005</v>
      </c>
      <c r="M2315" s="9">
        <f t="shared" si="146"/>
        <v>-0.4029409288029977</v>
      </c>
      <c r="N2315" s="9">
        <f t="shared" si="147"/>
        <v>-0.42440318302387275</v>
      </c>
    </row>
    <row r="2316" spans="1:14" x14ac:dyDescent="0.25">
      <c r="A2316" t="str">
        <f>TEXT("1/"&amp;data!A2316,"mmmm")</f>
        <v>septembre</v>
      </c>
      <c r="B2316">
        <f>data!B2316</f>
        <v>2016</v>
      </c>
      <c r="C2316" t="str">
        <f>data!C2316</f>
        <v>002</v>
      </c>
      <c r="D2316" t="str">
        <f>data!D2316</f>
        <v>CAVE DE GALLICIAN</v>
      </c>
      <c r="E2316" t="str">
        <f>data!E2316</f>
        <v>002002</v>
      </c>
      <c r="F2316" t="str">
        <f>data!F2316</f>
        <v>VDP MERLOT. C GALLICIAN</v>
      </c>
      <c r="G2316" s="10">
        <f>data!G2316</f>
        <v>11423.62</v>
      </c>
      <c r="H2316" s="10">
        <f>data!I2316</f>
        <v>17370.75</v>
      </c>
      <c r="I2316" s="10">
        <f t="shared" si="144"/>
        <v>-5947.1299999999992</v>
      </c>
      <c r="J2316" s="11">
        <f>data!H2316</f>
        <v>11077.23</v>
      </c>
      <c r="K2316" s="11">
        <f>data!J2316</f>
        <v>17515.62</v>
      </c>
      <c r="L2316" s="11">
        <f t="shared" si="145"/>
        <v>-6438.3899999999994</v>
      </c>
      <c r="M2316" s="9">
        <f t="shared" si="146"/>
        <v>-0.34236460717009909</v>
      </c>
      <c r="N2316" s="9">
        <f t="shared" si="147"/>
        <v>-0.36757990867579909</v>
      </c>
    </row>
    <row r="2317" spans="1:14" x14ac:dyDescent="0.25">
      <c r="A2317" t="str">
        <f>TEXT("1/"&amp;data!A2317,"mmmm")</f>
        <v>septembre</v>
      </c>
      <c r="B2317">
        <f>data!B2317</f>
        <v>2016</v>
      </c>
      <c r="C2317" t="str">
        <f>data!C2317</f>
        <v>002</v>
      </c>
      <c r="D2317" t="str">
        <f>data!D2317</f>
        <v>CAVE DE GALLICIAN</v>
      </c>
      <c r="E2317" t="str">
        <f>data!E2317</f>
        <v>002003</v>
      </c>
      <c r="F2317" t="str">
        <f>data!F2317</f>
        <v>VDP GARD. C GALLICIAN</v>
      </c>
      <c r="G2317" s="10">
        <f>data!G2317</f>
        <v>6058.28</v>
      </c>
      <c r="H2317" s="10">
        <f>data!I2317</f>
        <v>5569.5</v>
      </c>
      <c r="I2317" s="10">
        <f t="shared" si="144"/>
        <v>488.77999999999975</v>
      </c>
      <c r="J2317" s="11">
        <f>data!H2317</f>
        <v>6518.37</v>
      </c>
      <c r="K2317" s="11">
        <f>data!J2317</f>
        <v>6265.1</v>
      </c>
      <c r="L2317" s="11">
        <f t="shared" si="145"/>
        <v>253.26999999999953</v>
      </c>
      <c r="M2317" s="9">
        <f t="shared" si="146"/>
        <v>8.7760122093545154E-2</v>
      </c>
      <c r="N2317" s="9">
        <f t="shared" si="147"/>
        <v>4.0425531914893537E-2</v>
      </c>
    </row>
    <row r="2318" spans="1:14" x14ac:dyDescent="0.25">
      <c r="A2318" t="str">
        <f>TEXT("1/"&amp;data!A2318,"mmmm")</f>
        <v>septembre</v>
      </c>
      <c r="B2318">
        <f>data!B2318</f>
        <v>2016</v>
      </c>
      <c r="C2318" t="str">
        <f>data!C2318</f>
        <v>002</v>
      </c>
      <c r="D2318" t="str">
        <f>data!D2318</f>
        <v>CAVE DE GALLICIAN</v>
      </c>
      <c r="E2318" t="str">
        <f>data!E2318</f>
        <v>002004</v>
      </c>
      <c r="F2318" t="str">
        <f>data!F2318</f>
        <v>VDP GARD. C GALLICIAN</v>
      </c>
      <c r="G2318" s="10">
        <f>data!G2318</f>
        <v>1359.94</v>
      </c>
      <c r="H2318" s="10">
        <f>data!I2318</f>
        <v>2291.91</v>
      </c>
      <c r="I2318" s="10">
        <f t="shared" si="144"/>
        <v>-931.9699999999998</v>
      </c>
      <c r="J2318" s="11">
        <f>data!H2318</f>
        <v>1307.32</v>
      </c>
      <c r="K2318" s="11">
        <f>data!J2318</f>
        <v>2121.06</v>
      </c>
      <c r="L2318" s="11">
        <f t="shared" si="145"/>
        <v>-813.74</v>
      </c>
      <c r="M2318" s="9">
        <f t="shared" si="146"/>
        <v>-0.40663464097630353</v>
      </c>
      <c r="N2318" s="9">
        <f t="shared" si="147"/>
        <v>-0.38364779874213839</v>
      </c>
    </row>
    <row r="2319" spans="1:14" x14ac:dyDescent="0.25">
      <c r="A2319" t="str">
        <f>TEXT("1/"&amp;data!A2319,"mmmm")</f>
        <v>septembre</v>
      </c>
      <c r="B2319">
        <f>data!B2319</f>
        <v>2016</v>
      </c>
      <c r="C2319" t="str">
        <f>data!C2319</f>
        <v>002</v>
      </c>
      <c r="D2319" t="str">
        <f>data!D2319</f>
        <v>CAVE DE GALLICIAN</v>
      </c>
      <c r="E2319" t="str">
        <f>data!E2319</f>
        <v>002007</v>
      </c>
      <c r="F2319" t="str">
        <f>data!F2319</f>
        <v>VDT C GALLICIAN</v>
      </c>
      <c r="G2319" s="10">
        <f>data!G2319</f>
        <v>3804.64</v>
      </c>
      <c r="H2319" s="10">
        <f>data!I2319</f>
        <v>3751.92</v>
      </c>
      <c r="I2319" s="10">
        <f t="shared" si="144"/>
        <v>52.7199999999998</v>
      </c>
      <c r="J2319" s="11">
        <f>data!H2319</f>
        <v>4212.28</v>
      </c>
      <c r="K2319" s="11">
        <f>data!J2319</f>
        <v>4332.25</v>
      </c>
      <c r="L2319" s="11">
        <f t="shared" si="145"/>
        <v>-119.97000000000025</v>
      </c>
      <c r="M2319" s="9">
        <f t="shared" si="146"/>
        <v>1.4051472312842438E-2</v>
      </c>
      <c r="N2319" s="9">
        <f t="shared" si="147"/>
        <v>-2.7692307692307752E-2</v>
      </c>
    </row>
    <row r="2320" spans="1:14" x14ac:dyDescent="0.25">
      <c r="A2320" t="str">
        <f>TEXT("1/"&amp;data!A2320,"mmmm")</f>
        <v>septembre</v>
      </c>
      <c r="B2320">
        <f>data!B2320</f>
        <v>2016</v>
      </c>
      <c r="C2320" t="str">
        <f>data!C2320</f>
        <v>002</v>
      </c>
      <c r="D2320" t="str">
        <f>data!D2320</f>
        <v>CAVE DE GALLICIAN</v>
      </c>
      <c r="E2320" t="str">
        <f>data!E2320</f>
        <v>002008</v>
      </c>
      <c r="F2320" t="str">
        <f>data!F2320</f>
        <v>VDT. C GALLICIAN</v>
      </c>
      <c r="G2320" s="10">
        <f>data!G2320</f>
        <v>2294.34</v>
      </c>
      <c r="H2320" s="10">
        <f>data!I2320</f>
        <v>5338.85</v>
      </c>
      <c r="I2320" s="10">
        <f t="shared" si="144"/>
        <v>-3044.51</v>
      </c>
      <c r="J2320" s="11">
        <f>data!H2320</f>
        <v>2693.67</v>
      </c>
      <c r="K2320" s="11">
        <f>data!J2320</f>
        <v>6747.51</v>
      </c>
      <c r="L2320" s="11">
        <f t="shared" si="145"/>
        <v>-4053.84</v>
      </c>
      <c r="M2320" s="9">
        <f t="shared" si="146"/>
        <v>-0.57025576669132871</v>
      </c>
      <c r="N2320" s="9">
        <f t="shared" si="147"/>
        <v>-0.60079051383399207</v>
      </c>
    </row>
    <row r="2321" spans="1:14" x14ac:dyDescent="0.25">
      <c r="A2321" t="str">
        <f>TEXT("1/"&amp;data!A2321,"mmmm")</f>
        <v>septembre</v>
      </c>
      <c r="B2321">
        <f>data!B2321</f>
        <v>2016</v>
      </c>
      <c r="C2321" t="str">
        <f>data!C2321</f>
        <v>002</v>
      </c>
      <c r="D2321" t="str">
        <f>data!D2321</f>
        <v>CAVE DE GALLICIAN</v>
      </c>
      <c r="E2321" t="str">
        <f>data!E2321</f>
        <v>002009</v>
      </c>
      <c r="F2321" t="str">
        <f>data!F2321</f>
        <v>VDT. C GALLICIAN</v>
      </c>
      <c r="G2321" s="10">
        <f>data!G2321</f>
        <v>1384.08</v>
      </c>
      <c r="H2321" s="10">
        <f>data!I2321</f>
        <v>1752.8</v>
      </c>
      <c r="I2321" s="10">
        <f t="shared" si="144"/>
        <v>-368.72</v>
      </c>
      <c r="J2321" s="11">
        <f>data!H2321</f>
        <v>1680.21</v>
      </c>
      <c r="K2321" s="11">
        <f>data!J2321</f>
        <v>2160.27</v>
      </c>
      <c r="L2321" s="11">
        <f t="shared" si="145"/>
        <v>-480.05999999999995</v>
      </c>
      <c r="M2321" s="9">
        <f t="shared" si="146"/>
        <v>-0.21036056595162028</v>
      </c>
      <c r="N2321" s="9">
        <f t="shared" si="147"/>
        <v>-0.22222222222222221</v>
      </c>
    </row>
    <row r="2322" spans="1:14" x14ac:dyDescent="0.25">
      <c r="A2322" t="str">
        <f>TEXT("1/"&amp;data!A2322,"mmmm")</f>
        <v>septembre</v>
      </c>
      <c r="B2322">
        <f>data!B2322</f>
        <v>2016</v>
      </c>
      <c r="C2322" t="str">
        <f>data!C2322</f>
        <v>002</v>
      </c>
      <c r="D2322" t="str">
        <f>data!D2322</f>
        <v>CAVE DE GALLICIAN</v>
      </c>
      <c r="E2322" t="str">
        <f>data!E2322</f>
        <v>002010</v>
      </c>
      <c r="F2322" t="str">
        <f>data!F2322</f>
        <v>AC C. DE NIMES. C GALLICIAN</v>
      </c>
      <c r="G2322" s="10">
        <f>data!G2322</f>
        <v>991.1</v>
      </c>
      <c r="H2322" s="10">
        <f>data!I2322</f>
        <v>2986.12</v>
      </c>
      <c r="I2322" s="10">
        <f t="shared" si="144"/>
        <v>-1995.02</v>
      </c>
      <c r="J2322" s="11">
        <f>data!H2322</f>
        <v>713.68999999999994</v>
      </c>
      <c r="K2322" s="11">
        <f>data!J2322</f>
        <v>2201.1</v>
      </c>
      <c r="L2322" s="11">
        <f t="shared" si="145"/>
        <v>-1487.4099999999999</v>
      </c>
      <c r="M2322" s="9">
        <f t="shared" si="146"/>
        <v>-0.66809773217419266</v>
      </c>
      <c r="N2322" s="9">
        <f t="shared" si="147"/>
        <v>-0.67575757575757567</v>
      </c>
    </row>
    <row r="2323" spans="1:14" x14ac:dyDescent="0.25">
      <c r="A2323" t="str">
        <f>TEXT("1/"&amp;data!A2323,"mmmm")</f>
        <v>septembre</v>
      </c>
      <c r="B2323">
        <f>data!B2323</f>
        <v>2016</v>
      </c>
      <c r="C2323" t="str">
        <f>data!C2323</f>
        <v>002</v>
      </c>
      <c r="D2323" t="str">
        <f>data!D2323</f>
        <v>CAVE DE GALLICIAN</v>
      </c>
      <c r="E2323" t="str">
        <f>data!E2323</f>
        <v>002011</v>
      </c>
      <c r="F2323" t="str">
        <f>data!F2323</f>
        <v>AC C DE NIMES C. GALLICIAN</v>
      </c>
      <c r="G2323" s="10">
        <f>data!G2323</f>
        <v>2617.19</v>
      </c>
      <c r="H2323" s="10">
        <f>data!I2323</f>
        <v>4303.88</v>
      </c>
      <c r="I2323" s="10">
        <f t="shared" si="144"/>
        <v>-1686.69</v>
      </c>
      <c r="J2323" s="11">
        <f>data!H2323</f>
        <v>2092.81</v>
      </c>
      <c r="K2323" s="11">
        <f>data!J2323</f>
        <v>3545.78</v>
      </c>
      <c r="L2323" s="11">
        <f t="shared" si="145"/>
        <v>-1452.9700000000003</v>
      </c>
      <c r="M2323" s="9">
        <f t="shared" si="146"/>
        <v>-0.39189986709666624</v>
      </c>
      <c r="N2323" s="9">
        <f t="shared" si="147"/>
        <v>-0.40977443609022562</v>
      </c>
    </row>
    <row r="2324" spans="1:14" x14ac:dyDescent="0.25">
      <c r="A2324" t="str">
        <f>TEXT("1/"&amp;data!A2324,"mmmm")</f>
        <v>septembre</v>
      </c>
      <c r="B2324">
        <f>data!B2324</f>
        <v>2016</v>
      </c>
      <c r="C2324" t="str">
        <f>data!C2324</f>
        <v>002</v>
      </c>
      <c r="D2324" t="str">
        <f>data!D2324</f>
        <v>CAVE DE GALLICIAN</v>
      </c>
      <c r="E2324" t="str">
        <f>data!E2324</f>
        <v>002015</v>
      </c>
      <c r="F2324" t="str">
        <f>data!F2324</f>
        <v>AC C DE NIMES C. GALLICIAN</v>
      </c>
      <c r="G2324" s="10">
        <f>data!G2324</f>
        <v>3334</v>
      </c>
      <c r="H2324" s="10">
        <f>data!I2324</f>
        <v>6811.78</v>
      </c>
      <c r="I2324" s="10">
        <f t="shared" si="144"/>
        <v>-3477.7799999999997</v>
      </c>
      <c r="J2324" s="11">
        <f>data!H2324</f>
        <v>2679.33</v>
      </c>
      <c r="K2324" s="11">
        <f>data!J2324</f>
        <v>5611.93</v>
      </c>
      <c r="L2324" s="11">
        <f t="shared" si="145"/>
        <v>-2932.6000000000004</v>
      </c>
      <c r="M2324" s="9">
        <f t="shared" si="146"/>
        <v>-0.51055377595870677</v>
      </c>
      <c r="N2324" s="9">
        <f t="shared" si="147"/>
        <v>-0.52256532066508321</v>
      </c>
    </row>
    <row r="2325" spans="1:14" x14ac:dyDescent="0.25">
      <c r="A2325" t="str">
        <f>TEXT("1/"&amp;data!A2325,"mmmm")</f>
        <v>septembre</v>
      </c>
      <c r="B2325">
        <f>data!B2325</f>
        <v>2016</v>
      </c>
      <c r="C2325" t="str">
        <f>data!C2325</f>
        <v>002</v>
      </c>
      <c r="D2325" t="str">
        <f>data!D2325</f>
        <v>CAVE DE GALLICIAN</v>
      </c>
      <c r="E2325" t="str">
        <f>data!E2325</f>
        <v>002016</v>
      </c>
      <c r="F2325" t="str">
        <f>data!F2325</f>
        <v>AC C DE NIMES C. GALLICIAN</v>
      </c>
      <c r="G2325" s="10">
        <f>data!G2325</f>
        <v>3045.05</v>
      </c>
      <c r="H2325" s="10">
        <f>data!I2325</f>
        <v>4340.24</v>
      </c>
      <c r="I2325" s="10">
        <f t="shared" si="144"/>
        <v>-1295.1899999999996</v>
      </c>
      <c r="J2325" s="11">
        <f>data!H2325</f>
        <v>2134.4</v>
      </c>
      <c r="K2325" s="11">
        <f>data!J2325</f>
        <v>3201.6</v>
      </c>
      <c r="L2325" s="11">
        <f t="shared" si="145"/>
        <v>-1067.1999999999998</v>
      </c>
      <c r="M2325" s="9">
        <f t="shared" si="146"/>
        <v>-0.29841437339870597</v>
      </c>
      <c r="N2325" s="9">
        <f t="shared" si="147"/>
        <v>-0.33333333333333326</v>
      </c>
    </row>
    <row r="2326" spans="1:14" x14ac:dyDescent="0.25">
      <c r="A2326" t="str">
        <f>TEXT("1/"&amp;data!A2326,"mmmm")</f>
        <v>septembre</v>
      </c>
      <c r="B2326">
        <f>data!B2326</f>
        <v>2016</v>
      </c>
      <c r="C2326" t="str">
        <f>data!C2326</f>
        <v>002</v>
      </c>
      <c r="D2326" t="str">
        <f>data!D2326</f>
        <v>CAVE DE GALLICIAN</v>
      </c>
      <c r="E2326" t="str">
        <f>data!E2326</f>
        <v>002017</v>
      </c>
      <c r="F2326" t="str">
        <f>data!F2326</f>
        <v>VDP GARD C. GALLICIAN</v>
      </c>
      <c r="G2326" s="10">
        <f>data!G2326</f>
        <v>6929.08</v>
      </c>
      <c r="H2326" s="10">
        <f>data!I2326</f>
        <v>6518.2</v>
      </c>
      <c r="I2326" s="10">
        <f t="shared" si="144"/>
        <v>410.88000000000011</v>
      </c>
      <c r="J2326" s="11">
        <f>data!H2326</f>
        <v>7478.13</v>
      </c>
      <c r="K2326" s="11">
        <f>data!J2326</f>
        <v>7278.18</v>
      </c>
      <c r="L2326" s="11">
        <f t="shared" si="145"/>
        <v>199.94999999999982</v>
      </c>
      <c r="M2326" s="9">
        <f t="shared" si="146"/>
        <v>6.3035807431499516E-2</v>
      </c>
      <c r="N2326" s="9">
        <f t="shared" si="147"/>
        <v>2.7472527472527448E-2</v>
      </c>
    </row>
    <row r="2327" spans="1:14" x14ac:dyDescent="0.25">
      <c r="A2327" t="str">
        <f>TEXT("1/"&amp;data!A2327,"mmmm")</f>
        <v>septembre</v>
      </c>
      <c r="B2327">
        <f>data!B2327</f>
        <v>2016</v>
      </c>
      <c r="C2327" t="str">
        <f>data!C2327</f>
        <v>002</v>
      </c>
      <c r="D2327" t="str">
        <f>data!D2327</f>
        <v>CAVE DE GALLICIAN</v>
      </c>
      <c r="E2327" t="str">
        <f>data!E2327</f>
        <v>002018</v>
      </c>
      <c r="F2327" t="str">
        <f>data!F2327</f>
        <v>VDP GARD C. GALLICIAN</v>
      </c>
      <c r="G2327" s="10">
        <f>data!G2327</f>
        <v>2807.7</v>
      </c>
      <c r="H2327" s="10">
        <f>data!I2327</f>
        <v>3878.75</v>
      </c>
      <c r="I2327" s="10">
        <f t="shared" si="144"/>
        <v>-1071.0500000000002</v>
      </c>
      <c r="J2327" s="11">
        <f>data!H2327</f>
        <v>2501.25</v>
      </c>
      <c r="K2327" s="11">
        <f>data!J2327</f>
        <v>3568.45</v>
      </c>
      <c r="L2327" s="11">
        <f t="shared" si="145"/>
        <v>-1067.1999999999998</v>
      </c>
      <c r="M2327" s="9">
        <f t="shared" si="146"/>
        <v>-0.27613277473412828</v>
      </c>
      <c r="N2327" s="9">
        <f t="shared" si="147"/>
        <v>-0.29906542056074764</v>
      </c>
    </row>
    <row r="2328" spans="1:14" x14ac:dyDescent="0.25">
      <c r="A2328" t="str">
        <f>TEXT("1/"&amp;data!A2328,"mmmm")</f>
        <v>septembre</v>
      </c>
      <c r="B2328">
        <f>data!B2328</f>
        <v>2016</v>
      </c>
      <c r="C2328" t="str">
        <f>data!C2328</f>
        <v>002</v>
      </c>
      <c r="D2328" t="str">
        <f>data!D2328</f>
        <v>CAVE DE GALLICIAN</v>
      </c>
      <c r="E2328" t="str">
        <f>data!E2328</f>
        <v>002020</v>
      </c>
      <c r="F2328" t="str">
        <f>data!F2328</f>
        <v>AC C DE NIMES C DES LAUNES</v>
      </c>
      <c r="G2328" s="10">
        <f>data!G2328</f>
        <v>2454.9</v>
      </c>
      <c r="H2328" s="10">
        <f>data!I2328</f>
        <v>2404.8000000000002</v>
      </c>
      <c r="I2328" s="10">
        <f t="shared" si="144"/>
        <v>50.099999999999909</v>
      </c>
      <c r="J2328" s="11">
        <f>data!H2328</f>
        <v>1002</v>
      </c>
      <c r="K2328" s="11">
        <f>data!J2328</f>
        <v>1002</v>
      </c>
      <c r="L2328" s="11">
        <f t="shared" si="145"/>
        <v>0</v>
      </c>
      <c r="M2328" s="9">
        <f t="shared" si="146"/>
        <v>2.0833333333333294E-2</v>
      </c>
      <c r="N2328" s="9">
        <f t="shared" si="147"/>
        <v>0</v>
      </c>
    </row>
    <row r="2329" spans="1:14" x14ac:dyDescent="0.25">
      <c r="A2329" t="str">
        <f>TEXT("1/"&amp;data!A2329,"mmmm")</f>
        <v>septembre</v>
      </c>
      <c r="B2329">
        <f>data!B2329</f>
        <v>2016</v>
      </c>
      <c r="C2329" t="str">
        <f>data!C2329</f>
        <v>002</v>
      </c>
      <c r="D2329" t="str">
        <f>data!D2329</f>
        <v>CAVE DE GALLICIAN</v>
      </c>
      <c r="E2329" t="str">
        <f>data!E2329</f>
        <v>002025</v>
      </c>
      <c r="F2329" t="str">
        <f>data!F2329</f>
        <v>AC COSTIERES DE NIMES CUVEE PRESTIGE</v>
      </c>
      <c r="G2329" s="10">
        <f>data!G2329</f>
        <v>26.28</v>
      </c>
      <c r="H2329" s="10">
        <f>data!I2329</f>
        <v>118.26</v>
      </c>
      <c r="I2329" s="10">
        <f t="shared" si="144"/>
        <v>-91.98</v>
      </c>
      <c r="J2329" s="11">
        <f>data!H2329</f>
        <v>12</v>
      </c>
      <c r="K2329" s="11">
        <f>data!J2329</f>
        <v>54</v>
      </c>
      <c r="L2329" s="11">
        <f t="shared" si="145"/>
        <v>-42</v>
      </c>
      <c r="M2329" s="9">
        <f t="shared" si="146"/>
        <v>-0.77777777777777779</v>
      </c>
      <c r="N2329" s="9">
        <f t="shared" si="147"/>
        <v>-0.77777777777777779</v>
      </c>
    </row>
    <row r="2330" spans="1:14" x14ac:dyDescent="0.25">
      <c r="A2330" t="str">
        <f>TEXT("1/"&amp;data!A2330,"mmmm")</f>
        <v>septembre</v>
      </c>
      <c r="B2330">
        <f>data!B2330</f>
        <v>2016</v>
      </c>
      <c r="C2330" t="str">
        <f>data!C2330</f>
        <v>002</v>
      </c>
      <c r="D2330" t="str">
        <f>data!D2330</f>
        <v>CAVE DE GALLICIAN</v>
      </c>
      <c r="E2330" t="str">
        <f>data!E2330</f>
        <v>002026</v>
      </c>
      <c r="F2330" t="str">
        <f>data!F2330</f>
        <v>IGP GARD GRES D'OR</v>
      </c>
      <c r="G2330" s="10">
        <f>data!G2330</f>
        <v>173.04</v>
      </c>
      <c r="H2330" s="10">
        <f>data!I2330</f>
        <v>196.32</v>
      </c>
      <c r="I2330" s="10">
        <f t="shared" si="144"/>
        <v>-23.28</v>
      </c>
      <c r="J2330" s="11">
        <f>data!H2330</f>
        <v>84</v>
      </c>
      <c r="K2330" s="11">
        <f>data!J2330</f>
        <v>96</v>
      </c>
      <c r="L2330" s="11">
        <f t="shared" si="145"/>
        <v>-12</v>
      </c>
      <c r="M2330" s="9">
        <f t="shared" si="146"/>
        <v>-0.11858190709046455</v>
      </c>
      <c r="N2330" s="9">
        <f t="shared" si="147"/>
        <v>-0.125</v>
      </c>
    </row>
    <row r="2331" spans="1:14" x14ac:dyDescent="0.25">
      <c r="A2331" t="str">
        <f>TEXT("1/"&amp;data!A2331,"mmmm")</f>
        <v>septembre</v>
      </c>
      <c r="B2331">
        <f>data!B2331</f>
        <v>2016</v>
      </c>
      <c r="C2331" t="str">
        <f>data!C2331</f>
        <v>002</v>
      </c>
      <c r="D2331" t="str">
        <f>data!D2331</f>
        <v>CAVE DE GALLICIAN</v>
      </c>
      <c r="E2331" t="str">
        <f>data!E2331</f>
        <v>002027</v>
      </c>
      <c r="F2331" t="str">
        <f>data!F2331</f>
        <v>IGP D'OC  GRIS DES LAUNES  GALLICIAN</v>
      </c>
      <c r="G2331" s="10">
        <f>data!G2331</f>
        <v>264</v>
      </c>
      <c r="H2331" s="10">
        <f>data!I2331</f>
        <v>1413.72</v>
      </c>
      <c r="I2331" s="10">
        <f t="shared" si="144"/>
        <v>-1149.72</v>
      </c>
      <c r="J2331" s="11">
        <f>data!H2331</f>
        <v>132</v>
      </c>
      <c r="K2331" s="11">
        <f>data!J2331</f>
        <v>756</v>
      </c>
      <c r="L2331" s="11">
        <f t="shared" si="145"/>
        <v>-624</v>
      </c>
      <c r="M2331" s="9">
        <f t="shared" si="146"/>
        <v>-0.81325863678804855</v>
      </c>
      <c r="N2331" s="9">
        <f t="shared" si="147"/>
        <v>-0.82539682539682535</v>
      </c>
    </row>
    <row r="2332" spans="1:14" x14ac:dyDescent="0.25">
      <c r="A2332" t="str">
        <f>TEXT("1/"&amp;data!A2332,"mmmm")</f>
        <v>septembre</v>
      </c>
      <c r="B2332">
        <f>data!B2332</f>
        <v>2016</v>
      </c>
      <c r="C2332" t="str">
        <f>data!C2332</f>
        <v>002</v>
      </c>
      <c r="D2332" t="str">
        <f>data!D2332</f>
        <v>CAVE DE GALLICIAN</v>
      </c>
      <c r="E2332" t="str">
        <f>data!E2332</f>
        <v>002033</v>
      </c>
      <c r="F2332" t="str">
        <f>data!F2332</f>
        <v>AOP COSTIERES DE NIMES</v>
      </c>
      <c r="G2332" s="10">
        <f>data!G2332</f>
        <v>39.6</v>
      </c>
      <c r="H2332" s="10">
        <f>data!I2332</f>
        <v>49.84</v>
      </c>
      <c r="I2332" s="10">
        <f t="shared" si="144"/>
        <v>-10.240000000000002</v>
      </c>
      <c r="J2332" s="11">
        <f>data!H2332</f>
        <v>24</v>
      </c>
      <c r="K2332" s="11">
        <f>data!J2332</f>
        <v>32</v>
      </c>
      <c r="L2332" s="11">
        <f t="shared" si="145"/>
        <v>-8</v>
      </c>
      <c r="M2332" s="9">
        <f t="shared" si="146"/>
        <v>-0.2054574638844302</v>
      </c>
      <c r="N2332" s="9">
        <f t="shared" si="147"/>
        <v>-0.25</v>
      </c>
    </row>
    <row r="2333" spans="1:14" x14ac:dyDescent="0.25">
      <c r="A2333" t="str">
        <f>TEXT("1/"&amp;data!A2333,"mmmm")</f>
        <v>septembre</v>
      </c>
      <c r="B2333">
        <f>data!B2333</f>
        <v>2016</v>
      </c>
      <c r="C2333" t="str">
        <f>data!C2333</f>
        <v>002</v>
      </c>
      <c r="D2333" t="str">
        <f>data!D2333</f>
        <v>CAVE DE GALLICIAN</v>
      </c>
      <c r="E2333" t="str">
        <f>data!E2333</f>
        <v>002034</v>
      </c>
      <c r="F2333" t="str">
        <f>data!F2333</f>
        <v>AOP COSTIERES DE NIMES</v>
      </c>
      <c r="G2333" s="10">
        <f>data!G2333</f>
        <v>46.2</v>
      </c>
      <c r="H2333" s="10">
        <f>data!I2333</f>
        <v>118.37</v>
      </c>
      <c r="I2333" s="10">
        <f t="shared" si="144"/>
        <v>-72.17</v>
      </c>
      <c r="J2333" s="11">
        <f>data!H2333</f>
        <v>28</v>
      </c>
      <c r="K2333" s="11">
        <f>data!J2333</f>
        <v>76</v>
      </c>
      <c r="L2333" s="11">
        <f t="shared" si="145"/>
        <v>-48</v>
      </c>
      <c r="M2333" s="9">
        <f t="shared" si="146"/>
        <v>-0.60969840331164993</v>
      </c>
      <c r="N2333" s="9">
        <f t="shared" si="147"/>
        <v>-0.63157894736842102</v>
      </c>
    </row>
    <row r="2334" spans="1:14" x14ac:dyDescent="0.25">
      <c r="A2334" t="str">
        <f>TEXT("1/"&amp;data!A2334,"mmmm")</f>
        <v>septembre</v>
      </c>
      <c r="B2334">
        <f>data!B2334</f>
        <v>2016</v>
      </c>
      <c r="C2334" t="str">
        <f>data!C2334</f>
        <v>002</v>
      </c>
      <c r="D2334" t="str">
        <f>data!D2334</f>
        <v>CAVE DE GALLICIAN</v>
      </c>
      <c r="E2334" t="str">
        <f>data!E2334</f>
        <v>002035</v>
      </c>
      <c r="F2334" t="str">
        <f>data!F2334</f>
        <v>AOP COSTIERES DE NIMES</v>
      </c>
      <c r="G2334" s="10">
        <f>data!G2334</f>
        <v>39.6</v>
      </c>
      <c r="H2334" s="10">
        <f>data!I2334</f>
        <v>0</v>
      </c>
      <c r="I2334" s="10">
        <f t="shared" si="144"/>
        <v>39.6</v>
      </c>
      <c r="J2334" s="11">
        <f>data!H2334</f>
        <v>24</v>
      </c>
      <c r="K2334" s="11">
        <f>data!J2334</f>
        <v>0</v>
      </c>
      <c r="L2334" s="11">
        <f t="shared" si="145"/>
        <v>24</v>
      </c>
      <c r="M2334" s="9" t="str">
        <f t="shared" si="146"/>
        <v/>
      </c>
      <c r="N2334" s="9" t="str">
        <f t="shared" si="147"/>
        <v/>
      </c>
    </row>
    <row r="2335" spans="1:14" x14ac:dyDescent="0.25">
      <c r="A2335" t="str">
        <f>TEXT("1/"&amp;data!A2335,"mmmm")</f>
        <v>septembre</v>
      </c>
      <c r="B2335">
        <f>data!B2335</f>
        <v>2016</v>
      </c>
      <c r="C2335" t="str">
        <f>data!C2335</f>
        <v>002</v>
      </c>
      <c r="D2335" t="str">
        <f>data!D2335</f>
        <v>CAVE DE GALLICIAN</v>
      </c>
      <c r="E2335" t="str">
        <f>data!E2335</f>
        <v>002037</v>
      </c>
      <c r="F2335" t="str">
        <f>data!F2335</f>
        <v>AOP COSTIERES DE NIMES COMBES DE MEZIERES</v>
      </c>
      <c r="G2335" s="10">
        <f>data!G2335</f>
        <v>214.56</v>
      </c>
      <c r="H2335" s="10">
        <f>data!I2335</f>
        <v>275.52</v>
      </c>
      <c r="I2335" s="10">
        <f t="shared" si="144"/>
        <v>-60.95999999999998</v>
      </c>
      <c r="J2335" s="11">
        <f>data!H2335</f>
        <v>72</v>
      </c>
      <c r="K2335" s="11">
        <f>data!J2335</f>
        <v>96</v>
      </c>
      <c r="L2335" s="11">
        <f t="shared" si="145"/>
        <v>-24</v>
      </c>
      <c r="M2335" s="9">
        <f t="shared" si="146"/>
        <v>-0.22125435540069679</v>
      </c>
      <c r="N2335" s="9">
        <f t="shared" si="147"/>
        <v>-0.25</v>
      </c>
    </row>
    <row r="2336" spans="1:14" x14ac:dyDescent="0.25">
      <c r="A2336" t="str">
        <f>TEXT("1/"&amp;data!A2336,"mmmm")</f>
        <v>septembre</v>
      </c>
      <c r="B2336">
        <f>data!B2336</f>
        <v>2016</v>
      </c>
      <c r="C2336" t="str">
        <f>data!C2336</f>
        <v>002</v>
      </c>
      <c r="D2336" t="str">
        <f>data!D2336</f>
        <v>CAVE DE GALLICIAN</v>
      </c>
      <c r="E2336" t="str">
        <f>data!E2336</f>
        <v>002040</v>
      </c>
      <c r="F2336" t="str">
        <f>data!F2336</f>
        <v>AOP COSTIERES DE NIMES PRESTIGE</v>
      </c>
      <c r="G2336" s="10">
        <f>data!G2336</f>
        <v>367.92</v>
      </c>
      <c r="H2336" s="10">
        <f>data!I2336</f>
        <v>394.2</v>
      </c>
      <c r="I2336" s="10">
        <f t="shared" si="144"/>
        <v>-26.279999999999973</v>
      </c>
      <c r="J2336" s="11">
        <f>data!H2336</f>
        <v>168</v>
      </c>
      <c r="K2336" s="11">
        <f>data!J2336</f>
        <v>186</v>
      </c>
      <c r="L2336" s="11">
        <f t="shared" si="145"/>
        <v>-18</v>
      </c>
      <c r="M2336" s="9">
        <f t="shared" si="146"/>
        <v>-6.6666666666666596E-2</v>
      </c>
      <c r="N2336" s="9">
        <f t="shared" si="147"/>
        <v>-9.6774193548387094E-2</v>
      </c>
    </row>
    <row r="2337" spans="1:14" x14ac:dyDescent="0.25">
      <c r="A2337" t="str">
        <f>TEXT("1/"&amp;data!A2337,"mmmm")</f>
        <v>septembre</v>
      </c>
      <c r="B2337">
        <f>data!B2337</f>
        <v>2016</v>
      </c>
      <c r="C2337" t="str">
        <f>data!C2337</f>
        <v>002</v>
      </c>
      <c r="D2337" t="str">
        <f>data!D2337</f>
        <v>CAVE DE GALLICIAN</v>
      </c>
      <c r="E2337" t="str">
        <f>data!E2337</f>
        <v>002100</v>
      </c>
      <c r="F2337" t="str">
        <f>data!F2337</f>
        <v>VDP DU GARD. LOU GRES D'OR</v>
      </c>
      <c r="G2337" s="10">
        <f>data!G2337</f>
        <v>523.32000000000005</v>
      </c>
      <c r="H2337" s="10">
        <f>data!I2337</f>
        <v>581.28</v>
      </c>
      <c r="I2337" s="10">
        <f t="shared" si="144"/>
        <v>-57.959999999999923</v>
      </c>
      <c r="J2337" s="11">
        <f>data!H2337</f>
        <v>300</v>
      </c>
      <c r="K2337" s="11">
        <f>data!J2337</f>
        <v>336</v>
      </c>
      <c r="L2337" s="11">
        <f t="shared" si="145"/>
        <v>-36</v>
      </c>
      <c r="M2337" s="9">
        <f t="shared" si="146"/>
        <v>-9.9710982658959404E-2</v>
      </c>
      <c r="N2337" s="9">
        <f t="shared" si="147"/>
        <v>-0.10714285714285714</v>
      </c>
    </row>
    <row r="2338" spans="1:14" x14ac:dyDescent="0.25">
      <c r="A2338" t="str">
        <f>TEXT("1/"&amp;data!A2338,"mmmm")</f>
        <v>septembre</v>
      </c>
      <c r="B2338">
        <f>data!B2338</f>
        <v>2016</v>
      </c>
      <c r="C2338" t="str">
        <f>data!C2338</f>
        <v>002</v>
      </c>
      <c r="D2338" t="str">
        <f>data!D2338</f>
        <v>CAVE DE GALLICIAN</v>
      </c>
      <c r="E2338" t="str">
        <f>data!E2338</f>
        <v>002101</v>
      </c>
      <c r="F2338" t="str">
        <f>data!F2338</f>
        <v>IGP DU GARD LOU GRES D'OR</v>
      </c>
      <c r="G2338" s="10">
        <f>data!G2338</f>
        <v>747.6</v>
      </c>
      <c r="H2338" s="10">
        <f>data!I2338</f>
        <v>695.46</v>
      </c>
      <c r="I2338" s="10">
        <f t="shared" si="144"/>
        <v>52.139999999999986</v>
      </c>
      <c r="J2338" s="11">
        <f>data!H2338</f>
        <v>420</v>
      </c>
      <c r="K2338" s="11">
        <f>data!J2338</f>
        <v>402</v>
      </c>
      <c r="L2338" s="11">
        <f t="shared" si="145"/>
        <v>18</v>
      </c>
      <c r="M2338" s="9">
        <f t="shared" si="146"/>
        <v>7.49719610042274E-2</v>
      </c>
      <c r="N2338" s="9">
        <f t="shared" si="147"/>
        <v>4.4776119402985072E-2</v>
      </c>
    </row>
    <row r="2339" spans="1:14" x14ac:dyDescent="0.25">
      <c r="A2339" t="str">
        <f>TEXT("1/"&amp;data!A2339,"mmmm")</f>
        <v>septembre</v>
      </c>
      <c r="B2339">
        <f>data!B2339</f>
        <v>2016</v>
      </c>
      <c r="C2339" t="str">
        <f>data!C2339</f>
        <v>002</v>
      </c>
      <c r="D2339" t="str">
        <f>data!D2339</f>
        <v>CAVE DE GALLICIAN</v>
      </c>
      <c r="E2339" t="str">
        <f>data!E2339</f>
        <v>002102</v>
      </c>
      <c r="F2339" t="str">
        <f>data!F2339</f>
        <v>VDP GARD LOU GRES D'OR</v>
      </c>
      <c r="G2339" s="10">
        <f>data!G2339</f>
        <v>43.68</v>
      </c>
      <c r="H2339" s="10">
        <f>data!I2339</f>
        <v>0</v>
      </c>
      <c r="I2339" s="10">
        <f t="shared" si="144"/>
        <v>43.68</v>
      </c>
      <c r="J2339" s="11">
        <f>data!H2339</f>
        <v>24</v>
      </c>
      <c r="K2339" s="11">
        <f>data!J2339</f>
        <v>0</v>
      </c>
      <c r="L2339" s="11">
        <f t="shared" si="145"/>
        <v>24</v>
      </c>
      <c r="M2339" s="9" t="str">
        <f t="shared" si="146"/>
        <v/>
      </c>
      <c r="N2339" s="9" t="str">
        <f t="shared" si="147"/>
        <v/>
      </c>
    </row>
    <row r="2340" spans="1:14" x14ac:dyDescent="0.25">
      <c r="A2340" t="str">
        <f>TEXT("1/"&amp;data!A2340,"mmmm")</f>
        <v>septembre</v>
      </c>
      <c r="B2340">
        <f>data!B2340</f>
        <v>2016</v>
      </c>
      <c r="C2340" t="str">
        <f>data!C2340</f>
        <v>002</v>
      </c>
      <c r="D2340" t="str">
        <f>data!D2340</f>
        <v>CAVE DE GALLICIAN</v>
      </c>
      <c r="E2340" t="str">
        <f>data!E2340</f>
        <v>002200</v>
      </c>
      <c r="F2340" t="str">
        <f>data!F2340</f>
        <v>ROSE PAMPLEMOUSSE</v>
      </c>
      <c r="G2340" s="10">
        <f>data!G2340</f>
        <v>139</v>
      </c>
      <c r="H2340" s="10">
        <f>data!I2340</f>
        <v>277.57</v>
      </c>
      <c r="I2340" s="10">
        <f t="shared" si="144"/>
        <v>-138.57</v>
      </c>
      <c r="J2340" s="11">
        <f>data!H2340</f>
        <v>76</v>
      </c>
      <c r="K2340" s="11">
        <f>data!J2340</f>
        <v>164</v>
      </c>
      <c r="L2340" s="11">
        <f t="shared" si="145"/>
        <v>-88</v>
      </c>
      <c r="M2340" s="9">
        <f t="shared" si="146"/>
        <v>-0.49922542061461972</v>
      </c>
      <c r="N2340" s="9">
        <f t="shared" si="147"/>
        <v>-0.53658536585365857</v>
      </c>
    </row>
    <row r="2341" spans="1:14" x14ac:dyDescent="0.25">
      <c r="A2341" t="str">
        <f>TEXT("1/"&amp;data!A2341,"mmmm")</f>
        <v>septembre</v>
      </c>
      <c r="B2341">
        <f>data!B2341</f>
        <v>2016</v>
      </c>
      <c r="C2341" t="str">
        <f>data!C2341</f>
        <v>002</v>
      </c>
      <c r="D2341" t="str">
        <f>data!D2341</f>
        <v>CAVE DE GALLICIAN</v>
      </c>
      <c r="E2341" t="str">
        <f>data!E2341</f>
        <v>002900</v>
      </c>
      <c r="F2341" t="str">
        <f>data!F2341</f>
        <v>VDT CUVEE PRINCIE étiq perso scaeL</v>
      </c>
      <c r="G2341" s="10">
        <f>data!G2341</f>
        <v>877.5</v>
      </c>
      <c r="H2341" s="10">
        <f>data!I2341</f>
        <v>877.5</v>
      </c>
      <c r="I2341" s="10">
        <f t="shared" si="144"/>
        <v>0</v>
      </c>
      <c r="J2341" s="11">
        <f>data!H2341</f>
        <v>1200.1500000000001</v>
      </c>
      <c r="K2341" s="11">
        <f>data!J2341</f>
        <v>1200.1500000000001</v>
      </c>
      <c r="L2341" s="11">
        <f t="shared" si="145"/>
        <v>0</v>
      </c>
      <c r="M2341" s="9">
        <f t="shared" si="146"/>
        <v>0</v>
      </c>
      <c r="N2341" s="9">
        <f t="shared" si="147"/>
        <v>0</v>
      </c>
    </row>
    <row r="2342" spans="1:14" x14ac:dyDescent="0.25">
      <c r="A2342" t="str">
        <f>TEXT("1/"&amp;data!A2342,"mmmm")</f>
        <v>septembre</v>
      </c>
      <c r="B2342">
        <f>data!B2342</f>
        <v>2016</v>
      </c>
      <c r="C2342" t="str">
        <f>data!C2342</f>
        <v>002</v>
      </c>
      <c r="D2342" t="str">
        <f>data!D2342</f>
        <v>CAVE DE GALLICIAN</v>
      </c>
      <c r="E2342" t="str">
        <f>data!E2342</f>
        <v>002901</v>
      </c>
      <c r="F2342" t="str">
        <f>data!F2342</f>
        <v>VDT. CUVEE FIOJOLI étiq perso scaeL</v>
      </c>
      <c r="G2342" s="10">
        <f>data!G2342</f>
        <v>1755</v>
      </c>
      <c r="H2342" s="10">
        <f>data!I2342</f>
        <v>2437.5</v>
      </c>
      <c r="I2342" s="10">
        <f t="shared" si="144"/>
        <v>-682.5</v>
      </c>
      <c r="J2342" s="11">
        <f>data!H2342</f>
        <v>2400.3000000000002</v>
      </c>
      <c r="K2342" s="11">
        <f>data!J2342</f>
        <v>3333.75</v>
      </c>
      <c r="L2342" s="11">
        <f t="shared" si="145"/>
        <v>-933.44999999999982</v>
      </c>
      <c r="M2342" s="9">
        <f t="shared" si="146"/>
        <v>-0.28000000000000003</v>
      </c>
      <c r="N2342" s="9">
        <f t="shared" si="147"/>
        <v>-0.27999999999999997</v>
      </c>
    </row>
    <row r="2343" spans="1:14" x14ac:dyDescent="0.25">
      <c r="A2343" t="str">
        <f>TEXT("1/"&amp;data!A2343,"mmmm")</f>
        <v>septembre</v>
      </c>
      <c r="B2343">
        <f>data!B2343</f>
        <v>2016</v>
      </c>
      <c r="C2343" t="str">
        <f>data!C2343</f>
        <v>002</v>
      </c>
      <c r="D2343" t="str">
        <f>data!D2343</f>
        <v>CAVE DE GALLICIAN</v>
      </c>
      <c r="E2343" t="str">
        <f>data!E2343</f>
        <v>002903</v>
      </c>
      <c r="F2343" t="str">
        <f>data!F2343</f>
        <v>VDP MERLOT C. GALLICIAN</v>
      </c>
      <c r="G2343" s="10">
        <f>data!G2343</f>
        <v>1080</v>
      </c>
      <c r="H2343" s="10">
        <f>data!I2343</f>
        <v>206.1</v>
      </c>
      <c r="I2343" s="10">
        <f t="shared" si="144"/>
        <v>873.9</v>
      </c>
      <c r="J2343" s="11">
        <f>data!H2343</f>
        <v>1280.1600000000001</v>
      </c>
      <c r="K2343" s="11">
        <f>data!J2343</f>
        <v>240.03000000000003</v>
      </c>
      <c r="L2343" s="11">
        <f t="shared" si="145"/>
        <v>1040.1300000000001</v>
      </c>
      <c r="M2343" s="9">
        <f t="shared" si="146"/>
        <v>4.2401746724890828</v>
      </c>
      <c r="N2343" s="9">
        <f t="shared" si="147"/>
        <v>4.333333333333333</v>
      </c>
    </row>
    <row r="2344" spans="1:14" x14ac:dyDescent="0.25">
      <c r="A2344" t="str">
        <f>TEXT("1/"&amp;data!A2344,"mmmm")</f>
        <v>septembre</v>
      </c>
      <c r="B2344">
        <f>data!B2344</f>
        <v>2016</v>
      </c>
      <c r="C2344" t="str">
        <f>data!C2344</f>
        <v>002</v>
      </c>
      <c r="D2344" t="str">
        <f>data!D2344</f>
        <v>CAVE DE GALLICIAN</v>
      </c>
      <c r="E2344" t="str">
        <f>data!E2344</f>
        <v>002905</v>
      </c>
      <c r="F2344" t="str">
        <f>data!F2344</f>
        <v>VDT. CUVEE FIOJOLI étiq perso scaeL</v>
      </c>
      <c r="G2344" s="10">
        <f>data!G2344</f>
        <v>594</v>
      </c>
      <c r="H2344" s="10">
        <f>data!I2344</f>
        <v>486</v>
      </c>
      <c r="I2344" s="10">
        <f t="shared" si="144"/>
        <v>108</v>
      </c>
      <c r="J2344" s="11">
        <f>data!H2344</f>
        <v>733.15</v>
      </c>
      <c r="K2344" s="11">
        <f>data!J2344</f>
        <v>599.85</v>
      </c>
      <c r="L2344" s="11">
        <f t="shared" si="145"/>
        <v>133.29999999999995</v>
      </c>
      <c r="M2344" s="9">
        <f t="shared" si="146"/>
        <v>0.22222222222222221</v>
      </c>
      <c r="N2344" s="9">
        <f t="shared" si="147"/>
        <v>0.22222222222222213</v>
      </c>
    </row>
    <row r="2345" spans="1:14" x14ac:dyDescent="0.25">
      <c r="A2345" t="str">
        <f>TEXT("1/"&amp;data!A2345,"mmmm")</f>
        <v>septembre</v>
      </c>
      <c r="B2345">
        <f>data!B2345</f>
        <v>2016</v>
      </c>
      <c r="C2345" t="str">
        <f>data!C2345</f>
        <v>007</v>
      </c>
      <c r="D2345" t="str">
        <f>data!D2345</f>
        <v>DOMAINE ANDRE DUSSOURT</v>
      </c>
      <c r="E2345" t="str">
        <f>data!E2345</f>
        <v>007002</v>
      </c>
      <c r="F2345" t="str">
        <f>data!F2345</f>
        <v>AC RIESLING D. DUSSOURT</v>
      </c>
      <c r="G2345" s="10">
        <f>data!G2345</f>
        <v>193.2</v>
      </c>
      <c r="H2345" s="10">
        <f>data!I2345</f>
        <v>221.4</v>
      </c>
      <c r="I2345" s="10">
        <f t="shared" si="144"/>
        <v>-28.200000000000017</v>
      </c>
      <c r="J2345" s="11">
        <f>data!H2345</f>
        <v>42</v>
      </c>
      <c r="K2345" s="11">
        <f>data!J2345</f>
        <v>54</v>
      </c>
      <c r="L2345" s="11">
        <f t="shared" si="145"/>
        <v>-12</v>
      </c>
      <c r="M2345" s="9">
        <f t="shared" si="146"/>
        <v>-0.12737127371273721</v>
      </c>
      <c r="N2345" s="9">
        <f t="shared" si="147"/>
        <v>-0.22222222222222221</v>
      </c>
    </row>
    <row r="2346" spans="1:14" x14ac:dyDescent="0.25">
      <c r="A2346" t="str">
        <f>TEXT("1/"&amp;data!A2346,"mmmm")</f>
        <v>septembre</v>
      </c>
      <c r="B2346">
        <f>data!B2346</f>
        <v>2016</v>
      </c>
      <c r="C2346" t="str">
        <f>data!C2346</f>
        <v>007</v>
      </c>
      <c r="D2346" t="str">
        <f>data!D2346</f>
        <v>DOMAINE ANDRE DUSSOURT</v>
      </c>
      <c r="E2346" t="str">
        <f>data!E2346</f>
        <v>007003</v>
      </c>
      <c r="F2346" t="str">
        <f>data!F2346</f>
        <v>AC PINOT GRIS D. DUSSOURT</v>
      </c>
      <c r="G2346" s="10">
        <f>data!G2346</f>
        <v>231</v>
      </c>
      <c r="H2346" s="10">
        <f>data!I2346</f>
        <v>405.6</v>
      </c>
      <c r="I2346" s="10">
        <f t="shared" si="144"/>
        <v>-174.60000000000002</v>
      </c>
      <c r="J2346" s="11">
        <f>data!H2346</f>
        <v>42</v>
      </c>
      <c r="K2346" s="11">
        <f>data!J2346</f>
        <v>84</v>
      </c>
      <c r="L2346" s="11">
        <f t="shared" si="145"/>
        <v>-42</v>
      </c>
      <c r="M2346" s="9">
        <f t="shared" si="146"/>
        <v>-0.43047337278106512</v>
      </c>
      <c r="N2346" s="9">
        <f t="shared" si="147"/>
        <v>-0.5</v>
      </c>
    </row>
    <row r="2347" spans="1:14" x14ac:dyDescent="0.25">
      <c r="A2347" t="str">
        <f>TEXT("1/"&amp;data!A2347,"mmmm")</f>
        <v>septembre</v>
      </c>
      <c r="B2347">
        <f>data!B2347</f>
        <v>2016</v>
      </c>
      <c r="C2347" t="str">
        <f>data!C2347</f>
        <v>007</v>
      </c>
      <c r="D2347" t="str">
        <f>data!D2347</f>
        <v>DOMAINE ANDRE DUSSOURT</v>
      </c>
      <c r="E2347" t="str">
        <f>data!E2347</f>
        <v>007004</v>
      </c>
      <c r="F2347" t="str">
        <f>data!F2347</f>
        <v>AC GEWURZTRAMINER D. DUSSOURT</v>
      </c>
      <c r="G2347" s="10">
        <f>data!G2347</f>
        <v>261</v>
      </c>
      <c r="H2347" s="10">
        <f>data!I2347</f>
        <v>364.5</v>
      </c>
      <c r="I2347" s="10">
        <f t="shared" si="144"/>
        <v>-103.5</v>
      </c>
      <c r="J2347" s="11">
        <f>data!H2347</f>
        <v>36</v>
      </c>
      <c r="K2347" s="11">
        <f>data!J2347</f>
        <v>54</v>
      </c>
      <c r="L2347" s="11">
        <f t="shared" si="145"/>
        <v>-18</v>
      </c>
      <c r="M2347" s="9">
        <f t="shared" si="146"/>
        <v>-0.2839506172839506</v>
      </c>
      <c r="N2347" s="9">
        <f t="shared" si="147"/>
        <v>-0.33333333333333331</v>
      </c>
    </row>
    <row r="2348" spans="1:14" x14ac:dyDescent="0.25">
      <c r="A2348" t="str">
        <f>TEXT("1/"&amp;data!A2348,"mmmm")</f>
        <v>septembre</v>
      </c>
      <c r="B2348">
        <f>data!B2348</f>
        <v>2016</v>
      </c>
      <c r="C2348" t="str">
        <f>data!C2348</f>
        <v>007</v>
      </c>
      <c r="D2348" t="str">
        <f>data!D2348</f>
        <v>DOMAINE ANDRE DUSSOURT</v>
      </c>
      <c r="E2348" t="str">
        <f>data!E2348</f>
        <v>007005</v>
      </c>
      <c r="F2348" t="str">
        <f>data!F2348</f>
        <v>AC CREMANT D'ALSACE RIESLING M.TRAD</v>
      </c>
      <c r="G2348" s="10">
        <f>data!G2348</f>
        <v>79.8</v>
      </c>
      <c r="H2348" s="10">
        <f>data!I2348</f>
        <v>0</v>
      </c>
      <c r="I2348" s="10">
        <f t="shared" si="144"/>
        <v>79.8</v>
      </c>
      <c r="J2348" s="11">
        <f>data!H2348</f>
        <v>12</v>
      </c>
      <c r="K2348" s="11">
        <f>data!J2348</f>
        <v>0</v>
      </c>
      <c r="L2348" s="11">
        <f t="shared" si="145"/>
        <v>12</v>
      </c>
      <c r="M2348" s="9" t="str">
        <f t="shared" si="146"/>
        <v/>
      </c>
      <c r="N2348" s="9" t="str">
        <f t="shared" si="147"/>
        <v/>
      </c>
    </row>
    <row r="2349" spans="1:14" x14ac:dyDescent="0.25">
      <c r="A2349" t="str">
        <f>TEXT("1/"&amp;data!A2349,"mmmm")</f>
        <v>septembre</v>
      </c>
      <c r="B2349">
        <f>data!B2349</f>
        <v>2016</v>
      </c>
      <c r="C2349" t="str">
        <f>data!C2349</f>
        <v>007</v>
      </c>
      <c r="D2349" t="str">
        <f>data!D2349</f>
        <v>DOMAINE ANDRE DUSSOURT</v>
      </c>
      <c r="E2349" t="str">
        <f>data!E2349</f>
        <v>007006</v>
      </c>
      <c r="F2349" t="str">
        <f>data!F2349</f>
        <v>AC PINOT NOIR D. DUSSOURT</v>
      </c>
      <c r="G2349" s="10">
        <f>data!G2349</f>
        <v>113.4</v>
      </c>
      <c r="H2349" s="10">
        <f>data!I2349</f>
        <v>106.2</v>
      </c>
      <c r="I2349" s="10">
        <f t="shared" si="144"/>
        <v>7.2000000000000028</v>
      </c>
      <c r="J2349" s="11">
        <f>data!H2349</f>
        <v>18</v>
      </c>
      <c r="K2349" s="11">
        <f>data!J2349</f>
        <v>18</v>
      </c>
      <c r="L2349" s="11">
        <f t="shared" si="145"/>
        <v>0</v>
      </c>
      <c r="M2349" s="9">
        <f t="shared" si="146"/>
        <v>6.7796610169491553E-2</v>
      </c>
      <c r="N2349" s="9">
        <f t="shared" si="147"/>
        <v>0</v>
      </c>
    </row>
    <row r="2350" spans="1:14" x14ac:dyDescent="0.25">
      <c r="A2350" t="str">
        <f>TEXT("1/"&amp;data!A2350,"mmmm")</f>
        <v>septembre</v>
      </c>
      <c r="B2350">
        <f>data!B2350</f>
        <v>2016</v>
      </c>
      <c r="C2350" t="str">
        <f>data!C2350</f>
        <v>007</v>
      </c>
      <c r="D2350" t="str">
        <f>data!D2350</f>
        <v>DOMAINE ANDRE DUSSOURT</v>
      </c>
      <c r="E2350" t="str">
        <f>data!E2350</f>
        <v>007008</v>
      </c>
      <c r="F2350" t="str">
        <f>data!F2350</f>
        <v>AC RIESLING D. DUSSOURT</v>
      </c>
      <c r="G2350" s="10">
        <f>data!G2350</f>
        <v>74.400000000000006</v>
      </c>
      <c r="H2350" s="10">
        <f>data!I2350</f>
        <v>0</v>
      </c>
      <c r="I2350" s="10">
        <f t="shared" si="144"/>
        <v>74.400000000000006</v>
      </c>
      <c r="J2350" s="11">
        <f>data!H2350</f>
        <v>12</v>
      </c>
      <c r="K2350" s="11">
        <f>data!J2350</f>
        <v>0</v>
      </c>
      <c r="L2350" s="11">
        <f t="shared" si="145"/>
        <v>12</v>
      </c>
      <c r="M2350" s="9" t="str">
        <f t="shared" si="146"/>
        <v/>
      </c>
      <c r="N2350" s="9" t="str">
        <f t="shared" si="147"/>
        <v/>
      </c>
    </row>
    <row r="2351" spans="1:14" x14ac:dyDescent="0.25">
      <c r="A2351" t="str">
        <f>TEXT("1/"&amp;data!A2351,"mmmm")</f>
        <v>septembre</v>
      </c>
      <c r="B2351">
        <f>data!B2351</f>
        <v>2016</v>
      </c>
      <c r="C2351" t="str">
        <f>data!C2351</f>
        <v>007</v>
      </c>
      <c r="D2351" t="str">
        <f>data!D2351</f>
        <v>DOMAINE ANDRE DUSSOURT</v>
      </c>
      <c r="E2351" t="str">
        <f>data!E2351</f>
        <v>007021</v>
      </c>
      <c r="F2351" t="str">
        <f>data!F2351</f>
        <v>DOMAINE DUSSOURT AC GEWURZTRAMINER</v>
      </c>
      <c r="G2351" s="10">
        <f>data!G2351</f>
        <v>0</v>
      </c>
      <c r="H2351" s="10">
        <f>data!I2351</f>
        <v>0</v>
      </c>
      <c r="I2351" s="10">
        <f t="shared" si="144"/>
        <v>0</v>
      </c>
      <c r="J2351" s="11">
        <f>data!H2351</f>
        <v>-18</v>
      </c>
      <c r="K2351" s="11">
        <f>data!J2351</f>
        <v>0</v>
      </c>
      <c r="L2351" s="11">
        <f t="shared" si="145"/>
        <v>-18</v>
      </c>
      <c r="M2351" s="9" t="str">
        <f t="shared" si="146"/>
        <v/>
      </c>
      <c r="N2351" s="9" t="str">
        <f t="shared" si="147"/>
        <v/>
      </c>
    </row>
    <row r="2352" spans="1:14" x14ac:dyDescent="0.25">
      <c r="A2352" t="str">
        <f>TEXT("1/"&amp;data!A2352,"mmmm")</f>
        <v>septembre</v>
      </c>
      <c r="B2352">
        <f>data!B2352</f>
        <v>2016</v>
      </c>
      <c r="C2352" t="str">
        <f>data!C2352</f>
        <v>010</v>
      </c>
      <c r="D2352" t="str">
        <f>data!D2352</f>
        <v>DOMAINE VIGNEAU CHEVRAU</v>
      </c>
      <c r="E2352" t="str">
        <f>data!E2352</f>
        <v>010001</v>
      </c>
      <c r="F2352" t="str">
        <f>data!F2352</f>
        <v>AC VOUVRAY SEC.C.SILEX  V.CHEV</v>
      </c>
      <c r="G2352" s="10">
        <f>data!G2352</f>
        <v>731.4</v>
      </c>
      <c r="H2352" s="10">
        <f>data!I2352</f>
        <v>405.6</v>
      </c>
      <c r="I2352" s="10">
        <f t="shared" si="144"/>
        <v>325.79999999999995</v>
      </c>
      <c r="J2352" s="11">
        <f>data!H2352</f>
        <v>138</v>
      </c>
      <c r="K2352" s="11">
        <f>data!J2352</f>
        <v>78</v>
      </c>
      <c r="L2352" s="11">
        <f t="shared" si="145"/>
        <v>60</v>
      </c>
      <c r="M2352" s="9">
        <f t="shared" si="146"/>
        <v>0.80325443786982231</v>
      </c>
      <c r="N2352" s="9">
        <f t="shared" si="147"/>
        <v>0.76923076923076927</v>
      </c>
    </row>
    <row r="2353" spans="1:14" x14ac:dyDescent="0.25">
      <c r="A2353" t="str">
        <f>TEXT("1/"&amp;data!A2353,"mmmm")</f>
        <v>septembre</v>
      </c>
      <c r="B2353">
        <f>data!B2353</f>
        <v>2016</v>
      </c>
      <c r="C2353" t="str">
        <f>data!C2353</f>
        <v>010</v>
      </c>
      <c r="D2353" t="str">
        <f>data!D2353</f>
        <v>DOMAINE VIGNEAU CHEVRAU</v>
      </c>
      <c r="E2353" t="str">
        <f>data!E2353</f>
        <v>010019</v>
      </c>
      <c r="F2353" t="str">
        <f>data!F2353</f>
        <v>AC VOUVRAY METH TRAD BRUT. V. CHEV BIO</v>
      </c>
      <c r="G2353" s="10">
        <f>data!G2353</f>
        <v>127.2</v>
      </c>
      <c r="H2353" s="10">
        <f>data!I2353</f>
        <v>0</v>
      </c>
      <c r="I2353" s="10">
        <f t="shared" si="144"/>
        <v>127.2</v>
      </c>
      <c r="J2353" s="11">
        <f>data!H2353</f>
        <v>24</v>
      </c>
      <c r="K2353" s="11">
        <f>data!J2353</f>
        <v>0</v>
      </c>
      <c r="L2353" s="11">
        <f t="shared" si="145"/>
        <v>24</v>
      </c>
      <c r="M2353" s="9" t="str">
        <f t="shared" si="146"/>
        <v/>
      </c>
      <c r="N2353" s="9" t="str">
        <f t="shared" si="147"/>
        <v/>
      </c>
    </row>
    <row r="2354" spans="1:14" x14ac:dyDescent="0.25">
      <c r="A2354" t="str">
        <f>TEXT("1/"&amp;data!A2354,"mmmm")</f>
        <v>septembre</v>
      </c>
      <c r="B2354">
        <f>data!B2354</f>
        <v>2016</v>
      </c>
      <c r="C2354" t="str">
        <f>data!C2354</f>
        <v>011</v>
      </c>
      <c r="D2354" t="str">
        <f>data!D2354</f>
        <v>CAVE GAUTIER</v>
      </c>
      <c r="E2354" t="str">
        <f>data!E2354</f>
        <v>011001</v>
      </c>
      <c r="F2354" t="str">
        <f>data!F2354</f>
        <v>AC VOUVRAY METH TRAD BRUT  D.CHATAIGNERAIE</v>
      </c>
      <c r="G2354" s="10">
        <f>data!G2354</f>
        <v>4428.8999999999996</v>
      </c>
      <c r="H2354" s="10">
        <f>data!I2354</f>
        <v>3016.44</v>
      </c>
      <c r="I2354" s="10">
        <f t="shared" si="144"/>
        <v>1412.4599999999996</v>
      </c>
      <c r="J2354" s="11">
        <f>data!H2354</f>
        <v>1110</v>
      </c>
      <c r="K2354" s="11">
        <f>data!J2354</f>
        <v>756</v>
      </c>
      <c r="L2354" s="11">
        <f t="shared" si="145"/>
        <v>354</v>
      </c>
      <c r="M2354" s="9">
        <f t="shared" si="146"/>
        <v>0.46825396825396809</v>
      </c>
      <c r="N2354" s="9">
        <f t="shared" si="147"/>
        <v>0.46825396825396826</v>
      </c>
    </row>
    <row r="2355" spans="1:14" x14ac:dyDescent="0.25">
      <c r="A2355" t="str">
        <f>TEXT("1/"&amp;data!A2355,"mmmm")</f>
        <v>septembre</v>
      </c>
      <c r="B2355">
        <f>data!B2355</f>
        <v>2016</v>
      </c>
      <c r="C2355" t="str">
        <f>data!C2355</f>
        <v>011</v>
      </c>
      <c r="D2355" t="str">
        <f>data!D2355</f>
        <v>CAVE GAUTIER</v>
      </c>
      <c r="E2355" t="str">
        <f>data!E2355</f>
        <v>011005</v>
      </c>
      <c r="F2355" t="str">
        <f>data!F2355</f>
        <v>AC VOUVRAY C. ANTIQUE D.CHATAIGNERAIE</v>
      </c>
      <c r="G2355" s="10">
        <f>data!G2355</f>
        <v>598.79999999999995</v>
      </c>
      <c r="H2355" s="10">
        <f>data!I2355</f>
        <v>617.4</v>
      </c>
      <c r="I2355" s="10">
        <f t="shared" si="144"/>
        <v>-18.600000000000023</v>
      </c>
      <c r="J2355" s="11">
        <f>data!H2355</f>
        <v>120</v>
      </c>
      <c r="K2355" s="11">
        <f>data!J2355</f>
        <v>126</v>
      </c>
      <c r="L2355" s="11">
        <f t="shared" si="145"/>
        <v>-6</v>
      </c>
      <c r="M2355" s="9">
        <f t="shared" si="146"/>
        <v>-3.0126336248785267E-2</v>
      </c>
      <c r="N2355" s="9">
        <f t="shared" si="147"/>
        <v>-4.7619047619047616E-2</v>
      </c>
    </row>
    <row r="2356" spans="1:14" x14ac:dyDescent="0.25">
      <c r="A2356" t="str">
        <f>TEXT("1/"&amp;data!A2356,"mmmm")</f>
        <v>septembre</v>
      </c>
      <c r="B2356">
        <f>data!B2356</f>
        <v>2016</v>
      </c>
      <c r="C2356" t="str">
        <f>data!C2356</f>
        <v>011</v>
      </c>
      <c r="D2356" t="str">
        <f>data!D2356</f>
        <v>CAVE GAUTIER</v>
      </c>
      <c r="E2356" t="str">
        <f>data!E2356</f>
        <v>011006</v>
      </c>
      <c r="F2356" t="str">
        <f>data!F2356</f>
        <v>AC VOUVRAY ARGILEX</v>
      </c>
      <c r="G2356" s="10">
        <f>data!G2356</f>
        <v>282</v>
      </c>
      <c r="H2356" s="10">
        <f>data!I2356</f>
        <v>134.69999999999999</v>
      </c>
      <c r="I2356" s="10">
        <f t="shared" si="144"/>
        <v>147.30000000000001</v>
      </c>
      <c r="J2356" s="11">
        <f>data!H2356</f>
        <v>60</v>
      </c>
      <c r="K2356" s="11">
        <f>data!J2356</f>
        <v>30</v>
      </c>
      <c r="L2356" s="11">
        <f t="shared" si="145"/>
        <v>30</v>
      </c>
      <c r="M2356" s="9">
        <f t="shared" si="146"/>
        <v>1.0935412026726059</v>
      </c>
      <c r="N2356" s="9">
        <f t="shared" si="147"/>
        <v>1</v>
      </c>
    </row>
    <row r="2357" spans="1:14" x14ac:dyDescent="0.25">
      <c r="A2357" t="str">
        <f>TEXT("1/"&amp;data!A2357,"mmmm")</f>
        <v>septembre</v>
      </c>
      <c r="B2357">
        <f>data!B2357</f>
        <v>2016</v>
      </c>
      <c r="C2357" t="str">
        <f>data!C2357</f>
        <v>019</v>
      </c>
      <c r="D2357" t="str">
        <f>data!D2357</f>
        <v>VIGNOBLES YON</v>
      </c>
      <c r="E2357" t="str">
        <f>data!E2357</f>
        <v>019003</v>
      </c>
      <c r="F2357" t="str">
        <f>data!F2357</f>
        <v>AC BDX SUP. CH LES HAUTS DE PEREY</v>
      </c>
      <c r="G2357" s="10">
        <f>data!G2357</f>
        <v>3253.5</v>
      </c>
      <c r="H2357" s="10">
        <f>data!I2357</f>
        <v>6420.4</v>
      </c>
      <c r="I2357" s="10">
        <f t="shared" si="144"/>
        <v>-3166.8999999999996</v>
      </c>
      <c r="J2357" s="11">
        <f>data!H2357</f>
        <v>1446</v>
      </c>
      <c r="K2357" s="11">
        <f>data!J2357</f>
        <v>2970</v>
      </c>
      <c r="L2357" s="11">
        <f t="shared" si="145"/>
        <v>-1524</v>
      </c>
      <c r="M2357" s="9">
        <f t="shared" si="146"/>
        <v>-0.49325587190829229</v>
      </c>
      <c r="N2357" s="9">
        <f t="shared" si="147"/>
        <v>-0.5131313131313131</v>
      </c>
    </row>
    <row r="2358" spans="1:14" x14ac:dyDescent="0.25">
      <c r="A2358" t="str">
        <f>TEXT("1/"&amp;data!A2358,"mmmm")</f>
        <v>septembre</v>
      </c>
      <c r="B2358">
        <f>data!B2358</f>
        <v>2016</v>
      </c>
      <c r="C2358" t="str">
        <f>data!C2358</f>
        <v>019</v>
      </c>
      <c r="D2358" t="str">
        <f>data!D2358</f>
        <v>VIGNOBLES YON</v>
      </c>
      <c r="E2358" t="str">
        <f>data!E2358</f>
        <v>019008</v>
      </c>
      <c r="F2358" t="str">
        <f>data!F2358</f>
        <v>AC BDX. CH LES HAUTS DE PEREY</v>
      </c>
      <c r="G2358" s="10">
        <f>data!G2358</f>
        <v>673.2</v>
      </c>
      <c r="H2358" s="10">
        <f>data!I2358</f>
        <v>617.6</v>
      </c>
      <c r="I2358" s="10">
        <f t="shared" si="144"/>
        <v>55.600000000000023</v>
      </c>
      <c r="J2358" s="11">
        <f>data!H2358</f>
        <v>453.22</v>
      </c>
      <c r="K2358" s="11">
        <f>data!J2358</f>
        <v>426.56</v>
      </c>
      <c r="L2358" s="11">
        <f t="shared" si="145"/>
        <v>26.660000000000025</v>
      </c>
      <c r="M2358" s="9">
        <f t="shared" si="146"/>
        <v>9.0025906735751324E-2</v>
      </c>
      <c r="N2358" s="9">
        <f t="shared" si="147"/>
        <v>6.2500000000000056E-2</v>
      </c>
    </row>
    <row r="2359" spans="1:14" x14ac:dyDescent="0.25">
      <c r="A2359" t="str">
        <f>TEXT("1/"&amp;data!A2359,"mmmm")</f>
        <v>septembre</v>
      </c>
      <c r="B2359">
        <f>data!B2359</f>
        <v>2016</v>
      </c>
      <c r="C2359" t="str">
        <f>data!C2359</f>
        <v>019</v>
      </c>
      <c r="D2359" t="str">
        <f>data!D2359</f>
        <v>VIGNOBLES YON</v>
      </c>
      <c r="E2359" t="str">
        <f>data!E2359</f>
        <v>019009</v>
      </c>
      <c r="F2359" t="str">
        <f>data!F2359</f>
        <v>AC BDX. CH LES HAUTS DE PEREY</v>
      </c>
      <c r="G2359" s="10">
        <f>data!G2359</f>
        <v>392</v>
      </c>
      <c r="H2359" s="10">
        <f>data!I2359</f>
        <v>539</v>
      </c>
      <c r="I2359" s="10">
        <f t="shared" si="144"/>
        <v>-147</v>
      </c>
      <c r="J2359" s="11">
        <f>data!H2359</f>
        <v>233.45</v>
      </c>
      <c r="K2359" s="11">
        <f>data!J2359</f>
        <v>326.83</v>
      </c>
      <c r="L2359" s="11">
        <f t="shared" si="145"/>
        <v>-93.38</v>
      </c>
      <c r="M2359" s="9">
        <f t="shared" si="146"/>
        <v>-0.27272727272727271</v>
      </c>
      <c r="N2359" s="9">
        <f t="shared" si="147"/>
        <v>-0.2857142857142857</v>
      </c>
    </row>
    <row r="2360" spans="1:14" x14ac:dyDescent="0.25">
      <c r="A2360" t="str">
        <f>TEXT("1/"&amp;data!A2360,"mmmm")</f>
        <v>septembre</v>
      </c>
      <c r="B2360">
        <f>data!B2360</f>
        <v>2016</v>
      </c>
      <c r="C2360" t="str">
        <f>data!C2360</f>
        <v>019</v>
      </c>
      <c r="D2360" t="str">
        <f>data!D2360</f>
        <v>VIGNOBLES YON</v>
      </c>
      <c r="E2360" t="str">
        <f>data!E2360</f>
        <v>019011</v>
      </c>
      <c r="F2360" t="str">
        <f>data!F2360</f>
        <v>AC BX SUP. CH GAURY-BALETTE</v>
      </c>
      <c r="G2360" s="10">
        <f>data!G2360</f>
        <v>114.24</v>
      </c>
      <c r="H2360" s="10">
        <f>data!I2360</f>
        <v>48.6</v>
      </c>
      <c r="I2360" s="10">
        <f t="shared" si="144"/>
        <v>65.639999999999986</v>
      </c>
      <c r="J2360" s="11">
        <f>data!H2360</f>
        <v>42</v>
      </c>
      <c r="K2360" s="11">
        <f>data!J2360</f>
        <v>18</v>
      </c>
      <c r="L2360" s="11">
        <f t="shared" si="145"/>
        <v>24</v>
      </c>
      <c r="M2360" s="9">
        <f t="shared" si="146"/>
        <v>1.350617283950617</v>
      </c>
      <c r="N2360" s="9">
        <f t="shared" si="147"/>
        <v>1.3333333333333333</v>
      </c>
    </row>
    <row r="2361" spans="1:14" x14ac:dyDescent="0.25">
      <c r="A2361" t="str">
        <f>TEXT("1/"&amp;data!A2361,"mmmm")</f>
        <v>septembre</v>
      </c>
      <c r="B2361">
        <f>data!B2361</f>
        <v>2016</v>
      </c>
      <c r="C2361" t="str">
        <f>data!C2361</f>
        <v>019</v>
      </c>
      <c r="D2361" t="str">
        <f>data!D2361</f>
        <v>VIGNOBLES YON</v>
      </c>
      <c r="E2361" t="str">
        <f>data!E2361</f>
        <v>019015</v>
      </c>
      <c r="F2361" t="str">
        <f>data!F2361</f>
        <v>AC E2MERS. CH GAURY-BALETTE</v>
      </c>
      <c r="G2361" s="10">
        <f>data!G2361</f>
        <v>69</v>
      </c>
      <c r="H2361" s="10">
        <f>data!I2361</f>
        <v>162</v>
      </c>
      <c r="I2361" s="10">
        <f t="shared" si="144"/>
        <v>-93</v>
      </c>
      <c r="J2361" s="11">
        <f>data!H2361</f>
        <v>30</v>
      </c>
      <c r="K2361" s="11">
        <f>data!J2361</f>
        <v>72</v>
      </c>
      <c r="L2361" s="11">
        <f t="shared" si="145"/>
        <v>-42</v>
      </c>
      <c r="M2361" s="9">
        <f t="shared" si="146"/>
        <v>-0.57407407407407407</v>
      </c>
      <c r="N2361" s="9">
        <f t="shared" si="147"/>
        <v>-0.58333333333333337</v>
      </c>
    </row>
    <row r="2362" spans="1:14" x14ac:dyDescent="0.25">
      <c r="A2362" t="str">
        <f>TEXT("1/"&amp;data!A2362,"mmmm")</f>
        <v>septembre</v>
      </c>
      <c r="B2362">
        <f>data!B2362</f>
        <v>2016</v>
      </c>
      <c r="C2362" t="str">
        <f>data!C2362</f>
        <v>025</v>
      </c>
      <c r="D2362" t="str">
        <f>data!D2362</f>
        <v>COLLOVRAY &amp; TERRIER</v>
      </c>
      <c r="E2362" t="str">
        <f>data!E2362</f>
        <v>025001</v>
      </c>
      <c r="F2362" t="str">
        <f>data!F2362</f>
        <v>AC SAINT VERAN TRAD. COLLOVRAY&amp;TERRIER</v>
      </c>
      <c r="G2362" s="10">
        <f>data!G2362</f>
        <v>2089.02</v>
      </c>
      <c r="H2362" s="10">
        <f>data!I2362</f>
        <v>1990.2</v>
      </c>
      <c r="I2362" s="10">
        <f t="shared" si="144"/>
        <v>98.819999999999936</v>
      </c>
      <c r="J2362" s="11">
        <f>data!H2362</f>
        <v>318</v>
      </c>
      <c r="K2362" s="11">
        <f>data!J2362</f>
        <v>306</v>
      </c>
      <c r="L2362" s="11">
        <f t="shared" si="145"/>
        <v>12</v>
      </c>
      <c r="M2362" s="9">
        <f t="shared" si="146"/>
        <v>4.9653301175761194E-2</v>
      </c>
      <c r="N2362" s="9">
        <f t="shared" si="147"/>
        <v>3.9215686274509803E-2</v>
      </c>
    </row>
    <row r="2363" spans="1:14" x14ac:dyDescent="0.25">
      <c r="A2363" t="str">
        <f>TEXT("1/"&amp;data!A2363,"mmmm")</f>
        <v>septembre</v>
      </c>
      <c r="B2363">
        <f>data!B2363</f>
        <v>2016</v>
      </c>
      <c r="C2363" t="str">
        <f>data!C2363</f>
        <v>025</v>
      </c>
      <c r="D2363" t="str">
        <f>data!D2363</f>
        <v>COLLOVRAY &amp; TERRIER</v>
      </c>
      <c r="E2363" t="str">
        <f>data!E2363</f>
        <v>025002</v>
      </c>
      <c r="F2363" t="str">
        <f>data!F2363</f>
        <v>AC SAINT VERAN</v>
      </c>
      <c r="G2363" s="10">
        <f>data!G2363</f>
        <v>94.08</v>
      </c>
      <c r="H2363" s="10">
        <f>data!I2363</f>
        <v>76.08</v>
      </c>
      <c r="I2363" s="10">
        <f t="shared" si="144"/>
        <v>18</v>
      </c>
      <c r="J2363" s="11">
        <f>data!H2363</f>
        <v>12</v>
      </c>
      <c r="K2363" s="11">
        <f>data!J2363</f>
        <v>12</v>
      </c>
      <c r="L2363" s="11">
        <f t="shared" si="145"/>
        <v>0</v>
      </c>
      <c r="M2363" s="9">
        <f t="shared" si="146"/>
        <v>0.23659305993690852</v>
      </c>
      <c r="N2363" s="9">
        <f t="shared" si="147"/>
        <v>0</v>
      </c>
    </row>
    <row r="2364" spans="1:14" x14ac:dyDescent="0.25">
      <c r="A2364" t="str">
        <f>TEXT("1/"&amp;data!A2364,"mmmm")</f>
        <v>septembre</v>
      </c>
      <c r="B2364">
        <f>data!B2364</f>
        <v>2016</v>
      </c>
      <c r="C2364" t="str">
        <f>data!C2364</f>
        <v>025</v>
      </c>
      <c r="D2364" t="str">
        <f>data!D2364</f>
        <v>COLLOVRAY &amp; TERRIER</v>
      </c>
      <c r="E2364" t="str">
        <f>data!E2364</f>
        <v>025003</v>
      </c>
      <c r="F2364" t="str">
        <f>data!F2364</f>
        <v>DME DEUX ROCHES AC ST VERAN RIVES DE LONGSAULT</v>
      </c>
      <c r="G2364" s="10">
        <f>data!G2364</f>
        <v>137.69999999999999</v>
      </c>
      <c r="H2364" s="10">
        <f>data!I2364</f>
        <v>275.39999999999998</v>
      </c>
      <c r="I2364" s="10">
        <f t="shared" si="144"/>
        <v>-137.69999999999999</v>
      </c>
      <c r="J2364" s="11">
        <f>data!H2364</f>
        <v>18</v>
      </c>
      <c r="K2364" s="11">
        <f>data!J2364</f>
        <v>36</v>
      </c>
      <c r="L2364" s="11">
        <f t="shared" si="145"/>
        <v>-18</v>
      </c>
      <c r="M2364" s="9">
        <f t="shared" si="146"/>
        <v>-0.5</v>
      </c>
      <c r="N2364" s="9">
        <f t="shared" si="147"/>
        <v>-0.5</v>
      </c>
    </row>
    <row r="2365" spans="1:14" x14ac:dyDescent="0.25">
      <c r="A2365" t="str">
        <f>TEXT("1/"&amp;data!A2365,"mmmm")</f>
        <v>septembre</v>
      </c>
      <c r="B2365">
        <f>data!B2365</f>
        <v>2016</v>
      </c>
      <c r="C2365" t="str">
        <f>data!C2365</f>
        <v>025</v>
      </c>
      <c r="D2365" t="str">
        <f>data!D2365</f>
        <v>COLLOVRAY &amp; TERRIER</v>
      </c>
      <c r="E2365" t="str">
        <f>data!E2365</f>
        <v>025010</v>
      </c>
      <c r="F2365" t="str">
        <f>data!F2365</f>
        <v>AC MACON VILL TRAD. COLLOVRAY &amp;</v>
      </c>
      <c r="G2365" s="10">
        <f>data!G2365</f>
        <v>1697.4</v>
      </c>
      <c r="H2365" s="10">
        <f>data!I2365</f>
        <v>1630.8</v>
      </c>
      <c r="I2365" s="10">
        <f t="shared" si="144"/>
        <v>66.600000000000136</v>
      </c>
      <c r="J2365" s="11">
        <f>data!H2365</f>
        <v>324</v>
      </c>
      <c r="K2365" s="11">
        <f>data!J2365</f>
        <v>318</v>
      </c>
      <c r="L2365" s="11">
        <f t="shared" si="145"/>
        <v>6</v>
      </c>
      <c r="M2365" s="9">
        <f t="shared" si="146"/>
        <v>4.0838852097130326E-2</v>
      </c>
      <c r="N2365" s="9">
        <f t="shared" si="147"/>
        <v>1.8867924528301886E-2</v>
      </c>
    </row>
    <row r="2366" spans="1:14" x14ac:dyDescent="0.25">
      <c r="A2366" t="str">
        <f>TEXT("1/"&amp;data!A2366,"mmmm")</f>
        <v>septembre</v>
      </c>
      <c r="B2366">
        <f>data!B2366</f>
        <v>2016</v>
      </c>
      <c r="C2366" t="str">
        <f>data!C2366</f>
        <v>025</v>
      </c>
      <c r="D2366" t="str">
        <f>data!D2366</f>
        <v>COLLOVRAY &amp; TERRIER</v>
      </c>
      <c r="E2366" t="str">
        <f>data!E2366</f>
        <v>025011</v>
      </c>
      <c r="F2366" t="str">
        <f>data!F2366</f>
        <v>DOM 2 ROCHES MACON VILLAGES</v>
      </c>
      <c r="G2366" s="10">
        <f>data!G2366</f>
        <v>76.08</v>
      </c>
      <c r="H2366" s="10">
        <f>data!I2366</f>
        <v>0</v>
      </c>
      <c r="I2366" s="10">
        <f t="shared" si="144"/>
        <v>76.08</v>
      </c>
      <c r="J2366" s="11">
        <f>data!H2366</f>
        <v>12</v>
      </c>
      <c r="K2366" s="11">
        <f>data!J2366</f>
        <v>0</v>
      </c>
      <c r="L2366" s="11">
        <f t="shared" si="145"/>
        <v>12</v>
      </c>
      <c r="M2366" s="9" t="str">
        <f t="shared" si="146"/>
        <v/>
      </c>
      <c r="N2366" s="9" t="str">
        <f t="shared" si="147"/>
        <v/>
      </c>
    </row>
    <row r="2367" spans="1:14" x14ac:dyDescent="0.25">
      <c r="A2367" t="str">
        <f>TEXT("1/"&amp;data!A2367,"mmmm")</f>
        <v>septembre</v>
      </c>
      <c r="B2367">
        <f>data!B2367</f>
        <v>2016</v>
      </c>
      <c r="C2367" t="str">
        <f>data!C2367</f>
        <v>025</v>
      </c>
      <c r="D2367" t="str">
        <f>data!D2367</f>
        <v>COLLOVRAY &amp; TERRIER</v>
      </c>
      <c r="E2367" t="str">
        <f>data!E2367</f>
        <v>025013</v>
      </c>
      <c r="F2367" t="str">
        <f>data!F2367</f>
        <v>AC MACON. VERGER DES FEUILLANTS</v>
      </c>
      <c r="G2367" s="10">
        <f>data!G2367</f>
        <v>378.3</v>
      </c>
      <c r="H2367" s="10">
        <f>data!I2367</f>
        <v>58.2</v>
      </c>
      <c r="I2367" s="10">
        <f t="shared" si="144"/>
        <v>320.10000000000002</v>
      </c>
      <c r="J2367" s="11">
        <f>data!H2367</f>
        <v>72</v>
      </c>
      <c r="K2367" s="11">
        <f>data!J2367</f>
        <v>18</v>
      </c>
      <c r="L2367" s="11">
        <f t="shared" si="145"/>
        <v>54</v>
      </c>
      <c r="M2367" s="9">
        <f t="shared" si="146"/>
        <v>5.5</v>
      </c>
      <c r="N2367" s="9">
        <f t="shared" si="147"/>
        <v>3</v>
      </c>
    </row>
    <row r="2368" spans="1:14" x14ac:dyDescent="0.25">
      <c r="A2368" t="str">
        <f>TEXT("1/"&amp;data!A2368,"mmmm")</f>
        <v>septembre</v>
      </c>
      <c r="B2368">
        <f>data!B2368</f>
        <v>2016</v>
      </c>
      <c r="C2368" t="str">
        <f>data!C2368</f>
        <v>025</v>
      </c>
      <c r="D2368" t="str">
        <f>data!D2368</f>
        <v>COLLOVRAY &amp; TERRIER</v>
      </c>
      <c r="E2368" t="str">
        <f>data!E2368</f>
        <v>025015</v>
      </c>
      <c r="F2368" t="str">
        <f>data!F2368</f>
        <v>VDP PINOT NOIR . D.D'ANTUGNIAC</v>
      </c>
      <c r="G2368" s="10">
        <f>data!G2368</f>
        <v>2249.4299999999998</v>
      </c>
      <c r="H2368" s="10">
        <f>data!I2368</f>
        <v>877.92</v>
      </c>
      <c r="I2368" s="10">
        <f t="shared" si="144"/>
        <v>1371.5099999999998</v>
      </c>
      <c r="J2368" s="11">
        <f>data!H2368</f>
        <v>654</v>
      </c>
      <c r="K2368" s="11">
        <f>data!J2368</f>
        <v>240</v>
      </c>
      <c r="L2368" s="11">
        <f t="shared" si="145"/>
        <v>414</v>
      </c>
      <c r="M2368" s="9">
        <f t="shared" si="146"/>
        <v>1.5622266265718969</v>
      </c>
      <c r="N2368" s="9">
        <f t="shared" si="147"/>
        <v>1.7250000000000001</v>
      </c>
    </row>
    <row r="2369" spans="1:14" x14ac:dyDescent="0.25">
      <c r="A2369" t="str">
        <f>TEXT("1/"&amp;data!A2369,"mmmm")</f>
        <v>septembre</v>
      </c>
      <c r="B2369">
        <f>data!B2369</f>
        <v>2016</v>
      </c>
      <c r="C2369" t="str">
        <f>data!C2369</f>
        <v>025</v>
      </c>
      <c r="D2369" t="str">
        <f>data!D2369</f>
        <v>COLLOVRAY &amp; TERRIER</v>
      </c>
      <c r="E2369" t="str">
        <f>data!E2369</f>
        <v>025016</v>
      </c>
      <c r="F2369" t="str">
        <f>data!F2369</f>
        <v>VDP MERLOT. D.D'ANTUGNIAC</v>
      </c>
      <c r="G2369" s="10">
        <f>data!G2369</f>
        <v>29.16</v>
      </c>
      <c r="H2369" s="10">
        <f>data!I2369</f>
        <v>0</v>
      </c>
      <c r="I2369" s="10">
        <f t="shared" si="144"/>
        <v>29.16</v>
      </c>
      <c r="J2369" s="11">
        <f>data!H2369</f>
        <v>12</v>
      </c>
      <c r="K2369" s="11">
        <f>data!J2369</f>
        <v>0</v>
      </c>
      <c r="L2369" s="11">
        <f t="shared" si="145"/>
        <v>12</v>
      </c>
      <c r="M2369" s="9" t="str">
        <f t="shared" si="146"/>
        <v/>
      </c>
      <c r="N2369" s="9" t="str">
        <f t="shared" si="147"/>
        <v/>
      </c>
    </row>
    <row r="2370" spans="1:14" x14ac:dyDescent="0.25">
      <c r="A2370" t="str">
        <f>TEXT("1/"&amp;data!A2370,"mmmm")</f>
        <v>septembre</v>
      </c>
      <c r="B2370">
        <f>data!B2370</f>
        <v>2016</v>
      </c>
      <c r="C2370" t="str">
        <f>data!C2370</f>
        <v>025</v>
      </c>
      <c r="D2370" t="str">
        <f>data!D2370</f>
        <v>COLLOVRAY &amp; TERRIER</v>
      </c>
      <c r="E2370" t="str">
        <f>data!E2370</f>
        <v>025021</v>
      </c>
      <c r="F2370" t="str">
        <f>data!F2370</f>
        <v>AC POUILLY-FUISSE. V.VIGNES</v>
      </c>
      <c r="G2370" s="10">
        <f>data!G2370</f>
        <v>770.4</v>
      </c>
      <c r="H2370" s="10">
        <f>data!I2370</f>
        <v>963</v>
      </c>
      <c r="I2370" s="10">
        <f t="shared" si="144"/>
        <v>-192.60000000000002</v>
      </c>
      <c r="J2370" s="11">
        <f>data!H2370</f>
        <v>72</v>
      </c>
      <c r="K2370" s="11">
        <f>data!J2370</f>
        <v>90</v>
      </c>
      <c r="L2370" s="11">
        <f t="shared" si="145"/>
        <v>-18</v>
      </c>
      <c r="M2370" s="9">
        <f t="shared" si="146"/>
        <v>-0.2</v>
      </c>
      <c r="N2370" s="9">
        <f t="shared" si="147"/>
        <v>-0.2</v>
      </c>
    </row>
    <row r="2371" spans="1:14" x14ac:dyDescent="0.25">
      <c r="A2371" t="str">
        <f>TEXT("1/"&amp;data!A2371,"mmmm")</f>
        <v>septembre</v>
      </c>
      <c r="B2371">
        <f>data!B2371</f>
        <v>2016</v>
      </c>
      <c r="C2371" t="str">
        <f>data!C2371</f>
        <v>025</v>
      </c>
      <c r="D2371" t="str">
        <f>data!D2371</f>
        <v>COLLOVRAY &amp; TERRIER</v>
      </c>
      <c r="E2371" t="str">
        <f>data!E2371</f>
        <v>025026</v>
      </c>
      <c r="F2371" t="str">
        <f>data!F2371</f>
        <v>VDP CHARDONNAY. D.D'ANTUGNAC</v>
      </c>
      <c r="G2371" s="10">
        <f>data!G2371</f>
        <v>5812.32</v>
      </c>
      <c r="H2371" s="10">
        <f>data!I2371</f>
        <v>3609.6</v>
      </c>
      <c r="I2371" s="10">
        <f t="shared" ref="I2371:I2434" si="148">G2371-H2371</f>
        <v>2202.7199999999998</v>
      </c>
      <c r="J2371" s="11">
        <f>data!H2371</f>
        <v>2328</v>
      </c>
      <c r="K2371" s="11">
        <f>data!J2371</f>
        <v>1326</v>
      </c>
      <c r="L2371" s="11">
        <f t="shared" ref="L2371:L2434" si="149">J2371-K2371</f>
        <v>1002</v>
      </c>
      <c r="M2371" s="9">
        <f t="shared" ref="M2371:M2434" si="150">IF(ISERR(I2371/H2371),"",I2371/H2371)</f>
        <v>0.61023936170212767</v>
      </c>
      <c r="N2371" s="9">
        <f t="shared" ref="N2371:N2434" si="151">IF(ISERR(L2371/K2371),"",L2371/K2371)</f>
        <v>0.75565610859728505</v>
      </c>
    </row>
    <row r="2372" spans="1:14" x14ac:dyDescent="0.25">
      <c r="A2372" t="str">
        <f>TEXT("1/"&amp;data!A2372,"mmmm")</f>
        <v>septembre</v>
      </c>
      <c r="B2372">
        <f>data!B2372</f>
        <v>2016</v>
      </c>
      <c r="C2372" t="str">
        <f>data!C2372</f>
        <v>025</v>
      </c>
      <c r="D2372" t="str">
        <f>data!D2372</f>
        <v>COLLOVRAY &amp; TERRIER</v>
      </c>
      <c r="E2372" t="str">
        <f>data!E2372</f>
        <v>025031</v>
      </c>
      <c r="F2372" t="str">
        <f>data!F2372</f>
        <v>AC LIMOUX. Terres Amoureuses D.D'ANTUGNAC</v>
      </c>
      <c r="G2372" s="10">
        <f>data!G2372</f>
        <v>299.7</v>
      </c>
      <c r="H2372" s="10">
        <f>data!I2372</f>
        <v>701.82</v>
      </c>
      <c r="I2372" s="10">
        <f t="shared" si="148"/>
        <v>-402.12000000000006</v>
      </c>
      <c r="J2372" s="11">
        <f>data!H2372</f>
        <v>54</v>
      </c>
      <c r="K2372" s="11">
        <f>data!J2372</f>
        <v>132</v>
      </c>
      <c r="L2372" s="11">
        <f t="shared" si="149"/>
        <v>-78</v>
      </c>
      <c r="M2372" s="9">
        <f t="shared" si="150"/>
        <v>-0.57296742754552454</v>
      </c>
      <c r="N2372" s="9">
        <f t="shared" si="151"/>
        <v>-0.59090909090909094</v>
      </c>
    </row>
    <row r="2373" spans="1:14" x14ac:dyDescent="0.25">
      <c r="A2373" t="str">
        <f>TEXT("1/"&amp;data!A2373,"mmmm")</f>
        <v>septembre</v>
      </c>
      <c r="B2373">
        <f>data!B2373</f>
        <v>2016</v>
      </c>
      <c r="C2373" t="str">
        <f>data!C2373</f>
        <v>025</v>
      </c>
      <c r="D2373" t="str">
        <f>data!D2373</f>
        <v>COLLOVRAY &amp; TERRIER</v>
      </c>
      <c r="E2373" t="str">
        <f>data!E2373</f>
        <v>025033</v>
      </c>
      <c r="F2373" t="str">
        <f>data!F2373</f>
        <v>AC LIMOUX Aux Bons Hommes D.D'ANTUGNAC</v>
      </c>
      <c r="G2373" s="10">
        <f>data!G2373</f>
        <v>99.36</v>
      </c>
      <c r="H2373" s="10">
        <f>data!I2373</f>
        <v>223.56</v>
      </c>
      <c r="I2373" s="10">
        <f t="shared" si="148"/>
        <v>-124.2</v>
      </c>
      <c r="J2373" s="11">
        <f>data!H2373</f>
        <v>24</v>
      </c>
      <c r="K2373" s="11">
        <f>data!J2373</f>
        <v>60</v>
      </c>
      <c r="L2373" s="11">
        <f t="shared" si="149"/>
        <v>-36</v>
      </c>
      <c r="M2373" s="9">
        <f t="shared" si="150"/>
        <v>-0.55555555555555558</v>
      </c>
      <c r="N2373" s="9">
        <f t="shared" si="151"/>
        <v>-0.6</v>
      </c>
    </row>
    <row r="2374" spans="1:14" x14ac:dyDescent="0.25">
      <c r="A2374" t="str">
        <f>TEXT("1/"&amp;data!A2374,"mmmm")</f>
        <v>septembre</v>
      </c>
      <c r="B2374">
        <f>data!B2374</f>
        <v>2016</v>
      </c>
      <c r="C2374" t="str">
        <f>data!C2374</f>
        <v>025</v>
      </c>
      <c r="D2374" t="str">
        <f>data!D2374</f>
        <v>COLLOVRAY &amp; TERRIER</v>
      </c>
      <c r="E2374" t="str">
        <f>data!E2374</f>
        <v>025037</v>
      </c>
      <c r="F2374" t="str">
        <f>data!F2374</f>
        <v>VDP D'OC ROUGE TURITELLES</v>
      </c>
      <c r="G2374" s="10">
        <f>data!G2374</f>
        <v>1680</v>
      </c>
      <c r="H2374" s="10">
        <f>data!I2374</f>
        <v>1200</v>
      </c>
      <c r="I2374" s="10">
        <f t="shared" si="148"/>
        <v>480</v>
      </c>
      <c r="J2374" s="11">
        <f>data!H2374</f>
        <v>840</v>
      </c>
      <c r="K2374" s="11">
        <f>data!J2374</f>
        <v>600</v>
      </c>
      <c r="L2374" s="11">
        <f t="shared" si="149"/>
        <v>240</v>
      </c>
      <c r="M2374" s="9">
        <f t="shared" si="150"/>
        <v>0.4</v>
      </c>
      <c r="N2374" s="9">
        <f t="shared" si="151"/>
        <v>0.4</v>
      </c>
    </row>
    <row r="2375" spans="1:14" x14ac:dyDescent="0.25">
      <c r="A2375" t="str">
        <f>TEXT("1/"&amp;data!A2375,"mmmm")</f>
        <v>septembre</v>
      </c>
      <c r="B2375">
        <f>data!B2375</f>
        <v>2016</v>
      </c>
      <c r="C2375" t="str">
        <f>data!C2375</f>
        <v>028</v>
      </c>
      <c r="D2375" t="str">
        <f>data!D2375</f>
        <v>VIGNOBLES DUBOIS ET FILS</v>
      </c>
      <c r="E2375" t="str">
        <f>data!E2375</f>
        <v>028001</v>
      </c>
      <c r="F2375" t="str">
        <f>data!F2375</f>
        <v>AC 1ERES C.DE BLAYE. TRADITION  CH L.BERTRANDS</v>
      </c>
      <c r="G2375" s="10">
        <f>data!G2375</f>
        <v>565.5</v>
      </c>
      <c r="H2375" s="10">
        <f>data!I2375</f>
        <v>546</v>
      </c>
      <c r="I2375" s="10">
        <f t="shared" si="148"/>
        <v>19.5</v>
      </c>
      <c r="J2375" s="11">
        <f>data!H2375</f>
        <v>180</v>
      </c>
      <c r="K2375" s="11">
        <f>data!J2375</f>
        <v>174</v>
      </c>
      <c r="L2375" s="11">
        <f t="shared" si="149"/>
        <v>6</v>
      </c>
      <c r="M2375" s="9">
        <f t="shared" si="150"/>
        <v>3.5714285714285712E-2</v>
      </c>
      <c r="N2375" s="9">
        <f t="shared" si="151"/>
        <v>3.4482758620689655E-2</v>
      </c>
    </row>
    <row r="2376" spans="1:14" x14ac:dyDescent="0.25">
      <c r="A2376" t="str">
        <f>TEXT("1/"&amp;data!A2376,"mmmm")</f>
        <v>septembre</v>
      </c>
      <c r="B2376">
        <f>data!B2376</f>
        <v>2016</v>
      </c>
      <c r="C2376" t="str">
        <f>data!C2376</f>
        <v>028</v>
      </c>
      <c r="D2376" t="str">
        <f>data!D2376</f>
        <v>VIGNOBLES DUBOIS ET FILS</v>
      </c>
      <c r="E2376" t="str">
        <f>data!E2376</f>
        <v>028005</v>
      </c>
      <c r="F2376" t="str">
        <f>data!F2376</f>
        <v>AC 1ERES C.BLAYE TRAD. CH L.BERTRANDS</v>
      </c>
      <c r="G2376" s="10">
        <f>data!G2376</f>
        <v>67.2</v>
      </c>
      <c r="H2376" s="10">
        <f>data!I2376</f>
        <v>151.19999999999999</v>
      </c>
      <c r="I2376" s="10">
        <f t="shared" si="148"/>
        <v>-83.999999999999986</v>
      </c>
      <c r="J2376" s="11">
        <f>data!H2376</f>
        <v>24</v>
      </c>
      <c r="K2376" s="11">
        <f>data!J2376</f>
        <v>54</v>
      </c>
      <c r="L2376" s="11">
        <f t="shared" si="149"/>
        <v>-30</v>
      </c>
      <c r="M2376" s="9">
        <f t="shared" si="150"/>
        <v>-0.55555555555555547</v>
      </c>
      <c r="N2376" s="9">
        <f t="shared" si="151"/>
        <v>-0.55555555555555558</v>
      </c>
    </row>
    <row r="2377" spans="1:14" x14ac:dyDescent="0.25">
      <c r="A2377" t="str">
        <f>TEXT("1/"&amp;data!A2377,"mmmm")</f>
        <v>septembre</v>
      </c>
      <c r="B2377">
        <f>data!B2377</f>
        <v>2016</v>
      </c>
      <c r="C2377" t="str">
        <f>data!C2377</f>
        <v>028</v>
      </c>
      <c r="D2377" t="str">
        <f>data!D2377</f>
        <v>VIGNOBLES DUBOIS ET FILS</v>
      </c>
      <c r="E2377" t="str">
        <f>data!E2377</f>
        <v>028006</v>
      </c>
      <c r="F2377" t="str">
        <f>data!F2377</f>
        <v>AC 1ERES C. BLAYE TRAD CH L.BERTRANDS</v>
      </c>
      <c r="G2377" s="10">
        <f>data!G2377</f>
        <v>243</v>
      </c>
      <c r="H2377" s="10">
        <f>data!I2377</f>
        <v>145.80000000000001</v>
      </c>
      <c r="I2377" s="10">
        <f t="shared" si="148"/>
        <v>97.199999999999989</v>
      </c>
      <c r="J2377" s="11">
        <f>data!H2377</f>
        <v>60</v>
      </c>
      <c r="K2377" s="11">
        <f>data!J2377</f>
        <v>36</v>
      </c>
      <c r="L2377" s="11">
        <f t="shared" si="149"/>
        <v>24</v>
      </c>
      <c r="M2377" s="9">
        <f t="shared" si="150"/>
        <v>0.66666666666666652</v>
      </c>
      <c r="N2377" s="9">
        <f t="shared" si="151"/>
        <v>0.66666666666666663</v>
      </c>
    </row>
    <row r="2378" spans="1:14" x14ac:dyDescent="0.25">
      <c r="A2378" t="str">
        <f>TEXT("1/"&amp;data!A2378,"mmmm")</f>
        <v>septembre</v>
      </c>
      <c r="B2378">
        <f>data!B2378</f>
        <v>2016</v>
      </c>
      <c r="C2378" t="str">
        <f>data!C2378</f>
        <v>028</v>
      </c>
      <c r="D2378" t="str">
        <f>data!D2378</f>
        <v>VIGNOBLES DUBOIS ET FILS</v>
      </c>
      <c r="E2378" t="str">
        <f>data!E2378</f>
        <v>028007</v>
      </c>
      <c r="F2378" t="str">
        <f>data!F2378</f>
        <v>AC 1ERES C BLAYE TRAD. CH L.BERTRANDS</v>
      </c>
      <c r="G2378" s="10">
        <f>data!G2378</f>
        <v>615.6</v>
      </c>
      <c r="H2378" s="10">
        <f>data!I2378</f>
        <v>226</v>
      </c>
      <c r="I2378" s="10">
        <f t="shared" si="148"/>
        <v>389.6</v>
      </c>
      <c r="J2378" s="11">
        <f>data!H2378</f>
        <v>359.91</v>
      </c>
      <c r="K2378" s="11">
        <f>data!J2378</f>
        <v>133.30000000000001</v>
      </c>
      <c r="L2378" s="11">
        <f t="shared" si="149"/>
        <v>226.61</v>
      </c>
      <c r="M2378" s="9">
        <f t="shared" si="150"/>
        <v>1.7238938053097346</v>
      </c>
      <c r="N2378" s="9">
        <f t="shared" si="151"/>
        <v>1.7</v>
      </c>
    </row>
    <row r="2379" spans="1:14" x14ac:dyDescent="0.25">
      <c r="A2379" t="str">
        <f>TEXT("1/"&amp;data!A2379,"mmmm")</f>
        <v>septembre</v>
      </c>
      <c r="B2379">
        <f>data!B2379</f>
        <v>2016</v>
      </c>
      <c r="C2379" t="str">
        <f>data!C2379</f>
        <v>028</v>
      </c>
      <c r="D2379" t="str">
        <f>data!D2379</f>
        <v>VIGNOBLES DUBOIS ET FILS</v>
      </c>
      <c r="E2379" t="str">
        <f>data!E2379</f>
        <v>028008</v>
      </c>
      <c r="F2379" t="str">
        <f>data!F2379</f>
        <v>AC C. DE BLAYE CH L.BERTRANDS</v>
      </c>
      <c r="G2379" s="10">
        <f>data!G2379</f>
        <v>648</v>
      </c>
      <c r="H2379" s="10">
        <f>data!I2379</f>
        <v>292.60000000000002</v>
      </c>
      <c r="I2379" s="10">
        <f t="shared" si="148"/>
        <v>355.4</v>
      </c>
      <c r="J2379" s="11">
        <f>data!H2379</f>
        <v>320.15999999999997</v>
      </c>
      <c r="K2379" s="11">
        <f>data!J2379</f>
        <v>146.74</v>
      </c>
      <c r="L2379" s="11">
        <f t="shared" si="149"/>
        <v>173.41999999999996</v>
      </c>
      <c r="M2379" s="9">
        <f t="shared" si="150"/>
        <v>1.2146274777853723</v>
      </c>
      <c r="N2379" s="9">
        <f t="shared" si="151"/>
        <v>1.1818181818181814</v>
      </c>
    </row>
    <row r="2380" spans="1:14" x14ac:dyDescent="0.25">
      <c r="A2380" t="str">
        <f>TEXT("1/"&amp;data!A2380,"mmmm")</f>
        <v>septembre</v>
      </c>
      <c r="B2380">
        <f>data!B2380</f>
        <v>2016</v>
      </c>
      <c r="C2380" t="str">
        <f>data!C2380</f>
        <v>028</v>
      </c>
      <c r="D2380" t="str">
        <f>data!D2380</f>
        <v>VIGNOBLES DUBOIS ET FILS</v>
      </c>
      <c r="E2380" t="str">
        <f>data!E2380</f>
        <v>028013</v>
      </c>
      <c r="F2380" t="str">
        <f>data!F2380</f>
        <v>AC 1ERES COTES DE BLAYE PRESTIGE</v>
      </c>
      <c r="G2380" s="10">
        <f>data!G2380</f>
        <v>534</v>
      </c>
      <c r="H2380" s="10">
        <f>data!I2380</f>
        <v>427.2</v>
      </c>
      <c r="I2380" s="10">
        <f t="shared" si="148"/>
        <v>106.80000000000001</v>
      </c>
      <c r="J2380" s="11">
        <f>data!H2380</f>
        <v>120</v>
      </c>
      <c r="K2380" s="11">
        <f>data!J2380</f>
        <v>96</v>
      </c>
      <c r="L2380" s="11">
        <f t="shared" si="149"/>
        <v>24</v>
      </c>
      <c r="M2380" s="9">
        <f t="shared" si="150"/>
        <v>0.25000000000000006</v>
      </c>
      <c r="N2380" s="9">
        <f t="shared" si="151"/>
        <v>0.25</v>
      </c>
    </row>
    <row r="2381" spans="1:14" x14ac:dyDescent="0.25">
      <c r="A2381" t="str">
        <f>TEXT("1/"&amp;data!A2381,"mmmm")</f>
        <v>septembre</v>
      </c>
      <c r="B2381">
        <f>data!B2381</f>
        <v>2016</v>
      </c>
      <c r="C2381" t="str">
        <f>data!C2381</f>
        <v>035</v>
      </c>
      <c r="D2381" t="str">
        <f>data!D2381</f>
        <v>DOMAINE OLIVIER</v>
      </c>
      <c r="E2381" t="str">
        <f>data!E2381</f>
        <v>035001</v>
      </c>
      <c r="F2381" t="str">
        <f>data!F2381</f>
        <v>AC ST NICOLAS DE BOURG D.OLIVIER</v>
      </c>
      <c r="G2381" s="10">
        <f>data!G2381</f>
        <v>2394.84</v>
      </c>
      <c r="H2381" s="10">
        <f>data!I2381</f>
        <v>2136</v>
      </c>
      <c r="I2381" s="10">
        <f t="shared" si="148"/>
        <v>258.84000000000015</v>
      </c>
      <c r="J2381" s="11">
        <f>data!H2381</f>
        <v>612</v>
      </c>
      <c r="K2381" s="11">
        <f>data!J2381</f>
        <v>534</v>
      </c>
      <c r="L2381" s="11">
        <f t="shared" si="149"/>
        <v>78</v>
      </c>
      <c r="M2381" s="9">
        <f t="shared" si="150"/>
        <v>0.12117977528089895</v>
      </c>
      <c r="N2381" s="9">
        <f t="shared" si="151"/>
        <v>0.14606741573033707</v>
      </c>
    </row>
    <row r="2382" spans="1:14" x14ac:dyDescent="0.25">
      <c r="A2382" t="str">
        <f>TEXT("1/"&amp;data!A2382,"mmmm")</f>
        <v>septembre</v>
      </c>
      <c r="B2382">
        <f>data!B2382</f>
        <v>2016</v>
      </c>
      <c r="C2382" t="str">
        <f>data!C2382</f>
        <v>035</v>
      </c>
      <c r="D2382" t="str">
        <f>data!D2382</f>
        <v>DOMAINE OLIVIER</v>
      </c>
      <c r="E2382" t="str">
        <f>data!E2382</f>
        <v>035002</v>
      </c>
      <c r="F2382" t="str">
        <f>data!F2382</f>
        <v>AC ST NICOLAS DE BOURG D.OLIVIER</v>
      </c>
      <c r="G2382" s="10">
        <f>data!G2382</f>
        <v>331.92</v>
      </c>
      <c r="H2382" s="10">
        <f>data!I2382</f>
        <v>120</v>
      </c>
      <c r="I2382" s="10">
        <f t="shared" si="148"/>
        <v>211.92000000000002</v>
      </c>
      <c r="J2382" s="11">
        <f>data!H2382</f>
        <v>72</v>
      </c>
      <c r="K2382" s="11">
        <f>data!J2382</f>
        <v>24</v>
      </c>
      <c r="L2382" s="11">
        <f t="shared" si="149"/>
        <v>48</v>
      </c>
      <c r="M2382" s="9">
        <f t="shared" si="150"/>
        <v>1.7660000000000002</v>
      </c>
      <c r="N2382" s="9">
        <f t="shared" si="151"/>
        <v>2</v>
      </c>
    </row>
    <row r="2383" spans="1:14" x14ac:dyDescent="0.25">
      <c r="A2383" t="str">
        <f>TEXT("1/"&amp;data!A2383,"mmmm")</f>
        <v>septembre</v>
      </c>
      <c r="B2383">
        <f>data!B2383</f>
        <v>2016</v>
      </c>
      <c r="C2383" t="str">
        <f>data!C2383</f>
        <v>035</v>
      </c>
      <c r="D2383" t="str">
        <f>data!D2383</f>
        <v>DOMAINE OLIVIER</v>
      </c>
      <c r="E2383" t="str">
        <f>data!E2383</f>
        <v>035010</v>
      </c>
      <c r="F2383" t="str">
        <f>data!F2383</f>
        <v>AC BOURGUEIL V.VIGNES D.OLIVIER</v>
      </c>
      <c r="G2383" s="10">
        <f>data!G2383</f>
        <v>327.60000000000002</v>
      </c>
      <c r="H2383" s="10">
        <f>data!I2383</f>
        <v>790.92</v>
      </c>
      <c r="I2383" s="10">
        <f t="shared" si="148"/>
        <v>-463.31999999999994</v>
      </c>
      <c r="J2383" s="11">
        <f>data!H2383</f>
        <v>90</v>
      </c>
      <c r="K2383" s="11">
        <f>data!J2383</f>
        <v>222</v>
      </c>
      <c r="L2383" s="11">
        <f t="shared" si="149"/>
        <v>-132</v>
      </c>
      <c r="M2383" s="9">
        <f t="shared" si="150"/>
        <v>-0.58579881656804733</v>
      </c>
      <c r="N2383" s="9">
        <f t="shared" si="151"/>
        <v>-0.59459459459459463</v>
      </c>
    </row>
    <row r="2384" spans="1:14" x14ac:dyDescent="0.25">
      <c r="A2384" t="str">
        <f>TEXT("1/"&amp;data!A2384,"mmmm")</f>
        <v>septembre</v>
      </c>
      <c r="B2384">
        <f>data!B2384</f>
        <v>2016</v>
      </c>
      <c r="C2384" t="str">
        <f>data!C2384</f>
        <v>036</v>
      </c>
      <c r="D2384" t="str">
        <f>data!D2384</f>
        <v>CASTELBARRY</v>
      </c>
      <c r="E2384" t="str">
        <f>data!E2384</f>
        <v>036001</v>
      </c>
      <c r="F2384" t="str">
        <f>data!F2384</f>
        <v>AC CTX DU LANG .COL DU VENT</v>
      </c>
      <c r="G2384" s="10">
        <f>data!G2384</f>
        <v>1398.3</v>
      </c>
      <c r="H2384" s="10">
        <f>data!I2384</f>
        <v>100.8</v>
      </c>
      <c r="I2384" s="10">
        <f t="shared" si="148"/>
        <v>1297.5</v>
      </c>
      <c r="J2384" s="11">
        <f>data!H2384</f>
        <v>474</v>
      </c>
      <c r="K2384" s="11">
        <f>data!J2384</f>
        <v>36</v>
      </c>
      <c r="L2384" s="11">
        <f t="shared" si="149"/>
        <v>438</v>
      </c>
      <c r="M2384" s="9">
        <f t="shared" si="150"/>
        <v>12.87202380952381</v>
      </c>
      <c r="N2384" s="9">
        <f t="shared" si="151"/>
        <v>12.166666666666666</v>
      </c>
    </row>
    <row r="2385" spans="1:14" x14ac:dyDescent="0.25">
      <c r="A2385" t="str">
        <f>TEXT("1/"&amp;data!A2385,"mmmm")</f>
        <v>septembre</v>
      </c>
      <c r="B2385">
        <f>data!B2385</f>
        <v>2016</v>
      </c>
      <c r="C2385" t="str">
        <f>data!C2385</f>
        <v>036</v>
      </c>
      <c r="D2385" t="str">
        <f>data!D2385</f>
        <v>CASTELBARRY</v>
      </c>
      <c r="E2385" t="str">
        <f>data!E2385</f>
        <v>036002</v>
      </c>
      <c r="F2385" t="str">
        <f>data!F2385</f>
        <v>AC CTX DU LANG. COL DU VENT</v>
      </c>
      <c r="G2385" s="10">
        <f>data!G2385</f>
        <v>35.4</v>
      </c>
      <c r="H2385" s="10">
        <f>data!I2385</f>
        <v>0</v>
      </c>
      <c r="I2385" s="10">
        <f t="shared" si="148"/>
        <v>35.4</v>
      </c>
      <c r="J2385" s="11">
        <f>data!H2385</f>
        <v>12</v>
      </c>
      <c r="K2385" s="11">
        <f>data!J2385</f>
        <v>0</v>
      </c>
      <c r="L2385" s="11">
        <f t="shared" si="149"/>
        <v>12</v>
      </c>
      <c r="M2385" s="9" t="str">
        <f t="shared" si="150"/>
        <v/>
      </c>
      <c r="N2385" s="9" t="str">
        <f t="shared" si="151"/>
        <v/>
      </c>
    </row>
    <row r="2386" spans="1:14" x14ac:dyDescent="0.25">
      <c r="A2386" t="str">
        <f>TEXT("1/"&amp;data!A2386,"mmmm")</f>
        <v>septembre</v>
      </c>
      <c r="B2386">
        <f>data!B2386</f>
        <v>2016</v>
      </c>
      <c r="C2386" t="str">
        <f>data!C2386</f>
        <v>036</v>
      </c>
      <c r="D2386" t="str">
        <f>data!D2386</f>
        <v>CASTELBARRY</v>
      </c>
      <c r="E2386" t="str">
        <f>data!E2386</f>
        <v>036008</v>
      </c>
      <c r="F2386" t="str">
        <f>data!F2386</f>
        <v>IGP SAINT GUILHEM LE DESERT GRENACHE</v>
      </c>
      <c r="G2386" s="10">
        <f>data!G2386</f>
        <v>62</v>
      </c>
      <c r="H2386" s="10">
        <f>data!I2386</f>
        <v>0</v>
      </c>
      <c r="I2386" s="10">
        <f t="shared" si="148"/>
        <v>62</v>
      </c>
      <c r="J2386" s="11">
        <f>data!H2386</f>
        <v>66.650000000000006</v>
      </c>
      <c r="K2386" s="11">
        <f>data!J2386</f>
        <v>0</v>
      </c>
      <c r="L2386" s="11">
        <f t="shared" si="149"/>
        <v>66.650000000000006</v>
      </c>
      <c r="M2386" s="9" t="str">
        <f t="shared" si="150"/>
        <v/>
      </c>
      <c r="N2386" s="9" t="str">
        <f t="shared" si="151"/>
        <v/>
      </c>
    </row>
    <row r="2387" spans="1:14" x14ac:dyDescent="0.25">
      <c r="A2387" t="str">
        <f>TEXT("1/"&amp;data!A2387,"mmmm")</f>
        <v>septembre</v>
      </c>
      <c r="B2387">
        <f>data!B2387</f>
        <v>2016</v>
      </c>
      <c r="C2387" t="str">
        <f>data!C2387</f>
        <v>036</v>
      </c>
      <c r="D2387" t="str">
        <f>data!D2387</f>
        <v>CASTELBARRY</v>
      </c>
      <c r="E2387" t="str">
        <f>data!E2387</f>
        <v>036010</v>
      </c>
      <c r="F2387" t="str">
        <f>data!F2387</f>
        <v>IGP SAINT GUILHEM LE DESERT GRENACHE</v>
      </c>
      <c r="G2387" s="10">
        <f>data!G2387</f>
        <v>303.60000000000002</v>
      </c>
      <c r="H2387" s="10">
        <f>data!I2387</f>
        <v>74.400000000000006</v>
      </c>
      <c r="I2387" s="10">
        <f t="shared" si="148"/>
        <v>229.20000000000002</v>
      </c>
      <c r="J2387" s="11">
        <f>data!H2387</f>
        <v>319.92</v>
      </c>
      <c r="K2387" s="11">
        <f>data!J2387</f>
        <v>79.98</v>
      </c>
      <c r="L2387" s="11">
        <f t="shared" si="149"/>
        <v>239.94</v>
      </c>
      <c r="M2387" s="9">
        <f t="shared" si="150"/>
        <v>3.0806451612903225</v>
      </c>
      <c r="N2387" s="9">
        <f t="shared" si="151"/>
        <v>3</v>
      </c>
    </row>
    <row r="2388" spans="1:14" x14ac:dyDescent="0.25">
      <c r="A2388" t="str">
        <f>TEXT("1/"&amp;data!A2388,"mmmm")</f>
        <v>septembre</v>
      </c>
      <c r="B2388">
        <f>data!B2388</f>
        <v>2016</v>
      </c>
      <c r="C2388" t="str">
        <f>data!C2388</f>
        <v>036</v>
      </c>
      <c r="D2388" t="str">
        <f>data!D2388</f>
        <v>CASTELBARRY</v>
      </c>
      <c r="E2388" t="str">
        <f>data!E2388</f>
        <v>036011</v>
      </c>
      <c r="F2388" t="str">
        <f>data!F2388</f>
        <v>IGP ST GUILHEM LE DESERT</v>
      </c>
      <c r="G2388" s="10">
        <f>data!G2388</f>
        <v>213.15</v>
      </c>
      <c r="H2388" s="10">
        <f>data!I2388</f>
        <v>0</v>
      </c>
      <c r="I2388" s="10">
        <f t="shared" si="148"/>
        <v>213.15</v>
      </c>
      <c r="J2388" s="11">
        <f>data!H2388</f>
        <v>206.77</v>
      </c>
      <c r="K2388" s="11">
        <f>data!J2388</f>
        <v>0</v>
      </c>
      <c r="L2388" s="11">
        <f t="shared" si="149"/>
        <v>206.77</v>
      </c>
      <c r="M2388" s="9" t="str">
        <f t="shared" si="150"/>
        <v/>
      </c>
      <c r="N2388" s="9" t="str">
        <f t="shared" si="151"/>
        <v/>
      </c>
    </row>
    <row r="2389" spans="1:14" x14ac:dyDescent="0.25">
      <c r="A2389" t="str">
        <f>TEXT("1/"&amp;data!A2389,"mmmm")</f>
        <v>septembre</v>
      </c>
      <c r="B2389">
        <f>data!B2389</f>
        <v>2016</v>
      </c>
      <c r="C2389" t="str">
        <f>data!C2389</f>
        <v>037</v>
      </c>
      <c r="D2389" t="str">
        <f>data!D2389</f>
        <v>SARL RAFFAULT</v>
      </c>
      <c r="E2389" t="str">
        <f>data!E2389</f>
        <v>037003</v>
      </c>
      <c r="F2389" t="str">
        <f>data!F2389</f>
        <v>AC CHINON</v>
      </c>
      <c r="G2389" s="10">
        <f>data!G2389</f>
        <v>319.2</v>
      </c>
      <c r="H2389" s="10">
        <f>data!I2389</f>
        <v>111</v>
      </c>
      <c r="I2389" s="10">
        <f t="shared" si="148"/>
        <v>208.2</v>
      </c>
      <c r="J2389" s="11">
        <f>data!H2389</f>
        <v>84</v>
      </c>
      <c r="K2389" s="11">
        <f>data!J2389</f>
        <v>30</v>
      </c>
      <c r="L2389" s="11">
        <f t="shared" si="149"/>
        <v>54</v>
      </c>
      <c r="M2389" s="9">
        <f t="shared" si="150"/>
        <v>1.8756756756756756</v>
      </c>
      <c r="N2389" s="9">
        <f t="shared" si="151"/>
        <v>1.8</v>
      </c>
    </row>
    <row r="2390" spans="1:14" x14ac:dyDescent="0.25">
      <c r="A2390" t="str">
        <f>TEXT("1/"&amp;data!A2390,"mmmm")</f>
        <v>septembre</v>
      </c>
      <c r="B2390">
        <f>data!B2390</f>
        <v>2016</v>
      </c>
      <c r="C2390" t="str">
        <f>data!C2390</f>
        <v>037</v>
      </c>
      <c r="D2390" t="str">
        <f>data!D2390</f>
        <v>SARL RAFFAULT</v>
      </c>
      <c r="E2390" t="str">
        <f>data!E2390</f>
        <v>037010</v>
      </c>
      <c r="F2390" t="str">
        <f>data!F2390</f>
        <v>AC CHINON SEC</v>
      </c>
      <c r="G2390" s="10">
        <f>data!G2390</f>
        <v>940.5</v>
      </c>
      <c r="H2390" s="10">
        <f>data!I2390</f>
        <v>81.900000000000006</v>
      </c>
      <c r="I2390" s="10">
        <f t="shared" si="148"/>
        <v>858.6</v>
      </c>
      <c r="J2390" s="11">
        <f>data!H2390</f>
        <v>204</v>
      </c>
      <c r="K2390" s="11">
        <f>data!J2390</f>
        <v>18</v>
      </c>
      <c r="L2390" s="11">
        <f t="shared" si="149"/>
        <v>186</v>
      </c>
      <c r="M2390" s="9">
        <f t="shared" si="150"/>
        <v>10.483516483516484</v>
      </c>
      <c r="N2390" s="9">
        <f t="shared" si="151"/>
        <v>10.333333333333334</v>
      </c>
    </row>
    <row r="2391" spans="1:14" x14ac:dyDescent="0.25">
      <c r="A2391" t="str">
        <f>TEXT("1/"&amp;data!A2391,"mmmm")</f>
        <v>septembre</v>
      </c>
      <c r="B2391">
        <f>data!B2391</f>
        <v>2016</v>
      </c>
      <c r="C2391" t="str">
        <f>data!C2391</f>
        <v>039</v>
      </c>
      <c r="D2391" t="str">
        <f>data!D2391</f>
        <v>LES VIGNERONS DES COTES D'AGLY</v>
      </c>
      <c r="E2391" t="str">
        <f>data!E2391</f>
        <v>039017</v>
      </c>
      <c r="F2391" t="str">
        <f>data!F2391</f>
        <v>AC C.ROUSSILLON VILL ARAGO</v>
      </c>
      <c r="G2391" s="10">
        <f>data!G2391</f>
        <v>42</v>
      </c>
      <c r="H2391" s="10">
        <f>data!I2391</f>
        <v>105</v>
      </c>
      <c r="I2391" s="10">
        <f t="shared" si="148"/>
        <v>-63</v>
      </c>
      <c r="J2391" s="11">
        <f>data!H2391</f>
        <v>12</v>
      </c>
      <c r="K2391" s="11">
        <f>data!J2391</f>
        <v>30</v>
      </c>
      <c r="L2391" s="11">
        <f t="shared" si="149"/>
        <v>-18</v>
      </c>
      <c r="M2391" s="9">
        <f t="shared" si="150"/>
        <v>-0.6</v>
      </c>
      <c r="N2391" s="9">
        <f t="shared" si="151"/>
        <v>-0.6</v>
      </c>
    </row>
    <row r="2392" spans="1:14" x14ac:dyDescent="0.25">
      <c r="A2392" t="str">
        <f>TEXT("1/"&amp;data!A2392,"mmmm")</f>
        <v>septembre</v>
      </c>
      <c r="B2392">
        <f>data!B2392</f>
        <v>2016</v>
      </c>
      <c r="C2392" t="str">
        <f>data!C2392</f>
        <v>039</v>
      </c>
      <c r="D2392" t="str">
        <f>data!D2392</f>
        <v>LES VIGNERONS DES COTES D'AGLY</v>
      </c>
      <c r="E2392" t="str">
        <f>data!E2392</f>
        <v>039018</v>
      </c>
      <c r="F2392" t="str">
        <f>data!F2392</f>
        <v>AC C. ROUSSILLON N D LAVAL</v>
      </c>
      <c r="G2392" s="10">
        <f>data!G2392</f>
        <v>117.12</v>
      </c>
      <c r="H2392" s="10">
        <f>data!I2392</f>
        <v>238.68</v>
      </c>
      <c r="I2392" s="10">
        <f t="shared" si="148"/>
        <v>-121.56</v>
      </c>
      <c r="J2392" s="11">
        <f>data!H2392</f>
        <v>48</v>
      </c>
      <c r="K2392" s="11">
        <f>data!J2392</f>
        <v>108</v>
      </c>
      <c r="L2392" s="11">
        <f t="shared" si="149"/>
        <v>-60</v>
      </c>
      <c r="M2392" s="9">
        <f t="shared" si="150"/>
        <v>-0.50930115635997986</v>
      </c>
      <c r="N2392" s="9">
        <f t="shared" si="151"/>
        <v>-0.55555555555555558</v>
      </c>
    </row>
    <row r="2393" spans="1:14" x14ac:dyDescent="0.25">
      <c r="A2393" t="str">
        <f>TEXT("1/"&amp;data!A2393,"mmmm")</f>
        <v>septembre</v>
      </c>
      <c r="B2393">
        <f>data!B2393</f>
        <v>2016</v>
      </c>
      <c r="C2393" t="str">
        <f>data!C2393</f>
        <v>039</v>
      </c>
      <c r="D2393" t="str">
        <f>data!D2393</f>
        <v>LES VIGNERONS DES COTES D'AGLY</v>
      </c>
      <c r="E2393" t="str">
        <f>data!E2393</f>
        <v>039028</v>
      </c>
      <c r="F2393" t="str">
        <f>data!F2393</f>
        <v>VDN MAURY</v>
      </c>
      <c r="G2393" s="10">
        <f>data!G2393</f>
        <v>30</v>
      </c>
      <c r="H2393" s="10">
        <f>data!I2393</f>
        <v>368.16</v>
      </c>
      <c r="I2393" s="10">
        <f t="shared" si="148"/>
        <v>-338.16</v>
      </c>
      <c r="J2393" s="11">
        <f>data!H2393</f>
        <v>6</v>
      </c>
      <c r="K2393" s="11">
        <f>data!J2393</f>
        <v>78</v>
      </c>
      <c r="L2393" s="11">
        <f t="shared" si="149"/>
        <v>-72</v>
      </c>
      <c r="M2393" s="9">
        <f t="shared" si="150"/>
        <v>-0.91851368970013036</v>
      </c>
      <c r="N2393" s="9">
        <f t="shared" si="151"/>
        <v>-0.92307692307692313</v>
      </c>
    </row>
    <row r="2394" spans="1:14" x14ac:dyDescent="0.25">
      <c r="A2394" t="str">
        <f>TEXT("1/"&amp;data!A2394,"mmmm")</f>
        <v>septembre</v>
      </c>
      <c r="B2394">
        <f>data!B2394</f>
        <v>2016</v>
      </c>
      <c r="C2394" t="str">
        <f>data!C2394</f>
        <v>039</v>
      </c>
      <c r="D2394" t="str">
        <f>data!D2394</f>
        <v>LES VIGNERONS DES COTES D'AGLY</v>
      </c>
      <c r="E2394" t="str">
        <f>data!E2394</f>
        <v>039030</v>
      </c>
      <c r="F2394" t="str">
        <f>data!F2394</f>
        <v>VDN MUSCAT DE RIVESALTES</v>
      </c>
      <c r="G2394" s="10">
        <f>data!G2394</f>
        <v>45.36</v>
      </c>
      <c r="H2394" s="10">
        <f>data!I2394</f>
        <v>108.3</v>
      </c>
      <c r="I2394" s="10">
        <f t="shared" si="148"/>
        <v>-62.94</v>
      </c>
      <c r="J2394" s="11">
        <f>data!H2394</f>
        <v>12</v>
      </c>
      <c r="K2394" s="11">
        <f>data!J2394</f>
        <v>30</v>
      </c>
      <c r="L2394" s="11">
        <f t="shared" si="149"/>
        <v>-18</v>
      </c>
      <c r="M2394" s="9">
        <f t="shared" si="150"/>
        <v>-0.58116343490304712</v>
      </c>
      <c r="N2394" s="9">
        <f t="shared" si="151"/>
        <v>-0.6</v>
      </c>
    </row>
    <row r="2395" spans="1:14" x14ac:dyDescent="0.25">
      <c r="A2395" t="str">
        <f>TEXT("1/"&amp;data!A2395,"mmmm")</f>
        <v>septembre</v>
      </c>
      <c r="B2395">
        <f>data!B2395</f>
        <v>2016</v>
      </c>
      <c r="C2395" t="str">
        <f>data!C2395</f>
        <v>040</v>
      </c>
      <c r="D2395" t="str">
        <f>data!D2395</f>
        <v>CHÂTEAU DE LA GRAVE</v>
      </c>
      <c r="E2395" t="str">
        <f>data!E2395</f>
        <v>040004</v>
      </c>
      <c r="F2395" t="str">
        <f>data!F2395</f>
        <v>AOP COTES DE BOURG CH DE LA GRAVE GRAINS FINS</v>
      </c>
      <c r="G2395" s="10">
        <f>data!G2395</f>
        <v>0</v>
      </c>
      <c r="H2395" s="10">
        <f>data!I2395</f>
        <v>136.80000000000001</v>
      </c>
      <c r="I2395" s="10">
        <f t="shared" si="148"/>
        <v>-136.80000000000001</v>
      </c>
      <c r="J2395" s="11">
        <f>data!H2395</f>
        <v>6</v>
      </c>
      <c r="K2395" s="11">
        <f>data!J2395</f>
        <v>24</v>
      </c>
      <c r="L2395" s="11">
        <f t="shared" si="149"/>
        <v>-18</v>
      </c>
      <c r="M2395" s="9">
        <f t="shared" si="150"/>
        <v>-1</v>
      </c>
      <c r="N2395" s="9">
        <f t="shared" si="151"/>
        <v>-0.75</v>
      </c>
    </row>
    <row r="2396" spans="1:14" x14ac:dyDescent="0.25">
      <c r="A2396" t="str">
        <f>TEXT("1/"&amp;data!A2396,"mmmm")</f>
        <v>septembre</v>
      </c>
      <c r="B2396">
        <f>data!B2396</f>
        <v>2016</v>
      </c>
      <c r="C2396" t="str">
        <f>data!C2396</f>
        <v>040</v>
      </c>
      <c r="D2396" t="str">
        <f>data!D2396</f>
        <v>CHÂTEAU DE LA GRAVE</v>
      </c>
      <c r="E2396" t="str">
        <f>data!E2396</f>
        <v>040006</v>
      </c>
      <c r="F2396" t="str">
        <f>data!F2396</f>
        <v>AC COTES DE BOURG CHATEAU DE LA GRAVE</v>
      </c>
      <c r="G2396" s="10">
        <f>data!G2396</f>
        <v>1839.6</v>
      </c>
      <c r="H2396" s="10">
        <f>data!I2396</f>
        <v>4075.2</v>
      </c>
      <c r="I2396" s="10">
        <f t="shared" si="148"/>
        <v>-2235.6</v>
      </c>
      <c r="J2396" s="11">
        <f>data!H2396</f>
        <v>510</v>
      </c>
      <c r="K2396" s="11">
        <f>data!J2396</f>
        <v>1158</v>
      </c>
      <c r="L2396" s="11">
        <f t="shared" si="149"/>
        <v>-648</v>
      </c>
      <c r="M2396" s="9">
        <f t="shared" si="150"/>
        <v>-0.54858657243816256</v>
      </c>
      <c r="N2396" s="9">
        <f t="shared" si="151"/>
        <v>-0.55958549222797926</v>
      </c>
    </row>
    <row r="2397" spans="1:14" x14ac:dyDescent="0.25">
      <c r="A2397" t="str">
        <f>TEXT("1/"&amp;data!A2397,"mmmm")</f>
        <v>septembre</v>
      </c>
      <c r="B2397">
        <f>data!B2397</f>
        <v>2016</v>
      </c>
      <c r="C2397" t="str">
        <f>data!C2397</f>
        <v>040</v>
      </c>
      <c r="D2397" t="str">
        <f>data!D2397</f>
        <v>CHÂTEAU DE LA GRAVE</v>
      </c>
      <c r="E2397" t="str">
        <f>data!E2397</f>
        <v>040007</v>
      </c>
      <c r="F2397" t="str">
        <f>data!F2397</f>
        <v>AC COTES DE BOURG G DE LA GRAVE</v>
      </c>
      <c r="G2397" s="10">
        <f>data!G2397</f>
        <v>220.8</v>
      </c>
      <c r="H2397" s="10">
        <f>data!I2397</f>
        <v>789</v>
      </c>
      <c r="I2397" s="10">
        <f t="shared" si="148"/>
        <v>-568.20000000000005</v>
      </c>
      <c r="J2397" s="11">
        <f>data!H2397</f>
        <v>106.72</v>
      </c>
      <c r="K2397" s="11">
        <f>data!J2397</f>
        <v>400.2</v>
      </c>
      <c r="L2397" s="11">
        <f t="shared" si="149"/>
        <v>-293.48</v>
      </c>
      <c r="M2397" s="9">
        <f t="shared" si="150"/>
        <v>-0.72015209125475288</v>
      </c>
      <c r="N2397" s="9">
        <f t="shared" si="151"/>
        <v>-0.73333333333333339</v>
      </c>
    </row>
    <row r="2398" spans="1:14" x14ac:dyDescent="0.25">
      <c r="A2398" t="str">
        <f>TEXT("1/"&amp;data!A2398,"mmmm")</f>
        <v>septembre</v>
      </c>
      <c r="B2398">
        <f>data!B2398</f>
        <v>2016</v>
      </c>
      <c r="C2398" t="str">
        <f>data!C2398</f>
        <v>040</v>
      </c>
      <c r="D2398" t="str">
        <f>data!D2398</f>
        <v>CHÂTEAU DE LA GRAVE</v>
      </c>
      <c r="E2398" t="str">
        <f>data!E2398</f>
        <v>040008</v>
      </c>
      <c r="F2398" t="str">
        <f>data!F2398</f>
        <v>AC COTES DE BOURG G DE LA GRAVE</v>
      </c>
      <c r="G2398" s="10">
        <f>data!G2398</f>
        <v>317.39999999999998</v>
      </c>
      <c r="H2398" s="10">
        <f>data!I2398</f>
        <v>504</v>
      </c>
      <c r="I2398" s="10">
        <f t="shared" si="148"/>
        <v>-186.60000000000002</v>
      </c>
      <c r="J2398" s="11">
        <f>data!H2398</f>
        <v>159.96</v>
      </c>
      <c r="K2398" s="11">
        <f>data!J2398</f>
        <v>266.60000000000002</v>
      </c>
      <c r="L2398" s="11">
        <f t="shared" si="149"/>
        <v>-106.64000000000001</v>
      </c>
      <c r="M2398" s="9">
        <f t="shared" si="150"/>
        <v>-0.37023809523809531</v>
      </c>
      <c r="N2398" s="9">
        <f t="shared" si="151"/>
        <v>-0.4</v>
      </c>
    </row>
    <row r="2399" spans="1:14" x14ac:dyDescent="0.25">
      <c r="A2399" t="str">
        <f>TEXT("1/"&amp;data!A2399,"mmmm")</f>
        <v>septembre</v>
      </c>
      <c r="B2399">
        <f>data!B2399</f>
        <v>2016</v>
      </c>
      <c r="C2399" t="str">
        <f>data!C2399</f>
        <v>040</v>
      </c>
      <c r="D2399" t="str">
        <f>data!D2399</f>
        <v>CHÂTEAU DE LA GRAVE</v>
      </c>
      <c r="E2399" t="str">
        <f>data!E2399</f>
        <v>040011</v>
      </c>
      <c r="F2399" t="str">
        <f>data!F2399</f>
        <v>AC C DE BOURG BEL AIR</v>
      </c>
      <c r="G2399" s="10">
        <f>data!G2399</f>
        <v>54</v>
      </c>
      <c r="H2399" s="10">
        <f>data!I2399</f>
        <v>27</v>
      </c>
      <c r="I2399" s="10">
        <f t="shared" si="148"/>
        <v>27</v>
      </c>
      <c r="J2399" s="11">
        <f>data!H2399</f>
        <v>12</v>
      </c>
      <c r="K2399" s="11">
        <f>data!J2399</f>
        <v>6</v>
      </c>
      <c r="L2399" s="11">
        <f t="shared" si="149"/>
        <v>6</v>
      </c>
      <c r="M2399" s="9">
        <f t="shared" si="150"/>
        <v>1</v>
      </c>
      <c r="N2399" s="9">
        <f t="shared" si="151"/>
        <v>1</v>
      </c>
    </row>
    <row r="2400" spans="1:14" x14ac:dyDescent="0.25">
      <c r="A2400" t="str">
        <f>TEXT("1/"&amp;data!A2400,"mmmm")</f>
        <v>septembre</v>
      </c>
      <c r="B2400">
        <f>data!B2400</f>
        <v>2016</v>
      </c>
      <c r="C2400" t="str">
        <f>data!C2400</f>
        <v>040</v>
      </c>
      <c r="D2400" t="str">
        <f>data!D2400</f>
        <v>CHÂTEAU DE LA GRAVE</v>
      </c>
      <c r="E2400" t="str">
        <f>data!E2400</f>
        <v>040012</v>
      </c>
      <c r="F2400" t="str">
        <f>data!F2400</f>
        <v>AC C DE BOURG BEL AIR</v>
      </c>
      <c r="G2400" s="10">
        <f>data!G2400</f>
        <v>146.69999999999999</v>
      </c>
      <c r="H2400" s="10">
        <f>data!I2400</f>
        <v>0</v>
      </c>
      <c r="I2400" s="10">
        <f t="shared" si="148"/>
        <v>146.69999999999999</v>
      </c>
      <c r="J2400" s="11">
        <f>data!H2400</f>
        <v>36</v>
      </c>
      <c r="K2400" s="11">
        <f>data!J2400</f>
        <v>0</v>
      </c>
      <c r="L2400" s="11">
        <f t="shared" si="149"/>
        <v>36</v>
      </c>
      <c r="M2400" s="9" t="str">
        <f t="shared" si="150"/>
        <v/>
      </c>
      <c r="N2400" s="9" t="str">
        <f t="shared" si="151"/>
        <v/>
      </c>
    </row>
    <row r="2401" spans="1:14" x14ac:dyDescent="0.25">
      <c r="A2401" t="str">
        <f>TEXT("1/"&amp;data!A2401,"mmmm")</f>
        <v>septembre</v>
      </c>
      <c r="B2401">
        <f>data!B2401</f>
        <v>2016</v>
      </c>
      <c r="C2401" t="str">
        <f>data!C2401</f>
        <v>040</v>
      </c>
      <c r="D2401" t="str">
        <f>data!D2401</f>
        <v>CHÂTEAU DE LA GRAVE</v>
      </c>
      <c r="E2401" t="str">
        <f>data!E2401</f>
        <v>040015</v>
      </c>
      <c r="F2401" t="str">
        <f>data!F2401</f>
        <v>AC C DE BOURG. CARACTERE</v>
      </c>
      <c r="G2401" s="10">
        <f>data!G2401</f>
        <v>61.2</v>
      </c>
      <c r="H2401" s="10">
        <f>data!I2401</f>
        <v>0</v>
      </c>
      <c r="I2401" s="10">
        <f t="shared" si="148"/>
        <v>61.2</v>
      </c>
      <c r="J2401" s="11">
        <f>data!H2401</f>
        <v>12</v>
      </c>
      <c r="K2401" s="11">
        <f>data!J2401</f>
        <v>0</v>
      </c>
      <c r="L2401" s="11">
        <f t="shared" si="149"/>
        <v>12</v>
      </c>
      <c r="M2401" s="9" t="str">
        <f t="shared" si="150"/>
        <v/>
      </c>
      <c r="N2401" s="9" t="str">
        <f t="shared" si="151"/>
        <v/>
      </c>
    </row>
    <row r="2402" spans="1:14" x14ac:dyDescent="0.25">
      <c r="A2402" t="str">
        <f>TEXT("1/"&amp;data!A2402,"mmmm")</f>
        <v>septembre</v>
      </c>
      <c r="B2402">
        <f>data!B2402</f>
        <v>2016</v>
      </c>
      <c r="C2402" t="str">
        <f>data!C2402</f>
        <v>040</v>
      </c>
      <c r="D2402" t="str">
        <f>data!D2402</f>
        <v>CHÂTEAU DE LA GRAVE</v>
      </c>
      <c r="E2402" t="str">
        <f>data!E2402</f>
        <v>040017</v>
      </c>
      <c r="F2402" t="str">
        <f>data!F2402</f>
        <v>AC C DE BOURG F.CHENE NECTAR</v>
      </c>
      <c r="G2402" s="10">
        <f>data!G2402</f>
        <v>49.2</v>
      </c>
      <c r="H2402" s="10">
        <f>data!I2402</f>
        <v>0</v>
      </c>
      <c r="I2402" s="10">
        <f t="shared" si="148"/>
        <v>49.2</v>
      </c>
      <c r="J2402" s="11">
        <f>data!H2402</f>
        <v>6</v>
      </c>
      <c r="K2402" s="11">
        <f>data!J2402</f>
        <v>0</v>
      </c>
      <c r="L2402" s="11">
        <f t="shared" si="149"/>
        <v>6</v>
      </c>
      <c r="M2402" s="9" t="str">
        <f t="shared" si="150"/>
        <v/>
      </c>
      <c r="N2402" s="9" t="str">
        <f t="shared" si="151"/>
        <v/>
      </c>
    </row>
    <row r="2403" spans="1:14" x14ac:dyDescent="0.25">
      <c r="A2403" t="str">
        <f>TEXT("1/"&amp;data!A2403,"mmmm")</f>
        <v>septembre</v>
      </c>
      <c r="B2403">
        <f>data!B2403</f>
        <v>2016</v>
      </c>
      <c r="C2403" t="str">
        <f>data!C2403</f>
        <v>041</v>
      </c>
      <c r="D2403" t="str">
        <f>data!D2403</f>
        <v>CHATEAU TOUR DE PEZ</v>
      </c>
      <c r="E2403" t="str">
        <f>data!E2403</f>
        <v>041001/10</v>
      </c>
      <c r="F2403" t="str">
        <f>data!F2403</f>
        <v>AC ST ESTEPHE CH TOUR DE PEZ</v>
      </c>
      <c r="G2403" s="10">
        <f>data!G2403</f>
        <v>688.8</v>
      </c>
      <c r="H2403" s="10">
        <f>data!I2403</f>
        <v>1092</v>
      </c>
      <c r="I2403" s="10">
        <f t="shared" si="148"/>
        <v>-403.20000000000005</v>
      </c>
      <c r="J2403" s="11">
        <f>data!H2403</f>
        <v>48</v>
      </c>
      <c r="K2403" s="11">
        <f>data!J2403</f>
        <v>78</v>
      </c>
      <c r="L2403" s="11">
        <f t="shared" si="149"/>
        <v>-30</v>
      </c>
      <c r="M2403" s="9">
        <f t="shared" si="150"/>
        <v>-0.36923076923076925</v>
      </c>
      <c r="N2403" s="9">
        <f t="shared" si="151"/>
        <v>-0.38461538461538464</v>
      </c>
    </row>
    <row r="2404" spans="1:14" x14ac:dyDescent="0.25">
      <c r="A2404" t="str">
        <f>TEXT("1/"&amp;data!A2404,"mmmm")</f>
        <v>septembre</v>
      </c>
      <c r="B2404">
        <f>data!B2404</f>
        <v>2016</v>
      </c>
      <c r="C2404" t="str">
        <f>data!C2404</f>
        <v>041</v>
      </c>
      <c r="D2404" t="str">
        <f>data!D2404</f>
        <v>CHATEAU TOUR DE PEZ</v>
      </c>
      <c r="E2404" t="str">
        <f>data!E2404</f>
        <v>041001/12</v>
      </c>
      <c r="F2404" t="str">
        <f>data!F2404</f>
        <v>AC ST ESTEPHE CH TOUR DE PEZ</v>
      </c>
      <c r="G2404" s="10">
        <f>data!G2404</f>
        <v>159</v>
      </c>
      <c r="H2404" s="10">
        <f>data!I2404</f>
        <v>0</v>
      </c>
      <c r="I2404" s="10">
        <f t="shared" si="148"/>
        <v>159</v>
      </c>
      <c r="J2404" s="11">
        <f>data!H2404</f>
        <v>12</v>
      </c>
      <c r="K2404" s="11">
        <f>data!J2404</f>
        <v>0</v>
      </c>
      <c r="L2404" s="11">
        <f t="shared" si="149"/>
        <v>12</v>
      </c>
      <c r="M2404" s="9" t="str">
        <f t="shared" si="150"/>
        <v/>
      </c>
      <c r="N2404" s="9" t="str">
        <f t="shared" si="151"/>
        <v/>
      </c>
    </row>
    <row r="2405" spans="1:14" x14ac:dyDescent="0.25">
      <c r="A2405" t="str">
        <f>TEXT("1/"&amp;data!A2405,"mmmm")</f>
        <v>septembre</v>
      </c>
      <c r="B2405">
        <f>data!B2405</f>
        <v>2016</v>
      </c>
      <c r="C2405" t="str">
        <f>data!C2405</f>
        <v>041</v>
      </c>
      <c r="D2405" t="str">
        <f>data!D2405</f>
        <v>CHATEAU TOUR DE PEZ</v>
      </c>
      <c r="E2405" t="str">
        <f>data!E2405</f>
        <v>041006</v>
      </c>
      <c r="F2405" t="str">
        <f>data!F2405</f>
        <v>AC ST ESTEPHE. C.LES HAUTS  DE PEZ</v>
      </c>
      <c r="G2405" s="10">
        <f>data!G2405</f>
        <v>54.6</v>
      </c>
      <c r="H2405" s="10">
        <f>data!I2405</f>
        <v>216</v>
      </c>
      <c r="I2405" s="10">
        <f t="shared" si="148"/>
        <v>-161.4</v>
      </c>
      <c r="J2405" s="11">
        <f>data!H2405</f>
        <v>6</v>
      </c>
      <c r="K2405" s="11">
        <f>data!J2405</f>
        <v>24</v>
      </c>
      <c r="L2405" s="11">
        <f t="shared" si="149"/>
        <v>-18</v>
      </c>
      <c r="M2405" s="9">
        <f t="shared" si="150"/>
        <v>-0.74722222222222223</v>
      </c>
      <c r="N2405" s="9">
        <f t="shared" si="151"/>
        <v>-0.75</v>
      </c>
    </row>
    <row r="2406" spans="1:14" x14ac:dyDescent="0.25">
      <c r="A2406" t="str">
        <f>TEXT("1/"&amp;data!A2406,"mmmm")</f>
        <v>septembre</v>
      </c>
      <c r="B2406">
        <f>data!B2406</f>
        <v>2016</v>
      </c>
      <c r="C2406" t="str">
        <f>data!C2406</f>
        <v>041</v>
      </c>
      <c r="D2406" t="str">
        <f>data!D2406</f>
        <v>CHATEAU TOUR DE PEZ</v>
      </c>
      <c r="E2406" t="str">
        <f>data!E2406</f>
        <v>041016</v>
      </c>
      <c r="F2406" t="str">
        <f>data!F2406</f>
        <v>AOP SAINT- ESTEPHE CH LES HAUTS DE PEZ</v>
      </c>
      <c r="G2406" s="10">
        <f>data!G2406</f>
        <v>1008</v>
      </c>
      <c r="H2406" s="10">
        <f>data!I2406</f>
        <v>901.8</v>
      </c>
      <c r="I2406" s="10">
        <f t="shared" si="148"/>
        <v>106.20000000000005</v>
      </c>
      <c r="J2406" s="11">
        <f>data!H2406</f>
        <v>120</v>
      </c>
      <c r="K2406" s="11">
        <f>data!J2406</f>
        <v>114</v>
      </c>
      <c r="L2406" s="11">
        <f t="shared" si="149"/>
        <v>6</v>
      </c>
      <c r="M2406" s="9">
        <f t="shared" si="150"/>
        <v>0.11776447105788429</v>
      </c>
      <c r="N2406" s="9">
        <f t="shared" si="151"/>
        <v>5.2631578947368418E-2</v>
      </c>
    </row>
    <row r="2407" spans="1:14" x14ac:dyDescent="0.25">
      <c r="A2407" t="str">
        <f>TEXT("1/"&amp;data!A2407,"mmmm")</f>
        <v>septembre</v>
      </c>
      <c r="B2407">
        <f>data!B2407</f>
        <v>2016</v>
      </c>
      <c r="C2407" t="str">
        <f>data!C2407</f>
        <v>041</v>
      </c>
      <c r="D2407" t="str">
        <f>data!D2407</f>
        <v>CHATEAU TOUR DE PEZ</v>
      </c>
      <c r="E2407" t="str">
        <f>data!E2407</f>
        <v>041020</v>
      </c>
      <c r="F2407" t="str">
        <f>data!F2407</f>
        <v>AC ST ESTEPHE C.TOUR DE PEZ</v>
      </c>
      <c r="G2407" s="10">
        <f>data!G2407</f>
        <v>180</v>
      </c>
      <c r="H2407" s="10">
        <f>data!I2407</f>
        <v>0</v>
      </c>
      <c r="I2407" s="10">
        <f t="shared" si="148"/>
        <v>180</v>
      </c>
      <c r="J2407" s="11">
        <f>data!H2407</f>
        <v>12</v>
      </c>
      <c r="K2407" s="11">
        <f>data!J2407</f>
        <v>0</v>
      </c>
      <c r="L2407" s="11">
        <f t="shared" si="149"/>
        <v>12</v>
      </c>
      <c r="M2407" s="9" t="str">
        <f t="shared" si="150"/>
        <v/>
      </c>
      <c r="N2407" s="9" t="str">
        <f t="shared" si="151"/>
        <v/>
      </c>
    </row>
    <row r="2408" spans="1:14" x14ac:dyDescent="0.25">
      <c r="A2408" t="str">
        <f>TEXT("1/"&amp;data!A2408,"mmmm")</f>
        <v>septembre</v>
      </c>
      <c r="B2408">
        <f>data!B2408</f>
        <v>2016</v>
      </c>
      <c r="C2408" t="str">
        <f>data!C2408</f>
        <v>046</v>
      </c>
      <c r="D2408" t="str">
        <f>data!D2408</f>
        <v>MR JEAN PIERRE CABANES</v>
      </c>
      <c r="E2408" t="str">
        <f>data!E2408</f>
        <v>046001</v>
      </c>
      <c r="F2408" t="str">
        <f>data!F2408</f>
        <v>AC CTX DU LANGU TRAD D.ARCHIMBAUD</v>
      </c>
      <c r="G2408" s="10">
        <f>data!G2408</f>
        <v>135</v>
      </c>
      <c r="H2408" s="10">
        <f>data!I2408</f>
        <v>147.6</v>
      </c>
      <c r="I2408" s="10">
        <f t="shared" si="148"/>
        <v>-12.599999999999994</v>
      </c>
      <c r="J2408" s="11">
        <f>data!H2408</f>
        <v>30</v>
      </c>
      <c r="K2408" s="11">
        <f>data!J2408</f>
        <v>36</v>
      </c>
      <c r="L2408" s="11">
        <f t="shared" si="149"/>
        <v>-6</v>
      </c>
      <c r="M2408" s="9">
        <f t="shared" si="150"/>
        <v>-8.536585365853655E-2</v>
      </c>
      <c r="N2408" s="9">
        <f t="shared" si="151"/>
        <v>-0.16666666666666666</v>
      </c>
    </row>
    <row r="2409" spans="1:14" x14ac:dyDescent="0.25">
      <c r="A2409" t="str">
        <f>TEXT("1/"&amp;data!A2409,"mmmm")</f>
        <v>septembre</v>
      </c>
      <c r="B2409">
        <f>data!B2409</f>
        <v>2016</v>
      </c>
      <c r="C2409" t="str">
        <f>data!C2409</f>
        <v>046</v>
      </c>
      <c r="D2409" t="str">
        <f>data!D2409</f>
        <v>MR JEAN PIERRE CABANES</v>
      </c>
      <c r="E2409" t="str">
        <f>data!E2409</f>
        <v>046010</v>
      </c>
      <c r="F2409" t="str">
        <f>data!F2409</f>
        <v>AC COT DU LANG ROBE POURPRE</v>
      </c>
      <c r="G2409" s="10">
        <f>data!G2409</f>
        <v>786.6</v>
      </c>
      <c r="H2409" s="10">
        <f>data!I2409</f>
        <v>230.4</v>
      </c>
      <c r="I2409" s="10">
        <f t="shared" si="148"/>
        <v>556.20000000000005</v>
      </c>
      <c r="J2409" s="11">
        <f>data!H2409</f>
        <v>114</v>
      </c>
      <c r="K2409" s="11">
        <f>data!J2409</f>
        <v>36</v>
      </c>
      <c r="L2409" s="11">
        <f t="shared" si="149"/>
        <v>78</v>
      </c>
      <c r="M2409" s="9">
        <f t="shared" si="150"/>
        <v>2.4140625</v>
      </c>
      <c r="N2409" s="9">
        <f t="shared" si="151"/>
        <v>2.1666666666666665</v>
      </c>
    </row>
    <row r="2410" spans="1:14" x14ac:dyDescent="0.25">
      <c r="A2410" t="str">
        <f>TEXT("1/"&amp;data!A2410,"mmmm")</f>
        <v>septembre</v>
      </c>
      <c r="B2410">
        <f>data!B2410</f>
        <v>2016</v>
      </c>
      <c r="C2410" t="str">
        <f>data!C2410</f>
        <v>046</v>
      </c>
      <c r="D2410" t="str">
        <f>data!D2410</f>
        <v>MR JEAN PIERRE CABANES</v>
      </c>
      <c r="E2410" t="str">
        <f>data!E2410</f>
        <v>046015</v>
      </c>
      <c r="F2410" t="str">
        <f>data!F2410</f>
        <v>AC COT DU LANGU D.ARCHIMBAUD</v>
      </c>
      <c r="G2410" s="10">
        <f>data!G2410</f>
        <v>120</v>
      </c>
      <c r="H2410" s="10">
        <f>data!I2410</f>
        <v>210</v>
      </c>
      <c r="I2410" s="10">
        <f t="shared" si="148"/>
        <v>-90</v>
      </c>
      <c r="J2410" s="11">
        <f>data!H2410</f>
        <v>30</v>
      </c>
      <c r="K2410" s="11">
        <f>data!J2410</f>
        <v>60</v>
      </c>
      <c r="L2410" s="11">
        <f t="shared" si="149"/>
        <v>-30</v>
      </c>
      <c r="M2410" s="9">
        <f t="shared" si="150"/>
        <v>-0.42857142857142855</v>
      </c>
      <c r="N2410" s="9">
        <f t="shared" si="151"/>
        <v>-0.5</v>
      </c>
    </row>
    <row r="2411" spans="1:14" x14ac:dyDescent="0.25">
      <c r="A2411" t="str">
        <f>TEXT("1/"&amp;data!A2411,"mmmm")</f>
        <v>septembre</v>
      </c>
      <c r="B2411">
        <f>data!B2411</f>
        <v>2016</v>
      </c>
      <c r="C2411" t="str">
        <f>data!C2411</f>
        <v>046</v>
      </c>
      <c r="D2411" t="str">
        <f>data!D2411</f>
        <v>MR JEAN PIERRE CABANES</v>
      </c>
      <c r="E2411" t="str">
        <f>data!E2411</f>
        <v>046020</v>
      </c>
      <c r="F2411" t="str">
        <f>data!F2411</f>
        <v>AC COTEAUX DU LANGUEDOC ENFANT TERRIBLE</v>
      </c>
      <c r="G2411" s="10">
        <f>data!G2411</f>
        <v>225</v>
      </c>
      <c r="H2411" s="10">
        <f>data!I2411</f>
        <v>84</v>
      </c>
      <c r="I2411" s="10">
        <f t="shared" si="148"/>
        <v>141</v>
      </c>
      <c r="J2411" s="11">
        <f>data!H2411</f>
        <v>30</v>
      </c>
      <c r="K2411" s="11">
        <f>data!J2411</f>
        <v>12</v>
      </c>
      <c r="L2411" s="11">
        <f t="shared" si="149"/>
        <v>18</v>
      </c>
      <c r="M2411" s="9">
        <f t="shared" si="150"/>
        <v>1.6785714285714286</v>
      </c>
      <c r="N2411" s="9">
        <f t="shared" si="151"/>
        <v>1.5</v>
      </c>
    </row>
    <row r="2412" spans="1:14" x14ac:dyDescent="0.25">
      <c r="A2412" t="str">
        <f>TEXT("1/"&amp;data!A2412,"mmmm")</f>
        <v>septembre</v>
      </c>
      <c r="B2412">
        <f>data!B2412</f>
        <v>2016</v>
      </c>
      <c r="C2412" t="str">
        <f>data!C2412</f>
        <v>046</v>
      </c>
      <c r="D2412" t="str">
        <f>data!D2412</f>
        <v>MR JEAN PIERRE CABANES</v>
      </c>
      <c r="E2412" t="str">
        <f>data!E2412</f>
        <v>046025</v>
      </c>
      <c r="F2412" t="str">
        <f>data!F2412</f>
        <v>IGP MONTBAUDILE</v>
      </c>
      <c r="G2412" s="10">
        <f>data!G2412</f>
        <v>144</v>
      </c>
      <c r="H2412" s="10">
        <f>data!I2412</f>
        <v>0</v>
      </c>
      <c r="I2412" s="10">
        <f t="shared" si="148"/>
        <v>144</v>
      </c>
      <c r="J2412" s="11">
        <f>data!H2412</f>
        <v>24</v>
      </c>
      <c r="K2412" s="11">
        <f>data!J2412</f>
        <v>0</v>
      </c>
      <c r="L2412" s="11">
        <f t="shared" si="149"/>
        <v>24</v>
      </c>
      <c r="M2412" s="9" t="str">
        <f t="shared" si="150"/>
        <v/>
      </c>
      <c r="N2412" s="9" t="str">
        <f t="shared" si="151"/>
        <v/>
      </c>
    </row>
    <row r="2413" spans="1:14" x14ac:dyDescent="0.25">
      <c r="A2413" t="str">
        <f>TEXT("1/"&amp;data!A2413,"mmmm")</f>
        <v>septembre</v>
      </c>
      <c r="B2413">
        <f>data!B2413</f>
        <v>2016</v>
      </c>
      <c r="C2413" t="str">
        <f>data!C2413</f>
        <v>048B</v>
      </c>
      <c r="D2413" t="str">
        <f>data!D2413</f>
        <v>SCEA BOURLON DESTOUEST</v>
      </c>
      <c r="E2413" t="str">
        <f>data!E2413</f>
        <v>048003B</v>
      </c>
      <c r="F2413" t="str">
        <f>data!F2413</f>
        <v>AC PUISSEGUIN ST EMILION</v>
      </c>
      <c r="G2413" s="10">
        <f>data!G2413</f>
        <v>1377.6</v>
      </c>
      <c r="H2413" s="10">
        <f>data!I2413</f>
        <v>870.6</v>
      </c>
      <c r="I2413" s="10">
        <f t="shared" si="148"/>
        <v>506.99999999999989</v>
      </c>
      <c r="J2413" s="11">
        <f>data!H2413</f>
        <v>246</v>
      </c>
      <c r="K2413" s="11">
        <f>data!J2413</f>
        <v>156</v>
      </c>
      <c r="L2413" s="11">
        <f t="shared" si="149"/>
        <v>90</v>
      </c>
      <c r="M2413" s="9">
        <f t="shared" si="150"/>
        <v>0.58235699517574069</v>
      </c>
      <c r="N2413" s="9">
        <f t="shared" si="151"/>
        <v>0.57692307692307687</v>
      </c>
    </row>
    <row r="2414" spans="1:14" x14ac:dyDescent="0.25">
      <c r="A2414" t="str">
        <f>TEXT("1/"&amp;data!A2414,"mmmm")</f>
        <v>septembre</v>
      </c>
      <c r="B2414">
        <f>data!B2414</f>
        <v>2016</v>
      </c>
      <c r="C2414" t="str">
        <f>data!C2414</f>
        <v>048B</v>
      </c>
      <c r="D2414" t="str">
        <f>data!D2414</f>
        <v>SCEA BOURLON DESTOUEST</v>
      </c>
      <c r="E2414" t="str">
        <f>data!E2414</f>
        <v>048006B</v>
      </c>
      <c r="F2414" t="str">
        <f>data!F2414</f>
        <v>AOP PUISSEGUIN ST EMILION CH GUIBEAU</v>
      </c>
      <c r="G2414" s="10">
        <f>data!G2414</f>
        <v>360</v>
      </c>
      <c r="H2414" s="10">
        <f>data!I2414</f>
        <v>0</v>
      </c>
      <c r="I2414" s="10">
        <f t="shared" si="148"/>
        <v>360</v>
      </c>
      <c r="J2414" s="11">
        <f>data!H2414</f>
        <v>60</v>
      </c>
      <c r="K2414" s="11">
        <f>data!J2414</f>
        <v>0</v>
      </c>
      <c r="L2414" s="11">
        <f t="shared" si="149"/>
        <v>60</v>
      </c>
      <c r="M2414" s="9" t="str">
        <f t="shared" si="150"/>
        <v/>
      </c>
      <c r="N2414" s="9" t="str">
        <f t="shared" si="151"/>
        <v/>
      </c>
    </row>
    <row r="2415" spans="1:14" x14ac:dyDescent="0.25">
      <c r="A2415" t="str">
        <f>TEXT("1/"&amp;data!A2415,"mmmm")</f>
        <v>septembre</v>
      </c>
      <c r="B2415">
        <f>data!B2415</f>
        <v>2016</v>
      </c>
      <c r="C2415" t="str">
        <f>data!C2415</f>
        <v>049</v>
      </c>
      <c r="D2415" t="str">
        <f>data!D2415</f>
        <v>MAISON GRANDEAU</v>
      </c>
      <c r="E2415" t="str">
        <f>data!E2415</f>
        <v>049007</v>
      </c>
      <c r="F2415" t="str">
        <f>data!F2415</f>
        <v>AC BX SUP Tradi  CH LAUDUC</v>
      </c>
      <c r="G2415" s="10">
        <f>data!G2415</f>
        <v>821.1</v>
      </c>
      <c r="H2415" s="10">
        <f>data!I2415</f>
        <v>0</v>
      </c>
      <c r="I2415" s="10">
        <f t="shared" si="148"/>
        <v>821.1</v>
      </c>
      <c r="J2415" s="11">
        <f>data!H2415</f>
        <v>246</v>
      </c>
      <c r="K2415" s="11">
        <f>data!J2415</f>
        <v>0</v>
      </c>
      <c r="L2415" s="11">
        <f t="shared" si="149"/>
        <v>246</v>
      </c>
      <c r="M2415" s="9" t="str">
        <f t="shared" si="150"/>
        <v/>
      </c>
      <c r="N2415" s="9" t="str">
        <f t="shared" si="151"/>
        <v/>
      </c>
    </row>
    <row r="2416" spans="1:14" x14ac:dyDescent="0.25">
      <c r="A2416" t="str">
        <f>TEXT("1/"&amp;data!A2416,"mmmm")</f>
        <v>septembre</v>
      </c>
      <c r="B2416">
        <f>data!B2416</f>
        <v>2016</v>
      </c>
      <c r="C2416" t="str">
        <f>data!C2416</f>
        <v>049</v>
      </c>
      <c r="D2416" t="str">
        <f>data!D2416</f>
        <v>MAISON GRANDEAU</v>
      </c>
      <c r="E2416" t="str">
        <f>data!E2416</f>
        <v>049008</v>
      </c>
      <c r="F2416" t="str">
        <f>data!F2416</f>
        <v>AC BX SUP Tradi  CH LAUDUC</v>
      </c>
      <c r="G2416" s="10">
        <f>data!G2416</f>
        <v>100.8</v>
      </c>
      <c r="H2416" s="10">
        <f>data!I2416</f>
        <v>0</v>
      </c>
      <c r="I2416" s="10">
        <f t="shared" si="148"/>
        <v>100.8</v>
      </c>
      <c r="J2416" s="11">
        <f>data!H2416</f>
        <v>24</v>
      </c>
      <c r="K2416" s="11">
        <f>data!J2416</f>
        <v>0</v>
      </c>
      <c r="L2416" s="11">
        <f t="shared" si="149"/>
        <v>24</v>
      </c>
      <c r="M2416" s="9" t="str">
        <f t="shared" si="150"/>
        <v/>
      </c>
      <c r="N2416" s="9" t="str">
        <f t="shared" si="151"/>
        <v/>
      </c>
    </row>
    <row r="2417" spans="1:14" x14ac:dyDescent="0.25">
      <c r="A2417" t="str">
        <f>TEXT("1/"&amp;data!A2417,"mmmm")</f>
        <v>septembre</v>
      </c>
      <c r="B2417">
        <f>data!B2417</f>
        <v>2016</v>
      </c>
      <c r="C2417" t="str">
        <f>data!C2417</f>
        <v>049</v>
      </c>
      <c r="D2417" t="str">
        <f>data!D2417</f>
        <v>MAISON GRANDEAU</v>
      </c>
      <c r="E2417" t="str">
        <f>data!E2417</f>
        <v>049014</v>
      </c>
      <c r="F2417" t="str">
        <f>data!F2417</f>
        <v>AC ENTRE DEUX MER CH FLAMAND BELLEVUE</v>
      </c>
      <c r="G2417" s="10">
        <f>data!G2417</f>
        <v>351</v>
      </c>
      <c r="H2417" s="10">
        <f>data!I2417</f>
        <v>0</v>
      </c>
      <c r="I2417" s="10">
        <f t="shared" si="148"/>
        <v>351</v>
      </c>
      <c r="J2417" s="11">
        <f>data!H2417</f>
        <v>156</v>
      </c>
      <c r="K2417" s="11">
        <f>data!J2417</f>
        <v>0</v>
      </c>
      <c r="L2417" s="11">
        <f t="shared" si="149"/>
        <v>156</v>
      </c>
      <c r="M2417" s="9" t="str">
        <f t="shared" si="150"/>
        <v/>
      </c>
      <c r="N2417" s="9" t="str">
        <f t="shared" si="151"/>
        <v/>
      </c>
    </row>
    <row r="2418" spans="1:14" x14ac:dyDescent="0.25">
      <c r="A2418" t="str">
        <f>TEXT("1/"&amp;data!A2418,"mmmm")</f>
        <v>septembre</v>
      </c>
      <c r="B2418">
        <f>data!B2418</f>
        <v>2016</v>
      </c>
      <c r="C2418" t="str">
        <f>data!C2418</f>
        <v>049</v>
      </c>
      <c r="D2418" t="str">
        <f>data!D2418</f>
        <v>MAISON GRANDEAU</v>
      </c>
      <c r="E2418" t="str">
        <f>data!E2418</f>
        <v>049015</v>
      </c>
      <c r="F2418" t="str">
        <f>data!F2418</f>
        <v>AC BDX Classic CH LAUDUC</v>
      </c>
      <c r="G2418" s="10">
        <f>data!G2418</f>
        <v>191.4</v>
      </c>
      <c r="H2418" s="10">
        <f>data!I2418</f>
        <v>0</v>
      </c>
      <c r="I2418" s="10">
        <f t="shared" si="148"/>
        <v>191.4</v>
      </c>
      <c r="J2418" s="11">
        <f>data!H2418</f>
        <v>66</v>
      </c>
      <c r="K2418" s="11">
        <f>data!J2418</f>
        <v>6</v>
      </c>
      <c r="L2418" s="11">
        <f t="shared" si="149"/>
        <v>60</v>
      </c>
      <c r="M2418" s="9" t="str">
        <f t="shared" si="150"/>
        <v/>
      </c>
      <c r="N2418" s="9">
        <f t="shared" si="151"/>
        <v>10</v>
      </c>
    </row>
    <row r="2419" spans="1:14" x14ac:dyDescent="0.25">
      <c r="A2419" t="str">
        <f>TEXT("1/"&amp;data!A2419,"mmmm")</f>
        <v>septembre</v>
      </c>
      <c r="B2419">
        <f>data!B2419</f>
        <v>2016</v>
      </c>
      <c r="C2419" t="str">
        <f>data!C2419</f>
        <v>049</v>
      </c>
      <c r="D2419" t="str">
        <f>data!D2419</f>
        <v>MAISON GRANDEAU</v>
      </c>
      <c r="E2419" t="str">
        <f>data!E2419</f>
        <v>049016</v>
      </c>
      <c r="F2419" t="str">
        <f>data!F2419</f>
        <v>AC BDX Classic CH LAUDUC</v>
      </c>
      <c r="G2419" s="10">
        <f>data!G2419</f>
        <v>66.599999999999994</v>
      </c>
      <c r="H2419" s="10">
        <f>data!I2419</f>
        <v>0</v>
      </c>
      <c r="I2419" s="10">
        <f t="shared" si="148"/>
        <v>66.599999999999994</v>
      </c>
      <c r="J2419" s="11">
        <f>data!H2419</f>
        <v>18</v>
      </c>
      <c r="K2419" s="11">
        <f>data!J2419</f>
        <v>6</v>
      </c>
      <c r="L2419" s="11">
        <f t="shared" si="149"/>
        <v>12</v>
      </c>
      <c r="M2419" s="9" t="str">
        <f t="shared" si="150"/>
        <v/>
      </c>
      <c r="N2419" s="9">
        <f t="shared" si="151"/>
        <v>2</v>
      </c>
    </row>
    <row r="2420" spans="1:14" x14ac:dyDescent="0.25">
      <c r="A2420" t="str">
        <f>TEXT("1/"&amp;data!A2420,"mmmm")</f>
        <v>septembre</v>
      </c>
      <c r="B2420">
        <f>data!B2420</f>
        <v>2016</v>
      </c>
      <c r="C2420" t="str">
        <f>data!C2420</f>
        <v>049</v>
      </c>
      <c r="D2420" t="str">
        <f>data!D2420</f>
        <v>MAISON GRANDEAU</v>
      </c>
      <c r="E2420" t="str">
        <f>data!E2420</f>
        <v>049020</v>
      </c>
      <c r="F2420" t="str">
        <f>data!F2420</f>
        <v>AC BDX CH.FLAMAND BELLEVUE</v>
      </c>
      <c r="G2420" s="10">
        <f>data!G2420</f>
        <v>310.5</v>
      </c>
      <c r="H2420" s="10">
        <f>data!I2420</f>
        <v>783</v>
      </c>
      <c r="I2420" s="10">
        <f t="shared" si="148"/>
        <v>-472.5</v>
      </c>
      <c r="J2420" s="11">
        <f>data!H2420</f>
        <v>138</v>
      </c>
      <c r="K2420" s="11">
        <f>data!J2420</f>
        <v>348</v>
      </c>
      <c r="L2420" s="11">
        <f t="shared" si="149"/>
        <v>-210</v>
      </c>
      <c r="M2420" s="9">
        <f t="shared" si="150"/>
        <v>-0.60344827586206895</v>
      </c>
      <c r="N2420" s="9">
        <f t="shared" si="151"/>
        <v>-0.60344827586206895</v>
      </c>
    </row>
    <row r="2421" spans="1:14" x14ac:dyDescent="0.25">
      <c r="A2421" t="str">
        <f>TEXT("1/"&amp;data!A2421,"mmmm")</f>
        <v>septembre</v>
      </c>
      <c r="B2421">
        <f>data!B2421</f>
        <v>2016</v>
      </c>
      <c r="C2421" t="str">
        <f>data!C2421</f>
        <v>049</v>
      </c>
      <c r="D2421" t="str">
        <f>data!D2421</f>
        <v>MAISON GRANDEAU</v>
      </c>
      <c r="E2421" t="str">
        <f>data!E2421</f>
        <v>049027</v>
      </c>
      <c r="F2421" t="str">
        <f>data!F2421</f>
        <v>AC BX SUP Tradi  CH LAUDUC</v>
      </c>
      <c r="G2421" s="10">
        <f>data!G2421</f>
        <v>202.5</v>
      </c>
      <c r="H2421" s="10">
        <f>data!I2421</f>
        <v>0</v>
      </c>
      <c r="I2421" s="10">
        <f t="shared" si="148"/>
        <v>202.5</v>
      </c>
      <c r="J2421" s="11">
        <f>data!H2421</f>
        <v>60</v>
      </c>
      <c r="K2421" s="11">
        <f>data!J2421</f>
        <v>0</v>
      </c>
      <c r="L2421" s="11">
        <f t="shared" si="149"/>
        <v>60</v>
      </c>
      <c r="M2421" s="9" t="str">
        <f t="shared" si="150"/>
        <v/>
      </c>
      <c r="N2421" s="9" t="str">
        <f t="shared" si="151"/>
        <v/>
      </c>
    </row>
    <row r="2422" spans="1:14" x14ac:dyDescent="0.25">
      <c r="A2422" t="str">
        <f>TEXT("1/"&amp;data!A2422,"mmmm")</f>
        <v>septembre</v>
      </c>
      <c r="B2422">
        <f>data!B2422</f>
        <v>2016</v>
      </c>
      <c r="C2422" t="str">
        <f>data!C2422</f>
        <v>050</v>
      </c>
      <c r="D2422" t="str">
        <f>data!D2422</f>
        <v>CHÂTEAU HAUT LIGNIERES</v>
      </c>
      <c r="E2422" t="str">
        <f>data!E2422</f>
        <v>050001</v>
      </c>
      <c r="F2422" t="str">
        <f>data!F2422</f>
        <v>AC FAUGERES LE 1ER CH HAUT LIGNIERES</v>
      </c>
      <c r="G2422" s="10">
        <f>data!G2422</f>
        <v>2262</v>
      </c>
      <c r="H2422" s="10">
        <f>data!I2422</f>
        <v>2176</v>
      </c>
      <c r="I2422" s="10">
        <f t="shared" si="148"/>
        <v>86</v>
      </c>
      <c r="J2422" s="11">
        <f>data!H2422</f>
        <v>696</v>
      </c>
      <c r="K2422" s="11">
        <f>data!J2422</f>
        <v>690</v>
      </c>
      <c r="L2422" s="11">
        <f t="shared" si="149"/>
        <v>6</v>
      </c>
      <c r="M2422" s="9">
        <f t="shared" si="150"/>
        <v>3.952205882352941E-2</v>
      </c>
      <c r="N2422" s="9">
        <f t="shared" si="151"/>
        <v>8.6956521739130436E-3</v>
      </c>
    </row>
    <row r="2423" spans="1:14" x14ac:dyDescent="0.25">
      <c r="A2423" t="str">
        <f>TEXT("1/"&amp;data!A2423,"mmmm")</f>
        <v>septembre</v>
      </c>
      <c r="B2423">
        <f>data!B2423</f>
        <v>2016</v>
      </c>
      <c r="C2423" t="str">
        <f>data!C2423</f>
        <v>050</v>
      </c>
      <c r="D2423" t="str">
        <f>data!D2423</f>
        <v>CHÂTEAU HAUT LIGNIERES</v>
      </c>
      <c r="E2423" t="str">
        <f>data!E2423</f>
        <v>050003</v>
      </c>
      <c r="F2423" t="str">
        <f>data!F2423</f>
        <v>AC FAUGERES HT LIGNIERES</v>
      </c>
      <c r="G2423" s="10">
        <f>data!G2423</f>
        <v>19.5</v>
      </c>
      <c r="H2423" s="10">
        <f>data!I2423</f>
        <v>0</v>
      </c>
      <c r="I2423" s="10">
        <f t="shared" si="148"/>
        <v>19.5</v>
      </c>
      <c r="J2423" s="11">
        <f>data!H2423</f>
        <v>6</v>
      </c>
      <c r="K2423" s="11">
        <f>data!J2423</f>
        <v>0</v>
      </c>
      <c r="L2423" s="11">
        <f t="shared" si="149"/>
        <v>6</v>
      </c>
      <c r="M2423" s="9" t="str">
        <f t="shared" si="150"/>
        <v/>
      </c>
      <c r="N2423" s="9" t="str">
        <f t="shared" si="151"/>
        <v/>
      </c>
    </row>
    <row r="2424" spans="1:14" x14ac:dyDescent="0.25">
      <c r="A2424" t="str">
        <f>TEXT("1/"&amp;data!A2424,"mmmm")</f>
        <v>septembre</v>
      </c>
      <c r="B2424">
        <f>data!B2424</f>
        <v>2016</v>
      </c>
      <c r="C2424" t="str">
        <f>data!C2424</f>
        <v>050</v>
      </c>
      <c r="D2424" t="str">
        <f>data!D2424</f>
        <v>CHÂTEAU HAUT LIGNIERES</v>
      </c>
      <c r="E2424" t="str">
        <f>data!E2424</f>
        <v>050005</v>
      </c>
      <c r="F2424" t="str">
        <f>data!F2424</f>
        <v>AC FAUGERES ROMY CH HAUT LIGNIERES</v>
      </c>
      <c r="G2424" s="10">
        <f>data!G2424</f>
        <v>105.6</v>
      </c>
      <c r="H2424" s="10">
        <f>data!I2424</f>
        <v>132</v>
      </c>
      <c r="I2424" s="10">
        <f t="shared" si="148"/>
        <v>-26.400000000000006</v>
      </c>
      <c r="J2424" s="11">
        <f>data!H2424</f>
        <v>24</v>
      </c>
      <c r="K2424" s="11">
        <f>data!J2424</f>
        <v>30</v>
      </c>
      <c r="L2424" s="11">
        <f t="shared" si="149"/>
        <v>-6</v>
      </c>
      <c r="M2424" s="9">
        <f t="shared" si="150"/>
        <v>-0.20000000000000004</v>
      </c>
      <c r="N2424" s="9">
        <f t="shared" si="151"/>
        <v>-0.2</v>
      </c>
    </row>
    <row r="2425" spans="1:14" x14ac:dyDescent="0.25">
      <c r="A2425" t="str">
        <f>TEXT("1/"&amp;data!A2425,"mmmm")</f>
        <v>septembre</v>
      </c>
      <c r="B2425">
        <f>data!B2425</f>
        <v>2016</v>
      </c>
      <c r="C2425" t="str">
        <f>data!C2425</f>
        <v>050</v>
      </c>
      <c r="D2425" t="str">
        <f>data!D2425</f>
        <v>CHÂTEAU HAUT LIGNIERES</v>
      </c>
      <c r="E2425" t="str">
        <f>data!E2425</f>
        <v>050010</v>
      </c>
      <c r="F2425" t="str">
        <f>data!F2425</f>
        <v>AC FAUGERES CARMINA BUT</v>
      </c>
      <c r="G2425" s="10">
        <f>data!G2425</f>
        <v>78</v>
      </c>
      <c r="H2425" s="10">
        <f>data!I2425</f>
        <v>630.5</v>
      </c>
      <c r="I2425" s="10">
        <f t="shared" si="148"/>
        <v>-552.5</v>
      </c>
      <c r="J2425" s="11">
        <f>data!H2425</f>
        <v>12</v>
      </c>
      <c r="K2425" s="11">
        <f>data!J2425</f>
        <v>102</v>
      </c>
      <c r="L2425" s="11">
        <f t="shared" si="149"/>
        <v>-90</v>
      </c>
      <c r="M2425" s="9">
        <f t="shared" si="150"/>
        <v>-0.87628865979381443</v>
      </c>
      <c r="N2425" s="9">
        <f t="shared" si="151"/>
        <v>-0.88235294117647056</v>
      </c>
    </row>
    <row r="2426" spans="1:14" x14ac:dyDescent="0.25">
      <c r="A2426" t="str">
        <f>TEXT("1/"&amp;data!A2426,"mmmm")</f>
        <v>septembre</v>
      </c>
      <c r="B2426">
        <f>data!B2426</f>
        <v>2016</v>
      </c>
      <c r="C2426" t="str">
        <f>data!C2426</f>
        <v>051</v>
      </c>
      <c r="D2426" t="str">
        <f>data!D2426</f>
        <v>CLOS TRIMOULET</v>
      </c>
      <c r="E2426" t="str">
        <f>data!E2426</f>
        <v>051000</v>
      </c>
      <c r="F2426" t="str">
        <f>data!F2426</f>
        <v>AC MONTAGNE ST EMILION .CH ST GEORGES</v>
      </c>
      <c r="G2426" s="10">
        <f>data!G2426</f>
        <v>3192</v>
      </c>
      <c r="H2426" s="10">
        <f>data!I2426</f>
        <v>6580.7</v>
      </c>
      <c r="I2426" s="10">
        <f t="shared" si="148"/>
        <v>-3388.7</v>
      </c>
      <c r="J2426" s="11">
        <f>data!H2426</f>
        <v>570</v>
      </c>
      <c r="K2426" s="11">
        <f>data!J2426</f>
        <v>1212</v>
      </c>
      <c r="L2426" s="11">
        <f t="shared" si="149"/>
        <v>-642</v>
      </c>
      <c r="M2426" s="9">
        <f t="shared" si="150"/>
        <v>-0.51494521859376663</v>
      </c>
      <c r="N2426" s="9">
        <f t="shared" si="151"/>
        <v>-0.52970297029702973</v>
      </c>
    </row>
    <row r="2427" spans="1:14" x14ac:dyDescent="0.25">
      <c r="A2427" t="str">
        <f>TEXT("1/"&amp;data!A2427,"mmmm")</f>
        <v>septembre</v>
      </c>
      <c r="B2427">
        <f>data!B2427</f>
        <v>2016</v>
      </c>
      <c r="C2427" t="str">
        <f>data!C2427</f>
        <v>051</v>
      </c>
      <c r="D2427" t="str">
        <f>data!D2427</f>
        <v>CLOS TRIMOULET</v>
      </c>
      <c r="E2427" t="str">
        <f>data!E2427</f>
        <v>051002CB</v>
      </c>
      <c r="F2427" t="str">
        <f>data!F2427</f>
        <v>AC ST EMILION GRAND CRU CLOS TRIMOULET CAISSE BOIS</v>
      </c>
      <c r="G2427" s="10">
        <f>data!G2427</f>
        <v>56.7</v>
      </c>
      <c r="H2427" s="10">
        <f>data!I2427</f>
        <v>139.94999999999999</v>
      </c>
      <c r="I2427" s="10">
        <f t="shared" si="148"/>
        <v>-83.249999999999986</v>
      </c>
      <c r="J2427" s="11">
        <f>data!H2427</f>
        <v>6</v>
      </c>
      <c r="K2427" s="11">
        <f>data!J2427</f>
        <v>15</v>
      </c>
      <c r="L2427" s="11">
        <f t="shared" si="149"/>
        <v>-9</v>
      </c>
      <c r="M2427" s="9">
        <f t="shared" si="150"/>
        <v>-0.59485530546623788</v>
      </c>
      <c r="N2427" s="9">
        <f t="shared" si="151"/>
        <v>-0.6</v>
      </c>
    </row>
    <row r="2428" spans="1:14" x14ac:dyDescent="0.25">
      <c r="A2428" t="str">
        <f>TEXT("1/"&amp;data!A2428,"mmmm")</f>
        <v>septembre</v>
      </c>
      <c r="B2428">
        <f>data!B2428</f>
        <v>2016</v>
      </c>
      <c r="C2428" t="str">
        <f>data!C2428</f>
        <v>051</v>
      </c>
      <c r="D2428" t="str">
        <f>data!D2428</f>
        <v>CLOS TRIMOULET</v>
      </c>
      <c r="E2428" t="str">
        <f>data!E2428</f>
        <v>051010/11</v>
      </c>
      <c r="F2428" t="str">
        <f>data!F2428</f>
        <v>CLOS TRIMOULET AC ST EMILION GD CRU</v>
      </c>
      <c r="G2428" s="10">
        <f>data!G2428</f>
        <v>5904.9</v>
      </c>
      <c r="H2428" s="10">
        <f>data!I2428</f>
        <v>4250.3999999999996</v>
      </c>
      <c r="I2428" s="10">
        <f t="shared" si="148"/>
        <v>1654.5</v>
      </c>
      <c r="J2428" s="11">
        <f>data!H2428</f>
        <v>750</v>
      </c>
      <c r="K2428" s="11">
        <f>data!J2428</f>
        <v>534</v>
      </c>
      <c r="L2428" s="11">
        <f t="shared" si="149"/>
        <v>216</v>
      </c>
      <c r="M2428" s="9">
        <f t="shared" si="150"/>
        <v>0.38925748164878604</v>
      </c>
      <c r="N2428" s="9">
        <f t="shared" si="151"/>
        <v>0.4044943820224719</v>
      </c>
    </row>
    <row r="2429" spans="1:14" x14ac:dyDescent="0.25">
      <c r="A2429" t="str">
        <f>TEXT("1/"&amp;data!A2429,"mmmm")</f>
        <v>septembre</v>
      </c>
      <c r="B2429">
        <f>data!B2429</f>
        <v>2016</v>
      </c>
      <c r="C2429" t="str">
        <f>data!C2429</f>
        <v>051</v>
      </c>
      <c r="D2429" t="str">
        <f>data!D2429</f>
        <v>CLOS TRIMOULET</v>
      </c>
      <c r="E2429" t="str">
        <f>data!E2429</f>
        <v>051016</v>
      </c>
      <c r="F2429" t="str">
        <f>data!F2429</f>
        <v>AC MONTAGNE ST EMILION CH ST GEORGES</v>
      </c>
      <c r="G2429" s="10">
        <f>data!G2429</f>
        <v>237.6</v>
      </c>
      <c r="H2429" s="10">
        <f>data!I2429</f>
        <v>0</v>
      </c>
      <c r="I2429" s="10">
        <f t="shared" si="148"/>
        <v>237.6</v>
      </c>
      <c r="J2429" s="11">
        <f>data!H2429</f>
        <v>36</v>
      </c>
      <c r="K2429" s="11">
        <f>data!J2429</f>
        <v>0</v>
      </c>
      <c r="L2429" s="11">
        <f t="shared" si="149"/>
        <v>36</v>
      </c>
      <c r="M2429" s="9" t="str">
        <f t="shared" si="150"/>
        <v/>
      </c>
      <c r="N2429" s="9" t="str">
        <f t="shared" si="151"/>
        <v/>
      </c>
    </row>
    <row r="2430" spans="1:14" x14ac:dyDescent="0.25">
      <c r="A2430" t="str">
        <f>TEXT("1/"&amp;data!A2430,"mmmm")</f>
        <v>septembre</v>
      </c>
      <c r="B2430">
        <f>data!B2430</f>
        <v>2016</v>
      </c>
      <c r="C2430" t="str">
        <f>data!C2430</f>
        <v>051</v>
      </c>
      <c r="D2430" t="str">
        <f>data!D2430</f>
        <v>CLOS TRIMOULET</v>
      </c>
      <c r="E2430" t="str">
        <f>data!E2430</f>
        <v>051017</v>
      </c>
      <c r="F2430" t="str">
        <f>data!F2430</f>
        <v>AC MONTAGNE ST EMILION CH ST GEORGES</v>
      </c>
      <c r="G2430" s="10">
        <f>data!G2430</f>
        <v>609.6</v>
      </c>
      <c r="H2430" s="10">
        <f>data!I2430</f>
        <v>758.4</v>
      </c>
      <c r="I2430" s="10">
        <f t="shared" si="148"/>
        <v>-148.79999999999995</v>
      </c>
      <c r="J2430" s="11">
        <f>data!H2430</f>
        <v>96</v>
      </c>
      <c r="K2430" s="11">
        <f>data!J2430</f>
        <v>120</v>
      </c>
      <c r="L2430" s="11">
        <f t="shared" si="149"/>
        <v>-24</v>
      </c>
      <c r="M2430" s="9">
        <f t="shared" si="150"/>
        <v>-0.19620253164556956</v>
      </c>
      <c r="N2430" s="9">
        <f t="shared" si="151"/>
        <v>-0.2</v>
      </c>
    </row>
    <row r="2431" spans="1:14" x14ac:dyDescent="0.25">
      <c r="A2431" t="str">
        <f>TEXT("1/"&amp;data!A2431,"mmmm")</f>
        <v>septembre</v>
      </c>
      <c r="B2431">
        <f>data!B2431</f>
        <v>2016</v>
      </c>
      <c r="C2431" t="str">
        <f>data!C2431</f>
        <v>051</v>
      </c>
      <c r="D2431" t="str">
        <f>data!D2431</f>
        <v>CLOS TRIMOULET</v>
      </c>
      <c r="E2431" t="str">
        <f>data!E2431</f>
        <v>051133</v>
      </c>
      <c r="F2431" t="str">
        <f>data!F2431</f>
        <v>CLOS TRIMOULET AC ST EMILION GRAND CRU</v>
      </c>
      <c r="G2431" s="10">
        <f>data!G2431</f>
        <v>1486.8</v>
      </c>
      <c r="H2431" s="10">
        <f>data!I2431</f>
        <v>1372.8</v>
      </c>
      <c r="I2431" s="10">
        <f t="shared" si="148"/>
        <v>114</v>
      </c>
      <c r="J2431" s="11">
        <f>data!H2431</f>
        <v>168</v>
      </c>
      <c r="K2431" s="11">
        <f>data!J2431</f>
        <v>156</v>
      </c>
      <c r="L2431" s="11">
        <f t="shared" si="149"/>
        <v>12</v>
      </c>
      <c r="M2431" s="9">
        <f t="shared" si="150"/>
        <v>8.3041958041958047E-2</v>
      </c>
      <c r="N2431" s="9">
        <f t="shared" si="151"/>
        <v>7.6923076923076927E-2</v>
      </c>
    </row>
    <row r="2432" spans="1:14" x14ac:dyDescent="0.25">
      <c r="A2432" t="str">
        <f>TEXT("1/"&amp;data!A2432,"mmmm")</f>
        <v>septembre</v>
      </c>
      <c r="B2432">
        <f>data!B2432</f>
        <v>2016</v>
      </c>
      <c r="C2432" t="str">
        <f>data!C2432</f>
        <v>051</v>
      </c>
      <c r="D2432" t="str">
        <f>data!D2432</f>
        <v>CLOS TRIMOULET</v>
      </c>
      <c r="E2432" t="str">
        <f>data!E2432</f>
        <v>CDV051131</v>
      </c>
      <c r="F2432" t="str">
        <f>data!F2432</f>
        <v>AC SAINT EMILION GRAND CRU CLOS TRIMOULET</v>
      </c>
      <c r="G2432" s="10">
        <f>data!G2432</f>
        <v>108.48</v>
      </c>
      <c r="H2432" s="10">
        <f>data!I2432</f>
        <v>0</v>
      </c>
      <c r="I2432" s="10">
        <f t="shared" si="148"/>
        <v>108.48</v>
      </c>
      <c r="J2432" s="11">
        <f>data!H2432</f>
        <v>12</v>
      </c>
      <c r="K2432" s="11">
        <f>data!J2432</f>
        <v>0</v>
      </c>
      <c r="L2432" s="11">
        <f t="shared" si="149"/>
        <v>12</v>
      </c>
      <c r="M2432" s="9" t="str">
        <f t="shared" si="150"/>
        <v/>
      </c>
      <c r="N2432" s="9" t="str">
        <f t="shared" si="151"/>
        <v/>
      </c>
    </row>
    <row r="2433" spans="1:14" x14ac:dyDescent="0.25">
      <c r="A2433" t="str">
        <f>TEXT("1/"&amp;data!A2433,"mmmm")</f>
        <v>septembre</v>
      </c>
      <c r="B2433">
        <f>data!B2433</f>
        <v>2016</v>
      </c>
      <c r="C2433" t="str">
        <f>data!C2433</f>
        <v>052</v>
      </c>
      <c r="D2433" t="str">
        <f>data!D2433</f>
        <v>GIRONDE ET GASCOGNE SARL</v>
      </c>
      <c r="E2433" t="str">
        <f>data!E2433</f>
        <v>052017</v>
      </c>
      <c r="F2433" t="str">
        <f>data!F2433</f>
        <v>AC HT MEDOC CRU B CH RAMAGE LA BATISSE</v>
      </c>
      <c r="G2433" s="10">
        <f>data!G2433</f>
        <v>707.4</v>
      </c>
      <c r="H2433" s="10">
        <f>data!I2433</f>
        <v>117.9</v>
      </c>
      <c r="I2433" s="10">
        <f t="shared" si="148"/>
        <v>589.5</v>
      </c>
      <c r="J2433" s="11">
        <f>data!H2433</f>
        <v>72</v>
      </c>
      <c r="K2433" s="11">
        <f>data!J2433</f>
        <v>12</v>
      </c>
      <c r="L2433" s="11">
        <f t="shared" si="149"/>
        <v>60</v>
      </c>
      <c r="M2433" s="9">
        <f t="shared" si="150"/>
        <v>5</v>
      </c>
      <c r="N2433" s="9">
        <f t="shared" si="151"/>
        <v>5</v>
      </c>
    </row>
    <row r="2434" spans="1:14" x14ac:dyDescent="0.25">
      <c r="A2434" t="str">
        <f>TEXT("1/"&amp;data!A2434,"mmmm")</f>
        <v>septembre</v>
      </c>
      <c r="B2434">
        <f>data!B2434</f>
        <v>2016</v>
      </c>
      <c r="C2434" t="str">
        <f>data!C2434</f>
        <v>052</v>
      </c>
      <c r="D2434" t="str">
        <f>data!D2434</f>
        <v>GIRONDE ET GASCOGNE SARL</v>
      </c>
      <c r="E2434" t="str">
        <f>data!E2434</f>
        <v>052021</v>
      </c>
      <c r="F2434" t="str">
        <f>data!F2434</f>
        <v>CH RAMAGE LA BATISSE AC HAUT MEDOC CRU BOURGEOIS C</v>
      </c>
      <c r="G2434" s="10">
        <f>data!G2434</f>
        <v>979.2</v>
      </c>
      <c r="H2434" s="10">
        <f>data!I2434</f>
        <v>1267.2</v>
      </c>
      <c r="I2434" s="10">
        <f t="shared" si="148"/>
        <v>-288</v>
      </c>
      <c r="J2434" s="11">
        <f>data!H2434</f>
        <v>102</v>
      </c>
      <c r="K2434" s="11">
        <f>data!J2434</f>
        <v>132</v>
      </c>
      <c r="L2434" s="11">
        <f t="shared" si="149"/>
        <v>-30</v>
      </c>
      <c r="M2434" s="9">
        <f t="shared" si="150"/>
        <v>-0.22727272727272727</v>
      </c>
      <c r="N2434" s="9">
        <f t="shared" si="151"/>
        <v>-0.22727272727272727</v>
      </c>
    </row>
    <row r="2435" spans="1:14" x14ac:dyDescent="0.25">
      <c r="A2435" t="str">
        <f>TEXT("1/"&amp;data!A2435,"mmmm")</f>
        <v>septembre</v>
      </c>
      <c r="B2435">
        <f>data!B2435</f>
        <v>2016</v>
      </c>
      <c r="C2435" t="str">
        <f>data!C2435</f>
        <v>052</v>
      </c>
      <c r="D2435" t="str">
        <f>data!D2435</f>
        <v>GIRONDE ET GASCOGNE SARL</v>
      </c>
      <c r="E2435" t="str">
        <f>data!E2435</f>
        <v>052022</v>
      </c>
      <c r="F2435" t="str">
        <f>data!F2435</f>
        <v>CH RAMAGE LA BATISSE AC HAUT MEDOC CRU BOURGEOIS</v>
      </c>
      <c r="G2435" s="10">
        <f>data!G2435</f>
        <v>126</v>
      </c>
      <c r="H2435" s="10">
        <f>data!I2435</f>
        <v>0</v>
      </c>
      <c r="I2435" s="10">
        <f t="shared" ref="I2435:I2498" si="152">G2435-H2435</f>
        <v>126</v>
      </c>
      <c r="J2435" s="11">
        <f>data!H2435</f>
        <v>12</v>
      </c>
      <c r="K2435" s="11">
        <f>data!J2435</f>
        <v>0</v>
      </c>
      <c r="L2435" s="11">
        <f t="shared" ref="L2435:L2498" si="153">J2435-K2435</f>
        <v>12</v>
      </c>
      <c r="M2435" s="9" t="str">
        <f t="shared" ref="M2435:M2498" si="154">IF(ISERR(I2435/H2435),"",I2435/H2435)</f>
        <v/>
      </c>
      <c r="N2435" s="9" t="str">
        <f t="shared" ref="N2435:N2498" si="155">IF(ISERR(L2435/K2435),"",L2435/K2435)</f>
        <v/>
      </c>
    </row>
    <row r="2436" spans="1:14" x14ac:dyDescent="0.25">
      <c r="A2436" t="str">
        <f>TEXT("1/"&amp;data!A2436,"mmmm")</f>
        <v>septembre</v>
      </c>
      <c r="B2436">
        <f>data!B2436</f>
        <v>2016</v>
      </c>
      <c r="C2436" t="str">
        <f>data!C2436</f>
        <v>052</v>
      </c>
      <c r="D2436" t="str">
        <f>data!D2436</f>
        <v>GIRONDE ET GASCOGNE SARL</v>
      </c>
      <c r="E2436" t="str">
        <f>data!E2436</f>
        <v>052028</v>
      </c>
      <c r="F2436" t="str">
        <f>data!F2436</f>
        <v>AC BX LA ROSEE DE RAMAGE</v>
      </c>
      <c r="G2436" s="10">
        <f>data!G2436</f>
        <v>333.9</v>
      </c>
      <c r="H2436" s="10">
        <f>data!I2436</f>
        <v>206.7</v>
      </c>
      <c r="I2436" s="10">
        <f t="shared" si="152"/>
        <v>127.19999999999999</v>
      </c>
      <c r="J2436" s="11">
        <f>data!H2436</f>
        <v>132</v>
      </c>
      <c r="K2436" s="11">
        <f>data!J2436</f>
        <v>78</v>
      </c>
      <c r="L2436" s="11">
        <f t="shared" si="153"/>
        <v>54</v>
      </c>
      <c r="M2436" s="9">
        <f t="shared" si="154"/>
        <v>0.61538461538461542</v>
      </c>
      <c r="N2436" s="9">
        <f t="shared" si="155"/>
        <v>0.69230769230769229</v>
      </c>
    </row>
    <row r="2437" spans="1:14" x14ac:dyDescent="0.25">
      <c r="A2437" t="str">
        <f>TEXT("1/"&amp;data!A2437,"mmmm")</f>
        <v>septembre</v>
      </c>
      <c r="B2437">
        <f>data!B2437</f>
        <v>2016</v>
      </c>
      <c r="C2437" t="str">
        <f>data!C2437</f>
        <v>052</v>
      </c>
      <c r="D2437" t="str">
        <f>data!D2437</f>
        <v>GIRONDE ET GASCOGNE SARL</v>
      </c>
      <c r="E2437" t="str">
        <f>data!E2437</f>
        <v>052039</v>
      </c>
      <c r="F2437" t="str">
        <f>data!F2437</f>
        <v>AC HT-MEDOC CLOS DE RAMAGE</v>
      </c>
      <c r="G2437" s="10">
        <f>data!G2437</f>
        <v>493.2</v>
      </c>
      <c r="H2437" s="10">
        <f>data!I2437</f>
        <v>205.5</v>
      </c>
      <c r="I2437" s="10">
        <f t="shared" si="152"/>
        <v>287.7</v>
      </c>
      <c r="J2437" s="11">
        <f>data!H2437</f>
        <v>72</v>
      </c>
      <c r="K2437" s="11">
        <f>data!J2437</f>
        <v>30</v>
      </c>
      <c r="L2437" s="11">
        <f t="shared" si="153"/>
        <v>42</v>
      </c>
      <c r="M2437" s="9">
        <f t="shared" si="154"/>
        <v>1.4</v>
      </c>
      <c r="N2437" s="9">
        <f t="shared" si="155"/>
        <v>1.4</v>
      </c>
    </row>
    <row r="2438" spans="1:14" x14ac:dyDescent="0.25">
      <c r="A2438" t="str">
        <f>TEXT("1/"&amp;data!A2438,"mmmm")</f>
        <v>septembre</v>
      </c>
      <c r="B2438">
        <f>data!B2438</f>
        <v>2016</v>
      </c>
      <c r="C2438" t="str">
        <f>data!C2438</f>
        <v>052</v>
      </c>
      <c r="D2438" t="str">
        <f>data!D2438</f>
        <v>GIRONDE ET GASCOGNE SARL</v>
      </c>
      <c r="E2438" t="str">
        <f>data!E2438</f>
        <v>052039/10</v>
      </c>
      <c r="F2438" t="str">
        <f>data!F2438</f>
        <v>AC HT-MEDOC L'ENCLOS DE RAMAGE</v>
      </c>
      <c r="G2438" s="10">
        <f>data!G2438</f>
        <v>82.2</v>
      </c>
      <c r="H2438" s="10">
        <f>data!I2438</f>
        <v>0</v>
      </c>
      <c r="I2438" s="10">
        <f t="shared" si="152"/>
        <v>82.2</v>
      </c>
      <c r="J2438" s="11">
        <f>data!H2438</f>
        <v>12</v>
      </c>
      <c r="K2438" s="11">
        <f>data!J2438</f>
        <v>0</v>
      </c>
      <c r="L2438" s="11">
        <f t="shared" si="153"/>
        <v>12</v>
      </c>
      <c r="M2438" s="9" t="str">
        <f t="shared" si="154"/>
        <v/>
      </c>
      <c r="N2438" s="9" t="str">
        <f t="shared" si="155"/>
        <v/>
      </c>
    </row>
    <row r="2439" spans="1:14" x14ac:dyDescent="0.25">
      <c r="A2439" t="str">
        <f>TEXT("1/"&amp;data!A2439,"mmmm")</f>
        <v>septembre</v>
      </c>
      <c r="B2439">
        <f>data!B2439</f>
        <v>2016</v>
      </c>
      <c r="C2439" t="str">
        <f>data!C2439</f>
        <v>052</v>
      </c>
      <c r="D2439" t="str">
        <f>data!D2439</f>
        <v>GIRONDE ET GASCOGNE SARL</v>
      </c>
      <c r="E2439" t="str">
        <f>data!E2439</f>
        <v>052046</v>
      </c>
      <c r="F2439" t="str">
        <f>data!F2439</f>
        <v>CLOS DE RAMAGE AC HAUT-MEDOC</v>
      </c>
      <c r="G2439" s="10">
        <f>data!G2439</f>
        <v>339.6</v>
      </c>
      <c r="H2439" s="10">
        <f>data!I2439</f>
        <v>169.8</v>
      </c>
      <c r="I2439" s="10">
        <f t="shared" si="152"/>
        <v>169.8</v>
      </c>
      <c r="J2439" s="11">
        <f>data!H2439</f>
        <v>48</v>
      </c>
      <c r="K2439" s="11">
        <f>data!J2439</f>
        <v>24</v>
      </c>
      <c r="L2439" s="11">
        <f t="shared" si="153"/>
        <v>24</v>
      </c>
      <c r="M2439" s="9">
        <f t="shared" si="154"/>
        <v>1</v>
      </c>
      <c r="N2439" s="9">
        <f t="shared" si="155"/>
        <v>1</v>
      </c>
    </row>
    <row r="2440" spans="1:14" x14ac:dyDescent="0.25">
      <c r="A2440" t="str">
        <f>TEXT("1/"&amp;data!A2440,"mmmm")</f>
        <v>septembre</v>
      </c>
      <c r="B2440">
        <f>data!B2440</f>
        <v>2016</v>
      </c>
      <c r="C2440" t="str">
        <f>data!C2440</f>
        <v>052</v>
      </c>
      <c r="D2440" t="str">
        <f>data!D2440</f>
        <v>GIRONDE ET GASCOGNE SARL</v>
      </c>
      <c r="E2440" t="str">
        <f>data!E2440</f>
        <v>052055</v>
      </c>
      <c r="F2440" t="str">
        <f>data!F2440</f>
        <v>AC C CASTILLON. CH BELCIER</v>
      </c>
      <c r="G2440" s="10">
        <f>data!G2440</f>
        <v>123.3</v>
      </c>
      <c r="H2440" s="10">
        <f>data!I2440</f>
        <v>123.3</v>
      </c>
      <c r="I2440" s="10">
        <f t="shared" si="152"/>
        <v>0</v>
      </c>
      <c r="J2440" s="11">
        <f>data!H2440</f>
        <v>18</v>
      </c>
      <c r="K2440" s="11">
        <f>data!J2440</f>
        <v>18</v>
      </c>
      <c r="L2440" s="11">
        <f t="shared" si="153"/>
        <v>0</v>
      </c>
      <c r="M2440" s="9">
        <f t="shared" si="154"/>
        <v>0</v>
      </c>
      <c r="N2440" s="9">
        <f t="shared" si="155"/>
        <v>0</v>
      </c>
    </row>
    <row r="2441" spans="1:14" x14ac:dyDescent="0.25">
      <c r="A2441" t="str">
        <f>TEXT("1/"&amp;data!A2441,"mmmm")</f>
        <v>septembre</v>
      </c>
      <c r="B2441">
        <f>data!B2441</f>
        <v>2016</v>
      </c>
      <c r="C2441" t="str">
        <f>data!C2441</f>
        <v>052</v>
      </c>
      <c r="D2441" t="str">
        <f>data!D2441</f>
        <v>GIRONDE ET GASCOGNE SARL</v>
      </c>
      <c r="E2441" t="str">
        <f>data!E2441</f>
        <v>052063</v>
      </c>
      <c r="F2441" t="str">
        <f>data!F2441</f>
        <v>AC C CASTILLON. CH DE BELCIER</v>
      </c>
      <c r="G2441" s="10">
        <f>data!G2441</f>
        <v>1237.5</v>
      </c>
      <c r="H2441" s="10">
        <f>data!I2441</f>
        <v>1920</v>
      </c>
      <c r="I2441" s="10">
        <f t="shared" si="152"/>
        <v>-682.5</v>
      </c>
      <c r="J2441" s="11">
        <f>data!H2441</f>
        <v>300</v>
      </c>
      <c r="K2441" s="11">
        <f>data!J2441</f>
        <v>600</v>
      </c>
      <c r="L2441" s="11">
        <f t="shared" si="153"/>
        <v>-300</v>
      </c>
      <c r="M2441" s="9">
        <f t="shared" si="154"/>
        <v>-0.35546875</v>
      </c>
      <c r="N2441" s="9">
        <f t="shared" si="155"/>
        <v>-0.5</v>
      </c>
    </row>
    <row r="2442" spans="1:14" x14ac:dyDescent="0.25">
      <c r="A2442" t="str">
        <f>TEXT("1/"&amp;data!A2442,"mmmm")</f>
        <v>septembre</v>
      </c>
      <c r="B2442">
        <f>data!B2442</f>
        <v>2016</v>
      </c>
      <c r="C2442" t="str">
        <f>data!C2442</f>
        <v>054</v>
      </c>
      <c r="D2442" t="str">
        <f>data!D2442</f>
        <v>CHÂTEAU JEANDEMAN</v>
      </c>
      <c r="E2442" t="str">
        <f>data!E2442</f>
        <v>054002</v>
      </c>
      <c r="F2442" t="str">
        <f>data!F2442</f>
        <v>AC FRONSAC CH JEANDEMAN</v>
      </c>
      <c r="G2442" s="10">
        <f>data!G2442</f>
        <v>330</v>
      </c>
      <c r="H2442" s="10">
        <f>data!I2442</f>
        <v>662.4</v>
      </c>
      <c r="I2442" s="10">
        <f t="shared" si="152"/>
        <v>-332.4</v>
      </c>
      <c r="J2442" s="11">
        <f>data!H2442</f>
        <v>66</v>
      </c>
      <c r="K2442" s="11">
        <f>data!J2442</f>
        <v>138</v>
      </c>
      <c r="L2442" s="11">
        <f t="shared" si="153"/>
        <v>-72</v>
      </c>
      <c r="M2442" s="9">
        <f t="shared" si="154"/>
        <v>-0.50181159420289856</v>
      </c>
      <c r="N2442" s="9">
        <f t="shared" si="155"/>
        <v>-0.52173913043478259</v>
      </c>
    </row>
    <row r="2443" spans="1:14" x14ac:dyDescent="0.25">
      <c r="A2443" t="str">
        <f>TEXT("1/"&amp;data!A2443,"mmmm")</f>
        <v>septembre</v>
      </c>
      <c r="B2443">
        <f>data!B2443</f>
        <v>2016</v>
      </c>
      <c r="C2443" t="str">
        <f>data!C2443</f>
        <v>054</v>
      </c>
      <c r="D2443" t="str">
        <f>data!D2443</f>
        <v>CHÂTEAU JEANDEMAN</v>
      </c>
      <c r="E2443" t="str">
        <f>data!E2443</f>
        <v>054005</v>
      </c>
      <c r="F2443" t="str">
        <f>data!F2443</f>
        <v>AC LALANDE DE POMEROL. CH LABORDE</v>
      </c>
      <c r="G2443" s="10">
        <f>data!G2443</f>
        <v>139.5</v>
      </c>
      <c r="H2443" s="10">
        <f>data!I2443</f>
        <v>661.5</v>
      </c>
      <c r="I2443" s="10">
        <f t="shared" si="152"/>
        <v>-522</v>
      </c>
      <c r="J2443" s="11">
        <f>data!H2443</f>
        <v>18</v>
      </c>
      <c r="K2443" s="11">
        <f>data!J2443</f>
        <v>90</v>
      </c>
      <c r="L2443" s="11">
        <f t="shared" si="153"/>
        <v>-72</v>
      </c>
      <c r="M2443" s="9">
        <f t="shared" si="154"/>
        <v>-0.78911564625850339</v>
      </c>
      <c r="N2443" s="9">
        <f t="shared" si="155"/>
        <v>-0.8</v>
      </c>
    </row>
    <row r="2444" spans="1:14" x14ac:dyDescent="0.25">
      <c r="A2444" t="str">
        <f>TEXT("1/"&amp;data!A2444,"mmmm")</f>
        <v>septembre</v>
      </c>
      <c r="B2444">
        <f>data!B2444</f>
        <v>2016</v>
      </c>
      <c r="C2444" t="str">
        <f>data!C2444</f>
        <v>054</v>
      </c>
      <c r="D2444" t="str">
        <f>data!D2444</f>
        <v>CHÂTEAU JEANDEMAN</v>
      </c>
      <c r="E2444" t="str">
        <f>data!E2444</f>
        <v>054011</v>
      </c>
      <c r="F2444" t="str">
        <f>data!F2444</f>
        <v>AC PESSAC LEOGNAN. CH MANCEDRE</v>
      </c>
      <c r="G2444" s="10">
        <f>data!G2444</f>
        <v>801</v>
      </c>
      <c r="H2444" s="10">
        <f>data!I2444</f>
        <v>462</v>
      </c>
      <c r="I2444" s="10">
        <f t="shared" si="152"/>
        <v>339</v>
      </c>
      <c r="J2444" s="11">
        <f>data!H2444</f>
        <v>90</v>
      </c>
      <c r="K2444" s="11">
        <f>data!J2444</f>
        <v>60</v>
      </c>
      <c r="L2444" s="11">
        <f t="shared" si="153"/>
        <v>30</v>
      </c>
      <c r="M2444" s="9">
        <f t="shared" si="154"/>
        <v>0.73376623376623373</v>
      </c>
      <c r="N2444" s="9">
        <f t="shared" si="155"/>
        <v>0.5</v>
      </c>
    </row>
    <row r="2445" spans="1:14" x14ac:dyDescent="0.25">
      <c r="A2445" t="str">
        <f>TEXT("1/"&amp;data!A2445,"mmmm")</f>
        <v>septembre</v>
      </c>
      <c r="B2445">
        <f>data!B2445</f>
        <v>2016</v>
      </c>
      <c r="C2445" t="str">
        <f>data!C2445</f>
        <v>059</v>
      </c>
      <c r="D2445" t="str">
        <f>data!D2445</f>
        <v>CH DU ROUET</v>
      </c>
      <c r="E2445" t="str">
        <f>data!E2445</f>
        <v>059002</v>
      </c>
      <c r="F2445" t="str">
        <f>data!F2445</f>
        <v>AC C.PROVENCE. ESTERELLE .ROUET</v>
      </c>
      <c r="G2445" s="10">
        <f>data!G2445</f>
        <v>201.6</v>
      </c>
      <c r="H2445" s="10">
        <f>data!I2445</f>
        <v>352.8</v>
      </c>
      <c r="I2445" s="10">
        <f t="shared" si="152"/>
        <v>-151.20000000000002</v>
      </c>
      <c r="J2445" s="11">
        <f>data!H2445</f>
        <v>48</v>
      </c>
      <c r="K2445" s="11">
        <f>data!J2445</f>
        <v>84</v>
      </c>
      <c r="L2445" s="11">
        <f t="shared" si="153"/>
        <v>-36</v>
      </c>
      <c r="M2445" s="9">
        <f t="shared" si="154"/>
        <v>-0.4285714285714286</v>
      </c>
      <c r="N2445" s="9">
        <f t="shared" si="155"/>
        <v>-0.42857142857142855</v>
      </c>
    </row>
    <row r="2446" spans="1:14" x14ac:dyDescent="0.25">
      <c r="A2446" t="str">
        <f>TEXT("1/"&amp;data!A2446,"mmmm")</f>
        <v>septembre</v>
      </c>
      <c r="B2446">
        <f>data!B2446</f>
        <v>2016</v>
      </c>
      <c r="C2446" t="str">
        <f>data!C2446</f>
        <v>059</v>
      </c>
      <c r="D2446" t="str">
        <f>data!D2446</f>
        <v>CH DU ROUET</v>
      </c>
      <c r="E2446" t="str">
        <f>data!E2446</f>
        <v>059005</v>
      </c>
      <c r="F2446" t="str">
        <f>data!F2446</f>
        <v>AP COTES DE PROVENCE ESTERELLE</v>
      </c>
      <c r="G2446" s="10">
        <f>data!G2446</f>
        <v>129.6</v>
      </c>
      <c r="H2446" s="10">
        <f>data!I2446</f>
        <v>0</v>
      </c>
      <c r="I2446" s="10">
        <f t="shared" si="152"/>
        <v>129.6</v>
      </c>
      <c r="J2446" s="11">
        <f>data!H2446</f>
        <v>36</v>
      </c>
      <c r="K2446" s="11">
        <f>data!J2446</f>
        <v>0</v>
      </c>
      <c r="L2446" s="11">
        <f t="shared" si="153"/>
        <v>36</v>
      </c>
      <c r="M2446" s="9" t="str">
        <f t="shared" si="154"/>
        <v/>
      </c>
      <c r="N2446" s="9" t="str">
        <f t="shared" si="155"/>
        <v/>
      </c>
    </row>
    <row r="2447" spans="1:14" x14ac:dyDescent="0.25">
      <c r="A2447" t="str">
        <f>TEXT("1/"&amp;data!A2447,"mmmm")</f>
        <v>septembre</v>
      </c>
      <c r="B2447">
        <f>data!B2447</f>
        <v>2016</v>
      </c>
      <c r="C2447" t="str">
        <f>data!C2447</f>
        <v>059</v>
      </c>
      <c r="D2447" t="str">
        <f>data!D2447</f>
        <v>CH DU ROUET</v>
      </c>
      <c r="E2447" t="str">
        <f>data!E2447</f>
        <v>059006</v>
      </c>
      <c r="F2447" t="str">
        <f>data!F2447</f>
        <v>AC C.PROVENCE. BELLE POULE</v>
      </c>
      <c r="G2447" s="10">
        <f>data!G2447</f>
        <v>0</v>
      </c>
      <c r="H2447" s="10">
        <f>data!I2447</f>
        <v>33</v>
      </c>
      <c r="I2447" s="10">
        <f t="shared" si="152"/>
        <v>-33</v>
      </c>
      <c r="J2447" s="11">
        <f>data!H2447</f>
        <v>6</v>
      </c>
      <c r="K2447" s="11">
        <f>data!J2447</f>
        <v>6</v>
      </c>
      <c r="L2447" s="11">
        <f t="shared" si="153"/>
        <v>0</v>
      </c>
      <c r="M2447" s="9">
        <f t="shared" si="154"/>
        <v>-1</v>
      </c>
      <c r="N2447" s="9">
        <f t="shared" si="155"/>
        <v>0</v>
      </c>
    </row>
    <row r="2448" spans="1:14" x14ac:dyDescent="0.25">
      <c r="A2448" t="str">
        <f>TEXT("1/"&amp;data!A2448,"mmmm")</f>
        <v>septembre</v>
      </c>
      <c r="B2448">
        <f>data!B2448</f>
        <v>2016</v>
      </c>
      <c r="C2448" t="str">
        <f>data!C2448</f>
        <v>059</v>
      </c>
      <c r="D2448" t="str">
        <f>data!D2448</f>
        <v>CH DU ROUET</v>
      </c>
      <c r="E2448" t="str">
        <f>data!E2448</f>
        <v>059008</v>
      </c>
      <c r="F2448" t="str">
        <f>data!F2448</f>
        <v>AC C.PROVENCE. BELLE POULE</v>
      </c>
      <c r="G2448" s="10">
        <f>data!G2448</f>
        <v>99</v>
      </c>
      <c r="H2448" s="10">
        <f>data!I2448</f>
        <v>198</v>
      </c>
      <c r="I2448" s="10">
        <f t="shared" si="152"/>
        <v>-99</v>
      </c>
      <c r="J2448" s="11">
        <f>data!H2448</f>
        <v>18</v>
      </c>
      <c r="K2448" s="11">
        <f>data!J2448</f>
        <v>36</v>
      </c>
      <c r="L2448" s="11">
        <f t="shared" si="153"/>
        <v>-18</v>
      </c>
      <c r="M2448" s="9">
        <f t="shared" si="154"/>
        <v>-0.5</v>
      </c>
      <c r="N2448" s="9">
        <f t="shared" si="155"/>
        <v>-0.5</v>
      </c>
    </row>
    <row r="2449" spans="1:14" x14ac:dyDescent="0.25">
      <c r="A2449" t="str">
        <f>TEXT("1/"&amp;data!A2449,"mmmm")</f>
        <v>septembre</v>
      </c>
      <c r="B2449">
        <f>data!B2449</f>
        <v>2016</v>
      </c>
      <c r="C2449" t="str">
        <f>data!C2449</f>
        <v>059</v>
      </c>
      <c r="D2449" t="str">
        <f>data!D2449</f>
        <v>CH DU ROUET</v>
      </c>
      <c r="E2449" t="str">
        <f>data!E2449</f>
        <v>059010</v>
      </c>
      <c r="F2449" t="str">
        <f>data!F2449</f>
        <v>AC C.PROVENCE. BELLE POULE</v>
      </c>
      <c r="G2449" s="10">
        <f>data!G2449</f>
        <v>66</v>
      </c>
      <c r="H2449" s="10">
        <f>data!I2449</f>
        <v>0</v>
      </c>
      <c r="I2449" s="10">
        <f t="shared" si="152"/>
        <v>66</v>
      </c>
      <c r="J2449" s="11">
        <f>data!H2449</f>
        <v>18</v>
      </c>
      <c r="K2449" s="11">
        <f>data!J2449</f>
        <v>0</v>
      </c>
      <c r="L2449" s="11">
        <f t="shared" si="153"/>
        <v>18</v>
      </c>
      <c r="M2449" s="9" t="str">
        <f t="shared" si="154"/>
        <v/>
      </c>
      <c r="N2449" s="9" t="str">
        <f t="shared" si="155"/>
        <v/>
      </c>
    </row>
    <row r="2450" spans="1:14" x14ac:dyDescent="0.25">
      <c r="A2450" t="str">
        <f>TEXT("1/"&amp;data!A2450,"mmmm")</f>
        <v>septembre</v>
      </c>
      <c r="B2450">
        <f>data!B2450</f>
        <v>2016</v>
      </c>
      <c r="C2450" t="str">
        <f>data!C2450</f>
        <v>059</v>
      </c>
      <c r="D2450" t="str">
        <f>data!D2450</f>
        <v>CH DU ROUET</v>
      </c>
      <c r="E2450" t="str">
        <f>data!E2450</f>
        <v>059019</v>
      </c>
      <c r="F2450" t="str">
        <f>data!F2450</f>
        <v>AC COTES DE PROVENCE ESTERELLE</v>
      </c>
      <c r="G2450" s="10">
        <f>data!G2450</f>
        <v>85.2</v>
      </c>
      <c r="H2450" s="10">
        <f>data!I2450</f>
        <v>85.2</v>
      </c>
      <c r="I2450" s="10">
        <f t="shared" si="152"/>
        <v>0</v>
      </c>
      <c r="J2450" s="11">
        <f>data!H2450</f>
        <v>24</v>
      </c>
      <c r="K2450" s="11">
        <f>data!J2450</f>
        <v>24</v>
      </c>
      <c r="L2450" s="11">
        <f t="shared" si="153"/>
        <v>0</v>
      </c>
      <c r="M2450" s="9">
        <f t="shared" si="154"/>
        <v>0</v>
      </c>
      <c r="N2450" s="9">
        <f t="shared" si="155"/>
        <v>0</v>
      </c>
    </row>
    <row r="2451" spans="1:14" x14ac:dyDescent="0.25">
      <c r="A2451" t="str">
        <f>TEXT("1/"&amp;data!A2451,"mmmm")</f>
        <v>septembre</v>
      </c>
      <c r="B2451">
        <f>data!B2451</f>
        <v>2016</v>
      </c>
      <c r="C2451" t="str">
        <f>data!C2451</f>
        <v>059</v>
      </c>
      <c r="D2451" t="str">
        <f>data!D2451</f>
        <v>CH DU ROUET</v>
      </c>
      <c r="E2451" t="str">
        <f>data!E2451</f>
        <v>059020</v>
      </c>
      <c r="F2451" t="str">
        <f>data!F2451</f>
        <v>AC C.PROVENCE ESTERELLE</v>
      </c>
      <c r="G2451" s="10">
        <f>data!G2451</f>
        <v>5506.2</v>
      </c>
      <c r="H2451" s="10">
        <f>data!I2451</f>
        <v>3673.5</v>
      </c>
      <c r="I2451" s="10">
        <f t="shared" si="152"/>
        <v>1832.6999999999998</v>
      </c>
      <c r="J2451" s="11">
        <f>data!H2451</f>
        <v>1542</v>
      </c>
      <c r="K2451" s="11">
        <f>data!J2451</f>
        <v>1044</v>
      </c>
      <c r="L2451" s="11">
        <f t="shared" si="153"/>
        <v>498</v>
      </c>
      <c r="M2451" s="9">
        <f t="shared" si="154"/>
        <v>0.49889750918742337</v>
      </c>
      <c r="N2451" s="9">
        <f t="shared" si="155"/>
        <v>0.47701149425287354</v>
      </c>
    </row>
    <row r="2452" spans="1:14" x14ac:dyDescent="0.25">
      <c r="A2452" t="str">
        <f>TEXT("1/"&amp;data!A2452,"mmmm")</f>
        <v>septembre</v>
      </c>
      <c r="B2452">
        <f>data!B2452</f>
        <v>2016</v>
      </c>
      <c r="C2452" t="str">
        <f>data!C2452</f>
        <v>059</v>
      </c>
      <c r="D2452" t="str">
        <f>data!D2452</f>
        <v>CH DU ROUET</v>
      </c>
      <c r="E2452" t="str">
        <f>data!E2452</f>
        <v>059021</v>
      </c>
      <c r="F2452" t="str">
        <f>data!F2452</f>
        <v>AC COTES DE PROVENCE</v>
      </c>
      <c r="G2452" s="10">
        <f>data!G2452</f>
        <v>1892.3</v>
      </c>
      <c r="H2452" s="10">
        <f>data!I2452</f>
        <v>968.5</v>
      </c>
      <c r="I2452" s="10">
        <f t="shared" si="152"/>
        <v>923.8</v>
      </c>
      <c r="J2452" s="11">
        <f>data!H2452</f>
        <v>887.11</v>
      </c>
      <c r="K2452" s="11">
        <f>data!J2452</f>
        <v>433.55</v>
      </c>
      <c r="L2452" s="11">
        <f t="shared" si="153"/>
        <v>453.56</v>
      </c>
      <c r="M2452" s="9">
        <f t="shared" si="154"/>
        <v>0.95384615384615379</v>
      </c>
      <c r="N2452" s="9">
        <f t="shared" si="155"/>
        <v>1.0461538461538462</v>
      </c>
    </row>
    <row r="2453" spans="1:14" x14ac:dyDescent="0.25">
      <c r="A2453" t="str">
        <f>TEXT("1/"&amp;data!A2453,"mmmm")</f>
        <v>septembre</v>
      </c>
      <c r="B2453">
        <f>data!B2453</f>
        <v>2016</v>
      </c>
      <c r="C2453" t="str">
        <f>data!C2453</f>
        <v>059</v>
      </c>
      <c r="D2453" t="str">
        <f>data!D2453</f>
        <v>CH DU ROUET</v>
      </c>
      <c r="E2453" t="str">
        <f>data!E2453</f>
        <v>059024</v>
      </c>
      <c r="F2453" t="str">
        <f>data!F2453</f>
        <v>VDP MEDITERRANEE. TERES</v>
      </c>
      <c r="G2453" s="10">
        <f>data!G2453</f>
        <v>90</v>
      </c>
      <c r="H2453" s="10">
        <f>data!I2453</f>
        <v>36</v>
      </c>
      <c r="I2453" s="10">
        <f t="shared" si="152"/>
        <v>54</v>
      </c>
      <c r="J2453" s="11">
        <f>data!H2453</f>
        <v>30</v>
      </c>
      <c r="K2453" s="11">
        <f>data!J2453</f>
        <v>12</v>
      </c>
      <c r="L2453" s="11">
        <f t="shared" si="153"/>
        <v>18</v>
      </c>
      <c r="M2453" s="9">
        <f t="shared" si="154"/>
        <v>1.5</v>
      </c>
      <c r="N2453" s="9">
        <f t="shared" si="155"/>
        <v>1.5</v>
      </c>
    </row>
    <row r="2454" spans="1:14" x14ac:dyDescent="0.25">
      <c r="A2454" t="str">
        <f>TEXT("1/"&amp;data!A2454,"mmmm")</f>
        <v>septembre</v>
      </c>
      <c r="B2454">
        <f>data!B2454</f>
        <v>2016</v>
      </c>
      <c r="C2454" t="str">
        <f>data!C2454</f>
        <v>059</v>
      </c>
      <c r="D2454" t="str">
        <f>data!D2454</f>
        <v>CH DU ROUET</v>
      </c>
      <c r="E2454" t="str">
        <f>data!E2454</f>
        <v>059025</v>
      </c>
      <c r="F2454" t="str">
        <f>data!F2454</f>
        <v>VDP MEDITERRANEE TERES</v>
      </c>
      <c r="G2454" s="10">
        <f>data!G2454</f>
        <v>6277.5</v>
      </c>
      <c r="H2454" s="10">
        <f>data!I2454</f>
        <v>4981.5</v>
      </c>
      <c r="I2454" s="10">
        <f t="shared" si="152"/>
        <v>1296</v>
      </c>
      <c r="J2454" s="11">
        <f>data!H2454</f>
        <v>2808</v>
      </c>
      <c r="K2454" s="11">
        <f>data!J2454</f>
        <v>2214</v>
      </c>
      <c r="L2454" s="11">
        <f t="shared" si="153"/>
        <v>594</v>
      </c>
      <c r="M2454" s="9">
        <f t="shared" si="154"/>
        <v>0.26016260162601629</v>
      </c>
      <c r="N2454" s="9">
        <f t="shared" si="155"/>
        <v>0.26829268292682928</v>
      </c>
    </row>
    <row r="2455" spans="1:14" x14ac:dyDescent="0.25">
      <c r="A2455" t="str">
        <f>TEXT("1/"&amp;data!A2455,"mmmm")</f>
        <v>septembre</v>
      </c>
      <c r="B2455">
        <f>data!B2455</f>
        <v>2016</v>
      </c>
      <c r="C2455" t="str">
        <f>data!C2455</f>
        <v>059</v>
      </c>
      <c r="D2455" t="str">
        <f>data!D2455</f>
        <v>CH DU ROUET</v>
      </c>
      <c r="E2455" t="str">
        <f>data!E2455</f>
        <v>059026</v>
      </c>
      <c r="F2455" t="str">
        <f>data!F2455</f>
        <v>VDP MEDITERRANEE. TERES</v>
      </c>
      <c r="G2455" s="10">
        <f>data!G2455</f>
        <v>3692.7</v>
      </c>
      <c r="H2455" s="10">
        <f>data!I2455</f>
        <v>2564.1</v>
      </c>
      <c r="I2455" s="10">
        <f t="shared" si="152"/>
        <v>1128.5999999999999</v>
      </c>
      <c r="J2455" s="11">
        <f>data!H2455</f>
        <v>2501.25</v>
      </c>
      <c r="K2455" s="11">
        <f>data!J2455</f>
        <v>1727.53</v>
      </c>
      <c r="L2455" s="11">
        <f t="shared" si="153"/>
        <v>773.72</v>
      </c>
      <c r="M2455" s="9">
        <f t="shared" si="154"/>
        <v>0.44015444015444011</v>
      </c>
      <c r="N2455" s="9">
        <f t="shared" si="155"/>
        <v>0.44787644787644793</v>
      </c>
    </row>
    <row r="2456" spans="1:14" x14ac:dyDescent="0.25">
      <c r="A2456" t="str">
        <f>TEXT("1/"&amp;data!A2456,"mmmm")</f>
        <v>septembre</v>
      </c>
      <c r="B2456">
        <f>data!B2456</f>
        <v>2016</v>
      </c>
      <c r="C2456" t="str">
        <f>data!C2456</f>
        <v>059</v>
      </c>
      <c r="D2456" t="str">
        <f>data!D2456</f>
        <v>CH DU ROUET</v>
      </c>
      <c r="E2456" t="str">
        <f>data!E2456</f>
        <v>059027</v>
      </c>
      <c r="F2456" t="str">
        <f>data!F2456</f>
        <v>IGP MEDITERRANEE TERES</v>
      </c>
      <c r="G2456" s="10">
        <f>data!G2456</f>
        <v>101.4</v>
      </c>
      <c r="H2456" s="10">
        <f>data!I2456</f>
        <v>101.4</v>
      </c>
      <c r="I2456" s="10">
        <f t="shared" si="152"/>
        <v>0</v>
      </c>
      <c r="J2456" s="11">
        <f>data!H2456</f>
        <v>79.98</v>
      </c>
      <c r="K2456" s="11">
        <f>data!J2456</f>
        <v>93.31</v>
      </c>
      <c r="L2456" s="11">
        <f t="shared" si="153"/>
        <v>-13.329999999999998</v>
      </c>
      <c r="M2456" s="9">
        <f t="shared" si="154"/>
        <v>0</v>
      </c>
      <c r="N2456" s="9">
        <f t="shared" si="155"/>
        <v>-0.14285714285714285</v>
      </c>
    </row>
    <row r="2457" spans="1:14" x14ac:dyDescent="0.25">
      <c r="A2457" t="str">
        <f>TEXT("1/"&amp;data!A2457,"mmmm")</f>
        <v>septembre</v>
      </c>
      <c r="B2457">
        <f>data!B2457</f>
        <v>2016</v>
      </c>
      <c r="C2457" t="str">
        <f>data!C2457</f>
        <v>059</v>
      </c>
      <c r="D2457" t="str">
        <f>data!D2457</f>
        <v>CH DU ROUET</v>
      </c>
      <c r="E2457" t="str">
        <f>data!E2457</f>
        <v>059101</v>
      </c>
      <c r="F2457" t="str">
        <f>data!F2457</f>
        <v>ICE PAMPLOON ROSE PAMPLEMOUSSE</v>
      </c>
      <c r="G2457" s="10">
        <f>data!G2457</f>
        <v>21.6</v>
      </c>
      <c r="H2457" s="10">
        <f>data!I2457</f>
        <v>10.8</v>
      </c>
      <c r="I2457" s="10">
        <f t="shared" si="152"/>
        <v>10.8</v>
      </c>
      <c r="J2457" s="11">
        <f>data!H2457</f>
        <v>300</v>
      </c>
      <c r="K2457" s="11">
        <f>data!J2457</f>
        <v>6</v>
      </c>
      <c r="L2457" s="11">
        <f t="shared" si="153"/>
        <v>294</v>
      </c>
      <c r="M2457" s="9">
        <f t="shared" si="154"/>
        <v>1</v>
      </c>
      <c r="N2457" s="9">
        <f t="shared" si="155"/>
        <v>49</v>
      </c>
    </row>
    <row r="2458" spans="1:14" x14ac:dyDescent="0.25">
      <c r="A2458" t="str">
        <f>TEXT("1/"&amp;data!A2458,"mmmm")</f>
        <v>septembre</v>
      </c>
      <c r="B2458">
        <f>data!B2458</f>
        <v>2016</v>
      </c>
      <c r="C2458" t="str">
        <f>data!C2458</f>
        <v>059</v>
      </c>
      <c r="D2458" t="str">
        <f>data!D2458</f>
        <v>CH DU ROUET</v>
      </c>
      <c r="E2458" t="str">
        <f>data!E2458</f>
        <v>059104</v>
      </c>
      <c r="F2458" t="str">
        <f>data!F2458</f>
        <v>ICE PAMPLOON BUBBLES</v>
      </c>
      <c r="G2458" s="10">
        <f>data!G2458</f>
        <v>133.19999999999999</v>
      </c>
      <c r="H2458" s="10">
        <f>data!I2458</f>
        <v>0</v>
      </c>
      <c r="I2458" s="10">
        <f t="shared" si="152"/>
        <v>133.19999999999999</v>
      </c>
      <c r="J2458" s="11">
        <f>data!H2458</f>
        <v>36</v>
      </c>
      <c r="K2458" s="11">
        <f>data!J2458</f>
        <v>0</v>
      </c>
      <c r="L2458" s="11">
        <f t="shared" si="153"/>
        <v>36</v>
      </c>
      <c r="M2458" s="9" t="str">
        <f t="shared" si="154"/>
        <v/>
      </c>
      <c r="N2458" s="9" t="str">
        <f t="shared" si="155"/>
        <v/>
      </c>
    </row>
    <row r="2459" spans="1:14" x14ac:dyDescent="0.25">
      <c r="A2459" t="str">
        <f>TEXT("1/"&amp;data!A2459,"mmmm")</f>
        <v>septembre</v>
      </c>
      <c r="B2459">
        <f>data!B2459</f>
        <v>2016</v>
      </c>
      <c r="C2459" t="str">
        <f>data!C2459</f>
        <v>060</v>
      </c>
      <c r="D2459" t="str">
        <f>data!D2459</f>
        <v>GIRARD JM ET NOEL</v>
      </c>
      <c r="E2459" t="str">
        <f>data!E2459</f>
        <v>060015</v>
      </c>
      <c r="F2459" t="str">
        <f>data!F2459</f>
        <v>AC SAUMUR CHAMP. D VX BOURG</v>
      </c>
      <c r="G2459" s="10">
        <f>data!G2459</f>
        <v>359.04</v>
      </c>
      <c r="H2459" s="10">
        <f>data!I2459</f>
        <v>734.4</v>
      </c>
      <c r="I2459" s="10">
        <f t="shared" si="152"/>
        <v>-375.35999999999996</v>
      </c>
      <c r="J2459" s="11">
        <f>data!H2459</f>
        <v>102</v>
      </c>
      <c r="K2459" s="11">
        <f>data!J2459</f>
        <v>204</v>
      </c>
      <c r="L2459" s="11">
        <f t="shared" si="153"/>
        <v>-102</v>
      </c>
      <c r="M2459" s="9">
        <f t="shared" si="154"/>
        <v>-0.51111111111111107</v>
      </c>
      <c r="N2459" s="9">
        <f t="shared" si="155"/>
        <v>-0.5</v>
      </c>
    </row>
    <row r="2460" spans="1:14" x14ac:dyDescent="0.25">
      <c r="A2460" t="str">
        <f>TEXT("1/"&amp;data!A2460,"mmmm")</f>
        <v>septembre</v>
      </c>
      <c r="B2460">
        <f>data!B2460</f>
        <v>2016</v>
      </c>
      <c r="C2460" t="str">
        <f>data!C2460</f>
        <v>060</v>
      </c>
      <c r="D2460" t="str">
        <f>data!D2460</f>
        <v>GIRARD JM ET NOEL</v>
      </c>
      <c r="E2460" t="str">
        <f>data!E2460</f>
        <v>060016</v>
      </c>
      <c r="F2460" t="str">
        <f>data!F2460</f>
        <v>AC SAUMUR CHAMP. D VX BOURG</v>
      </c>
      <c r="G2460" s="10">
        <f>data!G2460</f>
        <v>56.88</v>
      </c>
      <c r="H2460" s="10">
        <f>data!I2460</f>
        <v>26.64</v>
      </c>
      <c r="I2460" s="10">
        <f t="shared" si="152"/>
        <v>30.240000000000002</v>
      </c>
      <c r="J2460" s="11">
        <f>data!H2460</f>
        <v>12</v>
      </c>
      <c r="K2460" s="11">
        <f>data!J2460</f>
        <v>6</v>
      </c>
      <c r="L2460" s="11">
        <f t="shared" si="153"/>
        <v>6</v>
      </c>
      <c r="M2460" s="9">
        <f t="shared" si="154"/>
        <v>1.1351351351351351</v>
      </c>
      <c r="N2460" s="9">
        <f t="shared" si="155"/>
        <v>1</v>
      </c>
    </row>
    <row r="2461" spans="1:14" x14ac:dyDescent="0.25">
      <c r="A2461" t="str">
        <f>TEXT("1/"&amp;data!A2461,"mmmm")</f>
        <v>septembre</v>
      </c>
      <c r="B2461">
        <f>data!B2461</f>
        <v>2016</v>
      </c>
      <c r="C2461" t="str">
        <f>data!C2461</f>
        <v>062</v>
      </c>
      <c r="D2461" t="str">
        <f>data!D2461</f>
        <v>CHATEAU CARBON D'ARTIGUES</v>
      </c>
      <c r="E2461" t="str">
        <f>data!E2461</f>
        <v>062001</v>
      </c>
      <c r="F2461" t="str">
        <f>data!F2461</f>
        <v>AC GRAVES CARBON D'ARTIGUES</v>
      </c>
      <c r="G2461" s="10">
        <f>data!G2461</f>
        <v>180</v>
      </c>
      <c r="H2461" s="10">
        <f>data!I2461</f>
        <v>122.4</v>
      </c>
      <c r="I2461" s="10">
        <f t="shared" si="152"/>
        <v>57.599999999999994</v>
      </c>
      <c r="J2461" s="11">
        <f>data!H2461</f>
        <v>36</v>
      </c>
      <c r="K2461" s="11">
        <f>data!J2461</f>
        <v>24</v>
      </c>
      <c r="L2461" s="11">
        <f t="shared" si="153"/>
        <v>12</v>
      </c>
      <c r="M2461" s="9">
        <f t="shared" si="154"/>
        <v>0.47058823529411759</v>
      </c>
      <c r="N2461" s="9">
        <f t="shared" si="155"/>
        <v>0.5</v>
      </c>
    </row>
    <row r="2462" spans="1:14" x14ac:dyDescent="0.25">
      <c r="A2462" t="str">
        <f>TEXT("1/"&amp;data!A2462,"mmmm")</f>
        <v>septembre</v>
      </c>
      <c r="B2462">
        <f>data!B2462</f>
        <v>2016</v>
      </c>
      <c r="C2462" t="str">
        <f>data!C2462</f>
        <v>062</v>
      </c>
      <c r="D2462" t="str">
        <f>data!D2462</f>
        <v>CHATEAU CARBON D'ARTIGUES</v>
      </c>
      <c r="E2462" t="str">
        <f>data!E2462</f>
        <v>062002</v>
      </c>
      <c r="F2462" t="str">
        <f>data!F2462</f>
        <v>AC GRAVES. CARBON D'ARTIGUES</v>
      </c>
      <c r="G2462" s="10">
        <f>data!G2462</f>
        <v>386.4</v>
      </c>
      <c r="H2462" s="10">
        <f>data!I2462</f>
        <v>0</v>
      </c>
      <c r="I2462" s="10">
        <f t="shared" si="152"/>
        <v>386.4</v>
      </c>
      <c r="J2462" s="11">
        <f>data!H2462</f>
        <v>84</v>
      </c>
      <c r="K2462" s="11">
        <f>data!J2462</f>
        <v>0</v>
      </c>
      <c r="L2462" s="11">
        <f t="shared" si="153"/>
        <v>84</v>
      </c>
      <c r="M2462" s="9" t="str">
        <f t="shared" si="154"/>
        <v/>
      </c>
      <c r="N2462" s="9" t="str">
        <f t="shared" si="155"/>
        <v/>
      </c>
    </row>
    <row r="2463" spans="1:14" x14ac:dyDescent="0.25">
      <c r="A2463" t="str">
        <f>TEXT("1/"&amp;data!A2463,"mmmm")</f>
        <v>septembre</v>
      </c>
      <c r="B2463">
        <f>data!B2463</f>
        <v>2016</v>
      </c>
      <c r="C2463" t="str">
        <f>data!C2463</f>
        <v>062</v>
      </c>
      <c r="D2463" t="str">
        <f>data!D2463</f>
        <v>CHATEAU CARBON D'ARTIGUES</v>
      </c>
      <c r="E2463" t="str">
        <f>data!E2463</f>
        <v>062003</v>
      </c>
      <c r="F2463" t="str">
        <f>data!F2463</f>
        <v>AC GRAVES. CARBON D'ARTIGUES</v>
      </c>
      <c r="G2463" s="10">
        <f>data!G2463</f>
        <v>1900.8</v>
      </c>
      <c r="H2463" s="10">
        <f>data!I2463</f>
        <v>1737.2</v>
      </c>
      <c r="I2463" s="10">
        <f t="shared" si="152"/>
        <v>163.59999999999991</v>
      </c>
      <c r="J2463" s="11">
        <f>data!H2463</f>
        <v>438</v>
      </c>
      <c r="K2463" s="11">
        <f>data!J2463</f>
        <v>414</v>
      </c>
      <c r="L2463" s="11">
        <f t="shared" si="153"/>
        <v>24</v>
      </c>
      <c r="M2463" s="9">
        <f t="shared" si="154"/>
        <v>9.4174533732442958E-2</v>
      </c>
      <c r="N2463" s="9">
        <f t="shared" si="155"/>
        <v>5.7971014492753624E-2</v>
      </c>
    </row>
    <row r="2464" spans="1:14" x14ac:dyDescent="0.25">
      <c r="A2464" t="str">
        <f>TEXT("1/"&amp;data!A2464,"mmmm")</f>
        <v>septembre</v>
      </c>
      <c r="B2464">
        <f>data!B2464</f>
        <v>2016</v>
      </c>
      <c r="C2464" t="str">
        <f>data!C2464</f>
        <v>062</v>
      </c>
      <c r="D2464" t="str">
        <f>data!D2464</f>
        <v>CHATEAU CARBON D'ARTIGUES</v>
      </c>
      <c r="E2464" t="str">
        <f>data!E2464</f>
        <v>062021</v>
      </c>
      <c r="F2464" t="str">
        <f>data!F2464</f>
        <v>AC GRAVES. CARBON D'ARTIGUES</v>
      </c>
      <c r="G2464" s="10">
        <f>data!G2464</f>
        <v>710.4</v>
      </c>
      <c r="H2464" s="10">
        <f>data!I2464</f>
        <v>677.1</v>
      </c>
      <c r="I2464" s="10">
        <f t="shared" si="152"/>
        <v>33.299999999999955</v>
      </c>
      <c r="J2464" s="11">
        <f>data!H2464</f>
        <v>222</v>
      </c>
      <c r="K2464" s="11">
        <f>data!J2464</f>
        <v>228</v>
      </c>
      <c r="L2464" s="11">
        <f t="shared" si="153"/>
        <v>-6</v>
      </c>
      <c r="M2464" s="9">
        <f t="shared" si="154"/>
        <v>4.9180327868852389E-2</v>
      </c>
      <c r="N2464" s="9">
        <f t="shared" si="155"/>
        <v>-2.6315789473684209E-2</v>
      </c>
    </row>
    <row r="2465" spans="1:14" x14ac:dyDescent="0.25">
      <c r="A2465" t="str">
        <f>TEXT("1/"&amp;data!A2465,"mmmm")</f>
        <v>septembre</v>
      </c>
      <c r="B2465">
        <f>data!B2465</f>
        <v>2016</v>
      </c>
      <c r="C2465" t="str">
        <f>data!C2465</f>
        <v>062</v>
      </c>
      <c r="D2465" t="str">
        <f>data!D2465</f>
        <v>CHATEAU CARBON D'ARTIGUES</v>
      </c>
      <c r="E2465" t="str">
        <f>data!E2465</f>
        <v>062030</v>
      </c>
      <c r="F2465" t="str">
        <f>data!F2465</f>
        <v>AC CADILLAC CH LA PASSONNE</v>
      </c>
      <c r="G2465" s="10">
        <f>data!G2465</f>
        <v>115.2</v>
      </c>
      <c r="H2465" s="10">
        <f>data!I2465</f>
        <v>28.8</v>
      </c>
      <c r="I2465" s="10">
        <f t="shared" si="152"/>
        <v>86.4</v>
      </c>
      <c r="J2465" s="11">
        <f>data!H2465</f>
        <v>24</v>
      </c>
      <c r="K2465" s="11">
        <f>data!J2465</f>
        <v>12</v>
      </c>
      <c r="L2465" s="11">
        <f t="shared" si="153"/>
        <v>12</v>
      </c>
      <c r="M2465" s="9">
        <f t="shared" si="154"/>
        <v>3</v>
      </c>
      <c r="N2465" s="9">
        <f t="shared" si="155"/>
        <v>1</v>
      </c>
    </row>
    <row r="2466" spans="1:14" x14ac:dyDescent="0.25">
      <c r="A2466" t="str">
        <f>TEXT("1/"&amp;data!A2466,"mmmm")</f>
        <v>septembre</v>
      </c>
      <c r="B2466">
        <f>data!B2466</f>
        <v>2016</v>
      </c>
      <c r="C2466" t="str">
        <f>data!C2466</f>
        <v>062</v>
      </c>
      <c r="D2466" t="str">
        <f>data!D2466</f>
        <v>CHATEAU CARBON D'ARTIGUES</v>
      </c>
      <c r="E2466" t="str">
        <f>data!E2466</f>
        <v>062032</v>
      </c>
      <c r="F2466" t="str">
        <f>data!F2466</f>
        <v>AOP GRAVES CH CARBON D'ARTIGUES</v>
      </c>
      <c r="G2466" s="10">
        <f>data!G2466</f>
        <v>1605</v>
      </c>
      <c r="H2466" s="10">
        <f>data!I2466</f>
        <v>1711</v>
      </c>
      <c r="I2466" s="10">
        <f t="shared" si="152"/>
        <v>-106</v>
      </c>
      <c r="J2466" s="11">
        <f>data!H2466</f>
        <v>713.68999999999994</v>
      </c>
      <c r="K2466" s="11">
        <f>data!J2466</f>
        <v>793.73</v>
      </c>
      <c r="L2466" s="11">
        <f t="shared" si="153"/>
        <v>-80.040000000000077</v>
      </c>
      <c r="M2466" s="9">
        <f t="shared" si="154"/>
        <v>-6.1952074810052604E-2</v>
      </c>
      <c r="N2466" s="9">
        <f t="shared" si="155"/>
        <v>-0.10084033613445388</v>
      </c>
    </row>
    <row r="2467" spans="1:14" x14ac:dyDescent="0.25">
      <c r="A2467" t="str">
        <f>TEXT("1/"&amp;data!A2467,"mmmm")</f>
        <v>septembre</v>
      </c>
      <c r="B2467">
        <f>data!B2467</f>
        <v>2016</v>
      </c>
      <c r="C2467" t="str">
        <f>data!C2467</f>
        <v>074</v>
      </c>
      <c r="D2467" t="str">
        <f>data!D2467</f>
        <v>CAVE DE GIGONDAS</v>
      </c>
      <c r="E2467" t="str">
        <f>data!E2467</f>
        <v>074012</v>
      </c>
      <c r="F2467" t="str">
        <f>data!F2467</f>
        <v>AC GIGONDAS LA REFENCE</v>
      </c>
      <c r="G2467" s="10">
        <f>data!G2467</f>
        <v>729.6</v>
      </c>
      <c r="H2467" s="10">
        <f>data!I2467</f>
        <v>547.20000000000005</v>
      </c>
      <c r="I2467" s="10">
        <f t="shared" si="152"/>
        <v>182.39999999999998</v>
      </c>
      <c r="J2467" s="11">
        <f>data!H2467</f>
        <v>96</v>
      </c>
      <c r="K2467" s="11">
        <f>data!J2467</f>
        <v>72</v>
      </c>
      <c r="L2467" s="11">
        <f t="shared" si="153"/>
        <v>24</v>
      </c>
      <c r="M2467" s="9">
        <f t="shared" si="154"/>
        <v>0.33333333333333326</v>
      </c>
      <c r="N2467" s="9">
        <f t="shared" si="155"/>
        <v>0.33333333333333331</v>
      </c>
    </row>
    <row r="2468" spans="1:14" x14ac:dyDescent="0.25">
      <c r="A2468" t="str">
        <f>TEXT("1/"&amp;data!A2468,"mmmm")</f>
        <v>septembre</v>
      </c>
      <c r="B2468">
        <f>data!B2468</f>
        <v>2016</v>
      </c>
      <c r="C2468" t="str">
        <f>data!C2468</f>
        <v>074</v>
      </c>
      <c r="D2468" t="str">
        <f>data!D2468</f>
        <v>CAVE DE GIGONDAS</v>
      </c>
      <c r="E2468" t="str">
        <f>data!E2468</f>
        <v>074013</v>
      </c>
      <c r="F2468" t="str">
        <f>data!F2468</f>
        <v>AC B DE VENISE TERRISSIMO</v>
      </c>
      <c r="G2468" s="10">
        <f>data!G2468</f>
        <v>697.5</v>
      </c>
      <c r="H2468" s="10">
        <f>data!I2468</f>
        <v>993.6</v>
      </c>
      <c r="I2468" s="10">
        <f t="shared" si="152"/>
        <v>-296.10000000000002</v>
      </c>
      <c r="J2468" s="11">
        <f>data!H2468</f>
        <v>150</v>
      </c>
      <c r="K2468" s="11">
        <f>data!J2468</f>
        <v>216</v>
      </c>
      <c r="L2468" s="11">
        <f t="shared" si="153"/>
        <v>-66</v>
      </c>
      <c r="M2468" s="9">
        <f t="shared" si="154"/>
        <v>-0.29800724637681159</v>
      </c>
      <c r="N2468" s="9">
        <f t="shared" si="155"/>
        <v>-0.30555555555555558</v>
      </c>
    </row>
    <row r="2469" spans="1:14" x14ac:dyDescent="0.25">
      <c r="A2469" t="str">
        <f>TEXT("1/"&amp;data!A2469,"mmmm")</f>
        <v>septembre</v>
      </c>
      <c r="B2469">
        <f>data!B2469</f>
        <v>2016</v>
      </c>
      <c r="C2469" t="str">
        <f>data!C2469</f>
        <v>074</v>
      </c>
      <c r="D2469" t="str">
        <f>data!D2469</f>
        <v>CAVE DE GIGONDAS</v>
      </c>
      <c r="E2469" t="str">
        <f>data!E2469</f>
        <v>074029</v>
      </c>
      <c r="F2469" t="str">
        <f>data!F2469</f>
        <v>VDN MUSCAT BEAUME DE VENISE</v>
      </c>
      <c r="G2469" s="10">
        <f>data!G2469</f>
        <v>46.2</v>
      </c>
      <c r="H2469" s="10">
        <f>data!I2469</f>
        <v>0</v>
      </c>
      <c r="I2469" s="10">
        <f t="shared" si="152"/>
        <v>46.2</v>
      </c>
      <c r="J2469" s="11">
        <f>data!H2469</f>
        <v>6</v>
      </c>
      <c r="K2469" s="11">
        <f>data!J2469</f>
        <v>0</v>
      </c>
      <c r="L2469" s="11">
        <f t="shared" si="153"/>
        <v>6</v>
      </c>
      <c r="M2469" s="9" t="str">
        <f t="shared" si="154"/>
        <v/>
      </c>
      <c r="N2469" s="9" t="str">
        <f t="shared" si="155"/>
        <v/>
      </c>
    </row>
    <row r="2470" spans="1:14" x14ac:dyDescent="0.25">
      <c r="A2470" t="str">
        <f>TEXT("1/"&amp;data!A2470,"mmmm")</f>
        <v>septembre</v>
      </c>
      <c r="B2470">
        <f>data!B2470</f>
        <v>2016</v>
      </c>
      <c r="C2470" t="str">
        <f>data!C2470</f>
        <v>080</v>
      </c>
      <c r="D2470" t="str">
        <f>data!D2470</f>
        <v>DOMAINE DE ST PIERRE</v>
      </c>
      <c r="E2470" t="str">
        <f>data!E2470</f>
        <v>080010</v>
      </c>
      <c r="F2470" t="str">
        <f>data!F2470</f>
        <v>AC SANCERRE D.DE ST PIERRE</v>
      </c>
      <c r="G2470" s="10">
        <f>data!G2470</f>
        <v>1470.6</v>
      </c>
      <c r="H2470" s="10">
        <f>data!I2470</f>
        <v>793.8</v>
      </c>
      <c r="I2470" s="10">
        <f t="shared" si="152"/>
        <v>676.8</v>
      </c>
      <c r="J2470" s="11">
        <f>data!H2470</f>
        <v>228</v>
      </c>
      <c r="K2470" s="11">
        <f>data!J2470</f>
        <v>126</v>
      </c>
      <c r="L2470" s="11">
        <f t="shared" si="153"/>
        <v>102</v>
      </c>
      <c r="M2470" s="9">
        <f t="shared" si="154"/>
        <v>0.85260770975056688</v>
      </c>
      <c r="N2470" s="9">
        <f t="shared" si="155"/>
        <v>0.80952380952380953</v>
      </c>
    </row>
    <row r="2471" spans="1:14" x14ac:dyDescent="0.25">
      <c r="A2471" t="str">
        <f>TEXT("1/"&amp;data!A2471,"mmmm")</f>
        <v>septembre</v>
      </c>
      <c r="B2471">
        <f>data!B2471</f>
        <v>2016</v>
      </c>
      <c r="C2471" t="str">
        <f>data!C2471</f>
        <v>080</v>
      </c>
      <c r="D2471" t="str">
        <f>data!D2471</f>
        <v>DOMAINE DE ST PIERRE</v>
      </c>
      <c r="E2471" t="str">
        <f>data!E2471</f>
        <v>080011</v>
      </c>
      <c r="F2471" t="str">
        <f>data!F2471</f>
        <v>AC SANCERRE D.DE ST PIERRE</v>
      </c>
      <c r="G2471" s="10">
        <f>data!G2471</f>
        <v>234</v>
      </c>
      <c r="H2471" s="10">
        <f>data!I2471</f>
        <v>138.6</v>
      </c>
      <c r="I2471" s="10">
        <f t="shared" si="152"/>
        <v>95.4</v>
      </c>
      <c r="J2471" s="11">
        <f>data!H2471</f>
        <v>30</v>
      </c>
      <c r="K2471" s="11">
        <f>data!J2471</f>
        <v>18</v>
      </c>
      <c r="L2471" s="11">
        <f t="shared" si="153"/>
        <v>12</v>
      </c>
      <c r="M2471" s="9">
        <f t="shared" si="154"/>
        <v>0.68831168831168843</v>
      </c>
      <c r="N2471" s="9">
        <f t="shared" si="155"/>
        <v>0.66666666666666663</v>
      </c>
    </row>
    <row r="2472" spans="1:14" x14ac:dyDescent="0.25">
      <c r="A2472" t="str">
        <f>TEXT("1/"&amp;data!A2472,"mmmm")</f>
        <v>septembre</v>
      </c>
      <c r="B2472">
        <f>data!B2472</f>
        <v>2016</v>
      </c>
      <c r="C2472" t="str">
        <f>data!C2472</f>
        <v>080</v>
      </c>
      <c r="D2472" t="str">
        <f>data!D2472</f>
        <v>DOMAINE DE ST PIERRE</v>
      </c>
      <c r="E2472" t="str">
        <f>data!E2472</f>
        <v>080013</v>
      </c>
      <c r="F2472" t="str">
        <f>data!F2472</f>
        <v>AC SANCERRE D.DE ST PIERRE</v>
      </c>
      <c r="G2472" s="10">
        <f>data!G2472</f>
        <v>37.799999999999997</v>
      </c>
      <c r="H2472" s="10">
        <f>data!I2472</f>
        <v>36.6</v>
      </c>
      <c r="I2472" s="10">
        <f t="shared" si="152"/>
        <v>1.1999999999999957</v>
      </c>
      <c r="J2472" s="11">
        <f>data!H2472</f>
        <v>6</v>
      </c>
      <c r="K2472" s="11">
        <f>data!J2472</f>
        <v>6</v>
      </c>
      <c r="L2472" s="11">
        <f t="shared" si="153"/>
        <v>0</v>
      </c>
      <c r="M2472" s="9">
        <f t="shared" si="154"/>
        <v>3.2786885245901523E-2</v>
      </c>
      <c r="N2472" s="9">
        <f t="shared" si="155"/>
        <v>0</v>
      </c>
    </row>
    <row r="2473" spans="1:14" x14ac:dyDescent="0.25">
      <c r="A2473" t="str">
        <f>TEXT("1/"&amp;data!A2473,"mmmm")</f>
        <v>septembre</v>
      </c>
      <c r="B2473">
        <f>data!B2473</f>
        <v>2016</v>
      </c>
      <c r="C2473" t="str">
        <f>data!C2473</f>
        <v>080</v>
      </c>
      <c r="D2473" t="str">
        <f>data!D2473</f>
        <v>DOMAINE DE ST PIERRE</v>
      </c>
      <c r="E2473" t="str">
        <f>data!E2473</f>
        <v>080015</v>
      </c>
      <c r="F2473" t="str">
        <f>data!F2473</f>
        <v>AC SANCERRE D.DE ST PIERRE</v>
      </c>
      <c r="G2473" s="10">
        <f>data!G2473</f>
        <v>603</v>
      </c>
      <c r="H2473" s="10">
        <f>data!I2473</f>
        <v>237.6</v>
      </c>
      <c r="I2473" s="10">
        <f t="shared" si="152"/>
        <v>365.4</v>
      </c>
      <c r="J2473" s="11">
        <f>data!H2473</f>
        <v>90</v>
      </c>
      <c r="K2473" s="11">
        <f>data!J2473</f>
        <v>36</v>
      </c>
      <c r="L2473" s="11">
        <f t="shared" si="153"/>
        <v>54</v>
      </c>
      <c r="M2473" s="9">
        <f t="shared" si="154"/>
        <v>1.5378787878787878</v>
      </c>
      <c r="N2473" s="9">
        <f t="shared" si="155"/>
        <v>1.5</v>
      </c>
    </row>
    <row r="2474" spans="1:14" x14ac:dyDescent="0.25">
      <c r="A2474" t="str">
        <f>TEXT("1/"&amp;data!A2474,"mmmm")</f>
        <v>septembre</v>
      </c>
      <c r="B2474">
        <f>data!B2474</f>
        <v>2016</v>
      </c>
      <c r="C2474" t="str">
        <f>data!C2474</f>
        <v>080</v>
      </c>
      <c r="D2474" t="str">
        <f>data!D2474</f>
        <v>DOMAINE DE ST PIERRE</v>
      </c>
      <c r="E2474" t="str">
        <f>data!E2474</f>
        <v>080016</v>
      </c>
      <c r="F2474" t="str">
        <f>data!F2474</f>
        <v>AC SANCERRE D.DE ST PIERRE</v>
      </c>
      <c r="G2474" s="10">
        <f>data!G2474</f>
        <v>46.8</v>
      </c>
      <c r="H2474" s="10">
        <f>data!I2474</f>
        <v>0</v>
      </c>
      <c r="I2474" s="10">
        <f t="shared" si="152"/>
        <v>46.8</v>
      </c>
      <c r="J2474" s="11">
        <f>data!H2474</f>
        <v>6</v>
      </c>
      <c r="K2474" s="11">
        <f>data!J2474</f>
        <v>0</v>
      </c>
      <c r="L2474" s="11">
        <f t="shared" si="153"/>
        <v>6</v>
      </c>
      <c r="M2474" s="9" t="str">
        <f t="shared" si="154"/>
        <v/>
      </c>
      <c r="N2474" s="9" t="str">
        <f t="shared" si="155"/>
        <v/>
      </c>
    </row>
    <row r="2475" spans="1:14" x14ac:dyDescent="0.25">
      <c r="A2475" t="str">
        <f>TEXT("1/"&amp;data!A2475,"mmmm")</f>
        <v>septembre</v>
      </c>
      <c r="B2475">
        <f>data!B2475</f>
        <v>2016</v>
      </c>
      <c r="C2475" t="str">
        <f>data!C2475</f>
        <v>083</v>
      </c>
      <c r="D2475" t="str">
        <f>data!D2475</f>
        <v>LES TERROIRS D'OCCITANIE</v>
      </c>
      <c r="E2475" t="str">
        <f>data!E2475</f>
        <v>083003</v>
      </c>
      <c r="F2475" t="str">
        <f>data!F2475</f>
        <v>AC FAUGERES C.PREST DE LAURENS</v>
      </c>
      <c r="G2475" s="10">
        <f>data!G2475</f>
        <v>335.4</v>
      </c>
      <c r="H2475" s="10">
        <f>data!I2475</f>
        <v>390.6</v>
      </c>
      <c r="I2475" s="10">
        <f t="shared" si="152"/>
        <v>-55.200000000000045</v>
      </c>
      <c r="J2475" s="11">
        <f>data!H2475</f>
        <v>156</v>
      </c>
      <c r="K2475" s="11">
        <f>data!J2475</f>
        <v>186</v>
      </c>
      <c r="L2475" s="11">
        <f t="shared" si="153"/>
        <v>-30</v>
      </c>
      <c r="M2475" s="9">
        <f t="shared" si="154"/>
        <v>-0.1413210445468511</v>
      </c>
      <c r="N2475" s="9">
        <f t="shared" si="155"/>
        <v>-0.16129032258064516</v>
      </c>
    </row>
    <row r="2476" spans="1:14" x14ac:dyDescent="0.25">
      <c r="A2476" t="str">
        <f>TEXT("1/"&amp;data!A2476,"mmmm")</f>
        <v>septembre</v>
      </c>
      <c r="B2476">
        <f>data!B2476</f>
        <v>2016</v>
      </c>
      <c r="C2476" t="str">
        <f>data!C2476</f>
        <v>084</v>
      </c>
      <c r="D2476" t="str">
        <f>data!D2476</f>
        <v>VIGNOBLE CASTELMAURE</v>
      </c>
      <c r="E2476" t="str">
        <f>data!E2476</f>
        <v>084001</v>
      </c>
      <c r="F2476" t="str">
        <f>data!F2476</f>
        <v>AC CORBIERES CASTELMAURE</v>
      </c>
      <c r="G2476" s="10">
        <f>data!G2476</f>
        <v>962.5</v>
      </c>
      <c r="H2476" s="10">
        <f>data!I2476</f>
        <v>1672.75</v>
      </c>
      <c r="I2476" s="10">
        <f t="shared" si="152"/>
        <v>-710.25</v>
      </c>
      <c r="J2476" s="11">
        <f>data!H2476</f>
        <v>666.5</v>
      </c>
      <c r="K2476" s="11">
        <f>data!J2476</f>
        <v>1186.3700000000001</v>
      </c>
      <c r="L2476" s="11">
        <f t="shared" si="153"/>
        <v>-519.87000000000012</v>
      </c>
      <c r="M2476" s="9">
        <f t="shared" si="154"/>
        <v>-0.42460020923628755</v>
      </c>
      <c r="N2476" s="9">
        <f t="shared" si="155"/>
        <v>-0.43820224719101131</v>
      </c>
    </row>
    <row r="2477" spans="1:14" x14ac:dyDescent="0.25">
      <c r="A2477" t="str">
        <f>TEXT("1/"&amp;data!A2477,"mmmm")</f>
        <v>septembre</v>
      </c>
      <c r="B2477">
        <f>data!B2477</f>
        <v>2016</v>
      </c>
      <c r="C2477" t="str">
        <f>data!C2477</f>
        <v>084</v>
      </c>
      <c r="D2477" t="str">
        <f>data!D2477</f>
        <v>VIGNOBLE CASTELMAURE</v>
      </c>
      <c r="E2477" t="str">
        <f>data!E2477</f>
        <v>084002</v>
      </c>
      <c r="F2477" t="str">
        <f>data!F2477</f>
        <v>AC CORBIERES CASTELMAURE</v>
      </c>
      <c r="G2477" s="10">
        <f>data!G2477</f>
        <v>1657.6</v>
      </c>
      <c r="H2477" s="10">
        <f>data!I2477</f>
        <v>1672</v>
      </c>
      <c r="I2477" s="10">
        <f t="shared" si="152"/>
        <v>-14.400000000000091</v>
      </c>
      <c r="J2477" s="11">
        <f>data!H2477</f>
        <v>987.16</v>
      </c>
      <c r="K2477" s="11">
        <f>data!J2477</f>
        <v>1053.8599999999999</v>
      </c>
      <c r="L2477" s="11">
        <f t="shared" si="153"/>
        <v>-66.699999999999932</v>
      </c>
      <c r="M2477" s="9">
        <f t="shared" si="154"/>
        <v>-8.6124401913876148E-3</v>
      </c>
      <c r="N2477" s="9">
        <f t="shared" si="155"/>
        <v>-6.3291139240506264E-2</v>
      </c>
    </row>
    <row r="2478" spans="1:14" x14ac:dyDescent="0.25">
      <c r="A2478" t="str">
        <f>TEXT("1/"&amp;data!A2478,"mmmm")</f>
        <v>septembre</v>
      </c>
      <c r="B2478">
        <f>data!B2478</f>
        <v>2016</v>
      </c>
      <c r="C2478" t="str">
        <f>data!C2478</f>
        <v>084</v>
      </c>
      <c r="D2478" t="str">
        <f>data!D2478</f>
        <v>VIGNOBLE CASTELMAURE</v>
      </c>
      <c r="E2478" t="str">
        <f>data!E2478</f>
        <v>084004</v>
      </c>
      <c r="F2478" t="str">
        <f>data!F2478</f>
        <v>VDT BUVETTE CASTELMAURE (x6)</v>
      </c>
      <c r="G2478" s="10">
        <f>data!G2478</f>
        <v>-441</v>
      </c>
      <c r="H2478" s="10">
        <f>data!I2478</f>
        <v>12.3</v>
      </c>
      <c r="I2478" s="10">
        <f t="shared" si="152"/>
        <v>-453.3</v>
      </c>
      <c r="J2478" s="11">
        <f>data!H2478</f>
        <v>-210</v>
      </c>
      <c r="K2478" s="11">
        <f>data!J2478</f>
        <v>6</v>
      </c>
      <c r="L2478" s="11">
        <f t="shared" si="153"/>
        <v>-216</v>
      </c>
      <c r="M2478" s="9">
        <f t="shared" si="154"/>
        <v>-36.853658536585364</v>
      </c>
      <c r="N2478" s="9">
        <f t="shared" si="155"/>
        <v>-36</v>
      </c>
    </row>
    <row r="2479" spans="1:14" x14ac:dyDescent="0.25">
      <c r="A2479" t="str">
        <f>TEXT("1/"&amp;data!A2479,"mmmm")</f>
        <v>septembre</v>
      </c>
      <c r="B2479">
        <f>data!B2479</f>
        <v>2016</v>
      </c>
      <c r="C2479" t="str">
        <f>data!C2479</f>
        <v>084</v>
      </c>
      <c r="D2479" t="str">
        <f>data!D2479</f>
        <v>VIGNOBLE CASTELMAURE</v>
      </c>
      <c r="E2479" t="str">
        <f>data!E2479</f>
        <v>084006</v>
      </c>
      <c r="F2479" t="str">
        <f>data!F2479</f>
        <v>AOP CORBIERES LE CASTELMAURE</v>
      </c>
      <c r="G2479" s="10">
        <f>data!G2479</f>
        <v>2095.5</v>
      </c>
      <c r="H2479" s="10">
        <f>data!I2479</f>
        <v>2835</v>
      </c>
      <c r="I2479" s="10">
        <f t="shared" si="152"/>
        <v>-739.5</v>
      </c>
      <c r="J2479" s="11">
        <f>data!H2479</f>
        <v>768</v>
      </c>
      <c r="K2479" s="11">
        <f>data!J2479</f>
        <v>1050</v>
      </c>
      <c r="L2479" s="11">
        <f t="shared" si="153"/>
        <v>-282</v>
      </c>
      <c r="M2479" s="9">
        <f t="shared" si="154"/>
        <v>-0.26084656084656083</v>
      </c>
      <c r="N2479" s="9">
        <f t="shared" si="155"/>
        <v>-0.26857142857142857</v>
      </c>
    </row>
    <row r="2480" spans="1:14" x14ac:dyDescent="0.25">
      <c r="A2480" t="str">
        <f>TEXT("1/"&amp;data!A2480,"mmmm")</f>
        <v>septembre</v>
      </c>
      <c r="B2480">
        <f>data!B2480</f>
        <v>2016</v>
      </c>
      <c r="C2480" t="str">
        <f>data!C2480</f>
        <v>084</v>
      </c>
      <c r="D2480" t="str">
        <f>data!D2480</f>
        <v>VIGNOBLE CASTELMAURE</v>
      </c>
      <c r="E2480" t="str">
        <f>data!E2480</f>
        <v>084007</v>
      </c>
      <c r="F2480" t="str">
        <f>data!F2480</f>
        <v>AC CORBIERES LA POMPADOUR</v>
      </c>
      <c r="G2480" s="10">
        <f>data!G2480</f>
        <v>1435.2</v>
      </c>
      <c r="H2480" s="10">
        <f>data!I2480</f>
        <v>1048.5</v>
      </c>
      <c r="I2480" s="10">
        <f t="shared" si="152"/>
        <v>386.70000000000005</v>
      </c>
      <c r="J2480" s="11">
        <f>data!H2480</f>
        <v>312</v>
      </c>
      <c r="K2480" s="11">
        <f>data!J2480</f>
        <v>234</v>
      </c>
      <c r="L2480" s="11">
        <f t="shared" si="153"/>
        <v>78</v>
      </c>
      <c r="M2480" s="9">
        <f t="shared" si="154"/>
        <v>0.3688125894134478</v>
      </c>
      <c r="N2480" s="9">
        <f t="shared" si="155"/>
        <v>0.33333333333333331</v>
      </c>
    </row>
    <row r="2481" spans="1:14" x14ac:dyDescent="0.25">
      <c r="A2481" t="str">
        <f>TEXT("1/"&amp;data!A2481,"mmmm")</f>
        <v>septembre</v>
      </c>
      <c r="B2481">
        <f>data!B2481</f>
        <v>2016</v>
      </c>
      <c r="C2481" t="str">
        <f>data!C2481</f>
        <v>084</v>
      </c>
      <c r="D2481" t="str">
        <f>data!D2481</f>
        <v>VIGNOBLE CASTELMAURE</v>
      </c>
      <c r="E2481" t="str">
        <f>data!E2481</f>
        <v>084008</v>
      </c>
      <c r="F2481" t="str">
        <f>data!F2481</f>
        <v>AC CORBIERES LA GDE CUVEE</v>
      </c>
      <c r="G2481" s="10">
        <f>data!G2481</f>
        <v>358.8</v>
      </c>
      <c r="H2481" s="10">
        <f>data!I2481</f>
        <v>175.5</v>
      </c>
      <c r="I2481" s="10">
        <f t="shared" si="152"/>
        <v>183.3</v>
      </c>
      <c r="J2481" s="11">
        <f>data!H2481</f>
        <v>60</v>
      </c>
      <c r="K2481" s="11">
        <f>data!J2481</f>
        <v>30</v>
      </c>
      <c r="L2481" s="11">
        <f t="shared" si="153"/>
        <v>30</v>
      </c>
      <c r="M2481" s="9">
        <f t="shared" si="154"/>
        <v>1.0444444444444445</v>
      </c>
      <c r="N2481" s="9">
        <f t="shared" si="155"/>
        <v>1</v>
      </c>
    </row>
    <row r="2482" spans="1:14" x14ac:dyDescent="0.25">
      <c r="A2482" t="str">
        <f>TEXT("1/"&amp;data!A2482,"mmmm")</f>
        <v>septembre</v>
      </c>
      <c r="B2482">
        <f>data!B2482</f>
        <v>2016</v>
      </c>
      <c r="C2482" t="str">
        <f>data!C2482</f>
        <v>084</v>
      </c>
      <c r="D2482" t="str">
        <f>data!D2482</f>
        <v>VIGNOBLE CASTELMAURE</v>
      </c>
      <c r="E2482" t="str">
        <f>data!E2482</f>
        <v>084015</v>
      </c>
      <c r="F2482" t="str">
        <f>data!F2482</f>
        <v>AC CORBIERES " LE 3 "</v>
      </c>
      <c r="G2482" s="10">
        <f>data!G2482</f>
        <v>322.5</v>
      </c>
      <c r="H2482" s="10">
        <f>data!I2482</f>
        <v>0</v>
      </c>
      <c r="I2482" s="10">
        <f t="shared" si="152"/>
        <v>322.5</v>
      </c>
      <c r="J2482" s="11">
        <f>data!H2482</f>
        <v>30</v>
      </c>
      <c r="K2482" s="11">
        <f>data!J2482</f>
        <v>0</v>
      </c>
      <c r="L2482" s="11">
        <f t="shared" si="153"/>
        <v>30</v>
      </c>
      <c r="M2482" s="9" t="str">
        <f t="shared" si="154"/>
        <v/>
      </c>
      <c r="N2482" s="9" t="str">
        <f t="shared" si="155"/>
        <v/>
      </c>
    </row>
    <row r="2483" spans="1:14" x14ac:dyDescent="0.25">
      <c r="A2483" t="str">
        <f>TEXT("1/"&amp;data!A2483,"mmmm")</f>
        <v>septembre</v>
      </c>
      <c r="B2483">
        <f>data!B2483</f>
        <v>2016</v>
      </c>
      <c r="C2483" t="str">
        <f>data!C2483</f>
        <v>084</v>
      </c>
      <c r="D2483" t="str">
        <f>data!D2483</f>
        <v>VIGNOBLE CASTELMAURE</v>
      </c>
      <c r="E2483" t="str">
        <f>data!E2483</f>
        <v>084032</v>
      </c>
      <c r="F2483" t="str">
        <f>data!F2483</f>
        <v>AC CORBIERE CASTELMAURE</v>
      </c>
      <c r="G2483" s="10">
        <f>data!G2483</f>
        <v>330</v>
      </c>
      <c r="H2483" s="10">
        <f>data!I2483</f>
        <v>0</v>
      </c>
      <c r="I2483" s="10">
        <f t="shared" si="152"/>
        <v>330</v>
      </c>
      <c r="J2483" s="11">
        <f>data!H2483</f>
        <v>120</v>
      </c>
      <c r="K2483" s="11">
        <f>data!J2483</f>
        <v>0</v>
      </c>
      <c r="L2483" s="11">
        <f t="shared" si="153"/>
        <v>120</v>
      </c>
      <c r="M2483" s="9" t="str">
        <f t="shared" si="154"/>
        <v/>
      </c>
      <c r="N2483" s="9" t="str">
        <f t="shared" si="155"/>
        <v/>
      </c>
    </row>
    <row r="2484" spans="1:14" x14ac:dyDescent="0.25">
      <c r="A2484" t="str">
        <f>TEXT("1/"&amp;data!A2484,"mmmm")</f>
        <v>septembre</v>
      </c>
      <c r="B2484">
        <f>data!B2484</f>
        <v>2016</v>
      </c>
      <c r="C2484" t="str">
        <f>data!C2484</f>
        <v>084</v>
      </c>
      <c r="D2484" t="str">
        <f>data!D2484</f>
        <v>VIGNOBLE CASTELMAURE</v>
      </c>
      <c r="E2484" t="str">
        <f>data!E2484</f>
        <v>084041</v>
      </c>
      <c r="F2484" t="str">
        <f>data!F2484</f>
        <v>AOP CORBIERES ROSE AGRICOLE</v>
      </c>
      <c r="G2484" s="10">
        <f>data!G2484</f>
        <v>66</v>
      </c>
      <c r="H2484" s="10">
        <f>data!I2484</f>
        <v>0</v>
      </c>
      <c r="I2484" s="10">
        <f t="shared" si="152"/>
        <v>66</v>
      </c>
      <c r="J2484" s="11">
        <f>data!H2484</f>
        <v>24</v>
      </c>
      <c r="K2484" s="11">
        <f>data!J2484</f>
        <v>0</v>
      </c>
      <c r="L2484" s="11">
        <f t="shared" si="153"/>
        <v>24</v>
      </c>
      <c r="M2484" s="9" t="str">
        <f t="shared" si="154"/>
        <v/>
      </c>
      <c r="N2484" s="9" t="str">
        <f t="shared" si="155"/>
        <v/>
      </c>
    </row>
    <row r="2485" spans="1:14" x14ac:dyDescent="0.25">
      <c r="A2485" t="str">
        <f>TEXT("1/"&amp;data!A2485,"mmmm")</f>
        <v>septembre</v>
      </c>
      <c r="B2485">
        <f>data!B2485</f>
        <v>2016</v>
      </c>
      <c r="C2485" t="str">
        <f>data!C2485</f>
        <v>084</v>
      </c>
      <c r="D2485" t="str">
        <f>data!D2485</f>
        <v>VIGNOBLE CASTELMAURE</v>
      </c>
      <c r="E2485" t="str">
        <f>data!E2485</f>
        <v>084050</v>
      </c>
      <c r="F2485" t="str">
        <f>data!F2485</f>
        <v>AOP CORBIERES "MAUVAISE REPUTATION"</v>
      </c>
      <c r="G2485" s="10">
        <f>data!G2485</f>
        <v>252</v>
      </c>
      <c r="H2485" s="10">
        <f>data!I2485</f>
        <v>0</v>
      </c>
      <c r="I2485" s="10">
        <f t="shared" si="152"/>
        <v>252</v>
      </c>
      <c r="J2485" s="11">
        <f>data!H2485</f>
        <v>24</v>
      </c>
      <c r="K2485" s="11">
        <f>data!J2485</f>
        <v>0</v>
      </c>
      <c r="L2485" s="11">
        <f t="shared" si="153"/>
        <v>24</v>
      </c>
      <c r="M2485" s="9" t="str">
        <f t="shared" si="154"/>
        <v/>
      </c>
      <c r="N2485" s="9" t="str">
        <f t="shared" si="155"/>
        <v/>
      </c>
    </row>
    <row r="2486" spans="1:14" x14ac:dyDescent="0.25">
      <c r="A2486" t="str">
        <f>TEXT("1/"&amp;data!A2486,"mmmm")</f>
        <v>septembre</v>
      </c>
      <c r="B2486">
        <f>data!B2486</f>
        <v>2016</v>
      </c>
      <c r="C2486" t="str">
        <f>data!C2486</f>
        <v>084</v>
      </c>
      <c r="D2486" t="str">
        <f>data!D2486</f>
        <v>VIGNOBLE CASTELMAURE</v>
      </c>
      <c r="E2486" t="str">
        <f>data!E2486</f>
        <v>084100</v>
      </c>
      <c r="F2486" t="str">
        <f>data!F2486</f>
        <v>AOP CORBIERES LA TETE DANS LES ETOILES</v>
      </c>
      <c r="G2486" s="10">
        <f>data!G2486</f>
        <v>822.48</v>
      </c>
      <c r="H2486" s="10">
        <f>data!I2486</f>
        <v>0</v>
      </c>
      <c r="I2486" s="10">
        <f t="shared" si="152"/>
        <v>822.48</v>
      </c>
      <c r="J2486" s="11">
        <f>data!H2486</f>
        <v>276</v>
      </c>
      <c r="K2486" s="11">
        <f>data!J2486</f>
        <v>0</v>
      </c>
      <c r="L2486" s="11">
        <f t="shared" si="153"/>
        <v>276</v>
      </c>
      <c r="M2486" s="9" t="str">
        <f t="shared" si="154"/>
        <v/>
      </c>
      <c r="N2486" s="9" t="str">
        <f t="shared" si="155"/>
        <v/>
      </c>
    </row>
    <row r="2487" spans="1:14" x14ac:dyDescent="0.25">
      <c r="A2487" t="str">
        <f>TEXT("1/"&amp;data!A2487,"mmmm")</f>
        <v>septembre</v>
      </c>
      <c r="B2487">
        <f>data!B2487</f>
        <v>2016</v>
      </c>
      <c r="C2487" t="str">
        <f>data!C2487</f>
        <v>084</v>
      </c>
      <c r="D2487" t="str">
        <f>data!D2487</f>
        <v>VIGNOBLE CASTELMAURE</v>
      </c>
      <c r="E2487" t="str">
        <f>data!E2487</f>
        <v>084101</v>
      </c>
      <c r="F2487" t="str">
        <f>data!F2487</f>
        <v>AOP CORBIERES LA TETE DANS LES ETOILES</v>
      </c>
      <c r="G2487" s="10">
        <f>data!G2487</f>
        <v>107.28</v>
      </c>
      <c r="H2487" s="10">
        <f>data!I2487</f>
        <v>0</v>
      </c>
      <c r="I2487" s="10">
        <f t="shared" si="152"/>
        <v>107.28</v>
      </c>
      <c r="J2487" s="11">
        <f>data!H2487</f>
        <v>36</v>
      </c>
      <c r="K2487" s="11">
        <f>data!J2487</f>
        <v>0</v>
      </c>
      <c r="L2487" s="11">
        <f t="shared" si="153"/>
        <v>36</v>
      </c>
      <c r="M2487" s="9" t="str">
        <f t="shared" si="154"/>
        <v/>
      </c>
      <c r="N2487" s="9" t="str">
        <f t="shared" si="155"/>
        <v/>
      </c>
    </row>
    <row r="2488" spans="1:14" x14ac:dyDescent="0.25">
      <c r="A2488" t="str">
        <f>TEXT("1/"&amp;data!A2488,"mmmm")</f>
        <v>septembre</v>
      </c>
      <c r="B2488">
        <f>data!B2488</f>
        <v>2016</v>
      </c>
      <c r="C2488" t="str">
        <f>data!C2488</f>
        <v>084</v>
      </c>
      <c r="D2488" t="str">
        <f>data!D2488</f>
        <v>VIGNOBLE CASTELMAURE</v>
      </c>
      <c r="E2488" t="str">
        <f>data!E2488</f>
        <v>084102</v>
      </c>
      <c r="F2488" t="str">
        <f>data!F2488</f>
        <v>AOP CORBIERES LES PIEDS DANS LA TERRE</v>
      </c>
      <c r="G2488" s="10">
        <f>data!G2488</f>
        <v>1385.8</v>
      </c>
      <c r="H2488" s="10">
        <f>data!I2488</f>
        <v>0</v>
      </c>
      <c r="I2488" s="10">
        <f t="shared" si="152"/>
        <v>1385.8</v>
      </c>
      <c r="J2488" s="11">
        <f>data!H2488</f>
        <v>342</v>
      </c>
      <c r="K2488" s="11">
        <f>data!J2488</f>
        <v>0</v>
      </c>
      <c r="L2488" s="11">
        <f t="shared" si="153"/>
        <v>342</v>
      </c>
      <c r="M2488" s="9" t="str">
        <f t="shared" si="154"/>
        <v/>
      </c>
      <c r="N2488" s="9" t="str">
        <f t="shared" si="155"/>
        <v/>
      </c>
    </row>
    <row r="2489" spans="1:14" x14ac:dyDescent="0.25">
      <c r="A2489" t="str">
        <f>TEXT("1/"&amp;data!A2489,"mmmm")</f>
        <v>septembre</v>
      </c>
      <c r="B2489">
        <f>data!B2489</f>
        <v>2016</v>
      </c>
      <c r="C2489" t="str">
        <f>data!C2489</f>
        <v>084</v>
      </c>
      <c r="D2489" t="str">
        <f>data!D2489</f>
        <v>VIGNOBLE CASTELMAURE</v>
      </c>
      <c r="E2489" t="str">
        <f>data!E2489</f>
        <v>084103</v>
      </c>
      <c r="F2489" t="str">
        <f>data!F2489</f>
        <v>AOP CORBIERES LES PIEDS DANS LA TERRE</v>
      </c>
      <c r="G2489" s="10">
        <f>data!G2489</f>
        <v>147.6</v>
      </c>
      <c r="H2489" s="10">
        <f>data!I2489</f>
        <v>0</v>
      </c>
      <c r="I2489" s="10">
        <f t="shared" si="152"/>
        <v>147.6</v>
      </c>
      <c r="J2489" s="11">
        <f>data!H2489</f>
        <v>36</v>
      </c>
      <c r="K2489" s="11">
        <f>data!J2489</f>
        <v>0</v>
      </c>
      <c r="L2489" s="11">
        <f t="shared" si="153"/>
        <v>36</v>
      </c>
      <c r="M2489" s="9" t="str">
        <f t="shared" si="154"/>
        <v/>
      </c>
      <c r="N2489" s="9" t="str">
        <f t="shared" si="155"/>
        <v/>
      </c>
    </row>
    <row r="2490" spans="1:14" x14ac:dyDescent="0.25">
      <c r="A2490" t="str">
        <f>TEXT("1/"&amp;data!A2490,"mmmm")</f>
        <v>septembre</v>
      </c>
      <c r="B2490">
        <f>data!B2490</f>
        <v>2016</v>
      </c>
      <c r="C2490" t="str">
        <f>data!C2490</f>
        <v>086B</v>
      </c>
      <c r="D2490" t="str">
        <f>data!D2490</f>
        <v>PRODIFFU - TERRE DE VIGNERONS</v>
      </c>
      <c r="E2490" t="str">
        <f>data!E2490</f>
        <v>086001P</v>
      </c>
      <c r="F2490" t="str">
        <f>data!F2490</f>
        <v>AC C.DE DURAS BERTICOT</v>
      </c>
      <c r="G2490" s="10">
        <f>data!G2490</f>
        <v>89.85</v>
      </c>
      <c r="H2490" s="10">
        <f>data!I2490</f>
        <v>251.85</v>
      </c>
      <c r="I2490" s="10">
        <f t="shared" si="152"/>
        <v>-162</v>
      </c>
      <c r="J2490" s="11">
        <f>data!H2490</f>
        <v>66.650000000000006</v>
      </c>
      <c r="K2490" s="11">
        <f>data!J2490</f>
        <v>199.95</v>
      </c>
      <c r="L2490" s="11">
        <f t="shared" si="153"/>
        <v>-133.29999999999998</v>
      </c>
      <c r="M2490" s="9">
        <f t="shared" si="154"/>
        <v>-0.6432400238237046</v>
      </c>
      <c r="N2490" s="9">
        <f t="shared" si="155"/>
        <v>-0.66666666666666663</v>
      </c>
    </row>
    <row r="2491" spans="1:14" x14ac:dyDescent="0.25">
      <c r="A2491" t="str">
        <f>TEXT("1/"&amp;data!A2491,"mmmm")</f>
        <v>septembre</v>
      </c>
      <c r="B2491">
        <f>data!B2491</f>
        <v>2016</v>
      </c>
      <c r="C2491" t="str">
        <f>data!C2491</f>
        <v>086B</v>
      </c>
      <c r="D2491" t="str">
        <f>data!D2491</f>
        <v>PRODIFFU - TERRE DE VIGNERONS</v>
      </c>
      <c r="E2491" t="str">
        <f>data!E2491</f>
        <v>086002P</v>
      </c>
      <c r="F2491" t="str">
        <f>data!F2491</f>
        <v>AC C.DE DURAS BERTICOT</v>
      </c>
      <c r="G2491" s="10">
        <f>data!G2491</f>
        <v>59.46</v>
      </c>
      <c r="H2491" s="10">
        <f>data!I2491</f>
        <v>148.16</v>
      </c>
      <c r="I2491" s="10">
        <f t="shared" si="152"/>
        <v>-88.699999999999989</v>
      </c>
      <c r="J2491" s="11">
        <f>data!H2491</f>
        <v>46.69</v>
      </c>
      <c r="K2491" s="11">
        <f>data!J2491</f>
        <v>106.72</v>
      </c>
      <c r="L2491" s="11">
        <f t="shared" si="153"/>
        <v>-60.03</v>
      </c>
      <c r="M2491" s="9">
        <f t="shared" si="154"/>
        <v>-0.59867710583153344</v>
      </c>
      <c r="N2491" s="9">
        <f t="shared" si="155"/>
        <v>-0.5625</v>
      </c>
    </row>
    <row r="2492" spans="1:14" x14ac:dyDescent="0.25">
      <c r="A2492" t="str">
        <f>TEXT("1/"&amp;data!A2492,"mmmm")</f>
        <v>septembre</v>
      </c>
      <c r="B2492">
        <f>data!B2492</f>
        <v>2016</v>
      </c>
      <c r="C2492" t="str">
        <f>data!C2492</f>
        <v>086B</v>
      </c>
      <c r="D2492" t="str">
        <f>data!D2492</f>
        <v>PRODIFFU - TERRE DE VIGNERONS</v>
      </c>
      <c r="E2492" t="str">
        <f>data!E2492</f>
        <v>086011P</v>
      </c>
      <c r="F2492" t="str">
        <f>data!F2492</f>
        <v>AC C.DE DURAS BERTICOT</v>
      </c>
      <c r="G2492" s="10">
        <f>data!G2492</f>
        <v>251.58</v>
      </c>
      <c r="H2492" s="10">
        <f>data!I2492</f>
        <v>235.06</v>
      </c>
      <c r="I2492" s="10">
        <f t="shared" si="152"/>
        <v>16.52000000000001</v>
      </c>
      <c r="J2492" s="11">
        <f>data!H2492</f>
        <v>186.62</v>
      </c>
      <c r="K2492" s="11">
        <f>data!J2492</f>
        <v>186.62</v>
      </c>
      <c r="L2492" s="11">
        <f t="shared" si="153"/>
        <v>0</v>
      </c>
      <c r="M2492" s="9">
        <f t="shared" si="154"/>
        <v>7.0279928528886287E-2</v>
      </c>
      <c r="N2492" s="9">
        <f t="shared" si="155"/>
        <v>0</v>
      </c>
    </row>
    <row r="2493" spans="1:14" x14ac:dyDescent="0.25">
      <c r="A2493" t="str">
        <f>TEXT("1/"&amp;data!A2493,"mmmm")</f>
        <v>septembre</v>
      </c>
      <c r="B2493">
        <f>data!B2493</f>
        <v>2016</v>
      </c>
      <c r="C2493" t="str">
        <f>data!C2493</f>
        <v>086B</v>
      </c>
      <c r="D2493" t="str">
        <f>data!D2493</f>
        <v>PRODIFFU - TERRE DE VIGNERONS</v>
      </c>
      <c r="E2493" t="str">
        <f>data!E2493</f>
        <v>086012P</v>
      </c>
      <c r="F2493" t="str">
        <f>data!F2493</f>
        <v>AC C.DE DURAS BERTICOT</v>
      </c>
      <c r="G2493" s="10">
        <f>data!G2493</f>
        <v>227.93</v>
      </c>
      <c r="H2493" s="10">
        <f>data!I2493</f>
        <v>212.98</v>
      </c>
      <c r="I2493" s="10">
        <f t="shared" si="152"/>
        <v>14.950000000000017</v>
      </c>
      <c r="J2493" s="11">
        <f>data!H2493</f>
        <v>153.41</v>
      </c>
      <c r="K2493" s="11">
        <f>data!J2493</f>
        <v>160.07999999999998</v>
      </c>
      <c r="L2493" s="11">
        <f t="shared" si="153"/>
        <v>-6.6699999999999875</v>
      </c>
      <c r="M2493" s="9">
        <f t="shared" si="154"/>
        <v>7.019438444924414E-2</v>
      </c>
      <c r="N2493" s="9">
        <f t="shared" si="155"/>
        <v>-4.1666666666666595E-2</v>
      </c>
    </row>
    <row r="2494" spans="1:14" x14ac:dyDescent="0.25">
      <c r="A2494" t="str">
        <f>TEXT("1/"&amp;data!A2494,"mmmm")</f>
        <v>septembre</v>
      </c>
      <c r="B2494">
        <f>data!B2494</f>
        <v>2016</v>
      </c>
      <c r="C2494" t="str">
        <f>data!C2494</f>
        <v>088</v>
      </c>
      <c r="D2494" t="str">
        <f>data!D2494</f>
        <v>MR PORTIER</v>
      </c>
      <c r="E2494" t="str">
        <f>data!E2494</f>
        <v>088001</v>
      </c>
      <c r="F2494" t="str">
        <f>data!F2494</f>
        <v>DOMAINE PORTIER AC QUINCY</v>
      </c>
      <c r="G2494" s="10">
        <f>data!G2494</f>
        <v>250.56</v>
      </c>
      <c r="H2494" s="10">
        <f>data!I2494</f>
        <v>0</v>
      </c>
      <c r="I2494" s="10">
        <f t="shared" si="152"/>
        <v>250.56</v>
      </c>
      <c r="J2494" s="11">
        <f>data!H2494</f>
        <v>36</v>
      </c>
      <c r="K2494" s="11">
        <f>data!J2494</f>
        <v>0</v>
      </c>
      <c r="L2494" s="11">
        <f t="shared" si="153"/>
        <v>36</v>
      </c>
      <c r="M2494" s="9" t="str">
        <f t="shared" si="154"/>
        <v/>
      </c>
      <c r="N2494" s="9" t="str">
        <f t="shared" si="155"/>
        <v/>
      </c>
    </row>
    <row r="2495" spans="1:14" x14ac:dyDescent="0.25">
      <c r="A2495" t="str">
        <f>TEXT("1/"&amp;data!A2495,"mmmm")</f>
        <v>septembre</v>
      </c>
      <c r="B2495">
        <f>data!B2495</f>
        <v>2016</v>
      </c>
      <c r="C2495" t="str">
        <f>data!C2495</f>
        <v>089</v>
      </c>
      <c r="D2495" t="str">
        <f>data!D2495</f>
        <v>DOMAINE DE LA PALEINE</v>
      </c>
      <c r="E2495" t="str">
        <f>data!E2495</f>
        <v>089002</v>
      </c>
      <c r="F2495" t="str">
        <f>data!F2495</f>
        <v>AC SAUMUR C.DU PRINTEMPS LA PALEINE</v>
      </c>
      <c r="G2495" s="10">
        <f>data!G2495</f>
        <v>941.7</v>
      </c>
      <c r="H2495" s="10">
        <f>data!I2495</f>
        <v>149.1</v>
      </c>
      <c r="I2495" s="10">
        <f t="shared" si="152"/>
        <v>792.6</v>
      </c>
      <c r="J2495" s="11">
        <f>data!H2495</f>
        <v>258</v>
      </c>
      <c r="K2495" s="11">
        <f>data!J2495</f>
        <v>42</v>
      </c>
      <c r="L2495" s="11">
        <f t="shared" si="153"/>
        <v>216</v>
      </c>
      <c r="M2495" s="9">
        <f t="shared" si="154"/>
        <v>5.3158953722334008</v>
      </c>
      <c r="N2495" s="9">
        <f t="shared" si="155"/>
        <v>5.1428571428571432</v>
      </c>
    </row>
    <row r="2496" spans="1:14" x14ac:dyDescent="0.25">
      <c r="A2496" t="str">
        <f>TEXT("1/"&amp;data!A2496,"mmmm")</f>
        <v>septembre</v>
      </c>
      <c r="B2496">
        <f>data!B2496</f>
        <v>2016</v>
      </c>
      <c r="C2496" t="str">
        <f>data!C2496</f>
        <v>089</v>
      </c>
      <c r="D2496" t="str">
        <f>data!D2496</f>
        <v>DOMAINE DE LA PALEINE</v>
      </c>
      <c r="E2496" t="str">
        <f>data!E2496</f>
        <v>089010</v>
      </c>
      <c r="F2496" t="str">
        <f>data!F2496</f>
        <v>AC SAUMUR DLA PALEINE</v>
      </c>
      <c r="G2496" s="10">
        <f>data!G2496</f>
        <v>466.2</v>
      </c>
      <c r="H2496" s="10">
        <f>data!I2496</f>
        <v>0</v>
      </c>
      <c r="I2496" s="10">
        <f t="shared" si="152"/>
        <v>466.2</v>
      </c>
      <c r="J2496" s="11">
        <f>data!H2496</f>
        <v>126</v>
      </c>
      <c r="K2496" s="11">
        <f>data!J2496</f>
        <v>0</v>
      </c>
      <c r="L2496" s="11">
        <f t="shared" si="153"/>
        <v>126</v>
      </c>
      <c r="M2496" s="9" t="str">
        <f t="shared" si="154"/>
        <v/>
      </c>
      <c r="N2496" s="9" t="str">
        <f t="shared" si="155"/>
        <v/>
      </c>
    </row>
    <row r="2497" spans="1:14" x14ac:dyDescent="0.25">
      <c r="A2497" t="str">
        <f>TEXT("1/"&amp;data!A2497,"mmmm")</f>
        <v>septembre</v>
      </c>
      <c r="B2497">
        <f>data!B2497</f>
        <v>2016</v>
      </c>
      <c r="C2497" t="str">
        <f>data!C2497</f>
        <v>089</v>
      </c>
      <c r="D2497" t="str">
        <f>data!D2497</f>
        <v>DOMAINE DE LA PALEINE</v>
      </c>
      <c r="E2497" t="str">
        <f>data!E2497</f>
        <v>089800</v>
      </c>
      <c r="F2497" t="str">
        <f>data!F2497</f>
        <v>AC SAUMUR BRUT D.DE LA PALEINE</v>
      </c>
      <c r="G2497" s="10">
        <f>data!G2497</f>
        <v>722.1</v>
      </c>
      <c r="H2497" s="10">
        <f>data!I2497</f>
        <v>24.6</v>
      </c>
      <c r="I2497" s="10">
        <f t="shared" si="152"/>
        <v>697.5</v>
      </c>
      <c r="J2497" s="11">
        <f>data!H2497</f>
        <v>174</v>
      </c>
      <c r="K2497" s="11">
        <f>data!J2497</f>
        <v>6</v>
      </c>
      <c r="L2497" s="11">
        <f t="shared" si="153"/>
        <v>168</v>
      </c>
      <c r="M2497" s="9">
        <f t="shared" si="154"/>
        <v>28.353658536585364</v>
      </c>
      <c r="N2497" s="9">
        <f t="shared" si="155"/>
        <v>28</v>
      </c>
    </row>
    <row r="2498" spans="1:14" x14ac:dyDescent="0.25">
      <c r="A2498" t="str">
        <f>TEXT("1/"&amp;data!A2498,"mmmm")</f>
        <v>septembre</v>
      </c>
      <c r="B2498">
        <f>data!B2498</f>
        <v>2016</v>
      </c>
      <c r="C2498" t="str">
        <f>data!C2498</f>
        <v>089</v>
      </c>
      <c r="D2498" t="str">
        <f>data!D2498</f>
        <v>DOMAINE DE LA PALEINE</v>
      </c>
      <c r="E2498" t="str">
        <f>data!E2498</f>
        <v>089900</v>
      </c>
      <c r="F2498" t="str">
        <f>data!F2498</f>
        <v>AC SAUMUR RESERVE D.LA PALEINE</v>
      </c>
      <c r="G2498" s="10">
        <f>data!G2498</f>
        <v>1211.25</v>
      </c>
      <c r="H2498" s="10">
        <f>data!I2498</f>
        <v>243</v>
      </c>
      <c r="I2498" s="10">
        <f t="shared" si="152"/>
        <v>968.25</v>
      </c>
      <c r="J2498" s="11">
        <f>data!H2498</f>
        <v>759.81000000000006</v>
      </c>
      <c r="K2498" s="11">
        <f>data!J2498</f>
        <v>159.96</v>
      </c>
      <c r="L2498" s="11">
        <f t="shared" si="153"/>
        <v>599.85</v>
      </c>
      <c r="M2498" s="9">
        <f t="shared" si="154"/>
        <v>3.9845679012345681</v>
      </c>
      <c r="N2498" s="9">
        <f t="shared" si="155"/>
        <v>3.75</v>
      </c>
    </row>
    <row r="2499" spans="1:14" x14ac:dyDescent="0.25">
      <c r="A2499" t="str">
        <f>TEXT("1/"&amp;data!A2499,"mmmm")</f>
        <v>septembre</v>
      </c>
      <c r="B2499">
        <f>data!B2499</f>
        <v>2016</v>
      </c>
      <c r="C2499" t="str">
        <f>data!C2499</f>
        <v>089</v>
      </c>
      <c r="D2499" t="str">
        <f>data!D2499</f>
        <v>DOMAINE DE LA PALEINE</v>
      </c>
      <c r="E2499" t="str">
        <f>data!E2499</f>
        <v>089901</v>
      </c>
      <c r="F2499" t="str">
        <f>data!F2499</f>
        <v>AC SAUMUR D.LA PALEINE</v>
      </c>
      <c r="G2499" s="10">
        <f>data!G2499</f>
        <v>1491.6</v>
      </c>
      <c r="H2499" s="10">
        <f>data!I2499</f>
        <v>463.6</v>
      </c>
      <c r="I2499" s="10">
        <f t="shared" ref="I2499:I2562" si="156">G2499-H2499</f>
        <v>1028</v>
      </c>
      <c r="J2499" s="11">
        <f>data!H2499</f>
        <v>753.71</v>
      </c>
      <c r="K2499" s="11">
        <f>data!J2499</f>
        <v>253.46</v>
      </c>
      <c r="L2499" s="11">
        <f t="shared" ref="L2499:L2562" si="157">J2499-K2499</f>
        <v>500.25</v>
      </c>
      <c r="M2499" s="9">
        <f t="shared" ref="M2499:M2562" si="158">IF(ISERR(I2499/H2499),"",I2499/H2499)</f>
        <v>2.2174288179465056</v>
      </c>
      <c r="N2499" s="9">
        <f t="shared" ref="N2499:N2562" si="159">IF(ISERR(L2499/K2499),"",L2499/K2499)</f>
        <v>1.9736842105263157</v>
      </c>
    </row>
    <row r="2500" spans="1:14" x14ac:dyDescent="0.25">
      <c r="A2500" t="str">
        <f>TEXT("1/"&amp;data!A2500,"mmmm")</f>
        <v>septembre</v>
      </c>
      <c r="B2500">
        <f>data!B2500</f>
        <v>2016</v>
      </c>
      <c r="C2500" t="str">
        <f>data!C2500</f>
        <v>089</v>
      </c>
      <c r="D2500" t="str">
        <f>data!D2500</f>
        <v>DOMAINE DE LA PALEINE</v>
      </c>
      <c r="E2500" t="str">
        <f>data!E2500</f>
        <v>089903</v>
      </c>
      <c r="F2500" t="str">
        <f>data!F2500</f>
        <v>AC SAUMUR BRUT M.TRAD LA PALEINE</v>
      </c>
      <c r="G2500" s="10">
        <f>data!G2500</f>
        <v>5338.2</v>
      </c>
      <c r="H2500" s="10">
        <f>data!I2500</f>
        <v>607.5</v>
      </c>
      <c r="I2500" s="10">
        <f t="shared" si="156"/>
        <v>4730.7</v>
      </c>
      <c r="J2500" s="11">
        <f>data!H2500</f>
        <v>1302</v>
      </c>
      <c r="K2500" s="11">
        <f>data!J2500</f>
        <v>150</v>
      </c>
      <c r="L2500" s="11">
        <f t="shared" si="157"/>
        <v>1152</v>
      </c>
      <c r="M2500" s="9">
        <f t="shared" si="158"/>
        <v>7.7871604938271606</v>
      </c>
      <c r="N2500" s="9">
        <f t="shared" si="159"/>
        <v>7.68</v>
      </c>
    </row>
    <row r="2501" spans="1:14" x14ac:dyDescent="0.25">
      <c r="A2501" t="str">
        <f>TEXT("1/"&amp;data!A2501,"mmmm")</f>
        <v>septembre</v>
      </c>
      <c r="B2501">
        <f>data!B2501</f>
        <v>2016</v>
      </c>
      <c r="C2501" t="str">
        <f>data!C2501</f>
        <v>094</v>
      </c>
      <c r="D2501" t="str">
        <f>data!D2501</f>
        <v>CHATEAU TOUR GRANINS-GRAND POUJEAUX</v>
      </c>
      <c r="E2501" t="str">
        <f>data!E2501</f>
        <v>094001</v>
      </c>
      <c r="F2501" t="str">
        <f>data!F2501</f>
        <v>AC MOULIS EN MEDOC TOUR GRANINS GD-POUJEAUX</v>
      </c>
      <c r="G2501" s="10">
        <f>data!G2501</f>
        <v>922.2</v>
      </c>
      <c r="H2501" s="10">
        <f>data!I2501</f>
        <v>0</v>
      </c>
      <c r="I2501" s="10">
        <f t="shared" si="156"/>
        <v>922.2</v>
      </c>
      <c r="J2501" s="11">
        <f>data!H2501</f>
        <v>174</v>
      </c>
      <c r="K2501" s="11">
        <f>data!J2501</f>
        <v>0</v>
      </c>
      <c r="L2501" s="11">
        <f t="shared" si="157"/>
        <v>174</v>
      </c>
      <c r="M2501" s="9" t="str">
        <f t="shared" si="158"/>
        <v/>
      </c>
      <c r="N2501" s="9" t="str">
        <f t="shared" si="159"/>
        <v/>
      </c>
    </row>
    <row r="2502" spans="1:14" x14ac:dyDescent="0.25">
      <c r="A2502" t="str">
        <f>TEXT("1/"&amp;data!A2502,"mmmm")</f>
        <v>septembre</v>
      </c>
      <c r="B2502">
        <f>data!B2502</f>
        <v>2016</v>
      </c>
      <c r="C2502" t="str">
        <f>data!C2502</f>
        <v>094</v>
      </c>
      <c r="D2502" t="str">
        <f>data!D2502</f>
        <v>CHATEAU TOUR GRANINS-GRAND POUJEAUX</v>
      </c>
      <c r="E2502" t="str">
        <f>data!E2502</f>
        <v>094003</v>
      </c>
      <c r="F2502" t="str">
        <f>data!F2502</f>
        <v>AC MOULIS EN MEDOC GD POUJEAUX</v>
      </c>
      <c r="G2502" s="10">
        <f>data!G2502</f>
        <v>203.4</v>
      </c>
      <c r="H2502" s="10">
        <f>data!I2502</f>
        <v>0</v>
      </c>
      <c r="I2502" s="10">
        <f t="shared" si="156"/>
        <v>203.4</v>
      </c>
      <c r="J2502" s="11">
        <f>data!H2502</f>
        <v>36</v>
      </c>
      <c r="K2502" s="11">
        <f>data!J2502</f>
        <v>0</v>
      </c>
      <c r="L2502" s="11">
        <f t="shared" si="157"/>
        <v>36</v>
      </c>
      <c r="M2502" s="9" t="str">
        <f t="shared" si="158"/>
        <v/>
      </c>
      <c r="N2502" s="9" t="str">
        <f t="shared" si="159"/>
        <v/>
      </c>
    </row>
    <row r="2503" spans="1:14" x14ac:dyDescent="0.25">
      <c r="A2503" t="str">
        <f>TEXT("1/"&amp;data!A2503,"mmmm")</f>
        <v>septembre</v>
      </c>
      <c r="B2503">
        <f>data!B2503</f>
        <v>2016</v>
      </c>
      <c r="C2503" t="str">
        <f>data!C2503</f>
        <v>094</v>
      </c>
      <c r="D2503" t="str">
        <f>data!D2503</f>
        <v>CHATEAU TOUR GRANINS-GRAND POUJEAUX</v>
      </c>
      <c r="E2503" t="str">
        <f>data!E2503</f>
        <v>094004</v>
      </c>
      <c r="F2503" t="str">
        <f>data!F2503</f>
        <v>AOP MOULIS EN MEDOC CH GRANINS GD POUJEAUX</v>
      </c>
      <c r="G2503" s="10">
        <f>data!G2503</f>
        <v>572.4</v>
      </c>
      <c r="H2503" s="10">
        <f>data!I2503</f>
        <v>0</v>
      </c>
      <c r="I2503" s="10">
        <f t="shared" si="156"/>
        <v>572.4</v>
      </c>
      <c r="J2503" s="11">
        <f>data!H2503</f>
        <v>72</v>
      </c>
      <c r="K2503" s="11">
        <f>data!J2503</f>
        <v>0</v>
      </c>
      <c r="L2503" s="11">
        <f t="shared" si="157"/>
        <v>72</v>
      </c>
      <c r="M2503" s="9" t="str">
        <f t="shared" si="158"/>
        <v/>
      </c>
      <c r="N2503" s="9" t="str">
        <f t="shared" si="159"/>
        <v/>
      </c>
    </row>
    <row r="2504" spans="1:14" x14ac:dyDescent="0.25">
      <c r="A2504" t="str">
        <f>TEXT("1/"&amp;data!A2504,"mmmm")</f>
        <v>septembre</v>
      </c>
      <c r="B2504">
        <f>data!B2504</f>
        <v>2016</v>
      </c>
      <c r="C2504" t="str">
        <f>data!C2504</f>
        <v>095</v>
      </c>
      <c r="D2504" t="str">
        <f>data!D2504</f>
        <v>MR FILLON</v>
      </c>
      <c r="E2504" t="str">
        <f>data!E2504</f>
        <v>095001</v>
      </c>
      <c r="F2504" t="str">
        <f>data!F2504</f>
        <v>AC BOURG ALIG D.FILLON</v>
      </c>
      <c r="G2504" s="10">
        <f>data!G2504</f>
        <v>1198.8</v>
      </c>
      <c r="H2504" s="10">
        <f>data!I2504</f>
        <v>1176.5999999999999</v>
      </c>
      <c r="I2504" s="10">
        <f t="shared" si="156"/>
        <v>22.200000000000045</v>
      </c>
      <c r="J2504" s="11">
        <f>data!H2504</f>
        <v>324</v>
      </c>
      <c r="K2504" s="11">
        <f>data!J2504</f>
        <v>318</v>
      </c>
      <c r="L2504" s="11">
        <f t="shared" si="157"/>
        <v>6</v>
      </c>
      <c r="M2504" s="9">
        <f t="shared" si="158"/>
        <v>1.8867924528301928E-2</v>
      </c>
      <c r="N2504" s="9">
        <f t="shared" si="159"/>
        <v>1.8867924528301886E-2</v>
      </c>
    </row>
    <row r="2505" spans="1:14" x14ac:dyDescent="0.25">
      <c r="A2505" t="str">
        <f>TEXT("1/"&amp;data!A2505,"mmmm")</f>
        <v>septembre</v>
      </c>
      <c r="B2505">
        <f>data!B2505</f>
        <v>2016</v>
      </c>
      <c r="C2505" t="str">
        <f>data!C2505</f>
        <v>095</v>
      </c>
      <c r="D2505" t="str">
        <f>data!D2505</f>
        <v>MR FILLON</v>
      </c>
      <c r="E2505" t="str">
        <f>data!E2505</f>
        <v>095002</v>
      </c>
      <c r="F2505" t="str">
        <f>data!F2505</f>
        <v>AC BOURG ALIG D.FILLON</v>
      </c>
      <c r="G2505" s="10">
        <f>data!G2505</f>
        <v>132</v>
      </c>
      <c r="H2505" s="10">
        <f>data!I2505</f>
        <v>0</v>
      </c>
      <c r="I2505" s="10">
        <f t="shared" si="156"/>
        <v>132</v>
      </c>
      <c r="J2505" s="11">
        <f>data!H2505</f>
        <v>30</v>
      </c>
      <c r="K2505" s="11">
        <f>data!J2505</f>
        <v>0</v>
      </c>
      <c r="L2505" s="11">
        <f t="shared" si="157"/>
        <v>30</v>
      </c>
      <c r="M2505" s="9" t="str">
        <f t="shared" si="158"/>
        <v/>
      </c>
      <c r="N2505" s="9" t="str">
        <f t="shared" si="159"/>
        <v/>
      </c>
    </row>
    <row r="2506" spans="1:14" x14ac:dyDescent="0.25">
      <c r="A2506" t="str">
        <f>TEXT("1/"&amp;data!A2506,"mmmm")</f>
        <v>septembre</v>
      </c>
      <c r="B2506">
        <f>data!B2506</f>
        <v>2016</v>
      </c>
      <c r="C2506" t="str">
        <f>data!C2506</f>
        <v>095</v>
      </c>
      <c r="D2506" t="str">
        <f>data!D2506</f>
        <v>MR FILLON</v>
      </c>
      <c r="E2506" t="str">
        <f>data!E2506</f>
        <v>095004</v>
      </c>
      <c r="F2506" t="str">
        <f>data!F2506</f>
        <v>DOM FILLON  BOURGOGNE CHARDONNAY</v>
      </c>
      <c r="G2506" s="10">
        <f>data!G2506</f>
        <v>0</v>
      </c>
      <c r="H2506" s="10">
        <f>data!I2506</f>
        <v>0</v>
      </c>
      <c r="I2506" s="10">
        <f t="shared" si="156"/>
        <v>0</v>
      </c>
      <c r="J2506" s="11">
        <f>data!H2506</f>
        <v>18</v>
      </c>
      <c r="K2506" s="11">
        <f>data!J2506</f>
        <v>0</v>
      </c>
      <c r="L2506" s="11">
        <f t="shared" si="157"/>
        <v>18</v>
      </c>
      <c r="M2506" s="9" t="str">
        <f t="shared" si="158"/>
        <v/>
      </c>
      <c r="N2506" s="9" t="str">
        <f t="shared" si="159"/>
        <v/>
      </c>
    </row>
    <row r="2507" spans="1:14" x14ac:dyDescent="0.25">
      <c r="A2507" t="str">
        <f>TEXT("1/"&amp;data!A2507,"mmmm")</f>
        <v>septembre</v>
      </c>
      <c r="B2507">
        <f>data!B2507</f>
        <v>2016</v>
      </c>
      <c r="C2507" t="str">
        <f>data!C2507</f>
        <v>095</v>
      </c>
      <c r="D2507" t="str">
        <f>data!D2507</f>
        <v>MR FILLON</v>
      </c>
      <c r="E2507" t="str">
        <f>data!E2507</f>
        <v>095005</v>
      </c>
      <c r="F2507" t="str">
        <f>data!F2507</f>
        <v>DOM FILLON AC SAUVIGNON DE ST BRIS</v>
      </c>
      <c r="G2507" s="10">
        <f>data!G2507</f>
        <v>46.8</v>
      </c>
      <c r="H2507" s="10">
        <f>data!I2507</f>
        <v>140.4</v>
      </c>
      <c r="I2507" s="10">
        <f t="shared" si="156"/>
        <v>-93.600000000000009</v>
      </c>
      <c r="J2507" s="11">
        <f>data!H2507</f>
        <v>12</v>
      </c>
      <c r="K2507" s="11">
        <f>data!J2507</f>
        <v>36</v>
      </c>
      <c r="L2507" s="11">
        <f t="shared" si="157"/>
        <v>-24</v>
      </c>
      <c r="M2507" s="9">
        <f t="shared" si="158"/>
        <v>-0.66666666666666674</v>
      </c>
      <c r="N2507" s="9">
        <f t="shared" si="159"/>
        <v>-0.66666666666666663</v>
      </c>
    </row>
    <row r="2508" spans="1:14" x14ac:dyDescent="0.25">
      <c r="A2508" t="str">
        <f>TEXT("1/"&amp;data!A2508,"mmmm")</f>
        <v>septembre</v>
      </c>
      <c r="B2508">
        <f>data!B2508</f>
        <v>2016</v>
      </c>
      <c r="C2508" t="str">
        <f>data!C2508</f>
        <v>095</v>
      </c>
      <c r="D2508" t="str">
        <f>data!D2508</f>
        <v>MR FILLON</v>
      </c>
      <c r="E2508" t="str">
        <f>data!E2508</f>
        <v>095008</v>
      </c>
      <c r="F2508" t="str">
        <f>data!F2508</f>
        <v>AC PETIT CHABLIS</v>
      </c>
      <c r="G2508" s="10">
        <f>data!G2508</f>
        <v>162</v>
      </c>
      <c r="H2508" s="10">
        <f>data!I2508</f>
        <v>0</v>
      </c>
      <c r="I2508" s="10">
        <f t="shared" si="156"/>
        <v>162</v>
      </c>
      <c r="J2508" s="11">
        <f>data!H2508</f>
        <v>30</v>
      </c>
      <c r="K2508" s="11">
        <f>data!J2508</f>
        <v>0</v>
      </c>
      <c r="L2508" s="11">
        <f t="shared" si="157"/>
        <v>30</v>
      </c>
      <c r="M2508" s="9" t="str">
        <f t="shared" si="158"/>
        <v/>
      </c>
      <c r="N2508" s="9" t="str">
        <f t="shared" si="159"/>
        <v/>
      </c>
    </row>
    <row r="2509" spans="1:14" x14ac:dyDescent="0.25">
      <c r="A2509" t="str">
        <f>TEXT("1/"&amp;data!A2509,"mmmm")</f>
        <v>septembre</v>
      </c>
      <c r="B2509">
        <f>data!B2509</f>
        <v>2016</v>
      </c>
      <c r="C2509" t="str">
        <f>data!C2509</f>
        <v>095</v>
      </c>
      <c r="D2509" t="str">
        <f>data!D2509</f>
        <v>MR FILLON</v>
      </c>
      <c r="E2509" t="str">
        <f>data!E2509</f>
        <v>095010</v>
      </c>
      <c r="F2509" t="str">
        <f>data!F2509</f>
        <v>DOM FILLON AC PETIT CHABLIS</v>
      </c>
      <c r="G2509" s="10">
        <f>data!G2509</f>
        <v>1264.8</v>
      </c>
      <c r="H2509" s="10">
        <f>data!I2509</f>
        <v>883.5</v>
      </c>
      <c r="I2509" s="10">
        <f t="shared" si="156"/>
        <v>381.29999999999995</v>
      </c>
      <c r="J2509" s="11">
        <f>data!H2509</f>
        <v>288</v>
      </c>
      <c r="K2509" s="11">
        <f>data!J2509</f>
        <v>204</v>
      </c>
      <c r="L2509" s="11">
        <f t="shared" si="157"/>
        <v>84</v>
      </c>
      <c r="M2509" s="9">
        <f t="shared" si="158"/>
        <v>0.43157894736842101</v>
      </c>
      <c r="N2509" s="9">
        <f t="shared" si="159"/>
        <v>0.41176470588235292</v>
      </c>
    </row>
    <row r="2510" spans="1:14" x14ac:dyDescent="0.25">
      <c r="A2510" t="str">
        <f>TEXT("1/"&amp;data!A2510,"mmmm")</f>
        <v>septembre</v>
      </c>
      <c r="B2510">
        <f>data!B2510</f>
        <v>2016</v>
      </c>
      <c r="C2510" t="str">
        <f>data!C2510</f>
        <v>095</v>
      </c>
      <c r="D2510" t="str">
        <f>data!D2510</f>
        <v>MR FILLON</v>
      </c>
      <c r="E2510" t="str">
        <f>data!E2510</f>
        <v>095012</v>
      </c>
      <c r="F2510" t="str">
        <f>data!F2510</f>
        <v>DOM FILLON AC CHABLIS</v>
      </c>
      <c r="G2510" s="10">
        <f>data!G2510</f>
        <v>756.4</v>
      </c>
      <c r="H2510" s="10">
        <f>data!I2510</f>
        <v>545.6</v>
      </c>
      <c r="I2510" s="10">
        <f t="shared" si="156"/>
        <v>210.79999999999995</v>
      </c>
      <c r="J2510" s="11">
        <f>data!H2510</f>
        <v>132</v>
      </c>
      <c r="K2510" s="11">
        <f>data!J2510</f>
        <v>102</v>
      </c>
      <c r="L2510" s="11">
        <f t="shared" si="157"/>
        <v>30</v>
      </c>
      <c r="M2510" s="9">
        <f t="shared" si="158"/>
        <v>0.38636363636363624</v>
      </c>
      <c r="N2510" s="9">
        <f t="shared" si="159"/>
        <v>0.29411764705882354</v>
      </c>
    </row>
    <row r="2511" spans="1:14" x14ac:dyDescent="0.25">
      <c r="A2511" t="str">
        <f>TEXT("1/"&amp;data!A2511,"mmmm")</f>
        <v>septembre</v>
      </c>
      <c r="B2511">
        <f>data!B2511</f>
        <v>2016</v>
      </c>
      <c r="C2511" t="str">
        <f>data!C2511</f>
        <v>095</v>
      </c>
      <c r="D2511" t="str">
        <f>data!D2511</f>
        <v>MR FILLON</v>
      </c>
      <c r="E2511" t="str">
        <f>data!E2511</f>
        <v>095016</v>
      </c>
      <c r="F2511" t="str">
        <f>data!F2511</f>
        <v>DOM FILLON AC CHABLIS 1ER CRU "BEAUREGARD"</v>
      </c>
      <c r="G2511" s="10">
        <f>data!G2511</f>
        <v>52.2</v>
      </c>
      <c r="H2511" s="10">
        <f>data!I2511</f>
        <v>365.4</v>
      </c>
      <c r="I2511" s="10">
        <f t="shared" si="156"/>
        <v>-313.2</v>
      </c>
      <c r="J2511" s="11">
        <f>data!H2511</f>
        <v>6</v>
      </c>
      <c r="K2511" s="11">
        <f>data!J2511</f>
        <v>42</v>
      </c>
      <c r="L2511" s="11">
        <f t="shared" si="157"/>
        <v>-36</v>
      </c>
      <c r="M2511" s="9">
        <f t="shared" si="158"/>
        <v>-0.85714285714285721</v>
      </c>
      <c r="N2511" s="9">
        <f t="shared" si="159"/>
        <v>-0.8571428571428571</v>
      </c>
    </row>
    <row r="2512" spans="1:14" x14ac:dyDescent="0.25">
      <c r="A2512" t="str">
        <f>TEXT("1/"&amp;data!A2512,"mmmm")</f>
        <v>septembre</v>
      </c>
      <c r="B2512">
        <f>data!B2512</f>
        <v>2016</v>
      </c>
      <c r="C2512" t="str">
        <f>data!C2512</f>
        <v>097</v>
      </c>
      <c r="D2512" t="str">
        <f>data!D2512</f>
        <v>CHATEAU DE COINTES</v>
      </c>
      <c r="E2512" t="str">
        <f>data!E2512</f>
        <v>097004</v>
      </c>
      <c r="F2512" t="str">
        <f>data!F2512</f>
        <v>VDP MERLOT D.DES CONSULS</v>
      </c>
      <c r="G2512" s="10">
        <f>data!G2512</f>
        <v>352.8</v>
      </c>
      <c r="H2512" s="10">
        <f>data!I2512</f>
        <v>1504.7</v>
      </c>
      <c r="I2512" s="10">
        <f t="shared" si="156"/>
        <v>-1151.9000000000001</v>
      </c>
      <c r="J2512" s="11">
        <f>data!H2512</f>
        <v>168</v>
      </c>
      <c r="K2512" s="11">
        <f>data!J2512</f>
        <v>744</v>
      </c>
      <c r="L2512" s="11">
        <f t="shared" si="157"/>
        <v>-576</v>
      </c>
      <c r="M2512" s="9">
        <f t="shared" si="158"/>
        <v>-0.76553465807137644</v>
      </c>
      <c r="N2512" s="9">
        <f t="shared" si="159"/>
        <v>-0.77419354838709675</v>
      </c>
    </row>
    <row r="2513" spans="1:14" x14ac:dyDescent="0.25">
      <c r="A2513" t="str">
        <f>TEXT("1/"&amp;data!A2513,"mmmm")</f>
        <v>septembre</v>
      </c>
      <c r="B2513">
        <f>data!B2513</f>
        <v>2016</v>
      </c>
      <c r="C2513" t="str">
        <f>data!C2513</f>
        <v>099</v>
      </c>
      <c r="D2513" t="str">
        <f>data!D2513</f>
        <v>CAVE DE L'ORMARINE</v>
      </c>
      <c r="E2513" t="str">
        <f>data!E2513</f>
        <v>099001</v>
      </c>
      <c r="F2513" t="str">
        <f>data!F2513</f>
        <v>VDP C DE THAU D.VILLEMARIN</v>
      </c>
      <c r="G2513" s="10">
        <f>data!G2513</f>
        <v>1669.5</v>
      </c>
      <c r="H2513" s="10">
        <f>data!I2513</f>
        <v>1497.78</v>
      </c>
      <c r="I2513" s="10">
        <f t="shared" si="156"/>
        <v>171.72000000000003</v>
      </c>
      <c r="J2513" s="11">
        <f>data!H2513</f>
        <v>1044</v>
      </c>
      <c r="K2513" s="11">
        <f>data!J2513</f>
        <v>954</v>
      </c>
      <c r="L2513" s="11">
        <f t="shared" si="157"/>
        <v>90</v>
      </c>
      <c r="M2513" s="9">
        <f t="shared" si="158"/>
        <v>0.11464968152866244</v>
      </c>
      <c r="N2513" s="9">
        <f t="shared" si="159"/>
        <v>9.4339622641509441E-2</v>
      </c>
    </row>
    <row r="2514" spans="1:14" x14ac:dyDescent="0.25">
      <c r="A2514" t="str">
        <f>TEXT("1/"&amp;data!A2514,"mmmm")</f>
        <v>septembre</v>
      </c>
      <c r="B2514">
        <f>data!B2514</f>
        <v>2016</v>
      </c>
      <c r="C2514" t="str">
        <f>data!C2514</f>
        <v>099</v>
      </c>
      <c r="D2514" t="str">
        <f>data!D2514</f>
        <v>CAVE DE L'ORMARINE</v>
      </c>
      <c r="E2514" t="str">
        <f>data!E2514</f>
        <v>099002</v>
      </c>
      <c r="F2514" t="str">
        <f>data!F2514</f>
        <v>VDP C DE THAU D.VILLEMARIN</v>
      </c>
      <c r="G2514" s="10">
        <f>data!G2514</f>
        <v>2330.7600000000002</v>
      </c>
      <c r="H2514" s="10">
        <f>data!I2514</f>
        <v>9856.2199999999993</v>
      </c>
      <c r="I2514" s="10">
        <f t="shared" si="156"/>
        <v>-7525.4599999999991</v>
      </c>
      <c r="J2514" s="11">
        <f>data!H2514</f>
        <v>1404</v>
      </c>
      <c r="K2514" s="11">
        <f>data!J2514</f>
        <v>7176</v>
      </c>
      <c r="L2514" s="11">
        <f t="shared" si="157"/>
        <v>-5772</v>
      </c>
      <c r="M2514" s="9">
        <f t="shared" si="158"/>
        <v>-0.76352394731448769</v>
      </c>
      <c r="N2514" s="9">
        <f t="shared" si="159"/>
        <v>-0.80434782608695654</v>
      </c>
    </row>
    <row r="2515" spans="1:14" x14ac:dyDescent="0.25">
      <c r="A2515" t="str">
        <f>TEXT("1/"&amp;data!A2515,"mmmm")</f>
        <v>septembre</v>
      </c>
      <c r="B2515">
        <f>data!B2515</f>
        <v>2016</v>
      </c>
      <c r="C2515" t="str">
        <f>data!C2515</f>
        <v>099</v>
      </c>
      <c r="D2515" t="str">
        <f>data!D2515</f>
        <v>CAVE DE L'ORMARINE</v>
      </c>
      <c r="E2515" t="str">
        <f>data!E2515</f>
        <v>099003</v>
      </c>
      <c r="F2515" t="str">
        <f>data!F2515</f>
        <v>VDP C DE THAU D.VILLEMARIN</v>
      </c>
      <c r="G2515" s="10">
        <f>data!G2515</f>
        <v>555.36</v>
      </c>
      <c r="H2515" s="10">
        <f>data!I2515</f>
        <v>496.32</v>
      </c>
      <c r="I2515" s="10">
        <f t="shared" si="156"/>
        <v>59.04000000000002</v>
      </c>
      <c r="J2515" s="11">
        <f>data!H2515</f>
        <v>312</v>
      </c>
      <c r="K2515" s="11">
        <f>data!J2515</f>
        <v>282</v>
      </c>
      <c r="L2515" s="11">
        <f t="shared" si="157"/>
        <v>30</v>
      </c>
      <c r="M2515" s="9">
        <f t="shared" si="158"/>
        <v>0.11895551257253389</v>
      </c>
      <c r="N2515" s="9">
        <f t="shared" si="159"/>
        <v>0.10638297872340426</v>
      </c>
    </row>
    <row r="2516" spans="1:14" x14ac:dyDescent="0.25">
      <c r="A2516" t="str">
        <f>TEXT("1/"&amp;data!A2516,"mmmm")</f>
        <v>septembre</v>
      </c>
      <c r="B2516">
        <f>data!B2516</f>
        <v>2016</v>
      </c>
      <c r="C2516" t="str">
        <f>data!C2516</f>
        <v>099</v>
      </c>
      <c r="D2516" t="str">
        <f>data!D2516</f>
        <v>CAVE DE L'ORMARINE</v>
      </c>
      <c r="E2516" t="str">
        <f>data!E2516</f>
        <v>099013</v>
      </c>
      <c r="F2516" t="str">
        <f>data!F2516</f>
        <v>IGP PAYS D'OC MUSCAT MOELLEUX DOUCEUR DU SUD</v>
      </c>
      <c r="G2516" s="10">
        <f>data!G2516</f>
        <v>488.94</v>
      </c>
      <c r="H2516" s="10">
        <f>data!I2516</f>
        <v>168.6</v>
      </c>
      <c r="I2516" s="10">
        <f t="shared" si="156"/>
        <v>320.34000000000003</v>
      </c>
      <c r="J2516" s="11">
        <f>data!H2516</f>
        <v>180</v>
      </c>
      <c r="K2516" s="11">
        <f>data!J2516</f>
        <v>60</v>
      </c>
      <c r="L2516" s="11">
        <f t="shared" si="157"/>
        <v>120</v>
      </c>
      <c r="M2516" s="9">
        <f t="shared" si="158"/>
        <v>1.9000000000000004</v>
      </c>
      <c r="N2516" s="9">
        <f t="shared" si="159"/>
        <v>2</v>
      </c>
    </row>
    <row r="2517" spans="1:14" x14ac:dyDescent="0.25">
      <c r="A2517" t="str">
        <f>TEXT("1/"&amp;data!A2517,"mmmm")</f>
        <v>septembre</v>
      </c>
      <c r="B2517">
        <f>data!B2517</f>
        <v>2016</v>
      </c>
      <c r="C2517" t="str">
        <f>data!C2517</f>
        <v>099</v>
      </c>
      <c r="D2517" t="str">
        <f>data!D2517</f>
        <v>CAVE DE L'ORMARINE</v>
      </c>
      <c r="E2517" t="str">
        <f>data!E2517</f>
        <v>099016</v>
      </c>
      <c r="F2517" t="str">
        <f>data!F2517</f>
        <v>AC PICPOUL PINET CARTE NOIRE</v>
      </c>
      <c r="G2517" s="10">
        <f>data!G2517</f>
        <v>297.83999999999997</v>
      </c>
      <c r="H2517" s="10">
        <f>data!I2517</f>
        <v>153.9</v>
      </c>
      <c r="I2517" s="10">
        <f t="shared" si="156"/>
        <v>143.93999999999997</v>
      </c>
      <c r="J2517" s="11">
        <f>data!H2517</f>
        <v>102</v>
      </c>
      <c r="K2517" s="11">
        <f>data!J2517</f>
        <v>54</v>
      </c>
      <c r="L2517" s="11">
        <f t="shared" si="157"/>
        <v>48</v>
      </c>
      <c r="M2517" s="9">
        <f t="shared" si="158"/>
        <v>0.93528265107212449</v>
      </c>
      <c r="N2517" s="9">
        <f t="shared" si="159"/>
        <v>0.88888888888888884</v>
      </c>
    </row>
    <row r="2518" spans="1:14" x14ac:dyDescent="0.25">
      <c r="A2518" t="str">
        <f>TEXT("1/"&amp;data!A2518,"mmmm")</f>
        <v>septembre</v>
      </c>
      <c r="B2518">
        <f>data!B2518</f>
        <v>2016</v>
      </c>
      <c r="C2518" t="str">
        <f>data!C2518</f>
        <v>099</v>
      </c>
      <c r="D2518" t="str">
        <f>data!D2518</f>
        <v>CAVE DE L'ORMARINE</v>
      </c>
      <c r="E2518" t="str">
        <f>data!E2518</f>
        <v>099022</v>
      </c>
      <c r="F2518" t="str">
        <f>data!F2518</f>
        <v>IGP D'OC SAUVIGNON "HAUTS DE SENAUX"</v>
      </c>
      <c r="G2518" s="10">
        <f>data!G2518</f>
        <v>161.28</v>
      </c>
      <c r="H2518" s="10">
        <f>data!I2518</f>
        <v>0</v>
      </c>
      <c r="I2518" s="10">
        <f t="shared" si="156"/>
        <v>161.28</v>
      </c>
      <c r="J2518" s="11">
        <f>data!H2518</f>
        <v>72</v>
      </c>
      <c r="K2518" s="11">
        <f>data!J2518</f>
        <v>0</v>
      </c>
      <c r="L2518" s="11">
        <f t="shared" si="157"/>
        <v>72</v>
      </c>
      <c r="M2518" s="9" t="str">
        <f t="shared" si="158"/>
        <v/>
      </c>
      <c r="N2518" s="9" t="str">
        <f t="shared" si="159"/>
        <v/>
      </c>
    </row>
    <row r="2519" spans="1:14" x14ac:dyDescent="0.25">
      <c r="A2519" t="str">
        <f>TEXT("1/"&amp;data!A2519,"mmmm")</f>
        <v>septembre</v>
      </c>
      <c r="B2519">
        <f>data!B2519</f>
        <v>2016</v>
      </c>
      <c r="C2519" t="str">
        <f>data!C2519</f>
        <v>110</v>
      </c>
      <c r="D2519" t="str">
        <f>data!D2519</f>
        <v>CHATEAU LES MARNIERES</v>
      </c>
      <c r="E2519" t="str">
        <f>data!E2519</f>
        <v>110500</v>
      </c>
      <c r="F2519" t="str">
        <f>data!F2519</f>
        <v>AC BERGERAC CH LES MARNIERES</v>
      </c>
      <c r="G2519" s="10">
        <f>data!G2519</f>
        <v>523.6</v>
      </c>
      <c r="H2519" s="10">
        <f>data!I2519</f>
        <v>127.4</v>
      </c>
      <c r="I2519" s="10">
        <f t="shared" si="156"/>
        <v>396.20000000000005</v>
      </c>
      <c r="J2519" s="11">
        <f>data!H2519</f>
        <v>373.24</v>
      </c>
      <c r="K2519" s="11">
        <f>data!J2519</f>
        <v>93.31</v>
      </c>
      <c r="L2519" s="11">
        <f t="shared" si="157"/>
        <v>279.93</v>
      </c>
      <c r="M2519" s="9">
        <f t="shared" si="158"/>
        <v>3.1098901098901099</v>
      </c>
      <c r="N2519" s="9">
        <f t="shared" si="159"/>
        <v>3</v>
      </c>
    </row>
    <row r="2520" spans="1:14" x14ac:dyDescent="0.25">
      <c r="A2520" t="str">
        <f>TEXT("1/"&amp;data!A2520,"mmmm")</f>
        <v>septembre</v>
      </c>
      <c r="B2520">
        <f>data!B2520</f>
        <v>2016</v>
      </c>
      <c r="C2520" t="str">
        <f>data!C2520</f>
        <v>110</v>
      </c>
      <c r="D2520" t="str">
        <f>data!D2520</f>
        <v>CHATEAU LES MARNIERES</v>
      </c>
      <c r="E2520" t="str">
        <f>data!E2520</f>
        <v>110501</v>
      </c>
      <c r="F2520" t="str">
        <f>data!F2520</f>
        <v>AC BERGERAC CH LES MARNIERES</v>
      </c>
      <c r="G2520" s="10">
        <f>data!G2520</f>
        <v>379.1</v>
      </c>
      <c r="H2520" s="10">
        <f>data!I2520</f>
        <v>333.25</v>
      </c>
      <c r="I2520" s="10">
        <f t="shared" si="156"/>
        <v>45.850000000000023</v>
      </c>
      <c r="J2520" s="11">
        <f>data!H2520</f>
        <v>226.78</v>
      </c>
      <c r="K2520" s="11">
        <f>data!J2520</f>
        <v>206.77</v>
      </c>
      <c r="L2520" s="11">
        <f t="shared" si="157"/>
        <v>20.009999999999991</v>
      </c>
      <c r="M2520" s="9">
        <f t="shared" si="158"/>
        <v>0.13758439609902481</v>
      </c>
      <c r="N2520" s="9">
        <f t="shared" si="159"/>
        <v>9.6774193548387052E-2</v>
      </c>
    </row>
    <row r="2521" spans="1:14" x14ac:dyDescent="0.25">
      <c r="A2521" t="str">
        <f>TEXT("1/"&amp;data!A2521,"mmmm")</f>
        <v>septembre</v>
      </c>
      <c r="B2521">
        <f>data!B2521</f>
        <v>2016</v>
      </c>
      <c r="C2521" t="str">
        <f>data!C2521</f>
        <v>110</v>
      </c>
      <c r="D2521" t="str">
        <f>data!D2521</f>
        <v>CHATEAU LES MARNIERES</v>
      </c>
      <c r="E2521" t="str">
        <f>data!E2521</f>
        <v>110600</v>
      </c>
      <c r="F2521" t="str">
        <f>data!F2521</f>
        <v>CH LES MARNIERES AC COTES DE BERGERAC MOELLEUX</v>
      </c>
      <c r="G2521" s="10">
        <f>data!G2521</f>
        <v>151.19999999999999</v>
      </c>
      <c r="H2521" s="10">
        <f>data!I2521</f>
        <v>146.4</v>
      </c>
      <c r="I2521" s="10">
        <f t="shared" si="156"/>
        <v>4.7999999999999829</v>
      </c>
      <c r="J2521" s="11">
        <f>data!H2521</f>
        <v>48</v>
      </c>
      <c r="K2521" s="11">
        <f>data!J2521</f>
        <v>48</v>
      </c>
      <c r="L2521" s="11">
        <f t="shared" si="157"/>
        <v>0</v>
      </c>
      <c r="M2521" s="9">
        <f t="shared" si="158"/>
        <v>3.2786885245901523E-2</v>
      </c>
      <c r="N2521" s="9">
        <f t="shared" si="159"/>
        <v>0</v>
      </c>
    </row>
    <row r="2522" spans="1:14" x14ac:dyDescent="0.25">
      <c r="A2522" t="str">
        <f>TEXT("1/"&amp;data!A2522,"mmmm")</f>
        <v>septembre</v>
      </c>
      <c r="B2522">
        <f>data!B2522</f>
        <v>2016</v>
      </c>
      <c r="C2522" t="str">
        <f>data!C2522</f>
        <v>113</v>
      </c>
      <c r="D2522" t="str">
        <f>data!D2522</f>
        <v>DOMAINE DU PRIEURE</v>
      </c>
      <c r="E2522" t="str">
        <f>data!E2522</f>
        <v>113001</v>
      </c>
      <c r="F2522" t="str">
        <f>data!F2522</f>
        <v>AC MENETOU SALON. DME PRIEURE</v>
      </c>
      <c r="G2522" s="10">
        <f>data!G2522</f>
        <v>1607.4</v>
      </c>
      <c r="H2522" s="10">
        <f>data!I2522</f>
        <v>759</v>
      </c>
      <c r="I2522" s="10">
        <f t="shared" si="156"/>
        <v>848.40000000000009</v>
      </c>
      <c r="J2522" s="11">
        <f>data!H2522</f>
        <v>282</v>
      </c>
      <c r="K2522" s="11">
        <f>data!J2522</f>
        <v>138</v>
      </c>
      <c r="L2522" s="11">
        <f t="shared" si="157"/>
        <v>144</v>
      </c>
      <c r="M2522" s="9">
        <f t="shared" si="158"/>
        <v>1.1177865612648223</v>
      </c>
      <c r="N2522" s="9">
        <f t="shared" si="159"/>
        <v>1.0434782608695652</v>
      </c>
    </row>
    <row r="2523" spans="1:14" x14ac:dyDescent="0.25">
      <c r="A2523" t="str">
        <f>TEXT("1/"&amp;data!A2523,"mmmm")</f>
        <v>septembre</v>
      </c>
      <c r="B2523">
        <f>data!B2523</f>
        <v>2016</v>
      </c>
      <c r="C2523" t="str">
        <f>data!C2523</f>
        <v>113</v>
      </c>
      <c r="D2523" t="str">
        <f>data!D2523</f>
        <v>DOMAINE DU PRIEURE</v>
      </c>
      <c r="E2523" t="str">
        <f>data!E2523</f>
        <v>113002</v>
      </c>
      <c r="F2523" t="str">
        <f>data!F2523</f>
        <v>AC MENETOU SALON. DME PRIEURE</v>
      </c>
      <c r="G2523" s="10">
        <f>data!G2523</f>
        <v>189</v>
      </c>
      <c r="H2523" s="10">
        <f>data!I2523</f>
        <v>109.8</v>
      </c>
      <c r="I2523" s="10">
        <f t="shared" si="156"/>
        <v>79.2</v>
      </c>
      <c r="J2523" s="11">
        <f>data!H2523</f>
        <v>30</v>
      </c>
      <c r="K2523" s="11">
        <f>data!J2523</f>
        <v>18</v>
      </c>
      <c r="L2523" s="11">
        <f t="shared" si="157"/>
        <v>12</v>
      </c>
      <c r="M2523" s="9">
        <f t="shared" si="158"/>
        <v>0.72131147540983609</v>
      </c>
      <c r="N2523" s="9">
        <f t="shared" si="159"/>
        <v>0.66666666666666663</v>
      </c>
    </row>
    <row r="2524" spans="1:14" x14ac:dyDescent="0.25">
      <c r="A2524" t="str">
        <f>TEXT("1/"&amp;data!A2524,"mmmm")</f>
        <v>septembre</v>
      </c>
      <c r="B2524">
        <f>data!B2524</f>
        <v>2016</v>
      </c>
      <c r="C2524" t="str">
        <f>data!C2524</f>
        <v>113</v>
      </c>
      <c r="D2524" t="str">
        <f>data!D2524</f>
        <v>DOMAINE DU PRIEURE</v>
      </c>
      <c r="E2524" t="str">
        <f>data!E2524</f>
        <v>113005</v>
      </c>
      <c r="F2524" t="str">
        <f>data!F2524</f>
        <v>AC MENETOU SALON. DME PRIEURE</v>
      </c>
      <c r="G2524" s="10">
        <f>data!G2524</f>
        <v>360</v>
      </c>
      <c r="H2524" s="10">
        <f>data!I2524</f>
        <v>448.5</v>
      </c>
      <c r="I2524" s="10">
        <f t="shared" si="156"/>
        <v>-88.5</v>
      </c>
      <c r="J2524" s="11">
        <f>data!H2524</f>
        <v>60</v>
      </c>
      <c r="K2524" s="11">
        <f>data!J2524</f>
        <v>78</v>
      </c>
      <c r="L2524" s="11">
        <f t="shared" si="157"/>
        <v>-18</v>
      </c>
      <c r="M2524" s="9">
        <f t="shared" si="158"/>
        <v>-0.19732441471571907</v>
      </c>
      <c r="N2524" s="9">
        <f t="shared" si="159"/>
        <v>-0.23076923076923078</v>
      </c>
    </row>
    <row r="2525" spans="1:14" x14ac:dyDescent="0.25">
      <c r="A2525" t="str">
        <f>TEXT("1/"&amp;data!A2525,"mmmm")</f>
        <v>septembre</v>
      </c>
      <c r="B2525">
        <f>data!B2525</f>
        <v>2016</v>
      </c>
      <c r="C2525" t="str">
        <f>data!C2525</f>
        <v>113</v>
      </c>
      <c r="D2525" t="str">
        <f>data!D2525</f>
        <v>DOMAINE DU PRIEURE</v>
      </c>
      <c r="E2525" t="str">
        <f>data!E2525</f>
        <v>113006</v>
      </c>
      <c r="F2525" t="str">
        <f>data!F2525</f>
        <v>AC MENETOU SALON. DME PRIEURE</v>
      </c>
      <c r="G2525" s="10">
        <f>data!G2525</f>
        <v>39.6</v>
      </c>
      <c r="H2525" s="10">
        <f>data!I2525</f>
        <v>153.6</v>
      </c>
      <c r="I2525" s="10">
        <f t="shared" si="156"/>
        <v>-114</v>
      </c>
      <c r="J2525" s="11">
        <f>data!H2525</f>
        <v>6</v>
      </c>
      <c r="K2525" s="11">
        <f>data!J2525</f>
        <v>24</v>
      </c>
      <c r="L2525" s="11">
        <f t="shared" si="157"/>
        <v>-18</v>
      </c>
      <c r="M2525" s="9">
        <f t="shared" si="158"/>
        <v>-0.7421875</v>
      </c>
      <c r="N2525" s="9">
        <f t="shared" si="159"/>
        <v>-0.75</v>
      </c>
    </row>
    <row r="2526" spans="1:14" x14ac:dyDescent="0.25">
      <c r="A2526" t="str">
        <f>TEXT("1/"&amp;data!A2526,"mmmm")</f>
        <v>septembre</v>
      </c>
      <c r="B2526">
        <f>data!B2526</f>
        <v>2016</v>
      </c>
      <c r="C2526" t="str">
        <f>data!C2526</f>
        <v>114</v>
      </c>
      <c r="D2526" t="str">
        <f>data!D2526</f>
        <v>DAVAULT VIGNERONS</v>
      </c>
      <c r="E2526" t="str">
        <f>data!E2526</f>
        <v>114001</v>
      </c>
      <c r="F2526" t="str">
        <f>data!F2526</f>
        <v>AC TOURAINE D.LA CHAISE</v>
      </c>
      <c r="G2526" s="10">
        <f>data!G2526</f>
        <v>2079</v>
      </c>
      <c r="H2526" s="10">
        <f>data!I2526</f>
        <v>702</v>
      </c>
      <c r="I2526" s="10">
        <f t="shared" si="156"/>
        <v>1377</v>
      </c>
      <c r="J2526" s="11">
        <f>data!H2526</f>
        <v>756</v>
      </c>
      <c r="K2526" s="11">
        <f>data!J2526</f>
        <v>270</v>
      </c>
      <c r="L2526" s="11">
        <f t="shared" si="157"/>
        <v>486</v>
      </c>
      <c r="M2526" s="9">
        <f t="shared" si="158"/>
        <v>1.9615384615384615</v>
      </c>
      <c r="N2526" s="9">
        <f t="shared" si="159"/>
        <v>1.8</v>
      </c>
    </row>
    <row r="2527" spans="1:14" x14ac:dyDescent="0.25">
      <c r="A2527" t="str">
        <f>TEXT("1/"&amp;data!A2527,"mmmm")</f>
        <v>septembre</v>
      </c>
      <c r="B2527">
        <f>data!B2527</f>
        <v>2016</v>
      </c>
      <c r="C2527" t="str">
        <f>data!C2527</f>
        <v>114</v>
      </c>
      <c r="D2527" t="str">
        <f>data!D2527</f>
        <v>DAVAULT VIGNERONS</v>
      </c>
      <c r="E2527" t="str">
        <f>data!E2527</f>
        <v>114002</v>
      </c>
      <c r="F2527" t="str">
        <f>data!F2527</f>
        <v>AC TOURAINE D.LA CHAISE</v>
      </c>
      <c r="G2527" s="10">
        <f>data!G2527</f>
        <v>162.24</v>
      </c>
      <c r="H2527" s="10">
        <f>data!I2527</f>
        <v>99</v>
      </c>
      <c r="I2527" s="10">
        <f t="shared" si="156"/>
        <v>63.240000000000009</v>
      </c>
      <c r="J2527" s="11">
        <f>data!H2527</f>
        <v>48</v>
      </c>
      <c r="K2527" s="11">
        <f>data!J2527</f>
        <v>36</v>
      </c>
      <c r="L2527" s="11">
        <f t="shared" si="157"/>
        <v>12</v>
      </c>
      <c r="M2527" s="9">
        <f t="shared" si="158"/>
        <v>0.6387878787878789</v>
      </c>
      <c r="N2527" s="9">
        <f t="shared" si="159"/>
        <v>0.33333333333333331</v>
      </c>
    </row>
    <row r="2528" spans="1:14" x14ac:dyDescent="0.25">
      <c r="A2528" t="str">
        <f>TEXT("1/"&amp;data!A2528,"mmmm")</f>
        <v>septembre</v>
      </c>
      <c r="B2528">
        <f>data!B2528</f>
        <v>2016</v>
      </c>
      <c r="C2528" t="str">
        <f>data!C2528</f>
        <v>114</v>
      </c>
      <c r="D2528" t="str">
        <f>data!D2528</f>
        <v>DAVAULT VIGNERONS</v>
      </c>
      <c r="E2528" t="str">
        <f>data!E2528</f>
        <v>114005</v>
      </c>
      <c r="F2528" t="str">
        <f>data!F2528</f>
        <v>AC GAMAY TOURAINE D.LA CHAISE</v>
      </c>
      <c r="G2528" s="10">
        <f>data!G2528</f>
        <v>267.89999999999998</v>
      </c>
      <c r="H2528" s="10">
        <f>data!I2528</f>
        <v>28.2</v>
      </c>
      <c r="I2528" s="10">
        <f t="shared" si="156"/>
        <v>239.7</v>
      </c>
      <c r="J2528" s="11">
        <f>data!H2528</f>
        <v>114</v>
      </c>
      <c r="K2528" s="11">
        <f>data!J2528</f>
        <v>12</v>
      </c>
      <c r="L2528" s="11">
        <f t="shared" si="157"/>
        <v>102</v>
      </c>
      <c r="M2528" s="9">
        <f t="shared" si="158"/>
        <v>8.5</v>
      </c>
      <c r="N2528" s="9">
        <f t="shared" si="159"/>
        <v>8.5</v>
      </c>
    </row>
    <row r="2529" spans="1:14" x14ac:dyDescent="0.25">
      <c r="A2529" t="str">
        <f>TEXT("1/"&amp;data!A2529,"mmmm")</f>
        <v>septembre</v>
      </c>
      <c r="B2529">
        <f>data!B2529</f>
        <v>2016</v>
      </c>
      <c r="C2529" t="str">
        <f>data!C2529</f>
        <v>114</v>
      </c>
      <c r="D2529" t="str">
        <f>data!D2529</f>
        <v>DAVAULT VIGNERONS</v>
      </c>
      <c r="E2529" t="str">
        <f>data!E2529</f>
        <v>114006</v>
      </c>
      <c r="F2529" t="str">
        <f>data!F2529</f>
        <v>AC GAMAY TOURAINE D.LA CHAISE</v>
      </c>
      <c r="G2529" s="10">
        <f>data!G2529</f>
        <v>90.6</v>
      </c>
      <c r="H2529" s="10">
        <f>data!I2529</f>
        <v>0</v>
      </c>
      <c r="I2529" s="10">
        <f t="shared" si="156"/>
        <v>90.6</v>
      </c>
      <c r="J2529" s="11">
        <f>data!H2529</f>
        <v>30</v>
      </c>
      <c r="K2529" s="11">
        <f>data!J2529</f>
        <v>0</v>
      </c>
      <c r="L2529" s="11">
        <f t="shared" si="157"/>
        <v>30</v>
      </c>
      <c r="M2529" s="9" t="str">
        <f t="shared" si="158"/>
        <v/>
      </c>
      <c r="N2529" s="9" t="str">
        <f t="shared" si="159"/>
        <v/>
      </c>
    </row>
    <row r="2530" spans="1:14" x14ac:dyDescent="0.25">
      <c r="A2530" t="str">
        <f>TEXT("1/"&amp;data!A2530,"mmmm")</f>
        <v>septembre</v>
      </c>
      <c r="B2530">
        <f>data!B2530</f>
        <v>2016</v>
      </c>
      <c r="C2530" t="str">
        <f>data!C2530</f>
        <v>114</v>
      </c>
      <c r="D2530" t="str">
        <f>data!D2530</f>
        <v>DAVAULT VIGNERONS</v>
      </c>
      <c r="E2530" t="str">
        <f>data!E2530</f>
        <v>114010</v>
      </c>
      <c r="F2530" t="str">
        <f>data!F2530</f>
        <v>AC TOURAINE SAUV D.LA CHAISE</v>
      </c>
      <c r="G2530" s="10">
        <f>data!G2530</f>
        <v>1155</v>
      </c>
      <c r="H2530" s="10">
        <f>data!I2530</f>
        <v>726.4</v>
      </c>
      <c r="I2530" s="10">
        <f t="shared" si="156"/>
        <v>428.6</v>
      </c>
      <c r="J2530" s="11">
        <f>data!H2530</f>
        <v>666.5</v>
      </c>
      <c r="K2530" s="11">
        <f>data!J2530</f>
        <v>426.56</v>
      </c>
      <c r="L2530" s="11">
        <f t="shared" si="157"/>
        <v>239.94</v>
      </c>
      <c r="M2530" s="9">
        <f t="shared" si="158"/>
        <v>0.59003303964757714</v>
      </c>
      <c r="N2530" s="9">
        <f t="shared" si="159"/>
        <v>0.5625</v>
      </c>
    </row>
    <row r="2531" spans="1:14" x14ac:dyDescent="0.25">
      <c r="A2531" t="str">
        <f>TEXT("1/"&amp;data!A2531,"mmmm")</f>
        <v>septembre</v>
      </c>
      <c r="B2531">
        <f>data!B2531</f>
        <v>2016</v>
      </c>
      <c r="C2531" t="str">
        <f>data!C2531</f>
        <v>114</v>
      </c>
      <c r="D2531" t="str">
        <f>data!D2531</f>
        <v>DAVAULT VIGNERONS</v>
      </c>
      <c r="E2531" t="str">
        <f>data!E2531</f>
        <v>114011</v>
      </c>
      <c r="F2531" t="str">
        <f>data!F2531</f>
        <v>AC TOURAINE SAUV D.LA CHAISE</v>
      </c>
      <c r="G2531" s="10">
        <f>data!G2531</f>
        <v>1282.5</v>
      </c>
      <c r="H2531" s="10">
        <f>data!I2531</f>
        <v>1192.32</v>
      </c>
      <c r="I2531" s="10">
        <f t="shared" si="156"/>
        <v>90.180000000000064</v>
      </c>
      <c r="J2531" s="11">
        <f>data!H2531</f>
        <v>640.31999999999994</v>
      </c>
      <c r="K2531" s="11">
        <f>data!J2531</f>
        <v>613.64</v>
      </c>
      <c r="L2531" s="11">
        <f t="shared" si="157"/>
        <v>26.67999999999995</v>
      </c>
      <c r="M2531" s="9">
        <f t="shared" si="158"/>
        <v>7.5634057971014551E-2</v>
      </c>
      <c r="N2531" s="9">
        <f t="shared" si="159"/>
        <v>4.347826086956514E-2</v>
      </c>
    </row>
    <row r="2532" spans="1:14" x14ac:dyDescent="0.25">
      <c r="A2532" t="str">
        <f>TEXT("1/"&amp;data!A2532,"mmmm")</f>
        <v>septembre</v>
      </c>
      <c r="B2532">
        <f>data!B2532</f>
        <v>2016</v>
      </c>
      <c r="C2532" t="str">
        <f>data!C2532</f>
        <v>115</v>
      </c>
      <c r="D2532" t="str">
        <f>data!D2532</f>
        <v>SCEA CHATEAU DES ROQUES</v>
      </c>
      <c r="E2532" t="str">
        <f>data!E2532</f>
        <v>115005</v>
      </c>
      <c r="F2532" t="str">
        <f>data!F2532</f>
        <v>AC VACQUEYRAS CH DES ROQUES</v>
      </c>
      <c r="G2532" s="10">
        <f>data!G2532</f>
        <v>361.8</v>
      </c>
      <c r="H2532" s="10">
        <f>data!I2532</f>
        <v>614.4</v>
      </c>
      <c r="I2532" s="10">
        <f t="shared" si="156"/>
        <v>-252.59999999999997</v>
      </c>
      <c r="J2532" s="11">
        <f>data!H2532</f>
        <v>54</v>
      </c>
      <c r="K2532" s="11">
        <f>data!J2532</f>
        <v>96</v>
      </c>
      <c r="L2532" s="11">
        <f t="shared" si="157"/>
        <v>-42</v>
      </c>
      <c r="M2532" s="9">
        <f t="shared" si="158"/>
        <v>-0.41113281249999994</v>
      </c>
      <c r="N2532" s="9">
        <f t="shared" si="159"/>
        <v>-0.4375</v>
      </c>
    </row>
    <row r="2533" spans="1:14" x14ac:dyDescent="0.25">
      <c r="A2533" t="str">
        <f>TEXT("1/"&amp;data!A2533,"mmmm")</f>
        <v>septembre</v>
      </c>
      <c r="B2533">
        <f>data!B2533</f>
        <v>2016</v>
      </c>
      <c r="C2533" t="str">
        <f>data!C2533</f>
        <v>116</v>
      </c>
      <c r="D2533" t="str">
        <f>data!D2533</f>
        <v>VIGNOBLE GASNIER</v>
      </c>
      <c r="E2533" t="str">
        <f>data!E2533</f>
        <v>116001</v>
      </c>
      <c r="F2533" t="str">
        <f>data!F2533</f>
        <v>AC CHINON LES GRAVES</v>
      </c>
      <c r="G2533" s="10">
        <f>data!G2533</f>
        <v>938.4</v>
      </c>
      <c r="H2533" s="10">
        <f>data!I2533</f>
        <v>737.1</v>
      </c>
      <c r="I2533" s="10">
        <f t="shared" si="156"/>
        <v>201.29999999999995</v>
      </c>
      <c r="J2533" s="11">
        <f>data!H2533</f>
        <v>204</v>
      </c>
      <c r="K2533" s="11">
        <f>data!J2533</f>
        <v>162</v>
      </c>
      <c r="L2533" s="11">
        <f t="shared" si="157"/>
        <v>42</v>
      </c>
      <c r="M2533" s="9">
        <f t="shared" si="158"/>
        <v>0.27309727309727305</v>
      </c>
      <c r="N2533" s="9">
        <f t="shared" si="159"/>
        <v>0.25925925925925924</v>
      </c>
    </row>
    <row r="2534" spans="1:14" x14ac:dyDescent="0.25">
      <c r="A2534" t="str">
        <f>TEXT("1/"&amp;data!A2534,"mmmm")</f>
        <v>septembre</v>
      </c>
      <c r="B2534">
        <f>data!B2534</f>
        <v>2016</v>
      </c>
      <c r="C2534" t="str">
        <f>data!C2534</f>
        <v>116</v>
      </c>
      <c r="D2534" t="str">
        <f>data!D2534</f>
        <v>VIGNOBLE GASNIER</v>
      </c>
      <c r="E2534" t="str">
        <f>data!E2534</f>
        <v>116005</v>
      </c>
      <c r="F2534" t="str">
        <f>data!F2534</f>
        <v>AC CHINON DME GASNIER</v>
      </c>
      <c r="G2534" s="10">
        <f>data!G2534</f>
        <v>52.2</v>
      </c>
      <c r="H2534" s="10">
        <f>data!I2534</f>
        <v>-25.8</v>
      </c>
      <c r="I2534" s="10">
        <f t="shared" si="156"/>
        <v>78</v>
      </c>
      <c r="J2534" s="11">
        <f>data!H2534</f>
        <v>12</v>
      </c>
      <c r="K2534" s="11">
        <f>data!J2534</f>
        <v>-6</v>
      </c>
      <c r="L2534" s="11">
        <f t="shared" si="157"/>
        <v>18</v>
      </c>
      <c r="M2534" s="9">
        <f t="shared" si="158"/>
        <v>-3.0232558139534884</v>
      </c>
      <c r="N2534" s="9">
        <f t="shared" si="159"/>
        <v>-3</v>
      </c>
    </row>
    <row r="2535" spans="1:14" x14ac:dyDescent="0.25">
      <c r="A2535" t="str">
        <f>TEXT("1/"&amp;data!A2535,"mmmm")</f>
        <v>septembre</v>
      </c>
      <c r="B2535">
        <f>data!B2535</f>
        <v>2016</v>
      </c>
      <c r="C2535" t="str">
        <f>data!C2535</f>
        <v>124</v>
      </c>
      <c r="D2535" t="str">
        <f>data!D2535</f>
        <v>CHATEAU BECHEREAU</v>
      </c>
      <c r="E2535" t="str">
        <f>data!E2535</f>
        <v>124001</v>
      </c>
      <c r="F2535" t="str">
        <f>data!F2535</f>
        <v>AC M ST EMILION CH BECHEREAU</v>
      </c>
      <c r="G2535" s="10">
        <f>data!G2535</f>
        <v>2898</v>
      </c>
      <c r="H2535" s="10">
        <f>data!I2535</f>
        <v>1108.8</v>
      </c>
      <c r="I2535" s="10">
        <f t="shared" si="156"/>
        <v>1789.2</v>
      </c>
      <c r="J2535" s="11">
        <f>data!H2535</f>
        <v>660</v>
      </c>
      <c r="K2535" s="11">
        <f>data!J2535</f>
        <v>252</v>
      </c>
      <c r="L2535" s="11">
        <f t="shared" si="157"/>
        <v>408</v>
      </c>
      <c r="M2535" s="9">
        <f t="shared" si="158"/>
        <v>1.6136363636363638</v>
      </c>
      <c r="N2535" s="9">
        <f t="shared" si="159"/>
        <v>1.6190476190476191</v>
      </c>
    </row>
    <row r="2536" spans="1:14" x14ac:dyDescent="0.25">
      <c r="A2536" t="str">
        <f>TEXT("1/"&amp;data!A2536,"mmmm")</f>
        <v>septembre</v>
      </c>
      <c r="B2536">
        <f>data!B2536</f>
        <v>2016</v>
      </c>
      <c r="C2536" t="str">
        <f>data!C2536</f>
        <v>124</v>
      </c>
      <c r="D2536" t="str">
        <f>data!D2536</f>
        <v>CHATEAU BECHEREAU</v>
      </c>
      <c r="E2536" t="str">
        <f>data!E2536</f>
        <v>124002</v>
      </c>
      <c r="F2536" t="str">
        <f>data!F2536</f>
        <v>AC BORDEAUX SUP TRADITION CH BECHEREAU</v>
      </c>
      <c r="G2536" s="10">
        <f>data!G2536</f>
        <v>277.2</v>
      </c>
      <c r="H2536" s="10">
        <f>data!I2536</f>
        <v>998.4</v>
      </c>
      <c r="I2536" s="10">
        <f t="shared" si="156"/>
        <v>-721.2</v>
      </c>
      <c r="J2536" s="11">
        <f>data!H2536</f>
        <v>84</v>
      </c>
      <c r="K2536" s="11">
        <f>data!J2536</f>
        <v>312</v>
      </c>
      <c r="L2536" s="11">
        <f t="shared" si="157"/>
        <v>-228</v>
      </c>
      <c r="M2536" s="9">
        <f t="shared" si="158"/>
        <v>-0.72235576923076927</v>
      </c>
      <c r="N2536" s="9">
        <f t="shared" si="159"/>
        <v>-0.73076923076923073</v>
      </c>
    </row>
    <row r="2537" spans="1:14" x14ac:dyDescent="0.25">
      <c r="A2537" t="str">
        <f>TEXT("1/"&amp;data!A2537,"mmmm")</f>
        <v>septembre</v>
      </c>
      <c r="B2537">
        <f>data!B2537</f>
        <v>2016</v>
      </c>
      <c r="C2537" t="str">
        <f>data!C2537</f>
        <v>124</v>
      </c>
      <c r="D2537" t="str">
        <f>data!D2537</f>
        <v>CHATEAU BECHEREAU</v>
      </c>
      <c r="E2537" t="str">
        <f>data!E2537</f>
        <v>124010</v>
      </c>
      <c r="F2537" t="str">
        <f>data!F2537</f>
        <v>AC LALANDE POMEROL BECH</v>
      </c>
      <c r="G2537" s="10">
        <f>data!G2537</f>
        <v>907.2</v>
      </c>
      <c r="H2537" s="10">
        <f>data!I2537</f>
        <v>446.4</v>
      </c>
      <c r="I2537" s="10">
        <f t="shared" si="156"/>
        <v>460.80000000000007</v>
      </c>
      <c r="J2537" s="11">
        <f>data!H2537</f>
        <v>144</v>
      </c>
      <c r="K2537" s="11">
        <f>data!J2537</f>
        <v>72</v>
      </c>
      <c r="L2537" s="11">
        <f t="shared" si="157"/>
        <v>72</v>
      </c>
      <c r="M2537" s="9">
        <f t="shared" si="158"/>
        <v>1.0322580645161292</v>
      </c>
      <c r="N2537" s="9">
        <f t="shared" si="159"/>
        <v>1</v>
      </c>
    </row>
    <row r="2538" spans="1:14" x14ac:dyDescent="0.25">
      <c r="A2538" t="str">
        <f>TEXT("1/"&amp;data!A2538,"mmmm")</f>
        <v>septembre</v>
      </c>
      <c r="B2538">
        <f>data!B2538</f>
        <v>2016</v>
      </c>
      <c r="C2538" t="str">
        <f>data!C2538</f>
        <v>134</v>
      </c>
      <c r="D2538" t="str">
        <f>data!D2538</f>
        <v>DOMAINE GALEVAN</v>
      </c>
      <c r="E2538" t="str">
        <f>data!E2538</f>
        <v>134004</v>
      </c>
      <c r="F2538" t="str">
        <f>data!F2538</f>
        <v>AC C.DU RHONE LIBRE EXPRESSION</v>
      </c>
      <c r="G2538" s="10">
        <f>data!G2538</f>
        <v>228.48</v>
      </c>
      <c r="H2538" s="10">
        <f>data!I2538</f>
        <v>0</v>
      </c>
      <c r="I2538" s="10">
        <f t="shared" si="156"/>
        <v>228.48</v>
      </c>
      <c r="J2538" s="11">
        <f>data!H2538</f>
        <v>48</v>
      </c>
      <c r="K2538" s="11">
        <f>data!J2538</f>
        <v>0</v>
      </c>
      <c r="L2538" s="11">
        <f t="shared" si="157"/>
        <v>48</v>
      </c>
      <c r="M2538" s="9" t="str">
        <f t="shared" si="158"/>
        <v/>
      </c>
      <c r="N2538" s="9" t="str">
        <f t="shared" si="159"/>
        <v/>
      </c>
    </row>
    <row r="2539" spans="1:14" x14ac:dyDescent="0.25">
      <c r="A2539" t="str">
        <f>TEXT("1/"&amp;data!A2539,"mmmm")</f>
        <v>septembre</v>
      </c>
      <c r="B2539">
        <f>data!B2539</f>
        <v>2016</v>
      </c>
      <c r="C2539" t="str">
        <f>data!C2539</f>
        <v>134</v>
      </c>
      <c r="D2539" t="str">
        <f>data!D2539</f>
        <v>DOMAINE GALEVAN</v>
      </c>
      <c r="E2539" t="str">
        <f>data!E2539</f>
        <v>134005</v>
      </c>
      <c r="F2539" t="str">
        <f>data!F2539</f>
        <v>AC C DU RHONE PAROLES DE FEMME</v>
      </c>
      <c r="G2539" s="10">
        <f>data!G2539</f>
        <v>1074.06</v>
      </c>
      <c r="H2539" s="10">
        <f>data!I2539</f>
        <v>0</v>
      </c>
      <c r="I2539" s="10">
        <f t="shared" si="156"/>
        <v>1074.06</v>
      </c>
      <c r="J2539" s="11">
        <f>data!H2539</f>
        <v>234</v>
      </c>
      <c r="K2539" s="11">
        <f>data!J2539</f>
        <v>0</v>
      </c>
      <c r="L2539" s="11">
        <f t="shared" si="157"/>
        <v>234</v>
      </c>
      <c r="M2539" s="9" t="str">
        <f t="shared" si="158"/>
        <v/>
      </c>
      <c r="N2539" s="9" t="str">
        <f t="shared" si="159"/>
        <v/>
      </c>
    </row>
    <row r="2540" spans="1:14" x14ac:dyDescent="0.25">
      <c r="A2540" t="str">
        <f>TEXT("1/"&amp;data!A2540,"mmmm")</f>
        <v>septembre</v>
      </c>
      <c r="B2540">
        <f>data!B2540</f>
        <v>2016</v>
      </c>
      <c r="C2540" t="str">
        <f>data!C2540</f>
        <v>137</v>
      </c>
      <c r="D2540" t="str">
        <f>data!D2540</f>
        <v>CHATEAU MAS DES CABRES</v>
      </c>
      <c r="E2540" t="str">
        <f>data!E2540</f>
        <v>137001</v>
      </c>
      <c r="F2540" t="str">
        <f>data!F2540</f>
        <v>AC CTX LANGUEDOC TERRES D'ASPERES M.DES CABRES</v>
      </c>
      <c r="G2540" s="10">
        <f>data!G2540</f>
        <v>1327.2</v>
      </c>
      <c r="H2540" s="10">
        <f>data!I2540</f>
        <v>1054.7</v>
      </c>
      <c r="I2540" s="10">
        <f t="shared" si="156"/>
        <v>272.5</v>
      </c>
      <c r="J2540" s="11">
        <f>data!H2540</f>
        <v>474</v>
      </c>
      <c r="K2540" s="11">
        <f>data!J2540</f>
        <v>408</v>
      </c>
      <c r="L2540" s="11">
        <f t="shared" si="157"/>
        <v>66</v>
      </c>
      <c r="M2540" s="9">
        <f t="shared" si="158"/>
        <v>0.25836730823930976</v>
      </c>
      <c r="N2540" s="9">
        <f t="shared" si="159"/>
        <v>0.16176470588235295</v>
      </c>
    </row>
    <row r="2541" spans="1:14" x14ac:dyDescent="0.25">
      <c r="A2541" t="str">
        <f>TEXT("1/"&amp;data!A2541,"mmmm")</f>
        <v>septembre</v>
      </c>
      <c r="B2541">
        <f>data!B2541</f>
        <v>2016</v>
      </c>
      <c r="C2541" t="str">
        <f>data!C2541</f>
        <v>137</v>
      </c>
      <c r="D2541" t="str">
        <f>data!D2541</f>
        <v>CHATEAU MAS DES CABRES</v>
      </c>
      <c r="E2541" t="str">
        <f>data!E2541</f>
        <v>137003</v>
      </c>
      <c r="F2541" t="str">
        <f>data!F2541</f>
        <v>AC CTX DU LANGUEDOC LA DRAILLE</v>
      </c>
      <c r="G2541" s="10">
        <f>data!G2541</f>
        <v>148.5</v>
      </c>
      <c r="H2541" s="10">
        <f>data!I2541</f>
        <v>57.6</v>
      </c>
      <c r="I2541" s="10">
        <f t="shared" si="156"/>
        <v>90.9</v>
      </c>
      <c r="J2541" s="11">
        <f>data!H2541</f>
        <v>30</v>
      </c>
      <c r="K2541" s="11">
        <f>data!J2541</f>
        <v>12</v>
      </c>
      <c r="L2541" s="11">
        <f t="shared" si="157"/>
        <v>18</v>
      </c>
      <c r="M2541" s="9">
        <f t="shared" si="158"/>
        <v>1.578125</v>
      </c>
      <c r="N2541" s="9">
        <f t="shared" si="159"/>
        <v>1.5</v>
      </c>
    </row>
    <row r="2542" spans="1:14" x14ac:dyDescent="0.25">
      <c r="A2542" t="str">
        <f>TEXT("1/"&amp;data!A2542,"mmmm")</f>
        <v>septembre</v>
      </c>
      <c r="B2542">
        <f>data!B2542</f>
        <v>2016</v>
      </c>
      <c r="C2542" t="str">
        <f>data!C2542</f>
        <v>140</v>
      </c>
      <c r="D2542" t="str">
        <f>data!D2542</f>
        <v>PHILIPPE GAULTIER</v>
      </c>
      <c r="E2542" t="str">
        <f>data!E2542</f>
        <v>140001</v>
      </c>
      <c r="F2542" t="str">
        <f>data!F2542</f>
        <v>AC VOUVRAY M.TRAD.BR C.DES AUMONES</v>
      </c>
      <c r="G2542" s="10">
        <f>data!G2542</f>
        <v>309.60000000000002</v>
      </c>
      <c r="H2542" s="10">
        <f>data!I2542</f>
        <v>730.8</v>
      </c>
      <c r="I2542" s="10">
        <f t="shared" si="156"/>
        <v>-421.19999999999993</v>
      </c>
      <c r="J2542" s="11">
        <f>data!H2542</f>
        <v>72</v>
      </c>
      <c r="K2542" s="11">
        <f>data!J2542</f>
        <v>180</v>
      </c>
      <c r="L2542" s="11">
        <f t="shared" si="157"/>
        <v>-108</v>
      </c>
      <c r="M2542" s="9">
        <f t="shared" si="158"/>
        <v>-0.57635467980295563</v>
      </c>
      <c r="N2542" s="9">
        <f t="shared" si="159"/>
        <v>-0.6</v>
      </c>
    </row>
    <row r="2543" spans="1:14" x14ac:dyDescent="0.25">
      <c r="A2543" t="str">
        <f>TEXT("1/"&amp;data!A2543,"mmmm")</f>
        <v>septembre</v>
      </c>
      <c r="B2543">
        <f>data!B2543</f>
        <v>2016</v>
      </c>
      <c r="C2543" t="str">
        <f>data!C2543</f>
        <v>143</v>
      </c>
      <c r="D2543" t="str">
        <f>data!D2543</f>
        <v>DOMAINE DE VILLARGEAU</v>
      </c>
      <c r="E2543" t="str">
        <f>data!E2543</f>
        <v>143001</v>
      </c>
      <c r="F2543" t="str">
        <f>data!F2543</f>
        <v>AC CX DU GIENNOIS G.THIEBAULT</v>
      </c>
      <c r="G2543" s="10">
        <f>data!G2543</f>
        <v>260</v>
      </c>
      <c r="H2543" s="10">
        <f>data!I2543</f>
        <v>210.6</v>
      </c>
      <c r="I2543" s="10">
        <f t="shared" si="156"/>
        <v>49.400000000000006</v>
      </c>
      <c r="J2543" s="11">
        <f>data!H2543</f>
        <v>66</v>
      </c>
      <c r="K2543" s="11">
        <f>data!J2543</f>
        <v>54</v>
      </c>
      <c r="L2543" s="11">
        <f t="shared" si="157"/>
        <v>12</v>
      </c>
      <c r="M2543" s="9">
        <f t="shared" si="158"/>
        <v>0.23456790123456794</v>
      </c>
      <c r="N2543" s="9">
        <f t="shared" si="159"/>
        <v>0.22222222222222221</v>
      </c>
    </row>
    <row r="2544" spans="1:14" x14ac:dyDescent="0.25">
      <c r="A2544" t="str">
        <f>TEXT("1/"&amp;data!A2544,"mmmm")</f>
        <v>septembre</v>
      </c>
      <c r="B2544">
        <f>data!B2544</f>
        <v>2016</v>
      </c>
      <c r="C2544" t="str">
        <f>data!C2544</f>
        <v>143</v>
      </c>
      <c r="D2544" t="str">
        <f>data!D2544</f>
        <v>DOMAINE DE VILLARGEAU</v>
      </c>
      <c r="E2544" t="str">
        <f>data!E2544</f>
        <v>143002</v>
      </c>
      <c r="F2544" t="str">
        <f>data!F2544</f>
        <v>AC CX DU GIENNOIS G.THIEBAULT</v>
      </c>
      <c r="G2544" s="10">
        <f>data!G2544</f>
        <v>648</v>
      </c>
      <c r="H2544" s="10">
        <f>data!I2544</f>
        <v>210.6</v>
      </c>
      <c r="I2544" s="10">
        <f t="shared" si="156"/>
        <v>437.4</v>
      </c>
      <c r="J2544" s="11">
        <f>data!H2544</f>
        <v>162</v>
      </c>
      <c r="K2544" s="11">
        <f>data!J2544</f>
        <v>54</v>
      </c>
      <c r="L2544" s="11">
        <f t="shared" si="157"/>
        <v>108</v>
      </c>
      <c r="M2544" s="9">
        <f t="shared" si="158"/>
        <v>2.0769230769230766</v>
      </c>
      <c r="N2544" s="9">
        <f t="shared" si="159"/>
        <v>2</v>
      </c>
    </row>
    <row r="2545" spans="1:14" x14ac:dyDescent="0.25">
      <c r="A2545" t="str">
        <f>TEXT("1/"&amp;data!A2545,"mmmm")</f>
        <v>septembre</v>
      </c>
      <c r="B2545">
        <f>data!B2545</f>
        <v>2016</v>
      </c>
      <c r="C2545" t="str">
        <f>data!C2545</f>
        <v>143</v>
      </c>
      <c r="D2545" t="str">
        <f>data!D2545</f>
        <v>DOMAINE DE VILLARGEAU</v>
      </c>
      <c r="E2545" t="str">
        <f>data!E2545</f>
        <v>CDV143003</v>
      </c>
      <c r="F2545" t="str">
        <f>data!F2545</f>
        <v>GIENNOIS CUVEE CHICAGO</v>
      </c>
      <c r="G2545" s="10">
        <f>data!G2545</f>
        <v>29.4</v>
      </c>
      <c r="H2545" s="10">
        <f>data!I2545</f>
        <v>0</v>
      </c>
      <c r="I2545" s="10">
        <f t="shared" si="156"/>
        <v>29.4</v>
      </c>
      <c r="J2545" s="11">
        <f>data!H2545</f>
        <v>6</v>
      </c>
      <c r="K2545" s="11">
        <f>data!J2545</f>
        <v>0</v>
      </c>
      <c r="L2545" s="11">
        <f t="shared" si="157"/>
        <v>6</v>
      </c>
      <c r="M2545" s="9" t="str">
        <f t="shared" si="158"/>
        <v/>
      </c>
      <c r="N2545" s="9" t="str">
        <f t="shared" si="159"/>
        <v/>
      </c>
    </row>
    <row r="2546" spans="1:14" x14ac:dyDescent="0.25">
      <c r="A2546" t="str">
        <f>TEXT("1/"&amp;data!A2546,"mmmm")</f>
        <v>septembre</v>
      </c>
      <c r="B2546">
        <f>data!B2546</f>
        <v>2016</v>
      </c>
      <c r="C2546" t="str">
        <f>data!C2546</f>
        <v>152</v>
      </c>
      <c r="D2546" t="str">
        <f>data!D2546</f>
        <v>VINCENT SIRET COURTAUD</v>
      </c>
      <c r="E2546" t="str">
        <f>data!E2546</f>
        <v>152001</v>
      </c>
      <c r="F2546" t="str">
        <f>data!F2546</f>
        <v>AC QUINCY D.SIRET COURTAUD</v>
      </c>
      <c r="G2546" s="10">
        <f>data!G2546</f>
        <v>1017</v>
      </c>
      <c r="H2546" s="10">
        <f>data!I2546</f>
        <v>99.9</v>
      </c>
      <c r="I2546" s="10">
        <f t="shared" si="156"/>
        <v>917.1</v>
      </c>
      <c r="J2546" s="11">
        <f>data!H2546</f>
        <v>180</v>
      </c>
      <c r="K2546" s="11">
        <f>data!J2546</f>
        <v>18</v>
      </c>
      <c r="L2546" s="11">
        <f t="shared" si="157"/>
        <v>162</v>
      </c>
      <c r="M2546" s="9">
        <f t="shared" si="158"/>
        <v>9.1801801801801801</v>
      </c>
      <c r="N2546" s="9">
        <f t="shared" si="159"/>
        <v>9</v>
      </c>
    </row>
    <row r="2547" spans="1:14" x14ac:dyDescent="0.25">
      <c r="A2547" t="str">
        <f>TEXT("1/"&amp;data!A2547,"mmmm")</f>
        <v>septembre</v>
      </c>
      <c r="B2547">
        <f>data!B2547</f>
        <v>2016</v>
      </c>
      <c r="C2547" t="str">
        <f>data!C2547</f>
        <v>153</v>
      </c>
      <c r="D2547" t="str">
        <f>data!D2547</f>
        <v>SARL GARNIER ET FILS</v>
      </c>
      <c r="E2547" t="str">
        <f>data!E2547</f>
        <v>153001</v>
      </c>
      <c r="F2547" t="str">
        <f>data!F2547</f>
        <v>AC PETIT CHABLIS D.GARNIER</v>
      </c>
      <c r="G2547" s="10">
        <f>data!G2547</f>
        <v>661.2</v>
      </c>
      <c r="H2547" s="10">
        <f>data!I2547</f>
        <v>1254.3</v>
      </c>
      <c r="I2547" s="10">
        <f t="shared" si="156"/>
        <v>-593.09999999999991</v>
      </c>
      <c r="J2547" s="11">
        <f>data!H2547</f>
        <v>114</v>
      </c>
      <c r="K2547" s="11">
        <f>data!J2547</f>
        <v>222</v>
      </c>
      <c r="L2547" s="11">
        <f t="shared" si="157"/>
        <v>-108</v>
      </c>
      <c r="M2547" s="9">
        <f t="shared" si="158"/>
        <v>-0.4728533843578091</v>
      </c>
      <c r="N2547" s="9">
        <f t="shared" si="159"/>
        <v>-0.48648648648648651</v>
      </c>
    </row>
    <row r="2548" spans="1:14" x14ac:dyDescent="0.25">
      <c r="A2548" t="str">
        <f>TEXT("1/"&amp;data!A2548,"mmmm")</f>
        <v>septembre</v>
      </c>
      <c r="B2548">
        <f>data!B2548</f>
        <v>2016</v>
      </c>
      <c r="C2548" t="str">
        <f>data!C2548</f>
        <v>153</v>
      </c>
      <c r="D2548" t="str">
        <f>data!D2548</f>
        <v>SARL GARNIER ET FILS</v>
      </c>
      <c r="E2548" t="str">
        <f>data!E2548</f>
        <v>153003</v>
      </c>
      <c r="F2548" t="str">
        <f>data!F2548</f>
        <v>AC CHABLIS DME GARNIER</v>
      </c>
      <c r="G2548" s="10">
        <f>data!G2548</f>
        <v>1945.8</v>
      </c>
      <c r="H2548" s="10">
        <f>data!I2548</f>
        <v>1728.6</v>
      </c>
      <c r="I2548" s="10">
        <f t="shared" si="156"/>
        <v>217.20000000000005</v>
      </c>
      <c r="J2548" s="11">
        <f>data!H2548</f>
        <v>282</v>
      </c>
      <c r="K2548" s="11">
        <f>data!J2548</f>
        <v>258</v>
      </c>
      <c r="L2548" s="11">
        <f t="shared" si="157"/>
        <v>24</v>
      </c>
      <c r="M2548" s="9">
        <f t="shared" si="158"/>
        <v>0.12565081568899691</v>
      </c>
      <c r="N2548" s="9">
        <f t="shared" si="159"/>
        <v>9.3023255813953487E-2</v>
      </c>
    </row>
    <row r="2549" spans="1:14" x14ac:dyDescent="0.25">
      <c r="A2549" t="str">
        <f>TEXT("1/"&amp;data!A2549,"mmmm")</f>
        <v>septembre</v>
      </c>
      <c r="B2549">
        <f>data!B2549</f>
        <v>2016</v>
      </c>
      <c r="C2549" t="str">
        <f>data!C2549</f>
        <v>153</v>
      </c>
      <c r="D2549" t="str">
        <f>data!D2549</f>
        <v>SARL GARNIER ET FILS</v>
      </c>
      <c r="E2549" t="str">
        <f>data!E2549</f>
        <v>153004</v>
      </c>
      <c r="F2549" t="str">
        <f>data!F2549</f>
        <v>AC CHABLIS DME GARNIER</v>
      </c>
      <c r="G2549" s="10">
        <f>data!G2549</f>
        <v>47.4</v>
      </c>
      <c r="H2549" s="10">
        <f>data!I2549</f>
        <v>277.2</v>
      </c>
      <c r="I2549" s="10">
        <f t="shared" si="156"/>
        <v>-229.79999999999998</v>
      </c>
      <c r="J2549" s="11">
        <f>data!H2549</f>
        <v>6</v>
      </c>
      <c r="K2549" s="11">
        <f>data!J2549</f>
        <v>36</v>
      </c>
      <c r="L2549" s="11">
        <f t="shared" si="157"/>
        <v>-30</v>
      </c>
      <c r="M2549" s="9">
        <f t="shared" si="158"/>
        <v>-0.82900432900432897</v>
      </c>
      <c r="N2549" s="9">
        <f t="shared" si="159"/>
        <v>-0.83333333333333337</v>
      </c>
    </row>
    <row r="2550" spans="1:14" x14ac:dyDescent="0.25">
      <c r="A2550" t="str">
        <f>TEXT("1/"&amp;data!A2550,"mmmm")</f>
        <v>septembre</v>
      </c>
      <c r="B2550">
        <f>data!B2550</f>
        <v>2016</v>
      </c>
      <c r="C2550" t="str">
        <f>data!C2550</f>
        <v>153</v>
      </c>
      <c r="D2550" t="str">
        <f>data!D2550</f>
        <v>SARL GARNIER ET FILS</v>
      </c>
      <c r="E2550" t="str">
        <f>data!E2550</f>
        <v>153012</v>
      </c>
      <c r="F2550" t="str">
        <f>data!F2550</f>
        <v>BOURGOGNE EPINEUIL PINOT NOIR GARNIER</v>
      </c>
      <c r="G2550" s="10">
        <f>data!G2550</f>
        <v>475.2</v>
      </c>
      <c r="H2550" s="10">
        <f>data!I2550</f>
        <v>0</v>
      </c>
      <c r="I2550" s="10">
        <f t="shared" si="156"/>
        <v>475.2</v>
      </c>
      <c r="J2550" s="11">
        <f>data!H2550</f>
        <v>72</v>
      </c>
      <c r="K2550" s="11">
        <f>data!J2550</f>
        <v>0</v>
      </c>
      <c r="L2550" s="11">
        <f t="shared" si="157"/>
        <v>72</v>
      </c>
      <c r="M2550" s="9" t="str">
        <f t="shared" si="158"/>
        <v/>
      </c>
      <c r="N2550" s="9" t="str">
        <f t="shared" si="159"/>
        <v/>
      </c>
    </row>
    <row r="2551" spans="1:14" x14ac:dyDescent="0.25">
      <c r="A2551" t="str">
        <f>TEXT("1/"&amp;data!A2551,"mmmm")</f>
        <v>septembre</v>
      </c>
      <c r="B2551">
        <f>data!B2551</f>
        <v>2016</v>
      </c>
      <c r="C2551" t="str">
        <f>data!C2551</f>
        <v>157</v>
      </c>
      <c r="D2551" t="str">
        <f>data!D2551</f>
        <v>DOMAINE DE LA FOLIETTE</v>
      </c>
      <c r="E2551" t="str">
        <f>data!E2551</f>
        <v>157001</v>
      </c>
      <c r="F2551" t="str">
        <f>data!F2551</f>
        <v>AC MUSCADET S&amp;MAINE/LIE FOLIETTES</v>
      </c>
      <c r="G2551" s="10">
        <f>data!G2551</f>
        <v>91.5</v>
      </c>
      <c r="H2551" s="10">
        <f>data!I2551</f>
        <v>300.89999999999998</v>
      </c>
      <c r="I2551" s="10">
        <f t="shared" si="156"/>
        <v>-209.39999999999998</v>
      </c>
      <c r="J2551" s="11">
        <f>data!H2551</f>
        <v>30</v>
      </c>
      <c r="K2551" s="11">
        <f>data!J2551</f>
        <v>102</v>
      </c>
      <c r="L2551" s="11">
        <f t="shared" si="157"/>
        <v>-72</v>
      </c>
      <c r="M2551" s="9">
        <f t="shared" si="158"/>
        <v>-0.69591226321036892</v>
      </c>
      <c r="N2551" s="9">
        <f t="shared" si="159"/>
        <v>-0.70588235294117652</v>
      </c>
    </row>
    <row r="2552" spans="1:14" x14ac:dyDescent="0.25">
      <c r="A2552" t="str">
        <f>TEXT("1/"&amp;data!A2552,"mmmm")</f>
        <v>septembre</v>
      </c>
      <c r="B2552">
        <f>data!B2552</f>
        <v>2016</v>
      </c>
      <c r="C2552" t="str">
        <f>data!C2552</f>
        <v>162</v>
      </c>
      <c r="D2552" t="str">
        <f>data!D2552</f>
        <v>CHATEAU JOUCLARY</v>
      </c>
      <c r="E2552" t="str">
        <f>data!E2552</f>
        <v>162001</v>
      </c>
      <c r="F2552" t="str">
        <f>data!F2552</f>
        <v>AC CABARDES CH JOUCLARY</v>
      </c>
      <c r="G2552" s="10">
        <f>data!G2552</f>
        <v>1009.2</v>
      </c>
      <c r="H2552" s="10">
        <f>data!I2552</f>
        <v>2338</v>
      </c>
      <c r="I2552" s="10">
        <f t="shared" si="156"/>
        <v>-1328.8</v>
      </c>
      <c r="J2552" s="11">
        <f>data!H2552</f>
        <v>348</v>
      </c>
      <c r="K2552" s="11">
        <f>data!J2552</f>
        <v>840</v>
      </c>
      <c r="L2552" s="11">
        <f t="shared" si="157"/>
        <v>-492</v>
      </c>
      <c r="M2552" s="9">
        <f t="shared" si="158"/>
        <v>-0.56834901625320788</v>
      </c>
      <c r="N2552" s="9">
        <f t="shared" si="159"/>
        <v>-0.58571428571428574</v>
      </c>
    </row>
    <row r="2553" spans="1:14" x14ac:dyDescent="0.25">
      <c r="A2553" t="str">
        <f>TEXT("1/"&amp;data!A2553,"mmmm")</f>
        <v>septembre</v>
      </c>
      <c r="B2553">
        <f>data!B2553</f>
        <v>2016</v>
      </c>
      <c r="C2553" t="str">
        <f>data!C2553</f>
        <v>162</v>
      </c>
      <c r="D2553" t="str">
        <f>data!D2553</f>
        <v>CHATEAU JOUCLARY</v>
      </c>
      <c r="E2553" t="str">
        <f>data!E2553</f>
        <v>162002</v>
      </c>
      <c r="F2553" t="str">
        <f>data!F2553</f>
        <v>AC CABARDES JOUCLARY CUVEE AMANDIERS</v>
      </c>
      <c r="G2553" s="10">
        <f>data!G2553</f>
        <v>103.2</v>
      </c>
      <c r="H2553" s="10">
        <f>data!I2553</f>
        <v>392</v>
      </c>
      <c r="I2553" s="10">
        <f t="shared" si="156"/>
        <v>-288.8</v>
      </c>
      <c r="J2553" s="11">
        <f>data!H2553</f>
        <v>24</v>
      </c>
      <c r="K2553" s="11">
        <f>data!J2553</f>
        <v>102</v>
      </c>
      <c r="L2553" s="11">
        <f t="shared" si="157"/>
        <v>-78</v>
      </c>
      <c r="M2553" s="9">
        <f t="shared" si="158"/>
        <v>-0.73673469387755108</v>
      </c>
      <c r="N2553" s="9">
        <f t="shared" si="159"/>
        <v>-0.76470588235294112</v>
      </c>
    </row>
    <row r="2554" spans="1:14" x14ac:dyDescent="0.25">
      <c r="A2554" t="str">
        <f>TEXT("1/"&amp;data!A2554,"mmmm")</f>
        <v>septembre</v>
      </c>
      <c r="B2554">
        <f>data!B2554</f>
        <v>2016</v>
      </c>
      <c r="C2554" t="str">
        <f>data!C2554</f>
        <v>162</v>
      </c>
      <c r="D2554" t="str">
        <f>data!D2554</f>
        <v>CHATEAU JOUCLARY</v>
      </c>
      <c r="E2554" t="str">
        <f>data!E2554</f>
        <v>162003</v>
      </c>
      <c r="F2554" t="str">
        <f>data!F2554</f>
        <v>AOP CABARDES JOUCLARY</v>
      </c>
      <c r="G2554" s="10">
        <f>data!G2554</f>
        <v>139.19999999999999</v>
      </c>
      <c r="H2554" s="10">
        <f>data!I2554</f>
        <v>84</v>
      </c>
      <c r="I2554" s="10">
        <f t="shared" si="156"/>
        <v>55.199999999999989</v>
      </c>
      <c r="J2554" s="11">
        <f>data!H2554</f>
        <v>228</v>
      </c>
      <c r="K2554" s="11">
        <f>data!J2554</f>
        <v>30</v>
      </c>
      <c r="L2554" s="11">
        <f t="shared" si="157"/>
        <v>198</v>
      </c>
      <c r="M2554" s="9">
        <f t="shared" si="158"/>
        <v>0.65714285714285703</v>
      </c>
      <c r="N2554" s="9">
        <f t="shared" si="159"/>
        <v>6.6</v>
      </c>
    </row>
    <row r="2555" spans="1:14" x14ac:dyDescent="0.25">
      <c r="A2555" t="str">
        <f>TEXT("1/"&amp;data!A2555,"mmmm")</f>
        <v>septembre</v>
      </c>
      <c r="B2555">
        <f>data!B2555</f>
        <v>2016</v>
      </c>
      <c r="C2555" t="str">
        <f>data!C2555</f>
        <v>162</v>
      </c>
      <c r="D2555" t="str">
        <f>data!D2555</f>
        <v>CHATEAU JOUCLARY</v>
      </c>
      <c r="E2555" t="str">
        <f>data!E2555</f>
        <v>CDV162004</v>
      </c>
      <c r="F2555" t="str">
        <f>data!F2555</f>
        <v>IGP OC SAUVIGNON CH JOUCLARY</v>
      </c>
      <c r="G2555" s="10">
        <f>data!G2555</f>
        <v>30</v>
      </c>
      <c r="H2555" s="10">
        <f>data!I2555</f>
        <v>90</v>
      </c>
      <c r="I2555" s="10">
        <f t="shared" si="156"/>
        <v>-60</v>
      </c>
      <c r="J2555" s="11">
        <f>data!H2555</f>
        <v>12</v>
      </c>
      <c r="K2555" s="11">
        <f>data!J2555</f>
        <v>36</v>
      </c>
      <c r="L2555" s="11">
        <f t="shared" si="157"/>
        <v>-24</v>
      </c>
      <c r="M2555" s="9">
        <f t="shared" si="158"/>
        <v>-0.66666666666666663</v>
      </c>
      <c r="N2555" s="9">
        <f t="shared" si="159"/>
        <v>-0.66666666666666663</v>
      </c>
    </row>
    <row r="2556" spans="1:14" x14ac:dyDescent="0.25">
      <c r="A2556" t="str">
        <f>TEXT("1/"&amp;data!A2556,"mmmm")</f>
        <v>septembre</v>
      </c>
      <c r="B2556">
        <f>data!B2556</f>
        <v>2016</v>
      </c>
      <c r="C2556" t="str">
        <f>data!C2556</f>
        <v>164</v>
      </c>
      <c r="D2556" t="str">
        <f>data!D2556</f>
        <v>CHATEAU JUPILLE</v>
      </c>
      <c r="E2556" t="str">
        <f>data!E2556</f>
        <v>164002</v>
      </c>
      <c r="F2556" t="str">
        <f>data!F2556</f>
        <v>AC ST EMILION CH JUPILLE CARILLON</v>
      </c>
      <c r="G2556" s="10">
        <f>data!G2556</f>
        <v>1148.4000000000001</v>
      </c>
      <c r="H2556" s="10">
        <f>data!I2556</f>
        <v>0</v>
      </c>
      <c r="I2556" s="10">
        <f t="shared" si="156"/>
        <v>1148.4000000000001</v>
      </c>
      <c r="J2556" s="11">
        <f>data!H2556</f>
        <v>174</v>
      </c>
      <c r="K2556" s="11">
        <f>data!J2556</f>
        <v>0</v>
      </c>
      <c r="L2556" s="11">
        <f t="shared" si="157"/>
        <v>174</v>
      </c>
      <c r="M2556" s="9" t="str">
        <f t="shared" si="158"/>
        <v/>
      </c>
      <c r="N2556" s="9" t="str">
        <f t="shared" si="159"/>
        <v/>
      </c>
    </row>
    <row r="2557" spans="1:14" x14ac:dyDescent="0.25">
      <c r="A2557" t="str">
        <f>TEXT("1/"&amp;data!A2557,"mmmm")</f>
        <v>septembre</v>
      </c>
      <c r="B2557">
        <f>data!B2557</f>
        <v>2016</v>
      </c>
      <c r="C2557" t="str">
        <f>data!C2557</f>
        <v>164</v>
      </c>
      <c r="D2557" t="str">
        <f>data!D2557</f>
        <v>CHATEAU JUPILLE</v>
      </c>
      <c r="E2557" t="str">
        <f>data!E2557</f>
        <v>164005/12</v>
      </c>
      <c r="F2557" t="str">
        <f>data!F2557</f>
        <v>AC ST EMILION GD CRU CH JUCALIS</v>
      </c>
      <c r="G2557" s="10">
        <f>data!G2557</f>
        <v>540</v>
      </c>
      <c r="H2557" s="10">
        <f>data!I2557</f>
        <v>0</v>
      </c>
      <c r="I2557" s="10">
        <f t="shared" si="156"/>
        <v>540</v>
      </c>
      <c r="J2557" s="11">
        <f>data!H2557</f>
        <v>60</v>
      </c>
      <c r="K2557" s="11">
        <f>data!J2557</f>
        <v>0</v>
      </c>
      <c r="L2557" s="11">
        <f t="shared" si="157"/>
        <v>60</v>
      </c>
      <c r="M2557" s="9" t="str">
        <f t="shared" si="158"/>
        <v/>
      </c>
      <c r="N2557" s="9" t="str">
        <f t="shared" si="159"/>
        <v/>
      </c>
    </row>
    <row r="2558" spans="1:14" x14ac:dyDescent="0.25">
      <c r="A2558" t="str">
        <f>TEXT("1/"&amp;data!A2558,"mmmm")</f>
        <v>septembre</v>
      </c>
      <c r="B2558">
        <f>data!B2558</f>
        <v>2016</v>
      </c>
      <c r="C2558" t="str">
        <f>data!C2558</f>
        <v>164</v>
      </c>
      <c r="D2558" t="str">
        <f>data!D2558</f>
        <v>CHATEAU JUPILLE</v>
      </c>
      <c r="E2558" t="str">
        <f>data!E2558</f>
        <v>164010</v>
      </c>
      <c r="F2558" t="str">
        <f>data!F2558</f>
        <v>AOP SAINT EMILION JUPILLE CARILLON</v>
      </c>
      <c r="G2558" s="10">
        <f>data!G2558</f>
        <v>114</v>
      </c>
      <c r="H2558" s="10">
        <f>data!I2558</f>
        <v>0</v>
      </c>
      <c r="I2558" s="10">
        <f t="shared" si="156"/>
        <v>114</v>
      </c>
      <c r="J2558" s="11">
        <f>data!H2558</f>
        <v>40.019999999999996</v>
      </c>
      <c r="K2558" s="11">
        <f>data!J2558</f>
        <v>0</v>
      </c>
      <c r="L2558" s="11">
        <f t="shared" si="157"/>
        <v>40.019999999999996</v>
      </c>
      <c r="M2558" s="9" t="str">
        <f t="shared" si="158"/>
        <v/>
      </c>
      <c r="N2558" s="9" t="str">
        <f t="shared" si="159"/>
        <v/>
      </c>
    </row>
    <row r="2559" spans="1:14" x14ac:dyDescent="0.25">
      <c r="A2559" t="str">
        <f>TEXT("1/"&amp;data!A2559,"mmmm")</f>
        <v>septembre</v>
      </c>
      <c r="B2559">
        <f>data!B2559</f>
        <v>2016</v>
      </c>
      <c r="C2559" t="str">
        <f>data!C2559</f>
        <v>168</v>
      </c>
      <c r="D2559" t="str">
        <f>data!D2559</f>
        <v>CHATEAU LA ROSE SARRON</v>
      </c>
      <c r="E2559" t="str">
        <f>data!E2559</f>
        <v>168001</v>
      </c>
      <c r="F2559" t="str">
        <f>data!F2559</f>
        <v>AC GRAVES CH LA ROSE SARRON</v>
      </c>
      <c r="G2559" s="10">
        <f>data!G2559</f>
        <v>516.6</v>
      </c>
      <c r="H2559" s="10">
        <f>data!I2559</f>
        <v>968</v>
      </c>
      <c r="I2559" s="10">
        <f t="shared" si="156"/>
        <v>-451.4</v>
      </c>
      <c r="J2559" s="11">
        <f>data!H2559</f>
        <v>126</v>
      </c>
      <c r="K2559" s="11">
        <f>data!J2559</f>
        <v>252</v>
      </c>
      <c r="L2559" s="11">
        <f t="shared" si="157"/>
        <v>-126</v>
      </c>
      <c r="M2559" s="9">
        <f t="shared" si="158"/>
        <v>-0.46632231404958674</v>
      </c>
      <c r="N2559" s="9">
        <f t="shared" si="159"/>
        <v>-0.5</v>
      </c>
    </row>
    <row r="2560" spans="1:14" x14ac:dyDescent="0.25">
      <c r="A2560" t="str">
        <f>TEXT("1/"&amp;data!A2560,"mmmm")</f>
        <v>septembre</v>
      </c>
      <c r="B2560">
        <f>data!B2560</f>
        <v>2016</v>
      </c>
      <c r="C2560" t="str">
        <f>data!C2560</f>
        <v>169</v>
      </c>
      <c r="D2560" t="str">
        <f>data!D2560</f>
        <v>CHATEAU PERREAU BEL AIR</v>
      </c>
      <c r="E2560" t="str">
        <f>data!E2560</f>
        <v>169001</v>
      </c>
      <c r="F2560" t="str">
        <f>data!F2560</f>
        <v>AC COTES DE CASTILLON CH PERREAU BEL AIR</v>
      </c>
      <c r="G2560" s="10">
        <f>data!G2560</f>
        <v>1628.4</v>
      </c>
      <c r="H2560" s="10">
        <f>data!I2560</f>
        <v>1392</v>
      </c>
      <c r="I2560" s="10">
        <f t="shared" si="156"/>
        <v>236.40000000000009</v>
      </c>
      <c r="J2560" s="11">
        <f>data!H2560</f>
        <v>552</v>
      </c>
      <c r="K2560" s="11">
        <f>data!J2560</f>
        <v>480</v>
      </c>
      <c r="L2560" s="11">
        <f t="shared" si="157"/>
        <v>72</v>
      </c>
      <c r="M2560" s="9">
        <f t="shared" si="158"/>
        <v>0.16982758620689661</v>
      </c>
      <c r="N2560" s="9">
        <f t="shared" si="159"/>
        <v>0.15</v>
      </c>
    </row>
    <row r="2561" spans="1:14" x14ac:dyDescent="0.25">
      <c r="A2561" t="str">
        <f>TEXT("1/"&amp;data!A2561,"mmmm")</f>
        <v>septembre</v>
      </c>
      <c r="B2561">
        <f>data!B2561</f>
        <v>2016</v>
      </c>
      <c r="C2561" t="str">
        <f>data!C2561</f>
        <v>169</v>
      </c>
      <c r="D2561" t="str">
        <f>data!D2561</f>
        <v>CHATEAU PERREAU BEL AIR</v>
      </c>
      <c r="E2561" t="str">
        <f>data!E2561</f>
        <v>169002</v>
      </c>
      <c r="F2561" t="str">
        <f>data!F2561</f>
        <v>AC BORDEAUX SUPERIEUR CHATEAU MESSAYA</v>
      </c>
      <c r="G2561" s="10">
        <f>data!G2561</f>
        <v>1393.08</v>
      </c>
      <c r="H2561" s="10">
        <f>data!I2561</f>
        <v>1502.82</v>
      </c>
      <c r="I2561" s="10">
        <f t="shared" si="156"/>
        <v>-109.74000000000001</v>
      </c>
      <c r="J2561" s="11">
        <f>data!H2561</f>
        <v>564</v>
      </c>
      <c r="K2561" s="11">
        <f>data!J2561</f>
        <v>636</v>
      </c>
      <c r="L2561" s="11">
        <f t="shared" si="157"/>
        <v>-72</v>
      </c>
      <c r="M2561" s="9">
        <f t="shared" si="158"/>
        <v>-7.3022717291491998E-2</v>
      </c>
      <c r="N2561" s="9">
        <f t="shared" si="159"/>
        <v>-0.11320754716981132</v>
      </c>
    </row>
    <row r="2562" spans="1:14" x14ac:dyDescent="0.25">
      <c r="A2562" t="str">
        <f>TEXT("1/"&amp;data!A2562,"mmmm")</f>
        <v>septembre</v>
      </c>
      <c r="B2562">
        <f>data!B2562</f>
        <v>2016</v>
      </c>
      <c r="C2562" t="str">
        <f>data!C2562</f>
        <v>169</v>
      </c>
      <c r="D2562" t="str">
        <f>data!D2562</f>
        <v>CHATEAU PERREAU BEL AIR</v>
      </c>
      <c r="E2562" t="str">
        <f>data!E2562</f>
        <v>169009</v>
      </c>
      <c r="F2562" t="str">
        <f>data!F2562</f>
        <v>AOP COTES DE BORDEAUX LES HAUTS DE PERREAU BEL AIR</v>
      </c>
      <c r="G2562" s="10">
        <f>data!G2562</f>
        <v>296</v>
      </c>
      <c r="H2562" s="10">
        <f>data!I2562</f>
        <v>1295</v>
      </c>
      <c r="I2562" s="10">
        <f t="shared" si="156"/>
        <v>-999</v>
      </c>
      <c r="J2562" s="11">
        <f>data!H2562</f>
        <v>213.28</v>
      </c>
      <c r="K2562" s="11">
        <f>data!J2562</f>
        <v>933.1</v>
      </c>
      <c r="L2562" s="11">
        <f t="shared" si="157"/>
        <v>-719.82</v>
      </c>
      <c r="M2562" s="9">
        <f t="shared" si="158"/>
        <v>-0.77142857142857146</v>
      </c>
      <c r="N2562" s="9">
        <f t="shared" si="159"/>
        <v>-0.77142857142857146</v>
      </c>
    </row>
    <row r="2563" spans="1:14" x14ac:dyDescent="0.25">
      <c r="A2563" t="str">
        <f>TEXT("1/"&amp;data!A2563,"mmmm")</f>
        <v>septembre</v>
      </c>
      <c r="B2563">
        <f>data!B2563</f>
        <v>2016</v>
      </c>
      <c r="C2563" t="str">
        <f>data!C2563</f>
        <v>169</v>
      </c>
      <c r="D2563" t="str">
        <f>data!D2563</f>
        <v>CHATEAU PERREAU BEL AIR</v>
      </c>
      <c r="E2563" t="str">
        <f>data!E2563</f>
        <v>169010</v>
      </c>
      <c r="F2563" t="str">
        <f>data!F2563</f>
        <v>AOP COTES DE BORDEAUX LES HAUTS DE PERREAU BEL AIR</v>
      </c>
      <c r="G2563" s="10">
        <f>data!G2563</f>
        <v>567</v>
      </c>
      <c r="H2563" s="10">
        <f>data!I2563</f>
        <v>840</v>
      </c>
      <c r="I2563" s="10">
        <f t="shared" ref="I2563:I2626" si="160">G2563-H2563</f>
        <v>-273</v>
      </c>
      <c r="J2563" s="11">
        <f>data!H2563</f>
        <v>360.18</v>
      </c>
      <c r="K2563" s="11">
        <f>data!J2563</f>
        <v>540.27</v>
      </c>
      <c r="L2563" s="11">
        <f t="shared" ref="L2563:L2626" si="161">J2563-K2563</f>
        <v>-180.08999999999997</v>
      </c>
      <c r="M2563" s="9">
        <f t="shared" ref="M2563:M2626" si="162">IF(ISERR(I2563/H2563),"",I2563/H2563)</f>
        <v>-0.32500000000000001</v>
      </c>
      <c r="N2563" s="9">
        <f t="shared" ref="N2563:N2626" si="163">IF(ISERR(L2563/K2563),"",L2563/K2563)</f>
        <v>-0.33333333333333331</v>
      </c>
    </row>
    <row r="2564" spans="1:14" x14ac:dyDescent="0.25">
      <c r="A2564" t="str">
        <f>TEXT("1/"&amp;data!A2564,"mmmm")</f>
        <v>septembre</v>
      </c>
      <c r="B2564">
        <f>data!B2564</f>
        <v>2016</v>
      </c>
      <c r="C2564" t="str">
        <f>data!C2564</f>
        <v>169</v>
      </c>
      <c r="D2564" t="str">
        <f>data!D2564</f>
        <v>CHATEAU PERREAU BEL AIR</v>
      </c>
      <c r="E2564" t="str">
        <f>data!E2564</f>
        <v>169012</v>
      </c>
      <c r="F2564" t="str">
        <f>data!F2564</f>
        <v>CHATEAU DE L'AUZE BERGERAC</v>
      </c>
      <c r="G2564" s="10">
        <f>data!G2564</f>
        <v>0</v>
      </c>
      <c r="H2564" s="10">
        <f>data!I2564</f>
        <v>0</v>
      </c>
      <c r="I2564" s="10">
        <f t="shared" si="160"/>
        <v>0</v>
      </c>
      <c r="J2564" s="11">
        <f>data!H2564</f>
        <v>6</v>
      </c>
      <c r="K2564" s="11">
        <f>data!J2564</f>
        <v>0</v>
      </c>
      <c r="L2564" s="11">
        <f t="shared" si="161"/>
        <v>6</v>
      </c>
      <c r="M2564" s="9" t="str">
        <f t="shared" si="162"/>
        <v/>
      </c>
      <c r="N2564" s="9" t="str">
        <f t="shared" si="163"/>
        <v/>
      </c>
    </row>
    <row r="2565" spans="1:14" x14ac:dyDescent="0.25">
      <c r="A2565" t="str">
        <f>TEXT("1/"&amp;data!A2565,"mmmm")</f>
        <v>septembre</v>
      </c>
      <c r="B2565">
        <f>data!B2565</f>
        <v>2016</v>
      </c>
      <c r="C2565" t="str">
        <f>data!C2565</f>
        <v>174</v>
      </c>
      <c r="D2565" t="str">
        <f>data!D2565</f>
        <v>SAS VIGNOBLES DES 3 CHATEAUX</v>
      </c>
      <c r="E2565" t="str">
        <f>data!E2565</f>
        <v>174001</v>
      </c>
      <c r="F2565" t="str">
        <f>data!F2565</f>
        <v>AC PIC SAINT LOUP LES DEESSES MUETTES EMOTION</v>
      </c>
      <c r="G2565" s="10">
        <f>data!G2565</f>
        <v>2633.76</v>
      </c>
      <c r="H2565" s="10">
        <f>data!I2565</f>
        <v>1718.64</v>
      </c>
      <c r="I2565" s="10">
        <f t="shared" si="160"/>
        <v>915.12000000000012</v>
      </c>
      <c r="J2565" s="11">
        <f>data!H2565</f>
        <v>708</v>
      </c>
      <c r="K2565" s="11">
        <f>data!J2565</f>
        <v>462</v>
      </c>
      <c r="L2565" s="11">
        <f t="shared" si="161"/>
        <v>246</v>
      </c>
      <c r="M2565" s="9">
        <f t="shared" si="162"/>
        <v>0.53246753246753253</v>
      </c>
      <c r="N2565" s="9">
        <f t="shared" si="163"/>
        <v>0.53246753246753242</v>
      </c>
    </row>
    <row r="2566" spans="1:14" x14ac:dyDescent="0.25">
      <c r="A2566" t="str">
        <f>TEXT("1/"&amp;data!A2566,"mmmm")</f>
        <v>septembre</v>
      </c>
      <c r="B2566">
        <f>data!B2566</f>
        <v>2016</v>
      </c>
      <c r="C2566" t="str">
        <f>data!C2566</f>
        <v>174</v>
      </c>
      <c r="D2566" t="str">
        <f>data!D2566</f>
        <v>SAS VIGNOBLES DES 3 CHATEAUX</v>
      </c>
      <c r="E2566" t="str">
        <f>data!E2566</f>
        <v>174002</v>
      </c>
      <c r="F2566" t="str">
        <f>data!F2566</f>
        <v>AC PIC SAINT LOUP CUVEE SPECIALE VIEILLI FUT DE CH</v>
      </c>
      <c r="G2566" s="10">
        <f>data!G2566</f>
        <v>520.79999999999995</v>
      </c>
      <c r="H2566" s="10">
        <f>data!I2566</f>
        <v>183.6</v>
      </c>
      <c r="I2566" s="10">
        <f t="shared" si="160"/>
        <v>337.19999999999993</v>
      </c>
      <c r="J2566" s="11">
        <f>data!H2566</f>
        <v>84</v>
      </c>
      <c r="K2566" s="11">
        <f>data!J2566</f>
        <v>36</v>
      </c>
      <c r="L2566" s="11">
        <f t="shared" si="161"/>
        <v>48</v>
      </c>
      <c r="M2566" s="9">
        <f t="shared" si="162"/>
        <v>1.8366013071895422</v>
      </c>
      <c r="N2566" s="9">
        <f t="shared" si="163"/>
        <v>1.3333333333333333</v>
      </c>
    </row>
    <row r="2567" spans="1:14" x14ac:dyDescent="0.25">
      <c r="A2567" t="str">
        <f>TEXT("1/"&amp;data!A2567,"mmmm")</f>
        <v>septembre</v>
      </c>
      <c r="B2567">
        <f>data!B2567</f>
        <v>2016</v>
      </c>
      <c r="C2567" t="str">
        <f>data!C2567</f>
        <v>174</v>
      </c>
      <c r="D2567" t="str">
        <f>data!D2567</f>
        <v>SAS VIGNOBLES DES 3 CHATEAUX</v>
      </c>
      <c r="E2567" t="str">
        <f>data!E2567</f>
        <v>174003</v>
      </c>
      <c r="F2567" t="str">
        <f>data!F2567</f>
        <v>IGP CARIGNAN - PETIT LOUP</v>
      </c>
      <c r="G2567" s="10">
        <f>data!G2567</f>
        <v>1778.68</v>
      </c>
      <c r="H2567" s="10">
        <f>data!I2567</f>
        <v>998.52</v>
      </c>
      <c r="I2567" s="10">
        <f t="shared" si="160"/>
        <v>780.16000000000008</v>
      </c>
      <c r="J2567" s="11">
        <f>data!H2567</f>
        <v>882</v>
      </c>
      <c r="K2567" s="11">
        <f>data!J2567</f>
        <v>510</v>
      </c>
      <c r="L2567" s="11">
        <f t="shared" si="161"/>
        <v>372</v>
      </c>
      <c r="M2567" s="9">
        <f t="shared" si="162"/>
        <v>0.78131634819532914</v>
      </c>
      <c r="N2567" s="9">
        <f t="shared" si="163"/>
        <v>0.72941176470588232</v>
      </c>
    </row>
    <row r="2568" spans="1:14" x14ac:dyDescent="0.25">
      <c r="A2568" t="str">
        <f>TEXT("1/"&amp;data!A2568,"mmmm")</f>
        <v>septembre</v>
      </c>
      <c r="B2568">
        <f>data!B2568</f>
        <v>2016</v>
      </c>
      <c r="C2568" t="str">
        <f>data!C2568</f>
        <v>174</v>
      </c>
      <c r="D2568" t="str">
        <f>data!D2568</f>
        <v>SAS VIGNOBLES DES 3 CHATEAUX</v>
      </c>
      <c r="E2568" t="str">
        <f>data!E2568</f>
        <v>174005</v>
      </c>
      <c r="F2568" t="str">
        <f>data!F2568</f>
        <v>IGP PAYS D'OC LES SARDINES</v>
      </c>
      <c r="G2568" s="10">
        <f>data!G2568</f>
        <v>778.8</v>
      </c>
      <c r="H2568" s="10">
        <f>data!I2568</f>
        <v>0</v>
      </c>
      <c r="I2568" s="10">
        <f t="shared" si="160"/>
        <v>778.8</v>
      </c>
      <c r="J2568" s="11">
        <f>data!H2568</f>
        <v>354</v>
      </c>
      <c r="K2568" s="11">
        <f>data!J2568</f>
        <v>0</v>
      </c>
      <c r="L2568" s="11">
        <f t="shared" si="161"/>
        <v>354</v>
      </c>
      <c r="M2568" s="9" t="str">
        <f t="shared" si="162"/>
        <v/>
      </c>
      <c r="N2568" s="9" t="str">
        <f t="shared" si="163"/>
        <v/>
      </c>
    </row>
    <row r="2569" spans="1:14" x14ac:dyDescent="0.25">
      <c r="A2569" t="str">
        <f>TEXT("1/"&amp;data!A2569,"mmmm")</f>
        <v>septembre</v>
      </c>
      <c r="B2569">
        <f>data!B2569</f>
        <v>2016</v>
      </c>
      <c r="C2569" t="str">
        <f>data!C2569</f>
        <v>174</v>
      </c>
      <c r="D2569" t="str">
        <f>data!D2569</f>
        <v>SAS VIGNOBLES DES 3 CHATEAUX</v>
      </c>
      <c r="E2569" t="str">
        <f>data!E2569</f>
        <v>174006</v>
      </c>
      <c r="F2569" t="str">
        <f>data!F2569</f>
        <v>IGP PAYS D'OC LES SARDINES</v>
      </c>
      <c r="G2569" s="10">
        <f>data!G2569</f>
        <v>1463</v>
      </c>
      <c r="H2569" s="10">
        <f>data!I2569</f>
        <v>0</v>
      </c>
      <c r="I2569" s="10">
        <f t="shared" si="160"/>
        <v>1463</v>
      </c>
      <c r="J2569" s="11">
        <f>data!H2569</f>
        <v>672</v>
      </c>
      <c r="K2569" s="11">
        <f>data!J2569</f>
        <v>0</v>
      </c>
      <c r="L2569" s="11">
        <f t="shared" si="161"/>
        <v>672</v>
      </c>
      <c r="M2569" s="9" t="str">
        <f t="shared" si="162"/>
        <v/>
      </c>
      <c r="N2569" s="9" t="str">
        <f t="shared" si="163"/>
        <v/>
      </c>
    </row>
    <row r="2570" spans="1:14" x14ac:dyDescent="0.25">
      <c r="A2570" t="str">
        <f>TEXT("1/"&amp;data!A2570,"mmmm")</f>
        <v>septembre</v>
      </c>
      <c r="B2570">
        <f>data!B2570</f>
        <v>2016</v>
      </c>
      <c r="C2570" t="str">
        <f>data!C2570</f>
        <v>174</v>
      </c>
      <c r="D2570" t="str">
        <f>data!D2570</f>
        <v>SAS VIGNOBLES DES 3 CHATEAUX</v>
      </c>
      <c r="E2570" t="str">
        <f>data!E2570</f>
        <v>174007</v>
      </c>
      <c r="F2570" t="str">
        <f>data!F2570</f>
        <v>IGP PAYS D'OC LES SARDINES</v>
      </c>
      <c r="G2570" s="10">
        <f>data!G2570</f>
        <v>869.4</v>
      </c>
      <c r="H2570" s="10">
        <f>data!I2570</f>
        <v>0</v>
      </c>
      <c r="I2570" s="10">
        <f t="shared" si="160"/>
        <v>869.4</v>
      </c>
      <c r="J2570" s="11">
        <f>data!H2570</f>
        <v>384</v>
      </c>
      <c r="K2570" s="11">
        <f>data!J2570</f>
        <v>0</v>
      </c>
      <c r="L2570" s="11">
        <f t="shared" si="161"/>
        <v>384</v>
      </c>
      <c r="M2570" s="9" t="str">
        <f t="shared" si="162"/>
        <v/>
      </c>
      <c r="N2570" s="9" t="str">
        <f t="shared" si="163"/>
        <v/>
      </c>
    </row>
    <row r="2571" spans="1:14" x14ac:dyDescent="0.25">
      <c r="A2571" t="str">
        <f>TEXT("1/"&amp;data!A2571,"mmmm")</f>
        <v>septembre</v>
      </c>
      <c r="B2571">
        <f>data!B2571</f>
        <v>2016</v>
      </c>
      <c r="C2571" t="str">
        <f>data!C2571</f>
        <v>174</v>
      </c>
      <c r="D2571" t="str">
        <f>data!D2571</f>
        <v>SAS VIGNOBLES DES 3 CHATEAUX</v>
      </c>
      <c r="E2571" t="str">
        <f>data!E2571</f>
        <v>174009</v>
      </c>
      <c r="F2571" t="str">
        <f>data!F2571</f>
        <v>AOP PIC SAINT LOUP LA DIABLESSE</v>
      </c>
      <c r="G2571" s="10">
        <f>data!G2571</f>
        <v>389.4</v>
      </c>
      <c r="H2571" s="10">
        <f>data!I2571</f>
        <v>0</v>
      </c>
      <c r="I2571" s="10">
        <f t="shared" si="160"/>
        <v>389.4</v>
      </c>
      <c r="J2571" s="11">
        <f>data!H2571</f>
        <v>66</v>
      </c>
      <c r="K2571" s="11">
        <f>data!J2571</f>
        <v>0</v>
      </c>
      <c r="L2571" s="11">
        <f t="shared" si="161"/>
        <v>66</v>
      </c>
      <c r="M2571" s="9" t="str">
        <f t="shared" si="162"/>
        <v/>
      </c>
      <c r="N2571" s="9" t="str">
        <f t="shared" si="163"/>
        <v/>
      </c>
    </row>
    <row r="2572" spans="1:14" x14ac:dyDescent="0.25">
      <c r="A2572" t="str">
        <f>TEXT("1/"&amp;data!A2572,"mmmm")</f>
        <v>septembre</v>
      </c>
      <c r="B2572">
        <f>data!B2572</f>
        <v>2016</v>
      </c>
      <c r="C2572" t="str">
        <f>data!C2572</f>
        <v>174</v>
      </c>
      <c r="D2572" t="str">
        <f>data!D2572</f>
        <v>SAS VIGNOBLES DES 3 CHATEAUX</v>
      </c>
      <c r="E2572" t="str">
        <f>data!E2572</f>
        <v>174010</v>
      </c>
      <c r="F2572" t="str">
        <f>data!F2572</f>
        <v>IGP OC MERLOT CABERNET TERROIR DES CIGALES</v>
      </c>
      <c r="G2572" s="10">
        <f>data!G2572</f>
        <v>696.8</v>
      </c>
      <c r="H2572" s="10">
        <f>data!I2572</f>
        <v>1037.4000000000001</v>
      </c>
      <c r="I2572" s="10">
        <f t="shared" si="160"/>
        <v>-340.60000000000014</v>
      </c>
      <c r="J2572" s="11">
        <f>data!H2572</f>
        <v>693.16</v>
      </c>
      <c r="K2572" s="11">
        <f>data!J2572</f>
        <v>1039.74</v>
      </c>
      <c r="L2572" s="11">
        <f t="shared" si="161"/>
        <v>-346.58000000000004</v>
      </c>
      <c r="M2572" s="9">
        <f t="shared" si="162"/>
        <v>-0.32832080200501262</v>
      </c>
      <c r="N2572" s="9">
        <f t="shared" si="163"/>
        <v>-0.33333333333333337</v>
      </c>
    </row>
    <row r="2573" spans="1:14" x14ac:dyDescent="0.25">
      <c r="A2573" t="str">
        <f>TEXT("1/"&amp;data!A2573,"mmmm")</f>
        <v>septembre</v>
      </c>
      <c r="B2573">
        <f>data!B2573</f>
        <v>2016</v>
      </c>
      <c r="C2573" t="str">
        <f>data!C2573</f>
        <v>174</v>
      </c>
      <c r="D2573" t="str">
        <f>data!D2573</f>
        <v>SAS VIGNOBLES DES 3 CHATEAUX</v>
      </c>
      <c r="E2573" t="str">
        <f>data!E2573</f>
        <v>174011</v>
      </c>
      <c r="F2573" t="str">
        <f>data!F2573</f>
        <v>IGP OC MERLOT CABERNET TERROIR DES CIGALES</v>
      </c>
      <c r="G2573" s="10">
        <f>data!G2573</f>
        <v>470.4</v>
      </c>
      <c r="H2573" s="10">
        <f>data!I2573</f>
        <v>794.58</v>
      </c>
      <c r="I2573" s="10">
        <f t="shared" si="160"/>
        <v>-324.18000000000006</v>
      </c>
      <c r="J2573" s="11">
        <f>data!H2573</f>
        <v>400.2</v>
      </c>
      <c r="K2573" s="11">
        <f>data!J2573</f>
        <v>693.68</v>
      </c>
      <c r="L2573" s="11">
        <f t="shared" si="161"/>
        <v>-293.47999999999996</v>
      </c>
      <c r="M2573" s="9">
        <f t="shared" si="162"/>
        <v>-0.40798912633089185</v>
      </c>
      <c r="N2573" s="9">
        <f t="shared" si="163"/>
        <v>-0.42307692307692307</v>
      </c>
    </row>
    <row r="2574" spans="1:14" x14ac:dyDescent="0.25">
      <c r="A2574" t="str">
        <f>TEXT("1/"&amp;data!A2574,"mmmm")</f>
        <v>septembre</v>
      </c>
      <c r="B2574">
        <f>data!B2574</f>
        <v>2016</v>
      </c>
      <c r="C2574" t="str">
        <f>data!C2574</f>
        <v>174</v>
      </c>
      <c r="D2574" t="str">
        <f>data!D2574</f>
        <v>SAS VIGNOBLES DES 3 CHATEAUX</v>
      </c>
      <c r="E2574" t="str">
        <f>data!E2574</f>
        <v>174015</v>
      </c>
      <c r="F2574" t="str">
        <f>data!F2574</f>
        <v>IGP OC CHARDONNAY LES CITELLES</v>
      </c>
      <c r="G2574" s="10">
        <f>data!G2574</f>
        <v>280.8</v>
      </c>
      <c r="H2574" s="10">
        <f>data!I2574</f>
        <v>315.89999999999998</v>
      </c>
      <c r="I2574" s="10">
        <f t="shared" si="160"/>
        <v>-35.099999999999966</v>
      </c>
      <c r="J2574" s="11">
        <f>data!H2574</f>
        <v>213.28</v>
      </c>
      <c r="K2574" s="11">
        <f>data!J2574</f>
        <v>239.94</v>
      </c>
      <c r="L2574" s="11">
        <f t="shared" si="161"/>
        <v>-26.659999999999997</v>
      </c>
      <c r="M2574" s="9">
        <f t="shared" si="162"/>
        <v>-0.11111111111111101</v>
      </c>
      <c r="N2574" s="9">
        <f t="shared" si="163"/>
        <v>-0.11111111111111109</v>
      </c>
    </row>
    <row r="2575" spans="1:14" x14ac:dyDescent="0.25">
      <c r="A2575" t="str">
        <f>TEXT("1/"&amp;data!A2575,"mmmm")</f>
        <v>septembre</v>
      </c>
      <c r="B2575">
        <f>data!B2575</f>
        <v>2016</v>
      </c>
      <c r="C2575" t="str">
        <f>data!C2575</f>
        <v>174</v>
      </c>
      <c r="D2575" t="str">
        <f>data!D2575</f>
        <v>SAS VIGNOBLES DES 3 CHATEAUX</v>
      </c>
      <c r="E2575" t="str">
        <f>data!E2575</f>
        <v>174016</v>
      </c>
      <c r="F2575" t="str">
        <f>data!F2575</f>
        <v>IGP OC CHARDONNAY LES CITELLES</v>
      </c>
      <c r="G2575" s="10">
        <f>data!G2575</f>
        <v>288.83999999999997</v>
      </c>
      <c r="H2575" s="10">
        <f>data!I2575</f>
        <v>677.28</v>
      </c>
      <c r="I2575" s="10">
        <f t="shared" si="160"/>
        <v>-388.44</v>
      </c>
      <c r="J2575" s="11">
        <f>data!H2575</f>
        <v>193.43</v>
      </c>
      <c r="K2575" s="11">
        <f>data!J2575</f>
        <v>453.56</v>
      </c>
      <c r="L2575" s="11">
        <f t="shared" si="161"/>
        <v>-260.13</v>
      </c>
      <c r="M2575" s="9">
        <f t="shared" si="162"/>
        <v>-0.57352941176470595</v>
      </c>
      <c r="N2575" s="9">
        <f t="shared" si="163"/>
        <v>-0.57352941176470584</v>
      </c>
    </row>
    <row r="2576" spans="1:14" x14ac:dyDescent="0.25">
      <c r="A2576" t="str">
        <f>TEXT("1/"&amp;data!A2576,"mmmm")</f>
        <v>septembre</v>
      </c>
      <c r="B2576">
        <f>data!B2576</f>
        <v>2016</v>
      </c>
      <c r="C2576" t="str">
        <f>data!C2576</f>
        <v>175</v>
      </c>
      <c r="D2576" t="str">
        <f>data!D2576</f>
        <v>SARL MAISON PERE &amp; FILS</v>
      </c>
      <c r="E2576" t="str">
        <f>data!E2576</f>
        <v>175001</v>
      </c>
      <c r="F2576" t="str">
        <f>data!F2576</f>
        <v>AC CHEVERNY DME MAISON</v>
      </c>
      <c r="G2576" s="10">
        <f>data!G2576</f>
        <v>967.5</v>
      </c>
      <c r="H2576" s="10">
        <f>data!I2576</f>
        <v>577.20000000000005</v>
      </c>
      <c r="I2576" s="10">
        <f t="shared" si="160"/>
        <v>390.29999999999995</v>
      </c>
      <c r="J2576" s="11">
        <f>data!H2576</f>
        <v>258</v>
      </c>
      <c r="K2576" s="11">
        <f>data!J2576</f>
        <v>156</v>
      </c>
      <c r="L2576" s="11">
        <f t="shared" si="161"/>
        <v>102</v>
      </c>
      <c r="M2576" s="9">
        <f t="shared" si="162"/>
        <v>0.67619542619542605</v>
      </c>
      <c r="N2576" s="9">
        <f t="shared" si="163"/>
        <v>0.65384615384615385</v>
      </c>
    </row>
    <row r="2577" spans="1:14" x14ac:dyDescent="0.25">
      <c r="A2577" t="str">
        <f>TEXT("1/"&amp;data!A2577,"mmmm")</f>
        <v>septembre</v>
      </c>
      <c r="B2577">
        <f>data!B2577</f>
        <v>2016</v>
      </c>
      <c r="C2577" t="str">
        <f>data!C2577</f>
        <v>175</v>
      </c>
      <c r="D2577" t="str">
        <f>data!D2577</f>
        <v>SARL MAISON PERE &amp; FILS</v>
      </c>
      <c r="E2577" t="str">
        <f>data!E2577</f>
        <v>175002</v>
      </c>
      <c r="F2577" t="str">
        <f>data!F2577</f>
        <v>AC CHEVERNY DME MAISON</v>
      </c>
      <c r="G2577" s="10">
        <f>data!G2577</f>
        <v>90</v>
      </c>
      <c r="H2577" s="10">
        <f>data!I2577</f>
        <v>222</v>
      </c>
      <c r="I2577" s="10">
        <f t="shared" si="160"/>
        <v>-132</v>
      </c>
      <c r="J2577" s="11">
        <f>data!H2577</f>
        <v>24</v>
      </c>
      <c r="K2577" s="11">
        <f>data!J2577</f>
        <v>60</v>
      </c>
      <c r="L2577" s="11">
        <f t="shared" si="161"/>
        <v>-36</v>
      </c>
      <c r="M2577" s="9">
        <f t="shared" si="162"/>
        <v>-0.59459459459459463</v>
      </c>
      <c r="N2577" s="9">
        <f t="shared" si="163"/>
        <v>-0.6</v>
      </c>
    </row>
    <row r="2578" spans="1:14" x14ac:dyDescent="0.25">
      <c r="A2578" t="str">
        <f>TEXT("1/"&amp;data!A2578,"mmmm")</f>
        <v>septembre</v>
      </c>
      <c r="B2578">
        <f>data!B2578</f>
        <v>2016</v>
      </c>
      <c r="C2578" t="str">
        <f>data!C2578</f>
        <v>199</v>
      </c>
      <c r="D2578" t="str">
        <f>data!D2578</f>
        <v>PRIEURE SAINT JEAN DE BEBIAN</v>
      </c>
      <c r="E2578" t="str">
        <f>data!E2578</f>
        <v>199001</v>
      </c>
      <c r="F2578" t="str">
        <f>data!F2578</f>
        <v>AC COTEAUX DU LANGUEDOC CHAPELLE</v>
      </c>
      <c r="G2578" s="10">
        <f>data!G2578</f>
        <v>442.2</v>
      </c>
      <c r="H2578" s="10">
        <f>data!I2578</f>
        <v>1686.4</v>
      </c>
      <c r="I2578" s="10">
        <f t="shared" si="160"/>
        <v>-1244.2</v>
      </c>
      <c r="J2578" s="11">
        <f>data!H2578</f>
        <v>66</v>
      </c>
      <c r="K2578" s="11">
        <f>data!J2578</f>
        <v>282</v>
      </c>
      <c r="L2578" s="11">
        <f t="shared" si="161"/>
        <v>-216</v>
      </c>
      <c r="M2578" s="9">
        <f t="shared" si="162"/>
        <v>-0.73778462998102468</v>
      </c>
      <c r="N2578" s="9">
        <f t="shared" si="163"/>
        <v>-0.76595744680851063</v>
      </c>
    </row>
    <row r="2579" spans="1:14" x14ac:dyDescent="0.25">
      <c r="A2579" t="str">
        <f>TEXT("1/"&amp;data!A2579,"mmmm")</f>
        <v>septembre</v>
      </c>
      <c r="B2579">
        <f>data!B2579</f>
        <v>2016</v>
      </c>
      <c r="C2579" t="str">
        <f>data!C2579</f>
        <v>199</v>
      </c>
      <c r="D2579" t="str">
        <f>data!D2579</f>
        <v>PRIEURE SAINT JEAN DE BEBIAN</v>
      </c>
      <c r="E2579" t="str">
        <f>data!E2579</f>
        <v>199002</v>
      </c>
      <c r="F2579" t="str">
        <f>data!F2579</f>
        <v>AC COTEAUX DU LANGUEDOC PRIEURE ST JEAN</v>
      </c>
      <c r="G2579" s="10">
        <f>data!G2579</f>
        <v>-244.8</v>
      </c>
      <c r="H2579" s="10">
        <f>data!I2579</f>
        <v>663</v>
      </c>
      <c r="I2579" s="10">
        <f t="shared" si="160"/>
        <v>-907.8</v>
      </c>
      <c r="J2579" s="11">
        <f>data!H2579</f>
        <v>-18</v>
      </c>
      <c r="K2579" s="11">
        <f>data!J2579</f>
        <v>54</v>
      </c>
      <c r="L2579" s="11">
        <f t="shared" si="161"/>
        <v>-72</v>
      </c>
      <c r="M2579" s="9">
        <f t="shared" si="162"/>
        <v>-1.3692307692307693</v>
      </c>
      <c r="N2579" s="9">
        <f t="shared" si="163"/>
        <v>-1.3333333333333333</v>
      </c>
    </row>
    <row r="2580" spans="1:14" x14ac:dyDescent="0.25">
      <c r="A2580" t="str">
        <f>TEXT("1/"&amp;data!A2580,"mmmm")</f>
        <v>septembre</v>
      </c>
      <c r="B2580">
        <f>data!B2580</f>
        <v>2016</v>
      </c>
      <c r="C2580" t="str">
        <f>data!C2580</f>
        <v>199</v>
      </c>
      <c r="D2580" t="str">
        <f>data!D2580</f>
        <v>PRIEURE SAINT JEAN DE BEBIAN</v>
      </c>
      <c r="E2580" t="str">
        <f>data!E2580</f>
        <v>199003</v>
      </c>
      <c r="F2580" t="str">
        <f>data!F2580</f>
        <v>AC COTEAUX DU LANGUEDOC LA CROIX DE BEBIAN</v>
      </c>
      <c r="G2580" s="10">
        <f>data!G2580</f>
        <v>100.8</v>
      </c>
      <c r="H2580" s="10">
        <f>data!I2580</f>
        <v>915.6</v>
      </c>
      <c r="I2580" s="10">
        <f t="shared" si="160"/>
        <v>-814.80000000000007</v>
      </c>
      <c r="J2580" s="11">
        <f>data!H2580</f>
        <v>24</v>
      </c>
      <c r="K2580" s="11">
        <f>data!J2580</f>
        <v>234</v>
      </c>
      <c r="L2580" s="11">
        <f t="shared" si="161"/>
        <v>-210</v>
      </c>
      <c r="M2580" s="9">
        <f t="shared" si="162"/>
        <v>-0.88990825688073405</v>
      </c>
      <c r="N2580" s="9">
        <f t="shared" si="163"/>
        <v>-0.89743589743589747</v>
      </c>
    </row>
    <row r="2581" spans="1:14" x14ac:dyDescent="0.25">
      <c r="A2581" t="str">
        <f>TEXT("1/"&amp;data!A2581,"mmmm")</f>
        <v>septembre</v>
      </c>
      <c r="B2581">
        <f>data!B2581</f>
        <v>2016</v>
      </c>
      <c r="C2581" t="str">
        <f>data!C2581</f>
        <v>201</v>
      </c>
      <c r="D2581" t="str">
        <f>data!D2581</f>
        <v>CAVE LES COTEAUX DU RHONE</v>
      </c>
      <c r="E2581" t="str">
        <f>data!E2581</f>
        <v>201001</v>
      </c>
      <c r="F2581" t="str">
        <f>data!F2581</f>
        <v>IGP VAUCLUSE D'ORANGE CAVE LES COTEAUX DU RHONE</v>
      </c>
      <c r="G2581" s="10">
        <f>data!G2581</f>
        <v>1208.7</v>
      </c>
      <c r="H2581" s="10">
        <f>data!I2581</f>
        <v>326.8</v>
      </c>
      <c r="I2581" s="10">
        <f t="shared" si="160"/>
        <v>881.90000000000009</v>
      </c>
      <c r="J2581" s="11">
        <f>data!H2581</f>
        <v>1060.53</v>
      </c>
      <c r="K2581" s="11">
        <f>data!J2581</f>
        <v>286.81</v>
      </c>
      <c r="L2581" s="11">
        <f t="shared" si="161"/>
        <v>773.72</v>
      </c>
      <c r="M2581" s="9">
        <f t="shared" si="162"/>
        <v>2.69859241126071</v>
      </c>
      <c r="N2581" s="9">
        <f t="shared" si="163"/>
        <v>2.6976744186046511</v>
      </c>
    </row>
    <row r="2582" spans="1:14" x14ac:dyDescent="0.25">
      <c r="A2582" t="str">
        <f>TEXT("1/"&amp;data!A2582,"mmmm")</f>
        <v>septembre</v>
      </c>
      <c r="B2582">
        <f>data!B2582</f>
        <v>2016</v>
      </c>
      <c r="C2582" t="str">
        <f>data!C2582</f>
        <v>201</v>
      </c>
      <c r="D2582" t="str">
        <f>data!D2582</f>
        <v>CAVE LES COTEAUX DU RHONE</v>
      </c>
      <c r="E2582" t="str">
        <f>data!E2582</f>
        <v>201002</v>
      </c>
      <c r="F2582" t="str">
        <f>data!F2582</f>
        <v>IGP VAUCLUSE D'ORANGE CAVE LES COTEAUX DU RHONE</v>
      </c>
      <c r="G2582" s="10">
        <f>data!G2582</f>
        <v>2015.85</v>
      </c>
      <c r="H2582" s="10">
        <f>data!I2582</f>
        <v>2809</v>
      </c>
      <c r="I2582" s="10">
        <f t="shared" si="160"/>
        <v>-793.15000000000009</v>
      </c>
      <c r="J2582" s="11">
        <f>data!H2582</f>
        <v>2012.83</v>
      </c>
      <c r="K2582" s="11">
        <f>data!J2582</f>
        <v>2825.96</v>
      </c>
      <c r="L2582" s="11">
        <f t="shared" si="161"/>
        <v>-813.13000000000011</v>
      </c>
      <c r="M2582" s="9">
        <f t="shared" si="162"/>
        <v>-0.28236027055891777</v>
      </c>
      <c r="N2582" s="9">
        <f t="shared" si="163"/>
        <v>-0.28773584905660382</v>
      </c>
    </row>
    <row r="2583" spans="1:14" x14ac:dyDescent="0.25">
      <c r="A2583" t="str">
        <f>TEXT("1/"&amp;data!A2583,"mmmm")</f>
        <v>septembre</v>
      </c>
      <c r="B2583">
        <f>data!B2583</f>
        <v>2016</v>
      </c>
      <c r="C2583" t="str">
        <f>data!C2583</f>
        <v>201</v>
      </c>
      <c r="D2583" t="str">
        <f>data!D2583</f>
        <v>CAVE LES COTEAUX DU RHONE</v>
      </c>
      <c r="E2583" t="str">
        <f>data!E2583</f>
        <v>201003</v>
      </c>
      <c r="F2583" t="str">
        <f>data!F2583</f>
        <v>IGP MEDITERRANEE LES COTEAUX DU RHONE</v>
      </c>
      <c r="G2583" s="10">
        <f>data!G2583</f>
        <v>2295</v>
      </c>
      <c r="H2583" s="10">
        <f>data!I2583</f>
        <v>805.6</v>
      </c>
      <c r="I2583" s="10">
        <f t="shared" si="160"/>
        <v>1489.4</v>
      </c>
      <c r="J2583" s="11">
        <f>data!H2583</f>
        <v>2054.36</v>
      </c>
      <c r="K2583" s="11">
        <f>data!J2583</f>
        <v>707.02</v>
      </c>
      <c r="L2583" s="11">
        <f t="shared" si="161"/>
        <v>1347.3400000000001</v>
      </c>
      <c r="M2583" s="9">
        <f t="shared" si="162"/>
        <v>1.8488083416087389</v>
      </c>
      <c r="N2583" s="9">
        <f t="shared" si="163"/>
        <v>1.9056603773584908</v>
      </c>
    </row>
    <row r="2584" spans="1:14" x14ac:dyDescent="0.25">
      <c r="A2584" t="str">
        <f>TEXT("1/"&amp;data!A2584,"mmmm")</f>
        <v>septembre</v>
      </c>
      <c r="B2584">
        <f>data!B2584</f>
        <v>2016</v>
      </c>
      <c r="C2584" t="str">
        <f>data!C2584</f>
        <v>201</v>
      </c>
      <c r="D2584" t="str">
        <f>data!D2584</f>
        <v>CAVE LES COTEAUX DU RHONE</v>
      </c>
      <c r="E2584" t="str">
        <f>data!E2584</f>
        <v>201004</v>
      </c>
      <c r="F2584" t="str">
        <f>data!F2584</f>
        <v>IGP MEDITERRANEE LES COTEAUX DU RHONE</v>
      </c>
      <c r="G2584" s="10">
        <f>data!G2584</f>
        <v>5139.75</v>
      </c>
      <c r="H2584" s="10">
        <f>data!I2584</f>
        <v>3604</v>
      </c>
      <c r="I2584" s="10">
        <f t="shared" si="160"/>
        <v>1535.75</v>
      </c>
      <c r="J2584" s="11">
        <f>data!H2584</f>
        <v>5132.05</v>
      </c>
      <c r="K2584" s="11">
        <f>data!J2584</f>
        <v>3625.76</v>
      </c>
      <c r="L2584" s="11">
        <f t="shared" si="161"/>
        <v>1506.29</v>
      </c>
      <c r="M2584" s="9">
        <f t="shared" si="162"/>
        <v>0.42612375138734737</v>
      </c>
      <c r="N2584" s="9">
        <f t="shared" si="163"/>
        <v>0.4154411764705882</v>
      </c>
    </row>
    <row r="2585" spans="1:14" x14ac:dyDescent="0.25">
      <c r="A2585" t="str">
        <f>TEXT("1/"&amp;data!A2585,"mmmm")</f>
        <v>septembre</v>
      </c>
      <c r="B2585">
        <f>data!B2585</f>
        <v>2016</v>
      </c>
      <c r="C2585" t="str">
        <f>data!C2585</f>
        <v>201</v>
      </c>
      <c r="D2585" t="str">
        <f>data!D2585</f>
        <v>CAVE LES COTEAUX DU RHONE</v>
      </c>
      <c r="E2585" t="str">
        <f>data!E2585</f>
        <v>201006</v>
      </c>
      <c r="F2585" t="str">
        <f>data!F2585</f>
        <v>AOP COTES DU RHONE MAGIE D'UNE TERRE</v>
      </c>
      <c r="G2585" s="10">
        <f>data!G2585</f>
        <v>1915.2</v>
      </c>
      <c r="H2585" s="10">
        <f>data!I2585</f>
        <v>1188</v>
      </c>
      <c r="I2585" s="10">
        <f t="shared" si="160"/>
        <v>727.2</v>
      </c>
      <c r="J2585" s="11">
        <f>data!H2585</f>
        <v>798</v>
      </c>
      <c r="K2585" s="11">
        <f>data!J2585</f>
        <v>510</v>
      </c>
      <c r="L2585" s="11">
        <f t="shared" si="161"/>
        <v>288</v>
      </c>
      <c r="M2585" s="9">
        <f t="shared" si="162"/>
        <v>0.61212121212121218</v>
      </c>
      <c r="N2585" s="9">
        <f t="shared" si="163"/>
        <v>0.56470588235294117</v>
      </c>
    </row>
    <row r="2586" spans="1:14" x14ac:dyDescent="0.25">
      <c r="A2586" t="str">
        <f>TEXT("1/"&amp;data!A2586,"mmmm")</f>
        <v>septembre</v>
      </c>
      <c r="B2586">
        <f>data!B2586</f>
        <v>2016</v>
      </c>
      <c r="C2586" t="str">
        <f>data!C2586</f>
        <v>201</v>
      </c>
      <c r="D2586" t="str">
        <f>data!D2586</f>
        <v>CAVE LES COTEAUX DU RHONE</v>
      </c>
      <c r="E2586" t="str">
        <f>data!E2586</f>
        <v>201008</v>
      </c>
      <c r="F2586" t="str">
        <f>data!F2586</f>
        <v>AOP COTES DU RHONE PATRICE NICOLAS</v>
      </c>
      <c r="G2586" s="10">
        <f>data!G2586</f>
        <v>622.20000000000005</v>
      </c>
      <c r="H2586" s="10">
        <f>data!I2586</f>
        <v>134.4</v>
      </c>
      <c r="I2586" s="10">
        <f t="shared" si="160"/>
        <v>487.80000000000007</v>
      </c>
      <c r="J2586" s="11">
        <f>data!H2586</f>
        <v>204</v>
      </c>
      <c r="K2586" s="11">
        <f>data!J2586</f>
        <v>42</v>
      </c>
      <c r="L2586" s="11">
        <f t="shared" si="161"/>
        <v>162</v>
      </c>
      <c r="M2586" s="9">
        <f t="shared" si="162"/>
        <v>3.629464285714286</v>
      </c>
      <c r="N2586" s="9">
        <f t="shared" si="163"/>
        <v>3.8571428571428572</v>
      </c>
    </row>
    <row r="2587" spans="1:14" x14ac:dyDescent="0.25">
      <c r="A2587" t="str">
        <f>TEXT("1/"&amp;data!A2587,"mmmm")</f>
        <v>septembre</v>
      </c>
      <c r="B2587">
        <f>data!B2587</f>
        <v>2016</v>
      </c>
      <c r="C2587" t="str">
        <f>data!C2587</f>
        <v>201</v>
      </c>
      <c r="D2587" t="str">
        <f>data!D2587</f>
        <v>CAVE LES COTEAUX DU RHONE</v>
      </c>
      <c r="E2587" t="str">
        <f>data!E2587</f>
        <v>201010</v>
      </c>
      <c r="F2587" t="str">
        <f>data!F2587</f>
        <v>AOP COTES DU RHONE</v>
      </c>
      <c r="G2587" s="10">
        <f>data!G2587</f>
        <v>1134.5999999999999</v>
      </c>
      <c r="H2587" s="10">
        <f>data!I2587</f>
        <v>855.6</v>
      </c>
      <c r="I2587" s="10">
        <f t="shared" si="160"/>
        <v>278.99999999999989</v>
      </c>
      <c r="J2587" s="11">
        <f>data!H2587</f>
        <v>813.13</v>
      </c>
      <c r="K2587" s="11">
        <f>data!J2587</f>
        <v>613.17999999999995</v>
      </c>
      <c r="L2587" s="11">
        <f t="shared" si="161"/>
        <v>199.95000000000005</v>
      </c>
      <c r="M2587" s="9">
        <f t="shared" si="162"/>
        <v>0.32608695652173897</v>
      </c>
      <c r="N2587" s="9">
        <f t="shared" si="163"/>
        <v>0.32608695652173925</v>
      </c>
    </row>
    <row r="2588" spans="1:14" x14ac:dyDescent="0.25">
      <c r="A2588" t="str">
        <f>TEXT("1/"&amp;data!A2588,"mmmm")</f>
        <v>septembre</v>
      </c>
      <c r="B2588">
        <f>data!B2588</f>
        <v>2016</v>
      </c>
      <c r="C2588" t="str">
        <f>data!C2588</f>
        <v>201</v>
      </c>
      <c r="D2588" t="str">
        <f>data!D2588</f>
        <v>CAVE LES COTEAUX DU RHONE</v>
      </c>
      <c r="E2588" t="str">
        <f>data!E2588</f>
        <v>201011</v>
      </c>
      <c r="F2588" t="str">
        <f>data!F2588</f>
        <v>AOP COTES DU RHONE</v>
      </c>
      <c r="G2588" s="10">
        <f>data!G2588</f>
        <v>515.1</v>
      </c>
      <c r="H2588" s="10">
        <f>data!I2588</f>
        <v>343.4</v>
      </c>
      <c r="I2588" s="10">
        <f t="shared" si="160"/>
        <v>171.70000000000005</v>
      </c>
      <c r="J2588" s="11">
        <f>data!H2588</f>
        <v>400.2</v>
      </c>
      <c r="K2588" s="11">
        <f>data!J2588</f>
        <v>226.78</v>
      </c>
      <c r="L2588" s="11">
        <f t="shared" si="161"/>
        <v>173.42</v>
      </c>
      <c r="M2588" s="9">
        <f t="shared" si="162"/>
        <v>0.50000000000000011</v>
      </c>
      <c r="N2588" s="9">
        <f t="shared" si="163"/>
        <v>0.76470588235294112</v>
      </c>
    </row>
    <row r="2589" spans="1:14" x14ac:dyDescent="0.25">
      <c r="A2589" t="str">
        <f>TEXT("1/"&amp;data!A2589,"mmmm")</f>
        <v>septembre</v>
      </c>
      <c r="B2589">
        <f>data!B2589</f>
        <v>2016</v>
      </c>
      <c r="C2589" t="str">
        <f>data!C2589</f>
        <v>201</v>
      </c>
      <c r="D2589" t="str">
        <f>data!D2589</f>
        <v>CAVE LES COTEAUX DU RHONE</v>
      </c>
      <c r="E2589" t="str">
        <f>data!E2589</f>
        <v>201012</v>
      </c>
      <c r="F2589" t="str">
        <f>data!F2589</f>
        <v>AOP CDR VILLAGES PLAN DE DIEU PANICAUT</v>
      </c>
      <c r="G2589" s="10">
        <f>data!G2589</f>
        <v>262.8</v>
      </c>
      <c r="H2589" s="10">
        <f>data!I2589</f>
        <v>86.4</v>
      </c>
      <c r="I2589" s="10">
        <f t="shared" si="160"/>
        <v>176.4</v>
      </c>
      <c r="J2589" s="11">
        <f>data!H2589</f>
        <v>72</v>
      </c>
      <c r="K2589" s="11">
        <f>data!J2589</f>
        <v>24</v>
      </c>
      <c r="L2589" s="11">
        <f t="shared" si="161"/>
        <v>48</v>
      </c>
      <c r="M2589" s="9">
        <f t="shared" si="162"/>
        <v>2.0416666666666665</v>
      </c>
      <c r="N2589" s="9">
        <f t="shared" si="163"/>
        <v>2</v>
      </c>
    </row>
    <row r="2590" spans="1:14" x14ac:dyDescent="0.25">
      <c r="A2590" t="str">
        <f>TEXT("1/"&amp;data!A2590,"mmmm")</f>
        <v>septembre</v>
      </c>
      <c r="B2590">
        <f>data!B2590</f>
        <v>2016</v>
      </c>
      <c r="C2590" t="str">
        <f>data!C2590</f>
        <v>201</v>
      </c>
      <c r="D2590" t="str">
        <f>data!D2590</f>
        <v>CAVE LES COTEAUX DU RHONE</v>
      </c>
      <c r="E2590" t="str">
        <f>data!E2590</f>
        <v>201013</v>
      </c>
      <c r="F2590" t="str">
        <f>data!F2590</f>
        <v>AOP CDR VILLAGES CAIRANNE LA BOSQUETTE</v>
      </c>
      <c r="G2590" s="10">
        <f>data!G2590</f>
        <v>46.2</v>
      </c>
      <c r="H2590" s="10">
        <f>data!I2590</f>
        <v>48.6</v>
      </c>
      <c r="I2590" s="10">
        <f t="shared" si="160"/>
        <v>-2.3999999999999986</v>
      </c>
      <c r="J2590" s="11">
        <f>data!H2590</f>
        <v>12</v>
      </c>
      <c r="K2590" s="11">
        <f>data!J2590</f>
        <v>12</v>
      </c>
      <c r="L2590" s="11">
        <f t="shared" si="161"/>
        <v>0</v>
      </c>
      <c r="M2590" s="9">
        <f t="shared" si="162"/>
        <v>-4.9382716049382686E-2</v>
      </c>
      <c r="N2590" s="9">
        <f t="shared" si="163"/>
        <v>0</v>
      </c>
    </row>
    <row r="2591" spans="1:14" x14ac:dyDescent="0.25">
      <c r="A2591" t="str">
        <f>TEXT("1/"&amp;data!A2591,"mmmm")</f>
        <v>septembre</v>
      </c>
      <c r="B2591">
        <f>data!B2591</f>
        <v>2016</v>
      </c>
      <c r="C2591" t="str">
        <f>data!C2591</f>
        <v>201</v>
      </c>
      <c r="D2591" t="str">
        <f>data!D2591</f>
        <v>CAVE LES COTEAUX DU RHONE</v>
      </c>
      <c r="E2591" t="str">
        <f>data!E2591</f>
        <v>201014</v>
      </c>
      <c r="F2591" t="str">
        <f>data!F2591</f>
        <v>AOP COTES DU RHONE VILLAGES JASOUN</v>
      </c>
      <c r="G2591" s="10">
        <f>data!G2591</f>
        <v>468</v>
      </c>
      <c r="H2591" s="10">
        <f>data!I2591</f>
        <v>612</v>
      </c>
      <c r="I2591" s="10">
        <f t="shared" si="160"/>
        <v>-144</v>
      </c>
      <c r="J2591" s="11">
        <f>data!H2591</f>
        <v>156</v>
      </c>
      <c r="K2591" s="11">
        <f>data!J2591</f>
        <v>204</v>
      </c>
      <c r="L2591" s="11">
        <f t="shared" si="161"/>
        <v>-48</v>
      </c>
      <c r="M2591" s="9">
        <f t="shared" si="162"/>
        <v>-0.23529411764705882</v>
      </c>
      <c r="N2591" s="9">
        <f t="shared" si="163"/>
        <v>-0.23529411764705882</v>
      </c>
    </row>
    <row r="2592" spans="1:14" x14ac:dyDescent="0.25">
      <c r="A2592" t="str">
        <f>TEXT("1/"&amp;data!A2592,"mmmm")</f>
        <v>septembre</v>
      </c>
      <c r="B2592">
        <f>data!B2592</f>
        <v>2016</v>
      </c>
      <c r="C2592" t="str">
        <f>data!C2592</f>
        <v>201</v>
      </c>
      <c r="D2592" t="str">
        <f>data!D2592</f>
        <v>CAVE LES COTEAUX DU RHONE</v>
      </c>
      <c r="E2592" t="str">
        <f>data!E2592</f>
        <v>201015</v>
      </c>
      <c r="F2592" t="str">
        <f>data!F2592</f>
        <v>AOP CDR VILLAGES MASSIF D'UCHAUX ARBOUSE</v>
      </c>
      <c r="G2592" s="10">
        <f>data!G2592</f>
        <v>156</v>
      </c>
      <c r="H2592" s="10">
        <f>data!I2592</f>
        <v>0</v>
      </c>
      <c r="I2592" s="10">
        <f t="shared" si="160"/>
        <v>156</v>
      </c>
      <c r="J2592" s="11">
        <f>data!H2592</f>
        <v>48</v>
      </c>
      <c r="K2592" s="11">
        <f>data!J2592</f>
        <v>0</v>
      </c>
      <c r="L2592" s="11">
        <f t="shared" si="161"/>
        <v>48</v>
      </c>
      <c r="M2592" s="9" t="str">
        <f t="shared" si="162"/>
        <v/>
      </c>
      <c r="N2592" s="9" t="str">
        <f t="shared" si="163"/>
        <v/>
      </c>
    </row>
    <row r="2593" spans="1:14" x14ac:dyDescent="0.25">
      <c r="A2593" t="str">
        <f>TEXT("1/"&amp;data!A2593,"mmmm")</f>
        <v>septembre</v>
      </c>
      <c r="B2593">
        <f>data!B2593</f>
        <v>2016</v>
      </c>
      <c r="C2593" t="str">
        <f>data!C2593</f>
        <v>201</v>
      </c>
      <c r="D2593" t="str">
        <f>data!D2593</f>
        <v>CAVE LES COTEAUX DU RHONE</v>
      </c>
      <c r="E2593" t="str">
        <f>data!E2593</f>
        <v>201016</v>
      </c>
      <c r="F2593" t="str">
        <f>data!F2593</f>
        <v>AC COTES DU RHONE MAGIE D'UNE TERRE</v>
      </c>
      <c r="G2593" s="10">
        <f>data!G2593</f>
        <v>82.56</v>
      </c>
      <c r="H2593" s="10">
        <f>data!I2593</f>
        <v>0</v>
      </c>
      <c r="I2593" s="10">
        <f t="shared" si="160"/>
        <v>82.56</v>
      </c>
      <c r="J2593" s="11">
        <f>data!H2593</f>
        <v>24</v>
      </c>
      <c r="K2593" s="11">
        <f>data!J2593</f>
        <v>0</v>
      </c>
      <c r="L2593" s="11">
        <f t="shared" si="161"/>
        <v>24</v>
      </c>
      <c r="M2593" s="9" t="str">
        <f t="shared" si="162"/>
        <v/>
      </c>
      <c r="N2593" s="9" t="str">
        <f t="shared" si="163"/>
        <v/>
      </c>
    </row>
    <row r="2594" spans="1:14" x14ac:dyDescent="0.25">
      <c r="A2594" t="str">
        <f>TEXT("1/"&amp;data!A2594,"mmmm")</f>
        <v>septembre</v>
      </c>
      <c r="B2594">
        <f>data!B2594</f>
        <v>2016</v>
      </c>
      <c r="C2594" t="str">
        <f>data!C2594</f>
        <v>201</v>
      </c>
      <c r="D2594" t="str">
        <f>data!D2594</f>
        <v>CAVE LES COTEAUX DU RHONE</v>
      </c>
      <c r="E2594" t="str">
        <f>data!E2594</f>
        <v>201017</v>
      </c>
      <c r="F2594" t="str">
        <f>data!F2594</f>
        <v>IGP VAUCLUSE D'ORANGE CHASAN VERMENTINO</v>
      </c>
      <c r="G2594" s="10">
        <f>data!G2594</f>
        <v>49.5</v>
      </c>
      <c r="H2594" s="10">
        <f>data!I2594</f>
        <v>0</v>
      </c>
      <c r="I2594" s="10">
        <f t="shared" si="160"/>
        <v>49.5</v>
      </c>
      <c r="J2594" s="11">
        <f>data!H2594</f>
        <v>40.019999999999996</v>
      </c>
      <c r="K2594" s="11">
        <f>data!J2594</f>
        <v>0</v>
      </c>
      <c r="L2594" s="11">
        <f t="shared" si="161"/>
        <v>40.019999999999996</v>
      </c>
      <c r="M2594" s="9" t="str">
        <f t="shared" si="162"/>
        <v/>
      </c>
      <c r="N2594" s="9" t="str">
        <f t="shared" si="163"/>
        <v/>
      </c>
    </row>
    <row r="2595" spans="1:14" x14ac:dyDescent="0.25">
      <c r="A2595" t="str">
        <f>TEXT("1/"&amp;data!A2595,"mmmm")</f>
        <v>septembre</v>
      </c>
      <c r="B2595">
        <f>data!B2595</f>
        <v>2016</v>
      </c>
      <c r="C2595" t="str">
        <f>data!C2595</f>
        <v>201</v>
      </c>
      <c r="D2595" t="str">
        <f>data!D2595</f>
        <v>CAVE LES COTEAUX DU RHONE</v>
      </c>
      <c r="E2595" t="str">
        <f>data!E2595</f>
        <v>201018</v>
      </c>
      <c r="F2595" t="str">
        <f>data!F2595</f>
        <v>IGP VAUCLUSE D'ORANGE VIOGNIER</v>
      </c>
      <c r="G2595" s="10">
        <f>data!G2595</f>
        <v>12.5</v>
      </c>
      <c r="H2595" s="10">
        <f>data!I2595</f>
        <v>0</v>
      </c>
      <c r="I2595" s="10">
        <f t="shared" si="160"/>
        <v>12.5</v>
      </c>
      <c r="J2595" s="11">
        <f>data!H2595</f>
        <v>8</v>
      </c>
      <c r="K2595" s="11">
        <f>data!J2595</f>
        <v>0</v>
      </c>
      <c r="L2595" s="11">
        <f t="shared" si="161"/>
        <v>8</v>
      </c>
      <c r="M2595" s="9" t="str">
        <f t="shared" si="162"/>
        <v/>
      </c>
      <c r="N2595" s="9" t="str">
        <f t="shared" si="163"/>
        <v/>
      </c>
    </row>
    <row r="2596" spans="1:14" x14ac:dyDescent="0.25">
      <c r="A2596" t="str">
        <f>TEXT("1/"&amp;data!A2596,"mmmm")</f>
        <v>septembre</v>
      </c>
      <c r="B2596">
        <f>data!B2596</f>
        <v>2016</v>
      </c>
      <c r="C2596" t="str">
        <f>data!C2596</f>
        <v>201</v>
      </c>
      <c r="D2596" t="str">
        <f>data!D2596</f>
        <v>CAVE LES COTEAUX DU RHONE</v>
      </c>
      <c r="E2596" t="str">
        <f>data!E2596</f>
        <v>201022</v>
      </c>
      <c r="F2596" t="str">
        <f>data!F2596</f>
        <v>IGP PRINCIPAUTE D'ORANGE</v>
      </c>
      <c r="G2596" s="10">
        <f>data!G2596</f>
        <v>122.4</v>
      </c>
      <c r="H2596" s="10">
        <f>data!I2596</f>
        <v>50.5</v>
      </c>
      <c r="I2596" s="10">
        <f t="shared" si="160"/>
        <v>71.900000000000006</v>
      </c>
      <c r="J2596" s="11">
        <f>data!H2596</f>
        <v>96</v>
      </c>
      <c r="K2596" s="11">
        <f>data!J2596</f>
        <v>40</v>
      </c>
      <c r="L2596" s="11">
        <f t="shared" si="161"/>
        <v>56</v>
      </c>
      <c r="M2596" s="9">
        <f t="shared" si="162"/>
        <v>1.4237623762376239</v>
      </c>
      <c r="N2596" s="9">
        <f t="shared" si="163"/>
        <v>1.4</v>
      </c>
    </row>
    <row r="2597" spans="1:14" x14ac:dyDescent="0.25">
      <c r="A2597" t="str">
        <f>TEXT("1/"&amp;data!A2597,"mmmm")</f>
        <v>septembre</v>
      </c>
      <c r="B2597">
        <f>data!B2597</f>
        <v>2016</v>
      </c>
      <c r="C2597" t="str">
        <f>data!C2597</f>
        <v>201</v>
      </c>
      <c r="D2597" t="str">
        <f>data!D2597</f>
        <v>CAVE LES COTEAUX DU RHONE</v>
      </c>
      <c r="E2597" t="str">
        <f>data!E2597</f>
        <v>201023</v>
      </c>
      <c r="F2597" t="str">
        <f>data!F2597</f>
        <v>AC COTES DU RHONE</v>
      </c>
      <c r="G2597" s="10">
        <f>data!G2597</f>
        <v>26.4</v>
      </c>
      <c r="H2597" s="10">
        <f>data!I2597</f>
        <v>0</v>
      </c>
      <c r="I2597" s="10">
        <f t="shared" si="160"/>
        <v>26.4</v>
      </c>
      <c r="J2597" s="11">
        <f>data!H2597</f>
        <v>16</v>
      </c>
      <c r="K2597" s="11">
        <f>data!J2597</f>
        <v>0</v>
      </c>
      <c r="L2597" s="11">
        <f t="shared" si="161"/>
        <v>16</v>
      </c>
      <c r="M2597" s="9" t="str">
        <f t="shared" si="162"/>
        <v/>
      </c>
      <c r="N2597" s="9" t="str">
        <f t="shared" si="163"/>
        <v/>
      </c>
    </row>
    <row r="2598" spans="1:14" x14ac:dyDescent="0.25">
      <c r="A2598" t="str">
        <f>TEXT("1/"&amp;data!A2598,"mmmm")</f>
        <v>septembre</v>
      </c>
      <c r="B2598">
        <f>data!B2598</f>
        <v>2016</v>
      </c>
      <c r="C2598" t="str">
        <f>data!C2598</f>
        <v>201</v>
      </c>
      <c r="D2598" t="str">
        <f>data!D2598</f>
        <v>CAVE LES COTEAUX DU RHONE</v>
      </c>
      <c r="E2598" t="str">
        <f>data!E2598</f>
        <v>201026</v>
      </c>
      <c r="F2598" t="str">
        <f>data!F2598</f>
        <v>IGP VAUCLUSE BALLADE DE COLLINE</v>
      </c>
      <c r="G2598" s="10">
        <f>data!G2598</f>
        <v>322.56</v>
      </c>
      <c r="H2598" s="10">
        <f>data!I2598</f>
        <v>193.8</v>
      </c>
      <c r="I2598" s="10">
        <f t="shared" si="160"/>
        <v>128.76</v>
      </c>
      <c r="J2598" s="11">
        <f>data!H2598</f>
        <v>168</v>
      </c>
      <c r="K2598" s="11">
        <f>data!J2598</f>
        <v>102</v>
      </c>
      <c r="L2598" s="11">
        <f t="shared" si="161"/>
        <v>66</v>
      </c>
      <c r="M2598" s="9">
        <f t="shared" si="162"/>
        <v>0.66439628482972124</v>
      </c>
      <c r="N2598" s="9">
        <f t="shared" si="163"/>
        <v>0.6470588235294118</v>
      </c>
    </row>
    <row r="2599" spans="1:14" x14ac:dyDescent="0.25">
      <c r="A2599" t="str">
        <f>TEXT("1/"&amp;data!A2599,"mmmm")</f>
        <v>septembre</v>
      </c>
      <c r="B2599">
        <f>data!B2599</f>
        <v>2016</v>
      </c>
      <c r="C2599" t="str">
        <f>data!C2599</f>
        <v>201</v>
      </c>
      <c r="D2599" t="str">
        <f>data!D2599</f>
        <v>CAVE LES COTEAUX DU RHONE</v>
      </c>
      <c r="E2599" t="str">
        <f>data!E2599</f>
        <v>201027</v>
      </c>
      <c r="F2599" t="str">
        <f>data!F2599</f>
        <v>IGP VAUCLUSE BALLADE DE COLLINE</v>
      </c>
      <c r="G2599" s="10">
        <f>data!G2599</f>
        <v>253.44</v>
      </c>
      <c r="H2599" s="10">
        <f>data!I2599</f>
        <v>114</v>
      </c>
      <c r="I2599" s="10">
        <f t="shared" si="160"/>
        <v>139.44</v>
      </c>
      <c r="J2599" s="11">
        <f>data!H2599</f>
        <v>132</v>
      </c>
      <c r="K2599" s="11">
        <f>data!J2599</f>
        <v>60</v>
      </c>
      <c r="L2599" s="11">
        <f t="shared" si="161"/>
        <v>72</v>
      </c>
      <c r="M2599" s="9">
        <f t="shared" si="162"/>
        <v>1.223157894736842</v>
      </c>
      <c r="N2599" s="9">
        <f t="shared" si="163"/>
        <v>1.2</v>
      </c>
    </row>
    <row r="2600" spans="1:14" x14ac:dyDescent="0.25">
      <c r="A2600" t="str">
        <f>TEXT("1/"&amp;data!A2600,"mmmm")</f>
        <v>septembre</v>
      </c>
      <c r="B2600">
        <f>data!B2600</f>
        <v>2016</v>
      </c>
      <c r="C2600" t="str">
        <f>data!C2600</f>
        <v>202</v>
      </c>
      <c r="D2600" t="str">
        <f>data!D2600</f>
        <v>TERRES D'ALLIANCE</v>
      </c>
      <c r="E2600" t="str">
        <f>data!E2600</f>
        <v>202001</v>
      </c>
      <c r="F2600" t="str">
        <f>data!F2600</f>
        <v>IGP VAUCLUSE LEA</v>
      </c>
      <c r="G2600" s="10">
        <f>data!G2600</f>
        <v>310.5</v>
      </c>
      <c r="H2600" s="10">
        <f>data!I2600</f>
        <v>48.96</v>
      </c>
      <c r="I2600" s="10">
        <f t="shared" si="160"/>
        <v>261.54000000000002</v>
      </c>
      <c r="J2600" s="11">
        <f>data!H2600</f>
        <v>150</v>
      </c>
      <c r="K2600" s="11">
        <f>data!J2600</f>
        <v>24</v>
      </c>
      <c r="L2600" s="11">
        <f t="shared" si="161"/>
        <v>126</v>
      </c>
      <c r="M2600" s="9">
        <f t="shared" si="162"/>
        <v>5.3419117647058822</v>
      </c>
      <c r="N2600" s="9">
        <f t="shared" si="163"/>
        <v>5.25</v>
      </c>
    </row>
    <row r="2601" spans="1:14" x14ac:dyDescent="0.25">
      <c r="A2601" t="str">
        <f>TEXT("1/"&amp;data!A2601,"mmmm")</f>
        <v>septembre</v>
      </c>
      <c r="B2601">
        <f>data!B2601</f>
        <v>2016</v>
      </c>
      <c r="C2601" t="str">
        <f>data!C2601</f>
        <v>202</v>
      </c>
      <c r="D2601" t="str">
        <f>data!D2601</f>
        <v>TERRES D'ALLIANCE</v>
      </c>
      <c r="E2601" t="str">
        <f>data!E2601</f>
        <v>202002</v>
      </c>
      <c r="F2601" t="str">
        <f>data!F2601</f>
        <v>IGP VAUCLUSE LEA</v>
      </c>
      <c r="G2601" s="10">
        <f>data!G2601</f>
        <v>415.14</v>
      </c>
      <c r="H2601" s="10">
        <f>data!I2601</f>
        <v>318.24</v>
      </c>
      <c r="I2601" s="10">
        <f t="shared" si="160"/>
        <v>96.899999999999977</v>
      </c>
      <c r="J2601" s="11">
        <f>data!H2601</f>
        <v>222</v>
      </c>
      <c r="K2601" s="11">
        <f>data!J2601</f>
        <v>156</v>
      </c>
      <c r="L2601" s="11">
        <f t="shared" si="161"/>
        <v>66</v>
      </c>
      <c r="M2601" s="9">
        <f t="shared" si="162"/>
        <v>0.3044871794871794</v>
      </c>
      <c r="N2601" s="9">
        <f t="shared" si="163"/>
        <v>0.42307692307692307</v>
      </c>
    </row>
    <row r="2602" spans="1:14" x14ac:dyDescent="0.25">
      <c r="A2602" t="str">
        <f>TEXT("1/"&amp;data!A2602,"mmmm")</f>
        <v>septembre</v>
      </c>
      <c r="B2602">
        <f>data!B2602</f>
        <v>2016</v>
      </c>
      <c r="C2602" t="str">
        <f>data!C2602</f>
        <v>202</v>
      </c>
      <c r="D2602" t="str">
        <f>data!D2602</f>
        <v>TERRES D'ALLIANCE</v>
      </c>
      <c r="E2602" t="str">
        <f>data!E2602</f>
        <v>202003</v>
      </c>
      <c r="F2602" t="str">
        <f>data!F2602</f>
        <v>IGP VAUCLUSE LEA</v>
      </c>
      <c r="G2602" s="10">
        <f>data!G2602</f>
        <v>310.5</v>
      </c>
      <c r="H2602" s="10">
        <f>data!I2602</f>
        <v>85.68</v>
      </c>
      <c r="I2602" s="10">
        <f t="shared" si="160"/>
        <v>224.82</v>
      </c>
      <c r="J2602" s="11">
        <f>data!H2602</f>
        <v>150</v>
      </c>
      <c r="K2602" s="11">
        <f>data!J2602</f>
        <v>42</v>
      </c>
      <c r="L2602" s="11">
        <f t="shared" si="161"/>
        <v>108</v>
      </c>
      <c r="M2602" s="9">
        <f t="shared" si="162"/>
        <v>2.6239495798319323</v>
      </c>
      <c r="N2602" s="9">
        <f t="shared" si="163"/>
        <v>2.5714285714285716</v>
      </c>
    </row>
    <row r="2603" spans="1:14" x14ac:dyDescent="0.25">
      <c r="A2603" t="str">
        <f>TEXT("1/"&amp;data!A2603,"mmmm")</f>
        <v>septembre</v>
      </c>
      <c r="B2603">
        <f>data!B2603</f>
        <v>2016</v>
      </c>
      <c r="C2603" t="str">
        <f>data!C2603</f>
        <v>202</v>
      </c>
      <c r="D2603" t="str">
        <f>data!D2603</f>
        <v>TERRES D'ALLIANCE</v>
      </c>
      <c r="E2603" t="str">
        <f>data!E2603</f>
        <v>202010</v>
      </c>
      <c r="F2603" t="str">
        <f>data!F2603</f>
        <v>VIN DE FRANCE ROSE FRUITE LOUERION</v>
      </c>
      <c r="G2603" s="10">
        <f>data!G2603</f>
        <v>26.7</v>
      </c>
      <c r="H2603" s="10">
        <f>data!I2603</f>
        <v>0</v>
      </c>
      <c r="I2603" s="10">
        <f t="shared" si="160"/>
        <v>26.7</v>
      </c>
      <c r="J2603" s="11">
        <f>data!H2603</f>
        <v>20.009999999999998</v>
      </c>
      <c r="K2603" s="11">
        <f>data!J2603</f>
        <v>0</v>
      </c>
      <c r="L2603" s="11">
        <f t="shared" si="161"/>
        <v>20.009999999999998</v>
      </c>
      <c r="M2603" s="9" t="str">
        <f t="shared" si="162"/>
        <v/>
      </c>
      <c r="N2603" s="9" t="str">
        <f t="shared" si="163"/>
        <v/>
      </c>
    </row>
    <row r="2604" spans="1:14" x14ac:dyDescent="0.25">
      <c r="A2604" t="str">
        <f>TEXT("1/"&amp;data!A2604,"mmmm")</f>
        <v>septembre</v>
      </c>
      <c r="B2604">
        <f>data!B2604</f>
        <v>2016</v>
      </c>
      <c r="C2604" t="str">
        <f>data!C2604</f>
        <v>202</v>
      </c>
      <c r="D2604" t="str">
        <f>data!D2604</f>
        <v>TERRES D'ALLIANCE</v>
      </c>
      <c r="E2604" t="str">
        <f>data!E2604</f>
        <v>202015</v>
      </c>
      <c r="F2604" t="str">
        <f>data!F2604</f>
        <v>AOP LUBERON LOUERION</v>
      </c>
      <c r="G2604" s="10">
        <f>data!G2604</f>
        <v>129.35</v>
      </c>
      <c r="H2604" s="10">
        <f>data!I2604</f>
        <v>19.8</v>
      </c>
      <c r="I2604" s="10">
        <f t="shared" si="160"/>
        <v>109.55</v>
      </c>
      <c r="J2604" s="11">
        <f>data!H2604</f>
        <v>86.71</v>
      </c>
      <c r="K2604" s="11">
        <f>data!J2604</f>
        <v>13.34</v>
      </c>
      <c r="L2604" s="11">
        <f t="shared" si="161"/>
        <v>73.36999999999999</v>
      </c>
      <c r="M2604" s="9">
        <f t="shared" si="162"/>
        <v>5.5328282828282829</v>
      </c>
      <c r="N2604" s="9">
        <f t="shared" si="163"/>
        <v>5.4999999999999991</v>
      </c>
    </row>
    <row r="2605" spans="1:14" x14ac:dyDescent="0.25">
      <c r="A2605" t="str">
        <f>TEXT("1/"&amp;data!A2605,"mmmm")</f>
        <v>septembre</v>
      </c>
      <c r="B2605">
        <f>data!B2605</f>
        <v>2016</v>
      </c>
      <c r="C2605" t="str">
        <f>data!C2605</f>
        <v>205</v>
      </c>
      <c r="D2605" t="str">
        <f>data!D2605</f>
        <v>DOMAINE DE MISELLE</v>
      </c>
      <c r="E2605" t="str">
        <f>data!E2605</f>
        <v>205001</v>
      </c>
      <c r="F2605" t="str">
        <f>data!F2605</f>
        <v>IGP COTES DE GASCOGNE SEC COLOMBARD G-MANSENG MISE</v>
      </c>
      <c r="G2605" s="10">
        <f>data!G2605</f>
        <v>175.5</v>
      </c>
      <c r="H2605" s="10">
        <f>data!I2605</f>
        <v>277.2</v>
      </c>
      <c r="I2605" s="10">
        <f t="shared" si="160"/>
        <v>-101.69999999999999</v>
      </c>
      <c r="J2605" s="11">
        <f>data!H2605</f>
        <v>78</v>
      </c>
      <c r="K2605" s="11">
        <f>data!J2605</f>
        <v>126</v>
      </c>
      <c r="L2605" s="11">
        <f t="shared" si="161"/>
        <v>-48</v>
      </c>
      <c r="M2605" s="9">
        <f t="shared" si="162"/>
        <v>-0.36688311688311687</v>
      </c>
      <c r="N2605" s="9">
        <f t="shared" si="163"/>
        <v>-0.38095238095238093</v>
      </c>
    </row>
    <row r="2606" spans="1:14" x14ac:dyDescent="0.25">
      <c r="A2606" t="str">
        <f>TEXT("1/"&amp;data!A2606,"mmmm")</f>
        <v>septembre</v>
      </c>
      <c r="B2606">
        <f>data!B2606</f>
        <v>2016</v>
      </c>
      <c r="C2606" t="str">
        <f>data!C2606</f>
        <v>205</v>
      </c>
      <c r="D2606" t="str">
        <f>data!D2606</f>
        <v>DOMAINE DE MISELLE</v>
      </c>
      <c r="E2606" t="str">
        <f>data!E2606</f>
        <v>205002</v>
      </c>
      <c r="F2606" t="str">
        <f>data!F2606</f>
        <v>IGP COTES DE GASCOGNE</v>
      </c>
      <c r="G2606" s="10">
        <f>data!G2606</f>
        <v>72</v>
      </c>
      <c r="H2606" s="10">
        <f>data!I2606</f>
        <v>56.4</v>
      </c>
      <c r="I2606" s="10">
        <f t="shared" si="160"/>
        <v>15.600000000000001</v>
      </c>
      <c r="J2606" s="11">
        <f>data!H2606</f>
        <v>30</v>
      </c>
      <c r="K2606" s="11">
        <f>data!J2606</f>
        <v>24</v>
      </c>
      <c r="L2606" s="11">
        <f t="shared" si="161"/>
        <v>6</v>
      </c>
      <c r="M2606" s="9">
        <f t="shared" si="162"/>
        <v>0.27659574468085107</v>
      </c>
      <c r="N2606" s="9">
        <f t="shared" si="163"/>
        <v>0.25</v>
      </c>
    </row>
    <row r="2607" spans="1:14" x14ac:dyDescent="0.25">
      <c r="A2607" t="str">
        <f>TEXT("1/"&amp;data!A2607,"mmmm")</f>
        <v>septembre</v>
      </c>
      <c r="B2607">
        <f>data!B2607</f>
        <v>2016</v>
      </c>
      <c r="C2607" t="str">
        <f>data!C2607</f>
        <v>205</v>
      </c>
      <c r="D2607" t="str">
        <f>data!D2607</f>
        <v>DOMAINE DE MISELLE</v>
      </c>
      <c r="E2607" t="str">
        <f>data!E2607</f>
        <v>205003</v>
      </c>
      <c r="F2607" t="str">
        <f>data!F2607</f>
        <v>IGP COTES DE GASCOGNE PETIT MANSENG</v>
      </c>
      <c r="G2607" s="10">
        <f>data!G2607</f>
        <v>621.6</v>
      </c>
      <c r="H2607" s="10">
        <f>data!I2607</f>
        <v>372.3</v>
      </c>
      <c r="I2607" s="10">
        <f t="shared" si="160"/>
        <v>249.3</v>
      </c>
      <c r="J2607" s="11">
        <f>data!H2607</f>
        <v>168</v>
      </c>
      <c r="K2607" s="11">
        <f>data!J2607</f>
        <v>102</v>
      </c>
      <c r="L2607" s="11">
        <f t="shared" si="161"/>
        <v>66</v>
      </c>
      <c r="M2607" s="9">
        <f t="shared" si="162"/>
        <v>0.66962127316680098</v>
      </c>
      <c r="N2607" s="9">
        <f t="shared" si="163"/>
        <v>0.6470588235294118</v>
      </c>
    </row>
    <row r="2608" spans="1:14" x14ac:dyDescent="0.25">
      <c r="A2608" t="str">
        <f>TEXT("1/"&amp;data!A2608,"mmmm")</f>
        <v>septembre</v>
      </c>
      <c r="B2608">
        <f>data!B2608</f>
        <v>2016</v>
      </c>
      <c r="C2608" t="str">
        <f>data!C2608</f>
        <v>205</v>
      </c>
      <c r="D2608" t="str">
        <f>data!D2608</f>
        <v>DOMAINE DE MISELLE</v>
      </c>
      <c r="E2608" t="str">
        <f>data!E2608</f>
        <v>205004</v>
      </c>
      <c r="F2608" t="str">
        <f>data!F2608</f>
        <v>IGP COTES DE GASCOGNE MERLOT-TANNAT</v>
      </c>
      <c r="G2608" s="10">
        <f>data!G2608</f>
        <v>100.8</v>
      </c>
      <c r="H2608" s="10">
        <f>data!I2608</f>
        <v>0</v>
      </c>
      <c r="I2608" s="10">
        <f t="shared" si="160"/>
        <v>100.8</v>
      </c>
      <c r="J2608" s="11">
        <f>data!H2608</f>
        <v>48</v>
      </c>
      <c r="K2608" s="11">
        <f>data!J2608</f>
        <v>0</v>
      </c>
      <c r="L2608" s="11">
        <f t="shared" si="161"/>
        <v>48</v>
      </c>
      <c r="M2608" s="9" t="str">
        <f t="shared" si="162"/>
        <v/>
      </c>
      <c r="N2608" s="9" t="str">
        <f t="shared" si="163"/>
        <v/>
      </c>
    </row>
    <row r="2609" spans="1:14" x14ac:dyDescent="0.25">
      <c r="A2609" t="str">
        <f>TEXT("1/"&amp;data!A2609,"mmmm")</f>
        <v>septembre</v>
      </c>
      <c r="B2609">
        <f>data!B2609</f>
        <v>2016</v>
      </c>
      <c r="C2609" t="str">
        <f>data!C2609</f>
        <v>229</v>
      </c>
      <c r="D2609" t="str">
        <f>data!D2609</f>
        <v>DOMAINE DU BOIS DU JOUR</v>
      </c>
      <c r="E2609" t="str">
        <f>data!E2609</f>
        <v>229005</v>
      </c>
      <c r="F2609" t="str">
        <f>data!F2609</f>
        <v>AOP BEAUJOLAIS DME DU BOIS DU JOUR</v>
      </c>
      <c r="G2609" s="10">
        <f>data!G2609</f>
        <v>108</v>
      </c>
      <c r="H2609" s="10">
        <f>data!I2609</f>
        <v>0</v>
      </c>
      <c r="I2609" s="10">
        <f t="shared" si="160"/>
        <v>108</v>
      </c>
      <c r="J2609" s="11">
        <f>data!H2609</f>
        <v>24</v>
      </c>
      <c r="K2609" s="11">
        <f>data!J2609</f>
        <v>0</v>
      </c>
      <c r="L2609" s="11">
        <f t="shared" si="161"/>
        <v>24</v>
      </c>
      <c r="M2609" s="9" t="str">
        <f t="shared" si="162"/>
        <v/>
      </c>
      <c r="N2609" s="9" t="str">
        <f t="shared" si="163"/>
        <v/>
      </c>
    </row>
    <row r="2610" spans="1:14" x14ac:dyDescent="0.25">
      <c r="A2610" t="str">
        <f>TEXT("1/"&amp;data!A2610,"mmmm")</f>
        <v>septembre</v>
      </c>
      <c r="B2610">
        <f>data!B2610</f>
        <v>2016</v>
      </c>
      <c r="C2610" t="str">
        <f>data!C2610</f>
        <v>229</v>
      </c>
      <c r="D2610" t="str">
        <f>data!D2610</f>
        <v>DOMAINE DU BOIS DU JOUR</v>
      </c>
      <c r="E2610" t="str">
        <f>data!E2610</f>
        <v>229007</v>
      </c>
      <c r="F2610" t="str">
        <f>data!F2610</f>
        <v>AOP BEAUJOLAIS VIEILLES VIGNES DME DU BOIS DU JOUR</v>
      </c>
      <c r="G2610" s="10">
        <f>data!G2610</f>
        <v>93.6</v>
      </c>
      <c r="H2610" s="10">
        <f>data!I2610</f>
        <v>0</v>
      </c>
      <c r="I2610" s="10">
        <f t="shared" si="160"/>
        <v>93.6</v>
      </c>
      <c r="J2610" s="11">
        <f>data!H2610</f>
        <v>24</v>
      </c>
      <c r="K2610" s="11">
        <f>data!J2610</f>
        <v>0</v>
      </c>
      <c r="L2610" s="11">
        <f t="shared" si="161"/>
        <v>24</v>
      </c>
      <c r="M2610" s="9" t="str">
        <f t="shared" si="162"/>
        <v/>
      </c>
      <c r="N2610" s="9" t="str">
        <f t="shared" si="163"/>
        <v/>
      </c>
    </row>
    <row r="2611" spans="1:14" x14ac:dyDescent="0.25">
      <c r="A2611" t="str">
        <f>TEXT("1/"&amp;data!A2611,"mmmm")</f>
        <v>septembre</v>
      </c>
      <c r="B2611">
        <f>data!B2611</f>
        <v>2016</v>
      </c>
      <c r="C2611" t="str">
        <f>data!C2611</f>
        <v>229</v>
      </c>
      <c r="D2611" t="str">
        <f>data!D2611</f>
        <v>DOMAINE DU BOIS DU JOUR</v>
      </c>
      <c r="E2611" t="str">
        <f>data!E2611</f>
        <v>229008</v>
      </c>
      <c r="F2611" t="str">
        <f>data!F2611</f>
        <v>AOP COTEAUX BOURGUIGNON DME DU BOIS DU JOUR</v>
      </c>
      <c r="G2611" s="10">
        <f>data!G2611</f>
        <v>342</v>
      </c>
      <c r="H2611" s="10">
        <f>data!I2611</f>
        <v>0</v>
      </c>
      <c r="I2611" s="10">
        <f t="shared" si="160"/>
        <v>342</v>
      </c>
      <c r="J2611" s="11">
        <f>data!H2611</f>
        <v>90</v>
      </c>
      <c r="K2611" s="11">
        <f>data!J2611</f>
        <v>0</v>
      </c>
      <c r="L2611" s="11">
        <f t="shared" si="161"/>
        <v>90</v>
      </c>
      <c r="M2611" s="9" t="str">
        <f t="shared" si="162"/>
        <v/>
      </c>
      <c r="N2611" s="9" t="str">
        <f t="shared" si="163"/>
        <v/>
      </c>
    </row>
    <row r="2612" spans="1:14" x14ac:dyDescent="0.25">
      <c r="A2612" t="str">
        <f>TEXT("1/"&amp;data!A2612,"mmmm")</f>
        <v>octobre</v>
      </c>
      <c r="B2612">
        <f>data!B2612</f>
        <v>2016</v>
      </c>
      <c r="C2612" t="str">
        <f>data!C2612</f>
        <v>002</v>
      </c>
      <c r="D2612" t="str">
        <f>data!D2612</f>
        <v>CAVE DE GALLICIAN</v>
      </c>
      <c r="E2612" t="str">
        <f>data!E2612</f>
        <v>002001</v>
      </c>
      <c r="F2612" t="str">
        <f>data!F2612</f>
        <v>VDP MERLOT C.GALLICIAN</v>
      </c>
      <c r="G2612" s="10">
        <f>data!G2612</f>
        <v>2420.88</v>
      </c>
      <c r="H2612" s="10">
        <f>data!I2612</f>
        <v>2638.44</v>
      </c>
      <c r="I2612" s="10">
        <f t="shared" si="160"/>
        <v>-217.55999999999995</v>
      </c>
      <c r="J2612" s="11">
        <f>data!H2612</f>
        <v>2067.6999999999998</v>
      </c>
      <c r="K2612" s="11">
        <f>data!J2612</f>
        <v>2341.17</v>
      </c>
      <c r="L2612" s="11">
        <f t="shared" si="161"/>
        <v>-273.47000000000025</v>
      </c>
      <c r="M2612" s="9">
        <f t="shared" si="162"/>
        <v>-8.2457815982171265E-2</v>
      </c>
      <c r="N2612" s="9">
        <f t="shared" si="163"/>
        <v>-0.11680911680911692</v>
      </c>
    </row>
    <row r="2613" spans="1:14" x14ac:dyDescent="0.25">
      <c r="A2613" t="str">
        <f>TEXT("1/"&amp;data!A2613,"mmmm")</f>
        <v>octobre</v>
      </c>
      <c r="B2613">
        <f>data!B2613</f>
        <v>2016</v>
      </c>
      <c r="C2613" t="str">
        <f>data!C2613</f>
        <v>002</v>
      </c>
      <c r="D2613" t="str">
        <f>data!D2613</f>
        <v>CAVE DE GALLICIAN</v>
      </c>
      <c r="E2613" t="str">
        <f>data!E2613</f>
        <v>002002</v>
      </c>
      <c r="F2613" t="str">
        <f>data!F2613</f>
        <v>VDP MERLOT. C GALLICIAN</v>
      </c>
      <c r="G2613" s="10">
        <f>data!G2613</f>
        <v>9342.84</v>
      </c>
      <c r="H2613" s="10">
        <f>data!I2613</f>
        <v>8347.5</v>
      </c>
      <c r="I2613" s="10">
        <f t="shared" si="160"/>
        <v>995.34000000000015</v>
      </c>
      <c r="J2613" s="11">
        <f>data!H2613</f>
        <v>9064.4</v>
      </c>
      <c r="K2613" s="11">
        <f>data!J2613</f>
        <v>8397.9</v>
      </c>
      <c r="L2613" s="11">
        <f t="shared" si="161"/>
        <v>666.5</v>
      </c>
      <c r="M2613" s="9">
        <f t="shared" si="162"/>
        <v>0.11923809523809525</v>
      </c>
      <c r="N2613" s="9">
        <f t="shared" si="163"/>
        <v>7.9365079365079375E-2</v>
      </c>
    </row>
    <row r="2614" spans="1:14" x14ac:dyDescent="0.25">
      <c r="A2614" t="str">
        <f>TEXT("1/"&amp;data!A2614,"mmmm")</f>
        <v>octobre</v>
      </c>
      <c r="B2614">
        <f>data!B2614</f>
        <v>2016</v>
      </c>
      <c r="C2614" t="str">
        <f>data!C2614</f>
        <v>002</v>
      </c>
      <c r="D2614" t="str">
        <f>data!D2614</f>
        <v>CAVE DE GALLICIAN</v>
      </c>
      <c r="E2614" t="str">
        <f>data!E2614</f>
        <v>002003</v>
      </c>
      <c r="F2614" t="str">
        <f>data!F2614</f>
        <v>VDP GARD. C GALLICIAN</v>
      </c>
      <c r="G2614" s="10">
        <f>data!G2614</f>
        <v>4403.76</v>
      </c>
      <c r="H2614" s="10">
        <f>data!I2614</f>
        <v>6695.25</v>
      </c>
      <c r="I2614" s="10">
        <f t="shared" si="160"/>
        <v>-2291.4899999999998</v>
      </c>
      <c r="J2614" s="11">
        <f>data!H2614</f>
        <v>4718.82</v>
      </c>
      <c r="K2614" s="11">
        <f>data!J2614</f>
        <v>7544.78</v>
      </c>
      <c r="L2614" s="11">
        <f t="shared" si="161"/>
        <v>-2825.96</v>
      </c>
      <c r="M2614" s="9">
        <f t="shared" si="162"/>
        <v>-0.34225607706956424</v>
      </c>
      <c r="N2614" s="9">
        <f t="shared" si="163"/>
        <v>-0.37455830388692579</v>
      </c>
    </row>
    <row r="2615" spans="1:14" x14ac:dyDescent="0.25">
      <c r="A2615" t="str">
        <f>TEXT("1/"&amp;data!A2615,"mmmm")</f>
        <v>octobre</v>
      </c>
      <c r="B2615">
        <f>data!B2615</f>
        <v>2016</v>
      </c>
      <c r="C2615" t="str">
        <f>data!C2615</f>
        <v>002</v>
      </c>
      <c r="D2615" t="str">
        <f>data!D2615</f>
        <v>CAVE DE GALLICIAN</v>
      </c>
      <c r="E2615" t="str">
        <f>data!E2615</f>
        <v>002004</v>
      </c>
      <c r="F2615" t="str">
        <f>data!F2615</f>
        <v>VDP GARD. C GALLICIAN</v>
      </c>
      <c r="G2615" s="10">
        <f>data!G2615</f>
        <v>864.23</v>
      </c>
      <c r="H2615" s="10">
        <f>data!I2615</f>
        <v>1366.47</v>
      </c>
      <c r="I2615" s="10">
        <f t="shared" si="160"/>
        <v>-502.24</v>
      </c>
      <c r="J2615" s="11">
        <f>data!H2615</f>
        <v>827.08</v>
      </c>
      <c r="K2615" s="11">
        <f>data!J2615</f>
        <v>1267.3</v>
      </c>
      <c r="L2615" s="11">
        <f t="shared" si="161"/>
        <v>-440.21999999999991</v>
      </c>
      <c r="M2615" s="9">
        <f t="shared" si="162"/>
        <v>-0.36754557363132745</v>
      </c>
      <c r="N2615" s="9">
        <f t="shared" si="163"/>
        <v>-0.34736842105263155</v>
      </c>
    </row>
    <row r="2616" spans="1:14" x14ac:dyDescent="0.25">
      <c r="A2616" t="str">
        <f>TEXT("1/"&amp;data!A2616,"mmmm")</f>
        <v>octobre</v>
      </c>
      <c r="B2616">
        <f>data!B2616</f>
        <v>2016</v>
      </c>
      <c r="C2616" t="str">
        <f>data!C2616</f>
        <v>002</v>
      </c>
      <c r="D2616" t="str">
        <f>data!D2616</f>
        <v>CAVE DE GALLICIAN</v>
      </c>
      <c r="E2616" t="str">
        <f>data!E2616</f>
        <v>002007</v>
      </c>
      <c r="F2616" t="str">
        <f>data!F2616</f>
        <v>VDT C GALLICIAN</v>
      </c>
      <c r="G2616" s="10">
        <f>data!G2616</f>
        <v>1878.24</v>
      </c>
      <c r="H2616" s="10">
        <f>data!I2616</f>
        <v>1794.9</v>
      </c>
      <c r="I2616" s="10">
        <f t="shared" si="160"/>
        <v>83.339999999999918</v>
      </c>
      <c r="J2616" s="11">
        <f>data!H2616</f>
        <v>2106.14</v>
      </c>
      <c r="K2616" s="11">
        <f>data!J2616</f>
        <v>2106.14</v>
      </c>
      <c r="L2616" s="11">
        <f t="shared" si="161"/>
        <v>0</v>
      </c>
      <c r="M2616" s="9">
        <f t="shared" si="162"/>
        <v>4.6431556075547338E-2</v>
      </c>
      <c r="N2616" s="9">
        <f t="shared" si="163"/>
        <v>0</v>
      </c>
    </row>
    <row r="2617" spans="1:14" x14ac:dyDescent="0.25">
      <c r="A2617" t="str">
        <f>TEXT("1/"&amp;data!A2617,"mmmm")</f>
        <v>octobre</v>
      </c>
      <c r="B2617">
        <f>data!B2617</f>
        <v>2016</v>
      </c>
      <c r="C2617" t="str">
        <f>data!C2617</f>
        <v>002</v>
      </c>
      <c r="D2617" t="str">
        <f>data!D2617</f>
        <v>CAVE DE GALLICIAN</v>
      </c>
      <c r="E2617" t="str">
        <f>data!E2617</f>
        <v>002008</v>
      </c>
      <c r="F2617" t="str">
        <f>data!F2617</f>
        <v>VDT. C GALLICIAN</v>
      </c>
      <c r="G2617" s="10">
        <f>data!G2617</f>
        <v>3444.48</v>
      </c>
      <c r="H2617" s="10">
        <f>data!I2617</f>
        <v>1795.45</v>
      </c>
      <c r="I2617" s="10">
        <f t="shared" si="160"/>
        <v>1649.03</v>
      </c>
      <c r="J2617" s="11">
        <f>data!H2617</f>
        <v>4187.1900000000005</v>
      </c>
      <c r="K2617" s="11">
        <f>data!J2617</f>
        <v>2186.94</v>
      </c>
      <c r="L2617" s="11">
        <f t="shared" si="161"/>
        <v>2000.2500000000005</v>
      </c>
      <c r="M2617" s="9">
        <f t="shared" si="162"/>
        <v>0.91844941379598422</v>
      </c>
      <c r="N2617" s="9">
        <f t="shared" si="163"/>
        <v>0.91463414634146356</v>
      </c>
    </row>
    <row r="2618" spans="1:14" x14ac:dyDescent="0.25">
      <c r="A2618" t="str">
        <f>TEXT("1/"&amp;data!A2618,"mmmm")</f>
        <v>octobre</v>
      </c>
      <c r="B2618">
        <f>data!B2618</f>
        <v>2016</v>
      </c>
      <c r="C2618" t="str">
        <f>data!C2618</f>
        <v>002</v>
      </c>
      <c r="D2618" t="str">
        <f>data!D2618</f>
        <v>CAVE DE GALLICIAN</v>
      </c>
      <c r="E2618" t="str">
        <f>data!E2618</f>
        <v>002009</v>
      </c>
      <c r="F2618" t="str">
        <f>data!F2618</f>
        <v>VDT. C GALLICIAN</v>
      </c>
      <c r="G2618" s="10">
        <f>data!G2618</f>
        <v>1478.28</v>
      </c>
      <c r="H2618" s="10">
        <f>data!I2618</f>
        <v>493.9</v>
      </c>
      <c r="I2618" s="10">
        <f t="shared" si="160"/>
        <v>984.38</v>
      </c>
      <c r="J2618" s="11">
        <f>data!H2618</f>
        <v>1786.89</v>
      </c>
      <c r="K2618" s="11">
        <f>data!J2618</f>
        <v>586.74</v>
      </c>
      <c r="L2618" s="11">
        <f t="shared" si="161"/>
        <v>1200.1500000000001</v>
      </c>
      <c r="M2618" s="9">
        <f t="shared" si="162"/>
        <v>1.9930755213605993</v>
      </c>
      <c r="N2618" s="9">
        <f t="shared" si="163"/>
        <v>2.0454545454545454</v>
      </c>
    </row>
    <row r="2619" spans="1:14" x14ac:dyDescent="0.25">
      <c r="A2619" t="str">
        <f>TEXT("1/"&amp;data!A2619,"mmmm")</f>
        <v>octobre</v>
      </c>
      <c r="B2619">
        <f>data!B2619</f>
        <v>2016</v>
      </c>
      <c r="C2619" t="str">
        <f>data!C2619</f>
        <v>002</v>
      </c>
      <c r="D2619" t="str">
        <f>data!D2619</f>
        <v>CAVE DE GALLICIAN</v>
      </c>
      <c r="E2619" t="str">
        <f>data!E2619</f>
        <v>002010</v>
      </c>
      <c r="F2619" t="str">
        <f>data!F2619</f>
        <v>AC C. DE NIMES. C GALLICIAN</v>
      </c>
      <c r="G2619" s="10">
        <f>data!G2619</f>
        <v>925.65</v>
      </c>
      <c r="H2619" s="10">
        <f>data!I2619</f>
        <v>1805.72</v>
      </c>
      <c r="I2619" s="10">
        <f t="shared" si="160"/>
        <v>-880.07</v>
      </c>
      <c r="J2619" s="11">
        <f>data!H2619</f>
        <v>667</v>
      </c>
      <c r="K2619" s="11">
        <f>data!J2619</f>
        <v>1340.67</v>
      </c>
      <c r="L2619" s="11">
        <f t="shared" si="161"/>
        <v>-673.67000000000007</v>
      </c>
      <c r="M2619" s="9">
        <f t="shared" si="162"/>
        <v>-0.48737899563608977</v>
      </c>
      <c r="N2619" s="9">
        <f t="shared" si="163"/>
        <v>-0.50248756218905477</v>
      </c>
    </row>
    <row r="2620" spans="1:14" x14ac:dyDescent="0.25">
      <c r="A2620" t="str">
        <f>TEXT("1/"&amp;data!A2620,"mmmm")</f>
        <v>octobre</v>
      </c>
      <c r="B2620">
        <f>data!B2620</f>
        <v>2016</v>
      </c>
      <c r="C2620" t="str">
        <f>data!C2620</f>
        <v>002</v>
      </c>
      <c r="D2620" t="str">
        <f>data!D2620</f>
        <v>CAVE DE GALLICIAN</v>
      </c>
      <c r="E2620" t="str">
        <f>data!E2620</f>
        <v>002011</v>
      </c>
      <c r="F2620" t="str">
        <f>data!F2620</f>
        <v>AC C DE NIMES C. GALLICIAN</v>
      </c>
      <c r="G2620" s="10">
        <f>data!G2620</f>
        <v>1783.69</v>
      </c>
      <c r="H2620" s="10">
        <f>data!I2620</f>
        <v>2588.8000000000002</v>
      </c>
      <c r="I2620" s="10">
        <f t="shared" si="160"/>
        <v>-805.11000000000013</v>
      </c>
      <c r="J2620" s="11">
        <f>data!H2620</f>
        <v>1439.64</v>
      </c>
      <c r="K2620" s="11">
        <f>data!J2620</f>
        <v>2132.8000000000002</v>
      </c>
      <c r="L2620" s="11">
        <f t="shared" si="161"/>
        <v>-693.16000000000008</v>
      </c>
      <c r="M2620" s="9">
        <f t="shared" si="162"/>
        <v>-0.31099737330037086</v>
      </c>
      <c r="N2620" s="9">
        <f t="shared" si="163"/>
        <v>-0.32500000000000001</v>
      </c>
    </row>
    <row r="2621" spans="1:14" x14ac:dyDescent="0.25">
      <c r="A2621" t="str">
        <f>TEXT("1/"&amp;data!A2621,"mmmm")</f>
        <v>octobre</v>
      </c>
      <c r="B2621">
        <f>data!B2621</f>
        <v>2016</v>
      </c>
      <c r="C2621" t="str">
        <f>data!C2621</f>
        <v>002</v>
      </c>
      <c r="D2621" t="str">
        <f>data!D2621</f>
        <v>CAVE DE GALLICIAN</v>
      </c>
      <c r="E2621" t="str">
        <f>data!E2621</f>
        <v>002015</v>
      </c>
      <c r="F2621" t="str">
        <f>data!F2621</f>
        <v>AC C DE NIMES C. GALLICIAN</v>
      </c>
      <c r="G2621" s="10">
        <f>data!G2621</f>
        <v>983.53</v>
      </c>
      <c r="H2621" s="10">
        <f>data!I2621</f>
        <v>2604.98</v>
      </c>
      <c r="I2621" s="10">
        <f t="shared" si="160"/>
        <v>-1621.45</v>
      </c>
      <c r="J2621" s="11">
        <f>data!H2621</f>
        <v>799.8</v>
      </c>
      <c r="K2621" s="11">
        <f>data!J2621</f>
        <v>2239.44</v>
      </c>
      <c r="L2621" s="11">
        <f t="shared" si="161"/>
        <v>-1439.64</v>
      </c>
      <c r="M2621" s="9">
        <f t="shared" si="162"/>
        <v>-0.62244239879000995</v>
      </c>
      <c r="N2621" s="9">
        <f t="shared" si="163"/>
        <v>-0.6428571428571429</v>
      </c>
    </row>
    <row r="2622" spans="1:14" x14ac:dyDescent="0.25">
      <c r="A2622" t="str">
        <f>TEXT("1/"&amp;data!A2622,"mmmm")</f>
        <v>octobre</v>
      </c>
      <c r="B2622">
        <f>data!B2622</f>
        <v>2016</v>
      </c>
      <c r="C2622" t="str">
        <f>data!C2622</f>
        <v>002</v>
      </c>
      <c r="D2622" t="str">
        <f>data!D2622</f>
        <v>CAVE DE GALLICIAN</v>
      </c>
      <c r="E2622" t="str">
        <f>data!E2622</f>
        <v>002016</v>
      </c>
      <c r="F2622" t="str">
        <f>data!F2622</f>
        <v>AC C DE NIMES C. GALLICIAN</v>
      </c>
      <c r="G2622" s="10">
        <f>data!G2622</f>
        <v>819.3</v>
      </c>
      <c r="H2622" s="10">
        <f>data!I2622</f>
        <v>1589</v>
      </c>
      <c r="I2622" s="10">
        <f t="shared" si="160"/>
        <v>-769.7</v>
      </c>
      <c r="J2622" s="11">
        <f>data!H2622</f>
        <v>573.62</v>
      </c>
      <c r="K2622" s="11">
        <f>data!J2622</f>
        <v>1200.5999999999999</v>
      </c>
      <c r="L2622" s="11">
        <f t="shared" si="161"/>
        <v>-626.9799999999999</v>
      </c>
      <c r="M2622" s="9">
        <f t="shared" si="162"/>
        <v>-0.48439269981120203</v>
      </c>
      <c r="N2622" s="9">
        <f t="shared" si="163"/>
        <v>-0.52222222222222214</v>
      </c>
    </row>
    <row r="2623" spans="1:14" x14ac:dyDescent="0.25">
      <c r="A2623" t="str">
        <f>TEXT("1/"&amp;data!A2623,"mmmm")</f>
        <v>octobre</v>
      </c>
      <c r="B2623">
        <f>data!B2623</f>
        <v>2016</v>
      </c>
      <c r="C2623" t="str">
        <f>data!C2623</f>
        <v>002</v>
      </c>
      <c r="D2623" t="str">
        <f>data!D2623</f>
        <v>CAVE DE GALLICIAN</v>
      </c>
      <c r="E2623" t="str">
        <f>data!E2623</f>
        <v>002017</v>
      </c>
      <c r="F2623" t="str">
        <f>data!F2623</f>
        <v>VDP GARD C. GALLICIAN</v>
      </c>
      <c r="G2623" s="10">
        <f>data!G2623</f>
        <v>4229.6000000000004</v>
      </c>
      <c r="H2623" s="10">
        <f>data!I2623</f>
        <v>3982.68</v>
      </c>
      <c r="I2623" s="10">
        <f t="shared" si="160"/>
        <v>246.92000000000053</v>
      </c>
      <c r="J2623" s="11">
        <f>data!H2623</f>
        <v>4532.2</v>
      </c>
      <c r="K2623" s="11">
        <f>data!J2623</f>
        <v>4465.55</v>
      </c>
      <c r="L2623" s="11">
        <f t="shared" si="161"/>
        <v>66.649999999999636</v>
      </c>
      <c r="M2623" s="9">
        <f t="shared" si="162"/>
        <v>6.1998453302801265E-2</v>
      </c>
      <c r="N2623" s="9">
        <f t="shared" si="163"/>
        <v>1.4925373134328276E-2</v>
      </c>
    </row>
    <row r="2624" spans="1:14" x14ac:dyDescent="0.25">
      <c r="A2624" t="str">
        <f>TEXT("1/"&amp;data!A2624,"mmmm")</f>
        <v>octobre</v>
      </c>
      <c r="B2624">
        <f>data!B2624</f>
        <v>2016</v>
      </c>
      <c r="C2624" t="str">
        <f>data!C2624</f>
        <v>002</v>
      </c>
      <c r="D2624" t="str">
        <f>data!D2624</f>
        <v>CAVE DE GALLICIAN</v>
      </c>
      <c r="E2624" t="str">
        <f>data!E2624</f>
        <v>002018</v>
      </c>
      <c r="F2624" t="str">
        <f>data!F2624</f>
        <v>VDP GARD C. GALLICIAN</v>
      </c>
      <c r="G2624" s="10">
        <f>data!G2624</f>
        <v>2090.09</v>
      </c>
      <c r="H2624" s="10">
        <f>data!I2624</f>
        <v>1805.25</v>
      </c>
      <c r="I2624" s="10">
        <f t="shared" si="160"/>
        <v>284.84000000000015</v>
      </c>
      <c r="J2624" s="11">
        <f>data!H2624</f>
        <v>1874.27</v>
      </c>
      <c r="K2624" s="11">
        <f>data!J2624</f>
        <v>1680.84</v>
      </c>
      <c r="L2624" s="11">
        <f t="shared" si="161"/>
        <v>193.43000000000006</v>
      </c>
      <c r="M2624" s="9">
        <f t="shared" si="162"/>
        <v>0.15778424040991559</v>
      </c>
      <c r="N2624" s="9">
        <f t="shared" si="163"/>
        <v>0.11507936507936513</v>
      </c>
    </row>
    <row r="2625" spans="1:14" x14ac:dyDescent="0.25">
      <c r="A2625" t="str">
        <f>TEXT("1/"&amp;data!A2625,"mmmm")</f>
        <v>octobre</v>
      </c>
      <c r="B2625">
        <f>data!B2625</f>
        <v>2016</v>
      </c>
      <c r="C2625" t="str">
        <f>data!C2625</f>
        <v>002</v>
      </c>
      <c r="D2625" t="str">
        <f>data!D2625</f>
        <v>CAVE DE GALLICIAN</v>
      </c>
      <c r="E2625" t="str">
        <f>data!E2625</f>
        <v>002020</v>
      </c>
      <c r="F2625" t="str">
        <f>data!F2625</f>
        <v>AC C DE NIMES C DES LAUNES</v>
      </c>
      <c r="G2625" s="10">
        <f>data!G2625</f>
        <v>3606.4</v>
      </c>
      <c r="H2625" s="10">
        <f>data!I2625</f>
        <v>1425.6</v>
      </c>
      <c r="I2625" s="10">
        <f t="shared" si="160"/>
        <v>2180.8000000000002</v>
      </c>
      <c r="J2625" s="11">
        <f>data!H2625</f>
        <v>1602</v>
      </c>
      <c r="K2625" s="11">
        <f>data!J2625</f>
        <v>594</v>
      </c>
      <c r="L2625" s="11">
        <f t="shared" si="161"/>
        <v>1008</v>
      </c>
      <c r="M2625" s="9">
        <f t="shared" si="162"/>
        <v>1.5297418630751967</v>
      </c>
      <c r="N2625" s="9">
        <f t="shared" si="163"/>
        <v>1.696969696969697</v>
      </c>
    </row>
    <row r="2626" spans="1:14" x14ac:dyDescent="0.25">
      <c r="A2626" t="str">
        <f>TEXT("1/"&amp;data!A2626,"mmmm")</f>
        <v>octobre</v>
      </c>
      <c r="B2626">
        <f>data!B2626</f>
        <v>2016</v>
      </c>
      <c r="C2626" t="str">
        <f>data!C2626</f>
        <v>002</v>
      </c>
      <c r="D2626" t="str">
        <f>data!D2626</f>
        <v>CAVE DE GALLICIAN</v>
      </c>
      <c r="E2626" t="str">
        <f>data!E2626</f>
        <v>002025</v>
      </c>
      <c r="F2626" t="str">
        <f>data!F2626</f>
        <v>AC COSTIERES DE NIMES CUVEE PRESTIGE</v>
      </c>
      <c r="G2626" s="10">
        <f>data!G2626</f>
        <v>105.12</v>
      </c>
      <c r="H2626" s="10">
        <f>data!I2626</f>
        <v>0</v>
      </c>
      <c r="I2626" s="10">
        <f t="shared" si="160"/>
        <v>105.12</v>
      </c>
      <c r="J2626" s="11">
        <f>data!H2626</f>
        <v>48</v>
      </c>
      <c r="K2626" s="11">
        <f>data!J2626</f>
        <v>0</v>
      </c>
      <c r="L2626" s="11">
        <f t="shared" si="161"/>
        <v>48</v>
      </c>
      <c r="M2626" s="9" t="str">
        <f t="shared" si="162"/>
        <v/>
      </c>
      <c r="N2626" s="9" t="str">
        <f t="shared" si="163"/>
        <v/>
      </c>
    </row>
    <row r="2627" spans="1:14" x14ac:dyDescent="0.25">
      <c r="A2627" t="str">
        <f>TEXT("1/"&amp;data!A2627,"mmmm")</f>
        <v>octobre</v>
      </c>
      <c r="B2627">
        <f>data!B2627</f>
        <v>2016</v>
      </c>
      <c r="C2627" t="str">
        <f>data!C2627</f>
        <v>002</v>
      </c>
      <c r="D2627" t="str">
        <f>data!D2627</f>
        <v>CAVE DE GALLICIAN</v>
      </c>
      <c r="E2627" t="str">
        <f>data!E2627</f>
        <v>002026</v>
      </c>
      <c r="F2627" t="str">
        <f>data!F2627</f>
        <v>IGP GARD GRES D'OR</v>
      </c>
      <c r="G2627" s="10">
        <f>data!G2627</f>
        <v>197.76</v>
      </c>
      <c r="H2627" s="10">
        <f>data!I2627</f>
        <v>245.4</v>
      </c>
      <c r="I2627" s="10">
        <f t="shared" ref="I2627:I2690" si="164">G2627-H2627</f>
        <v>-47.640000000000015</v>
      </c>
      <c r="J2627" s="11">
        <f>data!H2627</f>
        <v>96</v>
      </c>
      <c r="K2627" s="11">
        <f>data!J2627</f>
        <v>120</v>
      </c>
      <c r="L2627" s="11">
        <f t="shared" ref="L2627:L2690" si="165">J2627-K2627</f>
        <v>-24</v>
      </c>
      <c r="M2627" s="9">
        <f t="shared" ref="M2627:M2690" si="166">IF(ISERR(I2627/H2627),"",I2627/H2627)</f>
        <v>-0.19413202933985335</v>
      </c>
      <c r="N2627" s="9">
        <f t="shared" ref="N2627:N2690" si="167">IF(ISERR(L2627/K2627),"",L2627/K2627)</f>
        <v>-0.2</v>
      </c>
    </row>
    <row r="2628" spans="1:14" x14ac:dyDescent="0.25">
      <c r="A2628" t="str">
        <f>TEXT("1/"&amp;data!A2628,"mmmm")</f>
        <v>octobre</v>
      </c>
      <c r="B2628">
        <f>data!B2628</f>
        <v>2016</v>
      </c>
      <c r="C2628" t="str">
        <f>data!C2628</f>
        <v>002</v>
      </c>
      <c r="D2628" t="str">
        <f>data!D2628</f>
        <v>CAVE DE GALLICIAN</v>
      </c>
      <c r="E2628" t="str">
        <f>data!E2628</f>
        <v>002027</v>
      </c>
      <c r="F2628" t="str">
        <f>data!F2628</f>
        <v>IGP D'OC  GRIS DES LAUNES  GALLICIAN</v>
      </c>
      <c r="G2628" s="10">
        <f>data!G2628</f>
        <v>36</v>
      </c>
      <c r="H2628" s="10">
        <f>data!I2628</f>
        <v>56.1</v>
      </c>
      <c r="I2628" s="10">
        <f t="shared" si="164"/>
        <v>-20.100000000000001</v>
      </c>
      <c r="J2628" s="11">
        <f>data!H2628</f>
        <v>18</v>
      </c>
      <c r="K2628" s="11">
        <f>data!J2628</f>
        <v>30</v>
      </c>
      <c r="L2628" s="11">
        <f t="shared" si="165"/>
        <v>-12</v>
      </c>
      <c r="M2628" s="9">
        <f t="shared" si="166"/>
        <v>-0.35828877005347592</v>
      </c>
      <c r="N2628" s="9">
        <f t="shared" si="167"/>
        <v>-0.4</v>
      </c>
    </row>
    <row r="2629" spans="1:14" x14ac:dyDescent="0.25">
      <c r="A2629" t="str">
        <f>TEXT("1/"&amp;data!A2629,"mmmm")</f>
        <v>octobre</v>
      </c>
      <c r="B2629">
        <f>data!B2629</f>
        <v>2016</v>
      </c>
      <c r="C2629" t="str">
        <f>data!C2629</f>
        <v>002</v>
      </c>
      <c r="D2629" t="str">
        <f>data!D2629</f>
        <v>CAVE DE GALLICIAN</v>
      </c>
      <c r="E2629" t="str">
        <f>data!E2629</f>
        <v>002034</v>
      </c>
      <c r="F2629" t="str">
        <f>data!F2629</f>
        <v>AOP COSTIERES DE NIMES</v>
      </c>
      <c r="G2629" s="10">
        <f>data!G2629</f>
        <v>6.6</v>
      </c>
      <c r="H2629" s="10">
        <f>data!I2629</f>
        <v>6.23</v>
      </c>
      <c r="I2629" s="10">
        <f t="shared" si="164"/>
        <v>0.36999999999999922</v>
      </c>
      <c r="J2629" s="11">
        <f>data!H2629</f>
        <v>4</v>
      </c>
      <c r="K2629" s="11">
        <f>data!J2629</f>
        <v>4</v>
      </c>
      <c r="L2629" s="11">
        <f t="shared" si="165"/>
        <v>0</v>
      </c>
      <c r="M2629" s="9">
        <f t="shared" si="166"/>
        <v>5.9390048154092968E-2</v>
      </c>
      <c r="N2629" s="9">
        <f t="shared" si="167"/>
        <v>0</v>
      </c>
    </row>
    <row r="2630" spans="1:14" x14ac:dyDescent="0.25">
      <c r="A2630" t="str">
        <f>TEXT("1/"&amp;data!A2630,"mmmm")</f>
        <v>octobre</v>
      </c>
      <c r="B2630">
        <f>data!B2630</f>
        <v>2016</v>
      </c>
      <c r="C2630" t="str">
        <f>data!C2630</f>
        <v>002</v>
      </c>
      <c r="D2630" t="str">
        <f>data!D2630</f>
        <v>CAVE DE GALLICIAN</v>
      </c>
      <c r="E2630" t="str">
        <f>data!E2630</f>
        <v>002037</v>
      </c>
      <c r="F2630" t="str">
        <f>data!F2630</f>
        <v>AOP COSTIERES DE NIMES COMBES DE MEZIERES</v>
      </c>
      <c r="G2630" s="10">
        <f>data!G2630</f>
        <v>143.04</v>
      </c>
      <c r="H2630" s="10">
        <f>data!I2630</f>
        <v>309.95999999999998</v>
      </c>
      <c r="I2630" s="10">
        <f t="shared" si="164"/>
        <v>-166.92</v>
      </c>
      <c r="J2630" s="11">
        <f>data!H2630</f>
        <v>48</v>
      </c>
      <c r="K2630" s="11">
        <f>data!J2630</f>
        <v>108</v>
      </c>
      <c r="L2630" s="11">
        <f t="shared" si="165"/>
        <v>-60</v>
      </c>
      <c r="M2630" s="9">
        <f t="shared" si="166"/>
        <v>-0.53852109949670923</v>
      </c>
      <c r="N2630" s="9">
        <f t="shared" si="167"/>
        <v>-0.55555555555555558</v>
      </c>
    </row>
    <row r="2631" spans="1:14" x14ac:dyDescent="0.25">
      <c r="A2631" t="str">
        <f>TEXT("1/"&amp;data!A2631,"mmmm")</f>
        <v>octobre</v>
      </c>
      <c r="B2631">
        <f>data!B2631</f>
        <v>2016</v>
      </c>
      <c r="C2631" t="str">
        <f>data!C2631</f>
        <v>002</v>
      </c>
      <c r="D2631" t="str">
        <f>data!D2631</f>
        <v>CAVE DE GALLICIAN</v>
      </c>
      <c r="E2631" t="str">
        <f>data!E2631</f>
        <v>002040</v>
      </c>
      <c r="F2631" t="str">
        <f>data!F2631</f>
        <v>AOP COSTIERES DE NIMES PRESTIGE</v>
      </c>
      <c r="G2631" s="10">
        <f>data!G2631</f>
        <v>210.24</v>
      </c>
      <c r="H2631" s="10">
        <f>data!I2631</f>
        <v>144.54</v>
      </c>
      <c r="I2631" s="10">
        <f t="shared" si="164"/>
        <v>65.700000000000017</v>
      </c>
      <c r="J2631" s="11">
        <f>data!H2631</f>
        <v>96</v>
      </c>
      <c r="K2631" s="11">
        <f>data!J2631</f>
        <v>66</v>
      </c>
      <c r="L2631" s="11">
        <f t="shared" si="165"/>
        <v>30</v>
      </c>
      <c r="M2631" s="9">
        <f t="shared" si="166"/>
        <v>0.4545454545454547</v>
      </c>
      <c r="N2631" s="9">
        <f t="shared" si="167"/>
        <v>0.45454545454545453</v>
      </c>
    </row>
    <row r="2632" spans="1:14" x14ac:dyDescent="0.25">
      <c r="A2632" t="str">
        <f>TEXT("1/"&amp;data!A2632,"mmmm")</f>
        <v>octobre</v>
      </c>
      <c r="B2632">
        <f>data!B2632</f>
        <v>2016</v>
      </c>
      <c r="C2632" t="str">
        <f>data!C2632</f>
        <v>002</v>
      </c>
      <c r="D2632" t="str">
        <f>data!D2632</f>
        <v>CAVE DE GALLICIAN</v>
      </c>
      <c r="E2632" t="str">
        <f>data!E2632</f>
        <v>002100</v>
      </c>
      <c r="F2632" t="str">
        <f>data!F2632</f>
        <v>VDP DU GARD. LOU GRES D'OR</v>
      </c>
      <c r="G2632" s="10">
        <f>data!G2632</f>
        <v>1302.96</v>
      </c>
      <c r="H2632" s="10">
        <f>data!I2632</f>
        <v>477.48</v>
      </c>
      <c r="I2632" s="10">
        <f t="shared" si="164"/>
        <v>825.48</v>
      </c>
      <c r="J2632" s="11">
        <f>data!H2632</f>
        <v>732</v>
      </c>
      <c r="K2632" s="11">
        <f>data!J2632</f>
        <v>276</v>
      </c>
      <c r="L2632" s="11">
        <f t="shared" si="165"/>
        <v>456</v>
      </c>
      <c r="M2632" s="9">
        <f t="shared" si="166"/>
        <v>1.7288263382759488</v>
      </c>
      <c r="N2632" s="9">
        <f t="shared" si="167"/>
        <v>1.6521739130434783</v>
      </c>
    </row>
    <row r="2633" spans="1:14" x14ac:dyDescent="0.25">
      <c r="A2633" t="str">
        <f>TEXT("1/"&amp;data!A2633,"mmmm")</f>
        <v>octobre</v>
      </c>
      <c r="B2633">
        <f>data!B2633</f>
        <v>2016</v>
      </c>
      <c r="C2633" t="str">
        <f>data!C2633</f>
        <v>002</v>
      </c>
      <c r="D2633" t="str">
        <f>data!D2633</f>
        <v>CAVE DE GALLICIAN</v>
      </c>
      <c r="E2633" t="str">
        <f>data!E2633</f>
        <v>002101</v>
      </c>
      <c r="F2633" t="str">
        <f>data!F2633</f>
        <v>IGP DU GARD LOU GRES D'OR</v>
      </c>
      <c r="G2633" s="10">
        <f>data!G2633</f>
        <v>128.16</v>
      </c>
      <c r="H2633" s="10">
        <f>data!I2633</f>
        <v>51.9</v>
      </c>
      <c r="I2633" s="10">
        <f t="shared" si="164"/>
        <v>76.259999999999991</v>
      </c>
      <c r="J2633" s="11">
        <f>data!H2633</f>
        <v>78</v>
      </c>
      <c r="K2633" s="11">
        <f>data!J2633</f>
        <v>30</v>
      </c>
      <c r="L2633" s="11">
        <f t="shared" si="165"/>
        <v>48</v>
      </c>
      <c r="M2633" s="9">
        <f t="shared" si="166"/>
        <v>1.4693641618497109</v>
      </c>
      <c r="N2633" s="9">
        <f t="shared" si="167"/>
        <v>1.6</v>
      </c>
    </row>
    <row r="2634" spans="1:14" x14ac:dyDescent="0.25">
      <c r="A2634" t="str">
        <f>TEXT("1/"&amp;data!A2634,"mmmm")</f>
        <v>octobre</v>
      </c>
      <c r="B2634">
        <f>data!B2634</f>
        <v>2016</v>
      </c>
      <c r="C2634" t="str">
        <f>data!C2634</f>
        <v>002</v>
      </c>
      <c r="D2634" t="str">
        <f>data!D2634</f>
        <v>CAVE DE GALLICIAN</v>
      </c>
      <c r="E2634" t="str">
        <f>data!E2634</f>
        <v>002200</v>
      </c>
      <c r="F2634" t="str">
        <f>data!F2634</f>
        <v>ROSE PAMPLEMOUSSE</v>
      </c>
      <c r="G2634" s="10">
        <f>data!G2634</f>
        <v>69.5</v>
      </c>
      <c r="H2634" s="10">
        <f>data!I2634</f>
        <v>27.08</v>
      </c>
      <c r="I2634" s="10">
        <f t="shared" si="164"/>
        <v>42.42</v>
      </c>
      <c r="J2634" s="11">
        <f>data!H2634</f>
        <v>40</v>
      </c>
      <c r="K2634" s="11">
        <f>data!J2634</f>
        <v>20</v>
      </c>
      <c r="L2634" s="11">
        <f t="shared" si="165"/>
        <v>20</v>
      </c>
      <c r="M2634" s="9">
        <f t="shared" si="166"/>
        <v>1.5664697193500741</v>
      </c>
      <c r="N2634" s="9">
        <f t="shared" si="167"/>
        <v>1</v>
      </c>
    </row>
    <row r="2635" spans="1:14" x14ac:dyDescent="0.25">
      <c r="A2635" t="str">
        <f>TEXT("1/"&amp;data!A2635,"mmmm")</f>
        <v>octobre</v>
      </c>
      <c r="B2635">
        <f>data!B2635</f>
        <v>2016</v>
      </c>
      <c r="C2635" t="str">
        <f>data!C2635</f>
        <v>002</v>
      </c>
      <c r="D2635" t="str">
        <f>data!D2635</f>
        <v>CAVE DE GALLICIAN</v>
      </c>
      <c r="E2635" t="str">
        <f>data!E2635</f>
        <v>002903</v>
      </c>
      <c r="F2635" t="str">
        <f>data!F2635</f>
        <v>VDP MERLOT C. GALLICIAN</v>
      </c>
      <c r="G2635" s="10">
        <f>data!G2635</f>
        <v>2726.55</v>
      </c>
      <c r="H2635" s="10">
        <f>data!I2635</f>
        <v>114.5</v>
      </c>
      <c r="I2635" s="10">
        <f t="shared" si="164"/>
        <v>2612.0500000000002</v>
      </c>
      <c r="J2635" s="11">
        <f>data!H2635</f>
        <v>3253.7400000000002</v>
      </c>
      <c r="K2635" s="11">
        <f>data!J2635</f>
        <v>133.35000000000002</v>
      </c>
      <c r="L2635" s="11">
        <f t="shared" si="165"/>
        <v>3120.3900000000003</v>
      </c>
      <c r="M2635" s="9">
        <f t="shared" si="166"/>
        <v>22.812663755458516</v>
      </c>
      <c r="N2635" s="9">
        <f t="shared" si="167"/>
        <v>23.4</v>
      </c>
    </row>
    <row r="2636" spans="1:14" x14ac:dyDescent="0.25">
      <c r="A2636" t="str">
        <f>TEXT("1/"&amp;data!A2636,"mmmm")</f>
        <v>octobre</v>
      </c>
      <c r="B2636">
        <f>data!B2636</f>
        <v>2016</v>
      </c>
      <c r="C2636" t="str">
        <f>data!C2636</f>
        <v>002</v>
      </c>
      <c r="D2636" t="str">
        <f>data!D2636</f>
        <v>CAVE DE GALLICIAN</v>
      </c>
      <c r="E2636" t="str">
        <f>data!E2636</f>
        <v>002905</v>
      </c>
      <c r="F2636" t="str">
        <f>data!F2636</f>
        <v>VDT. CUVEE FIOJOLI étiq perso scaeL</v>
      </c>
      <c r="G2636" s="10">
        <f>data!G2636</f>
        <v>324</v>
      </c>
      <c r="H2636" s="10">
        <f>data!I2636</f>
        <v>648</v>
      </c>
      <c r="I2636" s="10">
        <f t="shared" si="164"/>
        <v>-324</v>
      </c>
      <c r="J2636" s="11">
        <f>data!H2636</f>
        <v>399.9</v>
      </c>
      <c r="K2636" s="11">
        <f>data!J2636</f>
        <v>799.8</v>
      </c>
      <c r="L2636" s="11">
        <f t="shared" si="165"/>
        <v>-399.9</v>
      </c>
      <c r="M2636" s="9">
        <f t="shared" si="166"/>
        <v>-0.5</v>
      </c>
      <c r="N2636" s="9">
        <f t="shared" si="167"/>
        <v>-0.5</v>
      </c>
    </row>
    <row r="2637" spans="1:14" x14ac:dyDescent="0.25">
      <c r="A2637" t="str">
        <f>TEXT("1/"&amp;data!A2637,"mmmm")</f>
        <v>octobre</v>
      </c>
      <c r="B2637">
        <f>data!B2637</f>
        <v>2016</v>
      </c>
      <c r="C2637" t="str">
        <f>data!C2637</f>
        <v>007</v>
      </c>
      <c r="D2637" t="str">
        <f>data!D2637</f>
        <v>DOMAINE ANDRE DUSSOURT</v>
      </c>
      <c r="E2637" t="str">
        <f>data!E2637</f>
        <v>007001</v>
      </c>
      <c r="F2637" t="str">
        <f>data!F2637</f>
        <v>DME DUSSOURT AC SYLVANER</v>
      </c>
      <c r="G2637" s="10">
        <f>data!G2637</f>
        <v>72</v>
      </c>
      <c r="H2637" s="10">
        <f>data!I2637</f>
        <v>65.7</v>
      </c>
      <c r="I2637" s="10">
        <f t="shared" si="164"/>
        <v>6.2999999999999972</v>
      </c>
      <c r="J2637" s="11">
        <f>data!H2637</f>
        <v>18</v>
      </c>
      <c r="K2637" s="11">
        <f>data!J2637</f>
        <v>24</v>
      </c>
      <c r="L2637" s="11">
        <f t="shared" si="165"/>
        <v>-6</v>
      </c>
      <c r="M2637" s="9">
        <f t="shared" si="166"/>
        <v>9.5890410958904063E-2</v>
      </c>
      <c r="N2637" s="9">
        <f t="shared" si="167"/>
        <v>-0.25</v>
      </c>
    </row>
    <row r="2638" spans="1:14" x14ac:dyDescent="0.25">
      <c r="A2638" t="str">
        <f>TEXT("1/"&amp;data!A2638,"mmmm")</f>
        <v>octobre</v>
      </c>
      <c r="B2638">
        <f>data!B2638</f>
        <v>2016</v>
      </c>
      <c r="C2638" t="str">
        <f>data!C2638</f>
        <v>007</v>
      </c>
      <c r="D2638" t="str">
        <f>data!D2638</f>
        <v>DOMAINE ANDRE DUSSOURT</v>
      </c>
      <c r="E2638" t="str">
        <f>data!E2638</f>
        <v>007002</v>
      </c>
      <c r="F2638" t="str">
        <f>data!F2638</f>
        <v>AC RIESLING D. DUSSOURT</v>
      </c>
      <c r="G2638" s="10">
        <f>data!G2638</f>
        <v>358.8</v>
      </c>
      <c r="H2638" s="10">
        <f>data!I2638</f>
        <v>319.8</v>
      </c>
      <c r="I2638" s="10">
        <f t="shared" si="164"/>
        <v>39</v>
      </c>
      <c r="J2638" s="11">
        <f>data!H2638</f>
        <v>78</v>
      </c>
      <c r="K2638" s="11">
        <f>data!J2638</f>
        <v>84</v>
      </c>
      <c r="L2638" s="11">
        <f t="shared" si="165"/>
        <v>-6</v>
      </c>
      <c r="M2638" s="9">
        <f t="shared" si="166"/>
        <v>0.12195121951219512</v>
      </c>
      <c r="N2638" s="9">
        <f t="shared" si="167"/>
        <v>-7.1428571428571425E-2</v>
      </c>
    </row>
    <row r="2639" spans="1:14" x14ac:dyDescent="0.25">
      <c r="A2639" t="str">
        <f>TEXT("1/"&amp;data!A2639,"mmmm")</f>
        <v>octobre</v>
      </c>
      <c r="B2639">
        <f>data!B2639</f>
        <v>2016</v>
      </c>
      <c r="C2639" t="str">
        <f>data!C2639</f>
        <v>007</v>
      </c>
      <c r="D2639" t="str">
        <f>data!D2639</f>
        <v>DOMAINE ANDRE DUSSOURT</v>
      </c>
      <c r="E2639" t="str">
        <f>data!E2639</f>
        <v>007003</v>
      </c>
      <c r="F2639" t="str">
        <f>data!F2639</f>
        <v>AC PINOT GRIS D. DUSSOURT</v>
      </c>
      <c r="G2639" s="10">
        <f>data!G2639</f>
        <v>363</v>
      </c>
      <c r="H2639" s="10">
        <f>data!I2639</f>
        <v>280.8</v>
      </c>
      <c r="I2639" s="10">
        <f t="shared" si="164"/>
        <v>82.199999999999989</v>
      </c>
      <c r="J2639" s="11">
        <f>data!H2639</f>
        <v>66</v>
      </c>
      <c r="K2639" s="11">
        <f>data!J2639</f>
        <v>60</v>
      </c>
      <c r="L2639" s="11">
        <f t="shared" si="165"/>
        <v>6</v>
      </c>
      <c r="M2639" s="9">
        <f t="shared" si="166"/>
        <v>0.29273504273504269</v>
      </c>
      <c r="N2639" s="9">
        <f t="shared" si="167"/>
        <v>0.1</v>
      </c>
    </row>
    <row r="2640" spans="1:14" x14ac:dyDescent="0.25">
      <c r="A2640" t="str">
        <f>TEXT("1/"&amp;data!A2640,"mmmm")</f>
        <v>octobre</v>
      </c>
      <c r="B2640">
        <f>data!B2640</f>
        <v>2016</v>
      </c>
      <c r="C2640" t="str">
        <f>data!C2640</f>
        <v>007</v>
      </c>
      <c r="D2640" t="str">
        <f>data!D2640</f>
        <v>DOMAINE ANDRE DUSSOURT</v>
      </c>
      <c r="E2640" t="str">
        <f>data!E2640</f>
        <v>007004</v>
      </c>
      <c r="F2640" t="str">
        <f>data!F2640</f>
        <v>AC GEWURZTRAMINER D. DUSSOURT</v>
      </c>
      <c r="G2640" s="10">
        <f>data!G2640</f>
        <v>435</v>
      </c>
      <c r="H2640" s="10">
        <f>data!I2640</f>
        <v>567</v>
      </c>
      <c r="I2640" s="10">
        <f t="shared" si="164"/>
        <v>-132</v>
      </c>
      <c r="J2640" s="11">
        <f>data!H2640</f>
        <v>60</v>
      </c>
      <c r="K2640" s="11">
        <f>data!J2640</f>
        <v>90</v>
      </c>
      <c r="L2640" s="11">
        <f t="shared" si="165"/>
        <v>-30</v>
      </c>
      <c r="M2640" s="9">
        <f t="shared" si="166"/>
        <v>-0.23280423280423279</v>
      </c>
      <c r="N2640" s="9">
        <f t="shared" si="167"/>
        <v>-0.33333333333333331</v>
      </c>
    </row>
    <row r="2641" spans="1:14" x14ac:dyDescent="0.25">
      <c r="A2641" t="str">
        <f>TEXT("1/"&amp;data!A2641,"mmmm")</f>
        <v>octobre</v>
      </c>
      <c r="B2641">
        <f>data!B2641</f>
        <v>2016</v>
      </c>
      <c r="C2641" t="str">
        <f>data!C2641</f>
        <v>007</v>
      </c>
      <c r="D2641" t="str">
        <f>data!D2641</f>
        <v>DOMAINE ANDRE DUSSOURT</v>
      </c>
      <c r="E2641" t="str">
        <f>data!E2641</f>
        <v>007006</v>
      </c>
      <c r="F2641" t="str">
        <f>data!F2641</f>
        <v>AC PINOT NOIR D. DUSSOURT</v>
      </c>
      <c r="G2641" s="10">
        <f>data!G2641</f>
        <v>189</v>
      </c>
      <c r="H2641" s="10">
        <f>data!I2641</f>
        <v>283.2</v>
      </c>
      <c r="I2641" s="10">
        <f t="shared" si="164"/>
        <v>-94.199999999999989</v>
      </c>
      <c r="J2641" s="11">
        <f>data!H2641</f>
        <v>30</v>
      </c>
      <c r="K2641" s="11">
        <f>data!J2641</f>
        <v>54</v>
      </c>
      <c r="L2641" s="11">
        <f t="shared" si="165"/>
        <v>-24</v>
      </c>
      <c r="M2641" s="9">
        <f t="shared" si="166"/>
        <v>-0.33262711864406774</v>
      </c>
      <c r="N2641" s="9">
        <f t="shared" si="167"/>
        <v>-0.44444444444444442</v>
      </c>
    </row>
    <row r="2642" spans="1:14" x14ac:dyDescent="0.25">
      <c r="A2642" t="str">
        <f>TEXT("1/"&amp;data!A2642,"mmmm")</f>
        <v>octobre</v>
      </c>
      <c r="B2642">
        <f>data!B2642</f>
        <v>2016</v>
      </c>
      <c r="C2642" t="str">
        <f>data!C2642</f>
        <v>007</v>
      </c>
      <c r="D2642" t="str">
        <f>data!D2642</f>
        <v>DOMAINE ANDRE DUSSOURT</v>
      </c>
      <c r="E2642" t="str">
        <f>data!E2642</f>
        <v>007008</v>
      </c>
      <c r="F2642" t="str">
        <f>data!F2642</f>
        <v>AC RIESLING D. DUSSOURT</v>
      </c>
      <c r="G2642" s="10">
        <f>data!G2642</f>
        <v>37.200000000000003</v>
      </c>
      <c r="H2642" s="10">
        <f>data!I2642</f>
        <v>0</v>
      </c>
      <c r="I2642" s="10">
        <f t="shared" si="164"/>
        <v>37.200000000000003</v>
      </c>
      <c r="J2642" s="11">
        <f>data!H2642</f>
        <v>6</v>
      </c>
      <c r="K2642" s="11">
        <f>data!J2642</f>
        <v>0</v>
      </c>
      <c r="L2642" s="11">
        <f t="shared" si="165"/>
        <v>6</v>
      </c>
      <c r="M2642" s="9" t="str">
        <f t="shared" si="166"/>
        <v/>
      </c>
      <c r="N2642" s="9" t="str">
        <f t="shared" si="167"/>
        <v/>
      </c>
    </row>
    <row r="2643" spans="1:14" x14ac:dyDescent="0.25">
      <c r="A2643" t="str">
        <f>TEXT("1/"&amp;data!A2643,"mmmm")</f>
        <v>octobre</v>
      </c>
      <c r="B2643">
        <f>data!B2643</f>
        <v>2016</v>
      </c>
      <c r="C2643" t="str">
        <f>data!C2643</f>
        <v>007</v>
      </c>
      <c r="D2643" t="str">
        <f>data!D2643</f>
        <v>DOMAINE ANDRE DUSSOURT</v>
      </c>
      <c r="E2643" t="str">
        <f>data!E2643</f>
        <v>007021</v>
      </c>
      <c r="F2643" t="str">
        <f>data!F2643</f>
        <v>DOMAINE DUSSOURT AC GEWURZTRAMINER</v>
      </c>
      <c r="G2643" s="10">
        <f>data!G2643</f>
        <v>51.6</v>
      </c>
      <c r="H2643" s="10">
        <f>data!I2643</f>
        <v>112.8</v>
      </c>
      <c r="I2643" s="10">
        <f t="shared" si="164"/>
        <v>-61.199999999999996</v>
      </c>
      <c r="J2643" s="11">
        <f>data!H2643</f>
        <v>6</v>
      </c>
      <c r="K2643" s="11">
        <f>data!J2643</f>
        <v>12</v>
      </c>
      <c r="L2643" s="11">
        <f t="shared" si="165"/>
        <v>-6</v>
      </c>
      <c r="M2643" s="9">
        <f t="shared" si="166"/>
        <v>-0.54255319148936165</v>
      </c>
      <c r="N2643" s="9">
        <f t="shared" si="167"/>
        <v>-0.5</v>
      </c>
    </row>
    <row r="2644" spans="1:14" x14ac:dyDescent="0.25">
      <c r="A2644" t="str">
        <f>TEXT("1/"&amp;data!A2644,"mmmm")</f>
        <v>octobre</v>
      </c>
      <c r="B2644">
        <f>data!B2644</f>
        <v>2016</v>
      </c>
      <c r="C2644" t="str">
        <f>data!C2644</f>
        <v>007</v>
      </c>
      <c r="D2644" t="str">
        <f>data!D2644</f>
        <v>DOMAINE ANDRE DUSSOURT</v>
      </c>
      <c r="E2644" t="str">
        <f>data!E2644</f>
        <v>CDV007010</v>
      </c>
      <c r="F2644" t="str">
        <f>data!F2644</f>
        <v>AC GEWURZTRAMINER VENDANGES TARDIVES</v>
      </c>
      <c r="G2644" s="10">
        <f>data!G2644</f>
        <v>111.9</v>
      </c>
      <c r="H2644" s="10">
        <f>data!I2644</f>
        <v>0</v>
      </c>
      <c r="I2644" s="10">
        <f t="shared" si="164"/>
        <v>111.9</v>
      </c>
      <c r="J2644" s="11">
        <f>data!H2644</f>
        <v>6</v>
      </c>
      <c r="K2644" s="11">
        <f>data!J2644</f>
        <v>0</v>
      </c>
      <c r="L2644" s="11">
        <f t="shared" si="165"/>
        <v>6</v>
      </c>
      <c r="M2644" s="9" t="str">
        <f t="shared" si="166"/>
        <v/>
      </c>
      <c r="N2644" s="9" t="str">
        <f t="shared" si="167"/>
        <v/>
      </c>
    </row>
    <row r="2645" spans="1:14" x14ac:dyDescent="0.25">
      <c r="A2645" t="str">
        <f>TEXT("1/"&amp;data!A2645,"mmmm")</f>
        <v>octobre</v>
      </c>
      <c r="B2645">
        <f>data!B2645</f>
        <v>2016</v>
      </c>
      <c r="C2645" t="str">
        <f>data!C2645</f>
        <v>010</v>
      </c>
      <c r="D2645" t="str">
        <f>data!D2645</f>
        <v>DOMAINE VIGNEAU CHEVRAU</v>
      </c>
      <c r="E2645" t="str">
        <f>data!E2645</f>
        <v>010001</v>
      </c>
      <c r="F2645" t="str">
        <f>data!F2645</f>
        <v>AC VOUVRAY SEC.C.SILEX  V.CHEV</v>
      </c>
      <c r="G2645" s="10">
        <f>data!G2645</f>
        <v>604.20000000000005</v>
      </c>
      <c r="H2645" s="10">
        <f>data!I2645</f>
        <v>218.4</v>
      </c>
      <c r="I2645" s="10">
        <f t="shared" si="164"/>
        <v>385.80000000000007</v>
      </c>
      <c r="J2645" s="11">
        <f>data!H2645</f>
        <v>114</v>
      </c>
      <c r="K2645" s="11">
        <f>data!J2645</f>
        <v>42</v>
      </c>
      <c r="L2645" s="11">
        <f t="shared" si="165"/>
        <v>72</v>
      </c>
      <c r="M2645" s="9">
        <f t="shared" si="166"/>
        <v>1.7664835164835166</v>
      </c>
      <c r="N2645" s="9">
        <f t="shared" si="167"/>
        <v>1.7142857142857142</v>
      </c>
    </row>
    <row r="2646" spans="1:14" x14ac:dyDescent="0.25">
      <c r="A2646" t="str">
        <f>TEXT("1/"&amp;data!A2646,"mmmm")</f>
        <v>octobre</v>
      </c>
      <c r="B2646">
        <f>data!B2646</f>
        <v>2016</v>
      </c>
      <c r="C2646" t="str">
        <f>data!C2646</f>
        <v>010</v>
      </c>
      <c r="D2646" t="str">
        <f>data!D2646</f>
        <v>DOMAINE VIGNEAU CHEVRAU</v>
      </c>
      <c r="E2646" t="str">
        <f>data!E2646</f>
        <v>CDV010050</v>
      </c>
      <c r="F2646" t="str">
        <f>data!F2646</f>
        <v>AC VOUVRAY CLOS DE ROUGEMONT VIGNEAU CHEVREAU</v>
      </c>
      <c r="G2646" s="10">
        <f>data!G2646</f>
        <v>75.599999999999994</v>
      </c>
      <c r="H2646" s="10">
        <f>data!I2646</f>
        <v>0</v>
      </c>
      <c r="I2646" s="10">
        <f t="shared" si="164"/>
        <v>75.599999999999994</v>
      </c>
      <c r="J2646" s="11">
        <f>data!H2646</f>
        <v>12</v>
      </c>
      <c r="K2646" s="11">
        <f>data!J2646</f>
        <v>0</v>
      </c>
      <c r="L2646" s="11">
        <f t="shared" si="165"/>
        <v>12</v>
      </c>
      <c r="M2646" s="9" t="str">
        <f t="shared" si="166"/>
        <v/>
      </c>
      <c r="N2646" s="9" t="str">
        <f t="shared" si="167"/>
        <v/>
      </c>
    </row>
    <row r="2647" spans="1:14" x14ac:dyDescent="0.25">
      <c r="A2647" t="str">
        <f>TEXT("1/"&amp;data!A2647,"mmmm")</f>
        <v>octobre</v>
      </c>
      <c r="B2647">
        <f>data!B2647</f>
        <v>2016</v>
      </c>
      <c r="C2647" t="str">
        <f>data!C2647</f>
        <v>011</v>
      </c>
      <c r="D2647" t="str">
        <f>data!D2647</f>
        <v>CAVE GAUTIER</v>
      </c>
      <c r="E2647" t="str">
        <f>data!E2647</f>
        <v>011001</v>
      </c>
      <c r="F2647" t="str">
        <f>data!F2647</f>
        <v>AC VOUVRAY METH TRAD BRUT  D.CHATAIGNERAIE</v>
      </c>
      <c r="G2647" s="10">
        <f>data!G2647</f>
        <v>3016.44</v>
      </c>
      <c r="H2647" s="10">
        <f>data!I2647</f>
        <v>1963.08</v>
      </c>
      <c r="I2647" s="10">
        <f t="shared" si="164"/>
        <v>1053.3600000000001</v>
      </c>
      <c r="J2647" s="11">
        <f>data!H2647</f>
        <v>756</v>
      </c>
      <c r="K2647" s="11">
        <f>data!J2647</f>
        <v>492</v>
      </c>
      <c r="L2647" s="11">
        <f t="shared" si="165"/>
        <v>264</v>
      </c>
      <c r="M2647" s="9">
        <f t="shared" si="166"/>
        <v>0.53658536585365857</v>
      </c>
      <c r="N2647" s="9">
        <f t="shared" si="167"/>
        <v>0.53658536585365857</v>
      </c>
    </row>
    <row r="2648" spans="1:14" x14ac:dyDescent="0.25">
      <c r="A2648" t="str">
        <f>TEXT("1/"&amp;data!A2648,"mmmm")</f>
        <v>octobre</v>
      </c>
      <c r="B2648">
        <f>data!B2648</f>
        <v>2016</v>
      </c>
      <c r="C2648" t="str">
        <f>data!C2648</f>
        <v>011</v>
      </c>
      <c r="D2648" t="str">
        <f>data!D2648</f>
        <v>CAVE GAUTIER</v>
      </c>
      <c r="E2648" t="str">
        <f>data!E2648</f>
        <v>011002</v>
      </c>
      <c r="F2648" t="str">
        <f>data!F2648</f>
        <v>AC VOUVRAY METH TRAD D.SEC  D.CHATAIGNERAIE</v>
      </c>
      <c r="G2648" s="10">
        <f>data!G2648</f>
        <v>406.98</v>
      </c>
      <c r="H2648" s="10">
        <f>data!I2648</f>
        <v>23.1</v>
      </c>
      <c r="I2648" s="10">
        <f t="shared" si="164"/>
        <v>383.88</v>
      </c>
      <c r="J2648" s="11">
        <f>data!H2648</f>
        <v>102</v>
      </c>
      <c r="K2648" s="11">
        <f>data!J2648</f>
        <v>6</v>
      </c>
      <c r="L2648" s="11">
        <f t="shared" si="165"/>
        <v>96</v>
      </c>
      <c r="M2648" s="9">
        <f t="shared" si="166"/>
        <v>16.618181818181817</v>
      </c>
      <c r="N2648" s="9">
        <f t="shared" si="167"/>
        <v>16</v>
      </c>
    </row>
    <row r="2649" spans="1:14" x14ac:dyDescent="0.25">
      <c r="A2649" t="str">
        <f>TEXT("1/"&amp;data!A2649,"mmmm")</f>
        <v>octobre</v>
      </c>
      <c r="B2649">
        <f>data!B2649</f>
        <v>2016</v>
      </c>
      <c r="C2649" t="str">
        <f>data!C2649</f>
        <v>011</v>
      </c>
      <c r="D2649" t="str">
        <f>data!D2649</f>
        <v>CAVE GAUTIER</v>
      </c>
      <c r="E2649" t="str">
        <f>data!E2649</f>
        <v>011006</v>
      </c>
      <c r="F2649" t="str">
        <f>data!F2649</f>
        <v>AC VOUVRAY ARGILEX</v>
      </c>
      <c r="G2649" s="10">
        <f>data!G2649</f>
        <v>84.6</v>
      </c>
      <c r="H2649" s="10">
        <f>data!I2649</f>
        <v>161.63999999999999</v>
      </c>
      <c r="I2649" s="10">
        <f t="shared" si="164"/>
        <v>-77.039999999999992</v>
      </c>
      <c r="J2649" s="11">
        <f>data!H2649</f>
        <v>18</v>
      </c>
      <c r="K2649" s="11">
        <f>data!J2649</f>
        <v>36</v>
      </c>
      <c r="L2649" s="11">
        <f t="shared" si="165"/>
        <v>-18</v>
      </c>
      <c r="M2649" s="9">
        <f t="shared" si="166"/>
        <v>-0.47661469933184852</v>
      </c>
      <c r="N2649" s="9">
        <f t="shared" si="167"/>
        <v>-0.5</v>
      </c>
    </row>
    <row r="2650" spans="1:14" x14ac:dyDescent="0.25">
      <c r="A2650" t="str">
        <f>TEXT("1/"&amp;data!A2650,"mmmm")</f>
        <v>octobre</v>
      </c>
      <c r="B2650">
        <f>data!B2650</f>
        <v>2016</v>
      </c>
      <c r="C2650" t="str">
        <f>data!C2650</f>
        <v>019</v>
      </c>
      <c r="D2650" t="str">
        <f>data!D2650</f>
        <v>VIGNOBLES YON</v>
      </c>
      <c r="E2650" t="str">
        <f>data!E2650</f>
        <v>019003</v>
      </c>
      <c r="F2650" t="str">
        <f>data!F2650</f>
        <v>AC BDX SUP. CH LES HAUTS DE PEREY</v>
      </c>
      <c r="G2650" s="10">
        <f>data!G2650</f>
        <v>1714.5</v>
      </c>
      <c r="H2650" s="10">
        <f>data!I2650</f>
        <v>4078.56</v>
      </c>
      <c r="I2650" s="10">
        <f t="shared" si="164"/>
        <v>-2364.06</v>
      </c>
      <c r="J2650" s="11">
        <f>data!H2650</f>
        <v>768</v>
      </c>
      <c r="K2650" s="11">
        <f>data!J2650</f>
        <v>1872</v>
      </c>
      <c r="L2650" s="11">
        <f t="shared" si="165"/>
        <v>-1104</v>
      </c>
      <c r="M2650" s="9">
        <f t="shared" si="166"/>
        <v>-0.57963104625161821</v>
      </c>
      <c r="N2650" s="9">
        <f t="shared" si="167"/>
        <v>-0.58974358974358976</v>
      </c>
    </row>
    <row r="2651" spans="1:14" x14ac:dyDescent="0.25">
      <c r="A2651" t="str">
        <f>TEXT("1/"&amp;data!A2651,"mmmm")</f>
        <v>octobre</v>
      </c>
      <c r="B2651">
        <f>data!B2651</f>
        <v>2016</v>
      </c>
      <c r="C2651" t="str">
        <f>data!C2651</f>
        <v>019</v>
      </c>
      <c r="D2651" t="str">
        <f>data!D2651</f>
        <v>VIGNOBLES YON</v>
      </c>
      <c r="E2651" t="str">
        <f>data!E2651</f>
        <v>019008</v>
      </c>
      <c r="F2651" t="str">
        <f>data!F2651</f>
        <v>AC BDX. CH LES HAUTS DE PEREY</v>
      </c>
      <c r="G2651" s="10">
        <f>data!G2651</f>
        <v>1089</v>
      </c>
      <c r="H2651" s="10">
        <f>data!I2651</f>
        <v>675.5</v>
      </c>
      <c r="I2651" s="10">
        <f t="shared" si="164"/>
        <v>413.5</v>
      </c>
      <c r="J2651" s="11">
        <f>data!H2651</f>
        <v>733.15</v>
      </c>
      <c r="K2651" s="11">
        <f>data!J2651</f>
        <v>466.55</v>
      </c>
      <c r="L2651" s="11">
        <f t="shared" si="165"/>
        <v>266.59999999999997</v>
      </c>
      <c r="M2651" s="9">
        <f t="shared" si="166"/>
        <v>0.61213915618060699</v>
      </c>
      <c r="N2651" s="9">
        <f t="shared" si="167"/>
        <v>0.5714285714285714</v>
      </c>
    </row>
    <row r="2652" spans="1:14" x14ac:dyDescent="0.25">
      <c r="A2652" t="str">
        <f>TEXT("1/"&amp;data!A2652,"mmmm")</f>
        <v>octobre</v>
      </c>
      <c r="B2652">
        <f>data!B2652</f>
        <v>2016</v>
      </c>
      <c r="C2652" t="str">
        <f>data!C2652</f>
        <v>019</v>
      </c>
      <c r="D2652" t="str">
        <f>data!D2652</f>
        <v>VIGNOBLES YON</v>
      </c>
      <c r="E2652" t="str">
        <f>data!E2652</f>
        <v>019009</v>
      </c>
      <c r="F2652" t="str">
        <f>data!F2652</f>
        <v>AC BDX. CH LES HAUTS DE PEREY</v>
      </c>
      <c r="G2652" s="10">
        <f>data!G2652</f>
        <v>526.4</v>
      </c>
      <c r="H2652" s="10">
        <f>data!I2652</f>
        <v>517</v>
      </c>
      <c r="I2652" s="10">
        <f t="shared" si="164"/>
        <v>9.3999999999999773</v>
      </c>
      <c r="J2652" s="11">
        <f>data!H2652</f>
        <v>313.49</v>
      </c>
      <c r="K2652" s="11">
        <f>data!J2652</f>
        <v>326.83</v>
      </c>
      <c r="L2652" s="11">
        <f t="shared" si="165"/>
        <v>-13.339999999999975</v>
      </c>
      <c r="M2652" s="9">
        <f t="shared" si="166"/>
        <v>1.8181818181818139E-2</v>
      </c>
      <c r="N2652" s="9">
        <f t="shared" si="167"/>
        <v>-4.0816326530612172E-2</v>
      </c>
    </row>
    <row r="2653" spans="1:14" x14ac:dyDescent="0.25">
      <c r="A2653" t="str">
        <f>TEXT("1/"&amp;data!A2653,"mmmm")</f>
        <v>octobre</v>
      </c>
      <c r="B2653">
        <f>data!B2653</f>
        <v>2016</v>
      </c>
      <c r="C2653" t="str">
        <f>data!C2653</f>
        <v>019</v>
      </c>
      <c r="D2653" t="str">
        <f>data!D2653</f>
        <v>VIGNOBLES YON</v>
      </c>
      <c r="E2653" t="str">
        <f>data!E2653</f>
        <v>019011</v>
      </c>
      <c r="F2653" t="str">
        <f>data!F2653</f>
        <v>AC BX SUP. CH GAURY-BALETTE</v>
      </c>
      <c r="G2653" s="10">
        <f>data!G2653</f>
        <v>32.64</v>
      </c>
      <c r="H2653" s="10">
        <f>data!I2653</f>
        <v>178.2</v>
      </c>
      <c r="I2653" s="10">
        <f t="shared" si="164"/>
        <v>-145.56</v>
      </c>
      <c r="J2653" s="11">
        <f>data!H2653</f>
        <v>12</v>
      </c>
      <c r="K2653" s="11">
        <f>data!J2653</f>
        <v>72</v>
      </c>
      <c r="L2653" s="11">
        <f t="shared" si="165"/>
        <v>-60</v>
      </c>
      <c r="M2653" s="9">
        <f t="shared" si="166"/>
        <v>-0.81683501683501691</v>
      </c>
      <c r="N2653" s="9">
        <f t="shared" si="167"/>
        <v>-0.83333333333333337</v>
      </c>
    </row>
    <row r="2654" spans="1:14" x14ac:dyDescent="0.25">
      <c r="A2654" t="str">
        <f>TEXT("1/"&amp;data!A2654,"mmmm")</f>
        <v>octobre</v>
      </c>
      <c r="B2654">
        <f>data!B2654</f>
        <v>2016</v>
      </c>
      <c r="C2654" t="str">
        <f>data!C2654</f>
        <v>019</v>
      </c>
      <c r="D2654" t="str">
        <f>data!D2654</f>
        <v>VIGNOBLES YON</v>
      </c>
      <c r="E2654" t="str">
        <f>data!E2654</f>
        <v>019015</v>
      </c>
      <c r="F2654" t="str">
        <f>data!F2654</f>
        <v>AC E2MERS. CH GAURY-BALETTE</v>
      </c>
      <c r="G2654" s="10">
        <f>data!G2654</f>
        <v>96.6</v>
      </c>
      <c r="H2654" s="10">
        <f>data!I2654</f>
        <v>108</v>
      </c>
      <c r="I2654" s="10">
        <f t="shared" si="164"/>
        <v>-11.400000000000006</v>
      </c>
      <c r="J2654" s="11">
        <f>data!H2654</f>
        <v>42</v>
      </c>
      <c r="K2654" s="11">
        <f>data!J2654</f>
        <v>48</v>
      </c>
      <c r="L2654" s="11">
        <f t="shared" si="165"/>
        <v>-6</v>
      </c>
      <c r="M2654" s="9">
        <f t="shared" si="166"/>
        <v>-0.10555555555555561</v>
      </c>
      <c r="N2654" s="9">
        <f t="shared" si="167"/>
        <v>-0.125</v>
      </c>
    </row>
    <row r="2655" spans="1:14" x14ac:dyDescent="0.25">
      <c r="A2655" t="str">
        <f>TEXT("1/"&amp;data!A2655,"mmmm")</f>
        <v>octobre</v>
      </c>
      <c r="B2655">
        <f>data!B2655</f>
        <v>2016</v>
      </c>
      <c r="C2655" t="str">
        <f>data!C2655</f>
        <v>025</v>
      </c>
      <c r="D2655" t="str">
        <f>data!D2655</f>
        <v>COLLOVRAY &amp; TERRIER</v>
      </c>
      <c r="E2655" t="str">
        <f>data!E2655</f>
        <v>025001</v>
      </c>
      <c r="F2655" t="str">
        <f>data!F2655</f>
        <v>AC SAINT VERAN TRAD. COLLOVRAY&amp;TERRIER</v>
      </c>
      <c r="G2655" s="10">
        <f>data!G2655</f>
        <v>1099.98</v>
      </c>
      <c r="H2655" s="10">
        <f>data!I2655</f>
        <v>611.1</v>
      </c>
      <c r="I2655" s="10">
        <f t="shared" si="164"/>
        <v>488.88</v>
      </c>
      <c r="J2655" s="11">
        <f>data!H2655</f>
        <v>174</v>
      </c>
      <c r="K2655" s="11">
        <f>data!J2655</f>
        <v>90</v>
      </c>
      <c r="L2655" s="11">
        <f t="shared" si="165"/>
        <v>84</v>
      </c>
      <c r="M2655" s="9">
        <f t="shared" si="166"/>
        <v>0.79999999999999993</v>
      </c>
      <c r="N2655" s="9">
        <f t="shared" si="167"/>
        <v>0.93333333333333335</v>
      </c>
    </row>
    <row r="2656" spans="1:14" x14ac:dyDescent="0.25">
      <c r="A2656" t="str">
        <f>TEXT("1/"&amp;data!A2656,"mmmm")</f>
        <v>octobre</v>
      </c>
      <c r="B2656">
        <f>data!B2656</f>
        <v>2016</v>
      </c>
      <c r="C2656" t="str">
        <f>data!C2656</f>
        <v>025</v>
      </c>
      <c r="D2656" t="str">
        <f>data!D2656</f>
        <v>COLLOVRAY &amp; TERRIER</v>
      </c>
      <c r="E2656" t="str">
        <f>data!E2656</f>
        <v>025003</v>
      </c>
      <c r="F2656" t="str">
        <f>data!F2656</f>
        <v>DME DEUX ROCHES AC ST VERAN RIVES DE LONGSAULT</v>
      </c>
      <c r="G2656" s="10">
        <f>data!G2656</f>
        <v>45.9</v>
      </c>
      <c r="H2656" s="10">
        <f>data!I2656</f>
        <v>0</v>
      </c>
      <c r="I2656" s="10">
        <f t="shared" si="164"/>
        <v>45.9</v>
      </c>
      <c r="J2656" s="11">
        <f>data!H2656</f>
        <v>12</v>
      </c>
      <c r="K2656" s="11">
        <f>data!J2656</f>
        <v>6</v>
      </c>
      <c r="L2656" s="11">
        <f t="shared" si="165"/>
        <v>6</v>
      </c>
      <c r="M2656" s="9" t="str">
        <f t="shared" si="166"/>
        <v/>
      </c>
      <c r="N2656" s="9">
        <f t="shared" si="167"/>
        <v>1</v>
      </c>
    </row>
    <row r="2657" spans="1:14" x14ac:dyDescent="0.25">
      <c r="A2657" t="str">
        <f>TEXT("1/"&amp;data!A2657,"mmmm")</f>
        <v>octobre</v>
      </c>
      <c r="B2657">
        <f>data!B2657</f>
        <v>2016</v>
      </c>
      <c r="C2657" t="str">
        <f>data!C2657</f>
        <v>025</v>
      </c>
      <c r="D2657" t="str">
        <f>data!D2657</f>
        <v>COLLOVRAY &amp; TERRIER</v>
      </c>
      <c r="E2657" t="str">
        <f>data!E2657</f>
        <v>025010</v>
      </c>
      <c r="F2657" t="str">
        <f>data!F2657</f>
        <v>AC MACON VILL TRAD. COLLOVRAY &amp;</v>
      </c>
      <c r="G2657" s="10">
        <f>data!G2657</f>
        <v>1115.55</v>
      </c>
      <c r="H2657" s="10">
        <f>data!I2657</f>
        <v>0</v>
      </c>
      <c r="I2657" s="10">
        <f t="shared" si="164"/>
        <v>1115.55</v>
      </c>
      <c r="J2657" s="11">
        <f>data!H2657</f>
        <v>216</v>
      </c>
      <c r="K2657" s="11">
        <f>data!J2657</f>
        <v>0</v>
      </c>
      <c r="L2657" s="11">
        <f t="shared" si="165"/>
        <v>216</v>
      </c>
      <c r="M2657" s="9" t="str">
        <f t="shared" si="166"/>
        <v/>
      </c>
      <c r="N2657" s="9" t="str">
        <f t="shared" si="167"/>
        <v/>
      </c>
    </row>
    <row r="2658" spans="1:14" x14ac:dyDescent="0.25">
      <c r="A2658" t="str">
        <f>TEXT("1/"&amp;data!A2658,"mmmm")</f>
        <v>octobre</v>
      </c>
      <c r="B2658">
        <f>data!B2658</f>
        <v>2016</v>
      </c>
      <c r="C2658" t="str">
        <f>data!C2658</f>
        <v>025</v>
      </c>
      <c r="D2658" t="str">
        <f>data!D2658</f>
        <v>COLLOVRAY &amp; TERRIER</v>
      </c>
      <c r="E2658" t="str">
        <f>data!E2658</f>
        <v>025013</v>
      </c>
      <c r="F2658" t="str">
        <f>data!F2658</f>
        <v>AC MACON. VERGER DES FEUILLANTS</v>
      </c>
      <c r="G2658" s="10">
        <f>data!G2658</f>
        <v>261.89999999999998</v>
      </c>
      <c r="H2658" s="10">
        <f>data!I2658</f>
        <v>145.5</v>
      </c>
      <c r="I2658" s="10">
        <f t="shared" si="164"/>
        <v>116.39999999999998</v>
      </c>
      <c r="J2658" s="11">
        <f>data!H2658</f>
        <v>66</v>
      </c>
      <c r="K2658" s="11">
        <f>data!J2658</f>
        <v>30</v>
      </c>
      <c r="L2658" s="11">
        <f t="shared" si="165"/>
        <v>36</v>
      </c>
      <c r="M2658" s="9">
        <f t="shared" si="166"/>
        <v>0.79999999999999982</v>
      </c>
      <c r="N2658" s="9">
        <f t="shared" si="167"/>
        <v>1.2</v>
      </c>
    </row>
    <row r="2659" spans="1:14" x14ac:dyDescent="0.25">
      <c r="A2659" t="str">
        <f>TEXT("1/"&amp;data!A2659,"mmmm")</f>
        <v>octobre</v>
      </c>
      <c r="B2659">
        <f>data!B2659</f>
        <v>2016</v>
      </c>
      <c r="C2659" t="str">
        <f>data!C2659</f>
        <v>025</v>
      </c>
      <c r="D2659" t="str">
        <f>data!D2659</f>
        <v>COLLOVRAY &amp; TERRIER</v>
      </c>
      <c r="E2659" t="str">
        <f>data!E2659</f>
        <v>025015</v>
      </c>
      <c r="F2659" t="str">
        <f>data!F2659</f>
        <v>VDP PINOT NOIR . D.D'ANTUGNIAC</v>
      </c>
      <c r="G2659" s="10">
        <f>data!G2659</f>
        <v>482.58</v>
      </c>
      <c r="H2659" s="10">
        <f>data!I2659</f>
        <v>137.88</v>
      </c>
      <c r="I2659" s="10">
        <f t="shared" si="164"/>
        <v>344.7</v>
      </c>
      <c r="J2659" s="11">
        <f>data!H2659</f>
        <v>126</v>
      </c>
      <c r="K2659" s="11">
        <f>data!J2659</f>
        <v>42</v>
      </c>
      <c r="L2659" s="11">
        <f t="shared" si="165"/>
        <v>84</v>
      </c>
      <c r="M2659" s="9">
        <f t="shared" si="166"/>
        <v>2.5</v>
      </c>
      <c r="N2659" s="9">
        <f t="shared" si="167"/>
        <v>2</v>
      </c>
    </row>
    <row r="2660" spans="1:14" x14ac:dyDescent="0.25">
      <c r="A2660" t="str">
        <f>TEXT("1/"&amp;data!A2660,"mmmm")</f>
        <v>octobre</v>
      </c>
      <c r="B2660">
        <f>data!B2660</f>
        <v>2016</v>
      </c>
      <c r="C2660" t="str">
        <f>data!C2660</f>
        <v>025</v>
      </c>
      <c r="D2660" t="str">
        <f>data!D2660</f>
        <v>COLLOVRAY &amp; TERRIER</v>
      </c>
      <c r="E2660" t="str">
        <f>data!E2660</f>
        <v>025016</v>
      </c>
      <c r="F2660" t="str">
        <f>data!F2660</f>
        <v>VDP MERLOT. D.D'ANTUGNIAC</v>
      </c>
      <c r="G2660" s="10">
        <f>data!G2660</f>
        <v>116.64</v>
      </c>
      <c r="H2660" s="10">
        <f>data!I2660</f>
        <v>0</v>
      </c>
      <c r="I2660" s="10">
        <f t="shared" si="164"/>
        <v>116.64</v>
      </c>
      <c r="J2660" s="11">
        <f>data!H2660</f>
        <v>48</v>
      </c>
      <c r="K2660" s="11">
        <f>data!J2660</f>
        <v>0</v>
      </c>
      <c r="L2660" s="11">
        <f t="shared" si="165"/>
        <v>48</v>
      </c>
      <c r="M2660" s="9" t="str">
        <f t="shared" si="166"/>
        <v/>
      </c>
      <c r="N2660" s="9" t="str">
        <f t="shared" si="167"/>
        <v/>
      </c>
    </row>
    <row r="2661" spans="1:14" x14ac:dyDescent="0.25">
      <c r="A2661" t="str">
        <f>TEXT("1/"&amp;data!A2661,"mmmm")</f>
        <v>octobre</v>
      </c>
      <c r="B2661">
        <f>data!B2661</f>
        <v>2016</v>
      </c>
      <c r="C2661" t="str">
        <f>data!C2661</f>
        <v>025</v>
      </c>
      <c r="D2661" t="str">
        <f>data!D2661</f>
        <v>COLLOVRAY &amp; TERRIER</v>
      </c>
      <c r="E2661" t="str">
        <f>data!E2661</f>
        <v>025021</v>
      </c>
      <c r="F2661" t="str">
        <f>data!F2661</f>
        <v>AC POUILLY-FUISSE. V.VIGNES</v>
      </c>
      <c r="G2661" s="10">
        <f>data!G2661</f>
        <v>1198.4000000000001</v>
      </c>
      <c r="H2661" s="10">
        <f>data!I2661</f>
        <v>321</v>
      </c>
      <c r="I2661" s="10">
        <f t="shared" si="164"/>
        <v>877.40000000000009</v>
      </c>
      <c r="J2661" s="11">
        <f>data!H2661</f>
        <v>126</v>
      </c>
      <c r="K2661" s="11">
        <f>data!J2661</f>
        <v>36</v>
      </c>
      <c r="L2661" s="11">
        <f t="shared" si="165"/>
        <v>90</v>
      </c>
      <c r="M2661" s="9">
        <f t="shared" si="166"/>
        <v>2.7333333333333338</v>
      </c>
      <c r="N2661" s="9">
        <f t="shared" si="167"/>
        <v>2.5</v>
      </c>
    </row>
    <row r="2662" spans="1:14" x14ac:dyDescent="0.25">
      <c r="A2662" t="str">
        <f>TEXT("1/"&amp;data!A2662,"mmmm")</f>
        <v>octobre</v>
      </c>
      <c r="B2662">
        <f>data!B2662</f>
        <v>2016</v>
      </c>
      <c r="C2662" t="str">
        <f>data!C2662</f>
        <v>025</v>
      </c>
      <c r="D2662" t="str">
        <f>data!D2662</f>
        <v>COLLOVRAY &amp; TERRIER</v>
      </c>
      <c r="E2662" t="str">
        <f>data!E2662</f>
        <v>025026</v>
      </c>
      <c r="F2662" t="str">
        <f>data!F2662</f>
        <v>VDP CHARDONNAY. D.D'ANTUGNAC</v>
      </c>
      <c r="G2662" s="10">
        <f>data!G2662</f>
        <v>2913.36</v>
      </c>
      <c r="H2662" s="10">
        <f>data!I2662</f>
        <v>2280</v>
      </c>
      <c r="I2662" s="10">
        <f t="shared" si="164"/>
        <v>633.36000000000013</v>
      </c>
      <c r="J2662" s="11">
        <f>data!H2662</f>
        <v>1002</v>
      </c>
      <c r="K2662" s="11">
        <f>data!J2662</f>
        <v>750</v>
      </c>
      <c r="L2662" s="11">
        <f t="shared" si="165"/>
        <v>252</v>
      </c>
      <c r="M2662" s="9">
        <f t="shared" si="166"/>
        <v>0.27778947368421059</v>
      </c>
      <c r="N2662" s="9">
        <f t="shared" si="167"/>
        <v>0.33600000000000002</v>
      </c>
    </row>
    <row r="2663" spans="1:14" x14ac:dyDescent="0.25">
      <c r="A2663" t="str">
        <f>TEXT("1/"&amp;data!A2663,"mmmm")</f>
        <v>octobre</v>
      </c>
      <c r="B2663">
        <f>data!B2663</f>
        <v>2016</v>
      </c>
      <c r="C2663" t="str">
        <f>data!C2663</f>
        <v>025</v>
      </c>
      <c r="D2663" t="str">
        <f>data!D2663</f>
        <v>COLLOVRAY &amp; TERRIER</v>
      </c>
      <c r="E2663" t="str">
        <f>data!E2663</f>
        <v>025031</v>
      </c>
      <c r="F2663" t="str">
        <f>data!F2663</f>
        <v>AC LIMOUX. Terres Amoureuses D.D'ANTUGNAC</v>
      </c>
      <c r="G2663" s="10">
        <f>data!G2663</f>
        <v>233.1</v>
      </c>
      <c r="H2663" s="10">
        <f>data!I2663</f>
        <v>434.46</v>
      </c>
      <c r="I2663" s="10">
        <f t="shared" si="164"/>
        <v>-201.35999999999999</v>
      </c>
      <c r="J2663" s="11">
        <f>data!H2663</f>
        <v>42</v>
      </c>
      <c r="K2663" s="11">
        <f>data!J2663</f>
        <v>78</v>
      </c>
      <c r="L2663" s="11">
        <f t="shared" si="165"/>
        <v>-36</v>
      </c>
      <c r="M2663" s="9">
        <f t="shared" si="166"/>
        <v>-0.46347189614694101</v>
      </c>
      <c r="N2663" s="9">
        <f t="shared" si="167"/>
        <v>-0.46153846153846156</v>
      </c>
    </row>
    <row r="2664" spans="1:14" x14ac:dyDescent="0.25">
      <c r="A2664" t="str">
        <f>TEXT("1/"&amp;data!A2664,"mmmm")</f>
        <v>octobre</v>
      </c>
      <c r="B2664">
        <f>data!B2664</f>
        <v>2016</v>
      </c>
      <c r="C2664" t="str">
        <f>data!C2664</f>
        <v>025</v>
      </c>
      <c r="D2664" t="str">
        <f>data!D2664</f>
        <v>COLLOVRAY &amp; TERRIER</v>
      </c>
      <c r="E2664" t="str">
        <f>data!E2664</f>
        <v>025033</v>
      </c>
      <c r="F2664" t="str">
        <f>data!F2664</f>
        <v>AC LIMOUX Aux Bons Hommes D.D'ANTUGNAC</v>
      </c>
      <c r="G2664" s="10">
        <f>data!G2664</f>
        <v>124.2</v>
      </c>
      <c r="H2664" s="10">
        <f>data!I2664</f>
        <v>546.48</v>
      </c>
      <c r="I2664" s="10">
        <f t="shared" si="164"/>
        <v>-422.28000000000003</v>
      </c>
      <c r="J2664" s="11">
        <f>data!H2664</f>
        <v>42</v>
      </c>
      <c r="K2664" s="11">
        <f>data!J2664</f>
        <v>132</v>
      </c>
      <c r="L2664" s="11">
        <f t="shared" si="165"/>
        <v>-90</v>
      </c>
      <c r="M2664" s="9">
        <f t="shared" si="166"/>
        <v>-0.77272727272727271</v>
      </c>
      <c r="N2664" s="9">
        <f t="shared" si="167"/>
        <v>-0.68181818181818177</v>
      </c>
    </row>
    <row r="2665" spans="1:14" x14ac:dyDescent="0.25">
      <c r="A2665" t="str">
        <f>TEXT("1/"&amp;data!A2665,"mmmm")</f>
        <v>octobre</v>
      </c>
      <c r="B2665">
        <f>data!B2665</f>
        <v>2016</v>
      </c>
      <c r="C2665" t="str">
        <f>data!C2665</f>
        <v>028</v>
      </c>
      <c r="D2665" t="str">
        <f>data!D2665</f>
        <v>VIGNOBLES DUBOIS ET FILS</v>
      </c>
      <c r="E2665" t="str">
        <f>data!E2665</f>
        <v>028001</v>
      </c>
      <c r="F2665" t="str">
        <f>data!F2665</f>
        <v>AC 1ERES C.DE BLAYE. TRADITION  CH L.BERTRANDS</v>
      </c>
      <c r="G2665" s="10">
        <f>data!G2665</f>
        <v>273</v>
      </c>
      <c r="H2665" s="10">
        <f>data!I2665</f>
        <v>1072.5</v>
      </c>
      <c r="I2665" s="10">
        <f t="shared" si="164"/>
        <v>-799.5</v>
      </c>
      <c r="J2665" s="11">
        <f>data!H2665</f>
        <v>84</v>
      </c>
      <c r="K2665" s="11">
        <f>data!J2665</f>
        <v>330</v>
      </c>
      <c r="L2665" s="11">
        <f t="shared" si="165"/>
        <v>-246</v>
      </c>
      <c r="M2665" s="9">
        <f t="shared" si="166"/>
        <v>-0.74545454545454548</v>
      </c>
      <c r="N2665" s="9">
        <f t="shared" si="167"/>
        <v>-0.74545454545454548</v>
      </c>
    </row>
    <row r="2666" spans="1:14" x14ac:dyDescent="0.25">
      <c r="A2666" t="str">
        <f>TEXT("1/"&amp;data!A2666,"mmmm")</f>
        <v>octobre</v>
      </c>
      <c r="B2666">
        <f>data!B2666</f>
        <v>2016</v>
      </c>
      <c r="C2666" t="str">
        <f>data!C2666</f>
        <v>028</v>
      </c>
      <c r="D2666" t="str">
        <f>data!D2666</f>
        <v>VIGNOBLES DUBOIS ET FILS</v>
      </c>
      <c r="E2666" t="str">
        <f>data!E2666</f>
        <v>028005</v>
      </c>
      <c r="F2666" t="str">
        <f>data!F2666</f>
        <v>AC 1ERES C.BLAYE TRAD. CH L.BERTRANDS</v>
      </c>
      <c r="G2666" s="10">
        <f>data!G2666</f>
        <v>0</v>
      </c>
      <c r="H2666" s="10">
        <f>data!I2666</f>
        <v>50.4</v>
      </c>
      <c r="I2666" s="10">
        <f t="shared" si="164"/>
        <v>-50.4</v>
      </c>
      <c r="J2666" s="11">
        <f>data!H2666</f>
        <v>6</v>
      </c>
      <c r="K2666" s="11">
        <f>data!J2666</f>
        <v>18</v>
      </c>
      <c r="L2666" s="11">
        <f t="shared" si="165"/>
        <v>-12</v>
      </c>
      <c r="M2666" s="9">
        <f t="shared" si="166"/>
        <v>-1</v>
      </c>
      <c r="N2666" s="9">
        <f t="shared" si="167"/>
        <v>-0.66666666666666663</v>
      </c>
    </row>
    <row r="2667" spans="1:14" x14ac:dyDescent="0.25">
      <c r="A2667" t="str">
        <f>TEXT("1/"&amp;data!A2667,"mmmm")</f>
        <v>octobre</v>
      </c>
      <c r="B2667">
        <f>data!B2667</f>
        <v>2016</v>
      </c>
      <c r="C2667" t="str">
        <f>data!C2667</f>
        <v>028</v>
      </c>
      <c r="D2667" t="str">
        <f>data!D2667</f>
        <v>VIGNOBLES DUBOIS ET FILS</v>
      </c>
      <c r="E2667" t="str">
        <f>data!E2667</f>
        <v>028007</v>
      </c>
      <c r="F2667" t="str">
        <f>data!F2667</f>
        <v>AC 1ERES C BLAYE TRAD. CH L.BERTRANDS</v>
      </c>
      <c r="G2667" s="10">
        <f>data!G2667</f>
        <v>45.6</v>
      </c>
      <c r="H2667" s="10">
        <f>data!I2667</f>
        <v>813.6</v>
      </c>
      <c r="I2667" s="10">
        <f t="shared" si="164"/>
        <v>-768</v>
      </c>
      <c r="J2667" s="11">
        <f>data!H2667</f>
        <v>26.66</v>
      </c>
      <c r="K2667" s="11">
        <f>data!J2667</f>
        <v>479.88</v>
      </c>
      <c r="L2667" s="11">
        <f t="shared" si="165"/>
        <v>-453.21999999999997</v>
      </c>
      <c r="M2667" s="9">
        <f t="shared" si="166"/>
        <v>-0.94395280235988199</v>
      </c>
      <c r="N2667" s="9">
        <f t="shared" si="167"/>
        <v>-0.94444444444444442</v>
      </c>
    </row>
    <row r="2668" spans="1:14" x14ac:dyDescent="0.25">
      <c r="A2668" t="str">
        <f>TEXT("1/"&amp;data!A2668,"mmmm")</f>
        <v>octobre</v>
      </c>
      <c r="B2668">
        <f>data!B2668</f>
        <v>2016</v>
      </c>
      <c r="C2668" t="str">
        <f>data!C2668</f>
        <v>028</v>
      </c>
      <c r="D2668" t="str">
        <f>data!D2668</f>
        <v>VIGNOBLES DUBOIS ET FILS</v>
      </c>
      <c r="E2668" t="str">
        <f>data!E2668</f>
        <v>028008</v>
      </c>
      <c r="F2668" t="str">
        <f>data!F2668</f>
        <v>AC C. DE BLAYE CH L.BERTRANDS</v>
      </c>
      <c r="G2668" s="10">
        <f>data!G2668</f>
        <v>499.5</v>
      </c>
      <c r="H2668" s="10">
        <f>data!I2668</f>
        <v>1090.5999999999999</v>
      </c>
      <c r="I2668" s="10">
        <f t="shared" si="164"/>
        <v>-591.09999999999991</v>
      </c>
      <c r="J2668" s="11">
        <f>data!H2668</f>
        <v>246.79</v>
      </c>
      <c r="K2668" s="11">
        <f>data!J2668</f>
        <v>546.93999999999994</v>
      </c>
      <c r="L2668" s="11">
        <f t="shared" si="165"/>
        <v>-300.14999999999998</v>
      </c>
      <c r="M2668" s="9">
        <f t="shared" si="166"/>
        <v>-0.54199523198239496</v>
      </c>
      <c r="N2668" s="9">
        <f t="shared" si="167"/>
        <v>-0.54878048780487809</v>
      </c>
    </row>
    <row r="2669" spans="1:14" x14ac:dyDescent="0.25">
      <c r="A2669" t="str">
        <f>TEXT("1/"&amp;data!A2669,"mmmm")</f>
        <v>octobre</v>
      </c>
      <c r="B2669">
        <f>data!B2669</f>
        <v>2016</v>
      </c>
      <c r="C2669" t="str">
        <f>data!C2669</f>
        <v>028</v>
      </c>
      <c r="D2669" t="str">
        <f>data!D2669</f>
        <v>VIGNOBLES DUBOIS ET FILS</v>
      </c>
      <c r="E2669" t="str">
        <f>data!E2669</f>
        <v>028013</v>
      </c>
      <c r="F2669" t="str">
        <f>data!F2669</f>
        <v>AC 1ERES COTES DE BLAYE PRESTIGE</v>
      </c>
      <c r="G2669" s="10">
        <f>data!G2669</f>
        <v>827.7</v>
      </c>
      <c r="H2669" s="10">
        <f>data!I2669</f>
        <v>694.2</v>
      </c>
      <c r="I2669" s="10">
        <f t="shared" si="164"/>
        <v>133.5</v>
      </c>
      <c r="J2669" s="11">
        <f>data!H2669</f>
        <v>186</v>
      </c>
      <c r="K2669" s="11">
        <f>data!J2669</f>
        <v>156</v>
      </c>
      <c r="L2669" s="11">
        <f t="shared" si="165"/>
        <v>30</v>
      </c>
      <c r="M2669" s="9">
        <f t="shared" si="166"/>
        <v>0.19230769230769229</v>
      </c>
      <c r="N2669" s="9">
        <f t="shared" si="167"/>
        <v>0.19230769230769232</v>
      </c>
    </row>
    <row r="2670" spans="1:14" x14ac:dyDescent="0.25">
      <c r="A2670" t="str">
        <f>TEXT("1/"&amp;data!A2670,"mmmm")</f>
        <v>octobre</v>
      </c>
      <c r="B2670">
        <f>data!B2670</f>
        <v>2016</v>
      </c>
      <c r="C2670" t="str">
        <f>data!C2670</f>
        <v>029</v>
      </c>
      <c r="D2670" t="str">
        <f>data!D2670</f>
        <v>DOMAINE DE BELLE MARE</v>
      </c>
      <c r="E2670" t="str">
        <f>data!E2670</f>
        <v>029010</v>
      </c>
      <c r="F2670" t="str">
        <f>data!F2670</f>
        <v>VDP COLLINES DE LA MOURE. D.BEL MARE</v>
      </c>
      <c r="G2670" s="10">
        <f>data!G2670</f>
        <v>180</v>
      </c>
      <c r="H2670" s="10">
        <f>data!I2670</f>
        <v>0</v>
      </c>
      <c r="I2670" s="10">
        <f t="shared" si="164"/>
        <v>180</v>
      </c>
      <c r="J2670" s="11">
        <f>data!H2670</f>
        <v>120</v>
      </c>
      <c r="K2670" s="11">
        <f>data!J2670</f>
        <v>0</v>
      </c>
      <c r="L2670" s="11">
        <f t="shared" si="165"/>
        <v>120</v>
      </c>
      <c r="M2670" s="9" t="str">
        <f t="shared" si="166"/>
        <v/>
      </c>
      <c r="N2670" s="9" t="str">
        <f t="shared" si="167"/>
        <v/>
      </c>
    </row>
    <row r="2671" spans="1:14" x14ac:dyDescent="0.25">
      <c r="A2671" t="str">
        <f>TEXT("1/"&amp;data!A2671,"mmmm")</f>
        <v>octobre</v>
      </c>
      <c r="B2671">
        <f>data!B2671</f>
        <v>2016</v>
      </c>
      <c r="C2671" t="str">
        <f>data!C2671</f>
        <v>035</v>
      </c>
      <c r="D2671" t="str">
        <f>data!D2671</f>
        <v>DOMAINE OLIVIER</v>
      </c>
      <c r="E2671" t="str">
        <f>data!E2671</f>
        <v>035001</v>
      </c>
      <c r="F2671" t="str">
        <f>data!F2671</f>
        <v>AC ST NICOLAS DE BOURG D.OLIVIER</v>
      </c>
      <c r="G2671" s="10">
        <f>data!G2671</f>
        <v>1758.24</v>
      </c>
      <c r="H2671" s="10">
        <f>data!I2671</f>
        <v>5139.6000000000004</v>
      </c>
      <c r="I2671" s="10">
        <f t="shared" si="164"/>
        <v>-3381.3600000000006</v>
      </c>
      <c r="J2671" s="11">
        <f>data!H2671</f>
        <v>432</v>
      </c>
      <c r="K2671" s="11">
        <f>data!J2671</f>
        <v>1302</v>
      </c>
      <c r="L2671" s="11">
        <f t="shared" si="165"/>
        <v>-870</v>
      </c>
      <c r="M2671" s="9">
        <f t="shared" si="166"/>
        <v>-0.6579033387812282</v>
      </c>
      <c r="N2671" s="9">
        <f t="shared" si="167"/>
        <v>-0.66820276497695852</v>
      </c>
    </row>
    <row r="2672" spans="1:14" x14ac:dyDescent="0.25">
      <c r="A2672" t="str">
        <f>TEXT("1/"&amp;data!A2672,"mmmm")</f>
        <v>octobre</v>
      </c>
      <c r="B2672">
        <f>data!B2672</f>
        <v>2016</v>
      </c>
      <c r="C2672" t="str">
        <f>data!C2672</f>
        <v>035</v>
      </c>
      <c r="D2672" t="str">
        <f>data!D2672</f>
        <v>DOMAINE OLIVIER</v>
      </c>
      <c r="E2672" t="str">
        <f>data!E2672</f>
        <v>035002</v>
      </c>
      <c r="F2672" t="str">
        <f>data!F2672</f>
        <v>AC ST NICOLAS DE BOURG D.OLIVIER</v>
      </c>
      <c r="G2672" s="10">
        <f>data!G2672</f>
        <v>182.16</v>
      </c>
      <c r="H2672" s="10">
        <f>data!I2672</f>
        <v>150</v>
      </c>
      <c r="I2672" s="10">
        <f t="shared" si="164"/>
        <v>32.159999999999997</v>
      </c>
      <c r="J2672" s="11">
        <f>data!H2672</f>
        <v>36</v>
      </c>
      <c r="K2672" s="11">
        <f>data!J2672</f>
        <v>30</v>
      </c>
      <c r="L2672" s="11">
        <f t="shared" si="165"/>
        <v>6</v>
      </c>
      <c r="M2672" s="9">
        <f t="shared" si="166"/>
        <v>0.21439999999999998</v>
      </c>
      <c r="N2672" s="9">
        <f t="shared" si="167"/>
        <v>0.2</v>
      </c>
    </row>
    <row r="2673" spans="1:14" x14ac:dyDescent="0.25">
      <c r="A2673" t="str">
        <f>TEXT("1/"&amp;data!A2673,"mmmm")</f>
        <v>octobre</v>
      </c>
      <c r="B2673">
        <f>data!B2673</f>
        <v>2016</v>
      </c>
      <c r="C2673" t="str">
        <f>data!C2673</f>
        <v>035</v>
      </c>
      <c r="D2673" t="str">
        <f>data!D2673</f>
        <v>DOMAINE OLIVIER</v>
      </c>
      <c r="E2673" t="str">
        <f>data!E2673</f>
        <v>035010</v>
      </c>
      <c r="F2673" t="str">
        <f>data!F2673</f>
        <v>AC BOURGUEIL V.VIGNES D.OLIVIER</v>
      </c>
      <c r="G2673" s="10">
        <f>data!G2673</f>
        <v>546</v>
      </c>
      <c r="H2673" s="10">
        <f>data!I2673</f>
        <v>406.98</v>
      </c>
      <c r="I2673" s="10">
        <f t="shared" si="164"/>
        <v>139.01999999999998</v>
      </c>
      <c r="J2673" s="11">
        <f>data!H2673</f>
        <v>150</v>
      </c>
      <c r="K2673" s="11">
        <f>data!J2673</f>
        <v>126</v>
      </c>
      <c r="L2673" s="11">
        <f t="shared" si="165"/>
        <v>24</v>
      </c>
      <c r="M2673" s="9">
        <f t="shared" si="166"/>
        <v>0.34158926728586164</v>
      </c>
      <c r="N2673" s="9">
        <f t="shared" si="167"/>
        <v>0.19047619047619047</v>
      </c>
    </row>
    <row r="2674" spans="1:14" x14ac:dyDescent="0.25">
      <c r="A2674" t="str">
        <f>TEXT("1/"&amp;data!A2674,"mmmm")</f>
        <v>octobre</v>
      </c>
      <c r="B2674">
        <f>data!B2674</f>
        <v>2016</v>
      </c>
      <c r="C2674" t="str">
        <f>data!C2674</f>
        <v>036</v>
      </c>
      <c r="D2674" t="str">
        <f>data!D2674</f>
        <v>CASTELBARRY</v>
      </c>
      <c r="E2674" t="str">
        <f>data!E2674</f>
        <v>036001</v>
      </c>
      <c r="F2674" t="str">
        <f>data!F2674</f>
        <v>AC CTX DU LANG .COL DU VENT</v>
      </c>
      <c r="G2674" s="10">
        <f>data!G2674</f>
        <v>932.2</v>
      </c>
      <c r="H2674" s="10">
        <f>data!I2674</f>
        <v>1039.9000000000001</v>
      </c>
      <c r="I2674" s="10">
        <f t="shared" si="164"/>
        <v>-107.70000000000005</v>
      </c>
      <c r="J2674" s="11">
        <f>data!H2674</f>
        <v>366</v>
      </c>
      <c r="K2674" s="11">
        <f>data!J2674</f>
        <v>408</v>
      </c>
      <c r="L2674" s="11">
        <f t="shared" si="165"/>
        <v>-42</v>
      </c>
      <c r="M2674" s="9">
        <f t="shared" si="166"/>
        <v>-0.10356765073564769</v>
      </c>
      <c r="N2674" s="9">
        <f t="shared" si="167"/>
        <v>-0.10294117647058823</v>
      </c>
    </row>
    <row r="2675" spans="1:14" x14ac:dyDescent="0.25">
      <c r="A2675" t="str">
        <f>TEXT("1/"&amp;data!A2675,"mmmm")</f>
        <v>octobre</v>
      </c>
      <c r="B2675">
        <f>data!B2675</f>
        <v>2016</v>
      </c>
      <c r="C2675" t="str">
        <f>data!C2675</f>
        <v>036</v>
      </c>
      <c r="D2675" t="str">
        <f>data!D2675</f>
        <v>CASTELBARRY</v>
      </c>
      <c r="E2675" t="str">
        <f>data!E2675</f>
        <v>036002</v>
      </c>
      <c r="F2675" t="str">
        <f>data!F2675</f>
        <v>AC CTX DU LANG. COL DU VENT</v>
      </c>
      <c r="G2675" s="10">
        <f>data!G2675</f>
        <v>0</v>
      </c>
      <c r="H2675" s="10">
        <f>data!I2675</f>
        <v>0</v>
      </c>
      <c r="I2675" s="10">
        <f t="shared" si="164"/>
        <v>0</v>
      </c>
      <c r="J2675" s="11">
        <f>data!H2675</f>
        <v>6</v>
      </c>
      <c r="K2675" s="11">
        <f>data!J2675</f>
        <v>0</v>
      </c>
      <c r="L2675" s="11">
        <f t="shared" si="165"/>
        <v>6</v>
      </c>
      <c r="M2675" s="9" t="str">
        <f t="shared" si="166"/>
        <v/>
      </c>
      <c r="N2675" s="9" t="str">
        <f t="shared" si="167"/>
        <v/>
      </c>
    </row>
    <row r="2676" spans="1:14" x14ac:dyDescent="0.25">
      <c r="A2676" t="str">
        <f>TEXT("1/"&amp;data!A2676,"mmmm")</f>
        <v>octobre</v>
      </c>
      <c r="B2676">
        <f>data!B2676</f>
        <v>2016</v>
      </c>
      <c r="C2676" t="str">
        <f>data!C2676</f>
        <v>036</v>
      </c>
      <c r="D2676" t="str">
        <f>data!D2676</f>
        <v>CASTELBARRY</v>
      </c>
      <c r="E2676" t="str">
        <f>data!E2676</f>
        <v>036010</v>
      </c>
      <c r="F2676" t="str">
        <f>data!F2676</f>
        <v>IGP SAINT GUILHEM LE DESERT GRENACHE</v>
      </c>
      <c r="G2676" s="10">
        <f>data!G2676</f>
        <v>37.950000000000003</v>
      </c>
      <c r="H2676" s="10">
        <f>data!I2676</f>
        <v>310</v>
      </c>
      <c r="I2676" s="10">
        <f t="shared" si="164"/>
        <v>-272.05</v>
      </c>
      <c r="J2676" s="11">
        <f>data!H2676</f>
        <v>39.99</v>
      </c>
      <c r="K2676" s="11">
        <f>data!J2676</f>
        <v>333.25</v>
      </c>
      <c r="L2676" s="11">
        <f t="shared" si="165"/>
        <v>-293.26</v>
      </c>
      <c r="M2676" s="9">
        <f t="shared" si="166"/>
        <v>-0.87758064516129031</v>
      </c>
      <c r="N2676" s="9">
        <f t="shared" si="167"/>
        <v>-0.88</v>
      </c>
    </row>
    <row r="2677" spans="1:14" x14ac:dyDescent="0.25">
      <c r="A2677" t="str">
        <f>TEXT("1/"&amp;data!A2677,"mmmm")</f>
        <v>octobre</v>
      </c>
      <c r="B2677">
        <f>data!B2677</f>
        <v>2016</v>
      </c>
      <c r="C2677" t="str">
        <f>data!C2677</f>
        <v>036</v>
      </c>
      <c r="D2677" t="str">
        <f>data!D2677</f>
        <v>CASTELBARRY</v>
      </c>
      <c r="E2677" t="str">
        <f>data!E2677</f>
        <v>036011</v>
      </c>
      <c r="F2677" t="str">
        <f>data!F2677</f>
        <v>IGP ST GUILHEM LE DESERT</v>
      </c>
      <c r="G2677" s="10">
        <f>data!G2677</f>
        <v>36.75</v>
      </c>
      <c r="H2677" s="10">
        <f>data!I2677</f>
        <v>194.4</v>
      </c>
      <c r="I2677" s="10">
        <f t="shared" si="164"/>
        <v>-157.65</v>
      </c>
      <c r="J2677" s="11">
        <f>data!H2677</f>
        <v>33.35</v>
      </c>
      <c r="K2677" s="11">
        <f>data!J2677</f>
        <v>186.76</v>
      </c>
      <c r="L2677" s="11">
        <f t="shared" si="165"/>
        <v>-153.41</v>
      </c>
      <c r="M2677" s="9">
        <f t="shared" si="166"/>
        <v>-0.81095679012345678</v>
      </c>
      <c r="N2677" s="9">
        <f t="shared" si="167"/>
        <v>-0.8214285714285714</v>
      </c>
    </row>
    <row r="2678" spans="1:14" x14ac:dyDescent="0.25">
      <c r="A2678" t="str">
        <f>TEXT("1/"&amp;data!A2678,"mmmm")</f>
        <v>octobre</v>
      </c>
      <c r="B2678">
        <f>data!B2678</f>
        <v>2016</v>
      </c>
      <c r="C2678" t="str">
        <f>data!C2678</f>
        <v>037</v>
      </c>
      <c r="D2678" t="str">
        <f>data!D2678</f>
        <v>SARL RAFFAULT</v>
      </c>
      <c r="E2678" t="str">
        <f>data!E2678</f>
        <v>037003</v>
      </c>
      <c r="F2678" t="str">
        <f>data!F2678</f>
        <v>AC CHINON</v>
      </c>
      <c r="G2678" s="10">
        <f>data!G2678</f>
        <v>45.6</v>
      </c>
      <c r="H2678" s="10">
        <f>data!I2678</f>
        <v>44.4</v>
      </c>
      <c r="I2678" s="10">
        <f t="shared" si="164"/>
        <v>1.2000000000000028</v>
      </c>
      <c r="J2678" s="11">
        <f>data!H2678</f>
        <v>12</v>
      </c>
      <c r="K2678" s="11">
        <f>data!J2678</f>
        <v>12</v>
      </c>
      <c r="L2678" s="11">
        <f t="shared" si="165"/>
        <v>0</v>
      </c>
      <c r="M2678" s="9">
        <f t="shared" si="166"/>
        <v>2.7027027027027091E-2</v>
      </c>
      <c r="N2678" s="9">
        <f t="shared" si="167"/>
        <v>0</v>
      </c>
    </row>
    <row r="2679" spans="1:14" x14ac:dyDescent="0.25">
      <c r="A2679" t="str">
        <f>TEXT("1/"&amp;data!A2679,"mmmm")</f>
        <v>octobre</v>
      </c>
      <c r="B2679">
        <f>data!B2679</f>
        <v>2016</v>
      </c>
      <c r="C2679" t="str">
        <f>data!C2679</f>
        <v>037</v>
      </c>
      <c r="D2679" t="str">
        <f>data!D2679</f>
        <v>SARL RAFFAULT</v>
      </c>
      <c r="E2679" t="str">
        <f>data!E2679</f>
        <v>037005</v>
      </c>
      <c r="F2679" t="str">
        <f>data!F2679</f>
        <v>JM. RAFFAULT AC CHINON</v>
      </c>
      <c r="G2679" s="10">
        <f>data!G2679</f>
        <v>0</v>
      </c>
      <c r="H2679" s="10">
        <f>data!I2679</f>
        <v>44.4</v>
      </c>
      <c r="I2679" s="10">
        <f t="shared" si="164"/>
        <v>-44.4</v>
      </c>
      <c r="J2679" s="11">
        <f>data!H2679</f>
        <v>240</v>
      </c>
      <c r="K2679" s="11">
        <f>data!J2679</f>
        <v>12</v>
      </c>
      <c r="L2679" s="11">
        <f t="shared" si="165"/>
        <v>228</v>
      </c>
      <c r="M2679" s="9">
        <f t="shared" si="166"/>
        <v>-1</v>
      </c>
      <c r="N2679" s="9">
        <f t="shared" si="167"/>
        <v>19</v>
      </c>
    </row>
    <row r="2680" spans="1:14" x14ac:dyDescent="0.25">
      <c r="A2680" t="str">
        <f>TEXT("1/"&amp;data!A2680,"mmmm")</f>
        <v>octobre</v>
      </c>
      <c r="B2680">
        <f>data!B2680</f>
        <v>2016</v>
      </c>
      <c r="C2680" t="str">
        <f>data!C2680</f>
        <v>037</v>
      </c>
      <c r="D2680" t="str">
        <f>data!D2680</f>
        <v>SARL RAFFAULT</v>
      </c>
      <c r="E2680" t="str">
        <f>data!E2680</f>
        <v>037010</v>
      </c>
      <c r="F2680" t="str">
        <f>data!F2680</f>
        <v>AC CHINON SEC</v>
      </c>
      <c r="G2680" s="10">
        <f>data!G2680</f>
        <v>85.5</v>
      </c>
      <c r="H2680" s="10">
        <f>data!I2680</f>
        <v>54.6</v>
      </c>
      <c r="I2680" s="10">
        <f t="shared" si="164"/>
        <v>30.9</v>
      </c>
      <c r="J2680" s="11">
        <f>data!H2680</f>
        <v>18</v>
      </c>
      <c r="K2680" s="11">
        <f>data!J2680</f>
        <v>12</v>
      </c>
      <c r="L2680" s="11">
        <f t="shared" si="165"/>
        <v>6</v>
      </c>
      <c r="M2680" s="9">
        <f t="shared" si="166"/>
        <v>0.56593406593406592</v>
      </c>
      <c r="N2680" s="9">
        <f t="shared" si="167"/>
        <v>0.5</v>
      </c>
    </row>
    <row r="2681" spans="1:14" x14ac:dyDescent="0.25">
      <c r="A2681" t="str">
        <f>TEXT("1/"&amp;data!A2681,"mmmm")</f>
        <v>octobre</v>
      </c>
      <c r="B2681">
        <f>data!B2681</f>
        <v>2016</v>
      </c>
      <c r="C2681" t="str">
        <f>data!C2681</f>
        <v>039</v>
      </c>
      <c r="D2681" t="str">
        <f>data!D2681</f>
        <v>LES VIGNERONS DES COTES D'AGLY</v>
      </c>
      <c r="E2681" t="str">
        <f>data!E2681</f>
        <v>039002</v>
      </c>
      <c r="F2681" t="str">
        <f>data!F2681</f>
        <v>VIGNERONS ALGLY AC MUSCAT DE RIVESALTES</v>
      </c>
      <c r="G2681" s="10">
        <f>data!G2681</f>
        <v>38.1</v>
      </c>
      <c r="H2681" s="10">
        <f>data!I2681</f>
        <v>0</v>
      </c>
      <c r="I2681" s="10">
        <f t="shared" si="164"/>
        <v>38.1</v>
      </c>
      <c r="J2681" s="11">
        <f>data!H2681</f>
        <v>13.34</v>
      </c>
      <c r="K2681" s="11">
        <f>data!J2681</f>
        <v>0</v>
      </c>
      <c r="L2681" s="11">
        <f t="shared" si="165"/>
        <v>13.34</v>
      </c>
      <c r="M2681" s="9" t="str">
        <f t="shared" si="166"/>
        <v/>
      </c>
      <c r="N2681" s="9" t="str">
        <f t="shared" si="167"/>
        <v/>
      </c>
    </row>
    <row r="2682" spans="1:14" x14ac:dyDescent="0.25">
      <c r="A2682" t="str">
        <f>TEXT("1/"&amp;data!A2682,"mmmm")</f>
        <v>octobre</v>
      </c>
      <c r="B2682">
        <f>data!B2682</f>
        <v>2016</v>
      </c>
      <c r="C2682" t="str">
        <f>data!C2682</f>
        <v>039</v>
      </c>
      <c r="D2682" t="str">
        <f>data!D2682</f>
        <v>LES VIGNERONS DES COTES D'AGLY</v>
      </c>
      <c r="E2682" t="str">
        <f>data!E2682</f>
        <v>039013</v>
      </c>
      <c r="F2682" t="str">
        <f>data!F2682</f>
        <v>AC C.DU ROUSSILLON .MONTNER PREM</v>
      </c>
      <c r="G2682" s="10">
        <f>data!G2682</f>
        <v>0</v>
      </c>
      <c r="H2682" s="10">
        <f>data!I2682</f>
        <v>186.48</v>
      </c>
      <c r="I2682" s="10">
        <f t="shared" si="164"/>
        <v>-186.48</v>
      </c>
      <c r="J2682" s="11">
        <f>data!H2682</f>
        <v>12</v>
      </c>
      <c r="K2682" s="11">
        <f>data!J2682</f>
        <v>42</v>
      </c>
      <c r="L2682" s="11">
        <f t="shared" si="165"/>
        <v>-30</v>
      </c>
      <c r="M2682" s="9">
        <f t="shared" si="166"/>
        <v>-1</v>
      </c>
      <c r="N2682" s="9">
        <f t="shared" si="167"/>
        <v>-0.7142857142857143</v>
      </c>
    </row>
    <row r="2683" spans="1:14" x14ac:dyDescent="0.25">
      <c r="A2683" t="str">
        <f>TEXT("1/"&amp;data!A2683,"mmmm")</f>
        <v>octobre</v>
      </c>
      <c r="B2683">
        <f>data!B2683</f>
        <v>2016</v>
      </c>
      <c r="C2683" t="str">
        <f>data!C2683</f>
        <v>039</v>
      </c>
      <c r="D2683" t="str">
        <f>data!D2683</f>
        <v>LES VIGNERONS DES COTES D'AGLY</v>
      </c>
      <c r="E2683" t="str">
        <f>data!E2683</f>
        <v>039017</v>
      </c>
      <c r="F2683" t="str">
        <f>data!F2683</f>
        <v>AC C.ROUSSILLON VILL ARAGO</v>
      </c>
      <c r="G2683" s="10">
        <f>data!G2683</f>
        <v>168</v>
      </c>
      <c r="H2683" s="10">
        <f>data!I2683</f>
        <v>546</v>
      </c>
      <c r="I2683" s="10">
        <f t="shared" si="164"/>
        <v>-378</v>
      </c>
      <c r="J2683" s="11">
        <f>data!H2683</f>
        <v>54</v>
      </c>
      <c r="K2683" s="11">
        <f>data!J2683</f>
        <v>156</v>
      </c>
      <c r="L2683" s="11">
        <f t="shared" si="165"/>
        <v>-102</v>
      </c>
      <c r="M2683" s="9">
        <f t="shared" si="166"/>
        <v>-0.69230769230769229</v>
      </c>
      <c r="N2683" s="9">
        <f t="shared" si="167"/>
        <v>-0.65384615384615385</v>
      </c>
    </row>
    <row r="2684" spans="1:14" x14ac:dyDescent="0.25">
      <c r="A2684" t="str">
        <f>TEXT("1/"&amp;data!A2684,"mmmm")</f>
        <v>octobre</v>
      </c>
      <c r="B2684">
        <f>data!B2684</f>
        <v>2016</v>
      </c>
      <c r="C2684" t="str">
        <f>data!C2684</f>
        <v>039</v>
      </c>
      <c r="D2684" t="str">
        <f>data!D2684</f>
        <v>LES VIGNERONS DES COTES D'AGLY</v>
      </c>
      <c r="E2684" t="str">
        <f>data!E2684</f>
        <v>039018</v>
      </c>
      <c r="F2684" t="str">
        <f>data!F2684</f>
        <v>AC C. ROUSSILLON N D LAVAL</v>
      </c>
      <c r="G2684" s="10">
        <f>data!G2684</f>
        <v>380.64</v>
      </c>
      <c r="H2684" s="10">
        <f>data!I2684</f>
        <v>318.24</v>
      </c>
      <c r="I2684" s="10">
        <f t="shared" si="164"/>
        <v>62.399999999999977</v>
      </c>
      <c r="J2684" s="11">
        <f>data!H2684</f>
        <v>156</v>
      </c>
      <c r="K2684" s="11">
        <f>data!J2684</f>
        <v>150</v>
      </c>
      <c r="L2684" s="11">
        <f t="shared" si="165"/>
        <v>6</v>
      </c>
      <c r="M2684" s="9">
        <f t="shared" si="166"/>
        <v>0.19607843137254893</v>
      </c>
      <c r="N2684" s="9">
        <f t="shared" si="167"/>
        <v>0.04</v>
      </c>
    </row>
    <row r="2685" spans="1:14" x14ac:dyDescent="0.25">
      <c r="A2685" t="str">
        <f>TEXT("1/"&amp;data!A2685,"mmmm")</f>
        <v>octobre</v>
      </c>
      <c r="B2685">
        <f>data!B2685</f>
        <v>2016</v>
      </c>
      <c r="C2685" t="str">
        <f>data!C2685</f>
        <v>039</v>
      </c>
      <c r="D2685" t="str">
        <f>data!D2685</f>
        <v>LES VIGNERONS DES COTES D'AGLY</v>
      </c>
      <c r="E2685" t="str">
        <f>data!E2685</f>
        <v>039028</v>
      </c>
      <c r="F2685" t="str">
        <f>data!F2685</f>
        <v>VDN MAURY</v>
      </c>
      <c r="G2685" s="10">
        <f>data!G2685</f>
        <v>300</v>
      </c>
      <c r="H2685" s="10">
        <f>data!I2685</f>
        <v>141.6</v>
      </c>
      <c r="I2685" s="10">
        <f t="shared" si="164"/>
        <v>158.4</v>
      </c>
      <c r="J2685" s="11">
        <f>data!H2685</f>
        <v>60</v>
      </c>
      <c r="K2685" s="11">
        <f>data!J2685</f>
        <v>36</v>
      </c>
      <c r="L2685" s="11">
        <f t="shared" si="165"/>
        <v>24</v>
      </c>
      <c r="M2685" s="9">
        <f t="shared" si="166"/>
        <v>1.1186440677966103</v>
      </c>
      <c r="N2685" s="9">
        <f t="shared" si="167"/>
        <v>0.66666666666666663</v>
      </c>
    </row>
    <row r="2686" spans="1:14" x14ac:dyDescent="0.25">
      <c r="A2686" t="str">
        <f>TEXT("1/"&amp;data!A2686,"mmmm")</f>
        <v>octobre</v>
      </c>
      <c r="B2686">
        <f>data!B2686</f>
        <v>2016</v>
      </c>
      <c r="C2686" t="str">
        <f>data!C2686</f>
        <v>039</v>
      </c>
      <c r="D2686" t="str">
        <f>data!D2686</f>
        <v>LES VIGNERONS DES COTES D'AGLY</v>
      </c>
      <c r="E2686" t="str">
        <f>data!E2686</f>
        <v>039030</v>
      </c>
      <c r="F2686" t="str">
        <f>data!F2686</f>
        <v>VDN MUSCAT DE RIVESALTES</v>
      </c>
      <c r="G2686" s="10">
        <f>data!G2686</f>
        <v>294.83999999999997</v>
      </c>
      <c r="H2686" s="10">
        <f>data!I2686</f>
        <v>108.3</v>
      </c>
      <c r="I2686" s="10">
        <f t="shared" si="164"/>
        <v>186.53999999999996</v>
      </c>
      <c r="J2686" s="11">
        <f>data!H2686</f>
        <v>78</v>
      </c>
      <c r="K2686" s="11">
        <f>data!J2686</f>
        <v>36</v>
      </c>
      <c r="L2686" s="11">
        <f t="shared" si="165"/>
        <v>42</v>
      </c>
      <c r="M2686" s="9">
        <f t="shared" si="166"/>
        <v>1.7224376731301936</v>
      </c>
      <c r="N2686" s="9">
        <f t="shared" si="167"/>
        <v>1.1666666666666667</v>
      </c>
    </row>
    <row r="2687" spans="1:14" x14ac:dyDescent="0.25">
      <c r="A2687" t="str">
        <f>TEXT("1/"&amp;data!A2687,"mmmm")</f>
        <v>octobre</v>
      </c>
      <c r="B2687">
        <f>data!B2687</f>
        <v>2016</v>
      </c>
      <c r="C2687" t="str">
        <f>data!C2687</f>
        <v>046</v>
      </c>
      <c r="D2687" t="str">
        <f>data!D2687</f>
        <v>MR JEAN PIERRE CABANES</v>
      </c>
      <c r="E2687" t="str">
        <f>data!E2687</f>
        <v>046001</v>
      </c>
      <c r="F2687" t="str">
        <f>data!F2687</f>
        <v>AC CTX DU LANGU TRAD D.ARCHIMBAUD</v>
      </c>
      <c r="G2687" s="10">
        <f>data!G2687</f>
        <v>54</v>
      </c>
      <c r="H2687" s="10">
        <f>data!I2687</f>
        <v>196.8</v>
      </c>
      <c r="I2687" s="10">
        <f t="shared" si="164"/>
        <v>-142.80000000000001</v>
      </c>
      <c r="J2687" s="11">
        <f>data!H2687</f>
        <v>12</v>
      </c>
      <c r="K2687" s="11">
        <f>data!J2687</f>
        <v>48</v>
      </c>
      <c r="L2687" s="11">
        <f t="shared" si="165"/>
        <v>-36</v>
      </c>
      <c r="M2687" s="9">
        <f t="shared" si="166"/>
        <v>-0.72560975609756095</v>
      </c>
      <c r="N2687" s="9">
        <f t="shared" si="167"/>
        <v>-0.75</v>
      </c>
    </row>
    <row r="2688" spans="1:14" x14ac:dyDescent="0.25">
      <c r="A2688" t="str">
        <f>TEXT("1/"&amp;data!A2688,"mmmm")</f>
        <v>octobre</v>
      </c>
      <c r="B2688">
        <f>data!B2688</f>
        <v>2016</v>
      </c>
      <c r="C2688" t="str">
        <f>data!C2688</f>
        <v>046</v>
      </c>
      <c r="D2688" t="str">
        <f>data!D2688</f>
        <v>MR JEAN PIERRE CABANES</v>
      </c>
      <c r="E2688" t="str">
        <f>data!E2688</f>
        <v>046010</v>
      </c>
      <c r="F2688" t="str">
        <f>data!F2688</f>
        <v>AC COT DU LANG ROBE POURPRE</v>
      </c>
      <c r="G2688" s="10">
        <f>data!G2688</f>
        <v>124.2</v>
      </c>
      <c r="H2688" s="10">
        <f>data!I2688</f>
        <v>76.8</v>
      </c>
      <c r="I2688" s="10">
        <f t="shared" si="164"/>
        <v>47.400000000000006</v>
      </c>
      <c r="J2688" s="11">
        <f>data!H2688</f>
        <v>18</v>
      </c>
      <c r="K2688" s="11">
        <f>data!J2688</f>
        <v>12</v>
      </c>
      <c r="L2688" s="11">
        <f t="shared" si="165"/>
        <v>6</v>
      </c>
      <c r="M2688" s="9">
        <f t="shared" si="166"/>
        <v>0.61718750000000011</v>
      </c>
      <c r="N2688" s="9">
        <f t="shared" si="167"/>
        <v>0.5</v>
      </c>
    </row>
    <row r="2689" spans="1:14" x14ac:dyDescent="0.25">
      <c r="A2689" t="str">
        <f>TEXT("1/"&amp;data!A2689,"mmmm")</f>
        <v>octobre</v>
      </c>
      <c r="B2689">
        <f>data!B2689</f>
        <v>2016</v>
      </c>
      <c r="C2689" t="str">
        <f>data!C2689</f>
        <v>046</v>
      </c>
      <c r="D2689" t="str">
        <f>data!D2689</f>
        <v>MR JEAN PIERRE CABANES</v>
      </c>
      <c r="E2689" t="str">
        <f>data!E2689</f>
        <v>046015</v>
      </c>
      <c r="F2689" t="str">
        <f>data!F2689</f>
        <v>AC COT DU LANGU D.ARCHIMBAUD</v>
      </c>
      <c r="G2689" s="10">
        <f>data!G2689</f>
        <v>120</v>
      </c>
      <c r="H2689" s="10">
        <f>data!I2689</f>
        <v>0</v>
      </c>
      <c r="I2689" s="10">
        <f t="shared" si="164"/>
        <v>120</v>
      </c>
      <c r="J2689" s="11">
        <f>data!H2689</f>
        <v>30</v>
      </c>
      <c r="K2689" s="11">
        <f>data!J2689</f>
        <v>0</v>
      </c>
      <c r="L2689" s="11">
        <f t="shared" si="165"/>
        <v>30</v>
      </c>
      <c r="M2689" s="9" t="str">
        <f t="shared" si="166"/>
        <v/>
      </c>
      <c r="N2689" s="9" t="str">
        <f t="shared" si="167"/>
        <v/>
      </c>
    </row>
    <row r="2690" spans="1:14" x14ac:dyDescent="0.25">
      <c r="A2690" t="str">
        <f>TEXT("1/"&amp;data!A2690,"mmmm")</f>
        <v>octobre</v>
      </c>
      <c r="B2690">
        <f>data!B2690</f>
        <v>2016</v>
      </c>
      <c r="C2690" t="str">
        <f>data!C2690</f>
        <v>049</v>
      </c>
      <c r="D2690" t="str">
        <f>data!D2690</f>
        <v>MAISON GRANDEAU</v>
      </c>
      <c r="E2690" t="str">
        <f>data!E2690</f>
        <v>049007</v>
      </c>
      <c r="F2690" t="str">
        <f>data!F2690</f>
        <v>AC BX SUP Tradi  CH LAUDUC</v>
      </c>
      <c r="G2690" s="10">
        <f>data!G2690</f>
        <v>259.5</v>
      </c>
      <c r="H2690" s="10">
        <f>data!I2690</f>
        <v>297</v>
      </c>
      <c r="I2690" s="10">
        <f t="shared" si="164"/>
        <v>-37.5</v>
      </c>
      <c r="J2690" s="11">
        <f>data!H2690</f>
        <v>78</v>
      </c>
      <c r="K2690" s="11">
        <f>data!J2690</f>
        <v>90</v>
      </c>
      <c r="L2690" s="11">
        <f t="shared" si="165"/>
        <v>-12</v>
      </c>
      <c r="M2690" s="9">
        <f t="shared" si="166"/>
        <v>-0.12626262626262627</v>
      </c>
      <c r="N2690" s="9">
        <f t="shared" si="167"/>
        <v>-0.13333333333333333</v>
      </c>
    </row>
    <row r="2691" spans="1:14" x14ac:dyDescent="0.25">
      <c r="A2691" t="str">
        <f>TEXT("1/"&amp;data!A2691,"mmmm")</f>
        <v>octobre</v>
      </c>
      <c r="B2691">
        <f>data!B2691</f>
        <v>2016</v>
      </c>
      <c r="C2691" t="str">
        <f>data!C2691</f>
        <v>049</v>
      </c>
      <c r="D2691" t="str">
        <f>data!D2691</f>
        <v>MAISON GRANDEAU</v>
      </c>
      <c r="E2691" t="str">
        <f>data!E2691</f>
        <v>049008</v>
      </c>
      <c r="F2691" t="str">
        <f>data!F2691</f>
        <v>AC BX SUP Tradi  CH LAUDUC</v>
      </c>
      <c r="G2691" s="10">
        <f>data!G2691</f>
        <v>100.8</v>
      </c>
      <c r="H2691" s="10">
        <f>data!I2691</f>
        <v>0</v>
      </c>
      <c r="I2691" s="10">
        <f t="shared" ref="I2691:I2754" si="168">G2691-H2691</f>
        <v>100.8</v>
      </c>
      <c r="J2691" s="11">
        <f>data!H2691</f>
        <v>24</v>
      </c>
      <c r="K2691" s="11">
        <f>data!J2691</f>
        <v>0</v>
      </c>
      <c r="L2691" s="11">
        <f t="shared" ref="L2691:L2754" si="169">J2691-K2691</f>
        <v>24</v>
      </c>
      <c r="M2691" s="9" t="str">
        <f t="shared" ref="M2691:M2754" si="170">IF(ISERR(I2691/H2691),"",I2691/H2691)</f>
        <v/>
      </c>
      <c r="N2691" s="9" t="str">
        <f t="shared" ref="N2691:N2754" si="171">IF(ISERR(L2691/K2691),"",L2691/K2691)</f>
        <v/>
      </c>
    </row>
    <row r="2692" spans="1:14" x14ac:dyDescent="0.25">
      <c r="A2692" t="str">
        <f>TEXT("1/"&amp;data!A2692,"mmmm")</f>
        <v>octobre</v>
      </c>
      <c r="B2692">
        <f>data!B2692</f>
        <v>2016</v>
      </c>
      <c r="C2692" t="str">
        <f>data!C2692</f>
        <v>049</v>
      </c>
      <c r="D2692" t="str">
        <f>data!D2692</f>
        <v>MAISON GRANDEAU</v>
      </c>
      <c r="E2692" t="str">
        <f>data!E2692</f>
        <v>049014</v>
      </c>
      <c r="F2692" t="str">
        <f>data!F2692</f>
        <v>AC ENTRE DEUX MER CH FLAMAND BELLEVUE</v>
      </c>
      <c r="G2692" s="10">
        <f>data!G2692</f>
        <v>108</v>
      </c>
      <c r="H2692" s="10">
        <f>data!I2692</f>
        <v>54</v>
      </c>
      <c r="I2692" s="10">
        <f t="shared" si="168"/>
        <v>54</v>
      </c>
      <c r="J2692" s="11">
        <f>data!H2692</f>
        <v>48</v>
      </c>
      <c r="K2692" s="11">
        <f>data!J2692</f>
        <v>30</v>
      </c>
      <c r="L2692" s="11">
        <f t="shared" si="169"/>
        <v>18</v>
      </c>
      <c r="M2692" s="9">
        <f t="shared" si="170"/>
        <v>1</v>
      </c>
      <c r="N2692" s="9">
        <f t="shared" si="171"/>
        <v>0.6</v>
      </c>
    </row>
    <row r="2693" spans="1:14" x14ac:dyDescent="0.25">
      <c r="A2693" t="str">
        <f>TEXT("1/"&amp;data!A2693,"mmmm")</f>
        <v>octobre</v>
      </c>
      <c r="B2693">
        <f>data!B2693</f>
        <v>2016</v>
      </c>
      <c r="C2693" t="str">
        <f>data!C2693</f>
        <v>049</v>
      </c>
      <c r="D2693" t="str">
        <f>data!D2693</f>
        <v>MAISON GRANDEAU</v>
      </c>
      <c r="E2693" t="str">
        <f>data!E2693</f>
        <v>049015</v>
      </c>
      <c r="F2693" t="str">
        <f>data!F2693</f>
        <v>AC BDX Classic CH LAUDUC</v>
      </c>
      <c r="G2693" s="10">
        <f>data!G2693</f>
        <v>191.4</v>
      </c>
      <c r="H2693" s="10">
        <f>data!I2693</f>
        <v>598.5</v>
      </c>
      <c r="I2693" s="10">
        <f t="shared" si="168"/>
        <v>-407.1</v>
      </c>
      <c r="J2693" s="11">
        <f>data!H2693</f>
        <v>72</v>
      </c>
      <c r="K2693" s="11">
        <f>data!J2693</f>
        <v>210</v>
      </c>
      <c r="L2693" s="11">
        <f t="shared" si="169"/>
        <v>-138</v>
      </c>
      <c r="M2693" s="9">
        <f t="shared" si="170"/>
        <v>-0.68020050125313292</v>
      </c>
      <c r="N2693" s="9">
        <f t="shared" si="171"/>
        <v>-0.65714285714285714</v>
      </c>
    </row>
    <row r="2694" spans="1:14" x14ac:dyDescent="0.25">
      <c r="A2694" t="str">
        <f>TEXT("1/"&amp;data!A2694,"mmmm")</f>
        <v>octobre</v>
      </c>
      <c r="B2694">
        <f>data!B2694</f>
        <v>2016</v>
      </c>
      <c r="C2694" t="str">
        <f>data!C2694</f>
        <v>049</v>
      </c>
      <c r="D2694" t="str">
        <f>data!D2694</f>
        <v>MAISON GRANDEAU</v>
      </c>
      <c r="E2694" t="str">
        <f>data!E2694</f>
        <v>049020</v>
      </c>
      <c r="F2694" t="str">
        <f>data!F2694</f>
        <v>AC BDX CH.FLAMAND BELLEVUE</v>
      </c>
      <c r="G2694" s="10">
        <f>data!G2694</f>
        <v>999</v>
      </c>
      <c r="H2694" s="10">
        <f>data!I2694</f>
        <v>1080</v>
      </c>
      <c r="I2694" s="10">
        <f t="shared" si="168"/>
        <v>-81</v>
      </c>
      <c r="J2694" s="11">
        <f>data!H2694</f>
        <v>444</v>
      </c>
      <c r="K2694" s="11">
        <f>data!J2694</f>
        <v>486</v>
      </c>
      <c r="L2694" s="11">
        <f t="shared" si="169"/>
        <v>-42</v>
      </c>
      <c r="M2694" s="9">
        <f t="shared" si="170"/>
        <v>-7.4999999999999997E-2</v>
      </c>
      <c r="N2694" s="9">
        <f t="shared" si="171"/>
        <v>-8.6419753086419748E-2</v>
      </c>
    </row>
    <row r="2695" spans="1:14" x14ac:dyDescent="0.25">
      <c r="A2695" t="str">
        <f>TEXT("1/"&amp;data!A2695,"mmmm")</f>
        <v>octobre</v>
      </c>
      <c r="B2695">
        <f>data!B2695</f>
        <v>2016</v>
      </c>
      <c r="C2695" t="str">
        <f>data!C2695</f>
        <v>049</v>
      </c>
      <c r="D2695" t="str">
        <f>data!D2695</f>
        <v>MAISON GRANDEAU</v>
      </c>
      <c r="E2695" t="str">
        <f>data!E2695</f>
        <v>049023</v>
      </c>
      <c r="F2695" t="str">
        <f>data!F2695</f>
        <v>AC BDX CH.FLAMAND BELLEVUE</v>
      </c>
      <c r="G2695" s="10">
        <f>data!G2695</f>
        <v>19.8</v>
      </c>
      <c r="H2695" s="10">
        <f>data!I2695</f>
        <v>79.2</v>
      </c>
      <c r="I2695" s="10">
        <f t="shared" si="168"/>
        <v>-59.400000000000006</v>
      </c>
      <c r="J2695" s="11">
        <f>data!H2695</f>
        <v>6</v>
      </c>
      <c r="K2695" s="11">
        <f>data!J2695</f>
        <v>24</v>
      </c>
      <c r="L2695" s="11">
        <f t="shared" si="169"/>
        <v>-18</v>
      </c>
      <c r="M2695" s="9">
        <f t="shared" si="170"/>
        <v>-0.75</v>
      </c>
      <c r="N2695" s="9">
        <f t="shared" si="171"/>
        <v>-0.75</v>
      </c>
    </row>
    <row r="2696" spans="1:14" x14ac:dyDescent="0.25">
      <c r="A2696" t="str">
        <f>TEXT("1/"&amp;data!A2696,"mmmm")</f>
        <v>octobre</v>
      </c>
      <c r="B2696">
        <f>data!B2696</f>
        <v>2016</v>
      </c>
      <c r="C2696" t="str">
        <f>data!C2696</f>
        <v>049</v>
      </c>
      <c r="D2696" t="str">
        <f>data!D2696</f>
        <v>MAISON GRANDEAU</v>
      </c>
      <c r="E2696" t="str">
        <f>data!E2696</f>
        <v>049027</v>
      </c>
      <c r="F2696" t="str">
        <f>data!F2696</f>
        <v>AC BX SUP Tradi  CH LAUDUC</v>
      </c>
      <c r="G2696" s="10">
        <f>data!G2696</f>
        <v>81</v>
      </c>
      <c r="H2696" s="10">
        <f>data!I2696</f>
        <v>0</v>
      </c>
      <c r="I2696" s="10">
        <f t="shared" si="168"/>
        <v>81</v>
      </c>
      <c r="J2696" s="11">
        <f>data!H2696</f>
        <v>24</v>
      </c>
      <c r="K2696" s="11">
        <f>data!J2696</f>
        <v>0</v>
      </c>
      <c r="L2696" s="11">
        <f t="shared" si="169"/>
        <v>24</v>
      </c>
      <c r="M2696" s="9" t="str">
        <f t="shared" si="170"/>
        <v/>
      </c>
      <c r="N2696" s="9" t="str">
        <f t="shared" si="171"/>
        <v/>
      </c>
    </row>
    <row r="2697" spans="1:14" x14ac:dyDescent="0.25">
      <c r="A2697" t="str">
        <f>TEXT("1/"&amp;data!A2697,"mmmm")</f>
        <v>octobre</v>
      </c>
      <c r="B2697">
        <f>data!B2697</f>
        <v>2016</v>
      </c>
      <c r="C2697" t="str">
        <f>data!C2697</f>
        <v>050</v>
      </c>
      <c r="D2697" t="str">
        <f>data!D2697</f>
        <v>CHÂTEAU HAUT LIGNIERES</v>
      </c>
      <c r="E2697" t="str">
        <f>data!E2697</f>
        <v>050001</v>
      </c>
      <c r="F2697" t="str">
        <f>data!F2697</f>
        <v>AC FAUGERES LE 1ER CH HAUT LIGNIERES</v>
      </c>
      <c r="G2697" s="10">
        <f>data!G2697</f>
        <v>39</v>
      </c>
      <c r="H2697" s="10">
        <f>data!I2697</f>
        <v>1785.6</v>
      </c>
      <c r="I2697" s="10">
        <f t="shared" si="168"/>
        <v>-1746.6</v>
      </c>
      <c r="J2697" s="11">
        <f>data!H2697</f>
        <v>12</v>
      </c>
      <c r="K2697" s="11">
        <f>data!J2697</f>
        <v>564</v>
      </c>
      <c r="L2697" s="11">
        <f t="shared" si="169"/>
        <v>-552</v>
      </c>
      <c r="M2697" s="9">
        <f t="shared" si="170"/>
        <v>-0.97815860215053763</v>
      </c>
      <c r="N2697" s="9">
        <f t="shared" si="171"/>
        <v>-0.97872340425531912</v>
      </c>
    </row>
    <row r="2698" spans="1:14" x14ac:dyDescent="0.25">
      <c r="A2698" t="str">
        <f>TEXT("1/"&amp;data!A2698,"mmmm")</f>
        <v>octobre</v>
      </c>
      <c r="B2698">
        <f>data!B2698</f>
        <v>2016</v>
      </c>
      <c r="C2698" t="str">
        <f>data!C2698</f>
        <v>050</v>
      </c>
      <c r="D2698" t="str">
        <f>data!D2698</f>
        <v>CHÂTEAU HAUT LIGNIERES</v>
      </c>
      <c r="E2698" t="str">
        <f>data!E2698</f>
        <v>050010</v>
      </c>
      <c r="F2698" t="str">
        <f>data!F2698</f>
        <v>AC FAUGERES CARMINA BUT</v>
      </c>
      <c r="G2698" s="10">
        <f>data!G2698</f>
        <v>78</v>
      </c>
      <c r="H2698" s="10">
        <f>data!I2698</f>
        <v>78</v>
      </c>
      <c r="I2698" s="10">
        <f t="shared" si="168"/>
        <v>0</v>
      </c>
      <c r="J2698" s="11">
        <f>data!H2698</f>
        <v>12</v>
      </c>
      <c r="K2698" s="11">
        <f>data!J2698</f>
        <v>12</v>
      </c>
      <c r="L2698" s="11">
        <f t="shared" si="169"/>
        <v>0</v>
      </c>
      <c r="M2698" s="9">
        <f t="shared" si="170"/>
        <v>0</v>
      </c>
      <c r="N2698" s="9">
        <f t="shared" si="171"/>
        <v>0</v>
      </c>
    </row>
    <row r="2699" spans="1:14" x14ac:dyDescent="0.25">
      <c r="A2699" t="str">
        <f>TEXT("1/"&amp;data!A2699,"mmmm")</f>
        <v>octobre</v>
      </c>
      <c r="B2699">
        <f>data!B2699</f>
        <v>2016</v>
      </c>
      <c r="C2699" t="str">
        <f>data!C2699</f>
        <v>051</v>
      </c>
      <c r="D2699" t="str">
        <f>data!D2699</f>
        <v>CLOS TRIMOULET</v>
      </c>
      <c r="E2699" t="str">
        <f>data!E2699</f>
        <v>051000</v>
      </c>
      <c r="F2699" t="str">
        <f>data!F2699</f>
        <v>AC MONTAGNE ST EMILION .CH ST GEORGES</v>
      </c>
      <c r="G2699" s="10">
        <f>data!G2699</f>
        <v>403.2</v>
      </c>
      <c r="H2699" s="10">
        <f>data!I2699</f>
        <v>5237.3999999999996</v>
      </c>
      <c r="I2699" s="10">
        <f t="shared" si="168"/>
        <v>-4834.2</v>
      </c>
      <c r="J2699" s="11">
        <f>data!H2699</f>
        <v>72</v>
      </c>
      <c r="K2699" s="11">
        <f>data!J2699</f>
        <v>948</v>
      </c>
      <c r="L2699" s="11">
        <f t="shared" si="169"/>
        <v>-876</v>
      </c>
      <c r="M2699" s="9">
        <f t="shared" si="170"/>
        <v>-0.92301523656776263</v>
      </c>
      <c r="N2699" s="9">
        <f t="shared" si="171"/>
        <v>-0.92405063291139244</v>
      </c>
    </row>
    <row r="2700" spans="1:14" x14ac:dyDescent="0.25">
      <c r="A2700" t="str">
        <f>TEXT("1/"&amp;data!A2700,"mmmm")</f>
        <v>octobre</v>
      </c>
      <c r="B2700">
        <f>data!B2700</f>
        <v>2016</v>
      </c>
      <c r="C2700" t="str">
        <f>data!C2700</f>
        <v>051</v>
      </c>
      <c r="D2700" t="str">
        <f>data!D2700</f>
        <v>CLOS TRIMOULET</v>
      </c>
      <c r="E2700" t="str">
        <f>data!E2700</f>
        <v>051010/11</v>
      </c>
      <c r="F2700" t="str">
        <f>data!F2700</f>
        <v>CLOS TRIMOULET AC ST EMILION GD CRU</v>
      </c>
      <c r="G2700" s="10">
        <f>data!G2700</f>
        <v>194.4</v>
      </c>
      <c r="H2700" s="10">
        <f>data!I2700</f>
        <v>8066.1</v>
      </c>
      <c r="I2700" s="10">
        <f t="shared" si="168"/>
        <v>-7871.7000000000007</v>
      </c>
      <c r="J2700" s="11">
        <f>data!H2700</f>
        <v>24</v>
      </c>
      <c r="K2700" s="11">
        <f>data!J2700</f>
        <v>1008</v>
      </c>
      <c r="L2700" s="11">
        <f t="shared" si="169"/>
        <v>-984</v>
      </c>
      <c r="M2700" s="9">
        <f t="shared" si="170"/>
        <v>-0.97589913341019829</v>
      </c>
      <c r="N2700" s="9">
        <f t="shared" si="171"/>
        <v>-0.97619047619047616</v>
      </c>
    </row>
    <row r="2701" spans="1:14" x14ac:dyDescent="0.25">
      <c r="A2701" t="str">
        <f>TEXT("1/"&amp;data!A2701,"mmmm")</f>
        <v>octobre</v>
      </c>
      <c r="B2701">
        <f>data!B2701</f>
        <v>2016</v>
      </c>
      <c r="C2701" t="str">
        <f>data!C2701</f>
        <v>051</v>
      </c>
      <c r="D2701" t="str">
        <f>data!D2701</f>
        <v>CLOS TRIMOULET</v>
      </c>
      <c r="E2701" t="str">
        <f>data!E2701</f>
        <v>051017</v>
      </c>
      <c r="F2701" t="str">
        <f>data!F2701</f>
        <v>AC MONTAGNE ST EMILION CH ST GEORGES</v>
      </c>
      <c r="G2701" s="10">
        <f>data!G2701</f>
        <v>76.2</v>
      </c>
      <c r="H2701" s="10">
        <f>data!I2701</f>
        <v>457.2</v>
      </c>
      <c r="I2701" s="10">
        <f t="shared" si="168"/>
        <v>-381</v>
      </c>
      <c r="J2701" s="11">
        <f>data!H2701</f>
        <v>12</v>
      </c>
      <c r="K2701" s="11">
        <f>data!J2701</f>
        <v>72</v>
      </c>
      <c r="L2701" s="11">
        <f t="shared" si="169"/>
        <v>-60</v>
      </c>
      <c r="M2701" s="9">
        <f t="shared" si="170"/>
        <v>-0.83333333333333337</v>
      </c>
      <c r="N2701" s="9">
        <f t="shared" si="171"/>
        <v>-0.83333333333333337</v>
      </c>
    </row>
    <row r="2702" spans="1:14" x14ac:dyDescent="0.25">
      <c r="A2702" t="str">
        <f>TEXT("1/"&amp;data!A2702,"mmmm")</f>
        <v>octobre</v>
      </c>
      <c r="B2702">
        <f>data!B2702</f>
        <v>2016</v>
      </c>
      <c r="C2702" t="str">
        <f>data!C2702</f>
        <v>051</v>
      </c>
      <c r="D2702" t="str">
        <f>data!D2702</f>
        <v>CLOS TRIMOULET</v>
      </c>
      <c r="E2702" t="str">
        <f>data!E2702</f>
        <v>051133</v>
      </c>
      <c r="F2702" t="str">
        <f>data!F2702</f>
        <v>CLOS TRIMOULET AC ST EMILION GRAND CRU</v>
      </c>
      <c r="G2702" s="10">
        <f>data!G2702</f>
        <v>106.2</v>
      </c>
      <c r="H2702" s="10">
        <f>data!I2702</f>
        <v>2112</v>
      </c>
      <c r="I2702" s="10">
        <f t="shared" si="168"/>
        <v>-2005.8</v>
      </c>
      <c r="J2702" s="11">
        <f>data!H2702</f>
        <v>12</v>
      </c>
      <c r="K2702" s="11">
        <f>data!J2702</f>
        <v>240</v>
      </c>
      <c r="L2702" s="11">
        <f t="shared" si="169"/>
        <v>-228</v>
      </c>
      <c r="M2702" s="9">
        <f t="shared" si="170"/>
        <v>-0.94971590909090908</v>
      </c>
      <c r="N2702" s="9">
        <f t="shared" si="171"/>
        <v>-0.95</v>
      </c>
    </row>
    <row r="2703" spans="1:14" x14ac:dyDescent="0.25">
      <c r="A2703" t="str">
        <f>TEXT("1/"&amp;data!A2703,"mmmm")</f>
        <v>octobre</v>
      </c>
      <c r="B2703">
        <f>data!B2703</f>
        <v>2016</v>
      </c>
      <c r="C2703" t="str">
        <f>data!C2703</f>
        <v>054</v>
      </c>
      <c r="D2703" t="str">
        <f>data!D2703</f>
        <v>CHÂTEAU JEANDEMAN</v>
      </c>
      <c r="E2703" t="str">
        <f>data!E2703</f>
        <v>054002</v>
      </c>
      <c r="F2703" t="str">
        <f>data!F2703</f>
        <v>AC FRONSAC CH JEANDEMAN</v>
      </c>
      <c r="G2703" s="10">
        <f>data!G2703</f>
        <v>360</v>
      </c>
      <c r="H2703" s="10">
        <f>data!I2703</f>
        <v>835.2</v>
      </c>
      <c r="I2703" s="10">
        <f t="shared" si="168"/>
        <v>-475.20000000000005</v>
      </c>
      <c r="J2703" s="11">
        <f>data!H2703</f>
        <v>78</v>
      </c>
      <c r="K2703" s="11">
        <f>data!J2703</f>
        <v>174</v>
      </c>
      <c r="L2703" s="11">
        <f t="shared" si="169"/>
        <v>-96</v>
      </c>
      <c r="M2703" s="9">
        <f t="shared" si="170"/>
        <v>-0.56896551724137934</v>
      </c>
      <c r="N2703" s="9">
        <f t="shared" si="171"/>
        <v>-0.55172413793103448</v>
      </c>
    </row>
    <row r="2704" spans="1:14" x14ac:dyDescent="0.25">
      <c r="A2704" t="str">
        <f>TEXT("1/"&amp;data!A2704,"mmmm")</f>
        <v>octobre</v>
      </c>
      <c r="B2704">
        <f>data!B2704</f>
        <v>2016</v>
      </c>
      <c r="C2704" t="str">
        <f>data!C2704</f>
        <v>054</v>
      </c>
      <c r="D2704" t="str">
        <f>data!D2704</f>
        <v>CHÂTEAU JEANDEMAN</v>
      </c>
      <c r="E2704" t="str">
        <f>data!E2704</f>
        <v>054005</v>
      </c>
      <c r="F2704" t="str">
        <f>data!F2704</f>
        <v>AC LALANDE DE POMEROL. CH LABORDE</v>
      </c>
      <c r="G2704" s="10">
        <f>data!G2704</f>
        <v>139.5</v>
      </c>
      <c r="H2704" s="10">
        <f>data!I2704</f>
        <v>529.20000000000005</v>
      </c>
      <c r="I2704" s="10">
        <f t="shared" si="168"/>
        <v>-389.70000000000005</v>
      </c>
      <c r="J2704" s="11">
        <f>data!H2704</f>
        <v>18</v>
      </c>
      <c r="K2704" s="11">
        <f>data!J2704</f>
        <v>72</v>
      </c>
      <c r="L2704" s="11">
        <f t="shared" si="169"/>
        <v>-54</v>
      </c>
      <c r="M2704" s="9">
        <f t="shared" si="170"/>
        <v>-0.73639455782312924</v>
      </c>
      <c r="N2704" s="9">
        <f t="shared" si="171"/>
        <v>-0.75</v>
      </c>
    </row>
    <row r="2705" spans="1:14" x14ac:dyDescent="0.25">
      <c r="A2705" t="str">
        <f>TEXT("1/"&amp;data!A2705,"mmmm")</f>
        <v>octobre</v>
      </c>
      <c r="B2705">
        <f>data!B2705</f>
        <v>2016</v>
      </c>
      <c r="C2705" t="str">
        <f>data!C2705</f>
        <v>054</v>
      </c>
      <c r="D2705" t="str">
        <f>data!D2705</f>
        <v>CHÂTEAU JEANDEMAN</v>
      </c>
      <c r="E2705" t="str">
        <f>data!E2705</f>
        <v>054011</v>
      </c>
      <c r="F2705" t="str">
        <f>data!F2705</f>
        <v>AC PESSAC LEOGNAN. CH MANCEDRE</v>
      </c>
      <c r="G2705" s="10">
        <f>data!G2705</f>
        <v>961.2</v>
      </c>
      <c r="H2705" s="10">
        <f>data!I2705</f>
        <v>415.8</v>
      </c>
      <c r="I2705" s="10">
        <f t="shared" si="168"/>
        <v>545.40000000000009</v>
      </c>
      <c r="J2705" s="11">
        <f>data!H2705</f>
        <v>114</v>
      </c>
      <c r="K2705" s="11">
        <f>data!J2705</f>
        <v>54</v>
      </c>
      <c r="L2705" s="11">
        <f t="shared" si="169"/>
        <v>60</v>
      </c>
      <c r="M2705" s="9">
        <f t="shared" si="170"/>
        <v>1.3116883116883118</v>
      </c>
      <c r="N2705" s="9">
        <f t="shared" si="171"/>
        <v>1.1111111111111112</v>
      </c>
    </row>
    <row r="2706" spans="1:14" x14ac:dyDescent="0.25">
      <c r="A2706" t="str">
        <f>TEXT("1/"&amp;data!A2706,"mmmm")</f>
        <v>octobre</v>
      </c>
      <c r="B2706">
        <f>data!B2706</f>
        <v>2016</v>
      </c>
      <c r="C2706" t="str">
        <f>data!C2706</f>
        <v>054</v>
      </c>
      <c r="D2706" t="str">
        <f>data!D2706</f>
        <v>CHÂTEAU JEANDEMAN</v>
      </c>
      <c r="E2706" t="str">
        <f>data!E2706</f>
        <v>054012</v>
      </c>
      <c r="F2706" t="str">
        <f>data!F2706</f>
        <v>AC PESSAC LEOGNAN. CH MANCEDRE</v>
      </c>
      <c r="G2706" s="10">
        <f>data!G2706</f>
        <v>0</v>
      </c>
      <c r="H2706" s="10">
        <f>data!I2706</f>
        <v>0</v>
      </c>
      <c r="I2706" s="10">
        <f t="shared" si="168"/>
        <v>0</v>
      </c>
      <c r="J2706" s="11">
        <f>data!H2706</f>
        <v>6</v>
      </c>
      <c r="K2706" s="11">
        <f>data!J2706</f>
        <v>0</v>
      </c>
      <c r="L2706" s="11">
        <f t="shared" si="169"/>
        <v>6</v>
      </c>
      <c r="M2706" s="9" t="str">
        <f t="shared" si="170"/>
        <v/>
      </c>
      <c r="N2706" s="9" t="str">
        <f t="shared" si="171"/>
        <v/>
      </c>
    </row>
    <row r="2707" spans="1:14" x14ac:dyDescent="0.25">
      <c r="A2707" t="str">
        <f>TEXT("1/"&amp;data!A2707,"mmmm")</f>
        <v>octobre</v>
      </c>
      <c r="B2707">
        <f>data!B2707</f>
        <v>2016</v>
      </c>
      <c r="C2707" t="str">
        <f>data!C2707</f>
        <v>059</v>
      </c>
      <c r="D2707" t="str">
        <f>data!D2707</f>
        <v>CH DU ROUET</v>
      </c>
      <c r="E2707" t="str">
        <f>data!E2707</f>
        <v>059002</v>
      </c>
      <c r="F2707" t="str">
        <f>data!F2707</f>
        <v>AC C.PROVENCE. ESTERELLE .ROUET</v>
      </c>
      <c r="G2707" s="10">
        <f>data!G2707</f>
        <v>252</v>
      </c>
      <c r="H2707" s="10">
        <f>data!I2707</f>
        <v>126</v>
      </c>
      <c r="I2707" s="10">
        <f t="shared" si="168"/>
        <v>126</v>
      </c>
      <c r="J2707" s="11">
        <f>data!H2707</f>
        <v>60</v>
      </c>
      <c r="K2707" s="11">
        <f>data!J2707</f>
        <v>30</v>
      </c>
      <c r="L2707" s="11">
        <f t="shared" si="169"/>
        <v>30</v>
      </c>
      <c r="M2707" s="9">
        <f t="shared" si="170"/>
        <v>1</v>
      </c>
      <c r="N2707" s="9">
        <f t="shared" si="171"/>
        <v>1</v>
      </c>
    </row>
    <row r="2708" spans="1:14" x14ac:dyDescent="0.25">
      <c r="A2708" t="str">
        <f>TEXT("1/"&amp;data!A2708,"mmmm")</f>
        <v>octobre</v>
      </c>
      <c r="B2708">
        <f>data!B2708</f>
        <v>2016</v>
      </c>
      <c r="C2708" t="str">
        <f>data!C2708</f>
        <v>059</v>
      </c>
      <c r="D2708" t="str">
        <f>data!D2708</f>
        <v>CH DU ROUET</v>
      </c>
      <c r="E2708" t="str">
        <f>data!E2708</f>
        <v>059004</v>
      </c>
      <c r="F2708" t="str">
        <f>data!F2708</f>
        <v>AP COTES DE PROVENCE ESTERELLE</v>
      </c>
      <c r="G2708" s="10">
        <f>data!G2708</f>
        <v>0</v>
      </c>
      <c r="H2708" s="10">
        <f>data!I2708</f>
        <v>42.6</v>
      </c>
      <c r="I2708" s="10">
        <f t="shared" si="168"/>
        <v>-42.6</v>
      </c>
      <c r="J2708" s="11">
        <f>data!H2708</f>
        <v>6</v>
      </c>
      <c r="K2708" s="11">
        <f>data!J2708</f>
        <v>12</v>
      </c>
      <c r="L2708" s="11">
        <f t="shared" si="169"/>
        <v>-6</v>
      </c>
      <c r="M2708" s="9">
        <f t="shared" si="170"/>
        <v>-1</v>
      </c>
      <c r="N2708" s="9">
        <f t="shared" si="171"/>
        <v>-0.5</v>
      </c>
    </row>
    <row r="2709" spans="1:14" x14ac:dyDescent="0.25">
      <c r="A2709" t="str">
        <f>TEXT("1/"&amp;data!A2709,"mmmm")</f>
        <v>octobre</v>
      </c>
      <c r="B2709">
        <f>data!B2709</f>
        <v>2016</v>
      </c>
      <c r="C2709" t="str">
        <f>data!C2709</f>
        <v>059</v>
      </c>
      <c r="D2709" t="str">
        <f>data!D2709</f>
        <v>CH DU ROUET</v>
      </c>
      <c r="E2709" t="str">
        <f>data!E2709</f>
        <v>059006</v>
      </c>
      <c r="F2709" t="str">
        <f>data!F2709</f>
        <v>AC C.PROVENCE. BELLE POULE</v>
      </c>
      <c r="G2709" s="10">
        <f>data!G2709</f>
        <v>0</v>
      </c>
      <c r="H2709" s="10">
        <f>data!I2709</f>
        <v>0</v>
      </c>
      <c r="I2709" s="10">
        <f t="shared" si="168"/>
        <v>0</v>
      </c>
      <c r="J2709" s="11">
        <f>data!H2709</f>
        <v>6</v>
      </c>
      <c r="K2709" s="11">
        <f>data!J2709</f>
        <v>0</v>
      </c>
      <c r="L2709" s="11">
        <f t="shared" si="169"/>
        <v>6</v>
      </c>
      <c r="M2709" s="9" t="str">
        <f t="shared" si="170"/>
        <v/>
      </c>
      <c r="N2709" s="9" t="str">
        <f t="shared" si="171"/>
        <v/>
      </c>
    </row>
    <row r="2710" spans="1:14" x14ac:dyDescent="0.25">
      <c r="A2710" t="str">
        <f>TEXT("1/"&amp;data!A2710,"mmmm")</f>
        <v>octobre</v>
      </c>
      <c r="B2710">
        <f>data!B2710</f>
        <v>2016</v>
      </c>
      <c r="C2710" t="str">
        <f>data!C2710</f>
        <v>059</v>
      </c>
      <c r="D2710" t="str">
        <f>data!D2710</f>
        <v>CH DU ROUET</v>
      </c>
      <c r="E2710" t="str">
        <f>data!E2710</f>
        <v>059008</v>
      </c>
      <c r="F2710" t="str">
        <f>data!F2710</f>
        <v>AC C.PROVENCE. BELLE POULE</v>
      </c>
      <c r="G2710" s="10">
        <f>data!G2710</f>
        <v>0</v>
      </c>
      <c r="H2710" s="10">
        <f>data!I2710</f>
        <v>0</v>
      </c>
      <c r="I2710" s="10">
        <f t="shared" si="168"/>
        <v>0</v>
      </c>
      <c r="J2710" s="11">
        <f>data!H2710</f>
        <v>6</v>
      </c>
      <c r="K2710" s="11">
        <f>data!J2710</f>
        <v>0</v>
      </c>
      <c r="L2710" s="11">
        <f t="shared" si="169"/>
        <v>6</v>
      </c>
      <c r="M2710" s="9" t="str">
        <f t="shared" si="170"/>
        <v/>
      </c>
      <c r="N2710" s="9" t="str">
        <f t="shared" si="171"/>
        <v/>
      </c>
    </row>
    <row r="2711" spans="1:14" x14ac:dyDescent="0.25">
      <c r="A2711" t="str">
        <f>TEXT("1/"&amp;data!A2711,"mmmm")</f>
        <v>octobre</v>
      </c>
      <c r="B2711">
        <f>data!B2711</f>
        <v>2016</v>
      </c>
      <c r="C2711" t="str">
        <f>data!C2711</f>
        <v>059</v>
      </c>
      <c r="D2711" t="str">
        <f>data!D2711</f>
        <v>CH DU ROUET</v>
      </c>
      <c r="E2711" t="str">
        <f>data!E2711</f>
        <v>059010</v>
      </c>
      <c r="F2711" t="str">
        <f>data!F2711</f>
        <v>AC C.PROVENCE. BELLE POULE</v>
      </c>
      <c r="G2711" s="10">
        <f>data!G2711</f>
        <v>132</v>
      </c>
      <c r="H2711" s="10">
        <f>data!I2711</f>
        <v>0</v>
      </c>
      <c r="I2711" s="10">
        <f t="shared" si="168"/>
        <v>132</v>
      </c>
      <c r="J2711" s="11">
        <f>data!H2711</f>
        <v>24</v>
      </c>
      <c r="K2711" s="11">
        <f>data!J2711</f>
        <v>0</v>
      </c>
      <c r="L2711" s="11">
        <f t="shared" si="169"/>
        <v>24</v>
      </c>
      <c r="M2711" s="9" t="str">
        <f t="shared" si="170"/>
        <v/>
      </c>
      <c r="N2711" s="9" t="str">
        <f t="shared" si="171"/>
        <v/>
      </c>
    </row>
    <row r="2712" spans="1:14" x14ac:dyDescent="0.25">
      <c r="A2712" t="str">
        <f>TEXT("1/"&amp;data!A2712,"mmmm")</f>
        <v>octobre</v>
      </c>
      <c r="B2712">
        <f>data!B2712</f>
        <v>2016</v>
      </c>
      <c r="C2712" t="str">
        <f>data!C2712</f>
        <v>059</v>
      </c>
      <c r="D2712" t="str">
        <f>data!D2712</f>
        <v>CH DU ROUET</v>
      </c>
      <c r="E2712" t="str">
        <f>data!E2712</f>
        <v>059019</v>
      </c>
      <c r="F2712" t="str">
        <f>data!F2712</f>
        <v>AC COTES DE PROVENCE ESTERELLE</v>
      </c>
      <c r="G2712" s="10">
        <f>data!G2712</f>
        <v>21.3</v>
      </c>
      <c r="H2712" s="10">
        <f>data!I2712</f>
        <v>63.9</v>
      </c>
      <c r="I2712" s="10">
        <f t="shared" si="168"/>
        <v>-42.599999999999994</v>
      </c>
      <c r="J2712" s="11">
        <f>data!H2712</f>
        <v>6</v>
      </c>
      <c r="K2712" s="11">
        <f>data!J2712</f>
        <v>18</v>
      </c>
      <c r="L2712" s="11">
        <f t="shared" si="169"/>
        <v>-12</v>
      </c>
      <c r="M2712" s="9">
        <f t="shared" si="170"/>
        <v>-0.66666666666666663</v>
      </c>
      <c r="N2712" s="9">
        <f t="shared" si="171"/>
        <v>-0.66666666666666663</v>
      </c>
    </row>
    <row r="2713" spans="1:14" x14ac:dyDescent="0.25">
      <c r="A2713" t="str">
        <f>TEXT("1/"&amp;data!A2713,"mmmm")</f>
        <v>octobre</v>
      </c>
      <c r="B2713">
        <f>data!B2713</f>
        <v>2016</v>
      </c>
      <c r="C2713" t="str">
        <f>data!C2713</f>
        <v>059</v>
      </c>
      <c r="D2713" t="str">
        <f>data!D2713</f>
        <v>CH DU ROUET</v>
      </c>
      <c r="E2713" t="str">
        <f>data!E2713</f>
        <v>059020</v>
      </c>
      <c r="F2713" t="str">
        <f>data!F2713</f>
        <v>AC C.PROVENCE ESTERELLE</v>
      </c>
      <c r="G2713" s="10">
        <f>data!G2713</f>
        <v>1360.8</v>
      </c>
      <c r="H2713" s="10">
        <f>data!I2713</f>
        <v>993.6</v>
      </c>
      <c r="I2713" s="10">
        <f t="shared" si="168"/>
        <v>367.19999999999993</v>
      </c>
      <c r="J2713" s="11">
        <f>data!H2713</f>
        <v>378</v>
      </c>
      <c r="K2713" s="11">
        <f>data!J2713</f>
        <v>282</v>
      </c>
      <c r="L2713" s="11">
        <f t="shared" si="169"/>
        <v>96</v>
      </c>
      <c r="M2713" s="9">
        <f t="shared" si="170"/>
        <v>0.36956521739130427</v>
      </c>
      <c r="N2713" s="9">
        <f t="shared" si="171"/>
        <v>0.34042553191489361</v>
      </c>
    </row>
    <row r="2714" spans="1:14" x14ac:dyDescent="0.25">
      <c r="A2714" t="str">
        <f>TEXT("1/"&amp;data!A2714,"mmmm")</f>
        <v>octobre</v>
      </c>
      <c r="B2714">
        <f>data!B2714</f>
        <v>2016</v>
      </c>
      <c r="C2714" t="str">
        <f>data!C2714</f>
        <v>059</v>
      </c>
      <c r="D2714" t="str">
        <f>data!D2714</f>
        <v>CH DU ROUET</v>
      </c>
      <c r="E2714" t="str">
        <f>data!E2714</f>
        <v>059021</v>
      </c>
      <c r="F2714" t="str">
        <f>data!F2714</f>
        <v>AC COTES DE PROVENCE</v>
      </c>
      <c r="G2714" s="10">
        <f>data!G2714</f>
        <v>268.2</v>
      </c>
      <c r="H2714" s="10">
        <f>data!I2714</f>
        <v>89.4</v>
      </c>
      <c r="I2714" s="10">
        <f t="shared" si="168"/>
        <v>178.79999999999998</v>
      </c>
      <c r="J2714" s="11">
        <f>data!H2714</f>
        <v>120.06</v>
      </c>
      <c r="K2714" s="11">
        <f>data!J2714</f>
        <v>40.019999999999996</v>
      </c>
      <c r="L2714" s="11">
        <f t="shared" si="169"/>
        <v>80.040000000000006</v>
      </c>
      <c r="M2714" s="9">
        <f t="shared" si="170"/>
        <v>1.9999999999999998</v>
      </c>
      <c r="N2714" s="9">
        <f t="shared" si="171"/>
        <v>2.0000000000000004</v>
      </c>
    </row>
    <row r="2715" spans="1:14" x14ac:dyDescent="0.25">
      <c r="A2715" t="str">
        <f>TEXT("1/"&amp;data!A2715,"mmmm")</f>
        <v>octobre</v>
      </c>
      <c r="B2715">
        <f>data!B2715</f>
        <v>2016</v>
      </c>
      <c r="C2715" t="str">
        <f>data!C2715</f>
        <v>059</v>
      </c>
      <c r="D2715" t="str">
        <f>data!D2715</f>
        <v>CH DU ROUET</v>
      </c>
      <c r="E2715" t="str">
        <f>data!E2715</f>
        <v>059025</v>
      </c>
      <c r="F2715" t="str">
        <f>data!F2715</f>
        <v>VDP MEDITERRANEE TERES</v>
      </c>
      <c r="G2715" s="10">
        <f>data!G2715</f>
        <v>3726</v>
      </c>
      <c r="H2715" s="10">
        <f>data!I2715</f>
        <v>1512</v>
      </c>
      <c r="I2715" s="10">
        <f t="shared" si="168"/>
        <v>2214</v>
      </c>
      <c r="J2715" s="11">
        <f>data!H2715</f>
        <v>1656</v>
      </c>
      <c r="K2715" s="11">
        <f>data!J2715</f>
        <v>672</v>
      </c>
      <c r="L2715" s="11">
        <f t="shared" si="169"/>
        <v>984</v>
      </c>
      <c r="M2715" s="9">
        <f t="shared" si="170"/>
        <v>1.4642857142857142</v>
      </c>
      <c r="N2715" s="9">
        <f t="shared" si="171"/>
        <v>1.4642857142857142</v>
      </c>
    </row>
    <row r="2716" spans="1:14" x14ac:dyDescent="0.25">
      <c r="A2716" t="str">
        <f>TEXT("1/"&amp;data!A2716,"mmmm")</f>
        <v>octobre</v>
      </c>
      <c r="B2716">
        <f>data!B2716</f>
        <v>2016</v>
      </c>
      <c r="C2716" t="str">
        <f>data!C2716</f>
        <v>059</v>
      </c>
      <c r="D2716" t="str">
        <f>data!D2716</f>
        <v>CH DU ROUET</v>
      </c>
      <c r="E2716" t="str">
        <f>data!E2716</f>
        <v>059026</v>
      </c>
      <c r="F2716" t="str">
        <f>data!F2716</f>
        <v>VDP MEDITERRANEE. TERES</v>
      </c>
      <c r="G2716" s="10">
        <f>data!G2716</f>
        <v>1277.0999999999999</v>
      </c>
      <c r="H2716" s="10">
        <f>data!I2716</f>
        <v>1029.5999999999999</v>
      </c>
      <c r="I2716" s="10">
        <f t="shared" si="168"/>
        <v>247.5</v>
      </c>
      <c r="J2716" s="11">
        <f>data!H2716</f>
        <v>873.77</v>
      </c>
      <c r="K2716" s="11">
        <f>data!J2716</f>
        <v>693.68</v>
      </c>
      <c r="L2716" s="11">
        <f t="shared" si="169"/>
        <v>180.09000000000003</v>
      </c>
      <c r="M2716" s="9">
        <f t="shared" si="170"/>
        <v>0.24038461538461542</v>
      </c>
      <c r="N2716" s="9">
        <f t="shared" si="171"/>
        <v>0.25961538461538469</v>
      </c>
    </row>
    <row r="2717" spans="1:14" x14ac:dyDescent="0.25">
      <c r="A2717" t="str">
        <f>TEXT("1/"&amp;data!A2717,"mmmm")</f>
        <v>octobre</v>
      </c>
      <c r="B2717">
        <f>data!B2717</f>
        <v>2016</v>
      </c>
      <c r="C2717" t="str">
        <f>data!C2717</f>
        <v>059</v>
      </c>
      <c r="D2717" t="str">
        <f>data!D2717</f>
        <v>CH DU ROUET</v>
      </c>
      <c r="E2717" t="str">
        <f>data!E2717</f>
        <v>059027</v>
      </c>
      <c r="F2717" t="str">
        <f>data!F2717</f>
        <v>IGP MEDITERRANEE TERES</v>
      </c>
      <c r="G2717" s="10">
        <f>data!G2717</f>
        <v>84.5</v>
      </c>
      <c r="H2717" s="10">
        <f>data!I2717</f>
        <v>16.899999999999999</v>
      </c>
      <c r="I2717" s="10">
        <f t="shared" si="168"/>
        <v>67.599999999999994</v>
      </c>
      <c r="J2717" s="11">
        <f>data!H2717</f>
        <v>79.98</v>
      </c>
      <c r="K2717" s="11">
        <f>data!J2717</f>
        <v>13.33</v>
      </c>
      <c r="L2717" s="11">
        <f t="shared" si="169"/>
        <v>66.650000000000006</v>
      </c>
      <c r="M2717" s="9">
        <f t="shared" si="170"/>
        <v>4</v>
      </c>
      <c r="N2717" s="9">
        <f t="shared" si="171"/>
        <v>5</v>
      </c>
    </row>
    <row r="2718" spans="1:14" x14ac:dyDescent="0.25">
      <c r="A2718" t="str">
        <f>TEXT("1/"&amp;data!A2718,"mmmm")</f>
        <v>octobre</v>
      </c>
      <c r="B2718">
        <f>data!B2718</f>
        <v>2016</v>
      </c>
      <c r="C2718" t="str">
        <f>data!C2718</f>
        <v>059</v>
      </c>
      <c r="D2718" t="str">
        <f>data!D2718</f>
        <v>CH DU ROUET</v>
      </c>
      <c r="E2718" t="str">
        <f>data!E2718</f>
        <v>059102</v>
      </c>
      <c r="F2718" t="str">
        <f>data!F2718</f>
        <v>ICE NECTARINES BLANC</v>
      </c>
      <c r="G2718" s="10">
        <f>data!G2718</f>
        <v>10.8</v>
      </c>
      <c r="H2718" s="10">
        <f>data!I2718</f>
        <v>0</v>
      </c>
      <c r="I2718" s="10">
        <f t="shared" si="168"/>
        <v>10.8</v>
      </c>
      <c r="J2718" s="11">
        <f>data!H2718</f>
        <v>6</v>
      </c>
      <c r="K2718" s="11">
        <f>data!J2718</f>
        <v>0</v>
      </c>
      <c r="L2718" s="11">
        <f t="shared" si="169"/>
        <v>6</v>
      </c>
      <c r="M2718" s="9" t="str">
        <f t="shared" si="170"/>
        <v/>
      </c>
      <c r="N2718" s="9" t="str">
        <f t="shared" si="171"/>
        <v/>
      </c>
    </row>
    <row r="2719" spans="1:14" x14ac:dyDescent="0.25">
      <c r="A2719" t="str">
        <f>TEXT("1/"&amp;data!A2719,"mmmm")</f>
        <v>octobre</v>
      </c>
      <c r="B2719">
        <f>data!B2719</f>
        <v>2016</v>
      </c>
      <c r="C2719" t="str">
        <f>data!C2719</f>
        <v>059</v>
      </c>
      <c r="D2719" t="str">
        <f>data!D2719</f>
        <v>CH DU ROUET</v>
      </c>
      <c r="E2719" t="str">
        <f>data!E2719</f>
        <v>059104</v>
      </c>
      <c r="F2719" t="str">
        <f>data!F2719</f>
        <v>ICE PAMPLOON BUBBLES</v>
      </c>
      <c r="G2719" s="10">
        <f>data!G2719</f>
        <v>177.6</v>
      </c>
      <c r="H2719" s="10">
        <f>data!I2719</f>
        <v>111</v>
      </c>
      <c r="I2719" s="10">
        <f t="shared" si="168"/>
        <v>66.599999999999994</v>
      </c>
      <c r="J2719" s="11">
        <f>data!H2719</f>
        <v>48</v>
      </c>
      <c r="K2719" s="11">
        <f>data!J2719</f>
        <v>30</v>
      </c>
      <c r="L2719" s="11">
        <f t="shared" si="169"/>
        <v>18</v>
      </c>
      <c r="M2719" s="9">
        <f t="shared" si="170"/>
        <v>0.6</v>
      </c>
      <c r="N2719" s="9">
        <f t="shared" si="171"/>
        <v>0.6</v>
      </c>
    </row>
    <row r="2720" spans="1:14" x14ac:dyDescent="0.25">
      <c r="A2720" t="str">
        <f>TEXT("1/"&amp;data!A2720,"mmmm")</f>
        <v>octobre</v>
      </c>
      <c r="B2720">
        <f>data!B2720</f>
        <v>2016</v>
      </c>
      <c r="C2720" t="str">
        <f>data!C2720</f>
        <v>060</v>
      </c>
      <c r="D2720" t="str">
        <f>data!D2720</f>
        <v>GIRARD JM ET NOEL</v>
      </c>
      <c r="E2720" t="str">
        <f>data!E2720</f>
        <v>060015</v>
      </c>
      <c r="F2720" t="str">
        <f>data!F2720</f>
        <v>AC SAUMUR CHAMP. D VX BOURG</v>
      </c>
      <c r="G2720" s="10">
        <f>data!G2720</f>
        <v>1189.32</v>
      </c>
      <c r="H2720" s="10">
        <f>data!I2720</f>
        <v>734.4</v>
      </c>
      <c r="I2720" s="10">
        <f t="shared" si="168"/>
        <v>454.91999999999996</v>
      </c>
      <c r="J2720" s="11">
        <f>data!H2720</f>
        <v>318</v>
      </c>
      <c r="K2720" s="11">
        <f>data!J2720</f>
        <v>204</v>
      </c>
      <c r="L2720" s="11">
        <f t="shared" si="169"/>
        <v>114</v>
      </c>
      <c r="M2720" s="9">
        <f t="shared" si="170"/>
        <v>0.61944444444444435</v>
      </c>
      <c r="N2720" s="9">
        <f t="shared" si="171"/>
        <v>0.55882352941176472</v>
      </c>
    </row>
    <row r="2721" spans="1:14" x14ac:dyDescent="0.25">
      <c r="A2721" t="str">
        <f>TEXT("1/"&amp;data!A2721,"mmmm")</f>
        <v>octobre</v>
      </c>
      <c r="B2721">
        <f>data!B2721</f>
        <v>2016</v>
      </c>
      <c r="C2721" t="str">
        <f>data!C2721</f>
        <v>060</v>
      </c>
      <c r="D2721" t="str">
        <f>data!D2721</f>
        <v>GIRARD JM ET NOEL</v>
      </c>
      <c r="E2721" t="str">
        <f>data!E2721</f>
        <v>060016</v>
      </c>
      <c r="F2721" t="str">
        <f>data!F2721</f>
        <v>AC SAUMUR CHAMP. D VX BOURG</v>
      </c>
      <c r="G2721" s="10">
        <f>data!G2721</f>
        <v>113.76</v>
      </c>
      <c r="H2721" s="10">
        <f>data!I2721</f>
        <v>79.92</v>
      </c>
      <c r="I2721" s="10">
        <f t="shared" si="168"/>
        <v>33.840000000000003</v>
      </c>
      <c r="J2721" s="11">
        <f>data!H2721</f>
        <v>24</v>
      </c>
      <c r="K2721" s="11">
        <f>data!J2721</f>
        <v>18</v>
      </c>
      <c r="L2721" s="11">
        <f t="shared" si="169"/>
        <v>6</v>
      </c>
      <c r="M2721" s="9">
        <f t="shared" si="170"/>
        <v>0.42342342342342348</v>
      </c>
      <c r="N2721" s="9">
        <f t="shared" si="171"/>
        <v>0.33333333333333331</v>
      </c>
    </row>
    <row r="2722" spans="1:14" x14ac:dyDescent="0.25">
      <c r="A2722" t="str">
        <f>TEXT("1/"&amp;data!A2722,"mmmm")</f>
        <v>octobre</v>
      </c>
      <c r="B2722">
        <f>data!B2722</f>
        <v>2016</v>
      </c>
      <c r="C2722" t="str">
        <f>data!C2722</f>
        <v>062</v>
      </c>
      <c r="D2722" t="str">
        <f>data!D2722</f>
        <v>CHATEAU CARBON D'ARTIGUES</v>
      </c>
      <c r="E2722" t="str">
        <f>data!E2722</f>
        <v>062003</v>
      </c>
      <c r="F2722" t="str">
        <f>data!F2722</f>
        <v>AC GRAVES. CARBON D'ARTIGUES</v>
      </c>
      <c r="G2722" s="10">
        <f>data!G2722</f>
        <v>132</v>
      </c>
      <c r="H2722" s="10">
        <f>data!I2722</f>
        <v>774</v>
      </c>
      <c r="I2722" s="10">
        <f t="shared" si="168"/>
        <v>-642</v>
      </c>
      <c r="J2722" s="11">
        <f>data!H2722</f>
        <v>36</v>
      </c>
      <c r="K2722" s="11">
        <f>data!J2722</f>
        <v>180</v>
      </c>
      <c r="L2722" s="11">
        <f t="shared" si="169"/>
        <v>-144</v>
      </c>
      <c r="M2722" s="9">
        <f t="shared" si="170"/>
        <v>-0.8294573643410853</v>
      </c>
      <c r="N2722" s="9">
        <f t="shared" si="171"/>
        <v>-0.8</v>
      </c>
    </row>
    <row r="2723" spans="1:14" x14ac:dyDescent="0.25">
      <c r="A2723" t="str">
        <f>TEXT("1/"&amp;data!A2723,"mmmm")</f>
        <v>octobre</v>
      </c>
      <c r="B2723">
        <f>data!B2723</f>
        <v>2016</v>
      </c>
      <c r="C2723" t="str">
        <f>data!C2723</f>
        <v>062</v>
      </c>
      <c r="D2723" t="str">
        <f>data!D2723</f>
        <v>CHATEAU CARBON D'ARTIGUES</v>
      </c>
      <c r="E2723" t="str">
        <f>data!E2723</f>
        <v>062021</v>
      </c>
      <c r="F2723" t="str">
        <f>data!F2723</f>
        <v>AC GRAVES. CARBON D'ARTIGUES</v>
      </c>
      <c r="G2723" s="10">
        <f>data!G2723</f>
        <v>0</v>
      </c>
      <c r="H2723" s="10">
        <f>data!I2723</f>
        <v>183</v>
      </c>
      <c r="I2723" s="10">
        <f t="shared" si="168"/>
        <v>-183</v>
      </c>
      <c r="J2723" s="11">
        <f>data!H2723</f>
        <v>-6</v>
      </c>
      <c r="K2723" s="11">
        <f>data!J2723</f>
        <v>60</v>
      </c>
      <c r="L2723" s="11">
        <f t="shared" si="169"/>
        <v>-66</v>
      </c>
      <c r="M2723" s="9">
        <f t="shared" si="170"/>
        <v>-1</v>
      </c>
      <c r="N2723" s="9">
        <f t="shared" si="171"/>
        <v>-1.1000000000000001</v>
      </c>
    </row>
    <row r="2724" spans="1:14" x14ac:dyDescent="0.25">
      <c r="A2724" t="str">
        <f>TEXT("1/"&amp;data!A2724,"mmmm")</f>
        <v>octobre</v>
      </c>
      <c r="B2724">
        <f>data!B2724</f>
        <v>2016</v>
      </c>
      <c r="C2724" t="str">
        <f>data!C2724</f>
        <v>074</v>
      </c>
      <c r="D2724" t="str">
        <f>data!D2724</f>
        <v>CAVE DE GIGONDAS</v>
      </c>
      <c r="E2724" t="str">
        <f>data!E2724</f>
        <v>074012</v>
      </c>
      <c r="F2724" t="str">
        <f>data!F2724</f>
        <v>AC GIGONDAS LA REFENCE</v>
      </c>
      <c r="G2724" s="10">
        <f>data!G2724</f>
        <v>547.20000000000005</v>
      </c>
      <c r="H2724" s="10">
        <f>data!I2724</f>
        <v>228</v>
      </c>
      <c r="I2724" s="10">
        <f t="shared" si="168"/>
        <v>319.20000000000005</v>
      </c>
      <c r="J2724" s="11">
        <f>data!H2724</f>
        <v>72</v>
      </c>
      <c r="K2724" s="11">
        <f>data!J2724</f>
        <v>36</v>
      </c>
      <c r="L2724" s="11">
        <f t="shared" si="169"/>
        <v>36</v>
      </c>
      <c r="M2724" s="9">
        <f t="shared" si="170"/>
        <v>1.4000000000000001</v>
      </c>
      <c r="N2724" s="9">
        <f t="shared" si="171"/>
        <v>1</v>
      </c>
    </row>
    <row r="2725" spans="1:14" x14ac:dyDescent="0.25">
      <c r="A2725" t="str">
        <f>TEXT("1/"&amp;data!A2725,"mmmm")</f>
        <v>octobre</v>
      </c>
      <c r="B2725">
        <f>data!B2725</f>
        <v>2016</v>
      </c>
      <c r="C2725" t="str">
        <f>data!C2725</f>
        <v>074</v>
      </c>
      <c r="D2725" t="str">
        <f>data!D2725</f>
        <v>CAVE DE GIGONDAS</v>
      </c>
      <c r="E2725" t="str">
        <f>data!E2725</f>
        <v>074013</v>
      </c>
      <c r="F2725" t="str">
        <f>data!F2725</f>
        <v>AC B DE VENISE TERRISSIMO</v>
      </c>
      <c r="G2725" s="10">
        <f>data!G2725</f>
        <v>390.6</v>
      </c>
      <c r="H2725" s="10">
        <f>data!I2725</f>
        <v>579.6</v>
      </c>
      <c r="I2725" s="10">
        <f t="shared" si="168"/>
        <v>-189</v>
      </c>
      <c r="J2725" s="11">
        <f>data!H2725</f>
        <v>84</v>
      </c>
      <c r="K2725" s="11">
        <f>data!J2725</f>
        <v>132</v>
      </c>
      <c r="L2725" s="11">
        <f t="shared" si="169"/>
        <v>-48</v>
      </c>
      <c r="M2725" s="9">
        <f t="shared" si="170"/>
        <v>-0.32608695652173914</v>
      </c>
      <c r="N2725" s="9">
        <f t="shared" si="171"/>
        <v>-0.36363636363636365</v>
      </c>
    </row>
    <row r="2726" spans="1:14" x14ac:dyDescent="0.25">
      <c r="A2726" t="str">
        <f>TEXT("1/"&amp;data!A2726,"mmmm")</f>
        <v>octobre</v>
      </c>
      <c r="B2726">
        <f>data!B2726</f>
        <v>2016</v>
      </c>
      <c r="C2726" t="str">
        <f>data!C2726</f>
        <v>074</v>
      </c>
      <c r="D2726" t="str">
        <f>data!D2726</f>
        <v>CAVE DE GIGONDAS</v>
      </c>
      <c r="E2726" t="str">
        <f>data!E2726</f>
        <v>074029</v>
      </c>
      <c r="F2726" t="str">
        <f>data!F2726</f>
        <v>VDN MUSCAT BEAUME DE VENISE</v>
      </c>
      <c r="G2726" s="10">
        <f>data!G2726</f>
        <v>46.2</v>
      </c>
      <c r="H2726" s="10">
        <f>data!I2726</f>
        <v>46.2</v>
      </c>
      <c r="I2726" s="10">
        <f t="shared" si="168"/>
        <v>0</v>
      </c>
      <c r="J2726" s="11">
        <f>data!H2726</f>
        <v>6</v>
      </c>
      <c r="K2726" s="11">
        <f>data!J2726</f>
        <v>12</v>
      </c>
      <c r="L2726" s="11">
        <f t="shared" si="169"/>
        <v>-6</v>
      </c>
      <c r="M2726" s="9">
        <f t="shared" si="170"/>
        <v>0</v>
      </c>
      <c r="N2726" s="9">
        <f t="shared" si="171"/>
        <v>-0.5</v>
      </c>
    </row>
    <row r="2727" spans="1:14" x14ac:dyDescent="0.25">
      <c r="A2727" t="str">
        <f>TEXT("1/"&amp;data!A2727,"mmmm")</f>
        <v>octobre</v>
      </c>
      <c r="B2727">
        <f>data!B2727</f>
        <v>2016</v>
      </c>
      <c r="C2727" t="str">
        <f>data!C2727</f>
        <v>075</v>
      </c>
      <c r="D2727" t="str">
        <f>data!D2727</f>
        <v>CHATEAU LE BREUIL RENAISSANCE</v>
      </c>
      <c r="E2727" t="str">
        <f>data!E2727</f>
        <v>075002</v>
      </c>
      <c r="F2727" t="str">
        <f>data!F2727</f>
        <v>AC MEDOC. CH.BREUIL RENAISSANCE</v>
      </c>
      <c r="G2727" s="10">
        <f>data!G2727</f>
        <v>1245</v>
      </c>
      <c r="H2727" s="10">
        <f>data!I2727</f>
        <v>1133.6400000000001</v>
      </c>
      <c r="I2727" s="10">
        <f t="shared" si="168"/>
        <v>111.3599999999999</v>
      </c>
      <c r="J2727" s="11">
        <f>data!H2727</f>
        <v>306</v>
      </c>
      <c r="K2727" s="11">
        <f>data!J2727</f>
        <v>282</v>
      </c>
      <c r="L2727" s="11">
        <f t="shared" si="169"/>
        <v>24</v>
      </c>
      <c r="M2727" s="9">
        <f t="shared" si="170"/>
        <v>9.8232243040118461E-2</v>
      </c>
      <c r="N2727" s="9">
        <f t="shared" si="171"/>
        <v>8.5106382978723402E-2</v>
      </c>
    </row>
    <row r="2728" spans="1:14" x14ac:dyDescent="0.25">
      <c r="A2728" t="str">
        <f>TEXT("1/"&amp;data!A2728,"mmmm")</f>
        <v>octobre</v>
      </c>
      <c r="B2728">
        <f>data!B2728</f>
        <v>2016</v>
      </c>
      <c r="C2728" t="str">
        <f>data!C2728</f>
        <v>075</v>
      </c>
      <c r="D2728" t="str">
        <f>data!D2728</f>
        <v>CHATEAU LE BREUIL RENAISSANCE</v>
      </c>
      <c r="E2728" t="str">
        <f>data!E2728</f>
        <v>075004</v>
      </c>
      <c r="F2728" t="str">
        <f>data!F2728</f>
        <v>AC MEDOC. CH.BREUIL RENAISSANCE</v>
      </c>
      <c r="G2728" s="10">
        <f>data!G2728</f>
        <v>114.36</v>
      </c>
      <c r="H2728" s="10">
        <f>data!I2728</f>
        <v>110.4</v>
      </c>
      <c r="I2728" s="10">
        <f t="shared" si="168"/>
        <v>3.9599999999999937</v>
      </c>
      <c r="J2728" s="11">
        <f>data!H2728</f>
        <v>24</v>
      </c>
      <c r="K2728" s="11">
        <f>data!J2728</f>
        <v>24</v>
      </c>
      <c r="L2728" s="11">
        <f t="shared" si="169"/>
        <v>0</v>
      </c>
      <c r="M2728" s="9">
        <f t="shared" si="170"/>
        <v>3.5869565217391243E-2</v>
      </c>
      <c r="N2728" s="9">
        <f t="shared" si="171"/>
        <v>0</v>
      </c>
    </row>
    <row r="2729" spans="1:14" x14ac:dyDescent="0.25">
      <c r="A2729" t="str">
        <f>TEXT("1/"&amp;data!A2729,"mmmm")</f>
        <v>octobre</v>
      </c>
      <c r="B2729">
        <f>data!B2729</f>
        <v>2016</v>
      </c>
      <c r="C2729" t="str">
        <f>data!C2729</f>
        <v>075</v>
      </c>
      <c r="D2729" t="str">
        <f>data!D2729</f>
        <v>CHATEAU LE BREUIL RENAISSANCE</v>
      </c>
      <c r="E2729" t="str">
        <f>data!E2729</f>
        <v>075011</v>
      </c>
      <c r="F2729" t="str">
        <f>data!F2729</f>
        <v>AC MEDOC CRU.B CH LES CABANS</v>
      </c>
      <c r="G2729" s="10">
        <f>data!G2729</f>
        <v>83.7</v>
      </c>
      <c r="H2729" s="10">
        <f>data!I2729</f>
        <v>81</v>
      </c>
      <c r="I2729" s="10">
        <f t="shared" si="168"/>
        <v>2.7000000000000028</v>
      </c>
      <c r="J2729" s="11">
        <f>data!H2729</f>
        <v>12</v>
      </c>
      <c r="K2729" s="11">
        <f>data!J2729</f>
        <v>12</v>
      </c>
      <c r="L2729" s="11">
        <f t="shared" si="169"/>
        <v>0</v>
      </c>
      <c r="M2729" s="9">
        <f t="shared" si="170"/>
        <v>3.3333333333333368E-2</v>
      </c>
      <c r="N2729" s="9">
        <f t="shared" si="171"/>
        <v>0</v>
      </c>
    </row>
    <row r="2730" spans="1:14" x14ac:dyDescent="0.25">
      <c r="A2730" t="str">
        <f>TEXT("1/"&amp;data!A2730,"mmmm")</f>
        <v>octobre</v>
      </c>
      <c r="B2730">
        <f>data!B2730</f>
        <v>2016</v>
      </c>
      <c r="C2730" t="str">
        <f>data!C2730</f>
        <v>075</v>
      </c>
      <c r="D2730" t="str">
        <f>data!D2730</f>
        <v>CHATEAU LE BREUIL RENAISSANCE</v>
      </c>
      <c r="E2730" t="str">
        <f>data!E2730</f>
        <v>075013</v>
      </c>
      <c r="F2730" t="str">
        <f>data!F2730</f>
        <v>AC MEDOC CRU BOURGEOIS CHATEAU DES CABANS</v>
      </c>
      <c r="G2730" s="10">
        <f>data!G2730</f>
        <v>499.5</v>
      </c>
      <c r="H2730" s="10">
        <f>data!I2730</f>
        <v>343.2</v>
      </c>
      <c r="I2730" s="10">
        <f t="shared" si="168"/>
        <v>156.30000000000001</v>
      </c>
      <c r="J2730" s="11">
        <f>data!H2730</f>
        <v>90</v>
      </c>
      <c r="K2730" s="11">
        <f>data!J2730</f>
        <v>66</v>
      </c>
      <c r="L2730" s="11">
        <f t="shared" si="169"/>
        <v>24</v>
      </c>
      <c r="M2730" s="9">
        <f t="shared" si="170"/>
        <v>0.45541958041958047</v>
      </c>
      <c r="N2730" s="9">
        <f t="shared" si="171"/>
        <v>0.36363636363636365</v>
      </c>
    </row>
    <row r="2731" spans="1:14" x14ac:dyDescent="0.25">
      <c r="A2731" t="str">
        <f>TEXT("1/"&amp;data!A2731,"mmmm")</f>
        <v>octobre</v>
      </c>
      <c r="B2731">
        <f>data!B2731</f>
        <v>2016</v>
      </c>
      <c r="C2731" t="str">
        <f>data!C2731</f>
        <v>075</v>
      </c>
      <c r="D2731" t="str">
        <f>data!D2731</f>
        <v>CHATEAU LE BREUIL RENAISSANCE</v>
      </c>
      <c r="E2731" t="str">
        <f>data!E2731</f>
        <v>CDV075005</v>
      </c>
      <c r="F2731" t="str">
        <f>data!F2731</f>
        <v>AC MEDOC CRU BOURGEOIS BREUIL RENAISSANCE</v>
      </c>
      <c r="G2731" s="10">
        <f>data!G2731</f>
        <v>60</v>
      </c>
      <c r="H2731" s="10">
        <f>data!I2731</f>
        <v>0</v>
      </c>
      <c r="I2731" s="10">
        <f t="shared" si="168"/>
        <v>60</v>
      </c>
      <c r="J2731" s="11">
        <f>data!H2731</f>
        <v>8</v>
      </c>
      <c r="K2731" s="11">
        <f>data!J2731</f>
        <v>0</v>
      </c>
      <c r="L2731" s="11">
        <f t="shared" si="169"/>
        <v>8</v>
      </c>
      <c r="M2731" s="9" t="str">
        <f t="shared" si="170"/>
        <v/>
      </c>
      <c r="N2731" s="9" t="str">
        <f t="shared" si="171"/>
        <v/>
      </c>
    </row>
    <row r="2732" spans="1:14" x14ac:dyDescent="0.25">
      <c r="A2732" t="str">
        <f>TEXT("1/"&amp;data!A2732,"mmmm")</f>
        <v>octobre</v>
      </c>
      <c r="B2732">
        <f>data!B2732</f>
        <v>2016</v>
      </c>
      <c r="C2732" t="str">
        <f>data!C2732</f>
        <v>080</v>
      </c>
      <c r="D2732" t="str">
        <f>data!D2732</f>
        <v>DOMAINE DE ST PIERRE</v>
      </c>
      <c r="E2732" t="str">
        <f>data!E2732</f>
        <v>080010</v>
      </c>
      <c r="F2732" t="str">
        <f>data!F2732</f>
        <v>AC SANCERRE D.DE ST PIERRE</v>
      </c>
      <c r="G2732" s="10">
        <f>data!G2732</f>
        <v>425.7</v>
      </c>
      <c r="H2732" s="10">
        <f>data!I2732</f>
        <v>1096.2</v>
      </c>
      <c r="I2732" s="10">
        <f t="shared" si="168"/>
        <v>-670.5</v>
      </c>
      <c r="J2732" s="11">
        <f>data!H2732</f>
        <v>72</v>
      </c>
      <c r="K2732" s="11">
        <f>data!J2732</f>
        <v>180</v>
      </c>
      <c r="L2732" s="11">
        <f t="shared" si="169"/>
        <v>-108</v>
      </c>
      <c r="M2732" s="9">
        <f t="shared" si="170"/>
        <v>-0.61165845648604267</v>
      </c>
      <c r="N2732" s="9">
        <f t="shared" si="171"/>
        <v>-0.6</v>
      </c>
    </row>
    <row r="2733" spans="1:14" x14ac:dyDescent="0.25">
      <c r="A2733" t="str">
        <f>TEXT("1/"&amp;data!A2733,"mmmm")</f>
        <v>octobre</v>
      </c>
      <c r="B2733">
        <f>data!B2733</f>
        <v>2016</v>
      </c>
      <c r="C2733" t="str">
        <f>data!C2733</f>
        <v>080</v>
      </c>
      <c r="D2733" t="str">
        <f>data!D2733</f>
        <v>DOMAINE DE ST PIERRE</v>
      </c>
      <c r="E2733" t="str">
        <f>data!E2733</f>
        <v>080011</v>
      </c>
      <c r="F2733" t="str">
        <f>data!F2733</f>
        <v>AC SANCERRE D.DE ST PIERRE</v>
      </c>
      <c r="G2733" s="10">
        <f>data!G2733</f>
        <v>187.2</v>
      </c>
      <c r="H2733" s="10">
        <f>data!I2733</f>
        <v>231</v>
      </c>
      <c r="I2733" s="10">
        <f t="shared" si="168"/>
        <v>-43.800000000000011</v>
      </c>
      <c r="J2733" s="11">
        <f>data!H2733</f>
        <v>24</v>
      </c>
      <c r="K2733" s="11">
        <f>data!J2733</f>
        <v>30</v>
      </c>
      <c r="L2733" s="11">
        <f t="shared" si="169"/>
        <v>-6</v>
      </c>
      <c r="M2733" s="9">
        <f t="shared" si="170"/>
        <v>-0.18961038961038965</v>
      </c>
      <c r="N2733" s="9">
        <f t="shared" si="171"/>
        <v>-0.2</v>
      </c>
    </row>
    <row r="2734" spans="1:14" x14ac:dyDescent="0.25">
      <c r="A2734" t="str">
        <f>TEXT("1/"&amp;data!A2734,"mmmm")</f>
        <v>octobre</v>
      </c>
      <c r="B2734">
        <f>data!B2734</f>
        <v>2016</v>
      </c>
      <c r="C2734" t="str">
        <f>data!C2734</f>
        <v>080</v>
      </c>
      <c r="D2734" t="str">
        <f>data!D2734</f>
        <v>DOMAINE DE ST PIERRE</v>
      </c>
      <c r="E2734" t="str">
        <f>data!E2734</f>
        <v>080015</v>
      </c>
      <c r="F2734" t="str">
        <f>data!F2734</f>
        <v>AC SANCERRE D.DE ST PIERRE</v>
      </c>
      <c r="G2734" s="10">
        <f>data!G2734</f>
        <v>120.6</v>
      </c>
      <c r="H2734" s="10">
        <f>data!I2734</f>
        <v>237.6</v>
      </c>
      <c r="I2734" s="10">
        <f t="shared" si="168"/>
        <v>-117</v>
      </c>
      <c r="J2734" s="11">
        <f>data!H2734</f>
        <v>18</v>
      </c>
      <c r="K2734" s="11">
        <f>data!J2734</f>
        <v>54</v>
      </c>
      <c r="L2734" s="11">
        <f t="shared" si="169"/>
        <v>-36</v>
      </c>
      <c r="M2734" s="9">
        <f t="shared" si="170"/>
        <v>-0.49242424242424243</v>
      </c>
      <c r="N2734" s="9">
        <f t="shared" si="171"/>
        <v>-0.66666666666666663</v>
      </c>
    </row>
    <row r="2735" spans="1:14" x14ac:dyDescent="0.25">
      <c r="A2735" t="str">
        <f>TEXT("1/"&amp;data!A2735,"mmmm")</f>
        <v>octobre</v>
      </c>
      <c r="B2735">
        <f>data!B2735</f>
        <v>2016</v>
      </c>
      <c r="C2735" t="str">
        <f>data!C2735</f>
        <v>080</v>
      </c>
      <c r="D2735" t="str">
        <f>data!D2735</f>
        <v>DOMAINE DE ST PIERRE</v>
      </c>
      <c r="E2735" t="str">
        <f>data!E2735</f>
        <v>080016</v>
      </c>
      <c r="F2735" t="str">
        <f>data!F2735</f>
        <v>AC SANCERRE D.DE ST PIERRE</v>
      </c>
      <c r="G2735" s="10">
        <f>data!G2735</f>
        <v>46.8</v>
      </c>
      <c r="H2735" s="10">
        <f>data!I2735</f>
        <v>46.2</v>
      </c>
      <c r="I2735" s="10">
        <f t="shared" si="168"/>
        <v>0.59999999999999432</v>
      </c>
      <c r="J2735" s="11">
        <f>data!H2735</f>
        <v>6</v>
      </c>
      <c r="K2735" s="11">
        <f>data!J2735</f>
        <v>6</v>
      </c>
      <c r="L2735" s="11">
        <f t="shared" si="169"/>
        <v>0</v>
      </c>
      <c r="M2735" s="9">
        <f t="shared" si="170"/>
        <v>1.2987012987012863E-2</v>
      </c>
      <c r="N2735" s="9">
        <f t="shared" si="171"/>
        <v>0</v>
      </c>
    </row>
    <row r="2736" spans="1:14" x14ac:dyDescent="0.25">
      <c r="A2736" t="str">
        <f>TEXT("1/"&amp;data!A2736,"mmmm")</f>
        <v>octobre</v>
      </c>
      <c r="B2736">
        <f>data!B2736</f>
        <v>2016</v>
      </c>
      <c r="C2736" t="str">
        <f>data!C2736</f>
        <v>083</v>
      </c>
      <c r="D2736" t="str">
        <f>data!D2736</f>
        <v>LES TERROIRS D'OCCITANIE</v>
      </c>
      <c r="E2736" t="str">
        <f>data!E2736</f>
        <v>083003</v>
      </c>
      <c r="F2736" t="str">
        <f>data!F2736</f>
        <v>AC FAUGERES C.PREST DE LAURENS</v>
      </c>
      <c r="G2736" s="10">
        <f>data!G2736</f>
        <v>857.85</v>
      </c>
      <c r="H2736" s="10">
        <f>data!I2736</f>
        <v>176.4</v>
      </c>
      <c r="I2736" s="10">
        <f t="shared" si="168"/>
        <v>681.45</v>
      </c>
      <c r="J2736" s="11">
        <f>data!H2736</f>
        <v>414</v>
      </c>
      <c r="K2736" s="11">
        <f>data!J2736</f>
        <v>84</v>
      </c>
      <c r="L2736" s="11">
        <f t="shared" si="169"/>
        <v>330</v>
      </c>
      <c r="M2736" s="9">
        <f t="shared" si="170"/>
        <v>3.8630952380952381</v>
      </c>
      <c r="N2736" s="9">
        <f t="shared" si="171"/>
        <v>3.9285714285714284</v>
      </c>
    </row>
    <row r="2737" spans="1:14" x14ac:dyDescent="0.25">
      <c r="A2737" t="str">
        <f>TEXT("1/"&amp;data!A2737,"mmmm")</f>
        <v>octobre</v>
      </c>
      <c r="B2737">
        <f>data!B2737</f>
        <v>2016</v>
      </c>
      <c r="C2737" t="str">
        <f>data!C2737</f>
        <v>084</v>
      </c>
      <c r="D2737" t="str">
        <f>data!D2737</f>
        <v>VIGNOBLE CASTELMAURE</v>
      </c>
      <c r="E2737" t="str">
        <f>data!E2737</f>
        <v>084001</v>
      </c>
      <c r="F2737" t="str">
        <f>data!F2737</f>
        <v>AC CORBIERES CASTELMAURE</v>
      </c>
      <c r="G2737" s="10">
        <f>data!G2737</f>
        <v>596.75</v>
      </c>
      <c r="H2737" s="10">
        <f>data!I2737</f>
        <v>817</v>
      </c>
      <c r="I2737" s="10">
        <f t="shared" si="168"/>
        <v>-220.25</v>
      </c>
      <c r="J2737" s="11">
        <f>data!H2737</f>
        <v>413.23</v>
      </c>
      <c r="K2737" s="11">
        <f>data!J2737</f>
        <v>573.19000000000005</v>
      </c>
      <c r="L2737" s="11">
        <f t="shared" si="169"/>
        <v>-159.96000000000004</v>
      </c>
      <c r="M2737" s="9">
        <f t="shared" si="170"/>
        <v>-0.26958384332925339</v>
      </c>
      <c r="N2737" s="9">
        <f t="shared" si="171"/>
        <v>-0.27906976744186052</v>
      </c>
    </row>
    <row r="2738" spans="1:14" x14ac:dyDescent="0.25">
      <c r="A2738" t="str">
        <f>TEXT("1/"&amp;data!A2738,"mmmm")</f>
        <v>octobre</v>
      </c>
      <c r="B2738">
        <f>data!B2738</f>
        <v>2016</v>
      </c>
      <c r="C2738" t="str">
        <f>data!C2738</f>
        <v>084</v>
      </c>
      <c r="D2738" t="str">
        <f>data!D2738</f>
        <v>VIGNOBLE CASTELMAURE</v>
      </c>
      <c r="E2738" t="str">
        <f>data!E2738</f>
        <v>084002</v>
      </c>
      <c r="F2738" t="str">
        <f>data!F2738</f>
        <v>AC CORBIERES CASTELMAURE</v>
      </c>
      <c r="G2738" s="10">
        <f>data!G2738</f>
        <v>1243.2</v>
      </c>
      <c r="H2738" s="10">
        <f>data!I2738</f>
        <v>1639</v>
      </c>
      <c r="I2738" s="10">
        <f t="shared" si="168"/>
        <v>-395.79999999999995</v>
      </c>
      <c r="J2738" s="11">
        <f>data!H2738</f>
        <v>740.37</v>
      </c>
      <c r="K2738" s="11">
        <f>data!J2738</f>
        <v>1007.17</v>
      </c>
      <c r="L2738" s="11">
        <f t="shared" si="169"/>
        <v>-266.79999999999995</v>
      </c>
      <c r="M2738" s="9">
        <f t="shared" si="170"/>
        <v>-0.24148871262965219</v>
      </c>
      <c r="N2738" s="9">
        <f t="shared" si="171"/>
        <v>-0.26490066225165559</v>
      </c>
    </row>
    <row r="2739" spans="1:14" x14ac:dyDescent="0.25">
      <c r="A2739" t="str">
        <f>TEXT("1/"&amp;data!A2739,"mmmm")</f>
        <v>octobre</v>
      </c>
      <c r="B2739">
        <f>data!B2739</f>
        <v>2016</v>
      </c>
      <c r="C2739" t="str">
        <f>data!C2739</f>
        <v>084</v>
      </c>
      <c r="D2739" t="str">
        <f>data!D2739</f>
        <v>VIGNOBLE CASTELMAURE</v>
      </c>
      <c r="E2739" t="str">
        <f>data!E2739</f>
        <v>084004</v>
      </c>
      <c r="F2739" t="str">
        <f>data!F2739</f>
        <v>VDT BUVETTE CASTELMAURE (x6)</v>
      </c>
      <c r="G2739" s="10">
        <f>data!G2739</f>
        <v>327.60000000000002</v>
      </c>
      <c r="H2739" s="10">
        <f>data!I2739</f>
        <v>110.7</v>
      </c>
      <c r="I2739" s="10">
        <f t="shared" si="168"/>
        <v>216.90000000000003</v>
      </c>
      <c r="J2739" s="11">
        <f>data!H2739</f>
        <v>162</v>
      </c>
      <c r="K2739" s="11">
        <f>data!J2739</f>
        <v>54</v>
      </c>
      <c r="L2739" s="11">
        <f t="shared" si="169"/>
        <v>108</v>
      </c>
      <c r="M2739" s="9">
        <f t="shared" si="170"/>
        <v>1.9593495934959353</v>
      </c>
      <c r="N2739" s="9">
        <f t="shared" si="171"/>
        <v>2</v>
      </c>
    </row>
    <row r="2740" spans="1:14" x14ac:dyDescent="0.25">
      <c r="A2740" t="str">
        <f>TEXT("1/"&amp;data!A2740,"mmmm")</f>
        <v>octobre</v>
      </c>
      <c r="B2740">
        <f>data!B2740</f>
        <v>2016</v>
      </c>
      <c r="C2740" t="str">
        <f>data!C2740</f>
        <v>084</v>
      </c>
      <c r="D2740" t="str">
        <f>data!D2740</f>
        <v>VIGNOBLE CASTELMAURE</v>
      </c>
      <c r="E2740" t="str">
        <f>data!E2740</f>
        <v>084006</v>
      </c>
      <c r="F2740" t="str">
        <f>data!F2740</f>
        <v>AOP CORBIERES LE CASTELMAURE</v>
      </c>
      <c r="G2740" s="10">
        <f>data!G2740</f>
        <v>1452</v>
      </c>
      <c r="H2740" s="10">
        <f>data!I2740</f>
        <v>1814.4</v>
      </c>
      <c r="I2740" s="10">
        <f t="shared" si="168"/>
        <v>-362.40000000000009</v>
      </c>
      <c r="J2740" s="11">
        <f>data!H2740</f>
        <v>528</v>
      </c>
      <c r="K2740" s="11">
        <f>data!J2740</f>
        <v>678</v>
      </c>
      <c r="L2740" s="11">
        <f t="shared" si="169"/>
        <v>-150</v>
      </c>
      <c r="M2740" s="9">
        <f t="shared" si="170"/>
        <v>-0.19973544973544977</v>
      </c>
      <c r="N2740" s="9">
        <f t="shared" si="171"/>
        <v>-0.22123893805309736</v>
      </c>
    </row>
    <row r="2741" spans="1:14" x14ac:dyDescent="0.25">
      <c r="A2741" t="str">
        <f>TEXT("1/"&amp;data!A2741,"mmmm")</f>
        <v>octobre</v>
      </c>
      <c r="B2741">
        <f>data!B2741</f>
        <v>2016</v>
      </c>
      <c r="C2741" t="str">
        <f>data!C2741</f>
        <v>084</v>
      </c>
      <c r="D2741" t="str">
        <f>data!D2741</f>
        <v>VIGNOBLE CASTELMAURE</v>
      </c>
      <c r="E2741" t="str">
        <f>data!E2741</f>
        <v>084007</v>
      </c>
      <c r="F2741" t="str">
        <f>data!F2741</f>
        <v>AC CORBIERES LA POMPADOUR</v>
      </c>
      <c r="G2741" s="10">
        <f>data!G2741</f>
        <v>220.8</v>
      </c>
      <c r="H2741" s="10">
        <f>data!I2741</f>
        <v>972</v>
      </c>
      <c r="I2741" s="10">
        <f t="shared" si="168"/>
        <v>-751.2</v>
      </c>
      <c r="J2741" s="11">
        <f>data!H2741</f>
        <v>48</v>
      </c>
      <c r="K2741" s="11">
        <f>data!J2741</f>
        <v>222</v>
      </c>
      <c r="L2741" s="11">
        <f t="shared" si="169"/>
        <v>-174</v>
      </c>
      <c r="M2741" s="9">
        <f t="shared" si="170"/>
        <v>-0.77283950617283959</v>
      </c>
      <c r="N2741" s="9">
        <f t="shared" si="171"/>
        <v>-0.78378378378378377</v>
      </c>
    </row>
    <row r="2742" spans="1:14" x14ac:dyDescent="0.25">
      <c r="A2742" t="str">
        <f>TEXT("1/"&amp;data!A2742,"mmmm")</f>
        <v>octobre</v>
      </c>
      <c r="B2742">
        <f>data!B2742</f>
        <v>2016</v>
      </c>
      <c r="C2742" t="str">
        <f>data!C2742</f>
        <v>084</v>
      </c>
      <c r="D2742" t="str">
        <f>data!D2742</f>
        <v>VIGNOBLE CASTELMAURE</v>
      </c>
      <c r="E2742" t="str">
        <f>data!E2742</f>
        <v>084008</v>
      </c>
      <c r="F2742" t="str">
        <f>data!F2742</f>
        <v>AC CORBIERES LA GDE CUVEE</v>
      </c>
      <c r="G2742" s="10">
        <f>data!G2742</f>
        <v>71.760000000000005</v>
      </c>
      <c r="H2742" s="10">
        <f>data!I2742</f>
        <v>315.89999999999998</v>
      </c>
      <c r="I2742" s="10">
        <f t="shared" si="168"/>
        <v>-244.14</v>
      </c>
      <c r="J2742" s="11">
        <f>data!H2742</f>
        <v>18</v>
      </c>
      <c r="K2742" s="11">
        <f>data!J2742</f>
        <v>60</v>
      </c>
      <c r="L2742" s="11">
        <f t="shared" si="169"/>
        <v>-42</v>
      </c>
      <c r="M2742" s="9">
        <f t="shared" si="170"/>
        <v>-0.77283950617283947</v>
      </c>
      <c r="N2742" s="9">
        <f t="shared" si="171"/>
        <v>-0.7</v>
      </c>
    </row>
    <row r="2743" spans="1:14" x14ac:dyDescent="0.25">
      <c r="A2743" t="str">
        <f>TEXT("1/"&amp;data!A2743,"mmmm")</f>
        <v>octobre</v>
      </c>
      <c r="B2743">
        <f>data!B2743</f>
        <v>2016</v>
      </c>
      <c r="C2743" t="str">
        <f>data!C2743</f>
        <v>084</v>
      </c>
      <c r="D2743" t="str">
        <f>data!D2743</f>
        <v>VIGNOBLE CASTELMAURE</v>
      </c>
      <c r="E2743" t="str">
        <f>data!E2743</f>
        <v>084015</v>
      </c>
      <c r="F2743" t="str">
        <f>data!F2743</f>
        <v>AC CORBIERES " LE 3 "</v>
      </c>
      <c r="G2743" s="10">
        <f>data!G2743</f>
        <v>387</v>
      </c>
      <c r="H2743" s="10">
        <f>data!I2743</f>
        <v>567</v>
      </c>
      <c r="I2743" s="10">
        <f t="shared" si="168"/>
        <v>-180</v>
      </c>
      <c r="J2743" s="11">
        <f>data!H2743</f>
        <v>42</v>
      </c>
      <c r="K2743" s="11">
        <f>data!J2743</f>
        <v>54</v>
      </c>
      <c r="L2743" s="11">
        <f t="shared" si="169"/>
        <v>-12</v>
      </c>
      <c r="M2743" s="9">
        <f t="shared" si="170"/>
        <v>-0.31746031746031744</v>
      </c>
      <c r="N2743" s="9">
        <f t="shared" si="171"/>
        <v>-0.22222222222222221</v>
      </c>
    </row>
    <row r="2744" spans="1:14" x14ac:dyDescent="0.25">
      <c r="A2744" t="str">
        <f>TEXT("1/"&amp;data!A2744,"mmmm")</f>
        <v>octobre</v>
      </c>
      <c r="B2744">
        <f>data!B2744</f>
        <v>2016</v>
      </c>
      <c r="C2744" t="str">
        <f>data!C2744</f>
        <v>084</v>
      </c>
      <c r="D2744" t="str">
        <f>data!D2744</f>
        <v>VIGNOBLE CASTELMAURE</v>
      </c>
      <c r="E2744" t="str">
        <f>data!E2744</f>
        <v>084032</v>
      </c>
      <c r="F2744" t="str">
        <f>data!F2744</f>
        <v>AC CORBIERE CASTELMAURE</v>
      </c>
      <c r="G2744" s="10">
        <f>data!G2744</f>
        <v>99</v>
      </c>
      <c r="H2744" s="10">
        <f>data!I2744</f>
        <v>0</v>
      </c>
      <c r="I2744" s="10">
        <f t="shared" si="168"/>
        <v>99</v>
      </c>
      <c r="J2744" s="11">
        <f>data!H2744</f>
        <v>36</v>
      </c>
      <c r="K2744" s="11">
        <f>data!J2744</f>
        <v>0</v>
      </c>
      <c r="L2744" s="11">
        <f t="shared" si="169"/>
        <v>36</v>
      </c>
      <c r="M2744" s="9" t="str">
        <f t="shared" si="170"/>
        <v/>
      </c>
      <c r="N2744" s="9" t="str">
        <f t="shared" si="171"/>
        <v/>
      </c>
    </row>
    <row r="2745" spans="1:14" x14ac:dyDescent="0.25">
      <c r="A2745" t="str">
        <f>TEXT("1/"&amp;data!A2745,"mmmm")</f>
        <v>octobre</v>
      </c>
      <c r="B2745">
        <f>data!B2745</f>
        <v>2016</v>
      </c>
      <c r="C2745" t="str">
        <f>data!C2745</f>
        <v>084</v>
      </c>
      <c r="D2745" t="str">
        <f>data!D2745</f>
        <v>VIGNOBLE CASTELMAURE</v>
      </c>
      <c r="E2745" t="str">
        <f>data!E2745</f>
        <v>084041</v>
      </c>
      <c r="F2745" t="str">
        <f>data!F2745</f>
        <v>AOP CORBIERES ROSE AGRICOLE</v>
      </c>
      <c r="G2745" s="10">
        <f>data!G2745</f>
        <v>0</v>
      </c>
      <c r="H2745" s="10">
        <f>data!I2745</f>
        <v>0</v>
      </c>
      <c r="I2745" s="10">
        <f t="shared" si="168"/>
        <v>0</v>
      </c>
      <c r="J2745" s="11">
        <f>data!H2745</f>
        <v>6</v>
      </c>
      <c r="K2745" s="11">
        <f>data!J2745</f>
        <v>0</v>
      </c>
      <c r="L2745" s="11">
        <f t="shared" si="169"/>
        <v>6</v>
      </c>
      <c r="M2745" s="9" t="str">
        <f t="shared" si="170"/>
        <v/>
      </c>
      <c r="N2745" s="9" t="str">
        <f t="shared" si="171"/>
        <v/>
      </c>
    </row>
    <row r="2746" spans="1:14" x14ac:dyDescent="0.25">
      <c r="A2746" t="str">
        <f>TEXT("1/"&amp;data!A2746,"mmmm")</f>
        <v>octobre</v>
      </c>
      <c r="B2746">
        <f>data!B2746</f>
        <v>2016</v>
      </c>
      <c r="C2746" t="str">
        <f>data!C2746</f>
        <v>084</v>
      </c>
      <c r="D2746" t="str">
        <f>data!D2746</f>
        <v>VIGNOBLE CASTELMAURE</v>
      </c>
      <c r="E2746" t="str">
        <f>data!E2746</f>
        <v>084050</v>
      </c>
      <c r="F2746" t="str">
        <f>data!F2746</f>
        <v>AOP CORBIERES "MAUVAISE REPUTATION"</v>
      </c>
      <c r="G2746" s="10">
        <f>data!G2746</f>
        <v>0</v>
      </c>
      <c r="H2746" s="10">
        <f>data!I2746</f>
        <v>0</v>
      </c>
      <c r="I2746" s="10">
        <f t="shared" si="168"/>
        <v>0</v>
      </c>
      <c r="J2746" s="11">
        <f>data!H2746</f>
        <v>6</v>
      </c>
      <c r="K2746" s="11">
        <f>data!J2746</f>
        <v>0</v>
      </c>
      <c r="L2746" s="11">
        <f t="shared" si="169"/>
        <v>6</v>
      </c>
      <c r="M2746" s="9" t="str">
        <f t="shared" si="170"/>
        <v/>
      </c>
      <c r="N2746" s="9" t="str">
        <f t="shared" si="171"/>
        <v/>
      </c>
    </row>
    <row r="2747" spans="1:14" x14ac:dyDescent="0.25">
      <c r="A2747" t="str">
        <f>TEXT("1/"&amp;data!A2747,"mmmm")</f>
        <v>octobre</v>
      </c>
      <c r="B2747">
        <f>data!B2747</f>
        <v>2016</v>
      </c>
      <c r="C2747" t="str">
        <f>data!C2747</f>
        <v>089</v>
      </c>
      <c r="D2747" t="str">
        <f>data!D2747</f>
        <v>DOMAINE DE LA PALEINE</v>
      </c>
      <c r="E2747" t="str">
        <f>data!E2747</f>
        <v>089002</v>
      </c>
      <c r="F2747" t="str">
        <f>data!F2747</f>
        <v>AC SAUMUR C.DU PRINTEMPS LA PALEINE</v>
      </c>
      <c r="G2747" s="10">
        <f>data!G2747</f>
        <v>284.7</v>
      </c>
      <c r="H2747" s="10">
        <f>data!I2747</f>
        <v>191.7</v>
      </c>
      <c r="I2747" s="10">
        <f t="shared" si="168"/>
        <v>93</v>
      </c>
      <c r="J2747" s="11">
        <f>data!H2747</f>
        <v>78</v>
      </c>
      <c r="K2747" s="11">
        <f>data!J2747</f>
        <v>54</v>
      </c>
      <c r="L2747" s="11">
        <f t="shared" si="169"/>
        <v>24</v>
      </c>
      <c r="M2747" s="9">
        <f t="shared" si="170"/>
        <v>0.48513302034428796</v>
      </c>
      <c r="N2747" s="9">
        <f t="shared" si="171"/>
        <v>0.44444444444444442</v>
      </c>
    </row>
    <row r="2748" spans="1:14" x14ac:dyDescent="0.25">
      <c r="A2748" t="str">
        <f>TEXT("1/"&amp;data!A2748,"mmmm")</f>
        <v>octobre</v>
      </c>
      <c r="B2748">
        <f>data!B2748</f>
        <v>2016</v>
      </c>
      <c r="C2748" t="str">
        <f>data!C2748</f>
        <v>089</v>
      </c>
      <c r="D2748" t="str">
        <f>data!D2748</f>
        <v>DOMAINE DE LA PALEINE</v>
      </c>
      <c r="E2748" t="str">
        <f>data!E2748</f>
        <v>089010</v>
      </c>
      <c r="F2748" t="str">
        <f>data!F2748</f>
        <v>AC SAUMUR DLA PALEINE</v>
      </c>
      <c r="G2748" s="10">
        <f>data!G2748</f>
        <v>22.2</v>
      </c>
      <c r="H2748" s="10">
        <f>data!I2748</f>
        <v>64.8</v>
      </c>
      <c r="I2748" s="10">
        <f t="shared" si="168"/>
        <v>-42.599999999999994</v>
      </c>
      <c r="J2748" s="11">
        <f>data!H2748</f>
        <v>6</v>
      </c>
      <c r="K2748" s="11">
        <f>data!J2748</f>
        <v>18</v>
      </c>
      <c r="L2748" s="11">
        <f t="shared" si="169"/>
        <v>-12</v>
      </c>
      <c r="M2748" s="9">
        <f t="shared" si="170"/>
        <v>-0.65740740740740733</v>
      </c>
      <c r="N2748" s="9">
        <f t="shared" si="171"/>
        <v>-0.66666666666666663</v>
      </c>
    </row>
    <row r="2749" spans="1:14" x14ac:dyDescent="0.25">
      <c r="A2749" t="str">
        <f>TEXT("1/"&amp;data!A2749,"mmmm")</f>
        <v>octobre</v>
      </c>
      <c r="B2749">
        <f>data!B2749</f>
        <v>2016</v>
      </c>
      <c r="C2749" t="str">
        <f>data!C2749</f>
        <v>089</v>
      </c>
      <c r="D2749" t="str">
        <f>data!D2749</f>
        <v>DOMAINE DE LA PALEINE</v>
      </c>
      <c r="E2749" t="str">
        <f>data!E2749</f>
        <v>089800</v>
      </c>
      <c r="F2749" t="str">
        <f>data!F2749</f>
        <v>AC SAUMUR BRUT D.DE LA PALEINE</v>
      </c>
      <c r="G2749" s="10">
        <f>data!G2749</f>
        <v>348.6</v>
      </c>
      <c r="H2749" s="10">
        <f>data!I2749</f>
        <v>1008.6</v>
      </c>
      <c r="I2749" s="10">
        <f t="shared" si="168"/>
        <v>-660</v>
      </c>
      <c r="J2749" s="11">
        <f>data!H2749</f>
        <v>84</v>
      </c>
      <c r="K2749" s="11">
        <f>data!J2749</f>
        <v>246</v>
      </c>
      <c r="L2749" s="11">
        <f t="shared" si="169"/>
        <v>-162</v>
      </c>
      <c r="M2749" s="9">
        <f t="shared" si="170"/>
        <v>-0.65437239738251041</v>
      </c>
      <c r="N2749" s="9">
        <f t="shared" si="171"/>
        <v>-0.65853658536585369</v>
      </c>
    </row>
    <row r="2750" spans="1:14" x14ac:dyDescent="0.25">
      <c r="A2750" t="str">
        <f>TEXT("1/"&amp;data!A2750,"mmmm")</f>
        <v>octobre</v>
      </c>
      <c r="B2750">
        <f>data!B2750</f>
        <v>2016</v>
      </c>
      <c r="C2750" t="str">
        <f>data!C2750</f>
        <v>089</v>
      </c>
      <c r="D2750" t="str">
        <f>data!D2750</f>
        <v>DOMAINE DE LA PALEINE</v>
      </c>
      <c r="E2750" t="str">
        <f>data!E2750</f>
        <v>089900</v>
      </c>
      <c r="F2750" t="str">
        <f>data!F2750</f>
        <v>AC SAUMUR RESERVE D.LA PALEINE</v>
      </c>
      <c r="G2750" s="10">
        <f>data!G2750</f>
        <v>212.5</v>
      </c>
      <c r="H2750" s="10">
        <f>data!I2750</f>
        <v>384.75</v>
      </c>
      <c r="I2750" s="10">
        <f t="shared" si="168"/>
        <v>-172.25</v>
      </c>
      <c r="J2750" s="11">
        <f>data!H2750</f>
        <v>133.30000000000001</v>
      </c>
      <c r="K2750" s="11">
        <f>data!J2750</f>
        <v>253.27</v>
      </c>
      <c r="L2750" s="11">
        <f t="shared" si="169"/>
        <v>-119.97</v>
      </c>
      <c r="M2750" s="9">
        <f t="shared" si="170"/>
        <v>-0.44769330734243012</v>
      </c>
      <c r="N2750" s="9">
        <f t="shared" si="171"/>
        <v>-0.47368421052631576</v>
      </c>
    </row>
    <row r="2751" spans="1:14" x14ac:dyDescent="0.25">
      <c r="A2751" t="str">
        <f>TEXT("1/"&amp;data!A2751,"mmmm")</f>
        <v>octobre</v>
      </c>
      <c r="B2751">
        <f>data!B2751</f>
        <v>2016</v>
      </c>
      <c r="C2751" t="str">
        <f>data!C2751</f>
        <v>089</v>
      </c>
      <c r="D2751" t="str">
        <f>data!D2751</f>
        <v>DOMAINE DE LA PALEINE</v>
      </c>
      <c r="E2751" t="str">
        <f>data!E2751</f>
        <v>089901</v>
      </c>
      <c r="F2751" t="str">
        <f>data!F2751</f>
        <v>AC SAUMUR D.LA PALEINE</v>
      </c>
      <c r="G2751" s="10">
        <f>data!G2751</f>
        <v>752.4</v>
      </c>
      <c r="H2751" s="10">
        <f>data!I2751</f>
        <v>475.8</v>
      </c>
      <c r="I2751" s="10">
        <f t="shared" si="168"/>
        <v>276.59999999999997</v>
      </c>
      <c r="J2751" s="11">
        <f>data!H2751</f>
        <v>380.19</v>
      </c>
      <c r="K2751" s="11">
        <f>data!J2751</f>
        <v>260.13</v>
      </c>
      <c r="L2751" s="11">
        <f t="shared" si="169"/>
        <v>120.06</v>
      </c>
      <c r="M2751" s="9">
        <f t="shared" si="170"/>
        <v>0.58133669609079441</v>
      </c>
      <c r="N2751" s="9">
        <f t="shared" si="171"/>
        <v>0.46153846153846156</v>
      </c>
    </row>
    <row r="2752" spans="1:14" x14ac:dyDescent="0.25">
      <c r="A2752" t="str">
        <f>TEXT("1/"&amp;data!A2752,"mmmm")</f>
        <v>octobre</v>
      </c>
      <c r="B2752">
        <f>data!B2752</f>
        <v>2016</v>
      </c>
      <c r="C2752" t="str">
        <f>data!C2752</f>
        <v>089</v>
      </c>
      <c r="D2752" t="str">
        <f>data!D2752</f>
        <v>DOMAINE DE LA PALEINE</v>
      </c>
      <c r="E2752" t="str">
        <f>data!E2752</f>
        <v>089903</v>
      </c>
      <c r="F2752" t="str">
        <f>data!F2752</f>
        <v>AC SAUMUR BRUT M.TRAD LA PALEINE</v>
      </c>
      <c r="G2752" s="10">
        <f>data!G2752</f>
        <v>2017.2</v>
      </c>
      <c r="H2752" s="10">
        <f>data!I2752</f>
        <v>704.7</v>
      </c>
      <c r="I2752" s="10">
        <f t="shared" si="168"/>
        <v>1312.5</v>
      </c>
      <c r="J2752" s="11">
        <f>data!H2752</f>
        <v>492</v>
      </c>
      <c r="K2752" s="11">
        <f>data!J2752</f>
        <v>174</v>
      </c>
      <c r="L2752" s="11">
        <f t="shared" si="169"/>
        <v>318</v>
      </c>
      <c r="M2752" s="9">
        <f t="shared" si="170"/>
        <v>1.8624946785866325</v>
      </c>
      <c r="N2752" s="9">
        <f t="shared" si="171"/>
        <v>1.8275862068965518</v>
      </c>
    </row>
    <row r="2753" spans="1:14" x14ac:dyDescent="0.25">
      <c r="A2753" t="str">
        <f>TEXT("1/"&amp;data!A2753,"mmmm")</f>
        <v>octobre</v>
      </c>
      <c r="B2753">
        <f>data!B2753</f>
        <v>2016</v>
      </c>
      <c r="C2753" t="str">
        <f>data!C2753</f>
        <v>099</v>
      </c>
      <c r="D2753" t="str">
        <f>data!D2753</f>
        <v>CAVE DE L'ORMARINE</v>
      </c>
      <c r="E2753" t="str">
        <f>data!E2753</f>
        <v>099001</v>
      </c>
      <c r="F2753" t="str">
        <f>data!F2753</f>
        <v>VDP C DE THAU D.VILLEMARIN</v>
      </c>
      <c r="G2753" s="10">
        <f>data!G2753</f>
        <v>1568.04</v>
      </c>
      <c r="H2753" s="10">
        <f>data!I2753</f>
        <v>1049.28</v>
      </c>
      <c r="I2753" s="10">
        <f t="shared" si="168"/>
        <v>518.76</v>
      </c>
      <c r="J2753" s="11">
        <f>data!H2753</f>
        <v>1020</v>
      </c>
      <c r="K2753" s="11">
        <f>data!J2753</f>
        <v>672</v>
      </c>
      <c r="L2753" s="11">
        <f t="shared" si="169"/>
        <v>348</v>
      </c>
      <c r="M2753" s="9">
        <f t="shared" si="170"/>
        <v>0.49439615736505033</v>
      </c>
      <c r="N2753" s="9">
        <f t="shared" si="171"/>
        <v>0.5178571428571429</v>
      </c>
    </row>
    <row r="2754" spans="1:14" x14ac:dyDescent="0.25">
      <c r="A2754" t="str">
        <f>TEXT("1/"&amp;data!A2754,"mmmm")</f>
        <v>octobre</v>
      </c>
      <c r="B2754">
        <f>data!B2754</f>
        <v>2016</v>
      </c>
      <c r="C2754" t="str">
        <f>data!C2754</f>
        <v>099</v>
      </c>
      <c r="D2754" t="str">
        <f>data!D2754</f>
        <v>CAVE DE L'ORMARINE</v>
      </c>
      <c r="E2754" t="str">
        <f>data!E2754</f>
        <v>099002</v>
      </c>
      <c r="F2754" t="str">
        <f>data!F2754</f>
        <v>VDP C DE THAU D.VILLEMARIN</v>
      </c>
      <c r="G2754" s="10">
        <f>data!G2754</f>
        <v>10760.16</v>
      </c>
      <c r="H2754" s="10">
        <f>data!I2754</f>
        <v>1518.24</v>
      </c>
      <c r="I2754" s="10">
        <f t="shared" si="168"/>
        <v>9241.92</v>
      </c>
      <c r="J2754" s="11">
        <f>data!H2754</f>
        <v>6684</v>
      </c>
      <c r="K2754" s="11">
        <f>data!J2754</f>
        <v>912</v>
      </c>
      <c r="L2754" s="11">
        <f t="shared" si="169"/>
        <v>5772</v>
      </c>
      <c r="M2754" s="9">
        <f t="shared" si="170"/>
        <v>6.0872589313942456</v>
      </c>
      <c r="N2754" s="9">
        <f t="shared" si="171"/>
        <v>6.3289473684210522</v>
      </c>
    </row>
    <row r="2755" spans="1:14" x14ac:dyDescent="0.25">
      <c r="A2755" t="str">
        <f>TEXT("1/"&amp;data!A2755,"mmmm")</f>
        <v>octobre</v>
      </c>
      <c r="B2755">
        <f>data!B2755</f>
        <v>2016</v>
      </c>
      <c r="C2755" t="str">
        <f>data!C2755</f>
        <v>099</v>
      </c>
      <c r="D2755" t="str">
        <f>data!D2755</f>
        <v>CAVE DE L'ORMARINE</v>
      </c>
      <c r="E2755" t="str">
        <f>data!E2755</f>
        <v>099003</v>
      </c>
      <c r="F2755" t="str">
        <f>data!F2755</f>
        <v>VDP C DE THAU D.VILLEMARIN</v>
      </c>
      <c r="G2755" s="10">
        <f>data!G2755</f>
        <v>416.52</v>
      </c>
      <c r="H2755" s="10">
        <f>data!I2755</f>
        <v>385.68</v>
      </c>
      <c r="I2755" s="10">
        <f t="shared" ref="I2755:I2818" si="172">G2755-H2755</f>
        <v>30.839999999999975</v>
      </c>
      <c r="J2755" s="11">
        <f>data!H2755</f>
        <v>234</v>
      </c>
      <c r="K2755" s="11">
        <f>data!J2755</f>
        <v>228</v>
      </c>
      <c r="L2755" s="11">
        <f t="shared" ref="L2755:L2818" si="173">J2755-K2755</f>
        <v>6</v>
      </c>
      <c r="M2755" s="9">
        <f t="shared" ref="M2755:M2818" si="174">IF(ISERR(I2755/H2755),"",I2755/H2755)</f>
        <v>7.9962663347853083E-2</v>
      </c>
      <c r="N2755" s="9">
        <f t="shared" ref="N2755:N2818" si="175">IF(ISERR(L2755/K2755),"",L2755/K2755)</f>
        <v>2.6315789473684209E-2</v>
      </c>
    </row>
    <row r="2756" spans="1:14" x14ac:dyDescent="0.25">
      <c r="A2756" t="str">
        <f>TEXT("1/"&amp;data!A2756,"mmmm")</f>
        <v>octobre</v>
      </c>
      <c r="B2756">
        <f>data!B2756</f>
        <v>2016</v>
      </c>
      <c r="C2756" t="str">
        <f>data!C2756</f>
        <v>099</v>
      </c>
      <c r="D2756" t="str">
        <f>data!D2756</f>
        <v>CAVE DE L'ORMARINE</v>
      </c>
      <c r="E2756" t="str">
        <f>data!E2756</f>
        <v>099013</v>
      </c>
      <c r="F2756" t="str">
        <f>data!F2756</f>
        <v>IGP PAYS D'OC MUSCAT MOELLEUX DOUCEUR DU SUD</v>
      </c>
      <c r="G2756" s="10">
        <f>data!G2756</f>
        <v>101.16</v>
      </c>
      <c r="H2756" s="10">
        <f>data!I2756</f>
        <v>101.16</v>
      </c>
      <c r="I2756" s="10">
        <f t="shared" si="172"/>
        <v>0</v>
      </c>
      <c r="J2756" s="11">
        <f>data!H2756</f>
        <v>36</v>
      </c>
      <c r="K2756" s="11">
        <f>data!J2756</f>
        <v>36</v>
      </c>
      <c r="L2756" s="11">
        <f t="shared" si="173"/>
        <v>0</v>
      </c>
      <c r="M2756" s="9">
        <f t="shared" si="174"/>
        <v>0</v>
      </c>
      <c r="N2756" s="9">
        <f t="shared" si="175"/>
        <v>0</v>
      </c>
    </row>
    <row r="2757" spans="1:14" x14ac:dyDescent="0.25">
      <c r="A2757" t="str">
        <f>TEXT("1/"&amp;data!A2757,"mmmm")</f>
        <v>octobre</v>
      </c>
      <c r="B2757">
        <f>data!B2757</f>
        <v>2016</v>
      </c>
      <c r="C2757" t="str">
        <f>data!C2757</f>
        <v>099</v>
      </c>
      <c r="D2757" t="str">
        <f>data!D2757</f>
        <v>CAVE DE L'ORMARINE</v>
      </c>
      <c r="E2757" t="str">
        <f>data!E2757</f>
        <v>099016</v>
      </c>
      <c r="F2757" t="str">
        <f>data!F2757</f>
        <v>AC PICPOUL PINET CARTE NOIRE</v>
      </c>
      <c r="G2757" s="10">
        <f>data!G2757</f>
        <v>443.84</v>
      </c>
      <c r="H2757" s="10">
        <f>data!I2757</f>
        <v>0</v>
      </c>
      <c r="I2757" s="10">
        <f t="shared" si="172"/>
        <v>443.84</v>
      </c>
      <c r="J2757" s="11">
        <f>data!H2757</f>
        <v>168</v>
      </c>
      <c r="K2757" s="11">
        <f>data!J2757</f>
        <v>0</v>
      </c>
      <c r="L2757" s="11">
        <f t="shared" si="173"/>
        <v>168</v>
      </c>
      <c r="M2757" s="9" t="str">
        <f t="shared" si="174"/>
        <v/>
      </c>
      <c r="N2757" s="9" t="str">
        <f t="shared" si="175"/>
        <v/>
      </c>
    </row>
    <row r="2758" spans="1:14" x14ac:dyDescent="0.25">
      <c r="A2758" t="str">
        <f>TEXT("1/"&amp;data!A2758,"mmmm")</f>
        <v>octobre</v>
      </c>
      <c r="B2758">
        <f>data!B2758</f>
        <v>2016</v>
      </c>
      <c r="C2758" t="str">
        <f>data!C2758</f>
        <v>099</v>
      </c>
      <c r="D2758" t="str">
        <f>data!D2758</f>
        <v>CAVE DE L'ORMARINE</v>
      </c>
      <c r="E2758" t="str">
        <f>data!E2758</f>
        <v>099022</v>
      </c>
      <c r="F2758" t="str">
        <f>data!F2758</f>
        <v>IGP D'OC SAUVIGNON "HAUTS DE SENAUX"</v>
      </c>
      <c r="G2758" s="10">
        <f>data!G2758</f>
        <v>80.64</v>
      </c>
      <c r="H2758" s="10">
        <f>data!I2758</f>
        <v>0</v>
      </c>
      <c r="I2758" s="10">
        <f t="shared" si="172"/>
        <v>80.64</v>
      </c>
      <c r="J2758" s="11">
        <f>data!H2758</f>
        <v>42</v>
      </c>
      <c r="K2758" s="11">
        <f>data!J2758</f>
        <v>0</v>
      </c>
      <c r="L2758" s="11">
        <f t="shared" si="173"/>
        <v>42</v>
      </c>
      <c r="M2758" s="9" t="str">
        <f t="shared" si="174"/>
        <v/>
      </c>
      <c r="N2758" s="9" t="str">
        <f t="shared" si="175"/>
        <v/>
      </c>
    </row>
    <row r="2759" spans="1:14" x14ac:dyDescent="0.25">
      <c r="A2759" t="str">
        <f>TEXT("1/"&amp;data!A2759,"mmmm")</f>
        <v>octobre</v>
      </c>
      <c r="B2759">
        <f>data!B2759</f>
        <v>2016</v>
      </c>
      <c r="C2759" t="str">
        <f>data!C2759</f>
        <v>099</v>
      </c>
      <c r="D2759" t="str">
        <f>data!D2759</f>
        <v>CAVE DE L'ORMARINE</v>
      </c>
      <c r="E2759" t="str">
        <f>data!E2759</f>
        <v>099023</v>
      </c>
      <c r="F2759" t="str">
        <f>data!F2759</f>
        <v>AOP LANGUEDOC ST GEORGES D'ORQUES "PETITES PARCELL</v>
      </c>
      <c r="G2759" s="10">
        <f>data!G2759</f>
        <v>0</v>
      </c>
      <c r="H2759" s="10">
        <f>data!I2759</f>
        <v>0</v>
      </c>
      <c r="I2759" s="10">
        <f t="shared" si="172"/>
        <v>0</v>
      </c>
      <c r="J2759" s="11">
        <f>data!H2759</f>
        <v>6</v>
      </c>
      <c r="K2759" s="11">
        <f>data!J2759</f>
        <v>0</v>
      </c>
      <c r="L2759" s="11">
        <f t="shared" si="173"/>
        <v>6</v>
      </c>
      <c r="M2759" s="9" t="str">
        <f t="shared" si="174"/>
        <v/>
      </c>
      <c r="N2759" s="9" t="str">
        <f t="shared" si="175"/>
        <v/>
      </c>
    </row>
    <row r="2760" spans="1:14" x14ac:dyDescent="0.25">
      <c r="A2760" t="str">
        <f>TEXT("1/"&amp;data!A2760,"mmmm")</f>
        <v>octobre</v>
      </c>
      <c r="B2760">
        <f>data!B2760</f>
        <v>2016</v>
      </c>
      <c r="C2760" t="str">
        <f>data!C2760</f>
        <v>110</v>
      </c>
      <c r="D2760" t="str">
        <f>data!D2760</f>
        <v>CHATEAU LES MARNIERES</v>
      </c>
      <c r="E2760" t="str">
        <f>data!E2760</f>
        <v>110500</v>
      </c>
      <c r="F2760" t="str">
        <f>data!F2760</f>
        <v>AC BERGERAC CH LES MARNIERES</v>
      </c>
      <c r="G2760" s="10">
        <f>data!G2760</f>
        <v>93.5</v>
      </c>
      <c r="H2760" s="10">
        <f>data!I2760</f>
        <v>491.4</v>
      </c>
      <c r="I2760" s="10">
        <f t="shared" si="172"/>
        <v>-397.9</v>
      </c>
      <c r="J2760" s="11">
        <f>data!H2760</f>
        <v>66.650000000000006</v>
      </c>
      <c r="K2760" s="11">
        <f>data!J2760</f>
        <v>359.91</v>
      </c>
      <c r="L2760" s="11">
        <f t="shared" si="173"/>
        <v>-293.26</v>
      </c>
      <c r="M2760" s="9">
        <f t="shared" si="174"/>
        <v>-0.80972730972730966</v>
      </c>
      <c r="N2760" s="9">
        <f t="shared" si="175"/>
        <v>-0.81481481481481477</v>
      </c>
    </row>
    <row r="2761" spans="1:14" x14ac:dyDescent="0.25">
      <c r="A2761" t="str">
        <f>TEXT("1/"&amp;data!A2761,"mmmm")</f>
        <v>octobre</v>
      </c>
      <c r="B2761">
        <f>data!B2761</f>
        <v>2016</v>
      </c>
      <c r="C2761" t="str">
        <f>data!C2761</f>
        <v>110</v>
      </c>
      <c r="D2761" t="str">
        <f>data!D2761</f>
        <v>CHATEAU LES MARNIERES</v>
      </c>
      <c r="E2761" t="str">
        <f>data!E2761</f>
        <v>110600</v>
      </c>
      <c r="F2761" t="str">
        <f>data!F2761</f>
        <v>CH LES MARNIERES AC COTES DE BERGERAC MOELLEUX</v>
      </c>
      <c r="G2761" s="10">
        <f>data!G2761</f>
        <v>75.599999999999994</v>
      </c>
      <c r="H2761" s="10">
        <f>data!I2761</f>
        <v>18.3</v>
      </c>
      <c r="I2761" s="10">
        <f t="shared" si="172"/>
        <v>57.3</v>
      </c>
      <c r="J2761" s="11">
        <f>data!H2761</f>
        <v>24</v>
      </c>
      <c r="K2761" s="11">
        <f>data!J2761</f>
        <v>12</v>
      </c>
      <c r="L2761" s="11">
        <f t="shared" si="173"/>
        <v>12</v>
      </c>
      <c r="M2761" s="9">
        <f t="shared" si="174"/>
        <v>3.1311475409836063</v>
      </c>
      <c r="N2761" s="9">
        <f t="shared" si="175"/>
        <v>1</v>
      </c>
    </row>
    <row r="2762" spans="1:14" x14ac:dyDescent="0.25">
      <c r="A2762" t="str">
        <f>TEXT("1/"&amp;data!A2762,"mmmm")</f>
        <v>octobre</v>
      </c>
      <c r="B2762">
        <f>data!B2762</f>
        <v>2016</v>
      </c>
      <c r="C2762" t="str">
        <f>data!C2762</f>
        <v>113</v>
      </c>
      <c r="D2762" t="str">
        <f>data!D2762</f>
        <v>DOMAINE DU PRIEURE</v>
      </c>
      <c r="E2762" t="str">
        <f>data!E2762</f>
        <v>113001</v>
      </c>
      <c r="F2762" t="str">
        <f>data!F2762</f>
        <v>AC MENETOU SALON. DME PRIEURE</v>
      </c>
      <c r="G2762" s="10">
        <f>data!G2762</f>
        <v>923.4</v>
      </c>
      <c r="H2762" s="10">
        <f>data!I2762</f>
        <v>1452</v>
      </c>
      <c r="I2762" s="10">
        <f t="shared" si="172"/>
        <v>-528.6</v>
      </c>
      <c r="J2762" s="11">
        <f>data!H2762</f>
        <v>162</v>
      </c>
      <c r="K2762" s="11">
        <f>data!J2762</f>
        <v>264</v>
      </c>
      <c r="L2762" s="11">
        <f t="shared" si="173"/>
        <v>-102</v>
      </c>
      <c r="M2762" s="9">
        <f t="shared" si="174"/>
        <v>-0.3640495867768595</v>
      </c>
      <c r="N2762" s="9">
        <f t="shared" si="175"/>
        <v>-0.38636363636363635</v>
      </c>
    </row>
    <row r="2763" spans="1:14" x14ac:dyDescent="0.25">
      <c r="A2763" t="str">
        <f>TEXT("1/"&amp;data!A2763,"mmmm")</f>
        <v>octobre</v>
      </c>
      <c r="B2763">
        <f>data!B2763</f>
        <v>2016</v>
      </c>
      <c r="C2763" t="str">
        <f>data!C2763</f>
        <v>113</v>
      </c>
      <c r="D2763" t="str">
        <f>data!D2763</f>
        <v>DOMAINE DU PRIEURE</v>
      </c>
      <c r="E2763" t="str">
        <f>data!E2763</f>
        <v>113002</v>
      </c>
      <c r="F2763" t="str">
        <f>data!F2763</f>
        <v>AC MENETOU SALON. DME PRIEURE</v>
      </c>
      <c r="G2763" s="10">
        <f>data!G2763</f>
        <v>151.19999999999999</v>
      </c>
      <c r="H2763" s="10">
        <f>data!I2763</f>
        <v>109.8</v>
      </c>
      <c r="I2763" s="10">
        <f t="shared" si="172"/>
        <v>41.399999999999991</v>
      </c>
      <c r="J2763" s="11">
        <f>data!H2763</f>
        <v>24</v>
      </c>
      <c r="K2763" s="11">
        <f>data!J2763</f>
        <v>18</v>
      </c>
      <c r="L2763" s="11">
        <f t="shared" si="173"/>
        <v>6</v>
      </c>
      <c r="M2763" s="9">
        <f t="shared" si="174"/>
        <v>0.37704918032786877</v>
      </c>
      <c r="N2763" s="9">
        <f t="shared" si="175"/>
        <v>0.33333333333333331</v>
      </c>
    </row>
    <row r="2764" spans="1:14" x14ac:dyDescent="0.25">
      <c r="A2764" t="str">
        <f>TEXT("1/"&amp;data!A2764,"mmmm")</f>
        <v>octobre</v>
      </c>
      <c r="B2764">
        <f>data!B2764</f>
        <v>2016</v>
      </c>
      <c r="C2764" t="str">
        <f>data!C2764</f>
        <v>113</v>
      </c>
      <c r="D2764" t="str">
        <f>data!D2764</f>
        <v>DOMAINE DU PRIEURE</v>
      </c>
      <c r="E2764" t="str">
        <f>data!E2764</f>
        <v>113005</v>
      </c>
      <c r="F2764" t="str">
        <f>data!F2764</f>
        <v>AC MENETOU SALON. DME PRIEURE</v>
      </c>
      <c r="G2764" s="10">
        <f>data!G2764</f>
        <v>936</v>
      </c>
      <c r="H2764" s="10">
        <f>data!I2764</f>
        <v>448.5</v>
      </c>
      <c r="I2764" s="10">
        <f t="shared" si="172"/>
        <v>487.5</v>
      </c>
      <c r="J2764" s="11">
        <f>data!H2764</f>
        <v>156</v>
      </c>
      <c r="K2764" s="11">
        <f>data!J2764</f>
        <v>78</v>
      </c>
      <c r="L2764" s="11">
        <f t="shared" si="173"/>
        <v>78</v>
      </c>
      <c r="M2764" s="9">
        <f t="shared" si="174"/>
        <v>1.0869565217391304</v>
      </c>
      <c r="N2764" s="9">
        <f t="shared" si="175"/>
        <v>1</v>
      </c>
    </row>
    <row r="2765" spans="1:14" x14ac:dyDescent="0.25">
      <c r="A2765" t="str">
        <f>TEXT("1/"&amp;data!A2765,"mmmm")</f>
        <v>octobre</v>
      </c>
      <c r="B2765">
        <f>data!B2765</f>
        <v>2016</v>
      </c>
      <c r="C2765" t="str">
        <f>data!C2765</f>
        <v>113</v>
      </c>
      <c r="D2765" t="str">
        <f>data!D2765</f>
        <v>DOMAINE DU PRIEURE</v>
      </c>
      <c r="E2765" t="str">
        <f>data!E2765</f>
        <v>113006</v>
      </c>
      <c r="F2765" t="str">
        <f>data!F2765</f>
        <v>AC MENETOU SALON. DME PRIEURE</v>
      </c>
      <c r="G2765" s="10">
        <f>data!G2765</f>
        <v>118.8</v>
      </c>
      <c r="H2765" s="10">
        <f>data!I2765</f>
        <v>38.4</v>
      </c>
      <c r="I2765" s="10">
        <f t="shared" si="172"/>
        <v>80.400000000000006</v>
      </c>
      <c r="J2765" s="11">
        <f>data!H2765</f>
        <v>18</v>
      </c>
      <c r="K2765" s="11">
        <f>data!J2765</f>
        <v>6</v>
      </c>
      <c r="L2765" s="11">
        <f t="shared" si="173"/>
        <v>12</v>
      </c>
      <c r="M2765" s="9">
        <f t="shared" si="174"/>
        <v>2.0937500000000004</v>
      </c>
      <c r="N2765" s="9">
        <f t="shared" si="175"/>
        <v>2</v>
      </c>
    </row>
    <row r="2766" spans="1:14" x14ac:dyDescent="0.25">
      <c r="A2766" t="str">
        <f>TEXT("1/"&amp;data!A2766,"mmmm")</f>
        <v>octobre</v>
      </c>
      <c r="B2766">
        <f>data!B2766</f>
        <v>2016</v>
      </c>
      <c r="C2766" t="str">
        <f>data!C2766</f>
        <v>115</v>
      </c>
      <c r="D2766" t="str">
        <f>data!D2766</f>
        <v>SCEA CHATEAU DES ROQUES</v>
      </c>
      <c r="E2766" t="str">
        <f>data!E2766</f>
        <v>115005</v>
      </c>
      <c r="F2766" t="str">
        <f>data!F2766</f>
        <v>AC VACQUEYRAS CH DES ROQUES</v>
      </c>
      <c r="G2766" s="10">
        <f>data!G2766</f>
        <v>482.4</v>
      </c>
      <c r="H2766" s="10">
        <f>data!I2766</f>
        <v>614.4</v>
      </c>
      <c r="I2766" s="10">
        <f t="shared" si="172"/>
        <v>-132</v>
      </c>
      <c r="J2766" s="11">
        <f>data!H2766</f>
        <v>78</v>
      </c>
      <c r="K2766" s="11">
        <f>data!J2766</f>
        <v>120</v>
      </c>
      <c r="L2766" s="11">
        <f t="shared" si="173"/>
        <v>-42</v>
      </c>
      <c r="M2766" s="9">
        <f t="shared" si="174"/>
        <v>-0.21484375</v>
      </c>
      <c r="N2766" s="9">
        <f t="shared" si="175"/>
        <v>-0.35</v>
      </c>
    </row>
    <row r="2767" spans="1:14" x14ac:dyDescent="0.25">
      <c r="A2767" t="str">
        <f>TEXT("1/"&amp;data!A2767,"mmmm")</f>
        <v>octobre</v>
      </c>
      <c r="B2767">
        <f>data!B2767</f>
        <v>2016</v>
      </c>
      <c r="C2767" t="str">
        <f>data!C2767</f>
        <v>115</v>
      </c>
      <c r="D2767" t="str">
        <f>data!D2767</f>
        <v>SCEA CHATEAU DES ROQUES</v>
      </c>
      <c r="E2767" t="str">
        <f>data!E2767</f>
        <v>115011</v>
      </c>
      <c r="F2767" t="str">
        <f>data!F2767</f>
        <v>VDP VAUCLUSE G.DES ROQUES</v>
      </c>
      <c r="G2767" s="10">
        <f>data!G2767</f>
        <v>42.5</v>
      </c>
      <c r="H2767" s="10">
        <f>data!I2767</f>
        <v>240</v>
      </c>
      <c r="I2767" s="10">
        <f t="shared" si="172"/>
        <v>-197.5</v>
      </c>
      <c r="J2767" s="11">
        <f>data!H2767</f>
        <v>33.35</v>
      </c>
      <c r="K2767" s="11">
        <f>data!J2767</f>
        <v>206.77</v>
      </c>
      <c r="L2767" s="11">
        <f t="shared" si="173"/>
        <v>-173.42000000000002</v>
      </c>
      <c r="M2767" s="9">
        <f t="shared" si="174"/>
        <v>-0.82291666666666663</v>
      </c>
      <c r="N2767" s="9">
        <f t="shared" si="175"/>
        <v>-0.83870967741935487</v>
      </c>
    </row>
    <row r="2768" spans="1:14" x14ac:dyDescent="0.25">
      <c r="A2768" t="str">
        <f>TEXT("1/"&amp;data!A2768,"mmmm")</f>
        <v>octobre</v>
      </c>
      <c r="B2768">
        <f>data!B2768</f>
        <v>2016</v>
      </c>
      <c r="C2768" t="str">
        <f>data!C2768</f>
        <v>116</v>
      </c>
      <c r="D2768" t="str">
        <f>data!D2768</f>
        <v>VIGNOBLE GASNIER</v>
      </c>
      <c r="E2768" t="str">
        <f>data!E2768</f>
        <v>116001</v>
      </c>
      <c r="F2768" t="str">
        <f>data!F2768</f>
        <v>AC CHINON LES GRAVES</v>
      </c>
      <c r="G2768" s="10">
        <f>data!G2768</f>
        <v>800.4</v>
      </c>
      <c r="H2768" s="10">
        <f>data!I2768</f>
        <v>109.2</v>
      </c>
      <c r="I2768" s="10">
        <f t="shared" si="172"/>
        <v>691.19999999999993</v>
      </c>
      <c r="J2768" s="11">
        <f>data!H2768</f>
        <v>174</v>
      </c>
      <c r="K2768" s="11">
        <f>data!J2768</f>
        <v>30</v>
      </c>
      <c r="L2768" s="11">
        <f t="shared" si="173"/>
        <v>144</v>
      </c>
      <c r="M2768" s="9">
        <f t="shared" si="174"/>
        <v>6.3296703296703285</v>
      </c>
      <c r="N2768" s="9">
        <f t="shared" si="175"/>
        <v>4.8</v>
      </c>
    </row>
    <row r="2769" spans="1:14" x14ac:dyDescent="0.25">
      <c r="A2769" t="str">
        <f>TEXT("1/"&amp;data!A2769,"mmmm")</f>
        <v>octobre</v>
      </c>
      <c r="B2769">
        <f>data!B2769</f>
        <v>2016</v>
      </c>
      <c r="C2769" t="str">
        <f>data!C2769</f>
        <v>124</v>
      </c>
      <c r="D2769" t="str">
        <f>data!D2769</f>
        <v>CHATEAU BECHEREAU</v>
      </c>
      <c r="E2769" t="str">
        <f>data!E2769</f>
        <v>124001</v>
      </c>
      <c r="F2769" t="str">
        <f>data!F2769</f>
        <v>AC M ST EMILION CH BECHEREAU</v>
      </c>
      <c r="G2769" s="10">
        <f>data!G2769</f>
        <v>1863</v>
      </c>
      <c r="H2769" s="10">
        <f>data!I2769</f>
        <v>2244</v>
      </c>
      <c r="I2769" s="10">
        <f t="shared" si="172"/>
        <v>-381</v>
      </c>
      <c r="J2769" s="11">
        <f>data!H2769</f>
        <v>420</v>
      </c>
      <c r="K2769" s="11">
        <f>data!J2769</f>
        <v>516</v>
      </c>
      <c r="L2769" s="11">
        <f t="shared" si="173"/>
        <v>-96</v>
      </c>
      <c r="M2769" s="9">
        <f t="shared" si="174"/>
        <v>-0.1697860962566845</v>
      </c>
      <c r="N2769" s="9">
        <f t="shared" si="175"/>
        <v>-0.18604651162790697</v>
      </c>
    </row>
    <row r="2770" spans="1:14" x14ac:dyDescent="0.25">
      <c r="A2770" t="str">
        <f>TEXT("1/"&amp;data!A2770,"mmmm")</f>
        <v>octobre</v>
      </c>
      <c r="B2770">
        <f>data!B2770</f>
        <v>2016</v>
      </c>
      <c r="C2770" t="str">
        <f>data!C2770</f>
        <v>124</v>
      </c>
      <c r="D2770" t="str">
        <f>data!D2770</f>
        <v>CHATEAU BECHEREAU</v>
      </c>
      <c r="E2770" t="str">
        <f>data!E2770</f>
        <v>124002</v>
      </c>
      <c r="F2770" t="str">
        <f>data!F2770</f>
        <v>AC BORDEAUX SUP TRADITION CH BECHEREAU</v>
      </c>
      <c r="G2770" s="10">
        <f>data!G2770</f>
        <v>297</v>
      </c>
      <c r="H2770" s="10">
        <f>data!I2770</f>
        <v>268.8</v>
      </c>
      <c r="I2770" s="10">
        <f t="shared" si="172"/>
        <v>28.199999999999989</v>
      </c>
      <c r="J2770" s="11">
        <f>data!H2770</f>
        <v>90</v>
      </c>
      <c r="K2770" s="11">
        <f>data!J2770</f>
        <v>84</v>
      </c>
      <c r="L2770" s="11">
        <f t="shared" si="173"/>
        <v>6</v>
      </c>
      <c r="M2770" s="9">
        <f t="shared" si="174"/>
        <v>0.10491071428571423</v>
      </c>
      <c r="N2770" s="9">
        <f t="shared" si="175"/>
        <v>7.1428571428571425E-2</v>
      </c>
    </row>
    <row r="2771" spans="1:14" x14ac:dyDescent="0.25">
      <c r="A2771" t="str">
        <f>TEXT("1/"&amp;data!A2771,"mmmm")</f>
        <v>octobre</v>
      </c>
      <c r="B2771">
        <f>data!B2771</f>
        <v>2016</v>
      </c>
      <c r="C2771" t="str">
        <f>data!C2771</f>
        <v>124</v>
      </c>
      <c r="D2771" t="str">
        <f>data!D2771</f>
        <v>CHATEAU BECHEREAU</v>
      </c>
      <c r="E2771" t="str">
        <f>data!E2771</f>
        <v>124010</v>
      </c>
      <c r="F2771" t="str">
        <f>data!F2771</f>
        <v>AC LALANDE POMEROL BECH</v>
      </c>
      <c r="G2771" s="10">
        <f>data!G2771</f>
        <v>831.6</v>
      </c>
      <c r="H2771" s="10">
        <f>data!I2771</f>
        <v>1004.4</v>
      </c>
      <c r="I2771" s="10">
        <f t="shared" si="172"/>
        <v>-172.79999999999995</v>
      </c>
      <c r="J2771" s="11">
        <f>data!H2771</f>
        <v>138</v>
      </c>
      <c r="K2771" s="11">
        <f>data!J2771</f>
        <v>168</v>
      </c>
      <c r="L2771" s="11">
        <f t="shared" si="173"/>
        <v>-30</v>
      </c>
      <c r="M2771" s="9">
        <f t="shared" si="174"/>
        <v>-0.17204301075268813</v>
      </c>
      <c r="N2771" s="9">
        <f t="shared" si="175"/>
        <v>-0.17857142857142858</v>
      </c>
    </row>
    <row r="2772" spans="1:14" x14ac:dyDescent="0.25">
      <c r="A2772" t="str">
        <f>TEXT("1/"&amp;data!A2772,"mmmm")</f>
        <v>octobre</v>
      </c>
      <c r="B2772">
        <f>data!B2772</f>
        <v>2016</v>
      </c>
      <c r="C2772" t="str">
        <f>data!C2772</f>
        <v>137</v>
      </c>
      <c r="D2772" t="str">
        <f>data!D2772</f>
        <v>CHATEAU MAS DES CABRES</v>
      </c>
      <c r="E2772" t="str">
        <f>data!E2772</f>
        <v>137001</v>
      </c>
      <c r="F2772" t="str">
        <f>data!F2772</f>
        <v>AC CTX LANGUEDOC TERRES D'ASPERES M.DES CABRES</v>
      </c>
      <c r="G2772" s="10">
        <f>data!G2772</f>
        <v>1814.4</v>
      </c>
      <c r="H2772" s="10">
        <f>data!I2772</f>
        <v>938.1</v>
      </c>
      <c r="I2772" s="10">
        <f t="shared" si="172"/>
        <v>876.30000000000007</v>
      </c>
      <c r="J2772" s="11">
        <f>data!H2772</f>
        <v>648</v>
      </c>
      <c r="K2772" s="11">
        <f>data!J2772</f>
        <v>354</v>
      </c>
      <c r="L2772" s="11">
        <f t="shared" si="173"/>
        <v>294</v>
      </c>
      <c r="M2772" s="9">
        <f t="shared" si="174"/>
        <v>0.93412216181643748</v>
      </c>
      <c r="N2772" s="9">
        <f t="shared" si="175"/>
        <v>0.83050847457627119</v>
      </c>
    </row>
    <row r="2773" spans="1:14" x14ac:dyDescent="0.25">
      <c r="A2773" t="str">
        <f>TEXT("1/"&amp;data!A2773,"mmmm")</f>
        <v>octobre</v>
      </c>
      <c r="B2773">
        <f>data!B2773</f>
        <v>2016</v>
      </c>
      <c r="C2773" t="str">
        <f>data!C2773</f>
        <v>137</v>
      </c>
      <c r="D2773" t="str">
        <f>data!D2773</f>
        <v>CHATEAU MAS DES CABRES</v>
      </c>
      <c r="E2773" t="str">
        <f>data!E2773</f>
        <v>137003</v>
      </c>
      <c r="F2773" t="str">
        <f>data!F2773</f>
        <v>AC CTX DU LANGUEDOC LA DRAILLE</v>
      </c>
      <c r="G2773" s="10">
        <f>data!G2773</f>
        <v>-89.1</v>
      </c>
      <c r="H2773" s="10">
        <f>data!I2773</f>
        <v>432</v>
      </c>
      <c r="I2773" s="10">
        <f t="shared" si="172"/>
        <v>-521.1</v>
      </c>
      <c r="J2773" s="11">
        <f>data!H2773</f>
        <v>-18</v>
      </c>
      <c r="K2773" s="11">
        <f>data!J2773</f>
        <v>90</v>
      </c>
      <c r="L2773" s="11">
        <f t="shared" si="173"/>
        <v>-108</v>
      </c>
      <c r="M2773" s="9">
        <f t="shared" si="174"/>
        <v>-1.20625</v>
      </c>
      <c r="N2773" s="9">
        <f t="shared" si="175"/>
        <v>-1.2</v>
      </c>
    </row>
    <row r="2774" spans="1:14" x14ac:dyDescent="0.25">
      <c r="A2774" t="str">
        <f>TEXT("1/"&amp;data!A2774,"mmmm")</f>
        <v>octobre</v>
      </c>
      <c r="B2774">
        <f>data!B2774</f>
        <v>2016</v>
      </c>
      <c r="C2774" t="str">
        <f>data!C2774</f>
        <v>137</v>
      </c>
      <c r="D2774" t="str">
        <f>data!D2774</f>
        <v>CHATEAU MAS DES CABRES</v>
      </c>
      <c r="E2774" t="str">
        <f>data!E2774</f>
        <v>137004</v>
      </c>
      <c r="F2774" t="str">
        <f>data!F2774</f>
        <v>IGP PAYS D'OC MAS DES CABRES</v>
      </c>
      <c r="G2774" s="10">
        <f>data!G2774</f>
        <v>0</v>
      </c>
      <c r="H2774" s="10">
        <f>data!I2774</f>
        <v>0</v>
      </c>
      <c r="I2774" s="10">
        <f t="shared" si="172"/>
        <v>0</v>
      </c>
      <c r="J2774" s="11">
        <f>data!H2774</f>
        <v>12</v>
      </c>
      <c r="K2774" s="11">
        <f>data!J2774</f>
        <v>0</v>
      </c>
      <c r="L2774" s="11">
        <f t="shared" si="173"/>
        <v>12</v>
      </c>
      <c r="M2774" s="9" t="str">
        <f t="shared" si="174"/>
        <v/>
      </c>
      <c r="N2774" s="9" t="str">
        <f t="shared" si="175"/>
        <v/>
      </c>
    </row>
    <row r="2775" spans="1:14" x14ac:dyDescent="0.25">
      <c r="A2775" t="str">
        <f>TEXT("1/"&amp;data!A2775,"mmmm")</f>
        <v>octobre</v>
      </c>
      <c r="B2775">
        <f>data!B2775</f>
        <v>2016</v>
      </c>
      <c r="C2775" t="str">
        <f>data!C2775</f>
        <v>140</v>
      </c>
      <c r="D2775" t="str">
        <f>data!D2775</f>
        <v>PHILIPPE GAULTIER</v>
      </c>
      <c r="E2775" t="str">
        <f>data!E2775</f>
        <v>140001</v>
      </c>
      <c r="F2775" t="str">
        <f>data!F2775</f>
        <v>AC VOUVRAY M.TRAD.BR C.DES AUMONES</v>
      </c>
      <c r="G2775" s="10">
        <f>data!G2775</f>
        <v>309.60000000000002</v>
      </c>
      <c r="H2775" s="10">
        <f>data!I2775</f>
        <v>1587.6</v>
      </c>
      <c r="I2775" s="10">
        <f t="shared" si="172"/>
        <v>-1278</v>
      </c>
      <c r="J2775" s="11">
        <f>data!H2775</f>
        <v>72</v>
      </c>
      <c r="K2775" s="11">
        <f>data!J2775</f>
        <v>378</v>
      </c>
      <c r="L2775" s="11">
        <f t="shared" si="173"/>
        <v>-306</v>
      </c>
      <c r="M2775" s="9">
        <f t="shared" si="174"/>
        <v>-0.80498866213151932</v>
      </c>
      <c r="N2775" s="9">
        <f t="shared" si="175"/>
        <v>-0.80952380952380953</v>
      </c>
    </row>
    <row r="2776" spans="1:14" x14ac:dyDescent="0.25">
      <c r="A2776" t="str">
        <f>TEXT("1/"&amp;data!A2776,"mmmm")</f>
        <v>octobre</v>
      </c>
      <c r="B2776">
        <f>data!B2776</f>
        <v>2016</v>
      </c>
      <c r="C2776" t="str">
        <f>data!C2776</f>
        <v>152</v>
      </c>
      <c r="D2776" t="str">
        <f>data!D2776</f>
        <v>VINCENT SIRET COURTAUD</v>
      </c>
      <c r="E2776" t="str">
        <f>data!E2776</f>
        <v>152001</v>
      </c>
      <c r="F2776" t="str">
        <f>data!F2776</f>
        <v>AC QUINCY D.SIRET COURTAUD</v>
      </c>
      <c r="G2776" s="10">
        <f>data!G2776</f>
        <v>1864.5</v>
      </c>
      <c r="H2776" s="10">
        <f>data!I2776</f>
        <v>699.3</v>
      </c>
      <c r="I2776" s="10">
        <f t="shared" si="172"/>
        <v>1165.2</v>
      </c>
      <c r="J2776" s="11">
        <f>data!H2776</f>
        <v>342</v>
      </c>
      <c r="K2776" s="11">
        <f>data!J2776</f>
        <v>126</v>
      </c>
      <c r="L2776" s="11">
        <f t="shared" si="173"/>
        <v>216</v>
      </c>
      <c r="M2776" s="9">
        <f t="shared" si="174"/>
        <v>1.6662376662376663</v>
      </c>
      <c r="N2776" s="9">
        <f t="shared" si="175"/>
        <v>1.7142857142857142</v>
      </c>
    </row>
    <row r="2777" spans="1:14" x14ac:dyDescent="0.25">
      <c r="A2777" t="str">
        <f>TEXT("1/"&amp;data!A2777,"mmmm")</f>
        <v>octobre</v>
      </c>
      <c r="B2777">
        <f>data!B2777</f>
        <v>2016</v>
      </c>
      <c r="C2777" t="str">
        <f>data!C2777</f>
        <v>153</v>
      </c>
      <c r="D2777" t="str">
        <f>data!D2777</f>
        <v>SARL GARNIER ET FILS</v>
      </c>
      <c r="E2777" t="str">
        <f>data!E2777</f>
        <v>153001</v>
      </c>
      <c r="F2777" t="str">
        <f>data!F2777</f>
        <v>AC PETIT CHABLIS D.GARNIER</v>
      </c>
      <c r="G2777" s="10">
        <f>data!G2777</f>
        <v>348</v>
      </c>
      <c r="H2777" s="10">
        <f>data!I2777</f>
        <v>339</v>
      </c>
      <c r="I2777" s="10">
        <f t="shared" si="172"/>
        <v>9</v>
      </c>
      <c r="J2777" s="11">
        <f>data!H2777</f>
        <v>60</v>
      </c>
      <c r="K2777" s="11">
        <f>data!J2777</f>
        <v>60</v>
      </c>
      <c r="L2777" s="11">
        <f t="shared" si="173"/>
        <v>0</v>
      </c>
      <c r="M2777" s="9">
        <f t="shared" si="174"/>
        <v>2.6548672566371681E-2</v>
      </c>
      <c r="N2777" s="9">
        <f t="shared" si="175"/>
        <v>0</v>
      </c>
    </row>
    <row r="2778" spans="1:14" x14ac:dyDescent="0.25">
      <c r="A2778" t="str">
        <f>TEXT("1/"&amp;data!A2778,"mmmm")</f>
        <v>octobre</v>
      </c>
      <c r="B2778">
        <f>data!B2778</f>
        <v>2016</v>
      </c>
      <c r="C2778" t="str">
        <f>data!C2778</f>
        <v>153</v>
      </c>
      <c r="D2778" t="str">
        <f>data!D2778</f>
        <v>SARL GARNIER ET FILS</v>
      </c>
      <c r="E2778" t="str">
        <f>data!E2778</f>
        <v>153003</v>
      </c>
      <c r="F2778" t="str">
        <f>data!F2778</f>
        <v>AC CHABLIS DME GARNIER</v>
      </c>
      <c r="G2778" s="10">
        <f>data!G2778</f>
        <v>414</v>
      </c>
      <c r="H2778" s="10">
        <f>data!I2778</f>
        <v>924.6</v>
      </c>
      <c r="I2778" s="10">
        <f t="shared" si="172"/>
        <v>-510.6</v>
      </c>
      <c r="J2778" s="11">
        <f>data!H2778</f>
        <v>60</v>
      </c>
      <c r="K2778" s="11">
        <f>data!J2778</f>
        <v>138</v>
      </c>
      <c r="L2778" s="11">
        <f t="shared" si="173"/>
        <v>-78</v>
      </c>
      <c r="M2778" s="9">
        <f t="shared" si="174"/>
        <v>-0.55223880597014929</v>
      </c>
      <c r="N2778" s="9">
        <f t="shared" si="175"/>
        <v>-0.56521739130434778</v>
      </c>
    </row>
    <row r="2779" spans="1:14" x14ac:dyDescent="0.25">
      <c r="A2779" t="str">
        <f>TEXT("1/"&amp;data!A2779,"mmmm")</f>
        <v>octobre</v>
      </c>
      <c r="B2779">
        <f>data!B2779</f>
        <v>2016</v>
      </c>
      <c r="C2779" t="str">
        <f>data!C2779</f>
        <v>157</v>
      </c>
      <c r="D2779" t="str">
        <f>data!D2779</f>
        <v>DOMAINE DE LA FOLIETTE</v>
      </c>
      <c r="E2779" t="str">
        <f>data!E2779</f>
        <v>157001</v>
      </c>
      <c r="F2779" t="str">
        <f>data!F2779</f>
        <v>AC MUSCADET S&amp;MAINE/LIE FOLIETTES</v>
      </c>
      <c r="G2779" s="10">
        <f>data!G2779</f>
        <v>256.2</v>
      </c>
      <c r="H2779" s="10">
        <f>data!I2779</f>
        <v>194.7</v>
      </c>
      <c r="I2779" s="10">
        <f t="shared" si="172"/>
        <v>61.5</v>
      </c>
      <c r="J2779" s="11">
        <f>data!H2779</f>
        <v>84</v>
      </c>
      <c r="K2779" s="11">
        <f>data!J2779</f>
        <v>66</v>
      </c>
      <c r="L2779" s="11">
        <f t="shared" si="173"/>
        <v>18</v>
      </c>
      <c r="M2779" s="9">
        <f t="shared" si="174"/>
        <v>0.31587057010785824</v>
      </c>
      <c r="N2779" s="9">
        <f t="shared" si="175"/>
        <v>0.27272727272727271</v>
      </c>
    </row>
    <row r="2780" spans="1:14" x14ac:dyDescent="0.25">
      <c r="A2780" t="str">
        <f>TEXT("1/"&amp;data!A2780,"mmmm")</f>
        <v>octobre</v>
      </c>
      <c r="B2780">
        <f>data!B2780</f>
        <v>2016</v>
      </c>
      <c r="C2780" t="str">
        <f>data!C2780</f>
        <v>164</v>
      </c>
      <c r="D2780" t="str">
        <f>data!D2780</f>
        <v>CHATEAU JUPILLE</v>
      </c>
      <c r="E2780" t="str">
        <f>data!E2780</f>
        <v>164002</v>
      </c>
      <c r="F2780" t="str">
        <f>data!F2780</f>
        <v>AC ST EMILION CH JUPILLE CARILLON</v>
      </c>
      <c r="G2780" s="10">
        <f>data!G2780</f>
        <v>633.6</v>
      </c>
      <c r="H2780" s="10">
        <f>data!I2780</f>
        <v>0</v>
      </c>
      <c r="I2780" s="10">
        <f t="shared" si="172"/>
        <v>633.6</v>
      </c>
      <c r="J2780" s="11">
        <f>data!H2780</f>
        <v>102</v>
      </c>
      <c r="K2780" s="11">
        <f>data!J2780</f>
        <v>0</v>
      </c>
      <c r="L2780" s="11">
        <f t="shared" si="173"/>
        <v>102</v>
      </c>
      <c r="M2780" s="9" t="str">
        <f t="shared" si="174"/>
        <v/>
      </c>
      <c r="N2780" s="9" t="str">
        <f t="shared" si="175"/>
        <v/>
      </c>
    </row>
    <row r="2781" spans="1:14" x14ac:dyDescent="0.25">
      <c r="A2781" t="str">
        <f>TEXT("1/"&amp;data!A2781,"mmmm")</f>
        <v>octobre</v>
      </c>
      <c r="B2781">
        <f>data!B2781</f>
        <v>2016</v>
      </c>
      <c r="C2781" t="str">
        <f>data!C2781</f>
        <v>164</v>
      </c>
      <c r="D2781" t="str">
        <f>data!D2781</f>
        <v>CHATEAU JUPILLE</v>
      </c>
      <c r="E2781" t="str">
        <f>data!E2781</f>
        <v>164005/12</v>
      </c>
      <c r="F2781" t="str">
        <f>data!F2781</f>
        <v>AC ST EMILION GD CRU CH JUCALIS</v>
      </c>
      <c r="G2781" s="10">
        <f>data!G2781</f>
        <v>108</v>
      </c>
      <c r="H2781" s="10">
        <f>data!I2781</f>
        <v>0</v>
      </c>
      <c r="I2781" s="10">
        <f t="shared" si="172"/>
        <v>108</v>
      </c>
      <c r="J2781" s="11">
        <f>data!H2781</f>
        <v>12</v>
      </c>
      <c r="K2781" s="11">
        <f>data!J2781</f>
        <v>6</v>
      </c>
      <c r="L2781" s="11">
        <f t="shared" si="173"/>
        <v>6</v>
      </c>
      <c r="M2781" s="9" t="str">
        <f t="shared" si="174"/>
        <v/>
      </c>
      <c r="N2781" s="9">
        <f t="shared" si="175"/>
        <v>1</v>
      </c>
    </row>
    <row r="2782" spans="1:14" x14ac:dyDescent="0.25">
      <c r="A2782" t="str">
        <f>TEXT("1/"&amp;data!A2782,"mmmm")</f>
        <v>octobre</v>
      </c>
      <c r="B2782">
        <f>data!B2782</f>
        <v>2016</v>
      </c>
      <c r="C2782" t="str">
        <f>data!C2782</f>
        <v>164</v>
      </c>
      <c r="D2782" t="str">
        <f>data!D2782</f>
        <v>CHATEAU JUPILLE</v>
      </c>
      <c r="E2782" t="str">
        <f>data!E2782</f>
        <v>164010</v>
      </c>
      <c r="F2782" t="str">
        <f>data!F2782</f>
        <v>AOP SAINT EMILION JUPILLE CARILLON</v>
      </c>
      <c r="G2782" s="10">
        <f>data!G2782</f>
        <v>304</v>
      </c>
      <c r="H2782" s="10">
        <f>data!I2782</f>
        <v>0</v>
      </c>
      <c r="I2782" s="10">
        <f t="shared" si="172"/>
        <v>304</v>
      </c>
      <c r="J2782" s="11">
        <f>data!H2782</f>
        <v>106.72</v>
      </c>
      <c r="K2782" s="11">
        <f>data!J2782</f>
        <v>6.67</v>
      </c>
      <c r="L2782" s="11">
        <f t="shared" si="173"/>
        <v>100.05</v>
      </c>
      <c r="M2782" s="9" t="str">
        <f t="shared" si="174"/>
        <v/>
      </c>
      <c r="N2782" s="9">
        <f t="shared" si="175"/>
        <v>15</v>
      </c>
    </row>
    <row r="2783" spans="1:14" x14ac:dyDescent="0.25">
      <c r="A2783" t="str">
        <f>TEXT("1/"&amp;data!A2783,"mmmm")</f>
        <v>octobre</v>
      </c>
      <c r="B2783">
        <f>data!B2783</f>
        <v>2016</v>
      </c>
      <c r="C2783" t="str">
        <f>data!C2783</f>
        <v>168</v>
      </c>
      <c r="D2783" t="str">
        <f>data!D2783</f>
        <v>CHATEAU LA ROSE SARRON</v>
      </c>
      <c r="E2783" t="str">
        <f>data!E2783</f>
        <v>168001</v>
      </c>
      <c r="F2783" t="str">
        <f>data!F2783</f>
        <v>AC GRAVES CH LA ROSE SARRON</v>
      </c>
      <c r="G2783" s="10">
        <f>data!G2783</f>
        <v>1250.5</v>
      </c>
      <c r="H2783" s="10">
        <f>data!I2783</f>
        <v>1776</v>
      </c>
      <c r="I2783" s="10">
        <f t="shared" si="172"/>
        <v>-525.5</v>
      </c>
      <c r="J2783" s="11">
        <f>data!H2783</f>
        <v>306</v>
      </c>
      <c r="K2783" s="11">
        <f>data!J2783</f>
        <v>456</v>
      </c>
      <c r="L2783" s="11">
        <f t="shared" si="173"/>
        <v>-150</v>
      </c>
      <c r="M2783" s="9">
        <f t="shared" si="174"/>
        <v>-0.29588963963963966</v>
      </c>
      <c r="N2783" s="9">
        <f t="shared" si="175"/>
        <v>-0.32894736842105265</v>
      </c>
    </row>
    <row r="2784" spans="1:14" x14ac:dyDescent="0.25">
      <c r="A2784" t="str">
        <f>TEXT("1/"&amp;data!A2784,"mmmm")</f>
        <v>octobre</v>
      </c>
      <c r="B2784">
        <f>data!B2784</f>
        <v>2016</v>
      </c>
      <c r="C2784" t="str">
        <f>data!C2784</f>
        <v>168</v>
      </c>
      <c r="D2784" t="str">
        <f>data!D2784</f>
        <v>CHATEAU LA ROSE SARRON</v>
      </c>
      <c r="E2784" t="str">
        <f>data!E2784</f>
        <v>168002</v>
      </c>
      <c r="F2784" t="str">
        <f>data!F2784</f>
        <v>AC GRAVES CH. LA ROSE SARRON</v>
      </c>
      <c r="G2784" s="10">
        <f>data!G2784</f>
        <v>103.5</v>
      </c>
      <c r="H2784" s="10">
        <f>data!I2784</f>
        <v>261.3</v>
      </c>
      <c r="I2784" s="10">
        <f t="shared" si="172"/>
        <v>-157.80000000000001</v>
      </c>
      <c r="J2784" s="11">
        <f>data!H2784</f>
        <v>30</v>
      </c>
      <c r="K2784" s="11">
        <f>data!J2784</f>
        <v>78</v>
      </c>
      <c r="L2784" s="11">
        <f t="shared" si="173"/>
        <v>-48</v>
      </c>
      <c r="M2784" s="9">
        <f t="shared" si="174"/>
        <v>-0.60390355912743976</v>
      </c>
      <c r="N2784" s="9">
        <f t="shared" si="175"/>
        <v>-0.61538461538461542</v>
      </c>
    </row>
    <row r="2785" spans="1:14" x14ac:dyDescent="0.25">
      <c r="A2785" t="str">
        <f>TEXT("1/"&amp;data!A2785,"mmmm")</f>
        <v>octobre</v>
      </c>
      <c r="B2785">
        <f>data!B2785</f>
        <v>2016</v>
      </c>
      <c r="C2785" t="str">
        <f>data!C2785</f>
        <v>169</v>
      </c>
      <c r="D2785" t="str">
        <f>data!D2785</f>
        <v>CHATEAU PERREAU BEL AIR</v>
      </c>
      <c r="E2785" t="str">
        <f>data!E2785</f>
        <v>169001</v>
      </c>
      <c r="F2785" t="str">
        <f>data!F2785</f>
        <v>AC COTES DE CASTILLON CH PERREAU BEL AIR</v>
      </c>
      <c r="G2785" s="10">
        <f>data!G2785</f>
        <v>654.9</v>
      </c>
      <c r="H2785" s="10">
        <f>data!I2785</f>
        <v>1418.1</v>
      </c>
      <c r="I2785" s="10">
        <f t="shared" si="172"/>
        <v>-763.19999999999993</v>
      </c>
      <c r="J2785" s="11">
        <f>data!H2785</f>
        <v>228</v>
      </c>
      <c r="K2785" s="11">
        <f>data!J2785</f>
        <v>500</v>
      </c>
      <c r="L2785" s="11">
        <f t="shared" si="173"/>
        <v>-272</v>
      </c>
      <c r="M2785" s="9">
        <f t="shared" si="174"/>
        <v>-0.53818489528242008</v>
      </c>
      <c r="N2785" s="9">
        <f t="shared" si="175"/>
        <v>-0.54400000000000004</v>
      </c>
    </row>
    <row r="2786" spans="1:14" x14ac:dyDescent="0.25">
      <c r="A2786" t="str">
        <f>TEXT("1/"&amp;data!A2786,"mmmm")</f>
        <v>octobre</v>
      </c>
      <c r="B2786">
        <f>data!B2786</f>
        <v>2016</v>
      </c>
      <c r="C2786" t="str">
        <f>data!C2786</f>
        <v>169</v>
      </c>
      <c r="D2786" t="str">
        <f>data!D2786</f>
        <v>CHATEAU PERREAU BEL AIR</v>
      </c>
      <c r="E2786" t="str">
        <f>data!E2786</f>
        <v>169002</v>
      </c>
      <c r="F2786" t="str">
        <f>data!F2786</f>
        <v>AC BORDEAUX SUPERIEUR CHATEAU MESSAYA</v>
      </c>
      <c r="G2786" s="10">
        <f>data!G2786</f>
        <v>607.62</v>
      </c>
      <c r="H2786" s="10">
        <f>data!I2786</f>
        <v>8811.2199999999993</v>
      </c>
      <c r="I2786" s="10">
        <f t="shared" si="172"/>
        <v>-8203.5999999999985</v>
      </c>
      <c r="J2786" s="11">
        <f>data!H2786</f>
        <v>252</v>
      </c>
      <c r="K2786" s="11">
        <f>data!J2786</f>
        <v>3684</v>
      </c>
      <c r="L2786" s="11">
        <f t="shared" si="173"/>
        <v>-3432</v>
      </c>
      <c r="M2786" s="9">
        <f t="shared" si="174"/>
        <v>-0.93104019647676473</v>
      </c>
      <c r="N2786" s="9">
        <f t="shared" si="175"/>
        <v>-0.9315960912052117</v>
      </c>
    </row>
    <row r="2787" spans="1:14" x14ac:dyDescent="0.25">
      <c r="A2787" t="str">
        <f>TEXT("1/"&amp;data!A2787,"mmmm")</f>
        <v>octobre</v>
      </c>
      <c r="B2787">
        <f>data!B2787</f>
        <v>2016</v>
      </c>
      <c r="C2787" t="str">
        <f>data!C2787</f>
        <v>169</v>
      </c>
      <c r="D2787" t="str">
        <f>data!D2787</f>
        <v>CHATEAU PERREAU BEL AIR</v>
      </c>
      <c r="E2787" t="str">
        <f>data!E2787</f>
        <v>169009</v>
      </c>
      <c r="F2787" t="str">
        <f>data!F2787</f>
        <v>AOP COTES DE BORDEAUX LES HAUTS DE PERREAU BEL AIR</v>
      </c>
      <c r="G2787" s="10">
        <f>data!G2787</f>
        <v>906.5</v>
      </c>
      <c r="H2787" s="10">
        <f>data!I2787</f>
        <v>481</v>
      </c>
      <c r="I2787" s="10">
        <f t="shared" si="172"/>
        <v>425.5</v>
      </c>
      <c r="J2787" s="11">
        <f>data!H2787</f>
        <v>653.16999999999996</v>
      </c>
      <c r="K2787" s="11">
        <f>data!J2787</f>
        <v>346.58</v>
      </c>
      <c r="L2787" s="11">
        <f t="shared" si="173"/>
        <v>306.58999999999997</v>
      </c>
      <c r="M2787" s="9">
        <f t="shared" si="174"/>
        <v>0.88461538461538458</v>
      </c>
      <c r="N2787" s="9">
        <f t="shared" si="175"/>
        <v>0.88461538461538458</v>
      </c>
    </row>
    <row r="2788" spans="1:14" x14ac:dyDescent="0.25">
      <c r="A2788" t="str">
        <f>TEXT("1/"&amp;data!A2788,"mmmm")</f>
        <v>octobre</v>
      </c>
      <c r="B2788">
        <f>data!B2788</f>
        <v>2016</v>
      </c>
      <c r="C2788" t="str">
        <f>data!C2788</f>
        <v>169</v>
      </c>
      <c r="D2788" t="str">
        <f>data!D2788</f>
        <v>CHATEAU PERREAU BEL AIR</v>
      </c>
      <c r="E2788" t="str">
        <f>data!E2788</f>
        <v>169010</v>
      </c>
      <c r="F2788" t="str">
        <f>data!F2788</f>
        <v>AOP COTES DE BORDEAUX LES HAUTS DE PERREAU BEL AIR</v>
      </c>
      <c r="G2788" s="10">
        <f>data!G2788</f>
        <v>189</v>
      </c>
      <c r="H2788" s="10">
        <f>data!I2788</f>
        <v>609</v>
      </c>
      <c r="I2788" s="10">
        <f t="shared" si="172"/>
        <v>-420</v>
      </c>
      <c r="J2788" s="11">
        <f>data!H2788</f>
        <v>126.73</v>
      </c>
      <c r="K2788" s="11">
        <f>data!J2788</f>
        <v>393.53</v>
      </c>
      <c r="L2788" s="11">
        <f t="shared" si="173"/>
        <v>-266.79999999999995</v>
      </c>
      <c r="M2788" s="9">
        <f t="shared" si="174"/>
        <v>-0.68965517241379315</v>
      </c>
      <c r="N2788" s="9">
        <f t="shared" si="175"/>
        <v>-0.67796610169491522</v>
      </c>
    </row>
    <row r="2789" spans="1:14" x14ac:dyDescent="0.25">
      <c r="A2789" t="str">
        <f>TEXT("1/"&amp;data!A2789,"mmmm")</f>
        <v>octobre</v>
      </c>
      <c r="B2789">
        <f>data!B2789</f>
        <v>2016</v>
      </c>
      <c r="C2789" t="str">
        <f>data!C2789</f>
        <v>174</v>
      </c>
      <c r="D2789" t="str">
        <f>data!D2789</f>
        <v>SAS VIGNOBLES DES 3 CHATEAUX</v>
      </c>
      <c r="E2789" t="str">
        <f>data!E2789</f>
        <v>174001</v>
      </c>
      <c r="F2789" t="str">
        <f>data!F2789</f>
        <v>AC PIC SAINT LOUP LES DEESSES MUETTES EMOTION</v>
      </c>
      <c r="G2789" s="10">
        <f>data!G2789</f>
        <v>2656.08</v>
      </c>
      <c r="H2789" s="10">
        <f>data!I2789</f>
        <v>1339.2</v>
      </c>
      <c r="I2789" s="10">
        <f t="shared" si="172"/>
        <v>1316.8799999999999</v>
      </c>
      <c r="J2789" s="11">
        <f>data!H2789</f>
        <v>726</v>
      </c>
      <c r="K2789" s="11">
        <f>data!J2789</f>
        <v>366</v>
      </c>
      <c r="L2789" s="11">
        <f t="shared" si="173"/>
        <v>360</v>
      </c>
      <c r="M2789" s="9">
        <f t="shared" si="174"/>
        <v>0.98333333333333317</v>
      </c>
      <c r="N2789" s="9">
        <f t="shared" si="175"/>
        <v>0.98360655737704916</v>
      </c>
    </row>
    <row r="2790" spans="1:14" x14ac:dyDescent="0.25">
      <c r="A2790" t="str">
        <f>TEXT("1/"&amp;data!A2790,"mmmm")</f>
        <v>octobre</v>
      </c>
      <c r="B2790">
        <f>data!B2790</f>
        <v>2016</v>
      </c>
      <c r="C2790" t="str">
        <f>data!C2790</f>
        <v>174</v>
      </c>
      <c r="D2790" t="str">
        <f>data!D2790</f>
        <v>SAS VIGNOBLES DES 3 CHATEAUX</v>
      </c>
      <c r="E2790" t="str">
        <f>data!E2790</f>
        <v>174002</v>
      </c>
      <c r="F2790" t="str">
        <f>data!F2790</f>
        <v>AC PIC SAINT LOUP CUVEE SPECIALE VIEILLI FUT DE CH</v>
      </c>
      <c r="G2790" s="10">
        <f>data!G2790</f>
        <v>148.80000000000001</v>
      </c>
      <c r="H2790" s="10">
        <f>data!I2790</f>
        <v>36.72</v>
      </c>
      <c r="I2790" s="10">
        <f t="shared" si="172"/>
        <v>112.08000000000001</v>
      </c>
      <c r="J2790" s="11">
        <f>data!H2790</f>
        <v>24</v>
      </c>
      <c r="K2790" s="11">
        <f>data!J2790</f>
        <v>6</v>
      </c>
      <c r="L2790" s="11">
        <f t="shared" si="173"/>
        <v>18</v>
      </c>
      <c r="M2790" s="9">
        <f t="shared" si="174"/>
        <v>3.0522875816993467</v>
      </c>
      <c r="N2790" s="9">
        <f t="shared" si="175"/>
        <v>3</v>
      </c>
    </row>
    <row r="2791" spans="1:14" x14ac:dyDescent="0.25">
      <c r="A2791" t="str">
        <f>TEXT("1/"&amp;data!A2791,"mmmm")</f>
        <v>octobre</v>
      </c>
      <c r="B2791">
        <f>data!B2791</f>
        <v>2016</v>
      </c>
      <c r="C2791" t="str">
        <f>data!C2791</f>
        <v>174</v>
      </c>
      <c r="D2791" t="str">
        <f>data!D2791</f>
        <v>SAS VIGNOBLES DES 3 CHATEAUX</v>
      </c>
      <c r="E2791" t="str">
        <f>data!E2791</f>
        <v>174003</v>
      </c>
      <c r="F2791" t="str">
        <f>data!F2791</f>
        <v>IGP CARIGNAN - PETIT LOUP</v>
      </c>
      <c r="G2791" s="10">
        <f>data!G2791</f>
        <v>2035.2</v>
      </c>
      <c r="H2791" s="10">
        <f>data!I2791</f>
        <v>750.48</v>
      </c>
      <c r="I2791" s="10">
        <f t="shared" si="172"/>
        <v>1284.72</v>
      </c>
      <c r="J2791" s="11">
        <f>data!H2791</f>
        <v>972</v>
      </c>
      <c r="K2791" s="11">
        <f>data!J2791</f>
        <v>372</v>
      </c>
      <c r="L2791" s="11">
        <f t="shared" si="173"/>
        <v>600</v>
      </c>
      <c r="M2791" s="9">
        <f t="shared" si="174"/>
        <v>1.7118644067796611</v>
      </c>
      <c r="N2791" s="9">
        <f t="shared" si="175"/>
        <v>1.6129032258064515</v>
      </c>
    </row>
    <row r="2792" spans="1:14" x14ac:dyDescent="0.25">
      <c r="A2792" t="str">
        <f>TEXT("1/"&amp;data!A2792,"mmmm")</f>
        <v>octobre</v>
      </c>
      <c r="B2792">
        <f>data!B2792</f>
        <v>2016</v>
      </c>
      <c r="C2792" t="str">
        <f>data!C2792</f>
        <v>174</v>
      </c>
      <c r="D2792" t="str">
        <f>data!D2792</f>
        <v>SAS VIGNOBLES DES 3 CHATEAUX</v>
      </c>
      <c r="E2792" t="str">
        <f>data!E2792</f>
        <v>174005</v>
      </c>
      <c r="F2792" t="str">
        <f>data!F2792</f>
        <v>IGP PAYS D'OC LES SARDINES</v>
      </c>
      <c r="G2792" s="10">
        <f>data!G2792</f>
        <v>1544.4</v>
      </c>
      <c r="H2792" s="10">
        <f>data!I2792</f>
        <v>0</v>
      </c>
      <c r="I2792" s="10">
        <f t="shared" si="172"/>
        <v>1544.4</v>
      </c>
      <c r="J2792" s="11">
        <f>data!H2792</f>
        <v>702</v>
      </c>
      <c r="K2792" s="11">
        <f>data!J2792</f>
        <v>0</v>
      </c>
      <c r="L2792" s="11">
        <f t="shared" si="173"/>
        <v>702</v>
      </c>
      <c r="M2792" s="9" t="str">
        <f t="shared" si="174"/>
        <v/>
      </c>
      <c r="N2792" s="9" t="str">
        <f t="shared" si="175"/>
        <v/>
      </c>
    </row>
    <row r="2793" spans="1:14" x14ac:dyDescent="0.25">
      <c r="A2793" t="str">
        <f>TEXT("1/"&amp;data!A2793,"mmmm")</f>
        <v>octobre</v>
      </c>
      <c r="B2793">
        <f>data!B2793</f>
        <v>2016</v>
      </c>
      <c r="C2793" t="str">
        <f>data!C2793</f>
        <v>174</v>
      </c>
      <c r="D2793" t="str">
        <f>data!D2793</f>
        <v>SAS VIGNOBLES DES 3 CHATEAUX</v>
      </c>
      <c r="E2793" t="str">
        <f>data!E2793</f>
        <v>174006</v>
      </c>
      <c r="F2793" t="str">
        <f>data!F2793</f>
        <v>IGP PAYS D'OC LES SARDINES</v>
      </c>
      <c r="G2793" s="10">
        <f>data!G2793</f>
        <v>1232</v>
      </c>
      <c r="H2793" s="10">
        <f>data!I2793</f>
        <v>0</v>
      </c>
      <c r="I2793" s="10">
        <f t="shared" si="172"/>
        <v>1232</v>
      </c>
      <c r="J2793" s="11">
        <f>data!H2793</f>
        <v>570</v>
      </c>
      <c r="K2793" s="11">
        <f>data!J2793</f>
        <v>0</v>
      </c>
      <c r="L2793" s="11">
        <f t="shared" si="173"/>
        <v>570</v>
      </c>
      <c r="M2793" s="9" t="str">
        <f t="shared" si="174"/>
        <v/>
      </c>
      <c r="N2793" s="9" t="str">
        <f t="shared" si="175"/>
        <v/>
      </c>
    </row>
    <row r="2794" spans="1:14" x14ac:dyDescent="0.25">
      <c r="A2794" t="str">
        <f>TEXT("1/"&amp;data!A2794,"mmmm")</f>
        <v>octobre</v>
      </c>
      <c r="B2794">
        <f>data!B2794</f>
        <v>2016</v>
      </c>
      <c r="C2794" t="str">
        <f>data!C2794</f>
        <v>174</v>
      </c>
      <c r="D2794" t="str">
        <f>data!D2794</f>
        <v>SAS VIGNOBLES DES 3 CHATEAUX</v>
      </c>
      <c r="E2794" t="str">
        <f>data!E2794</f>
        <v>174007</v>
      </c>
      <c r="F2794" t="str">
        <f>data!F2794</f>
        <v>IGP PAYS D'OC LES SARDINES</v>
      </c>
      <c r="G2794" s="10">
        <f>data!G2794</f>
        <v>570.4</v>
      </c>
      <c r="H2794" s="10">
        <f>data!I2794</f>
        <v>0</v>
      </c>
      <c r="I2794" s="10">
        <f t="shared" si="172"/>
        <v>570.4</v>
      </c>
      <c r="J2794" s="11">
        <f>data!H2794</f>
        <v>258</v>
      </c>
      <c r="K2794" s="11">
        <f>data!J2794</f>
        <v>0</v>
      </c>
      <c r="L2794" s="11">
        <f t="shared" si="173"/>
        <v>258</v>
      </c>
      <c r="M2794" s="9" t="str">
        <f t="shared" si="174"/>
        <v/>
      </c>
      <c r="N2794" s="9" t="str">
        <f t="shared" si="175"/>
        <v/>
      </c>
    </row>
    <row r="2795" spans="1:14" x14ac:dyDescent="0.25">
      <c r="A2795" t="str">
        <f>TEXT("1/"&amp;data!A2795,"mmmm")</f>
        <v>octobre</v>
      </c>
      <c r="B2795">
        <f>data!B2795</f>
        <v>2016</v>
      </c>
      <c r="C2795" t="str">
        <f>data!C2795</f>
        <v>174</v>
      </c>
      <c r="D2795" t="str">
        <f>data!D2795</f>
        <v>SAS VIGNOBLES DES 3 CHATEAUX</v>
      </c>
      <c r="E2795" t="str">
        <f>data!E2795</f>
        <v>174009</v>
      </c>
      <c r="F2795" t="str">
        <f>data!F2795</f>
        <v>AOP PIC SAINT LOUP LA DIABLESSE</v>
      </c>
      <c r="G2795" s="10">
        <f>data!G2795</f>
        <v>0</v>
      </c>
      <c r="H2795" s="10">
        <f>data!I2795</f>
        <v>0</v>
      </c>
      <c r="I2795" s="10">
        <f t="shared" si="172"/>
        <v>0</v>
      </c>
      <c r="J2795" s="11">
        <f>data!H2795</f>
        <v>6</v>
      </c>
      <c r="K2795" s="11">
        <f>data!J2795</f>
        <v>0</v>
      </c>
      <c r="L2795" s="11">
        <f t="shared" si="173"/>
        <v>6</v>
      </c>
      <c r="M2795" s="9" t="str">
        <f t="shared" si="174"/>
        <v/>
      </c>
      <c r="N2795" s="9" t="str">
        <f t="shared" si="175"/>
        <v/>
      </c>
    </row>
    <row r="2796" spans="1:14" x14ac:dyDescent="0.25">
      <c r="A2796" t="str">
        <f>TEXT("1/"&amp;data!A2796,"mmmm")</f>
        <v>octobre</v>
      </c>
      <c r="B2796">
        <f>data!B2796</f>
        <v>2016</v>
      </c>
      <c r="C2796" t="str">
        <f>data!C2796</f>
        <v>174</v>
      </c>
      <c r="D2796" t="str">
        <f>data!D2796</f>
        <v>SAS VIGNOBLES DES 3 CHATEAUX</v>
      </c>
      <c r="E2796" t="str">
        <f>data!E2796</f>
        <v>174010</v>
      </c>
      <c r="F2796" t="str">
        <f>data!F2796</f>
        <v>IGP OC MERLOT CABERNET TERROIR DES CIGALES</v>
      </c>
      <c r="G2796" s="10">
        <f>data!G2796</f>
        <v>964.8</v>
      </c>
      <c r="H2796" s="10">
        <f>data!I2796</f>
        <v>957.6</v>
      </c>
      <c r="I2796" s="10">
        <f t="shared" si="172"/>
        <v>7.1999999999999318</v>
      </c>
      <c r="J2796" s="11">
        <f>data!H2796</f>
        <v>959.76</v>
      </c>
      <c r="K2796" s="11">
        <f>data!J2796</f>
        <v>959.76</v>
      </c>
      <c r="L2796" s="11">
        <f t="shared" si="173"/>
        <v>0</v>
      </c>
      <c r="M2796" s="9">
        <f t="shared" si="174"/>
        <v>7.5187969924811315E-3</v>
      </c>
      <c r="N2796" s="9">
        <f t="shared" si="175"/>
        <v>0</v>
      </c>
    </row>
    <row r="2797" spans="1:14" x14ac:dyDescent="0.25">
      <c r="A2797" t="str">
        <f>TEXT("1/"&amp;data!A2797,"mmmm")</f>
        <v>octobre</v>
      </c>
      <c r="B2797">
        <f>data!B2797</f>
        <v>2016</v>
      </c>
      <c r="C2797" t="str">
        <f>data!C2797</f>
        <v>174</v>
      </c>
      <c r="D2797" t="str">
        <f>data!D2797</f>
        <v>SAS VIGNOBLES DES 3 CHATEAUX</v>
      </c>
      <c r="E2797" t="str">
        <f>data!E2797</f>
        <v>174011</v>
      </c>
      <c r="F2797" t="str">
        <f>data!F2797</f>
        <v>IGP OC MERLOT CABERNET TERROIR DES CIGALES</v>
      </c>
      <c r="G2797" s="10">
        <f>data!G2797</f>
        <v>219.52</v>
      </c>
      <c r="H2797" s="10">
        <f>data!I2797</f>
        <v>856.9</v>
      </c>
      <c r="I2797" s="10">
        <f t="shared" si="172"/>
        <v>-637.38</v>
      </c>
      <c r="J2797" s="11">
        <f>data!H2797</f>
        <v>193.43</v>
      </c>
      <c r="K2797" s="11">
        <f>data!J2797</f>
        <v>760.38</v>
      </c>
      <c r="L2797" s="11">
        <f t="shared" si="173"/>
        <v>-566.95000000000005</v>
      </c>
      <c r="M2797" s="9">
        <f t="shared" si="174"/>
        <v>-0.74382074921227681</v>
      </c>
      <c r="N2797" s="9">
        <f t="shared" si="175"/>
        <v>-0.7456140350877194</v>
      </c>
    </row>
    <row r="2798" spans="1:14" x14ac:dyDescent="0.25">
      <c r="A2798" t="str">
        <f>TEXT("1/"&amp;data!A2798,"mmmm")</f>
        <v>octobre</v>
      </c>
      <c r="B2798">
        <f>data!B2798</f>
        <v>2016</v>
      </c>
      <c r="C2798" t="str">
        <f>data!C2798</f>
        <v>174</v>
      </c>
      <c r="D2798" t="str">
        <f>data!D2798</f>
        <v>SAS VIGNOBLES DES 3 CHATEAUX</v>
      </c>
      <c r="E2798" t="str">
        <f>data!E2798</f>
        <v>174015</v>
      </c>
      <c r="F2798" t="str">
        <f>data!F2798</f>
        <v>IGP OC CHARDONNAY LES CITELLES</v>
      </c>
      <c r="G2798" s="10">
        <f>data!G2798</f>
        <v>596.70000000000005</v>
      </c>
      <c r="H2798" s="10">
        <f>data!I2798</f>
        <v>140.4</v>
      </c>
      <c r="I2798" s="10">
        <f t="shared" si="172"/>
        <v>456.30000000000007</v>
      </c>
      <c r="J2798" s="11">
        <f>data!H2798</f>
        <v>453.22</v>
      </c>
      <c r="K2798" s="11">
        <f>data!J2798</f>
        <v>106.64</v>
      </c>
      <c r="L2798" s="11">
        <f t="shared" si="173"/>
        <v>346.58000000000004</v>
      </c>
      <c r="M2798" s="9">
        <f t="shared" si="174"/>
        <v>3.2500000000000004</v>
      </c>
      <c r="N2798" s="9">
        <f t="shared" si="175"/>
        <v>3.2500000000000004</v>
      </c>
    </row>
    <row r="2799" spans="1:14" x14ac:dyDescent="0.25">
      <c r="A2799" t="str">
        <f>TEXT("1/"&amp;data!A2799,"mmmm")</f>
        <v>octobre</v>
      </c>
      <c r="B2799">
        <f>data!B2799</f>
        <v>2016</v>
      </c>
      <c r="C2799" t="str">
        <f>data!C2799</f>
        <v>174</v>
      </c>
      <c r="D2799" t="str">
        <f>data!D2799</f>
        <v>SAS VIGNOBLES DES 3 CHATEAUX</v>
      </c>
      <c r="E2799" t="str">
        <f>data!E2799</f>
        <v>174016</v>
      </c>
      <c r="F2799" t="str">
        <f>data!F2799</f>
        <v>IGP OC CHARDONNAY LES CITELLES</v>
      </c>
      <c r="G2799" s="10">
        <f>data!G2799</f>
        <v>627.48</v>
      </c>
      <c r="H2799" s="10">
        <f>data!I2799</f>
        <v>677.28</v>
      </c>
      <c r="I2799" s="10">
        <f t="shared" si="172"/>
        <v>-49.799999999999955</v>
      </c>
      <c r="J2799" s="11">
        <f>data!H2799</f>
        <v>426.88</v>
      </c>
      <c r="K2799" s="11">
        <f>data!J2799</f>
        <v>460.23</v>
      </c>
      <c r="L2799" s="11">
        <f t="shared" si="173"/>
        <v>-33.350000000000023</v>
      </c>
      <c r="M2799" s="9">
        <f t="shared" si="174"/>
        <v>-7.3529411764705815E-2</v>
      </c>
      <c r="N2799" s="9">
        <f t="shared" si="175"/>
        <v>-7.2463768115942073E-2</v>
      </c>
    </row>
    <row r="2800" spans="1:14" x14ac:dyDescent="0.25">
      <c r="A2800" t="str">
        <f>TEXT("1/"&amp;data!A2800,"mmmm")</f>
        <v>octobre</v>
      </c>
      <c r="B2800">
        <f>data!B2800</f>
        <v>2016</v>
      </c>
      <c r="C2800" t="str">
        <f>data!C2800</f>
        <v>175</v>
      </c>
      <c r="D2800" t="str">
        <f>data!D2800</f>
        <v>SARL MAISON PERE &amp; FILS</v>
      </c>
      <c r="E2800" t="str">
        <f>data!E2800</f>
        <v>175001</v>
      </c>
      <c r="F2800" t="str">
        <f>data!F2800</f>
        <v>AC CHEVERNY DME MAISON</v>
      </c>
      <c r="G2800" s="10">
        <f>data!G2800</f>
        <v>270</v>
      </c>
      <c r="H2800" s="10">
        <f>data!I2800</f>
        <v>310.8</v>
      </c>
      <c r="I2800" s="10">
        <f t="shared" si="172"/>
        <v>-40.800000000000011</v>
      </c>
      <c r="J2800" s="11">
        <f>data!H2800</f>
        <v>72</v>
      </c>
      <c r="K2800" s="11">
        <f>data!J2800</f>
        <v>84</v>
      </c>
      <c r="L2800" s="11">
        <f t="shared" si="173"/>
        <v>-12</v>
      </c>
      <c r="M2800" s="9">
        <f t="shared" si="174"/>
        <v>-0.13127413127413132</v>
      </c>
      <c r="N2800" s="9">
        <f t="shared" si="175"/>
        <v>-0.14285714285714285</v>
      </c>
    </row>
    <row r="2801" spans="1:14" x14ac:dyDescent="0.25">
      <c r="A2801" t="str">
        <f>TEXT("1/"&amp;data!A2801,"mmmm")</f>
        <v>octobre</v>
      </c>
      <c r="B2801">
        <f>data!B2801</f>
        <v>2016</v>
      </c>
      <c r="C2801" t="str">
        <f>data!C2801</f>
        <v>175</v>
      </c>
      <c r="D2801" t="str">
        <f>data!D2801</f>
        <v>SARL MAISON PERE &amp; FILS</v>
      </c>
      <c r="E2801" t="str">
        <f>data!E2801</f>
        <v>175002</v>
      </c>
      <c r="F2801" t="str">
        <f>data!F2801</f>
        <v>AC CHEVERNY DME MAISON</v>
      </c>
      <c r="G2801" s="10">
        <f>data!G2801</f>
        <v>90</v>
      </c>
      <c r="H2801" s="10">
        <f>data!I2801</f>
        <v>732.6</v>
      </c>
      <c r="I2801" s="10">
        <f t="shared" si="172"/>
        <v>-642.6</v>
      </c>
      <c r="J2801" s="11">
        <f>data!H2801</f>
        <v>24</v>
      </c>
      <c r="K2801" s="11">
        <f>data!J2801</f>
        <v>198</v>
      </c>
      <c r="L2801" s="11">
        <f t="shared" si="173"/>
        <v>-174</v>
      </c>
      <c r="M2801" s="9">
        <f t="shared" si="174"/>
        <v>-0.87714987714987713</v>
      </c>
      <c r="N2801" s="9">
        <f t="shared" si="175"/>
        <v>-0.87878787878787878</v>
      </c>
    </row>
    <row r="2802" spans="1:14" x14ac:dyDescent="0.25">
      <c r="A2802" t="str">
        <f>TEXT("1/"&amp;data!A2802,"mmmm")</f>
        <v>octobre</v>
      </c>
      <c r="B2802">
        <f>data!B2802</f>
        <v>2016</v>
      </c>
      <c r="C2802" t="str">
        <f>data!C2802</f>
        <v>201</v>
      </c>
      <c r="D2802" t="str">
        <f>data!D2802</f>
        <v>CAVE LES COTEAUX DU RHONE</v>
      </c>
      <c r="E2802" t="str">
        <f>data!E2802</f>
        <v>201001</v>
      </c>
      <c r="F2802" t="str">
        <f>data!F2802</f>
        <v>IGP VAUCLUSE D'ORANGE CAVE LES COTEAUX DU RHONE</v>
      </c>
      <c r="G2802" s="10">
        <f>data!G2802</f>
        <v>910.35</v>
      </c>
      <c r="H2802" s="10">
        <f>data!I2802</f>
        <v>706.8</v>
      </c>
      <c r="I2802" s="10">
        <f t="shared" si="172"/>
        <v>203.55000000000007</v>
      </c>
      <c r="J2802" s="11">
        <f>data!H2802</f>
        <v>820.41</v>
      </c>
      <c r="K2802" s="11">
        <f>data!J2802</f>
        <v>620.30999999999995</v>
      </c>
      <c r="L2802" s="11">
        <f t="shared" si="173"/>
        <v>200.10000000000002</v>
      </c>
      <c r="M2802" s="9">
        <f t="shared" si="174"/>
        <v>0.28798811544991521</v>
      </c>
      <c r="N2802" s="9">
        <f t="shared" si="175"/>
        <v>0.32258064516129037</v>
      </c>
    </row>
    <row r="2803" spans="1:14" x14ac:dyDescent="0.25">
      <c r="A2803" t="str">
        <f>TEXT("1/"&amp;data!A2803,"mmmm")</f>
        <v>octobre</v>
      </c>
      <c r="B2803">
        <f>data!B2803</f>
        <v>2016</v>
      </c>
      <c r="C2803" t="str">
        <f>data!C2803</f>
        <v>201</v>
      </c>
      <c r="D2803" t="str">
        <f>data!D2803</f>
        <v>CAVE LES COTEAUX DU RHONE</v>
      </c>
      <c r="E2803" t="str">
        <f>data!E2803</f>
        <v>201002</v>
      </c>
      <c r="F2803" t="str">
        <f>data!F2803</f>
        <v>IGP VAUCLUSE D'ORANGE CAVE LES COTEAUX DU RHONE</v>
      </c>
      <c r="G2803" s="10">
        <f>data!G2803</f>
        <v>2509.8000000000002</v>
      </c>
      <c r="H2803" s="10">
        <f>data!I2803</f>
        <v>238.5</v>
      </c>
      <c r="I2803" s="10">
        <f t="shared" si="172"/>
        <v>2271.3000000000002</v>
      </c>
      <c r="J2803" s="11">
        <f>data!H2803</f>
        <v>2586.02</v>
      </c>
      <c r="K2803" s="11">
        <f>data!J2803</f>
        <v>239.94</v>
      </c>
      <c r="L2803" s="11">
        <f t="shared" si="173"/>
        <v>2346.08</v>
      </c>
      <c r="M2803" s="9">
        <f t="shared" si="174"/>
        <v>9.5232704402515722</v>
      </c>
      <c r="N2803" s="9">
        <f t="shared" si="175"/>
        <v>9.7777777777777768</v>
      </c>
    </row>
    <row r="2804" spans="1:14" x14ac:dyDescent="0.25">
      <c r="A2804" t="str">
        <f>TEXT("1/"&amp;data!A2804,"mmmm")</f>
        <v>octobre</v>
      </c>
      <c r="B2804">
        <f>data!B2804</f>
        <v>2016</v>
      </c>
      <c r="C2804" t="str">
        <f>data!C2804</f>
        <v>201</v>
      </c>
      <c r="D2804" t="str">
        <f>data!D2804</f>
        <v>CAVE LES COTEAUX DU RHONE</v>
      </c>
      <c r="E2804" t="str">
        <f>data!E2804</f>
        <v>201003</v>
      </c>
      <c r="F2804" t="str">
        <f>data!F2804</f>
        <v>IGP MEDITERRANEE LES COTEAUX DU RHONE</v>
      </c>
      <c r="G2804" s="10">
        <f>data!G2804</f>
        <v>780.3</v>
      </c>
      <c r="H2804" s="10">
        <f>data!I2804</f>
        <v>532</v>
      </c>
      <c r="I2804" s="10">
        <f t="shared" si="172"/>
        <v>248.29999999999995</v>
      </c>
      <c r="J2804" s="11">
        <f>data!H2804</f>
        <v>707.02</v>
      </c>
      <c r="K2804" s="11">
        <f>data!J2804</f>
        <v>473.57</v>
      </c>
      <c r="L2804" s="11">
        <f t="shared" si="173"/>
        <v>233.45</v>
      </c>
      <c r="M2804" s="9">
        <f t="shared" si="174"/>
        <v>0.4667293233082706</v>
      </c>
      <c r="N2804" s="9">
        <f t="shared" si="175"/>
        <v>0.49295774647887325</v>
      </c>
    </row>
    <row r="2805" spans="1:14" x14ac:dyDescent="0.25">
      <c r="A2805" t="str">
        <f>TEXT("1/"&amp;data!A2805,"mmmm")</f>
        <v>octobre</v>
      </c>
      <c r="B2805">
        <f>data!B2805</f>
        <v>2016</v>
      </c>
      <c r="C2805" t="str">
        <f>data!C2805</f>
        <v>201</v>
      </c>
      <c r="D2805" t="str">
        <f>data!D2805</f>
        <v>CAVE LES COTEAUX DU RHONE</v>
      </c>
      <c r="E2805" t="str">
        <f>data!E2805</f>
        <v>201004</v>
      </c>
      <c r="F2805" t="str">
        <f>data!F2805</f>
        <v>IGP MEDITERRANEE LES COTEAUX DU RHONE</v>
      </c>
      <c r="G2805" s="10">
        <f>data!G2805</f>
        <v>2736.75</v>
      </c>
      <c r="H2805" s="10">
        <f>data!I2805</f>
        <v>662.5</v>
      </c>
      <c r="I2805" s="10">
        <f t="shared" si="172"/>
        <v>2074.25</v>
      </c>
      <c r="J2805" s="11">
        <f>data!H2805</f>
        <v>2759.31</v>
      </c>
      <c r="K2805" s="11">
        <f>data!J2805</f>
        <v>666.5</v>
      </c>
      <c r="L2805" s="11">
        <f t="shared" si="173"/>
        <v>2092.81</v>
      </c>
      <c r="M2805" s="9">
        <f t="shared" si="174"/>
        <v>3.130943396226415</v>
      </c>
      <c r="N2805" s="9">
        <f t="shared" si="175"/>
        <v>3.14</v>
      </c>
    </row>
    <row r="2806" spans="1:14" x14ac:dyDescent="0.25">
      <c r="A2806" t="str">
        <f>TEXT("1/"&amp;data!A2806,"mmmm")</f>
        <v>octobre</v>
      </c>
      <c r="B2806">
        <f>data!B2806</f>
        <v>2016</v>
      </c>
      <c r="C2806" t="str">
        <f>data!C2806</f>
        <v>201</v>
      </c>
      <c r="D2806" t="str">
        <f>data!D2806</f>
        <v>CAVE LES COTEAUX DU RHONE</v>
      </c>
      <c r="E2806" t="str">
        <f>data!E2806</f>
        <v>201006</v>
      </c>
      <c r="F2806" t="str">
        <f>data!F2806</f>
        <v>AOP COTES DU RHONE MAGIE D'UNE TERRE</v>
      </c>
      <c r="G2806" s="10">
        <f>data!G2806</f>
        <v>1656</v>
      </c>
      <c r="H2806" s="10">
        <f>data!I2806</f>
        <v>964.8</v>
      </c>
      <c r="I2806" s="10">
        <f t="shared" si="172"/>
        <v>691.2</v>
      </c>
      <c r="J2806" s="11">
        <f>data!H2806</f>
        <v>732</v>
      </c>
      <c r="K2806" s="11">
        <f>data!J2806</f>
        <v>408</v>
      </c>
      <c r="L2806" s="11">
        <f t="shared" si="173"/>
        <v>324</v>
      </c>
      <c r="M2806" s="9">
        <f t="shared" si="174"/>
        <v>0.71641791044776126</v>
      </c>
      <c r="N2806" s="9">
        <f t="shared" si="175"/>
        <v>0.79411764705882348</v>
      </c>
    </row>
    <row r="2807" spans="1:14" x14ac:dyDescent="0.25">
      <c r="A2807" t="str">
        <f>TEXT("1/"&amp;data!A2807,"mmmm")</f>
        <v>octobre</v>
      </c>
      <c r="B2807">
        <f>data!B2807</f>
        <v>2016</v>
      </c>
      <c r="C2807" t="str">
        <f>data!C2807</f>
        <v>201</v>
      </c>
      <c r="D2807" t="str">
        <f>data!D2807</f>
        <v>CAVE LES COTEAUX DU RHONE</v>
      </c>
      <c r="E2807" t="str">
        <f>data!E2807</f>
        <v>201007</v>
      </c>
      <c r="F2807" t="str">
        <f>data!F2807</f>
        <v>AOP VACQUEYRASDOMAINE GRANDY</v>
      </c>
      <c r="G2807" s="10">
        <f>data!G2807</f>
        <v>33.6</v>
      </c>
      <c r="H2807" s="10">
        <f>data!I2807</f>
        <v>865.8</v>
      </c>
      <c r="I2807" s="10">
        <f t="shared" si="172"/>
        <v>-832.19999999999993</v>
      </c>
      <c r="J2807" s="11">
        <f>data!H2807</f>
        <v>12</v>
      </c>
      <c r="K2807" s="11">
        <f>data!J2807</f>
        <v>162</v>
      </c>
      <c r="L2807" s="11">
        <f t="shared" si="173"/>
        <v>-150</v>
      </c>
      <c r="M2807" s="9">
        <f t="shared" si="174"/>
        <v>-0.96119196119196115</v>
      </c>
      <c r="N2807" s="9">
        <f t="shared" si="175"/>
        <v>-0.92592592592592593</v>
      </c>
    </row>
    <row r="2808" spans="1:14" x14ac:dyDescent="0.25">
      <c r="A2808" t="str">
        <f>TEXT("1/"&amp;data!A2808,"mmmm")</f>
        <v>octobre</v>
      </c>
      <c r="B2808">
        <f>data!B2808</f>
        <v>2016</v>
      </c>
      <c r="C2808" t="str">
        <f>data!C2808</f>
        <v>201</v>
      </c>
      <c r="D2808" t="str">
        <f>data!D2808</f>
        <v>CAVE LES COTEAUX DU RHONE</v>
      </c>
      <c r="E2808" t="str">
        <f>data!E2808</f>
        <v>201008</v>
      </c>
      <c r="F2808" t="str">
        <f>data!F2808</f>
        <v>AOP COTES DU RHONE PATRICE NICOLAS</v>
      </c>
      <c r="G2808" s="10">
        <f>data!G2808</f>
        <v>640.5</v>
      </c>
      <c r="H2808" s="10">
        <f>data!I2808</f>
        <v>403.2</v>
      </c>
      <c r="I2808" s="10">
        <f t="shared" si="172"/>
        <v>237.3</v>
      </c>
      <c r="J2808" s="11">
        <f>data!H2808</f>
        <v>216</v>
      </c>
      <c r="K2808" s="11">
        <f>data!J2808</f>
        <v>132</v>
      </c>
      <c r="L2808" s="11">
        <f t="shared" si="173"/>
        <v>84</v>
      </c>
      <c r="M2808" s="9">
        <f t="shared" si="174"/>
        <v>0.58854166666666674</v>
      </c>
      <c r="N2808" s="9">
        <f t="shared" si="175"/>
        <v>0.63636363636363635</v>
      </c>
    </row>
    <row r="2809" spans="1:14" x14ac:dyDescent="0.25">
      <c r="A2809" t="str">
        <f>TEXT("1/"&amp;data!A2809,"mmmm")</f>
        <v>octobre</v>
      </c>
      <c r="B2809">
        <f>data!B2809</f>
        <v>2016</v>
      </c>
      <c r="C2809" t="str">
        <f>data!C2809</f>
        <v>201</v>
      </c>
      <c r="D2809" t="str">
        <f>data!D2809</f>
        <v>CAVE LES COTEAUX DU RHONE</v>
      </c>
      <c r="E2809" t="str">
        <f>data!E2809</f>
        <v>201010</v>
      </c>
      <c r="F2809" t="str">
        <f>data!F2809</f>
        <v>AOP COTES DU RHONE</v>
      </c>
      <c r="G2809" s="10">
        <f>data!G2809</f>
        <v>279</v>
      </c>
      <c r="H2809" s="10">
        <f>data!I2809</f>
        <v>186</v>
      </c>
      <c r="I2809" s="10">
        <f t="shared" si="172"/>
        <v>93</v>
      </c>
      <c r="J2809" s="11">
        <f>data!H2809</f>
        <v>199.95</v>
      </c>
      <c r="K2809" s="11">
        <f>data!J2809</f>
        <v>133.30000000000001</v>
      </c>
      <c r="L2809" s="11">
        <f t="shared" si="173"/>
        <v>66.649999999999977</v>
      </c>
      <c r="M2809" s="9">
        <f t="shared" si="174"/>
        <v>0.5</v>
      </c>
      <c r="N2809" s="9">
        <f t="shared" si="175"/>
        <v>0.49999999999999978</v>
      </c>
    </row>
    <row r="2810" spans="1:14" x14ac:dyDescent="0.25">
      <c r="A2810" t="str">
        <f>TEXT("1/"&amp;data!A2810,"mmmm")</f>
        <v>octobre</v>
      </c>
      <c r="B2810">
        <f>data!B2810</f>
        <v>2016</v>
      </c>
      <c r="C2810" t="str">
        <f>data!C2810</f>
        <v>201</v>
      </c>
      <c r="D2810" t="str">
        <f>data!D2810</f>
        <v>CAVE LES COTEAUX DU RHONE</v>
      </c>
      <c r="E2810" t="str">
        <f>data!E2810</f>
        <v>201011</v>
      </c>
      <c r="F2810" t="str">
        <f>data!F2810</f>
        <v>AOP COTES DU RHONE</v>
      </c>
      <c r="G2810" s="10">
        <f>data!G2810</f>
        <v>131.30000000000001</v>
      </c>
      <c r="H2810" s="10">
        <f>data!I2810</f>
        <v>60.6</v>
      </c>
      <c r="I2810" s="10">
        <f t="shared" si="172"/>
        <v>70.700000000000017</v>
      </c>
      <c r="J2810" s="11">
        <f>data!H2810</f>
        <v>93.38</v>
      </c>
      <c r="K2810" s="11">
        <f>data!J2810</f>
        <v>40.019999999999996</v>
      </c>
      <c r="L2810" s="11">
        <f t="shared" si="173"/>
        <v>53.36</v>
      </c>
      <c r="M2810" s="9">
        <f t="shared" si="174"/>
        <v>1.166666666666667</v>
      </c>
      <c r="N2810" s="9">
        <f t="shared" si="175"/>
        <v>1.3333333333333335</v>
      </c>
    </row>
    <row r="2811" spans="1:14" x14ac:dyDescent="0.25">
      <c r="A2811" t="str">
        <f>TEXT("1/"&amp;data!A2811,"mmmm")</f>
        <v>octobre</v>
      </c>
      <c r="B2811">
        <f>data!B2811</f>
        <v>2016</v>
      </c>
      <c r="C2811" t="str">
        <f>data!C2811</f>
        <v>201</v>
      </c>
      <c r="D2811" t="str">
        <f>data!D2811</f>
        <v>CAVE LES COTEAUX DU RHONE</v>
      </c>
      <c r="E2811" t="str">
        <f>data!E2811</f>
        <v>201012</v>
      </c>
      <c r="F2811" t="str">
        <f>data!F2811</f>
        <v>AOP CDR VILLAGES PLAN DE DIEU PANICAUT</v>
      </c>
      <c r="G2811" s="10">
        <f>data!G2811</f>
        <v>438</v>
      </c>
      <c r="H2811" s="10">
        <f>data!I2811</f>
        <v>1144.8</v>
      </c>
      <c r="I2811" s="10">
        <f t="shared" si="172"/>
        <v>-706.8</v>
      </c>
      <c r="J2811" s="11">
        <f>data!H2811</f>
        <v>120</v>
      </c>
      <c r="K2811" s="11">
        <f>data!J2811</f>
        <v>318</v>
      </c>
      <c r="L2811" s="11">
        <f t="shared" si="173"/>
        <v>-198</v>
      </c>
      <c r="M2811" s="9">
        <f t="shared" si="174"/>
        <v>-0.61740041928721168</v>
      </c>
      <c r="N2811" s="9">
        <f t="shared" si="175"/>
        <v>-0.62264150943396224</v>
      </c>
    </row>
    <row r="2812" spans="1:14" x14ac:dyDescent="0.25">
      <c r="A2812" t="str">
        <f>TEXT("1/"&amp;data!A2812,"mmmm")</f>
        <v>octobre</v>
      </c>
      <c r="B2812">
        <f>data!B2812</f>
        <v>2016</v>
      </c>
      <c r="C2812" t="str">
        <f>data!C2812</f>
        <v>201</v>
      </c>
      <c r="D2812" t="str">
        <f>data!D2812</f>
        <v>CAVE LES COTEAUX DU RHONE</v>
      </c>
      <c r="E2812" t="str">
        <f>data!E2812</f>
        <v>201013</v>
      </c>
      <c r="F2812" t="str">
        <f>data!F2812</f>
        <v>AOP CDR VILLAGES CAIRANNE LA BOSQUETTE</v>
      </c>
      <c r="G2812" s="10">
        <f>data!G2812</f>
        <v>23.1</v>
      </c>
      <c r="H2812" s="10">
        <f>data!I2812</f>
        <v>0</v>
      </c>
      <c r="I2812" s="10">
        <f t="shared" si="172"/>
        <v>23.1</v>
      </c>
      <c r="J2812" s="11">
        <f>data!H2812</f>
        <v>6</v>
      </c>
      <c r="K2812" s="11">
        <f>data!J2812</f>
        <v>0</v>
      </c>
      <c r="L2812" s="11">
        <f t="shared" si="173"/>
        <v>6</v>
      </c>
      <c r="M2812" s="9" t="str">
        <f t="shared" si="174"/>
        <v/>
      </c>
      <c r="N2812" s="9" t="str">
        <f t="shared" si="175"/>
        <v/>
      </c>
    </row>
    <row r="2813" spans="1:14" x14ac:dyDescent="0.25">
      <c r="A2813" t="str">
        <f>TEXT("1/"&amp;data!A2813,"mmmm")</f>
        <v>octobre</v>
      </c>
      <c r="B2813">
        <f>data!B2813</f>
        <v>2016</v>
      </c>
      <c r="C2813" t="str">
        <f>data!C2813</f>
        <v>201</v>
      </c>
      <c r="D2813" t="str">
        <f>data!D2813</f>
        <v>CAVE LES COTEAUX DU RHONE</v>
      </c>
      <c r="E2813" t="str">
        <f>data!E2813</f>
        <v>201014</v>
      </c>
      <c r="F2813" t="str">
        <f>data!F2813</f>
        <v>AOP COTES DU RHONE VILLAGES JASOUN</v>
      </c>
      <c r="G2813" s="10">
        <f>data!G2813</f>
        <v>630</v>
      </c>
      <c r="H2813" s="10">
        <f>data!I2813</f>
        <v>594</v>
      </c>
      <c r="I2813" s="10">
        <f t="shared" si="172"/>
        <v>36</v>
      </c>
      <c r="J2813" s="11">
        <f>data!H2813</f>
        <v>210</v>
      </c>
      <c r="K2813" s="11">
        <f>data!J2813</f>
        <v>198</v>
      </c>
      <c r="L2813" s="11">
        <f t="shared" si="173"/>
        <v>12</v>
      </c>
      <c r="M2813" s="9">
        <f t="shared" si="174"/>
        <v>6.0606060606060608E-2</v>
      </c>
      <c r="N2813" s="9">
        <f t="shared" si="175"/>
        <v>6.0606060606060608E-2</v>
      </c>
    </row>
    <row r="2814" spans="1:14" x14ac:dyDescent="0.25">
      <c r="A2814" t="str">
        <f>TEXT("1/"&amp;data!A2814,"mmmm")</f>
        <v>octobre</v>
      </c>
      <c r="B2814">
        <f>data!B2814</f>
        <v>2016</v>
      </c>
      <c r="C2814" t="str">
        <f>data!C2814</f>
        <v>201</v>
      </c>
      <c r="D2814" t="str">
        <f>data!D2814</f>
        <v>CAVE LES COTEAUX DU RHONE</v>
      </c>
      <c r="E2814" t="str">
        <f>data!E2814</f>
        <v>201016</v>
      </c>
      <c r="F2814" t="str">
        <f>data!F2814</f>
        <v>AC COTES DU RHONE MAGIE D'UNE TERRE</v>
      </c>
      <c r="G2814" s="10">
        <f>data!G2814</f>
        <v>144.47999999999999</v>
      </c>
      <c r="H2814" s="10">
        <f>data!I2814</f>
        <v>0</v>
      </c>
      <c r="I2814" s="10">
        <f t="shared" si="172"/>
        <v>144.47999999999999</v>
      </c>
      <c r="J2814" s="11">
        <f>data!H2814</f>
        <v>42</v>
      </c>
      <c r="K2814" s="11">
        <f>data!J2814</f>
        <v>0</v>
      </c>
      <c r="L2814" s="11">
        <f t="shared" si="173"/>
        <v>42</v>
      </c>
      <c r="M2814" s="9" t="str">
        <f t="shared" si="174"/>
        <v/>
      </c>
      <c r="N2814" s="9" t="str">
        <f t="shared" si="175"/>
        <v/>
      </c>
    </row>
    <row r="2815" spans="1:14" x14ac:dyDescent="0.25">
      <c r="A2815" t="str">
        <f>TEXT("1/"&amp;data!A2815,"mmmm")</f>
        <v>octobre</v>
      </c>
      <c r="B2815">
        <f>data!B2815</f>
        <v>2016</v>
      </c>
      <c r="C2815" t="str">
        <f>data!C2815</f>
        <v>201</v>
      </c>
      <c r="D2815" t="str">
        <f>data!D2815</f>
        <v>CAVE LES COTEAUX DU RHONE</v>
      </c>
      <c r="E2815" t="str">
        <f>data!E2815</f>
        <v>201022</v>
      </c>
      <c r="F2815" t="str">
        <f>data!F2815</f>
        <v>IGP PRINCIPAUTE D'ORANGE</v>
      </c>
      <c r="G2815" s="10">
        <f>data!G2815</f>
        <v>25.5</v>
      </c>
      <c r="H2815" s="10">
        <f>data!I2815</f>
        <v>40.4</v>
      </c>
      <c r="I2815" s="10">
        <f t="shared" si="172"/>
        <v>-14.899999999999999</v>
      </c>
      <c r="J2815" s="11">
        <f>data!H2815</f>
        <v>20</v>
      </c>
      <c r="K2815" s="11">
        <f>data!J2815</f>
        <v>32</v>
      </c>
      <c r="L2815" s="11">
        <f t="shared" si="173"/>
        <v>-12</v>
      </c>
      <c r="M2815" s="9">
        <f t="shared" si="174"/>
        <v>-0.36881188118811881</v>
      </c>
      <c r="N2815" s="9">
        <f t="shared" si="175"/>
        <v>-0.375</v>
      </c>
    </row>
    <row r="2816" spans="1:14" x14ac:dyDescent="0.25">
      <c r="A2816" t="str">
        <f>TEXT("1/"&amp;data!A2816,"mmmm")</f>
        <v>octobre</v>
      </c>
      <c r="B2816">
        <f>data!B2816</f>
        <v>2016</v>
      </c>
      <c r="C2816" t="str">
        <f>data!C2816</f>
        <v>201</v>
      </c>
      <c r="D2816" t="str">
        <f>data!D2816</f>
        <v>CAVE LES COTEAUX DU RHONE</v>
      </c>
      <c r="E2816" t="str">
        <f>data!E2816</f>
        <v>201026</v>
      </c>
      <c r="F2816" t="str">
        <f>data!F2816</f>
        <v>IGP VAUCLUSE BALLADE DE COLLINE</v>
      </c>
      <c r="G2816" s="10">
        <f>data!G2816</f>
        <v>46.08</v>
      </c>
      <c r="H2816" s="10">
        <f>data!I2816</f>
        <v>182.4</v>
      </c>
      <c r="I2816" s="10">
        <f t="shared" si="172"/>
        <v>-136.32</v>
      </c>
      <c r="J2816" s="11">
        <f>data!H2816</f>
        <v>24</v>
      </c>
      <c r="K2816" s="11">
        <f>data!J2816</f>
        <v>96</v>
      </c>
      <c r="L2816" s="11">
        <f t="shared" si="173"/>
        <v>-72</v>
      </c>
      <c r="M2816" s="9">
        <f t="shared" si="174"/>
        <v>-0.74736842105263157</v>
      </c>
      <c r="N2816" s="9">
        <f t="shared" si="175"/>
        <v>-0.75</v>
      </c>
    </row>
    <row r="2817" spans="1:14" x14ac:dyDescent="0.25">
      <c r="A2817" t="str">
        <f>TEXT("1/"&amp;data!A2817,"mmmm")</f>
        <v>octobre</v>
      </c>
      <c r="B2817">
        <f>data!B2817</f>
        <v>2016</v>
      </c>
      <c r="C2817" t="str">
        <f>data!C2817</f>
        <v>201</v>
      </c>
      <c r="D2817" t="str">
        <f>data!D2817</f>
        <v>CAVE LES COTEAUX DU RHONE</v>
      </c>
      <c r="E2817" t="str">
        <f>data!E2817</f>
        <v>201027</v>
      </c>
      <c r="F2817" t="str">
        <f>data!F2817</f>
        <v>IGP VAUCLUSE BALLADE DE COLLINE</v>
      </c>
      <c r="G2817" s="10">
        <f>data!G2817</f>
        <v>115.2</v>
      </c>
      <c r="H2817" s="10">
        <f>data!I2817</f>
        <v>79.8</v>
      </c>
      <c r="I2817" s="10">
        <f t="shared" si="172"/>
        <v>35.400000000000006</v>
      </c>
      <c r="J2817" s="11">
        <f>data!H2817</f>
        <v>60</v>
      </c>
      <c r="K2817" s="11">
        <f>data!J2817</f>
        <v>48</v>
      </c>
      <c r="L2817" s="11">
        <f t="shared" si="173"/>
        <v>12</v>
      </c>
      <c r="M2817" s="9">
        <f t="shared" si="174"/>
        <v>0.44360902255639106</v>
      </c>
      <c r="N2817" s="9">
        <f t="shared" si="175"/>
        <v>0.25</v>
      </c>
    </row>
    <row r="2818" spans="1:14" x14ac:dyDescent="0.25">
      <c r="A2818" t="str">
        <f>TEXT("1/"&amp;data!A2818,"mmmm")</f>
        <v>octobre</v>
      </c>
      <c r="B2818">
        <f>data!B2818</f>
        <v>2016</v>
      </c>
      <c r="C2818" t="str">
        <f>data!C2818</f>
        <v>201</v>
      </c>
      <c r="D2818" t="str">
        <f>data!D2818</f>
        <v>CAVE LES COTEAUX DU RHONE</v>
      </c>
      <c r="E2818" t="str">
        <f>data!E2818</f>
        <v>201031</v>
      </c>
      <c r="F2818" t="str">
        <f>data!F2818</f>
        <v>IGP MEDITERRANNEE ROSE</v>
      </c>
      <c r="G2818" s="10">
        <f>data!G2818</f>
        <v>80.64</v>
      </c>
      <c r="H2818" s="10">
        <f>data!I2818</f>
        <v>0</v>
      </c>
      <c r="I2818" s="10">
        <f t="shared" si="172"/>
        <v>80.64</v>
      </c>
      <c r="J2818" s="11">
        <f>data!H2818</f>
        <v>42</v>
      </c>
      <c r="K2818" s="11">
        <f>data!J2818</f>
        <v>0</v>
      </c>
      <c r="L2818" s="11">
        <f t="shared" si="173"/>
        <v>42</v>
      </c>
      <c r="M2818" s="9" t="str">
        <f t="shared" si="174"/>
        <v/>
      </c>
      <c r="N2818" s="9" t="str">
        <f t="shared" si="175"/>
        <v/>
      </c>
    </row>
    <row r="2819" spans="1:14" x14ac:dyDescent="0.25">
      <c r="A2819" t="str">
        <f>TEXT("1/"&amp;data!A2819,"mmmm")</f>
        <v>octobre</v>
      </c>
      <c r="B2819">
        <f>data!B2819</f>
        <v>2016</v>
      </c>
      <c r="C2819" t="str">
        <f>data!C2819</f>
        <v>202</v>
      </c>
      <c r="D2819" t="str">
        <f>data!D2819</f>
        <v>TERRES D'ALLIANCE</v>
      </c>
      <c r="E2819" t="str">
        <f>data!E2819</f>
        <v>202001</v>
      </c>
      <c r="F2819" t="str">
        <f>data!F2819</f>
        <v>IGP VAUCLUSE LEA</v>
      </c>
      <c r="G2819" s="10">
        <f>data!G2819</f>
        <v>37.26</v>
      </c>
      <c r="H2819" s="10">
        <f>data!I2819</f>
        <v>318.24</v>
      </c>
      <c r="I2819" s="10">
        <f t="shared" ref="I2819:I2867" si="176">G2819-H2819</f>
        <v>-280.98</v>
      </c>
      <c r="J2819" s="11">
        <f>data!H2819</f>
        <v>18</v>
      </c>
      <c r="K2819" s="11">
        <f>data!J2819</f>
        <v>156</v>
      </c>
      <c r="L2819" s="11">
        <f t="shared" ref="L2819:L2867" si="177">J2819-K2819</f>
        <v>-138</v>
      </c>
      <c r="M2819" s="9">
        <f t="shared" ref="M2819:M2867" si="178">IF(ISERR(I2819/H2819),"",I2819/H2819)</f>
        <v>-0.88291855203619918</v>
      </c>
      <c r="N2819" s="9">
        <f t="shared" ref="N2819:N2867" si="179">IF(ISERR(L2819/K2819),"",L2819/K2819)</f>
        <v>-0.88461538461538458</v>
      </c>
    </row>
    <row r="2820" spans="1:14" x14ac:dyDescent="0.25">
      <c r="A2820" t="str">
        <f>TEXT("1/"&amp;data!A2820,"mmmm")</f>
        <v>octobre</v>
      </c>
      <c r="B2820">
        <f>data!B2820</f>
        <v>2016</v>
      </c>
      <c r="C2820" t="str">
        <f>data!C2820</f>
        <v>202</v>
      </c>
      <c r="D2820" t="str">
        <f>data!D2820</f>
        <v>TERRES D'ALLIANCE</v>
      </c>
      <c r="E2820" t="str">
        <f>data!E2820</f>
        <v>202002</v>
      </c>
      <c r="F2820" t="str">
        <f>data!F2820</f>
        <v>IGP VAUCLUSE LEA</v>
      </c>
      <c r="G2820" s="10">
        <f>data!G2820</f>
        <v>172.5</v>
      </c>
      <c r="H2820" s="10">
        <f>data!I2820</f>
        <v>97.92</v>
      </c>
      <c r="I2820" s="10">
        <f t="shared" si="176"/>
        <v>74.58</v>
      </c>
      <c r="J2820" s="11">
        <f>data!H2820</f>
        <v>102</v>
      </c>
      <c r="K2820" s="11">
        <f>data!J2820</f>
        <v>48</v>
      </c>
      <c r="L2820" s="11">
        <f t="shared" si="177"/>
        <v>54</v>
      </c>
      <c r="M2820" s="9">
        <f t="shared" si="178"/>
        <v>0.76164215686274506</v>
      </c>
      <c r="N2820" s="9">
        <f t="shared" si="179"/>
        <v>1.125</v>
      </c>
    </row>
    <row r="2821" spans="1:14" x14ac:dyDescent="0.25">
      <c r="A2821" t="str">
        <f>TEXT("1/"&amp;data!A2821,"mmmm")</f>
        <v>octobre</v>
      </c>
      <c r="B2821">
        <f>data!B2821</f>
        <v>2016</v>
      </c>
      <c r="C2821" t="str">
        <f>data!C2821</f>
        <v>202</v>
      </c>
      <c r="D2821" t="str">
        <f>data!D2821</f>
        <v>TERRES D'ALLIANCE</v>
      </c>
      <c r="E2821" t="str">
        <f>data!E2821</f>
        <v>202003</v>
      </c>
      <c r="F2821" t="str">
        <f>data!F2821</f>
        <v>IGP VAUCLUSE LEA</v>
      </c>
      <c r="G2821" s="10">
        <f>data!G2821</f>
        <v>24.84</v>
      </c>
      <c r="H2821" s="10">
        <f>data!I2821</f>
        <v>306</v>
      </c>
      <c r="I2821" s="10">
        <f t="shared" si="176"/>
        <v>-281.16000000000003</v>
      </c>
      <c r="J2821" s="11">
        <f>data!H2821</f>
        <v>12</v>
      </c>
      <c r="K2821" s="11">
        <f>data!J2821</f>
        <v>150</v>
      </c>
      <c r="L2821" s="11">
        <f t="shared" si="177"/>
        <v>-138</v>
      </c>
      <c r="M2821" s="9">
        <f t="shared" si="178"/>
        <v>-0.91882352941176482</v>
      </c>
      <c r="N2821" s="9">
        <f t="shared" si="179"/>
        <v>-0.92</v>
      </c>
    </row>
    <row r="2822" spans="1:14" x14ac:dyDescent="0.25">
      <c r="A2822" t="str">
        <f>TEXT("1/"&amp;data!A2822,"mmmm")</f>
        <v>octobre</v>
      </c>
      <c r="B2822">
        <f>data!B2822</f>
        <v>2016</v>
      </c>
      <c r="C2822" t="str">
        <f>data!C2822</f>
        <v>202</v>
      </c>
      <c r="D2822" t="str">
        <f>data!D2822</f>
        <v>TERRES D'ALLIANCE</v>
      </c>
      <c r="E2822" t="str">
        <f>data!E2822</f>
        <v>202007</v>
      </c>
      <c r="F2822" t="str">
        <f>data!F2822</f>
        <v>VDF ROSE FRUITE MUSCAT DE HAMBOURG</v>
      </c>
      <c r="G2822" s="10">
        <f>data!G2822</f>
        <v>26.4</v>
      </c>
      <c r="H2822" s="10">
        <f>data!I2822</f>
        <v>196.2</v>
      </c>
      <c r="I2822" s="10">
        <f t="shared" si="176"/>
        <v>-169.79999999999998</v>
      </c>
      <c r="J2822" s="11">
        <f>data!H2822</f>
        <v>12</v>
      </c>
      <c r="K2822" s="11">
        <f>data!J2822</f>
        <v>96</v>
      </c>
      <c r="L2822" s="11">
        <f t="shared" si="177"/>
        <v>-84</v>
      </c>
      <c r="M2822" s="9">
        <f t="shared" si="178"/>
        <v>-0.86544342507645255</v>
      </c>
      <c r="N2822" s="9">
        <f t="shared" si="179"/>
        <v>-0.875</v>
      </c>
    </row>
    <row r="2823" spans="1:14" x14ac:dyDescent="0.25">
      <c r="A2823" t="str">
        <f>TEXT("1/"&amp;data!A2823,"mmmm")</f>
        <v>octobre</v>
      </c>
      <c r="B2823">
        <f>data!B2823</f>
        <v>2016</v>
      </c>
      <c r="C2823" t="str">
        <f>data!C2823</f>
        <v>202</v>
      </c>
      <c r="D2823" t="str">
        <f>data!D2823</f>
        <v>TERRES D'ALLIANCE</v>
      </c>
      <c r="E2823" t="str">
        <f>data!E2823</f>
        <v>202010</v>
      </c>
      <c r="F2823" t="str">
        <f>data!F2823</f>
        <v>VIN DE FRANCE ROSE FRUITE LOUERION</v>
      </c>
      <c r="G2823" s="10">
        <f>data!G2823</f>
        <v>89</v>
      </c>
      <c r="H2823" s="10">
        <f>data!I2823</f>
        <v>26.7</v>
      </c>
      <c r="I2823" s="10">
        <f t="shared" si="176"/>
        <v>62.3</v>
      </c>
      <c r="J2823" s="11">
        <f>data!H2823</f>
        <v>93.38</v>
      </c>
      <c r="K2823" s="11">
        <f>data!J2823</f>
        <v>26.68</v>
      </c>
      <c r="L2823" s="11">
        <f t="shared" si="177"/>
        <v>66.699999999999989</v>
      </c>
      <c r="M2823" s="9">
        <f t="shared" si="178"/>
        <v>2.3333333333333335</v>
      </c>
      <c r="N2823" s="9">
        <f t="shared" si="179"/>
        <v>2.4999999999999996</v>
      </c>
    </row>
    <row r="2824" spans="1:14" x14ac:dyDescent="0.25">
      <c r="A2824" t="str">
        <f>TEXT("1/"&amp;data!A2824,"mmmm")</f>
        <v>octobre</v>
      </c>
      <c r="B2824">
        <f>data!B2824</f>
        <v>2016</v>
      </c>
      <c r="C2824" t="str">
        <f>data!C2824</f>
        <v>205</v>
      </c>
      <c r="D2824" t="str">
        <f>data!D2824</f>
        <v>DOMAINE DE MISELLE</v>
      </c>
      <c r="E2824" t="str">
        <f>data!E2824</f>
        <v>205001</v>
      </c>
      <c r="F2824" t="str">
        <f>data!F2824</f>
        <v>IGP COTES DE GASCOGNE SEC COLOMBARD G-MANSENG MISE</v>
      </c>
      <c r="G2824" s="10">
        <f>data!G2824</f>
        <v>121.5</v>
      </c>
      <c r="H2824" s="10">
        <f>data!I2824</f>
        <v>158.4</v>
      </c>
      <c r="I2824" s="10">
        <f t="shared" si="176"/>
        <v>-36.900000000000006</v>
      </c>
      <c r="J2824" s="11">
        <f>data!H2824</f>
        <v>60</v>
      </c>
      <c r="K2824" s="11">
        <f>data!J2824</f>
        <v>78</v>
      </c>
      <c r="L2824" s="11">
        <f t="shared" si="177"/>
        <v>-18</v>
      </c>
      <c r="M2824" s="9">
        <f t="shared" si="178"/>
        <v>-0.23295454545454547</v>
      </c>
      <c r="N2824" s="9">
        <f t="shared" si="179"/>
        <v>-0.23076923076923078</v>
      </c>
    </row>
    <row r="2825" spans="1:14" x14ac:dyDescent="0.25">
      <c r="A2825" t="str">
        <f>TEXT("1/"&amp;data!A2825,"mmmm")</f>
        <v>octobre</v>
      </c>
      <c r="B2825">
        <f>data!B2825</f>
        <v>2016</v>
      </c>
      <c r="C2825" t="str">
        <f>data!C2825</f>
        <v>205</v>
      </c>
      <c r="D2825" t="str">
        <f>data!D2825</f>
        <v>DOMAINE DE MISELLE</v>
      </c>
      <c r="E2825" t="str">
        <f>data!E2825</f>
        <v>205002</v>
      </c>
      <c r="F2825" t="str">
        <f>data!F2825</f>
        <v>IGP COTES DE GASCOGNE</v>
      </c>
      <c r="G2825" s="10">
        <f>data!G2825</f>
        <v>14.4</v>
      </c>
      <c r="H2825" s="10">
        <f>data!I2825</f>
        <v>28.2</v>
      </c>
      <c r="I2825" s="10">
        <f t="shared" si="176"/>
        <v>-13.799999999999999</v>
      </c>
      <c r="J2825" s="11">
        <f>data!H2825</f>
        <v>6</v>
      </c>
      <c r="K2825" s="11">
        <f>data!J2825</f>
        <v>12</v>
      </c>
      <c r="L2825" s="11">
        <f t="shared" si="177"/>
        <v>-6</v>
      </c>
      <c r="M2825" s="9">
        <f t="shared" si="178"/>
        <v>-0.48936170212765956</v>
      </c>
      <c r="N2825" s="9">
        <f t="shared" si="179"/>
        <v>-0.5</v>
      </c>
    </row>
    <row r="2826" spans="1:14" x14ac:dyDescent="0.25">
      <c r="A2826" t="str">
        <f>TEXT("1/"&amp;data!A2826,"mmmm")</f>
        <v>octobre</v>
      </c>
      <c r="B2826">
        <f>data!B2826</f>
        <v>2016</v>
      </c>
      <c r="C2826" t="str">
        <f>data!C2826</f>
        <v>205</v>
      </c>
      <c r="D2826" t="str">
        <f>data!D2826</f>
        <v>DOMAINE DE MISELLE</v>
      </c>
      <c r="E2826" t="str">
        <f>data!E2826</f>
        <v>205003</v>
      </c>
      <c r="F2826" t="str">
        <f>data!F2826</f>
        <v>IGP COTES DE GASCOGNE PETIT MANSENG</v>
      </c>
      <c r="G2826" s="10">
        <f>data!G2826</f>
        <v>333</v>
      </c>
      <c r="H2826" s="10">
        <f>data!I2826</f>
        <v>0</v>
      </c>
      <c r="I2826" s="10">
        <f t="shared" si="176"/>
        <v>333</v>
      </c>
      <c r="J2826" s="11">
        <f>data!H2826</f>
        <v>102</v>
      </c>
      <c r="K2826" s="11">
        <f>data!J2826</f>
        <v>12</v>
      </c>
      <c r="L2826" s="11">
        <f t="shared" si="177"/>
        <v>90</v>
      </c>
      <c r="M2826" s="9" t="str">
        <f t="shared" si="178"/>
        <v/>
      </c>
      <c r="N2826" s="9">
        <f t="shared" si="179"/>
        <v>7.5</v>
      </c>
    </row>
    <row r="2827" spans="1:14" x14ac:dyDescent="0.25">
      <c r="A2827" t="str">
        <f>TEXT("1/"&amp;data!A2827,"mmmm")</f>
        <v>octobre</v>
      </c>
      <c r="B2827">
        <f>data!B2827</f>
        <v>2016</v>
      </c>
      <c r="C2827" t="str">
        <f>data!C2827</f>
        <v>205</v>
      </c>
      <c r="D2827" t="str">
        <f>data!D2827</f>
        <v>DOMAINE DE MISELLE</v>
      </c>
      <c r="E2827" t="str">
        <f>data!E2827</f>
        <v>205004</v>
      </c>
      <c r="F2827" t="str">
        <f>data!F2827</f>
        <v>IGP COTES DE GASCOGNE MERLOT-TANNAT</v>
      </c>
      <c r="G2827" s="10">
        <f>data!G2827</f>
        <v>0</v>
      </c>
      <c r="H2827" s="10">
        <f>data!I2827</f>
        <v>0</v>
      </c>
      <c r="I2827" s="10">
        <f t="shared" si="176"/>
        <v>0</v>
      </c>
      <c r="J2827" s="11">
        <f>data!H2827</f>
        <v>6</v>
      </c>
      <c r="K2827" s="11">
        <f>data!J2827</f>
        <v>6</v>
      </c>
      <c r="L2827" s="11">
        <f t="shared" si="177"/>
        <v>0</v>
      </c>
      <c r="M2827" s="9" t="str">
        <f t="shared" si="178"/>
        <v/>
      </c>
      <c r="N2827" s="9">
        <f t="shared" si="179"/>
        <v>0</v>
      </c>
    </row>
    <row r="2828" spans="1:14" x14ac:dyDescent="0.25">
      <c r="A2828" t="str">
        <f>TEXT("1/"&amp;data!A2828,"mmmm")</f>
        <v>novembre</v>
      </c>
      <c r="B2828">
        <f>data!B2828</f>
        <v>2016</v>
      </c>
      <c r="C2828" t="str">
        <f>data!C2828</f>
        <v>002</v>
      </c>
      <c r="D2828" t="str">
        <f>data!D2828</f>
        <v>CAVE DE GALLICIAN</v>
      </c>
      <c r="E2828" t="str">
        <f>data!E2828</f>
        <v>002001</v>
      </c>
      <c r="F2828" t="str">
        <f>data!F2828</f>
        <v>VDP MERLOT C.GALLICIAN</v>
      </c>
      <c r="G2828" s="10">
        <f>data!G2828</f>
        <v>314.39999999999998</v>
      </c>
      <c r="H2828" s="10">
        <f>data!I2828</f>
        <v>2555.2800000000002</v>
      </c>
      <c r="I2828" s="10">
        <f t="shared" si="176"/>
        <v>-2240.88</v>
      </c>
      <c r="J2828" s="11">
        <f>data!H2828</f>
        <v>266.8</v>
      </c>
      <c r="K2828" s="11">
        <f>data!J2828</f>
        <v>2267.8000000000002</v>
      </c>
      <c r="L2828" s="11">
        <f t="shared" si="177"/>
        <v>-2001.0000000000002</v>
      </c>
      <c r="M2828" s="9">
        <f t="shared" si="178"/>
        <v>-0.87696064619141545</v>
      </c>
      <c r="N2828" s="9">
        <f t="shared" si="179"/>
        <v>-0.88235294117647067</v>
      </c>
    </row>
    <row r="2829" spans="1:14" x14ac:dyDescent="0.25">
      <c r="A2829" t="str">
        <f>TEXT("1/"&amp;data!A2829,"mmmm")</f>
        <v>novembre</v>
      </c>
      <c r="B2829">
        <f>data!B2829</f>
        <v>2016</v>
      </c>
      <c r="C2829" t="str">
        <f>data!C2829</f>
        <v>002</v>
      </c>
      <c r="D2829" t="str">
        <f>data!D2829</f>
        <v>CAVE DE GALLICIAN</v>
      </c>
      <c r="E2829" t="str">
        <f>data!E2829</f>
        <v>002002</v>
      </c>
      <c r="F2829" t="str">
        <f>data!F2829</f>
        <v>VDP MERLOT. C GALLICIAN</v>
      </c>
      <c r="G2829" s="10">
        <f>data!G2829</f>
        <v>1157.52</v>
      </c>
      <c r="H2829" s="10">
        <f>data!I2829</f>
        <v>8453.5</v>
      </c>
      <c r="I2829" s="10">
        <f t="shared" si="176"/>
        <v>-7295.98</v>
      </c>
      <c r="J2829" s="11">
        <f>data!H2829</f>
        <v>1119.72</v>
      </c>
      <c r="K2829" s="11">
        <f>data!J2829</f>
        <v>8531.2000000000007</v>
      </c>
      <c r="L2829" s="11">
        <f t="shared" si="177"/>
        <v>-7411.4800000000005</v>
      </c>
      <c r="M2829" s="9">
        <f t="shared" si="178"/>
        <v>-0.86307210031347958</v>
      </c>
      <c r="N2829" s="9">
        <f t="shared" si="179"/>
        <v>-0.86875000000000002</v>
      </c>
    </row>
    <row r="2830" spans="1:14" x14ac:dyDescent="0.25">
      <c r="A2830" t="str">
        <f>TEXT("1/"&amp;data!A2830,"mmmm")</f>
        <v>novembre</v>
      </c>
      <c r="B2830">
        <f>data!B2830</f>
        <v>2016</v>
      </c>
      <c r="C2830" t="str">
        <f>data!C2830</f>
        <v>002</v>
      </c>
      <c r="D2830" t="str">
        <f>data!D2830</f>
        <v>CAVE DE GALLICIAN</v>
      </c>
      <c r="E2830" t="str">
        <f>data!E2830</f>
        <v>002003</v>
      </c>
      <c r="F2830" t="str">
        <f>data!F2830</f>
        <v>VDP GARD. C GALLICIAN</v>
      </c>
      <c r="G2830" s="10">
        <f>data!G2830</f>
        <v>622</v>
      </c>
      <c r="H2830" s="10">
        <f>data!I2830</f>
        <v>4420.05</v>
      </c>
      <c r="I2830" s="10">
        <f t="shared" si="176"/>
        <v>-3798.05</v>
      </c>
      <c r="J2830" s="11">
        <f>data!H2830</f>
        <v>679.83</v>
      </c>
      <c r="K2830" s="11">
        <f>data!J2830</f>
        <v>4972.09</v>
      </c>
      <c r="L2830" s="11">
        <f t="shared" si="177"/>
        <v>-4292.26</v>
      </c>
      <c r="M2830" s="9">
        <f t="shared" si="178"/>
        <v>-0.85927760998178759</v>
      </c>
      <c r="N2830" s="9">
        <f t="shared" si="179"/>
        <v>-0.86327077747989278</v>
      </c>
    </row>
    <row r="2831" spans="1:14" x14ac:dyDescent="0.25">
      <c r="A2831" t="str">
        <f>TEXT("1/"&amp;data!A2831,"mmmm")</f>
        <v>novembre</v>
      </c>
      <c r="B2831">
        <f>data!B2831</f>
        <v>2016</v>
      </c>
      <c r="C2831" t="str">
        <f>data!C2831</f>
        <v>002</v>
      </c>
      <c r="D2831" t="str">
        <f>data!D2831</f>
        <v>CAVE DE GALLICIAN</v>
      </c>
      <c r="E2831" t="str">
        <f>data!E2831</f>
        <v>002004</v>
      </c>
      <c r="F2831" t="str">
        <f>data!F2831</f>
        <v>VDP GARD. C GALLICIAN</v>
      </c>
      <c r="G2831" s="10">
        <f>data!G2831</f>
        <v>224.32</v>
      </c>
      <c r="H2831" s="10">
        <f>data!I2831</f>
        <v>954.36</v>
      </c>
      <c r="I2831" s="10">
        <f t="shared" si="176"/>
        <v>-730.04</v>
      </c>
      <c r="J2831" s="11">
        <f>data!H2831</f>
        <v>213.44</v>
      </c>
      <c r="K2831" s="11">
        <f>data!J2831</f>
        <v>880.43999999999994</v>
      </c>
      <c r="L2831" s="11">
        <f t="shared" si="177"/>
        <v>-667</v>
      </c>
      <c r="M2831" s="9">
        <f t="shared" si="178"/>
        <v>-0.76495242885284376</v>
      </c>
      <c r="N2831" s="9">
        <f t="shared" si="179"/>
        <v>-0.75757575757575768</v>
      </c>
    </row>
    <row r="2832" spans="1:14" x14ac:dyDescent="0.25">
      <c r="A2832" t="str">
        <f>TEXT("1/"&amp;data!A2832,"mmmm")</f>
        <v>novembre</v>
      </c>
      <c r="B2832">
        <f>data!B2832</f>
        <v>2016</v>
      </c>
      <c r="C2832" t="str">
        <f>data!C2832</f>
        <v>002</v>
      </c>
      <c r="D2832" t="str">
        <f>data!D2832</f>
        <v>CAVE DE GALLICIAN</v>
      </c>
      <c r="E2832" t="str">
        <f>data!E2832</f>
        <v>002007</v>
      </c>
      <c r="F2832" t="str">
        <f>data!F2832</f>
        <v>VDT C GALLICIAN</v>
      </c>
      <c r="G2832" s="10">
        <f>data!G2832</f>
        <v>216.72</v>
      </c>
      <c r="H2832" s="10">
        <f>data!I2832</f>
        <v>4273.0200000000004</v>
      </c>
      <c r="I2832" s="10">
        <f t="shared" si="176"/>
        <v>-4056.3000000000006</v>
      </c>
      <c r="J2832" s="11">
        <f>data!H2832</f>
        <v>239.94</v>
      </c>
      <c r="K2832" s="11">
        <f>data!J2832</f>
        <v>4945.43</v>
      </c>
      <c r="L2832" s="11">
        <f t="shared" si="177"/>
        <v>-4705.4900000000007</v>
      </c>
      <c r="M2832" s="9">
        <f t="shared" si="178"/>
        <v>-0.94928177261047231</v>
      </c>
      <c r="N2832" s="9">
        <f t="shared" si="179"/>
        <v>-0.95148247978436662</v>
      </c>
    </row>
    <row r="2833" spans="1:14" x14ac:dyDescent="0.25">
      <c r="A2833" t="str">
        <f>TEXT("1/"&amp;data!A2833,"mmmm")</f>
        <v>novembre</v>
      </c>
      <c r="B2833">
        <f>data!B2833</f>
        <v>2016</v>
      </c>
      <c r="C2833" t="str">
        <f>data!C2833</f>
        <v>002</v>
      </c>
      <c r="D2833" t="str">
        <f>data!D2833</f>
        <v>CAVE DE GALLICIAN</v>
      </c>
      <c r="E2833" t="str">
        <f>data!E2833</f>
        <v>002008</v>
      </c>
      <c r="F2833" t="str">
        <f>data!F2833</f>
        <v>VDT. C GALLICIAN</v>
      </c>
      <c r="G2833" s="10">
        <f>data!G2833</f>
        <v>-61.62</v>
      </c>
      <c r="H2833" s="10">
        <f>data!I2833</f>
        <v>2266.9</v>
      </c>
      <c r="I2833" s="10">
        <f t="shared" si="176"/>
        <v>-2328.52</v>
      </c>
      <c r="J2833" s="11">
        <f>data!H2833</f>
        <v>-80.010000000000005</v>
      </c>
      <c r="K2833" s="11">
        <f>data!J2833</f>
        <v>2747.01</v>
      </c>
      <c r="L2833" s="11">
        <f t="shared" si="177"/>
        <v>-2827.0200000000004</v>
      </c>
      <c r="M2833" s="9">
        <f t="shared" si="178"/>
        <v>-1.0271824959195377</v>
      </c>
      <c r="N2833" s="9">
        <f t="shared" si="179"/>
        <v>-1.029126213592233</v>
      </c>
    </row>
    <row r="2834" spans="1:14" x14ac:dyDescent="0.25">
      <c r="A2834" t="str">
        <f>TEXT("1/"&amp;data!A2834,"mmmm")</f>
        <v>novembre</v>
      </c>
      <c r="B2834">
        <f>data!B2834</f>
        <v>2016</v>
      </c>
      <c r="C2834" t="str">
        <f>data!C2834</f>
        <v>002</v>
      </c>
      <c r="D2834" t="str">
        <f>data!D2834</f>
        <v>CAVE DE GALLICIAN</v>
      </c>
      <c r="E2834" t="str">
        <f>data!E2834</f>
        <v>002010</v>
      </c>
      <c r="F2834" t="str">
        <f>data!F2834</f>
        <v>AC C. DE NIMES. C GALLICIAN</v>
      </c>
      <c r="G2834" s="10">
        <f>data!G2834</f>
        <v>46.75</v>
      </c>
      <c r="H2834" s="10">
        <f>data!I2834</f>
        <v>1053.28</v>
      </c>
      <c r="I2834" s="10">
        <f t="shared" si="176"/>
        <v>-1006.53</v>
      </c>
      <c r="J2834" s="11">
        <f>data!H2834</f>
        <v>33.35</v>
      </c>
      <c r="K2834" s="11">
        <f>data!J2834</f>
        <v>773.72</v>
      </c>
      <c r="L2834" s="11">
        <f t="shared" si="177"/>
        <v>-740.37</v>
      </c>
      <c r="M2834" s="9">
        <f t="shared" si="178"/>
        <v>-0.95561484125778517</v>
      </c>
      <c r="N2834" s="9">
        <f t="shared" si="179"/>
        <v>-0.9568965517241379</v>
      </c>
    </row>
    <row r="2835" spans="1:14" x14ac:dyDescent="0.25">
      <c r="A2835" t="str">
        <f>TEXT("1/"&amp;data!A2835,"mmmm")</f>
        <v>novembre</v>
      </c>
      <c r="B2835">
        <f>data!B2835</f>
        <v>2016</v>
      </c>
      <c r="C2835" t="str">
        <f>data!C2835</f>
        <v>002</v>
      </c>
      <c r="D2835" t="str">
        <f>data!D2835</f>
        <v>CAVE DE GALLICIAN</v>
      </c>
      <c r="E2835" t="str">
        <f>data!E2835</f>
        <v>002011</v>
      </c>
      <c r="F2835" t="str">
        <f>data!F2835</f>
        <v>AC C DE NIMES C. GALLICIAN</v>
      </c>
      <c r="G2835" s="10">
        <f>data!G2835</f>
        <v>66.680000000000007</v>
      </c>
      <c r="H2835" s="10">
        <f>data!I2835</f>
        <v>2006.32</v>
      </c>
      <c r="I2835" s="10">
        <f t="shared" si="176"/>
        <v>-1939.6399999999999</v>
      </c>
      <c r="J2835" s="11">
        <f>data!H2835</f>
        <v>53.32</v>
      </c>
      <c r="K2835" s="11">
        <f>data!J2835</f>
        <v>1652.92</v>
      </c>
      <c r="L2835" s="11">
        <f t="shared" si="177"/>
        <v>-1599.6000000000001</v>
      </c>
      <c r="M2835" s="9">
        <f t="shared" si="178"/>
        <v>-0.96676502252880891</v>
      </c>
      <c r="N2835" s="9">
        <f t="shared" si="179"/>
        <v>-0.967741935483871</v>
      </c>
    </row>
    <row r="2836" spans="1:14" x14ac:dyDescent="0.25">
      <c r="A2836" t="str">
        <f>TEXT("1/"&amp;data!A2836,"mmmm")</f>
        <v>novembre</v>
      </c>
      <c r="B2836">
        <f>data!B2836</f>
        <v>2016</v>
      </c>
      <c r="C2836" t="str">
        <f>data!C2836</f>
        <v>002</v>
      </c>
      <c r="D2836" t="str">
        <f>data!D2836</f>
        <v>CAVE DE GALLICIAN</v>
      </c>
      <c r="E2836" t="str">
        <f>data!E2836</f>
        <v>002015</v>
      </c>
      <c r="F2836" t="str">
        <f>data!F2836</f>
        <v>AC C DE NIMES C. GALLICIAN</v>
      </c>
      <c r="G2836" s="10">
        <f>data!G2836</f>
        <v>50.01</v>
      </c>
      <c r="H2836" s="10">
        <f>data!I2836</f>
        <v>2135.7600000000002</v>
      </c>
      <c r="I2836" s="10">
        <f t="shared" si="176"/>
        <v>-2085.75</v>
      </c>
      <c r="J2836" s="11">
        <f>data!H2836</f>
        <v>39.99</v>
      </c>
      <c r="K2836" s="11">
        <f>data!J2836</f>
        <v>1852.8700000000001</v>
      </c>
      <c r="L2836" s="11">
        <f t="shared" si="177"/>
        <v>-1812.88</v>
      </c>
      <c r="M2836" s="9">
        <f t="shared" si="178"/>
        <v>-0.9765844476907517</v>
      </c>
      <c r="N2836" s="9">
        <f t="shared" si="179"/>
        <v>-0.97841726618705038</v>
      </c>
    </row>
    <row r="2837" spans="1:14" x14ac:dyDescent="0.25">
      <c r="A2837" t="str">
        <f>TEXT("1/"&amp;data!A2837,"mmmm")</f>
        <v>novembre</v>
      </c>
      <c r="B2837">
        <f>data!B2837</f>
        <v>2016</v>
      </c>
      <c r="C2837" t="str">
        <f>data!C2837</f>
        <v>002</v>
      </c>
      <c r="D2837" t="str">
        <f>data!D2837</f>
        <v>CAVE DE GALLICIAN</v>
      </c>
      <c r="E2837" t="str">
        <f>data!E2837</f>
        <v>002016</v>
      </c>
      <c r="F2837" t="str">
        <f>data!F2837</f>
        <v>AC C DE NIMES C. GALLICIAN</v>
      </c>
      <c r="G2837" s="10">
        <f>data!G2837</f>
        <v>95.5</v>
      </c>
      <c r="H2837" s="10">
        <f>data!I2837</f>
        <v>1352.92</v>
      </c>
      <c r="I2837" s="10">
        <f t="shared" si="176"/>
        <v>-1257.42</v>
      </c>
      <c r="J2837" s="11">
        <f>data!H2837</f>
        <v>66.7</v>
      </c>
      <c r="K2837" s="11">
        <f>data!J2837</f>
        <v>1000.5</v>
      </c>
      <c r="L2837" s="11">
        <f t="shared" si="177"/>
        <v>-933.8</v>
      </c>
      <c r="M2837" s="9">
        <f t="shared" si="178"/>
        <v>-0.92941193862164795</v>
      </c>
      <c r="N2837" s="9">
        <f t="shared" si="179"/>
        <v>-0.93333333333333324</v>
      </c>
    </row>
    <row r="2838" spans="1:14" x14ac:dyDescent="0.25">
      <c r="A2838" t="str">
        <f>TEXT("1/"&amp;data!A2838,"mmmm")</f>
        <v>novembre</v>
      </c>
      <c r="B2838">
        <f>data!B2838</f>
        <v>2016</v>
      </c>
      <c r="C2838" t="str">
        <f>data!C2838</f>
        <v>002</v>
      </c>
      <c r="D2838" t="str">
        <f>data!D2838</f>
        <v>CAVE DE GALLICIAN</v>
      </c>
      <c r="E2838" t="str">
        <f>data!E2838</f>
        <v>002017</v>
      </c>
      <c r="F2838" t="str">
        <f>data!F2838</f>
        <v>VDP GARD C. GALLICIAN</v>
      </c>
      <c r="G2838" s="10">
        <f>data!G2838</f>
        <v>360.76</v>
      </c>
      <c r="H2838" s="10">
        <f>data!I2838</f>
        <v>4138.16</v>
      </c>
      <c r="I2838" s="10">
        <f t="shared" si="176"/>
        <v>-3777.3999999999996</v>
      </c>
      <c r="J2838" s="11">
        <f>data!H2838</f>
        <v>386.57</v>
      </c>
      <c r="K2838" s="11">
        <f>data!J2838</f>
        <v>4625.51</v>
      </c>
      <c r="L2838" s="11">
        <f t="shared" si="177"/>
        <v>-4238.9400000000005</v>
      </c>
      <c r="M2838" s="9">
        <f t="shared" si="178"/>
        <v>-0.91282115722929991</v>
      </c>
      <c r="N2838" s="9">
        <f t="shared" si="179"/>
        <v>-0.9164265129682998</v>
      </c>
    </row>
    <row r="2839" spans="1:14" x14ac:dyDescent="0.25">
      <c r="A2839" t="str">
        <f>TEXT("1/"&amp;data!A2839,"mmmm")</f>
        <v>novembre</v>
      </c>
      <c r="B2839">
        <f>data!B2839</f>
        <v>2016</v>
      </c>
      <c r="C2839" t="str">
        <f>data!C2839</f>
        <v>002</v>
      </c>
      <c r="D2839" t="str">
        <f>data!D2839</f>
        <v>CAVE DE GALLICIAN</v>
      </c>
      <c r="E2839" t="str">
        <f>data!E2839</f>
        <v>002018</v>
      </c>
      <c r="F2839" t="str">
        <f>data!F2839</f>
        <v>VDP GARD C. GALLICIAN</v>
      </c>
      <c r="G2839" s="10">
        <f>data!G2839</f>
        <v>142.69</v>
      </c>
      <c r="H2839" s="10">
        <f>data!I2839</f>
        <v>1689.25</v>
      </c>
      <c r="I2839" s="10">
        <f t="shared" si="176"/>
        <v>-1546.56</v>
      </c>
      <c r="J2839" s="11">
        <f>data!H2839</f>
        <v>126.73</v>
      </c>
      <c r="K2839" s="11">
        <f>data!J2839</f>
        <v>1567.45</v>
      </c>
      <c r="L2839" s="11">
        <f t="shared" si="177"/>
        <v>-1440.72</v>
      </c>
      <c r="M2839" s="9">
        <f t="shared" si="178"/>
        <v>-0.91553056089980756</v>
      </c>
      <c r="N2839" s="9">
        <f t="shared" si="179"/>
        <v>-0.91914893617021276</v>
      </c>
    </row>
    <row r="2840" spans="1:14" x14ac:dyDescent="0.25">
      <c r="A2840" t="str">
        <f>TEXT("1/"&amp;data!A2840,"mmmm")</f>
        <v>novembre</v>
      </c>
      <c r="B2840">
        <f>data!B2840</f>
        <v>2016</v>
      </c>
      <c r="C2840" t="str">
        <f>data!C2840</f>
        <v>002</v>
      </c>
      <c r="D2840" t="str">
        <f>data!D2840</f>
        <v>CAVE DE GALLICIAN</v>
      </c>
      <c r="E2840" t="str">
        <f>data!E2840</f>
        <v>002020</v>
      </c>
      <c r="F2840" t="str">
        <f>data!F2840</f>
        <v>AC C DE NIMES C DES LAUNES</v>
      </c>
      <c r="G2840" s="10">
        <f>data!G2840</f>
        <v>264.60000000000002</v>
      </c>
      <c r="H2840" s="10">
        <f>data!I2840</f>
        <v>1353.6</v>
      </c>
      <c r="I2840" s="10">
        <f t="shared" si="176"/>
        <v>-1089</v>
      </c>
      <c r="J2840" s="11">
        <f>data!H2840</f>
        <v>108</v>
      </c>
      <c r="K2840" s="11">
        <f>data!J2840</f>
        <v>564</v>
      </c>
      <c r="L2840" s="11">
        <f t="shared" si="177"/>
        <v>-456</v>
      </c>
      <c r="M2840" s="9">
        <f t="shared" si="178"/>
        <v>-0.80452127659574468</v>
      </c>
      <c r="N2840" s="9">
        <f t="shared" si="179"/>
        <v>-0.80851063829787229</v>
      </c>
    </row>
    <row r="2841" spans="1:14" x14ac:dyDescent="0.25">
      <c r="A2841" t="str">
        <f>TEXT("1/"&amp;data!A2841,"mmmm")</f>
        <v>novembre</v>
      </c>
      <c r="B2841">
        <f>data!B2841</f>
        <v>2016</v>
      </c>
      <c r="C2841" t="str">
        <f>data!C2841</f>
        <v>002</v>
      </c>
      <c r="D2841" t="str">
        <f>data!D2841</f>
        <v>CAVE DE GALLICIAN</v>
      </c>
      <c r="E2841" t="str">
        <f>data!E2841</f>
        <v>002021</v>
      </c>
      <c r="F2841" t="str">
        <f>data!F2841</f>
        <v>AC COSTIERES DE NIMES CUVEE PRESTIGE</v>
      </c>
      <c r="G2841" s="10">
        <f>data!G2841</f>
        <v>0</v>
      </c>
      <c r="H2841" s="10">
        <f>data!I2841</f>
        <v>54.6</v>
      </c>
      <c r="I2841" s="10">
        <f t="shared" si="176"/>
        <v>-54.6</v>
      </c>
      <c r="J2841" s="11">
        <f>data!H2841</f>
        <v>6</v>
      </c>
      <c r="K2841" s="11">
        <f>data!J2841</f>
        <v>30</v>
      </c>
      <c r="L2841" s="11">
        <f t="shared" si="177"/>
        <v>-24</v>
      </c>
      <c r="M2841" s="9">
        <f t="shared" si="178"/>
        <v>-1</v>
      </c>
      <c r="N2841" s="9">
        <f t="shared" si="179"/>
        <v>-0.8</v>
      </c>
    </row>
    <row r="2842" spans="1:14" x14ac:dyDescent="0.25">
      <c r="A2842" t="str">
        <f>TEXT("1/"&amp;data!A2842,"mmmm")</f>
        <v>novembre</v>
      </c>
      <c r="B2842">
        <f>data!B2842</f>
        <v>2016</v>
      </c>
      <c r="C2842" t="str">
        <f>data!C2842</f>
        <v>002</v>
      </c>
      <c r="D2842" t="str">
        <f>data!D2842</f>
        <v>CAVE DE GALLICIAN</v>
      </c>
      <c r="E2842" t="str">
        <f>data!E2842</f>
        <v>002025</v>
      </c>
      <c r="F2842" t="str">
        <f>data!F2842</f>
        <v>AC COSTIERES DE NIMES CUVEE PRESTIGE</v>
      </c>
      <c r="G2842" s="10">
        <f>data!G2842</f>
        <v>0</v>
      </c>
      <c r="H2842" s="10">
        <f>data!I2842</f>
        <v>0</v>
      </c>
      <c r="I2842" s="10">
        <f t="shared" si="176"/>
        <v>0</v>
      </c>
      <c r="J2842" s="11">
        <f>data!H2842</f>
        <v>6</v>
      </c>
      <c r="K2842" s="11">
        <f>data!J2842</f>
        <v>0</v>
      </c>
      <c r="L2842" s="11">
        <f t="shared" si="177"/>
        <v>6</v>
      </c>
      <c r="M2842" s="9" t="str">
        <f t="shared" si="178"/>
        <v/>
      </c>
      <c r="N2842" s="9" t="str">
        <f t="shared" si="179"/>
        <v/>
      </c>
    </row>
    <row r="2843" spans="1:14" x14ac:dyDescent="0.25">
      <c r="A2843" t="str">
        <f>TEXT("1/"&amp;data!A2843,"mmmm")</f>
        <v>novembre</v>
      </c>
      <c r="B2843">
        <f>data!B2843</f>
        <v>2016</v>
      </c>
      <c r="C2843" t="str">
        <f>data!C2843</f>
        <v>002</v>
      </c>
      <c r="D2843" t="str">
        <f>data!D2843</f>
        <v>CAVE DE GALLICIAN</v>
      </c>
      <c r="E2843" t="str">
        <f>data!E2843</f>
        <v>002037</v>
      </c>
      <c r="F2843" t="str">
        <f>data!F2843</f>
        <v>AOP COSTIERES DE NIMES COMBES DE MEZIERES</v>
      </c>
      <c r="G2843" s="10">
        <f>data!G2843</f>
        <v>143.04</v>
      </c>
      <c r="H2843" s="10">
        <f>data!I2843</f>
        <v>344.4</v>
      </c>
      <c r="I2843" s="10">
        <f t="shared" si="176"/>
        <v>-201.35999999999999</v>
      </c>
      <c r="J2843" s="11">
        <f>data!H2843</f>
        <v>48</v>
      </c>
      <c r="K2843" s="11">
        <f>data!J2843</f>
        <v>120</v>
      </c>
      <c r="L2843" s="11">
        <f t="shared" si="177"/>
        <v>-72</v>
      </c>
      <c r="M2843" s="9">
        <f t="shared" si="178"/>
        <v>-0.58466898954703828</v>
      </c>
      <c r="N2843" s="9">
        <f t="shared" si="179"/>
        <v>-0.6</v>
      </c>
    </row>
    <row r="2844" spans="1:14" x14ac:dyDescent="0.25">
      <c r="A2844" t="str">
        <f>TEXT("1/"&amp;data!A2844,"mmmm")</f>
        <v>novembre</v>
      </c>
      <c r="B2844">
        <f>data!B2844</f>
        <v>2016</v>
      </c>
      <c r="C2844" t="str">
        <f>data!C2844</f>
        <v>002</v>
      </c>
      <c r="D2844" t="str">
        <f>data!D2844</f>
        <v>CAVE DE GALLICIAN</v>
      </c>
      <c r="E2844" t="str">
        <f>data!E2844</f>
        <v>002905</v>
      </c>
      <c r="F2844" t="str">
        <f>data!F2844</f>
        <v>VDT. CUVEE FIOJOLI étiq perso scaeL</v>
      </c>
      <c r="G2844" s="10">
        <f>data!G2844</f>
        <v>378</v>
      </c>
      <c r="H2844" s="10">
        <f>data!I2844</f>
        <v>151.19999999999999</v>
      </c>
      <c r="I2844" s="10">
        <f t="shared" si="176"/>
        <v>226.8</v>
      </c>
      <c r="J2844" s="11">
        <f>data!H2844</f>
        <v>466.55</v>
      </c>
      <c r="K2844" s="11">
        <f>data!J2844</f>
        <v>186.62</v>
      </c>
      <c r="L2844" s="11">
        <f t="shared" si="177"/>
        <v>279.93</v>
      </c>
      <c r="M2844" s="9">
        <f t="shared" si="178"/>
        <v>1.5000000000000002</v>
      </c>
      <c r="N2844" s="9">
        <f t="shared" si="179"/>
        <v>1.5</v>
      </c>
    </row>
    <row r="2845" spans="1:14" x14ac:dyDescent="0.25">
      <c r="A2845" t="str">
        <f>TEXT("1/"&amp;data!A2845,"mmmm")</f>
        <v>novembre</v>
      </c>
      <c r="B2845">
        <f>data!B2845</f>
        <v>2016</v>
      </c>
      <c r="C2845" t="str">
        <f>data!C2845</f>
        <v>037</v>
      </c>
      <c r="D2845" t="str">
        <f>data!D2845</f>
        <v>SARL RAFFAULT</v>
      </c>
      <c r="E2845" t="str">
        <f>data!E2845</f>
        <v>037003</v>
      </c>
      <c r="F2845" t="str">
        <f>data!F2845</f>
        <v>AC CHINON</v>
      </c>
      <c r="G2845" s="10">
        <f>data!G2845</f>
        <v>114</v>
      </c>
      <c r="H2845" s="10">
        <f>data!I2845</f>
        <v>199.8</v>
      </c>
      <c r="I2845" s="10">
        <f t="shared" si="176"/>
        <v>-85.800000000000011</v>
      </c>
      <c r="J2845" s="11">
        <f>data!H2845</f>
        <v>30</v>
      </c>
      <c r="K2845" s="11">
        <f>data!J2845</f>
        <v>60</v>
      </c>
      <c r="L2845" s="11">
        <f t="shared" si="177"/>
        <v>-30</v>
      </c>
      <c r="M2845" s="9">
        <f t="shared" si="178"/>
        <v>-0.42942942942942947</v>
      </c>
      <c r="N2845" s="9">
        <f t="shared" si="179"/>
        <v>-0.5</v>
      </c>
    </row>
    <row r="2846" spans="1:14" x14ac:dyDescent="0.25">
      <c r="A2846" t="str">
        <f>TEXT("1/"&amp;data!A2846,"mmmm")</f>
        <v>novembre</v>
      </c>
      <c r="B2846">
        <f>data!B2846</f>
        <v>2016</v>
      </c>
      <c r="C2846" t="str">
        <f>data!C2846</f>
        <v>046</v>
      </c>
      <c r="D2846" t="str">
        <f>data!D2846</f>
        <v>MR JEAN PIERRE CABANES</v>
      </c>
      <c r="E2846" t="str">
        <f>data!E2846</f>
        <v>046001</v>
      </c>
      <c r="F2846" t="str">
        <f>data!F2846</f>
        <v>AC CTX DU LANGU TRAD D.ARCHIMBAUD</v>
      </c>
      <c r="G2846" s="10">
        <f>data!G2846</f>
        <v>54</v>
      </c>
      <c r="H2846" s="10">
        <f>data!I2846</f>
        <v>319.8</v>
      </c>
      <c r="I2846" s="10">
        <f t="shared" si="176"/>
        <v>-265.8</v>
      </c>
      <c r="J2846" s="11">
        <f>data!H2846</f>
        <v>12</v>
      </c>
      <c r="K2846" s="11">
        <f>data!J2846</f>
        <v>78</v>
      </c>
      <c r="L2846" s="11">
        <f t="shared" si="177"/>
        <v>-66</v>
      </c>
      <c r="M2846" s="9">
        <f t="shared" si="178"/>
        <v>-0.83114446529080677</v>
      </c>
      <c r="N2846" s="9">
        <f t="shared" si="179"/>
        <v>-0.84615384615384615</v>
      </c>
    </row>
    <row r="2847" spans="1:14" x14ac:dyDescent="0.25">
      <c r="A2847" t="str">
        <f>TEXT("1/"&amp;data!A2847,"mmmm")</f>
        <v>novembre</v>
      </c>
      <c r="B2847">
        <f>data!B2847</f>
        <v>2016</v>
      </c>
      <c r="C2847" t="str">
        <f>data!C2847</f>
        <v>046</v>
      </c>
      <c r="D2847" t="str">
        <f>data!D2847</f>
        <v>MR JEAN PIERRE CABANES</v>
      </c>
      <c r="E2847" t="str">
        <f>data!E2847</f>
        <v>046015</v>
      </c>
      <c r="F2847" t="str">
        <f>data!F2847</f>
        <v>AC COT DU LANGU D.ARCHIMBAUD</v>
      </c>
      <c r="G2847" s="10">
        <f>data!G2847</f>
        <v>24</v>
      </c>
      <c r="H2847" s="10">
        <f>data!I2847</f>
        <v>0</v>
      </c>
      <c r="I2847" s="10">
        <f t="shared" si="176"/>
        <v>24</v>
      </c>
      <c r="J2847" s="11">
        <f>data!H2847</f>
        <v>6</v>
      </c>
      <c r="K2847" s="11">
        <f>data!J2847</f>
        <v>0</v>
      </c>
      <c r="L2847" s="11">
        <f t="shared" si="177"/>
        <v>6</v>
      </c>
      <c r="M2847" s="9" t="str">
        <f t="shared" si="178"/>
        <v/>
      </c>
      <c r="N2847" s="9" t="str">
        <f t="shared" si="179"/>
        <v/>
      </c>
    </row>
    <row r="2848" spans="1:14" x14ac:dyDescent="0.25">
      <c r="A2848" t="str">
        <f>TEXT("1/"&amp;data!A2848,"mmmm")</f>
        <v>novembre</v>
      </c>
      <c r="B2848">
        <f>data!B2848</f>
        <v>2016</v>
      </c>
      <c r="C2848" t="str">
        <f>data!C2848</f>
        <v>046</v>
      </c>
      <c r="D2848" t="str">
        <f>data!D2848</f>
        <v>MR JEAN PIERRE CABANES</v>
      </c>
      <c r="E2848" t="str">
        <f>data!E2848</f>
        <v>046020</v>
      </c>
      <c r="F2848" t="str">
        <f>data!F2848</f>
        <v>AC COTEAUX DU LANGUEDOC ENFANT TERRIBLE</v>
      </c>
      <c r="G2848" s="10">
        <f>data!G2848</f>
        <v>45</v>
      </c>
      <c r="H2848" s="10">
        <f>data!I2848</f>
        <v>294</v>
      </c>
      <c r="I2848" s="10">
        <f t="shared" si="176"/>
        <v>-249</v>
      </c>
      <c r="J2848" s="11">
        <f>data!H2848</f>
        <v>6</v>
      </c>
      <c r="K2848" s="11">
        <f>data!J2848</f>
        <v>42</v>
      </c>
      <c r="L2848" s="11">
        <f t="shared" si="177"/>
        <v>-36</v>
      </c>
      <c r="M2848" s="9">
        <f t="shared" si="178"/>
        <v>-0.84693877551020413</v>
      </c>
      <c r="N2848" s="9">
        <f t="shared" si="179"/>
        <v>-0.8571428571428571</v>
      </c>
    </row>
    <row r="2849" spans="1:14" x14ac:dyDescent="0.25">
      <c r="A2849" t="str">
        <f>TEXT("1/"&amp;data!A2849,"mmmm")</f>
        <v>novembre</v>
      </c>
      <c r="B2849">
        <f>data!B2849</f>
        <v>2016</v>
      </c>
      <c r="C2849" t="str">
        <f>data!C2849</f>
        <v>046</v>
      </c>
      <c r="D2849" t="str">
        <f>data!D2849</f>
        <v>MR JEAN PIERRE CABANES</v>
      </c>
      <c r="E2849" t="str">
        <f>data!E2849</f>
        <v>046025</v>
      </c>
      <c r="F2849" t="str">
        <f>data!F2849</f>
        <v>IGP MONTBAUDILE</v>
      </c>
      <c r="G2849" s="10">
        <f>data!G2849</f>
        <v>36</v>
      </c>
      <c r="H2849" s="10">
        <f>data!I2849</f>
        <v>69.599999999999994</v>
      </c>
      <c r="I2849" s="10">
        <f t="shared" si="176"/>
        <v>-33.599999999999994</v>
      </c>
      <c r="J2849" s="11">
        <f>data!H2849</f>
        <v>6</v>
      </c>
      <c r="K2849" s="11">
        <f>data!J2849</f>
        <v>12</v>
      </c>
      <c r="L2849" s="11">
        <f t="shared" si="177"/>
        <v>-6</v>
      </c>
      <c r="M2849" s="9">
        <f t="shared" si="178"/>
        <v>-0.48275862068965514</v>
      </c>
      <c r="N2849" s="9">
        <f t="shared" si="179"/>
        <v>-0.5</v>
      </c>
    </row>
    <row r="2850" spans="1:14" x14ac:dyDescent="0.25">
      <c r="A2850" t="str">
        <f>TEXT("1/"&amp;data!A2850,"mmmm")</f>
        <v>novembre</v>
      </c>
      <c r="B2850">
        <f>data!B2850</f>
        <v>2016</v>
      </c>
      <c r="C2850" t="str">
        <f>data!C2850</f>
        <v>051</v>
      </c>
      <c r="D2850" t="str">
        <f>data!D2850</f>
        <v>CLOS TRIMOULET</v>
      </c>
      <c r="E2850" t="str">
        <f>data!E2850</f>
        <v>051010/11</v>
      </c>
      <c r="F2850" t="str">
        <f>data!F2850</f>
        <v>CLOS TRIMOULET AC ST EMILION GD CRU</v>
      </c>
      <c r="G2850" s="10">
        <f>data!G2850</f>
        <v>97.2</v>
      </c>
      <c r="H2850" s="10">
        <f>data!I2850</f>
        <v>6713.7</v>
      </c>
      <c r="I2850" s="10">
        <f t="shared" si="176"/>
        <v>-6616.5</v>
      </c>
      <c r="J2850" s="11">
        <f>data!H2850</f>
        <v>12</v>
      </c>
      <c r="K2850" s="11">
        <f>data!J2850</f>
        <v>840</v>
      </c>
      <c r="L2850" s="11">
        <f t="shared" si="177"/>
        <v>-828</v>
      </c>
      <c r="M2850" s="9">
        <f t="shared" si="178"/>
        <v>-0.98552214129317661</v>
      </c>
      <c r="N2850" s="9">
        <f t="shared" si="179"/>
        <v>-0.98571428571428577</v>
      </c>
    </row>
    <row r="2851" spans="1:14" x14ac:dyDescent="0.25">
      <c r="A2851" t="str">
        <f>TEXT("1/"&amp;data!A2851,"mmmm")</f>
        <v>novembre</v>
      </c>
      <c r="B2851">
        <f>data!B2851</f>
        <v>2016</v>
      </c>
      <c r="C2851" t="str">
        <f>data!C2851</f>
        <v>054</v>
      </c>
      <c r="D2851" t="str">
        <f>data!D2851</f>
        <v>CHÂTEAU JEANDEMAN</v>
      </c>
      <c r="E2851" t="str">
        <f>data!E2851</f>
        <v>054011</v>
      </c>
      <c r="F2851" t="str">
        <f>data!F2851</f>
        <v>AC PESSAC LEOGNAN. CH MANCEDRE</v>
      </c>
      <c r="G2851" s="10">
        <f>data!G2851</f>
        <v>160.19999999999999</v>
      </c>
      <c r="H2851" s="10">
        <f>data!I2851</f>
        <v>1293.5999999999999</v>
      </c>
      <c r="I2851" s="10">
        <f t="shared" si="176"/>
        <v>-1133.3999999999999</v>
      </c>
      <c r="J2851" s="11">
        <f>data!H2851</f>
        <v>18</v>
      </c>
      <c r="K2851" s="11">
        <f>data!J2851</f>
        <v>174</v>
      </c>
      <c r="L2851" s="11">
        <f t="shared" si="177"/>
        <v>-156</v>
      </c>
      <c r="M2851" s="9">
        <f t="shared" si="178"/>
        <v>-0.87615955473098328</v>
      </c>
      <c r="N2851" s="9">
        <f t="shared" si="179"/>
        <v>-0.89655172413793105</v>
      </c>
    </row>
    <row r="2852" spans="1:14" x14ac:dyDescent="0.25">
      <c r="A2852" t="str">
        <f>TEXT("1/"&amp;data!A2852,"mmmm")</f>
        <v>novembre</v>
      </c>
      <c r="B2852">
        <f>data!B2852</f>
        <v>2016</v>
      </c>
      <c r="C2852" t="str">
        <f>data!C2852</f>
        <v>080</v>
      </c>
      <c r="D2852" t="str">
        <f>data!D2852</f>
        <v>DOMAINE DE ST PIERRE</v>
      </c>
      <c r="E2852" t="str">
        <f>data!E2852</f>
        <v>080010</v>
      </c>
      <c r="F2852" t="str">
        <f>data!F2852</f>
        <v>AC SANCERRE D.DE ST PIERRE</v>
      </c>
      <c r="G2852" s="10">
        <f>data!G2852</f>
        <v>77.400000000000006</v>
      </c>
      <c r="H2852" s="10">
        <f>data!I2852</f>
        <v>756</v>
      </c>
      <c r="I2852" s="10">
        <f t="shared" si="176"/>
        <v>-678.6</v>
      </c>
      <c r="J2852" s="11">
        <f>data!H2852</f>
        <v>12</v>
      </c>
      <c r="K2852" s="11">
        <f>data!J2852</f>
        <v>120</v>
      </c>
      <c r="L2852" s="11">
        <f t="shared" si="177"/>
        <v>-108</v>
      </c>
      <c r="M2852" s="9">
        <f t="shared" si="178"/>
        <v>-0.89761904761904765</v>
      </c>
      <c r="N2852" s="9">
        <f t="shared" si="179"/>
        <v>-0.9</v>
      </c>
    </row>
    <row r="2853" spans="1:14" x14ac:dyDescent="0.25">
      <c r="A2853" t="str">
        <f>TEXT("1/"&amp;data!A2853,"mmmm")</f>
        <v>novembre</v>
      </c>
      <c r="B2853">
        <f>data!B2853</f>
        <v>2016</v>
      </c>
      <c r="C2853" t="str">
        <f>data!C2853</f>
        <v>084</v>
      </c>
      <c r="D2853" t="str">
        <f>data!D2853</f>
        <v>VIGNOBLE CASTELMAURE</v>
      </c>
      <c r="E2853" t="str">
        <f>data!E2853</f>
        <v>084001</v>
      </c>
      <c r="F2853" t="str">
        <f>data!F2853</f>
        <v>AC CORBIERES CASTELMAURE</v>
      </c>
      <c r="G2853" s="10">
        <f>data!G2853</f>
        <v>250.25</v>
      </c>
      <c r="H2853" s="10">
        <f>data!I2853</f>
        <v>931</v>
      </c>
      <c r="I2853" s="10">
        <f t="shared" si="176"/>
        <v>-680.75</v>
      </c>
      <c r="J2853" s="11">
        <f>data!H2853</f>
        <v>173.29</v>
      </c>
      <c r="K2853" s="11">
        <f>data!J2853</f>
        <v>666.5</v>
      </c>
      <c r="L2853" s="11">
        <f t="shared" si="177"/>
        <v>-493.21000000000004</v>
      </c>
      <c r="M2853" s="9">
        <f t="shared" si="178"/>
        <v>-0.73120300751879697</v>
      </c>
      <c r="N2853" s="9">
        <f t="shared" si="179"/>
        <v>-0.7400000000000001</v>
      </c>
    </row>
    <row r="2854" spans="1:14" x14ac:dyDescent="0.25">
      <c r="A2854" t="str">
        <f>TEXT("1/"&amp;data!A2854,"mmmm")</f>
        <v>novembre</v>
      </c>
      <c r="B2854">
        <f>data!B2854</f>
        <v>2016</v>
      </c>
      <c r="C2854" t="str">
        <f>data!C2854</f>
        <v>084</v>
      </c>
      <c r="D2854" t="str">
        <f>data!D2854</f>
        <v>VIGNOBLE CASTELMAURE</v>
      </c>
      <c r="E2854" t="str">
        <f>data!E2854</f>
        <v>084002</v>
      </c>
      <c r="F2854" t="str">
        <f>data!F2854</f>
        <v>AC CORBIERES CASTELMAURE</v>
      </c>
      <c r="G2854" s="10">
        <f>data!G2854</f>
        <v>369.6</v>
      </c>
      <c r="H2854" s="10">
        <f>data!I2854</f>
        <v>1914</v>
      </c>
      <c r="I2854" s="10">
        <f t="shared" si="176"/>
        <v>-1544.4</v>
      </c>
      <c r="J2854" s="11">
        <f>data!H2854</f>
        <v>220.10999999999999</v>
      </c>
      <c r="K2854" s="11">
        <f>data!J2854</f>
        <v>1173.92</v>
      </c>
      <c r="L2854" s="11">
        <f t="shared" si="177"/>
        <v>-953.81000000000006</v>
      </c>
      <c r="M2854" s="9">
        <f t="shared" si="178"/>
        <v>-0.80689655172413799</v>
      </c>
      <c r="N2854" s="9">
        <f t="shared" si="179"/>
        <v>-0.8125</v>
      </c>
    </row>
    <row r="2855" spans="1:14" x14ac:dyDescent="0.25">
      <c r="A2855" t="str">
        <f>TEXT("1/"&amp;data!A2855,"mmmm")</f>
        <v>novembre</v>
      </c>
      <c r="B2855">
        <f>data!B2855</f>
        <v>2016</v>
      </c>
      <c r="C2855" t="str">
        <f>data!C2855</f>
        <v>084</v>
      </c>
      <c r="D2855" t="str">
        <f>data!D2855</f>
        <v>VIGNOBLE CASTELMAURE</v>
      </c>
      <c r="E2855" t="str">
        <f>data!E2855</f>
        <v>084004</v>
      </c>
      <c r="F2855" t="str">
        <f>data!F2855</f>
        <v>VDT BUVETTE CASTELMAURE (x6)</v>
      </c>
      <c r="G2855" s="10">
        <f>data!G2855</f>
        <v>113.4</v>
      </c>
      <c r="H2855" s="10">
        <f>data!I2855</f>
        <v>36.9</v>
      </c>
      <c r="I2855" s="10">
        <f t="shared" si="176"/>
        <v>76.5</v>
      </c>
      <c r="J2855" s="11">
        <f>data!H2855</f>
        <v>54</v>
      </c>
      <c r="K2855" s="11">
        <f>data!J2855</f>
        <v>18</v>
      </c>
      <c r="L2855" s="11">
        <f t="shared" si="177"/>
        <v>36</v>
      </c>
      <c r="M2855" s="9">
        <f t="shared" si="178"/>
        <v>2.0731707317073171</v>
      </c>
      <c r="N2855" s="9">
        <f t="shared" si="179"/>
        <v>2</v>
      </c>
    </row>
    <row r="2856" spans="1:14" x14ac:dyDescent="0.25">
      <c r="A2856" t="str">
        <f>TEXT("1/"&amp;data!A2856,"mmmm")</f>
        <v>novembre</v>
      </c>
      <c r="B2856">
        <f>data!B2856</f>
        <v>2016</v>
      </c>
      <c r="C2856" t="str">
        <f>data!C2856</f>
        <v>084</v>
      </c>
      <c r="D2856" t="str">
        <f>data!D2856</f>
        <v>VIGNOBLE CASTELMAURE</v>
      </c>
      <c r="E2856" t="str">
        <f>data!E2856</f>
        <v>084006</v>
      </c>
      <c r="F2856" t="str">
        <f>data!F2856</f>
        <v>AOP CORBIERES LE CASTELMAURE</v>
      </c>
      <c r="G2856" s="10">
        <f>data!G2856</f>
        <v>940.5</v>
      </c>
      <c r="H2856" s="10">
        <f>data!I2856</f>
        <v>2754</v>
      </c>
      <c r="I2856" s="10">
        <f t="shared" si="176"/>
        <v>-1813.5</v>
      </c>
      <c r="J2856" s="11">
        <f>data!H2856</f>
        <v>342</v>
      </c>
      <c r="K2856" s="11">
        <f>data!J2856</f>
        <v>1020</v>
      </c>
      <c r="L2856" s="11">
        <f t="shared" si="177"/>
        <v>-678</v>
      </c>
      <c r="M2856" s="9">
        <f t="shared" si="178"/>
        <v>-0.65849673202614378</v>
      </c>
      <c r="N2856" s="9">
        <f t="shared" si="179"/>
        <v>-0.66470588235294115</v>
      </c>
    </row>
    <row r="2857" spans="1:14" x14ac:dyDescent="0.25">
      <c r="A2857" t="str">
        <f>TEXT("1/"&amp;data!A2857,"mmmm")</f>
        <v>novembre</v>
      </c>
      <c r="B2857">
        <f>data!B2857</f>
        <v>2016</v>
      </c>
      <c r="C2857" t="str">
        <f>data!C2857</f>
        <v>084</v>
      </c>
      <c r="D2857" t="str">
        <f>data!D2857</f>
        <v>VIGNOBLE CASTELMAURE</v>
      </c>
      <c r="E2857" t="str">
        <f>data!E2857</f>
        <v>084007</v>
      </c>
      <c r="F2857" t="str">
        <f>data!F2857</f>
        <v>AC CORBIERES LA POMPADOUR</v>
      </c>
      <c r="G2857" s="10">
        <f>data!G2857</f>
        <v>496.8</v>
      </c>
      <c r="H2857" s="10">
        <f>data!I2857</f>
        <v>1647</v>
      </c>
      <c r="I2857" s="10">
        <f t="shared" si="176"/>
        <v>-1150.2</v>
      </c>
      <c r="J2857" s="11">
        <f>data!H2857</f>
        <v>114</v>
      </c>
      <c r="K2857" s="11">
        <f>data!J2857</f>
        <v>366</v>
      </c>
      <c r="L2857" s="11">
        <f t="shared" si="177"/>
        <v>-252</v>
      </c>
      <c r="M2857" s="9">
        <f t="shared" si="178"/>
        <v>-0.69836065573770489</v>
      </c>
      <c r="N2857" s="9">
        <f t="shared" si="179"/>
        <v>-0.68852459016393441</v>
      </c>
    </row>
    <row r="2858" spans="1:14" x14ac:dyDescent="0.25">
      <c r="A2858" t="str">
        <f>TEXT("1/"&amp;data!A2858,"mmmm")</f>
        <v>novembre</v>
      </c>
      <c r="B2858">
        <f>data!B2858</f>
        <v>2016</v>
      </c>
      <c r="C2858" t="str">
        <f>data!C2858</f>
        <v>084</v>
      </c>
      <c r="D2858" t="str">
        <f>data!D2858</f>
        <v>VIGNOBLE CASTELMAURE</v>
      </c>
      <c r="E2858" t="str">
        <f>data!E2858</f>
        <v>084008</v>
      </c>
      <c r="F2858" t="str">
        <f>data!F2858</f>
        <v>AC CORBIERES LA GDE CUVEE</v>
      </c>
      <c r="G2858" s="10">
        <f>data!G2858</f>
        <v>179.4</v>
      </c>
      <c r="H2858" s="10">
        <f>data!I2858</f>
        <v>315.89999999999998</v>
      </c>
      <c r="I2858" s="10">
        <f t="shared" si="176"/>
        <v>-136.49999999999997</v>
      </c>
      <c r="J2858" s="11">
        <f>data!H2858</f>
        <v>30</v>
      </c>
      <c r="K2858" s="11">
        <f>data!J2858</f>
        <v>54</v>
      </c>
      <c r="L2858" s="11">
        <f t="shared" si="177"/>
        <v>-24</v>
      </c>
      <c r="M2858" s="9">
        <f t="shared" si="178"/>
        <v>-0.43209876543209869</v>
      </c>
      <c r="N2858" s="9">
        <f t="shared" si="179"/>
        <v>-0.44444444444444442</v>
      </c>
    </row>
    <row r="2859" spans="1:14" x14ac:dyDescent="0.25">
      <c r="A2859" t="str">
        <f>TEXT("1/"&amp;data!A2859,"mmmm")</f>
        <v>novembre</v>
      </c>
      <c r="B2859">
        <f>data!B2859</f>
        <v>2016</v>
      </c>
      <c r="C2859" t="str">
        <f>data!C2859</f>
        <v>084</v>
      </c>
      <c r="D2859" t="str">
        <f>data!D2859</f>
        <v>VIGNOBLE CASTELMAURE</v>
      </c>
      <c r="E2859" t="str">
        <f>data!E2859</f>
        <v>084015</v>
      </c>
      <c r="F2859" t="str">
        <f>data!F2859</f>
        <v>AC CORBIERES " LE 3 "</v>
      </c>
      <c r="G2859" s="10">
        <f>data!G2859</f>
        <v>193.5</v>
      </c>
      <c r="H2859" s="10">
        <f>data!I2859</f>
        <v>693</v>
      </c>
      <c r="I2859" s="10">
        <f t="shared" si="176"/>
        <v>-499.5</v>
      </c>
      <c r="J2859" s="11">
        <f>data!H2859</f>
        <v>18</v>
      </c>
      <c r="K2859" s="11">
        <f>data!J2859</f>
        <v>66</v>
      </c>
      <c r="L2859" s="11">
        <f t="shared" si="177"/>
        <v>-48</v>
      </c>
      <c r="M2859" s="9">
        <f t="shared" si="178"/>
        <v>-0.72077922077922074</v>
      </c>
      <c r="N2859" s="9">
        <f t="shared" si="179"/>
        <v>-0.72727272727272729</v>
      </c>
    </row>
    <row r="2860" spans="1:14" x14ac:dyDescent="0.25">
      <c r="A2860" t="str">
        <f>TEXT("1/"&amp;data!A2860,"mmmm")</f>
        <v>novembre</v>
      </c>
      <c r="B2860">
        <f>data!B2860</f>
        <v>2016</v>
      </c>
      <c r="C2860" t="str">
        <f>data!C2860</f>
        <v>084</v>
      </c>
      <c r="D2860" t="str">
        <f>data!D2860</f>
        <v>VIGNOBLE CASTELMAURE</v>
      </c>
      <c r="E2860" t="str">
        <f>data!E2860</f>
        <v>084050</v>
      </c>
      <c r="F2860" t="str">
        <f>data!F2860</f>
        <v>AOP CORBIERES "MAUVAISE REPUTATION"</v>
      </c>
      <c r="G2860" s="10">
        <f>data!G2860</f>
        <v>63</v>
      </c>
      <c r="H2860" s="10">
        <f>data!I2860</f>
        <v>0</v>
      </c>
      <c r="I2860" s="10">
        <f t="shared" si="176"/>
        <v>63</v>
      </c>
      <c r="J2860" s="11">
        <f>data!H2860</f>
        <v>6</v>
      </c>
      <c r="K2860" s="11">
        <f>data!J2860</f>
        <v>0</v>
      </c>
      <c r="L2860" s="11">
        <f t="shared" si="177"/>
        <v>6</v>
      </c>
      <c r="M2860" s="9" t="str">
        <f t="shared" si="178"/>
        <v/>
      </c>
      <c r="N2860" s="9" t="str">
        <f t="shared" si="179"/>
        <v/>
      </c>
    </row>
    <row r="2861" spans="1:14" x14ac:dyDescent="0.25">
      <c r="A2861" t="str">
        <f>TEXT("1/"&amp;data!A2861,"mmmm")</f>
        <v>novembre</v>
      </c>
      <c r="B2861">
        <f>data!B2861</f>
        <v>2016</v>
      </c>
      <c r="C2861" t="str">
        <f>data!C2861</f>
        <v>113</v>
      </c>
      <c r="D2861" t="str">
        <f>data!D2861</f>
        <v>DOMAINE DU PRIEURE</v>
      </c>
      <c r="E2861" t="str">
        <f>data!E2861</f>
        <v>113002</v>
      </c>
      <c r="F2861" t="str">
        <f>data!F2861</f>
        <v>AC MENETOU SALON. DME PRIEURE</v>
      </c>
      <c r="G2861" s="10">
        <f>data!G2861</f>
        <v>37.799999999999997</v>
      </c>
      <c r="H2861" s="10">
        <f>data!I2861</f>
        <v>36.6</v>
      </c>
      <c r="I2861" s="10">
        <f t="shared" si="176"/>
        <v>1.1999999999999957</v>
      </c>
      <c r="J2861" s="11">
        <f>data!H2861</f>
        <v>6</v>
      </c>
      <c r="K2861" s="11">
        <f>data!J2861</f>
        <v>6</v>
      </c>
      <c r="L2861" s="11">
        <f t="shared" si="177"/>
        <v>0</v>
      </c>
      <c r="M2861" s="9">
        <f t="shared" si="178"/>
        <v>3.2786885245901523E-2</v>
      </c>
      <c r="N2861" s="9">
        <f t="shared" si="179"/>
        <v>0</v>
      </c>
    </row>
    <row r="2862" spans="1:14" x14ac:dyDescent="0.25">
      <c r="A2862" t="str">
        <f>TEXT("1/"&amp;data!A2862,"mmmm")</f>
        <v>novembre</v>
      </c>
      <c r="B2862">
        <f>data!B2862</f>
        <v>2016</v>
      </c>
      <c r="C2862" t="str">
        <f>data!C2862</f>
        <v>113</v>
      </c>
      <c r="D2862" t="str">
        <f>data!D2862</f>
        <v>DOMAINE DU PRIEURE</v>
      </c>
      <c r="E2862" t="str">
        <f>data!E2862</f>
        <v>113005</v>
      </c>
      <c r="F2862" t="str">
        <f>data!F2862</f>
        <v>AC MENETOU SALON. DME PRIEURE</v>
      </c>
      <c r="G2862" s="10">
        <f>data!G2862</f>
        <v>108</v>
      </c>
      <c r="H2862" s="10">
        <f>data!I2862</f>
        <v>966</v>
      </c>
      <c r="I2862" s="10">
        <f t="shared" si="176"/>
        <v>-858</v>
      </c>
      <c r="J2862" s="11">
        <f>data!H2862</f>
        <v>18</v>
      </c>
      <c r="K2862" s="11">
        <f>data!J2862</f>
        <v>168</v>
      </c>
      <c r="L2862" s="11">
        <f t="shared" si="177"/>
        <v>-150</v>
      </c>
      <c r="M2862" s="9">
        <f t="shared" si="178"/>
        <v>-0.88819875776397517</v>
      </c>
      <c r="N2862" s="9">
        <f t="shared" si="179"/>
        <v>-0.8928571428571429</v>
      </c>
    </row>
    <row r="2863" spans="1:14" x14ac:dyDescent="0.25">
      <c r="A2863" t="str">
        <f>TEXT("1/"&amp;data!A2863,"mmmm")</f>
        <v>novembre</v>
      </c>
      <c r="B2863">
        <f>data!B2863</f>
        <v>2016</v>
      </c>
      <c r="C2863" t="str">
        <f>data!C2863</f>
        <v>113</v>
      </c>
      <c r="D2863" t="str">
        <f>data!D2863</f>
        <v>DOMAINE DU PRIEURE</v>
      </c>
      <c r="E2863" t="str">
        <f>data!E2863</f>
        <v>113006</v>
      </c>
      <c r="F2863" t="str">
        <f>data!F2863</f>
        <v>AC MENETOU SALON. DME PRIEURE</v>
      </c>
      <c r="G2863" s="10">
        <f>data!G2863</f>
        <v>79.2</v>
      </c>
      <c r="H2863" s="10">
        <f>data!I2863</f>
        <v>38.4</v>
      </c>
      <c r="I2863" s="10">
        <f t="shared" si="176"/>
        <v>40.800000000000004</v>
      </c>
      <c r="J2863" s="11">
        <f>data!H2863</f>
        <v>12</v>
      </c>
      <c r="K2863" s="11">
        <f>data!J2863</f>
        <v>6</v>
      </c>
      <c r="L2863" s="11">
        <f t="shared" si="177"/>
        <v>6</v>
      </c>
      <c r="M2863" s="9">
        <f t="shared" si="178"/>
        <v>1.0625000000000002</v>
      </c>
      <c r="N2863" s="9">
        <f t="shared" si="179"/>
        <v>1</v>
      </c>
    </row>
    <row r="2864" spans="1:14" x14ac:dyDescent="0.25">
      <c r="A2864" t="str">
        <f>TEXT("1/"&amp;data!A2864,"mmmm")</f>
        <v>novembre</v>
      </c>
      <c r="B2864">
        <f>data!B2864</f>
        <v>2016</v>
      </c>
      <c r="C2864" t="str">
        <f>data!C2864</f>
        <v>124</v>
      </c>
      <c r="D2864" t="str">
        <f>data!D2864</f>
        <v>CHATEAU BECHEREAU</v>
      </c>
      <c r="E2864" t="str">
        <f>data!E2864</f>
        <v>124001</v>
      </c>
      <c r="F2864" t="str">
        <f>data!F2864</f>
        <v>AC M ST EMILION CH BECHEREAU</v>
      </c>
      <c r="G2864" s="10">
        <f>data!G2864</f>
        <v>162</v>
      </c>
      <c r="H2864" s="10">
        <f>data!I2864</f>
        <v>866.8</v>
      </c>
      <c r="I2864" s="10">
        <f t="shared" si="176"/>
        <v>-704.8</v>
      </c>
      <c r="J2864" s="11">
        <f>data!H2864</f>
        <v>36</v>
      </c>
      <c r="K2864" s="11">
        <f>data!J2864</f>
        <v>198</v>
      </c>
      <c r="L2864" s="11">
        <f t="shared" si="177"/>
        <v>-162</v>
      </c>
      <c r="M2864" s="9">
        <f t="shared" si="178"/>
        <v>-0.81310567604983852</v>
      </c>
      <c r="N2864" s="9">
        <f t="shared" si="179"/>
        <v>-0.81818181818181823</v>
      </c>
    </row>
    <row r="2865" spans="1:14" x14ac:dyDescent="0.25">
      <c r="A2865" t="str">
        <f>TEXT("1/"&amp;data!A2865,"mmmm")</f>
        <v>novembre</v>
      </c>
      <c r="B2865">
        <f>data!B2865</f>
        <v>2016</v>
      </c>
      <c r="C2865" t="str">
        <f>data!C2865</f>
        <v>124</v>
      </c>
      <c r="D2865" t="str">
        <f>data!D2865</f>
        <v>CHATEAU BECHEREAU</v>
      </c>
      <c r="E2865" t="str">
        <f>data!E2865</f>
        <v>124005CB</v>
      </c>
      <c r="F2865" t="str">
        <f>data!F2865</f>
        <v>AC MONTAGNE CH BECHEREAU CB</v>
      </c>
      <c r="G2865" s="10">
        <f>data!G2865</f>
        <v>0</v>
      </c>
      <c r="H2865" s="10">
        <f>data!I2865</f>
        <v>0</v>
      </c>
      <c r="I2865" s="10">
        <f t="shared" si="176"/>
        <v>0</v>
      </c>
      <c r="J2865" s="11">
        <f>data!H2865</f>
        <v>3</v>
      </c>
      <c r="K2865" s="11">
        <f>data!J2865</f>
        <v>0</v>
      </c>
      <c r="L2865" s="11">
        <f t="shared" si="177"/>
        <v>3</v>
      </c>
      <c r="M2865" s="9" t="str">
        <f t="shared" si="178"/>
        <v/>
      </c>
      <c r="N2865" s="9" t="str">
        <f t="shared" si="179"/>
        <v/>
      </c>
    </row>
    <row r="2866" spans="1:14" x14ac:dyDescent="0.25">
      <c r="A2866" t="str">
        <f>TEXT("1/"&amp;data!A2866,"mmmm")</f>
        <v>décembre</v>
      </c>
      <c r="B2866">
        <f>data!B2866</f>
        <v>2016</v>
      </c>
      <c r="C2866" t="str">
        <f>data!C2866</f>
        <v>174</v>
      </c>
      <c r="D2866" t="str">
        <f>data!D2866</f>
        <v>SAS VIGNOBLES DES 3 CHATEAUX</v>
      </c>
      <c r="E2866" t="str">
        <f>data!E2866</f>
        <v>174010</v>
      </c>
      <c r="F2866" t="str">
        <f>data!F2866</f>
        <v>IGP OC MERLOT CABERNET TERROIR DES CIGALES</v>
      </c>
      <c r="G2866" s="10">
        <f>data!G2866</f>
        <v>26.8</v>
      </c>
      <c r="H2866" s="10">
        <f>data!I2866</f>
        <v>957.6</v>
      </c>
      <c r="I2866" s="10">
        <f t="shared" si="176"/>
        <v>-930.80000000000007</v>
      </c>
      <c r="J2866" s="11">
        <f>data!H2866</f>
        <v>26.66</v>
      </c>
      <c r="K2866" s="11">
        <f>data!J2866</f>
        <v>959.76</v>
      </c>
      <c r="L2866" s="11">
        <f t="shared" si="177"/>
        <v>-933.1</v>
      </c>
      <c r="M2866" s="9">
        <f t="shared" si="178"/>
        <v>-0.97201336675020888</v>
      </c>
      <c r="N2866" s="9">
        <f t="shared" si="179"/>
        <v>-0.97222222222222221</v>
      </c>
    </row>
    <row r="2867" spans="1:14" x14ac:dyDescent="0.25">
      <c r="A2867" t="str">
        <f>TEXT("1/"&amp;data!A2867,"mmmm")</f>
        <v>décembre</v>
      </c>
      <c r="B2867">
        <f>data!B2867</f>
        <v>2016</v>
      </c>
      <c r="C2867" t="str">
        <f>data!C2867</f>
        <v>174</v>
      </c>
      <c r="D2867" t="str">
        <f>data!D2867</f>
        <v>SAS VIGNOBLES DES 3 CHATEAUX</v>
      </c>
      <c r="E2867" t="str">
        <f>data!E2867</f>
        <v>174011</v>
      </c>
      <c r="F2867" t="str">
        <f>data!F2867</f>
        <v>IGP OC MERLOT CABERNET TERROIR DES CIGALES</v>
      </c>
      <c r="G2867" s="10">
        <f>data!G2867</f>
        <v>39.200000000000003</v>
      </c>
      <c r="H2867" s="10">
        <f>data!I2867</f>
        <v>716.68</v>
      </c>
      <c r="I2867" s="10">
        <f t="shared" si="176"/>
        <v>-677.4799999999999</v>
      </c>
      <c r="J2867" s="11">
        <f>data!H2867</f>
        <v>33.35</v>
      </c>
      <c r="K2867" s="11">
        <f>data!J2867</f>
        <v>613.64</v>
      </c>
      <c r="L2867" s="11">
        <f t="shared" si="177"/>
        <v>-580.29</v>
      </c>
      <c r="M2867" s="9">
        <f t="shared" si="178"/>
        <v>-0.94530334319361498</v>
      </c>
      <c r="N2867" s="9">
        <f t="shared" si="179"/>
        <v>-0.94565217391304346</v>
      </c>
    </row>
    <row r="2869" spans="1:14" x14ac:dyDescent="0.25">
      <c r="G2869" s="10">
        <f t="shared" ref="G2869:L2869" si="180">SUBTOTAL(9,G3:G2868)</f>
        <v>2082195.6999999997</v>
      </c>
      <c r="H2869" s="10">
        <f t="shared" si="180"/>
        <v>1909979.6699999971</v>
      </c>
      <c r="I2869" s="10">
        <f t="shared" si="180"/>
        <v>172216.02999999971</v>
      </c>
      <c r="J2869" s="11">
        <f t="shared" si="180"/>
        <v>1428180.4199999974</v>
      </c>
      <c r="K2869" s="11">
        <f t="shared" si="180"/>
        <v>1332945.1400000011</v>
      </c>
      <c r="L2869" s="11">
        <f t="shared" si="180"/>
        <v>95235.279999999984</v>
      </c>
      <c r="M2869" s="9">
        <f>I2869/H2869</f>
        <v>9.0166420462475375E-2</v>
      </c>
      <c r="N2869" s="9">
        <f>L2869/K2869</f>
        <v>7.1447261512953122E-2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23"/>
  <sheetViews>
    <sheetView workbookViewId="0">
      <selection activeCell="A39" sqref="A39"/>
    </sheetView>
  </sheetViews>
  <sheetFormatPr baseColWidth="10" defaultRowHeight="15" x14ac:dyDescent="0.25"/>
  <cols>
    <col min="1" max="1" width="47.28515625" customWidth="1"/>
    <col min="2" max="2" width="21.7109375" customWidth="1"/>
    <col min="3" max="3" width="8" customWidth="1"/>
    <col min="4" max="4" width="4.7109375" customWidth="1"/>
    <col min="5" max="5" width="8.28515625" customWidth="1"/>
    <col min="6" max="6" width="4.7109375" customWidth="1"/>
    <col min="7" max="7" width="8.28515625" customWidth="1"/>
    <col min="8" max="8" width="8.85546875" customWidth="1"/>
    <col min="9" max="9" width="10.85546875" customWidth="1"/>
    <col min="10" max="10" width="8.7109375" customWidth="1"/>
    <col min="11" max="11" width="4.7109375" customWidth="1"/>
    <col min="12" max="12" width="8.28515625" customWidth="1"/>
    <col min="13" max="13" width="8.85546875" customWidth="1"/>
    <col min="14" max="14" width="13.140625" customWidth="1"/>
    <col min="15" max="15" width="9.42578125" customWidth="1"/>
    <col min="16" max="16" width="8.7109375" customWidth="1"/>
    <col min="17" max="17" width="8" customWidth="1"/>
    <col min="18" max="18" width="8.28515625" customWidth="1"/>
    <col min="19" max="19" width="8.85546875" customWidth="1"/>
    <col min="20" max="20" width="18.42578125" customWidth="1"/>
    <col min="21" max="21" width="11.42578125" customWidth="1"/>
    <col min="22" max="22" width="11.140625" customWidth="1"/>
    <col min="23" max="24" width="10" customWidth="1"/>
    <col min="25" max="25" width="8.85546875" customWidth="1"/>
    <col min="26" max="26" width="18.85546875" customWidth="1"/>
    <col min="27" max="27" width="10.42578125" customWidth="1"/>
    <col min="28" max="28" width="10.140625" customWidth="1"/>
    <col min="29" max="29" width="5" customWidth="1"/>
    <col min="30" max="30" width="8.28515625" customWidth="1"/>
    <col min="31" max="31" width="8.85546875" customWidth="1"/>
    <col min="32" max="32" width="20.28515625" customWidth="1"/>
    <col min="33" max="34" width="10.42578125" customWidth="1"/>
    <col min="35" max="35" width="6" customWidth="1"/>
    <col min="36" max="36" width="8.28515625" customWidth="1"/>
    <col min="37" max="37" width="8.85546875" customWidth="1"/>
    <col min="38" max="38" width="14" customWidth="1"/>
    <col min="39" max="39" width="10.42578125" customWidth="1"/>
    <col min="40" max="40" width="10.140625" customWidth="1"/>
    <col min="41" max="41" width="5" customWidth="1"/>
    <col min="42" max="42" width="8.28515625" customWidth="1"/>
    <col min="43" max="43" width="8.85546875" customWidth="1"/>
    <col min="44" max="44" width="28.140625" bestFit="1" customWidth="1"/>
    <col min="45" max="45" width="11.42578125" customWidth="1"/>
    <col min="46" max="46" width="11.140625" customWidth="1"/>
    <col min="47" max="48" width="9" customWidth="1"/>
    <col min="49" max="49" width="8.85546875" customWidth="1"/>
    <col min="50" max="50" width="13" customWidth="1"/>
    <col min="51" max="51" width="11.42578125" customWidth="1"/>
    <col min="52" max="52" width="11.140625" customWidth="1"/>
    <col min="53" max="54" width="9" customWidth="1"/>
    <col min="55" max="55" width="8.85546875" customWidth="1"/>
    <col min="56" max="56" width="21.5703125" customWidth="1"/>
    <col min="57" max="58" width="9.42578125" customWidth="1"/>
    <col min="59" max="59" width="5" customWidth="1"/>
    <col min="60" max="60" width="8.28515625" customWidth="1"/>
    <col min="61" max="61" width="8.85546875" customWidth="1"/>
    <col min="62" max="62" width="20.42578125" customWidth="1"/>
    <col min="63" max="63" width="10.42578125" customWidth="1"/>
    <col min="64" max="64" width="9.42578125" customWidth="1"/>
    <col min="65" max="65" width="5" customWidth="1"/>
    <col min="66" max="66" width="8.28515625" customWidth="1"/>
    <col min="67" max="67" width="8.85546875" customWidth="1"/>
    <col min="68" max="68" width="29" customWidth="1"/>
    <col min="69" max="69" width="10.42578125" customWidth="1"/>
    <col min="70" max="70" width="10.140625" customWidth="1"/>
    <col min="71" max="71" width="8" customWidth="1"/>
    <col min="72" max="72" width="8.28515625" customWidth="1"/>
    <col min="73" max="73" width="8.85546875" customWidth="1"/>
    <col min="74" max="74" width="20.28515625" customWidth="1"/>
    <col min="75" max="75" width="10.42578125" customWidth="1"/>
    <col min="76" max="76" width="8.7109375" customWidth="1"/>
    <col min="77" max="77" width="5" customWidth="1"/>
    <col min="78" max="78" width="8.28515625" customWidth="1"/>
    <col min="79" max="79" width="8.85546875" customWidth="1"/>
    <col min="80" max="80" width="21.5703125" customWidth="1"/>
    <col min="81" max="81" width="10.42578125" customWidth="1"/>
    <col min="82" max="82" width="10.140625" customWidth="1"/>
    <col min="83" max="83" width="8" customWidth="1"/>
    <col min="84" max="84" width="9" customWidth="1"/>
    <col min="85" max="85" width="8.85546875" customWidth="1"/>
    <col min="86" max="86" width="24.5703125" customWidth="1"/>
    <col min="87" max="87" width="10.42578125" customWidth="1"/>
    <col min="88" max="88" width="10.140625" customWidth="1"/>
    <col min="89" max="89" width="5" customWidth="1"/>
    <col min="90" max="90" width="8.28515625" customWidth="1"/>
    <col min="91" max="91" width="8.85546875" customWidth="1"/>
    <col min="92" max="92" width="21.42578125" customWidth="1"/>
    <col min="93" max="93" width="10.42578125" customWidth="1"/>
    <col min="94" max="94" width="10.140625" customWidth="1"/>
    <col min="95" max="95" width="5" customWidth="1"/>
    <col min="96" max="96" width="8.28515625" customWidth="1"/>
    <col min="97" max="97" width="8.85546875" customWidth="1"/>
    <col min="98" max="98" width="19.140625" customWidth="1"/>
    <col min="99" max="99" width="10.42578125" customWidth="1"/>
    <col min="100" max="100" width="10.140625" customWidth="1"/>
    <col min="101" max="101" width="5" customWidth="1"/>
    <col min="102" max="102" width="8.28515625" customWidth="1"/>
    <col min="103" max="103" width="8.85546875" customWidth="1"/>
    <col min="104" max="104" width="16.5703125" customWidth="1"/>
    <col min="105" max="105" width="9.42578125" customWidth="1"/>
    <col min="106" max="106" width="8.7109375" customWidth="1"/>
    <col min="107" max="107" width="8" customWidth="1"/>
    <col min="108" max="108" width="8.28515625" customWidth="1"/>
    <col min="109" max="109" width="8.85546875" customWidth="1"/>
    <col min="110" max="110" width="25.140625" bestFit="1" customWidth="1"/>
    <col min="111" max="111" width="10.42578125" customWidth="1"/>
    <col min="112" max="112" width="8.7109375" customWidth="1"/>
    <col min="113" max="113" width="5" customWidth="1"/>
    <col min="114" max="114" width="8.28515625" customWidth="1"/>
    <col min="115" max="115" width="8.85546875" customWidth="1"/>
    <col min="116" max="116" width="31.5703125" customWidth="1"/>
    <col min="117" max="117" width="10.42578125" customWidth="1"/>
    <col min="118" max="118" width="10.140625" customWidth="1"/>
    <col min="119" max="119" width="5" customWidth="1"/>
    <col min="120" max="120" width="8.28515625" customWidth="1"/>
    <col min="121" max="121" width="8.85546875" customWidth="1"/>
    <col min="122" max="122" width="23.85546875" customWidth="1"/>
    <col min="123" max="123" width="9.42578125" customWidth="1"/>
    <col min="124" max="124" width="10.140625" customWidth="1"/>
    <col min="125" max="125" width="8" customWidth="1"/>
    <col min="126" max="126" width="8.28515625" customWidth="1"/>
    <col min="127" max="127" width="8.85546875" customWidth="1"/>
    <col min="128" max="128" width="25.140625" customWidth="1"/>
    <col min="129" max="130" width="9.42578125" customWidth="1"/>
    <col min="131" max="131" width="5" customWidth="1"/>
    <col min="132" max="132" width="8.28515625" customWidth="1"/>
    <col min="133" max="133" width="8.85546875" customWidth="1"/>
    <col min="134" max="134" width="25.140625" customWidth="1"/>
    <col min="135" max="135" width="10.42578125" customWidth="1"/>
    <col min="136" max="136" width="11.140625" customWidth="1"/>
    <col min="137" max="138" width="9" customWidth="1"/>
    <col min="139" max="139" width="8.85546875" customWidth="1"/>
    <col min="140" max="140" width="23.140625" customWidth="1"/>
    <col min="141" max="142" width="8" customWidth="1"/>
    <col min="143" max="143" width="4.7109375" customWidth="1"/>
    <col min="144" max="144" width="8.28515625" customWidth="1"/>
    <col min="145" max="145" width="8.85546875" customWidth="1"/>
    <col min="146" max="146" width="21.42578125" customWidth="1"/>
    <col min="147" max="147" width="10.42578125" customWidth="1"/>
    <col min="148" max="148" width="10.140625" customWidth="1"/>
    <col min="149" max="149" width="5" customWidth="1"/>
    <col min="150" max="150" width="8.28515625" customWidth="1"/>
    <col min="151" max="151" width="8.85546875" customWidth="1"/>
    <col min="152" max="152" width="41.5703125" customWidth="1"/>
    <col min="153" max="153" width="10.42578125" customWidth="1"/>
    <col min="154" max="154" width="10.140625" customWidth="1"/>
    <col min="155" max="155" width="5" customWidth="1"/>
    <col min="156" max="156" width="8.28515625" customWidth="1"/>
    <col min="157" max="157" width="8.85546875" customWidth="1"/>
    <col min="158" max="158" width="16.28515625" customWidth="1"/>
    <col min="159" max="159" width="10.42578125" customWidth="1"/>
    <col min="160" max="160" width="11.140625" customWidth="1"/>
    <col min="161" max="161" width="6" customWidth="1"/>
    <col min="162" max="162" width="8.28515625" customWidth="1"/>
    <col min="163" max="163" width="8.85546875" customWidth="1"/>
    <col min="164" max="164" width="21.28515625" customWidth="1"/>
    <col min="165" max="165" width="10.42578125" customWidth="1"/>
    <col min="166" max="166" width="10.140625" customWidth="1"/>
    <col min="167" max="167" width="6" customWidth="1"/>
    <col min="168" max="168" width="8.28515625" customWidth="1"/>
    <col min="169" max="169" width="8.85546875" customWidth="1"/>
    <col min="170" max="170" width="20.7109375" customWidth="1"/>
    <col min="171" max="171" width="10.42578125" customWidth="1"/>
    <col min="172" max="172" width="10.140625" customWidth="1"/>
    <col min="173" max="173" width="8" customWidth="1"/>
    <col min="174" max="174" width="8.28515625" customWidth="1"/>
    <col min="175" max="175" width="8.85546875" customWidth="1"/>
    <col min="176" max="176" width="27" customWidth="1"/>
    <col min="177" max="177" width="9.42578125" customWidth="1"/>
    <col min="178" max="178" width="8.7109375" customWidth="1"/>
    <col min="179" max="179" width="5" customWidth="1"/>
    <col min="180" max="180" width="8.28515625" customWidth="1"/>
    <col min="181" max="181" width="8.85546875" customWidth="1"/>
    <col min="182" max="182" width="20.28515625" customWidth="1"/>
    <col min="183" max="183" width="8" customWidth="1"/>
    <col min="184" max="184" width="8.7109375" customWidth="1"/>
    <col min="185" max="185" width="4.7109375" customWidth="1"/>
    <col min="186" max="186" width="8.28515625" customWidth="1"/>
    <col min="187" max="187" width="8.85546875" customWidth="1"/>
    <col min="188" max="188" width="23.85546875" customWidth="1"/>
    <col min="189" max="189" width="8" customWidth="1"/>
    <col min="190" max="190" width="8.7109375" customWidth="1"/>
    <col min="191" max="191" width="4.7109375" customWidth="1"/>
    <col min="192" max="192" width="8.28515625" customWidth="1"/>
    <col min="193" max="193" width="8.85546875" customWidth="1"/>
    <col min="194" max="194" width="23.7109375" bestFit="1" customWidth="1"/>
    <col min="195" max="195" width="9.42578125" customWidth="1"/>
    <col min="196" max="196" width="8.7109375" customWidth="1"/>
    <col min="197" max="197" width="7" customWidth="1"/>
    <col min="198" max="198" width="8.28515625" customWidth="1"/>
    <col min="199" max="199" width="8.85546875" customWidth="1"/>
    <col min="200" max="200" width="23.140625" customWidth="1"/>
    <col min="201" max="202" width="10.42578125" customWidth="1"/>
    <col min="203" max="203" width="9" customWidth="1"/>
    <col min="204" max="204" width="8.28515625" customWidth="1"/>
    <col min="205" max="205" width="8.85546875" customWidth="1"/>
    <col min="206" max="206" width="20.28515625" customWidth="1"/>
    <col min="207" max="207" width="9.42578125" customWidth="1"/>
    <col min="208" max="208" width="8.7109375" customWidth="1"/>
    <col min="209" max="209" width="5" customWidth="1"/>
    <col min="210" max="210" width="8.28515625" customWidth="1"/>
    <col min="211" max="211" width="8.85546875" customWidth="1"/>
    <col min="212" max="212" width="23.7109375" customWidth="1"/>
    <col min="213" max="213" width="7" customWidth="1"/>
    <col min="214" max="214" width="7.5703125" customWidth="1"/>
    <col min="215" max="215" width="4.7109375" customWidth="1"/>
    <col min="216" max="216" width="8.28515625" customWidth="1"/>
    <col min="217" max="217" width="8.85546875" customWidth="1"/>
    <col min="218" max="218" width="21.7109375" customWidth="1"/>
    <col min="219" max="219" width="10.42578125" customWidth="1"/>
    <col min="220" max="220" width="10.140625" customWidth="1"/>
    <col min="221" max="221" width="5" customWidth="1"/>
    <col min="222" max="222" width="8.28515625" customWidth="1"/>
    <col min="223" max="223" width="8.85546875" customWidth="1"/>
    <col min="224" max="224" width="24.42578125" customWidth="1"/>
    <col min="225" max="225" width="9.42578125" customWidth="1"/>
    <col min="226" max="226" width="8.7109375" customWidth="1"/>
    <col min="227" max="227" width="5" customWidth="1"/>
    <col min="228" max="228" width="8.28515625" customWidth="1"/>
    <col min="229" max="229" width="8.85546875" customWidth="1"/>
    <col min="230" max="230" width="19.7109375" customWidth="1"/>
    <col min="231" max="231" width="9.42578125" customWidth="1"/>
    <col min="232" max="232" width="10.140625" customWidth="1"/>
    <col min="233" max="233" width="5" customWidth="1"/>
    <col min="234" max="234" width="8.28515625" customWidth="1"/>
    <col min="235" max="235" width="8.85546875" customWidth="1"/>
    <col min="236" max="236" width="26.140625" customWidth="1"/>
    <col min="237" max="237" width="7" customWidth="1"/>
    <col min="238" max="238" width="7.5703125" customWidth="1"/>
    <col min="239" max="239" width="5" customWidth="1"/>
    <col min="240" max="240" width="8.28515625" customWidth="1"/>
    <col min="241" max="241" width="8.85546875" customWidth="1"/>
    <col min="242" max="242" width="21" customWidth="1"/>
    <col min="243" max="243" width="10.42578125" customWidth="1"/>
    <col min="244" max="244" width="8" customWidth="1"/>
    <col min="245" max="245" width="5" customWidth="1"/>
    <col min="246" max="246" width="8.28515625" customWidth="1"/>
    <col min="247" max="247" width="8.85546875" customWidth="1"/>
    <col min="248" max="248" width="18" customWidth="1"/>
    <col min="249" max="249" width="8" customWidth="1"/>
    <col min="250" max="250" width="7.7109375" customWidth="1"/>
    <col min="251" max="251" width="4.7109375" customWidth="1"/>
    <col min="252" max="252" width="8.28515625" customWidth="1"/>
    <col min="253" max="253" width="8.85546875" customWidth="1"/>
    <col min="254" max="254" width="22.140625" customWidth="1"/>
    <col min="255" max="255" width="7" customWidth="1"/>
    <col min="256" max="256" width="7.5703125" customWidth="1"/>
    <col min="257" max="257" width="4.7109375" customWidth="1"/>
    <col min="258" max="258" width="8.28515625" customWidth="1"/>
    <col min="259" max="259" width="8.85546875" customWidth="1"/>
    <col min="260" max="260" width="19" customWidth="1"/>
    <col min="261" max="262" width="9.42578125" customWidth="1"/>
    <col min="263" max="263" width="8" customWidth="1"/>
    <col min="264" max="264" width="8.28515625" customWidth="1"/>
    <col min="265" max="265" width="8.85546875" customWidth="1"/>
    <col min="266" max="266" width="17.28515625" customWidth="1"/>
    <col min="267" max="267" width="10.42578125" customWidth="1"/>
    <col min="268" max="268" width="9.42578125" customWidth="1"/>
    <col min="269" max="269" width="5" customWidth="1"/>
    <col min="270" max="270" width="8.28515625" customWidth="1"/>
    <col min="271" max="271" width="8.85546875" customWidth="1"/>
    <col min="272" max="272" width="28.140625" customWidth="1"/>
    <col min="273" max="273" width="9.42578125" customWidth="1"/>
    <col min="274" max="274" width="8" customWidth="1"/>
    <col min="275" max="275" width="5" customWidth="1"/>
    <col min="276" max="276" width="8.28515625" customWidth="1"/>
    <col min="277" max="277" width="8.85546875" customWidth="1"/>
    <col min="278" max="278" width="18.5703125" customWidth="1"/>
    <col min="279" max="280" width="9.42578125" customWidth="1"/>
    <col min="281" max="281" width="5" customWidth="1"/>
    <col min="282" max="282" width="8.28515625" customWidth="1"/>
    <col min="283" max="283" width="8.85546875" customWidth="1"/>
    <col min="284" max="284" width="27.42578125" bestFit="1" customWidth="1"/>
    <col min="285" max="285" width="10.42578125" customWidth="1"/>
    <col min="286" max="286" width="9.42578125" customWidth="1"/>
    <col min="287" max="287" width="5" customWidth="1"/>
    <col min="288" max="288" width="8.28515625" customWidth="1"/>
    <col min="289" max="289" width="8.85546875" customWidth="1"/>
    <col min="290" max="290" width="8" customWidth="1"/>
    <col min="291" max="291" width="7" customWidth="1"/>
    <col min="292" max="292" width="8" customWidth="1"/>
    <col min="293" max="293" width="4.7109375" customWidth="1"/>
    <col min="294" max="294" width="8.28515625" customWidth="1"/>
    <col min="295" max="295" width="8.85546875" customWidth="1"/>
    <col min="296" max="296" width="21.7109375" customWidth="1"/>
    <col min="297" max="297" width="9.42578125" customWidth="1"/>
    <col min="298" max="298" width="7.5703125" customWidth="1"/>
    <col min="299" max="300" width="9" customWidth="1"/>
    <col min="301" max="301" width="8.85546875" customWidth="1"/>
    <col min="302" max="302" width="24.85546875" bestFit="1" customWidth="1"/>
    <col min="303" max="303" width="9.42578125" customWidth="1"/>
    <col min="304" max="304" width="8" customWidth="1"/>
    <col min="305" max="305" width="5" customWidth="1"/>
    <col min="306" max="306" width="8.28515625" customWidth="1"/>
    <col min="307" max="307" width="8.85546875" customWidth="1"/>
    <col min="308" max="308" width="32.28515625" bestFit="1" customWidth="1"/>
    <col min="309" max="309" width="9.42578125" customWidth="1"/>
    <col min="310" max="310" width="10.140625" customWidth="1"/>
    <col min="311" max="311" width="8" customWidth="1"/>
    <col min="312" max="312" width="8.28515625" customWidth="1"/>
    <col min="313" max="313" width="8.85546875" customWidth="1"/>
    <col min="314" max="314" width="19.42578125" customWidth="1"/>
    <col min="315" max="315" width="10.42578125" customWidth="1"/>
    <col min="316" max="316" width="10.140625" customWidth="1"/>
    <col min="317" max="317" width="5" customWidth="1"/>
    <col min="318" max="318" width="8.28515625" customWidth="1"/>
    <col min="319" max="319" width="8.85546875" customWidth="1"/>
    <col min="320" max="320" width="10.5703125" customWidth="1"/>
    <col min="321" max="321" width="10.42578125" customWidth="1"/>
    <col min="322" max="322" width="10.140625" customWidth="1"/>
    <col min="323" max="323" width="8" customWidth="1"/>
    <col min="324" max="324" width="8.28515625" customWidth="1"/>
    <col min="325" max="325" width="8.85546875" customWidth="1"/>
    <col min="326" max="326" width="14.42578125" customWidth="1"/>
    <col min="327" max="327" width="7" customWidth="1"/>
    <col min="328" max="328" width="7.5703125" customWidth="1"/>
    <col min="329" max="329" width="4.7109375" customWidth="1"/>
    <col min="330" max="330" width="8.28515625" customWidth="1"/>
    <col min="331" max="331" width="8.85546875" customWidth="1"/>
    <col min="332" max="332" width="24.28515625" bestFit="1" customWidth="1"/>
    <col min="333" max="333" width="10.42578125" customWidth="1"/>
    <col min="334" max="334" width="10.140625" customWidth="1"/>
    <col min="335" max="335" width="5" customWidth="1"/>
    <col min="336" max="336" width="8.28515625" customWidth="1"/>
    <col min="337" max="337" width="8.85546875" customWidth="1"/>
    <col min="338" max="338" width="11.85546875" customWidth="1"/>
    <col min="339" max="339" width="7" customWidth="1"/>
    <col min="340" max="340" width="7.5703125" customWidth="1"/>
    <col min="341" max="341" width="4.7109375" customWidth="1"/>
    <col min="342" max="342" width="8.28515625" customWidth="1"/>
    <col min="343" max="343" width="8.85546875" customWidth="1"/>
    <col min="344" max="344" width="18" customWidth="1"/>
    <col min="345" max="345" width="9.42578125" customWidth="1"/>
    <col min="346" max="346" width="7.7109375" customWidth="1"/>
    <col min="347" max="347" width="5" customWidth="1"/>
    <col min="348" max="348" width="8.28515625" customWidth="1"/>
    <col min="349" max="349" width="8.85546875" customWidth="1"/>
    <col min="350" max="350" width="29.140625" customWidth="1"/>
    <col min="351" max="351" width="9.42578125" customWidth="1"/>
    <col min="352" max="352" width="8.7109375" customWidth="1"/>
    <col min="353" max="353" width="5" customWidth="1"/>
    <col min="354" max="354" width="8.28515625" customWidth="1"/>
    <col min="355" max="355" width="8.85546875" customWidth="1"/>
    <col min="356" max="356" width="31.140625" bestFit="1" customWidth="1"/>
    <col min="357" max="357" width="9.42578125" customWidth="1"/>
    <col min="358" max="358" width="10.140625" customWidth="1"/>
    <col min="359" max="359" width="7" customWidth="1"/>
    <col min="360" max="360" width="8.28515625" customWidth="1"/>
    <col min="361" max="361" width="8.85546875" customWidth="1"/>
    <col min="362" max="362" width="20.140625" customWidth="1"/>
    <col min="363" max="363" width="10.42578125" customWidth="1"/>
    <col min="364" max="364" width="10.140625" customWidth="1"/>
    <col min="365" max="365" width="5" customWidth="1"/>
    <col min="366" max="366" width="8.28515625" customWidth="1"/>
    <col min="367" max="367" width="8.85546875" customWidth="1"/>
    <col min="368" max="368" width="24.140625" customWidth="1"/>
    <col min="369" max="370" width="9.42578125" customWidth="1"/>
    <col min="371" max="371" width="5" customWidth="1"/>
    <col min="372" max="372" width="8.28515625" customWidth="1"/>
    <col min="373" max="373" width="8.85546875" customWidth="1"/>
    <col min="374" max="374" width="14.7109375" customWidth="1"/>
    <col min="375" max="375" width="9.42578125" customWidth="1"/>
    <col min="376" max="376" width="8.7109375" customWidth="1"/>
    <col min="377" max="377" width="5" customWidth="1"/>
    <col min="378" max="378" width="8.28515625" customWidth="1"/>
    <col min="379" max="379" width="8.85546875" customWidth="1"/>
    <col min="380" max="380" width="30.42578125" customWidth="1"/>
    <col min="381" max="382" width="10.42578125" customWidth="1"/>
    <col min="383" max="384" width="9" customWidth="1"/>
    <col min="385" max="385" width="8.85546875" customWidth="1"/>
    <col min="386" max="386" width="25.5703125" customWidth="1"/>
    <col min="387" max="387" width="9.42578125" customWidth="1"/>
    <col min="388" max="388" width="7.5703125" customWidth="1"/>
    <col min="389" max="389" width="5" customWidth="1"/>
    <col min="390" max="390" width="8.28515625" customWidth="1"/>
    <col min="391" max="391" width="8.85546875" customWidth="1"/>
    <col min="392" max="392" width="26.140625" bestFit="1" customWidth="1"/>
    <col min="393" max="393" width="10.42578125" customWidth="1"/>
    <col min="394" max="394" width="10.140625" customWidth="1"/>
    <col min="395" max="395" width="8" customWidth="1"/>
    <col min="396" max="396" width="8.28515625" customWidth="1"/>
    <col min="397" max="397" width="8.85546875" customWidth="1"/>
    <col min="398" max="398" width="15.7109375" customWidth="1"/>
    <col min="399" max="399" width="7" customWidth="1"/>
    <col min="400" max="400" width="7.5703125" customWidth="1"/>
    <col min="401" max="401" width="4.7109375" customWidth="1"/>
    <col min="402" max="402" width="8.28515625" customWidth="1"/>
    <col min="403" max="403" width="8.85546875" customWidth="1"/>
    <col min="404" max="404" width="18.140625" customWidth="1"/>
    <col min="405" max="405" width="10.42578125" customWidth="1"/>
    <col min="406" max="406" width="10.140625" customWidth="1"/>
    <col min="407" max="407" width="8" customWidth="1"/>
    <col min="408" max="408" width="8.28515625" customWidth="1"/>
    <col min="409" max="409" width="8.85546875" customWidth="1"/>
    <col min="410" max="410" width="23.85546875" customWidth="1"/>
    <col min="411" max="411" width="10.42578125" customWidth="1"/>
    <col min="412" max="412" width="9.42578125" customWidth="1"/>
    <col min="413" max="414" width="9" customWidth="1"/>
    <col min="415" max="415" width="8.85546875" customWidth="1"/>
    <col min="416" max="416" width="18.5703125" customWidth="1"/>
    <col min="417" max="417" width="10.42578125" customWidth="1"/>
    <col min="418" max="418" width="10.140625" customWidth="1"/>
    <col min="419" max="419" width="5" customWidth="1"/>
    <col min="420" max="420" width="8.28515625" customWidth="1"/>
    <col min="421" max="421" width="8.85546875" customWidth="1"/>
    <col min="422" max="422" width="25" customWidth="1"/>
    <col min="423" max="423" width="10.42578125" customWidth="1"/>
    <col min="424" max="424" width="10.140625" customWidth="1"/>
    <col min="425" max="425" width="8" customWidth="1"/>
    <col min="426" max="426" width="8.28515625" customWidth="1"/>
    <col min="427" max="427" width="8.85546875" customWidth="1"/>
    <col min="428" max="428" width="15.5703125" customWidth="1"/>
    <col min="429" max="429" width="10.42578125" customWidth="1"/>
    <col min="430" max="430" width="11.140625" customWidth="1"/>
    <col min="431" max="432" width="9" customWidth="1"/>
    <col min="433" max="433" width="8.85546875" customWidth="1"/>
    <col min="434" max="434" width="24.85546875" customWidth="1"/>
    <col min="435" max="436" width="9.42578125" customWidth="1"/>
    <col min="437" max="437" width="5" customWidth="1"/>
    <col min="438" max="438" width="8.28515625" customWidth="1"/>
    <col min="439" max="439" width="8.85546875" customWidth="1"/>
    <col min="440" max="440" width="21.85546875" customWidth="1"/>
    <col min="441" max="441" width="18.42578125" bestFit="1" customWidth="1"/>
    <col min="442" max="442" width="18.85546875" bestFit="1" customWidth="1"/>
    <col min="443" max="443" width="20.28515625" bestFit="1" customWidth="1"/>
    <col min="444" max="444" width="14" customWidth="1"/>
    <col min="445" max="445" width="28.140625" bestFit="1" customWidth="1"/>
    <col min="446" max="446" width="13" customWidth="1"/>
    <col min="447" max="447" width="21.5703125" bestFit="1" customWidth="1"/>
    <col min="448" max="448" width="20.42578125" bestFit="1" customWidth="1"/>
    <col min="449" max="449" width="29" bestFit="1" customWidth="1"/>
    <col min="450" max="450" width="20.28515625" bestFit="1" customWidth="1"/>
    <col min="451" max="451" width="21.5703125" bestFit="1" customWidth="1"/>
    <col min="452" max="452" width="28.42578125" bestFit="1" customWidth="1"/>
    <col min="453" max="453" width="18.28515625" bestFit="1" customWidth="1"/>
    <col min="454" max="454" width="24.5703125" bestFit="1" customWidth="1"/>
    <col min="455" max="455" width="21.42578125" bestFit="1" customWidth="1"/>
    <col min="456" max="456" width="19.140625" bestFit="1" customWidth="1"/>
    <col min="457" max="457" width="16.5703125" customWidth="1"/>
    <col min="458" max="458" width="25.140625" bestFit="1" customWidth="1"/>
    <col min="459" max="459" width="31.5703125" bestFit="1" customWidth="1"/>
    <col min="460" max="460" width="23.85546875" bestFit="1" customWidth="1"/>
    <col min="461" max="462" width="25.140625" bestFit="1" customWidth="1"/>
    <col min="463" max="463" width="23.140625" bestFit="1" customWidth="1"/>
    <col min="464" max="464" width="21.42578125" customWidth="1"/>
    <col min="465" max="465" width="41.5703125" bestFit="1" customWidth="1"/>
    <col min="466" max="466" width="16.28515625" bestFit="1" customWidth="1"/>
    <col min="467" max="467" width="21.28515625" bestFit="1" customWidth="1"/>
    <col min="468" max="468" width="20.7109375" bestFit="1" customWidth="1"/>
    <col min="469" max="469" width="27" bestFit="1" customWidth="1"/>
    <col min="470" max="470" width="24.28515625" bestFit="1" customWidth="1"/>
    <col min="471" max="471" width="20.28515625" bestFit="1" customWidth="1"/>
    <col min="472" max="472" width="23.85546875" bestFit="1" customWidth="1"/>
    <col min="473" max="473" width="26.7109375" bestFit="1" customWidth="1"/>
    <col min="474" max="474" width="23.7109375" bestFit="1" customWidth="1"/>
    <col min="475" max="475" width="23.140625" bestFit="1" customWidth="1"/>
    <col min="476" max="476" width="20.28515625" customWidth="1"/>
    <col min="477" max="477" width="23.7109375" bestFit="1" customWidth="1"/>
    <col min="478" max="478" width="21.7109375" bestFit="1" customWidth="1"/>
    <col min="479" max="479" width="24.42578125" bestFit="1" customWidth="1"/>
    <col min="480" max="480" width="19.7109375" bestFit="1" customWidth="1"/>
    <col min="481" max="481" width="26.140625" bestFit="1" customWidth="1"/>
    <col min="482" max="482" width="27" customWidth="1"/>
    <col min="483" max="483" width="21" bestFit="1" customWidth="1"/>
    <col min="484" max="484" width="18" bestFit="1" customWidth="1"/>
    <col min="485" max="485" width="22.140625" bestFit="1" customWidth="1"/>
    <col min="486" max="486" width="19" bestFit="1" customWidth="1"/>
    <col min="487" max="487" width="17.28515625" customWidth="1"/>
    <col min="488" max="488" width="28.140625" bestFit="1" customWidth="1"/>
    <col min="489" max="489" width="18.5703125" bestFit="1" customWidth="1"/>
    <col min="490" max="490" width="27.42578125" bestFit="1" customWidth="1"/>
    <col min="491" max="491" width="20.7109375" bestFit="1" customWidth="1"/>
    <col min="492" max="492" width="8.7109375" customWidth="1"/>
    <col min="493" max="493" width="5.85546875" customWidth="1"/>
    <col min="494" max="494" width="21.7109375" bestFit="1" customWidth="1"/>
    <col min="495" max="495" width="17.5703125" bestFit="1" customWidth="1"/>
    <col min="496" max="496" width="24.85546875" bestFit="1" customWidth="1"/>
    <col min="497" max="497" width="32.28515625" bestFit="1" customWidth="1"/>
    <col min="498" max="498" width="19.42578125" bestFit="1" customWidth="1"/>
    <col min="499" max="499" width="10.5703125" customWidth="1"/>
    <col min="500" max="500" width="14.42578125" customWidth="1"/>
    <col min="501" max="501" width="24.28515625" bestFit="1" customWidth="1"/>
    <col min="502" max="502" width="11.85546875" customWidth="1"/>
    <col min="503" max="503" width="18" customWidth="1"/>
    <col min="504" max="504" width="29.140625" bestFit="1" customWidth="1"/>
    <col min="505" max="505" width="31.140625" bestFit="1" customWidth="1"/>
    <col min="506" max="506" width="20.140625" customWidth="1"/>
    <col min="507" max="507" width="24.140625" bestFit="1" customWidth="1"/>
    <col min="508" max="508" width="16.85546875" bestFit="1" customWidth="1"/>
    <col min="509" max="509" width="14.7109375" customWidth="1"/>
    <col min="510" max="510" width="30.42578125" bestFit="1" customWidth="1"/>
    <col min="511" max="511" width="18.5703125" bestFit="1" customWidth="1"/>
    <col min="512" max="512" width="25.5703125" bestFit="1" customWidth="1"/>
    <col min="513" max="513" width="26.140625" bestFit="1" customWidth="1"/>
    <col min="514" max="514" width="15.7109375" bestFit="1" customWidth="1"/>
    <col min="515" max="515" width="18.140625" customWidth="1"/>
    <col min="516" max="516" width="24.5703125" bestFit="1" customWidth="1"/>
    <col min="517" max="517" width="24" bestFit="1" customWidth="1"/>
    <col min="518" max="518" width="23.85546875" customWidth="1"/>
    <col min="519" max="519" width="18.5703125" bestFit="1" customWidth="1"/>
    <col min="520" max="521" width="25" bestFit="1" customWidth="1"/>
    <col min="522" max="522" width="15.5703125" customWidth="1"/>
    <col min="523" max="523" width="24.85546875" bestFit="1" customWidth="1"/>
    <col min="524" max="524" width="21.7109375" bestFit="1" customWidth="1"/>
    <col min="525" max="525" width="19.85546875" bestFit="1" customWidth="1"/>
    <col min="526" max="526" width="22.85546875" bestFit="1" customWidth="1"/>
    <col min="527" max="527" width="19.28515625" bestFit="1" customWidth="1"/>
    <col min="528" max="528" width="20.85546875" bestFit="1" customWidth="1"/>
    <col min="529" max="529" width="23.85546875" bestFit="1" customWidth="1"/>
  </cols>
  <sheetData>
    <row r="1" spans="1:5" x14ac:dyDescent="0.25">
      <c r="B1" s="2"/>
    </row>
    <row r="2" spans="1:5" x14ac:dyDescent="0.25">
      <c r="B2" s="2"/>
    </row>
    <row r="6" spans="1:5" x14ac:dyDescent="0.25">
      <c r="A6" t="s">
        <v>21</v>
      </c>
      <c r="B6">
        <f>Feuil1!B1</f>
        <v>2016</v>
      </c>
    </row>
    <row r="7" spans="1:5" x14ac:dyDescent="0.25">
      <c r="A7" s="7" t="s">
        <v>15</v>
      </c>
      <c r="B7" s="4">
        <v>1</v>
      </c>
    </row>
    <row r="8" spans="1:5" x14ac:dyDescent="0.25">
      <c r="A8" s="2"/>
      <c r="B8" s="3"/>
      <c r="C8" s="3"/>
      <c r="D8" s="1"/>
    </row>
    <row r="9" spans="1:5" x14ac:dyDescent="0.25">
      <c r="A9" s="6"/>
      <c r="B9" s="6" t="s">
        <v>0</v>
      </c>
      <c r="C9" s="6"/>
      <c r="D9" s="6"/>
      <c r="E9" s="6"/>
    </row>
    <row r="10" spans="1:5" x14ac:dyDescent="0.25">
      <c r="A10" s="6"/>
      <c r="B10" s="6" t="s">
        <v>17</v>
      </c>
      <c r="C10" s="6" t="s">
        <v>18</v>
      </c>
      <c r="D10" s="6" t="s">
        <v>19</v>
      </c>
      <c r="E10" s="6" t="s">
        <v>20</v>
      </c>
    </row>
    <row r="11" spans="1:5" x14ac:dyDescent="0.25">
      <c r="A11" s="4" t="s">
        <v>10</v>
      </c>
      <c r="B11" s="5">
        <v>35.28</v>
      </c>
      <c r="C11" s="5"/>
      <c r="D11" s="8">
        <v>1</v>
      </c>
      <c r="E11" s="8"/>
    </row>
    <row r="12" spans="1:5" x14ac:dyDescent="0.25">
      <c r="A12" s="4" t="s">
        <v>3</v>
      </c>
      <c r="B12" s="5">
        <v>79.790000000000006</v>
      </c>
      <c r="C12" s="5"/>
      <c r="D12" s="8">
        <v>1</v>
      </c>
      <c r="E12" s="8"/>
    </row>
    <row r="13" spans="1:5" x14ac:dyDescent="0.25">
      <c r="A13" s="4" t="s">
        <v>1</v>
      </c>
      <c r="B13" s="5">
        <v>567.09999999999991</v>
      </c>
      <c r="C13" s="5"/>
      <c r="D13" s="8">
        <v>5</v>
      </c>
      <c r="E13" s="8"/>
    </row>
    <row r="14" spans="1:5" x14ac:dyDescent="0.25">
      <c r="A14" s="4" t="s">
        <v>4</v>
      </c>
      <c r="B14" s="5">
        <v>69.17</v>
      </c>
      <c r="C14" s="5"/>
      <c r="D14" s="8">
        <v>1</v>
      </c>
      <c r="E14" s="8"/>
    </row>
    <row r="15" spans="1:5" x14ac:dyDescent="0.25">
      <c r="A15" s="4" t="s">
        <v>8</v>
      </c>
      <c r="B15" s="5">
        <v>62.21</v>
      </c>
      <c r="C15" s="5"/>
      <c r="D15" s="8">
        <v>1</v>
      </c>
      <c r="E15" s="8"/>
    </row>
    <row r="16" spans="1:5" x14ac:dyDescent="0.25">
      <c r="A16" s="4" t="s">
        <v>7</v>
      </c>
      <c r="B16" s="5">
        <v>49.07</v>
      </c>
      <c r="C16" s="5"/>
      <c r="D16" s="8">
        <v>1</v>
      </c>
      <c r="E16" s="8"/>
    </row>
    <row r="17" spans="1:5" x14ac:dyDescent="0.25">
      <c r="A17" s="4" t="s">
        <v>2</v>
      </c>
      <c r="B17" s="5">
        <v>84.22</v>
      </c>
      <c r="C17" s="5"/>
      <c r="D17" s="8">
        <v>2</v>
      </c>
      <c r="E17" s="8"/>
    </row>
    <row r="18" spans="1:5" x14ac:dyDescent="0.25">
      <c r="A18" s="4" t="s">
        <v>6</v>
      </c>
      <c r="B18" s="5">
        <v>37.69</v>
      </c>
      <c r="C18" s="5">
        <v>38.56</v>
      </c>
      <c r="D18" s="8">
        <v>1</v>
      </c>
      <c r="E18" s="8">
        <v>1</v>
      </c>
    </row>
    <row r="19" spans="1:5" x14ac:dyDescent="0.25">
      <c r="A19" s="4" t="s">
        <v>11</v>
      </c>
      <c r="B19" s="5">
        <v>36.799999999999997</v>
      </c>
      <c r="C19" s="5"/>
      <c r="D19" s="8">
        <v>1</v>
      </c>
      <c r="E19" s="8"/>
    </row>
    <row r="20" spans="1:5" x14ac:dyDescent="0.25">
      <c r="A20" s="4" t="s">
        <v>12</v>
      </c>
      <c r="B20" s="5">
        <v>71.84</v>
      </c>
      <c r="C20" s="5"/>
      <c r="D20" s="8">
        <v>2</v>
      </c>
      <c r="E20" s="8"/>
    </row>
    <row r="21" spans="1:5" x14ac:dyDescent="0.25">
      <c r="A21" s="4" t="s">
        <v>5</v>
      </c>
      <c r="B21" s="5">
        <v>30.67</v>
      </c>
      <c r="C21" s="5">
        <v>122.66</v>
      </c>
      <c r="D21" s="8">
        <v>1</v>
      </c>
      <c r="E21" s="8">
        <v>4</v>
      </c>
    </row>
    <row r="22" spans="1:5" x14ac:dyDescent="0.25">
      <c r="A22" s="4" t="s">
        <v>9</v>
      </c>
      <c r="B22" s="5">
        <v>30.31</v>
      </c>
      <c r="C22" s="5"/>
      <c r="D22" s="8">
        <v>1</v>
      </c>
      <c r="E22" s="8"/>
    </row>
    <row r="23" spans="1:5" x14ac:dyDescent="0.25">
      <c r="A23" s="4" t="s">
        <v>13</v>
      </c>
      <c r="B23" s="5">
        <v>1154.1499999999999</v>
      </c>
      <c r="C23" s="5">
        <v>161.22</v>
      </c>
      <c r="D23" s="8">
        <v>18</v>
      </c>
      <c r="E23" s="8">
        <v>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data</vt:lpstr>
      <vt:lpstr>TABLEAU</vt:lpstr>
      <vt:lpstr>TCD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</dc:creator>
  <cp:lastModifiedBy>COLLIN</cp:lastModifiedBy>
  <dcterms:created xsi:type="dcterms:W3CDTF">2017-03-08T08:03:04Z</dcterms:created>
  <dcterms:modified xsi:type="dcterms:W3CDTF">2017-03-09T16:00:55Z</dcterms:modified>
</cp:coreProperties>
</file>