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120" yWindow="60" windowWidth="18915" windowHeight="11835" tabRatio="255"/>
  </bookViews>
  <sheets>
    <sheet name="Feuil1" sheetId="1" r:id="rId1"/>
    <sheet name="data" sheetId="6" r:id="rId2"/>
    <sheet name="TABLEAU" sheetId="12" r:id="rId3"/>
  </sheets>
  <definedNames>
    <definedName name="_xlnm._FilterDatabase" localSheetId="2" hidden="1">TABLEAU!$B$1:$M$2</definedName>
    <definedName name="Lancer_la_requête_à_partir_de_vnc5" localSheetId="1" hidden="1">data!$A$1:$H$1620</definedName>
    <definedName name="Lancer_la_requête_à_partir_de_vnc5" localSheetId="2" hidden="1">TABLEAU!#REF!</definedName>
  </definedNames>
  <calcPr calcId="145621"/>
</workbook>
</file>

<file path=xl/calcChain.xml><?xml version="1.0" encoding="utf-8"?>
<calcChain xmlns="http://schemas.openxmlformats.org/spreadsheetml/2006/main">
  <c r="E3" i="12" l="1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A3" i="12"/>
  <c r="B3" i="12"/>
  <c r="C3" i="12"/>
  <c r="D3" i="12"/>
  <c r="A4" i="12"/>
  <c r="B4" i="12"/>
  <c r="C4" i="12"/>
  <c r="D4" i="12"/>
  <c r="A5" i="12"/>
  <c r="B5" i="12"/>
  <c r="C5" i="12"/>
  <c r="D5" i="12"/>
  <c r="A6" i="12"/>
  <c r="B6" i="12"/>
  <c r="C6" i="12"/>
  <c r="D6" i="12"/>
  <c r="A7" i="12"/>
  <c r="B7" i="12"/>
  <c r="C7" i="12"/>
  <c r="D7" i="12"/>
  <c r="A8" i="12"/>
  <c r="B8" i="12"/>
  <c r="C8" i="12"/>
  <c r="D8" i="12"/>
  <c r="A9" i="12"/>
  <c r="B9" i="12"/>
  <c r="C9" i="12"/>
  <c r="D9" i="12"/>
  <c r="A10" i="12"/>
  <c r="B10" i="12"/>
  <c r="C10" i="12"/>
  <c r="D10" i="12"/>
  <c r="A11" i="12"/>
  <c r="B11" i="12"/>
  <c r="C11" i="12"/>
  <c r="D11" i="12"/>
  <c r="A12" i="12"/>
  <c r="B12" i="12"/>
  <c r="C12" i="12"/>
  <c r="D12" i="12"/>
  <c r="A13" i="12"/>
  <c r="B13" i="12"/>
  <c r="C13" i="12"/>
  <c r="D13" i="12"/>
  <c r="A14" i="12"/>
  <c r="B14" i="12"/>
  <c r="C14" i="12"/>
  <c r="D14" i="12"/>
  <c r="A15" i="12"/>
  <c r="B15" i="12"/>
  <c r="C15" i="12"/>
  <c r="D15" i="12"/>
  <c r="A16" i="12"/>
  <c r="B16" i="12"/>
  <c r="C16" i="12"/>
  <c r="D16" i="12"/>
  <c r="A17" i="12"/>
  <c r="B17" i="12"/>
  <c r="C17" i="12"/>
  <c r="D17" i="12"/>
  <c r="A18" i="12"/>
  <c r="B18" i="12"/>
  <c r="C18" i="12"/>
  <c r="D18" i="12"/>
  <c r="A19" i="12"/>
  <c r="B19" i="12"/>
  <c r="C19" i="12"/>
  <c r="D19" i="12"/>
  <c r="A20" i="12"/>
  <c r="B20" i="12"/>
  <c r="C20" i="12"/>
  <c r="D20" i="12"/>
  <c r="A21" i="12"/>
  <c r="B21" i="12"/>
  <c r="C21" i="12"/>
  <c r="D21" i="12"/>
  <c r="A22" i="12"/>
  <c r="B22" i="12"/>
  <c r="C22" i="12"/>
  <c r="D22" i="12"/>
  <c r="A23" i="12"/>
  <c r="B23" i="12"/>
  <c r="C23" i="12"/>
  <c r="D23" i="12"/>
  <c r="A24" i="12"/>
  <c r="B24" i="12"/>
  <c r="C24" i="12"/>
  <c r="D24" i="12"/>
  <c r="A25" i="12"/>
  <c r="B25" i="12"/>
  <c r="C25" i="12"/>
  <c r="D25" i="12"/>
  <c r="A26" i="12"/>
  <c r="B26" i="12"/>
  <c r="C26" i="12"/>
  <c r="D26" i="12"/>
  <c r="A27" i="12"/>
  <c r="B27" i="12"/>
  <c r="C27" i="12"/>
  <c r="D27" i="12"/>
  <c r="A28" i="12"/>
  <c r="B28" i="12"/>
  <c r="C28" i="12"/>
  <c r="D28" i="12"/>
  <c r="A29" i="12"/>
  <c r="B29" i="12"/>
  <c r="C29" i="12"/>
  <c r="D29" i="12"/>
  <c r="A30" i="12"/>
  <c r="B30" i="12"/>
  <c r="C30" i="12"/>
  <c r="D30" i="12"/>
  <c r="A31" i="12"/>
  <c r="B31" i="12"/>
  <c r="C31" i="12"/>
  <c r="D31" i="12"/>
  <c r="A32" i="12"/>
  <c r="B32" i="12"/>
  <c r="C32" i="12"/>
  <c r="D32" i="12"/>
  <c r="A33" i="12"/>
  <c r="B33" i="12"/>
  <c r="C33" i="12"/>
  <c r="D33" i="12"/>
  <c r="A34" i="12"/>
  <c r="B34" i="12"/>
  <c r="C34" i="12"/>
  <c r="D34" i="12"/>
  <c r="A35" i="12"/>
  <c r="B35" i="12"/>
  <c r="C35" i="12"/>
  <c r="D35" i="12"/>
  <c r="A36" i="12"/>
  <c r="B36" i="12"/>
  <c r="C36" i="12"/>
  <c r="D36" i="12"/>
  <c r="A37" i="12"/>
  <c r="B37" i="12"/>
  <c r="C37" i="12"/>
  <c r="D37" i="12"/>
  <c r="A38" i="12"/>
  <c r="B38" i="12"/>
  <c r="C38" i="12"/>
  <c r="D38" i="12"/>
  <c r="A39" i="12"/>
  <c r="B39" i="12"/>
  <c r="C39" i="12"/>
  <c r="D39" i="12"/>
  <c r="A40" i="12"/>
  <c r="B40" i="12"/>
  <c r="C40" i="12"/>
  <c r="D40" i="12"/>
  <c r="A41" i="12"/>
  <c r="B41" i="12"/>
  <c r="C41" i="12"/>
  <c r="D41" i="12"/>
  <c r="A42" i="12"/>
  <c r="B42" i="12"/>
  <c r="C42" i="12"/>
  <c r="D42" i="12"/>
  <c r="A43" i="12"/>
  <c r="B43" i="12"/>
  <c r="C43" i="12"/>
  <c r="D43" i="12"/>
  <c r="A44" i="12"/>
  <c r="B44" i="12"/>
  <c r="C44" i="12"/>
  <c r="D44" i="12"/>
  <c r="A45" i="12"/>
  <c r="B45" i="12"/>
  <c r="C45" i="12"/>
  <c r="D45" i="12"/>
  <c r="A46" i="12"/>
  <c r="B46" i="12"/>
  <c r="C46" i="12"/>
  <c r="D46" i="12"/>
  <c r="A47" i="12"/>
  <c r="B47" i="12"/>
  <c r="C47" i="12"/>
  <c r="D47" i="12"/>
  <c r="A48" i="12"/>
  <c r="B48" i="12"/>
  <c r="C48" i="12"/>
  <c r="D48" i="12"/>
  <c r="A49" i="12"/>
  <c r="B49" i="12"/>
  <c r="C49" i="12"/>
  <c r="D49" i="12"/>
  <c r="A50" i="12"/>
  <c r="B50" i="12"/>
  <c r="C50" i="12"/>
  <c r="D50" i="12"/>
  <c r="A51" i="12"/>
  <c r="B51" i="12"/>
  <c r="C51" i="12"/>
  <c r="D51" i="12"/>
  <c r="A52" i="12"/>
  <c r="B52" i="12"/>
  <c r="C52" i="12"/>
  <c r="D52" i="12"/>
  <c r="A53" i="12"/>
  <c r="B53" i="12"/>
  <c r="C53" i="12"/>
  <c r="D53" i="12"/>
  <c r="A54" i="12"/>
  <c r="B54" i="12"/>
  <c r="C54" i="12"/>
  <c r="D54" i="12"/>
  <c r="A55" i="12"/>
  <c r="B55" i="12"/>
  <c r="C55" i="12"/>
  <c r="D55" i="12"/>
  <c r="A56" i="12"/>
  <c r="B56" i="12"/>
  <c r="C56" i="12"/>
  <c r="D56" i="12"/>
  <c r="A57" i="12"/>
  <c r="B57" i="12"/>
  <c r="C57" i="12"/>
  <c r="D57" i="12"/>
  <c r="A58" i="12"/>
  <c r="B58" i="12"/>
  <c r="C58" i="12"/>
  <c r="D58" i="12"/>
  <c r="A59" i="12"/>
  <c r="B59" i="12"/>
  <c r="C59" i="12"/>
  <c r="D59" i="12"/>
  <c r="A60" i="12"/>
  <c r="B60" i="12"/>
  <c r="C60" i="12"/>
  <c r="D60" i="12"/>
  <c r="A61" i="12"/>
  <c r="B61" i="12"/>
  <c r="C61" i="12"/>
  <c r="D61" i="12"/>
  <c r="A62" i="12"/>
  <c r="B62" i="12"/>
  <c r="C62" i="12"/>
  <c r="D62" i="12"/>
  <c r="A63" i="12"/>
  <c r="B63" i="12"/>
  <c r="C63" i="12"/>
  <c r="D63" i="12"/>
  <c r="A64" i="12"/>
  <c r="B64" i="12"/>
  <c r="C64" i="12"/>
  <c r="D64" i="12"/>
  <c r="A65" i="12"/>
  <c r="B65" i="12"/>
  <c r="C65" i="12"/>
  <c r="D65" i="12"/>
  <c r="A66" i="12"/>
  <c r="B66" i="12"/>
  <c r="C66" i="12"/>
  <c r="D66" i="12"/>
  <c r="A67" i="12"/>
  <c r="B67" i="12"/>
  <c r="C67" i="12"/>
  <c r="D67" i="12"/>
  <c r="A68" i="12"/>
  <c r="B68" i="12"/>
  <c r="C68" i="12"/>
  <c r="D68" i="12"/>
  <c r="A69" i="12"/>
  <c r="B69" i="12"/>
  <c r="C69" i="12"/>
  <c r="D69" i="12"/>
  <c r="A70" i="12"/>
  <c r="B70" i="12"/>
  <c r="C70" i="12"/>
  <c r="D70" i="12"/>
  <c r="A71" i="12"/>
  <c r="B71" i="12"/>
  <c r="C71" i="12"/>
  <c r="D71" i="12"/>
  <c r="A72" i="12"/>
  <c r="B72" i="12"/>
  <c r="C72" i="12"/>
  <c r="D72" i="12"/>
  <c r="A73" i="12"/>
  <c r="B73" i="12"/>
  <c r="C73" i="12"/>
  <c r="D73" i="12"/>
  <c r="A74" i="12"/>
  <c r="B74" i="12"/>
  <c r="C74" i="12"/>
  <c r="D74" i="12"/>
  <c r="A75" i="12"/>
  <c r="B75" i="12"/>
  <c r="C75" i="12"/>
  <c r="D75" i="12"/>
  <c r="A76" i="12"/>
  <c r="B76" i="12"/>
  <c r="C76" i="12"/>
  <c r="D76" i="12"/>
  <c r="A77" i="12"/>
  <c r="B77" i="12"/>
  <c r="C77" i="12"/>
  <c r="D77" i="12"/>
  <c r="A78" i="12"/>
  <c r="B78" i="12"/>
  <c r="C78" i="12"/>
  <c r="D78" i="12"/>
  <c r="A79" i="12"/>
  <c r="B79" i="12"/>
  <c r="C79" i="12"/>
  <c r="D79" i="12"/>
  <c r="A80" i="12"/>
  <c r="B80" i="12"/>
  <c r="C80" i="12"/>
  <c r="D80" i="12"/>
  <c r="A81" i="12"/>
  <c r="B81" i="12"/>
  <c r="C81" i="12"/>
  <c r="D81" i="12"/>
  <c r="A82" i="12"/>
  <c r="B82" i="12"/>
  <c r="C82" i="12"/>
  <c r="D82" i="12"/>
  <c r="A83" i="12"/>
  <c r="B83" i="12"/>
  <c r="C83" i="12"/>
  <c r="D83" i="12"/>
  <c r="A84" i="12"/>
  <c r="B84" i="12"/>
  <c r="C84" i="12"/>
  <c r="D84" i="12"/>
  <c r="A85" i="12"/>
  <c r="B85" i="12"/>
  <c r="C85" i="12"/>
  <c r="D85" i="12"/>
  <c r="A86" i="12"/>
  <c r="B86" i="12"/>
  <c r="C86" i="12"/>
  <c r="D86" i="12"/>
  <c r="A87" i="12"/>
  <c r="B87" i="12"/>
  <c r="C87" i="12"/>
  <c r="D87" i="12"/>
  <c r="A88" i="12"/>
  <c r="B88" i="12"/>
  <c r="C88" i="12"/>
  <c r="D88" i="12"/>
  <c r="A89" i="12"/>
  <c r="B89" i="12"/>
  <c r="C89" i="12"/>
  <c r="D89" i="12"/>
  <c r="A90" i="12"/>
  <c r="B90" i="12"/>
  <c r="C90" i="12"/>
  <c r="D90" i="12"/>
  <c r="A91" i="12"/>
  <c r="B91" i="12"/>
  <c r="C91" i="12"/>
  <c r="D91" i="12"/>
  <c r="A92" i="12"/>
  <c r="B92" i="12"/>
  <c r="C92" i="12"/>
  <c r="D92" i="12"/>
  <c r="A93" i="12"/>
  <c r="B93" i="12"/>
  <c r="C93" i="12"/>
  <c r="D93" i="12"/>
  <c r="A94" i="12"/>
  <c r="B94" i="12"/>
  <c r="C94" i="12"/>
  <c r="D94" i="12"/>
  <c r="A95" i="12"/>
  <c r="B95" i="12"/>
  <c r="C95" i="12"/>
  <c r="D95" i="12"/>
  <c r="A96" i="12"/>
  <c r="B96" i="12"/>
  <c r="C96" i="12"/>
  <c r="D96" i="12"/>
  <c r="A97" i="12"/>
  <c r="B97" i="12"/>
  <c r="C97" i="12"/>
  <c r="D97" i="12"/>
  <c r="A98" i="12"/>
  <c r="B98" i="12"/>
  <c r="C98" i="12"/>
  <c r="D98" i="12"/>
  <c r="A99" i="12"/>
  <c r="B99" i="12"/>
  <c r="C99" i="12"/>
  <c r="D99" i="12"/>
  <c r="A100" i="12"/>
  <c r="B100" i="12"/>
  <c r="C100" i="12"/>
  <c r="D100" i="12"/>
  <c r="A101" i="12"/>
  <c r="B101" i="12"/>
  <c r="C101" i="12"/>
  <c r="D101" i="12"/>
  <c r="A102" i="12"/>
  <c r="B102" i="12"/>
  <c r="C102" i="12"/>
  <c r="D102" i="12"/>
  <c r="A103" i="12"/>
  <c r="B103" i="12"/>
  <c r="C103" i="12"/>
  <c r="D103" i="12"/>
  <c r="A104" i="12"/>
  <c r="B104" i="12"/>
  <c r="C104" i="12"/>
  <c r="D104" i="12"/>
  <c r="A105" i="12"/>
  <c r="B105" i="12"/>
  <c r="C105" i="12"/>
  <c r="D105" i="12"/>
  <c r="A106" i="12"/>
  <c r="B106" i="12"/>
  <c r="C106" i="12"/>
  <c r="D106" i="12"/>
  <c r="A107" i="12"/>
  <c r="B107" i="12"/>
  <c r="C107" i="12"/>
  <c r="D107" i="12"/>
  <c r="A108" i="12"/>
  <c r="B108" i="12"/>
  <c r="C108" i="12"/>
  <c r="D108" i="12"/>
  <c r="A109" i="12"/>
  <c r="B109" i="12"/>
  <c r="C109" i="12"/>
  <c r="D109" i="12"/>
  <c r="A110" i="12"/>
  <c r="B110" i="12"/>
  <c r="C110" i="12"/>
  <c r="D110" i="12"/>
  <c r="A111" i="12"/>
  <c r="B111" i="12"/>
  <c r="C111" i="12"/>
  <c r="D111" i="12"/>
  <c r="A112" i="12"/>
  <c r="B112" i="12"/>
  <c r="C112" i="12"/>
  <c r="D112" i="12"/>
  <c r="A113" i="12"/>
  <c r="B113" i="12"/>
  <c r="C113" i="12"/>
  <c r="D113" i="12"/>
  <c r="A114" i="12"/>
  <c r="B114" i="12"/>
  <c r="C114" i="12"/>
  <c r="D114" i="12"/>
  <c r="A115" i="12"/>
  <c r="B115" i="12"/>
  <c r="C115" i="12"/>
  <c r="D115" i="12"/>
  <c r="A116" i="12"/>
  <c r="B116" i="12"/>
  <c r="C116" i="12"/>
  <c r="D116" i="12"/>
  <c r="A117" i="12"/>
  <c r="B117" i="12"/>
  <c r="C117" i="12"/>
  <c r="D117" i="12"/>
  <c r="A118" i="12"/>
  <c r="B118" i="12"/>
  <c r="C118" i="12"/>
  <c r="D118" i="12"/>
  <c r="A119" i="12"/>
  <c r="B119" i="12"/>
  <c r="C119" i="12"/>
  <c r="D119" i="12"/>
  <c r="A120" i="12"/>
  <c r="B120" i="12"/>
  <c r="C120" i="12"/>
  <c r="D120" i="12"/>
  <c r="A121" i="12"/>
  <c r="B121" i="12"/>
  <c r="C121" i="12"/>
  <c r="D121" i="12"/>
  <c r="A122" i="12"/>
  <c r="B122" i="12"/>
  <c r="C122" i="12"/>
  <c r="D122" i="12"/>
  <c r="A123" i="12"/>
  <c r="B123" i="12"/>
  <c r="C123" i="12"/>
  <c r="D123" i="12"/>
  <c r="A124" i="12"/>
  <c r="B124" i="12"/>
  <c r="C124" i="12"/>
  <c r="D124" i="12"/>
  <c r="A125" i="12"/>
  <c r="B125" i="12"/>
  <c r="C125" i="12"/>
  <c r="D125" i="12"/>
  <c r="A126" i="12"/>
  <c r="B126" i="12"/>
  <c r="C126" i="12"/>
  <c r="D126" i="12"/>
  <c r="A127" i="12"/>
  <c r="B127" i="12"/>
  <c r="C127" i="12"/>
  <c r="D127" i="12"/>
  <c r="A128" i="12"/>
  <c r="B128" i="12"/>
  <c r="C128" i="12"/>
  <c r="D128" i="12"/>
  <c r="A129" i="12"/>
  <c r="B129" i="12"/>
  <c r="C129" i="12"/>
  <c r="D129" i="12"/>
  <c r="A130" i="12"/>
  <c r="B130" i="12"/>
  <c r="C130" i="12"/>
  <c r="D130" i="12"/>
  <c r="A131" i="12"/>
  <c r="B131" i="12"/>
  <c r="C131" i="12"/>
  <c r="D131" i="12"/>
  <c r="A132" i="12"/>
  <c r="B132" i="12"/>
  <c r="C132" i="12"/>
  <c r="D132" i="12"/>
  <c r="A133" i="12"/>
  <c r="B133" i="12"/>
  <c r="C133" i="12"/>
  <c r="D133" i="12"/>
  <c r="A134" i="12"/>
  <c r="B134" i="12"/>
  <c r="C134" i="12"/>
  <c r="D134" i="12"/>
  <c r="A135" i="12"/>
  <c r="B135" i="12"/>
  <c r="C135" i="12"/>
  <c r="D135" i="12"/>
  <c r="A136" i="12"/>
  <c r="B136" i="12"/>
  <c r="C136" i="12"/>
  <c r="D136" i="12"/>
  <c r="A137" i="12"/>
  <c r="B137" i="12"/>
  <c r="C137" i="12"/>
  <c r="D137" i="12"/>
  <c r="A138" i="12"/>
  <c r="B138" i="12"/>
  <c r="C138" i="12"/>
  <c r="D138" i="12"/>
  <c r="A139" i="12"/>
  <c r="B139" i="12"/>
  <c r="C139" i="12"/>
  <c r="D139" i="12"/>
  <c r="A140" i="12"/>
  <c r="B140" i="12"/>
  <c r="C140" i="12"/>
  <c r="D140" i="12"/>
  <c r="A141" i="12"/>
  <c r="B141" i="12"/>
  <c r="C141" i="12"/>
  <c r="D141" i="12"/>
  <c r="A142" i="12"/>
  <c r="B142" i="12"/>
  <c r="C142" i="12"/>
  <c r="D142" i="12"/>
  <c r="A143" i="12"/>
  <c r="B143" i="12"/>
  <c r="C143" i="12"/>
  <c r="D143" i="12"/>
  <c r="A144" i="12"/>
  <c r="B144" i="12"/>
  <c r="C144" i="12"/>
  <c r="D144" i="12"/>
  <c r="A145" i="12"/>
  <c r="B145" i="12"/>
  <c r="C145" i="12"/>
  <c r="D145" i="12"/>
  <c r="A146" i="12"/>
  <c r="B146" i="12"/>
  <c r="C146" i="12"/>
  <c r="D146" i="12"/>
  <c r="A147" i="12"/>
  <c r="B147" i="12"/>
  <c r="C147" i="12"/>
  <c r="D147" i="12"/>
  <c r="A148" i="12"/>
  <c r="B148" i="12"/>
  <c r="C148" i="12"/>
  <c r="D148" i="12"/>
  <c r="A149" i="12"/>
  <c r="B149" i="12"/>
  <c r="C149" i="12"/>
  <c r="D149" i="12"/>
  <c r="A150" i="12"/>
  <c r="B150" i="12"/>
  <c r="C150" i="12"/>
  <c r="D150" i="12"/>
  <c r="A151" i="12"/>
  <c r="B151" i="12"/>
  <c r="C151" i="12"/>
  <c r="D151" i="12"/>
  <c r="A152" i="12"/>
  <c r="B152" i="12"/>
  <c r="C152" i="12"/>
  <c r="D152" i="12"/>
  <c r="A153" i="12"/>
  <c r="B153" i="12"/>
  <c r="C153" i="12"/>
  <c r="D153" i="12"/>
  <c r="A154" i="12"/>
  <c r="B154" i="12"/>
  <c r="C154" i="12"/>
  <c r="D154" i="12"/>
  <c r="A155" i="12"/>
  <c r="B155" i="12"/>
  <c r="C155" i="12"/>
  <c r="D155" i="12"/>
  <c r="A156" i="12"/>
  <c r="B156" i="12"/>
  <c r="C156" i="12"/>
  <c r="D156" i="12"/>
  <c r="A157" i="12"/>
  <c r="B157" i="12"/>
  <c r="C157" i="12"/>
  <c r="D157" i="12"/>
  <c r="A158" i="12"/>
  <c r="B158" i="12"/>
  <c r="C158" i="12"/>
  <c r="D158" i="12"/>
  <c r="A159" i="12"/>
  <c r="B159" i="12"/>
  <c r="C159" i="12"/>
  <c r="D159" i="12"/>
  <c r="A160" i="12"/>
  <c r="B160" i="12"/>
  <c r="C160" i="12"/>
  <c r="D160" i="12"/>
  <c r="A161" i="12"/>
  <c r="B161" i="12"/>
  <c r="C161" i="12"/>
  <c r="D161" i="12"/>
  <c r="A162" i="12"/>
  <c r="B162" i="12"/>
  <c r="C162" i="12"/>
  <c r="D162" i="12"/>
  <c r="A163" i="12"/>
  <c r="B163" i="12"/>
  <c r="C163" i="12"/>
  <c r="D163" i="12"/>
  <c r="A164" i="12"/>
  <c r="B164" i="12"/>
  <c r="C164" i="12"/>
  <c r="D164" i="12"/>
  <c r="A165" i="12"/>
  <c r="B165" i="12"/>
  <c r="C165" i="12"/>
  <c r="D165" i="12"/>
  <c r="A166" i="12"/>
  <c r="B166" i="12"/>
  <c r="C166" i="12"/>
  <c r="D166" i="12"/>
  <c r="A167" i="12"/>
  <c r="B167" i="12"/>
  <c r="C167" i="12"/>
  <c r="D167" i="12"/>
  <c r="A168" i="12"/>
  <c r="B168" i="12"/>
  <c r="C168" i="12"/>
  <c r="D168" i="12"/>
  <c r="A169" i="12"/>
  <c r="B169" i="12"/>
  <c r="C169" i="12"/>
  <c r="D169" i="12"/>
  <c r="A170" i="12"/>
  <c r="B170" i="12"/>
  <c r="C170" i="12"/>
  <c r="D170" i="12"/>
  <c r="A171" i="12"/>
  <c r="B171" i="12"/>
  <c r="C171" i="12"/>
  <c r="D171" i="12"/>
  <c r="A172" i="12"/>
  <c r="B172" i="12"/>
  <c r="C172" i="12"/>
  <c r="D172" i="12"/>
  <c r="A173" i="12"/>
  <c r="B173" i="12"/>
  <c r="C173" i="12"/>
  <c r="D173" i="12"/>
  <c r="A174" i="12"/>
  <c r="B174" i="12"/>
  <c r="C174" i="12"/>
  <c r="D174" i="12"/>
  <c r="A175" i="12"/>
  <c r="B175" i="12"/>
  <c r="C175" i="12"/>
  <c r="D175" i="12"/>
  <c r="A176" i="12"/>
  <c r="B176" i="12"/>
  <c r="C176" i="12"/>
  <c r="D176" i="12"/>
  <c r="A177" i="12"/>
  <c r="B177" i="12"/>
  <c r="C177" i="12"/>
  <c r="D177" i="12"/>
  <c r="A178" i="12"/>
  <c r="B178" i="12"/>
  <c r="C178" i="12"/>
  <c r="D178" i="12"/>
  <c r="A179" i="12"/>
  <c r="B179" i="12"/>
  <c r="C179" i="12"/>
  <c r="D179" i="12"/>
  <c r="A180" i="12"/>
  <c r="B180" i="12"/>
  <c r="C180" i="12"/>
  <c r="D180" i="12"/>
  <c r="A181" i="12"/>
  <c r="B181" i="12"/>
  <c r="C181" i="12"/>
  <c r="D181" i="12"/>
  <c r="A182" i="12"/>
  <c r="B182" i="12"/>
  <c r="C182" i="12"/>
  <c r="D182" i="12"/>
  <c r="A183" i="12"/>
  <c r="B183" i="12"/>
  <c r="C183" i="12"/>
  <c r="D183" i="12"/>
  <c r="A184" i="12"/>
  <c r="B184" i="12"/>
  <c r="C184" i="12"/>
  <c r="D184" i="12"/>
  <c r="A185" i="12"/>
  <c r="B185" i="12"/>
  <c r="C185" i="12"/>
  <c r="D185" i="12"/>
  <c r="A186" i="12"/>
  <c r="B186" i="12"/>
  <c r="C186" i="12"/>
  <c r="D186" i="12"/>
  <c r="A187" i="12"/>
  <c r="B187" i="12"/>
  <c r="C187" i="12"/>
  <c r="D187" i="12"/>
  <c r="A188" i="12"/>
  <c r="B188" i="12"/>
  <c r="C188" i="12"/>
  <c r="D188" i="12"/>
  <c r="A189" i="12"/>
  <c r="B189" i="12"/>
  <c r="C189" i="12"/>
  <c r="D189" i="12"/>
  <c r="A190" i="12"/>
  <c r="B190" i="12"/>
  <c r="C190" i="12"/>
  <c r="D190" i="12"/>
  <c r="A191" i="12"/>
  <c r="B191" i="12"/>
  <c r="C191" i="12"/>
  <c r="D191" i="12"/>
  <c r="A192" i="12"/>
  <c r="B192" i="12"/>
  <c r="C192" i="12"/>
  <c r="D192" i="12"/>
  <c r="A193" i="12"/>
  <c r="B193" i="12"/>
  <c r="C193" i="12"/>
  <c r="D193" i="12"/>
  <c r="A194" i="12"/>
  <c r="B194" i="12"/>
  <c r="C194" i="12"/>
  <c r="D194" i="12"/>
  <c r="A195" i="12"/>
  <c r="B195" i="12"/>
  <c r="C195" i="12"/>
  <c r="D195" i="12"/>
  <c r="A196" i="12"/>
  <c r="B196" i="12"/>
  <c r="C196" i="12"/>
  <c r="D196" i="12"/>
  <c r="A197" i="12"/>
  <c r="B197" i="12"/>
  <c r="C197" i="12"/>
  <c r="D197" i="12"/>
  <c r="A198" i="12"/>
  <c r="B198" i="12"/>
  <c r="C198" i="12"/>
  <c r="D198" i="12"/>
  <c r="A199" i="12"/>
  <c r="B199" i="12"/>
  <c r="C199" i="12"/>
  <c r="D199" i="12"/>
  <c r="A200" i="12"/>
  <c r="B200" i="12"/>
  <c r="C200" i="12"/>
  <c r="D200" i="12"/>
  <c r="A201" i="12"/>
  <c r="B201" i="12"/>
  <c r="C201" i="12"/>
  <c r="D201" i="12"/>
  <c r="A202" i="12"/>
  <c r="B202" i="12"/>
  <c r="C202" i="12"/>
  <c r="D202" i="12"/>
  <c r="A203" i="12"/>
  <c r="B203" i="12"/>
  <c r="C203" i="12"/>
  <c r="D203" i="12"/>
  <c r="A204" i="12"/>
  <c r="B204" i="12"/>
  <c r="C204" i="12"/>
  <c r="D204" i="12"/>
  <c r="A205" i="12"/>
  <c r="B205" i="12"/>
  <c r="C205" i="12"/>
  <c r="D205" i="12"/>
  <c r="A206" i="12"/>
  <c r="B206" i="12"/>
  <c r="C206" i="12"/>
  <c r="D206" i="12"/>
  <c r="A207" i="12"/>
  <c r="B207" i="12"/>
  <c r="C207" i="12"/>
  <c r="D207" i="12"/>
  <c r="A208" i="12"/>
  <c r="B208" i="12"/>
  <c r="C208" i="12"/>
  <c r="D208" i="12"/>
  <c r="A209" i="12"/>
  <c r="B209" i="12"/>
  <c r="C209" i="12"/>
  <c r="D209" i="12"/>
  <c r="A210" i="12"/>
  <c r="B210" i="12"/>
  <c r="C210" i="12"/>
  <c r="D210" i="12"/>
  <c r="A211" i="12"/>
  <c r="B211" i="12"/>
  <c r="C211" i="12"/>
  <c r="D211" i="12"/>
  <c r="A212" i="12"/>
  <c r="B212" i="12"/>
  <c r="C212" i="12"/>
  <c r="D212" i="12"/>
  <c r="A213" i="12"/>
  <c r="B213" i="12"/>
  <c r="C213" i="12"/>
  <c r="D213" i="12"/>
  <c r="A214" i="12"/>
  <c r="B214" i="12"/>
  <c r="C214" i="12"/>
  <c r="D214" i="12"/>
  <c r="A215" i="12"/>
  <c r="B215" i="12"/>
  <c r="C215" i="12"/>
  <c r="D215" i="12"/>
  <c r="A216" i="12"/>
  <c r="B216" i="12"/>
  <c r="C216" i="12"/>
  <c r="D216" i="12"/>
  <c r="A217" i="12"/>
  <c r="B217" i="12"/>
  <c r="C217" i="12"/>
  <c r="D217" i="12"/>
  <c r="A218" i="12"/>
  <c r="B218" i="12"/>
  <c r="C218" i="12"/>
  <c r="D218" i="12"/>
  <c r="A219" i="12"/>
  <c r="B219" i="12"/>
  <c r="C219" i="12"/>
  <c r="D219" i="12"/>
  <c r="A220" i="12"/>
  <c r="B220" i="12"/>
  <c r="C220" i="12"/>
  <c r="D220" i="12"/>
  <c r="A221" i="12"/>
  <c r="B221" i="12"/>
  <c r="C221" i="12"/>
  <c r="D221" i="12"/>
  <c r="A222" i="12"/>
  <c r="B222" i="12"/>
  <c r="C222" i="12"/>
  <c r="D222" i="12"/>
  <c r="A223" i="12"/>
  <c r="B223" i="12"/>
  <c r="C223" i="12"/>
  <c r="D223" i="12"/>
  <c r="A224" i="12"/>
  <c r="B224" i="12"/>
  <c r="C224" i="12"/>
  <c r="D224" i="12"/>
  <c r="A225" i="12"/>
  <c r="B225" i="12"/>
  <c r="C225" i="12"/>
  <c r="D225" i="12"/>
  <c r="A226" i="12"/>
  <c r="B226" i="12"/>
  <c r="C226" i="12"/>
  <c r="D226" i="12"/>
  <c r="A227" i="12"/>
  <c r="B227" i="12"/>
  <c r="C227" i="12"/>
  <c r="D227" i="12"/>
  <c r="A228" i="12"/>
  <c r="B228" i="12"/>
  <c r="C228" i="12"/>
  <c r="D228" i="12"/>
  <c r="A229" i="12"/>
  <c r="B229" i="12"/>
  <c r="C229" i="12"/>
  <c r="D229" i="12"/>
  <c r="A230" i="12"/>
  <c r="B230" i="12"/>
  <c r="C230" i="12"/>
  <c r="D230" i="12"/>
  <c r="A231" i="12"/>
  <c r="B231" i="12"/>
  <c r="C231" i="12"/>
  <c r="D231" i="12"/>
  <c r="A232" i="12"/>
  <c r="B232" i="12"/>
  <c r="C232" i="12"/>
  <c r="D232" i="12"/>
  <c r="A233" i="12"/>
  <c r="B233" i="12"/>
  <c r="C233" i="12"/>
  <c r="D233" i="12"/>
  <c r="A234" i="12"/>
  <c r="B234" i="12"/>
  <c r="C234" i="12"/>
  <c r="D234" i="12"/>
  <c r="A235" i="12"/>
  <c r="B235" i="12"/>
  <c r="C235" i="12"/>
  <c r="D235" i="12"/>
  <c r="A236" i="12"/>
  <c r="B236" i="12"/>
  <c r="C236" i="12"/>
  <c r="D236" i="12"/>
  <c r="A237" i="12"/>
  <c r="B237" i="12"/>
  <c r="C237" i="12"/>
  <c r="D237" i="12"/>
  <c r="A238" i="12"/>
  <c r="B238" i="12"/>
  <c r="C238" i="12"/>
  <c r="D238" i="12"/>
  <c r="A239" i="12"/>
  <c r="B239" i="12"/>
  <c r="C239" i="12"/>
  <c r="D239" i="12"/>
  <c r="A240" i="12"/>
  <c r="B240" i="12"/>
  <c r="C240" i="12"/>
  <c r="D240" i="12"/>
  <c r="A241" i="12"/>
  <c r="B241" i="12"/>
  <c r="C241" i="12"/>
  <c r="D241" i="12"/>
  <c r="A242" i="12"/>
  <c r="B242" i="12"/>
  <c r="C242" i="12"/>
  <c r="D242" i="12"/>
  <c r="A243" i="12"/>
  <c r="B243" i="12"/>
  <c r="C243" i="12"/>
  <c r="D243" i="12"/>
  <c r="A244" i="12"/>
  <c r="B244" i="12"/>
  <c r="C244" i="12"/>
  <c r="D244" i="12"/>
  <c r="A245" i="12"/>
  <c r="B245" i="12"/>
  <c r="C245" i="12"/>
  <c r="D245" i="12"/>
  <c r="A246" i="12"/>
  <c r="B246" i="12"/>
  <c r="C246" i="12"/>
  <c r="D246" i="12"/>
  <c r="A247" i="12"/>
  <c r="B247" i="12"/>
  <c r="C247" i="12"/>
  <c r="D247" i="12"/>
  <c r="A248" i="12"/>
  <c r="B248" i="12"/>
  <c r="C248" i="12"/>
  <c r="D248" i="12"/>
  <c r="A249" i="12"/>
  <c r="B249" i="12"/>
  <c r="C249" i="12"/>
  <c r="D249" i="12"/>
  <c r="A250" i="12"/>
  <c r="B250" i="12"/>
  <c r="C250" i="12"/>
  <c r="D250" i="12"/>
  <c r="A251" i="12"/>
  <c r="B251" i="12"/>
  <c r="C251" i="12"/>
  <c r="D251" i="12"/>
  <c r="A252" i="12"/>
  <c r="B252" i="12"/>
  <c r="C252" i="12"/>
  <c r="D252" i="12"/>
  <c r="A253" i="12"/>
  <c r="B253" i="12"/>
  <c r="C253" i="12"/>
  <c r="D253" i="12"/>
  <c r="A254" i="12"/>
  <c r="B254" i="12"/>
  <c r="C254" i="12"/>
  <c r="D254" i="12"/>
  <c r="A255" i="12"/>
  <c r="B255" i="12"/>
  <c r="C255" i="12"/>
  <c r="D255" i="12"/>
  <c r="A256" i="12"/>
  <c r="B256" i="12"/>
  <c r="C256" i="12"/>
  <c r="D256" i="12"/>
  <c r="A257" i="12"/>
  <c r="B257" i="12"/>
  <c r="C257" i="12"/>
  <c r="D257" i="12"/>
  <c r="A258" i="12"/>
  <c r="B258" i="12"/>
  <c r="C258" i="12"/>
  <c r="D258" i="12"/>
  <c r="A259" i="12"/>
  <c r="B259" i="12"/>
  <c r="C259" i="12"/>
  <c r="D259" i="12"/>
  <c r="A260" i="12"/>
  <c r="B260" i="12"/>
  <c r="C260" i="12"/>
  <c r="D260" i="12"/>
  <c r="A261" i="12"/>
  <c r="B261" i="12"/>
  <c r="C261" i="12"/>
  <c r="D261" i="12"/>
  <c r="A262" i="12"/>
  <c r="B262" i="12"/>
  <c r="C262" i="12"/>
  <c r="D262" i="12"/>
  <c r="A263" i="12"/>
  <c r="B263" i="12"/>
  <c r="C263" i="12"/>
  <c r="D263" i="12"/>
  <c r="A264" i="12"/>
  <c r="B264" i="12"/>
  <c r="C264" i="12"/>
  <c r="D264" i="12"/>
  <c r="A265" i="12"/>
  <c r="B265" i="12"/>
  <c r="C265" i="12"/>
  <c r="D265" i="12"/>
  <c r="A266" i="12"/>
  <c r="B266" i="12"/>
  <c r="C266" i="12"/>
  <c r="D266" i="12"/>
  <c r="A267" i="12"/>
  <c r="B267" i="12"/>
  <c r="C267" i="12"/>
  <c r="D267" i="12"/>
  <c r="A268" i="12"/>
  <c r="B268" i="12"/>
  <c r="C268" i="12"/>
  <c r="D268" i="12"/>
  <c r="A269" i="12"/>
  <c r="B269" i="12"/>
  <c r="C269" i="12"/>
  <c r="D269" i="12"/>
  <c r="A270" i="12"/>
  <c r="B270" i="12"/>
  <c r="C270" i="12"/>
  <c r="D270" i="12"/>
  <c r="A271" i="12"/>
  <c r="B271" i="12"/>
  <c r="C271" i="12"/>
  <c r="D271" i="12"/>
  <c r="A272" i="12"/>
  <c r="B272" i="12"/>
  <c r="C272" i="12"/>
  <c r="D272" i="12"/>
  <c r="A273" i="12"/>
  <c r="B273" i="12"/>
  <c r="C273" i="12"/>
  <c r="D273" i="12"/>
  <c r="A274" i="12"/>
  <c r="B274" i="12"/>
  <c r="C274" i="12"/>
  <c r="D274" i="12"/>
  <c r="A275" i="12"/>
  <c r="B275" i="12"/>
  <c r="C275" i="12"/>
  <c r="D275" i="12"/>
  <c r="A276" i="12"/>
  <c r="B276" i="12"/>
  <c r="C276" i="12"/>
  <c r="D276" i="12"/>
  <c r="A277" i="12"/>
  <c r="B277" i="12"/>
  <c r="C277" i="12"/>
  <c r="D277" i="12"/>
  <c r="A278" i="12"/>
  <c r="B278" i="12"/>
  <c r="C278" i="12"/>
  <c r="D278" i="12"/>
  <c r="A279" i="12"/>
  <c r="B279" i="12"/>
  <c r="C279" i="12"/>
  <c r="D279" i="12"/>
  <c r="A280" i="12"/>
  <c r="B280" i="12"/>
  <c r="C280" i="12"/>
  <c r="D280" i="12"/>
  <c r="A281" i="12"/>
  <c r="B281" i="12"/>
  <c r="C281" i="12"/>
  <c r="D281" i="12"/>
  <c r="A282" i="12"/>
  <c r="B282" i="12"/>
  <c r="C282" i="12"/>
  <c r="D282" i="12"/>
  <c r="A283" i="12"/>
  <c r="B283" i="12"/>
  <c r="C283" i="12"/>
  <c r="D283" i="12"/>
  <c r="A284" i="12"/>
  <c r="B284" i="12"/>
  <c r="C284" i="12"/>
  <c r="D284" i="12"/>
  <c r="A285" i="12"/>
  <c r="B285" i="12"/>
  <c r="C285" i="12"/>
  <c r="D285" i="12"/>
  <c r="A286" i="12"/>
  <c r="B286" i="12"/>
  <c r="C286" i="12"/>
  <c r="D286" i="12"/>
  <c r="A287" i="12"/>
  <c r="B287" i="12"/>
  <c r="C287" i="12"/>
  <c r="D287" i="12"/>
  <c r="A288" i="12"/>
  <c r="B288" i="12"/>
  <c r="C288" i="12"/>
  <c r="D288" i="12"/>
  <c r="A289" i="12"/>
  <c r="B289" i="12"/>
  <c r="C289" i="12"/>
  <c r="D289" i="12"/>
  <c r="A290" i="12"/>
  <c r="B290" i="12"/>
  <c r="C290" i="12"/>
  <c r="D290" i="12"/>
  <c r="A291" i="12"/>
  <c r="B291" i="12"/>
  <c r="C291" i="12"/>
  <c r="D291" i="12"/>
  <c r="A292" i="12"/>
  <c r="B292" i="12"/>
  <c r="C292" i="12"/>
  <c r="D292" i="12"/>
  <c r="A293" i="12"/>
  <c r="B293" i="12"/>
  <c r="C293" i="12"/>
  <c r="D293" i="12"/>
  <c r="A294" i="12"/>
  <c r="B294" i="12"/>
  <c r="C294" i="12"/>
  <c r="D294" i="12"/>
  <c r="A295" i="12"/>
  <c r="B295" i="12"/>
  <c r="C295" i="12"/>
  <c r="D295" i="12"/>
  <c r="A296" i="12"/>
  <c r="B296" i="12"/>
  <c r="C296" i="12"/>
  <c r="D296" i="12"/>
  <c r="A297" i="12"/>
  <c r="B297" i="12"/>
  <c r="C297" i="12"/>
  <c r="D297" i="12"/>
  <c r="A298" i="12"/>
  <c r="B298" i="12"/>
  <c r="C298" i="12"/>
  <c r="D298" i="12"/>
  <c r="A299" i="12"/>
  <c r="B299" i="12"/>
  <c r="C299" i="12"/>
  <c r="D299" i="12"/>
  <c r="A300" i="12"/>
  <c r="B300" i="12"/>
  <c r="C300" i="12"/>
  <c r="D300" i="12"/>
  <c r="A301" i="12"/>
  <c r="B301" i="12"/>
  <c r="C301" i="12"/>
  <c r="D301" i="12"/>
  <c r="A302" i="12"/>
  <c r="B302" i="12"/>
  <c r="C302" i="12"/>
  <c r="D302" i="12"/>
  <c r="A303" i="12"/>
  <c r="B303" i="12"/>
  <c r="C303" i="12"/>
  <c r="D303" i="12"/>
  <c r="A304" i="12"/>
  <c r="B304" i="12"/>
  <c r="C304" i="12"/>
  <c r="D304" i="12"/>
  <c r="A305" i="12"/>
  <c r="B305" i="12"/>
  <c r="C305" i="12"/>
  <c r="D305" i="12"/>
  <c r="A306" i="12"/>
  <c r="B306" i="12"/>
  <c r="C306" i="12"/>
  <c r="D306" i="12"/>
  <c r="A307" i="12"/>
  <c r="B307" i="12"/>
  <c r="C307" i="12"/>
  <c r="D307" i="12"/>
  <c r="A308" i="12"/>
  <c r="B308" i="12"/>
  <c r="C308" i="12"/>
  <c r="D308" i="12"/>
  <c r="A309" i="12"/>
  <c r="B309" i="12"/>
  <c r="C309" i="12"/>
  <c r="D309" i="12"/>
  <c r="A310" i="12"/>
  <c r="B310" i="12"/>
  <c r="C310" i="12"/>
  <c r="D310" i="12"/>
  <c r="A311" i="12"/>
  <c r="B311" i="12"/>
  <c r="C311" i="12"/>
  <c r="D311" i="12"/>
  <c r="A312" i="12"/>
  <c r="B312" i="12"/>
  <c r="C312" i="12"/>
  <c r="D312" i="12"/>
  <c r="A313" i="12"/>
  <c r="B313" i="12"/>
  <c r="C313" i="12"/>
  <c r="D313" i="12"/>
  <c r="A314" i="12"/>
  <c r="B314" i="12"/>
  <c r="C314" i="12"/>
  <c r="D314" i="12"/>
  <c r="A315" i="12"/>
  <c r="B315" i="12"/>
  <c r="C315" i="12"/>
  <c r="D315" i="12"/>
  <c r="A316" i="12"/>
  <c r="B316" i="12"/>
  <c r="C316" i="12"/>
  <c r="D316" i="12"/>
  <c r="A317" i="12"/>
  <c r="B317" i="12"/>
  <c r="C317" i="12"/>
  <c r="D317" i="12"/>
  <c r="A318" i="12"/>
  <c r="B318" i="12"/>
  <c r="C318" i="12"/>
  <c r="D318" i="12"/>
  <c r="A319" i="12"/>
  <c r="B319" i="12"/>
  <c r="C319" i="12"/>
  <c r="D319" i="12"/>
  <c r="A320" i="12"/>
  <c r="B320" i="12"/>
  <c r="C320" i="12"/>
  <c r="D320" i="12"/>
  <c r="A321" i="12"/>
  <c r="B321" i="12"/>
  <c r="C321" i="12"/>
  <c r="D321" i="12"/>
  <c r="A322" i="12"/>
  <c r="B322" i="12"/>
  <c r="C322" i="12"/>
  <c r="D322" i="12"/>
  <c r="A323" i="12"/>
  <c r="B323" i="12"/>
  <c r="C323" i="12"/>
  <c r="D323" i="12"/>
  <c r="A324" i="12"/>
  <c r="B324" i="12"/>
  <c r="C324" i="12"/>
  <c r="D324" i="12"/>
  <c r="A325" i="12"/>
  <c r="B325" i="12"/>
  <c r="C325" i="12"/>
  <c r="D325" i="12"/>
  <c r="A326" i="12"/>
  <c r="B326" i="12"/>
  <c r="C326" i="12"/>
  <c r="D326" i="12"/>
  <c r="A327" i="12"/>
  <c r="B327" i="12"/>
  <c r="C327" i="12"/>
  <c r="D327" i="12"/>
  <c r="A328" i="12"/>
  <c r="B328" i="12"/>
  <c r="C328" i="12"/>
  <c r="D328" i="12"/>
  <c r="A329" i="12"/>
  <c r="B329" i="12"/>
  <c r="C329" i="12"/>
  <c r="D329" i="12"/>
  <c r="A330" i="12"/>
  <c r="B330" i="12"/>
  <c r="C330" i="12"/>
  <c r="D330" i="12"/>
  <c r="A331" i="12"/>
  <c r="B331" i="12"/>
  <c r="C331" i="12"/>
  <c r="D331" i="12"/>
  <c r="A332" i="12"/>
  <c r="B332" i="12"/>
  <c r="C332" i="12"/>
  <c r="D332" i="12"/>
  <c r="A333" i="12"/>
  <c r="B333" i="12"/>
  <c r="C333" i="12"/>
  <c r="D333" i="12"/>
  <c r="A334" i="12"/>
  <c r="B334" i="12"/>
  <c r="C334" i="12"/>
  <c r="D334" i="12"/>
  <c r="A335" i="12"/>
  <c r="B335" i="12"/>
  <c r="C335" i="12"/>
  <c r="D335" i="12"/>
  <c r="A336" i="12"/>
  <c r="B336" i="12"/>
  <c r="C336" i="12"/>
  <c r="D336" i="12"/>
  <c r="A337" i="12"/>
  <c r="B337" i="12"/>
  <c r="C337" i="12"/>
  <c r="D337" i="12"/>
  <c r="A338" i="12"/>
  <c r="B338" i="12"/>
  <c r="C338" i="12"/>
  <c r="D338" i="12"/>
  <c r="A339" i="12"/>
  <c r="B339" i="12"/>
  <c r="C339" i="12"/>
  <c r="D339" i="12"/>
  <c r="A340" i="12"/>
  <c r="B340" i="12"/>
  <c r="C340" i="12"/>
  <c r="D340" i="12"/>
  <c r="A341" i="12"/>
  <c r="B341" i="12"/>
  <c r="C341" i="12"/>
  <c r="D341" i="12"/>
  <c r="A342" i="12"/>
  <c r="B342" i="12"/>
  <c r="C342" i="12"/>
  <c r="D342" i="12"/>
  <c r="A343" i="12"/>
  <c r="B343" i="12"/>
  <c r="C343" i="12"/>
  <c r="D343" i="12"/>
  <c r="A344" i="12"/>
  <c r="B344" i="12"/>
  <c r="C344" i="12"/>
  <c r="D344" i="12"/>
  <c r="A345" i="12"/>
  <c r="B345" i="12"/>
  <c r="C345" i="12"/>
  <c r="D345" i="12"/>
  <c r="A346" i="12"/>
  <c r="B346" i="12"/>
  <c r="C346" i="12"/>
  <c r="D346" i="12"/>
  <c r="A347" i="12"/>
  <c r="B347" i="12"/>
  <c r="C347" i="12"/>
  <c r="D347" i="12"/>
  <c r="A348" i="12"/>
  <c r="B348" i="12"/>
  <c r="C348" i="12"/>
  <c r="D348" i="12"/>
  <c r="A349" i="12"/>
  <c r="B349" i="12"/>
  <c r="C349" i="12"/>
  <c r="D349" i="12"/>
  <c r="A350" i="12"/>
  <c r="B350" i="12"/>
  <c r="C350" i="12"/>
  <c r="D350" i="12"/>
  <c r="A351" i="12"/>
  <c r="B351" i="12"/>
  <c r="C351" i="12"/>
  <c r="D351" i="12"/>
  <c r="A352" i="12"/>
  <c r="B352" i="12"/>
  <c r="C352" i="12"/>
  <c r="D352" i="12"/>
  <c r="A353" i="12"/>
  <c r="B353" i="12"/>
  <c r="C353" i="12"/>
  <c r="D353" i="12"/>
  <c r="A354" i="12"/>
  <c r="B354" i="12"/>
  <c r="C354" i="12"/>
  <c r="D354" i="12"/>
  <c r="A355" i="12"/>
  <c r="B355" i="12"/>
  <c r="C355" i="12"/>
  <c r="D355" i="12"/>
  <c r="A356" i="12"/>
  <c r="B356" i="12"/>
  <c r="C356" i="12"/>
  <c r="D356" i="12"/>
  <c r="A357" i="12"/>
  <c r="B357" i="12"/>
  <c r="C357" i="12"/>
  <c r="D357" i="12"/>
  <c r="A358" i="12"/>
  <c r="B358" i="12"/>
  <c r="C358" i="12"/>
  <c r="D358" i="12"/>
  <c r="A359" i="12"/>
  <c r="B359" i="12"/>
  <c r="C359" i="12"/>
  <c r="D359" i="12"/>
  <c r="A360" i="12"/>
  <c r="B360" i="12"/>
  <c r="C360" i="12"/>
  <c r="D360" i="12"/>
  <c r="A361" i="12"/>
  <c r="B361" i="12"/>
  <c r="C361" i="12"/>
  <c r="D361" i="12"/>
  <c r="A362" i="12"/>
  <c r="B362" i="12"/>
  <c r="C362" i="12"/>
  <c r="D362" i="12"/>
  <c r="A363" i="12"/>
  <c r="B363" i="12"/>
  <c r="C363" i="12"/>
  <c r="D363" i="12"/>
  <c r="A364" i="12"/>
  <c r="B364" i="12"/>
  <c r="C364" i="12"/>
  <c r="D364" i="12"/>
  <c r="A365" i="12"/>
  <c r="B365" i="12"/>
  <c r="C365" i="12"/>
  <c r="D365" i="12"/>
  <c r="A366" i="12"/>
  <c r="B366" i="12"/>
  <c r="C366" i="12"/>
  <c r="D366" i="12"/>
  <c r="A367" i="12"/>
  <c r="B367" i="12"/>
  <c r="C367" i="12"/>
  <c r="D367" i="12"/>
  <c r="A368" i="12"/>
  <c r="B368" i="12"/>
  <c r="C368" i="12"/>
  <c r="D368" i="12"/>
  <c r="A369" i="12"/>
  <c r="B369" i="12"/>
  <c r="C369" i="12"/>
  <c r="D369" i="12"/>
  <c r="A370" i="12"/>
  <c r="B370" i="12"/>
  <c r="C370" i="12"/>
  <c r="D370" i="12"/>
  <c r="A371" i="12"/>
  <c r="B371" i="12"/>
  <c r="C371" i="12"/>
  <c r="D371" i="12"/>
  <c r="A372" i="12"/>
  <c r="B372" i="12"/>
  <c r="C372" i="12"/>
  <c r="D372" i="12"/>
  <c r="A373" i="12"/>
  <c r="B373" i="12"/>
  <c r="C373" i="12"/>
  <c r="D373" i="12"/>
  <c r="A374" i="12"/>
  <c r="B374" i="12"/>
  <c r="C374" i="12"/>
  <c r="D374" i="12"/>
  <c r="A375" i="12"/>
  <c r="B375" i="12"/>
  <c r="C375" i="12"/>
  <c r="D375" i="12"/>
  <c r="A376" i="12"/>
  <c r="B376" i="12"/>
  <c r="C376" i="12"/>
  <c r="D376" i="12"/>
  <c r="A377" i="12"/>
  <c r="B377" i="12"/>
  <c r="C377" i="12"/>
  <c r="D377" i="12"/>
  <c r="A378" i="12"/>
  <c r="B378" i="12"/>
  <c r="C378" i="12"/>
  <c r="D378" i="12"/>
  <c r="A379" i="12"/>
  <c r="B379" i="12"/>
  <c r="C379" i="12"/>
  <c r="D379" i="12"/>
  <c r="A380" i="12"/>
  <c r="B380" i="12"/>
  <c r="C380" i="12"/>
  <c r="D380" i="12"/>
  <c r="A381" i="12"/>
  <c r="B381" i="12"/>
  <c r="C381" i="12"/>
  <c r="D381" i="12"/>
  <c r="A382" i="12"/>
  <c r="B382" i="12"/>
  <c r="C382" i="12"/>
  <c r="D382" i="12"/>
  <c r="A383" i="12"/>
  <c r="B383" i="12"/>
  <c r="C383" i="12"/>
  <c r="D383" i="12"/>
  <c r="A384" i="12"/>
  <c r="B384" i="12"/>
  <c r="C384" i="12"/>
  <c r="D384" i="12"/>
  <c r="A385" i="12"/>
  <c r="B385" i="12"/>
  <c r="C385" i="12"/>
  <c r="D385" i="12"/>
  <c r="A386" i="12"/>
  <c r="B386" i="12"/>
  <c r="C386" i="12"/>
  <c r="D386" i="12"/>
  <c r="A387" i="12"/>
  <c r="B387" i="12"/>
  <c r="C387" i="12"/>
  <c r="D387" i="12"/>
  <c r="A388" i="12"/>
  <c r="B388" i="12"/>
  <c r="C388" i="12"/>
  <c r="D388" i="12"/>
  <c r="A389" i="12"/>
  <c r="B389" i="12"/>
  <c r="C389" i="12"/>
  <c r="D389" i="12"/>
  <c r="A390" i="12"/>
  <c r="B390" i="12"/>
  <c r="C390" i="12"/>
  <c r="D390" i="12"/>
  <c r="A391" i="12"/>
  <c r="B391" i="12"/>
  <c r="C391" i="12"/>
  <c r="D391" i="12"/>
  <c r="A392" i="12"/>
  <c r="B392" i="12"/>
  <c r="C392" i="12"/>
  <c r="D392" i="12"/>
  <c r="A393" i="12"/>
  <c r="B393" i="12"/>
  <c r="C393" i="12"/>
  <c r="D393" i="12"/>
  <c r="A394" i="12"/>
  <c r="B394" i="12"/>
  <c r="C394" i="12"/>
  <c r="D394" i="12"/>
  <c r="A395" i="12"/>
  <c r="B395" i="12"/>
  <c r="C395" i="12"/>
  <c r="D395" i="12"/>
  <c r="A396" i="12"/>
  <c r="B396" i="12"/>
  <c r="C396" i="12"/>
  <c r="D396" i="12"/>
  <c r="A397" i="12"/>
  <c r="B397" i="12"/>
  <c r="C397" i="12"/>
  <c r="D397" i="12"/>
  <c r="A398" i="12"/>
  <c r="B398" i="12"/>
  <c r="C398" i="12"/>
  <c r="D398" i="12"/>
  <c r="A399" i="12"/>
  <c r="B399" i="12"/>
  <c r="C399" i="12"/>
  <c r="D399" i="12"/>
  <c r="A400" i="12"/>
  <c r="B400" i="12"/>
  <c r="C400" i="12"/>
  <c r="D400" i="12"/>
  <c r="A401" i="12"/>
  <c r="B401" i="12"/>
  <c r="C401" i="12"/>
  <c r="D401" i="12"/>
  <c r="A402" i="12"/>
  <c r="B402" i="12"/>
  <c r="C402" i="12"/>
  <c r="D402" i="12"/>
  <c r="A403" i="12"/>
  <c r="B403" i="12"/>
  <c r="C403" i="12"/>
  <c r="D403" i="12"/>
  <c r="A404" i="12"/>
  <c r="B404" i="12"/>
  <c r="C404" i="12"/>
  <c r="D404" i="12"/>
  <c r="A405" i="12"/>
  <c r="B405" i="12"/>
  <c r="C405" i="12"/>
  <c r="D405" i="12"/>
  <c r="A406" i="12"/>
  <c r="B406" i="12"/>
  <c r="C406" i="12"/>
  <c r="D406" i="12"/>
  <c r="A407" i="12"/>
  <c r="B407" i="12"/>
  <c r="C407" i="12"/>
  <c r="D407" i="12"/>
  <c r="A408" i="12"/>
  <c r="B408" i="12"/>
  <c r="C408" i="12"/>
  <c r="D408" i="12"/>
  <c r="A409" i="12"/>
  <c r="B409" i="12"/>
  <c r="C409" i="12"/>
  <c r="D409" i="12"/>
  <c r="A410" i="12"/>
  <c r="B410" i="12"/>
  <c r="C410" i="12"/>
  <c r="D410" i="12"/>
  <c r="A411" i="12"/>
  <c r="B411" i="12"/>
  <c r="C411" i="12"/>
  <c r="D411" i="12"/>
  <c r="A412" i="12"/>
  <c r="B412" i="12"/>
  <c r="C412" i="12"/>
  <c r="D412" i="12"/>
  <c r="A413" i="12"/>
  <c r="B413" i="12"/>
  <c r="C413" i="12"/>
  <c r="D413" i="12"/>
  <c r="A414" i="12"/>
  <c r="B414" i="12"/>
  <c r="C414" i="12"/>
  <c r="D414" i="12"/>
  <c r="A415" i="12"/>
  <c r="B415" i="12"/>
  <c r="C415" i="12"/>
  <c r="D415" i="12"/>
  <c r="A416" i="12"/>
  <c r="B416" i="12"/>
  <c r="C416" i="12"/>
  <c r="D416" i="12"/>
  <c r="A417" i="12"/>
  <c r="B417" i="12"/>
  <c r="C417" i="12"/>
  <c r="D417" i="12"/>
  <c r="A418" i="12"/>
  <c r="B418" i="12"/>
  <c r="C418" i="12"/>
  <c r="D418" i="12"/>
  <c r="A419" i="12"/>
  <c r="B419" i="12"/>
  <c r="C419" i="12"/>
  <c r="D419" i="12"/>
  <c r="A420" i="12"/>
  <c r="B420" i="12"/>
  <c r="C420" i="12"/>
  <c r="D420" i="12"/>
  <c r="A421" i="12"/>
  <c r="B421" i="12"/>
  <c r="C421" i="12"/>
  <c r="D421" i="12"/>
  <c r="A422" i="12"/>
  <c r="B422" i="12"/>
  <c r="C422" i="12"/>
  <c r="D422" i="12"/>
  <c r="A423" i="12"/>
  <c r="B423" i="12"/>
  <c r="C423" i="12"/>
  <c r="D423" i="12"/>
  <c r="A424" i="12"/>
  <c r="B424" i="12"/>
  <c r="C424" i="12"/>
  <c r="D424" i="12"/>
  <c r="A425" i="12"/>
  <c r="B425" i="12"/>
  <c r="C425" i="12"/>
  <c r="D425" i="12"/>
  <c r="A426" i="12"/>
  <c r="B426" i="12"/>
  <c r="C426" i="12"/>
  <c r="D426" i="12"/>
  <c r="A427" i="12"/>
  <c r="B427" i="12"/>
  <c r="C427" i="12"/>
  <c r="D427" i="12"/>
  <c r="A428" i="12"/>
  <c r="B428" i="12"/>
  <c r="C428" i="12"/>
  <c r="D428" i="12"/>
  <c r="A429" i="12"/>
  <c r="B429" i="12"/>
  <c r="C429" i="12"/>
  <c r="D429" i="12"/>
  <c r="A430" i="12"/>
  <c r="B430" i="12"/>
  <c r="C430" i="12"/>
  <c r="D430" i="12"/>
  <c r="A431" i="12"/>
  <c r="B431" i="12"/>
  <c r="C431" i="12"/>
  <c r="D431" i="12"/>
  <c r="A432" i="12"/>
  <c r="B432" i="12"/>
  <c r="C432" i="12"/>
  <c r="D432" i="12"/>
  <c r="A433" i="12"/>
  <c r="B433" i="12"/>
  <c r="C433" i="12"/>
  <c r="D433" i="12"/>
  <c r="A434" i="12"/>
  <c r="B434" i="12"/>
  <c r="C434" i="12"/>
  <c r="D434" i="12"/>
  <c r="A435" i="12"/>
  <c r="B435" i="12"/>
  <c r="C435" i="12"/>
  <c r="D435" i="12"/>
  <c r="A436" i="12"/>
  <c r="B436" i="12"/>
  <c r="C436" i="12"/>
  <c r="D436" i="12"/>
  <c r="A437" i="12"/>
  <c r="B437" i="12"/>
  <c r="C437" i="12"/>
  <c r="D437" i="12"/>
  <c r="A438" i="12"/>
  <c r="B438" i="12"/>
  <c r="C438" i="12"/>
  <c r="D438" i="12"/>
  <c r="A439" i="12"/>
  <c r="B439" i="12"/>
  <c r="C439" i="12"/>
  <c r="D439" i="12"/>
  <c r="A440" i="12"/>
  <c r="B440" i="12"/>
  <c r="C440" i="12"/>
  <c r="D440" i="12"/>
  <c r="A441" i="12"/>
  <c r="B441" i="12"/>
  <c r="C441" i="12"/>
  <c r="D441" i="12"/>
  <c r="A442" i="12"/>
  <c r="B442" i="12"/>
  <c r="C442" i="12"/>
  <c r="D442" i="12"/>
  <c r="A443" i="12"/>
  <c r="B443" i="12"/>
  <c r="C443" i="12"/>
  <c r="D443" i="12"/>
  <c r="A444" i="12"/>
  <c r="B444" i="12"/>
  <c r="C444" i="12"/>
  <c r="D444" i="12"/>
  <c r="A445" i="12"/>
  <c r="B445" i="12"/>
  <c r="C445" i="12"/>
  <c r="D445" i="12"/>
  <c r="A446" i="12"/>
  <c r="B446" i="12"/>
  <c r="C446" i="12"/>
  <c r="D446" i="12"/>
  <c r="A447" i="12"/>
  <c r="B447" i="12"/>
  <c r="C447" i="12"/>
  <c r="D447" i="12"/>
  <c r="A448" i="12"/>
  <c r="B448" i="12"/>
  <c r="C448" i="12"/>
  <c r="D448" i="12"/>
  <c r="A449" i="12"/>
  <c r="B449" i="12"/>
  <c r="C449" i="12"/>
  <c r="D449" i="12"/>
  <c r="A450" i="12"/>
  <c r="B450" i="12"/>
  <c r="C450" i="12"/>
  <c r="D450" i="12"/>
  <c r="A451" i="12"/>
  <c r="B451" i="12"/>
  <c r="C451" i="12"/>
  <c r="D451" i="12"/>
  <c r="A452" i="12"/>
  <c r="B452" i="12"/>
  <c r="C452" i="12"/>
  <c r="D452" i="12"/>
  <c r="A453" i="12"/>
  <c r="B453" i="12"/>
  <c r="C453" i="12"/>
  <c r="D453" i="12"/>
  <c r="A454" i="12"/>
  <c r="B454" i="12"/>
  <c r="C454" i="12"/>
  <c r="D454" i="12"/>
  <c r="A455" i="12"/>
  <c r="B455" i="12"/>
  <c r="C455" i="12"/>
  <c r="D455" i="12"/>
  <c r="A456" i="12"/>
  <c r="B456" i="12"/>
  <c r="C456" i="12"/>
  <c r="D456" i="12"/>
  <c r="A457" i="12"/>
  <c r="B457" i="12"/>
  <c r="C457" i="12"/>
  <c r="D457" i="12"/>
  <c r="A458" i="12"/>
  <c r="B458" i="12"/>
  <c r="C458" i="12"/>
  <c r="D458" i="12"/>
  <c r="A459" i="12"/>
  <c r="B459" i="12"/>
  <c r="C459" i="12"/>
  <c r="D459" i="12"/>
  <c r="A460" i="12"/>
  <c r="B460" i="12"/>
  <c r="C460" i="12"/>
  <c r="D460" i="12"/>
  <c r="A461" i="12"/>
  <c r="B461" i="12"/>
  <c r="C461" i="12"/>
  <c r="D461" i="12"/>
  <c r="A462" i="12"/>
  <c r="B462" i="12"/>
  <c r="C462" i="12"/>
  <c r="D462" i="12"/>
  <c r="A463" i="12"/>
  <c r="B463" i="12"/>
  <c r="C463" i="12"/>
  <c r="D463" i="12"/>
  <c r="A464" i="12"/>
  <c r="B464" i="12"/>
  <c r="C464" i="12"/>
  <c r="D464" i="12"/>
  <c r="A465" i="12"/>
  <c r="B465" i="12"/>
  <c r="C465" i="12"/>
  <c r="D465" i="12"/>
  <c r="A466" i="12"/>
  <c r="B466" i="12"/>
  <c r="C466" i="12"/>
  <c r="D466" i="12"/>
  <c r="A467" i="12"/>
  <c r="B467" i="12"/>
  <c r="C467" i="12"/>
  <c r="D467" i="12"/>
  <c r="A468" i="12"/>
  <c r="B468" i="12"/>
  <c r="C468" i="12"/>
  <c r="D468" i="12"/>
  <c r="A469" i="12"/>
  <c r="B469" i="12"/>
  <c r="C469" i="12"/>
  <c r="D469" i="12"/>
  <c r="A470" i="12"/>
  <c r="B470" i="12"/>
  <c r="C470" i="12"/>
  <c r="D470" i="12"/>
  <c r="A471" i="12"/>
  <c r="B471" i="12"/>
  <c r="C471" i="12"/>
  <c r="D471" i="12"/>
  <c r="A472" i="12"/>
  <c r="B472" i="12"/>
  <c r="C472" i="12"/>
  <c r="D472" i="12"/>
  <c r="A473" i="12"/>
  <c r="B473" i="12"/>
  <c r="C473" i="12"/>
  <c r="D473" i="12"/>
  <c r="A474" i="12"/>
  <c r="B474" i="12"/>
  <c r="C474" i="12"/>
  <c r="D474" i="12"/>
  <c r="A475" i="12"/>
  <c r="B475" i="12"/>
  <c r="C475" i="12"/>
  <c r="D475" i="12"/>
  <c r="A476" i="12"/>
  <c r="B476" i="12"/>
  <c r="C476" i="12"/>
  <c r="D476" i="12"/>
  <c r="A477" i="12"/>
  <c r="B477" i="12"/>
  <c r="C477" i="12"/>
  <c r="D477" i="12"/>
  <c r="A478" i="12"/>
  <c r="B478" i="12"/>
  <c r="C478" i="12"/>
  <c r="D478" i="12"/>
  <c r="A479" i="12"/>
  <c r="B479" i="12"/>
  <c r="C479" i="12"/>
  <c r="D479" i="12"/>
  <c r="A480" i="12"/>
  <c r="B480" i="12"/>
  <c r="C480" i="12"/>
  <c r="D480" i="12"/>
  <c r="A481" i="12"/>
  <c r="B481" i="12"/>
  <c r="C481" i="12"/>
  <c r="D481" i="12"/>
  <c r="A482" i="12"/>
  <c r="B482" i="12"/>
  <c r="C482" i="12"/>
  <c r="D482" i="12"/>
  <c r="A483" i="12"/>
  <c r="B483" i="12"/>
  <c r="C483" i="12"/>
  <c r="D483" i="12"/>
  <c r="A484" i="12"/>
  <c r="B484" i="12"/>
  <c r="C484" i="12"/>
  <c r="D484" i="12"/>
  <c r="A485" i="12"/>
  <c r="B485" i="12"/>
  <c r="C485" i="12"/>
  <c r="D485" i="12"/>
  <c r="A486" i="12"/>
  <c r="B486" i="12"/>
  <c r="C486" i="12"/>
  <c r="D486" i="12"/>
  <c r="A487" i="12"/>
  <c r="B487" i="12"/>
  <c r="C487" i="12"/>
  <c r="D487" i="12"/>
  <c r="A488" i="12"/>
  <c r="B488" i="12"/>
  <c r="C488" i="12"/>
  <c r="D488" i="12"/>
  <c r="A489" i="12"/>
  <c r="B489" i="12"/>
  <c r="C489" i="12"/>
  <c r="D489" i="12"/>
  <c r="A490" i="12"/>
  <c r="B490" i="12"/>
  <c r="C490" i="12"/>
  <c r="D490" i="12"/>
  <c r="A491" i="12"/>
  <c r="B491" i="12"/>
  <c r="C491" i="12"/>
  <c r="D491" i="12"/>
  <c r="A492" i="12"/>
  <c r="B492" i="12"/>
  <c r="C492" i="12"/>
  <c r="D492" i="12"/>
  <c r="A493" i="12"/>
  <c r="B493" i="12"/>
  <c r="C493" i="12"/>
  <c r="D493" i="12"/>
  <c r="A494" i="12"/>
  <c r="B494" i="12"/>
  <c r="C494" i="12"/>
  <c r="D494" i="12"/>
  <c r="A495" i="12"/>
  <c r="B495" i="12"/>
  <c r="C495" i="12"/>
  <c r="D495" i="12"/>
  <c r="A496" i="12"/>
  <c r="B496" i="12"/>
  <c r="C496" i="12"/>
  <c r="D496" i="12"/>
  <c r="A497" i="12"/>
  <c r="B497" i="12"/>
  <c r="C497" i="12"/>
  <c r="D497" i="12"/>
  <c r="A498" i="12"/>
  <c r="B498" i="12"/>
  <c r="C498" i="12"/>
  <c r="D498" i="12"/>
  <c r="A499" i="12"/>
  <c r="B499" i="12"/>
  <c r="C499" i="12"/>
  <c r="D499" i="12"/>
  <c r="A500" i="12"/>
  <c r="B500" i="12"/>
  <c r="C500" i="12"/>
  <c r="D500" i="12"/>
  <c r="A501" i="12"/>
  <c r="B501" i="12"/>
  <c r="C501" i="12"/>
  <c r="D501" i="12"/>
  <c r="A502" i="12"/>
  <c r="B502" i="12"/>
  <c r="C502" i="12"/>
  <c r="D502" i="12"/>
  <c r="A503" i="12"/>
  <c r="B503" i="12"/>
  <c r="C503" i="12"/>
  <c r="D503" i="12"/>
  <c r="A504" i="12"/>
  <c r="B504" i="12"/>
  <c r="C504" i="12"/>
  <c r="D504" i="12"/>
  <c r="A505" i="12"/>
  <c r="B505" i="12"/>
  <c r="C505" i="12"/>
  <c r="D505" i="12"/>
  <c r="A506" i="12"/>
  <c r="B506" i="12"/>
  <c r="C506" i="12"/>
  <c r="D506" i="12"/>
  <c r="A507" i="12"/>
  <c r="B507" i="12"/>
  <c r="C507" i="12"/>
  <c r="D507" i="12"/>
  <c r="A508" i="12"/>
  <c r="B508" i="12"/>
  <c r="C508" i="12"/>
  <c r="D508" i="12"/>
  <c r="A509" i="12"/>
  <c r="B509" i="12"/>
  <c r="C509" i="12"/>
  <c r="D509" i="12"/>
  <c r="A510" i="12"/>
  <c r="B510" i="12"/>
  <c r="C510" i="12"/>
  <c r="D510" i="12"/>
  <c r="A511" i="12"/>
  <c r="B511" i="12"/>
  <c r="C511" i="12"/>
  <c r="D511" i="12"/>
  <c r="A512" i="12"/>
  <c r="B512" i="12"/>
  <c r="C512" i="12"/>
  <c r="D512" i="12"/>
  <c r="A513" i="12"/>
  <c r="B513" i="12"/>
  <c r="C513" i="12"/>
  <c r="D513" i="12"/>
  <c r="A514" i="12"/>
  <c r="B514" i="12"/>
  <c r="C514" i="12"/>
  <c r="D514" i="12"/>
  <c r="A515" i="12"/>
  <c r="B515" i="12"/>
  <c r="C515" i="12"/>
  <c r="D515" i="12"/>
  <c r="A516" i="12"/>
  <c r="B516" i="12"/>
  <c r="C516" i="12"/>
  <c r="D516" i="12"/>
  <c r="A517" i="12"/>
  <c r="B517" i="12"/>
  <c r="C517" i="12"/>
  <c r="D517" i="12"/>
  <c r="A518" i="12"/>
  <c r="B518" i="12"/>
  <c r="C518" i="12"/>
  <c r="D518" i="12"/>
  <c r="A519" i="12"/>
  <c r="B519" i="12"/>
  <c r="C519" i="12"/>
  <c r="D519" i="12"/>
  <c r="A520" i="12"/>
  <c r="B520" i="12"/>
  <c r="C520" i="12"/>
  <c r="D520" i="12"/>
  <c r="A521" i="12"/>
  <c r="B521" i="12"/>
  <c r="C521" i="12"/>
  <c r="D521" i="12"/>
  <c r="A522" i="12"/>
  <c r="B522" i="12"/>
  <c r="C522" i="12"/>
  <c r="D522" i="12"/>
  <c r="A523" i="12"/>
  <c r="B523" i="12"/>
  <c r="C523" i="12"/>
  <c r="D523" i="12"/>
  <c r="A524" i="12"/>
  <c r="B524" i="12"/>
  <c r="C524" i="12"/>
  <c r="D524" i="12"/>
  <c r="A525" i="12"/>
  <c r="B525" i="12"/>
  <c r="C525" i="12"/>
  <c r="D525" i="12"/>
  <c r="A526" i="12"/>
  <c r="B526" i="12"/>
  <c r="C526" i="12"/>
  <c r="D526" i="12"/>
  <c r="A527" i="12"/>
  <c r="B527" i="12"/>
  <c r="C527" i="12"/>
  <c r="D527" i="12"/>
  <c r="A528" i="12"/>
  <c r="B528" i="12"/>
  <c r="C528" i="12"/>
  <c r="D528" i="12"/>
  <c r="A529" i="12"/>
  <c r="B529" i="12"/>
  <c r="C529" i="12"/>
  <c r="D529" i="12"/>
  <c r="A530" i="12"/>
  <c r="B530" i="12"/>
  <c r="C530" i="12"/>
  <c r="D530" i="12"/>
  <c r="A531" i="12"/>
  <c r="B531" i="12"/>
  <c r="C531" i="12"/>
  <c r="D531" i="12"/>
  <c r="A532" i="12"/>
  <c r="B532" i="12"/>
  <c r="C532" i="12"/>
  <c r="D532" i="12"/>
  <c r="A533" i="12"/>
  <c r="B533" i="12"/>
  <c r="C533" i="12"/>
  <c r="D533" i="12"/>
  <c r="A534" i="12"/>
  <c r="B534" i="12"/>
  <c r="C534" i="12"/>
  <c r="D534" i="12"/>
  <c r="A535" i="12"/>
  <c r="B535" i="12"/>
  <c r="C535" i="12"/>
  <c r="D535" i="12"/>
  <c r="A536" i="12"/>
  <c r="B536" i="12"/>
  <c r="C536" i="12"/>
  <c r="D536" i="12"/>
  <c r="A537" i="12"/>
  <c r="B537" i="12"/>
  <c r="C537" i="12"/>
  <c r="D537" i="12"/>
  <c r="A538" i="12"/>
  <c r="B538" i="12"/>
  <c r="C538" i="12"/>
  <c r="D538" i="12"/>
  <c r="A539" i="12"/>
  <c r="B539" i="12"/>
  <c r="C539" i="12"/>
  <c r="D539" i="12"/>
  <c r="A540" i="12"/>
  <c r="B540" i="12"/>
  <c r="C540" i="12"/>
  <c r="D540" i="12"/>
  <c r="A541" i="12"/>
  <c r="B541" i="12"/>
  <c r="C541" i="12"/>
  <c r="D541" i="12"/>
  <c r="A542" i="12"/>
  <c r="B542" i="12"/>
  <c r="C542" i="12"/>
  <c r="D542" i="12"/>
  <c r="A543" i="12"/>
  <c r="B543" i="12"/>
  <c r="C543" i="12"/>
  <c r="D543" i="12"/>
  <c r="A544" i="12"/>
  <c r="B544" i="12"/>
  <c r="C544" i="12"/>
  <c r="D544" i="12"/>
  <c r="A545" i="12"/>
  <c r="B545" i="12"/>
  <c r="C545" i="12"/>
  <c r="D545" i="12"/>
  <c r="A546" i="12"/>
  <c r="B546" i="12"/>
  <c r="C546" i="12"/>
  <c r="D546" i="12"/>
  <c r="A547" i="12"/>
  <c r="B547" i="12"/>
  <c r="C547" i="12"/>
  <c r="D547" i="12"/>
  <c r="A548" i="12"/>
  <c r="B548" i="12"/>
  <c r="C548" i="12"/>
  <c r="D548" i="12"/>
  <c r="A549" i="12"/>
  <c r="B549" i="12"/>
  <c r="C549" i="12"/>
  <c r="D549" i="12"/>
  <c r="A550" i="12"/>
  <c r="B550" i="12"/>
  <c r="C550" i="12"/>
  <c r="D550" i="12"/>
  <c r="A551" i="12"/>
  <c r="B551" i="12"/>
  <c r="C551" i="12"/>
  <c r="D551" i="12"/>
  <c r="A552" i="12"/>
  <c r="B552" i="12"/>
  <c r="C552" i="12"/>
  <c r="D552" i="12"/>
  <c r="A553" i="12"/>
  <c r="B553" i="12"/>
  <c r="C553" i="12"/>
  <c r="D553" i="12"/>
  <c r="A554" i="12"/>
  <c r="B554" i="12"/>
  <c r="C554" i="12"/>
  <c r="D554" i="12"/>
  <c r="A555" i="12"/>
  <c r="B555" i="12"/>
  <c r="C555" i="12"/>
  <c r="D555" i="12"/>
  <c r="A556" i="12"/>
  <c r="B556" i="12"/>
  <c r="C556" i="12"/>
  <c r="D556" i="12"/>
  <c r="A557" i="12"/>
  <c r="B557" i="12"/>
  <c r="C557" i="12"/>
  <c r="D557" i="12"/>
  <c r="A558" i="12"/>
  <c r="B558" i="12"/>
  <c r="C558" i="12"/>
  <c r="D558" i="12"/>
  <c r="A559" i="12"/>
  <c r="B559" i="12"/>
  <c r="C559" i="12"/>
  <c r="D559" i="12"/>
  <c r="A560" i="12"/>
  <c r="B560" i="12"/>
  <c r="C560" i="12"/>
  <c r="D560" i="12"/>
  <c r="A561" i="12"/>
  <c r="B561" i="12"/>
  <c r="C561" i="12"/>
  <c r="D561" i="12"/>
  <c r="A562" i="12"/>
  <c r="B562" i="12"/>
  <c r="C562" i="12"/>
  <c r="D562" i="12"/>
  <c r="A563" i="12"/>
  <c r="B563" i="12"/>
  <c r="C563" i="12"/>
  <c r="D563" i="12"/>
  <c r="A564" i="12"/>
  <c r="B564" i="12"/>
  <c r="C564" i="12"/>
  <c r="D564" i="12"/>
  <c r="A565" i="12"/>
  <c r="B565" i="12"/>
  <c r="C565" i="12"/>
  <c r="D565" i="12"/>
  <c r="A566" i="12"/>
  <c r="B566" i="12"/>
  <c r="C566" i="12"/>
  <c r="D566" i="12"/>
  <c r="A567" i="12"/>
  <c r="B567" i="12"/>
  <c r="C567" i="12"/>
  <c r="D567" i="12"/>
  <c r="A568" i="12"/>
  <c r="B568" i="12"/>
  <c r="C568" i="12"/>
  <c r="D568" i="12"/>
  <c r="A569" i="12"/>
  <c r="B569" i="12"/>
  <c r="C569" i="12"/>
  <c r="D569" i="12"/>
  <c r="A570" i="12"/>
  <c r="B570" i="12"/>
  <c r="C570" i="12"/>
  <c r="D570" i="12"/>
  <c r="A571" i="12"/>
  <c r="B571" i="12"/>
  <c r="C571" i="12"/>
  <c r="D571" i="12"/>
  <c r="A572" i="12"/>
  <c r="B572" i="12"/>
  <c r="C572" i="12"/>
  <c r="D572" i="12"/>
  <c r="A573" i="12"/>
  <c r="B573" i="12"/>
  <c r="C573" i="12"/>
  <c r="D573" i="12"/>
  <c r="A574" i="12"/>
  <c r="B574" i="12"/>
  <c r="C574" i="12"/>
  <c r="D574" i="12"/>
  <c r="A575" i="12"/>
  <c r="B575" i="12"/>
  <c r="C575" i="12"/>
  <c r="D575" i="12"/>
  <c r="A576" i="12"/>
  <c r="B576" i="12"/>
  <c r="C576" i="12"/>
  <c r="D576" i="12"/>
  <c r="A577" i="12"/>
  <c r="B577" i="12"/>
  <c r="C577" i="12"/>
  <c r="D577" i="12"/>
  <c r="A578" i="12"/>
  <c r="B578" i="12"/>
  <c r="C578" i="12"/>
  <c r="D578" i="12"/>
  <c r="A579" i="12"/>
  <c r="B579" i="12"/>
  <c r="C579" i="12"/>
  <c r="D579" i="12"/>
  <c r="A580" i="12"/>
  <c r="B580" i="12"/>
  <c r="C580" i="12"/>
  <c r="D580" i="12"/>
  <c r="A581" i="12"/>
  <c r="B581" i="12"/>
  <c r="C581" i="12"/>
  <c r="D581" i="12"/>
  <c r="A582" i="12"/>
  <c r="B582" i="12"/>
  <c r="C582" i="12"/>
  <c r="D582" i="12"/>
  <c r="A583" i="12"/>
  <c r="B583" i="12"/>
  <c r="C583" i="12"/>
  <c r="D583" i="12"/>
  <c r="A584" i="12"/>
  <c r="B584" i="12"/>
  <c r="C584" i="12"/>
  <c r="D584" i="12"/>
  <c r="A585" i="12"/>
  <c r="B585" i="12"/>
  <c r="C585" i="12"/>
  <c r="D585" i="12"/>
  <c r="A586" i="12"/>
  <c r="B586" i="12"/>
  <c r="C586" i="12"/>
  <c r="D586" i="12"/>
  <c r="A587" i="12"/>
  <c r="B587" i="12"/>
  <c r="C587" i="12"/>
  <c r="D587" i="12"/>
  <c r="A588" i="12"/>
  <c r="B588" i="12"/>
  <c r="C588" i="12"/>
  <c r="D588" i="12"/>
  <c r="A589" i="12"/>
  <c r="B589" i="12"/>
  <c r="C589" i="12"/>
  <c r="D589" i="12"/>
  <c r="A590" i="12"/>
  <c r="B590" i="12"/>
  <c r="C590" i="12"/>
  <c r="D590" i="12"/>
  <c r="A591" i="12"/>
  <c r="B591" i="12"/>
  <c r="C591" i="12"/>
  <c r="D591" i="12"/>
  <c r="A592" i="12"/>
  <c r="B592" i="12"/>
  <c r="C592" i="12"/>
  <c r="D592" i="12"/>
  <c r="A593" i="12"/>
  <c r="B593" i="12"/>
  <c r="C593" i="12"/>
  <c r="D593" i="12"/>
  <c r="A594" i="12"/>
  <c r="B594" i="12"/>
  <c r="C594" i="12"/>
  <c r="D594" i="12"/>
  <c r="A595" i="12"/>
  <c r="B595" i="12"/>
  <c r="C595" i="12"/>
  <c r="D595" i="12"/>
  <c r="A596" i="12"/>
  <c r="B596" i="12"/>
  <c r="C596" i="12"/>
  <c r="D596" i="12"/>
  <c r="A597" i="12"/>
  <c r="B597" i="12"/>
  <c r="C597" i="12"/>
  <c r="D597" i="12"/>
  <c r="A598" i="12"/>
  <c r="B598" i="12"/>
  <c r="C598" i="12"/>
  <c r="D598" i="12"/>
  <c r="A599" i="12"/>
  <c r="B599" i="12"/>
  <c r="C599" i="12"/>
  <c r="D599" i="12"/>
  <c r="A600" i="12"/>
  <c r="B600" i="12"/>
  <c r="C600" i="12"/>
  <c r="D600" i="12"/>
  <c r="A601" i="12"/>
  <c r="B601" i="12"/>
  <c r="C601" i="12"/>
  <c r="D601" i="12"/>
  <c r="A602" i="12"/>
  <c r="B602" i="12"/>
  <c r="C602" i="12"/>
  <c r="D602" i="12"/>
  <c r="A603" i="12"/>
  <c r="B603" i="12"/>
  <c r="C603" i="12"/>
  <c r="D603" i="12"/>
  <c r="A604" i="12"/>
  <c r="B604" i="12"/>
  <c r="C604" i="12"/>
  <c r="D604" i="12"/>
  <c r="A605" i="12"/>
  <c r="B605" i="12"/>
  <c r="C605" i="12"/>
  <c r="D605" i="12"/>
  <c r="A606" i="12"/>
  <c r="B606" i="12"/>
  <c r="C606" i="12"/>
  <c r="D606" i="12"/>
  <c r="A607" i="12"/>
  <c r="B607" i="12"/>
  <c r="C607" i="12"/>
  <c r="D607" i="12"/>
  <c r="A608" i="12"/>
  <c r="B608" i="12"/>
  <c r="C608" i="12"/>
  <c r="D608" i="12"/>
  <c r="A609" i="12"/>
  <c r="B609" i="12"/>
  <c r="C609" i="12"/>
  <c r="D609" i="12"/>
  <c r="A610" i="12"/>
  <c r="B610" i="12"/>
  <c r="C610" i="12"/>
  <c r="D610" i="12"/>
  <c r="A611" i="12"/>
  <c r="B611" i="12"/>
  <c r="C611" i="12"/>
  <c r="D611" i="12"/>
  <c r="A612" i="12"/>
  <c r="B612" i="12"/>
  <c r="C612" i="12"/>
  <c r="D612" i="12"/>
  <c r="A613" i="12"/>
  <c r="B613" i="12"/>
  <c r="C613" i="12"/>
  <c r="D613" i="12"/>
  <c r="A614" i="12"/>
  <c r="B614" i="12"/>
  <c r="C614" i="12"/>
  <c r="D614" i="12"/>
  <c r="A615" i="12"/>
  <c r="B615" i="12"/>
  <c r="C615" i="12"/>
  <c r="D615" i="12"/>
  <c r="A616" i="12"/>
  <c r="B616" i="12"/>
  <c r="C616" i="12"/>
  <c r="D616" i="12"/>
  <c r="A617" i="12"/>
  <c r="B617" i="12"/>
  <c r="C617" i="12"/>
  <c r="D617" i="12"/>
  <c r="A618" i="12"/>
  <c r="B618" i="12"/>
  <c r="C618" i="12"/>
  <c r="D618" i="12"/>
  <c r="A619" i="12"/>
  <c r="B619" i="12"/>
  <c r="C619" i="12"/>
  <c r="D619" i="12"/>
  <c r="A620" i="12"/>
  <c r="B620" i="12"/>
  <c r="C620" i="12"/>
  <c r="D620" i="12"/>
  <c r="A621" i="12"/>
  <c r="B621" i="12"/>
  <c r="C621" i="12"/>
  <c r="D621" i="12"/>
  <c r="A622" i="12"/>
  <c r="B622" i="12"/>
  <c r="C622" i="12"/>
  <c r="D622" i="12"/>
  <c r="A623" i="12"/>
  <c r="B623" i="12"/>
  <c r="C623" i="12"/>
  <c r="D623" i="12"/>
  <c r="A624" i="12"/>
  <c r="B624" i="12"/>
  <c r="C624" i="12"/>
  <c r="D624" i="12"/>
  <c r="A625" i="12"/>
  <c r="B625" i="12"/>
  <c r="C625" i="12"/>
  <c r="D625" i="12"/>
  <c r="A626" i="12"/>
  <c r="B626" i="12"/>
  <c r="C626" i="12"/>
  <c r="D626" i="12"/>
  <c r="A627" i="12"/>
  <c r="B627" i="12"/>
  <c r="C627" i="12"/>
  <c r="D627" i="12"/>
  <c r="A628" i="12"/>
  <c r="B628" i="12"/>
  <c r="C628" i="12"/>
  <c r="D628" i="12"/>
  <c r="A629" i="12"/>
  <c r="B629" i="12"/>
  <c r="C629" i="12"/>
  <c r="D629" i="12"/>
  <c r="A630" i="12"/>
  <c r="B630" i="12"/>
  <c r="C630" i="12"/>
  <c r="D630" i="12"/>
  <c r="A631" i="12"/>
  <c r="B631" i="12"/>
  <c r="C631" i="12"/>
  <c r="D631" i="12"/>
  <c r="A632" i="12"/>
  <c r="B632" i="12"/>
  <c r="C632" i="12"/>
  <c r="D632" i="12"/>
  <c r="A633" i="12"/>
  <c r="B633" i="12"/>
  <c r="C633" i="12"/>
  <c r="D633" i="12"/>
  <c r="A634" i="12"/>
  <c r="B634" i="12"/>
  <c r="C634" i="12"/>
  <c r="D634" i="12"/>
  <c r="A635" i="12"/>
  <c r="B635" i="12"/>
  <c r="C635" i="12"/>
  <c r="D635" i="12"/>
  <c r="A636" i="12"/>
  <c r="B636" i="12"/>
  <c r="C636" i="12"/>
  <c r="D636" i="12"/>
  <c r="A637" i="12"/>
  <c r="B637" i="12"/>
  <c r="C637" i="12"/>
  <c r="D637" i="12"/>
  <c r="A638" i="12"/>
  <c r="B638" i="12"/>
  <c r="C638" i="12"/>
  <c r="D638" i="12"/>
  <c r="A639" i="12"/>
  <c r="B639" i="12"/>
  <c r="C639" i="12"/>
  <c r="D639" i="12"/>
  <c r="A640" i="12"/>
  <c r="B640" i="12"/>
  <c r="C640" i="12"/>
  <c r="D640" i="12"/>
  <c r="A641" i="12"/>
  <c r="B641" i="12"/>
  <c r="C641" i="12"/>
  <c r="D641" i="12"/>
  <c r="A642" i="12"/>
  <c r="B642" i="12"/>
  <c r="C642" i="12"/>
  <c r="D642" i="12"/>
  <c r="A643" i="12"/>
  <c r="B643" i="12"/>
  <c r="C643" i="12"/>
  <c r="D643" i="12"/>
  <c r="A644" i="12"/>
  <c r="B644" i="12"/>
  <c r="C644" i="12"/>
  <c r="D644" i="12"/>
  <c r="A645" i="12"/>
  <c r="B645" i="12"/>
  <c r="C645" i="12"/>
  <c r="D645" i="12"/>
  <c r="A646" i="12"/>
  <c r="B646" i="12"/>
  <c r="C646" i="12"/>
  <c r="D646" i="12"/>
  <c r="A647" i="12"/>
  <c r="B647" i="12"/>
  <c r="C647" i="12"/>
  <c r="D647" i="12"/>
  <c r="A648" i="12"/>
  <c r="B648" i="12"/>
  <c r="C648" i="12"/>
  <c r="D648" i="12"/>
  <c r="A649" i="12"/>
  <c r="B649" i="12"/>
  <c r="C649" i="12"/>
  <c r="D649" i="12"/>
  <c r="A650" i="12"/>
  <c r="B650" i="12"/>
  <c r="C650" i="12"/>
  <c r="D650" i="12"/>
  <c r="A651" i="12"/>
  <c r="B651" i="12"/>
  <c r="C651" i="12"/>
  <c r="D651" i="12"/>
  <c r="A652" i="12"/>
  <c r="B652" i="12"/>
  <c r="C652" i="12"/>
  <c r="D652" i="12"/>
  <c r="A653" i="12"/>
  <c r="B653" i="12"/>
  <c r="C653" i="12"/>
  <c r="D653" i="12"/>
  <c r="A654" i="12"/>
  <c r="B654" i="12"/>
  <c r="C654" i="12"/>
  <c r="D654" i="12"/>
  <c r="A655" i="12"/>
  <c r="B655" i="12"/>
  <c r="C655" i="12"/>
  <c r="D655" i="12"/>
  <c r="A656" i="12"/>
  <c r="B656" i="12"/>
  <c r="C656" i="12"/>
  <c r="D656" i="12"/>
  <c r="A657" i="12"/>
  <c r="B657" i="12"/>
  <c r="C657" i="12"/>
  <c r="D657" i="12"/>
  <c r="A658" i="12"/>
  <c r="B658" i="12"/>
  <c r="C658" i="12"/>
  <c r="D658" i="12"/>
  <c r="A659" i="12"/>
  <c r="B659" i="12"/>
  <c r="C659" i="12"/>
  <c r="D659" i="12"/>
  <c r="A660" i="12"/>
  <c r="B660" i="12"/>
  <c r="C660" i="12"/>
  <c r="D660" i="12"/>
  <c r="A661" i="12"/>
  <c r="B661" i="12"/>
  <c r="C661" i="12"/>
  <c r="D661" i="12"/>
  <c r="A662" i="12"/>
  <c r="B662" i="12"/>
  <c r="C662" i="12"/>
  <c r="D662" i="12"/>
  <c r="A663" i="12"/>
  <c r="B663" i="12"/>
  <c r="C663" i="12"/>
  <c r="D663" i="12"/>
  <c r="A664" i="12"/>
  <c r="B664" i="12"/>
  <c r="C664" i="12"/>
  <c r="D664" i="12"/>
  <c r="A665" i="12"/>
  <c r="B665" i="12"/>
  <c r="C665" i="12"/>
  <c r="D665" i="12"/>
  <c r="A666" i="12"/>
  <c r="B666" i="12"/>
  <c r="C666" i="12"/>
  <c r="D666" i="12"/>
  <c r="A667" i="12"/>
  <c r="B667" i="12"/>
  <c r="C667" i="12"/>
  <c r="D667" i="12"/>
  <c r="A668" i="12"/>
  <c r="B668" i="12"/>
  <c r="C668" i="12"/>
  <c r="D668" i="12"/>
  <c r="A669" i="12"/>
  <c r="B669" i="12"/>
  <c r="C669" i="12"/>
  <c r="D669" i="12"/>
  <c r="A670" i="12"/>
  <c r="B670" i="12"/>
  <c r="C670" i="12"/>
  <c r="D670" i="12"/>
  <c r="A671" i="12"/>
  <c r="B671" i="12"/>
  <c r="C671" i="12"/>
  <c r="D671" i="12"/>
  <c r="A672" i="12"/>
  <c r="B672" i="12"/>
  <c r="C672" i="12"/>
  <c r="D672" i="12"/>
  <c r="A673" i="12"/>
  <c r="B673" i="12"/>
  <c r="C673" i="12"/>
  <c r="D673" i="12"/>
  <c r="A674" i="12"/>
  <c r="B674" i="12"/>
  <c r="C674" i="12"/>
  <c r="D674" i="12"/>
  <c r="A675" i="12"/>
  <c r="B675" i="12"/>
  <c r="C675" i="12"/>
  <c r="D675" i="12"/>
  <c r="A676" i="12"/>
  <c r="B676" i="12"/>
  <c r="C676" i="12"/>
  <c r="D676" i="12"/>
  <c r="A677" i="12"/>
  <c r="B677" i="12"/>
  <c r="C677" i="12"/>
  <c r="D677" i="12"/>
  <c r="A678" i="12"/>
  <c r="B678" i="12"/>
  <c r="C678" i="12"/>
  <c r="D678" i="12"/>
  <c r="A679" i="12"/>
  <c r="B679" i="12"/>
  <c r="C679" i="12"/>
  <c r="D679" i="12"/>
  <c r="A680" i="12"/>
  <c r="B680" i="12"/>
  <c r="C680" i="12"/>
  <c r="D680" i="12"/>
  <c r="A681" i="12"/>
  <c r="B681" i="12"/>
  <c r="C681" i="12"/>
  <c r="D681" i="12"/>
  <c r="A682" i="12"/>
  <c r="B682" i="12"/>
  <c r="C682" i="12"/>
  <c r="D682" i="12"/>
  <c r="A683" i="12"/>
  <c r="B683" i="12"/>
  <c r="C683" i="12"/>
  <c r="D683" i="12"/>
  <c r="A684" i="12"/>
  <c r="B684" i="12"/>
  <c r="C684" i="12"/>
  <c r="D684" i="12"/>
  <c r="A685" i="12"/>
  <c r="B685" i="12"/>
  <c r="C685" i="12"/>
  <c r="D685" i="12"/>
  <c r="A686" i="12"/>
  <c r="B686" i="12"/>
  <c r="C686" i="12"/>
  <c r="D686" i="12"/>
  <c r="A687" i="12"/>
  <c r="B687" i="12"/>
  <c r="C687" i="12"/>
  <c r="D687" i="12"/>
  <c r="A688" i="12"/>
  <c r="B688" i="12"/>
  <c r="C688" i="12"/>
  <c r="D688" i="12"/>
  <c r="A689" i="12"/>
  <c r="B689" i="12"/>
  <c r="C689" i="12"/>
  <c r="D689" i="12"/>
  <c r="A690" i="12"/>
  <c r="B690" i="12"/>
  <c r="C690" i="12"/>
  <c r="D690" i="12"/>
  <c r="A691" i="12"/>
  <c r="B691" i="12"/>
  <c r="C691" i="12"/>
  <c r="D691" i="12"/>
  <c r="A692" i="12"/>
  <c r="B692" i="12"/>
  <c r="C692" i="12"/>
  <c r="D692" i="12"/>
  <c r="A693" i="12"/>
  <c r="B693" i="12"/>
  <c r="C693" i="12"/>
  <c r="D693" i="12"/>
  <c r="A694" i="12"/>
  <c r="B694" i="12"/>
  <c r="C694" i="12"/>
  <c r="D694" i="12"/>
  <c r="A695" i="12"/>
  <c r="B695" i="12"/>
  <c r="C695" i="12"/>
  <c r="D695" i="12"/>
  <c r="A696" i="12"/>
  <c r="B696" i="12"/>
  <c r="C696" i="12"/>
  <c r="D696" i="12"/>
  <c r="A697" i="12"/>
  <c r="B697" i="12"/>
  <c r="C697" i="12"/>
  <c r="D697" i="12"/>
  <c r="A698" i="12"/>
  <c r="B698" i="12"/>
  <c r="C698" i="12"/>
  <c r="D698" i="12"/>
  <c r="A699" i="12"/>
  <c r="B699" i="12"/>
  <c r="C699" i="12"/>
  <c r="D699" i="12"/>
  <c r="A700" i="12"/>
  <c r="B700" i="12"/>
  <c r="C700" i="12"/>
  <c r="D700" i="12"/>
  <c r="A701" i="12"/>
  <c r="B701" i="12"/>
  <c r="C701" i="12"/>
  <c r="D701" i="12"/>
  <c r="A702" i="12"/>
  <c r="B702" i="12"/>
  <c r="C702" i="12"/>
  <c r="D702" i="12"/>
  <c r="A703" i="12"/>
  <c r="B703" i="12"/>
  <c r="C703" i="12"/>
  <c r="D703" i="12"/>
  <c r="A704" i="12"/>
  <c r="B704" i="12"/>
  <c r="C704" i="12"/>
  <c r="D704" i="12"/>
  <c r="A705" i="12"/>
  <c r="B705" i="12"/>
  <c r="C705" i="12"/>
  <c r="D705" i="12"/>
  <c r="A706" i="12"/>
  <c r="B706" i="12"/>
  <c r="C706" i="12"/>
  <c r="D706" i="12"/>
  <c r="A707" i="12"/>
  <c r="B707" i="12"/>
  <c r="C707" i="12"/>
  <c r="D707" i="12"/>
  <c r="A708" i="12"/>
  <c r="B708" i="12"/>
  <c r="C708" i="12"/>
  <c r="D708" i="12"/>
  <c r="A709" i="12"/>
  <c r="B709" i="12"/>
  <c r="C709" i="12"/>
  <c r="D709" i="12"/>
  <c r="A710" i="12"/>
  <c r="B710" i="12"/>
  <c r="C710" i="12"/>
  <c r="D710" i="12"/>
  <c r="A711" i="12"/>
  <c r="B711" i="12"/>
  <c r="C711" i="12"/>
  <c r="D711" i="12"/>
  <c r="A712" i="12"/>
  <c r="B712" i="12"/>
  <c r="C712" i="12"/>
  <c r="D712" i="12"/>
  <c r="A713" i="12"/>
  <c r="B713" i="12"/>
  <c r="C713" i="12"/>
  <c r="D713" i="12"/>
  <c r="A714" i="12"/>
  <c r="B714" i="12"/>
  <c r="C714" i="12"/>
  <c r="D714" i="12"/>
  <c r="A715" i="12"/>
  <c r="B715" i="12"/>
  <c r="C715" i="12"/>
  <c r="D715" i="12"/>
  <c r="A716" i="12"/>
  <c r="B716" i="12"/>
  <c r="C716" i="12"/>
  <c r="D716" i="12"/>
  <c r="A717" i="12"/>
  <c r="B717" i="12"/>
  <c r="C717" i="12"/>
  <c r="D717" i="12"/>
  <c r="A718" i="12"/>
  <c r="B718" i="12"/>
  <c r="C718" i="12"/>
  <c r="D718" i="12"/>
  <c r="A719" i="12"/>
  <c r="B719" i="12"/>
  <c r="C719" i="12"/>
  <c r="D719" i="12"/>
  <c r="A720" i="12"/>
  <c r="B720" i="12"/>
  <c r="C720" i="12"/>
  <c r="D720" i="12"/>
  <c r="A721" i="12"/>
  <c r="B721" i="12"/>
  <c r="C721" i="12"/>
  <c r="D721" i="12"/>
  <c r="A722" i="12"/>
  <c r="B722" i="12"/>
  <c r="C722" i="12"/>
  <c r="D722" i="12"/>
  <c r="A723" i="12"/>
  <c r="B723" i="12"/>
  <c r="C723" i="12"/>
  <c r="D723" i="12"/>
  <c r="A724" i="12"/>
  <c r="B724" i="12"/>
  <c r="C724" i="12"/>
  <c r="D724" i="12"/>
  <c r="A725" i="12"/>
  <c r="B725" i="12"/>
  <c r="C725" i="12"/>
  <c r="D725" i="12"/>
  <c r="A726" i="12"/>
  <c r="B726" i="12"/>
  <c r="C726" i="12"/>
  <c r="D726" i="12"/>
  <c r="A727" i="12"/>
  <c r="B727" i="12"/>
  <c r="C727" i="12"/>
  <c r="D727" i="12"/>
  <c r="A728" i="12"/>
  <c r="B728" i="12"/>
  <c r="C728" i="12"/>
  <c r="D728" i="12"/>
  <c r="A729" i="12"/>
  <c r="B729" i="12"/>
  <c r="C729" i="12"/>
  <c r="D729" i="12"/>
  <c r="A730" i="12"/>
  <c r="B730" i="12"/>
  <c r="C730" i="12"/>
  <c r="D730" i="12"/>
  <c r="A731" i="12"/>
  <c r="B731" i="12"/>
  <c r="C731" i="12"/>
  <c r="D731" i="12"/>
  <c r="A732" i="12"/>
  <c r="B732" i="12"/>
  <c r="C732" i="12"/>
  <c r="D732" i="12"/>
  <c r="A733" i="12"/>
  <c r="B733" i="12"/>
  <c r="C733" i="12"/>
  <c r="D733" i="12"/>
  <c r="A734" i="12"/>
  <c r="B734" i="12"/>
  <c r="C734" i="12"/>
  <c r="D734" i="12"/>
  <c r="A735" i="12"/>
  <c r="B735" i="12"/>
  <c r="C735" i="12"/>
  <c r="D735" i="12"/>
  <c r="A736" i="12"/>
  <c r="B736" i="12"/>
  <c r="C736" i="12"/>
  <c r="D736" i="12"/>
  <c r="A737" i="12"/>
  <c r="B737" i="12"/>
  <c r="C737" i="12"/>
  <c r="D737" i="12"/>
  <c r="A738" i="12"/>
  <c r="B738" i="12"/>
  <c r="C738" i="12"/>
  <c r="D738" i="12"/>
  <c r="A739" i="12"/>
  <c r="B739" i="12"/>
  <c r="C739" i="12"/>
  <c r="D739" i="12"/>
  <c r="A740" i="12"/>
  <c r="B740" i="12"/>
  <c r="C740" i="12"/>
  <c r="D740" i="12"/>
  <c r="A741" i="12"/>
  <c r="B741" i="12"/>
  <c r="C741" i="12"/>
  <c r="D741" i="12"/>
  <c r="A742" i="12"/>
  <c r="B742" i="12"/>
  <c r="C742" i="12"/>
  <c r="D742" i="12"/>
  <c r="A743" i="12"/>
  <c r="B743" i="12"/>
  <c r="C743" i="12"/>
  <c r="D743" i="12"/>
  <c r="A744" i="12"/>
  <c r="B744" i="12"/>
  <c r="C744" i="12"/>
  <c r="D744" i="12"/>
  <c r="A745" i="12"/>
  <c r="B745" i="12"/>
  <c r="C745" i="12"/>
  <c r="D745" i="12"/>
  <c r="A746" i="12"/>
  <c r="B746" i="12"/>
  <c r="C746" i="12"/>
  <c r="D746" i="12"/>
  <c r="A747" i="12"/>
  <c r="B747" i="12"/>
  <c r="C747" i="12"/>
  <c r="D747" i="12"/>
  <c r="A748" i="12"/>
  <c r="B748" i="12"/>
  <c r="C748" i="12"/>
  <c r="D748" i="12"/>
  <c r="A749" i="12"/>
  <c r="B749" i="12"/>
  <c r="C749" i="12"/>
  <c r="D749" i="12"/>
  <c r="A750" i="12"/>
  <c r="B750" i="12"/>
  <c r="C750" i="12"/>
  <c r="D750" i="12"/>
  <c r="A751" i="12"/>
  <c r="B751" i="12"/>
  <c r="C751" i="12"/>
  <c r="D751" i="12"/>
  <c r="A752" i="12"/>
  <c r="B752" i="12"/>
  <c r="C752" i="12"/>
  <c r="D752" i="12"/>
  <c r="A753" i="12"/>
  <c r="B753" i="12"/>
  <c r="C753" i="12"/>
  <c r="D753" i="12"/>
  <c r="A754" i="12"/>
  <c r="B754" i="12"/>
  <c r="C754" i="12"/>
  <c r="D754" i="12"/>
  <c r="A755" i="12"/>
  <c r="B755" i="12"/>
  <c r="C755" i="12"/>
  <c r="D755" i="12"/>
  <c r="A756" i="12"/>
  <c r="B756" i="12"/>
  <c r="C756" i="12"/>
  <c r="D756" i="12"/>
  <c r="A757" i="12"/>
  <c r="B757" i="12"/>
  <c r="C757" i="12"/>
  <c r="D757" i="12"/>
  <c r="A758" i="12"/>
  <c r="B758" i="12"/>
  <c r="C758" i="12"/>
  <c r="D758" i="12"/>
  <c r="A759" i="12"/>
  <c r="B759" i="12"/>
  <c r="C759" i="12"/>
  <c r="D759" i="12"/>
  <c r="A760" i="12"/>
  <c r="B760" i="12"/>
  <c r="C760" i="12"/>
  <c r="D760" i="12"/>
  <c r="A761" i="12"/>
  <c r="B761" i="12"/>
  <c r="C761" i="12"/>
  <c r="D761" i="12"/>
  <c r="A762" i="12"/>
  <c r="B762" i="12"/>
  <c r="C762" i="12"/>
  <c r="D762" i="12"/>
  <c r="A763" i="12"/>
  <c r="B763" i="12"/>
  <c r="C763" i="12"/>
  <c r="D763" i="12"/>
  <c r="A764" i="12"/>
  <c r="B764" i="12"/>
  <c r="C764" i="12"/>
  <c r="D764" i="12"/>
  <c r="A765" i="12"/>
  <c r="B765" i="12"/>
  <c r="C765" i="12"/>
  <c r="D765" i="12"/>
  <c r="A766" i="12"/>
  <c r="B766" i="12"/>
  <c r="C766" i="12"/>
  <c r="D766" i="12"/>
  <c r="A767" i="12"/>
  <c r="B767" i="12"/>
  <c r="C767" i="12"/>
  <c r="D767" i="12"/>
  <c r="A768" i="12"/>
  <c r="B768" i="12"/>
  <c r="C768" i="12"/>
  <c r="D768" i="12"/>
  <c r="A769" i="12"/>
  <c r="B769" i="12"/>
  <c r="C769" i="12"/>
  <c r="D769" i="12"/>
  <c r="A770" i="12"/>
  <c r="B770" i="12"/>
  <c r="C770" i="12"/>
  <c r="D770" i="12"/>
  <c r="A771" i="12"/>
  <c r="B771" i="12"/>
  <c r="C771" i="12"/>
  <c r="D771" i="12"/>
  <c r="A772" i="12"/>
  <c r="B772" i="12"/>
  <c r="C772" i="12"/>
  <c r="D772" i="12"/>
  <c r="A773" i="12"/>
  <c r="B773" i="12"/>
  <c r="C773" i="12"/>
  <c r="D773" i="12"/>
  <c r="A774" i="12"/>
  <c r="B774" i="12"/>
  <c r="C774" i="12"/>
  <c r="D774" i="12"/>
  <c r="A775" i="12"/>
  <c r="B775" i="12"/>
  <c r="C775" i="12"/>
  <c r="D775" i="12"/>
  <c r="A776" i="12"/>
  <c r="B776" i="12"/>
  <c r="C776" i="12"/>
  <c r="D776" i="12"/>
  <c r="A777" i="12"/>
  <c r="B777" i="12"/>
  <c r="C777" i="12"/>
  <c r="D777" i="12"/>
  <c r="A778" i="12"/>
  <c r="B778" i="12"/>
  <c r="C778" i="12"/>
  <c r="D778" i="12"/>
  <c r="A779" i="12"/>
  <c r="B779" i="12"/>
  <c r="C779" i="12"/>
  <c r="D779" i="12"/>
  <c r="A780" i="12"/>
  <c r="B780" i="12"/>
  <c r="C780" i="12"/>
  <c r="D780" i="12"/>
  <c r="A781" i="12"/>
  <c r="B781" i="12"/>
  <c r="C781" i="12"/>
  <c r="D781" i="12"/>
  <c r="A782" i="12"/>
  <c r="B782" i="12"/>
  <c r="C782" i="12"/>
  <c r="D782" i="12"/>
  <c r="A783" i="12"/>
  <c r="B783" i="12"/>
  <c r="C783" i="12"/>
  <c r="D783" i="12"/>
  <c r="A784" i="12"/>
  <c r="B784" i="12"/>
  <c r="C784" i="12"/>
  <c r="D784" i="12"/>
  <c r="A785" i="12"/>
  <c r="B785" i="12"/>
  <c r="C785" i="12"/>
  <c r="D785" i="12"/>
  <c r="A786" i="12"/>
  <c r="B786" i="12"/>
  <c r="C786" i="12"/>
  <c r="D786" i="12"/>
  <c r="A787" i="12"/>
  <c r="B787" i="12"/>
  <c r="C787" i="12"/>
  <c r="D787" i="12"/>
  <c r="A788" i="12"/>
  <c r="B788" i="12"/>
  <c r="C788" i="12"/>
  <c r="D788" i="12"/>
  <c r="A789" i="12"/>
  <c r="B789" i="12"/>
  <c r="C789" i="12"/>
  <c r="D789" i="12"/>
  <c r="A790" i="12"/>
  <c r="B790" i="12"/>
  <c r="C790" i="12"/>
  <c r="D790" i="12"/>
  <c r="A791" i="12"/>
  <c r="B791" i="12"/>
  <c r="C791" i="12"/>
  <c r="D791" i="12"/>
  <c r="M1309" i="12"/>
  <c r="A792" i="12"/>
  <c r="B792" i="12"/>
  <c r="C792" i="12"/>
  <c r="D792" i="12"/>
  <c r="A793" i="12"/>
  <c r="B793" i="12"/>
  <c r="C793" i="12"/>
  <c r="D793" i="12"/>
  <c r="A794" i="12"/>
  <c r="B794" i="12"/>
  <c r="C794" i="12"/>
  <c r="D794" i="12"/>
  <c r="A795" i="12"/>
  <c r="B795" i="12"/>
  <c r="C795" i="12"/>
  <c r="D795" i="12"/>
  <c r="A796" i="12"/>
  <c r="B796" i="12"/>
  <c r="C796" i="12"/>
  <c r="D796" i="12"/>
  <c r="M1314" i="12"/>
  <c r="A797" i="12"/>
  <c r="B797" i="12"/>
  <c r="C797" i="12"/>
  <c r="D797" i="12"/>
  <c r="M1317" i="12"/>
  <c r="A798" i="12"/>
  <c r="B798" i="12"/>
  <c r="C798" i="12"/>
  <c r="D798" i="12"/>
  <c r="A799" i="12"/>
  <c r="B799" i="12"/>
  <c r="C799" i="12"/>
  <c r="D799" i="12"/>
  <c r="A800" i="12"/>
  <c r="B800" i="12"/>
  <c r="C800" i="12"/>
  <c r="D800" i="12"/>
  <c r="M1322" i="12"/>
  <c r="A801" i="12"/>
  <c r="B801" i="12"/>
  <c r="C801" i="12"/>
  <c r="D801" i="12"/>
  <c r="A802" i="12"/>
  <c r="B802" i="12"/>
  <c r="C802" i="12"/>
  <c r="D802" i="12"/>
  <c r="A803" i="12"/>
  <c r="B803" i="12"/>
  <c r="C803" i="12"/>
  <c r="D803" i="12"/>
  <c r="M1325" i="12"/>
  <c r="A804" i="12"/>
  <c r="B804" i="12"/>
  <c r="C804" i="12"/>
  <c r="D804" i="12"/>
  <c r="A805" i="12"/>
  <c r="B805" i="12"/>
  <c r="C805" i="12"/>
  <c r="D805" i="12"/>
  <c r="A806" i="12"/>
  <c r="B806" i="12"/>
  <c r="C806" i="12"/>
  <c r="D806" i="12"/>
  <c r="A807" i="12"/>
  <c r="B807" i="12"/>
  <c r="C807" i="12"/>
  <c r="D807" i="12"/>
  <c r="A808" i="12"/>
  <c r="B808" i="12"/>
  <c r="C808" i="12"/>
  <c r="D808" i="12"/>
  <c r="A809" i="12"/>
  <c r="B809" i="12"/>
  <c r="C809" i="12"/>
  <c r="D809" i="12"/>
  <c r="A810" i="12"/>
  <c r="B810" i="12"/>
  <c r="C810" i="12"/>
  <c r="D810" i="12"/>
  <c r="A811" i="12"/>
  <c r="B811" i="12"/>
  <c r="C811" i="12"/>
  <c r="D811" i="12"/>
  <c r="A812" i="12"/>
  <c r="B812" i="12"/>
  <c r="C812" i="12"/>
  <c r="D812" i="12"/>
  <c r="A813" i="12"/>
  <c r="B813" i="12"/>
  <c r="C813" i="12"/>
  <c r="D813" i="12"/>
  <c r="A814" i="12"/>
  <c r="B814" i="12"/>
  <c r="C814" i="12"/>
  <c r="D814" i="12"/>
  <c r="A815" i="12"/>
  <c r="B815" i="12"/>
  <c r="C815" i="12"/>
  <c r="D815" i="12"/>
  <c r="A816" i="12"/>
  <c r="B816" i="12"/>
  <c r="C816" i="12"/>
  <c r="D816" i="12"/>
  <c r="A817" i="12"/>
  <c r="B817" i="12"/>
  <c r="C817" i="12"/>
  <c r="D817" i="12"/>
  <c r="A818" i="12"/>
  <c r="B818" i="12"/>
  <c r="C818" i="12"/>
  <c r="D818" i="12"/>
  <c r="A819" i="12"/>
  <c r="B819" i="12"/>
  <c r="C819" i="12"/>
  <c r="D819" i="12"/>
  <c r="A820" i="12"/>
  <c r="B820" i="12"/>
  <c r="C820" i="12"/>
  <c r="D820" i="12"/>
  <c r="A821" i="12"/>
  <c r="B821" i="12"/>
  <c r="C821" i="12"/>
  <c r="D821" i="12"/>
  <c r="A822" i="12"/>
  <c r="B822" i="12"/>
  <c r="C822" i="12"/>
  <c r="D822" i="12"/>
  <c r="A823" i="12"/>
  <c r="B823" i="12"/>
  <c r="C823" i="12"/>
  <c r="D823" i="12"/>
  <c r="A824" i="12"/>
  <c r="B824" i="12"/>
  <c r="C824" i="12"/>
  <c r="D824" i="12"/>
  <c r="A825" i="12"/>
  <c r="B825" i="12"/>
  <c r="C825" i="12"/>
  <c r="D825" i="12"/>
  <c r="A826" i="12"/>
  <c r="B826" i="12"/>
  <c r="C826" i="12"/>
  <c r="D826" i="12"/>
  <c r="A827" i="12"/>
  <c r="B827" i="12"/>
  <c r="C827" i="12"/>
  <c r="D827" i="12"/>
  <c r="A828" i="12"/>
  <c r="B828" i="12"/>
  <c r="C828" i="12"/>
  <c r="D828" i="12"/>
  <c r="A829" i="12"/>
  <c r="B829" i="12"/>
  <c r="C829" i="12"/>
  <c r="D829" i="12"/>
  <c r="A830" i="12"/>
  <c r="B830" i="12"/>
  <c r="C830" i="12"/>
  <c r="D830" i="12"/>
  <c r="A831" i="12"/>
  <c r="B831" i="12"/>
  <c r="C831" i="12"/>
  <c r="D831" i="12"/>
  <c r="A832" i="12"/>
  <c r="B832" i="12"/>
  <c r="C832" i="12"/>
  <c r="D832" i="12"/>
  <c r="A833" i="12"/>
  <c r="B833" i="12"/>
  <c r="C833" i="12"/>
  <c r="D833" i="12"/>
  <c r="A834" i="12"/>
  <c r="B834" i="12"/>
  <c r="C834" i="12"/>
  <c r="D834" i="12"/>
  <c r="A835" i="12"/>
  <c r="B835" i="12"/>
  <c r="C835" i="12"/>
  <c r="D835" i="12"/>
  <c r="A836" i="12"/>
  <c r="B836" i="12"/>
  <c r="C836" i="12"/>
  <c r="D836" i="12"/>
  <c r="A837" i="12"/>
  <c r="B837" i="12"/>
  <c r="C837" i="12"/>
  <c r="D837" i="12"/>
  <c r="A838" i="12"/>
  <c r="B838" i="12"/>
  <c r="C838" i="12"/>
  <c r="D838" i="12"/>
  <c r="A839" i="12"/>
  <c r="B839" i="12"/>
  <c r="C839" i="12"/>
  <c r="D839" i="12"/>
  <c r="A840" i="12"/>
  <c r="B840" i="12"/>
  <c r="C840" i="12"/>
  <c r="D840" i="12"/>
  <c r="A841" i="12"/>
  <c r="B841" i="12"/>
  <c r="C841" i="12"/>
  <c r="D841" i="12"/>
  <c r="A842" i="12"/>
  <c r="B842" i="12"/>
  <c r="C842" i="12"/>
  <c r="D842" i="12"/>
  <c r="A843" i="12"/>
  <c r="B843" i="12"/>
  <c r="C843" i="12"/>
  <c r="D843" i="12"/>
  <c r="A844" i="12"/>
  <c r="B844" i="12"/>
  <c r="C844" i="12"/>
  <c r="D844" i="12"/>
  <c r="A845" i="12"/>
  <c r="B845" i="12"/>
  <c r="C845" i="12"/>
  <c r="D845" i="12"/>
  <c r="A846" i="12"/>
  <c r="B846" i="12"/>
  <c r="C846" i="12"/>
  <c r="D846" i="12"/>
  <c r="A847" i="12"/>
  <c r="B847" i="12"/>
  <c r="C847" i="12"/>
  <c r="D847" i="12"/>
  <c r="A848" i="12"/>
  <c r="B848" i="12"/>
  <c r="C848" i="12"/>
  <c r="D848" i="12"/>
  <c r="A849" i="12"/>
  <c r="B849" i="12"/>
  <c r="C849" i="12"/>
  <c r="D849" i="12"/>
  <c r="A850" i="12"/>
  <c r="B850" i="12"/>
  <c r="C850" i="12"/>
  <c r="D850" i="12"/>
  <c r="A851" i="12"/>
  <c r="B851" i="12"/>
  <c r="C851" i="12"/>
  <c r="D851" i="12"/>
  <c r="A852" i="12"/>
  <c r="B852" i="12"/>
  <c r="C852" i="12"/>
  <c r="D852" i="12"/>
  <c r="A853" i="12"/>
  <c r="B853" i="12"/>
  <c r="C853" i="12"/>
  <c r="D853" i="12"/>
  <c r="A854" i="12"/>
  <c r="B854" i="12"/>
  <c r="C854" i="12"/>
  <c r="D854" i="12"/>
  <c r="A855" i="12"/>
  <c r="B855" i="12"/>
  <c r="C855" i="12"/>
  <c r="D855" i="12"/>
  <c r="A856" i="12"/>
  <c r="B856" i="12"/>
  <c r="C856" i="12"/>
  <c r="D856" i="12"/>
  <c r="A857" i="12"/>
  <c r="B857" i="12"/>
  <c r="C857" i="12"/>
  <c r="D857" i="12"/>
  <c r="A858" i="12"/>
  <c r="B858" i="12"/>
  <c r="C858" i="12"/>
  <c r="D858" i="12"/>
  <c r="A859" i="12"/>
  <c r="B859" i="12"/>
  <c r="C859" i="12"/>
  <c r="D859" i="12"/>
  <c r="A860" i="12"/>
  <c r="B860" i="12"/>
  <c r="C860" i="12"/>
  <c r="D860" i="12"/>
  <c r="A861" i="12"/>
  <c r="B861" i="12"/>
  <c r="C861" i="12"/>
  <c r="D861" i="12"/>
  <c r="A862" i="12"/>
  <c r="B862" i="12"/>
  <c r="C862" i="12"/>
  <c r="D862" i="12"/>
  <c r="A863" i="12"/>
  <c r="B863" i="12"/>
  <c r="C863" i="12"/>
  <c r="D863" i="12"/>
  <c r="A864" i="12"/>
  <c r="B864" i="12"/>
  <c r="C864" i="12"/>
  <c r="D864" i="12"/>
  <c r="A865" i="12"/>
  <c r="B865" i="12"/>
  <c r="C865" i="12"/>
  <c r="D865" i="12"/>
  <c r="A866" i="12"/>
  <c r="B866" i="12"/>
  <c r="C866" i="12"/>
  <c r="D866" i="12"/>
  <c r="A867" i="12"/>
  <c r="B867" i="12"/>
  <c r="C867" i="12"/>
  <c r="D867" i="12"/>
  <c r="A868" i="12"/>
  <c r="B868" i="12"/>
  <c r="C868" i="12"/>
  <c r="D868" i="12"/>
  <c r="A869" i="12"/>
  <c r="B869" i="12"/>
  <c r="C869" i="12"/>
  <c r="D869" i="12"/>
  <c r="A870" i="12"/>
  <c r="B870" i="12"/>
  <c r="C870" i="12"/>
  <c r="D870" i="12"/>
  <c r="A871" i="12"/>
  <c r="B871" i="12"/>
  <c r="C871" i="12"/>
  <c r="D871" i="12"/>
  <c r="A872" i="12"/>
  <c r="B872" i="12"/>
  <c r="C872" i="12"/>
  <c r="D872" i="12"/>
  <c r="A873" i="12"/>
  <c r="B873" i="12"/>
  <c r="C873" i="12"/>
  <c r="D873" i="12"/>
  <c r="A874" i="12"/>
  <c r="B874" i="12"/>
  <c r="C874" i="12"/>
  <c r="D874" i="12"/>
  <c r="A875" i="12"/>
  <c r="B875" i="12"/>
  <c r="C875" i="12"/>
  <c r="D875" i="12"/>
  <c r="A876" i="12"/>
  <c r="B876" i="12"/>
  <c r="C876" i="12"/>
  <c r="D876" i="12"/>
  <c r="A877" i="12"/>
  <c r="B877" i="12"/>
  <c r="C877" i="12"/>
  <c r="D877" i="12"/>
  <c r="A878" i="12"/>
  <c r="B878" i="12"/>
  <c r="C878" i="12"/>
  <c r="D878" i="12"/>
  <c r="A879" i="12"/>
  <c r="B879" i="12"/>
  <c r="C879" i="12"/>
  <c r="D879" i="12"/>
  <c r="A880" i="12"/>
  <c r="B880" i="12"/>
  <c r="C880" i="12"/>
  <c r="D880" i="12"/>
  <c r="A881" i="12"/>
  <c r="B881" i="12"/>
  <c r="C881" i="12"/>
  <c r="D881" i="12"/>
  <c r="A882" i="12"/>
  <c r="B882" i="12"/>
  <c r="C882" i="12"/>
  <c r="D882" i="12"/>
  <c r="A883" i="12"/>
  <c r="B883" i="12"/>
  <c r="C883" i="12"/>
  <c r="D883" i="12"/>
  <c r="A884" i="12"/>
  <c r="B884" i="12"/>
  <c r="C884" i="12"/>
  <c r="D884" i="12"/>
  <c r="A885" i="12"/>
  <c r="B885" i="12"/>
  <c r="C885" i="12"/>
  <c r="D885" i="12"/>
  <c r="A886" i="12"/>
  <c r="B886" i="12"/>
  <c r="C886" i="12"/>
  <c r="D886" i="12"/>
  <c r="A887" i="12"/>
  <c r="B887" i="12"/>
  <c r="C887" i="12"/>
  <c r="D887" i="12"/>
  <c r="A888" i="12"/>
  <c r="B888" i="12"/>
  <c r="C888" i="12"/>
  <c r="D888" i="12"/>
  <c r="A889" i="12"/>
  <c r="B889" i="12"/>
  <c r="C889" i="12"/>
  <c r="D889" i="12"/>
  <c r="A890" i="12"/>
  <c r="B890" i="12"/>
  <c r="C890" i="12"/>
  <c r="D890" i="12"/>
  <c r="A891" i="12"/>
  <c r="B891" i="12"/>
  <c r="C891" i="12"/>
  <c r="D891" i="12"/>
  <c r="A892" i="12"/>
  <c r="B892" i="12"/>
  <c r="C892" i="12"/>
  <c r="D892" i="12"/>
  <c r="A893" i="12"/>
  <c r="B893" i="12"/>
  <c r="C893" i="12"/>
  <c r="D893" i="12"/>
  <c r="A894" i="12"/>
  <c r="B894" i="12"/>
  <c r="C894" i="12"/>
  <c r="D894" i="12"/>
  <c r="A895" i="12"/>
  <c r="B895" i="12"/>
  <c r="C895" i="12"/>
  <c r="D895" i="12"/>
  <c r="A896" i="12"/>
  <c r="B896" i="12"/>
  <c r="C896" i="12"/>
  <c r="D896" i="12"/>
  <c r="A897" i="12"/>
  <c r="B897" i="12"/>
  <c r="C897" i="12"/>
  <c r="D897" i="12"/>
  <c r="A898" i="12"/>
  <c r="B898" i="12"/>
  <c r="C898" i="12"/>
  <c r="D898" i="12"/>
  <c r="A899" i="12"/>
  <c r="B899" i="12"/>
  <c r="C899" i="12"/>
  <c r="D899" i="12"/>
  <c r="A900" i="12"/>
  <c r="B900" i="12"/>
  <c r="C900" i="12"/>
  <c r="D900" i="12"/>
  <c r="A901" i="12"/>
  <c r="B901" i="12"/>
  <c r="C901" i="12"/>
  <c r="D901" i="12"/>
  <c r="A902" i="12"/>
  <c r="B902" i="12"/>
  <c r="C902" i="12"/>
  <c r="D902" i="12"/>
  <c r="A903" i="12"/>
  <c r="B903" i="12"/>
  <c r="C903" i="12"/>
  <c r="D903" i="12"/>
  <c r="A904" i="12"/>
  <c r="B904" i="12"/>
  <c r="C904" i="12"/>
  <c r="D904" i="12"/>
  <c r="A905" i="12"/>
  <c r="B905" i="12"/>
  <c r="C905" i="12"/>
  <c r="D905" i="12"/>
  <c r="A906" i="12"/>
  <c r="B906" i="12"/>
  <c r="C906" i="12"/>
  <c r="D906" i="12"/>
  <c r="A907" i="12"/>
  <c r="B907" i="12"/>
  <c r="C907" i="12"/>
  <c r="D907" i="12"/>
  <c r="A908" i="12"/>
  <c r="B908" i="12"/>
  <c r="C908" i="12"/>
  <c r="D908" i="12"/>
  <c r="A909" i="12"/>
  <c r="B909" i="12"/>
  <c r="C909" i="12"/>
  <c r="D909" i="12"/>
  <c r="A910" i="12"/>
  <c r="B910" i="12"/>
  <c r="C910" i="12"/>
  <c r="D910" i="12"/>
  <c r="A911" i="12"/>
  <c r="B911" i="12"/>
  <c r="C911" i="12"/>
  <c r="D911" i="12"/>
  <c r="A912" i="12"/>
  <c r="B912" i="12"/>
  <c r="C912" i="12"/>
  <c r="D912" i="12"/>
  <c r="A913" i="12"/>
  <c r="B913" i="12"/>
  <c r="C913" i="12"/>
  <c r="D913" i="12"/>
  <c r="A914" i="12"/>
  <c r="B914" i="12"/>
  <c r="C914" i="12"/>
  <c r="D914" i="12"/>
  <c r="A915" i="12"/>
  <c r="B915" i="12"/>
  <c r="C915" i="12"/>
  <c r="D915" i="12"/>
  <c r="A916" i="12"/>
  <c r="B916" i="12"/>
  <c r="C916" i="12"/>
  <c r="D916" i="12"/>
  <c r="A917" i="12"/>
  <c r="B917" i="12"/>
  <c r="C917" i="12"/>
  <c r="D917" i="12"/>
  <c r="A918" i="12"/>
  <c r="B918" i="12"/>
  <c r="C918" i="12"/>
  <c r="D918" i="12"/>
  <c r="A919" i="12"/>
  <c r="B919" i="12"/>
  <c r="C919" i="12"/>
  <c r="D919" i="12"/>
  <c r="A920" i="12"/>
  <c r="B920" i="12"/>
  <c r="C920" i="12"/>
  <c r="D920" i="12"/>
  <c r="A921" i="12"/>
  <c r="B921" i="12"/>
  <c r="C921" i="12"/>
  <c r="D921" i="12"/>
  <c r="A922" i="12"/>
  <c r="B922" i="12"/>
  <c r="C922" i="12"/>
  <c r="D922" i="12"/>
  <c r="A923" i="12"/>
  <c r="B923" i="12"/>
  <c r="C923" i="12"/>
  <c r="D923" i="12"/>
  <c r="A924" i="12"/>
  <c r="B924" i="12"/>
  <c r="C924" i="12"/>
  <c r="D924" i="12"/>
  <c r="A925" i="12"/>
  <c r="B925" i="12"/>
  <c r="C925" i="12"/>
  <c r="D925" i="12"/>
  <c r="A926" i="12"/>
  <c r="B926" i="12"/>
  <c r="C926" i="12"/>
  <c r="D926" i="12"/>
  <c r="A927" i="12"/>
  <c r="B927" i="12"/>
  <c r="C927" i="12"/>
  <c r="D927" i="12"/>
  <c r="A928" i="12"/>
  <c r="B928" i="12"/>
  <c r="C928" i="12"/>
  <c r="D928" i="12"/>
  <c r="A929" i="12"/>
  <c r="B929" i="12"/>
  <c r="C929" i="12"/>
  <c r="D929" i="12"/>
  <c r="M1530" i="12"/>
  <c r="A930" i="12"/>
  <c r="B930" i="12"/>
  <c r="C930" i="12"/>
  <c r="D930" i="12"/>
  <c r="A931" i="12"/>
  <c r="B931" i="12"/>
  <c r="C931" i="12"/>
  <c r="D931" i="12"/>
  <c r="A932" i="12"/>
  <c r="B932" i="12"/>
  <c r="C932" i="12"/>
  <c r="D932" i="12"/>
  <c r="A933" i="12"/>
  <c r="B933" i="12"/>
  <c r="C933" i="12"/>
  <c r="D933" i="12"/>
  <c r="A934" i="12"/>
  <c r="B934" i="12"/>
  <c r="C934" i="12"/>
  <c r="D934" i="12"/>
  <c r="A935" i="12"/>
  <c r="B935" i="12"/>
  <c r="C935" i="12"/>
  <c r="D935" i="12"/>
  <c r="A936" i="12"/>
  <c r="B936" i="12"/>
  <c r="C936" i="12"/>
  <c r="D936" i="12"/>
  <c r="A937" i="12"/>
  <c r="B937" i="12"/>
  <c r="C937" i="12"/>
  <c r="D937" i="12"/>
  <c r="A938" i="12"/>
  <c r="B938" i="12"/>
  <c r="C938" i="12"/>
  <c r="D938" i="12"/>
  <c r="A939" i="12"/>
  <c r="B939" i="12"/>
  <c r="C939" i="12"/>
  <c r="D939" i="12"/>
  <c r="A940" i="12"/>
  <c r="B940" i="12"/>
  <c r="C940" i="12"/>
  <c r="D940" i="12"/>
  <c r="A941" i="12"/>
  <c r="B941" i="12"/>
  <c r="C941" i="12"/>
  <c r="D941" i="12"/>
  <c r="A942" i="12"/>
  <c r="B942" i="12"/>
  <c r="C942" i="12"/>
  <c r="D942" i="12"/>
  <c r="A943" i="12"/>
  <c r="B943" i="12"/>
  <c r="C943" i="12"/>
  <c r="D943" i="12"/>
  <c r="A944" i="12"/>
  <c r="B944" i="12"/>
  <c r="C944" i="12"/>
  <c r="D944" i="12"/>
  <c r="A945" i="12"/>
  <c r="B945" i="12"/>
  <c r="C945" i="12"/>
  <c r="D945" i="12"/>
  <c r="A946" i="12"/>
  <c r="B946" i="12"/>
  <c r="C946" i="12"/>
  <c r="D946" i="12"/>
  <c r="A947" i="12"/>
  <c r="B947" i="12"/>
  <c r="C947" i="12"/>
  <c r="D947" i="12"/>
  <c r="A948" i="12"/>
  <c r="B948" i="12"/>
  <c r="C948" i="12"/>
  <c r="D948" i="12"/>
  <c r="A949" i="12"/>
  <c r="B949" i="12"/>
  <c r="C949" i="12"/>
  <c r="D949" i="12"/>
  <c r="A950" i="12"/>
  <c r="B950" i="12"/>
  <c r="C950" i="12"/>
  <c r="D950" i="12"/>
  <c r="A951" i="12"/>
  <c r="B951" i="12"/>
  <c r="C951" i="12"/>
  <c r="D951" i="12"/>
  <c r="A952" i="12"/>
  <c r="B952" i="12"/>
  <c r="C952" i="12"/>
  <c r="D952" i="12"/>
  <c r="A953" i="12"/>
  <c r="B953" i="12"/>
  <c r="C953" i="12"/>
  <c r="D953" i="12"/>
  <c r="A954" i="12"/>
  <c r="B954" i="12"/>
  <c r="C954" i="12"/>
  <c r="D954" i="12"/>
  <c r="A955" i="12"/>
  <c r="B955" i="12"/>
  <c r="C955" i="12"/>
  <c r="D955" i="12"/>
  <c r="A956" i="12"/>
  <c r="B956" i="12"/>
  <c r="C956" i="12"/>
  <c r="D956" i="12"/>
  <c r="A957" i="12"/>
  <c r="B957" i="12"/>
  <c r="C957" i="12"/>
  <c r="D957" i="12"/>
  <c r="A958" i="12"/>
  <c r="B958" i="12"/>
  <c r="C958" i="12"/>
  <c r="D958" i="12"/>
  <c r="A959" i="12"/>
  <c r="B959" i="12"/>
  <c r="C959" i="12"/>
  <c r="D959" i="12"/>
  <c r="A960" i="12"/>
  <c r="B960" i="12"/>
  <c r="C960" i="12"/>
  <c r="D960" i="12"/>
  <c r="A961" i="12"/>
  <c r="B961" i="12"/>
  <c r="C961" i="12"/>
  <c r="D961" i="12"/>
  <c r="A962" i="12"/>
  <c r="B962" i="12"/>
  <c r="C962" i="12"/>
  <c r="D962" i="12"/>
  <c r="A963" i="12"/>
  <c r="B963" i="12"/>
  <c r="C963" i="12"/>
  <c r="D963" i="12"/>
  <c r="A964" i="12"/>
  <c r="B964" i="12"/>
  <c r="C964" i="12"/>
  <c r="D964" i="12"/>
  <c r="A965" i="12"/>
  <c r="B965" i="12"/>
  <c r="C965" i="12"/>
  <c r="D965" i="12"/>
  <c r="A966" i="12"/>
  <c r="B966" i="12"/>
  <c r="C966" i="12"/>
  <c r="D966" i="12"/>
  <c r="A967" i="12"/>
  <c r="B967" i="12"/>
  <c r="C967" i="12"/>
  <c r="D967" i="12"/>
  <c r="A968" i="12"/>
  <c r="B968" i="12"/>
  <c r="C968" i="12"/>
  <c r="D968" i="12"/>
  <c r="A969" i="12"/>
  <c r="B969" i="12"/>
  <c r="C969" i="12"/>
  <c r="D969" i="12"/>
  <c r="A970" i="12"/>
  <c r="B970" i="12"/>
  <c r="C970" i="12"/>
  <c r="D970" i="12"/>
  <c r="A971" i="12"/>
  <c r="B971" i="12"/>
  <c r="C971" i="12"/>
  <c r="D971" i="12"/>
  <c r="A972" i="12"/>
  <c r="B972" i="12"/>
  <c r="C972" i="12"/>
  <c r="D972" i="12"/>
  <c r="A973" i="12"/>
  <c r="B973" i="12"/>
  <c r="C973" i="12"/>
  <c r="D973" i="12"/>
  <c r="A974" i="12"/>
  <c r="B974" i="12"/>
  <c r="C974" i="12"/>
  <c r="D974" i="12"/>
  <c r="A975" i="12"/>
  <c r="B975" i="12"/>
  <c r="C975" i="12"/>
  <c r="D975" i="12"/>
  <c r="A976" i="12"/>
  <c r="B976" i="12"/>
  <c r="C976" i="12"/>
  <c r="D976" i="12"/>
  <c r="A977" i="12"/>
  <c r="B977" i="12"/>
  <c r="C977" i="12"/>
  <c r="D977" i="12"/>
  <c r="A978" i="12"/>
  <c r="B978" i="12"/>
  <c r="C978" i="12"/>
  <c r="D978" i="12"/>
  <c r="A979" i="12"/>
  <c r="B979" i="12"/>
  <c r="C979" i="12"/>
  <c r="D979" i="12"/>
  <c r="A980" i="12"/>
  <c r="B980" i="12"/>
  <c r="C980" i="12"/>
  <c r="D980" i="12"/>
  <c r="A981" i="12"/>
  <c r="B981" i="12"/>
  <c r="C981" i="12"/>
  <c r="D981" i="12"/>
  <c r="A982" i="12"/>
  <c r="B982" i="12"/>
  <c r="C982" i="12"/>
  <c r="D982" i="12"/>
  <c r="A983" i="12"/>
  <c r="B983" i="12"/>
  <c r="C983" i="12"/>
  <c r="D983" i="12"/>
  <c r="A2" i="12"/>
  <c r="A1" i="12"/>
  <c r="J982" i="12" l="1"/>
  <c r="F982" i="12"/>
  <c r="F980" i="12"/>
  <c r="J980" i="12"/>
  <c r="J978" i="12"/>
  <c r="F978" i="12"/>
  <c r="F976" i="12"/>
  <c r="J976" i="12"/>
  <c r="J974" i="12"/>
  <c r="F974" i="12"/>
  <c r="F972" i="12"/>
  <c r="J972" i="12"/>
  <c r="J929" i="12"/>
  <c r="F929" i="12"/>
  <c r="J928" i="12"/>
  <c r="F928" i="12"/>
  <c r="F927" i="12"/>
  <c r="J927" i="12"/>
  <c r="F926" i="12"/>
  <c r="J926" i="12"/>
  <c r="J925" i="12"/>
  <c r="F925" i="12"/>
  <c r="J924" i="12"/>
  <c r="F924" i="12"/>
  <c r="F923" i="12"/>
  <c r="J923" i="12"/>
  <c r="F922" i="12"/>
  <c r="J922" i="12"/>
  <c r="J921" i="12"/>
  <c r="F921" i="12"/>
  <c r="J920" i="12"/>
  <c r="F920" i="12"/>
  <c r="F919" i="12"/>
  <c r="J919" i="12"/>
  <c r="F918" i="12"/>
  <c r="J918" i="12"/>
  <c r="J917" i="12"/>
  <c r="F917" i="12"/>
  <c r="J916" i="12"/>
  <c r="F916" i="12"/>
  <c r="F915" i="12"/>
  <c r="J915" i="12"/>
  <c r="F914" i="12"/>
  <c r="J914" i="12"/>
  <c r="J913" i="12"/>
  <c r="F913" i="12"/>
  <c r="J912" i="12"/>
  <c r="F912" i="12"/>
  <c r="F911" i="12"/>
  <c r="J911" i="12"/>
  <c r="F910" i="12"/>
  <c r="J910" i="12"/>
  <c r="J909" i="12"/>
  <c r="F909" i="12"/>
  <c r="J908" i="12"/>
  <c r="F908" i="12"/>
  <c r="F907" i="12"/>
  <c r="J907" i="12"/>
  <c r="F906" i="12"/>
  <c r="J906" i="12"/>
  <c r="J905" i="12"/>
  <c r="F905" i="12"/>
  <c r="J904" i="12"/>
  <c r="F904" i="12"/>
  <c r="F903" i="12"/>
  <c r="J903" i="12"/>
  <c r="F902" i="12"/>
  <c r="J902" i="12"/>
  <c r="J901" i="12"/>
  <c r="F901" i="12"/>
  <c r="J900" i="12"/>
  <c r="F900" i="12"/>
  <c r="F899" i="12"/>
  <c r="J899" i="12"/>
  <c r="F898" i="12"/>
  <c r="J898" i="12"/>
  <c r="J897" i="12"/>
  <c r="F897" i="12"/>
  <c r="J896" i="12"/>
  <c r="F896" i="12"/>
  <c r="F895" i="12"/>
  <c r="J895" i="12"/>
  <c r="F894" i="12"/>
  <c r="J894" i="12"/>
  <c r="J893" i="12"/>
  <c r="F893" i="12"/>
  <c r="J892" i="12"/>
  <c r="F892" i="12"/>
  <c r="F891" i="12"/>
  <c r="J891" i="12"/>
  <c r="F890" i="12"/>
  <c r="J890" i="12"/>
  <c r="J889" i="12"/>
  <c r="F889" i="12"/>
  <c r="J888" i="12"/>
  <c r="F888" i="12"/>
  <c r="F887" i="12"/>
  <c r="J887" i="12"/>
  <c r="F886" i="12"/>
  <c r="J886" i="12"/>
  <c r="J885" i="12"/>
  <c r="F885" i="12"/>
  <c r="J884" i="12"/>
  <c r="F884" i="12"/>
  <c r="F883" i="12"/>
  <c r="J883" i="12"/>
  <c r="F882" i="12"/>
  <c r="J882" i="12"/>
  <c r="J881" i="12"/>
  <c r="F881" i="12"/>
  <c r="J880" i="12"/>
  <c r="F880" i="12"/>
  <c r="F879" i="12"/>
  <c r="J879" i="12"/>
  <c r="F878" i="12"/>
  <c r="J878" i="12"/>
  <c r="J877" i="12"/>
  <c r="F877" i="12"/>
  <c r="J876" i="12"/>
  <c r="F876" i="12"/>
  <c r="F875" i="12"/>
  <c r="J875" i="12"/>
  <c r="F874" i="12"/>
  <c r="J874" i="12"/>
  <c r="J873" i="12"/>
  <c r="F873" i="12"/>
  <c r="J872" i="12"/>
  <c r="F872" i="12"/>
  <c r="F871" i="12"/>
  <c r="J871" i="12"/>
  <c r="F870" i="12"/>
  <c r="J870" i="12"/>
  <c r="J869" i="12"/>
  <c r="F869" i="12"/>
  <c r="J868" i="12"/>
  <c r="F868" i="12"/>
  <c r="F867" i="12"/>
  <c r="J867" i="12"/>
  <c r="F866" i="12"/>
  <c r="J866" i="12"/>
  <c r="J865" i="12"/>
  <c r="F865" i="12"/>
  <c r="J864" i="12"/>
  <c r="F864" i="12"/>
  <c r="F863" i="12"/>
  <c r="J863" i="12"/>
  <c r="F862" i="12"/>
  <c r="J862" i="12"/>
  <c r="J861" i="12"/>
  <c r="F861" i="12"/>
  <c r="F860" i="12"/>
  <c r="J860" i="12"/>
  <c r="J859" i="12"/>
  <c r="F859" i="12"/>
  <c r="J858" i="12"/>
  <c r="F858" i="12"/>
  <c r="F857" i="12"/>
  <c r="J857" i="12"/>
  <c r="J856" i="12"/>
  <c r="F856" i="12"/>
  <c r="J855" i="12"/>
  <c r="F855" i="12"/>
  <c r="F854" i="12"/>
  <c r="J854" i="12"/>
  <c r="J853" i="12"/>
  <c r="F853" i="12"/>
  <c r="F852" i="12"/>
  <c r="J852" i="12"/>
  <c r="F851" i="12"/>
  <c r="J851" i="12"/>
  <c r="J850" i="12"/>
  <c r="F850" i="12"/>
  <c r="J849" i="12"/>
  <c r="F849" i="12"/>
  <c r="F848" i="12"/>
  <c r="J848" i="12"/>
  <c r="F847" i="12"/>
  <c r="J847" i="12"/>
  <c r="J846" i="12"/>
  <c r="F846" i="12"/>
  <c r="J845" i="12"/>
  <c r="F845" i="12"/>
  <c r="F844" i="12"/>
  <c r="J844" i="12"/>
  <c r="F843" i="12"/>
  <c r="J843" i="12"/>
  <c r="J842" i="12"/>
  <c r="F842" i="12"/>
  <c r="J841" i="12"/>
  <c r="F841" i="12"/>
  <c r="F840" i="12"/>
  <c r="J840" i="12"/>
  <c r="F839" i="12"/>
  <c r="J839" i="12"/>
  <c r="J838" i="12"/>
  <c r="F838" i="12"/>
  <c r="J837" i="12"/>
  <c r="F837" i="12"/>
  <c r="F836" i="12"/>
  <c r="J836" i="12"/>
  <c r="F835" i="12"/>
  <c r="J835" i="12"/>
  <c r="J834" i="12"/>
  <c r="F834" i="12"/>
  <c r="J833" i="12"/>
  <c r="F833" i="12"/>
  <c r="F832" i="12"/>
  <c r="J832" i="12"/>
  <c r="F831" i="12"/>
  <c r="J831" i="12"/>
  <c r="J830" i="12"/>
  <c r="F830" i="12"/>
  <c r="J829" i="12"/>
  <c r="F829" i="12"/>
  <c r="F828" i="12"/>
  <c r="J828" i="12"/>
  <c r="F827" i="12"/>
  <c r="J827" i="12"/>
  <c r="J826" i="12"/>
  <c r="F826" i="12"/>
  <c r="J825" i="12"/>
  <c r="F825" i="12"/>
  <c r="F824" i="12"/>
  <c r="J824" i="12"/>
  <c r="F823" i="12"/>
  <c r="J823" i="12"/>
  <c r="J822" i="12"/>
  <c r="F822" i="12"/>
  <c r="J821" i="12"/>
  <c r="F821" i="12"/>
  <c r="F820" i="12"/>
  <c r="J820" i="12"/>
  <c r="F819" i="12"/>
  <c r="J819" i="12"/>
  <c r="J818" i="12"/>
  <c r="F818" i="12"/>
  <c r="J817" i="12"/>
  <c r="F817" i="12"/>
  <c r="F816" i="12"/>
  <c r="J816" i="12"/>
  <c r="F815" i="12"/>
  <c r="J815" i="12"/>
  <c r="J814" i="12"/>
  <c r="F814" i="12"/>
  <c r="J813" i="12"/>
  <c r="F813" i="12"/>
  <c r="F812" i="12"/>
  <c r="J812" i="12"/>
  <c r="F811" i="12"/>
  <c r="J811" i="12"/>
  <c r="J810" i="12"/>
  <c r="F810" i="12"/>
  <c r="J809" i="12"/>
  <c r="F809" i="12"/>
  <c r="F808" i="12"/>
  <c r="J808" i="12"/>
  <c r="F807" i="12"/>
  <c r="J807" i="12"/>
  <c r="J806" i="12"/>
  <c r="F806" i="12"/>
  <c r="J805" i="12"/>
  <c r="F805" i="12"/>
  <c r="F804" i="12"/>
  <c r="J804" i="12"/>
  <c r="F796" i="12"/>
  <c r="J796" i="12"/>
  <c r="F795" i="12"/>
  <c r="J795" i="12"/>
  <c r="J794" i="12"/>
  <c r="F794" i="12"/>
  <c r="J793" i="12"/>
  <c r="F793" i="12"/>
  <c r="F792" i="12"/>
  <c r="J792" i="12"/>
  <c r="F803" i="12"/>
  <c r="J803" i="12"/>
  <c r="J802" i="12"/>
  <c r="F802" i="12"/>
  <c r="J801" i="12"/>
  <c r="F801" i="12"/>
  <c r="F791" i="12"/>
  <c r="J791" i="12"/>
  <c r="J790" i="12"/>
  <c r="F790" i="12"/>
  <c r="J789" i="12"/>
  <c r="F789" i="12"/>
  <c r="F788" i="12"/>
  <c r="J788" i="12"/>
  <c r="F787" i="12"/>
  <c r="J787" i="12"/>
  <c r="J786" i="12"/>
  <c r="F786" i="12"/>
  <c r="J785" i="12"/>
  <c r="F785" i="12"/>
  <c r="F784" i="12"/>
  <c r="J784" i="12"/>
  <c r="F783" i="12"/>
  <c r="J783" i="12"/>
  <c r="J782" i="12"/>
  <c r="F782" i="12"/>
  <c r="J781" i="12"/>
  <c r="F781" i="12"/>
  <c r="F780" i="12"/>
  <c r="J780" i="12"/>
  <c r="F779" i="12"/>
  <c r="J779" i="12"/>
  <c r="J778" i="12"/>
  <c r="F778" i="12"/>
  <c r="J777" i="12"/>
  <c r="F777" i="12"/>
  <c r="F776" i="12"/>
  <c r="J776" i="12"/>
  <c r="F800" i="12"/>
  <c r="J800" i="12"/>
  <c r="F799" i="12"/>
  <c r="J799" i="12"/>
  <c r="J798" i="12"/>
  <c r="F798" i="12"/>
  <c r="F983" i="12"/>
  <c r="J983" i="12"/>
  <c r="J981" i="12"/>
  <c r="F981" i="12"/>
  <c r="F979" i="12"/>
  <c r="J979" i="12"/>
  <c r="J977" i="12"/>
  <c r="F977" i="12"/>
  <c r="F975" i="12"/>
  <c r="J975" i="12"/>
  <c r="J973" i="12"/>
  <c r="F973" i="12"/>
  <c r="F971" i="12"/>
  <c r="J971" i="12"/>
  <c r="J970" i="12"/>
  <c r="F970" i="12"/>
  <c r="J969" i="12"/>
  <c r="F969" i="12"/>
  <c r="F968" i="12"/>
  <c r="J968" i="12"/>
  <c r="F967" i="12"/>
  <c r="J967" i="12"/>
  <c r="J966" i="12"/>
  <c r="F966" i="12"/>
  <c r="J965" i="12"/>
  <c r="F965" i="12"/>
  <c r="F964" i="12"/>
  <c r="J964" i="12"/>
  <c r="F963" i="12"/>
  <c r="J963" i="12"/>
  <c r="J962" i="12"/>
  <c r="F962" i="12"/>
  <c r="J961" i="12"/>
  <c r="F961" i="12"/>
  <c r="F960" i="12"/>
  <c r="J960" i="12"/>
  <c r="F959" i="12"/>
  <c r="J959" i="12"/>
  <c r="M1580" i="12"/>
  <c r="J958" i="12"/>
  <c r="F958" i="12"/>
  <c r="J957" i="12"/>
  <c r="F957" i="12"/>
  <c r="F956" i="12"/>
  <c r="J956" i="12"/>
  <c r="F955" i="12"/>
  <c r="J955" i="12"/>
  <c r="J954" i="12"/>
  <c r="F954" i="12"/>
  <c r="J953" i="12"/>
  <c r="F953" i="12"/>
  <c r="F952" i="12"/>
  <c r="J952" i="12"/>
  <c r="F951" i="12"/>
  <c r="J951" i="12"/>
  <c r="J950" i="12"/>
  <c r="F950" i="12"/>
  <c r="J949" i="12"/>
  <c r="F949" i="12"/>
  <c r="F948" i="12"/>
  <c r="J948" i="12"/>
  <c r="F947" i="12"/>
  <c r="J947" i="12"/>
  <c r="J946" i="12"/>
  <c r="F946" i="12"/>
  <c r="F945" i="12"/>
  <c r="J945" i="12"/>
  <c r="J944" i="12"/>
  <c r="F944" i="12"/>
  <c r="J943" i="12"/>
  <c r="F943" i="12"/>
  <c r="J942" i="12"/>
  <c r="F942" i="12"/>
  <c r="F941" i="12"/>
  <c r="J941" i="12"/>
  <c r="J940" i="12"/>
  <c r="F940" i="12"/>
  <c r="F939" i="12"/>
  <c r="J939" i="12"/>
  <c r="F938" i="12"/>
  <c r="J938" i="12"/>
  <c r="J937" i="12"/>
  <c r="F937" i="12"/>
  <c r="J936" i="12"/>
  <c r="F936" i="12"/>
  <c r="F935" i="12"/>
  <c r="J935" i="12"/>
  <c r="F934" i="12"/>
  <c r="J934" i="12"/>
  <c r="J933" i="12"/>
  <c r="F933" i="12"/>
  <c r="J932" i="12"/>
  <c r="F932" i="12"/>
  <c r="F931" i="12"/>
  <c r="J931" i="12"/>
  <c r="F930" i="12"/>
  <c r="J930" i="12"/>
  <c r="J797" i="12"/>
  <c r="F797" i="12"/>
  <c r="F775" i="12"/>
  <c r="J775" i="12"/>
  <c r="J774" i="12"/>
  <c r="F774" i="12"/>
  <c r="J773" i="12"/>
  <c r="F773" i="12"/>
  <c r="F772" i="12"/>
  <c r="J772" i="12"/>
  <c r="F771" i="12"/>
  <c r="J771" i="12"/>
  <c r="J770" i="12"/>
  <c r="F770" i="12"/>
  <c r="J769" i="12"/>
  <c r="F769" i="12"/>
  <c r="F768" i="12"/>
  <c r="J768" i="12"/>
  <c r="F767" i="12"/>
  <c r="J767" i="12"/>
  <c r="J766" i="12"/>
  <c r="F766" i="12"/>
  <c r="J765" i="12"/>
  <c r="F765" i="12"/>
  <c r="F764" i="12"/>
  <c r="J764" i="12"/>
  <c r="F763" i="12"/>
  <c r="J763" i="12"/>
  <c r="J762" i="12"/>
  <c r="F762" i="12"/>
  <c r="J761" i="12"/>
  <c r="F761" i="12"/>
  <c r="F760" i="12"/>
  <c r="J760" i="12"/>
  <c r="F759" i="12"/>
  <c r="J759" i="12"/>
  <c r="J758" i="12"/>
  <c r="F758" i="12"/>
  <c r="J757" i="12"/>
  <c r="F757" i="12"/>
  <c r="F756" i="12"/>
  <c r="J756" i="12"/>
  <c r="F755" i="12"/>
  <c r="J755" i="12"/>
  <c r="J754" i="12"/>
  <c r="F754" i="12"/>
  <c r="J753" i="12"/>
  <c r="F753" i="12"/>
  <c r="F752" i="12"/>
  <c r="J752" i="12"/>
  <c r="F751" i="12"/>
  <c r="J751" i="12"/>
  <c r="J750" i="12"/>
  <c r="F750" i="12"/>
  <c r="J749" i="12"/>
  <c r="F749" i="12"/>
  <c r="F748" i="12"/>
  <c r="J748" i="12"/>
  <c r="F747" i="12"/>
  <c r="J747" i="12"/>
  <c r="J746" i="12"/>
  <c r="F746" i="12"/>
  <c r="J745" i="12"/>
  <c r="F745" i="12"/>
  <c r="F744" i="12"/>
  <c r="J744" i="12"/>
  <c r="F743" i="12"/>
  <c r="J743" i="12"/>
  <c r="J742" i="12"/>
  <c r="F742" i="12"/>
  <c r="J741" i="12"/>
  <c r="F741" i="12"/>
  <c r="F740" i="12"/>
  <c r="J740" i="12"/>
  <c r="F739" i="12"/>
  <c r="J739" i="12"/>
  <c r="J738" i="12"/>
  <c r="F738" i="12"/>
  <c r="J737" i="12"/>
  <c r="F737" i="12"/>
  <c r="F736" i="12"/>
  <c r="J736" i="12"/>
  <c r="F735" i="12"/>
  <c r="J735" i="12"/>
  <c r="J734" i="12"/>
  <c r="F734" i="12"/>
  <c r="J733" i="12"/>
  <c r="F733" i="12"/>
  <c r="F732" i="12"/>
  <c r="J732" i="12"/>
  <c r="F731" i="12"/>
  <c r="J731" i="12"/>
  <c r="J730" i="12"/>
  <c r="F730" i="12"/>
  <c r="J729" i="12"/>
  <c r="F729" i="12"/>
  <c r="F728" i="12"/>
  <c r="J728" i="12"/>
  <c r="F727" i="12"/>
  <c r="J727" i="12"/>
  <c r="J726" i="12"/>
  <c r="F726" i="12"/>
  <c r="J725" i="12"/>
  <c r="F725" i="12"/>
  <c r="F724" i="12"/>
  <c r="J724" i="12"/>
  <c r="F723" i="12"/>
  <c r="J723" i="12"/>
  <c r="F722" i="12"/>
  <c r="J722" i="12"/>
  <c r="J721" i="12"/>
  <c r="F721" i="12"/>
  <c r="F720" i="12"/>
  <c r="J720" i="12"/>
  <c r="F719" i="12"/>
  <c r="J719" i="12"/>
  <c r="F718" i="12"/>
  <c r="J718" i="12"/>
  <c r="J717" i="12"/>
  <c r="F717" i="12"/>
  <c r="F716" i="12"/>
  <c r="J716" i="12"/>
  <c r="F715" i="12"/>
  <c r="J715" i="12"/>
  <c r="F714" i="12"/>
  <c r="J714" i="12"/>
  <c r="J713" i="12"/>
  <c r="F713" i="12"/>
  <c r="F712" i="12"/>
  <c r="J712" i="12"/>
  <c r="F711" i="12"/>
  <c r="J711" i="12"/>
  <c r="F710" i="12"/>
  <c r="J710" i="12"/>
  <c r="J709" i="12"/>
  <c r="F709" i="12"/>
  <c r="F708" i="12"/>
  <c r="J708" i="12"/>
  <c r="F707" i="12"/>
  <c r="J707" i="12"/>
  <c r="F706" i="12"/>
  <c r="J706" i="12"/>
  <c r="J705" i="12"/>
  <c r="F705" i="12"/>
  <c r="F704" i="12"/>
  <c r="J704" i="12"/>
  <c r="F703" i="12"/>
  <c r="J703" i="12"/>
  <c r="F702" i="12"/>
  <c r="J702" i="12"/>
  <c r="J701" i="12"/>
  <c r="F701" i="12"/>
  <c r="F700" i="12"/>
  <c r="J700" i="12"/>
  <c r="F699" i="12"/>
  <c r="J699" i="12"/>
  <c r="F698" i="12"/>
  <c r="J698" i="12"/>
  <c r="J697" i="12"/>
  <c r="F697" i="12"/>
  <c r="F696" i="12"/>
  <c r="J696" i="12"/>
  <c r="F695" i="12"/>
  <c r="J695" i="12"/>
  <c r="F694" i="12"/>
  <c r="J694" i="12"/>
  <c r="J693" i="12"/>
  <c r="F693" i="12"/>
  <c r="F692" i="12"/>
  <c r="J692" i="12"/>
  <c r="F691" i="12"/>
  <c r="J691" i="12"/>
  <c r="F690" i="12"/>
  <c r="J690" i="12"/>
  <c r="J689" i="12"/>
  <c r="F689" i="12"/>
  <c r="F688" i="12"/>
  <c r="J688" i="12"/>
  <c r="F687" i="12"/>
  <c r="J687" i="12"/>
  <c r="F686" i="12"/>
  <c r="J686" i="12"/>
  <c r="J685" i="12"/>
  <c r="F685" i="12"/>
  <c r="F684" i="12"/>
  <c r="J684" i="12"/>
  <c r="F683" i="12"/>
  <c r="J683" i="12"/>
  <c r="F682" i="12"/>
  <c r="J682" i="12"/>
  <c r="J681" i="12"/>
  <c r="F681" i="12"/>
  <c r="F680" i="12"/>
  <c r="J680" i="12"/>
  <c r="F679" i="12"/>
  <c r="J679" i="12"/>
  <c r="F678" i="12"/>
  <c r="J678" i="12"/>
  <c r="J677" i="12"/>
  <c r="F677" i="12"/>
  <c r="F676" i="12"/>
  <c r="J676" i="12"/>
  <c r="F675" i="12"/>
  <c r="J675" i="12"/>
  <c r="F674" i="12"/>
  <c r="J674" i="12"/>
  <c r="J673" i="12"/>
  <c r="F673" i="12"/>
  <c r="F672" i="12"/>
  <c r="J672" i="12"/>
  <c r="F671" i="12"/>
  <c r="J671" i="12"/>
  <c r="F670" i="12"/>
  <c r="J670" i="12"/>
  <c r="J669" i="12"/>
  <c r="F669" i="12"/>
  <c r="F668" i="12"/>
  <c r="J668" i="12"/>
  <c r="F667" i="12"/>
  <c r="J667" i="12"/>
  <c r="F666" i="12"/>
  <c r="J666" i="12"/>
  <c r="J665" i="12"/>
  <c r="F665" i="12"/>
  <c r="J664" i="12"/>
  <c r="F664" i="12"/>
  <c r="F663" i="12"/>
  <c r="J663" i="12"/>
  <c r="F662" i="12"/>
  <c r="J662" i="12"/>
  <c r="J661" i="12"/>
  <c r="F661" i="12"/>
  <c r="J660" i="12"/>
  <c r="F660" i="12"/>
  <c r="F659" i="12"/>
  <c r="J659" i="12"/>
  <c r="F658" i="12"/>
  <c r="J658" i="12"/>
  <c r="J657" i="12"/>
  <c r="F657" i="12"/>
  <c r="J656" i="12"/>
  <c r="F656" i="12"/>
  <c r="F655" i="12"/>
  <c r="J655" i="12"/>
  <c r="F654" i="12"/>
  <c r="J654" i="12"/>
  <c r="J653" i="12"/>
  <c r="F653" i="12"/>
  <c r="J652" i="12"/>
  <c r="F652" i="12"/>
  <c r="F651" i="12"/>
  <c r="J651" i="12"/>
  <c r="F650" i="12"/>
  <c r="J650" i="12"/>
  <c r="J649" i="12"/>
  <c r="F649" i="12"/>
  <c r="J648" i="12"/>
  <c r="F648" i="12"/>
  <c r="F647" i="12"/>
  <c r="J647" i="12"/>
  <c r="F646" i="12"/>
  <c r="J646" i="12"/>
  <c r="J645" i="12"/>
  <c r="F645" i="12"/>
  <c r="J644" i="12"/>
  <c r="F644" i="12"/>
  <c r="F643" i="12"/>
  <c r="J643" i="12"/>
  <c r="F642" i="12"/>
  <c r="J642" i="12"/>
  <c r="J641" i="12"/>
  <c r="F641" i="12"/>
  <c r="J640" i="12"/>
  <c r="F640" i="12"/>
  <c r="F639" i="12"/>
  <c r="J639" i="12"/>
  <c r="F638" i="12"/>
  <c r="J638" i="12"/>
  <c r="J637" i="12"/>
  <c r="F637" i="12"/>
  <c r="J636" i="12"/>
  <c r="F636" i="12"/>
  <c r="F635" i="12"/>
  <c r="J635" i="12"/>
  <c r="J634" i="12"/>
  <c r="F634" i="12"/>
  <c r="J633" i="12"/>
  <c r="F633" i="12"/>
  <c r="F632" i="12"/>
  <c r="J632" i="12"/>
  <c r="J631" i="12"/>
  <c r="F631" i="12"/>
  <c r="J630" i="12"/>
  <c r="F630" i="12"/>
  <c r="F629" i="12"/>
  <c r="J629" i="12"/>
  <c r="F628" i="12"/>
  <c r="J628" i="12"/>
  <c r="J627" i="12"/>
  <c r="F627" i="12"/>
  <c r="J626" i="12"/>
  <c r="F626" i="12"/>
  <c r="F625" i="12"/>
  <c r="J625" i="12"/>
  <c r="J624" i="12"/>
  <c r="F624" i="12"/>
  <c r="F623" i="12"/>
  <c r="J623" i="12"/>
  <c r="J622" i="12"/>
  <c r="F622" i="12"/>
  <c r="J621" i="12"/>
  <c r="F621" i="12"/>
  <c r="J620" i="12"/>
  <c r="F620" i="12"/>
  <c r="F619" i="12"/>
  <c r="J619" i="12"/>
  <c r="F618" i="12"/>
  <c r="J618" i="12"/>
  <c r="J617" i="12"/>
  <c r="F617" i="12"/>
  <c r="F616" i="12"/>
  <c r="J616" i="12"/>
  <c r="J615" i="12"/>
  <c r="F615" i="12"/>
  <c r="F614" i="12"/>
  <c r="J614" i="12"/>
  <c r="F613" i="12"/>
  <c r="J613" i="12"/>
  <c r="J612" i="12"/>
  <c r="F612" i="12"/>
  <c r="J611" i="12"/>
  <c r="F611" i="12"/>
  <c r="J610" i="12"/>
  <c r="F610" i="12"/>
  <c r="F609" i="12"/>
  <c r="J609" i="12"/>
  <c r="J608" i="12"/>
  <c r="F608" i="12"/>
  <c r="F607" i="12"/>
  <c r="J607" i="12"/>
  <c r="J606" i="12"/>
  <c r="F606" i="12"/>
  <c r="J605" i="12"/>
  <c r="F605" i="12"/>
  <c r="J604" i="12"/>
  <c r="F604" i="12"/>
  <c r="F603" i="12"/>
  <c r="J603" i="12"/>
  <c r="F602" i="12"/>
  <c r="J602" i="12"/>
  <c r="J601" i="12"/>
  <c r="F601" i="12"/>
  <c r="F600" i="12"/>
  <c r="J600" i="12"/>
  <c r="J599" i="12"/>
  <c r="F599" i="12"/>
  <c r="F598" i="12"/>
  <c r="J598" i="12"/>
  <c r="F597" i="12"/>
  <c r="J597" i="12"/>
  <c r="J596" i="12"/>
  <c r="F596" i="12"/>
  <c r="J595" i="12"/>
  <c r="F595" i="12"/>
  <c r="J594" i="12"/>
  <c r="F594" i="12"/>
  <c r="F593" i="12"/>
  <c r="J593" i="12"/>
  <c r="J592" i="12"/>
  <c r="F592" i="12"/>
  <c r="F591" i="12"/>
  <c r="J591" i="12"/>
  <c r="J590" i="12"/>
  <c r="F590" i="12"/>
  <c r="J589" i="12"/>
  <c r="F589" i="12"/>
  <c r="J588" i="12"/>
  <c r="F588" i="12"/>
  <c r="F587" i="12"/>
  <c r="J587" i="12"/>
  <c r="F586" i="12"/>
  <c r="J586" i="12"/>
  <c r="J585" i="12"/>
  <c r="F585" i="12"/>
  <c r="F584" i="12"/>
  <c r="J584" i="12"/>
  <c r="J583" i="12"/>
  <c r="F583" i="12"/>
  <c r="F582" i="12"/>
  <c r="J582" i="12"/>
  <c r="F581" i="12"/>
  <c r="J581" i="12"/>
  <c r="J580" i="12"/>
  <c r="F580" i="12"/>
  <c r="J579" i="12"/>
  <c r="F579" i="12"/>
  <c r="J578" i="12"/>
  <c r="F578" i="12"/>
  <c r="F577" i="12"/>
  <c r="J577" i="12"/>
  <c r="J576" i="12"/>
  <c r="F576" i="12"/>
  <c r="F575" i="12"/>
  <c r="J575" i="12"/>
  <c r="J574" i="12"/>
  <c r="F574" i="12"/>
  <c r="J573" i="12"/>
  <c r="F573" i="12"/>
  <c r="J572" i="12"/>
  <c r="F572" i="12"/>
  <c r="F571" i="12"/>
  <c r="J571" i="12"/>
  <c r="F570" i="12"/>
  <c r="J570" i="12"/>
  <c r="J569" i="12"/>
  <c r="F569" i="12"/>
  <c r="F568" i="12"/>
  <c r="J568" i="12"/>
  <c r="J567" i="12"/>
  <c r="F567" i="12"/>
  <c r="F566" i="12"/>
  <c r="J566" i="12"/>
  <c r="F565" i="12"/>
  <c r="J565" i="12"/>
  <c r="J564" i="12"/>
  <c r="F564" i="12"/>
  <c r="J563" i="12"/>
  <c r="F563" i="12"/>
  <c r="J562" i="12"/>
  <c r="F562" i="12"/>
  <c r="F561" i="12"/>
  <c r="J561" i="12"/>
  <c r="J560" i="12"/>
  <c r="F560" i="12"/>
  <c r="F559" i="12"/>
  <c r="J559" i="12"/>
  <c r="J558" i="12"/>
  <c r="F558" i="12"/>
  <c r="J557" i="12"/>
  <c r="F557" i="12"/>
  <c r="J556" i="12"/>
  <c r="F556" i="12"/>
  <c r="F555" i="12"/>
  <c r="J555" i="12"/>
  <c r="F554" i="12"/>
  <c r="J554" i="12"/>
  <c r="J553" i="12"/>
  <c r="F553" i="12"/>
  <c r="F552" i="12"/>
  <c r="J552" i="12"/>
  <c r="J551" i="12"/>
  <c r="F551" i="12"/>
  <c r="F550" i="12"/>
  <c r="J550" i="12"/>
  <c r="F549" i="12"/>
  <c r="J549" i="12"/>
  <c r="J548" i="12"/>
  <c r="F548" i="12"/>
  <c r="F547" i="12"/>
  <c r="J547" i="12"/>
  <c r="J546" i="12"/>
  <c r="F546" i="12"/>
  <c r="J545" i="12"/>
  <c r="F545" i="12"/>
  <c r="F544" i="12"/>
  <c r="J544" i="12"/>
  <c r="J543" i="12"/>
  <c r="F543" i="12"/>
  <c r="F542" i="12"/>
  <c r="J542" i="12"/>
  <c r="F541" i="12"/>
  <c r="J541" i="12"/>
  <c r="J540" i="12"/>
  <c r="F540" i="12"/>
  <c r="J539" i="12"/>
  <c r="F539" i="12"/>
  <c r="J538" i="12"/>
  <c r="F538" i="12"/>
  <c r="F537" i="12"/>
  <c r="J537" i="12"/>
  <c r="F536" i="12"/>
  <c r="J536" i="12"/>
  <c r="F535" i="12"/>
  <c r="J535" i="12"/>
  <c r="J534" i="12"/>
  <c r="F534" i="12"/>
  <c r="J533" i="12"/>
  <c r="F533" i="12"/>
  <c r="J532" i="12"/>
  <c r="F532" i="12"/>
  <c r="F531" i="12"/>
  <c r="J531" i="12"/>
  <c r="F530" i="12"/>
  <c r="J530" i="12"/>
  <c r="F529" i="12"/>
  <c r="J529" i="12"/>
  <c r="F528" i="12"/>
  <c r="J528" i="12"/>
  <c r="J527" i="12"/>
  <c r="F527" i="12"/>
  <c r="F526" i="12"/>
  <c r="J526" i="12"/>
  <c r="F525" i="12"/>
  <c r="J525" i="12"/>
  <c r="J524" i="12"/>
  <c r="F524" i="12"/>
  <c r="F523" i="12"/>
  <c r="J523" i="12"/>
  <c r="J522" i="12"/>
  <c r="F522" i="12"/>
  <c r="J521" i="12"/>
  <c r="F521" i="12"/>
  <c r="J520" i="12"/>
  <c r="F520" i="12"/>
  <c r="J519" i="12"/>
  <c r="F519" i="12"/>
  <c r="F518" i="12"/>
  <c r="J518" i="12"/>
  <c r="F517" i="12"/>
  <c r="J517" i="12"/>
  <c r="J516" i="12"/>
  <c r="F516" i="12"/>
  <c r="F515" i="12"/>
  <c r="J515" i="12"/>
  <c r="J514" i="12"/>
  <c r="F514" i="12"/>
  <c r="J513" i="12"/>
  <c r="F513" i="12"/>
  <c r="J512" i="12"/>
  <c r="F512" i="12"/>
  <c r="J511" i="12"/>
  <c r="F511" i="12"/>
  <c r="F510" i="12"/>
  <c r="J510" i="12"/>
  <c r="F509" i="12"/>
  <c r="J509" i="12"/>
  <c r="J508" i="12"/>
  <c r="F508" i="12"/>
  <c r="F507" i="12"/>
  <c r="J507" i="12"/>
  <c r="J506" i="12"/>
  <c r="F506" i="12"/>
  <c r="J505" i="12"/>
  <c r="F505" i="12"/>
  <c r="J504" i="12"/>
  <c r="F504" i="12"/>
  <c r="J503" i="12"/>
  <c r="F503" i="12"/>
  <c r="F502" i="12"/>
  <c r="J502" i="12"/>
  <c r="F501" i="12"/>
  <c r="J501" i="12"/>
  <c r="J500" i="12"/>
  <c r="F500" i="12"/>
  <c r="F499" i="12"/>
  <c r="J499" i="12"/>
  <c r="J498" i="12"/>
  <c r="F498" i="12"/>
  <c r="J497" i="12"/>
  <c r="F497" i="12"/>
  <c r="J496" i="12"/>
  <c r="F496" i="12"/>
  <c r="J495" i="12"/>
  <c r="F495" i="12"/>
  <c r="F494" i="12"/>
  <c r="J494" i="12"/>
  <c r="F493" i="12"/>
  <c r="J493" i="12"/>
  <c r="J492" i="12"/>
  <c r="F492" i="12"/>
  <c r="F491" i="12"/>
  <c r="J491" i="12"/>
  <c r="J490" i="12"/>
  <c r="F490" i="12"/>
  <c r="J489" i="12"/>
  <c r="F489" i="12"/>
  <c r="J488" i="12"/>
  <c r="F488" i="12"/>
  <c r="J487" i="12"/>
  <c r="F487" i="12"/>
  <c r="F486" i="12"/>
  <c r="J486" i="12"/>
  <c r="F485" i="12"/>
  <c r="J485" i="12"/>
  <c r="J484" i="12"/>
  <c r="F484" i="12"/>
  <c r="F483" i="12"/>
  <c r="J483" i="12"/>
  <c r="J482" i="12"/>
  <c r="F482" i="12"/>
  <c r="J481" i="12"/>
  <c r="F481" i="12"/>
  <c r="F480" i="12"/>
  <c r="J480" i="12"/>
  <c r="J479" i="12"/>
  <c r="F479" i="12"/>
  <c r="F478" i="12"/>
  <c r="J478" i="12"/>
  <c r="F477" i="12"/>
  <c r="J477" i="12"/>
  <c r="J476" i="12"/>
  <c r="F476" i="12"/>
  <c r="J475" i="12"/>
  <c r="F475" i="12"/>
  <c r="J474" i="12"/>
  <c r="F474" i="12"/>
  <c r="F473" i="12"/>
  <c r="J473" i="12"/>
  <c r="J472" i="12"/>
  <c r="F472" i="12"/>
  <c r="F471" i="12"/>
  <c r="J471" i="12"/>
  <c r="J470" i="12"/>
  <c r="F470" i="12"/>
  <c r="J469" i="12"/>
  <c r="F469" i="12"/>
  <c r="J468" i="12"/>
  <c r="F468" i="12"/>
  <c r="F467" i="12"/>
  <c r="J467" i="12"/>
  <c r="F466" i="12"/>
  <c r="J466" i="12"/>
  <c r="J465" i="12"/>
  <c r="F465" i="12"/>
  <c r="F464" i="12"/>
  <c r="J464" i="12"/>
  <c r="J463" i="12"/>
  <c r="F463" i="12"/>
  <c r="F462" i="12"/>
  <c r="J462" i="12"/>
  <c r="F461" i="12"/>
  <c r="J461" i="12"/>
  <c r="J460" i="12"/>
  <c r="F460" i="12"/>
  <c r="J459" i="12"/>
  <c r="F459" i="12"/>
  <c r="J458" i="12"/>
  <c r="F458" i="12"/>
  <c r="F457" i="12"/>
  <c r="J457" i="12"/>
  <c r="J456" i="12"/>
  <c r="F456" i="12"/>
  <c r="F455" i="12"/>
  <c r="J455" i="12"/>
  <c r="J454" i="12"/>
  <c r="F454" i="12"/>
  <c r="J453" i="12"/>
  <c r="F453" i="12"/>
  <c r="J452" i="12"/>
  <c r="F452" i="12"/>
  <c r="F451" i="12"/>
  <c r="J451" i="12"/>
  <c r="F450" i="12"/>
  <c r="J450" i="12"/>
  <c r="J449" i="12"/>
  <c r="F449" i="12"/>
  <c r="F448" i="12"/>
  <c r="J448" i="12"/>
  <c r="J447" i="12"/>
  <c r="F447" i="12"/>
  <c r="F446" i="12"/>
  <c r="J446" i="12"/>
  <c r="F445" i="12"/>
  <c r="J445" i="12"/>
  <c r="J444" i="12"/>
  <c r="F444" i="12"/>
  <c r="J443" i="12"/>
  <c r="F443" i="12"/>
  <c r="J442" i="12"/>
  <c r="F442" i="12"/>
  <c r="F441" i="12"/>
  <c r="J441" i="12"/>
  <c r="J440" i="12"/>
  <c r="F440" i="12"/>
  <c r="F439" i="12"/>
  <c r="J439" i="12"/>
  <c r="J438" i="12"/>
  <c r="F438" i="12"/>
  <c r="J437" i="12"/>
  <c r="F437" i="12"/>
  <c r="J436" i="12"/>
  <c r="F436" i="12"/>
  <c r="F435" i="12"/>
  <c r="J435" i="12"/>
  <c r="F434" i="12"/>
  <c r="J434" i="12"/>
  <c r="J433" i="12"/>
  <c r="F433" i="12"/>
  <c r="F432" i="12"/>
  <c r="J432" i="12"/>
  <c r="J431" i="12"/>
  <c r="F431" i="12"/>
  <c r="F430" i="12"/>
  <c r="J430" i="12"/>
  <c r="F429" i="12"/>
  <c r="J429" i="12"/>
  <c r="J428" i="12"/>
  <c r="F428" i="12"/>
  <c r="J427" i="12"/>
  <c r="F427" i="12"/>
  <c r="J426" i="12"/>
  <c r="F426" i="12"/>
  <c r="F425" i="12"/>
  <c r="J425" i="12"/>
  <c r="J424" i="12"/>
  <c r="F424" i="12"/>
  <c r="F423" i="12"/>
  <c r="J423" i="12"/>
  <c r="J422" i="12"/>
  <c r="F422" i="12"/>
  <c r="J421" i="12"/>
  <c r="F421" i="12"/>
  <c r="F420" i="12"/>
  <c r="J420" i="12"/>
  <c r="F419" i="12"/>
  <c r="J419" i="12"/>
  <c r="F418" i="12"/>
  <c r="J418" i="12"/>
  <c r="J417" i="12"/>
  <c r="F417" i="12"/>
  <c r="J416" i="12"/>
  <c r="F416" i="12"/>
  <c r="F415" i="12"/>
  <c r="J415" i="12"/>
  <c r="F414" i="12"/>
  <c r="J414" i="12"/>
  <c r="F413" i="12"/>
  <c r="J413" i="12"/>
  <c r="F412" i="12"/>
  <c r="J412" i="12"/>
  <c r="J411" i="12"/>
  <c r="F411" i="12"/>
  <c r="F410" i="12"/>
  <c r="J410" i="12"/>
  <c r="F409" i="12"/>
  <c r="J409" i="12"/>
  <c r="J408" i="12"/>
  <c r="F408" i="12"/>
  <c r="J407" i="12"/>
  <c r="F407" i="12"/>
  <c r="J406" i="12"/>
  <c r="F406" i="12"/>
  <c r="F405" i="12"/>
  <c r="J405" i="12"/>
  <c r="F404" i="12"/>
  <c r="J404" i="12"/>
  <c r="F403" i="12"/>
  <c r="J403" i="12"/>
  <c r="J402" i="12"/>
  <c r="F402" i="12"/>
  <c r="J401" i="12"/>
  <c r="F401" i="12"/>
  <c r="J400" i="12"/>
  <c r="F400" i="12"/>
  <c r="F399" i="12"/>
  <c r="J399" i="12"/>
  <c r="F398" i="12"/>
  <c r="J398" i="12"/>
  <c r="F397" i="12"/>
  <c r="J397" i="12"/>
  <c r="F396" i="12"/>
  <c r="J396" i="12"/>
  <c r="J395" i="12"/>
  <c r="F395" i="12"/>
  <c r="F394" i="12"/>
  <c r="J394" i="12"/>
  <c r="F393" i="12"/>
  <c r="J393" i="12"/>
  <c r="J392" i="12"/>
  <c r="F392" i="12"/>
  <c r="F391" i="12"/>
  <c r="J391" i="12"/>
  <c r="J390" i="12"/>
  <c r="F390" i="12"/>
  <c r="J389" i="12"/>
  <c r="F389" i="12"/>
  <c r="F388" i="12"/>
  <c r="J388" i="12"/>
  <c r="F387" i="12"/>
  <c r="J387" i="12"/>
  <c r="F386" i="12"/>
  <c r="J386" i="12"/>
  <c r="J385" i="12"/>
  <c r="F385" i="12"/>
  <c r="J384" i="12"/>
  <c r="F384" i="12"/>
  <c r="F383" i="12"/>
  <c r="J383" i="12"/>
  <c r="F382" i="12"/>
  <c r="J382" i="12"/>
  <c r="F381" i="12"/>
  <c r="J381" i="12"/>
  <c r="J380" i="12"/>
  <c r="F380" i="12"/>
  <c r="F379" i="12"/>
  <c r="J379" i="12"/>
  <c r="J378" i="12"/>
  <c r="F378" i="12"/>
  <c r="F377" i="12"/>
  <c r="J377" i="12"/>
  <c r="J376" i="12"/>
  <c r="F376" i="12"/>
  <c r="F375" i="12"/>
  <c r="J375" i="12"/>
  <c r="F374" i="12"/>
  <c r="J374" i="12"/>
  <c r="J373" i="12"/>
  <c r="F373" i="12"/>
  <c r="J372" i="12"/>
  <c r="F372" i="12"/>
  <c r="J371" i="12"/>
  <c r="F371" i="12"/>
  <c r="J370" i="12"/>
  <c r="F370" i="12"/>
  <c r="J369" i="12"/>
  <c r="F369" i="12"/>
  <c r="F368" i="12"/>
  <c r="J368" i="12"/>
  <c r="J367" i="12"/>
  <c r="F367" i="12"/>
  <c r="F366" i="12"/>
  <c r="J366" i="12"/>
  <c r="F365" i="12"/>
  <c r="J365" i="12"/>
  <c r="J364" i="12"/>
  <c r="F364" i="12"/>
  <c r="F363" i="12"/>
  <c r="J363" i="12"/>
  <c r="J362" i="12"/>
  <c r="F362" i="12"/>
  <c r="J361" i="12"/>
  <c r="F361" i="12"/>
  <c r="F360" i="12"/>
  <c r="J360" i="12"/>
  <c r="J359" i="12"/>
  <c r="F359" i="12"/>
  <c r="F358" i="12"/>
  <c r="J358" i="12"/>
  <c r="F357" i="12"/>
  <c r="J357" i="12"/>
  <c r="J356" i="12"/>
  <c r="F356" i="12"/>
  <c r="F355" i="12"/>
  <c r="J355" i="12"/>
  <c r="J354" i="12"/>
  <c r="F354" i="12"/>
  <c r="J353" i="12"/>
  <c r="F353" i="12"/>
  <c r="F352" i="12"/>
  <c r="J352" i="12"/>
  <c r="J351" i="12"/>
  <c r="F351" i="12"/>
  <c r="F350" i="12"/>
  <c r="J350" i="12"/>
  <c r="F349" i="12"/>
  <c r="J349" i="12"/>
  <c r="J348" i="12"/>
  <c r="F348" i="12"/>
  <c r="F347" i="12"/>
  <c r="J347" i="12"/>
  <c r="J346" i="12"/>
  <c r="F346" i="12"/>
  <c r="J345" i="12"/>
  <c r="F345" i="12"/>
  <c r="F344" i="12"/>
  <c r="J344" i="12"/>
  <c r="J343" i="12"/>
  <c r="F343" i="12"/>
  <c r="F342" i="12"/>
  <c r="J342" i="12"/>
  <c r="F341" i="12"/>
  <c r="J341" i="12"/>
  <c r="J340" i="12"/>
  <c r="F340" i="12"/>
  <c r="F339" i="12"/>
  <c r="J339" i="12"/>
  <c r="J338" i="12"/>
  <c r="F338" i="12"/>
  <c r="J337" i="12"/>
  <c r="F337" i="12"/>
  <c r="F336" i="12"/>
  <c r="J336" i="12"/>
  <c r="J335" i="12"/>
  <c r="F335" i="12"/>
  <c r="J334" i="12"/>
  <c r="F334" i="12"/>
  <c r="F333" i="12"/>
  <c r="J333" i="12"/>
  <c r="F332" i="12"/>
  <c r="J332" i="12"/>
  <c r="F331" i="12"/>
  <c r="J331" i="12"/>
  <c r="J330" i="12"/>
  <c r="F330" i="12"/>
  <c r="J329" i="12"/>
  <c r="F329" i="12"/>
  <c r="F328" i="12"/>
  <c r="J328" i="12"/>
  <c r="J327" i="12"/>
  <c r="F327" i="12"/>
  <c r="J326" i="12"/>
  <c r="F326" i="12"/>
  <c r="F325" i="12"/>
  <c r="J325" i="12"/>
  <c r="F324" i="12"/>
  <c r="J324" i="12"/>
  <c r="F323" i="12"/>
  <c r="J323" i="12"/>
  <c r="J322" i="12"/>
  <c r="F322" i="12"/>
  <c r="J321" i="12"/>
  <c r="F321" i="12"/>
  <c r="F320" i="12"/>
  <c r="J320" i="12"/>
  <c r="J319" i="12"/>
  <c r="F319" i="12"/>
  <c r="J318" i="12"/>
  <c r="F318" i="12"/>
  <c r="F317" i="12"/>
  <c r="J317" i="12"/>
  <c r="F316" i="12"/>
  <c r="J316" i="12"/>
  <c r="F315" i="12"/>
  <c r="J315" i="12"/>
  <c r="J314" i="12"/>
  <c r="F314" i="12"/>
  <c r="J313" i="12"/>
  <c r="F313" i="12"/>
  <c r="F312" i="12"/>
  <c r="J312" i="12"/>
  <c r="J311" i="12"/>
  <c r="F311" i="12"/>
  <c r="J310" i="12"/>
  <c r="F310" i="12"/>
  <c r="F309" i="12"/>
  <c r="J309" i="12"/>
  <c r="F308" i="12"/>
  <c r="J308" i="12"/>
  <c r="F307" i="12"/>
  <c r="J307" i="12"/>
  <c r="J306" i="12"/>
  <c r="F306" i="12"/>
  <c r="J305" i="12"/>
  <c r="F305" i="12"/>
  <c r="F304" i="12"/>
  <c r="J304" i="12"/>
  <c r="J303" i="12"/>
  <c r="F303" i="12"/>
  <c r="J302" i="12"/>
  <c r="F302" i="12"/>
  <c r="F301" i="12"/>
  <c r="J301" i="12"/>
  <c r="F300" i="12"/>
  <c r="J300" i="12"/>
  <c r="F299" i="12"/>
  <c r="J299" i="12"/>
  <c r="J298" i="12"/>
  <c r="F298" i="12"/>
  <c r="J297" i="12"/>
  <c r="F297" i="12"/>
  <c r="F296" i="12"/>
  <c r="J296" i="12"/>
  <c r="F295" i="12"/>
  <c r="J295" i="12"/>
  <c r="F294" i="12"/>
  <c r="J294" i="12"/>
  <c r="J293" i="12"/>
  <c r="F293" i="12"/>
  <c r="J292" i="12"/>
  <c r="F292" i="12"/>
  <c r="F291" i="12"/>
  <c r="J291" i="12"/>
  <c r="F290" i="12"/>
  <c r="J290" i="12"/>
  <c r="J289" i="12"/>
  <c r="F289" i="12"/>
  <c r="F288" i="12"/>
  <c r="J288" i="12"/>
  <c r="J287" i="12"/>
  <c r="F287" i="12"/>
  <c r="F286" i="12"/>
  <c r="J286" i="12"/>
  <c r="J285" i="12"/>
  <c r="F285" i="12"/>
  <c r="J284" i="12"/>
  <c r="F284" i="12"/>
  <c r="J283" i="12"/>
  <c r="F283" i="12"/>
  <c r="J282" i="12"/>
  <c r="F282" i="12"/>
  <c r="F281" i="12"/>
  <c r="J281" i="12"/>
  <c r="F280" i="12"/>
  <c r="J280" i="12"/>
  <c r="F279" i="12"/>
  <c r="J279" i="12"/>
  <c r="J278" i="12"/>
  <c r="F278" i="12"/>
  <c r="F277" i="12"/>
  <c r="J277" i="12"/>
  <c r="J276" i="12"/>
  <c r="F276" i="12"/>
  <c r="F275" i="12"/>
  <c r="J275" i="12"/>
  <c r="F274" i="12"/>
  <c r="J274" i="12"/>
  <c r="J273" i="12"/>
  <c r="F273" i="12"/>
  <c r="F272" i="12"/>
  <c r="J272" i="12"/>
  <c r="J271" i="12"/>
  <c r="F271" i="12"/>
  <c r="F270" i="12"/>
  <c r="J270" i="12"/>
  <c r="F269" i="12"/>
  <c r="J269" i="12"/>
  <c r="J268" i="12"/>
  <c r="F268" i="12"/>
  <c r="F267" i="12"/>
  <c r="J267" i="12"/>
  <c r="F266" i="12"/>
  <c r="J266" i="12"/>
  <c r="F265" i="12"/>
  <c r="J265" i="12"/>
  <c r="F264" i="12"/>
  <c r="J264" i="12"/>
  <c r="F263" i="12"/>
  <c r="J263" i="12"/>
  <c r="J262" i="12"/>
  <c r="F262" i="12"/>
  <c r="J261" i="12"/>
  <c r="F261" i="12"/>
  <c r="F260" i="12"/>
  <c r="J260" i="12"/>
  <c r="J259" i="12"/>
  <c r="F259" i="12"/>
  <c r="F258" i="12"/>
  <c r="J258" i="12"/>
  <c r="J257" i="12"/>
  <c r="F257" i="12"/>
  <c r="J256" i="12"/>
  <c r="F256" i="12"/>
  <c r="J255" i="12"/>
  <c r="F255" i="12"/>
  <c r="F254" i="12"/>
  <c r="J254" i="12"/>
  <c r="F253" i="12"/>
  <c r="J253" i="12"/>
  <c r="J252" i="12"/>
  <c r="F252" i="12"/>
  <c r="F251" i="12"/>
  <c r="J251" i="12"/>
  <c r="J250" i="12"/>
  <c r="F250" i="12"/>
  <c r="F249" i="12"/>
  <c r="J249" i="12"/>
  <c r="F248" i="12"/>
  <c r="J248" i="12"/>
  <c r="J247" i="12"/>
  <c r="F247" i="12"/>
  <c r="J246" i="12"/>
  <c r="F246" i="12"/>
  <c r="J245" i="12"/>
  <c r="F245" i="12"/>
  <c r="F244" i="12"/>
  <c r="J244" i="12"/>
  <c r="J243" i="12"/>
  <c r="F243" i="12"/>
  <c r="F242" i="12"/>
  <c r="J242" i="12"/>
  <c r="F241" i="12"/>
  <c r="J241" i="12"/>
  <c r="J240" i="12"/>
  <c r="F240" i="12"/>
  <c r="J239" i="12"/>
  <c r="F239" i="12"/>
  <c r="J238" i="12"/>
  <c r="F238" i="12"/>
  <c r="J237" i="12"/>
  <c r="F237" i="12"/>
  <c r="F236" i="12"/>
  <c r="J236" i="12"/>
  <c r="J235" i="12"/>
  <c r="F235" i="12"/>
  <c r="F234" i="12"/>
  <c r="J234" i="12"/>
  <c r="F233" i="12"/>
  <c r="J233" i="12"/>
  <c r="J232" i="12"/>
  <c r="F232" i="12"/>
  <c r="J231" i="12"/>
  <c r="F231" i="12"/>
  <c r="J230" i="12"/>
  <c r="F230" i="12"/>
  <c r="J229" i="12"/>
  <c r="F229" i="12"/>
  <c r="F228" i="12"/>
  <c r="J228" i="12"/>
  <c r="J227" i="12"/>
  <c r="F227" i="12"/>
  <c r="F226" i="12"/>
  <c r="J226" i="12"/>
  <c r="F225" i="12"/>
  <c r="J225" i="12"/>
  <c r="J224" i="12"/>
  <c r="F224" i="12"/>
  <c r="J223" i="12"/>
  <c r="F223" i="12"/>
  <c r="J222" i="12"/>
  <c r="F222" i="12"/>
  <c r="J221" i="12"/>
  <c r="F221" i="12"/>
  <c r="F220" i="12"/>
  <c r="J220" i="12"/>
  <c r="J219" i="12"/>
  <c r="F219" i="12"/>
  <c r="F218" i="12"/>
  <c r="J218" i="12"/>
  <c r="F217" i="12"/>
  <c r="J217" i="12"/>
  <c r="J216" i="12"/>
  <c r="F216" i="12"/>
  <c r="J215" i="12"/>
  <c r="F215" i="12"/>
  <c r="J214" i="12"/>
  <c r="F214" i="12"/>
  <c r="F213" i="12"/>
  <c r="J213" i="12"/>
  <c r="J212" i="12"/>
  <c r="F212" i="12"/>
  <c r="J211" i="12"/>
  <c r="F211" i="12"/>
  <c r="J210" i="12"/>
  <c r="F210" i="12"/>
  <c r="F209" i="12"/>
  <c r="J209" i="12"/>
  <c r="J208" i="12"/>
  <c r="F208" i="12"/>
  <c r="J207" i="12"/>
  <c r="F207" i="12"/>
  <c r="J206" i="12"/>
  <c r="F206" i="12"/>
  <c r="F205" i="12"/>
  <c r="J205" i="12"/>
  <c r="J204" i="12"/>
  <c r="F204" i="12"/>
  <c r="J203" i="12"/>
  <c r="F203" i="12"/>
  <c r="F202" i="12"/>
  <c r="J202" i="12"/>
  <c r="J201" i="12"/>
  <c r="F201" i="12"/>
  <c r="F200" i="12"/>
  <c r="J200" i="12"/>
  <c r="J199" i="12"/>
  <c r="F199" i="12"/>
  <c r="F198" i="12"/>
  <c r="J198" i="12"/>
  <c r="J197" i="12"/>
  <c r="F197" i="12"/>
  <c r="F196" i="12"/>
  <c r="J196" i="12"/>
  <c r="J195" i="12"/>
  <c r="F195" i="12"/>
  <c r="F194" i="12"/>
  <c r="J194" i="12"/>
  <c r="J193" i="12"/>
  <c r="F193" i="12"/>
  <c r="F192" i="12"/>
  <c r="J192" i="12"/>
  <c r="J191" i="12"/>
  <c r="F191" i="12"/>
  <c r="F190" i="12"/>
  <c r="J190" i="12"/>
  <c r="J189" i="12"/>
  <c r="F189" i="12"/>
  <c r="J188" i="12"/>
  <c r="F188" i="12"/>
  <c r="F187" i="12"/>
  <c r="J187" i="12"/>
  <c r="J186" i="12"/>
  <c r="F186" i="12"/>
  <c r="J185" i="12"/>
  <c r="F185" i="12"/>
  <c r="J184" i="12"/>
  <c r="F184" i="12"/>
  <c r="F183" i="12"/>
  <c r="J183" i="12"/>
  <c r="J182" i="12"/>
  <c r="F182" i="12"/>
  <c r="J181" i="12"/>
  <c r="F181" i="12"/>
  <c r="J180" i="12"/>
  <c r="F180" i="12"/>
  <c r="F179" i="12"/>
  <c r="J179" i="12"/>
  <c r="J178" i="12"/>
  <c r="F178" i="12"/>
  <c r="J177" i="12"/>
  <c r="F177" i="12"/>
  <c r="J176" i="12"/>
  <c r="F176" i="12"/>
  <c r="F175" i="12"/>
  <c r="J175" i="12"/>
  <c r="J174" i="12"/>
  <c r="F174" i="12"/>
  <c r="J173" i="12"/>
  <c r="F173" i="12"/>
  <c r="J172" i="12"/>
  <c r="F172" i="12"/>
  <c r="F171" i="12"/>
  <c r="J171" i="12"/>
  <c r="J170" i="12"/>
  <c r="F170" i="12"/>
  <c r="F169" i="12"/>
  <c r="J169" i="12"/>
  <c r="F168" i="12"/>
  <c r="J168" i="12"/>
  <c r="J167" i="12"/>
  <c r="F167" i="12"/>
  <c r="F166" i="12"/>
  <c r="J166" i="12"/>
  <c r="J165" i="12"/>
  <c r="F165" i="12"/>
  <c r="J164" i="12"/>
  <c r="F164" i="12"/>
  <c r="F163" i="12"/>
  <c r="J163" i="12"/>
  <c r="J162" i="12"/>
  <c r="F162" i="12"/>
  <c r="F161" i="12"/>
  <c r="J161" i="12"/>
  <c r="F160" i="12"/>
  <c r="J160" i="12"/>
  <c r="J159" i="12"/>
  <c r="F159" i="12"/>
  <c r="J158" i="12"/>
  <c r="F158" i="12"/>
  <c r="J157" i="12"/>
  <c r="F157" i="12"/>
  <c r="F156" i="12"/>
  <c r="J156" i="12"/>
  <c r="J155" i="12"/>
  <c r="F155" i="12"/>
  <c r="F154" i="12"/>
  <c r="J154" i="12"/>
  <c r="J153" i="12"/>
  <c r="F153" i="12"/>
  <c r="J152" i="12"/>
  <c r="F152" i="12"/>
  <c r="J151" i="12"/>
  <c r="F151" i="12"/>
  <c r="F150" i="12"/>
  <c r="J150" i="12"/>
  <c r="F149" i="12"/>
  <c r="J149" i="12"/>
  <c r="J148" i="12"/>
  <c r="F148" i="12"/>
  <c r="F147" i="12"/>
  <c r="J147" i="12"/>
  <c r="J146" i="12"/>
  <c r="F146" i="12"/>
  <c r="J145" i="12"/>
  <c r="F145" i="12"/>
  <c r="F144" i="12"/>
  <c r="J144" i="12"/>
  <c r="F143" i="12"/>
  <c r="J143" i="12"/>
  <c r="F142" i="12"/>
  <c r="J142" i="12"/>
  <c r="F141" i="12"/>
  <c r="J141" i="12"/>
  <c r="F140" i="12"/>
  <c r="J140" i="12"/>
  <c r="F139" i="12"/>
  <c r="J139" i="12"/>
  <c r="J138" i="12"/>
  <c r="F138" i="12"/>
  <c r="F137" i="12"/>
  <c r="J137" i="12"/>
  <c r="J136" i="12"/>
  <c r="F136" i="12"/>
  <c r="F135" i="12"/>
  <c r="J135" i="12"/>
  <c r="F134" i="12"/>
  <c r="J134" i="12"/>
  <c r="J133" i="12"/>
  <c r="F133" i="12"/>
  <c r="F132" i="12"/>
  <c r="J132" i="12"/>
  <c r="F131" i="12"/>
  <c r="J131" i="12"/>
  <c r="F130" i="12"/>
  <c r="J130" i="12"/>
  <c r="F129" i="12"/>
  <c r="J129" i="12"/>
  <c r="F128" i="12"/>
  <c r="J128" i="12"/>
  <c r="F127" i="12"/>
  <c r="J127" i="12"/>
  <c r="F126" i="12"/>
  <c r="J126" i="12"/>
  <c r="J125" i="12"/>
  <c r="F125" i="12"/>
  <c r="F124" i="12"/>
  <c r="J124" i="12"/>
  <c r="J123" i="12"/>
  <c r="F123" i="12"/>
  <c r="F122" i="12"/>
  <c r="J122" i="12"/>
  <c r="F121" i="12"/>
  <c r="J121" i="12"/>
  <c r="F120" i="12"/>
  <c r="J120" i="12"/>
  <c r="F119" i="12"/>
  <c r="J119" i="12"/>
  <c r="J118" i="12"/>
  <c r="F118" i="12"/>
  <c r="J117" i="12"/>
  <c r="F117" i="12"/>
  <c r="J116" i="12"/>
  <c r="F116" i="12"/>
  <c r="F115" i="12"/>
  <c r="J115" i="12"/>
  <c r="F114" i="12"/>
  <c r="J114" i="12"/>
  <c r="J113" i="12"/>
  <c r="F113" i="12"/>
  <c r="F112" i="12"/>
  <c r="J112" i="12"/>
  <c r="F111" i="12"/>
  <c r="J111" i="12"/>
  <c r="F110" i="12"/>
  <c r="J110" i="12"/>
  <c r="J109" i="12"/>
  <c r="F109" i="12"/>
  <c r="J108" i="12"/>
  <c r="F108" i="12"/>
  <c r="F107" i="12"/>
  <c r="J107" i="12"/>
  <c r="F106" i="12"/>
  <c r="J106" i="12"/>
  <c r="J105" i="12"/>
  <c r="F105" i="12"/>
  <c r="F104" i="12"/>
  <c r="J104" i="12"/>
  <c r="F103" i="12"/>
  <c r="J103" i="12"/>
  <c r="J102" i="12"/>
  <c r="F102" i="12"/>
  <c r="J101" i="12"/>
  <c r="F101" i="12"/>
  <c r="J100" i="12"/>
  <c r="F100" i="12"/>
  <c r="J99" i="12"/>
  <c r="F99" i="12"/>
  <c r="F98" i="12"/>
  <c r="J98" i="12"/>
  <c r="J97" i="12"/>
  <c r="F97" i="12"/>
  <c r="F96" i="12"/>
  <c r="J96" i="12"/>
  <c r="J95" i="12"/>
  <c r="F95" i="12"/>
  <c r="J94" i="12"/>
  <c r="F94" i="12"/>
  <c r="F93" i="12"/>
  <c r="J93" i="12"/>
  <c r="J92" i="12"/>
  <c r="F92" i="12"/>
  <c r="J91" i="12"/>
  <c r="F91" i="12"/>
  <c r="F90" i="12"/>
  <c r="J90" i="12"/>
  <c r="J89" i="12"/>
  <c r="F89" i="12"/>
  <c r="F88" i="12"/>
  <c r="J88" i="12"/>
  <c r="J87" i="12"/>
  <c r="F87" i="12"/>
  <c r="F86" i="12"/>
  <c r="J86" i="12"/>
  <c r="F85" i="12"/>
  <c r="J85" i="12"/>
  <c r="J84" i="12"/>
  <c r="F84" i="12"/>
  <c r="J83" i="12"/>
  <c r="F83" i="12"/>
  <c r="J82" i="12"/>
  <c r="F82" i="12"/>
  <c r="J81" i="12"/>
  <c r="F81" i="12"/>
  <c r="F80" i="12"/>
  <c r="J80" i="12"/>
  <c r="J79" i="12"/>
  <c r="F79" i="12"/>
  <c r="F78" i="12"/>
  <c r="J78" i="12"/>
  <c r="F77" i="12"/>
  <c r="J77" i="12"/>
  <c r="J76" i="12"/>
  <c r="F76" i="12"/>
  <c r="J75" i="12"/>
  <c r="F75" i="12"/>
  <c r="J74" i="12"/>
  <c r="F74" i="12"/>
  <c r="J73" i="12"/>
  <c r="F73" i="12"/>
  <c r="F72" i="12"/>
  <c r="J72" i="12"/>
  <c r="J71" i="12"/>
  <c r="F71" i="12"/>
  <c r="J70" i="12"/>
  <c r="F70" i="12"/>
  <c r="F69" i="12"/>
  <c r="J69" i="12"/>
  <c r="F68" i="12"/>
  <c r="J68" i="12"/>
  <c r="J67" i="12"/>
  <c r="F67" i="12"/>
  <c r="F66" i="12"/>
  <c r="J66" i="12"/>
  <c r="J65" i="12"/>
  <c r="F65" i="12"/>
  <c r="J64" i="12"/>
  <c r="F64" i="12"/>
  <c r="F63" i="12"/>
  <c r="J63" i="12"/>
  <c r="J62" i="12"/>
  <c r="F62" i="12"/>
  <c r="F61" i="12"/>
  <c r="J61" i="12"/>
  <c r="J60" i="12"/>
  <c r="F60" i="12"/>
  <c r="J59" i="12"/>
  <c r="F59" i="12"/>
  <c r="J58" i="12"/>
  <c r="F58" i="12"/>
  <c r="J57" i="12"/>
  <c r="F57" i="12"/>
  <c r="F56" i="12"/>
  <c r="J56" i="12"/>
  <c r="J55" i="12"/>
  <c r="F55" i="12"/>
  <c r="F54" i="12"/>
  <c r="J54" i="12"/>
  <c r="F53" i="12"/>
  <c r="J53" i="12"/>
  <c r="J52" i="12"/>
  <c r="F52" i="12"/>
  <c r="J51" i="12"/>
  <c r="F51" i="12"/>
  <c r="J50" i="12"/>
  <c r="F50" i="12"/>
  <c r="J49" i="12"/>
  <c r="F49" i="12"/>
  <c r="F48" i="12"/>
  <c r="J48" i="12"/>
  <c r="J47" i="12"/>
  <c r="F47" i="12"/>
  <c r="F46" i="12"/>
  <c r="J46" i="12"/>
  <c r="F45" i="12"/>
  <c r="J45" i="12"/>
  <c r="J44" i="12"/>
  <c r="F44" i="12"/>
  <c r="J43" i="12"/>
  <c r="F43" i="12"/>
  <c r="J42" i="12"/>
  <c r="F42" i="12"/>
  <c r="J41" i="12"/>
  <c r="F41" i="12"/>
  <c r="F40" i="12"/>
  <c r="J40" i="12"/>
  <c r="J39" i="12"/>
  <c r="F39" i="12"/>
  <c r="J38" i="12"/>
  <c r="F38" i="12"/>
  <c r="J37" i="12"/>
  <c r="F37" i="12"/>
  <c r="F36" i="12"/>
  <c r="J36" i="12"/>
  <c r="J35" i="12"/>
  <c r="F35" i="12"/>
  <c r="J34" i="12"/>
  <c r="F34" i="12"/>
  <c r="J33" i="12"/>
  <c r="F33" i="12"/>
  <c r="F32" i="12"/>
  <c r="J32" i="12"/>
  <c r="J31" i="12"/>
  <c r="F31" i="12"/>
  <c r="J30" i="12"/>
  <c r="F30" i="12"/>
  <c r="J29" i="12"/>
  <c r="F29" i="12"/>
  <c r="F28" i="12"/>
  <c r="J28" i="12"/>
  <c r="J27" i="12"/>
  <c r="F27" i="12"/>
  <c r="J26" i="12"/>
  <c r="F26" i="12"/>
  <c r="J25" i="12"/>
  <c r="F25" i="12"/>
  <c r="F24" i="12"/>
  <c r="J24" i="12"/>
  <c r="J23" i="12"/>
  <c r="F23" i="12"/>
  <c r="J22" i="12"/>
  <c r="F22" i="12"/>
  <c r="J21" i="12"/>
  <c r="F21" i="12"/>
  <c r="F20" i="12"/>
  <c r="J20" i="12"/>
  <c r="J19" i="12"/>
  <c r="F19" i="12"/>
  <c r="J18" i="12"/>
  <c r="F18" i="12"/>
  <c r="J17" i="12"/>
  <c r="F17" i="12"/>
  <c r="F16" i="12"/>
  <c r="J16" i="12"/>
  <c r="J15" i="12"/>
  <c r="F15" i="12"/>
  <c r="J14" i="12"/>
  <c r="F14" i="12"/>
  <c r="J13" i="12"/>
  <c r="F13" i="12"/>
  <c r="F12" i="12"/>
  <c r="J12" i="12"/>
  <c r="J11" i="12"/>
  <c r="F11" i="12"/>
  <c r="J10" i="12"/>
  <c r="F10" i="12"/>
  <c r="J9" i="12"/>
  <c r="F9" i="12"/>
  <c r="F8" i="12"/>
  <c r="J8" i="12"/>
  <c r="J7" i="12"/>
  <c r="F7" i="12"/>
  <c r="J6" i="12"/>
  <c r="F6" i="12"/>
  <c r="J5" i="12"/>
  <c r="F5" i="12"/>
  <c r="F4" i="12"/>
  <c r="J4" i="12"/>
  <c r="J3" i="12"/>
  <c r="F3" i="12"/>
  <c r="M1564" i="12"/>
  <c r="M1572" i="12"/>
  <c r="M1612" i="12"/>
  <c r="M1604" i="12"/>
  <c r="M1588" i="12"/>
  <c r="M1556" i="12"/>
  <c r="M1548" i="12"/>
  <c r="M1541" i="12"/>
  <c r="M1620" i="12"/>
  <c r="M1596" i="12"/>
  <c r="M1552" i="12"/>
  <c r="M1471" i="12"/>
  <c r="M1545" i="12"/>
  <c r="M1540" i="12"/>
  <c r="M1537" i="12"/>
  <c r="M1532" i="12"/>
  <c r="M1619" i="12"/>
  <c r="M1615" i="12"/>
  <c r="M1611" i="12"/>
  <c r="M1607" i="12"/>
  <c r="M1603" i="12"/>
  <c r="M1599" i="12"/>
  <c r="M1595" i="12"/>
  <c r="M1591" i="12"/>
  <c r="M1587" i="12"/>
  <c r="M1583" i="12"/>
  <c r="M1579" i="12"/>
  <c r="M1575" i="12"/>
  <c r="M1571" i="12"/>
  <c r="M1567" i="12"/>
  <c r="M1563" i="12"/>
  <c r="M1559" i="12"/>
  <c r="M1555" i="12"/>
  <c r="M1551" i="12"/>
  <c r="M1547" i="12"/>
  <c r="M1542" i="12"/>
  <c r="M1534" i="12"/>
  <c r="M1526" i="12"/>
  <c r="M1525" i="12"/>
  <c r="M1518" i="12"/>
  <c r="M1517" i="12"/>
  <c r="M1510" i="12"/>
  <c r="M1509" i="12"/>
  <c r="M1502" i="12"/>
  <c r="M1501" i="12"/>
  <c r="M1493" i="12"/>
  <c r="M1485" i="12"/>
  <c r="M1478" i="12"/>
  <c r="M1477" i="12"/>
  <c r="M1469" i="12"/>
  <c r="M1461" i="12"/>
  <c r="M1453" i="12"/>
  <c r="M1445" i="12"/>
  <c r="M1437" i="12"/>
  <c r="M1429" i="12"/>
  <c r="M1421" i="12"/>
  <c r="M1413" i="12"/>
  <c r="M1405" i="12"/>
  <c r="M1618" i="12"/>
  <c r="M1608" i="12"/>
  <c r="M1602" i="12"/>
  <c r="M1600" i="12"/>
  <c r="M1594" i="12"/>
  <c r="M1562" i="12"/>
  <c r="M1560" i="12"/>
  <c r="M1554" i="12"/>
  <c r="M1550" i="12"/>
  <c r="M1543" i="12"/>
  <c r="M1535" i="12"/>
  <c r="M1533" i="12"/>
  <c r="M1390" i="12"/>
  <c r="M1382" i="12"/>
  <c r="M1366" i="12"/>
  <c r="M1614" i="12"/>
  <c r="M1606" i="12"/>
  <c r="M1598" i="12"/>
  <c r="M1590" i="12"/>
  <c r="M1582" i="12"/>
  <c r="M1574" i="12"/>
  <c r="M1566" i="12"/>
  <c r="M1558" i="12"/>
  <c r="M1546" i="12"/>
  <c r="M1538" i="12"/>
  <c r="M1503" i="12"/>
  <c r="M1494" i="12"/>
  <c r="M1487" i="12"/>
  <c r="M1470" i="12"/>
  <c r="M1463" i="12"/>
  <c r="M1454" i="12"/>
  <c r="M1447" i="12"/>
  <c r="M1446" i="12"/>
  <c r="M1439" i="12"/>
  <c r="M1438" i="12"/>
  <c r="M1431" i="12"/>
  <c r="M1430" i="12"/>
  <c r="M1423" i="12"/>
  <c r="M1422" i="12"/>
  <c r="M1415" i="12"/>
  <c r="M1414" i="12"/>
  <c r="M1407" i="12"/>
  <c r="M1406" i="12"/>
  <c r="M1398" i="12"/>
  <c r="M1610" i="12"/>
  <c r="M1586" i="12"/>
  <c r="M1584" i="12"/>
  <c r="M1578" i="12"/>
  <c r="M1570" i="12"/>
  <c r="M1568" i="12"/>
  <c r="M1486" i="12"/>
  <c r="M1462" i="12"/>
  <c r="M1617" i="12"/>
  <c r="M1609" i="12"/>
  <c r="M1605" i="12"/>
  <c r="M1601" i="12"/>
  <c r="M1597" i="12"/>
  <c r="M1593" i="12"/>
  <c r="M1589" i="12"/>
  <c r="M1585" i="12"/>
  <c r="M1581" i="12"/>
  <c r="M1577" i="12"/>
  <c r="M1573" i="12"/>
  <c r="M1569" i="12"/>
  <c r="M1565" i="12"/>
  <c r="M1561" i="12"/>
  <c r="M1557" i="12"/>
  <c r="M1553" i="12"/>
  <c r="M1549" i="12"/>
  <c r="M1539" i="12"/>
  <c r="M1531" i="12"/>
  <c r="M1529" i="12"/>
  <c r="M1522" i="12"/>
  <c r="M1520" i="12"/>
  <c r="M1514" i="12"/>
  <c r="M1506" i="12"/>
  <c r="M1498" i="12"/>
  <c r="M1490" i="12"/>
  <c r="M1488" i="12"/>
  <c r="M1482" i="12"/>
  <c r="M1474" i="12"/>
  <c r="M1466" i="12"/>
  <c r="M1458" i="12"/>
  <c r="M1450" i="12"/>
  <c r="M1442" i="12"/>
  <c r="M1434" i="12"/>
  <c r="M1426" i="12"/>
  <c r="M1424" i="12"/>
  <c r="M1418" i="12"/>
  <c r="M1410" i="12"/>
  <c r="M1408" i="12"/>
  <c r="M1402" i="12"/>
  <c r="M1299" i="12"/>
  <c r="M1241" i="12"/>
  <c r="M1177" i="12"/>
  <c r="M1145" i="12"/>
  <c r="M1113" i="12"/>
  <c r="M1081" i="12"/>
  <c r="M1049" i="12"/>
  <c r="M1017" i="12"/>
  <c r="M1523" i="12"/>
  <c r="M1521" i="12"/>
  <c r="M1516" i="12"/>
  <c r="M1515" i="12"/>
  <c r="M1513" i="12"/>
  <c r="M1507" i="12"/>
  <c r="M1505" i="12"/>
  <c r="M1499" i="12"/>
  <c r="M1497" i="12"/>
  <c r="M1491" i="12"/>
  <c r="M1489" i="12"/>
  <c r="M1484" i="12"/>
  <c r="M1483" i="12"/>
  <c r="M1481" i="12"/>
  <c r="M1475" i="12"/>
  <c r="M1473" i="12"/>
  <c r="M1467" i="12"/>
  <c r="M1465" i="12"/>
  <c r="M1459" i="12"/>
  <c r="M1457" i="12"/>
  <c r="M1451" i="12"/>
  <c r="M1449" i="12"/>
  <c r="M1443" i="12"/>
  <c r="M1441" i="12"/>
  <c r="M1436" i="12"/>
  <c r="M1435" i="12"/>
  <c r="M1433" i="12"/>
  <c r="M1427" i="12"/>
  <c r="M1425" i="12"/>
  <c r="M1420" i="12"/>
  <c r="M1419" i="12"/>
  <c r="M1417" i="12"/>
  <c r="M1411" i="12"/>
  <c r="M1409" i="12"/>
  <c r="M1403" i="12"/>
  <c r="M1401" i="12"/>
  <c r="M1395" i="12"/>
  <c r="M1393" i="12"/>
  <c r="M1388" i="12"/>
  <c r="M1387" i="12"/>
  <c r="M1385" i="12"/>
  <c r="M1379" i="12"/>
  <c r="M1377" i="12"/>
  <c r="M1371" i="12"/>
  <c r="M1369" i="12"/>
  <c r="M1363" i="12"/>
  <c r="M1361" i="12"/>
  <c r="M1355" i="12"/>
  <c r="M1353" i="12"/>
  <c r="M1347" i="12"/>
  <c r="M1345" i="12"/>
  <c r="M1339" i="12"/>
  <c r="M1337" i="12"/>
  <c r="M1331" i="12"/>
  <c r="M1329" i="12"/>
  <c r="M1326" i="12"/>
  <c r="M1324" i="12"/>
  <c r="M1321" i="12"/>
  <c r="M1318" i="12"/>
  <c r="M1316" i="12"/>
  <c r="M1313" i="12"/>
  <c r="M1310" i="12"/>
  <c r="M1308" i="12"/>
  <c r="M1319" i="12"/>
  <c r="M1302" i="12"/>
  <c r="M1300" i="12"/>
  <c r="M1293" i="12"/>
  <c r="M1285" i="12"/>
  <c r="M1277" i="12"/>
  <c r="M1269" i="12"/>
  <c r="M1261" i="12"/>
  <c r="M1253" i="12"/>
  <c r="M1245" i="12"/>
  <c r="M1237" i="12"/>
  <c r="M1229" i="12"/>
  <c r="M1221" i="12"/>
  <c r="M1213" i="12"/>
  <c r="M1205" i="12"/>
  <c r="M1201" i="12"/>
  <c r="M1197" i="12"/>
  <c r="M1189" i="12"/>
  <c r="M1181" i="12"/>
  <c r="M1173" i="12"/>
  <c r="M1169" i="12"/>
  <c r="M1165" i="12"/>
  <c r="M1157" i="12"/>
  <c r="M1149" i="12"/>
  <c r="M1141" i="12"/>
  <c r="M1133" i="12"/>
  <c r="M1125" i="12"/>
  <c r="M1117" i="12"/>
  <c r="M1109" i="12"/>
  <c r="M1101" i="12"/>
  <c r="M1093" i="12"/>
  <c r="M1085" i="12"/>
  <c r="M1077" i="12"/>
  <c r="M1073" i="12"/>
  <c r="M1069" i="12"/>
  <c r="M1061" i="12"/>
  <c r="M1053" i="12"/>
  <c r="M1045" i="12"/>
  <c r="M1041" i="12"/>
  <c r="M1037" i="12"/>
  <c r="M1029" i="12"/>
  <c r="M1021" i="12"/>
  <c r="M1013" i="12"/>
  <c r="M1009" i="12"/>
  <c r="M1005" i="12"/>
  <c r="M1399" i="12"/>
  <c r="M1397" i="12"/>
  <c r="M1394" i="12"/>
  <c r="M1391" i="12"/>
  <c r="M1389" i="12"/>
  <c r="M1386" i="12"/>
  <c r="M1383" i="12"/>
  <c r="M1381" i="12"/>
  <c r="M1378" i="12"/>
  <c r="M1375" i="12"/>
  <c r="M1373" i="12"/>
  <c r="M1370" i="12"/>
  <c r="M1367" i="12"/>
  <c r="M1365" i="12"/>
  <c r="M1362" i="12"/>
  <c r="M1359" i="12"/>
  <c r="M1357" i="12"/>
  <c r="M1354" i="12"/>
  <c r="M1351" i="12"/>
  <c r="M1349" i="12"/>
  <c r="M1346" i="12"/>
  <c r="M1343" i="12"/>
  <c r="M1341" i="12"/>
  <c r="M1338" i="12"/>
  <c r="M1335" i="12"/>
  <c r="M1333" i="12"/>
  <c r="M1330" i="12"/>
  <c r="M1320" i="12"/>
  <c r="M1312" i="12"/>
  <c r="M1306" i="12"/>
  <c r="M1305" i="12"/>
  <c r="M1301" i="12"/>
  <c r="M1298" i="12"/>
  <c r="M1297" i="12"/>
  <c r="M1304" i="12"/>
  <c r="M1296" i="12"/>
  <c r="M1295" i="12"/>
  <c r="M1294" i="12"/>
  <c r="M1288" i="12"/>
  <c r="M1287" i="12"/>
  <c r="M1286" i="12"/>
  <c r="M1279" i="12"/>
  <c r="M1278" i="12"/>
  <c r="M1272" i="12"/>
  <c r="M1271" i="12"/>
  <c r="M1270" i="12"/>
  <c r="M1264" i="12"/>
  <c r="M1262" i="12"/>
  <c r="M1256" i="12"/>
  <c r="M1255" i="12"/>
  <c r="M1254" i="12"/>
  <c r="M1248" i="12"/>
  <c r="M1247" i="12"/>
  <c r="M1246" i="12"/>
  <c r="M1240" i="12"/>
  <c r="M1239" i="12"/>
  <c r="M1238" i="12"/>
  <c r="M1232" i="12"/>
  <c r="M1230" i="12"/>
  <c r="M1224" i="12"/>
  <c r="M1222" i="12"/>
  <c r="M1216" i="12"/>
  <c r="M1215" i="12"/>
  <c r="M1214" i="12"/>
  <c r="M1208" i="12"/>
  <c r="M1207" i="12"/>
  <c r="M1206" i="12"/>
  <c r="M1200" i="12"/>
  <c r="M1198" i="12"/>
  <c r="M1192" i="12"/>
  <c r="M1191" i="12"/>
  <c r="M1190" i="12"/>
  <c r="M1184" i="12"/>
  <c r="M1183" i="12"/>
  <c r="M1182" i="12"/>
  <c r="M1176" i="12"/>
  <c r="M1175" i="12"/>
  <c r="M1174" i="12"/>
  <c r="M1168" i="12"/>
  <c r="M1166" i="12"/>
  <c r="M1160" i="12"/>
  <c r="M1158" i="12"/>
  <c r="M1152" i="12"/>
  <c r="M1150" i="12"/>
  <c r="M1144" i="12"/>
  <c r="M1142" i="12"/>
  <c r="M1136" i="12"/>
  <c r="M1135" i="12"/>
  <c r="M1134" i="12"/>
  <c r="M1128" i="12"/>
  <c r="M1127" i="12"/>
  <c r="M1126" i="12"/>
  <c r="M1120" i="12"/>
  <c r="M1119" i="12"/>
  <c r="M1118" i="12"/>
  <c r="M1112" i="12"/>
  <c r="M1110" i="12"/>
  <c r="M1104" i="12"/>
  <c r="M1103" i="12"/>
  <c r="M1102" i="12"/>
  <c r="M1096" i="12"/>
  <c r="M1095" i="12"/>
  <c r="M1094" i="12"/>
  <c r="M1088" i="12"/>
  <c r="M1087" i="12"/>
  <c r="M1086" i="12"/>
  <c r="M1080" i="12"/>
  <c r="M1078" i="12"/>
  <c r="M1072" i="12"/>
  <c r="M1071" i="12"/>
  <c r="M1070" i="12"/>
  <c r="M1064" i="12"/>
  <c r="M1063" i="12"/>
  <c r="M1062" i="12"/>
  <c r="M1056" i="12"/>
  <c r="M1054" i="12"/>
  <c r="M1048" i="12"/>
  <c r="M1047" i="12"/>
  <c r="M1046" i="12"/>
  <c r="M1040" i="12"/>
  <c r="M1039" i="12"/>
  <c r="M1038" i="12"/>
  <c r="M1032" i="12"/>
  <c r="M1031" i="12"/>
  <c r="M1030" i="12"/>
  <c r="M1024" i="12"/>
  <c r="M1023" i="12"/>
  <c r="M1022" i="12"/>
  <c r="M1016" i="12"/>
  <c r="M1015" i="12"/>
  <c r="M1014" i="12"/>
  <c r="M1008" i="12"/>
  <c r="M1006" i="12"/>
  <c r="M1000" i="12"/>
  <c r="M998" i="12"/>
  <c r="M992" i="12"/>
  <c r="M990" i="12"/>
  <c r="M984" i="12"/>
  <c r="M997" i="12"/>
  <c r="M989" i="12"/>
  <c r="M1292" i="12"/>
  <c r="M1290" i="12"/>
  <c r="M1284" i="12"/>
  <c r="M1282" i="12"/>
  <c r="M1276" i="12"/>
  <c r="M1274" i="12"/>
  <c r="M1268" i="12"/>
  <c r="M1266" i="12"/>
  <c r="M1260" i="12"/>
  <c r="M1258" i="12"/>
  <c r="M1250" i="12"/>
  <c r="M1244" i="12"/>
  <c r="M1242" i="12"/>
  <c r="M1236" i="12"/>
  <c r="M1234" i="12"/>
  <c r="M1228" i="12"/>
  <c r="M1226" i="12"/>
  <c r="M1220" i="12"/>
  <c r="M1218" i="12"/>
  <c r="M1212" i="12"/>
  <c r="M1210" i="12"/>
  <c r="M1196" i="12"/>
  <c r="M1194" i="12"/>
  <c r="M1188" i="12"/>
  <c r="M1186" i="12"/>
  <c r="M1180" i="12"/>
  <c r="M1178" i="12"/>
  <c r="M1172" i="12"/>
  <c r="M1164" i="12"/>
  <c r="M1162" i="12"/>
  <c r="M1156" i="12"/>
  <c r="M1154" i="12"/>
  <c r="M1148" i="12"/>
  <c r="M1146" i="12"/>
  <c r="M1140" i="12"/>
  <c r="M1138" i="12"/>
  <c r="M1132" i="12"/>
  <c r="M1130" i="12"/>
  <c r="M1124" i="12"/>
  <c r="M1122" i="12"/>
  <c r="M1116" i="12"/>
  <c r="M1114" i="12"/>
  <c r="M1108" i="12"/>
  <c r="M1098" i="12"/>
  <c r="M1092" i="12"/>
  <c r="M1090" i="12"/>
  <c r="M1084" i="12"/>
  <c r="M1082" i="12"/>
  <c r="M1076" i="12"/>
  <c r="M1074" i="12"/>
  <c r="M1068" i="12"/>
  <c r="M1066" i="12"/>
  <c r="M1060" i="12"/>
  <c r="M1058" i="12"/>
  <c r="M1052" i="12"/>
  <c r="M1050" i="12"/>
  <c r="M1044" i="12"/>
  <c r="M1042" i="12"/>
  <c r="M1036" i="12"/>
  <c r="M1034" i="12"/>
  <c r="M1028" i="12"/>
  <c r="M1026" i="12"/>
  <c r="M1020" i="12"/>
  <c r="M1018" i="12"/>
  <c r="M1012" i="12"/>
  <c r="M1010" i="12"/>
  <c r="M1004" i="12"/>
  <c r="M1002" i="12"/>
  <c r="M996" i="12"/>
  <c r="M994" i="12"/>
  <c r="M988" i="12"/>
  <c r="M986" i="12"/>
  <c r="M1204" i="12"/>
  <c r="M1202" i="12"/>
  <c r="M1106" i="12"/>
  <c r="M1100" i="12"/>
  <c r="M993" i="12"/>
  <c r="E2" i="12"/>
  <c r="E985" i="12" s="1"/>
  <c r="D2" i="12"/>
  <c r="C2" i="12"/>
  <c r="B2" i="12"/>
  <c r="J1" i="12"/>
  <c r="F1" i="12"/>
  <c r="E2" i="1"/>
  <c r="D2" i="1"/>
  <c r="G982" i="12" l="1"/>
  <c r="K980" i="12"/>
  <c r="G978" i="12"/>
  <c r="K976" i="12"/>
  <c r="G974" i="12"/>
  <c r="K972" i="12"/>
  <c r="K928" i="12"/>
  <c r="G926" i="12"/>
  <c r="K924" i="12"/>
  <c r="G922" i="12"/>
  <c r="K920" i="12"/>
  <c r="G918" i="12"/>
  <c r="K916" i="12"/>
  <c r="G914" i="12"/>
  <c r="K912" i="12"/>
  <c r="G910" i="12"/>
  <c r="K908" i="12"/>
  <c r="G906" i="12"/>
  <c r="K904" i="12"/>
  <c r="G902" i="12"/>
  <c r="K900" i="12"/>
  <c r="G898" i="12"/>
  <c r="K896" i="12"/>
  <c r="G894" i="12"/>
  <c r="K892" i="12"/>
  <c r="G890" i="12"/>
  <c r="K888" i="12"/>
  <c r="G886" i="12"/>
  <c r="K884" i="12"/>
  <c r="G882" i="12"/>
  <c r="K880" i="12"/>
  <c r="G878" i="12"/>
  <c r="K876" i="12"/>
  <c r="G874" i="12"/>
  <c r="K872" i="12"/>
  <c r="G870" i="12"/>
  <c r="K868" i="12"/>
  <c r="G866" i="12"/>
  <c r="K864" i="12"/>
  <c r="K860" i="12"/>
  <c r="L860" i="12" s="1"/>
  <c r="M860" i="12" s="1"/>
  <c r="G859" i="12"/>
  <c r="G856" i="12"/>
  <c r="K852" i="12"/>
  <c r="L852" i="12" s="1"/>
  <c r="G850" i="12"/>
  <c r="H850" i="12" s="1"/>
  <c r="I850" i="12" s="1"/>
  <c r="K848" i="12"/>
  <c r="L848" i="12" s="1"/>
  <c r="M848" i="12" s="1"/>
  <c r="G846" i="12"/>
  <c r="H846" i="12" s="1"/>
  <c r="I846" i="12" s="1"/>
  <c r="K844" i="12"/>
  <c r="L844" i="12" s="1"/>
  <c r="M844" i="12" s="1"/>
  <c r="G842" i="12"/>
  <c r="H842" i="12" s="1"/>
  <c r="I842" i="12" s="1"/>
  <c r="K840" i="12"/>
  <c r="L840" i="12" s="1"/>
  <c r="M840" i="12" s="1"/>
  <c r="G838" i="12"/>
  <c r="H838" i="12" s="1"/>
  <c r="I838" i="12" s="1"/>
  <c r="K836" i="12"/>
  <c r="L836" i="12" s="1"/>
  <c r="G834" i="12"/>
  <c r="H834" i="12" s="1"/>
  <c r="I834" i="12" s="1"/>
  <c r="K832" i="12"/>
  <c r="L832" i="12" s="1"/>
  <c r="M832" i="12" s="1"/>
  <c r="G830" i="12"/>
  <c r="H830" i="12" s="1"/>
  <c r="I830" i="12" s="1"/>
  <c r="K828" i="12"/>
  <c r="G826" i="12"/>
  <c r="H826" i="12" s="1"/>
  <c r="I826" i="12" s="1"/>
  <c r="K824" i="12"/>
  <c r="G822" i="12"/>
  <c r="H822" i="12" s="1"/>
  <c r="I822" i="12" s="1"/>
  <c r="K820" i="12"/>
  <c r="G818" i="12"/>
  <c r="H818" i="12" s="1"/>
  <c r="I818" i="12" s="1"/>
  <c r="K816" i="12"/>
  <c r="G814" i="12"/>
  <c r="H814" i="12" s="1"/>
  <c r="I814" i="12" s="1"/>
  <c r="K812" i="12"/>
  <c r="G810" i="12"/>
  <c r="H810" i="12" s="1"/>
  <c r="I810" i="12" s="1"/>
  <c r="K808" i="12"/>
  <c r="G806" i="12"/>
  <c r="H806" i="12" s="1"/>
  <c r="I806" i="12" s="1"/>
  <c r="K804" i="12"/>
  <c r="K796" i="12"/>
  <c r="G794" i="12"/>
  <c r="H794" i="12" s="1"/>
  <c r="I794" i="12" s="1"/>
  <c r="K792" i="12"/>
  <c r="G802" i="12"/>
  <c r="H802" i="12" s="1"/>
  <c r="I802" i="12" s="1"/>
  <c r="G790" i="12"/>
  <c r="H790" i="12" s="1"/>
  <c r="I790" i="12" s="1"/>
  <c r="K788" i="12"/>
  <c r="G786" i="12"/>
  <c r="H786" i="12" s="1"/>
  <c r="I786" i="12" s="1"/>
  <c r="K784" i="12"/>
  <c r="G782" i="12"/>
  <c r="H782" i="12" s="1"/>
  <c r="I782" i="12" s="1"/>
  <c r="K780" i="12"/>
  <c r="G778" i="12"/>
  <c r="H778" i="12" s="1"/>
  <c r="I778" i="12" s="1"/>
  <c r="K776" i="12"/>
  <c r="K800" i="12"/>
  <c r="G798" i="12"/>
  <c r="H798" i="12" s="1"/>
  <c r="I798" i="12" s="1"/>
  <c r="G970" i="12"/>
  <c r="K968" i="12"/>
  <c r="G966" i="12"/>
  <c r="K964" i="12"/>
  <c r="G962" i="12"/>
  <c r="K960" i="12"/>
  <c r="G957" i="12"/>
  <c r="K955" i="12"/>
  <c r="G953" i="12"/>
  <c r="K951" i="12"/>
  <c r="G949" i="12"/>
  <c r="K947" i="12"/>
  <c r="G945" i="12"/>
  <c r="G941" i="12"/>
  <c r="K939" i="12"/>
  <c r="K937" i="12"/>
  <c r="K935" i="12"/>
  <c r="K933" i="12"/>
  <c r="K931" i="12"/>
  <c r="G797" i="12"/>
  <c r="K775" i="12"/>
  <c r="G773" i="12"/>
  <c r="H773" i="12" s="1"/>
  <c r="I773" i="12" s="1"/>
  <c r="K771" i="12"/>
  <c r="G769" i="12"/>
  <c r="H769" i="12" s="1"/>
  <c r="I769" i="12" s="1"/>
  <c r="K767" i="12"/>
  <c r="G765" i="12"/>
  <c r="H765" i="12" s="1"/>
  <c r="I765" i="12" s="1"/>
  <c r="K763" i="12"/>
  <c r="G761" i="12"/>
  <c r="H761" i="12" s="1"/>
  <c r="I761" i="12" s="1"/>
  <c r="K759" i="12"/>
  <c r="G757" i="12"/>
  <c r="H757" i="12" s="1"/>
  <c r="I757" i="12" s="1"/>
  <c r="K755" i="12"/>
  <c r="G753" i="12"/>
  <c r="H753" i="12" s="1"/>
  <c r="I753" i="12" s="1"/>
  <c r="K751" i="12"/>
  <c r="G749" i="12"/>
  <c r="H749" i="12" s="1"/>
  <c r="I749" i="12" s="1"/>
  <c r="K747" i="12"/>
  <c r="G745" i="12"/>
  <c r="H745" i="12" s="1"/>
  <c r="I745" i="12" s="1"/>
  <c r="K743" i="12"/>
  <c r="G741" i="12"/>
  <c r="H741" i="12" s="1"/>
  <c r="I741" i="12" s="1"/>
  <c r="K739" i="12"/>
  <c r="G737" i="12"/>
  <c r="H737" i="12" s="1"/>
  <c r="I737" i="12" s="1"/>
  <c r="K735" i="12"/>
  <c r="G733" i="12"/>
  <c r="H733" i="12" s="1"/>
  <c r="I733" i="12" s="1"/>
  <c r="K731" i="12"/>
  <c r="G729" i="12"/>
  <c r="H729" i="12" s="1"/>
  <c r="I729" i="12" s="1"/>
  <c r="K727" i="12"/>
  <c r="G725" i="12"/>
  <c r="H725" i="12" s="1"/>
  <c r="I725" i="12" s="1"/>
  <c r="G723" i="12"/>
  <c r="H723" i="12" s="1"/>
  <c r="I723" i="12" s="1"/>
  <c r="K721" i="12"/>
  <c r="G719" i="12"/>
  <c r="H719" i="12" s="1"/>
  <c r="I719" i="12" s="1"/>
  <c r="K717" i="12"/>
  <c r="G715" i="12"/>
  <c r="H715" i="12" s="1"/>
  <c r="I715" i="12" s="1"/>
  <c r="K713" i="12"/>
  <c r="G711" i="12"/>
  <c r="H711" i="12" s="1"/>
  <c r="I711" i="12" s="1"/>
  <c r="K709" i="12"/>
  <c r="G707" i="12"/>
  <c r="H707" i="12" s="1"/>
  <c r="I707" i="12" s="1"/>
  <c r="K705" i="12"/>
  <c r="G703" i="12"/>
  <c r="H703" i="12" s="1"/>
  <c r="I703" i="12" s="1"/>
  <c r="K701" i="12"/>
  <c r="G699" i="12"/>
  <c r="H699" i="12" s="1"/>
  <c r="I699" i="12" s="1"/>
  <c r="K697" i="12"/>
  <c r="G695" i="12"/>
  <c r="H695" i="12" s="1"/>
  <c r="I695" i="12" s="1"/>
  <c r="K693" i="12"/>
  <c r="G691" i="12"/>
  <c r="H691" i="12" s="1"/>
  <c r="I691" i="12" s="1"/>
  <c r="K689" i="12"/>
  <c r="G687" i="12"/>
  <c r="H687" i="12" s="1"/>
  <c r="I687" i="12" s="1"/>
  <c r="K685" i="12"/>
  <c r="G683" i="12"/>
  <c r="H683" i="12" s="1"/>
  <c r="I683" i="12" s="1"/>
  <c r="K681" i="12"/>
  <c r="G679" i="12"/>
  <c r="H679" i="12" s="1"/>
  <c r="I679" i="12" s="1"/>
  <c r="K677" i="12"/>
  <c r="G675" i="12"/>
  <c r="H675" i="12" s="1"/>
  <c r="I675" i="12" s="1"/>
  <c r="K673" i="12"/>
  <c r="G671" i="12"/>
  <c r="H671" i="12" s="1"/>
  <c r="I671" i="12" s="1"/>
  <c r="K669" i="12"/>
  <c r="G667" i="12"/>
  <c r="H667" i="12" s="1"/>
  <c r="I667" i="12" s="1"/>
  <c r="K665" i="12"/>
  <c r="G663" i="12"/>
  <c r="H663" i="12" s="1"/>
  <c r="I663" i="12" s="1"/>
  <c r="K661" i="12"/>
  <c r="G660" i="12"/>
  <c r="H660" i="12" s="1"/>
  <c r="I660" i="12" s="1"/>
  <c r="K658" i="12"/>
  <c r="L658" i="12" s="1"/>
  <c r="M658" i="12" s="1"/>
  <c r="G656" i="12"/>
  <c r="H656" i="12" s="1"/>
  <c r="I656" i="12" s="1"/>
  <c r="K654" i="12"/>
  <c r="L654" i="12" s="1"/>
  <c r="G652" i="12"/>
  <c r="K650" i="12"/>
  <c r="L650" i="12" s="1"/>
  <c r="M650" i="12" s="1"/>
  <c r="G648" i="12"/>
  <c r="K646" i="12"/>
  <c r="L646" i="12" s="1"/>
  <c r="G644" i="12"/>
  <c r="K642" i="12"/>
  <c r="L642" i="12" s="1"/>
  <c r="M642" i="12" s="1"/>
  <c r="G640" i="12"/>
  <c r="K638" i="12"/>
  <c r="L638" i="12" s="1"/>
  <c r="M638" i="12" s="1"/>
  <c r="G636" i="12"/>
  <c r="G633" i="12"/>
  <c r="K632" i="12"/>
  <c r="L632" i="12" s="1"/>
  <c r="G630" i="12"/>
  <c r="K628" i="12"/>
  <c r="L628" i="12" s="1"/>
  <c r="M628" i="12" s="1"/>
  <c r="G626" i="12"/>
  <c r="G624" i="12"/>
  <c r="K623" i="12"/>
  <c r="G621" i="12"/>
  <c r="H621" i="12" s="1"/>
  <c r="I621" i="12" s="1"/>
  <c r="K620" i="12"/>
  <c r="K618" i="12"/>
  <c r="L618" i="12" s="1"/>
  <c r="M618" i="12" s="1"/>
  <c r="G615" i="12"/>
  <c r="K613" i="12"/>
  <c r="G612" i="12"/>
  <c r="G610" i="12"/>
  <c r="G608" i="12"/>
  <c r="K607" i="12"/>
  <c r="G605" i="12"/>
  <c r="H605" i="12" s="1"/>
  <c r="I605" i="12" s="1"/>
  <c r="K604" i="12"/>
  <c r="K602" i="12"/>
  <c r="L602" i="12" s="1"/>
  <c r="M602" i="12" s="1"/>
  <c r="G599" i="12"/>
  <c r="K597" i="12"/>
  <c r="G596" i="12"/>
  <c r="G594" i="12"/>
  <c r="G592" i="12"/>
  <c r="K591" i="12"/>
  <c r="G589" i="12"/>
  <c r="H589" i="12" s="1"/>
  <c r="I589" i="12" s="1"/>
  <c r="K588" i="12"/>
  <c r="K586" i="12"/>
  <c r="L586" i="12" s="1"/>
  <c r="M586" i="12" s="1"/>
  <c r="G583" i="12"/>
  <c r="K581" i="12"/>
  <c r="G580" i="12"/>
  <c r="G578" i="12"/>
  <c r="G576" i="12"/>
  <c r="K575" i="12"/>
  <c r="G573" i="12"/>
  <c r="H573" i="12" s="1"/>
  <c r="I573" i="12" s="1"/>
  <c r="K572" i="12"/>
  <c r="K570" i="12"/>
  <c r="L570" i="12" s="1"/>
  <c r="G928" i="12"/>
  <c r="K926" i="12"/>
  <c r="G924" i="12"/>
  <c r="K922" i="12"/>
  <c r="G920" i="12"/>
  <c r="K918" i="12"/>
  <c r="G916" i="12"/>
  <c r="K914" i="12"/>
  <c r="G912" i="12"/>
  <c r="K910" i="12"/>
  <c r="G908" i="12"/>
  <c r="K906" i="12"/>
  <c r="G904" i="12"/>
  <c r="K902" i="12"/>
  <c r="G900" i="12"/>
  <c r="K898" i="12"/>
  <c r="G896" i="12"/>
  <c r="K894" i="12"/>
  <c r="G892" i="12"/>
  <c r="K890" i="12"/>
  <c r="G888" i="12"/>
  <c r="K886" i="12"/>
  <c r="G884" i="12"/>
  <c r="K882" i="12"/>
  <c r="G880" i="12"/>
  <c r="K878" i="12"/>
  <c r="G876" i="12"/>
  <c r="K874" i="12"/>
  <c r="G872" i="12"/>
  <c r="K870" i="12"/>
  <c r="G868" i="12"/>
  <c r="K866" i="12"/>
  <c r="G864" i="12"/>
  <c r="G863" i="12"/>
  <c r="G862" i="12"/>
  <c r="K858" i="12"/>
  <c r="L858" i="12" s="1"/>
  <c r="K857" i="12"/>
  <c r="L857" i="12" s="1"/>
  <c r="M857" i="12" s="1"/>
  <c r="G854" i="12"/>
  <c r="G851" i="12"/>
  <c r="K849" i="12"/>
  <c r="L849" i="12" s="1"/>
  <c r="G847" i="12"/>
  <c r="K845" i="12"/>
  <c r="L845" i="12" s="1"/>
  <c r="M845" i="12" s="1"/>
  <c r="G843" i="12"/>
  <c r="K841" i="12"/>
  <c r="L841" i="12" s="1"/>
  <c r="G839" i="12"/>
  <c r="K837" i="12"/>
  <c r="L837" i="12" s="1"/>
  <c r="M837" i="12" s="1"/>
  <c r="G835" i="12"/>
  <c r="K833" i="12"/>
  <c r="L833" i="12" s="1"/>
  <c r="M833" i="12" s="1"/>
  <c r="G831" i="12"/>
  <c r="K829" i="12"/>
  <c r="L829" i="12" s="1"/>
  <c r="M829" i="12" s="1"/>
  <c r="G827" i="12"/>
  <c r="K825" i="12"/>
  <c r="L825" i="12" s="1"/>
  <c r="G823" i="12"/>
  <c r="K821" i="12"/>
  <c r="L821" i="12" s="1"/>
  <c r="G819" i="12"/>
  <c r="K817" i="12"/>
  <c r="L817" i="12" s="1"/>
  <c r="M817" i="12" s="1"/>
  <c r="G815" i="12"/>
  <c r="K813" i="12"/>
  <c r="L813" i="12" s="1"/>
  <c r="M813" i="12" s="1"/>
  <c r="G811" i="12"/>
  <c r="K809" i="12"/>
  <c r="L809" i="12" s="1"/>
  <c r="G807" i="12"/>
  <c r="K805" i="12"/>
  <c r="L805" i="12" s="1"/>
  <c r="M805" i="12" s="1"/>
  <c r="G795" i="12"/>
  <c r="K793" i="12"/>
  <c r="L793" i="12" s="1"/>
  <c r="G803" i="12"/>
  <c r="K801" i="12"/>
  <c r="L801" i="12" s="1"/>
  <c r="G791" i="12"/>
  <c r="K789" i="12"/>
  <c r="L789" i="12" s="1"/>
  <c r="M789" i="12" s="1"/>
  <c r="G787" i="12"/>
  <c r="K785" i="12"/>
  <c r="L785" i="12" s="1"/>
  <c r="M785" i="12" s="1"/>
  <c r="G783" i="12"/>
  <c r="H783" i="12" s="1"/>
  <c r="I783" i="12" s="1"/>
  <c r="K781" i="12"/>
  <c r="G779" i="12"/>
  <c r="H779" i="12" s="1"/>
  <c r="I779" i="12" s="1"/>
  <c r="K777" i="12"/>
  <c r="G799" i="12"/>
  <c r="G983" i="12"/>
  <c r="K981" i="12"/>
  <c r="G979" i="12"/>
  <c r="K977" i="12"/>
  <c r="G975" i="12"/>
  <c r="K973" i="12"/>
  <c r="G971" i="12"/>
  <c r="K969" i="12"/>
  <c r="G967" i="12"/>
  <c r="K965" i="12"/>
  <c r="G963" i="12"/>
  <c r="K961" i="12"/>
  <c r="G959" i="12"/>
  <c r="G958" i="12"/>
  <c r="K956" i="12"/>
  <c r="G954" i="12"/>
  <c r="K952" i="12"/>
  <c r="G950" i="12"/>
  <c r="K948" i="12"/>
  <c r="G946" i="12"/>
  <c r="G944" i="12"/>
  <c r="K942" i="12"/>
  <c r="G940" i="12"/>
  <c r="G938" i="12"/>
  <c r="K936" i="12"/>
  <c r="G934" i="12"/>
  <c r="K932" i="12"/>
  <c r="G930" i="12"/>
  <c r="G774" i="12"/>
  <c r="H774" i="12" s="1"/>
  <c r="I774" i="12" s="1"/>
  <c r="K772" i="12"/>
  <c r="G770" i="12"/>
  <c r="H770" i="12" s="1"/>
  <c r="I770" i="12" s="1"/>
  <c r="K768" i="12"/>
  <c r="G766" i="12"/>
  <c r="H766" i="12" s="1"/>
  <c r="I766" i="12" s="1"/>
  <c r="K764" i="12"/>
  <c r="G762" i="12"/>
  <c r="H762" i="12" s="1"/>
  <c r="I762" i="12" s="1"/>
  <c r="K760" i="12"/>
  <c r="G758" i="12"/>
  <c r="H758" i="12" s="1"/>
  <c r="I758" i="12" s="1"/>
  <c r="K756" i="12"/>
  <c r="G754" i="12"/>
  <c r="H754" i="12" s="1"/>
  <c r="I754" i="12" s="1"/>
  <c r="K752" i="12"/>
  <c r="L752" i="12" s="1"/>
  <c r="M752" i="12" s="1"/>
  <c r="G750" i="12"/>
  <c r="H750" i="12" s="1"/>
  <c r="I750" i="12" s="1"/>
  <c r="K748" i="12"/>
  <c r="L748" i="12" s="1"/>
  <c r="G746" i="12"/>
  <c r="K744" i="12"/>
  <c r="L744" i="12" s="1"/>
  <c r="M744" i="12" s="1"/>
  <c r="G742" i="12"/>
  <c r="K740" i="12"/>
  <c r="L740" i="12" s="1"/>
  <c r="G738" i="12"/>
  <c r="K736" i="12"/>
  <c r="L736" i="12" s="1"/>
  <c r="M736" i="12" s="1"/>
  <c r="G734" i="12"/>
  <c r="K732" i="12"/>
  <c r="L732" i="12" s="1"/>
  <c r="G730" i="12"/>
  <c r="K728" i="12"/>
  <c r="G726" i="12"/>
  <c r="H726" i="12" s="1"/>
  <c r="I726" i="12" s="1"/>
  <c r="G724" i="12"/>
  <c r="H724" i="12" s="1"/>
  <c r="I724" i="12" s="1"/>
  <c r="G722" i="12"/>
  <c r="H722" i="12" s="1"/>
  <c r="I722" i="12" s="1"/>
  <c r="K720" i="12"/>
  <c r="G718" i="12"/>
  <c r="H718" i="12" s="1"/>
  <c r="I718" i="12" s="1"/>
  <c r="K716" i="12"/>
  <c r="G714" i="12"/>
  <c r="H714" i="12" s="1"/>
  <c r="I714" i="12" s="1"/>
  <c r="K712" i="12"/>
  <c r="G710" i="12"/>
  <c r="H710" i="12" s="1"/>
  <c r="I710" i="12" s="1"/>
  <c r="K708" i="12"/>
  <c r="G706" i="12"/>
  <c r="H706" i="12" s="1"/>
  <c r="I706" i="12" s="1"/>
  <c r="K704" i="12"/>
  <c r="G702" i="12"/>
  <c r="H702" i="12" s="1"/>
  <c r="I702" i="12" s="1"/>
  <c r="K700" i="12"/>
  <c r="L700" i="12" s="1"/>
  <c r="M700" i="12" s="1"/>
  <c r="G698" i="12"/>
  <c r="H698" i="12" s="1"/>
  <c r="I698" i="12" s="1"/>
  <c r="K696" i="12"/>
  <c r="L696" i="12" s="1"/>
  <c r="M696" i="12" s="1"/>
  <c r="G694" i="12"/>
  <c r="H694" i="12" s="1"/>
  <c r="I694" i="12" s="1"/>
  <c r="K692" i="12"/>
  <c r="L692" i="12" s="1"/>
  <c r="M692" i="12" s="1"/>
  <c r="G690" i="12"/>
  <c r="H690" i="12" s="1"/>
  <c r="I690" i="12" s="1"/>
  <c r="K688" i="12"/>
  <c r="L688" i="12" s="1"/>
  <c r="G686" i="12"/>
  <c r="H686" i="12" s="1"/>
  <c r="I686" i="12" s="1"/>
  <c r="K684" i="12"/>
  <c r="L684" i="12" s="1"/>
  <c r="G682" i="12"/>
  <c r="H682" i="12" s="1"/>
  <c r="I682" i="12" s="1"/>
  <c r="K680" i="12"/>
  <c r="L680" i="12" s="1"/>
  <c r="M680" i="12" s="1"/>
  <c r="G678" i="12"/>
  <c r="H678" i="12" s="1"/>
  <c r="I678" i="12" s="1"/>
  <c r="K676" i="12"/>
  <c r="L676" i="12" s="1"/>
  <c r="M676" i="12" s="1"/>
  <c r="G674" i="12"/>
  <c r="H674" i="12" s="1"/>
  <c r="I674" i="12" s="1"/>
  <c r="K672" i="12"/>
  <c r="L672" i="12" s="1"/>
  <c r="M672" i="12" s="1"/>
  <c r="G670" i="12"/>
  <c r="H670" i="12" s="1"/>
  <c r="I670" i="12" s="1"/>
  <c r="K668" i="12"/>
  <c r="L668" i="12" s="1"/>
  <c r="M668" i="12" s="1"/>
  <c r="G665" i="12"/>
  <c r="H665" i="12" s="1"/>
  <c r="I665" i="12" s="1"/>
  <c r="K663" i="12"/>
  <c r="G661" i="12"/>
  <c r="H661" i="12" s="1"/>
  <c r="I661" i="12" s="1"/>
  <c r="K659" i="12"/>
  <c r="G657" i="12"/>
  <c r="H657" i="12" s="1"/>
  <c r="I657" i="12" s="1"/>
  <c r="K655" i="12"/>
  <c r="L655" i="12" s="1"/>
  <c r="M655" i="12" s="1"/>
  <c r="G653" i="12"/>
  <c r="H653" i="12" s="1"/>
  <c r="I653" i="12" s="1"/>
  <c r="K651" i="12"/>
  <c r="L651" i="12" s="1"/>
  <c r="G649" i="12"/>
  <c r="K647" i="12"/>
  <c r="L647" i="12" s="1"/>
  <c r="G645" i="12"/>
  <c r="K643" i="12"/>
  <c r="L643" i="12" s="1"/>
  <c r="M643" i="12" s="1"/>
  <c r="G641" i="12"/>
  <c r="K639" i="12"/>
  <c r="L639" i="12" s="1"/>
  <c r="M639" i="12" s="1"/>
  <c r="G637" i="12"/>
  <c r="G634" i="12"/>
  <c r="G631" i="12"/>
  <c r="H631" i="12" s="1"/>
  <c r="I631" i="12" s="1"/>
  <c r="K629" i="12"/>
  <c r="L629" i="12" s="1"/>
  <c r="M629" i="12" s="1"/>
  <c r="G627" i="12"/>
  <c r="H627" i="12" s="1"/>
  <c r="I627" i="12" s="1"/>
  <c r="K625" i="12"/>
  <c r="L625" i="12" s="1"/>
  <c r="G622" i="12"/>
  <c r="G620" i="12"/>
  <c r="K619" i="12"/>
  <c r="G617" i="12"/>
  <c r="H617" i="12" s="1"/>
  <c r="I617" i="12" s="1"/>
  <c r="K614" i="12"/>
  <c r="L614" i="12" s="1"/>
  <c r="G611" i="12"/>
  <c r="K609" i="12"/>
  <c r="G606" i="12"/>
  <c r="G604" i="12"/>
  <c r="K603" i="12"/>
  <c r="G601" i="12"/>
  <c r="H601" i="12" s="1"/>
  <c r="I601" i="12" s="1"/>
  <c r="K598" i="12"/>
  <c r="L598" i="12" s="1"/>
  <c r="M598" i="12" s="1"/>
  <c r="G595" i="12"/>
  <c r="K593" i="12"/>
  <c r="G590" i="12"/>
  <c r="G588" i="12"/>
  <c r="K587" i="12"/>
  <c r="G585" i="12"/>
  <c r="H585" i="12" s="1"/>
  <c r="I585" i="12" s="1"/>
  <c r="K982" i="12"/>
  <c r="G980" i="12"/>
  <c r="K978" i="12"/>
  <c r="G976" i="12"/>
  <c r="K974" i="12"/>
  <c r="G972" i="12"/>
  <c r="G929" i="12"/>
  <c r="G927" i="12"/>
  <c r="G925" i="12"/>
  <c r="G923" i="12"/>
  <c r="G921" i="12"/>
  <c r="G919" i="12"/>
  <c r="G917" i="12"/>
  <c r="G915" i="12"/>
  <c r="G913" i="12"/>
  <c r="G911" i="12"/>
  <c r="G909" i="12"/>
  <c r="G907" i="12"/>
  <c r="G905" i="12"/>
  <c r="G903" i="12"/>
  <c r="G901" i="12"/>
  <c r="G899" i="12"/>
  <c r="G897" i="12"/>
  <c r="G895" i="12"/>
  <c r="G893" i="12"/>
  <c r="G891" i="12"/>
  <c r="G889" i="12"/>
  <c r="G887" i="12"/>
  <c r="G885" i="12"/>
  <c r="G883" i="12"/>
  <c r="G881" i="12"/>
  <c r="G879" i="12"/>
  <c r="G877" i="12"/>
  <c r="G875" i="12"/>
  <c r="G873" i="12"/>
  <c r="G871" i="12"/>
  <c r="G869" i="12"/>
  <c r="G867" i="12"/>
  <c r="G865" i="12"/>
  <c r="K861" i="12"/>
  <c r="L861" i="12" s="1"/>
  <c r="G860" i="12"/>
  <c r="G857" i="12"/>
  <c r="K856" i="12"/>
  <c r="L856" i="12" s="1"/>
  <c r="M856" i="12" s="1"/>
  <c r="K855" i="12"/>
  <c r="L855" i="12" s="1"/>
  <c r="K853" i="12"/>
  <c r="L853" i="12" s="1"/>
  <c r="M853" i="12" s="1"/>
  <c r="G852" i="12"/>
  <c r="K850" i="12"/>
  <c r="L850" i="12" s="1"/>
  <c r="M850" i="12" s="1"/>
  <c r="G848" i="12"/>
  <c r="H848" i="12" s="1"/>
  <c r="I848" i="12" s="1"/>
  <c r="K846" i="12"/>
  <c r="L846" i="12" s="1"/>
  <c r="G844" i="12"/>
  <c r="H844" i="12" s="1"/>
  <c r="I844" i="12" s="1"/>
  <c r="K842" i="12"/>
  <c r="L842" i="12" s="1"/>
  <c r="M842" i="12" s="1"/>
  <c r="G840" i="12"/>
  <c r="H840" i="12" s="1"/>
  <c r="I840" i="12" s="1"/>
  <c r="K838" i="12"/>
  <c r="L838" i="12" s="1"/>
  <c r="M838" i="12" s="1"/>
  <c r="G836" i="12"/>
  <c r="H836" i="12" s="1"/>
  <c r="I836" i="12" s="1"/>
  <c r="K834" i="12"/>
  <c r="L834" i="12" s="1"/>
  <c r="G832" i="12"/>
  <c r="H832" i="12" s="1"/>
  <c r="I832" i="12" s="1"/>
  <c r="K830" i="12"/>
  <c r="L830" i="12" s="1"/>
  <c r="M830" i="12" s="1"/>
  <c r="G828" i="12"/>
  <c r="H828" i="12" s="1"/>
  <c r="I828" i="12" s="1"/>
  <c r="K826" i="12"/>
  <c r="G824" i="12"/>
  <c r="H824" i="12" s="1"/>
  <c r="I824" i="12" s="1"/>
  <c r="K822" i="12"/>
  <c r="G820" i="12"/>
  <c r="H820" i="12" s="1"/>
  <c r="I820" i="12" s="1"/>
  <c r="K818" i="12"/>
  <c r="G816" i="12"/>
  <c r="H816" i="12" s="1"/>
  <c r="I816" i="12" s="1"/>
  <c r="K814" i="12"/>
  <c r="G812" i="12"/>
  <c r="H812" i="12" s="1"/>
  <c r="I812" i="12" s="1"/>
  <c r="K810" i="12"/>
  <c r="G808" i="12"/>
  <c r="H808" i="12" s="1"/>
  <c r="I808" i="12" s="1"/>
  <c r="K806" i="12"/>
  <c r="G804" i="12"/>
  <c r="H804" i="12" s="1"/>
  <c r="I804" i="12" s="1"/>
  <c r="G796" i="12"/>
  <c r="H796" i="12" s="1"/>
  <c r="I796" i="12" s="1"/>
  <c r="K794" i="12"/>
  <c r="G792" i="12"/>
  <c r="H792" i="12" s="1"/>
  <c r="I792" i="12" s="1"/>
  <c r="K802" i="12"/>
  <c r="K790" i="12"/>
  <c r="G788" i="12"/>
  <c r="H788" i="12" s="1"/>
  <c r="I788" i="12" s="1"/>
  <c r="K786" i="12"/>
  <c r="G784" i="12"/>
  <c r="H784" i="12" s="1"/>
  <c r="I784" i="12" s="1"/>
  <c r="K782" i="12"/>
  <c r="G780" i="12"/>
  <c r="H780" i="12" s="1"/>
  <c r="I780" i="12" s="1"/>
  <c r="K778" i="12"/>
  <c r="G776" i="12"/>
  <c r="H776" i="12" s="1"/>
  <c r="I776" i="12" s="1"/>
  <c r="G800" i="12"/>
  <c r="H800" i="12" s="1"/>
  <c r="I800" i="12" s="1"/>
  <c r="K798" i="12"/>
  <c r="K970" i="12"/>
  <c r="G968" i="12"/>
  <c r="K966" i="12"/>
  <c r="G964" i="12"/>
  <c r="K962" i="12"/>
  <c r="G960" i="12"/>
  <c r="K957" i="12"/>
  <c r="G955" i="12"/>
  <c r="K953" i="12"/>
  <c r="G951" i="12"/>
  <c r="K949" i="12"/>
  <c r="G947" i="12"/>
  <c r="G943" i="12"/>
  <c r="G942" i="12"/>
  <c r="K938" i="12"/>
  <c r="G936" i="12"/>
  <c r="K934" i="12"/>
  <c r="G932" i="12"/>
  <c r="K930" i="12"/>
  <c r="K797" i="12"/>
  <c r="L797" i="12" s="1"/>
  <c r="M797" i="12" s="1"/>
  <c r="G775" i="12"/>
  <c r="H775" i="12" s="1"/>
  <c r="I775" i="12" s="1"/>
  <c r="K773" i="12"/>
  <c r="G771" i="12"/>
  <c r="H771" i="12" s="1"/>
  <c r="I771" i="12" s="1"/>
  <c r="K769" i="12"/>
  <c r="G767" i="12"/>
  <c r="H767" i="12" s="1"/>
  <c r="I767" i="12" s="1"/>
  <c r="K765" i="12"/>
  <c r="G763" i="12"/>
  <c r="H763" i="12" s="1"/>
  <c r="I763" i="12" s="1"/>
  <c r="K761" i="12"/>
  <c r="G759" i="12"/>
  <c r="H759" i="12" s="1"/>
  <c r="I759" i="12" s="1"/>
  <c r="K757" i="12"/>
  <c r="G755" i="12"/>
  <c r="H755" i="12" s="1"/>
  <c r="I755" i="12" s="1"/>
  <c r="K753" i="12"/>
  <c r="G751" i="12"/>
  <c r="H751" i="12" s="1"/>
  <c r="I751" i="12" s="1"/>
  <c r="K749" i="12"/>
  <c r="G747" i="12"/>
  <c r="H747" i="12" s="1"/>
  <c r="I747" i="12" s="1"/>
  <c r="K745" i="12"/>
  <c r="G743" i="12"/>
  <c r="H743" i="12" s="1"/>
  <c r="I743" i="12" s="1"/>
  <c r="K741" i="12"/>
  <c r="G739" i="12"/>
  <c r="H739" i="12" s="1"/>
  <c r="I739" i="12" s="1"/>
  <c r="K737" i="12"/>
  <c r="G735" i="12"/>
  <c r="H735" i="12" s="1"/>
  <c r="I735" i="12" s="1"/>
  <c r="K733" i="12"/>
  <c r="G731" i="12"/>
  <c r="H731" i="12" s="1"/>
  <c r="I731" i="12" s="1"/>
  <c r="K729" i="12"/>
  <c r="G727" i="12"/>
  <c r="H727" i="12" s="1"/>
  <c r="I727" i="12" s="1"/>
  <c r="K725" i="12"/>
  <c r="K724" i="12"/>
  <c r="K722" i="12"/>
  <c r="G720" i="12"/>
  <c r="H720" i="12" s="1"/>
  <c r="I720" i="12" s="1"/>
  <c r="K718" i="12"/>
  <c r="G716" i="12"/>
  <c r="H716" i="12" s="1"/>
  <c r="I716" i="12" s="1"/>
  <c r="K714" i="12"/>
  <c r="G712" i="12"/>
  <c r="H712" i="12" s="1"/>
  <c r="I712" i="12" s="1"/>
  <c r="K710" i="12"/>
  <c r="G708" i="12"/>
  <c r="H708" i="12" s="1"/>
  <c r="I708" i="12" s="1"/>
  <c r="K706" i="12"/>
  <c r="G704" i="12"/>
  <c r="H704" i="12" s="1"/>
  <c r="I704" i="12" s="1"/>
  <c r="K702" i="12"/>
  <c r="L702" i="12" s="1"/>
  <c r="G700" i="12"/>
  <c r="H700" i="12" s="1"/>
  <c r="I700" i="12" s="1"/>
  <c r="K698" i="12"/>
  <c r="L698" i="12" s="1"/>
  <c r="M698" i="12" s="1"/>
  <c r="G696" i="12"/>
  <c r="H696" i="12" s="1"/>
  <c r="I696" i="12" s="1"/>
  <c r="K694" i="12"/>
  <c r="L694" i="12" s="1"/>
  <c r="M694" i="12" s="1"/>
  <c r="G692" i="12"/>
  <c r="H692" i="12" s="1"/>
  <c r="I692" i="12" s="1"/>
  <c r="K690" i="12"/>
  <c r="L690" i="12" s="1"/>
  <c r="G688" i="12"/>
  <c r="H688" i="12" s="1"/>
  <c r="I688" i="12" s="1"/>
  <c r="K686" i="12"/>
  <c r="L686" i="12" s="1"/>
  <c r="G684" i="12"/>
  <c r="H684" i="12" s="1"/>
  <c r="I684" i="12" s="1"/>
  <c r="K682" i="12"/>
  <c r="L682" i="12" s="1"/>
  <c r="G680" i="12"/>
  <c r="H680" i="12" s="1"/>
  <c r="I680" i="12" s="1"/>
  <c r="K678" i="12"/>
  <c r="L678" i="12" s="1"/>
  <c r="G676" i="12"/>
  <c r="H676" i="12" s="1"/>
  <c r="I676" i="12" s="1"/>
  <c r="K674" i="12"/>
  <c r="L674" i="12" s="1"/>
  <c r="M674" i="12" s="1"/>
  <c r="G672" i="12"/>
  <c r="H672" i="12" s="1"/>
  <c r="I672" i="12" s="1"/>
  <c r="K670" i="12"/>
  <c r="L670" i="12" s="1"/>
  <c r="M670" i="12" s="1"/>
  <c r="G668" i="12"/>
  <c r="H668" i="12" s="1"/>
  <c r="I668" i="12" s="1"/>
  <c r="G666" i="12"/>
  <c r="H666" i="12" s="1"/>
  <c r="I666" i="12" s="1"/>
  <c r="K664" i="12"/>
  <c r="L664" i="12" s="1"/>
  <c r="G662" i="12"/>
  <c r="H662" i="12" s="1"/>
  <c r="I662" i="12" s="1"/>
  <c r="K660" i="12"/>
  <c r="L660" i="12" s="1"/>
  <c r="M660" i="12" s="1"/>
  <c r="G658" i="12"/>
  <c r="H658" i="12" s="1"/>
  <c r="I658" i="12" s="1"/>
  <c r="K656" i="12"/>
  <c r="L656" i="12" s="1"/>
  <c r="M656" i="12" s="1"/>
  <c r="G654" i="12"/>
  <c r="H654" i="12" s="1"/>
  <c r="I654" i="12" s="1"/>
  <c r="K652" i="12"/>
  <c r="L652" i="12" s="1"/>
  <c r="G650" i="12"/>
  <c r="K648" i="12"/>
  <c r="L648" i="12" s="1"/>
  <c r="G646" i="12"/>
  <c r="K644" i="12"/>
  <c r="L644" i="12" s="1"/>
  <c r="M644" i="12" s="1"/>
  <c r="G642" i="12"/>
  <c r="K640" i="12"/>
  <c r="L640" i="12" s="1"/>
  <c r="M640" i="12" s="1"/>
  <c r="G638" i="12"/>
  <c r="K636" i="12"/>
  <c r="L636" i="12" s="1"/>
  <c r="M636" i="12" s="1"/>
  <c r="K635" i="12"/>
  <c r="L635" i="12" s="1"/>
  <c r="G632" i="12"/>
  <c r="K630" i="12"/>
  <c r="L630" i="12" s="1"/>
  <c r="G628" i="12"/>
  <c r="K626" i="12"/>
  <c r="L626" i="12" s="1"/>
  <c r="G623" i="12"/>
  <c r="H623" i="12" s="1"/>
  <c r="I623" i="12" s="1"/>
  <c r="K621" i="12"/>
  <c r="G618" i="12"/>
  <c r="K616" i="12"/>
  <c r="K615" i="12"/>
  <c r="G613" i="12"/>
  <c r="H613" i="12" s="1"/>
  <c r="I613" i="12" s="1"/>
  <c r="K610" i="12"/>
  <c r="L610" i="12" s="1"/>
  <c r="M610" i="12" s="1"/>
  <c r="G607" i="12"/>
  <c r="K605" i="12"/>
  <c r="G602" i="12"/>
  <c r="K600" i="12"/>
  <c r="K599" i="12"/>
  <c r="G597" i="12"/>
  <c r="H597" i="12" s="1"/>
  <c r="I597" i="12" s="1"/>
  <c r="K594" i="12"/>
  <c r="L594" i="12" s="1"/>
  <c r="G591" i="12"/>
  <c r="K589" i="12"/>
  <c r="K929" i="12"/>
  <c r="K927" i="12"/>
  <c r="K925" i="12"/>
  <c r="K923" i="12"/>
  <c r="K921" i="12"/>
  <c r="K919" i="12"/>
  <c r="K917" i="12"/>
  <c r="K915" i="12"/>
  <c r="K913" i="12"/>
  <c r="K911" i="12"/>
  <c r="K909" i="12"/>
  <c r="K907" i="12"/>
  <c r="K905" i="12"/>
  <c r="K903" i="12"/>
  <c r="K901" i="12"/>
  <c r="K899" i="12"/>
  <c r="K897" i="12"/>
  <c r="K895" i="12"/>
  <c r="K893" i="12"/>
  <c r="K891" i="12"/>
  <c r="K889" i="12"/>
  <c r="K887" i="12"/>
  <c r="K885" i="12"/>
  <c r="K883" i="12"/>
  <c r="K881" i="12"/>
  <c r="K879" i="12"/>
  <c r="K877" i="12"/>
  <c r="K875" i="12"/>
  <c r="K873" i="12"/>
  <c r="K871" i="12"/>
  <c r="K869" i="12"/>
  <c r="K867" i="12"/>
  <c r="K865" i="12"/>
  <c r="K863" i="12"/>
  <c r="K862" i="12"/>
  <c r="G861" i="12"/>
  <c r="K859" i="12"/>
  <c r="L859" i="12" s="1"/>
  <c r="G858" i="12"/>
  <c r="G855" i="12"/>
  <c r="K854" i="12"/>
  <c r="L854" i="12" s="1"/>
  <c r="G853" i="12"/>
  <c r="K851" i="12"/>
  <c r="L851" i="12" s="1"/>
  <c r="G849" i="12"/>
  <c r="K847" i="12"/>
  <c r="L847" i="12" s="1"/>
  <c r="G845" i="12"/>
  <c r="K843" i="12"/>
  <c r="L843" i="12" s="1"/>
  <c r="G841" i="12"/>
  <c r="K839" i="12"/>
  <c r="L839" i="12" s="1"/>
  <c r="G837" i="12"/>
  <c r="K835" i="12"/>
  <c r="L835" i="12" s="1"/>
  <c r="G833" i="12"/>
  <c r="K831" i="12"/>
  <c r="L831" i="12" s="1"/>
  <c r="G829" i="12"/>
  <c r="K827" i="12"/>
  <c r="L827" i="12" s="1"/>
  <c r="G825" i="12"/>
  <c r="K823" i="12"/>
  <c r="L823" i="12" s="1"/>
  <c r="G821" i="12"/>
  <c r="K819" i="12"/>
  <c r="L819" i="12" s="1"/>
  <c r="G817" i="12"/>
  <c r="K815" i="12"/>
  <c r="L815" i="12" s="1"/>
  <c r="M815" i="12" s="1"/>
  <c r="G813" i="12"/>
  <c r="K811" i="12"/>
  <c r="L811" i="12" s="1"/>
  <c r="G809" i="12"/>
  <c r="K807" i="12"/>
  <c r="L807" i="12" s="1"/>
  <c r="G805" i="12"/>
  <c r="K795" i="12"/>
  <c r="L795" i="12" s="1"/>
  <c r="G793" i="12"/>
  <c r="K803" i="12"/>
  <c r="L803" i="12" s="1"/>
  <c r="G801" i="12"/>
  <c r="K791" i="12"/>
  <c r="L791" i="12" s="1"/>
  <c r="G789" i="12"/>
  <c r="K787" i="12"/>
  <c r="L787" i="12" s="1"/>
  <c r="M787" i="12" s="1"/>
  <c r="G785" i="12"/>
  <c r="K783" i="12"/>
  <c r="G781" i="12"/>
  <c r="H781" i="12" s="1"/>
  <c r="I781" i="12" s="1"/>
  <c r="K779" i="12"/>
  <c r="G777" i="12"/>
  <c r="H777" i="12" s="1"/>
  <c r="I777" i="12" s="1"/>
  <c r="K799" i="12"/>
  <c r="L799" i="12" s="1"/>
  <c r="K983" i="12"/>
  <c r="G981" i="12"/>
  <c r="K979" i="12"/>
  <c r="G977" i="12"/>
  <c r="K975" i="12"/>
  <c r="G973" i="12"/>
  <c r="K971" i="12"/>
  <c r="G969" i="12"/>
  <c r="K967" i="12"/>
  <c r="G965" i="12"/>
  <c r="K963" i="12"/>
  <c r="G961" i="12"/>
  <c r="K959" i="12"/>
  <c r="K958" i="12"/>
  <c r="G956" i="12"/>
  <c r="K954" i="12"/>
  <c r="G952" i="12"/>
  <c r="K950" i="12"/>
  <c r="G948" i="12"/>
  <c r="K946" i="12"/>
  <c r="K945" i="12"/>
  <c r="K944" i="12"/>
  <c r="K943" i="12"/>
  <c r="K941" i="12"/>
  <c r="K940" i="12"/>
  <c r="G939" i="12"/>
  <c r="G937" i="12"/>
  <c r="G935" i="12"/>
  <c r="G933" i="12"/>
  <c r="G931" i="12"/>
  <c r="K774" i="12"/>
  <c r="G772" i="12"/>
  <c r="H772" i="12" s="1"/>
  <c r="I772" i="12" s="1"/>
  <c r="K770" i="12"/>
  <c r="G768" i="12"/>
  <c r="H768" i="12" s="1"/>
  <c r="I768" i="12" s="1"/>
  <c r="K766" i="12"/>
  <c r="G764" i="12"/>
  <c r="H764" i="12" s="1"/>
  <c r="I764" i="12" s="1"/>
  <c r="K762" i="12"/>
  <c r="G760" i="12"/>
  <c r="H760" i="12" s="1"/>
  <c r="I760" i="12" s="1"/>
  <c r="K758" i="12"/>
  <c r="G756" i="12"/>
  <c r="H756" i="12" s="1"/>
  <c r="I756" i="12" s="1"/>
  <c r="K754" i="12"/>
  <c r="G752" i="12"/>
  <c r="H752" i="12" s="1"/>
  <c r="I752" i="12" s="1"/>
  <c r="K750" i="12"/>
  <c r="L750" i="12" s="1"/>
  <c r="G748" i="12"/>
  <c r="K746" i="12"/>
  <c r="L746" i="12" s="1"/>
  <c r="M746" i="12" s="1"/>
  <c r="G744" i="12"/>
  <c r="K742" i="12"/>
  <c r="L742" i="12" s="1"/>
  <c r="M742" i="12" s="1"/>
  <c r="G740" i="12"/>
  <c r="K738" i="12"/>
  <c r="L738" i="12" s="1"/>
  <c r="G736" i="12"/>
  <c r="K734" i="12"/>
  <c r="L734" i="12" s="1"/>
  <c r="G732" i="12"/>
  <c r="K730" i="12"/>
  <c r="L730" i="12" s="1"/>
  <c r="G728" i="12"/>
  <c r="H728" i="12" s="1"/>
  <c r="I728" i="12" s="1"/>
  <c r="K726" i="12"/>
  <c r="K723" i="12"/>
  <c r="G721" i="12"/>
  <c r="H721" i="12" s="1"/>
  <c r="I721" i="12" s="1"/>
  <c r="K719" i="12"/>
  <c r="G717" i="12"/>
  <c r="H717" i="12" s="1"/>
  <c r="I717" i="12" s="1"/>
  <c r="K715" i="12"/>
  <c r="G713" i="12"/>
  <c r="H713" i="12" s="1"/>
  <c r="I713" i="12" s="1"/>
  <c r="K711" i="12"/>
  <c r="G709" i="12"/>
  <c r="H709" i="12" s="1"/>
  <c r="I709" i="12" s="1"/>
  <c r="K707" i="12"/>
  <c r="G705" i="12"/>
  <c r="H705" i="12" s="1"/>
  <c r="I705" i="12" s="1"/>
  <c r="K703" i="12"/>
  <c r="G701" i="12"/>
  <c r="H701" i="12" s="1"/>
  <c r="I701" i="12" s="1"/>
  <c r="K699" i="12"/>
  <c r="G697" i="12"/>
  <c r="H697" i="12" s="1"/>
  <c r="I697" i="12" s="1"/>
  <c r="K695" i="12"/>
  <c r="G693" i="12"/>
  <c r="H693" i="12" s="1"/>
  <c r="I693" i="12" s="1"/>
  <c r="K691" i="12"/>
  <c r="G689" i="12"/>
  <c r="H689" i="12" s="1"/>
  <c r="I689" i="12" s="1"/>
  <c r="K687" i="12"/>
  <c r="G685" i="12"/>
  <c r="H685" i="12" s="1"/>
  <c r="I685" i="12" s="1"/>
  <c r="K683" i="12"/>
  <c r="G681" i="12"/>
  <c r="H681" i="12" s="1"/>
  <c r="I681" i="12" s="1"/>
  <c r="K679" i="12"/>
  <c r="G677" i="12"/>
  <c r="H677" i="12" s="1"/>
  <c r="I677" i="12" s="1"/>
  <c r="K675" i="12"/>
  <c r="G673" i="12"/>
  <c r="H673" i="12" s="1"/>
  <c r="I673" i="12" s="1"/>
  <c r="K671" i="12"/>
  <c r="G669" i="12"/>
  <c r="H669" i="12" s="1"/>
  <c r="I669" i="12" s="1"/>
  <c r="K667" i="12"/>
  <c r="K666" i="12"/>
  <c r="L666" i="12" s="1"/>
  <c r="M666" i="12" s="1"/>
  <c r="G664" i="12"/>
  <c r="H664" i="12" s="1"/>
  <c r="I664" i="12" s="1"/>
  <c r="K662" i="12"/>
  <c r="L662" i="12" s="1"/>
  <c r="G659" i="12"/>
  <c r="H659" i="12" s="1"/>
  <c r="I659" i="12" s="1"/>
  <c r="K657" i="12"/>
  <c r="G655" i="12"/>
  <c r="H655" i="12" s="1"/>
  <c r="I655" i="12" s="1"/>
  <c r="K653" i="12"/>
  <c r="L653" i="12" s="1"/>
  <c r="M653" i="12" s="1"/>
  <c r="G651" i="12"/>
  <c r="K649" i="12"/>
  <c r="L649" i="12" s="1"/>
  <c r="G647" i="12"/>
  <c r="K645" i="12"/>
  <c r="L645" i="12" s="1"/>
  <c r="G643" i="12"/>
  <c r="K641" i="12"/>
  <c r="L641" i="12" s="1"/>
  <c r="M641" i="12" s="1"/>
  <c r="G639" i="12"/>
  <c r="K637" i="12"/>
  <c r="L637" i="12" s="1"/>
  <c r="G635" i="12"/>
  <c r="K634" i="12"/>
  <c r="L634" i="12" s="1"/>
  <c r="K633" i="12"/>
  <c r="L633" i="12" s="1"/>
  <c r="M633" i="12" s="1"/>
  <c r="K631" i="12"/>
  <c r="L631" i="12" s="1"/>
  <c r="G629" i="12"/>
  <c r="H629" i="12" s="1"/>
  <c r="I629" i="12" s="1"/>
  <c r="K627" i="12"/>
  <c r="L627" i="12" s="1"/>
  <c r="G625" i="12"/>
  <c r="H625" i="12" s="1"/>
  <c r="I625" i="12" s="1"/>
  <c r="K624" i="12"/>
  <c r="K622" i="12"/>
  <c r="L622" i="12" s="1"/>
  <c r="M622" i="12" s="1"/>
  <c r="G619" i="12"/>
  <c r="K617" i="12"/>
  <c r="G616" i="12"/>
  <c r="G614" i="12"/>
  <c r="K612" i="12"/>
  <c r="K611" i="12"/>
  <c r="G609" i="12"/>
  <c r="H609" i="12" s="1"/>
  <c r="I609" i="12" s="1"/>
  <c r="K608" i="12"/>
  <c r="K606" i="12"/>
  <c r="L606" i="12" s="1"/>
  <c r="G603" i="12"/>
  <c r="K601" i="12"/>
  <c r="G600" i="12"/>
  <c r="G598" i="12"/>
  <c r="K596" i="12"/>
  <c r="K595" i="12"/>
  <c r="G593" i="12"/>
  <c r="H593" i="12" s="1"/>
  <c r="I593" i="12" s="1"/>
  <c r="K592" i="12"/>
  <c r="K590" i="12"/>
  <c r="L590" i="12" s="1"/>
  <c r="M590" i="12" s="1"/>
  <c r="G587" i="12"/>
  <c r="K585" i="12"/>
  <c r="G584" i="12"/>
  <c r="G582" i="12"/>
  <c r="K580" i="12"/>
  <c r="K579" i="12"/>
  <c r="G577" i="12"/>
  <c r="H577" i="12" s="1"/>
  <c r="I577" i="12" s="1"/>
  <c r="K576" i="12"/>
  <c r="K574" i="12"/>
  <c r="L574" i="12" s="1"/>
  <c r="G571" i="12"/>
  <c r="K569" i="12"/>
  <c r="G568" i="12"/>
  <c r="G566" i="12"/>
  <c r="K564" i="12"/>
  <c r="K563" i="12"/>
  <c r="G561" i="12"/>
  <c r="H561" i="12" s="1"/>
  <c r="I561" i="12" s="1"/>
  <c r="K560" i="12"/>
  <c r="K558" i="12"/>
  <c r="L558" i="12" s="1"/>
  <c r="M558" i="12" s="1"/>
  <c r="G555" i="12"/>
  <c r="K553" i="12"/>
  <c r="G552" i="12"/>
  <c r="G586" i="12"/>
  <c r="K583" i="12"/>
  <c r="K577" i="12"/>
  <c r="G574" i="12"/>
  <c r="K573" i="12"/>
  <c r="G567" i="12"/>
  <c r="G558" i="12"/>
  <c r="K557" i="12"/>
  <c r="K550" i="12"/>
  <c r="L550" i="12" s="1"/>
  <c r="G547" i="12"/>
  <c r="K545" i="12"/>
  <c r="K542" i="12"/>
  <c r="L542" i="12" s="1"/>
  <c r="M542" i="12" s="1"/>
  <c r="G539" i="12"/>
  <c r="K537" i="12"/>
  <c r="G534" i="12"/>
  <c r="G532" i="12"/>
  <c r="K531" i="12"/>
  <c r="G529" i="12"/>
  <c r="H529" i="12" s="1"/>
  <c r="I529" i="12" s="1"/>
  <c r="K526" i="12"/>
  <c r="L526" i="12" s="1"/>
  <c r="M526" i="12" s="1"/>
  <c r="G523" i="12"/>
  <c r="K521" i="12"/>
  <c r="G520" i="12"/>
  <c r="K519" i="12"/>
  <c r="G517" i="12"/>
  <c r="H517" i="12" s="1"/>
  <c r="I517" i="12" s="1"/>
  <c r="G515" i="12"/>
  <c r="H515" i="12" s="1"/>
  <c r="I515" i="12" s="1"/>
  <c r="K513" i="12"/>
  <c r="G512" i="12"/>
  <c r="K511" i="12"/>
  <c r="G509" i="12"/>
  <c r="H509" i="12" s="1"/>
  <c r="I509" i="12" s="1"/>
  <c r="G507" i="12"/>
  <c r="H507" i="12" s="1"/>
  <c r="I507" i="12" s="1"/>
  <c r="K505" i="12"/>
  <c r="G504" i="12"/>
  <c r="K503" i="12"/>
  <c r="G501" i="12"/>
  <c r="H501" i="12" s="1"/>
  <c r="I501" i="12" s="1"/>
  <c r="G499" i="12"/>
  <c r="K497" i="12"/>
  <c r="G496" i="12"/>
  <c r="K495" i="12"/>
  <c r="G493" i="12"/>
  <c r="H493" i="12" s="1"/>
  <c r="I493" i="12" s="1"/>
  <c r="G491" i="12"/>
  <c r="K489" i="12"/>
  <c r="G488" i="12"/>
  <c r="K487" i="12"/>
  <c r="G485" i="12"/>
  <c r="H485" i="12" s="1"/>
  <c r="I485" i="12" s="1"/>
  <c r="G483" i="12"/>
  <c r="G482" i="12"/>
  <c r="K478" i="12"/>
  <c r="L478" i="12" s="1"/>
  <c r="G475" i="12"/>
  <c r="K473" i="12"/>
  <c r="G470" i="12"/>
  <c r="G468" i="12"/>
  <c r="K467" i="12"/>
  <c r="G465" i="12"/>
  <c r="H465" i="12" s="1"/>
  <c r="I465" i="12" s="1"/>
  <c r="K462" i="12"/>
  <c r="L462" i="12" s="1"/>
  <c r="G459" i="12"/>
  <c r="K457" i="12"/>
  <c r="G454" i="12"/>
  <c r="G452" i="12"/>
  <c r="K451" i="12"/>
  <c r="G449" i="12"/>
  <c r="H449" i="12" s="1"/>
  <c r="I449" i="12" s="1"/>
  <c r="K446" i="12"/>
  <c r="L446" i="12" s="1"/>
  <c r="M446" i="12" s="1"/>
  <c r="G443" i="12"/>
  <c r="K441" i="12"/>
  <c r="G438" i="12"/>
  <c r="G436" i="12"/>
  <c r="K435" i="12"/>
  <c r="G433" i="12"/>
  <c r="H433" i="12" s="1"/>
  <c r="I433" i="12" s="1"/>
  <c r="K430" i="12"/>
  <c r="L430" i="12" s="1"/>
  <c r="G427" i="12"/>
  <c r="K425" i="12"/>
  <c r="G423" i="12"/>
  <c r="K421" i="12"/>
  <c r="G418" i="12"/>
  <c r="G416" i="12"/>
  <c r="K415" i="12"/>
  <c r="G413" i="12"/>
  <c r="H413" i="12" s="1"/>
  <c r="I413" i="12" s="1"/>
  <c r="K410" i="12"/>
  <c r="L410" i="12" s="1"/>
  <c r="G407" i="12"/>
  <c r="K405" i="12"/>
  <c r="G402" i="12"/>
  <c r="G400" i="12"/>
  <c r="K399" i="12"/>
  <c r="G397" i="12"/>
  <c r="H397" i="12" s="1"/>
  <c r="I397" i="12" s="1"/>
  <c r="K394" i="12"/>
  <c r="L394" i="12" s="1"/>
  <c r="G391" i="12"/>
  <c r="H391" i="12" s="1"/>
  <c r="I391" i="12" s="1"/>
  <c r="K389" i="12"/>
  <c r="G386" i="12"/>
  <c r="G384" i="12"/>
  <c r="K383" i="12"/>
  <c r="G381" i="12"/>
  <c r="G379" i="12"/>
  <c r="H379" i="12" s="1"/>
  <c r="I379" i="12" s="1"/>
  <c r="K377" i="12"/>
  <c r="G376" i="12"/>
  <c r="K375" i="12"/>
  <c r="G373" i="12"/>
  <c r="G371" i="12"/>
  <c r="H371" i="12" s="1"/>
  <c r="I371" i="12" s="1"/>
  <c r="G370" i="12"/>
  <c r="K366" i="12"/>
  <c r="L366" i="12" s="1"/>
  <c r="G362" i="12"/>
  <c r="K358" i="12"/>
  <c r="L358" i="12" s="1"/>
  <c r="G354" i="12"/>
  <c r="K350" i="12"/>
  <c r="L350" i="12" s="1"/>
  <c r="G346" i="12"/>
  <c r="K342" i="12"/>
  <c r="L342" i="12" s="1"/>
  <c r="G338" i="12"/>
  <c r="K334" i="12"/>
  <c r="L334" i="12" s="1"/>
  <c r="G330" i="12"/>
  <c r="K326" i="12"/>
  <c r="L326" i="12" s="1"/>
  <c r="G322" i="12"/>
  <c r="K318" i="12"/>
  <c r="L318" i="12" s="1"/>
  <c r="G314" i="12"/>
  <c r="K310" i="12"/>
  <c r="L310" i="12" s="1"/>
  <c r="G306" i="12"/>
  <c r="K302" i="12"/>
  <c r="L302" i="12" s="1"/>
  <c r="M302" i="12" s="1"/>
  <c r="G298" i="12"/>
  <c r="K297" i="12"/>
  <c r="G294" i="12"/>
  <c r="G292" i="12"/>
  <c r="K291" i="12"/>
  <c r="G290" i="12"/>
  <c r="G285" i="12"/>
  <c r="G283" i="12"/>
  <c r="H283" i="12" s="1"/>
  <c r="I283" i="12" s="1"/>
  <c r="K282" i="12"/>
  <c r="K277" i="12"/>
  <c r="G276" i="12"/>
  <c r="K275" i="12"/>
  <c r="G274" i="12"/>
  <c r="G269" i="12"/>
  <c r="G267" i="12"/>
  <c r="H267" i="12" s="1"/>
  <c r="I267" i="12" s="1"/>
  <c r="K266" i="12"/>
  <c r="K584" i="12"/>
  <c r="K571" i="12"/>
  <c r="G570" i="12"/>
  <c r="K566" i="12"/>
  <c r="L566" i="12" s="1"/>
  <c r="M566" i="12" s="1"/>
  <c r="G565" i="12"/>
  <c r="H565" i="12" s="1"/>
  <c r="I565" i="12" s="1"/>
  <c r="G562" i="12"/>
  <c r="G559" i="12"/>
  <c r="K554" i="12"/>
  <c r="L554" i="12" s="1"/>
  <c r="M554" i="12" s="1"/>
  <c r="K551" i="12"/>
  <c r="G549" i="12"/>
  <c r="H549" i="12" s="1"/>
  <c r="I549" i="12" s="1"/>
  <c r="G548" i="12"/>
  <c r="K547" i="12"/>
  <c r="K546" i="12"/>
  <c r="L546" i="12" s="1"/>
  <c r="M546" i="12" s="1"/>
  <c r="G544" i="12"/>
  <c r="G542" i="12"/>
  <c r="G540" i="12"/>
  <c r="K539" i="12"/>
  <c r="G537" i="12"/>
  <c r="H537" i="12" s="1"/>
  <c r="I537" i="12" s="1"/>
  <c r="K536" i="12"/>
  <c r="K534" i="12"/>
  <c r="L534" i="12" s="1"/>
  <c r="G531" i="12"/>
  <c r="K529" i="12"/>
  <c r="K528" i="12"/>
  <c r="G526" i="12"/>
  <c r="G524" i="12"/>
  <c r="K523" i="12"/>
  <c r="G521" i="12"/>
  <c r="H521" i="12" s="1"/>
  <c r="I521" i="12" s="1"/>
  <c r="G519" i="12"/>
  <c r="H519" i="12" s="1"/>
  <c r="I519" i="12" s="1"/>
  <c r="K517" i="12"/>
  <c r="G516" i="12"/>
  <c r="K515" i="12"/>
  <c r="G513" i="12"/>
  <c r="H513" i="12" s="1"/>
  <c r="I513" i="12" s="1"/>
  <c r="G511" i="12"/>
  <c r="H511" i="12" s="1"/>
  <c r="I511" i="12" s="1"/>
  <c r="K509" i="12"/>
  <c r="G508" i="12"/>
  <c r="K507" i="12"/>
  <c r="G505" i="12"/>
  <c r="H505" i="12" s="1"/>
  <c r="I505" i="12" s="1"/>
  <c r="G503" i="12"/>
  <c r="K501" i="12"/>
  <c r="G500" i="12"/>
  <c r="K499" i="12"/>
  <c r="G497" i="12"/>
  <c r="H497" i="12" s="1"/>
  <c r="I497" i="12" s="1"/>
  <c r="G495" i="12"/>
  <c r="K493" i="12"/>
  <c r="G492" i="12"/>
  <c r="K491" i="12"/>
  <c r="G489" i="12"/>
  <c r="H489" i="12" s="1"/>
  <c r="I489" i="12" s="1"/>
  <c r="G487" i="12"/>
  <c r="K485" i="12"/>
  <c r="G484" i="12"/>
  <c r="K483" i="12"/>
  <c r="K481" i="12"/>
  <c r="K480" i="12"/>
  <c r="L480" i="12" s="1"/>
  <c r="M480" i="12" s="1"/>
  <c r="K479" i="12"/>
  <c r="G477" i="12"/>
  <c r="H477" i="12" s="1"/>
  <c r="I477" i="12" s="1"/>
  <c r="K474" i="12"/>
  <c r="L474" i="12" s="1"/>
  <c r="G471" i="12"/>
  <c r="K469" i="12"/>
  <c r="G466" i="12"/>
  <c r="K464" i="12"/>
  <c r="K463" i="12"/>
  <c r="G461" i="12"/>
  <c r="H461" i="12" s="1"/>
  <c r="I461" i="12" s="1"/>
  <c r="K458" i="12"/>
  <c r="L458" i="12" s="1"/>
  <c r="M458" i="12" s="1"/>
  <c r="G455" i="12"/>
  <c r="K453" i="12"/>
  <c r="G450" i="12"/>
  <c r="K448" i="12"/>
  <c r="K447" i="12"/>
  <c r="G445" i="12"/>
  <c r="H445" i="12" s="1"/>
  <c r="I445" i="12" s="1"/>
  <c r="K442" i="12"/>
  <c r="L442" i="12" s="1"/>
  <c r="M442" i="12" s="1"/>
  <c r="G439" i="12"/>
  <c r="K437" i="12"/>
  <c r="G434" i="12"/>
  <c r="K432" i="12"/>
  <c r="K431" i="12"/>
  <c r="G429" i="12"/>
  <c r="H429" i="12" s="1"/>
  <c r="I429" i="12" s="1"/>
  <c r="K426" i="12"/>
  <c r="L426" i="12" s="1"/>
  <c r="G421" i="12"/>
  <c r="H421" i="12" s="1"/>
  <c r="I421" i="12" s="1"/>
  <c r="K420" i="12"/>
  <c r="K418" i="12"/>
  <c r="L418" i="12" s="1"/>
  <c r="G415" i="12"/>
  <c r="K413" i="12"/>
  <c r="K412" i="12"/>
  <c r="G410" i="12"/>
  <c r="G408" i="12"/>
  <c r="K407" i="12"/>
  <c r="G405" i="12"/>
  <c r="H405" i="12" s="1"/>
  <c r="I405" i="12" s="1"/>
  <c r="K404" i="12"/>
  <c r="K402" i="12"/>
  <c r="L402" i="12" s="1"/>
  <c r="G399" i="12"/>
  <c r="K397" i="12"/>
  <c r="K396" i="12"/>
  <c r="G394" i="12"/>
  <c r="G392" i="12"/>
  <c r="K391" i="12"/>
  <c r="G389" i="12"/>
  <c r="K388" i="12"/>
  <c r="K386" i="12"/>
  <c r="L386" i="12" s="1"/>
  <c r="G383" i="12"/>
  <c r="H383" i="12" s="1"/>
  <c r="I383" i="12" s="1"/>
  <c r="K381" i="12"/>
  <c r="G380" i="12"/>
  <c r="K379" i="12"/>
  <c r="G374" i="12"/>
  <c r="K369" i="12"/>
  <c r="K368" i="12"/>
  <c r="L368" i="12" s="1"/>
  <c r="M368" i="12" s="1"/>
  <c r="K367" i="12"/>
  <c r="G365" i="12"/>
  <c r="G363" i="12"/>
  <c r="H363" i="12" s="1"/>
  <c r="I363" i="12" s="1"/>
  <c r="K361" i="12"/>
  <c r="K360" i="12"/>
  <c r="L360" i="12" s="1"/>
  <c r="M360" i="12" s="1"/>
  <c r="K359" i="12"/>
  <c r="G357" i="12"/>
  <c r="G355" i="12"/>
  <c r="H355" i="12" s="1"/>
  <c r="I355" i="12" s="1"/>
  <c r="K353" i="12"/>
  <c r="K352" i="12"/>
  <c r="L352" i="12" s="1"/>
  <c r="M352" i="12" s="1"/>
  <c r="K351" i="12"/>
  <c r="G349" i="12"/>
  <c r="G347" i="12"/>
  <c r="H347" i="12" s="1"/>
  <c r="I347" i="12" s="1"/>
  <c r="K345" i="12"/>
  <c r="K344" i="12"/>
  <c r="L344" i="12" s="1"/>
  <c r="K343" i="12"/>
  <c r="G341" i="12"/>
  <c r="G339" i="12"/>
  <c r="H339" i="12" s="1"/>
  <c r="I339" i="12" s="1"/>
  <c r="K337" i="12"/>
  <c r="K336" i="12"/>
  <c r="L336" i="12" s="1"/>
  <c r="M336" i="12" s="1"/>
  <c r="G335" i="12"/>
  <c r="H335" i="12" s="1"/>
  <c r="I335" i="12" s="1"/>
  <c r="G334" i="12"/>
  <c r="K332" i="12"/>
  <c r="L332" i="12" s="1"/>
  <c r="M332" i="12" s="1"/>
  <c r="K330" i="12"/>
  <c r="L330" i="12" s="1"/>
  <c r="K328" i="12"/>
  <c r="L328" i="12" s="1"/>
  <c r="M328" i="12" s="1"/>
  <c r="G326" i="12"/>
  <c r="K324" i="12"/>
  <c r="L324" i="12" s="1"/>
  <c r="M324" i="12" s="1"/>
  <c r="K322" i="12"/>
  <c r="L322" i="12" s="1"/>
  <c r="K320" i="12"/>
  <c r="L320" i="12" s="1"/>
  <c r="M320" i="12" s="1"/>
  <c r="G318" i="12"/>
  <c r="K316" i="12"/>
  <c r="L316" i="12" s="1"/>
  <c r="M316" i="12" s="1"/>
  <c r="K314" i="12"/>
  <c r="L314" i="12" s="1"/>
  <c r="K312" i="12"/>
  <c r="L312" i="12" s="1"/>
  <c r="M312" i="12" s="1"/>
  <c r="G310" i="12"/>
  <c r="K308" i="12"/>
  <c r="L308" i="12" s="1"/>
  <c r="M308" i="12" s="1"/>
  <c r="K306" i="12"/>
  <c r="L306" i="12" s="1"/>
  <c r="K304" i="12"/>
  <c r="L304" i="12" s="1"/>
  <c r="M304" i="12" s="1"/>
  <c r="G302" i="12"/>
  <c r="K300" i="12"/>
  <c r="L300" i="12" s="1"/>
  <c r="K298" i="12"/>
  <c r="L298" i="12" s="1"/>
  <c r="M298" i="12" s="1"/>
  <c r="G297" i="12"/>
  <c r="H297" i="12" s="1"/>
  <c r="I297" i="12" s="1"/>
  <c r="K296" i="12"/>
  <c r="K294" i="12"/>
  <c r="L294" i="12" s="1"/>
  <c r="G291" i="12"/>
  <c r="H291" i="12" s="1"/>
  <c r="I291" i="12" s="1"/>
  <c r="K290" i="12"/>
  <c r="K288" i="12"/>
  <c r="K285" i="12"/>
  <c r="G284" i="12"/>
  <c r="K283" i="12"/>
  <c r="G282" i="12"/>
  <c r="K280" i="12"/>
  <c r="G277" i="12"/>
  <c r="G275" i="12"/>
  <c r="H275" i="12" s="1"/>
  <c r="I275" i="12" s="1"/>
  <c r="K274" i="12"/>
  <c r="K272" i="12"/>
  <c r="K269" i="12"/>
  <c r="G268" i="12"/>
  <c r="K267" i="12"/>
  <c r="G266" i="12"/>
  <c r="K264" i="12"/>
  <c r="G263" i="12"/>
  <c r="H263" i="12" s="1"/>
  <c r="I263" i="12" s="1"/>
  <c r="K261" i="12"/>
  <c r="G258" i="12"/>
  <c r="K256" i="12"/>
  <c r="G253" i="12"/>
  <c r="K251" i="12"/>
  <c r="K250" i="12"/>
  <c r="G248" i="12"/>
  <c r="H248" i="12" s="1"/>
  <c r="I248" i="12" s="1"/>
  <c r="K245" i="12"/>
  <c r="L245" i="12" s="1"/>
  <c r="G241" i="12"/>
  <c r="K237" i="12"/>
  <c r="L237" i="12" s="1"/>
  <c r="G233" i="12"/>
  <c r="K229" i="12"/>
  <c r="L229" i="12" s="1"/>
  <c r="G225" i="12"/>
  <c r="K221" i="12"/>
  <c r="L221" i="12" s="1"/>
  <c r="M221" i="12" s="1"/>
  <c r="G217" i="12"/>
  <c r="K582" i="12"/>
  <c r="L582" i="12" s="1"/>
  <c r="G581" i="12"/>
  <c r="H581" i="12" s="1"/>
  <c r="I581" i="12" s="1"/>
  <c r="G579" i="12"/>
  <c r="K578" i="12"/>
  <c r="L578" i="12" s="1"/>
  <c r="G575" i="12"/>
  <c r="G572" i="12"/>
  <c r="K567" i="12"/>
  <c r="G564" i="12"/>
  <c r="K561" i="12"/>
  <c r="G557" i="12"/>
  <c r="H557" i="12" s="1"/>
  <c r="I557" i="12" s="1"/>
  <c r="K556" i="12"/>
  <c r="G553" i="12"/>
  <c r="H553" i="12" s="1"/>
  <c r="I553" i="12" s="1"/>
  <c r="K552" i="12"/>
  <c r="G550" i="12"/>
  <c r="K548" i="12"/>
  <c r="G543" i="12"/>
  <c r="K541" i="12"/>
  <c r="K540" i="12"/>
  <c r="G538" i="12"/>
  <c r="G536" i="12"/>
  <c r="G535" i="12"/>
  <c r="G533" i="12"/>
  <c r="H533" i="12" s="1"/>
  <c r="I533" i="12" s="1"/>
  <c r="G530" i="12"/>
  <c r="G528" i="12"/>
  <c r="K527" i="12"/>
  <c r="G525" i="12"/>
  <c r="H525" i="12" s="1"/>
  <c r="I525" i="12" s="1"/>
  <c r="G522" i="12"/>
  <c r="K520" i="12"/>
  <c r="L520" i="12" s="1"/>
  <c r="M520" i="12" s="1"/>
  <c r="G518" i="12"/>
  <c r="G514" i="12"/>
  <c r="K512" i="12"/>
  <c r="L512" i="12" s="1"/>
  <c r="G510" i="12"/>
  <c r="G506" i="12"/>
  <c r="K504" i="12"/>
  <c r="L504" i="12" s="1"/>
  <c r="M504" i="12" s="1"/>
  <c r="G502" i="12"/>
  <c r="G498" i="12"/>
  <c r="K496" i="12"/>
  <c r="L496" i="12" s="1"/>
  <c r="M496" i="12" s="1"/>
  <c r="G494" i="12"/>
  <c r="G490" i="12"/>
  <c r="K488" i="12"/>
  <c r="L488" i="12" s="1"/>
  <c r="M488" i="12" s="1"/>
  <c r="G486" i="12"/>
  <c r="K482" i="12"/>
  <c r="L482" i="12" s="1"/>
  <c r="G480" i="12"/>
  <c r="G478" i="12"/>
  <c r="K476" i="12"/>
  <c r="K475" i="12"/>
  <c r="G473" i="12"/>
  <c r="H473" i="12" s="1"/>
  <c r="I473" i="12" s="1"/>
  <c r="K472" i="12"/>
  <c r="K470" i="12"/>
  <c r="L470" i="12" s="1"/>
  <c r="M470" i="12" s="1"/>
  <c r="G467" i="12"/>
  <c r="K465" i="12"/>
  <c r="G464" i="12"/>
  <c r="G462" i="12"/>
  <c r="K460" i="12"/>
  <c r="K459" i="12"/>
  <c r="G457" i="12"/>
  <c r="H457" i="12" s="1"/>
  <c r="I457" i="12" s="1"/>
  <c r="K456" i="12"/>
  <c r="K454" i="12"/>
  <c r="L454" i="12" s="1"/>
  <c r="M454" i="12" s="1"/>
  <c r="G451" i="12"/>
  <c r="K449" i="12"/>
  <c r="G448" i="12"/>
  <c r="G446" i="12"/>
  <c r="K444" i="12"/>
  <c r="K443" i="12"/>
  <c r="G441" i="12"/>
  <c r="H441" i="12" s="1"/>
  <c r="I441" i="12" s="1"/>
  <c r="K440" i="12"/>
  <c r="K438" i="12"/>
  <c r="L438" i="12" s="1"/>
  <c r="G435" i="12"/>
  <c r="K433" i="12"/>
  <c r="G432" i="12"/>
  <c r="G430" i="12"/>
  <c r="K428" i="12"/>
  <c r="K427" i="12"/>
  <c r="G425" i="12"/>
  <c r="H425" i="12" s="1"/>
  <c r="I425" i="12" s="1"/>
  <c r="K424" i="12"/>
  <c r="G422" i="12"/>
  <c r="G419" i="12"/>
  <c r="G417" i="12"/>
  <c r="H417" i="12" s="1"/>
  <c r="I417" i="12" s="1"/>
  <c r="K416" i="12"/>
  <c r="K414" i="12"/>
  <c r="L414" i="12" s="1"/>
  <c r="G412" i="12"/>
  <c r="G411" i="12"/>
  <c r="K409" i="12"/>
  <c r="K408" i="12"/>
  <c r="G406" i="12"/>
  <c r="G404" i="12"/>
  <c r="G403" i="12"/>
  <c r="G401" i="12"/>
  <c r="H401" i="12" s="1"/>
  <c r="I401" i="12" s="1"/>
  <c r="G398" i="12"/>
  <c r="G396" i="12"/>
  <c r="K395" i="12"/>
  <c r="G393" i="12"/>
  <c r="H393" i="12" s="1"/>
  <c r="I393" i="12" s="1"/>
  <c r="G390" i="12"/>
  <c r="G387" i="12"/>
  <c r="H387" i="12" s="1"/>
  <c r="I387" i="12" s="1"/>
  <c r="G385" i="12"/>
  <c r="K384" i="12"/>
  <c r="K382" i="12"/>
  <c r="L382" i="12" s="1"/>
  <c r="G378" i="12"/>
  <c r="G377" i="12"/>
  <c r="G375" i="12"/>
  <c r="H375" i="12" s="1"/>
  <c r="I375" i="12" s="1"/>
  <c r="K373" i="12"/>
  <c r="K372" i="12"/>
  <c r="L372" i="12" s="1"/>
  <c r="K371" i="12"/>
  <c r="K370" i="12"/>
  <c r="L370" i="12" s="1"/>
  <c r="G368" i="12"/>
  <c r="G366" i="12"/>
  <c r="K364" i="12"/>
  <c r="L364" i="12" s="1"/>
  <c r="M364" i="12" s="1"/>
  <c r="K362" i="12"/>
  <c r="L362" i="12" s="1"/>
  <c r="G360" i="12"/>
  <c r="G358" i="12"/>
  <c r="K356" i="12"/>
  <c r="L356" i="12" s="1"/>
  <c r="M356" i="12" s="1"/>
  <c r="K354" i="12"/>
  <c r="L354" i="12" s="1"/>
  <c r="G352" i="12"/>
  <c r="G350" i="12"/>
  <c r="K348" i="12"/>
  <c r="L348" i="12" s="1"/>
  <c r="M348" i="12" s="1"/>
  <c r="K346" i="12"/>
  <c r="L346" i="12" s="1"/>
  <c r="G344" i="12"/>
  <c r="G342" i="12"/>
  <c r="K340" i="12"/>
  <c r="L340" i="12" s="1"/>
  <c r="M340" i="12" s="1"/>
  <c r="K338" i="12"/>
  <c r="L338" i="12" s="1"/>
  <c r="G336" i="12"/>
  <c r="K335" i="12"/>
  <c r="G333" i="12"/>
  <c r="G332" i="12"/>
  <c r="G331" i="12"/>
  <c r="H331" i="12" s="1"/>
  <c r="I331" i="12" s="1"/>
  <c r="G329" i="12"/>
  <c r="G328" i="12"/>
  <c r="G327" i="12"/>
  <c r="H327" i="12" s="1"/>
  <c r="I327" i="12" s="1"/>
  <c r="G325" i="12"/>
  <c r="G324" i="12"/>
  <c r="G323" i="12"/>
  <c r="H323" i="12" s="1"/>
  <c r="I323" i="12" s="1"/>
  <c r="G321" i="12"/>
  <c r="G320" i="12"/>
  <c r="G319" i="12"/>
  <c r="H319" i="12" s="1"/>
  <c r="I319" i="12" s="1"/>
  <c r="G317" i="12"/>
  <c r="G316" i="12"/>
  <c r="G315" i="12"/>
  <c r="H315" i="12" s="1"/>
  <c r="I315" i="12" s="1"/>
  <c r="G313" i="12"/>
  <c r="G312" i="12"/>
  <c r="G311" i="12"/>
  <c r="H311" i="12" s="1"/>
  <c r="I311" i="12" s="1"/>
  <c r="G309" i="12"/>
  <c r="G308" i="12"/>
  <c r="G307" i="12"/>
  <c r="H307" i="12" s="1"/>
  <c r="I307" i="12" s="1"/>
  <c r="G305" i="12"/>
  <c r="G304" i="12"/>
  <c r="G303" i="12"/>
  <c r="H303" i="12" s="1"/>
  <c r="I303" i="12" s="1"/>
  <c r="G301" i="12"/>
  <c r="G300" i="12"/>
  <c r="G299" i="12"/>
  <c r="G295" i="12"/>
  <c r="G293" i="12"/>
  <c r="H293" i="12" s="1"/>
  <c r="I293" i="12" s="1"/>
  <c r="K292" i="12"/>
  <c r="K289" i="12"/>
  <c r="G288" i="12"/>
  <c r="G287" i="12"/>
  <c r="H287" i="12" s="1"/>
  <c r="I287" i="12" s="1"/>
  <c r="G286" i="12"/>
  <c r="K284" i="12"/>
  <c r="G281" i="12"/>
  <c r="G280" i="12"/>
  <c r="G279" i="12"/>
  <c r="H279" i="12" s="1"/>
  <c r="I279" i="12" s="1"/>
  <c r="K278" i="12"/>
  <c r="G273" i="12"/>
  <c r="G272" i="12"/>
  <c r="K271" i="12"/>
  <c r="G270" i="12"/>
  <c r="G265" i="12"/>
  <c r="K262" i="12"/>
  <c r="G260" i="12"/>
  <c r="H260" i="12" s="1"/>
  <c r="I260" i="12" s="1"/>
  <c r="K259" i="12"/>
  <c r="K257" i="12"/>
  <c r="L257" i="12" s="1"/>
  <c r="G254" i="12"/>
  <c r="H254" i="12" s="1"/>
  <c r="I254" i="12" s="1"/>
  <c r="K252" i="12"/>
  <c r="G251" i="12"/>
  <c r="G249" i="12"/>
  <c r="K247" i="12"/>
  <c r="K246" i="12"/>
  <c r="G244" i="12"/>
  <c r="G242" i="12"/>
  <c r="H242" i="12" s="1"/>
  <c r="I242" i="12" s="1"/>
  <c r="K240" i="12"/>
  <c r="K239" i="12"/>
  <c r="K238" i="12"/>
  <c r="G236" i="12"/>
  <c r="G234" i="12"/>
  <c r="H234" i="12" s="1"/>
  <c r="I234" i="12" s="1"/>
  <c r="K232" i="12"/>
  <c r="K231" i="12"/>
  <c r="K230" i="12"/>
  <c r="G228" i="12"/>
  <c r="G226" i="12"/>
  <c r="H226" i="12" s="1"/>
  <c r="I226" i="12" s="1"/>
  <c r="K224" i="12"/>
  <c r="K223" i="12"/>
  <c r="K222" i="12"/>
  <c r="G220" i="12"/>
  <c r="G218" i="12"/>
  <c r="H218" i="12" s="1"/>
  <c r="I218" i="12" s="1"/>
  <c r="K216" i="12"/>
  <c r="K215" i="12"/>
  <c r="K214" i="12"/>
  <c r="K212" i="12"/>
  <c r="K211" i="12"/>
  <c r="K210" i="12"/>
  <c r="K208" i="12"/>
  <c r="K207" i="12"/>
  <c r="K206" i="12"/>
  <c r="K204" i="12"/>
  <c r="K203" i="12"/>
  <c r="G202" i="12"/>
  <c r="G201" i="12"/>
  <c r="K199" i="12"/>
  <c r="G198" i="12"/>
  <c r="K197" i="12"/>
  <c r="G194" i="12"/>
  <c r="G193" i="12"/>
  <c r="K191" i="12"/>
  <c r="G190" i="12"/>
  <c r="K189" i="12"/>
  <c r="G187" i="12"/>
  <c r="K186" i="12"/>
  <c r="K185" i="12"/>
  <c r="G183" i="12"/>
  <c r="K182" i="12"/>
  <c r="G569" i="12"/>
  <c r="H569" i="12" s="1"/>
  <c r="I569" i="12" s="1"/>
  <c r="K568" i="12"/>
  <c r="K565" i="12"/>
  <c r="G563" i="12"/>
  <c r="K562" i="12"/>
  <c r="L562" i="12" s="1"/>
  <c r="G560" i="12"/>
  <c r="K559" i="12"/>
  <c r="G556" i="12"/>
  <c r="K555" i="12"/>
  <c r="G554" i="12"/>
  <c r="G551" i="12"/>
  <c r="K549" i="12"/>
  <c r="G546" i="12"/>
  <c r="G545" i="12"/>
  <c r="H545" i="12" s="1"/>
  <c r="I545" i="12" s="1"/>
  <c r="K544" i="12"/>
  <c r="K543" i="12"/>
  <c r="G541" i="12"/>
  <c r="H541" i="12" s="1"/>
  <c r="I541" i="12" s="1"/>
  <c r="K538" i="12"/>
  <c r="L538" i="12" s="1"/>
  <c r="M538" i="12" s="1"/>
  <c r="K535" i="12"/>
  <c r="K533" i="12"/>
  <c r="K532" i="12"/>
  <c r="K530" i="12"/>
  <c r="L530" i="12" s="1"/>
  <c r="M530" i="12" s="1"/>
  <c r="G527" i="12"/>
  <c r="K525" i="12"/>
  <c r="K524" i="12"/>
  <c r="K522" i="12"/>
  <c r="L522" i="12" s="1"/>
  <c r="K518" i="12"/>
  <c r="L518" i="12" s="1"/>
  <c r="K516" i="12"/>
  <c r="L516" i="12" s="1"/>
  <c r="M516" i="12" s="1"/>
  <c r="K514" i="12"/>
  <c r="L514" i="12" s="1"/>
  <c r="K510" i="12"/>
  <c r="L510" i="12" s="1"/>
  <c r="K508" i="12"/>
  <c r="L508" i="12" s="1"/>
  <c r="M508" i="12" s="1"/>
  <c r="K506" i="12"/>
  <c r="L506" i="12" s="1"/>
  <c r="K502" i="12"/>
  <c r="L502" i="12" s="1"/>
  <c r="K500" i="12"/>
  <c r="L500" i="12" s="1"/>
  <c r="M500" i="12" s="1"/>
  <c r="K498" i="12"/>
  <c r="L498" i="12" s="1"/>
  <c r="K494" i="12"/>
  <c r="L494" i="12" s="1"/>
  <c r="K492" i="12"/>
  <c r="L492" i="12" s="1"/>
  <c r="K490" i="12"/>
  <c r="L490" i="12" s="1"/>
  <c r="K486" i="12"/>
  <c r="L486" i="12" s="1"/>
  <c r="K484" i="12"/>
  <c r="L484" i="12" s="1"/>
  <c r="M484" i="12" s="1"/>
  <c r="G481" i="12"/>
  <c r="H481" i="12" s="1"/>
  <c r="I481" i="12" s="1"/>
  <c r="G479" i="12"/>
  <c r="K477" i="12"/>
  <c r="G476" i="12"/>
  <c r="G474" i="12"/>
  <c r="G472" i="12"/>
  <c r="K471" i="12"/>
  <c r="G469" i="12"/>
  <c r="H469" i="12" s="1"/>
  <c r="I469" i="12" s="1"/>
  <c r="K468" i="12"/>
  <c r="K466" i="12"/>
  <c r="L466" i="12" s="1"/>
  <c r="G463" i="12"/>
  <c r="K461" i="12"/>
  <c r="G460" i="12"/>
  <c r="G458" i="12"/>
  <c r="G456" i="12"/>
  <c r="K455" i="12"/>
  <c r="G453" i="12"/>
  <c r="H453" i="12" s="1"/>
  <c r="I453" i="12" s="1"/>
  <c r="K452" i="12"/>
  <c r="K450" i="12"/>
  <c r="L450" i="12" s="1"/>
  <c r="G447" i="12"/>
  <c r="K445" i="12"/>
  <c r="G444" i="12"/>
  <c r="G442" i="12"/>
  <c r="G440" i="12"/>
  <c r="K439" i="12"/>
  <c r="G437" i="12"/>
  <c r="H437" i="12" s="1"/>
  <c r="I437" i="12" s="1"/>
  <c r="K436" i="12"/>
  <c r="K434" i="12"/>
  <c r="L434" i="12" s="1"/>
  <c r="M434" i="12" s="1"/>
  <c r="G431" i="12"/>
  <c r="K429" i="12"/>
  <c r="G428" i="12"/>
  <c r="G426" i="12"/>
  <c r="G424" i="12"/>
  <c r="K423" i="12"/>
  <c r="K422" i="12"/>
  <c r="L422" i="12" s="1"/>
  <c r="G420" i="12"/>
  <c r="K419" i="12"/>
  <c r="K417" i="12"/>
  <c r="G414" i="12"/>
  <c r="K411" i="12"/>
  <c r="G409" i="12"/>
  <c r="H409" i="12" s="1"/>
  <c r="I409" i="12" s="1"/>
  <c r="K406" i="12"/>
  <c r="L406" i="12" s="1"/>
  <c r="K403" i="12"/>
  <c r="K401" i="12"/>
  <c r="K400" i="12"/>
  <c r="K398" i="12"/>
  <c r="L398" i="12" s="1"/>
  <c r="G395" i="12"/>
  <c r="K393" i="12"/>
  <c r="K392" i="12"/>
  <c r="K390" i="12"/>
  <c r="L390" i="12" s="1"/>
  <c r="G388" i="12"/>
  <c r="K387" i="12"/>
  <c r="K385" i="12"/>
  <c r="G382" i="12"/>
  <c r="K380" i="12"/>
  <c r="L380" i="12" s="1"/>
  <c r="M380" i="12" s="1"/>
  <c r="K378" i="12"/>
  <c r="L378" i="12" s="1"/>
  <c r="K376" i="12"/>
  <c r="L376" i="12" s="1"/>
  <c r="K374" i="12"/>
  <c r="L374" i="12" s="1"/>
  <c r="G372" i="12"/>
  <c r="G369" i="12"/>
  <c r="G367" i="12"/>
  <c r="H367" i="12" s="1"/>
  <c r="I367" i="12" s="1"/>
  <c r="K365" i="12"/>
  <c r="G364" i="12"/>
  <c r="K363" i="12"/>
  <c r="G361" i="12"/>
  <c r="G359" i="12"/>
  <c r="H359" i="12" s="1"/>
  <c r="I359" i="12" s="1"/>
  <c r="K357" i="12"/>
  <c r="G356" i="12"/>
  <c r="K355" i="12"/>
  <c r="G353" i="12"/>
  <c r="G351" i="12"/>
  <c r="H351" i="12" s="1"/>
  <c r="I351" i="12" s="1"/>
  <c r="K349" i="12"/>
  <c r="G348" i="12"/>
  <c r="K347" i="12"/>
  <c r="G345" i="12"/>
  <c r="G343" i="12"/>
  <c r="H343" i="12" s="1"/>
  <c r="I343" i="12" s="1"/>
  <c r="K341" i="12"/>
  <c r="G340" i="12"/>
  <c r="K339" i="12"/>
  <c r="G337" i="12"/>
  <c r="K333" i="12"/>
  <c r="K331" i="12"/>
  <c r="K329" i="12"/>
  <c r="K327" i="12"/>
  <c r="K325" i="12"/>
  <c r="K323" i="12"/>
  <c r="K321" i="12"/>
  <c r="K319" i="12"/>
  <c r="K317" i="12"/>
  <c r="K315" i="12"/>
  <c r="K313" i="12"/>
  <c r="K311" i="12"/>
  <c r="K309" i="12"/>
  <c r="K307" i="12"/>
  <c r="K305" i="12"/>
  <c r="K303" i="12"/>
  <c r="K301" i="12"/>
  <c r="K299" i="12"/>
  <c r="G296" i="12"/>
  <c r="K295" i="12"/>
  <c r="K293" i="12"/>
  <c r="G289" i="12"/>
  <c r="K287" i="12"/>
  <c r="K286" i="12"/>
  <c r="K281" i="12"/>
  <c r="K279" i="12"/>
  <c r="G278" i="12"/>
  <c r="K276" i="12"/>
  <c r="K273" i="12"/>
  <c r="G271" i="12"/>
  <c r="H271" i="12" s="1"/>
  <c r="I271" i="12" s="1"/>
  <c r="K270" i="12"/>
  <c r="K268" i="12"/>
  <c r="K265" i="12"/>
  <c r="G264" i="12"/>
  <c r="K263" i="12"/>
  <c r="G261" i="12"/>
  <c r="G259" i="12"/>
  <c r="K258" i="12"/>
  <c r="G256" i="12"/>
  <c r="H256" i="12" s="1"/>
  <c r="I256" i="12" s="1"/>
  <c r="K255" i="12"/>
  <c r="K253" i="12"/>
  <c r="L253" i="12" s="1"/>
  <c r="G250" i="12"/>
  <c r="K248" i="12"/>
  <c r="G247" i="12"/>
  <c r="G245" i="12"/>
  <c r="K243" i="12"/>
  <c r="K241" i="12"/>
  <c r="L241" i="12" s="1"/>
  <c r="M241" i="12" s="1"/>
  <c r="G239" i="12"/>
  <c r="G237" i="12"/>
  <c r="K235" i="12"/>
  <c r="K233" i="12"/>
  <c r="L233" i="12" s="1"/>
  <c r="G231" i="12"/>
  <c r="G229" i="12"/>
  <c r="K227" i="12"/>
  <c r="K225" i="12"/>
  <c r="L225" i="12" s="1"/>
  <c r="G223" i="12"/>
  <c r="G221" i="12"/>
  <c r="K219" i="12"/>
  <c r="K217" i="12"/>
  <c r="L217" i="12" s="1"/>
  <c r="G215" i="12"/>
  <c r="G214" i="12"/>
  <c r="K213" i="12"/>
  <c r="G211" i="12"/>
  <c r="G210" i="12"/>
  <c r="K209" i="12"/>
  <c r="K260" i="12"/>
  <c r="G255" i="12"/>
  <c r="G252" i="12"/>
  <c r="H252" i="12" s="1"/>
  <c r="I252" i="12" s="1"/>
  <c r="K236" i="12"/>
  <c r="G230" i="12"/>
  <c r="H230" i="12" s="1"/>
  <c r="I230" i="12" s="1"/>
  <c r="G227" i="12"/>
  <c r="G224" i="12"/>
  <c r="K218" i="12"/>
  <c r="G196" i="12"/>
  <c r="K194" i="12"/>
  <c r="K193" i="12"/>
  <c r="G185" i="12"/>
  <c r="K184" i="12"/>
  <c r="K183" i="12"/>
  <c r="G182" i="12"/>
  <c r="G180" i="12"/>
  <c r="G178" i="12"/>
  <c r="G176" i="12"/>
  <c r="G174" i="12"/>
  <c r="G172" i="12"/>
  <c r="G170" i="12"/>
  <c r="H170" i="12" s="1"/>
  <c r="I170" i="12" s="1"/>
  <c r="K168" i="12"/>
  <c r="G167" i="12"/>
  <c r="K166" i="12"/>
  <c r="G164" i="12"/>
  <c r="G162" i="12"/>
  <c r="H162" i="12" s="1"/>
  <c r="I162" i="12" s="1"/>
  <c r="K160" i="12"/>
  <c r="G159" i="12"/>
  <c r="G157" i="12"/>
  <c r="G155" i="12"/>
  <c r="K154" i="12"/>
  <c r="G152" i="12"/>
  <c r="H152" i="12" s="1"/>
  <c r="I152" i="12" s="1"/>
  <c r="K151" i="12"/>
  <c r="K149" i="12"/>
  <c r="L149" i="12" s="1"/>
  <c r="G145" i="12"/>
  <c r="K141" i="12"/>
  <c r="L141" i="12" s="1"/>
  <c r="G140" i="12"/>
  <c r="K139" i="12"/>
  <c r="K138" i="12"/>
  <c r="G133" i="12"/>
  <c r="K129" i="12"/>
  <c r="L129" i="12" s="1"/>
  <c r="G125" i="12"/>
  <c r="K123" i="12"/>
  <c r="K116" i="12"/>
  <c r="L116" i="12" s="1"/>
  <c r="G112" i="12"/>
  <c r="K109" i="12"/>
  <c r="L109" i="12" s="1"/>
  <c r="M109" i="12" s="1"/>
  <c r="K108" i="12"/>
  <c r="L108" i="12" s="1"/>
  <c r="G107" i="12"/>
  <c r="K105" i="12"/>
  <c r="L105" i="12" s="1"/>
  <c r="M105" i="12" s="1"/>
  <c r="K104" i="12"/>
  <c r="L104" i="12" s="1"/>
  <c r="G99" i="12"/>
  <c r="K98" i="12"/>
  <c r="L98" i="12" s="1"/>
  <c r="G97" i="12"/>
  <c r="K95" i="12"/>
  <c r="L95" i="12" s="1"/>
  <c r="G94" i="12"/>
  <c r="G91" i="12"/>
  <c r="K90" i="12"/>
  <c r="G89" i="12"/>
  <c r="K87" i="12"/>
  <c r="K85" i="12"/>
  <c r="L85" i="12" s="1"/>
  <c r="G83" i="12"/>
  <c r="G81" i="12"/>
  <c r="H81" i="12" s="1"/>
  <c r="I81" i="12" s="1"/>
  <c r="K79" i="12"/>
  <c r="K77" i="12"/>
  <c r="L77" i="12" s="1"/>
  <c r="M77" i="12" s="1"/>
  <c r="G75" i="12"/>
  <c r="G73" i="12"/>
  <c r="H73" i="12" s="1"/>
  <c r="I73" i="12" s="1"/>
  <c r="K71" i="12"/>
  <c r="G70" i="12"/>
  <c r="H70" i="12" s="1"/>
  <c r="I70" i="12" s="1"/>
  <c r="K68" i="12"/>
  <c r="G67" i="12"/>
  <c r="K66" i="12"/>
  <c r="G64" i="12"/>
  <c r="G62" i="12"/>
  <c r="H62" i="12" s="1"/>
  <c r="I62" i="12" s="1"/>
  <c r="K61" i="12"/>
  <c r="G59" i="12"/>
  <c r="G57" i="12"/>
  <c r="K55" i="12"/>
  <c r="K53" i="12"/>
  <c r="L53" i="12" s="1"/>
  <c r="G51" i="12"/>
  <c r="G49" i="12"/>
  <c r="K47" i="12"/>
  <c r="K45" i="12"/>
  <c r="L45" i="12" s="1"/>
  <c r="M45" i="12" s="1"/>
  <c r="G43" i="12"/>
  <c r="G41" i="12"/>
  <c r="G39" i="12"/>
  <c r="G37" i="12"/>
  <c r="G33" i="12"/>
  <c r="G29" i="12"/>
  <c r="G25" i="12"/>
  <c r="G23" i="12"/>
  <c r="G21" i="12"/>
  <c r="G19" i="12"/>
  <c r="G17" i="12"/>
  <c r="G15" i="12"/>
  <c r="G22" i="12"/>
  <c r="G18" i="12"/>
  <c r="G14" i="12"/>
  <c r="G10" i="12"/>
  <c r="G6" i="12"/>
  <c r="K242" i="12"/>
  <c r="K228" i="12"/>
  <c r="G222" i="12"/>
  <c r="H222" i="12" s="1"/>
  <c r="I222" i="12" s="1"/>
  <c r="G219" i="12"/>
  <c r="G216" i="12"/>
  <c r="G213" i="12"/>
  <c r="G208" i="12"/>
  <c r="G206" i="12"/>
  <c r="K205" i="12"/>
  <c r="K202" i="12"/>
  <c r="K201" i="12"/>
  <c r="K192" i="12"/>
  <c r="G191" i="12"/>
  <c r="K190" i="12"/>
  <c r="G188" i="12"/>
  <c r="G181" i="12"/>
  <c r="G177" i="12"/>
  <c r="G173" i="12"/>
  <c r="K169" i="12"/>
  <c r="L169" i="12" s="1"/>
  <c r="M169" i="12" s="1"/>
  <c r="G165" i="12"/>
  <c r="K161" i="12"/>
  <c r="L161" i="12" s="1"/>
  <c r="G158" i="12"/>
  <c r="H158" i="12" s="1"/>
  <c r="I158" i="12" s="1"/>
  <c r="K156" i="12"/>
  <c r="G153" i="12"/>
  <c r="G151" i="12"/>
  <c r="K150" i="12"/>
  <c r="G148" i="12"/>
  <c r="H148" i="12" s="1"/>
  <c r="I148" i="12" s="1"/>
  <c r="K147" i="12"/>
  <c r="G146" i="12"/>
  <c r="H146" i="12" s="1"/>
  <c r="I146" i="12" s="1"/>
  <c r="G144" i="12"/>
  <c r="H144" i="12" s="1"/>
  <c r="I144" i="12" s="1"/>
  <c r="K143" i="12"/>
  <c r="K142" i="12"/>
  <c r="K137" i="12"/>
  <c r="L137" i="12" s="1"/>
  <c r="G136" i="12"/>
  <c r="K135" i="12"/>
  <c r="G134" i="12"/>
  <c r="H134" i="12" s="1"/>
  <c r="I134" i="12" s="1"/>
  <c r="K132" i="12"/>
  <c r="L132" i="12" s="1"/>
  <c r="M132" i="12" s="1"/>
  <c r="G131" i="12"/>
  <c r="H131" i="12" s="1"/>
  <c r="I131" i="12" s="1"/>
  <c r="K130" i="12"/>
  <c r="G128" i="12"/>
  <c r="H128" i="12" s="1"/>
  <c r="I128" i="12" s="1"/>
  <c r="K127" i="12"/>
  <c r="G126" i="12"/>
  <c r="H126" i="12" s="1"/>
  <c r="I126" i="12" s="1"/>
  <c r="K122" i="12"/>
  <c r="L122" i="12" s="1"/>
  <c r="G121" i="12"/>
  <c r="K120" i="12"/>
  <c r="K118" i="12"/>
  <c r="L118" i="12" s="1"/>
  <c r="M118" i="12" s="1"/>
  <c r="G117" i="12"/>
  <c r="G114" i="12"/>
  <c r="K110" i="12"/>
  <c r="L110" i="12" s="1"/>
  <c r="G109" i="12"/>
  <c r="G106" i="12"/>
  <c r="K102" i="12"/>
  <c r="L102" i="12" s="1"/>
  <c r="G101" i="12"/>
  <c r="G100" i="12"/>
  <c r="K96" i="12"/>
  <c r="L96" i="12" s="1"/>
  <c r="M96" i="12" s="1"/>
  <c r="G95" i="12"/>
  <c r="G92" i="12"/>
  <c r="K88" i="12"/>
  <c r="G87" i="12"/>
  <c r="K86" i="12"/>
  <c r="G84" i="12"/>
  <c r="G82" i="12"/>
  <c r="H82" i="12" s="1"/>
  <c r="I82" i="12" s="1"/>
  <c r="K80" i="12"/>
  <c r="G79" i="12"/>
  <c r="K78" i="12"/>
  <c r="G76" i="12"/>
  <c r="G74" i="12"/>
  <c r="H74" i="12" s="1"/>
  <c r="I74" i="12" s="1"/>
  <c r="K72" i="12"/>
  <c r="K69" i="12"/>
  <c r="L69" i="12" s="1"/>
  <c r="M69" i="12" s="1"/>
  <c r="G65" i="12"/>
  <c r="H65" i="12" s="1"/>
  <c r="I65" i="12" s="1"/>
  <c r="G60" i="12"/>
  <c r="G58" i="12"/>
  <c r="H58" i="12" s="1"/>
  <c r="I58" i="12" s="1"/>
  <c r="K56" i="12"/>
  <c r="G55" i="12"/>
  <c r="K54" i="12"/>
  <c r="G52" i="12"/>
  <c r="G50" i="12"/>
  <c r="H50" i="12" s="1"/>
  <c r="I50" i="12" s="1"/>
  <c r="K48" i="12"/>
  <c r="G47" i="12"/>
  <c r="K46" i="12"/>
  <c r="G44" i="12"/>
  <c r="G42" i="12"/>
  <c r="H42" i="12" s="1"/>
  <c r="I42" i="12" s="1"/>
  <c r="G38" i="12"/>
  <c r="G34" i="12"/>
  <c r="G30" i="12"/>
  <c r="G26" i="12"/>
  <c r="G246" i="12"/>
  <c r="H246" i="12" s="1"/>
  <c r="I246" i="12" s="1"/>
  <c r="G243" i="12"/>
  <c r="G240" i="12"/>
  <c r="K234" i="12"/>
  <c r="K220" i="12"/>
  <c r="G207" i="12"/>
  <c r="G204" i="12"/>
  <c r="K200" i="12"/>
  <c r="G199" i="12"/>
  <c r="K198" i="12"/>
  <c r="G197" i="12"/>
  <c r="K195" i="12"/>
  <c r="G192" i="12"/>
  <c r="G184" i="12"/>
  <c r="K180" i="12"/>
  <c r="K179" i="12"/>
  <c r="K176" i="12"/>
  <c r="K175" i="12"/>
  <c r="K172" i="12"/>
  <c r="K171" i="12"/>
  <c r="K170" i="12"/>
  <c r="G168" i="12"/>
  <c r="G166" i="12"/>
  <c r="H166" i="12" s="1"/>
  <c r="I166" i="12" s="1"/>
  <c r="K164" i="12"/>
  <c r="K163" i="12"/>
  <c r="K162" i="12"/>
  <c r="G160" i="12"/>
  <c r="K157" i="12"/>
  <c r="L157" i="12" s="1"/>
  <c r="G154" i="12"/>
  <c r="H154" i="12" s="1"/>
  <c r="I154" i="12" s="1"/>
  <c r="K152" i="12"/>
  <c r="G149" i="12"/>
  <c r="K145" i="12"/>
  <c r="L145" i="12" s="1"/>
  <c r="K144" i="12"/>
  <c r="G142" i="12"/>
  <c r="H142" i="12" s="1"/>
  <c r="I142" i="12" s="1"/>
  <c r="K140" i="12"/>
  <c r="G137" i="12"/>
  <c r="G135" i="12"/>
  <c r="H135" i="12" s="1"/>
  <c r="I135" i="12" s="1"/>
  <c r="K134" i="12"/>
  <c r="G132" i="12"/>
  <c r="H132" i="12" s="1"/>
  <c r="I132" i="12" s="1"/>
  <c r="K131" i="12"/>
  <c r="G130" i="12"/>
  <c r="H130" i="12" s="1"/>
  <c r="I130" i="12" s="1"/>
  <c r="K128" i="12"/>
  <c r="G127" i="12"/>
  <c r="H127" i="12" s="1"/>
  <c r="I127" i="12" s="1"/>
  <c r="K126" i="12"/>
  <c r="K124" i="12"/>
  <c r="L124" i="12" s="1"/>
  <c r="M124" i="12" s="1"/>
  <c r="G122" i="12"/>
  <c r="H122" i="12" s="1"/>
  <c r="I122" i="12" s="1"/>
  <c r="K121" i="12"/>
  <c r="G120" i="12"/>
  <c r="K119" i="12"/>
  <c r="G118" i="12"/>
  <c r="K115" i="12"/>
  <c r="K114" i="12"/>
  <c r="L114" i="12" s="1"/>
  <c r="G113" i="12"/>
  <c r="K111" i="12"/>
  <c r="G110" i="12"/>
  <c r="K107" i="12"/>
  <c r="L107" i="12" s="1"/>
  <c r="M107" i="12" s="1"/>
  <c r="K106" i="12"/>
  <c r="L106" i="12" s="1"/>
  <c r="G105" i="12"/>
  <c r="K103" i="12"/>
  <c r="L103" i="12" s="1"/>
  <c r="G102" i="12"/>
  <c r="G98" i="12"/>
  <c r="K94" i="12"/>
  <c r="L94" i="12" s="1"/>
  <c r="M94" i="12" s="1"/>
  <c r="K93" i="12"/>
  <c r="G90" i="12"/>
  <c r="G85" i="12"/>
  <c r="H85" i="12" s="1"/>
  <c r="I85" i="12" s="1"/>
  <c r="K81" i="12"/>
  <c r="L81" i="12" s="1"/>
  <c r="G77" i="12"/>
  <c r="H77" i="12" s="1"/>
  <c r="I77" i="12" s="1"/>
  <c r="K73" i="12"/>
  <c r="L73" i="12" s="1"/>
  <c r="M73" i="12" s="1"/>
  <c r="K70" i="12"/>
  <c r="G68" i="12"/>
  <c r="G66" i="12"/>
  <c r="H66" i="12" s="1"/>
  <c r="I66" i="12" s="1"/>
  <c r="K64" i="12"/>
  <c r="K63" i="12"/>
  <c r="K62" i="12"/>
  <c r="G61" i="12"/>
  <c r="H61" i="12" s="1"/>
  <c r="I61" i="12" s="1"/>
  <c r="K57" i="12"/>
  <c r="L57" i="12" s="1"/>
  <c r="G53" i="12"/>
  <c r="K49" i="12"/>
  <c r="L49" i="12" s="1"/>
  <c r="G45" i="12"/>
  <c r="K41" i="12"/>
  <c r="L41" i="12" s="1"/>
  <c r="K40" i="12"/>
  <c r="K37" i="12"/>
  <c r="K36" i="12"/>
  <c r="K33" i="12"/>
  <c r="K32" i="12"/>
  <c r="K29" i="12"/>
  <c r="K28" i="12"/>
  <c r="K25" i="12"/>
  <c r="K24" i="12"/>
  <c r="K21" i="12"/>
  <c r="K20" i="12"/>
  <c r="G262" i="12"/>
  <c r="G257" i="12"/>
  <c r="K254" i="12"/>
  <c r="K249" i="12"/>
  <c r="L249" i="12" s="1"/>
  <c r="K244" i="12"/>
  <c r="G238" i="12"/>
  <c r="H238" i="12" s="1"/>
  <c r="I238" i="12" s="1"/>
  <c r="G235" i="12"/>
  <c r="G232" i="12"/>
  <c r="K226" i="12"/>
  <c r="G212" i="12"/>
  <c r="G209" i="12"/>
  <c r="G205" i="12"/>
  <c r="G203" i="12"/>
  <c r="G200" i="12"/>
  <c r="K196" i="12"/>
  <c r="G195" i="12"/>
  <c r="G189" i="12"/>
  <c r="K188" i="12"/>
  <c r="K187" i="12"/>
  <c r="G186" i="12"/>
  <c r="K181" i="12"/>
  <c r="G179" i="12"/>
  <c r="K178" i="12"/>
  <c r="K177" i="12"/>
  <c r="G175" i="12"/>
  <c r="K174" i="12"/>
  <c r="K173" i="12"/>
  <c r="G171" i="12"/>
  <c r="G169" i="12"/>
  <c r="K167" i="12"/>
  <c r="K165" i="12"/>
  <c r="L165" i="12" s="1"/>
  <c r="G163" i="12"/>
  <c r="G161" i="12"/>
  <c r="K159" i="12"/>
  <c r="K158" i="12"/>
  <c r="G156" i="12"/>
  <c r="H156" i="12" s="1"/>
  <c r="I156" i="12" s="1"/>
  <c r="K155" i="12"/>
  <c r="K153" i="12"/>
  <c r="L153" i="12" s="1"/>
  <c r="G150" i="12"/>
  <c r="H150" i="12" s="1"/>
  <c r="I150" i="12" s="1"/>
  <c r="K148" i="12"/>
  <c r="G147" i="12"/>
  <c r="H147" i="12" s="1"/>
  <c r="I147" i="12" s="1"/>
  <c r="K146" i="12"/>
  <c r="G143" i="12"/>
  <c r="H143" i="12" s="1"/>
  <c r="I143" i="12" s="1"/>
  <c r="G141" i="12"/>
  <c r="G139" i="12"/>
  <c r="H139" i="12" s="1"/>
  <c r="I139" i="12" s="1"/>
  <c r="G138" i="12"/>
  <c r="H138" i="12" s="1"/>
  <c r="I138" i="12" s="1"/>
  <c r="K136" i="12"/>
  <c r="K133" i="12"/>
  <c r="L133" i="12" s="1"/>
  <c r="G129" i="12"/>
  <c r="K125" i="12"/>
  <c r="L125" i="12" s="1"/>
  <c r="G124" i="12"/>
  <c r="G123" i="12"/>
  <c r="H123" i="12" s="1"/>
  <c r="I123" i="12" s="1"/>
  <c r="G119" i="12"/>
  <c r="K117" i="12"/>
  <c r="G116" i="12"/>
  <c r="G115" i="12"/>
  <c r="K113" i="12"/>
  <c r="K112" i="12"/>
  <c r="L112" i="12" s="1"/>
  <c r="M112" i="12" s="1"/>
  <c r="G111" i="12"/>
  <c r="G108" i="12"/>
  <c r="G104" i="12"/>
  <c r="G103" i="12"/>
  <c r="K101" i="12"/>
  <c r="L101" i="12" s="1"/>
  <c r="K100" i="12"/>
  <c r="L100" i="12" s="1"/>
  <c r="M100" i="12" s="1"/>
  <c r="K99" i="12"/>
  <c r="L99" i="12" s="1"/>
  <c r="K97" i="12"/>
  <c r="L97" i="12" s="1"/>
  <c r="G96" i="12"/>
  <c r="G93" i="12"/>
  <c r="K92" i="12"/>
  <c r="K91" i="12"/>
  <c r="K89" i="12"/>
  <c r="G88" i="12"/>
  <c r="G86" i="12"/>
  <c r="H86" i="12" s="1"/>
  <c r="I86" i="12" s="1"/>
  <c r="K84" i="12"/>
  <c r="K83" i="12"/>
  <c r="K82" i="12"/>
  <c r="G80" i="12"/>
  <c r="G78" i="12"/>
  <c r="H78" i="12" s="1"/>
  <c r="I78" i="12" s="1"/>
  <c r="K76" i="12"/>
  <c r="K75" i="12"/>
  <c r="K74" i="12"/>
  <c r="G72" i="12"/>
  <c r="G71" i="12"/>
  <c r="G69" i="12"/>
  <c r="H69" i="12" s="1"/>
  <c r="I69" i="12" s="1"/>
  <c r="K67" i="12"/>
  <c r="K65" i="12"/>
  <c r="L65" i="12" s="1"/>
  <c r="G63" i="12"/>
  <c r="K60" i="12"/>
  <c r="K59" i="12"/>
  <c r="K58" i="12"/>
  <c r="G56" i="12"/>
  <c r="G54" i="12"/>
  <c r="H54" i="12" s="1"/>
  <c r="I54" i="12" s="1"/>
  <c r="K52" i="12"/>
  <c r="K51" i="12"/>
  <c r="K50" i="12"/>
  <c r="G48" i="12"/>
  <c r="G46" i="12"/>
  <c r="H46" i="12" s="1"/>
  <c r="I46" i="12" s="1"/>
  <c r="K44" i="12"/>
  <c r="K43" i="12"/>
  <c r="K42" i="12"/>
  <c r="G40" i="12"/>
  <c r="K39" i="12"/>
  <c r="K38" i="12"/>
  <c r="G36" i="12"/>
  <c r="K35" i="12"/>
  <c r="K34" i="12"/>
  <c r="G32" i="12"/>
  <c r="K31" i="12"/>
  <c r="K30" i="12"/>
  <c r="G28" i="12"/>
  <c r="K27" i="12"/>
  <c r="K26" i="12"/>
  <c r="G24" i="12"/>
  <c r="K23" i="12"/>
  <c r="K22" i="12"/>
  <c r="G20" i="12"/>
  <c r="K19" i="12"/>
  <c r="K18" i="12"/>
  <c r="G16" i="12"/>
  <c r="K15" i="12"/>
  <c r="K14" i="12"/>
  <c r="L14" i="12" s="1"/>
  <c r="G12" i="12"/>
  <c r="K11" i="12"/>
  <c r="K10" i="12"/>
  <c r="G8" i="12"/>
  <c r="K7" i="12"/>
  <c r="K6" i="12"/>
  <c r="G4" i="12"/>
  <c r="K3" i="12"/>
  <c r="G35" i="12"/>
  <c r="H35" i="12" s="1"/>
  <c r="I35" i="12" s="1"/>
  <c r="G31" i="12"/>
  <c r="G27" i="12"/>
  <c r="G13" i="12"/>
  <c r="H13" i="12" s="1"/>
  <c r="I13" i="12" s="1"/>
  <c r="G11" i="12"/>
  <c r="H11" i="12" s="1"/>
  <c r="I11" i="12" s="1"/>
  <c r="G9" i="12"/>
  <c r="G7" i="12"/>
  <c r="H7" i="12" s="1"/>
  <c r="I7" i="12" s="1"/>
  <c r="G5" i="12"/>
  <c r="H5" i="12" s="1"/>
  <c r="I5" i="12" s="1"/>
  <c r="G3" i="12"/>
  <c r="K1" i="12"/>
  <c r="K5" i="12"/>
  <c r="K4" i="12"/>
  <c r="L4" i="12" s="1"/>
  <c r="L10" i="12"/>
  <c r="K12" i="12"/>
  <c r="L18" i="12"/>
  <c r="G1" i="12"/>
  <c r="H3" i="12"/>
  <c r="I3" i="12" s="1"/>
  <c r="K9" i="12"/>
  <c r="L9" i="12" s="1"/>
  <c r="M9" i="12" s="1"/>
  <c r="K17" i="12"/>
  <c r="L17" i="12" s="1"/>
  <c r="M17" i="12" s="1"/>
  <c r="L6" i="12"/>
  <c r="M6" i="12" s="1"/>
  <c r="K8" i="12"/>
  <c r="L8" i="12" s="1"/>
  <c r="M8" i="12" s="1"/>
  <c r="K16" i="12"/>
  <c r="L16" i="12" s="1"/>
  <c r="K13" i="12"/>
  <c r="L13" i="12" s="1"/>
  <c r="H15" i="12"/>
  <c r="I15" i="12" s="1"/>
  <c r="H4" i="12"/>
  <c r="I4" i="12" s="1"/>
  <c r="H8" i="12"/>
  <c r="I8" i="12" s="1"/>
  <c r="H12" i="12"/>
  <c r="I12" i="12" s="1"/>
  <c r="H16" i="12"/>
  <c r="I16" i="12" s="1"/>
  <c r="H20" i="12"/>
  <c r="I20" i="12" s="1"/>
  <c r="H24" i="12"/>
  <c r="I24" i="12" s="1"/>
  <c r="H6" i="12"/>
  <c r="I6" i="12" s="1"/>
  <c r="H10" i="12"/>
  <c r="I10" i="12" s="1"/>
  <c r="L20" i="12"/>
  <c r="L24" i="12"/>
  <c r="H26" i="12"/>
  <c r="I26" i="12" s="1"/>
  <c r="H30" i="12"/>
  <c r="I30" i="12" s="1"/>
  <c r="H34" i="12"/>
  <c r="I34" i="12" s="1"/>
  <c r="H9" i="12"/>
  <c r="I9" i="12" s="1"/>
  <c r="H17" i="12"/>
  <c r="I17" i="12" s="1"/>
  <c r="H21" i="12"/>
  <c r="I21" i="12" s="1"/>
  <c r="H25" i="12"/>
  <c r="I25" i="12" s="1"/>
  <c r="H29" i="12"/>
  <c r="I29" i="12" s="1"/>
  <c r="H33" i="12"/>
  <c r="I33" i="12" s="1"/>
  <c r="H37" i="12"/>
  <c r="I37" i="12" s="1"/>
  <c r="H41" i="12"/>
  <c r="I41" i="12" s="1"/>
  <c r="H47" i="12"/>
  <c r="I47" i="12" s="1"/>
  <c r="H49" i="12"/>
  <c r="I49" i="12" s="1"/>
  <c r="H55" i="12"/>
  <c r="I55" i="12" s="1"/>
  <c r="H57" i="12"/>
  <c r="I57" i="12" s="1"/>
  <c r="L61" i="12"/>
  <c r="H64" i="12"/>
  <c r="I64" i="12" s="1"/>
  <c r="L66" i="12"/>
  <c r="M66" i="12" s="1"/>
  <c r="L68" i="12"/>
  <c r="M68" i="12" s="1"/>
  <c r="H79" i="12"/>
  <c r="I79" i="12" s="1"/>
  <c r="H87" i="12"/>
  <c r="I87" i="12" s="1"/>
  <c r="L90" i="12"/>
  <c r="H94" i="12"/>
  <c r="I94" i="12" s="1"/>
  <c r="H95" i="12"/>
  <c r="I95" i="12" s="1"/>
  <c r="H105" i="12"/>
  <c r="I105" i="12" s="1"/>
  <c r="H106" i="12"/>
  <c r="I106" i="12" s="1"/>
  <c r="H109" i="12"/>
  <c r="I109" i="12" s="1"/>
  <c r="H110" i="12"/>
  <c r="I110" i="12" s="1"/>
  <c r="H114" i="12"/>
  <c r="I114" i="12" s="1"/>
  <c r="H120" i="12"/>
  <c r="I120" i="12" s="1"/>
  <c r="H121" i="12"/>
  <c r="I121" i="12" s="1"/>
  <c r="H137" i="12"/>
  <c r="I137" i="12" s="1"/>
  <c r="L140" i="12"/>
  <c r="H145" i="12"/>
  <c r="I145" i="12" s="1"/>
  <c r="H151" i="12"/>
  <c r="I151" i="12" s="1"/>
  <c r="L154" i="12"/>
  <c r="H157" i="12"/>
  <c r="I157" i="12" s="1"/>
  <c r="L160" i="12"/>
  <c r="H164" i="12"/>
  <c r="I164" i="12" s="1"/>
  <c r="L166" i="12"/>
  <c r="L168" i="12"/>
  <c r="M168" i="12" s="1"/>
  <c r="H172" i="12"/>
  <c r="I172" i="12" s="1"/>
  <c r="H176" i="12"/>
  <c r="I176" i="12" s="1"/>
  <c r="H180" i="12"/>
  <c r="I180" i="12" s="1"/>
  <c r="H182" i="12"/>
  <c r="I182" i="12" s="1"/>
  <c r="H183" i="12"/>
  <c r="I183" i="12" s="1"/>
  <c r="L184" i="12"/>
  <c r="M184" i="12" s="1"/>
  <c r="H191" i="12"/>
  <c r="I191" i="12" s="1"/>
  <c r="H193" i="12"/>
  <c r="I193" i="12" s="1"/>
  <c r="H194" i="12"/>
  <c r="I194" i="12" s="1"/>
  <c r="L198" i="12"/>
  <c r="L199" i="12"/>
  <c r="M199" i="12" s="1"/>
  <c r="L201" i="12"/>
  <c r="M201" i="12" s="1"/>
  <c r="L204" i="12"/>
  <c r="M204" i="12" s="1"/>
  <c r="L206" i="12"/>
  <c r="H208" i="12"/>
  <c r="I208" i="12" s="1"/>
  <c r="H211" i="12"/>
  <c r="I211" i="12" s="1"/>
  <c r="H214" i="12"/>
  <c r="I214" i="12" s="1"/>
  <c r="H217" i="12"/>
  <c r="I217" i="12" s="1"/>
  <c r="L223" i="12"/>
  <c r="H251" i="12"/>
  <c r="I251" i="12" s="1"/>
  <c r="L259" i="12"/>
  <c r="M259" i="12" s="1"/>
  <c r="H264" i="12"/>
  <c r="I264" i="12" s="1"/>
  <c r="H19" i="12"/>
  <c r="I19" i="12" s="1"/>
  <c r="L22" i="12"/>
  <c r="M22" i="12" s="1"/>
  <c r="H23" i="12"/>
  <c r="I23" i="12" s="1"/>
  <c r="L26" i="12"/>
  <c r="H27" i="12"/>
  <c r="I27" i="12" s="1"/>
  <c r="L30" i="12"/>
  <c r="H31" i="12"/>
  <c r="I31" i="12" s="1"/>
  <c r="L34" i="12"/>
  <c r="L38" i="12"/>
  <c r="H39" i="12"/>
  <c r="I39" i="12" s="1"/>
  <c r="L42" i="12"/>
  <c r="M42" i="12" s="1"/>
  <c r="H43" i="12"/>
  <c r="I43" i="12" s="1"/>
  <c r="L44" i="12"/>
  <c r="L47" i="12"/>
  <c r="M47" i="12" s="1"/>
  <c r="H48" i="12"/>
  <c r="I48" i="12" s="1"/>
  <c r="L50" i="12"/>
  <c r="H51" i="12"/>
  <c r="I51" i="12" s="1"/>
  <c r="L52" i="12"/>
  <c r="L55" i="12"/>
  <c r="H56" i="12"/>
  <c r="I56" i="12" s="1"/>
  <c r="L58" i="12"/>
  <c r="H59" i="12"/>
  <c r="I59" i="12" s="1"/>
  <c r="L60" i="12"/>
  <c r="H67" i="12"/>
  <c r="I67" i="12" s="1"/>
  <c r="H71" i="12"/>
  <c r="I71" i="12" s="1"/>
  <c r="H72" i="12"/>
  <c r="I72" i="12" s="1"/>
  <c r="L74" i="12"/>
  <c r="M74" i="12" s="1"/>
  <c r="H75" i="12"/>
  <c r="I75" i="12" s="1"/>
  <c r="L76" i="12"/>
  <c r="L79" i="12"/>
  <c r="M79" i="12" s="1"/>
  <c r="H80" i="12"/>
  <c r="I80" i="12" s="1"/>
  <c r="L82" i="12"/>
  <c r="H83" i="12"/>
  <c r="I83" i="12" s="1"/>
  <c r="L84" i="12"/>
  <c r="M84" i="12" s="1"/>
  <c r="L87" i="12"/>
  <c r="H88" i="12"/>
  <c r="I88" i="12" s="1"/>
  <c r="H89" i="12"/>
  <c r="I89" i="12" s="1"/>
  <c r="H91" i="12"/>
  <c r="I91" i="12" s="1"/>
  <c r="L92" i="12"/>
  <c r="M92" i="12" s="1"/>
  <c r="H96" i="12"/>
  <c r="I96" i="12" s="1"/>
  <c r="H97" i="12"/>
  <c r="I97" i="12" s="1"/>
  <c r="H99" i="12"/>
  <c r="I99" i="12" s="1"/>
  <c r="H108" i="12"/>
  <c r="I108" i="12" s="1"/>
  <c r="H116" i="12"/>
  <c r="I116" i="12" s="1"/>
  <c r="L117" i="12"/>
  <c r="M117" i="12" s="1"/>
  <c r="H125" i="12"/>
  <c r="I125" i="12" s="1"/>
  <c r="H133" i="12"/>
  <c r="I133" i="12" s="1"/>
  <c r="L136" i="12"/>
  <c r="L139" i="12"/>
  <c r="M139" i="12" s="1"/>
  <c r="L146" i="12"/>
  <c r="M146" i="12" s="1"/>
  <c r="L148" i="12"/>
  <c r="L151" i="12"/>
  <c r="H155" i="12"/>
  <c r="I155" i="12" s="1"/>
  <c r="L158" i="12"/>
  <c r="H159" i="12"/>
  <c r="I159" i="12" s="1"/>
  <c r="H161" i="12"/>
  <c r="I161" i="12" s="1"/>
  <c r="H167" i="12"/>
  <c r="I167" i="12" s="1"/>
  <c r="H169" i="12"/>
  <c r="I169" i="12" s="1"/>
  <c r="L173" i="12"/>
  <c r="M173" i="12" s="1"/>
  <c r="H174" i="12"/>
  <c r="I174" i="12" s="1"/>
  <c r="L177" i="12"/>
  <c r="H178" i="12"/>
  <c r="I178" i="12" s="1"/>
  <c r="L181" i="12"/>
  <c r="L182" i="12"/>
  <c r="M182" i="12" s="1"/>
  <c r="H185" i="12"/>
  <c r="I185" i="12" s="1"/>
  <c r="H186" i="12"/>
  <c r="I186" i="12" s="1"/>
  <c r="H187" i="12"/>
  <c r="I187" i="12" s="1"/>
  <c r="L188" i="12"/>
  <c r="L190" i="12"/>
  <c r="M190" i="12" s="1"/>
  <c r="L191" i="12"/>
  <c r="M191" i="12" s="1"/>
  <c r="L193" i="12"/>
  <c r="M193" i="12" s="1"/>
  <c r="L196" i="12"/>
  <c r="M196" i="12" s="1"/>
  <c r="L202" i="12"/>
  <c r="M202" i="12" s="1"/>
  <c r="H203" i="12"/>
  <c r="I203" i="12" s="1"/>
  <c r="H205" i="12"/>
  <c r="I205" i="12" s="1"/>
  <c r="L208" i="12"/>
  <c r="M208" i="12" s="1"/>
  <c r="H209" i="12"/>
  <c r="I209" i="12" s="1"/>
  <c r="L211" i="12"/>
  <c r="M211" i="12" s="1"/>
  <c r="L214" i="12"/>
  <c r="M214" i="12" s="1"/>
  <c r="H225" i="12"/>
  <c r="I225" i="12" s="1"/>
  <c r="L231" i="12"/>
  <c r="H253" i="12"/>
  <c r="I253" i="12" s="1"/>
  <c r="L256" i="12"/>
  <c r="L261" i="12"/>
  <c r="M261" i="12" s="1"/>
  <c r="L3" i="12"/>
  <c r="L7" i="12"/>
  <c r="L11" i="12"/>
  <c r="L15" i="12"/>
  <c r="M15" i="12" s="1"/>
  <c r="L19" i="12"/>
  <c r="M19" i="12" s="1"/>
  <c r="L23" i="12"/>
  <c r="L25" i="12"/>
  <c r="M25" i="12" s="1"/>
  <c r="L27" i="12"/>
  <c r="H28" i="12"/>
  <c r="I28" i="12" s="1"/>
  <c r="L29" i="12"/>
  <c r="M29" i="12" s="1"/>
  <c r="L31" i="12"/>
  <c r="H32" i="12"/>
  <c r="I32" i="12" s="1"/>
  <c r="L33" i="12"/>
  <c r="L35" i="12"/>
  <c r="H36" i="12"/>
  <c r="I36" i="12" s="1"/>
  <c r="L37" i="12"/>
  <c r="L39" i="12"/>
  <c r="M39" i="12" s="1"/>
  <c r="H40" i="12"/>
  <c r="I40" i="12" s="1"/>
  <c r="L43" i="12"/>
  <c r="M43" i="12" s="1"/>
  <c r="H45" i="12"/>
  <c r="I45" i="12" s="1"/>
  <c r="L51" i="12"/>
  <c r="M51" i="12" s="1"/>
  <c r="H53" i="12"/>
  <c r="I53" i="12" s="1"/>
  <c r="L59" i="12"/>
  <c r="M59" i="12" s="1"/>
  <c r="L62" i="12"/>
  <c r="M62" i="12" s="1"/>
  <c r="H63" i="12"/>
  <c r="I63" i="12" s="1"/>
  <c r="L64" i="12"/>
  <c r="L67" i="12"/>
  <c r="M67" i="12" s="1"/>
  <c r="H68" i="12"/>
  <c r="I68" i="12" s="1"/>
  <c r="L70" i="12"/>
  <c r="M70" i="12" s="1"/>
  <c r="L71" i="12"/>
  <c r="M71" i="12" s="1"/>
  <c r="L75" i="12"/>
  <c r="M75" i="12" s="1"/>
  <c r="L83" i="12"/>
  <c r="M83" i="12" s="1"/>
  <c r="L89" i="12"/>
  <c r="H90" i="12"/>
  <c r="I90" i="12" s="1"/>
  <c r="L91" i="12"/>
  <c r="H93" i="12"/>
  <c r="I93" i="12" s="1"/>
  <c r="H98" i="12"/>
  <c r="I98" i="12" s="1"/>
  <c r="H103" i="12"/>
  <c r="I103" i="12" s="1"/>
  <c r="H104" i="12"/>
  <c r="I104" i="12" s="1"/>
  <c r="H107" i="12"/>
  <c r="I107" i="12" s="1"/>
  <c r="H111" i="12"/>
  <c r="I111" i="12" s="1"/>
  <c r="H112" i="12"/>
  <c r="I112" i="12" s="1"/>
  <c r="L113" i="12"/>
  <c r="H115" i="12"/>
  <c r="I115" i="12" s="1"/>
  <c r="H119" i="12"/>
  <c r="I119" i="12" s="1"/>
  <c r="L123" i="12"/>
  <c r="H124" i="12"/>
  <c r="I124" i="12" s="1"/>
  <c r="H129" i="12"/>
  <c r="I129" i="12" s="1"/>
  <c r="L138" i="12"/>
  <c r="H140" i="12"/>
  <c r="I140" i="12" s="1"/>
  <c r="H141" i="12"/>
  <c r="I141" i="12" s="1"/>
  <c r="H149" i="12"/>
  <c r="I149" i="12" s="1"/>
  <c r="L152" i="12"/>
  <c r="M152" i="12" s="1"/>
  <c r="L155" i="12"/>
  <c r="L159" i="12"/>
  <c r="H160" i="12"/>
  <c r="I160" i="12" s="1"/>
  <c r="L162" i="12"/>
  <c r="H163" i="12"/>
  <c r="I163" i="12" s="1"/>
  <c r="L164" i="12"/>
  <c r="L167" i="12"/>
  <c r="M167" i="12" s="1"/>
  <c r="H168" i="12"/>
  <c r="I168" i="12" s="1"/>
  <c r="L170" i="12"/>
  <c r="M170" i="12" s="1"/>
  <c r="H171" i="12"/>
  <c r="I171" i="12" s="1"/>
  <c r="L172" i="12"/>
  <c r="L174" i="12"/>
  <c r="M174" i="12" s="1"/>
  <c r="H175" i="12"/>
  <c r="I175" i="12" s="1"/>
  <c r="L176" i="12"/>
  <c r="L178" i="12"/>
  <c r="M178" i="12" s="1"/>
  <c r="H179" i="12"/>
  <c r="I179" i="12" s="1"/>
  <c r="L180" i="12"/>
  <c r="M180" i="12" s="1"/>
  <c r="L183" i="12"/>
  <c r="M183" i="12" s="1"/>
  <c r="L185" i="12"/>
  <c r="L186" i="12"/>
  <c r="H189" i="12"/>
  <c r="I189" i="12" s="1"/>
  <c r="L194" i="12"/>
  <c r="H197" i="12"/>
  <c r="I197" i="12" s="1"/>
  <c r="H198" i="12"/>
  <c r="I198" i="12" s="1"/>
  <c r="L200" i="12"/>
  <c r="M200" i="12" s="1"/>
  <c r="L203" i="12"/>
  <c r="M203" i="12" s="1"/>
  <c r="H207" i="12"/>
  <c r="I207" i="12" s="1"/>
  <c r="H210" i="12"/>
  <c r="I210" i="12" s="1"/>
  <c r="H215" i="12"/>
  <c r="I215" i="12" s="1"/>
  <c r="H233" i="12"/>
  <c r="I233" i="12" s="1"/>
  <c r="L239" i="12"/>
  <c r="M239" i="12" s="1"/>
  <c r="L250" i="12"/>
  <c r="M250" i="12" s="1"/>
  <c r="H258" i="12"/>
  <c r="I258" i="12" s="1"/>
  <c r="L5" i="12"/>
  <c r="M5" i="12" s="1"/>
  <c r="L21" i="12"/>
  <c r="M21" i="12" s="1"/>
  <c r="L12" i="12"/>
  <c r="M12" i="12" s="1"/>
  <c r="H14" i="12"/>
  <c r="I14" i="12" s="1"/>
  <c r="H18" i="12"/>
  <c r="I18" i="12" s="1"/>
  <c r="H22" i="12"/>
  <c r="I22" i="12" s="1"/>
  <c r="L28" i="12"/>
  <c r="M28" i="12" s="1"/>
  <c r="L32" i="12"/>
  <c r="L36" i="12"/>
  <c r="M36" i="12" s="1"/>
  <c r="H38" i="12"/>
  <c r="I38" i="12" s="1"/>
  <c r="L40" i="12"/>
  <c r="M40" i="12" s="1"/>
  <c r="H44" i="12"/>
  <c r="I44" i="12" s="1"/>
  <c r="L46" i="12"/>
  <c r="M46" i="12" s="1"/>
  <c r="L48" i="12"/>
  <c r="H52" i="12"/>
  <c r="I52" i="12" s="1"/>
  <c r="L54" i="12"/>
  <c r="L56" i="12"/>
  <c r="M56" i="12" s="1"/>
  <c r="H60" i="12"/>
  <c r="I60" i="12" s="1"/>
  <c r="L63" i="12"/>
  <c r="M63" i="12" s="1"/>
  <c r="L72" i="12"/>
  <c r="H76" i="12"/>
  <c r="I76" i="12" s="1"/>
  <c r="L78" i="12"/>
  <c r="M78" i="12" s="1"/>
  <c r="L80" i="12"/>
  <c r="H84" i="12"/>
  <c r="I84" i="12" s="1"/>
  <c r="L86" i="12"/>
  <c r="L88" i="12"/>
  <c r="H92" i="12"/>
  <c r="I92" i="12" s="1"/>
  <c r="L93" i="12"/>
  <c r="H100" i="12"/>
  <c r="I100" i="12" s="1"/>
  <c r="H101" i="12"/>
  <c r="I101" i="12" s="1"/>
  <c r="H102" i="12"/>
  <c r="I102" i="12" s="1"/>
  <c r="L111" i="12"/>
  <c r="M111" i="12" s="1"/>
  <c r="H113" i="12"/>
  <c r="I113" i="12" s="1"/>
  <c r="L115" i="12"/>
  <c r="M115" i="12" s="1"/>
  <c r="H117" i="12"/>
  <c r="I117" i="12" s="1"/>
  <c r="H118" i="12"/>
  <c r="I118" i="12" s="1"/>
  <c r="L119" i="12"/>
  <c r="L120" i="12"/>
  <c r="M120" i="12" s="1"/>
  <c r="L121" i="12"/>
  <c r="L126" i="12"/>
  <c r="M126" i="12" s="1"/>
  <c r="L127" i="12"/>
  <c r="L128" i="12"/>
  <c r="M128" i="12" s="1"/>
  <c r="L130" i="12"/>
  <c r="M130" i="12" s="1"/>
  <c r="L131" i="12"/>
  <c r="L134" i="12"/>
  <c r="M134" i="12" s="1"/>
  <c r="L135" i="12"/>
  <c r="H136" i="12"/>
  <c r="I136" i="12" s="1"/>
  <c r="L142" i="12"/>
  <c r="L143" i="12"/>
  <c r="L144" i="12"/>
  <c r="M144" i="12" s="1"/>
  <c r="L147" i="12"/>
  <c r="M147" i="12" s="1"/>
  <c r="L150" i="12"/>
  <c r="M150" i="12" s="1"/>
  <c r="H153" i="12"/>
  <c r="I153" i="12" s="1"/>
  <c r="L156" i="12"/>
  <c r="L163" i="12"/>
  <c r="M163" i="12" s="1"/>
  <c r="H165" i="12"/>
  <c r="I165" i="12" s="1"/>
  <c r="L171" i="12"/>
  <c r="M171" i="12" s="1"/>
  <c r="H173" i="12"/>
  <c r="I173" i="12" s="1"/>
  <c r="L175" i="12"/>
  <c r="H177" i="12"/>
  <c r="I177" i="12" s="1"/>
  <c r="L179" i="12"/>
  <c r="M179" i="12" s="1"/>
  <c r="H181" i="12"/>
  <c r="I181" i="12" s="1"/>
  <c r="L187" i="12"/>
  <c r="M187" i="12" s="1"/>
  <c r="L189" i="12"/>
  <c r="H190" i="12"/>
  <c r="I190" i="12" s="1"/>
  <c r="L192" i="12"/>
  <c r="M192" i="12" s="1"/>
  <c r="L195" i="12"/>
  <c r="M195" i="12" s="1"/>
  <c r="L197" i="12"/>
  <c r="H199" i="12"/>
  <c r="I199" i="12" s="1"/>
  <c r="H201" i="12"/>
  <c r="I201" i="12" s="1"/>
  <c r="H202" i="12"/>
  <c r="I202" i="12" s="1"/>
  <c r="H204" i="12"/>
  <c r="I204" i="12" s="1"/>
  <c r="H206" i="12"/>
  <c r="I206" i="12" s="1"/>
  <c r="L207" i="12"/>
  <c r="L210" i="12"/>
  <c r="L212" i="12"/>
  <c r="M212" i="12" s="1"/>
  <c r="H213" i="12"/>
  <c r="I213" i="12" s="1"/>
  <c r="L215" i="12"/>
  <c r="H241" i="12"/>
  <c r="I241" i="12" s="1"/>
  <c r="L247" i="12"/>
  <c r="H212" i="12"/>
  <c r="I212" i="12" s="1"/>
  <c r="H216" i="12"/>
  <c r="I216" i="12" s="1"/>
  <c r="L218" i="12"/>
  <c r="L220" i="12"/>
  <c r="H224" i="12"/>
  <c r="I224" i="12" s="1"/>
  <c r="L226" i="12"/>
  <c r="L228" i="12"/>
  <c r="M228" i="12" s="1"/>
  <c r="H232" i="12"/>
  <c r="I232" i="12" s="1"/>
  <c r="L234" i="12"/>
  <c r="M234" i="12" s="1"/>
  <c r="L236" i="12"/>
  <c r="H240" i="12"/>
  <c r="I240" i="12" s="1"/>
  <c r="L242" i="12"/>
  <c r="M242" i="12" s="1"/>
  <c r="L244" i="12"/>
  <c r="L251" i="12"/>
  <c r="M251" i="12" s="1"/>
  <c r="L254" i="12"/>
  <c r="M254" i="12" s="1"/>
  <c r="H257" i="12"/>
  <c r="I257" i="12" s="1"/>
  <c r="L260" i="12"/>
  <c r="M260" i="12" s="1"/>
  <c r="H262" i="12"/>
  <c r="I262" i="12" s="1"/>
  <c r="L266" i="12"/>
  <c r="M266" i="12" s="1"/>
  <c r="L267" i="12"/>
  <c r="M267" i="12" s="1"/>
  <c r="L269" i="12"/>
  <c r="L272" i="12"/>
  <c r="M272" i="12" s="1"/>
  <c r="L274" i="12"/>
  <c r="L275" i="12"/>
  <c r="M275" i="12" s="1"/>
  <c r="L277" i="12"/>
  <c r="L280" i="12"/>
  <c r="H282" i="12"/>
  <c r="I282" i="12" s="1"/>
  <c r="H284" i="12"/>
  <c r="I284" i="12" s="1"/>
  <c r="H285" i="12"/>
  <c r="I285" i="12" s="1"/>
  <c r="L288" i="12"/>
  <c r="L290" i="12"/>
  <c r="L291" i="12"/>
  <c r="H292" i="12"/>
  <c r="I292" i="12" s="1"/>
  <c r="H298" i="12"/>
  <c r="I298" i="12" s="1"/>
  <c r="H302" i="12"/>
  <c r="I302" i="12" s="1"/>
  <c r="H306" i="12"/>
  <c r="I306" i="12" s="1"/>
  <c r="H310" i="12"/>
  <c r="I310" i="12" s="1"/>
  <c r="H314" i="12"/>
  <c r="I314" i="12" s="1"/>
  <c r="H318" i="12"/>
  <c r="I318" i="12" s="1"/>
  <c r="H322" i="12"/>
  <c r="I322" i="12" s="1"/>
  <c r="H326" i="12"/>
  <c r="I326" i="12" s="1"/>
  <c r="H330" i="12"/>
  <c r="I330" i="12" s="1"/>
  <c r="H334" i="12"/>
  <c r="I334" i="12" s="1"/>
  <c r="H338" i="12"/>
  <c r="I338" i="12" s="1"/>
  <c r="H346" i="12"/>
  <c r="I346" i="12" s="1"/>
  <c r="H354" i="12"/>
  <c r="I354" i="12" s="1"/>
  <c r="H362" i="12"/>
  <c r="I362" i="12" s="1"/>
  <c r="H370" i="12"/>
  <c r="I370" i="12" s="1"/>
  <c r="H373" i="12"/>
  <c r="I373" i="12" s="1"/>
  <c r="L375" i="12"/>
  <c r="M375" i="12" s="1"/>
  <c r="L377" i="12"/>
  <c r="M377" i="12" s="1"/>
  <c r="L379" i="12"/>
  <c r="M379" i="12" s="1"/>
  <c r="L381" i="12"/>
  <c r="M381" i="12" s="1"/>
  <c r="L383" i="12"/>
  <c r="M383" i="12" s="1"/>
  <c r="H384" i="12"/>
  <c r="I384" i="12" s="1"/>
  <c r="H389" i="12"/>
  <c r="I389" i="12" s="1"/>
  <c r="L391" i="12"/>
  <c r="L396" i="12"/>
  <c r="M396" i="12" s="1"/>
  <c r="L397" i="12"/>
  <c r="L399" i="12"/>
  <c r="H402" i="12"/>
  <c r="I402" i="12" s="1"/>
  <c r="L404" i="12"/>
  <c r="M404" i="12" s="1"/>
  <c r="L405" i="12"/>
  <c r="H407" i="12"/>
  <c r="I407" i="12" s="1"/>
  <c r="H408" i="12"/>
  <c r="I408" i="12" s="1"/>
  <c r="L412" i="12"/>
  <c r="L413" i="12"/>
  <c r="M413" i="12" s="1"/>
  <c r="L415" i="12"/>
  <c r="M415" i="12" s="1"/>
  <c r="H416" i="12"/>
  <c r="I416" i="12" s="1"/>
  <c r="L425" i="12"/>
  <c r="H427" i="12"/>
  <c r="I427" i="12" s="1"/>
  <c r="L432" i="12"/>
  <c r="L435" i="12"/>
  <c r="H438" i="12"/>
  <c r="I438" i="12" s="1"/>
  <c r="L441" i="12"/>
  <c r="H443" i="12"/>
  <c r="I443" i="12" s="1"/>
  <c r="L448" i="12"/>
  <c r="M448" i="12" s="1"/>
  <c r="L451" i="12"/>
  <c r="M451" i="12" s="1"/>
  <c r="H454" i="12"/>
  <c r="I454" i="12" s="1"/>
  <c r="L457" i="12"/>
  <c r="M457" i="12" s="1"/>
  <c r="H459" i="12"/>
  <c r="I459" i="12" s="1"/>
  <c r="L464" i="12"/>
  <c r="L467" i="12"/>
  <c r="M467" i="12" s="1"/>
  <c r="H470" i="12"/>
  <c r="I470" i="12" s="1"/>
  <c r="L473" i="12"/>
  <c r="M473" i="12" s="1"/>
  <c r="H475" i="12"/>
  <c r="I475" i="12" s="1"/>
  <c r="H482" i="12"/>
  <c r="I482" i="12" s="1"/>
  <c r="L483" i="12"/>
  <c r="L485" i="12"/>
  <c r="M485" i="12" s="1"/>
  <c r="H487" i="12"/>
  <c r="I487" i="12" s="1"/>
  <c r="H488" i="12"/>
  <c r="I488" i="12" s="1"/>
  <c r="L491" i="12"/>
  <c r="L493" i="12"/>
  <c r="M493" i="12" s="1"/>
  <c r="H495" i="12"/>
  <c r="I495" i="12" s="1"/>
  <c r="H496" i="12"/>
  <c r="I496" i="12" s="1"/>
  <c r="L499" i="12"/>
  <c r="L501" i="12"/>
  <c r="M501" i="12" s="1"/>
  <c r="H503" i="12"/>
  <c r="I503" i="12" s="1"/>
  <c r="H504" i="12"/>
  <c r="I504" i="12" s="1"/>
  <c r="L507" i="12"/>
  <c r="L509" i="12"/>
  <c r="H512" i="12"/>
  <c r="I512" i="12" s="1"/>
  <c r="L515" i="12"/>
  <c r="M515" i="12" s="1"/>
  <c r="L517" i="12"/>
  <c r="H520" i="12"/>
  <c r="I520" i="12" s="1"/>
  <c r="L523" i="12"/>
  <c r="L528" i="12"/>
  <c r="M528" i="12" s="1"/>
  <c r="L529" i="12"/>
  <c r="M529" i="12" s="1"/>
  <c r="L531" i="12"/>
  <c r="M531" i="12" s="1"/>
  <c r="H534" i="12"/>
  <c r="I534" i="12" s="1"/>
  <c r="L536" i="12"/>
  <c r="L537" i="12"/>
  <c r="M537" i="12" s="1"/>
  <c r="H539" i="12"/>
  <c r="I539" i="12" s="1"/>
  <c r="H540" i="12"/>
  <c r="I540" i="12" s="1"/>
  <c r="L547" i="12"/>
  <c r="M547" i="12" s="1"/>
  <c r="H548" i="12"/>
  <c r="I548" i="12" s="1"/>
  <c r="L552" i="12"/>
  <c r="M552" i="12" s="1"/>
  <c r="L553" i="12"/>
  <c r="M553" i="12" s="1"/>
  <c r="L557" i="12"/>
  <c r="L572" i="12"/>
  <c r="L573" i="12"/>
  <c r="M573" i="12" s="1"/>
  <c r="L576" i="12"/>
  <c r="L579" i="12"/>
  <c r="M579" i="12" s="1"/>
  <c r="H582" i="12"/>
  <c r="I582" i="12" s="1"/>
  <c r="L583" i="12"/>
  <c r="M583" i="12" s="1"/>
  <c r="H184" i="12"/>
  <c r="I184" i="12" s="1"/>
  <c r="H188" i="12"/>
  <c r="I188" i="12" s="1"/>
  <c r="H192" i="12"/>
  <c r="I192" i="12" s="1"/>
  <c r="H195" i="12"/>
  <c r="I195" i="12" s="1"/>
  <c r="H196" i="12"/>
  <c r="I196" i="12" s="1"/>
  <c r="H200" i="12"/>
  <c r="I200" i="12" s="1"/>
  <c r="L205" i="12"/>
  <c r="L209" i="12"/>
  <c r="M209" i="12" s="1"/>
  <c r="L213" i="12"/>
  <c r="H219" i="12"/>
  <c r="I219" i="12" s="1"/>
  <c r="H221" i="12"/>
  <c r="I221" i="12" s="1"/>
  <c r="H227" i="12"/>
  <c r="I227" i="12" s="1"/>
  <c r="H229" i="12"/>
  <c r="I229" i="12" s="1"/>
  <c r="H235" i="12"/>
  <c r="I235" i="12" s="1"/>
  <c r="H237" i="12"/>
  <c r="I237" i="12" s="1"/>
  <c r="H243" i="12"/>
  <c r="I243" i="12" s="1"/>
  <c r="H245" i="12"/>
  <c r="I245" i="12" s="1"/>
  <c r="L248" i="12"/>
  <c r="M248" i="12" s="1"/>
  <c r="H250" i="12"/>
  <c r="I250" i="12" s="1"/>
  <c r="H255" i="12"/>
  <c r="I255" i="12" s="1"/>
  <c r="L258" i="12"/>
  <c r="M258" i="12" s="1"/>
  <c r="H261" i="12"/>
  <c r="I261" i="12" s="1"/>
  <c r="L263" i="12"/>
  <c r="M263" i="12" s="1"/>
  <c r="L264" i="12"/>
  <c r="H266" i="12"/>
  <c r="I266" i="12" s="1"/>
  <c r="H268" i="12"/>
  <c r="I268" i="12" s="1"/>
  <c r="H269" i="12"/>
  <c r="I269" i="12" s="1"/>
  <c r="H274" i="12"/>
  <c r="I274" i="12" s="1"/>
  <c r="H276" i="12"/>
  <c r="I276" i="12" s="1"/>
  <c r="H277" i="12"/>
  <c r="I277" i="12" s="1"/>
  <c r="L282" i="12"/>
  <c r="L283" i="12"/>
  <c r="L285" i="12"/>
  <c r="H290" i="12"/>
  <c r="I290" i="12" s="1"/>
  <c r="H294" i="12"/>
  <c r="I294" i="12" s="1"/>
  <c r="L296" i="12"/>
  <c r="M296" i="12" s="1"/>
  <c r="L297" i="12"/>
  <c r="H337" i="12"/>
  <c r="I337" i="12" s="1"/>
  <c r="L339" i="12"/>
  <c r="M339" i="12" s="1"/>
  <c r="L341" i="12"/>
  <c r="M341" i="12" s="1"/>
  <c r="H345" i="12"/>
  <c r="I345" i="12" s="1"/>
  <c r="L347" i="12"/>
  <c r="M347" i="12" s="1"/>
  <c r="L349" i="12"/>
  <c r="M349" i="12" s="1"/>
  <c r="H353" i="12"/>
  <c r="I353" i="12" s="1"/>
  <c r="L355" i="12"/>
  <c r="M355" i="12" s="1"/>
  <c r="L357" i="12"/>
  <c r="M357" i="12" s="1"/>
  <c r="H361" i="12"/>
  <c r="I361" i="12" s="1"/>
  <c r="L363" i="12"/>
  <c r="M363" i="12" s="1"/>
  <c r="L365" i="12"/>
  <c r="H369" i="12"/>
  <c r="I369" i="12" s="1"/>
  <c r="H376" i="12"/>
  <c r="I376" i="12" s="1"/>
  <c r="H380" i="12"/>
  <c r="I380" i="12" s="1"/>
  <c r="H381" i="12"/>
  <c r="I381" i="12" s="1"/>
  <c r="H386" i="12"/>
  <c r="I386" i="12" s="1"/>
  <c r="L388" i="12"/>
  <c r="L389" i="12"/>
  <c r="M389" i="12" s="1"/>
  <c r="H392" i="12"/>
  <c r="I392" i="12" s="1"/>
  <c r="H394" i="12"/>
  <c r="I394" i="12" s="1"/>
  <c r="H399" i="12"/>
  <c r="I399" i="12" s="1"/>
  <c r="H400" i="12"/>
  <c r="I400" i="12" s="1"/>
  <c r="L407" i="12"/>
  <c r="H410" i="12"/>
  <c r="I410" i="12" s="1"/>
  <c r="H415" i="12"/>
  <c r="I415" i="12" s="1"/>
  <c r="H418" i="12"/>
  <c r="I418" i="12" s="1"/>
  <c r="L420" i="12"/>
  <c r="M420" i="12" s="1"/>
  <c r="L421" i="12"/>
  <c r="M421" i="12" s="1"/>
  <c r="L423" i="12"/>
  <c r="M423" i="12" s="1"/>
  <c r="H426" i="12"/>
  <c r="I426" i="12" s="1"/>
  <c r="L429" i="12"/>
  <c r="M429" i="12" s="1"/>
  <c r="H431" i="12"/>
  <c r="I431" i="12" s="1"/>
  <c r="H436" i="12"/>
  <c r="I436" i="12" s="1"/>
  <c r="L439" i="12"/>
  <c r="M439" i="12" s="1"/>
  <c r="H442" i="12"/>
  <c r="I442" i="12" s="1"/>
  <c r="L445" i="12"/>
  <c r="H447" i="12"/>
  <c r="I447" i="12" s="1"/>
  <c r="H452" i="12"/>
  <c r="I452" i="12" s="1"/>
  <c r="L455" i="12"/>
  <c r="H458" i="12"/>
  <c r="I458" i="12" s="1"/>
  <c r="L461" i="12"/>
  <c r="M461" i="12" s="1"/>
  <c r="H463" i="12"/>
  <c r="I463" i="12" s="1"/>
  <c r="H468" i="12"/>
  <c r="I468" i="12" s="1"/>
  <c r="L471" i="12"/>
  <c r="M471" i="12" s="1"/>
  <c r="H474" i="12"/>
  <c r="I474" i="12" s="1"/>
  <c r="L477" i="12"/>
  <c r="M477" i="12" s="1"/>
  <c r="H479" i="12"/>
  <c r="I479" i="12" s="1"/>
  <c r="H483" i="12"/>
  <c r="I483" i="12" s="1"/>
  <c r="H484" i="12"/>
  <c r="I484" i="12" s="1"/>
  <c r="L487" i="12"/>
  <c r="M487" i="12" s="1"/>
  <c r="L489" i="12"/>
  <c r="M489" i="12" s="1"/>
  <c r="H491" i="12"/>
  <c r="I491" i="12" s="1"/>
  <c r="H492" i="12"/>
  <c r="I492" i="12" s="1"/>
  <c r="L495" i="12"/>
  <c r="M495" i="12" s="1"/>
  <c r="L497" i="12"/>
  <c r="H499" i="12"/>
  <c r="I499" i="12" s="1"/>
  <c r="H500" i="12"/>
  <c r="I500" i="12" s="1"/>
  <c r="L503" i="12"/>
  <c r="M503" i="12" s="1"/>
  <c r="L505" i="12"/>
  <c r="M505" i="12" s="1"/>
  <c r="H508" i="12"/>
  <c r="I508" i="12" s="1"/>
  <c r="L511" i="12"/>
  <c r="L513" i="12"/>
  <c r="M513" i="12" s="1"/>
  <c r="H516" i="12"/>
  <c r="I516" i="12" s="1"/>
  <c r="L519" i="12"/>
  <c r="M519" i="12" s="1"/>
  <c r="L521" i="12"/>
  <c r="M521" i="12" s="1"/>
  <c r="H523" i="12"/>
  <c r="I523" i="12" s="1"/>
  <c r="H524" i="12"/>
  <c r="I524" i="12" s="1"/>
  <c r="H526" i="12"/>
  <c r="I526" i="12" s="1"/>
  <c r="H531" i="12"/>
  <c r="I531" i="12" s="1"/>
  <c r="H532" i="12"/>
  <c r="I532" i="12" s="1"/>
  <c r="L539" i="12"/>
  <c r="M539" i="12" s="1"/>
  <c r="H542" i="12"/>
  <c r="I542" i="12" s="1"/>
  <c r="L544" i="12"/>
  <c r="H546" i="12"/>
  <c r="I546" i="12" s="1"/>
  <c r="H547" i="12"/>
  <c r="I547" i="12" s="1"/>
  <c r="L549" i="12"/>
  <c r="M549" i="12" s="1"/>
  <c r="H551" i="12"/>
  <c r="I551" i="12" s="1"/>
  <c r="H554" i="12"/>
  <c r="I554" i="12" s="1"/>
  <c r="H558" i="12"/>
  <c r="I558" i="12" s="1"/>
  <c r="H560" i="12"/>
  <c r="I560" i="12" s="1"/>
  <c r="H566" i="12"/>
  <c r="I566" i="12" s="1"/>
  <c r="H568" i="12"/>
  <c r="I568" i="12" s="1"/>
  <c r="H571" i="12"/>
  <c r="I571" i="12" s="1"/>
  <c r="L585" i="12"/>
  <c r="M585" i="12" s="1"/>
  <c r="L216" i="12"/>
  <c r="L219" i="12"/>
  <c r="H220" i="12"/>
  <c r="I220" i="12" s="1"/>
  <c r="L222" i="12"/>
  <c r="H223" i="12"/>
  <c r="I223" i="12" s="1"/>
  <c r="L224" i="12"/>
  <c r="L227" i="12"/>
  <c r="M227" i="12" s="1"/>
  <c r="H228" i="12"/>
  <c r="I228" i="12" s="1"/>
  <c r="L230" i="12"/>
  <c r="H231" i="12"/>
  <c r="I231" i="12" s="1"/>
  <c r="L232" i="12"/>
  <c r="M232" i="12" s="1"/>
  <c r="L235" i="12"/>
  <c r="M235" i="12" s="1"/>
  <c r="H236" i="12"/>
  <c r="I236" i="12" s="1"/>
  <c r="L238" i="12"/>
  <c r="H239" i="12"/>
  <c r="I239" i="12" s="1"/>
  <c r="L240" i="12"/>
  <c r="L243" i="12"/>
  <c r="M243" i="12" s="1"/>
  <c r="H244" i="12"/>
  <c r="I244" i="12" s="1"/>
  <c r="L246" i="12"/>
  <c r="H247" i="12"/>
  <c r="I247" i="12" s="1"/>
  <c r="H249" i="12"/>
  <c r="I249" i="12" s="1"/>
  <c r="L252" i="12"/>
  <c r="M252" i="12" s="1"/>
  <c r="L255" i="12"/>
  <c r="H259" i="12"/>
  <c r="I259" i="12" s="1"/>
  <c r="L262" i="12"/>
  <c r="M262" i="12" s="1"/>
  <c r="L265" i="12"/>
  <c r="L270" i="12"/>
  <c r="H273" i="12"/>
  <c r="I273" i="12" s="1"/>
  <c r="L276" i="12"/>
  <c r="H278" i="12"/>
  <c r="I278" i="12" s="1"/>
  <c r="L279" i="12"/>
  <c r="M279" i="12" s="1"/>
  <c r="L281" i="12"/>
  <c r="M281" i="12" s="1"/>
  <c r="L286" i="12"/>
  <c r="M286" i="12" s="1"/>
  <c r="H289" i="12"/>
  <c r="I289" i="12" s="1"/>
  <c r="L292" i="12"/>
  <c r="L295" i="12"/>
  <c r="M295" i="12" s="1"/>
  <c r="L299" i="12"/>
  <c r="M299" i="12" s="1"/>
  <c r="L301" i="12"/>
  <c r="M301" i="12" s="1"/>
  <c r="H305" i="12"/>
  <c r="I305" i="12" s="1"/>
  <c r="L307" i="12"/>
  <c r="L309" i="12"/>
  <c r="H313" i="12"/>
  <c r="I313" i="12" s="1"/>
  <c r="L315" i="12"/>
  <c r="M315" i="12" s="1"/>
  <c r="L317" i="12"/>
  <c r="M317" i="12" s="1"/>
  <c r="H321" i="12"/>
  <c r="I321" i="12" s="1"/>
  <c r="L323" i="12"/>
  <c r="M323" i="12" s="1"/>
  <c r="L325" i="12"/>
  <c r="H329" i="12"/>
  <c r="I329" i="12" s="1"/>
  <c r="L331" i="12"/>
  <c r="M331" i="12" s="1"/>
  <c r="L333" i="12"/>
  <c r="M333" i="12" s="1"/>
  <c r="H340" i="12"/>
  <c r="I340" i="12" s="1"/>
  <c r="H342" i="12"/>
  <c r="I342" i="12" s="1"/>
  <c r="H348" i="12"/>
  <c r="I348" i="12" s="1"/>
  <c r="H350" i="12"/>
  <c r="I350" i="12" s="1"/>
  <c r="H356" i="12"/>
  <c r="I356" i="12" s="1"/>
  <c r="H358" i="12"/>
  <c r="I358" i="12" s="1"/>
  <c r="H364" i="12"/>
  <c r="I364" i="12" s="1"/>
  <c r="H366" i="12"/>
  <c r="I366" i="12" s="1"/>
  <c r="L371" i="12"/>
  <c r="H372" i="12"/>
  <c r="I372" i="12" s="1"/>
  <c r="L373" i="12"/>
  <c r="H377" i="12"/>
  <c r="I377" i="12" s="1"/>
  <c r="H378" i="12"/>
  <c r="I378" i="12" s="1"/>
  <c r="L384" i="12"/>
  <c r="M384" i="12" s="1"/>
  <c r="H385" i="12"/>
  <c r="I385" i="12" s="1"/>
  <c r="L387" i="12"/>
  <c r="H390" i="12"/>
  <c r="I390" i="12" s="1"/>
  <c r="L393" i="12"/>
  <c r="M393" i="12" s="1"/>
  <c r="H395" i="12"/>
  <c r="I395" i="12" s="1"/>
  <c r="L400" i="12"/>
  <c r="L403" i="12"/>
  <c r="M403" i="12" s="1"/>
  <c r="H406" i="12"/>
  <c r="I406" i="12" s="1"/>
  <c r="L409" i="12"/>
  <c r="M409" i="12" s="1"/>
  <c r="H411" i="12"/>
  <c r="I411" i="12" s="1"/>
  <c r="L416" i="12"/>
  <c r="L419" i="12"/>
  <c r="M419" i="12" s="1"/>
  <c r="H422" i="12"/>
  <c r="I422" i="12" s="1"/>
  <c r="H423" i="12"/>
  <c r="I423" i="12" s="1"/>
  <c r="H424" i="12"/>
  <c r="I424" i="12" s="1"/>
  <c r="L427" i="12"/>
  <c r="H428" i="12"/>
  <c r="I428" i="12" s="1"/>
  <c r="H430" i="12"/>
  <c r="I430" i="12" s="1"/>
  <c r="L433" i="12"/>
  <c r="M433" i="12" s="1"/>
  <c r="H435" i="12"/>
  <c r="I435" i="12" s="1"/>
  <c r="L436" i="12"/>
  <c r="H440" i="12"/>
  <c r="I440" i="12" s="1"/>
  <c r="L443" i="12"/>
  <c r="M443" i="12" s="1"/>
  <c r="H444" i="12"/>
  <c r="I444" i="12" s="1"/>
  <c r="H446" i="12"/>
  <c r="I446" i="12" s="1"/>
  <c r="L449" i="12"/>
  <c r="M449" i="12" s="1"/>
  <c r="H451" i="12"/>
  <c r="I451" i="12" s="1"/>
  <c r="L452" i="12"/>
  <c r="M452" i="12" s="1"/>
  <c r="H456" i="12"/>
  <c r="I456" i="12" s="1"/>
  <c r="L459" i="12"/>
  <c r="M459" i="12" s="1"/>
  <c r="H460" i="12"/>
  <c r="I460" i="12" s="1"/>
  <c r="H462" i="12"/>
  <c r="I462" i="12" s="1"/>
  <c r="L465" i="12"/>
  <c r="M465" i="12" s="1"/>
  <c r="H467" i="12"/>
  <c r="I467" i="12" s="1"/>
  <c r="L468" i="12"/>
  <c r="H472" i="12"/>
  <c r="I472" i="12" s="1"/>
  <c r="L475" i="12"/>
  <c r="M475" i="12" s="1"/>
  <c r="H476" i="12"/>
  <c r="I476" i="12" s="1"/>
  <c r="H478" i="12"/>
  <c r="I478" i="12" s="1"/>
  <c r="H490" i="12"/>
  <c r="I490" i="12" s="1"/>
  <c r="H498" i="12"/>
  <c r="I498" i="12" s="1"/>
  <c r="H506" i="12"/>
  <c r="I506" i="12" s="1"/>
  <c r="H514" i="12"/>
  <c r="I514" i="12" s="1"/>
  <c r="H522" i="12"/>
  <c r="I522" i="12" s="1"/>
  <c r="L525" i="12"/>
  <c r="M525" i="12" s="1"/>
  <c r="H527" i="12"/>
  <c r="I527" i="12" s="1"/>
  <c r="L532" i="12"/>
  <c r="L535" i="12"/>
  <c r="M535" i="12" s="1"/>
  <c r="H538" i="12"/>
  <c r="I538" i="12" s="1"/>
  <c r="L541" i="12"/>
  <c r="H543" i="12"/>
  <c r="I543" i="12" s="1"/>
  <c r="L545" i="12"/>
  <c r="M545" i="12" s="1"/>
  <c r="H550" i="12"/>
  <c r="I550" i="12" s="1"/>
  <c r="H552" i="12"/>
  <c r="I552" i="12" s="1"/>
  <c r="L555" i="12"/>
  <c r="L560" i="12"/>
  <c r="M560" i="12" s="1"/>
  <c r="H563" i="12"/>
  <c r="I563" i="12" s="1"/>
  <c r="H564" i="12"/>
  <c r="I564" i="12" s="1"/>
  <c r="L567" i="12"/>
  <c r="H575" i="12"/>
  <c r="I575" i="12" s="1"/>
  <c r="H580" i="12"/>
  <c r="I580" i="12" s="1"/>
  <c r="H587" i="12"/>
  <c r="I587" i="12" s="1"/>
  <c r="H265" i="12"/>
  <c r="I265" i="12" s="1"/>
  <c r="L268" i="12"/>
  <c r="M268" i="12" s="1"/>
  <c r="H270" i="12"/>
  <c r="I270" i="12" s="1"/>
  <c r="L271" i="12"/>
  <c r="M271" i="12" s="1"/>
  <c r="H272" i="12"/>
  <c r="I272" i="12" s="1"/>
  <c r="L273" i="12"/>
  <c r="L278" i="12"/>
  <c r="M278" i="12" s="1"/>
  <c r="H280" i="12"/>
  <c r="I280" i="12" s="1"/>
  <c r="H281" i="12"/>
  <c r="I281" i="12" s="1"/>
  <c r="L284" i="12"/>
  <c r="H286" i="12"/>
  <c r="I286" i="12" s="1"/>
  <c r="L287" i="12"/>
  <c r="M287" i="12" s="1"/>
  <c r="H288" i="12"/>
  <c r="I288" i="12" s="1"/>
  <c r="L289" i="12"/>
  <c r="M289" i="12" s="1"/>
  <c r="L293" i="12"/>
  <c r="M293" i="12" s="1"/>
  <c r="H295" i="12"/>
  <c r="I295" i="12" s="1"/>
  <c r="H296" i="12"/>
  <c r="I296" i="12" s="1"/>
  <c r="H299" i="12"/>
  <c r="I299" i="12" s="1"/>
  <c r="H300" i="12"/>
  <c r="I300" i="12" s="1"/>
  <c r="H301" i="12"/>
  <c r="I301" i="12" s="1"/>
  <c r="L303" i="12"/>
  <c r="H304" i="12"/>
  <c r="I304" i="12" s="1"/>
  <c r="L305" i="12"/>
  <c r="H308" i="12"/>
  <c r="I308" i="12" s="1"/>
  <c r="H309" i="12"/>
  <c r="I309" i="12" s="1"/>
  <c r="L311" i="12"/>
  <c r="M311" i="12" s="1"/>
  <c r="H312" i="12"/>
  <c r="I312" i="12" s="1"/>
  <c r="L313" i="12"/>
  <c r="H316" i="12"/>
  <c r="I316" i="12" s="1"/>
  <c r="H317" i="12"/>
  <c r="I317" i="12" s="1"/>
  <c r="L319" i="12"/>
  <c r="M319" i="12" s="1"/>
  <c r="H320" i="12"/>
  <c r="I320" i="12" s="1"/>
  <c r="L321" i="12"/>
  <c r="M321" i="12" s="1"/>
  <c r="H324" i="12"/>
  <c r="I324" i="12" s="1"/>
  <c r="H325" i="12"/>
  <c r="I325" i="12" s="1"/>
  <c r="L327" i="12"/>
  <c r="M327" i="12" s="1"/>
  <c r="H328" i="12"/>
  <c r="I328" i="12" s="1"/>
  <c r="L329" i="12"/>
  <c r="M329" i="12" s="1"/>
  <c r="H332" i="12"/>
  <c r="I332" i="12" s="1"/>
  <c r="H333" i="12"/>
  <c r="I333" i="12" s="1"/>
  <c r="L335" i="12"/>
  <c r="M335" i="12" s="1"/>
  <c r="H336" i="12"/>
  <c r="I336" i="12" s="1"/>
  <c r="L337" i="12"/>
  <c r="H341" i="12"/>
  <c r="I341" i="12" s="1"/>
  <c r="L343" i="12"/>
  <c r="M343" i="12" s="1"/>
  <c r="H344" i="12"/>
  <c r="I344" i="12" s="1"/>
  <c r="L345" i="12"/>
  <c r="M345" i="12" s="1"/>
  <c r="H349" i="12"/>
  <c r="I349" i="12" s="1"/>
  <c r="L351" i="12"/>
  <c r="H352" i="12"/>
  <c r="I352" i="12" s="1"/>
  <c r="L353" i="12"/>
  <c r="M353" i="12" s="1"/>
  <c r="H357" i="12"/>
  <c r="I357" i="12" s="1"/>
  <c r="L359" i="12"/>
  <c r="M359" i="12" s="1"/>
  <c r="H360" i="12"/>
  <c r="I360" i="12" s="1"/>
  <c r="L361" i="12"/>
  <c r="H365" i="12"/>
  <c r="I365" i="12" s="1"/>
  <c r="L367" i="12"/>
  <c r="H368" i="12"/>
  <c r="I368" i="12" s="1"/>
  <c r="L369" i="12"/>
  <c r="M369" i="12" s="1"/>
  <c r="H374" i="12"/>
  <c r="I374" i="12" s="1"/>
  <c r="H382" i="12"/>
  <c r="I382" i="12" s="1"/>
  <c r="L385" i="12"/>
  <c r="M385" i="12" s="1"/>
  <c r="H388" i="12"/>
  <c r="I388" i="12" s="1"/>
  <c r="L392" i="12"/>
  <c r="L395" i="12"/>
  <c r="H396" i="12"/>
  <c r="I396" i="12" s="1"/>
  <c r="H398" i="12"/>
  <c r="I398" i="12" s="1"/>
  <c r="L401" i="12"/>
  <c r="M401" i="12" s="1"/>
  <c r="H403" i="12"/>
  <c r="I403" i="12" s="1"/>
  <c r="H404" i="12"/>
  <c r="I404" i="12" s="1"/>
  <c r="L408" i="12"/>
  <c r="M408" i="12" s="1"/>
  <c r="L411" i="12"/>
  <c r="M411" i="12" s="1"/>
  <c r="H412" i="12"/>
  <c r="I412" i="12" s="1"/>
  <c r="H414" i="12"/>
  <c r="I414" i="12" s="1"/>
  <c r="L417" i="12"/>
  <c r="M417" i="12" s="1"/>
  <c r="H419" i="12"/>
  <c r="I419" i="12" s="1"/>
  <c r="H420" i="12"/>
  <c r="I420" i="12" s="1"/>
  <c r="L424" i="12"/>
  <c r="M424" i="12" s="1"/>
  <c r="L428" i="12"/>
  <c r="L431" i="12"/>
  <c r="M431" i="12" s="1"/>
  <c r="H432" i="12"/>
  <c r="I432" i="12" s="1"/>
  <c r="H434" i="12"/>
  <c r="I434" i="12" s="1"/>
  <c r="L437" i="12"/>
  <c r="M437" i="12" s="1"/>
  <c r="H439" i="12"/>
  <c r="I439" i="12" s="1"/>
  <c r="L440" i="12"/>
  <c r="L444" i="12"/>
  <c r="M444" i="12" s="1"/>
  <c r="L447" i="12"/>
  <c r="M447" i="12" s="1"/>
  <c r="H448" i="12"/>
  <c r="I448" i="12" s="1"/>
  <c r="H450" i="12"/>
  <c r="I450" i="12" s="1"/>
  <c r="L453" i="12"/>
  <c r="H455" i="12"/>
  <c r="I455" i="12" s="1"/>
  <c r="L456" i="12"/>
  <c r="L460" i="12"/>
  <c r="M460" i="12" s="1"/>
  <c r="L463" i="12"/>
  <c r="M463" i="12" s="1"/>
  <c r="H464" i="12"/>
  <c r="I464" i="12" s="1"/>
  <c r="H466" i="12"/>
  <c r="I466" i="12" s="1"/>
  <c r="L469" i="12"/>
  <c r="M469" i="12" s="1"/>
  <c r="H471" i="12"/>
  <c r="I471" i="12" s="1"/>
  <c r="L472" i="12"/>
  <c r="L476" i="12"/>
  <c r="M476" i="12" s="1"/>
  <c r="L479" i="12"/>
  <c r="H480" i="12"/>
  <c r="I480" i="12" s="1"/>
  <c r="L481" i="12"/>
  <c r="M481" i="12" s="1"/>
  <c r="H486" i="12"/>
  <c r="I486" i="12" s="1"/>
  <c r="H494" i="12"/>
  <c r="I494" i="12" s="1"/>
  <c r="H502" i="12"/>
  <c r="I502" i="12" s="1"/>
  <c r="H510" i="12"/>
  <c r="I510" i="12" s="1"/>
  <c r="H518" i="12"/>
  <c r="I518" i="12" s="1"/>
  <c r="L524" i="12"/>
  <c r="L527" i="12"/>
  <c r="M527" i="12" s="1"/>
  <c r="H528" i="12"/>
  <c r="I528" i="12" s="1"/>
  <c r="H530" i="12"/>
  <c r="I530" i="12" s="1"/>
  <c r="L533" i="12"/>
  <c r="H535" i="12"/>
  <c r="I535" i="12" s="1"/>
  <c r="H536" i="12"/>
  <c r="I536" i="12" s="1"/>
  <c r="L540" i="12"/>
  <c r="M540" i="12" s="1"/>
  <c r="L543" i="12"/>
  <c r="M543" i="12" s="1"/>
  <c r="H544" i="12"/>
  <c r="I544" i="12" s="1"/>
  <c r="L548" i="12"/>
  <c r="L551" i="12"/>
  <c r="M551" i="12" s="1"/>
  <c r="H555" i="12"/>
  <c r="I555" i="12" s="1"/>
  <c r="L556" i="12"/>
  <c r="M556" i="12" s="1"/>
  <c r="H559" i="12"/>
  <c r="I559" i="12" s="1"/>
  <c r="L561" i="12"/>
  <c r="M561" i="12" s="1"/>
  <c r="L563" i="12"/>
  <c r="L564" i="12"/>
  <c r="M564" i="12" s="1"/>
  <c r="L568" i="12"/>
  <c r="L569" i="12"/>
  <c r="H570" i="12"/>
  <c r="I570" i="12" s="1"/>
  <c r="H576" i="12"/>
  <c r="I576" i="12" s="1"/>
  <c r="L580" i="12"/>
  <c r="H556" i="12"/>
  <c r="I556" i="12" s="1"/>
  <c r="L559" i="12"/>
  <c r="H562" i="12"/>
  <c r="I562" i="12" s="1"/>
  <c r="L565" i="12"/>
  <c r="M565" i="12" s="1"/>
  <c r="H567" i="12"/>
  <c r="I567" i="12" s="1"/>
  <c r="H572" i="12"/>
  <c r="I572" i="12" s="1"/>
  <c r="L575" i="12"/>
  <c r="H578" i="12"/>
  <c r="I578" i="12" s="1"/>
  <c r="L581" i="12"/>
  <c r="M581" i="12" s="1"/>
  <c r="H583" i="12"/>
  <c r="I583" i="12" s="1"/>
  <c r="H588" i="12"/>
  <c r="I588" i="12" s="1"/>
  <c r="L591" i="12"/>
  <c r="M591" i="12" s="1"/>
  <c r="H594" i="12"/>
  <c r="I594" i="12" s="1"/>
  <c r="L597" i="12"/>
  <c r="H599" i="12"/>
  <c r="I599" i="12" s="1"/>
  <c r="H604" i="12"/>
  <c r="I604" i="12" s="1"/>
  <c r="L607" i="12"/>
  <c r="M607" i="12" s="1"/>
  <c r="H610" i="12"/>
  <c r="I610" i="12" s="1"/>
  <c r="L613" i="12"/>
  <c r="M613" i="12" s="1"/>
  <c r="H615" i="12"/>
  <c r="I615" i="12" s="1"/>
  <c r="H620" i="12"/>
  <c r="I620" i="12" s="1"/>
  <c r="L623" i="12"/>
  <c r="M623" i="12" s="1"/>
  <c r="H626" i="12"/>
  <c r="I626" i="12" s="1"/>
  <c r="H630" i="12"/>
  <c r="I630" i="12" s="1"/>
  <c r="H636" i="12"/>
  <c r="I636" i="12" s="1"/>
  <c r="H640" i="12"/>
  <c r="I640" i="12" s="1"/>
  <c r="H644" i="12"/>
  <c r="I644" i="12" s="1"/>
  <c r="H648" i="12"/>
  <c r="I648" i="12" s="1"/>
  <c r="H652" i="12"/>
  <c r="I652" i="12" s="1"/>
  <c r="L663" i="12"/>
  <c r="L727" i="12"/>
  <c r="L731" i="12"/>
  <c r="L735" i="12"/>
  <c r="L739" i="12"/>
  <c r="M739" i="12" s="1"/>
  <c r="L743" i="12"/>
  <c r="M743" i="12" s="1"/>
  <c r="L747" i="12"/>
  <c r="M747" i="12" s="1"/>
  <c r="L751" i="12"/>
  <c r="M751" i="12" s="1"/>
  <c r="L755" i="12"/>
  <c r="M755" i="12" s="1"/>
  <c r="L759" i="12"/>
  <c r="M759" i="12" s="1"/>
  <c r="L763" i="12"/>
  <c r="M763" i="12" s="1"/>
  <c r="L767" i="12"/>
  <c r="M767" i="12" s="1"/>
  <c r="L771" i="12"/>
  <c r="L775" i="12"/>
  <c r="M775" i="12" s="1"/>
  <c r="H797" i="12"/>
  <c r="I797" i="12" s="1"/>
  <c r="H930" i="12"/>
  <c r="I930" i="12" s="1"/>
  <c r="L932" i="12"/>
  <c r="M932" i="12" s="1"/>
  <c r="H934" i="12"/>
  <c r="I934" i="12" s="1"/>
  <c r="L936" i="12"/>
  <c r="M936" i="12" s="1"/>
  <c r="H938" i="12"/>
  <c r="I938" i="12" s="1"/>
  <c r="L942" i="12"/>
  <c r="M942" i="12" s="1"/>
  <c r="L947" i="12"/>
  <c r="H949" i="12"/>
  <c r="I949" i="12" s="1"/>
  <c r="L951" i="12"/>
  <c r="M951" i="12" s="1"/>
  <c r="H953" i="12"/>
  <c r="I953" i="12" s="1"/>
  <c r="L955" i="12"/>
  <c r="M955" i="12" s="1"/>
  <c r="H957" i="12"/>
  <c r="I957" i="12" s="1"/>
  <c r="L960" i="12"/>
  <c r="M960" i="12" s="1"/>
  <c r="H962" i="12"/>
  <c r="I962" i="12" s="1"/>
  <c r="L964" i="12"/>
  <c r="M964" i="12" s="1"/>
  <c r="H966" i="12"/>
  <c r="I966" i="12" s="1"/>
  <c r="L968" i="12"/>
  <c r="M968" i="12" s="1"/>
  <c r="H970" i="12"/>
  <c r="I970" i="12" s="1"/>
  <c r="L800" i="12"/>
  <c r="M800" i="12" s="1"/>
  <c r="L776" i="12"/>
  <c r="M776" i="12" s="1"/>
  <c r="L780" i="12"/>
  <c r="M780" i="12" s="1"/>
  <c r="L784" i="12"/>
  <c r="M784" i="12" s="1"/>
  <c r="L788" i="12"/>
  <c r="M788" i="12" s="1"/>
  <c r="L792" i="12"/>
  <c r="M792" i="12" s="1"/>
  <c r="L796" i="12"/>
  <c r="M796" i="12" s="1"/>
  <c r="L804" i="12"/>
  <c r="L808" i="12"/>
  <c r="M808" i="12" s="1"/>
  <c r="L812" i="12"/>
  <c r="L816" i="12"/>
  <c r="M816" i="12" s="1"/>
  <c r="L820" i="12"/>
  <c r="L824" i="12"/>
  <c r="L828" i="12"/>
  <c r="M828" i="12" s="1"/>
  <c r="H856" i="12"/>
  <c r="I856" i="12" s="1"/>
  <c r="H864" i="12"/>
  <c r="I864" i="12" s="1"/>
  <c r="L866" i="12"/>
  <c r="M866" i="12" s="1"/>
  <c r="H868" i="12"/>
  <c r="I868" i="12" s="1"/>
  <c r="L870" i="12"/>
  <c r="M870" i="12" s="1"/>
  <c r="H872" i="12"/>
  <c r="I872" i="12" s="1"/>
  <c r="L874" i="12"/>
  <c r="M874" i="12" s="1"/>
  <c r="H876" i="12"/>
  <c r="I876" i="12" s="1"/>
  <c r="L878" i="12"/>
  <c r="M878" i="12" s="1"/>
  <c r="H880" i="12"/>
  <c r="I880" i="12" s="1"/>
  <c r="L882" i="12"/>
  <c r="H884" i="12"/>
  <c r="I884" i="12" s="1"/>
  <c r="L886" i="12"/>
  <c r="M886" i="12" s="1"/>
  <c r="H888" i="12"/>
  <c r="I888" i="12" s="1"/>
  <c r="L890" i="12"/>
  <c r="H892" i="12"/>
  <c r="I892" i="12" s="1"/>
  <c r="L894" i="12"/>
  <c r="H896" i="12"/>
  <c r="I896" i="12" s="1"/>
  <c r="L898" i="12"/>
  <c r="M898" i="12" s="1"/>
  <c r="H900" i="12"/>
  <c r="I900" i="12" s="1"/>
  <c r="L902" i="12"/>
  <c r="H904" i="12"/>
  <c r="I904" i="12" s="1"/>
  <c r="L906" i="12"/>
  <c r="M906" i="12" s="1"/>
  <c r="H908" i="12"/>
  <c r="I908" i="12" s="1"/>
  <c r="L910" i="12"/>
  <c r="H912" i="12"/>
  <c r="I912" i="12" s="1"/>
  <c r="L914" i="12"/>
  <c r="M914" i="12" s="1"/>
  <c r="H916" i="12"/>
  <c r="I916" i="12" s="1"/>
  <c r="L918" i="12"/>
  <c r="M918" i="12" s="1"/>
  <c r="H920" i="12"/>
  <c r="I920" i="12" s="1"/>
  <c r="L922" i="12"/>
  <c r="M922" i="12" s="1"/>
  <c r="H924" i="12"/>
  <c r="I924" i="12" s="1"/>
  <c r="L926" i="12"/>
  <c r="M926" i="12" s="1"/>
  <c r="H928" i="12"/>
  <c r="I928" i="12" s="1"/>
  <c r="L972" i="12"/>
  <c r="M972" i="12" s="1"/>
  <c r="H974" i="12"/>
  <c r="I974" i="12" s="1"/>
  <c r="L976" i="12"/>
  <c r="M976" i="12" s="1"/>
  <c r="H978" i="12"/>
  <c r="I978" i="12" s="1"/>
  <c r="L980" i="12"/>
  <c r="M980" i="12" s="1"/>
  <c r="H982" i="12"/>
  <c r="I982" i="12" s="1"/>
  <c r="L588" i="12"/>
  <c r="M588" i="12" s="1"/>
  <c r="H592" i="12"/>
  <c r="I592" i="12" s="1"/>
  <c r="L595" i="12"/>
  <c r="H596" i="12"/>
  <c r="I596" i="12" s="1"/>
  <c r="H598" i="12"/>
  <c r="I598" i="12" s="1"/>
  <c r="L601" i="12"/>
  <c r="H603" i="12"/>
  <c r="I603" i="12" s="1"/>
  <c r="L604" i="12"/>
  <c r="M604" i="12" s="1"/>
  <c r="H608" i="12"/>
  <c r="I608" i="12" s="1"/>
  <c r="L611" i="12"/>
  <c r="M611" i="12" s="1"/>
  <c r="H612" i="12"/>
  <c r="I612" i="12" s="1"/>
  <c r="H614" i="12"/>
  <c r="I614" i="12" s="1"/>
  <c r="L617" i="12"/>
  <c r="H619" i="12"/>
  <c r="I619" i="12" s="1"/>
  <c r="L620" i="12"/>
  <c r="H624" i="12"/>
  <c r="I624" i="12" s="1"/>
  <c r="H633" i="12"/>
  <c r="I633" i="12" s="1"/>
  <c r="H639" i="12"/>
  <c r="I639" i="12" s="1"/>
  <c r="H643" i="12"/>
  <c r="I643" i="12" s="1"/>
  <c r="H647" i="12"/>
  <c r="I647" i="12" s="1"/>
  <c r="H651" i="12"/>
  <c r="I651" i="12" s="1"/>
  <c r="L657" i="12"/>
  <c r="L661" i="12"/>
  <c r="M661" i="12" s="1"/>
  <c r="L665" i="12"/>
  <c r="L667" i="12"/>
  <c r="M667" i="12" s="1"/>
  <c r="L671" i="12"/>
  <c r="M671" i="12" s="1"/>
  <c r="L675" i="12"/>
  <c r="M675" i="12" s="1"/>
  <c r="L679" i="12"/>
  <c r="M679" i="12" s="1"/>
  <c r="L683" i="12"/>
  <c r="M683" i="12" s="1"/>
  <c r="L687" i="12"/>
  <c r="M687" i="12" s="1"/>
  <c r="L691" i="12"/>
  <c r="L695" i="12"/>
  <c r="L699" i="12"/>
  <c r="M699" i="12" s="1"/>
  <c r="L703" i="12"/>
  <c r="M703" i="12" s="1"/>
  <c r="L707" i="12"/>
  <c r="M707" i="12" s="1"/>
  <c r="L711" i="12"/>
  <c r="L715" i="12"/>
  <c r="L719" i="12"/>
  <c r="M719" i="12" s="1"/>
  <c r="L723" i="12"/>
  <c r="L726" i="12"/>
  <c r="H732" i="12"/>
  <c r="I732" i="12" s="1"/>
  <c r="H736" i="12"/>
  <c r="I736" i="12" s="1"/>
  <c r="H740" i="12"/>
  <c r="I740" i="12" s="1"/>
  <c r="H744" i="12"/>
  <c r="I744" i="12" s="1"/>
  <c r="H748" i="12"/>
  <c r="I748" i="12" s="1"/>
  <c r="L754" i="12"/>
  <c r="M754" i="12" s="1"/>
  <c r="L758" i="12"/>
  <c r="M758" i="12" s="1"/>
  <c r="L762" i="12"/>
  <c r="M762" i="12" s="1"/>
  <c r="L766" i="12"/>
  <c r="L770" i="12"/>
  <c r="L774" i="12"/>
  <c r="M774" i="12" s="1"/>
  <c r="L931" i="12"/>
  <c r="M931" i="12" s="1"/>
  <c r="H933" i="12"/>
  <c r="I933" i="12" s="1"/>
  <c r="L935" i="12"/>
  <c r="H937" i="12"/>
  <c r="I937" i="12" s="1"/>
  <c r="L939" i="12"/>
  <c r="L940" i="12"/>
  <c r="M940" i="12" s="1"/>
  <c r="L941" i="12"/>
  <c r="M941" i="12" s="1"/>
  <c r="L944" i="12"/>
  <c r="M944" i="12" s="1"/>
  <c r="L945" i="12"/>
  <c r="M945" i="12" s="1"/>
  <c r="L946" i="12"/>
  <c r="M946" i="12" s="1"/>
  <c r="H948" i="12"/>
  <c r="I948" i="12" s="1"/>
  <c r="L950" i="12"/>
  <c r="M950" i="12" s="1"/>
  <c r="H952" i="12"/>
  <c r="I952" i="12" s="1"/>
  <c r="L954" i="12"/>
  <c r="M954" i="12" s="1"/>
  <c r="H956" i="12"/>
  <c r="I956" i="12" s="1"/>
  <c r="L958" i="12"/>
  <c r="M958" i="12" s="1"/>
  <c r="L959" i="12"/>
  <c r="M959" i="12" s="1"/>
  <c r="H961" i="12"/>
  <c r="I961" i="12" s="1"/>
  <c r="L963" i="12"/>
  <c r="H965" i="12"/>
  <c r="I965" i="12" s="1"/>
  <c r="L967" i="12"/>
  <c r="M967" i="12" s="1"/>
  <c r="H969" i="12"/>
  <c r="I969" i="12" s="1"/>
  <c r="L971" i="12"/>
  <c r="H973" i="12"/>
  <c r="I973" i="12" s="1"/>
  <c r="L975" i="12"/>
  <c r="M975" i="12" s="1"/>
  <c r="H977" i="12"/>
  <c r="I977" i="12" s="1"/>
  <c r="L979" i="12"/>
  <c r="H981" i="12"/>
  <c r="I981" i="12" s="1"/>
  <c r="L983" i="12"/>
  <c r="L779" i="12"/>
  <c r="L783" i="12"/>
  <c r="M783" i="12" s="1"/>
  <c r="H785" i="12"/>
  <c r="I785" i="12" s="1"/>
  <c r="H789" i="12"/>
  <c r="I789" i="12" s="1"/>
  <c r="H801" i="12"/>
  <c r="I801" i="12" s="1"/>
  <c r="H793" i="12"/>
  <c r="I793" i="12" s="1"/>
  <c r="H805" i="12"/>
  <c r="I805" i="12" s="1"/>
  <c r="H809" i="12"/>
  <c r="I809" i="12" s="1"/>
  <c r="H813" i="12"/>
  <c r="I813" i="12" s="1"/>
  <c r="H817" i="12"/>
  <c r="I817" i="12" s="1"/>
  <c r="H821" i="12"/>
  <c r="I821" i="12" s="1"/>
  <c r="H825" i="12"/>
  <c r="I825" i="12" s="1"/>
  <c r="H829" i="12"/>
  <c r="I829" i="12" s="1"/>
  <c r="H833" i="12"/>
  <c r="I833" i="12" s="1"/>
  <c r="H837" i="12"/>
  <c r="I837" i="12" s="1"/>
  <c r="H841" i="12"/>
  <c r="I841" i="12" s="1"/>
  <c r="H845" i="12"/>
  <c r="I845" i="12" s="1"/>
  <c r="H849" i="12"/>
  <c r="I849" i="12" s="1"/>
  <c r="H858" i="12"/>
  <c r="I858" i="12" s="1"/>
  <c r="H859" i="12"/>
  <c r="I859" i="12" s="1"/>
  <c r="L862" i="12"/>
  <c r="M862" i="12" s="1"/>
  <c r="L863" i="12"/>
  <c r="L864" i="12"/>
  <c r="M864" i="12" s="1"/>
  <c r="H866" i="12"/>
  <c r="I866" i="12" s="1"/>
  <c r="L868" i="12"/>
  <c r="M868" i="12" s="1"/>
  <c r="H870" i="12"/>
  <c r="I870" i="12" s="1"/>
  <c r="L872" i="12"/>
  <c r="M872" i="12" s="1"/>
  <c r="H874" i="12"/>
  <c r="I874" i="12" s="1"/>
  <c r="L876" i="12"/>
  <c r="M876" i="12" s="1"/>
  <c r="H878" i="12"/>
  <c r="I878" i="12" s="1"/>
  <c r="L880" i="12"/>
  <c r="M880" i="12" s="1"/>
  <c r="H882" i="12"/>
  <c r="I882" i="12" s="1"/>
  <c r="L884" i="12"/>
  <c r="H886" i="12"/>
  <c r="I886" i="12" s="1"/>
  <c r="L888" i="12"/>
  <c r="H890" i="12"/>
  <c r="I890" i="12" s="1"/>
  <c r="L892" i="12"/>
  <c r="H894" i="12"/>
  <c r="I894" i="12" s="1"/>
  <c r="L896" i="12"/>
  <c r="H898" i="12"/>
  <c r="I898" i="12" s="1"/>
  <c r="L900" i="12"/>
  <c r="M900" i="12" s="1"/>
  <c r="H902" i="12"/>
  <c r="I902" i="12" s="1"/>
  <c r="L904" i="12"/>
  <c r="M904" i="12" s="1"/>
  <c r="H906" i="12"/>
  <c r="I906" i="12" s="1"/>
  <c r="L908" i="12"/>
  <c r="M908" i="12" s="1"/>
  <c r="H910" i="12"/>
  <c r="I910" i="12" s="1"/>
  <c r="L912" i="12"/>
  <c r="M912" i="12" s="1"/>
  <c r="H914" i="12"/>
  <c r="I914" i="12" s="1"/>
  <c r="L916" i="12"/>
  <c r="H918" i="12"/>
  <c r="I918" i="12" s="1"/>
  <c r="L920" i="12"/>
  <c r="M920" i="12" s="1"/>
  <c r="H922" i="12"/>
  <c r="I922" i="12" s="1"/>
  <c r="L924" i="12"/>
  <c r="M924" i="12" s="1"/>
  <c r="H926" i="12"/>
  <c r="I926" i="12" s="1"/>
  <c r="L928" i="12"/>
  <c r="H584" i="12"/>
  <c r="I584" i="12" s="1"/>
  <c r="H586" i="12"/>
  <c r="I586" i="12" s="1"/>
  <c r="L589" i="12"/>
  <c r="H591" i="12"/>
  <c r="I591" i="12" s="1"/>
  <c r="L592" i="12"/>
  <c r="M592" i="12" s="1"/>
  <c r="L596" i="12"/>
  <c r="M596" i="12" s="1"/>
  <c r="L599" i="12"/>
  <c r="H600" i="12"/>
  <c r="I600" i="12" s="1"/>
  <c r="H602" i="12"/>
  <c r="I602" i="12" s="1"/>
  <c r="L605" i="12"/>
  <c r="H607" i="12"/>
  <c r="I607" i="12" s="1"/>
  <c r="L608" i="12"/>
  <c r="M608" i="12" s="1"/>
  <c r="L612" i="12"/>
  <c r="M612" i="12" s="1"/>
  <c r="L615" i="12"/>
  <c r="H616" i="12"/>
  <c r="I616" i="12" s="1"/>
  <c r="H618" i="12"/>
  <c r="I618" i="12" s="1"/>
  <c r="L621" i="12"/>
  <c r="L624" i="12"/>
  <c r="M624" i="12" s="1"/>
  <c r="H628" i="12"/>
  <c r="I628" i="12" s="1"/>
  <c r="H632" i="12"/>
  <c r="I632" i="12" s="1"/>
  <c r="H635" i="12"/>
  <c r="I635" i="12" s="1"/>
  <c r="H638" i="12"/>
  <c r="I638" i="12" s="1"/>
  <c r="H642" i="12"/>
  <c r="I642" i="12" s="1"/>
  <c r="H646" i="12"/>
  <c r="I646" i="12" s="1"/>
  <c r="H650" i="12"/>
  <c r="I650" i="12" s="1"/>
  <c r="L669" i="12"/>
  <c r="M669" i="12" s="1"/>
  <c r="L673" i="12"/>
  <c r="M673" i="12" s="1"/>
  <c r="L677" i="12"/>
  <c r="M677" i="12" s="1"/>
  <c r="L681" i="12"/>
  <c r="L685" i="12"/>
  <c r="M685" i="12" s="1"/>
  <c r="L689" i="12"/>
  <c r="L693" i="12"/>
  <c r="L697" i="12"/>
  <c r="L701" i="12"/>
  <c r="M701" i="12" s="1"/>
  <c r="L705" i="12"/>
  <c r="L709" i="12"/>
  <c r="M709" i="12" s="1"/>
  <c r="L713" i="12"/>
  <c r="M713" i="12" s="1"/>
  <c r="L717" i="12"/>
  <c r="M717" i="12" s="1"/>
  <c r="L721" i="12"/>
  <c r="L725" i="12"/>
  <c r="M725" i="12" s="1"/>
  <c r="L729" i="12"/>
  <c r="M729" i="12" s="1"/>
  <c r="L733" i="12"/>
  <c r="M733" i="12" s="1"/>
  <c r="L737" i="12"/>
  <c r="L741" i="12"/>
  <c r="M741" i="12" s="1"/>
  <c r="L745" i="12"/>
  <c r="M745" i="12" s="1"/>
  <c r="L749" i="12"/>
  <c r="M749" i="12" s="1"/>
  <c r="L753" i="12"/>
  <c r="L757" i="12"/>
  <c r="L761" i="12"/>
  <c r="M761" i="12" s="1"/>
  <c r="L765" i="12"/>
  <c r="M765" i="12" s="1"/>
  <c r="L769" i="12"/>
  <c r="M769" i="12" s="1"/>
  <c r="L773" i="12"/>
  <c r="H931" i="12"/>
  <c r="I931" i="12" s="1"/>
  <c r="L933" i="12"/>
  <c r="M933" i="12" s="1"/>
  <c r="H935" i="12"/>
  <c r="I935" i="12" s="1"/>
  <c r="L937" i="12"/>
  <c r="M937" i="12" s="1"/>
  <c r="H939" i="12"/>
  <c r="I939" i="12" s="1"/>
  <c r="H941" i="12"/>
  <c r="I941" i="12" s="1"/>
  <c r="L943" i="12"/>
  <c r="M943" i="12" s="1"/>
  <c r="H945" i="12"/>
  <c r="I945" i="12" s="1"/>
  <c r="H947" i="12"/>
  <c r="I947" i="12" s="1"/>
  <c r="L949" i="12"/>
  <c r="M949" i="12" s="1"/>
  <c r="H951" i="12"/>
  <c r="I951" i="12" s="1"/>
  <c r="L953" i="12"/>
  <c r="M953" i="12" s="1"/>
  <c r="H955" i="12"/>
  <c r="I955" i="12" s="1"/>
  <c r="L957" i="12"/>
  <c r="M957" i="12" s="1"/>
  <c r="H960" i="12"/>
  <c r="I960" i="12" s="1"/>
  <c r="L962" i="12"/>
  <c r="M962" i="12" s="1"/>
  <c r="H964" i="12"/>
  <c r="I964" i="12" s="1"/>
  <c r="L966" i="12"/>
  <c r="M966" i="12" s="1"/>
  <c r="H968" i="12"/>
  <c r="I968" i="12" s="1"/>
  <c r="L970" i="12"/>
  <c r="M970" i="12" s="1"/>
  <c r="L798" i="12"/>
  <c r="M798" i="12" s="1"/>
  <c r="L778" i="12"/>
  <c r="M778" i="12" s="1"/>
  <c r="L782" i="12"/>
  <c r="L786" i="12"/>
  <c r="M786" i="12" s="1"/>
  <c r="L790" i="12"/>
  <c r="M790" i="12" s="1"/>
  <c r="L802" i="12"/>
  <c r="M802" i="12" s="1"/>
  <c r="L794" i="12"/>
  <c r="M794" i="12" s="1"/>
  <c r="L806" i="12"/>
  <c r="M806" i="12" s="1"/>
  <c r="L810" i="12"/>
  <c r="M810" i="12" s="1"/>
  <c r="L814" i="12"/>
  <c r="L818" i="12"/>
  <c r="L822" i="12"/>
  <c r="M822" i="12" s="1"/>
  <c r="L826" i="12"/>
  <c r="M826" i="12" s="1"/>
  <c r="H852" i="12"/>
  <c r="I852" i="12" s="1"/>
  <c r="H853" i="12"/>
  <c r="I853" i="12" s="1"/>
  <c r="H855" i="12"/>
  <c r="I855" i="12" s="1"/>
  <c r="H860" i="12"/>
  <c r="I860" i="12" s="1"/>
  <c r="H861" i="12"/>
  <c r="I861" i="12" s="1"/>
  <c r="H865" i="12"/>
  <c r="I865" i="12" s="1"/>
  <c r="L867" i="12"/>
  <c r="M867" i="12" s="1"/>
  <c r="H869" i="12"/>
  <c r="I869" i="12" s="1"/>
  <c r="L871" i="12"/>
  <c r="M871" i="12" s="1"/>
  <c r="H873" i="12"/>
  <c r="I873" i="12" s="1"/>
  <c r="L875" i="12"/>
  <c r="H877" i="12"/>
  <c r="I877" i="12" s="1"/>
  <c r="L879" i="12"/>
  <c r="H881" i="12"/>
  <c r="I881" i="12" s="1"/>
  <c r="L883" i="12"/>
  <c r="M883" i="12" s="1"/>
  <c r="H885" i="12"/>
  <c r="I885" i="12" s="1"/>
  <c r="L887" i="12"/>
  <c r="M887" i="12" s="1"/>
  <c r="H889" i="12"/>
  <c r="I889" i="12" s="1"/>
  <c r="L891" i="12"/>
  <c r="M891" i="12" s="1"/>
  <c r="H893" i="12"/>
  <c r="I893" i="12" s="1"/>
  <c r="L895" i="12"/>
  <c r="H897" i="12"/>
  <c r="I897" i="12" s="1"/>
  <c r="L899" i="12"/>
  <c r="H901" i="12"/>
  <c r="I901" i="12" s="1"/>
  <c r="L903" i="12"/>
  <c r="M903" i="12" s="1"/>
  <c r="H905" i="12"/>
  <c r="I905" i="12" s="1"/>
  <c r="L907" i="12"/>
  <c r="H909" i="12"/>
  <c r="I909" i="12" s="1"/>
  <c r="L911" i="12"/>
  <c r="M911" i="12" s="1"/>
  <c r="H913" i="12"/>
  <c r="I913" i="12" s="1"/>
  <c r="L915" i="12"/>
  <c r="H917" i="12"/>
  <c r="I917" i="12" s="1"/>
  <c r="L919" i="12"/>
  <c r="H921" i="12"/>
  <c r="I921" i="12" s="1"/>
  <c r="L923" i="12"/>
  <c r="M923" i="12" s="1"/>
  <c r="H925" i="12"/>
  <c r="I925" i="12" s="1"/>
  <c r="L927" i="12"/>
  <c r="M927" i="12" s="1"/>
  <c r="H929" i="12"/>
  <c r="I929" i="12" s="1"/>
  <c r="H972" i="12"/>
  <c r="I972" i="12" s="1"/>
  <c r="L974" i="12"/>
  <c r="M974" i="12" s="1"/>
  <c r="H976" i="12"/>
  <c r="I976" i="12" s="1"/>
  <c r="L978" i="12"/>
  <c r="H980" i="12"/>
  <c r="I980" i="12" s="1"/>
  <c r="L982" i="12"/>
  <c r="M982" i="12" s="1"/>
  <c r="L571" i="12"/>
  <c r="M571" i="12" s="1"/>
  <c r="H574" i="12"/>
  <c r="I574" i="12" s="1"/>
  <c r="L577" i="12"/>
  <c r="M577" i="12" s="1"/>
  <c r="H579" i="12"/>
  <c r="I579" i="12" s="1"/>
  <c r="L584" i="12"/>
  <c r="M584" i="12" s="1"/>
  <c r="L587" i="12"/>
  <c r="M587" i="12" s="1"/>
  <c r="H590" i="12"/>
  <c r="I590" i="12" s="1"/>
  <c r="L593" i="12"/>
  <c r="M593" i="12" s="1"/>
  <c r="H595" i="12"/>
  <c r="I595" i="12" s="1"/>
  <c r="L600" i="12"/>
  <c r="L603" i="12"/>
  <c r="H606" i="12"/>
  <c r="I606" i="12" s="1"/>
  <c r="L609" i="12"/>
  <c r="M609" i="12" s="1"/>
  <c r="H611" i="12"/>
  <c r="I611" i="12" s="1"/>
  <c r="L616" i="12"/>
  <c r="M616" i="12" s="1"/>
  <c r="L619" i="12"/>
  <c r="M619" i="12" s="1"/>
  <c r="H622" i="12"/>
  <c r="I622" i="12" s="1"/>
  <c r="H634" i="12"/>
  <c r="I634" i="12" s="1"/>
  <c r="H637" i="12"/>
  <c r="I637" i="12" s="1"/>
  <c r="H641" i="12"/>
  <c r="I641" i="12" s="1"/>
  <c r="H645" i="12"/>
  <c r="I645" i="12" s="1"/>
  <c r="H649" i="12"/>
  <c r="I649" i="12" s="1"/>
  <c r="L659" i="12"/>
  <c r="M659" i="12" s="1"/>
  <c r="L704" i="12"/>
  <c r="L706" i="12"/>
  <c r="L708" i="12"/>
  <c r="M708" i="12" s="1"/>
  <c r="L710" i="12"/>
  <c r="L712" i="12"/>
  <c r="M712" i="12" s="1"/>
  <c r="L714" i="12"/>
  <c r="M714" i="12" s="1"/>
  <c r="L716" i="12"/>
  <c r="L718" i="12"/>
  <c r="L720" i="12"/>
  <c r="L722" i="12"/>
  <c r="M722" i="12" s="1"/>
  <c r="L724" i="12"/>
  <c r="M724" i="12" s="1"/>
  <c r="L728" i="12"/>
  <c r="M728" i="12" s="1"/>
  <c r="H730" i="12"/>
  <c r="I730" i="12" s="1"/>
  <c r="H734" i="12"/>
  <c r="I734" i="12" s="1"/>
  <c r="H738" i="12"/>
  <c r="I738" i="12" s="1"/>
  <c r="H742" i="12"/>
  <c r="I742" i="12" s="1"/>
  <c r="H746" i="12"/>
  <c r="I746" i="12" s="1"/>
  <c r="L756" i="12"/>
  <c r="M756" i="12" s="1"/>
  <c r="L760" i="12"/>
  <c r="L764" i="12"/>
  <c r="M764" i="12" s="1"/>
  <c r="L768" i="12"/>
  <c r="M768" i="12" s="1"/>
  <c r="L772" i="12"/>
  <c r="M772" i="12" s="1"/>
  <c r="L930" i="12"/>
  <c r="M930" i="12" s="1"/>
  <c r="H932" i="12"/>
  <c r="I932" i="12" s="1"/>
  <c r="L934" i="12"/>
  <c r="H936" i="12"/>
  <c r="I936" i="12" s="1"/>
  <c r="L938" i="12"/>
  <c r="M938" i="12" s="1"/>
  <c r="H940" i="12"/>
  <c r="I940" i="12" s="1"/>
  <c r="H942" i="12"/>
  <c r="I942" i="12" s="1"/>
  <c r="H943" i="12"/>
  <c r="I943" i="12" s="1"/>
  <c r="H944" i="12"/>
  <c r="I944" i="12" s="1"/>
  <c r="H946" i="12"/>
  <c r="I946" i="12" s="1"/>
  <c r="L948" i="12"/>
  <c r="M948" i="12" s="1"/>
  <c r="H950" i="12"/>
  <c r="I950" i="12" s="1"/>
  <c r="L952" i="12"/>
  <c r="M952" i="12" s="1"/>
  <c r="H954" i="12"/>
  <c r="I954" i="12" s="1"/>
  <c r="L956" i="12"/>
  <c r="H958" i="12"/>
  <c r="I958" i="12" s="1"/>
  <c r="H959" i="12"/>
  <c r="I959" i="12" s="1"/>
  <c r="L961" i="12"/>
  <c r="M961" i="12" s="1"/>
  <c r="H963" i="12"/>
  <c r="I963" i="12" s="1"/>
  <c r="L965" i="12"/>
  <c r="H967" i="12"/>
  <c r="I967" i="12" s="1"/>
  <c r="L969" i="12"/>
  <c r="M969" i="12" s="1"/>
  <c r="H971" i="12"/>
  <c r="I971" i="12" s="1"/>
  <c r="L973" i="12"/>
  <c r="M973" i="12" s="1"/>
  <c r="H975" i="12"/>
  <c r="I975" i="12" s="1"/>
  <c r="L977" i="12"/>
  <c r="M977" i="12" s="1"/>
  <c r="H979" i="12"/>
  <c r="I979" i="12" s="1"/>
  <c r="L981" i="12"/>
  <c r="H983" i="12"/>
  <c r="I983" i="12" s="1"/>
  <c r="H799" i="12"/>
  <c r="I799" i="12" s="1"/>
  <c r="L777" i="12"/>
  <c r="M777" i="12" s="1"/>
  <c r="L781" i="12"/>
  <c r="H787" i="12"/>
  <c r="I787" i="12" s="1"/>
  <c r="H791" i="12"/>
  <c r="I791" i="12" s="1"/>
  <c r="H803" i="12"/>
  <c r="I803" i="12" s="1"/>
  <c r="H795" i="12"/>
  <c r="I795" i="12" s="1"/>
  <c r="H807" i="12"/>
  <c r="I807" i="12" s="1"/>
  <c r="H811" i="12"/>
  <c r="I811" i="12" s="1"/>
  <c r="H815" i="12"/>
  <c r="I815" i="12" s="1"/>
  <c r="H819" i="12"/>
  <c r="I819" i="12" s="1"/>
  <c r="H823" i="12"/>
  <c r="I823" i="12" s="1"/>
  <c r="H827" i="12"/>
  <c r="I827" i="12" s="1"/>
  <c r="H831" i="12"/>
  <c r="I831" i="12" s="1"/>
  <c r="H835" i="12"/>
  <c r="I835" i="12" s="1"/>
  <c r="H839" i="12"/>
  <c r="I839" i="12" s="1"/>
  <c r="H843" i="12"/>
  <c r="I843" i="12" s="1"/>
  <c r="H847" i="12"/>
  <c r="I847" i="12" s="1"/>
  <c r="H851" i="12"/>
  <c r="I851" i="12" s="1"/>
  <c r="H854" i="12"/>
  <c r="I854" i="12" s="1"/>
  <c r="H857" i="12"/>
  <c r="I857" i="12" s="1"/>
  <c r="H862" i="12"/>
  <c r="I862" i="12" s="1"/>
  <c r="H863" i="12"/>
  <c r="I863" i="12" s="1"/>
  <c r="L865" i="12"/>
  <c r="M865" i="12" s="1"/>
  <c r="H867" i="12"/>
  <c r="I867" i="12" s="1"/>
  <c r="L869" i="12"/>
  <c r="M869" i="12" s="1"/>
  <c r="H871" i="12"/>
  <c r="I871" i="12" s="1"/>
  <c r="L873" i="12"/>
  <c r="M873" i="12" s="1"/>
  <c r="H875" i="12"/>
  <c r="I875" i="12" s="1"/>
  <c r="L877" i="12"/>
  <c r="M877" i="12" s="1"/>
  <c r="H879" i="12"/>
  <c r="I879" i="12" s="1"/>
  <c r="L881" i="12"/>
  <c r="M881" i="12" s="1"/>
  <c r="H883" i="12"/>
  <c r="I883" i="12" s="1"/>
  <c r="L885" i="12"/>
  <c r="M885" i="12" s="1"/>
  <c r="H887" i="12"/>
  <c r="I887" i="12" s="1"/>
  <c r="L889" i="12"/>
  <c r="M889" i="12" s="1"/>
  <c r="H891" i="12"/>
  <c r="I891" i="12" s="1"/>
  <c r="L893" i="12"/>
  <c r="M893" i="12" s="1"/>
  <c r="H895" i="12"/>
  <c r="I895" i="12" s="1"/>
  <c r="L897" i="12"/>
  <c r="M897" i="12" s="1"/>
  <c r="H899" i="12"/>
  <c r="I899" i="12" s="1"/>
  <c r="L901" i="12"/>
  <c r="M901" i="12" s="1"/>
  <c r="H903" i="12"/>
  <c r="I903" i="12" s="1"/>
  <c r="L905" i="12"/>
  <c r="M905" i="12" s="1"/>
  <c r="H907" i="12"/>
  <c r="I907" i="12" s="1"/>
  <c r="L909" i="12"/>
  <c r="M909" i="12" s="1"/>
  <c r="H911" i="12"/>
  <c r="I911" i="12" s="1"/>
  <c r="L913" i="12"/>
  <c r="H915" i="12"/>
  <c r="I915" i="12" s="1"/>
  <c r="L917" i="12"/>
  <c r="H919" i="12"/>
  <c r="I919" i="12" s="1"/>
  <c r="L921" i="12"/>
  <c r="M921" i="12" s="1"/>
  <c r="H923" i="12"/>
  <c r="I923" i="12" s="1"/>
  <c r="L925" i="12"/>
  <c r="M925" i="12" s="1"/>
  <c r="H927" i="12"/>
  <c r="I927" i="12" s="1"/>
  <c r="L929" i="12"/>
  <c r="M929" i="12" s="1"/>
  <c r="M482" i="12"/>
  <c r="M88" i="12"/>
  <c r="M330" i="12"/>
  <c r="M188" i="12"/>
  <c r="M53" i="12"/>
  <c r="M41" i="12"/>
  <c r="M137" i="12"/>
  <c r="M282" i="12"/>
  <c r="M314" i="12"/>
  <c r="M570" i="12"/>
  <c r="M342" i="12"/>
  <c r="M646" i="12"/>
  <c r="M568" i="12"/>
  <c r="M589" i="12"/>
  <c r="M354" i="12"/>
  <c r="M662" i="12"/>
  <c r="M704" i="12"/>
  <c r="M606" i="12"/>
  <c r="M522" i="12"/>
  <c r="M1252" i="12"/>
  <c r="M861" i="12"/>
  <c r="M518" i="12"/>
  <c r="M1280" i="12"/>
  <c r="M770" i="12"/>
  <c r="M1265" i="12"/>
  <c r="M1340" i="12"/>
  <c r="M1356" i="12"/>
  <c r="M1452" i="12"/>
  <c r="M1209" i="12"/>
  <c r="M1273" i="12"/>
  <c r="M1334" i="12"/>
  <c r="M1350" i="12"/>
  <c r="M1358" i="12"/>
  <c r="M378" i="12"/>
  <c r="M478" i="12"/>
  <c r="M494" i="12"/>
  <c r="M61" i="12"/>
  <c r="M72" i="12"/>
  <c r="M133" i="12"/>
  <c r="M223" i="12"/>
  <c r="M247" i="12"/>
  <c r="M524" i="12"/>
  <c r="M310" i="12"/>
  <c r="M563" i="12"/>
  <c r="M338" i="12"/>
  <c r="M651" i="12"/>
  <c r="M390" i="12"/>
  <c r="M366" i="12"/>
  <c r="M726" i="12"/>
  <c r="M1170" i="12"/>
  <c r="M1203" i="12"/>
  <c r="M740" i="12"/>
  <c r="M847" i="12"/>
  <c r="M1079" i="12"/>
  <c r="M1111" i="12"/>
  <c r="M1105" i="12"/>
  <c r="M1500" i="12"/>
  <c r="M1504" i="12"/>
  <c r="M306" i="12"/>
  <c r="M382" i="12"/>
  <c r="M334" i="12"/>
  <c r="M44" i="12"/>
  <c r="M157" i="12"/>
  <c r="M151" i="12"/>
  <c r="M103" i="12"/>
  <c r="M430" i="12"/>
  <c r="M492" i="12"/>
  <c r="M576" i="12"/>
  <c r="M346" i="12"/>
  <c r="M406" i="12"/>
  <c r="M706" i="12"/>
  <c r="M422" i="12"/>
  <c r="M410" i="12"/>
  <c r="M533" i="12"/>
  <c r="M502" i="12"/>
  <c r="M820" i="12"/>
  <c r="M782" i="12"/>
  <c r="M999" i="12"/>
  <c r="M1151" i="12"/>
  <c r="M1223" i="12"/>
  <c r="M1137" i="12"/>
  <c r="M1613" i="12"/>
  <c r="M303" i="12"/>
  <c r="M750" i="12"/>
  <c r="M510" i="12"/>
  <c r="M498" i="12"/>
  <c r="M490" i="12"/>
  <c r="M625" i="12"/>
  <c r="M689" i="12"/>
  <c r="M418" i="12"/>
  <c r="M81" i="12"/>
  <c r="M49" i="12"/>
  <c r="M57" i="12"/>
  <c r="M60" i="12"/>
  <c r="M231" i="12"/>
  <c r="M216" i="12"/>
  <c r="M474" i="12"/>
  <c r="M318" i="12"/>
  <c r="M534" i="12"/>
  <c r="M621" i="12"/>
  <c r="M374" i="12"/>
  <c r="M1159" i="12"/>
  <c r="M1167" i="12"/>
  <c r="M1199" i="12"/>
  <c r="M1231" i="12"/>
  <c r="M1263" i="12"/>
  <c r="M1495" i="12"/>
  <c r="M65" i="12"/>
  <c r="M486" i="12"/>
  <c r="M414" i="12"/>
  <c r="M637" i="12"/>
  <c r="M213" i="12"/>
  <c r="M104" i="12"/>
  <c r="M217" i="12"/>
  <c r="M225" i="12"/>
  <c r="M233" i="12"/>
  <c r="M305" i="12"/>
  <c r="M399" i="12"/>
  <c r="M367" i="12"/>
  <c r="M626" i="12"/>
  <c r="M631" i="12"/>
  <c r="M795" i="12"/>
  <c r="M803" i="12"/>
  <c r="M811" i="12"/>
  <c r="M819" i="12"/>
  <c r="M827" i="12"/>
  <c r="M963" i="12"/>
  <c r="M971" i="12"/>
  <c r="M979" i="12"/>
  <c r="M987" i="12"/>
  <c r="M995" i="12"/>
  <c r="M1011" i="12"/>
  <c r="M1019" i="12"/>
  <c r="M1027" i="12"/>
  <c r="M1035" i="12"/>
  <c r="M1043" i="12"/>
  <c r="M1051" i="12"/>
  <c r="M1059" i="12"/>
  <c r="M1067" i="12"/>
  <c r="M1075" i="12"/>
  <c r="M1083" i="12"/>
  <c r="M1091" i="12"/>
  <c r="M1099" i="12"/>
  <c r="M1519" i="12"/>
  <c r="M1315" i="12"/>
  <c r="M141" i="12"/>
  <c r="M325" i="12"/>
  <c r="M720" i="12"/>
  <c r="M1328" i="12"/>
  <c r="M1344" i="12"/>
  <c r="M1360" i="12"/>
  <c r="M1368" i="12"/>
  <c r="M1376" i="12"/>
  <c r="M1384" i="12"/>
  <c r="M1057" i="12"/>
  <c r="M1121" i="12"/>
  <c r="M1185" i="12"/>
  <c r="M1249" i="12"/>
  <c r="M1327" i="12"/>
  <c r="M1348" i="12"/>
  <c r="M1412" i="12"/>
  <c r="M1065" i="12"/>
  <c r="M1129" i="12"/>
  <c r="M1193" i="12"/>
  <c r="M1257" i="12"/>
  <c r="M1307" i="12"/>
  <c r="M1432" i="12"/>
  <c r="M1496" i="12"/>
  <c r="M1528" i="12"/>
  <c r="M1455" i="12"/>
  <c r="M1544" i="12"/>
  <c r="M1511" i="12"/>
  <c r="M50" i="12"/>
  <c r="M37" i="12"/>
  <c r="M90" i="12"/>
  <c r="M165" i="12"/>
  <c r="M229" i="12"/>
  <c r="M237" i="12"/>
  <c r="M245" i="12"/>
  <c r="M253" i="12"/>
  <c r="M285" i="12"/>
  <c r="M129" i="12"/>
  <c r="M161" i="12"/>
  <c r="M291" i="12"/>
  <c r="M276" i="12"/>
  <c r="M491" i="12"/>
  <c r="M479" i="12"/>
  <c r="M497" i="12"/>
  <c r="M630" i="12"/>
  <c r="M664" i="12"/>
  <c r="M710" i="12"/>
  <c r="M632" i="12"/>
  <c r="M686" i="12"/>
  <c r="M645" i="12"/>
  <c r="M913" i="12"/>
  <c r="M915" i="12"/>
  <c r="M843" i="12"/>
  <c r="M851" i="12"/>
  <c r="M791" i="12"/>
  <c r="M823" i="12"/>
  <c r="M855" i="12"/>
  <c r="M983" i="12"/>
  <c r="M1576" i="12"/>
  <c r="M10" i="12"/>
  <c r="M18" i="12"/>
  <c r="M26" i="12"/>
  <c r="M54" i="12"/>
  <c r="M48" i="12"/>
  <c r="M55" i="12"/>
  <c r="M82" i="12"/>
  <c r="M98" i="12"/>
  <c r="M114" i="12"/>
  <c r="M106" i="12"/>
  <c r="M145" i="12"/>
  <c r="M205" i="12"/>
  <c r="M122" i="12"/>
  <c r="M153" i="12"/>
  <c r="M249" i="12"/>
  <c r="M309" i="12"/>
  <c r="M438" i="12"/>
  <c r="M455" i="12"/>
  <c r="M483" i="12"/>
  <c r="M292" i="12"/>
  <c r="M523" i="12"/>
  <c r="M567" i="12"/>
  <c r="M599" i="12"/>
  <c r="M705" i="12"/>
  <c r="M663" i="12"/>
  <c r="M648" i="12"/>
  <c r="M688" i="12"/>
  <c r="M716" i="12"/>
  <c r="M1115" i="12"/>
  <c r="M1123" i="12"/>
  <c r="M1147" i="12"/>
  <c r="M1155" i="12"/>
  <c r="M1163" i="12"/>
  <c r="M1171" i="12"/>
  <c r="M1179" i="12"/>
  <c r="M1187" i="12"/>
  <c r="M1195" i="12"/>
  <c r="M1219" i="12"/>
  <c r="M1235" i="12"/>
  <c r="M1243" i="12"/>
  <c r="M1251" i="12"/>
  <c r="M1259" i="12"/>
  <c r="M1267" i="12"/>
  <c r="M1283" i="12"/>
  <c r="M799" i="12"/>
  <c r="M831" i="12"/>
  <c r="M863" i="12"/>
  <c r="M1303" i="12"/>
  <c r="M1025" i="12"/>
  <c r="M1217" i="12"/>
  <c r="M1281" i="12"/>
  <c r="M1364" i="12"/>
  <c r="M1396" i="12"/>
  <c r="M1428" i="12"/>
  <c r="M1492" i="12"/>
  <c r="M1524" i="12"/>
  <c r="M1097" i="12"/>
  <c r="M1161" i="12"/>
  <c r="M1225" i="12"/>
  <c r="M1416" i="12"/>
  <c r="M1448" i="12"/>
  <c r="M1480" i="12"/>
  <c r="M1512" i="12"/>
  <c r="M1479" i="12"/>
  <c r="M1592" i="12"/>
  <c r="M1342" i="12"/>
  <c r="M1374" i="12"/>
  <c r="K2" i="12"/>
  <c r="G2" i="12"/>
  <c r="F2" i="12"/>
  <c r="F985" i="12" s="1"/>
  <c r="J2" i="12"/>
  <c r="J985" i="12" s="1"/>
  <c r="B1" i="12"/>
  <c r="C1" i="12"/>
  <c r="D1" i="12"/>
  <c r="E1" i="12"/>
  <c r="G985" i="12" l="1"/>
  <c r="H985" i="12" s="1"/>
  <c r="K985" i="12"/>
  <c r="L985" i="12" s="1"/>
  <c r="M985" i="12" s="1"/>
  <c r="M895" i="12"/>
  <c r="M536" i="12"/>
  <c r="M1131" i="12"/>
  <c r="M678" i="12"/>
  <c r="M387" i="12"/>
  <c r="M218" i="12"/>
  <c r="M277" i="12"/>
  <c r="M160" i="12"/>
  <c r="M35" i="12"/>
  <c r="M23" i="12"/>
  <c r="M1616" i="12"/>
  <c r="M981" i="12"/>
  <c r="M835" i="12"/>
  <c r="M849" i="12"/>
  <c r="M654" i="12"/>
  <c r="M392" i="12"/>
  <c r="M440" i="12"/>
  <c r="M257" i="12"/>
  <c r="M436" i="12"/>
  <c r="M255" i="12"/>
  <c r="M197" i="12"/>
  <c r="M116" i="12"/>
  <c r="M30" i="12"/>
  <c r="M16" i="12"/>
  <c r="M1508" i="12"/>
  <c r="M917" i="12"/>
  <c r="M1380" i="12"/>
  <c r="M839" i="12"/>
  <c r="M1352" i="12"/>
  <c r="M821" i="12"/>
  <c r="M1323" i="12"/>
  <c r="M801" i="12"/>
  <c r="M916" i="12"/>
  <c r="M550" i="12"/>
  <c r="M947" i="12"/>
  <c r="M569" i="12"/>
  <c r="M600" i="12"/>
  <c r="M362" i="12"/>
  <c r="M149" i="12"/>
  <c r="M288" i="12"/>
  <c r="M166" i="12"/>
  <c r="M1055" i="12"/>
  <c r="M634" i="12"/>
  <c r="M649" i="12"/>
  <c r="M412" i="12"/>
  <c r="M131" i="12"/>
  <c r="M97" i="12"/>
  <c r="M657" i="12"/>
  <c r="M394" i="12"/>
  <c r="M1468" i="12"/>
  <c r="M894" i="12"/>
  <c r="M771" i="12"/>
  <c r="M836" i="12"/>
  <c r="M597" i="12"/>
  <c r="M432" i="12"/>
  <c r="M462" i="12"/>
  <c r="M290" i="12"/>
  <c r="M194" i="12"/>
  <c r="M246" i="12"/>
  <c r="M76" i="12"/>
  <c r="M693" i="12"/>
  <c r="M456" i="12"/>
  <c r="M428" i="12"/>
  <c r="M313" i="12"/>
  <c r="M226" i="12"/>
  <c r="M11" i="12"/>
  <c r="M280" i="12"/>
  <c r="M162" i="12"/>
  <c r="M119" i="12"/>
  <c r="M814" i="12"/>
  <c r="M730" i="12"/>
  <c r="M718" i="12"/>
  <c r="M574" i="12"/>
  <c r="M344" i="12"/>
  <c r="M575" i="12"/>
  <c r="M198" i="12"/>
  <c r="M125" i="12"/>
  <c r="M1291" i="12"/>
  <c r="M781" i="12"/>
  <c r="M1227" i="12"/>
  <c r="M735" i="12"/>
  <c r="M615" i="12"/>
  <c r="M453" i="12"/>
  <c r="M264" i="12"/>
  <c r="M859" i="12"/>
  <c r="M517" i="12"/>
  <c r="M715" i="12"/>
  <c r="M427" i="12"/>
  <c r="M582" i="12"/>
  <c r="M350" i="12"/>
  <c r="M284" i="12"/>
  <c r="M164" i="12"/>
  <c r="M283" i="12"/>
  <c r="M244" i="12"/>
  <c r="M142" i="12"/>
  <c r="M135" i="12"/>
  <c r="M80" i="12"/>
  <c r="M172" i="12"/>
  <c r="M1476" i="12"/>
  <c r="M899" i="12"/>
  <c r="M695" i="12"/>
  <c r="M1003" i="12"/>
  <c r="M603" i="12"/>
  <c r="M939" i="12"/>
  <c r="M269" i="12"/>
  <c r="M156" i="12"/>
  <c r="M256" i="12"/>
  <c r="M148" i="12"/>
  <c r="M910" i="12"/>
  <c r="M159" i="12"/>
  <c r="M219" i="12"/>
  <c r="M20" i="12"/>
  <c r="M31" i="12"/>
  <c r="M506" i="12"/>
  <c r="M297" i="12"/>
  <c r="M1372" i="12"/>
  <c r="M834" i="12"/>
  <c r="M721" i="12"/>
  <c r="M812" i="12"/>
  <c r="M405" i="12"/>
  <c r="M351" i="12"/>
  <c r="M273" i="12"/>
  <c r="M158" i="12"/>
  <c r="M238" i="12"/>
  <c r="M416" i="12"/>
  <c r="M102" i="12"/>
  <c r="M24" i="12"/>
  <c r="M858" i="12"/>
  <c r="M723" i="12"/>
  <c r="M435" i="12"/>
  <c r="M426" i="12"/>
  <c r="M365" i="12"/>
  <c r="M206" i="12"/>
  <c r="M91" i="12"/>
  <c r="M101" i="12"/>
  <c r="M514" i="12"/>
  <c r="M326" i="12"/>
  <c r="M186" i="12"/>
  <c r="M557" i="12"/>
  <c r="M1472" i="12"/>
  <c r="M896" i="12"/>
  <c r="M818" i="12"/>
  <c r="M697" i="12"/>
  <c r="M445" i="12"/>
  <c r="M215" i="12"/>
  <c r="M376" i="12"/>
  <c r="M33" i="12"/>
  <c r="M402" i="12"/>
  <c r="M1536" i="12"/>
  <c r="M934" i="12"/>
  <c r="M1527" i="12"/>
  <c r="M928" i="12"/>
  <c r="M1289" i="12"/>
  <c r="M779" i="12"/>
  <c r="M1460" i="12"/>
  <c r="M890" i="12"/>
  <c r="M1332" i="12"/>
  <c r="M807" i="12"/>
  <c r="M1153" i="12"/>
  <c r="M690" i="12"/>
  <c r="M64" i="12"/>
  <c r="M52" i="12"/>
  <c r="M32" i="12"/>
  <c r="M919" i="12"/>
  <c r="M647" i="12"/>
  <c r="M388" i="12"/>
  <c r="M307" i="12"/>
  <c r="M176" i="12"/>
  <c r="M14" i="12"/>
  <c r="M1444" i="12"/>
  <c r="M879" i="12"/>
  <c r="M1400" i="12"/>
  <c r="M852" i="12"/>
  <c r="M1336" i="12"/>
  <c r="M809" i="12"/>
  <c r="M509" i="12"/>
  <c r="M300" i="12"/>
  <c r="M711" i="12"/>
  <c r="M425" i="12"/>
  <c r="M185" i="12"/>
  <c r="M108" i="12"/>
  <c r="M511" i="12"/>
  <c r="M155" i="12"/>
  <c r="M13" i="12"/>
  <c r="M240" i="12"/>
  <c r="M140" i="12"/>
  <c r="M1456" i="12"/>
  <c r="M888" i="12"/>
  <c r="M902" i="12"/>
  <c r="M753" i="12"/>
  <c r="M804" i="12"/>
  <c r="M702" i="12"/>
  <c r="M507" i="12"/>
  <c r="M397" i="12"/>
  <c r="M224" i="12"/>
  <c r="M373" i="12"/>
  <c r="M210" i="12"/>
  <c r="M371" i="12"/>
  <c r="M265" i="12"/>
  <c r="M154" i="12"/>
  <c r="M175" i="12"/>
  <c r="M230" i="12"/>
  <c r="M400" i="12"/>
  <c r="M121" i="12"/>
  <c r="M541" i="12"/>
  <c r="M322" i="12"/>
  <c r="M127" i="12"/>
  <c r="M935" i="12"/>
  <c r="M562" i="12"/>
  <c r="M841" i="12"/>
  <c r="M594" i="12"/>
  <c r="M358" i="12"/>
  <c r="M572" i="12"/>
  <c r="M635" i="12"/>
  <c r="M555" i="12"/>
  <c r="M93" i="12"/>
  <c r="M398" i="12"/>
  <c r="M95" i="12"/>
  <c r="M1440" i="12"/>
  <c r="M875" i="12"/>
  <c r="M1404" i="12"/>
  <c r="M854" i="12"/>
  <c r="M1233" i="12"/>
  <c r="M738" i="12"/>
  <c r="M884" i="12"/>
  <c r="M773" i="12"/>
  <c r="M681" i="12"/>
  <c r="M578" i="12"/>
  <c r="M407" i="12"/>
  <c r="M294" i="12"/>
  <c r="M99" i="12"/>
  <c r="M89" i="12"/>
  <c r="M87" i="12"/>
  <c r="M1033" i="12"/>
  <c r="M620" i="12"/>
  <c r="M1311" i="12"/>
  <c r="M793" i="12"/>
  <c r="M1089" i="12"/>
  <c r="M652" i="12"/>
  <c r="M991" i="12"/>
  <c r="M595" i="12"/>
  <c r="M1275" i="12"/>
  <c r="M766" i="12"/>
  <c r="M1211" i="12"/>
  <c r="M727" i="12"/>
  <c r="M1139" i="12"/>
  <c r="M682" i="12"/>
  <c r="M1107" i="12"/>
  <c r="M665" i="12"/>
  <c r="M499" i="12"/>
  <c r="M27" i="12"/>
  <c r="M34" i="12"/>
  <c r="M907" i="12"/>
  <c r="M544" i="12"/>
  <c r="M614" i="12"/>
  <c r="M370" i="12"/>
  <c r="M472" i="12"/>
  <c r="M274" i="12"/>
  <c r="M395" i="12"/>
  <c r="M222" i="12"/>
  <c r="M143" i="12"/>
  <c r="M86" i="12"/>
  <c r="M38" i="12"/>
  <c r="M4" i="12"/>
  <c r="M3" i="12"/>
  <c r="M1464" i="12"/>
  <c r="M892" i="12"/>
  <c r="M1001" i="12"/>
  <c r="M601" i="12"/>
  <c r="M1392" i="12"/>
  <c r="M846" i="12"/>
  <c r="M731" i="12"/>
  <c r="M391" i="12"/>
  <c r="M220" i="12"/>
  <c r="M177" i="12"/>
  <c r="M181" i="12"/>
  <c r="M58" i="12"/>
  <c r="M617" i="12"/>
  <c r="M372" i="12"/>
  <c r="M734" i="12"/>
  <c r="M760" i="12"/>
  <c r="M580" i="12"/>
  <c r="M559" i="12"/>
  <c r="M207" i="12"/>
  <c r="M1143" i="12"/>
  <c r="M684" i="12"/>
  <c r="M1007" i="12"/>
  <c r="M605" i="12"/>
  <c r="M882" i="12"/>
  <c r="M757" i="12"/>
  <c r="M825" i="12"/>
  <c r="M691" i="12"/>
  <c r="M466" i="12"/>
  <c r="M236" i="12"/>
  <c r="M138" i="12"/>
  <c r="M189" i="12"/>
  <c r="M110" i="12"/>
  <c r="M136" i="12"/>
  <c r="M113" i="12"/>
  <c r="M386" i="12"/>
  <c r="M965" i="12"/>
  <c r="M978" i="12"/>
  <c r="M748" i="12"/>
  <c r="M450" i="12"/>
  <c r="M532" i="12"/>
  <c r="M627" i="12"/>
  <c r="M464" i="12"/>
  <c r="M270" i="12"/>
  <c r="M468" i="12"/>
  <c r="M337" i="12"/>
  <c r="M123" i="12"/>
  <c r="M7" i="12"/>
  <c r="M85" i="12"/>
  <c r="M824" i="12"/>
  <c r="M732" i="12"/>
  <c r="M441" i="12"/>
  <c r="M956" i="12"/>
  <c r="M737" i="12"/>
  <c r="M548" i="12"/>
  <c r="M512" i="12"/>
  <c r="M361" i="12"/>
  <c r="H2" i="12"/>
  <c r="L2" i="12"/>
  <c r="I2" i="12" l="1"/>
  <c r="I985" i="12" s="1"/>
  <c r="M2" i="12"/>
</calcChain>
</file>

<file path=xl/connections.xml><?xml version="1.0" encoding="utf-8"?>
<connections xmlns="http://schemas.openxmlformats.org/spreadsheetml/2006/main">
  <connection id="1" name="Lancer la requête à partir de vnc5" type="1" refreshedVersion="4" saveData="1">
    <dbPr connection="DRIVER=SQL Server;SERVER=BUREAU-DELL\SQLEXPRESS;UID=vinicom;APP=Microsoft Office 2010;WSID=BUREAU-DELL;DATABASE=vnc5" command="SELECT year(CMD_DATE) as annee, _x000d__x000a_ FRN_CODE,_x000d__x000a_ FRN_NOM, _x000d__x000a_PRD_CODE, _x000d__x000a_PRD_LIBELLE, _x000d__x000a_SUM(CA_HT) as CA_HT,_x000d__x000a_SUM(QTE * CONT_BOUT) as ColsN,_x000d__x000a_CMD_ORIGINE_x000d__x000a__x000d__x000a_FROM vnc5.dbo.CAFOURNISSEUR2 _x000d__x000a_ WHERE CMD_DATE between ? and ? or CMD_DATE between ? and ?_x000d__x000a_Group By year(CMD_DATE), _x000d__x000a_ FRN_CODE,_x000d__x000a_ FRN_NOM, _x000d__x000a_PRD_CODE, _x000d__x000a_PRD_LIBELLE, CMD_ORIGINE_x000d__x000a_ORDER BY FRN_CODE, PRD_CODE"/>
    <parameters count="4">
      <parameter name="Paramètre1" parameterType="cell" cell="Feuil1!$D$1"/>
      <parameter name="Paramètre2" parameterType="cell" cell="Feuil1!$E$1"/>
      <parameter name="Paramètre3" parameterType="cell" cell="Feuil1!$D$2"/>
      <parameter name="Paramètre4" parameterType="cell" cell="Feuil1!$E$2"/>
    </parameters>
  </connection>
</connections>
</file>

<file path=xl/sharedStrings.xml><?xml version="1.0" encoding="utf-8"?>
<sst xmlns="http://schemas.openxmlformats.org/spreadsheetml/2006/main" count="5" uniqueCount="5">
  <si>
    <t>Evol CA</t>
  </si>
  <si>
    <t>Evol CA %</t>
  </si>
  <si>
    <t>Evol Cols %</t>
  </si>
  <si>
    <t>Evol cols</t>
  </si>
  <si>
    <t>Période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</si>
</sst>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10" fontId="0" fillId="0" borderId="0" xfId="2" applyNumberFormat="1" applyFont="1"/>
    <xf numFmtId="44" fontId="0" fillId="0" borderId="0" xfId="1" applyFont="1"/>
    <xf numFmtId="1" fontId="0" fillId="0" borderId="0" xfId="0" applyNumberFormat="1"/>
    <xf numFmtId="14" fontId="0" fillId="0" borderId="0" xfId="0" applyNumberFormat="1"/>
    <xf numFmtId="10" fontId="0" fillId="0" borderId="0" xfId="0" applyNumberFormat="1"/>
    <xf numFmtId="0" fontId="0" fillId="2" borderId="0" xfId="0" applyFill="1"/>
    <xf numFmtId="44" fontId="0" fillId="2" borderId="0" xfId="1" applyFont="1" applyFill="1"/>
    <xf numFmtId="44" fontId="0" fillId="0" borderId="1" xfId="1" applyFont="1" applyBorder="1"/>
    <xf numFmtId="44" fontId="0" fillId="2" borderId="0" xfId="1" applyFont="1" applyFill="1" applyAlignment="1">
      <alignment horizontal="center"/>
    </xf>
    <xf numFmtId="10" fontId="0" fillId="2" borderId="0" xfId="2" applyNumberFormat="1" applyFont="1" applyFill="1"/>
    <xf numFmtId="10" fontId="0" fillId="0" borderId="1" xfId="2" applyNumberFormat="1" applyFont="1" applyBorder="1"/>
    <xf numFmtId="1" fontId="0" fillId="0" borderId="1" xfId="1" applyNumberFormat="1" applyFont="1" applyBorder="1"/>
    <xf numFmtId="164" fontId="0" fillId="0" borderId="1" xfId="1" applyNumberFormat="1" applyFont="1" applyBorder="1"/>
    <xf numFmtId="0" fontId="0" fillId="0" borderId="2" xfId="0" applyBorder="1"/>
    <xf numFmtId="0" fontId="0" fillId="2" borderId="1" xfId="0" applyFill="1" applyBorder="1"/>
    <xf numFmtId="0" fontId="0" fillId="0" borderId="1" xfId="0" applyFill="1" applyBorder="1"/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7</xdr:col>
          <xdr:colOff>9525</xdr:colOff>
          <xdr:row>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Lancer la requête à partir de vnc5" backgroundRefresh="0" connectionId="1" autoFormatId="16" applyNumberFormats="0" applyBorderFormats="0" applyFontFormats="0" applyPatternFormats="0" applyAlignmentFormats="0" applyWidthHeightFormats="0">
  <queryTableRefresh nextId="32">
    <queryTableFields count="8">
      <queryTableField id="3" name="FRN_CODE" tableColumnId="3"/>
      <queryTableField id="4" name="FRN_NOM" tableColumnId="4"/>
      <queryTableField id="5" name="PRD_CODE" tableColumnId="5"/>
      <queryTableField id="6" name="PRD_LIBELLE" tableColumnId="6"/>
      <queryTableField id="15" name="ColsN" tableColumnId="15"/>
      <queryTableField id="29" name="annee" tableColumnId="7"/>
      <queryTableField id="30" name="CA_HT" tableColumnId="8"/>
      <queryTableField id="31" name="CMD_ORIGIN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Tableau_Lancer_la_requête_à_partir_de_vnc5" displayName="Tableau_Lancer_la_requête_à_partir_de_vnc5" ref="A1:H1620" tableType="queryTable" totalsRowShown="0">
  <autoFilter ref="A1:H1620"/>
  <tableColumns count="8">
    <tableColumn id="3" uniqueName="3" name="FRN_CODE" queryTableFieldId="3"/>
    <tableColumn id="4" uniqueName="4" name="FRN_NOM" queryTableFieldId="4"/>
    <tableColumn id="5" uniqueName="5" name="PRD_CODE" queryTableFieldId="5"/>
    <tableColumn id="6" uniqueName="6" name="PRD_LIBELLE" queryTableFieldId="6"/>
    <tableColumn id="15" uniqueName="15" name="ColsN" queryTableFieldId="15"/>
    <tableColumn id="7" uniqueName="7" name="annee" queryTableFieldId="29"/>
    <tableColumn id="8" uniqueName="8" name="CA_HT" queryTableFieldId="30"/>
    <tableColumn id="1" uniqueName="1" name="CMD_ORIGINE" queryTableFieldId="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C1:E2"/>
  <sheetViews>
    <sheetView tabSelected="1" workbookViewId="0">
      <selection activeCell="C3" sqref="C3:D3"/>
    </sheetView>
  </sheetViews>
  <sheetFormatPr baseColWidth="10" defaultRowHeight="15" x14ac:dyDescent="0.25"/>
  <sheetData>
    <row r="1" spans="3:5" x14ac:dyDescent="0.25">
      <c r="C1" t="s">
        <v>4</v>
      </c>
      <c r="D1" s="5">
        <v>42370</v>
      </c>
      <c r="E1" s="5">
        <v>42735</v>
      </c>
    </row>
    <row r="2" spans="3:5" x14ac:dyDescent="0.25">
      <c r="D2" s="5">
        <f>DATE(YEAR(D1)-1,MONTH(D1),DAY(D1))</f>
        <v>42005</v>
      </c>
      <c r="E2" s="5">
        <f>DATE(YEAR(E1)-1,MONTH(E1),DAY(E1))</f>
        <v>42369</v>
      </c>
    </row>
  </sheetData>
  <dataValidations count="1">
    <dataValidation type="list" showInputMessage="1" showErrorMessage="1" sqref="D3">
      <formula1>"VINICOM,HOBIVIN"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FTableau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7</xdr:col>
                    <xdr:colOff>9525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W2867"/>
  <sheetViews>
    <sheetView workbookViewId="0">
      <selection activeCell="H1" sqref="H1"/>
    </sheetView>
  </sheetViews>
  <sheetFormatPr baseColWidth="10" defaultRowHeight="15" x14ac:dyDescent="0.25"/>
  <cols>
    <col min="1" max="1" width="12.7109375" bestFit="1" customWidth="1"/>
    <col min="2" max="2" width="40.7109375" bestFit="1" customWidth="1"/>
    <col min="3" max="3" width="13.5703125" customWidth="1"/>
    <col min="4" max="4" width="56.28515625" customWidth="1"/>
    <col min="5" max="5" width="10" bestFit="1" customWidth="1"/>
    <col min="6" max="6" width="8.85546875" customWidth="1"/>
    <col min="7" max="7" width="10" customWidth="1"/>
    <col min="8" max="8" width="16.140625" customWidth="1"/>
    <col min="9" max="10" width="9.42578125" customWidth="1"/>
    <col min="11" max="11" width="8" bestFit="1" customWidth="1"/>
    <col min="12" max="12" width="15.7109375" bestFit="1" customWidth="1"/>
    <col min="13" max="18" width="9" customWidth="1"/>
    <col min="19" max="19" width="5" bestFit="1" customWidth="1"/>
    <col min="20" max="20" width="6" bestFit="1" customWidth="1"/>
    <col min="21" max="21" width="5" bestFit="1" customWidth="1"/>
    <col min="22" max="22" width="6" bestFit="1" customWidth="1"/>
    <col min="23" max="23" width="9.85546875" style="2" bestFit="1" customWidth="1"/>
    <col min="24" max="24" width="9.85546875" bestFit="1" customWidth="1"/>
    <col min="25" max="25" width="8.28515625" customWidth="1"/>
    <col min="26" max="27" width="8.7109375" customWidth="1"/>
  </cols>
  <sheetData>
    <row r="1" spans="1:23" x14ac:dyDescent="0.25">
      <c r="A1"/>
      <c r="B1"/>
      <c r="C1"/>
      <c r="D1"/>
      <c r="E1"/>
      <c r="F1"/>
      <c r="G1"/>
      <c r="H1"/>
      <c r="W1"/>
    </row>
    <row r="2" spans="1:23" x14ac:dyDescent="0.25">
      <c r="A2"/>
      <c r="B2"/>
      <c r="C2"/>
      <c r="D2"/>
      <c r="E2"/>
      <c r="F2"/>
      <c r="G2"/>
      <c r="H2"/>
      <c r="W2"/>
    </row>
    <row r="3" spans="1:23" x14ac:dyDescent="0.25">
      <c r="A3"/>
      <c r="B3"/>
      <c r="C3"/>
      <c r="D3"/>
      <c r="E3"/>
      <c r="F3"/>
      <c r="G3"/>
      <c r="H3"/>
      <c r="W3"/>
    </row>
    <row r="4" spans="1:23" x14ac:dyDescent="0.25">
      <c r="A4"/>
      <c r="B4"/>
      <c r="C4"/>
      <c r="D4"/>
      <c r="E4"/>
      <c r="F4"/>
      <c r="G4"/>
      <c r="H4"/>
      <c r="W4"/>
    </row>
    <row r="5" spans="1:23" x14ac:dyDescent="0.25">
      <c r="A5"/>
      <c r="B5"/>
      <c r="C5"/>
      <c r="D5"/>
      <c r="E5"/>
      <c r="F5"/>
      <c r="G5"/>
      <c r="H5"/>
      <c r="W5"/>
    </row>
    <row r="6" spans="1:23" x14ac:dyDescent="0.25">
      <c r="A6"/>
      <c r="B6"/>
      <c r="C6"/>
      <c r="D6"/>
      <c r="E6"/>
      <c r="F6"/>
      <c r="G6"/>
      <c r="H6"/>
      <c r="W6"/>
    </row>
    <row r="7" spans="1:23" x14ac:dyDescent="0.25">
      <c r="A7"/>
      <c r="B7"/>
      <c r="C7"/>
      <c r="D7"/>
      <c r="E7"/>
      <c r="F7"/>
      <c r="G7"/>
      <c r="H7"/>
      <c r="W7"/>
    </row>
    <row r="8" spans="1:23" x14ac:dyDescent="0.25">
      <c r="A8"/>
      <c r="B8"/>
      <c r="C8"/>
      <c r="D8"/>
      <c r="E8"/>
      <c r="F8"/>
      <c r="G8"/>
      <c r="H8"/>
      <c r="W8"/>
    </row>
    <row r="9" spans="1:23" x14ac:dyDescent="0.25">
      <c r="A9"/>
      <c r="B9"/>
      <c r="C9"/>
      <c r="D9"/>
      <c r="E9"/>
      <c r="F9"/>
      <c r="G9"/>
      <c r="H9"/>
      <c r="W9"/>
    </row>
    <row r="10" spans="1:23" x14ac:dyDescent="0.25">
      <c r="A10"/>
      <c r="B10"/>
      <c r="C10"/>
      <c r="D10"/>
      <c r="E10"/>
      <c r="F10"/>
      <c r="G10"/>
      <c r="H10"/>
      <c r="W10"/>
    </row>
    <row r="11" spans="1:23" x14ac:dyDescent="0.25">
      <c r="A11"/>
      <c r="B11"/>
      <c r="C11"/>
      <c r="D11"/>
      <c r="E11"/>
      <c r="F11"/>
      <c r="G11"/>
      <c r="H11"/>
      <c r="W11"/>
    </row>
    <row r="12" spans="1:23" x14ac:dyDescent="0.25">
      <c r="A12"/>
      <c r="B12"/>
      <c r="C12"/>
      <c r="D12"/>
      <c r="E12"/>
      <c r="F12"/>
      <c r="G12"/>
      <c r="H12"/>
      <c r="W12"/>
    </row>
    <row r="13" spans="1:23" x14ac:dyDescent="0.25">
      <c r="A13"/>
      <c r="B13"/>
      <c r="C13"/>
      <c r="D13"/>
      <c r="E13"/>
      <c r="F13"/>
      <c r="G13"/>
      <c r="H13"/>
      <c r="W13"/>
    </row>
    <row r="14" spans="1:23" x14ac:dyDescent="0.25">
      <c r="A14"/>
      <c r="B14"/>
      <c r="C14"/>
      <c r="D14"/>
      <c r="E14"/>
      <c r="F14"/>
      <c r="G14"/>
      <c r="H14"/>
      <c r="W14"/>
    </row>
    <row r="15" spans="1:23" x14ac:dyDescent="0.25">
      <c r="A15"/>
      <c r="B15"/>
      <c r="C15"/>
      <c r="D15"/>
      <c r="E15"/>
      <c r="F15"/>
      <c r="G15"/>
      <c r="H15"/>
      <c r="W15"/>
    </row>
    <row r="16" spans="1:23" x14ac:dyDescent="0.25">
      <c r="A16"/>
      <c r="B16"/>
      <c r="C16"/>
      <c r="D16"/>
      <c r="E16"/>
      <c r="F16"/>
      <c r="G16"/>
      <c r="H16"/>
      <c r="W16"/>
    </row>
    <row r="17" spans="1:23" x14ac:dyDescent="0.25">
      <c r="A17"/>
      <c r="B17"/>
      <c r="C17"/>
      <c r="D17"/>
      <c r="E17"/>
      <c r="F17"/>
      <c r="G17"/>
      <c r="H17"/>
      <c r="W17"/>
    </row>
    <row r="18" spans="1:23" x14ac:dyDescent="0.25">
      <c r="A18"/>
      <c r="B18"/>
      <c r="C18"/>
      <c r="D18"/>
      <c r="E18"/>
      <c r="F18"/>
      <c r="G18"/>
      <c r="H18"/>
      <c r="W18"/>
    </row>
    <row r="19" spans="1:23" x14ac:dyDescent="0.25">
      <c r="A19"/>
      <c r="B19"/>
      <c r="C19"/>
      <c r="D19"/>
      <c r="E19"/>
      <c r="F19"/>
      <c r="G19"/>
      <c r="H19"/>
      <c r="W19"/>
    </row>
    <row r="20" spans="1:23" x14ac:dyDescent="0.25">
      <c r="A20"/>
      <c r="B20"/>
      <c r="C20"/>
      <c r="D20"/>
      <c r="E20"/>
      <c r="F20"/>
      <c r="G20"/>
      <c r="H20"/>
      <c r="W20"/>
    </row>
    <row r="21" spans="1:23" x14ac:dyDescent="0.25">
      <c r="A21"/>
      <c r="B21"/>
      <c r="C21"/>
      <c r="D21"/>
      <c r="E21"/>
      <c r="F21"/>
      <c r="G21"/>
      <c r="H21"/>
      <c r="W21"/>
    </row>
    <row r="22" spans="1:23" x14ac:dyDescent="0.25">
      <c r="A22"/>
      <c r="B22"/>
      <c r="C22"/>
      <c r="D22"/>
      <c r="E22"/>
      <c r="F22"/>
      <c r="G22"/>
      <c r="H22"/>
      <c r="W22"/>
    </row>
    <row r="23" spans="1:23" x14ac:dyDescent="0.25">
      <c r="A23"/>
      <c r="B23"/>
      <c r="C23"/>
      <c r="D23"/>
      <c r="E23"/>
      <c r="F23"/>
      <c r="G23"/>
      <c r="H23"/>
      <c r="W23"/>
    </row>
    <row r="24" spans="1:23" x14ac:dyDescent="0.25">
      <c r="A24"/>
      <c r="B24"/>
      <c r="C24"/>
      <c r="D24"/>
      <c r="E24"/>
      <c r="F24"/>
      <c r="G24"/>
      <c r="H24"/>
      <c r="W24"/>
    </row>
    <row r="25" spans="1:23" x14ac:dyDescent="0.25">
      <c r="A25"/>
      <c r="B25"/>
      <c r="C25"/>
      <c r="D25"/>
      <c r="E25"/>
      <c r="F25"/>
      <c r="G25"/>
      <c r="H25"/>
      <c r="W25"/>
    </row>
    <row r="26" spans="1:23" x14ac:dyDescent="0.25">
      <c r="A26"/>
      <c r="B26"/>
      <c r="C26"/>
      <c r="D26"/>
      <c r="E26"/>
      <c r="F26"/>
      <c r="G26"/>
      <c r="H26"/>
      <c r="W26"/>
    </row>
    <row r="27" spans="1:23" x14ac:dyDescent="0.25">
      <c r="A27"/>
      <c r="B27"/>
      <c r="C27"/>
      <c r="D27"/>
      <c r="E27"/>
      <c r="F27"/>
      <c r="G27"/>
      <c r="H27"/>
      <c r="W27"/>
    </row>
    <row r="28" spans="1:23" x14ac:dyDescent="0.25">
      <c r="A28"/>
      <c r="B28"/>
      <c r="C28"/>
      <c r="D28"/>
      <c r="E28"/>
      <c r="F28"/>
      <c r="G28"/>
      <c r="H28"/>
      <c r="W28"/>
    </row>
    <row r="29" spans="1:23" x14ac:dyDescent="0.25">
      <c r="A29"/>
      <c r="B29"/>
      <c r="C29"/>
      <c r="D29"/>
      <c r="E29"/>
      <c r="F29"/>
      <c r="G29"/>
      <c r="H29"/>
      <c r="W29"/>
    </row>
    <row r="30" spans="1:23" x14ac:dyDescent="0.25">
      <c r="A30"/>
      <c r="B30"/>
      <c r="C30"/>
      <c r="D30"/>
      <c r="E30"/>
      <c r="F30"/>
      <c r="G30"/>
      <c r="H30"/>
      <c r="W30"/>
    </row>
    <row r="31" spans="1:23" x14ac:dyDescent="0.25">
      <c r="A31"/>
      <c r="B31"/>
      <c r="C31"/>
      <c r="D31"/>
      <c r="E31"/>
      <c r="F31"/>
      <c r="G31"/>
      <c r="H31"/>
      <c r="W31"/>
    </row>
    <row r="32" spans="1:23" x14ac:dyDescent="0.25">
      <c r="A32"/>
      <c r="B32"/>
      <c r="C32"/>
      <c r="D32"/>
      <c r="E32"/>
      <c r="F32"/>
      <c r="G32"/>
      <c r="H32"/>
      <c r="W32"/>
    </row>
    <row r="33" spans="1:23" x14ac:dyDescent="0.25">
      <c r="A33"/>
      <c r="B33"/>
      <c r="C33"/>
      <c r="D33"/>
      <c r="E33"/>
      <c r="F33"/>
      <c r="G33"/>
      <c r="H33"/>
      <c r="W33"/>
    </row>
    <row r="34" spans="1:23" x14ac:dyDescent="0.25">
      <c r="A34"/>
      <c r="B34"/>
      <c r="C34"/>
      <c r="D34"/>
      <c r="E34"/>
      <c r="F34"/>
      <c r="G34"/>
      <c r="H34"/>
      <c r="W34"/>
    </row>
    <row r="35" spans="1:23" x14ac:dyDescent="0.25">
      <c r="A35"/>
      <c r="B35"/>
      <c r="C35"/>
      <c r="D35"/>
      <c r="E35"/>
      <c r="F35"/>
      <c r="G35"/>
      <c r="H35"/>
      <c r="W35"/>
    </row>
    <row r="36" spans="1:23" x14ac:dyDescent="0.25">
      <c r="A36"/>
      <c r="B36"/>
      <c r="C36"/>
      <c r="D36"/>
      <c r="E36"/>
      <c r="F36"/>
      <c r="G36"/>
      <c r="H36"/>
      <c r="W36"/>
    </row>
    <row r="37" spans="1:23" x14ac:dyDescent="0.25">
      <c r="A37"/>
      <c r="B37"/>
      <c r="C37"/>
      <c r="D37"/>
      <c r="E37"/>
      <c r="F37"/>
      <c r="G37"/>
      <c r="H37"/>
      <c r="W37"/>
    </row>
    <row r="38" spans="1:23" x14ac:dyDescent="0.25">
      <c r="A38"/>
      <c r="B38"/>
      <c r="C38"/>
      <c r="D38"/>
      <c r="E38"/>
      <c r="F38"/>
      <c r="G38"/>
      <c r="H38"/>
      <c r="W38"/>
    </row>
    <row r="39" spans="1:23" x14ac:dyDescent="0.25">
      <c r="A39"/>
      <c r="B39"/>
      <c r="C39"/>
      <c r="D39"/>
      <c r="E39"/>
      <c r="F39"/>
      <c r="G39"/>
      <c r="H39"/>
      <c r="W39"/>
    </row>
    <row r="40" spans="1:23" x14ac:dyDescent="0.25">
      <c r="A40"/>
      <c r="B40"/>
      <c r="C40"/>
      <c r="D40"/>
      <c r="E40"/>
      <c r="F40"/>
      <c r="G40"/>
      <c r="H40"/>
      <c r="W40"/>
    </row>
    <row r="41" spans="1:23" x14ac:dyDescent="0.25">
      <c r="A41"/>
      <c r="B41"/>
      <c r="C41"/>
      <c r="D41"/>
      <c r="E41"/>
      <c r="F41"/>
      <c r="G41"/>
      <c r="H41"/>
      <c r="W41"/>
    </row>
    <row r="42" spans="1:23" x14ac:dyDescent="0.25">
      <c r="A42"/>
      <c r="B42"/>
      <c r="C42"/>
      <c r="D42"/>
      <c r="E42"/>
      <c r="F42"/>
      <c r="G42"/>
      <c r="H42"/>
      <c r="W42"/>
    </row>
    <row r="43" spans="1:23" x14ac:dyDescent="0.25">
      <c r="A43"/>
      <c r="B43"/>
      <c r="C43"/>
      <c r="D43"/>
      <c r="E43"/>
      <c r="F43"/>
      <c r="G43"/>
      <c r="H43"/>
      <c r="W43"/>
    </row>
    <row r="44" spans="1:23" x14ac:dyDescent="0.25">
      <c r="A44"/>
      <c r="B44"/>
      <c r="C44"/>
      <c r="D44"/>
      <c r="E44"/>
      <c r="F44"/>
      <c r="G44"/>
      <c r="H44"/>
      <c r="W44"/>
    </row>
    <row r="45" spans="1:23" x14ac:dyDescent="0.25">
      <c r="A45"/>
      <c r="B45"/>
      <c r="C45"/>
      <c r="D45"/>
      <c r="E45"/>
      <c r="F45"/>
      <c r="G45"/>
      <c r="H45"/>
      <c r="W45"/>
    </row>
    <row r="46" spans="1:23" x14ac:dyDescent="0.25">
      <c r="A46"/>
      <c r="B46"/>
      <c r="C46"/>
      <c r="D46"/>
      <c r="E46"/>
      <c r="F46"/>
      <c r="G46"/>
      <c r="H46"/>
      <c r="W46"/>
    </row>
    <row r="47" spans="1:23" x14ac:dyDescent="0.25">
      <c r="A47"/>
      <c r="B47"/>
      <c r="C47"/>
      <c r="D47"/>
      <c r="E47"/>
      <c r="F47"/>
      <c r="G47"/>
      <c r="H47"/>
      <c r="W47"/>
    </row>
    <row r="48" spans="1:23" x14ac:dyDescent="0.25">
      <c r="A48"/>
      <c r="B48"/>
      <c r="C48"/>
      <c r="D48"/>
      <c r="E48"/>
      <c r="F48"/>
      <c r="G48"/>
      <c r="H48"/>
      <c r="W48"/>
    </row>
    <row r="49" spans="1:23" x14ac:dyDescent="0.25">
      <c r="A49"/>
      <c r="B49"/>
      <c r="C49"/>
      <c r="D49"/>
      <c r="E49"/>
      <c r="F49"/>
      <c r="G49"/>
      <c r="H49"/>
      <c r="W49"/>
    </row>
    <row r="50" spans="1:23" x14ac:dyDescent="0.25">
      <c r="A50"/>
      <c r="B50"/>
      <c r="C50"/>
      <c r="D50"/>
      <c r="E50"/>
      <c r="F50"/>
      <c r="G50"/>
      <c r="H50"/>
      <c r="W50"/>
    </row>
    <row r="51" spans="1:23" x14ac:dyDescent="0.25">
      <c r="A51"/>
      <c r="B51"/>
      <c r="C51"/>
      <c r="D51"/>
      <c r="E51"/>
      <c r="F51"/>
      <c r="G51"/>
      <c r="H51"/>
      <c r="W51"/>
    </row>
    <row r="52" spans="1:23" x14ac:dyDescent="0.25">
      <c r="A52"/>
      <c r="B52"/>
      <c r="C52"/>
      <c r="D52"/>
      <c r="E52"/>
      <c r="F52"/>
      <c r="G52"/>
      <c r="H52"/>
      <c r="W52"/>
    </row>
    <row r="53" spans="1:23" x14ac:dyDescent="0.25">
      <c r="A53"/>
      <c r="B53"/>
      <c r="C53"/>
      <c r="D53"/>
      <c r="E53"/>
      <c r="F53"/>
      <c r="G53"/>
      <c r="H53"/>
      <c r="W53"/>
    </row>
    <row r="54" spans="1:23" x14ac:dyDescent="0.25">
      <c r="A54"/>
      <c r="B54"/>
      <c r="C54"/>
      <c r="D54"/>
      <c r="E54"/>
      <c r="F54"/>
      <c r="G54"/>
      <c r="H54"/>
      <c r="W54"/>
    </row>
    <row r="55" spans="1:23" x14ac:dyDescent="0.25">
      <c r="A55"/>
      <c r="B55"/>
      <c r="C55"/>
      <c r="D55"/>
      <c r="E55"/>
      <c r="F55"/>
      <c r="G55"/>
      <c r="H55"/>
      <c r="W55"/>
    </row>
    <row r="56" spans="1:23" x14ac:dyDescent="0.25">
      <c r="A56"/>
      <c r="B56"/>
      <c r="C56"/>
      <c r="D56"/>
      <c r="E56"/>
      <c r="F56"/>
      <c r="G56"/>
      <c r="H56"/>
      <c r="W56"/>
    </row>
    <row r="57" spans="1:23" x14ac:dyDescent="0.25">
      <c r="A57"/>
      <c r="B57"/>
      <c r="C57"/>
      <c r="D57"/>
      <c r="E57"/>
      <c r="F57"/>
      <c r="G57"/>
      <c r="H57"/>
      <c r="W57"/>
    </row>
    <row r="58" spans="1:23" x14ac:dyDescent="0.25">
      <c r="A58"/>
      <c r="B58"/>
      <c r="C58"/>
      <c r="D58"/>
      <c r="E58"/>
      <c r="F58"/>
      <c r="G58"/>
      <c r="H58"/>
      <c r="W58"/>
    </row>
    <row r="59" spans="1:23" x14ac:dyDescent="0.25">
      <c r="A59"/>
      <c r="B59"/>
      <c r="C59"/>
      <c r="D59"/>
      <c r="E59"/>
      <c r="F59"/>
      <c r="G59"/>
      <c r="H59"/>
      <c r="W59"/>
    </row>
    <row r="60" spans="1:23" x14ac:dyDescent="0.25">
      <c r="A60"/>
      <c r="B60"/>
      <c r="C60"/>
      <c r="D60"/>
      <c r="E60"/>
      <c r="F60"/>
      <c r="G60"/>
      <c r="H60"/>
      <c r="W60"/>
    </row>
    <row r="61" spans="1:23" x14ac:dyDescent="0.25">
      <c r="A61"/>
      <c r="B61"/>
      <c r="C61"/>
      <c r="D61"/>
      <c r="E61"/>
      <c r="F61"/>
      <c r="G61"/>
      <c r="H61"/>
      <c r="W61"/>
    </row>
    <row r="62" spans="1:23" x14ac:dyDescent="0.25">
      <c r="A62"/>
      <c r="B62"/>
      <c r="C62"/>
      <c r="D62"/>
      <c r="E62"/>
      <c r="F62"/>
      <c r="G62"/>
      <c r="H62"/>
      <c r="W62"/>
    </row>
    <row r="63" spans="1:23" x14ac:dyDescent="0.25">
      <c r="A63"/>
      <c r="B63"/>
      <c r="C63"/>
      <c r="D63"/>
      <c r="E63"/>
      <c r="F63"/>
      <c r="G63"/>
      <c r="H63"/>
      <c r="W63"/>
    </row>
    <row r="64" spans="1:23" x14ac:dyDescent="0.25">
      <c r="A64"/>
      <c r="B64"/>
      <c r="C64"/>
      <c r="D64"/>
      <c r="E64"/>
      <c r="F64"/>
      <c r="G64"/>
      <c r="H64"/>
      <c r="W64"/>
    </row>
    <row r="65" spans="1:23" x14ac:dyDescent="0.25">
      <c r="A65"/>
      <c r="B65"/>
      <c r="C65"/>
      <c r="D65"/>
      <c r="E65"/>
      <c r="F65"/>
      <c r="G65"/>
      <c r="H65"/>
      <c r="W65"/>
    </row>
    <row r="66" spans="1:23" x14ac:dyDescent="0.25">
      <c r="A66"/>
      <c r="B66"/>
      <c r="C66"/>
      <c r="D66"/>
      <c r="E66"/>
      <c r="F66"/>
      <c r="G66"/>
      <c r="H66"/>
      <c r="W66"/>
    </row>
    <row r="67" spans="1:23" x14ac:dyDescent="0.25">
      <c r="A67"/>
      <c r="B67"/>
      <c r="C67"/>
      <c r="D67"/>
      <c r="E67"/>
      <c r="F67"/>
      <c r="G67"/>
      <c r="H67"/>
      <c r="W67"/>
    </row>
    <row r="68" spans="1:23" x14ac:dyDescent="0.25">
      <c r="A68"/>
      <c r="B68"/>
      <c r="C68"/>
      <c r="D68"/>
      <c r="E68"/>
      <c r="F68"/>
      <c r="G68"/>
      <c r="H68"/>
      <c r="W68"/>
    </row>
    <row r="69" spans="1:23" x14ac:dyDescent="0.25">
      <c r="A69"/>
      <c r="B69"/>
      <c r="C69"/>
      <c r="D69"/>
      <c r="E69"/>
      <c r="F69"/>
      <c r="G69"/>
      <c r="H69"/>
      <c r="W69"/>
    </row>
    <row r="70" spans="1:23" x14ac:dyDescent="0.25">
      <c r="A70"/>
      <c r="B70"/>
      <c r="C70"/>
      <c r="D70"/>
      <c r="E70"/>
      <c r="F70"/>
      <c r="G70"/>
      <c r="H70"/>
      <c r="W70"/>
    </row>
    <row r="71" spans="1:23" x14ac:dyDescent="0.25">
      <c r="A71"/>
      <c r="B71"/>
      <c r="C71"/>
      <c r="D71"/>
      <c r="E71"/>
      <c r="F71"/>
      <c r="G71"/>
      <c r="H71"/>
      <c r="W71"/>
    </row>
    <row r="72" spans="1:23" x14ac:dyDescent="0.25">
      <c r="A72"/>
      <c r="B72"/>
      <c r="C72"/>
      <c r="D72"/>
      <c r="E72"/>
      <c r="F72"/>
      <c r="G72"/>
      <c r="H72"/>
      <c r="W72"/>
    </row>
    <row r="73" spans="1:23" x14ac:dyDescent="0.25">
      <c r="A73"/>
      <c r="B73"/>
      <c r="C73"/>
      <c r="D73"/>
      <c r="E73"/>
      <c r="F73"/>
      <c r="G73"/>
      <c r="H73"/>
      <c r="W73"/>
    </row>
    <row r="74" spans="1:23" x14ac:dyDescent="0.25">
      <c r="A74"/>
      <c r="B74"/>
      <c r="C74"/>
      <c r="D74"/>
      <c r="E74"/>
      <c r="F74"/>
      <c r="G74"/>
      <c r="H74"/>
      <c r="W74"/>
    </row>
    <row r="75" spans="1:23" x14ac:dyDescent="0.25">
      <c r="A75"/>
      <c r="B75"/>
      <c r="C75"/>
      <c r="D75"/>
      <c r="E75"/>
      <c r="F75"/>
      <c r="G75"/>
      <c r="H75"/>
      <c r="W75"/>
    </row>
    <row r="76" spans="1:23" x14ac:dyDescent="0.25">
      <c r="A76"/>
      <c r="B76"/>
      <c r="C76"/>
      <c r="D76"/>
      <c r="E76"/>
      <c r="F76"/>
      <c r="G76"/>
      <c r="H76"/>
      <c r="W76"/>
    </row>
    <row r="77" spans="1:23" x14ac:dyDescent="0.25">
      <c r="A77"/>
      <c r="B77"/>
      <c r="C77"/>
      <c r="D77"/>
      <c r="E77"/>
      <c r="F77"/>
      <c r="G77"/>
      <c r="H77"/>
      <c r="W77"/>
    </row>
    <row r="78" spans="1:23" x14ac:dyDescent="0.25">
      <c r="A78"/>
      <c r="B78"/>
      <c r="C78"/>
      <c r="D78"/>
      <c r="E78"/>
      <c r="F78"/>
      <c r="G78"/>
      <c r="H78"/>
      <c r="W78"/>
    </row>
    <row r="79" spans="1:23" x14ac:dyDescent="0.25">
      <c r="A79"/>
      <c r="B79"/>
      <c r="C79"/>
      <c r="D79"/>
      <c r="E79"/>
      <c r="F79"/>
      <c r="G79"/>
      <c r="H79"/>
      <c r="W79"/>
    </row>
    <row r="80" spans="1:23" x14ac:dyDescent="0.25">
      <c r="A80"/>
      <c r="B80"/>
      <c r="C80"/>
      <c r="D80"/>
      <c r="E80"/>
      <c r="F80"/>
      <c r="G80"/>
      <c r="H80"/>
      <c r="W80"/>
    </row>
    <row r="81" spans="1:23" x14ac:dyDescent="0.25">
      <c r="A81"/>
      <c r="B81"/>
      <c r="C81"/>
      <c r="D81"/>
      <c r="E81"/>
      <c r="F81"/>
      <c r="G81"/>
      <c r="H81"/>
      <c r="W81"/>
    </row>
    <row r="82" spans="1:23" x14ac:dyDescent="0.25">
      <c r="A82"/>
      <c r="B82"/>
      <c r="C82"/>
      <c r="D82"/>
      <c r="E82"/>
      <c r="F82"/>
      <c r="G82"/>
      <c r="H82"/>
      <c r="W82"/>
    </row>
    <row r="83" spans="1:23" x14ac:dyDescent="0.25">
      <c r="A83"/>
      <c r="B83"/>
      <c r="C83"/>
      <c r="D83"/>
      <c r="E83"/>
      <c r="F83"/>
      <c r="G83"/>
      <c r="H83"/>
      <c r="W83"/>
    </row>
    <row r="84" spans="1:23" x14ac:dyDescent="0.25">
      <c r="A84"/>
      <c r="B84"/>
      <c r="C84"/>
      <c r="D84"/>
      <c r="E84"/>
      <c r="F84"/>
      <c r="G84"/>
      <c r="H84"/>
      <c r="W84"/>
    </row>
    <row r="85" spans="1:23" x14ac:dyDescent="0.25">
      <c r="A85"/>
      <c r="B85"/>
      <c r="C85"/>
      <c r="D85"/>
      <c r="E85"/>
      <c r="F85"/>
      <c r="G85"/>
      <c r="H85"/>
      <c r="W85"/>
    </row>
    <row r="86" spans="1:23" x14ac:dyDescent="0.25">
      <c r="A86"/>
      <c r="B86"/>
      <c r="C86"/>
      <c r="D86"/>
      <c r="E86"/>
      <c r="F86"/>
      <c r="G86"/>
      <c r="H86"/>
      <c r="W86"/>
    </row>
    <row r="87" spans="1:23" x14ac:dyDescent="0.25">
      <c r="A87"/>
      <c r="B87"/>
      <c r="C87"/>
      <c r="D87"/>
      <c r="E87"/>
      <c r="F87"/>
      <c r="G87"/>
      <c r="H87"/>
      <c r="W87"/>
    </row>
    <row r="88" spans="1:23" x14ac:dyDescent="0.25">
      <c r="A88"/>
      <c r="B88"/>
      <c r="C88"/>
      <c r="D88"/>
      <c r="E88"/>
      <c r="F88"/>
      <c r="G88"/>
      <c r="H88"/>
      <c r="W88"/>
    </row>
    <row r="89" spans="1:23" x14ac:dyDescent="0.25">
      <c r="A89"/>
      <c r="B89"/>
      <c r="C89"/>
      <c r="D89"/>
      <c r="E89"/>
      <c r="F89"/>
      <c r="G89"/>
      <c r="H89"/>
      <c r="W89"/>
    </row>
    <row r="90" spans="1:23" x14ac:dyDescent="0.25">
      <c r="A90"/>
      <c r="B90"/>
      <c r="C90"/>
      <c r="D90"/>
      <c r="E90"/>
      <c r="F90"/>
      <c r="G90"/>
      <c r="H90"/>
      <c r="W90"/>
    </row>
    <row r="91" spans="1:23" x14ac:dyDescent="0.25">
      <c r="A91"/>
      <c r="B91"/>
      <c r="C91"/>
      <c r="D91"/>
      <c r="E91"/>
      <c r="F91"/>
      <c r="G91"/>
      <c r="H91"/>
      <c r="W91"/>
    </row>
    <row r="92" spans="1:23" x14ac:dyDescent="0.25">
      <c r="A92"/>
      <c r="B92"/>
      <c r="C92"/>
      <c r="D92"/>
      <c r="E92"/>
      <c r="F92"/>
      <c r="G92"/>
      <c r="H92"/>
      <c r="W92"/>
    </row>
    <row r="93" spans="1:23" x14ac:dyDescent="0.25">
      <c r="A93"/>
      <c r="B93"/>
      <c r="C93"/>
      <c r="D93"/>
      <c r="E93"/>
      <c r="F93"/>
      <c r="G93"/>
      <c r="H93"/>
      <c r="W93"/>
    </row>
    <row r="94" spans="1:23" x14ac:dyDescent="0.25">
      <c r="A94"/>
      <c r="B94"/>
      <c r="C94"/>
      <c r="D94"/>
      <c r="E94"/>
      <c r="F94"/>
      <c r="G94"/>
      <c r="H94"/>
      <c r="W94"/>
    </row>
    <row r="95" spans="1:23" x14ac:dyDescent="0.25">
      <c r="A95"/>
      <c r="B95"/>
      <c r="C95"/>
      <c r="D95"/>
      <c r="E95"/>
      <c r="F95"/>
      <c r="G95"/>
      <c r="H95"/>
      <c r="W95"/>
    </row>
    <row r="96" spans="1:23" x14ac:dyDescent="0.25">
      <c r="A96"/>
      <c r="B96"/>
      <c r="C96"/>
      <c r="D96"/>
      <c r="E96"/>
      <c r="F96"/>
      <c r="G96"/>
      <c r="H96"/>
      <c r="W96"/>
    </row>
    <row r="97" spans="1:23" x14ac:dyDescent="0.25">
      <c r="A97"/>
      <c r="B97"/>
      <c r="C97"/>
      <c r="D97"/>
      <c r="E97"/>
      <c r="F97"/>
      <c r="G97"/>
      <c r="H97"/>
      <c r="W97"/>
    </row>
    <row r="98" spans="1:23" x14ac:dyDescent="0.25">
      <c r="A98"/>
      <c r="B98"/>
      <c r="C98"/>
      <c r="D98"/>
      <c r="E98"/>
      <c r="F98"/>
      <c r="G98"/>
      <c r="H98"/>
      <c r="W98"/>
    </row>
    <row r="99" spans="1:23" x14ac:dyDescent="0.25">
      <c r="A99"/>
      <c r="B99"/>
      <c r="C99"/>
      <c r="D99"/>
      <c r="E99"/>
      <c r="F99"/>
      <c r="G99"/>
      <c r="H99"/>
      <c r="W99"/>
    </row>
    <row r="100" spans="1:23" x14ac:dyDescent="0.25">
      <c r="A100"/>
      <c r="B100"/>
      <c r="C100"/>
      <c r="D100"/>
      <c r="E100"/>
      <c r="F100"/>
      <c r="G100"/>
      <c r="H100"/>
      <c r="W100"/>
    </row>
    <row r="101" spans="1:23" x14ac:dyDescent="0.25">
      <c r="A101"/>
      <c r="B101"/>
      <c r="C101"/>
      <c r="D101"/>
      <c r="E101"/>
      <c r="F101"/>
      <c r="G101"/>
      <c r="H101"/>
      <c r="W101"/>
    </row>
    <row r="102" spans="1:23" x14ac:dyDescent="0.25">
      <c r="A102"/>
      <c r="B102"/>
      <c r="C102"/>
      <c r="D102"/>
      <c r="E102"/>
      <c r="F102"/>
      <c r="G102"/>
      <c r="H102"/>
      <c r="W102"/>
    </row>
    <row r="103" spans="1:23" x14ac:dyDescent="0.25">
      <c r="A103"/>
      <c r="B103"/>
      <c r="C103"/>
      <c r="D103"/>
      <c r="E103"/>
      <c r="F103"/>
      <c r="G103"/>
      <c r="H103"/>
      <c r="W103"/>
    </row>
    <row r="104" spans="1:23" x14ac:dyDescent="0.25">
      <c r="A104"/>
      <c r="B104"/>
      <c r="C104"/>
      <c r="D104"/>
      <c r="E104"/>
      <c r="F104"/>
      <c r="G104"/>
      <c r="H104"/>
      <c r="W104"/>
    </row>
    <row r="105" spans="1:23" x14ac:dyDescent="0.25">
      <c r="A105"/>
      <c r="B105"/>
      <c r="C105"/>
      <c r="D105"/>
      <c r="E105"/>
      <c r="F105"/>
      <c r="G105"/>
      <c r="H105"/>
      <c r="W105"/>
    </row>
    <row r="106" spans="1:23" x14ac:dyDescent="0.25">
      <c r="A106"/>
      <c r="B106"/>
      <c r="C106"/>
      <c r="D106"/>
      <c r="E106"/>
      <c r="F106"/>
      <c r="G106"/>
      <c r="H106"/>
      <c r="W106"/>
    </row>
    <row r="107" spans="1:23" x14ac:dyDescent="0.25">
      <c r="A107"/>
      <c r="B107"/>
      <c r="C107"/>
      <c r="D107"/>
      <c r="E107"/>
      <c r="F107"/>
      <c r="G107"/>
      <c r="H107"/>
      <c r="W107"/>
    </row>
    <row r="108" spans="1:23" x14ac:dyDescent="0.25">
      <c r="A108"/>
      <c r="B108"/>
      <c r="C108"/>
      <c r="D108"/>
      <c r="E108"/>
      <c r="F108"/>
      <c r="G108"/>
      <c r="H108"/>
      <c r="W108"/>
    </row>
    <row r="109" spans="1:23" x14ac:dyDescent="0.25">
      <c r="A109"/>
      <c r="B109"/>
      <c r="C109"/>
      <c r="D109"/>
      <c r="E109"/>
      <c r="F109"/>
      <c r="G109"/>
      <c r="H109"/>
      <c r="W109"/>
    </row>
    <row r="110" spans="1:23" x14ac:dyDescent="0.25">
      <c r="A110"/>
      <c r="B110"/>
      <c r="C110"/>
      <c r="D110"/>
      <c r="E110"/>
      <c r="F110"/>
      <c r="G110"/>
      <c r="H110"/>
      <c r="W110"/>
    </row>
    <row r="111" spans="1:23" x14ac:dyDescent="0.25">
      <c r="A111"/>
      <c r="B111"/>
      <c r="C111"/>
      <c r="D111"/>
      <c r="E111"/>
      <c r="F111"/>
      <c r="G111"/>
      <c r="H111"/>
      <c r="W111"/>
    </row>
    <row r="112" spans="1:23" x14ac:dyDescent="0.25">
      <c r="A112"/>
      <c r="B112"/>
      <c r="C112"/>
      <c r="D112"/>
      <c r="E112"/>
      <c r="F112"/>
      <c r="G112"/>
      <c r="H112"/>
      <c r="W112"/>
    </row>
    <row r="113" spans="1:23" x14ac:dyDescent="0.25">
      <c r="A113"/>
      <c r="B113"/>
      <c r="C113"/>
      <c r="D113"/>
      <c r="E113"/>
      <c r="F113"/>
      <c r="G113"/>
      <c r="H113"/>
      <c r="W113"/>
    </row>
    <row r="114" spans="1:23" x14ac:dyDescent="0.25">
      <c r="A114"/>
      <c r="B114"/>
      <c r="C114"/>
      <c r="D114"/>
      <c r="E114"/>
      <c r="F114"/>
      <c r="G114"/>
      <c r="H114"/>
      <c r="W114"/>
    </row>
    <row r="115" spans="1:23" x14ac:dyDescent="0.25">
      <c r="A115"/>
      <c r="B115"/>
      <c r="C115"/>
      <c r="D115"/>
      <c r="E115"/>
      <c r="F115"/>
      <c r="G115"/>
      <c r="H115"/>
      <c r="W115"/>
    </row>
    <row r="116" spans="1:23" x14ac:dyDescent="0.25">
      <c r="A116"/>
      <c r="B116"/>
      <c r="C116"/>
      <c r="D116"/>
      <c r="E116"/>
      <c r="F116"/>
      <c r="G116"/>
      <c r="H116"/>
      <c r="W116"/>
    </row>
    <row r="117" spans="1:23" x14ac:dyDescent="0.25">
      <c r="A117"/>
      <c r="B117"/>
      <c r="C117"/>
      <c r="D117"/>
      <c r="E117"/>
      <c r="F117"/>
      <c r="G117"/>
      <c r="H117"/>
      <c r="W117"/>
    </row>
    <row r="118" spans="1:23" x14ac:dyDescent="0.25">
      <c r="A118"/>
      <c r="B118"/>
      <c r="C118"/>
      <c r="D118"/>
      <c r="E118"/>
      <c r="F118"/>
      <c r="G118"/>
      <c r="H118"/>
      <c r="W118"/>
    </row>
    <row r="119" spans="1:23" x14ac:dyDescent="0.25">
      <c r="A119"/>
      <c r="B119"/>
      <c r="C119"/>
      <c r="D119"/>
      <c r="E119"/>
      <c r="F119"/>
      <c r="G119"/>
      <c r="H119"/>
      <c r="W119"/>
    </row>
    <row r="120" spans="1:23" x14ac:dyDescent="0.25">
      <c r="A120"/>
      <c r="B120"/>
      <c r="C120"/>
      <c r="D120"/>
      <c r="E120"/>
      <c r="F120"/>
      <c r="G120"/>
      <c r="H120"/>
      <c r="W120"/>
    </row>
    <row r="121" spans="1:23" x14ac:dyDescent="0.25">
      <c r="A121"/>
      <c r="B121"/>
      <c r="C121"/>
      <c r="D121"/>
      <c r="E121"/>
      <c r="F121"/>
      <c r="G121"/>
      <c r="H121"/>
      <c r="W121"/>
    </row>
    <row r="122" spans="1:23" x14ac:dyDescent="0.25">
      <c r="A122"/>
      <c r="B122"/>
      <c r="C122"/>
      <c r="D122"/>
      <c r="E122"/>
      <c r="F122"/>
      <c r="G122"/>
      <c r="H122"/>
      <c r="W122"/>
    </row>
    <row r="123" spans="1:23" x14ac:dyDescent="0.25">
      <c r="A123"/>
      <c r="B123"/>
      <c r="C123"/>
      <c r="D123"/>
      <c r="E123"/>
      <c r="F123"/>
      <c r="G123"/>
      <c r="H123"/>
      <c r="W123"/>
    </row>
    <row r="124" spans="1:23" x14ac:dyDescent="0.25">
      <c r="A124"/>
      <c r="B124"/>
      <c r="C124"/>
      <c r="D124"/>
      <c r="E124"/>
      <c r="F124"/>
      <c r="G124"/>
      <c r="H124"/>
      <c r="W124"/>
    </row>
    <row r="125" spans="1:23" x14ac:dyDescent="0.25">
      <c r="A125"/>
      <c r="B125"/>
      <c r="C125"/>
      <c r="D125"/>
      <c r="E125"/>
      <c r="F125"/>
      <c r="G125"/>
      <c r="H125"/>
      <c r="W125"/>
    </row>
    <row r="126" spans="1:23" x14ac:dyDescent="0.25">
      <c r="A126"/>
      <c r="B126"/>
      <c r="C126"/>
      <c r="D126"/>
      <c r="E126"/>
      <c r="F126"/>
      <c r="G126"/>
      <c r="H126"/>
      <c r="W126"/>
    </row>
    <row r="127" spans="1:23" x14ac:dyDescent="0.25">
      <c r="A127"/>
      <c r="B127"/>
      <c r="C127"/>
      <c r="D127"/>
      <c r="E127"/>
      <c r="F127"/>
      <c r="G127"/>
      <c r="H127"/>
      <c r="W127"/>
    </row>
    <row r="128" spans="1:23" x14ac:dyDescent="0.25">
      <c r="A128"/>
      <c r="B128"/>
      <c r="C128"/>
      <c r="D128"/>
      <c r="E128"/>
      <c r="F128"/>
      <c r="G128"/>
      <c r="H128"/>
      <c r="W128"/>
    </row>
    <row r="129" spans="1:23" x14ac:dyDescent="0.25">
      <c r="A129"/>
      <c r="B129"/>
      <c r="C129"/>
      <c r="D129"/>
      <c r="E129"/>
      <c r="F129"/>
      <c r="G129"/>
      <c r="H129"/>
      <c r="W129"/>
    </row>
    <row r="130" spans="1:23" x14ac:dyDescent="0.25">
      <c r="A130"/>
      <c r="B130"/>
      <c r="C130"/>
      <c r="D130"/>
      <c r="E130"/>
      <c r="F130"/>
      <c r="G130"/>
      <c r="H130"/>
      <c r="W130"/>
    </row>
    <row r="131" spans="1:23" x14ac:dyDescent="0.25">
      <c r="A131"/>
      <c r="B131"/>
      <c r="C131"/>
      <c r="D131"/>
      <c r="E131"/>
      <c r="F131"/>
      <c r="G131"/>
      <c r="H131"/>
      <c r="W131"/>
    </row>
    <row r="132" spans="1:23" x14ac:dyDescent="0.25">
      <c r="A132"/>
      <c r="B132"/>
      <c r="C132"/>
      <c r="D132"/>
      <c r="E132"/>
      <c r="F132"/>
      <c r="G132"/>
      <c r="H132"/>
      <c r="W132"/>
    </row>
    <row r="133" spans="1:23" x14ac:dyDescent="0.25">
      <c r="A133"/>
      <c r="B133"/>
      <c r="C133"/>
      <c r="D133"/>
      <c r="E133"/>
      <c r="F133"/>
      <c r="G133"/>
      <c r="H133"/>
      <c r="W133"/>
    </row>
    <row r="134" spans="1:23" x14ac:dyDescent="0.25">
      <c r="A134"/>
      <c r="B134"/>
      <c r="C134"/>
      <c r="D134"/>
      <c r="E134"/>
      <c r="F134"/>
      <c r="G134"/>
      <c r="H134"/>
      <c r="W134"/>
    </row>
    <row r="135" spans="1:23" x14ac:dyDescent="0.25">
      <c r="A135"/>
      <c r="B135"/>
      <c r="C135"/>
      <c r="D135"/>
      <c r="E135"/>
      <c r="F135"/>
      <c r="G135"/>
      <c r="H135"/>
      <c r="W135"/>
    </row>
    <row r="136" spans="1:23" x14ac:dyDescent="0.25">
      <c r="A136"/>
      <c r="B136"/>
      <c r="C136"/>
      <c r="D136"/>
      <c r="E136"/>
      <c r="F136"/>
      <c r="G136"/>
      <c r="H136"/>
      <c r="W136"/>
    </row>
    <row r="137" spans="1:23" x14ac:dyDescent="0.25">
      <c r="A137"/>
      <c r="B137"/>
      <c r="C137"/>
      <c r="D137"/>
      <c r="E137"/>
      <c r="F137"/>
      <c r="G137"/>
      <c r="H137"/>
      <c r="W137"/>
    </row>
    <row r="138" spans="1:23" x14ac:dyDescent="0.25">
      <c r="A138"/>
      <c r="B138"/>
      <c r="C138"/>
      <c r="D138"/>
      <c r="E138"/>
      <c r="F138"/>
      <c r="G138"/>
      <c r="H138"/>
      <c r="W138"/>
    </row>
    <row r="139" spans="1:23" x14ac:dyDescent="0.25">
      <c r="A139"/>
      <c r="B139"/>
      <c r="C139"/>
      <c r="D139"/>
      <c r="E139"/>
      <c r="F139"/>
      <c r="G139"/>
      <c r="H139"/>
      <c r="W139"/>
    </row>
    <row r="140" spans="1:23" x14ac:dyDescent="0.25">
      <c r="A140"/>
      <c r="B140"/>
      <c r="C140"/>
      <c r="D140"/>
      <c r="E140"/>
      <c r="F140"/>
      <c r="G140"/>
      <c r="H140"/>
      <c r="W140"/>
    </row>
    <row r="141" spans="1:23" x14ac:dyDescent="0.25">
      <c r="A141"/>
      <c r="B141"/>
      <c r="C141"/>
      <c r="D141"/>
      <c r="E141"/>
      <c r="F141"/>
      <c r="G141"/>
      <c r="H141"/>
      <c r="W141"/>
    </row>
    <row r="142" spans="1:23" x14ac:dyDescent="0.25">
      <c r="A142"/>
      <c r="B142"/>
      <c r="C142"/>
      <c r="D142"/>
      <c r="E142"/>
      <c r="F142"/>
      <c r="G142"/>
      <c r="H142"/>
      <c r="W142"/>
    </row>
    <row r="143" spans="1:23" x14ac:dyDescent="0.25">
      <c r="A143"/>
      <c r="B143"/>
      <c r="C143"/>
      <c r="D143"/>
      <c r="E143"/>
      <c r="F143"/>
      <c r="G143"/>
      <c r="H143"/>
      <c r="W143"/>
    </row>
    <row r="144" spans="1:23" x14ac:dyDescent="0.25">
      <c r="A144"/>
      <c r="B144"/>
      <c r="C144"/>
      <c r="D144"/>
      <c r="E144"/>
      <c r="F144"/>
      <c r="G144"/>
      <c r="H144"/>
      <c r="W144"/>
    </row>
    <row r="145" spans="1:23" x14ac:dyDescent="0.25">
      <c r="A145"/>
      <c r="B145"/>
      <c r="C145"/>
      <c r="D145"/>
      <c r="E145"/>
      <c r="F145"/>
      <c r="G145"/>
      <c r="H145"/>
      <c r="W145"/>
    </row>
    <row r="146" spans="1:23" x14ac:dyDescent="0.25">
      <c r="A146"/>
      <c r="B146"/>
      <c r="C146"/>
      <c r="D146"/>
      <c r="E146"/>
      <c r="F146"/>
      <c r="G146"/>
      <c r="H146"/>
      <c r="W146"/>
    </row>
    <row r="147" spans="1:23" x14ac:dyDescent="0.25">
      <c r="A147"/>
      <c r="B147"/>
      <c r="C147"/>
      <c r="D147"/>
      <c r="E147"/>
      <c r="F147"/>
      <c r="G147"/>
      <c r="H147"/>
      <c r="W147"/>
    </row>
    <row r="148" spans="1:23" x14ac:dyDescent="0.25">
      <c r="A148"/>
      <c r="B148"/>
      <c r="C148"/>
      <c r="D148"/>
      <c r="E148"/>
      <c r="F148"/>
      <c r="G148"/>
      <c r="H148"/>
      <c r="W148"/>
    </row>
    <row r="149" spans="1:23" x14ac:dyDescent="0.25">
      <c r="A149"/>
      <c r="B149"/>
      <c r="C149"/>
      <c r="D149"/>
      <c r="E149"/>
      <c r="F149"/>
      <c r="G149"/>
      <c r="H149"/>
      <c r="W149"/>
    </row>
    <row r="150" spans="1:23" x14ac:dyDescent="0.25">
      <c r="A150"/>
      <c r="B150"/>
      <c r="C150"/>
      <c r="D150"/>
      <c r="E150"/>
      <c r="F150"/>
      <c r="G150"/>
      <c r="H150"/>
      <c r="W150"/>
    </row>
    <row r="151" spans="1:23" x14ac:dyDescent="0.25">
      <c r="A151"/>
      <c r="B151"/>
      <c r="C151"/>
      <c r="D151"/>
      <c r="E151"/>
      <c r="F151"/>
      <c r="G151"/>
      <c r="H151"/>
      <c r="W151"/>
    </row>
    <row r="152" spans="1:23" x14ac:dyDescent="0.25">
      <c r="A152"/>
      <c r="B152"/>
      <c r="C152"/>
      <c r="D152"/>
      <c r="E152"/>
      <c r="F152"/>
      <c r="G152"/>
      <c r="H152"/>
      <c r="W152"/>
    </row>
    <row r="153" spans="1:23" x14ac:dyDescent="0.25">
      <c r="A153"/>
      <c r="B153"/>
      <c r="C153"/>
      <c r="D153"/>
      <c r="E153"/>
      <c r="F153"/>
      <c r="G153"/>
      <c r="H153"/>
      <c r="W153"/>
    </row>
    <row r="154" spans="1:23" x14ac:dyDescent="0.25">
      <c r="A154"/>
      <c r="B154"/>
      <c r="C154"/>
      <c r="D154"/>
      <c r="E154"/>
      <c r="F154"/>
      <c r="G154"/>
      <c r="H154"/>
      <c r="W154"/>
    </row>
    <row r="155" spans="1:23" x14ac:dyDescent="0.25">
      <c r="A155"/>
      <c r="B155"/>
      <c r="C155"/>
      <c r="D155"/>
      <c r="E155"/>
      <c r="F155"/>
      <c r="G155"/>
      <c r="H155"/>
      <c r="W155"/>
    </row>
    <row r="156" spans="1:23" x14ac:dyDescent="0.25">
      <c r="A156"/>
      <c r="B156"/>
      <c r="C156"/>
      <c r="D156"/>
      <c r="E156"/>
      <c r="F156"/>
      <c r="G156"/>
      <c r="H156"/>
      <c r="W156"/>
    </row>
    <row r="157" spans="1:23" x14ac:dyDescent="0.25">
      <c r="A157"/>
      <c r="B157"/>
      <c r="C157"/>
      <c r="D157"/>
      <c r="E157"/>
      <c r="F157"/>
      <c r="G157"/>
      <c r="H157"/>
      <c r="W157"/>
    </row>
    <row r="158" spans="1:23" x14ac:dyDescent="0.25">
      <c r="A158"/>
      <c r="B158"/>
      <c r="C158"/>
      <c r="D158"/>
      <c r="E158"/>
      <c r="F158"/>
      <c r="G158"/>
      <c r="H158"/>
      <c r="W158"/>
    </row>
    <row r="159" spans="1:23" x14ac:dyDescent="0.25">
      <c r="A159"/>
      <c r="B159"/>
      <c r="C159"/>
      <c r="D159"/>
      <c r="E159"/>
      <c r="F159"/>
      <c r="G159"/>
      <c r="H159"/>
      <c r="W159"/>
    </row>
    <row r="160" spans="1:23" x14ac:dyDescent="0.25">
      <c r="A160"/>
      <c r="B160"/>
      <c r="C160"/>
      <c r="D160"/>
      <c r="E160"/>
      <c r="F160"/>
      <c r="G160"/>
      <c r="H160"/>
      <c r="W160"/>
    </row>
    <row r="161" spans="1:23" x14ac:dyDescent="0.25">
      <c r="A161"/>
      <c r="B161"/>
      <c r="C161"/>
      <c r="D161"/>
      <c r="E161"/>
      <c r="F161"/>
      <c r="G161"/>
      <c r="H161"/>
      <c r="W161"/>
    </row>
    <row r="162" spans="1:23" x14ac:dyDescent="0.25">
      <c r="A162"/>
      <c r="B162"/>
      <c r="C162"/>
      <c r="D162"/>
      <c r="E162"/>
      <c r="F162"/>
      <c r="G162"/>
      <c r="H162"/>
      <c r="W162"/>
    </row>
    <row r="163" spans="1:23" x14ac:dyDescent="0.25">
      <c r="A163"/>
      <c r="B163"/>
      <c r="C163"/>
      <c r="D163"/>
      <c r="E163"/>
      <c r="F163"/>
      <c r="G163"/>
      <c r="H163"/>
      <c r="W163"/>
    </row>
    <row r="164" spans="1:23" x14ac:dyDescent="0.25">
      <c r="A164"/>
      <c r="B164"/>
      <c r="C164"/>
      <c r="D164"/>
      <c r="E164"/>
      <c r="F164"/>
      <c r="G164"/>
      <c r="H164"/>
      <c r="W164"/>
    </row>
    <row r="165" spans="1:23" x14ac:dyDescent="0.25">
      <c r="A165"/>
      <c r="B165"/>
      <c r="C165"/>
      <c r="D165"/>
      <c r="E165"/>
      <c r="F165"/>
      <c r="G165"/>
      <c r="H165"/>
      <c r="W165"/>
    </row>
    <row r="166" spans="1:23" x14ac:dyDescent="0.25">
      <c r="A166"/>
      <c r="B166"/>
      <c r="C166"/>
      <c r="D166"/>
      <c r="E166"/>
      <c r="F166"/>
      <c r="G166"/>
      <c r="H166"/>
      <c r="W166"/>
    </row>
    <row r="167" spans="1:23" x14ac:dyDescent="0.25">
      <c r="A167"/>
      <c r="B167"/>
      <c r="C167"/>
      <c r="D167"/>
      <c r="E167"/>
      <c r="F167"/>
      <c r="G167"/>
      <c r="H167"/>
      <c r="W167"/>
    </row>
    <row r="168" spans="1:23" x14ac:dyDescent="0.25">
      <c r="A168"/>
      <c r="B168"/>
      <c r="C168"/>
      <c r="D168"/>
      <c r="E168"/>
      <c r="F168"/>
      <c r="G168"/>
      <c r="H168"/>
      <c r="W168"/>
    </row>
    <row r="169" spans="1:23" x14ac:dyDescent="0.25">
      <c r="A169"/>
      <c r="B169"/>
      <c r="C169"/>
      <c r="D169"/>
      <c r="E169"/>
      <c r="F169"/>
      <c r="G169"/>
      <c r="H169"/>
      <c r="W169"/>
    </row>
    <row r="170" spans="1:23" x14ac:dyDescent="0.25">
      <c r="A170"/>
      <c r="B170"/>
      <c r="C170"/>
      <c r="D170"/>
      <c r="E170"/>
      <c r="F170"/>
      <c r="G170"/>
      <c r="H170"/>
      <c r="W170"/>
    </row>
    <row r="171" spans="1:23" x14ac:dyDescent="0.25">
      <c r="A171"/>
      <c r="B171"/>
      <c r="C171"/>
      <c r="D171"/>
      <c r="E171"/>
      <c r="F171"/>
      <c r="G171"/>
      <c r="H171"/>
      <c r="W171"/>
    </row>
    <row r="172" spans="1:23" x14ac:dyDescent="0.25">
      <c r="A172"/>
      <c r="B172"/>
      <c r="C172"/>
      <c r="D172"/>
      <c r="E172"/>
      <c r="F172"/>
      <c r="G172"/>
      <c r="H172"/>
      <c r="W172"/>
    </row>
    <row r="173" spans="1:23" x14ac:dyDescent="0.25">
      <c r="A173"/>
      <c r="B173"/>
      <c r="C173"/>
      <c r="D173"/>
      <c r="E173"/>
      <c r="F173"/>
      <c r="G173"/>
      <c r="H173"/>
      <c r="W173"/>
    </row>
    <row r="174" spans="1:23" x14ac:dyDescent="0.25">
      <c r="A174"/>
      <c r="B174"/>
      <c r="C174"/>
      <c r="D174"/>
      <c r="E174"/>
      <c r="F174"/>
      <c r="G174"/>
      <c r="H174"/>
      <c r="W174"/>
    </row>
    <row r="175" spans="1:23" x14ac:dyDescent="0.25">
      <c r="A175"/>
      <c r="B175"/>
      <c r="C175"/>
      <c r="D175"/>
      <c r="E175"/>
      <c r="F175"/>
      <c r="G175"/>
      <c r="H175"/>
      <c r="W175"/>
    </row>
    <row r="176" spans="1:23" x14ac:dyDescent="0.25">
      <c r="A176"/>
      <c r="B176"/>
      <c r="C176"/>
      <c r="D176"/>
      <c r="E176"/>
      <c r="F176"/>
      <c r="G176"/>
      <c r="H176"/>
      <c r="W176"/>
    </row>
    <row r="177" spans="1:23" x14ac:dyDescent="0.25">
      <c r="A177"/>
      <c r="B177"/>
      <c r="C177"/>
      <c r="D177"/>
      <c r="E177"/>
      <c r="F177"/>
      <c r="G177"/>
      <c r="H177"/>
      <c r="W177"/>
    </row>
    <row r="178" spans="1:23" x14ac:dyDescent="0.25">
      <c r="A178"/>
      <c r="B178"/>
      <c r="C178"/>
      <c r="D178"/>
      <c r="E178"/>
      <c r="F178"/>
      <c r="G178"/>
      <c r="H178"/>
      <c r="W178"/>
    </row>
    <row r="179" spans="1:23" x14ac:dyDescent="0.25">
      <c r="A179"/>
      <c r="B179"/>
      <c r="C179"/>
      <c r="D179"/>
      <c r="E179"/>
      <c r="F179"/>
      <c r="G179"/>
      <c r="H179"/>
      <c r="W179"/>
    </row>
    <row r="180" spans="1:23" x14ac:dyDescent="0.25">
      <c r="A180"/>
      <c r="B180"/>
      <c r="C180"/>
      <c r="D180"/>
      <c r="E180"/>
      <c r="F180"/>
      <c r="G180"/>
      <c r="H180"/>
      <c r="W180"/>
    </row>
    <row r="181" spans="1:23" x14ac:dyDescent="0.25">
      <c r="A181"/>
      <c r="B181"/>
      <c r="C181"/>
      <c r="D181"/>
      <c r="E181"/>
      <c r="F181"/>
      <c r="G181"/>
      <c r="H181"/>
      <c r="W181"/>
    </row>
    <row r="182" spans="1:23" x14ac:dyDescent="0.25">
      <c r="A182"/>
      <c r="B182"/>
      <c r="C182"/>
      <c r="D182"/>
      <c r="E182"/>
      <c r="F182"/>
      <c r="G182"/>
      <c r="H182"/>
      <c r="W182"/>
    </row>
    <row r="183" spans="1:23" x14ac:dyDescent="0.25">
      <c r="A183"/>
      <c r="B183"/>
      <c r="C183"/>
      <c r="D183"/>
      <c r="E183"/>
      <c r="F183"/>
      <c r="G183"/>
      <c r="H183"/>
      <c r="W183"/>
    </row>
    <row r="184" spans="1:23" x14ac:dyDescent="0.25">
      <c r="A184"/>
      <c r="B184"/>
      <c r="C184"/>
      <c r="D184"/>
      <c r="E184"/>
      <c r="F184"/>
      <c r="G184"/>
      <c r="H184"/>
      <c r="W184"/>
    </row>
    <row r="185" spans="1:23" x14ac:dyDescent="0.25">
      <c r="A185"/>
      <c r="B185"/>
      <c r="C185"/>
      <c r="D185"/>
      <c r="E185"/>
      <c r="F185"/>
      <c r="G185"/>
      <c r="H185"/>
      <c r="W185"/>
    </row>
    <row r="186" spans="1:23" x14ac:dyDescent="0.25">
      <c r="A186"/>
      <c r="B186"/>
      <c r="C186"/>
      <c r="D186"/>
      <c r="E186"/>
      <c r="F186"/>
      <c r="G186"/>
      <c r="H186"/>
      <c r="W186"/>
    </row>
    <row r="187" spans="1:23" x14ac:dyDescent="0.25">
      <c r="A187"/>
      <c r="B187"/>
      <c r="C187"/>
      <c r="D187"/>
      <c r="E187"/>
      <c r="F187"/>
      <c r="G187"/>
      <c r="H187"/>
      <c r="W187"/>
    </row>
    <row r="188" spans="1:23" x14ac:dyDescent="0.25">
      <c r="A188"/>
      <c r="B188"/>
      <c r="C188"/>
      <c r="D188"/>
      <c r="E188"/>
      <c r="F188"/>
      <c r="G188"/>
      <c r="H188"/>
      <c r="W188"/>
    </row>
    <row r="189" spans="1:23" x14ac:dyDescent="0.25">
      <c r="A189"/>
      <c r="B189"/>
      <c r="C189"/>
      <c r="D189"/>
      <c r="E189"/>
      <c r="F189"/>
      <c r="G189"/>
      <c r="H189"/>
      <c r="W189"/>
    </row>
    <row r="190" spans="1:23" x14ac:dyDescent="0.25">
      <c r="A190"/>
      <c r="B190"/>
      <c r="C190"/>
      <c r="D190"/>
      <c r="E190"/>
      <c r="F190"/>
      <c r="G190"/>
      <c r="H190"/>
      <c r="W190"/>
    </row>
    <row r="191" spans="1:23" x14ac:dyDescent="0.25">
      <c r="A191"/>
      <c r="B191"/>
      <c r="C191"/>
      <c r="D191"/>
      <c r="E191"/>
      <c r="F191"/>
      <c r="G191"/>
      <c r="H191"/>
      <c r="W191"/>
    </row>
    <row r="192" spans="1:23" x14ac:dyDescent="0.25">
      <c r="A192"/>
      <c r="B192"/>
      <c r="C192"/>
      <c r="D192"/>
      <c r="E192"/>
      <c r="F192"/>
      <c r="G192"/>
      <c r="H192"/>
      <c r="W192"/>
    </row>
    <row r="193" spans="1:23" x14ac:dyDescent="0.25">
      <c r="A193"/>
      <c r="B193"/>
      <c r="C193"/>
      <c r="D193"/>
      <c r="E193"/>
      <c r="F193"/>
      <c r="G193"/>
      <c r="H193"/>
      <c r="W193"/>
    </row>
    <row r="194" spans="1:23" x14ac:dyDescent="0.25">
      <c r="A194"/>
      <c r="B194"/>
      <c r="C194"/>
      <c r="D194"/>
      <c r="E194"/>
      <c r="F194"/>
      <c r="G194"/>
      <c r="H194"/>
      <c r="W194"/>
    </row>
    <row r="195" spans="1:23" x14ac:dyDescent="0.25">
      <c r="A195"/>
      <c r="B195"/>
      <c r="C195"/>
      <c r="D195"/>
      <c r="E195"/>
      <c r="F195"/>
      <c r="G195"/>
      <c r="H195"/>
      <c r="W195"/>
    </row>
    <row r="196" spans="1:23" x14ac:dyDescent="0.25">
      <c r="A196"/>
      <c r="B196"/>
      <c r="C196"/>
      <c r="D196"/>
      <c r="E196"/>
      <c r="F196"/>
      <c r="G196"/>
      <c r="H196"/>
      <c r="W196"/>
    </row>
    <row r="197" spans="1:23" x14ac:dyDescent="0.25">
      <c r="A197"/>
      <c r="B197"/>
      <c r="C197"/>
      <c r="D197"/>
      <c r="E197"/>
      <c r="F197"/>
      <c r="G197"/>
      <c r="H197"/>
      <c r="W197"/>
    </row>
    <row r="198" spans="1:23" x14ac:dyDescent="0.25">
      <c r="A198"/>
      <c r="B198"/>
      <c r="C198"/>
      <c r="D198"/>
      <c r="E198"/>
      <c r="F198"/>
      <c r="G198"/>
      <c r="H198"/>
      <c r="W198"/>
    </row>
    <row r="199" spans="1:23" x14ac:dyDescent="0.25">
      <c r="A199"/>
      <c r="B199"/>
      <c r="C199"/>
      <c r="D199"/>
      <c r="E199"/>
      <c r="F199"/>
      <c r="G199"/>
      <c r="H199"/>
      <c r="W199"/>
    </row>
    <row r="200" spans="1:23" x14ac:dyDescent="0.25">
      <c r="A200"/>
      <c r="B200"/>
      <c r="C200"/>
      <c r="D200"/>
      <c r="E200"/>
      <c r="F200"/>
      <c r="G200"/>
      <c r="H200"/>
      <c r="W200"/>
    </row>
    <row r="201" spans="1:23" x14ac:dyDescent="0.25">
      <c r="A201"/>
      <c r="B201"/>
      <c r="C201"/>
      <c r="D201"/>
      <c r="E201"/>
      <c r="F201"/>
      <c r="G201"/>
      <c r="H201"/>
      <c r="W201"/>
    </row>
    <row r="202" spans="1:23" x14ac:dyDescent="0.25">
      <c r="A202"/>
      <c r="B202"/>
      <c r="C202"/>
      <c r="D202"/>
      <c r="E202"/>
      <c r="F202"/>
      <c r="G202"/>
      <c r="H202"/>
      <c r="W202"/>
    </row>
    <row r="203" spans="1:23" x14ac:dyDescent="0.25">
      <c r="A203"/>
      <c r="B203"/>
      <c r="C203"/>
      <c r="D203"/>
      <c r="E203"/>
      <c r="F203"/>
      <c r="G203"/>
      <c r="H203"/>
      <c r="W203"/>
    </row>
    <row r="204" spans="1:23" x14ac:dyDescent="0.25">
      <c r="A204"/>
      <c r="B204"/>
      <c r="C204"/>
      <c r="D204"/>
      <c r="E204"/>
      <c r="F204"/>
      <c r="G204"/>
      <c r="H204"/>
      <c r="W204"/>
    </row>
    <row r="205" spans="1:23" x14ac:dyDescent="0.25">
      <c r="A205"/>
      <c r="B205"/>
      <c r="C205"/>
      <c r="D205"/>
      <c r="E205"/>
      <c r="F205"/>
      <c r="G205"/>
      <c r="H205"/>
      <c r="W205"/>
    </row>
    <row r="206" spans="1:23" x14ac:dyDescent="0.25">
      <c r="A206"/>
      <c r="B206"/>
      <c r="C206"/>
      <c r="D206"/>
      <c r="E206"/>
      <c r="F206"/>
      <c r="G206"/>
      <c r="H206"/>
      <c r="W206"/>
    </row>
    <row r="207" spans="1:23" x14ac:dyDescent="0.25">
      <c r="A207"/>
      <c r="B207"/>
      <c r="C207"/>
      <c r="D207"/>
      <c r="E207"/>
      <c r="F207"/>
      <c r="G207"/>
      <c r="H207"/>
      <c r="W207"/>
    </row>
    <row r="208" spans="1:23" x14ac:dyDescent="0.25">
      <c r="A208"/>
      <c r="B208"/>
      <c r="C208"/>
      <c r="D208"/>
      <c r="E208"/>
      <c r="F208"/>
      <c r="G208"/>
      <c r="H208"/>
      <c r="W208"/>
    </row>
    <row r="209" spans="1:23" x14ac:dyDescent="0.25">
      <c r="A209"/>
      <c r="B209"/>
      <c r="C209"/>
      <c r="D209"/>
      <c r="E209"/>
      <c r="F209"/>
      <c r="G209"/>
      <c r="H209"/>
      <c r="W209"/>
    </row>
    <row r="210" spans="1:23" x14ac:dyDescent="0.25">
      <c r="A210"/>
      <c r="B210"/>
      <c r="C210"/>
      <c r="D210"/>
      <c r="E210"/>
      <c r="F210"/>
      <c r="G210"/>
      <c r="H210"/>
      <c r="W210"/>
    </row>
    <row r="211" spans="1:23" x14ac:dyDescent="0.25">
      <c r="A211"/>
      <c r="B211"/>
      <c r="C211"/>
      <c r="D211"/>
      <c r="E211"/>
      <c r="F211"/>
      <c r="G211"/>
      <c r="H211"/>
      <c r="W211"/>
    </row>
    <row r="212" spans="1:23" x14ac:dyDescent="0.25">
      <c r="A212"/>
      <c r="B212"/>
      <c r="C212"/>
      <c r="D212"/>
      <c r="E212"/>
      <c r="F212"/>
      <c r="G212"/>
      <c r="H212"/>
      <c r="W212"/>
    </row>
    <row r="213" spans="1:23" x14ac:dyDescent="0.25">
      <c r="A213"/>
      <c r="B213"/>
      <c r="C213"/>
      <c r="D213"/>
      <c r="E213"/>
      <c r="F213"/>
      <c r="G213"/>
      <c r="H213"/>
      <c r="W213"/>
    </row>
    <row r="214" spans="1:23" x14ac:dyDescent="0.25">
      <c r="A214"/>
      <c r="B214"/>
      <c r="C214"/>
      <c r="D214"/>
      <c r="E214"/>
      <c r="F214"/>
      <c r="G214"/>
      <c r="H214"/>
      <c r="W214"/>
    </row>
    <row r="215" spans="1:23" x14ac:dyDescent="0.25">
      <c r="A215"/>
      <c r="B215"/>
      <c r="C215"/>
      <c r="D215"/>
      <c r="E215"/>
      <c r="F215"/>
      <c r="G215"/>
      <c r="H215"/>
      <c r="W215"/>
    </row>
    <row r="216" spans="1:23" x14ac:dyDescent="0.25">
      <c r="A216"/>
      <c r="B216"/>
      <c r="C216"/>
      <c r="D216"/>
      <c r="E216"/>
      <c r="F216"/>
      <c r="G216"/>
      <c r="H216"/>
      <c r="W216"/>
    </row>
    <row r="217" spans="1:23" x14ac:dyDescent="0.25">
      <c r="A217"/>
      <c r="B217"/>
      <c r="C217"/>
      <c r="D217"/>
      <c r="E217"/>
      <c r="F217"/>
      <c r="G217"/>
      <c r="H217"/>
      <c r="W217"/>
    </row>
    <row r="218" spans="1:23" x14ac:dyDescent="0.25">
      <c r="A218"/>
      <c r="B218"/>
      <c r="C218"/>
      <c r="D218"/>
      <c r="E218"/>
      <c r="F218"/>
      <c r="G218"/>
      <c r="H218"/>
      <c r="W218"/>
    </row>
    <row r="219" spans="1:23" x14ac:dyDescent="0.25">
      <c r="A219"/>
      <c r="B219"/>
      <c r="C219"/>
      <c r="D219"/>
      <c r="E219"/>
      <c r="F219"/>
      <c r="G219"/>
      <c r="H219"/>
      <c r="W219"/>
    </row>
    <row r="220" spans="1:23" x14ac:dyDescent="0.25">
      <c r="A220"/>
      <c r="B220"/>
      <c r="C220"/>
      <c r="D220"/>
      <c r="E220"/>
      <c r="F220"/>
      <c r="G220"/>
      <c r="H220"/>
      <c r="W220"/>
    </row>
    <row r="221" spans="1:23" x14ac:dyDescent="0.25">
      <c r="A221"/>
      <c r="B221"/>
      <c r="C221"/>
      <c r="D221"/>
      <c r="E221"/>
      <c r="F221"/>
      <c r="G221"/>
      <c r="H221"/>
      <c r="W221"/>
    </row>
    <row r="222" spans="1:23" x14ac:dyDescent="0.25">
      <c r="A222"/>
      <c r="B222"/>
      <c r="C222"/>
      <c r="D222"/>
      <c r="E222"/>
      <c r="F222"/>
      <c r="G222"/>
      <c r="H222"/>
      <c r="W222"/>
    </row>
    <row r="223" spans="1:23" x14ac:dyDescent="0.25">
      <c r="A223"/>
      <c r="B223"/>
      <c r="C223"/>
      <c r="D223"/>
      <c r="E223"/>
      <c r="F223"/>
      <c r="G223"/>
      <c r="H223"/>
      <c r="W223"/>
    </row>
    <row r="224" spans="1:23" x14ac:dyDescent="0.25">
      <c r="A224"/>
      <c r="B224"/>
      <c r="C224"/>
      <c r="D224"/>
      <c r="E224"/>
      <c r="F224"/>
      <c r="G224"/>
      <c r="H224"/>
      <c r="W224"/>
    </row>
    <row r="225" spans="1:23" x14ac:dyDescent="0.25">
      <c r="A225"/>
      <c r="B225"/>
      <c r="C225"/>
      <c r="D225"/>
      <c r="E225"/>
      <c r="F225"/>
      <c r="G225"/>
      <c r="H225"/>
      <c r="W225"/>
    </row>
    <row r="226" spans="1:23" x14ac:dyDescent="0.25">
      <c r="A226"/>
      <c r="B226"/>
      <c r="C226"/>
      <c r="D226"/>
      <c r="E226"/>
      <c r="F226"/>
      <c r="G226"/>
      <c r="H226"/>
      <c r="W226"/>
    </row>
    <row r="227" spans="1:23" x14ac:dyDescent="0.25">
      <c r="A227"/>
      <c r="B227"/>
      <c r="C227"/>
      <c r="D227"/>
      <c r="E227"/>
      <c r="F227"/>
      <c r="G227"/>
      <c r="H227"/>
      <c r="W227"/>
    </row>
    <row r="228" spans="1:23" x14ac:dyDescent="0.25">
      <c r="A228"/>
      <c r="B228"/>
      <c r="C228"/>
      <c r="D228"/>
      <c r="E228"/>
      <c r="F228"/>
      <c r="G228"/>
      <c r="H228"/>
      <c r="W228"/>
    </row>
    <row r="229" spans="1:23" x14ac:dyDescent="0.25">
      <c r="A229"/>
      <c r="B229"/>
      <c r="C229"/>
      <c r="D229"/>
      <c r="E229"/>
      <c r="F229"/>
      <c r="G229"/>
      <c r="H229"/>
      <c r="W229"/>
    </row>
    <row r="230" spans="1:23" x14ac:dyDescent="0.25">
      <c r="A230"/>
      <c r="B230"/>
      <c r="C230"/>
      <c r="D230"/>
      <c r="E230"/>
      <c r="F230"/>
      <c r="G230"/>
      <c r="H230"/>
      <c r="W230"/>
    </row>
    <row r="231" spans="1:23" x14ac:dyDescent="0.25">
      <c r="A231"/>
      <c r="B231"/>
      <c r="C231"/>
      <c r="D231"/>
      <c r="E231"/>
      <c r="F231"/>
      <c r="G231"/>
      <c r="H231"/>
      <c r="W231"/>
    </row>
    <row r="232" spans="1:23" x14ac:dyDescent="0.25">
      <c r="A232"/>
      <c r="B232"/>
      <c r="C232"/>
      <c r="D232"/>
      <c r="E232"/>
      <c r="F232"/>
      <c r="G232"/>
      <c r="H232"/>
      <c r="W232"/>
    </row>
    <row r="233" spans="1:23" x14ac:dyDescent="0.25">
      <c r="A233"/>
      <c r="B233"/>
      <c r="C233"/>
      <c r="D233"/>
      <c r="E233"/>
      <c r="F233"/>
      <c r="G233"/>
      <c r="H233"/>
      <c r="W233"/>
    </row>
    <row r="234" spans="1:23" x14ac:dyDescent="0.25">
      <c r="A234"/>
      <c r="B234"/>
      <c r="C234"/>
      <c r="D234"/>
      <c r="E234"/>
      <c r="F234"/>
      <c r="G234"/>
      <c r="H234"/>
      <c r="W234"/>
    </row>
    <row r="235" spans="1:23" x14ac:dyDescent="0.25">
      <c r="A235"/>
      <c r="B235"/>
      <c r="C235"/>
      <c r="D235"/>
      <c r="E235"/>
      <c r="F235"/>
      <c r="G235"/>
      <c r="H235"/>
      <c r="W235"/>
    </row>
    <row r="236" spans="1:23" x14ac:dyDescent="0.25">
      <c r="A236"/>
      <c r="B236"/>
      <c r="C236"/>
      <c r="D236"/>
      <c r="E236"/>
      <c r="F236"/>
      <c r="G236"/>
      <c r="H236"/>
      <c r="W236"/>
    </row>
    <row r="237" spans="1:23" x14ac:dyDescent="0.25">
      <c r="A237"/>
      <c r="B237"/>
      <c r="C237"/>
      <c r="D237"/>
      <c r="E237"/>
      <c r="F237"/>
      <c r="G237"/>
      <c r="H237"/>
      <c r="W237"/>
    </row>
    <row r="238" spans="1:23" x14ac:dyDescent="0.25">
      <c r="A238"/>
      <c r="B238"/>
      <c r="C238"/>
      <c r="D238"/>
      <c r="E238"/>
      <c r="F238"/>
      <c r="G238"/>
      <c r="H238"/>
      <c r="W238"/>
    </row>
    <row r="239" spans="1:23" x14ac:dyDescent="0.25">
      <c r="A239"/>
      <c r="B239"/>
      <c r="C239"/>
      <c r="D239"/>
      <c r="E239"/>
      <c r="F239"/>
      <c r="G239"/>
      <c r="H239"/>
      <c r="W239"/>
    </row>
    <row r="240" spans="1:23" x14ac:dyDescent="0.25">
      <c r="A240"/>
      <c r="B240"/>
      <c r="C240"/>
      <c r="D240"/>
      <c r="E240"/>
      <c r="F240"/>
      <c r="G240"/>
      <c r="H240"/>
      <c r="W240"/>
    </row>
    <row r="241" spans="1:23" x14ac:dyDescent="0.25">
      <c r="A241"/>
      <c r="B241"/>
      <c r="C241"/>
      <c r="D241"/>
      <c r="E241"/>
      <c r="F241"/>
      <c r="G241"/>
      <c r="H241"/>
      <c r="W241"/>
    </row>
    <row r="242" spans="1:23" x14ac:dyDescent="0.25">
      <c r="A242"/>
      <c r="B242"/>
      <c r="C242"/>
      <c r="D242"/>
      <c r="E242"/>
      <c r="F242"/>
      <c r="G242"/>
      <c r="H242"/>
      <c r="W242"/>
    </row>
    <row r="243" spans="1:23" x14ac:dyDescent="0.25">
      <c r="A243"/>
      <c r="B243"/>
      <c r="C243"/>
      <c r="D243"/>
      <c r="E243"/>
      <c r="F243"/>
      <c r="G243"/>
      <c r="H243"/>
      <c r="W243"/>
    </row>
    <row r="244" spans="1:23" x14ac:dyDescent="0.25">
      <c r="A244"/>
      <c r="B244"/>
      <c r="C244"/>
      <c r="D244"/>
      <c r="E244"/>
      <c r="F244"/>
      <c r="G244"/>
      <c r="H244"/>
      <c r="W244"/>
    </row>
    <row r="245" spans="1:23" x14ac:dyDescent="0.25">
      <c r="A245"/>
      <c r="B245"/>
      <c r="C245"/>
      <c r="D245"/>
      <c r="E245"/>
      <c r="F245"/>
      <c r="G245"/>
      <c r="H245"/>
      <c r="W245"/>
    </row>
    <row r="246" spans="1:23" x14ac:dyDescent="0.25">
      <c r="A246"/>
      <c r="B246"/>
      <c r="C246"/>
      <c r="D246"/>
      <c r="E246"/>
      <c r="F246"/>
      <c r="G246"/>
      <c r="H246"/>
      <c r="W246"/>
    </row>
    <row r="247" spans="1:23" x14ac:dyDescent="0.25">
      <c r="A247"/>
      <c r="B247"/>
      <c r="C247"/>
      <c r="D247"/>
      <c r="E247"/>
      <c r="F247"/>
      <c r="G247"/>
      <c r="H247"/>
      <c r="W247"/>
    </row>
    <row r="248" spans="1:23" x14ac:dyDescent="0.25">
      <c r="A248"/>
      <c r="B248"/>
      <c r="C248"/>
      <c r="D248"/>
      <c r="E248"/>
      <c r="F248"/>
      <c r="G248"/>
      <c r="H248"/>
      <c r="W248"/>
    </row>
    <row r="249" spans="1:23" x14ac:dyDescent="0.25">
      <c r="A249"/>
      <c r="B249"/>
      <c r="C249"/>
      <c r="D249"/>
      <c r="E249"/>
      <c r="F249"/>
      <c r="G249"/>
      <c r="H249"/>
      <c r="W249"/>
    </row>
    <row r="250" spans="1:23" x14ac:dyDescent="0.25">
      <c r="A250"/>
      <c r="B250"/>
      <c r="C250"/>
      <c r="D250"/>
      <c r="E250"/>
      <c r="F250"/>
      <c r="G250"/>
      <c r="H250"/>
      <c r="W250"/>
    </row>
    <row r="251" spans="1:23" x14ac:dyDescent="0.25">
      <c r="A251"/>
      <c r="B251"/>
      <c r="C251"/>
      <c r="D251"/>
      <c r="E251"/>
      <c r="F251"/>
      <c r="G251"/>
      <c r="H251"/>
      <c r="W251"/>
    </row>
    <row r="252" spans="1:23" x14ac:dyDescent="0.25">
      <c r="A252"/>
      <c r="B252"/>
      <c r="C252"/>
      <c r="D252"/>
      <c r="E252"/>
      <c r="F252"/>
      <c r="G252"/>
      <c r="H252"/>
      <c r="W252"/>
    </row>
    <row r="253" spans="1:23" x14ac:dyDescent="0.25">
      <c r="A253"/>
      <c r="B253"/>
      <c r="C253"/>
      <c r="D253"/>
      <c r="E253"/>
      <c r="F253"/>
      <c r="G253"/>
      <c r="H253"/>
      <c r="W253"/>
    </row>
    <row r="254" spans="1:23" x14ac:dyDescent="0.25">
      <c r="A254"/>
      <c r="B254"/>
      <c r="C254"/>
      <c r="D254"/>
      <c r="E254"/>
      <c r="F254"/>
      <c r="G254"/>
      <c r="H254"/>
      <c r="W254"/>
    </row>
    <row r="255" spans="1:23" x14ac:dyDescent="0.25">
      <c r="A255"/>
      <c r="B255"/>
      <c r="C255"/>
      <c r="D255"/>
      <c r="E255"/>
      <c r="F255"/>
      <c r="G255"/>
      <c r="H255"/>
      <c r="W255"/>
    </row>
    <row r="256" spans="1:23" x14ac:dyDescent="0.25">
      <c r="A256"/>
      <c r="B256"/>
      <c r="C256"/>
      <c r="D256"/>
      <c r="E256"/>
      <c r="F256"/>
      <c r="G256"/>
      <c r="H256"/>
      <c r="W256"/>
    </row>
    <row r="257" spans="1:23" x14ac:dyDescent="0.25">
      <c r="A257"/>
      <c r="B257"/>
      <c r="C257"/>
      <c r="D257"/>
      <c r="E257"/>
      <c r="F257"/>
      <c r="G257"/>
      <c r="H257"/>
      <c r="W257"/>
    </row>
    <row r="258" spans="1:23" x14ac:dyDescent="0.25">
      <c r="A258"/>
      <c r="B258"/>
      <c r="C258"/>
      <c r="D258"/>
      <c r="E258"/>
      <c r="F258"/>
      <c r="G258"/>
      <c r="H258"/>
      <c r="W258"/>
    </row>
    <row r="259" spans="1:23" x14ac:dyDescent="0.25">
      <c r="A259"/>
      <c r="B259"/>
      <c r="C259"/>
      <c r="D259"/>
      <c r="E259"/>
      <c r="F259"/>
      <c r="G259"/>
      <c r="H259"/>
      <c r="W259"/>
    </row>
    <row r="260" spans="1:23" x14ac:dyDescent="0.25">
      <c r="A260"/>
      <c r="B260"/>
      <c r="C260"/>
      <c r="D260"/>
      <c r="E260"/>
      <c r="F260"/>
      <c r="G260"/>
      <c r="H260"/>
      <c r="W260"/>
    </row>
    <row r="261" spans="1:23" x14ac:dyDescent="0.25">
      <c r="A261"/>
      <c r="B261"/>
      <c r="C261"/>
      <c r="D261"/>
      <c r="E261"/>
      <c r="F261"/>
      <c r="G261"/>
      <c r="H261"/>
      <c r="W261"/>
    </row>
    <row r="262" spans="1:23" x14ac:dyDescent="0.25">
      <c r="A262"/>
      <c r="B262"/>
      <c r="C262"/>
      <c r="D262"/>
      <c r="E262"/>
      <c r="F262"/>
      <c r="G262"/>
      <c r="H262"/>
      <c r="W262"/>
    </row>
    <row r="263" spans="1:23" x14ac:dyDescent="0.25">
      <c r="A263"/>
      <c r="B263"/>
      <c r="C263"/>
      <c r="D263"/>
      <c r="E263"/>
      <c r="F263"/>
      <c r="G263"/>
      <c r="H263"/>
      <c r="W263"/>
    </row>
    <row r="264" spans="1:23" x14ac:dyDescent="0.25">
      <c r="A264"/>
      <c r="B264"/>
      <c r="C264"/>
      <c r="D264"/>
      <c r="E264"/>
      <c r="F264"/>
      <c r="G264"/>
      <c r="H264"/>
      <c r="W264"/>
    </row>
    <row r="265" spans="1:23" x14ac:dyDescent="0.25">
      <c r="A265"/>
      <c r="B265"/>
      <c r="C265"/>
      <c r="D265"/>
      <c r="E265"/>
      <c r="F265"/>
      <c r="G265"/>
      <c r="H265"/>
      <c r="W265"/>
    </row>
    <row r="266" spans="1:23" x14ac:dyDescent="0.25">
      <c r="A266"/>
      <c r="B266"/>
      <c r="C266"/>
      <c r="D266"/>
      <c r="E266"/>
      <c r="F266"/>
      <c r="G266"/>
      <c r="H266"/>
      <c r="W266"/>
    </row>
    <row r="267" spans="1:23" x14ac:dyDescent="0.25">
      <c r="A267"/>
      <c r="B267"/>
      <c r="C267"/>
      <c r="D267"/>
      <c r="E267"/>
      <c r="F267"/>
      <c r="G267"/>
      <c r="H267"/>
      <c r="W267"/>
    </row>
    <row r="268" spans="1:23" x14ac:dyDescent="0.25">
      <c r="A268"/>
      <c r="B268"/>
      <c r="C268"/>
      <c r="D268"/>
      <c r="E268"/>
      <c r="F268"/>
      <c r="G268"/>
      <c r="H268"/>
      <c r="W268"/>
    </row>
    <row r="269" spans="1:23" x14ac:dyDescent="0.25">
      <c r="A269"/>
      <c r="B269"/>
      <c r="C269"/>
      <c r="D269"/>
      <c r="E269"/>
      <c r="F269"/>
      <c r="G269"/>
      <c r="H269"/>
      <c r="W269"/>
    </row>
    <row r="270" spans="1:23" x14ac:dyDescent="0.25">
      <c r="A270"/>
      <c r="B270"/>
      <c r="C270"/>
      <c r="D270"/>
      <c r="E270"/>
      <c r="F270"/>
      <c r="G270"/>
      <c r="H270"/>
      <c r="W270"/>
    </row>
    <row r="271" spans="1:23" x14ac:dyDescent="0.25">
      <c r="A271"/>
      <c r="B271"/>
      <c r="C271"/>
      <c r="D271"/>
      <c r="E271"/>
      <c r="F271"/>
      <c r="G271"/>
      <c r="H271"/>
      <c r="W271"/>
    </row>
    <row r="272" spans="1:23" x14ac:dyDescent="0.25">
      <c r="A272"/>
      <c r="B272"/>
      <c r="C272"/>
      <c r="D272"/>
      <c r="E272"/>
      <c r="F272"/>
      <c r="G272"/>
      <c r="H272"/>
      <c r="W272"/>
    </row>
    <row r="273" spans="1:23" x14ac:dyDescent="0.25">
      <c r="A273"/>
      <c r="B273"/>
      <c r="C273"/>
      <c r="D273"/>
      <c r="E273"/>
      <c r="F273"/>
      <c r="G273"/>
      <c r="H273"/>
      <c r="W273"/>
    </row>
    <row r="274" spans="1:23" x14ac:dyDescent="0.25">
      <c r="A274"/>
      <c r="B274"/>
      <c r="C274"/>
      <c r="D274"/>
      <c r="E274"/>
      <c r="F274"/>
      <c r="G274"/>
      <c r="H274"/>
      <c r="W274"/>
    </row>
    <row r="275" spans="1:23" x14ac:dyDescent="0.25">
      <c r="A275"/>
      <c r="B275"/>
      <c r="C275"/>
      <c r="D275"/>
      <c r="E275"/>
      <c r="F275"/>
      <c r="G275"/>
      <c r="H275"/>
      <c r="W275"/>
    </row>
    <row r="276" spans="1:23" x14ac:dyDescent="0.25">
      <c r="A276"/>
      <c r="B276"/>
      <c r="C276"/>
      <c r="D276"/>
      <c r="E276"/>
      <c r="F276"/>
      <c r="G276"/>
      <c r="H276"/>
      <c r="W276"/>
    </row>
    <row r="277" spans="1:23" x14ac:dyDescent="0.25">
      <c r="A277"/>
      <c r="B277"/>
      <c r="C277"/>
      <c r="D277"/>
      <c r="E277"/>
      <c r="F277"/>
      <c r="G277"/>
      <c r="H277"/>
      <c r="W277"/>
    </row>
    <row r="278" spans="1:23" x14ac:dyDescent="0.25">
      <c r="A278"/>
      <c r="B278"/>
      <c r="C278"/>
      <c r="D278"/>
      <c r="E278"/>
      <c r="F278"/>
      <c r="G278"/>
      <c r="H278"/>
      <c r="W278"/>
    </row>
    <row r="279" spans="1:23" x14ac:dyDescent="0.25">
      <c r="A279"/>
      <c r="B279"/>
      <c r="C279"/>
      <c r="D279"/>
      <c r="E279"/>
      <c r="F279"/>
      <c r="G279"/>
      <c r="H279"/>
      <c r="W279"/>
    </row>
    <row r="280" spans="1:23" x14ac:dyDescent="0.25">
      <c r="A280"/>
      <c r="B280"/>
      <c r="C280"/>
      <c r="D280"/>
      <c r="E280"/>
      <c r="F280"/>
      <c r="G280"/>
      <c r="H280"/>
      <c r="W280"/>
    </row>
    <row r="281" spans="1:23" x14ac:dyDescent="0.25">
      <c r="A281"/>
      <c r="B281"/>
      <c r="C281"/>
      <c r="D281"/>
      <c r="E281"/>
      <c r="F281"/>
      <c r="G281"/>
      <c r="H281"/>
      <c r="W281"/>
    </row>
    <row r="282" spans="1:23" x14ac:dyDescent="0.25">
      <c r="A282"/>
      <c r="B282"/>
      <c r="C282"/>
      <c r="D282"/>
      <c r="E282"/>
      <c r="F282"/>
      <c r="G282"/>
      <c r="H282"/>
      <c r="W282"/>
    </row>
    <row r="283" spans="1:23" x14ac:dyDescent="0.25">
      <c r="A283"/>
      <c r="B283"/>
      <c r="C283"/>
      <c r="D283"/>
      <c r="E283"/>
      <c r="F283"/>
      <c r="G283"/>
      <c r="H283"/>
      <c r="W283"/>
    </row>
    <row r="284" spans="1:23" x14ac:dyDescent="0.25">
      <c r="A284"/>
      <c r="B284"/>
      <c r="C284"/>
      <c r="D284"/>
      <c r="E284"/>
      <c r="F284"/>
      <c r="G284"/>
      <c r="H284"/>
      <c r="W284"/>
    </row>
    <row r="285" spans="1:23" x14ac:dyDescent="0.25">
      <c r="A285"/>
      <c r="B285"/>
      <c r="C285"/>
      <c r="D285"/>
      <c r="E285"/>
      <c r="F285"/>
      <c r="G285"/>
      <c r="H285"/>
      <c r="W285"/>
    </row>
    <row r="286" spans="1:23" x14ac:dyDescent="0.25">
      <c r="A286"/>
      <c r="B286"/>
      <c r="C286"/>
      <c r="D286"/>
      <c r="E286"/>
      <c r="F286"/>
      <c r="G286"/>
      <c r="H286"/>
      <c r="W286"/>
    </row>
    <row r="287" spans="1:23" x14ac:dyDescent="0.25">
      <c r="A287"/>
      <c r="B287"/>
      <c r="C287"/>
      <c r="D287"/>
      <c r="E287"/>
      <c r="F287"/>
      <c r="G287"/>
      <c r="H287"/>
      <c r="W287"/>
    </row>
    <row r="288" spans="1:23" x14ac:dyDescent="0.25">
      <c r="A288"/>
      <c r="B288"/>
      <c r="C288"/>
      <c r="D288"/>
      <c r="E288"/>
      <c r="F288"/>
      <c r="G288"/>
      <c r="H288"/>
      <c r="W288"/>
    </row>
    <row r="289" spans="1:23" x14ac:dyDescent="0.25">
      <c r="A289"/>
      <c r="B289"/>
      <c r="C289"/>
      <c r="D289"/>
      <c r="E289"/>
      <c r="F289"/>
      <c r="G289"/>
      <c r="H289"/>
      <c r="W289"/>
    </row>
    <row r="290" spans="1:23" x14ac:dyDescent="0.25">
      <c r="A290"/>
      <c r="B290"/>
      <c r="C290"/>
      <c r="D290"/>
      <c r="E290"/>
      <c r="F290"/>
      <c r="G290"/>
      <c r="H290"/>
      <c r="W290"/>
    </row>
    <row r="291" spans="1:23" x14ac:dyDescent="0.25">
      <c r="A291"/>
      <c r="B291"/>
      <c r="C291"/>
      <c r="D291"/>
      <c r="E291"/>
      <c r="F291"/>
      <c r="G291"/>
      <c r="H291"/>
      <c r="W291"/>
    </row>
    <row r="292" spans="1:23" x14ac:dyDescent="0.25">
      <c r="A292"/>
      <c r="B292"/>
      <c r="C292"/>
      <c r="D292"/>
      <c r="E292"/>
      <c r="F292"/>
      <c r="G292"/>
      <c r="H292"/>
      <c r="W292"/>
    </row>
    <row r="293" spans="1:23" x14ac:dyDescent="0.25">
      <c r="A293"/>
      <c r="B293"/>
      <c r="C293"/>
      <c r="D293"/>
      <c r="E293"/>
      <c r="F293"/>
      <c r="G293"/>
      <c r="H293"/>
      <c r="W293"/>
    </row>
    <row r="294" spans="1:23" x14ac:dyDescent="0.25">
      <c r="A294"/>
      <c r="B294"/>
      <c r="C294"/>
      <c r="D294"/>
      <c r="E294"/>
      <c r="F294"/>
      <c r="G294"/>
      <c r="H294"/>
      <c r="W294"/>
    </row>
    <row r="295" spans="1:23" x14ac:dyDescent="0.25">
      <c r="A295"/>
      <c r="B295"/>
      <c r="C295"/>
      <c r="D295"/>
      <c r="E295"/>
      <c r="F295"/>
      <c r="G295"/>
      <c r="H295"/>
      <c r="W295"/>
    </row>
    <row r="296" spans="1:23" x14ac:dyDescent="0.25">
      <c r="A296"/>
      <c r="B296"/>
      <c r="C296"/>
      <c r="D296"/>
      <c r="E296"/>
      <c r="F296"/>
      <c r="G296"/>
      <c r="H296"/>
      <c r="W296"/>
    </row>
    <row r="297" spans="1:23" x14ac:dyDescent="0.25">
      <c r="A297"/>
      <c r="B297"/>
      <c r="C297"/>
      <c r="D297"/>
      <c r="E297"/>
      <c r="F297"/>
      <c r="G297"/>
      <c r="H297"/>
      <c r="W297"/>
    </row>
    <row r="298" spans="1:23" x14ac:dyDescent="0.25">
      <c r="A298"/>
      <c r="B298"/>
      <c r="C298"/>
      <c r="D298"/>
      <c r="E298"/>
      <c r="F298"/>
      <c r="G298"/>
      <c r="H298"/>
      <c r="W298"/>
    </row>
    <row r="299" spans="1:23" x14ac:dyDescent="0.25">
      <c r="A299"/>
      <c r="B299"/>
      <c r="C299"/>
      <c r="D299"/>
      <c r="E299"/>
      <c r="F299"/>
      <c r="G299"/>
      <c r="H299"/>
      <c r="W299"/>
    </row>
    <row r="300" spans="1:23" x14ac:dyDescent="0.25">
      <c r="A300"/>
      <c r="B300"/>
      <c r="C300"/>
      <c r="D300"/>
      <c r="E300"/>
      <c r="F300"/>
      <c r="G300"/>
      <c r="H300"/>
      <c r="W300"/>
    </row>
    <row r="301" spans="1:23" x14ac:dyDescent="0.25">
      <c r="A301"/>
      <c r="B301"/>
      <c r="C301"/>
      <c r="D301"/>
      <c r="E301"/>
      <c r="F301"/>
      <c r="G301"/>
      <c r="H301"/>
      <c r="W301"/>
    </row>
    <row r="302" spans="1:23" x14ac:dyDescent="0.25">
      <c r="A302"/>
      <c r="B302"/>
      <c r="C302"/>
      <c r="D302"/>
      <c r="E302"/>
      <c r="F302"/>
      <c r="G302"/>
      <c r="H302"/>
      <c r="W302"/>
    </row>
    <row r="303" spans="1:23" x14ac:dyDescent="0.25">
      <c r="A303"/>
      <c r="B303"/>
      <c r="C303"/>
      <c r="D303"/>
      <c r="E303"/>
      <c r="F303"/>
      <c r="G303"/>
      <c r="H303"/>
      <c r="W303"/>
    </row>
    <row r="304" spans="1:23" x14ac:dyDescent="0.25">
      <c r="A304"/>
      <c r="B304"/>
      <c r="C304"/>
      <c r="D304"/>
      <c r="E304"/>
      <c r="F304"/>
      <c r="G304"/>
      <c r="H304"/>
      <c r="W304"/>
    </row>
    <row r="305" spans="1:23" x14ac:dyDescent="0.25">
      <c r="A305"/>
      <c r="B305"/>
      <c r="C305"/>
      <c r="D305"/>
      <c r="E305"/>
      <c r="F305"/>
      <c r="G305"/>
      <c r="H305"/>
      <c r="W305"/>
    </row>
    <row r="306" spans="1:23" x14ac:dyDescent="0.25">
      <c r="A306"/>
      <c r="B306"/>
      <c r="C306"/>
      <c r="D306"/>
      <c r="E306"/>
      <c r="F306"/>
      <c r="G306"/>
      <c r="H306"/>
      <c r="W306"/>
    </row>
    <row r="307" spans="1:23" x14ac:dyDescent="0.25">
      <c r="A307"/>
      <c r="B307"/>
      <c r="C307"/>
      <c r="D307"/>
      <c r="E307"/>
      <c r="F307"/>
      <c r="G307"/>
      <c r="H307"/>
      <c r="W307"/>
    </row>
    <row r="308" spans="1:23" x14ac:dyDescent="0.25">
      <c r="A308"/>
      <c r="B308"/>
      <c r="C308"/>
      <c r="D308"/>
      <c r="E308"/>
      <c r="F308"/>
      <c r="G308"/>
      <c r="H308"/>
      <c r="W308"/>
    </row>
    <row r="309" spans="1:23" x14ac:dyDescent="0.25">
      <c r="A309"/>
      <c r="B309"/>
      <c r="C309"/>
      <c r="D309"/>
      <c r="E309"/>
      <c r="F309"/>
      <c r="G309"/>
      <c r="H309"/>
      <c r="W309"/>
    </row>
    <row r="310" spans="1:23" x14ac:dyDescent="0.25">
      <c r="A310"/>
      <c r="B310"/>
      <c r="C310"/>
      <c r="D310"/>
      <c r="E310"/>
      <c r="F310"/>
      <c r="G310"/>
      <c r="H310"/>
      <c r="W310"/>
    </row>
    <row r="311" spans="1:23" x14ac:dyDescent="0.25">
      <c r="A311"/>
      <c r="B311"/>
      <c r="C311"/>
      <c r="D311"/>
      <c r="E311"/>
      <c r="F311"/>
      <c r="G311"/>
      <c r="H311"/>
      <c r="W311"/>
    </row>
    <row r="312" spans="1:23" x14ac:dyDescent="0.25">
      <c r="A312"/>
      <c r="B312"/>
      <c r="C312"/>
      <c r="D312"/>
      <c r="E312"/>
      <c r="F312"/>
      <c r="G312"/>
      <c r="H312"/>
      <c r="W312"/>
    </row>
    <row r="313" spans="1:23" x14ac:dyDescent="0.25">
      <c r="A313"/>
      <c r="B313"/>
      <c r="C313"/>
      <c r="D313"/>
      <c r="E313"/>
      <c r="F313"/>
      <c r="G313"/>
      <c r="H313"/>
      <c r="W313"/>
    </row>
    <row r="314" spans="1:23" x14ac:dyDescent="0.25">
      <c r="A314"/>
      <c r="B314"/>
      <c r="C314"/>
      <c r="D314"/>
      <c r="E314"/>
      <c r="F314"/>
      <c r="G314"/>
      <c r="H314"/>
      <c r="W314"/>
    </row>
    <row r="315" spans="1:23" x14ac:dyDescent="0.25">
      <c r="A315"/>
      <c r="B315"/>
      <c r="C315"/>
      <c r="D315"/>
      <c r="E315"/>
      <c r="F315"/>
      <c r="G315"/>
      <c r="H315"/>
      <c r="W315"/>
    </row>
    <row r="316" spans="1:23" x14ac:dyDescent="0.25">
      <c r="A316"/>
      <c r="B316"/>
      <c r="C316"/>
      <c r="D316"/>
      <c r="E316"/>
      <c r="F316"/>
      <c r="G316"/>
      <c r="H316"/>
      <c r="W316"/>
    </row>
    <row r="317" spans="1:23" x14ac:dyDescent="0.25">
      <c r="A317"/>
      <c r="B317"/>
      <c r="C317"/>
      <c r="D317"/>
      <c r="E317"/>
      <c r="F317"/>
      <c r="G317"/>
      <c r="H317"/>
      <c r="W317"/>
    </row>
    <row r="318" spans="1:23" x14ac:dyDescent="0.25">
      <c r="A318"/>
      <c r="B318"/>
      <c r="C318"/>
      <c r="D318"/>
      <c r="E318"/>
      <c r="F318"/>
      <c r="G318"/>
      <c r="H318"/>
      <c r="W318"/>
    </row>
    <row r="319" spans="1:23" x14ac:dyDescent="0.25">
      <c r="A319"/>
      <c r="B319"/>
      <c r="C319"/>
      <c r="D319"/>
      <c r="E319"/>
      <c r="F319"/>
      <c r="G319"/>
      <c r="H319"/>
      <c r="W319"/>
    </row>
    <row r="320" spans="1:23" x14ac:dyDescent="0.25">
      <c r="A320"/>
      <c r="B320"/>
      <c r="C320"/>
      <c r="D320"/>
      <c r="E320"/>
      <c r="F320"/>
      <c r="G320"/>
      <c r="H320"/>
      <c r="W320"/>
    </row>
    <row r="321" spans="1:23" x14ac:dyDescent="0.25">
      <c r="A321"/>
      <c r="B321"/>
      <c r="C321"/>
      <c r="D321"/>
      <c r="E321"/>
      <c r="F321"/>
      <c r="G321"/>
      <c r="H321"/>
      <c r="W321"/>
    </row>
    <row r="322" spans="1:23" x14ac:dyDescent="0.25">
      <c r="A322"/>
      <c r="B322"/>
      <c r="C322"/>
      <c r="D322"/>
      <c r="E322"/>
      <c r="F322"/>
      <c r="G322"/>
      <c r="H322"/>
      <c r="W322"/>
    </row>
    <row r="323" spans="1:23" x14ac:dyDescent="0.25">
      <c r="A323"/>
      <c r="B323"/>
      <c r="C323"/>
      <c r="D323"/>
      <c r="E323"/>
      <c r="F323"/>
      <c r="G323"/>
      <c r="H323"/>
      <c r="W323"/>
    </row>
    <row r="324" spans="1:23" x14ac:dyDescent="0.25">
      <c r="A324"/>
      <c r="B324"/>
      <c r="C324"/>
      <c r="D324"/>
      <c r="E324"/>
      <c r="F324"/>
      <c r="G324"/>
      <c r="H324"/>
      <c r="W324"/>
    </row>
    <row r="325" spans="1:23" x14ac:dyDescent="0.25">
      <c r="A325"/>
      <c r="B325"/>
      <c r="C325"/>
      <c r="D325"/>
      <c r="E325"/>
      <c r="F325"/>
      <c r="G325"/>
      <c r="H325"/>
      <c r="W325"/>
    </row>
    <row r="326" spans="1:23" x14ac:dyDescent="0.25">
      <c r="A326"/>
      <c r="B326"/>
      <c r="C326"/>
      <c r="D326"/>
      <c r="E326"/>
      <c r="F326"/>
      <c r="G326"/>
      <c r="H326"/>
      <c r="W326"/>
    </row>
    <row r="327" spans="1:23" x14ac:dyDescent="0.25">
      <c r="A327"/>
      <c r="B327"/>
      <c r="C327"/>
      <c r="D327"/>
      <c r="E327"/>
      <c r="F327"/>
      <c r="G327"/>
      <c r="H327"/>
      <c r="W327"/>
    </row>
    <row r="328" spans="1:23" x14ac:dyDescent="0.25">
      <c r="A328"/>
      <c r="B328"/>
      <c r="C328"/>
      <c r="D328"/>
      <c r="E328"/>
      <c r="F328"/>
      <c r="G328"/>
      <c r="H328"/>
      <c r="W328"/>
    </row>
    <row r="329" spans="1:23" x14ac:dyDescent="0.25">
      <c r="A329"/>
      <c r="B329"/>
      <c r="C329"/>
      <c r="D329"/>
      <c r="E329"/>
      <c r="F329"/>
      <c r="G329"/>
      <c r="H329"/>
      <c r="W329"/>
    </row>
    <row r="330" spans="1:23" x14ac:dyDescent="0.25">
      <c r="A330"/>
      <c r="B330"/>
      <c r="C330"/>
      <c r="D330"/>
      <c r="E330"/>
      <c r="F330"/>
      <c r="G330"/>
      <c r="H330"/>
      <c r="W330"/>
    </row>
    <row r="331" spans="1:23" x14ac:dyDescent="0.25">
      <c r="A331"/>
      <c r="B331"/>
      <c r="C331"/>
      <c r="D331"/>
      <c r="E331"/>
      <c r="F331"/>
      <c r="G331"/>
      <c r="H331"/>
      <c r="W331"/>
    </row>
    <row r="332" spans="1:23" x14ac:dyDescent="0.25">
      <c r="A332"/>
      <c r="B332"/>
      <c r="C332"/>
      <c r="D332"/>
      <c r="E332"/>
      <c r="F332"/>
      <c r="G332"/>
      <c r="H332"/>
      <c r="W332"/>
    </row>
    <row r="333" spans="1:23" x14ac:dyDescent="0.25">
      <c r="A333"/>
      <c r="B333"/>
      <c r="C333"/>
      <c r="D333"/>
      <c r="E333"/>
      <c r="F333"/>
      <c r="G333"/>
      <c r="H333"/>
      <c r="W333"/>
    </row>
    <row r="334" spans="1:23" x14ac:dyDescent="0.25">
      <c r="A334"/>
      <c r="B334"/>
      <c r="C334"/>
      <c r="D334"/>
      <c r="E334"/>
      <c r="F334"/>
      <c r="G334"/>
      <c r="H334"/>
      <c r="W334"/>
    </row>
    <row r="335" spans="1:23" x14ac:dyDescent="0.25">
      <c r="A335"/>
      <c r="B335"/>
      <c r="C335"/>
      <c r="D335"/>
      <c r="E335"/>
      <c r="F335"/>
      <c r="G335"/>
      <c r="H335"/>
      <c r="W335"/>
    </row>
    <row r="336" spans="1:23" x14ac:dyDescent="0.25">
      <c r="A336"/>
      <c r="B336"/>
      <c r="C336"/>
      <c r="D336"/>
      <c r="E336"/>
      <c r="F336"/>
      <c r="G336"/>
      <c r="H336"/>
      <c r="W336"/>
    </row>
    <row r="337" spans="1:23" x14ac:dyDescent="0.25">
      <c r="A337"/>
      <c r="B337"/>
      <c r="C337"/>
      <c r="D337"/>
      <c r="E337"/>
      <c r="F337"/>
      <c r="G337"/>
      <c r="H337"/>
      <c r="W337"/>
    </row>
    <row r="338" spans="1:23" x14ac:dyDescent="0.25">
      <c r="A338"/>
      <c r="B338"/>
      <c r="C338"/>
      <c r="D338"/>
      <c r="E338"/>
      <c r="F338"/>
      <c r="G338"/>
      <c r="H338"/>
      <c r="W338"/>
    </row>
    <row r="339" spans="1:23" x14ac:dyDescent="0.25">
      <c r="A339"/>
      <c r="B339"/>
      <c r="C339"/>
      <c r="D339"/>
      <c r="E339"/>
      <c r="F339"/>
      <c r="G339"/>
      <c r="H339"/>
      <c r="W339"/>
    </row>
    <row r="340" spans="1:23" x14ac:dyDescent="0.25">
      <c r="A340"/>
      <c r="B340"/>
      <c r="C340"/>
      <c r="D340"/>
      <c r="E340"/>
      <c r="F340"/>
      <c r="G340"/>
      <c r="H340"/>
      <c r="W340"/>
    </row>
    <row r="341" spans="1:23" x14ac:dyDescent="0.25">
      <c r="A341"/>
      <c r="B341"/>
      <c r="C341"/>
      <c r="D341"/>
      <c r="E341"/>
      <c r="F341"/>
      <c r="G341"/>
      <c r="H341"/>
      <c r="W341"/>
    </row>
    <row r="342" spans="1:23" x14ac:dyDescent="0.25">
      <c r="A342"/>
      <c r="B342"/>
      <c r="C342"/>
      <c r="D342"/>
      <c r="E342"/>
      <c r="F342"/>
      <c r="G342"/>
      <c r="H342"/>
      <c r="W342"/>
    </row>
    <row r="343" spans="1:23" x14ac:dyDescent="0.25">
      <c r="A343"/>
      <c r="B343"/>
      <c r="C343"/>
      <c r="D343"/>
      <c r="E343"/>
      <c r="F343"/>
      <c r="G343"/>
      <c r="H343"/>
      <c r="W343"/>
    </row>
    <row r="344" spans="1:23" x14ac:dyDescent="0.25">
      <c r="A344"/>
      <c r="B344"/>
      <c r="C344"/>
      <c r="D344"/>
      <c r="E344"/>
      <c r="F344"/>
      <c r="G344"/>
      <c r="H344"/>
      <c r="W344"/>
    </row>
    <row r="345" spans="1:23" x14ac:dyDescent="0.25">
      <c r="A345"/>
      <c r="B345"/>
      <c r="C345"/>
      <c r="D345"/>
      <c r="E345"/>
      <c r="F345"/>
      <c r="G345"/>
      <c r="H345"/>
      <c r="W345"/>
    </row>
    <row r="346" spans="1:23" x14ac:dyDescent="0.25">
      <c r="A346"/>
      <c r="B346"/>
      <c r="C346"/>
      <c r="D346"/>
      <c r="E346"/>
      <c r="F346"/>
      <c r="G346"/>
      <c r="H346"/>
      <c r="W346"/>
    </row>
    <row r="347" spans="1:23" x14ac:dyDescent="0.25">
      <c r="A347"/>
      <c r="B347"/>
      <c r="C347"/>
      <c r="D347"/>
      <c r="E347"/>
      <c r="F347"/>
      <c r="G347"/>
      <c r="H347"/>
      <c r="W347"/>
    </row>
    <row r="348" spans="1:23" x14ac:dyDescent="0.25">
      <c r="A348"/>
      <c r="B348"/>
      <c r="C348"/>
      <c r="D348"/>
      <c r="E348"/>
      <c r="F348"/>
      <c r="G348"/>
      <c r="H348"/>
      <c r="W348"/>
    </row>
    <row r="349" spans="1:23" x14ac:dyDescent="0.25">
      <c r="A349"/>
      <c r="B349"/>
      <c r="C349"/>
      <c r="D349"/>
      <c r="E349"/>
      <c r="F349"/>
      <c r="G349"/>
      <c r="H349"/>
      <c r="W349"/>
    </row>
    <row r="350" spans="1:23" x14ac:dyDescent="0.25">
      <c r="A350"/>
      <c r="B350"/>
      <c r="C350"/>
      <c r="D350"/>
      <c r="E350"/>
      <c r="F350"/>
      <c r="G350"/>
      <c r="H350"/>
      <c r="W350"/>
    </row>
    <row r="351" spans="1:23" x14ac:dyDescent="0.25">
      <c r="A351"/>
      <c r="B351"/>
      <c r="C351"/>
      <c r="D351"/>
      <c r="E351"/>
      <c r="F351"/>
      <c r="G351"/>
      <c r="H351"/>
      <c r="W351"/>
    </row>
    <row r="352" spans="1:23" x14ac:dyDescent="0.25">
      <c r="A352"/>
      <c r="B352"/>
      <c r="C352"/>
      <c r="D352"/>
      <c r="E352"/>
      <c r="F352"/>
      <c r="G352"/>
      <c r="H352"/>
      <c r="W352"/>
    </row>
    <row r="353" spans="1:23" x14ac:dyDescent="0.25">
      <c r="A353"/>
      <c r="B353"/>
      <c r="C353"/>
      <c r="D353"/>
      <c r="E353"/>
      <c r="F353"/>
      <c r="G353"/>
      <c r="H353"/>
      <c r="W353"/>
    </row>
    <row r="354" spans="1:23" x14ac:dyDescent="0.25">
      <c r="A354"/>
      <c r="B354"/>
      <c r="C354"/>
      <c r="D354"/>
      <c r="E354"/>
      <c r="F354"/>
      <c r="G354"/>
      <c r="H354"/>
      <c r="W354"/>
    </row>
    <row r="355" spans="1:23" x14ac:dyDescent="0.25">
      <c r="A355"/>
      <c r="B355"/>
      <c r="C355"/>
      <c r="D355"/>
      <c r="E355"/>
      <c r="F355"/>
      <c r="G355"/>
      <c r="H355"/>
      <c r="W355"/>
    </row>
    <row r="356" spans="1:23" x14ac:dyDescent="0.25">
      <c r="A356"/>
      <c r="B356"/>
      <c r="C356"/>
      <c r="D356"/>
      <c r="E356"/>
      <c r="F356"/>
      <c r="G356"/>
      <c r="H356"/>
      <c r="W356"/>
    </row>
    <row r="357" spans="1:23" x14ac:dyDescent="0.25">
      <c r="A357"/>
      <c r="B357"/>
      <c r="C357"/>
      <c r="D357"/>
      <c r="E357"/>
      <c r="F357"/>
      <c r="G357"/>
      <c r="H357"/>
      <c r="W357"/>
    </row>
    <row r="358" spans="1:23" x14ac:dyDescent="0.25">
      <c r="A358"/>
      <c r="B358"/>
      <c r="C358"/>
      <c r="D358"/>
      <c r="E358"/>
      <c r="F358"/>
      <c r="G358"/>
      <c r="H358"/>
      <c r="W358"/>
    </row>
    <row r="359" spans="1:23" x14ac:dyDescent="0.25">
      <c r="A359"/>
      <c r="B359"/>
      <c r="C359"/>
      <c r="D359"/>
      <c r="E359"/>
      <c r="F359"/>
      <c r="G359"/>
      <c r="H359"/>
      <c r="W359"/>
    </row>
    <row r="360" spans="1:23" x14ac:dyDescent="0.25">
      <c r="A360"/>
      <c r="B360"/>
      <c r="C360"/>
      <c r="D360"/>
      <c r="E360"/>
      <c r="F360"/>
      <c r="G360"/>
      <c r="H360"/>
      <c r="W360"/>
    </row>
    <row r="361" spans="1:23" x14ac:dyDescent="0.25">
      <c r="A361"/>
      <c r="B361"/>
      <c r="C361"/>
      <c r="D361"/>
      <c r="E361"/>
      <c r="F361"/>
      <c r="G361"/>
      <c r="H361"/>
      <c r="W361"/>
    </row>
    <row r="362" spans="1:23" x14ac:dyDescent="0.25">
      <c r="A362"/>
      <c r="B362"/>
      <c r="C362"/>
      <c r="D362"/>
      <c r="E362"/>
      <c r="F362"/>
      <c r="G362"/>
      <c r="H362"/>
      <c r="W362"/>
    </row>
    <row r="363" spans="1:23" x14ac:dyDescent="0.25">
      <c r="A363"/>
      <c r="B363"/>
      <c r="C363"/>
      <c r="D363"/>
      <c r="E363"/>
      <c r="F363"/>
      <c r="G363"/>
      <c r="H363"/>
      <c r="W363"/>
    </row>
    <row r="364" spans="1:23" x14ac:dyDescent="0.25">
      <c r="A364"/>
      <c r="B364"/>
      <c r="C364"/>
      <c r="D364"/>
      <c r="E364"/>
      <c r="F364"/>
      <c r="G364"/>
      <c r="H364"/>
      <c r="W364"/>
    </row>
    <row r="365" spans="1:23" x14ac:dyDescent="0.25">
      <c r="A365"/>
      <c r="B365"/>
      <c r="C365"/>
      <c r="D365"/>
      <c r="E365"/>
      <c r="F365"/>
      <c r="G365"/>
      <c r="H365"/>
      <c r="W365"/>
    </row>
    <row r="366" spans="1:23" x14ac:dyDescent="0.25">
      <c r="A366"/>
      <c r="B366"/>
      <c r="C366"/>
      <c r="D366"/>
      <c r="E366"/>
      <c r="F366"/>
      <c r="G366"/>
      <c r="H366"/>
      <c r="W366"/>
    </row>
    <row r="367" spans="1:23" x14ac:dyDescent="0.25">
      <c r="A367"/>
      <c r="B367"/>
      <c r="C367"/>
      <c r="D367"/>
      <c r="E367"/>
      <c r="F367"/>
      <c r="G367"/>
      <c r="H367"/>
      <c r="W367"/>
    </row>
    <row r="368" spans="1:23" x14ac:dyDescent="0.25">
      <c r="A368"/>
      <c r="B368"/>
      <c r="C368"/>
      <c r="D368"/>
      <c r="E368"/>
      <c r="F368"/>
      <c r="G368"/>
      <c r="H368"/>
      <c r="W368"/>
    </row>
    <row r="369" spans="1:23" x14ac:dyDescent="0.25">
      <c r="A369"/>
      <c r="B369"/>
      <c r="C369"/>
      <c r="D369"/>
      <c r="E369"/>
      <c r="F369"/>
      <c r="G369"/>
      <c r="H369"/>
      <c r="W369"/>
    </row>
    <row r="370" spans="1:23" x14ac:dyDescent="0.25">
      <c r="A370"/>
      <c r="B370"/>
      <c r="C370"/>
      <c r="D370"/>
      <c r="E370"/>
      <c r="F370"/>
      <c r="G370"/>
      <c r="H370"/>
      <c r="W370"/>
    </row>
    <row r="371" spans="1:23" x14ac:dyDescent="0.25">
      <c r="A371"/>
      <c r="B371"/>
      <c r="C371"/>
      <c r="D371"/>
      <c r="E371"/>
      <c r="F371"/>
      <c r="G371"/>
      <c r="H371"/>
      <c r="W371"/>
    </row>
    <row r="372" spans="1:23" x14ac:dyDescent="0.25">
      <c r="A372"/>
      <c r="B372"/>
      <c r="C372"/>
      <c r="D372"/>
      <c r="E372"/>
      <c r="F372"/>
      <c r="G372"/>
      <c r="H372"/>
      <c r="W372"/>
    </row>
    <row r="373" spans="1:23" x14ac:dyDescent="0.25">
      <c r="A373"/>
      <c r="B373"/>
      <c r="C373"/>
      <c r="D373"/>
      <c r="E373"/>
      <c r="F373"/>
      <c r="G373"/>
      <c r="H373"/>
      <c r="W373"/>
    </row>
    <row r="374" spans="1:23" x14ac:dyDescent="0.25">
      <c r="A374"/>
      <c r="B374"/>
      <c r="C374"/>
      <c r="D374"/>
      <c r="E374"/>
      <c r="F374"/>
      <c r="G374"/>
      <c r="H374"/>
      <c r="W374"/>
    </row>
    <row r="375" spans="1:23" x14ac:dyDescent="0.25">
      <c r="A375"/>
      <c r="B375"/>
      <c r="C375"/>
      <c r="D375"/>
      <c r="E375"/>
      <c r="F375"/>
      <c r="G375"/>
      <c r="H375"/>
      <c r="W375"/>
    </row>
    <row r="376" spans="1:23" x14ac:dyDescent="0.25">
      <c r="A376"/>
      <c r="B376"/>
      <c r="C376"/>
      <c r="D376"/>
      <c r="E376"/>
      <c r="F376"/>
      <c r="G376"/>
      <c r="H376"/>
      <c r="W376"/>
    </row>
    <row r="377" spans="1:23" x14ac:dyDescent="0.25">
      <c r="A377"/>
      <c r="B377"/>
      <c r="C377"/>
      <c r="D377"/>
      <c r="E377"/>
      <c r="F377"/>
      <c r="G377"/>
      <c r="H377"/>
      <c r="W377"/>
    </row>
    <row r="378" spans="1:23" x14ac:dyDescent="0.25">
      <c r="A378"/>
      <c r="B378"/>
      <c r="C378"/>
      <c r="D378"/>
      <c r="E378"/>
      <c r="F378"/>
      <c r="G378"/>
      <c r="H378"/>
      <c r="W378"/>
    </row>
    <row r="379" spans="1:23" x14ac:dyDescent="0.25">
      <c r="A379"/>
      <c r="B379"/>
      <c r="C379"/>
      <c r="D379"/>
      <c r="E379"/>
      <c r="F379"/>
      <c r="G379"/>
      <c r="H379"/>
      <c r="W379"/>
    </row>
    <row r="380" spans="1:23" x14ac:dyDescent="0.25">
      <c r="A380"/>
      <c r="B380"/>
      <c r="C380"/>
      <c r="D380"/>
      <c r="E380"/>
      <c r="F380"/>
      <c r="G380"/>
      <c r="H380"/>
      <c r="W380"/>
    </row>
    <row r="381" spans="1:23" x14ac:dyDescent="0.25">
      <c r="A381"/>
      <c r="B381"/>
      <c r="C381"/>
      <c r="D381"/>
      <c r="E381"/>
      <c r="F381"/>
      <c r="G381"/>
      <c r="H381"/>
      <c r="W381"/>
    </row>
    <row r="382" spans="1:23" x14ac:dyDescent="0.25">
      <c r="A382"/>
      <c r="B382"/>
      <c r="C382"/>
      <c r="D382"/>
      <c r="E382"/>
      <c r="F382"/>
      <c r="G382"/>
      <c r="H382"/>
      <c r="W382"/>
    </row>
    <row r="383" spans="1:23" x14ac:dyDescent="0.25">
      <c r="A383"/>
      <c r="B383"/>
      <c r="C383"/>
      <c r="D383"/>
      <c r="E383"/>
      <c r="F383"/>
      <c r="G383"/>
      <c r="H383"/>
      <c r="W383"/>
    </row>
    <row r="384" spans="1:23" x14ac:dyDescent="0.25">
      <c r="A384"/>
      <c r="B384"/>
      <c r="C384"/>
      <c r="D384"/>
      <c r="E384"/>
      <c r="F384"/>
      <c r="G384"/>
      <c r="H384"/>
      <c r="W384"/>
    </row>
    <row r="385" spans="1:23" x14ac:dyDescent="0.25">
      <c r="A385"/>
      <c r="B385"/>
      <c r="C385"/>
      <c r="D385"/>
      <c r="E385"/>
      <c r="F385"/>
      <c r="G385"/>
      <c r="H385"/>
      <c r="W385"/>
    </row>
    <row r="386" spans="1:23" x14ac:dyDescent="0.25">
      <c r="A386"/>
      <c r="B386"/>
      <c r="C386"/>
      <c r="D386"/>
      <c r="E386"/>
      <c r="F386"/>
      <c r="G386"/>
      <c r="H386"/>
      <c r="W386"/>
    </row>
    <row r="387" spans="1:23" x14ac:dyDescent="0.25">
      <c r="A387"/>
      <c r="B387"/>
      <c r="C387"/>
      <c r="D387"/>
      <c r="E387"/>
      <c r="F387"/>
      <c r="G387"/>
      <c r="H387"/>
      <c r="W387"/>
    </row>
    <row r="388" spans="1:23" x14ac:dyDescent="0.25">
      <c r="A388"/>
      <c r="B388"/>
      <c r="C388"/>
      <c r="D388"/>
      <c r="E388"/>
      <c r="F388"/>
      <c r="G388"/>
      <c r="H388"/>
      <c r="W388"/>
    </row>
    <row r="389" spans="1:23" x14ac:dyDescent="0.25">
      <c r="A389"/>
      <c r="B389"/>
      <c r="C389"/>
      <c r="D389"/>
      <c r="E389"/>
      <c r="F389"/>
      <c r="G389"/>
      <c r="H389"/>
      <c r="W389"/>
    </row>
    <row r="390" spans="1:23" x14ac:dyDescent="0.25">
      <c r="A390"/>
      <c r="B390"/>
      <c r="C390"/>
      <c r="D390"/>
      <c r="E390"/>
      <c r="F390"/>
      <c r="G390"/>
      <c r="H390"/>
      <c r="W390"/>
    </row>
    <row r="391" spans="1:23" x14ac:dyDescent="0.25">
      <c r="A391"/>
      <c r="B391"/>
      <c r="C391"/>
      <c r="D391"/>
      <c r="E391"/>
      <c r="F391"/>
      <c r="G391"/>
      <c r="H391"/>
      <c r="W391"/>
    </row>
    <row r="392" spans="1:23" x14ac:dyDescent="0.25">
      <c r="A392"/>
      <c r="B392"/>
      <c r="C392"/>
      <c r="D392"/>
      <c r="E392"/>
      <c r="F392"/>
      <c r="G392"/>
      <c r="H392"/>
      <c r="W392"/>
    </row>
    <row r="393" spans="1:23" x14ac:dyDescent="0.25">
      <c r="A393"/>
      <c r="B393"/>
      <c r="C393"/>
      <c r="D393"/>
      <c r="E393"/>
      <c r="F393"/>
      <c r="G393"/>
      <c r="H393"/>
      <c r="W393"/>
    </row>
    <row r="394" spans="1:23" x14ac:dyDescent="0.25">
      <c r="A394"/>
      <c r="B394"/>
      <c r="C394"/>
      <c r="D394"/>
      <c r="E394"/>
      <c r="F394"/>
      <c r="G394"/>
      <c r="H394"/>
      <c r="W394"/>
    </row>
    <row r="395" spans="1:23" x14ac:dyDescent="0.25">
      <c r="A395"/>
      <c r="B395"/>
      <c r="C395"/>
      <c r="D395"/>
      <c r="E395"/>
      <c r="F395"/>
      <c r="G395"/>
      <c r="H395"/>
      <c r="W395"/>
    </row>
    <row r="396" spans="1:23" x14ac:dyDescent="0.25">
      <c r="A396"/>
      <c r="B396"/>
      <c r="C396"/>
      <c r="D396"/>
      <c r="E396"/>
      <c r="F396"/>
      <c r="G396"/>
      <c r="H396"/>
      <c r="W396"/>
    </row>
    <row r="397" spans="1:23" x14ac:dyDescent="0.25">
      <c r="A397"/>
      <c r="B397"/>
      <c r="C397"/>
      <c r="D397"/>
      <c r="E397"/>
      <c r="F397"/>
      <c r="G397"/>
      <c r="H397"/>
      <c r="W397"/>
    </row>
    <row r="398" spans="1:23" x14ac:dyDescent="0.25">
      <c r="A398"/>
      <c r="B398"/>
      <c r="C398"/>
      <c r="D398"/>
      <c r="E398"/>
      <c r="F398"/>
      <c r="G398"/>
      <c r="H398"/>
      <c r="W398"/>
    </row>
    <row r="399" spans="1:23" x14ac:dyDescent="0.25">
      <c r="A399"/>
      <c r="B399"/>
      <c r="C399"/>
      <c r="D399"/>
      <c r="E399"/>
      <c r="F399"/>
      <c r="G399"/>
      <c r="H399"/>
      <c r="W399"/>
    </row>
    <row r="400" spans="1:23" x14ac:dyDescent="0.25">
      <c r="A400"/>
      <c r="B400"/>
      <c r="C400"/>
      <c r="D400"/>
      <c r="E400"/>
      <c r="F400"/>
      <c r="G400"/>
      <c r="H400"/>
      <c r="W400"/>
    </row>
    <row r="401" spans="1:23" x14ac:dyDescent="0.25">
      <c r="A401"/>
      <c r="B401"/>
      <c r="C401"/>
      <c r="D401"/>
      <c r="E401"/>
      <c r="F401"/>
      <c r="G401"/>
      <c r="H401"/>
      <c r="W401"/>
    </row>
    <row r="402" spans="1:23" x14ac:dyDescent="0.25">
      <c r="A402"/>
      <c r="B402"/>
      <c r="C402"/>
      <c r="D402"/>
      <c r="E402"/>
      <c r="F402"/>
      <c r="G402"/>
      <c r="H402"/>
      <c r="W402"/>
    </row>
    <row r="403" spans="1:23" x14ac:dyDescent="0.25">
      <c r="A403"/>
      <c r="B403"/>
      <c r="C403"/>
      <c r="D403"/>
      <c r="E403"/>
      <c r="F403"/>
      <c r="G403"/>
      <c r="H403"/>
      <c r="W403"/>
    </row>
    <row r="404" spans="1:23" x14ac:dyDescent="0.25">
      <c r="A404"/>
      <c r="B404"/>
      <c r="C404"/>
      <c r="D404"/>
      <c r="E404"/>
      <c r="F404"/>
      <c r="G404"/>
      <c r="H404"/>
      <c r="W404"/>
    </row>
    <row r="405" spans="1:23" x14ac:dyDescent="0.25">
      <c r="A405"/>
      <c r="B405"/>
      <c r="C405"/>
      <c r="D405"/>
      <c r="E405"/>
      <c r="F405"/>
      <c r="G405"/>
      <c r="H405"/>
      <c r="W405"/>
    </row>
    <row r="406" spans="1:23" x14ac:dyDescent="0.25">
      <c r="A406"/>
      <c r="B406"/>
      <c r="C406"/>
      <c r="D406"/>
      <c r="E406"/>
      <c r="F406"/>
      <c r="G406"/>
      <c r="H406"/>
      <c r="W406"/>
    </row>
    <row r="407" spans="1:23" x14ac:dyDescent="0.25">
      <c r="A407"/>
      <c r="B407"/>
      <c r="C407"/>
      <c r="D407"/>
      <c r="E407"/>
      <c r="F407"/>
      <c r="G407"/>
      <c r="H407"/>
      <c r="W407"/>
    </row>
    <row r="408" spans="1:23" x14ac:dyDescent="0.25">
      <c r="A408"/>
      <c r="B408"/>
      <c r="C408"/>
      <c r="D408"/>
      <c r="E408"/>
      <c r="F408"/>
      <c r="G408"/>
      <c r="H408"/>
      <c r="W408"/>
    </row>
    <row r="409" spans="1:23" x14ac:dyDescent="0.25">
      <c r="A409"/>
      <c r="B409"/>
      <c r="C409"/>
      <c r="D409"/>
      <c r="E409"/>
      <c r="F409"/>
      <c r="G409"/>
      <c r="H409"/>
      <c r="W409"/>
    </row>
    <row r="410" spans="1:23" x14ac:dyDescent="0.25">
      <c r="A410"/>
      <c r="B410"/>
      <c r="C410"/>
      <c r="D410"/>
      <c r="E410"/>
      <c r="F410"/>
      <c r="G410"/>
      <c r="H410"/>
      <c r="W410"/>
    </row>
    <row r="411" spans="1:23" x14ac:dyDescent="0.25">
      <c r="A411"/>
      <c r="B411"/>
      <c r="C411"/>
      <c r="D411"/>
      <c r="E411"/>
      <c r="F411"/>
      <c r="G411"/>
      <c r="H411"/>
      <c r="W411"/>
    </row>
    <row r="412" spans="1:23" x14ac:dyDescent="0.25">
      <c r="A412"/>
      <c r="B412"/>
      <c r="C412"/>
      <c r="D412"/>
      <c r="E412"/>
      <c r="F412"/>
      <c r="G412"/>
      <c r="H412"/>
      <c r="W412"/>
    </row>
    <row r="413" spans="1:23" x14ac:dyDescent="0.25">
      <c r="A413"/>
      <c r="B413"/>
      <c r="C413"/>
      <c r="D413"/>
      <c r="E413"/>
      <c r="F413"/>
      <c r="G413"/>
      <c r="H413"/>
      <c r="W413"/>
    </row>
    <row r="414" spans="1:23" x14ac:dyDescent="0.25">
      <c r="A414"/>
      <c r="B414"/>
      <c r="C414"/>
      <c r="D414"/>
      <c r="E414"/>
      <c r="F414"/>
      <c r="G414"/>
      <c r="H414"/>
      <c r="W414"/>
    </row>
    <row r="415" spans="1:23" x14ac:dyDescent="0.25">
      <c r="A415"/>
      <c r="B415"/>
      <c r="C415"/>
      <c r="D415"/>
      <c r="E415"/>
      <c r="F415"/>
      <c r="G415"/>
      <c r="H415"/>
      <c r="W415"/>
    </row>
    <row r="416" spans="1:23" x14ac:dyDescent="0.25">
      <c r="A416"/>
      <c r="B416"/>
      <c r="C416"/>
      <c r="D416"/>
      <c r="E416"/>
      <c r="F416"/>
      <c r="G416"/>
      <c r="H416"/>
      <c r="W416"/>
    </row>
    <row r="417" spans="1:23" x14ac:dyDescent="0.25">
      <c r="A417"/>
      <c r="B417"/>
      <c r="C417"/>
      <c r="D417"/>
      <c r="E417"/>
      <c r="F417"/>
      <c r="G417"/>
      <c r="H417"/>
      <c r="W417"/>
    </row>
    <row r="418" spans="1:23" x14ac:dyDescent="0.25">
      <c r="A418"/>
      <c r="B418"/>
      <c r="C418"/>
      <c r="D418"/>
      <c r="E418"/>
      <c r="F418"/>
      <c r="G418"/>
      <c r="H418"/>
      <c r="W418"/>
    </row>
    <row r="419" spans="1:23" x14ac:dyDescent="0.25">
      <c r="A419"/>
      <c r="B419"/>
      <c r="C419"/>
      <c r="D419"/>
      <c r="E419"/>
      <c r="F419"/>
      <c r="G419"/>
      <c r="H419"/>
      <c r="W419"/>
    </row>
    <row r="420" spans="1:23" x14ac:dyDescent="0.25">
      <c r="A420"/>
      <c r="B420"/>
      <c r="C420"/>
      <c r="D420"/>
      <c r="E420"/>
      <c r="F420"/>
      <c r="G420"/>
      <c r="H420"/>
      <c r="W420"/>
    </row>
    <row r="421" spans="1:23" x14ac:dyDescent="0.25">
      <c r="A421"/>
      <c r="B421"/>
      <c r="C421"/>
      <c r="D421"/>
      <c r="E421"/>
      <c r="F421"/>
      <c r="G421"/>
      <c r="H421"/>
      <c r="W421"/>
    </row>
    <row r="422" spans="1:23" x14ac:dyDescent="0.25">
      <c r="A422"/>
      <c r="B422"/>
      <c r="C422"/>
      <c r="D422"/>
      <c r="E422"/>
      <c r="F422"/>
      <c r="G422"/>
      <c r="H422"/>
      <c r="W422"/>
    </row>
    <row r="423" spans="1:23" x14ac:dyDescent="0.25">
      <c r="A423"/>
      <c r="B423"/>
      <c r="C423"/>
      <c r="D423"/>
      <c r="E423"/>
      <c r="F423"/>
      <c r="G423"/>
      <c r="H423"/>
      <c r="W423"/>
    </row>
    <row r="424" spans="1:23" x14ac:dyDescent="0.25">
      <c r="A424"/>
      <c r="B424"/>
      <c r="C424"/>
      <c r="D424"/>
      <c r="E424"/>
      <c r="F424"/>
      <c r="G424"/>
      <c r="H424"/>
      <c r="W424"/>
    </row>
    <row r="425" spans="1:23" x14ac:dyDescent="0.25">
      <c r="A425"/>
      <c r="B425"/>
      <c r="C425"/>
      <c r="D425"/>
      <c r="E425"/>
      <c r="F425"/>
      <c r="G425"/>
      <c r="H425"/>
      <c r="W425"/>
    </row>
    <row r="426" spans="1:23" x14ac:dyDescent="0.25">
      <c r="A426"/>
      <c r="B426"/>
      <c r="C426"/>
      <c r="D426"/>
      <c r="E426"/>
      <c r="F426"/>
      <c r="G426"/>
      <c r="H426"/>
      <c r="W426"/>
    </row>
    <row r="427" spans="1:23" x14ac:dyDescent="0.25">
      <c r="A427"/>
      <c r="B427"/>
      <c r="C427"/>
      <c r="D427"/>
      <c r="E427"/>
      <c r="F427"/>
      <c r="G427"/>
      <c r="H427"/>
      <c r="W427"/>
    </row>
    <row r="428" spans="1:23" x14ac:dyDescent="0.25">
      <c r="A428"/>
      <c r="B428"/>
      <c r="C428"/>
      <c r="D428"/>
      <c r="E428"/>
      <c r="F428"/>
      <c r="G428"/>
      <c r="H428"/>
      <c r="W428"/>
    </row>
    <row r="429" spans="1:23" x14ac:dyDescent="0.25">
      <c r="A429"/>
      <c r="B429"/>
      <c r="C429"/>
      <c r="D429"/>
      <c r="E429"/>
      <c r="F429"/>
      <c r="G429"/>
      <c r="H429"/>
      <c r="W429"/>
    </row>
    <row r="430" spans="1:23" x14ac:dyDescent="0.25">
      <c r="A430"/>
      <c r="B430"/>
      <c r="C430"/>
      <c r="D430"/>
      <c r="E430"/>
      <c r="F430"/>
      <c r="G430"/>
      <c r="H430"/>
      <c r="W430"/>
    </row>
    <row r="431" spans="1:23" x14ac:dyDescent="0.25">
      <c r="A431"/>
      <c r="B431"/>
      <c r="C431"/>
      <c r="D431"/>
      <c r="E431"/>
      <c r="F431"/>
      <c r="G431"/>
      <c r="H431"/>
      <c r="W431"/>
    </row>
    <row r="432" spans="1:23" x14ac:dyDescent="0.25">
      <c r="A432"/>
      <c r="B432"/>
      <c r="C432"/>
      <c r="D432"/>
      <c r="E432"/>
      <c r="F432"/>
      <c r="G432"/>
      <c r="H432"/>
      <c r="W432"/>
    </row>
    <row r="433" spans="1:23" x14ac:dyDescent="0.25">
      <c r="A433"/>
      <c r="B433"/>
      <c r="C433"/>
      <c r="D433"/>
      <c r="E433"/>
      <c r="F433"/>
      <c r="G433"/>
      <c r="H433"/>
      <c r="W433"/>
    </row>
    <row r="434" spans="1:23" x14ac:dyDescent="0.25">
      <c r="A434"/>
      <c r="B434"/>
      <c r="C434"/>
      <c r="D434"/>
      <c r="E434"/>
      <c r="F434"/>
      <c r="G434"/>
      <c r="H434"/>
      <c r="W434"/>
    </row>
    <row r="435" spans="1:23" x14ac:dyDescent="0.25">
      <c r="A435"/>
      <c r="B435"/>
      <c r="C435"/>
      <c r="D435"/>
      <c r="E435"/>
      <c r="F435"/>
      <c r="G435"/>
      <c r="H435"/>
      <c r="W435"/>
    </row>
    <row r="436" spans="1:23" x14ac:dyDescent="0.25">
      <c r="A436"/>
      <c r="B436"/>
      <c r="C436"/>
      <c r="D436"/>
      <c r="E436"/>
      <c r="F436"/>
      <c r="G436"/>
      <c r="H436"/>
      <c r="W436"/>
    </row>
    <row r="437" spans="1:23" x14ac:dyDescent="0.25">
      <c r="A437"/>
      <c r="B437"/>
      <c r="C437"/>
      <c r="D437"/>
      <c r="E437"/>
      <c r="F437"/>
      <c r="G437"/>
      <c r="H437"/>
      <c r="W437"/>
    </row>
    <row r="438" spans="1:23" x14ac:dyDescent="0.25">
      <c r="A438"/>
      <c r="B438"/>
      <c r="C438"/>
      <c r="D438"/>
      <c r="E438"/>
      <c r="F438"/>
      <c r="G438"/>
      <c r="H438"/>
      <c r="W438"/>
    </row>
    <row r="439" spans="1:23" x14ac:dyDescent="0.25">
      <c r="A439"/>
      <c r="B439"/>
      <c r="C439"/>
      <c r="D439"/>
      <c r="E439"/>
      <c r="F439"/>
      <c r="G439"/>
      <c r="H439"/>
      <c r="W439"/>
    </row>
    <row r="440" spans="1:23" x14ac:dyDescent="0.25">
      <c r="A440"/>
      <c r="B440"/>
      <c r="C440"/>
      <c r="D440"/>
      <c r="E440"/>
      <c r="F440"/>
      <c r="G440"/>
      <c r="H440"/>
      <c r="W440"/>
    </row>
    <row r="441" spans="1:23" x14ac:dyDescent="0.25">
      <c r="A441"/>
      <c r="B441"/>
      <c r="C441"/>
      <c r="D441"/>
      <c r="E441"/>
      <c r="F441"/>
      <c r="G441"/>
      <c r="H441"/>
      <c r="W441"/>
    </row>
    <row r="442" spans="1:23" x14ac:dyDescent="0.25">
      <c r="A442"/>
      <c r="B442"/>
      <c r="C442"/>
      <c r="D442"/>
      <c r="E442"/>
      <c r="F442"/>
      <c r="G442"/>
      <c r="H442"/>
      <c r="W442"/>
    </row>
    <row r="443" spans="1:23" x14ac:dyDescent="0.25">
      <c r="A443"/>
      <c r="B443"/>
      <c r="C443"/>
      <c r="D443"/>
      <c r="E443"/>
      <c r="F443"/>
      <c r="G443"/>
      <c r="H443"/>
      <c r="W443"/>
    </row>
    <row r="444" spans="1:23" x14ac:dyDescent="0.25">
      <c r="A444"/>
      <c r="B444"/>
      <c r="C444"/>
      <c r="D444"/>
      <c r="E444"/>
      <c r="F444"/>
      <c r="G444"/>
      <c r="H444"/>
      <c r="W444"/>
    </row>
    <row r="445" spans="1:23" x14ac:dyDescent="0.25">
      <c r="A445"/>
      <c r="B445"/>
      <c r="C445"/>
      <c r="D445"/>
      <c r="E445"/>
      <c r="F445"/>
      <c r="G445"/>
      <c r="H445"/>
      <c r="W445"/>
    </row>
    <row r="446" spans="1:23" x14ac:dyDescent="0.25">
      <c r="A446"/>
      <c r="B446"/>
      <c r="C446"/>
      <c r="D446"/>
      <c r="E446"/>
      <c r="F446"/>
      <c r="G446"/>
      <c r="H446"/>
      <c r="W446"/>
    </row>
    <row r="447" spans="1:23" x14ac:dyDescent="0.25">
      <c r="A447"/>
      <c r="B447"/>
      <c r="C447"/>
      <c r="D447"/>
      <c r="E447"/>
      <c r="F447"/>
      <c r="G447"/>
      <c r="H447"/>
      <c r="W447"/>
    </row>
    <row r="448" spans="1:23" x14ac:dyDescent="0.25">
      <c r="A448"/>
      <c r="B448"/>
      <c r="C448"/>
      <c r="D448"/>
      <c r="E448"/>
      <c r="F448"/>
      <c r="G448"/>
      <c r="H448"/>
      <c r="W448"/>
    </row>
    <row r="449" spans="1:23" x14ac:dyDescent="0.25">
      <c r="A449"/>
      <c r="B449"/>
      <c r="C449"/>
      <c r="D449"/>
      <c r="E449"/>
      <c r="F449"/>
      <c r="G449"/>
      <c r="H449"/>
      <c r="W449"/>
    </row>
    <row r="450" spans="1:23" x14ac:dyDescent="0.25">
      <c r="A450"/>
      <c r="B450"/>
      <c r="C450"/>
      <c r="D450"/>
      <c r="E450"/>
      <c r="F450"/>
      <c r="G450"/>
      <c r="H450"/>
      <c r="W450"/>
    </row>
    <row r="451" spans="1:23" x14ac:dyDescent="0.25">
      <c r="A451"/>
      <c r="B451"/>
      <c r="C451"/>
      <c r="D451"/>
      <c r="E451"/>
      <c r="F451"/>
      <c r="G451"/>
      <c r="H451"/>
      <c r="W451"/>
    </row>
    <row r="452" spans="1:23" x14ac:dyDescent="0.25">
      <c r="A452"/>
      <c r="B452"/>
      <c r="C452"/>
      <c r="D452"/>
      <c r="E452"/>
      <c r="F452"/>
      <c r="G452"/>
      <c r="H452"/>
      <c r="W452"/>
    </row>
    <row r="453" spans="1:23" x14ac:dyDescent="0.25">
      <c r="A453"/>
      <c r="B453"/>
      <c r="C453"/>
      <c r="D453"/>
      <c r="E453"/>
      <c r="F453"/>
      <c r="G453"/>
      <c r="H453"/>
      <c r="W453"/>
    </row>
    <row r="454" spans="1:23" x14ac:dyDescent="0.25">
      <c r="A454"/>
      <c r="B454"/>
      <c r="C454"/>
      <c r="D454"/>
      <c r="E454"/>
      <c r="F454"/>
      <c r="G454"/>
      <c r="H454"/>
      <c r="W454"/>
    </row>
    <row r="455" spans="1:23" x14ac:dyDescent="0.25">
      <c r="A455"/>
      <c r="B455"/>
      <c r="C455"/>
      <c r="D455"/>
      <c r="E455"/>
      <c r="F455"/>
      <c r="G455"/>
      <c r="H455"/>
      <c r="W455"/>
    </row>
    <row r="456" spans="1:23" x14ac:dyDescent="0.25">
      <c r="A456"/>
      <c r="B456"/>
      <c r="C456"/>
      <c r="D456"/>
      <c r="E456"/>
      <c r="F456"/>
      <c r="G456"/>
      <c r="H456"/>
      <c r="W456"/>
    </row>
    <row r="457" spans="1:23" x14ac:dyDescent="0.25">
      <c r="A457"/>
      <c r="B457"/>
      <c r="C457"/>
      <c r="D457"/>
      <c r="E457"/>
      <c r="F457"/>
      <c r="G457"/>
      <c r="H457"/>
      <c r="W457"/>
    </row>
    <row r="458" spans="1:23" x14ac:dyDescent="0.25">
      <c r="A458"/>
      <c r="B458"/>
      <c r="C458"/>
      <c r="D458"/>
      <c r="E458"/>
      <c r="F458"/>
      <c r="G458"/>
      <c r="H458"/>
      <c r="W458"/>
    </row>
    <row r="459" spans="1:23" x14ac:dyDescent="0.25">
      <c r="A459"/>
      <c r="B459"/>
      <c r="C459"/>
      <c r="D459"/>
      <c r="E459"/>
      <c r="F459"/>
      <c r="G459"/>
      <c r="H459"/>
      <c r="W459"/>
    </row>
    <row r="460" spans="1:23" x14ac:dyDescent="0.25">
      <c r="A460"/>
      <c r="B460"/>
      <c r="C460"/>
      <c r="D460"/>
      <c r="E460"/>
      <c r="F460"/>
      <c r="G460"/>
      <c r="H460"/>
      <c r="W460"/>
    </row>
    <row r="461" spans="1:23" x14ac:dyDescent="0.25">
      <c r="A461"/>
      <c r="B461"/>
      <c r="C461"/>
      <c r="D461"/>
      <c r="E461"/>
      <c r="F461"/>
      <c r="G461"/>
      <c r="H461"/>
      <c r="W461"/>
    </row>
    <row r="462" spans="1:23" x14ac:dyDescent="0.25">
      <c r="A462"/>
      <c r="B462"/>
      <c r="C462"/>
      <c r="D462"/>
      <c r="E462"/>
      <c r="F462"/>
      <c r="G462"/>
      <c r="H462"/>
      <c r="W462"/>
    </row>
    <row r="463" spans="1:23" x14ac:dyDescent="0.25">
      <c r="A463"/>
      <c r="B463"/>
      <c r="C463"/>
      <c r="D463"/>
      <c r="E463"/>
      <c r="F463"/>
      <c r="G463"/>
      <c r="H463"/>
      <c r="W463"/>
    </row>
    <row r="464" spans="1:23" x14ac:dyDescent="0.25">
      <c r="A464"/>
      <c r="B464"/>
      <c r="C464"/>
      <c r="D464"/>
      <c r="E464"/>
      <c r="F464"/>
      <c r="G464"/>
      <c r="H464"/>
      <c r="W464"/>
    </row>
    <row r="465" spans="1:23" x14ac:dyDescent="0.25">
      <c r="A465"/>
      <c r="B465"/>
      <c r="C465"/>
      <c r="D465"/>
      <c r="E465"/>
      <c r="F465"/>
      <c r="G465"/>
      <c r="H465"/>
      <c r="W465"/>
    </row>
    <row r="466" spans="1:23" x14ac:dyDescent="0.25">
      <c r="A466"/>
      <c r="B466"/>
      <c r="C466"/>
      <c r="D466"/>
      <c r="E466"/>
      <c r="F466"/>
      <c r="G466"/>
      <c r="H466"/>
      <c r="W466"/>
    </row>
    <row r="467" spans="1:23" x14ac:dyDescent="0.25">
      <c r="A467"/>
      <c r="B467"/>
      <c r="C467"/>
      <c r="D467"/>
      <c r="E467"/>
      <c r="F467"/>
      <c r="G467"/>
      <c r="H467"/>
      <c r="W467"/>
    </row>
    <row r="468" spans="1:23" x14ac:dyDescent="0.25">
      <c r="A468"/>
      <c r="B468"/>
      <c r="C468"/>
      <c r="D468"/>
      <c r="E468"/>
      <c r="F468"/>
      <c r="G468"/>
      <c r="H468"/>
      <c r="W468"/>
    </row>
    <row r="469" spans="1:23" x14ac:dyDescent="0.25">
      <c r="A469"/>
      <c r="B469"/>
      <c r="C469"/>
      <c r="D469"/>
      <c r="E469"/>
      <c r="F469"/>
      <c r="G469"/>
      <c r="H469"/>
      <c r="W469"/>
    </row>
    <row r="470" spans="1:23" x14ac:dyDescent="0.25">
      <c r="A470"/>
      <c r="B470"/>
      <c r="C470"/>
      <c r="D470"/>
      <c r="E470"/>
      <c r="F470"/>
      <c r="G470"/>
      <c r="H470"/>
      <c r="W470"/>
    </row>
    <row r="471" spans="1:23" x14ac:dyDescent="0.25">
      <c r="A471"/>
      <c r="B471"/>
      <c r="C471"/>
      <c r="D471"/>
      <c r="E471"/>
      <c r="F471"/>
      <c r="G471"/>
      <c r="H471"/>
      <c r="W471"/>
    </row>
    <row r="472" spans="1:23" x14ac:dyDescent="0.25">
      <c r="A472"/>
      <c r="B472"/>
      <c r="C472"/>
      <c r="D472"/>
      <c r="E472"/>
      <c r="F472"/>
      <c r="G472"/>
      <c r="H472"/>
      <c r="W472"/>
    </row>
    <row r="473" spans="1:23" x14ac:dyDescent="0.25">
      <c r="A473"/>
      <c r="B473"/>
      <c r="C473"/>
      <c r="D473"/>
      <c r="E473"/>
      <c r="F473"/>
      <c r="G473"/>
      <c r="H473"/>
      <c r="W473"/>
    </row>
    <row r="474" spans="1:23" x14ac:dyDescent="0.25">
      <c r="A474"/>
      <c r="B474"/>
      <c r="C474"/>
      <c r="D474"/>
      <c r="E474"/>
      <c r="F474"/>
      <c r="G474"/>
      <c r="H474"/>
      <c r="W474"/>
    </row>
    <row r="475" spans="1:23" x14ac:dyDescent="0.25">
      <c r="A475"/>
      <c r="B475"/>
      <c r="C475"/>
      <c r="D475"/>
      <c r="E475"/>
      <c r="F475"/>
      <c r="G475"/>
      <c r="H475"/>
      <c r="W475"/>
    </row>
    <row r="476" spans="1:23" x14ac:dyDescent="0.25">
      <c r="A476"/>
      <c r="B476"/>
      <c r="C476"/>
      <c r="D476"/>
      <c r="E476"/>
      <c r="F476"/>
      <c r="G476"/>
      <c r="H476"/>
      <c r="W476"/>
    </row>
    <row r="477" spans="1:23" x14ac:dyDescent="0.25">
      <c r="A477"/>
      <c r="B477"/>
      <c r="C477"/>
      <c r="D477"/>
      <c r="E477"/>
      <c r="F477"/>
      <c r="G477"/>
      <c r="H477"/>
      <c r="W477"/>
    </row>
    <row r="478" spans="1:23" x14ac:dyDescent="0.25">
      <c r="A478"/>
      <c r="B478"/>
      <c r="C478"/>
      <c r="D478"/>
      <c r="E478"/>
      <c r="F478"/>
      <c r="G478"/>
      <c r="H478"/>
      <c r="W478"/>
    </row>
    <row r="479" spans="1:23" x14ac:dyDescent="0.25">
      <c r="A479"/>
      <c r="B479"/>
      <c r="C479"/>
      <c r="D479"/>
      <c r="E479"/>
      <c r="F479"/>
      <c r="G479"/>
      <c r="H479"/>
      <c r="W479"/>
    </row>
    <row r="480" spans="1:23" x14ac:dyDescent="0.25">
      <c r="A480"/>
      <c r="B480"/>
      <c r="C480"/>
      <c r="D480"/>
      <c r="E480"/>
      <c r="F480"/>
      <c r="G480"/>
      <c r="H480"/>
      <c r="W480"/>
    </row>
    <row r="481" spans="1:23" x14ac:dyDescent="0.25">
      <c r="A481"/>
      <c r="B481"/>
      <c r="C481"/>
      <c r="D481"/>
      <c r="E481"/>
      <c r="F481"/>
      <c r="G481"/>
      <c r="H481"/>
      <c r="W481"/>
    </row>
    <row r="482" spans="1:23" x14ac:dyDescent="0.25">
      <c r="A482"/>
      <c r="B482"/>
      <c r="C482"/>
      <c r="D482"/>
      <c r="E482"/>
      <c r="F482"/>
      <c r="G482"/>
      <c r="H482"/>
      <c r="W482"/>
    </row>
    <row r="483" spans="1:23" x14ac:dyDescent="0.25">
      <c r="A483"/>
      <c r="B483"/>
      <c r="C483"/>
      <c r="D483"/>
      <c r="E483"/>
      <c r="F483"/>
      <c r="G483"/>
      <c r="H483"/>
      <c r="W483"/>
    </row>
    <row r="484" spans="1:23" x14ac:dyDescent="0.25">
      <c r="A484"/>
      <c r="B484"/>
      <c r="C484"/>
      <c r="D484"/>
      <c r="E484"/>
      <c r="F484"/>
      <c r="G484"/>
      <c r="H484"/>
      <c r="W484"/>
    </row>
    <row r="485" spans="1:23" x14ac:dyDescent="0.25">
      <c r="A485"/>
      <c r="B485"/>
      <c r="C485"/>
      <c r="D485"/>
      <c r="E485"/>
      <c r="F485"/>
      <c r="G485"/>
      <c r="H485"/>
      <c r="W485"/>
    </row>
    <row r="486" spans="1:23" x14ac:dyDescent="0.25">
      <c r="A486"/>
      <c r="B486"/>
      <c r="C486"/>
      <c r="D486"/>
      <c r="E486"/>
      <c r="F486"/>
      <c r="G486"/>
      <c r="H486"/>
      <c r="W486"/>
    </row>
    <row r="487" spans="1:23" x14ac:dyDescent="0.25">
      <c r="A487"/>
      <c r="B487"/>
      <c r="C487"/>
      <c r="D487"/>
      <c r="E487"/>
      <c r="F487"/>
      <c r="G487"/>
      <c r="H487"/>
      <c r="W487"/>
    </row>
    <row r="488" spans="1:23" x14ac:dyDescent="0.25">
      <c r="A488"/>
      <c r="B488"/>
      <c r="C488"/>
      <c r="D488"/>
      <c r="E488"/>
      <c r="F488"/>
      <c r="G488"/>
      <c r="H488"/>
      <c r="W488"/>
    </row>
    <row r="489" spans="1:23" x14ac:dyDescent="0.25">
      <c r="A489"/>
      <c r="B489"/>
      <c r="C489"/>
      <c r="D489"/>
      <c r="E489"/>
      <c r="F489"/>
      <c r="G489"/>
      <c r="H489"/>
      <c r="W489"/>
    </row>
    <row r="490" spans="1:23" x14ac:dyDescent="0.25">
      <c r="A490"/>
      <c r="B490"/>
      <c r="C490"/>
      <c r="D490"/>
      <c r="E490"/>
      <c r="F490"/>
      <c r="G490"/>
      <c r="H490"/>
      <c r="W490"/>
    </row>
    <row r="491" spans="1:23" x14ac:dyDescent="0.25">
      <c r="A491"/>
      <c r="B491"/>
      <c r="C491"/>
      <c r="D491"/>
      <c r="E491"/>
      <c r="F491"/>
      <c r="G491"/>
      <c r="H491"/>
      <c r="W491"/>
    </row>
    <row r="492" spans="1:23" x14ac:dyDescent="0.25">
      <c r="A492"/>
      <c r="B492"/>
      <c r="C492"/>
      <c r="D492"/>
      <c r="E492"/>
      <c r="F492"/>
      <c r="G492"/>
      <c r="H492"/>
      <c r="W492"/>
    </row>
    <row r="493" spans="1:23" x14ac:dyDescent="0.25">
      <c r="A493"/>
      <c r="B493"/>
      <c r="C493"/>
      <c r="D493"/>
      <c r="E493"/>
      <c r="F493"/>
      <c r="G493"/>
      <c r="H493"/>
      <c r="W493"/>
    </row>
    <row r="494" spans="1:23" x14ac:dyDescent="0.25">
      <c r="A494"/>
      <c r="B494"/>
      <c r="C494"/>
      <c r="D494"/>
      <c r="E494"/>
      <c r="F494"/>
      <c r="G494"/>
      <c r="H494"/>
      <c r="W494"/>
    </row>
    <row r="495" spans="1:23" x14ac:dyDescent="0.25">
      <c r="A495"/>
      <c r="B495"/>
      <c r="C495"/>
      <c r="D495"/>
      <c r="E495"/>
      <c r="F495"/>
      <c r="G495"/>
      <c r="H495"/>
      <c r="W495"/>
    </row>
    <row r="496" spans="1:23" x14ac:dyDescent="0.25">
      <c r="A496"/>
      <c r="B496"/>
      <c r="C496"/>
      <c r="D496"/>
      <c r="E496"/>
      <c r="F496"/>
      <c r="G496"/>
      <c r="H496"/>
      <c r="W496"/>
    </row>
    <row r="497" spans="1:23" x14ac:dyDescent="0.25">
      <c r="A497"/>
      <c r="B497"/>
      <c r="C497"/>
      <c r="D497"/>
      <c r="E497"/>
      <c r="F497"/>
      <c r="G497"/>
      <c r="H497"/>
      <c r="W497"/>
    </row>
    <row r="498" spans="1:23" x14ac:dyDescent="0.25">
      <c r="A498"/>
      <c r="B498"/>
      <c r="C498"/>
      <c r="D498"/>
      <c r="E498"/>
      <c r="F498"/>
      <c r="G498"/>
      <c r="H498"/>
      <c r="W498"/>
    </row>
    <row r="499" spans="1:23" x14ac:dyDescent="0.25">
      <c r="A499"/>
      <c r="B499"/>
      <c r="C499"/>
      <c r="D499"/>
      <c r="E499"/>
      <c r="F499"/>
      <c r="G499"/>
      <c r="H499"/>
      <c r="W499"/>
    </row>
    <row r="500" spans="1:23" x14ac:dyDescent="0.25">
      <c r="A500"/>
      <c r="B500"/>
      <c r="C500"/>
      <c r="D500"/>
      <c r="E500"/>
      <c r="F500"/>
      <c r="G500"/>
      <c r="H500"/>
      <c r="W500"/>
    </row>
    <row r="501" spans="1:23" x14ac:dyDescent="0.25">
      <c r="A501"/>
      <c r="B501"/>
      <c r="C501"/>
      <c r="D501"/>
      <c r="E501"/>
      <c r="F501"/>
      <c r="G501"/>
      <c r="H501"/>
      <c r="W501"/>
    </row>
    <row r="502" spans="1:23" x14ac:dyDescent="0.25">
      <c r="A502"/>
      <c r="B502"/>
      <c r="C502"/>
      <c r="D502"/>
      <c r="E502"/>
      <c r="F502"/>
      <c r="G502"/>
      <c r="H502"/>
      <c r="W502"/>
    </row>
    <row r="503" spans="1:23" x14ac:dyDescent="0.25">
      <c r="A503"/>
      <c r="B503"/>
      <c r="C503"/>
      <c r="D503"/>
      <c r="E503"/>
      <c r="F503"/>
      <c r="G503"/>
      <c r="H503"/>
      <c r="W503"/>
    </row>
    <row r="504" spans="1:23" x14ac:dyDescent="0.25">
      <c r="A504"/>
      <c r="B504"/>
      <c r="C504"/>
      <c r="D504"/>
      <c r="E504"/>
      <c r="F504"/>
      <c r="G504"/>
      <c r="H504"/>
      <c r="W504"/>
    </row>
    <row r="505" spans="1:23" x14ac:dyDescent="0.25">
      <c r="A505"/>
      <c r="B505"/>
      <c r="C505"/>
      <c r="D505"/>
      <c r="E505"/>
      <c r="F505"/>
      <c r="G505"/>
      <c r="H505"/>
      <c r="W505"/>
    </row>
    <row r="506" spans="1:23" x14ac:dyDescent="0.25">
      <c r="A506"/>
      <c r="B506"/>
      <c r="C506"/>
      <c r="D506"/>
      <c r="E506"/>
      <c r="F506"/>
      <c r="G506"/>
      <c r="H506"/>
      <c r="W506"/>
    </row>
    <row r="507" spans="1:23" x14ac:dyDescent="0.25">
      <c r="A507"/>
      <c r="B507"/>
      <c r="C507"/>
      <c r="D507"/>
      <c r="E507"/>
      <c r="F507"/>
      <c r="G507"/>
      <c r="H507"/>
      <c r="W507"/>
    </row>
    <row r="508" spans="1:23" x14ac:dyDescent="0.25">
      <c r="A508"/>
      <c r="B508"/>
      <c r="C508"/>
      <c r="D508"/>
      <c r="E508"/>
      <c r="F508"/>
      <c r="G508"/>
      <c r="H508"/>
      <c r="W508"/>
    </row>
    <row r="509" spans="1:23" x14ac:dyDescent="0.25">
      <c r="A509"/>
      <c r="B509"/>
      <c r="C509"/>
      <c r="D509"/>
      <c r="E509"/>
      <c r="F509"/>
      <c r="G509"/>
      <c r="H509"/>
      <c r="W509"/>
    </row>
    <row r="510" spans="1:23" x14ac:dyDescent="0.25">
      <c r="A510"/>
      <c r="B510"/>
      <c r="C510"/>
      <c r="D510"/>
      <c r="E510"/>
      <c r="F510"/>
      <c r="G510"/>
      <c r="H510"/>
      <c r="W510"/>
    </row>
    <row r="511" spans="1:23" x14ac:dyDescent="0.25">
      <c r="A511"/>
      <c r="B511"/>
      <c r="C511"/>
      <c r="D511"/>
      <c r="E511"/>
      <c r="F511"/>
      <c r="G511"/>
      <c r="H511"/>
      <c r="W511"/>
    </row>
    <row r="512" spans="1:23" x14ac:dyDescent="0.25">
      <c r="A512"/>
      <c r="B512"/>
      <c r="C512"/>
      <c r="D512"/>
      <c r="E512"/>
      <c r="F512"/>
      <c r="G512"/>
      <c r="H512"/>
      <c r="W512"/>
    </row>
    <row r="513" spans="1:23" x14ac:dyDescent="0.25">
      <c r="A513"/>
      <c r="B513"/>
      <c r="C513"/>
      <c r="D513"/>
      <c r="E513"/>
      <c r="F513"/>
      <c r="G513"/>
      <c r="H513"/>
      <c r="W513"/>
    </row>
    <row r="514" spans="1:23" x14ac:dyDescent="0.25">
      <c r="A514"/>
      <c r="B514"/>
      <c r="C514"/>
      <c r="D514"/>
      <c r="E514"/>
      <c r="F514"/>
      <c r="G514"/>
      <c r="H514"/>
      <c r="W514"/>
    </row>
    <row r="515" spans="1:23" x14ac:dyDescent="0.25">
      <c r="A515"/>
      <c r="B515"/>
      <c r="C515"/>
      <c r="D515"/>
      <c r="E515"/>
      <c r="F515"/>
      <c r="G515"/>
      <c r="H515"/>
      <c r="W515"/>
    </row>
    <row r="516" spans="1:23" x14ac:dyDescent="0.25">
      <c r="A516"/>
      <c r="B516"/>
      <c r="C516"/>
      <c r="D516"/>
      <c r="E516"/>
      <c r="F516"/>
      <c r="G516"/>
      <c r="H516"/>
      <c r="W516"/>
    </row>
    <row r="517" spans="1:23" x14ac:dyDescent="0.25">
      <c r="A517"/>
      <c r="B517"/>
      <c r="C517"/>
      <c r="D517"/>
      <c r="E517"/>
      <c r="F517"/>
      <c r="G517"/>
      <c r="H517"/>
      <c r="W517"/>
    </row>
    <row r="518" spans="1:23" x14ac:dyDescent="0.25">
      <c r="A518"/>
      <c r="B518"/>
      <c r="C518"/>
      <c r="D518"/>
      <c r="E518"/>
      <c r="F518"/>
      <c r="G518"/>
      <c r="H518"/>
      <c r="W518"/>
    </row>
    <row r="519" spans="1:23" x14ac:dyDescent="0.25">
      <c r="A519"/>
      <c r="B519"/>
      <c r="C519"/>
      <c r="D519"/>
      <c r="E519"/>
      <c r="F519"/>
      <c r="G519"/>
      <c r="H519"/>
      <c r="W519"/>
    </row>
    <row r="520" spans="1:23" x14ac:dyDescent="0.25">
      <c r="A520"/>
      <c r="B520"/>
      <c r="C520"/>
      <c r="D520"/>
      <c r="E520"/>
      <c r="F520"/>
      <c r="G520"/>
      <c r="H520"/>
      <c r="W520"/>
    </row>
    <row r="521" spans="1:23" x14ac:dyDescent="0.25">
      <c r="A521"/>
      <c r="B521"/>
      <c r="C521"/>
      <c r="D521"/>
      <c r="E521"/>
      <c r="F521"/>
      <c r="G521"/>
      <c r="H521"/>
      <c r="W521"/>
    </row>
    <row r="522" spans="1:23" x14ac:dyDescent="0.25">
      <c r="A522"/>
      <c r="B522"/>
      <c r="C522"/>
      <c r="D522"/>
      <c r="E522"/>
      <c r="F522"/>
      <c r="G522"/>
      <c r="H522"/>
      <c r="W522"/>
    </row>
    <row r="523" spans="1:23" x14ac:dyDescent="0.25">
      <c r="A523"/>
      <c r="B523"/>
      <c r="C523"/>
      <c r="D523"/>
      <c r="E523"/>
      <c r="F523"/>
      <c r="G523"/>
      <c r="H523"/>
      <c r="W523"/>
    </row>
    <row r="524" spans="1:23" x14ac:dyDescent="0.25">
      <c r="A524"/>
      <c r="B524"/>
      <c r="C524"/>
      <c r="D524"/>
      <c r="E524"/>
      <c r="F524"/>
      <c r="G524"/>
      <c r="H524"/>
      <c r="W524"/>
    </row>
    <row r="525" spans="1:23" x14ac:dyDescent="0.25">
      <c r="A525"/>
      <c r="B525"/>
      <c r="C525"/>
      <c r="D525"/>
      <c r="E525"/>
      <c r="F525"/>
      <c r="G525"/>
      <c r="H525"/>
      <c r="W525"/>
    </row>
    <row r="526" spans="1:23" x14ac:dyDescent="0.25">
      <c r="A526"/>
      <c r="B526"/>
      <c r="C526"/>
      <c r="D526"/>
      <c r="E526"/>
      <c r="F526"/>
      <c r="G526"/>
      <c r="H526"/>
      <c r="W526"/>
    </row>
    <row r="527" spans="1:23" x14ac:dyDescent="0.25">
      <c r="A527"/>
      <c r="B527"/>
      <c r="C527"/>
      <c r="D527"/>
      <c r="E527"/>
      <c r="F527"/>
      <c r="G527"/>
      <c r="H527"/>
      <c r="W527"/>
    </row>
    <row r="528" spans="1:23" x14ac:dyDescent="0.25">
      <c r="A528"/>
      <c r="B528"/>
      <c r="C528"/>
      <c r="D528"/>
      <c r="E528"/>
      <c r="F528"/>
      <c r="G528"/>
      <c r="H528"/>
      <c r="W528"/>
    </row>
    <row r="529" spans="1:23" x14ac:dyDescent="0.25">
      <c r="A529"/>
      <c r="B529"/>
      <c r="C529"/>
      <c r="D529"/>
      <c r="E529"/>
      <c r="F529"/>
      <c r="G529"/>
      <c r="H529"/>
      <c r="W529"/>
    </row>
    <row r="530" spans="1:23" x14ac:dyDescent="0.25">
      <c r="A530"/>
      <c r="B530"/>
      <c r="C530"/>
      <c r="D530"/>
      <c r="E530"/>
      <c r="F530"/>
      <c r="G530"/>
      <c r="H530"/>
      <c r="W530"/>
    </row>
    <row r="531" spans="1:23" x14ac:dyDescent="0.25">
      <c r="A531"/>
      <c r="B531"/>
      <c r="C531"/>
      <c r="D531"/>
      <c r="E531"/>
      <c r="F531"/>
      <c r="G531"/>
      <c r="H531"/>
      <c r="W531"/>
    </row>
    <row r="532" spans="1:23" x14ac:dyDescent="0.25">
      <c r="A532"/>
      <c r="B532"/>
      <c r="C532"/>
      <c r="D532"/>
      <c r="E532"/>
      <c r="F532"/>
      <c r="G532"/>
      <c r="H532"/>
      <c r="W532"/>
    </row>
    <row r="533" spans="1:23" x14ac:dyDescent="0.25">
      <c r="A533"/>
      <c r="B533"/>
      <c r="C533"/>
      <c r="D533"/>
      <c r="E533"/>
      <c r="F533"/>
      <c r="G533"/>
      <c r="H533"/>
      <c r="W533"/>
    </row>
    <row r="534" spans="1:23" x14ac:dyDescent="0.25">
      <c r="A534"/>
      <c r="B534"/>
      <c r="C534"/>
      <c r="D534"/>
      <c r="E534"/>
      <c r="F534"/>
      <c r="G534"/>
      <c r="H534"/>
      <c r="W534"/>
    </row>
    <row r="535" spans="1:23" x14ac:dyDescent="0.25">
      <c r="A535"/>
      <c r="B535"/>
      <c r="C535"/>
      <c r="D535"/>
      <c r="E535"/>
      <c r="F535"/>
      <c r="G535"/>
      <c r="H535"/>
      <c r="W535"/>
    </row>
    <row r="536" spans="1:23" x14ac:dyDescent="0.25">
      <c r="A536"/>
      <c r="B536"/>
      <c r="C536"/>
      <c r="D536"/>
      <c r="E536"/>
      <c r="F536"/>
      <c r="G536"/>
      <c r="H536"/>
      <c r="W536"/>
    </row>
    <row r="537" spans="1:23" x14ac:dyDescent="0.25">
      <c r="A537"/>
      <c r="B537"/>
      <c r="C537"/>
      <c r="D537"/>
      <c r="E537"/>
      <c r="F537"/>
      <c r="G537"/>
      <c r="H537"/>
      <c r="W537"/>
    </row>
    <row r="538" spans="1:23" x14ac:dyDescent="0.25">
      <c r="A538"/>
      <c r="B538"/>
      <c r="C538"/>
      <c r="D538"/>
      <c r="E538"/>
      <c r="F538"/>
      <c r="G538"/>
      <c r="H538"/>
      <c r="W538"/>
    </row>
    <row r="539" spans="1:23" x14ac:dyDescent="0.25">
      <c r="A539"/>
      <c r="B539"/>
      <c r="C539"/>
      <c r="D539"/>
      <c r="E539"/>
      <c r="F539"/>
      <c r="G539"/>
      <c r="H539"/>
      <c r="W539"/>
    </row>
    <row r="540" spans="1:23" x14ac:dyDescent="0.25">
      <c r="A540"/>
      <c r="B540"/>
      <c r="C540"/>
      <c r="D540"/>
      <c r="E540"/>
      <c r="F540"/>
      <c r="G540"/>
      <c r="H540"/>
      <c r="W540"/>
    </row>
    <row r="541" spans="1:23" x14ac:dyDescent="0.25">
      <c r="A541"/>
      <c r="B541"/>
      <c r="C541"/>
      <c r="D541"/>
      <c r="E541"/>
      <c r="F541"/>
      <c r="G541"/>
      <c r="H541"/>
      <c r="W541"/>
    </row>
    <row r="542" spans="1:23" x14ac:dyDescent="0.25">
      <c r="A542"/>
      <c r="B542"/>
      <c r="C542"/>
      <c r="D542"/>
      <c r="E542"/>
      <c r="F542"/>
      <c r="G542"/>
      <c r="H542"/>
      <c r="W542"/>
    </row>
    <row r="543" spans="1:23" x14ac:dyDescent="0.25">
      <c r="A543"/>
      <c r="B543"/>
      <c r="C543"/>
      <c r="D543"/>
      <c r="E543"/>
      <c r="F543"/>
      <c r="G543"/>
      <c r="H543"/>
      <c r="W543"/>
    </row>
    <row r="544" spans="1:23" x14ac:dyDescent="0.25">
      <c r="A544"/>
      <c r="B544"/>
      <c r="C544"/>
      <c r="D544"/>
      <c r="E544"/>
      <c r="F544"/>
      <c r="G544"/>
      <c r="H544"/>
      <c r="W544"/>
    </row>
    <row r="545" spans="1:23" x14ac:dyDescent="0.25">
      <c r="A545"/>
      <c r="B545"/>
      <c r="C545"/>
      <c r="D545"/>
      <c r="E545"/>
      <c r="F545"/>
      <c r="G545"/>
      <c r="H545"/>
      <c r="W545"/>
    </row>
    <row r="546" spans="1:23" x14ac:dyDescent="0.25">
      <c r="A546"/>
      <c r="B546"/>
      <c r="C546"/>
      <c r="D546"/>
      <c r="E546"/>
      <c r="F546"/>
      <c r="G546"/>
      <c r="H546"/>
      <c r="W546"/>
    </row>
    <row r="547" spans="1:23" x14ac:dyDescent="0.25">
      <c r="A547"/>
      <c r="B547"/>
      <c r="C547"/>
      <c r="D547"/>
      <c r="E547"/>
      <c r="F547"/>
      <c r="G547"/>
      <c r="H547"/>
      <c r="W547"/>
    </row>
    <row r="548" spans="1:23" x14ac:dyDescent="0.25">
      <c r="A548"/>
      <c r="B548"/>
      <c r="C548"/>
      <c r="D548"/>
      <c r="E548"/>
      <c r="F548"/>
      <c r="G548"/>
      <c r="H548"/>
      <c r="W548"/>
    </row>
    <row r="549" spans="1:23" x14ac:dyDescent="0.25">
      <c r="A549"/>
      <c r="B549"/>
      <c r="C549"/>
      <c r="D549"/>
      <c r="E549"/>
      <c r="F549"/>
      <c r="G549"/>
      <c r="H549"/>
      <c r="W549"/>
    </row>
    <row r="550" spans="1:23" x14ac:dyDescent="0.25">
      <c r="A550"/>
      <c r="B550"/>
      <c r="C550"/>
      <c r="D550"/>
      <c r="E550"/>
      <c r="F550"/>
      <c r="G550"/>
      <c r="H550"/>
      <c r="W550"/>
    </row>
    <row r="551" spans="1:23" x14ac:dyDescent="0.25">
      <c r="A551"/>
      <c r="B551"/>
      <c r="C551"/>
      <c r="D551"/>
      <c r="E551"/>
      <c r="F551"/>
      <c r="G551"/>
      <c r="H551"/>
      <c r="W551"/>
    </row>
    <row r="552" spans="1:23" x14ac:dyDescent="0.25">
      <c r="A552"/>
      <c r="B552"/>
      <c r="C552"/>
      <c r="D552"/>
      <c r="E552"/>
      <c r="F552"/>
      <c r="G552"/>
      <c r="H552"/>
      <c r="W552"/>
    </row>
    <row r="553" spans="1:23" x14ac:dyDescent="0.25">
      <c r="A553"/>
      <c r="B553"/>
      <c r="C553"/>
      <c r="D553"/>
      <c r="E553"/>
      <c r="F553"/>
      <c r="G553"/>
      <c r="H553"/>
      <c r="W553"/>
    </row>
    <row r="554" spans="1:23" x14ac:dyDescent="0.25">
      <c r="A554"/>
      <c r="B554"/>
      <c r="C554"/>
      <c r="D554"/>
      <c r="E554"/>
      <c r="F554"/>
      <c r="G554"/>
      <c r="H554"/>
      <c r="W554"/>
    </row>
    <row r="555" spans="1:23" x14ac:dyDescent="0.25">
      <c r="A555"/>
      <c r="B555"/>
      <c r="C555"/>
      <c r="D555"/>
      <c r="E555"/>
      <c r="F555"/>
      <c r="G555"/>
      <c r="H555"/>
      <c r="W555"/>
    </row>
    <row r="556" spans="1:23" x14ac:dyDescent="0.25">
      <c r="A556"/>
      <c r="B556"/>
      <c r="C556"/>
      <c r="D556"/>
      <c r="E556"/>
      <c r="F556"/>
      <c r="G556"/>
      <c r="H556"/>
      <c r="W556"/>
    </row>
    <row r="557" spans="1:23" x14ac:dyDescent="0.25">
      <c r="A557"/>
      <c r="B557"/>
      <c r="C557"/>
      <c r="D557"/>
      <c r="E557"/>
      <c r="F557"/>
      <c r="G557"/>
      <c r="H557"/>
      <c r="W557"/>
    </row>
    <row r="558" spans="1:23" x14ac:dyDescent="0.25">
      <c r="A558"/>
      <c r="B558"/>
      <c r="C558"/>
      <c r="D558"/>
      <c r="E558"/>
      <c r="F558"/>
      <c r="G558"/>
      <c r="H558"/>
      <c r="W558"/>
    </row>
    <row r="559" spans="1:23" x14ac:dyDescent="0.25">
      <c r="A559"/>
      <c r="B559"/>
      <c r="C559"/>
      <c r="D559"/>
      <c r="E559"/>
      <c r="F559"/>
      <c r="G559"/>
      <c r="H559"/>
      <c r="W559"/>
    </row>
    <row r="560" spans="1:23" x14ac:dyDescent="0.25">
      <c r="A560"/>
      <c r="B560"/>
      <c r="C560"/>
      <c r="D560"/>
      <c r="E560"/>
      <c r="F560"/>
      <c r="G560"/>
      <c r="H560"/>
      <c r="W560"/>
    </row>
    <row r="561" spans="1:23" x14ac:dyDescent="0.25">
      <c r="A561"/>
      <c r="B561"/>
      <c r="C561"/>
      <c r="D561"/>
      <c r="E561"/>
      <c r="F561"/>
      <c r="G561"/>
      <c r="H561"/>
      <c r="W561"/>
    </row>
    <row r="562" spans="1:23" x14ac:dyDescent="0.25">
      <c r="A562"/>
      <c r="B562"/>
      <c r="C562"/>
      <c r="D562"/>
      <c r="E562"/>
      <c r="F562"/>
      <c r="G562"/>
      <c r="H562"/>
      <c r="W562"/>
    </row>
    <row r="563" spans="1:23" x14ac:dyDescent="0.25">
      <c r="A563"/>
      <c r="B563"/>
      <c r="C563"/>
      <c r="D563"/>
      <c r="E563"/>
      <c r="F563"/>
      <c r="G563"/>
      <c r="H563"/>
      <c r="W563"/>
    </row>
    <row r="564" spans="1:23" x14ac:dyDescent="0.25">
      <c r="A564"/>
      <c r="B564"/>
      <c r="C564"/>
      <c r="D564"/>
      <c r="E564"/>
      <c r="F564"/>
      <c r="G564"/>
      <c r="H564"/>
      <c r="W564"/>
    </row>
    <row r="565" spans="1:23" x14ac:dyDescent="0.25">
      <c r="A565"/>
      <c r="B565"/>
      <c r="C565"/>
      <c r="D565"/>
      <c r="E565"/>
      <c r="F565"/>
      <c r="G565"/>
      <c r="H565"/>
      <c r="W565"/>
    </row>
    <row r="566" spans="1:23" x14ac:dyDescent="0.25">
      <c r="A566"/>
      <c r="B566"/>
      <c r="C566"/>
      <c r="D566"/>
      <c r="E566"/>
      <c r="F566"/>
      <c r="G566"/>
      <c r="H566"/>
      <c r="W566"/>
    </row>
    <row r="567" spans="1:23" x14ac:dyDescent="0.25">
      <c r="A567"/>
      <c r="B567"/>
      <c r="C567"/>
      <c r="D567"/>
      <c r="E567"/>
      <c r="F567"/>
      <c r="G567"/>
      <c r="H567"/>
      <c r="W567"/>
    </row>
    <row r="568" spans="1:23" x14ac:dyDescent="0.25">
      <c r="A568"/>
      <c r="B568"/>
      <c r="C568"/>
      <c r="D568"/>
      <c r="E568"/>
      <c r="F568"/>
      <c r="G568"/>
      <c r="H568"/>
      <c r="W568"/>
    </row>
    <row r="569" spans="1:23" x14ac:dyDescent="0.25">
      <c r="A569"/>
      <c r="B569"/>
      <c r="C569"/>
      <c r="D569"/>
      <c r="E569"/>
      <c r="F569"/>
      <c r="G569"/>
      <c r="H569"/>
      <c r="W569"/>
    </row>
    <row r="570" spans="1:23" x14ac:dyDescent="0.25">
      <c r="A570"/>
      <c r="B570"/>
      <c r="C570"/>
      <c r="D570"/>
      <c r="E570"/>
      <c r="F570"/>
      <c r="G570"/>
      <c r="H570"/>
      <c r="W570"/>
    </row>
    <row r="571" spans="1:23" x14ac:dyDescent="0.25">
      <c r="A571"/>
      <c r="B571"/>
      <c r="C571"/>
      <c r="D571"/>
      <c r="E571"/>
      <c r="F571"/>
      <c r="G571"/>
      <c r="H571"/>
      <c r="W571"/>
    </row>
    <row r="572" spans="1:23" x14ac:dyDescent="0.25">
      <c r="A572"/>
      <c r="B572"/>
      <c r="C572"/>
      <c r="D572"/>
      <c r="E572"/>
      <c r="F572"/>
      <c r="G572"/>
      <c r="H572"/>
      <c r="W572"/>
    </row>
    <row r="573" spans="1:23" x14ac:dyDescent="0.25">
      <c r="A573"/>
      <c r="B573"/>
      <c r="C573"/>
      <c r="D573"/>
      <c r="E573"/>
      <c r="F573"/>
      <c r="G573"/>
      <c r="H573"/>
      <c r="W573"/>
    </row>
    <row r="574" spans="1:23" x14ac:dyDescent="0.25">
      <c r="A574"/>
      <c r="B574"/>
      <c r="C574"/>
      <c r="D574"/>
      <c r="E574"/>
      <c r="F574"/>
      <c r="G574"/>
      <c r="H574"/>
      <c r="W574"/>
    </row>
    <row r="575" spans="1:23" x14ac:dyDescent="0.25">
      <c r="A575"/>
      <c r="B575"/>
      <c r="C575"/>
      <c r="D575"/>
      <c r="E575"/>
      <c r="F575"/>
      <c r="G575"/>
      <c r="H575"/>
      <c r="W575"/>
    </row>
    <row r="576" spans="1:23" x14ac:dyDescent="0.25">
      <c r="A576"/>
      <c r="B576"/>
      <c r="C576"/>
      <c r="D576"/>
      <c r="E576"/>
      <c r="F576"/>
      <c r="G576"/>
      <c r="H576"/>
      <c r="W576"/>
    </row>
    <row r="577" spans="1:23" x14ac:dyDescent="0.25">
      <c r="A577"/>
      <c r="B577"/>
      <c r="C577"/>
      <c r="D577"/>
      <c r="E577"/>
      <c r="F577"/>
      <c r="G577"/>
      <c r="H577"/>
      <c r="W577"/>
    </row>
    <row r="578" spans="1:23" x14ac:dyDescent="0.25">
      <c r="A578"/>
      <c r="B578"/>
      <c r="C578"/>
      <c r="D578"/>
      <c r="E578"/>
      <c r="F578"/>
      <c r="G578"/>
      <c r="H578"/>
      <c r="W578"/>
    </row>
    <row r="579" spans="1:23" x14ac:dyDescent="0.25">
      <c r="A579"/>
      <c r="B579"/>
      <c r="C579"/>
      <c r="D579"/>
      <c r="E579"/>
      <c r="F579"/>
      <c r="G579"/>
      <c r="H579"/>
      <c r="W579"/>
    </row>
    <row r="580" spans="1:23" x14ac:dyDescent="0.25">
      <c r="A580"/>
      <c r="B580"/>
      <c r="C580"/>
      <c r="D580"/>
      <c r="E580"/>
      <c r="F580"/>
      <c r="G580"/>
      <c r="H580"/>
      <c r="W580"/>
    </row>
    <row r="581" spans="1:23" x14ac:dyDescent="0.25">
      <c r="A581"/>
      <c r="B581"/>
      <c r="C581"/>
      <c r="D581"/>
      <c r="E581"/>
      <c r="F581"/>
      <c r="G581"/>
      <c r="H581"/>
      <c r="W581"/>
    </row>
    <row r="582" spans="1:23" x14ac:dyDescent="0.25">
      <c r="A582"/>
      <c r="B582"/>
      <c r="C582"/>
      <c r="D582"/>
      <c r="E582"/>
      <c r="F582"/>
      <c r="G582"/>
      <c r="H582"/>
      <c r="W582"/>
    </row>
    <row r="583" spans="1:23" x14ac:dyDescent="0.25">
      <c r="A583"/>
      <c r="B583"/>
      <c r="C583"/>
      <c r="D583"/>
      <c r="E583"/>
      <c r="F583"/>
      <c r="G583"/>
      <c r="H583"/>
      <c r="W583"/>
    </row>
    <row r="584" spans="1:23" x14ac:dyDescent="0.25">
      <c r="A584"/>
      <c r="B584"/>
      <c r="C584"/>
      <c r="D584"/>
      <c r="E584"/>
      <c r="F584"/>
      <c r="G584"/>
      <c r="H584"/>
      <c r="W584"/>
    </row>
    <row r="585" spans="1:23" x14ac:dyDescent="0.25">
      <c r="A585"/>
      <c r="B585"/>
      <c r="C585"/>
      <c r="D585"/>
      <c r="E585"/>
      <c r="F585"/>
      <c r="G585"/>
      <c r="H585"/>
      <c r="W585"/>
    </row>
    <row r="586" spans="1:23" x14ac:dyDescent="0.25">
      <c r="A586"/>
      <c r="B586"/>
      <c r="C586"/>
      <c r="D586"/>
      <c r="E586"/>
      <c r="F586"/>
      <c r="G586"/>
      <c r="H586"/>
      <c r="W586"/>
    </row>
    <row r="587" spans="1:23" x14ac:dyDescent="0.25">
      <c r="A587"/>
      <c r="B587"/>
      <c r="C587"/>
      <c r="D587"/>
      <c r="E587"/>
      <c r="F587"/>
      <c r="G587"/>
      <c r="H587"/>
      <c r="W587"/>
    </row>
    <row r="588" spans="1:23" x14ac:dyDescent="0.25">
      <c r="A588"/>
      <c r="B588"/>
      <c r="C588"/>
      <c r="D588"/>
      <c r="E588"/>
      <c r="F588"/>
      <c r="G588"/>
      <c r="H588"/>
      <c r="W588"/>
    </row>
    <row r="589" spans="1:23" x14ac:dyDescent="0.25">
      <c r="A589"/>
      <c r="B589"/>
      <c r="C589"/>
      <c r="D589"/>
      <c r="E589"/>
      <c r="F589"/>
      <c r="G589"/>
      <c r="H589"/>
      <c r="W589"/>
    </row>
    <row r="590" spans="1:23" x14ac:dyDescent="0.25">
      <c r="A590"/>
      <c r="B590"/>
      <c r="C590"/>
      <c r="D590"/>
      <c r="E590"/>
      <c r="F590"/>
      <c r="G590"/>
      <c r="H590"/>
      <c r="W590"/>
    </row>
    <row r="591" spans="1:23" x14ac:dyDescent="0.25">
      <c r="A591"/>
      <c r="B591"/>
      <c r="C591"/>
      <c r="D591"/>
      <c r="E591"/>
      <c r="F591"/>
      <c r="G591"/>
      <c r="H591"/>
      <c r="W591"/>
    </row>
    <row r="592" spans="1:23" x14ac:dyDescent="0.25">
      <c r="A592"/>
      <c r="B592"/>
      <c r="C592"/>
      <c r="D592"/>
      <c r="E592"/>
      <c r="F592"/>
      <c r="G592"/>
      <c r="H592"/>
      <c r="W592"/>
    </row>
    <row r="593" spans="1:23" x14ac:dyDescent="0.25">
      <c r="A593"/>
      <c r="B593"/>
      <c r="C593"/>
      <c r="D593"/>
      <c r="E593"/>
      <c r="F593"/>
      <c r="G593"/>
      <c r="H593"/>
      <c r="W593"/>
    </row>
    <row r="594" spans="1:23" x14ac:dyDescent="0.25">
      <c r="A594"/>
      <c r="B594"/>
      <c r="C594"/>
      <c r="D594"/>
      <c r="E594"/>
      <c r="F594"/>
      <c r="G594"/>
      <c r="H594"/>
      <c r="W594"/>
    </row>
    <row r="595" spans="1:23" x14ac:dyDescent="0.25">
      <c r="A595"/>
      <c r="B595"/>
      <c r="C595"/>
      <c r="D595"/>
      <c r="E595"/>
      <c r="F595"/>
      <c r="G595"/>
      <c r="H595"/>
      <c r="W595"/>
    </row>
    <row r="596" spans="1:23" x14ac:dyDescent="0.25">
      <c r="A596"/>
      <c r="B596"/>
      <c r="C596"/>
      <c r="D596"/>
      <c r="E596"/>
      <c r="F596"/>
      <c r="G596"/>
      <c r="H596"/>
      <c r="W596"/>
    </row>
    <row r="597" spans="1:23" x14ac:dyDescent="0.25">
      <c r="A597"/>
      <c r="B597"/>
      <c r="C597"/>
      <c r="D597"/>
      <c r="E597"/>
      <c r="F597"/>
      <c r="G597"/>
      <c r="H597"/>
      <c r="W597"/>
    </row>
    <row r="598" spans="1:23" x14ac:dyDescent="0.25">
      <c r="A598"/>
      <c r="B598"/>
      <c r="C598"/>
      <c r="D598"/>
      <c r="E598"/>
      <c r="F598"/>
      <c r="G598"/>
      <c r="H598"/>
      <c r="W598"/>
    </row>
    <row r="599" spans="1:23" x14ac:dyDescent="0.25">
      <c r="A599"/>
      <c r="B599"/>
      <c r="C599"/>
      <c r="D599"/>
      <c r="E599"/>
      <c r="F599"/>
      <c r="G599"/>
      <c r="H599"/>
      <c r="W599"/>
    </row>
    <row r="600" spans="1:23" x14ac:dyDescent="0.25">
      <c r="A600"/>
      <c r="B600"/>
      <c r="C600"/>
      <c r="D600"/>
      <c r="E600"/>
      <c r="F600"/>
      <c r="G600"/>
      <c r="H600"/>
      <c r="W600"/>
    </row>
    <row r="601" spans="1:23" x14ac:dyDescent="0.25">
      <c r="A601"/>
      <c r="B601"/>
      <c r="C601"/>
      <c r="D601"/>
      <c r="E601"/>
      <c r="F601"/>
      <c r="G601"/>
      <c r="H601"/>
      <c r="W601"/>
    </row>
    <row r="602" spans="1:23" x14ac:dyDescent="0.25">
      <c r="A602"/>
      <c r="B602"/>
      <c r="C602"/>
      <c r="D602"/>
      <c r="E602"/>
      <c r="F602"/>
      <c r="G602"/>
      <c r="H602"/>
      <c r="W602"/>
    </row>
    <row r="603" spans="1:23" x14ac:dyDescent="0.25">
      <c r="A603"/>
      <c r="B603"/>
      <c r="C603"/>
      <c r="D603"/>
      <c r="E603"/>
      <c r="F603"/>
      <c r="G603"/>
      <c r="H603"/>
      <c r="W603"/>
    </row>
    <row r="604" spans="1:23" x14ac:dyDescent="0.25">
      <c r="A604"/>
      <c r="B604"/>
      <c r="C604"/>
      <c r="D604"/>
      <c r="E604"/>
      <c r="F604"/>
      <c r="G604"/>
      <c r="H604"/>
      <c r="W604"/>
    </row>
    <row r="605" spans="1:23" x14ac:dyDescent="0.25">
      <c r="A605"/>
      <c r="B605"/>
      <c r="C605"/>
      <c r="D605"/>
      <c r="E605"/>
      <c r="F605"/>
      <c r="G605"/>
      <c r="H605"/>
      <c r="W605"/>
    </row>
    <row r="606" spans="1:23" x14ac:dyDescent="0.25">
      <c r="A606"/>
      <c r="B606"/>
      <c r="C606"/>
      <c r="D606"/>
      <c r="E606"/>
      <c r="F606"/>
      <c r="G606"/>
      <c r="H606"/>
      <c r="W606"/>
    </row>
    <row r="607" spans="1:23" x14ac:dyDescent="0.25">
      <c r="A607"/>
      <c r="B607"/>
      <c r="C607"/>
      <c r="D607"/>
      <c r="E607"/>
      <c r="F607"/>
      <c r="G607"/>
      <c r="H607"/>
      <c r="W607"/>
    </row>
    <row r="608" spans="1:23" x14ac:dyDescent="0.25">
      <c r="A608"/>
      <c r="B608"/>
      <c r="C608"/>
      <c r="D608"/>
      <c r="E608"/>
      <c r="F608"/>
      <c r="G608"/>
      <c r="H608"/>
      <c r="W608"/>
    </row>
    <row r="609" spans="1:23" x14ac:dyDescent="0.25">
      <c r="A609"/>
      <c r="B609"/>
      <c r="C609"/>
      <c r="D609"/>
      <c r="E609"/>
      <c r="F609"/>
      <c r="G609"/>
      <c r="H609"/>
      <c r="W609"/>
    </row>
    <row r="610" spans="1:23" x14ac:dyDescent="0.25">
      <c r="A610"/>
      <c r="B610"/>
      <c r="C610"/>
      <c r="D610"/>
      <c r="E610"/>
      <c r="F610"/>
      <c r="G610"/>
      <c r="H610"/>
      <c r="W610"/>
    </row>
    <row r="611" spans="1:23" x14ac:dyDescent="0.25">
      <c r="A611"/>
      <c r="B611"/>
      <c r="C611"/>
      <c r="D611"/>
      <c r="E611"/>
      <c r="F611"/>
      <c r="G611"/>
      <c r="H611"/>
      <c r="W611"/>
    </row>
    <row r="612" spans="1:23" x14ac:dyDescent="0.25">
      <c r="A612"/>
      <c r="B612"/>
      <c r="C612"/>
      <c r="D612"/>
      <c r="E612"/>
      <c r="F612"/>
      <c r="G612"/>
      <c r="H612"/>
      <c r="W612"/>
    </row>
    <row r="613" spans="1:23" x14ac:dyDescent="0.25">
      <c r="A613"/>
      <c r="B613"/>
      <c r="C613"/>
      <c r="D613"/>
      <c r="E613"/>
      <c r="F613"/>
      <c r="G613"/>
      <c r="H613"/>
      <c r="W613"/>
    </row>
    <row r="614" spans="1:23" x14ac:dyDescent="0.25">
      <c r="A614"/>
      <c r="B614"/>
      <c r="C614"/>
      <c r="D614"/>
      <c r="E614"/>
      <c r="F614"/>
      <c r="G614"/>
      <c r="H614"/>
      <c r="W614"/>
    </row>
    <row r="615" spans="1:23" x14ac:dyDescent="0.25">
      <c r="A615"/>
      <c r="B615"/>
      <c r="C615"/>
      <c r="D615"/>
      <c r="E615"/>
      <c r="F615"/>
      <c r="G615"/>
      <c r="H615"/>
      <c r="W615"/>
    </row>
    <row r="616" spans="1:23" x14ac:dyDescent="0.25">
      <c r="A616"/>
      <c r="B616"/>
      <c r="C616"/>
      <c r="D616"/>
      <c r="E616"/>
      <c r="F616"/>
      <c r="G616"/>
      <c r="H616"/>
      <c r="W616"/>
    </row>
    <row r="617" spans="1:23" x14ac:dyDescent="0.25">
      <c r="A617"/>
      <c r="B617"/>
      <c r="C617"/>
      <c r="D617"/>
      <c r="E617"/>
      <c r="F617"/>
      <c r="G617"/>
      <c r="H617"/>
      <c r="W617"/>
    </row>
    <row r="618" spans="1:23" x14ac:dyDescent="0.25">
      <c r="A618"/>
      <c r="B618"/>
      <c r="C618"/>
      <c r="D618"/>
      <c r="E618"/>
      <c r="F618"/>
      <c r="G618"/>
      <c r="H618"/>
      <c r="W618"/>
    </row>
    <row r="619" spans="1:23" x14ac:dyDescent="0.25">
      <c r="A619"/>
      <c r="B619"/>
      <c r="C619"/>
      <c r="D619"/>
      <c r="E619"/>
      <c r="F619"/>
      <c r="G619"/>
      <c r="H619"/>
      <c r="W619"/>
    </row>
    <row r="620" spans="1:23" x14ac:dyDescent="0.25">
      <c r="A620"/>
      <c r="B620"/>
      <c r="C620"/>
      <c r="D620"/>
      <c r="E620"/>
      <c r="F620"/>
      <c r="G620"/>
      <c r="H620"/>
      <c r="W620"/>
    </row>
    <row r="621" spans="1:23" x14ac:dyDescent="0.25">
      <c r="A621"/>
      <c r="B621"/>
      <c r="C621"/>
      <c r="D621"/>
      <c r="E621"/>
      <c r="F621"/>
      <c r="G621"/>
      <c r="H621"/>
      <c r="W621"/>
    </row>
    <row r="622" spans="1:23" x14ac:dyDescent="0.25">
      <c r="A622"/>
      <c r="B622"/>
      <c r="C622"/>
      <c r="D622"/>
      <c r="E622"/>
      <c r="F622"/>
      <c r="G622"/>
      <c r="H622"/>
      <c r="W622"/>
    </row>
    <row r="623" spans="1:23" x14ac:dyDescent="0.25">
      <c r="A623"/>
      <c r="B623"/>
      <c r="C623"/>
      <c r="D623"/>
      <c r="E623"/>
      <c r="F623"/>
      <c r="G623"/>
      <c r="H623"/>
      <c r="W623"/>
    </row>
    <row r="624" spans="1:23" x14ac:dyDescent="0.25">
      <c r="A624"/>
      <c r="B624"/>
      <c r="C624"/>
      <c r="D624"/>
      <c r="E624"/>
      <c r="F624"/>
      <c r="G624"/>
      <c r="H624"/>
      <c r="W624"/>
    </row>
    <row r="625" spans="1:23" x14ac:dyDescent="0.25">
      <c r="A625"/>
      <c r="B625"/>
      <c r="C625"/>
      <c r="D625"/>
      <c r="E625"/>
      <c r="F625"/>
      <c r="G625"/>
      <c r="H625"/>
      <c r="W625"/>
    </row>
    <row r="626" spans="1:23" x14ac:dyDescent="0.25">
      <c r="A626"/>
      <c r="B626"/>
      <c r="C626"/>
      <c r="D626"/>
      <c r="E626"/>
      <c r="F626"/>
      <c r="G626"/>
      <c r="H626"/>
      <c r="W626"/>
    </row>
    <row r="627" spans="1:23" x14ac:dyDescent="0.25">
      <c r="A627"/>
      <c r="B627"/>
      <c r="C627"/>
      <c r="D627"/>
      <c r="E627"/>
      <c r="F627"/>
      <c r="G627"/>
      <c r="H627"/>
      <c r="W627"/>
    </row>
    <row r="628" spans="1:23" x14ac:dyDescent="0.25">
      <c r="A628"/>
      <c r="B628"/>
      <c r="C628"/>
      <c r="D628"/>
      <c r="E628"/>
      <c r="F628"/>
      <c r="G628"/>
      <c r="H628"/>
      <c r="W628"/>
    </row>
    <row r="629" spans="1:23" x14ac:dyDescent="0.25">
      <c r="A629"/>
      <c r="B629"/>
      <c r="C629"/>
      <c r="D629"/>
      <c r="E629"/>
      <c r="F629"/>
      <c r="G629"/>
      <c r="H629"/>
      <c r="W629"/>
    </row>
    <row r="630" spans="1:23" x14ac:dyDescent="0.25">
      <c r="A630"/>
      <c r="B630"/>
      <c r="C630"/>
      <c r="D630"/>
      <c r="E630"/>
      <c r="F630"/>
      <c r="G630"/>
      <c r="H630"/>
      <c r="W630"/>
    </row>
    <row r="631" spans="1:23" x14ac:dyDescent="0.25">
      <c r="A631"/>
      <c r="B631"/>
      <c r="C631"/>
      <c r="D631"/>
      <c r="E631"/>
      <c r="F631"/>
      <c r="G631"/>
      <c r="H631"/>
      <c r="W631"/>
    </row>
    <row r="632" spans="1:23" x14ac:dyDescent="0.25">
      <c r="A632"/>
      <c r="B632"/>
      <c r="C632"/>
      <c r="D632"/>
      <c r="E632"/>
      <c r="F632"/>
      <c r="G632"/>
      <c r="H632"/>
      <c r="W632"/>
    </row>
    <row r="633" spans="1:23" x14ac:dyDescent="0.25">
      <c r="A633"/>
      <c r="B633"/>
      <c r="C633"/>
      <c r="D633"/>
      <c r="E633"/>
      <c r="F633"/>
      <c r="G633"/>
      <c r="H633"/>
      <c r="W633"/>
    </row>
    <row r="634" spans="1:23" x14ac:dyDescent="0.25">
      <c r="A634"/>
      <c r="B634"/>
      <c r="C634"/>
      <c r="D634"/>
      <c r="E634"/>
      <c r="F634"/>
      <c r="G634"/>
      <c r="H634"/>
      <c r="W634"/>
    </row>
    <row r="635" spans="1:23" x14ac:dyDescent="0.25">
      <c r="A635"/>
      <c r="B635"/>
      <c r="C635"/>
      <c r="D635"/>
      <c r="E635"/>
      <c r="F635"/>
      <c r="G635"/>
      <c r="H635"/>
      <c r="W635"/>
    </row>
    <row r="636" spans="1:23" x14ac:dyDescent="0.25">
      <c r="A636"/>
      <c r="B636"/>
      <c r="C636"/>
      <c r="D636"/>
      <c r="E636"/>
      <c r="F636"/>
      <c r="G636"/>
      <c r="H636"/>
      <c r="W636"/>
    </row>
    <row r="637" spans="1:23" x14ac:dyDescent="0.25">
      <c r="A637"/>
      <c r="B637"/>
      <c r="C637"/>
      <c r="D637"/>
      <c r="E637"/>
      <c r="F637"/>
      <c r="G637"/>
      <c r="H637"/>
      <c r="W637"/>
    </row>
    <row r="638" spans="1:23" x14ac:dyDescent="0.25">
      <c r="A638"/>
      <c r="B638"/>
      <c r="C638"/>
      <c r="D638"/>
      <c r="E638"/>
      <c r="F638"/>
      <c r="G638"/>
      <c r="H638"/>
      <c r="W638"/>
    </row>
    <row r="639" spans="1:23" x14ac:dyDescent="0.25">
      <c r="A639"/>
      <c r="B639"/>
      <c r="C639"/>
      <c r="D639"/>
      <c r="E639"/>
      <c r="F639"/>
      <c r="G639"/>
      <c r="H639"/>
      <c r="W639"/>
    </row>
    <row r="640" spans="1:23" x14ac:dyDescent="0.25">
      <c r="A640"/>
      <c r="B640"/>
      <c r="C640"/>
      <c r="D640"/>
      <c r="E640"/>
      <c r="F640"/>
      <c r="G640"/>
      <c r="H640"/>
      <c r="W640"/>
    </row>
    <row r="641" spans="1:23" x14ac:dyDescent="0.25">
      <c r="A641"/>
      <c r="B641"/>
      <c r="C641"/>
      <c r="D641"/>
      <c r="E641"/>
      <c r="F641"/>
      <c r="G641"/>
      <c r="H641"/>
      <c r="W641"/>
    </row>
    <row r="642" spans="1:23" x14ac:dyDescent="0.25">
      <c r="A642"/>
      <c r="B642"/>
      <c r="C642"/>
      <c r="D642"/>
      <c r="E642"/>
      <c r="F642"/>
      <c r="G642"/>
      <c r="H642"/>
      <c r="W642"/>
    </row>
    <row r="643" spans="1:23" x14ac:dyDescent="0.25">
      <c r="A643"/>
      <c r="B643"/>
      <c r="C643"/>
      <c r="D643"/>
      <c r="E643"/>
      <c r="F643"/>
      <c r="G643"/>
      <c r="H643"/>
      <c r="W643"/>
    </row>
    <row r="644" spans="1:23" x14ac:dyDescent="0.25">
      <c r="A644"/>
      <c r="B644"/>
      <c r="C644"/>
      <c r="D644"/>
      <c r="E644"/>
      <c r="F644"/>
      <c r="G644"/>
      <c r="H644"/>
      <c r="W644"/>
    </row>
    <row r="645" spans="1:23" x14ac:dyDescent="0.25">
      <c r="A645"/>
      <c r="B645"/>
      <c r="C645"/>
      <c r="D645"/>
      <c r="E645"/>
      <c r="F645"/>
      <c r="G645"/>
      <c r="H645"/>
      <c r="W645"/>
    </row>
    <row r="646" spans="1:23" x14ac:dyDescent="0.25">
      <c r="A646"/>
      <c r="B646"/>
      <c r="C646"/>
      <c r="D646"/>
      <c r="E646"/>
      <c r="F646"/>
      <c r="G646"/>
      <c r="H646"/>
      <c r="W646"/>
    </row>
    <row r="647" spans="1:23" x14ac:dyDescent="0.25">
      <c r="A647"/>
      <c r="B647"/>
      <c r="C647"/>
      <c r="D647"/>
      <c r="E647"/>
      <c r="F647"/>
      <c r="G647"/>
      <c r="H647"/>
      <c r="W647"/>
    </row>
    <row r="648" spans="1:23" x14ac:dyDescent="0.25">
      <c r="A648"/>
      <c r="B648"/>
      <c r="C648"/>
      <c r="D648"/>
      <c r="E648"/>
      <c r="F648"/>
      <c r="G648"/>
      <c r="H648"/>
      <c r="W648"/>
    </row>
    <row r="649" spans="1:23" x14ac:dyDescent="0.25">
      <c r="A649"/>
      <c r="B649"/>
      <c r="C649"/>
      <c r="D649"/>
      <c r="E649"/>
      <c r="F649"/>
      <c r="G649"/>
      <c r="H649"/>
      <c r="W649"/>
    </row>
    <row r="650" spans="1:23" x14ac:dyDescent="0.25">
      <c r="A650"/>
      <c r="B650"/>
      <c r="C650"/>
      <c r="D650"/>
      <c r="E650"/>
      <c r="F650"/>
      <c r="G650"/>
      <c r="H650"/>
      <c r="W650"/>
    </row>
    <row r="651" spans="1:23" x14ac:dyDescent="0.25">
      <c r="A651"/>
      <c r="B651"/>
      <c r="C651"/>
      <c r="D651"/>
      <c r="E651"/>
      <c r="F651"/>
      <c r="G651"/>
      <c r="H651"/>
      <c r="W651"/>
    </row>
    <row r="652" spans="1:23" x14ac:dyDescent="0.25">
      <c r="A652"/>
      <c r="B652"/>
      <c r="C652"/>
      <c r="D652"/>
      <c r="E652"/>
      <c r="F652"/>
      <c r="G652"/>
      <c r="H652"/>
      <c r="W652"/>
    </row>
    <row r="653" spans="1:23" x14ac:dyDescent="0.25">
      <c r="A653"/>
      <c r="B653"/>
      <c r="C653"/>
      <c r="D653"/>
      <c r="E653"/>
      <c r="F653"/>
      <c r="G653"/>
      <c r="H653"/>
      <c r="W653"/>
    </row>
    <row r="654" spans="1:23" x14ac:dyDescent="0.25">
      <c r="A654"/>
      <c r="B654"/>
      <c r="C654"/>
      <c r="D654"/>
      <c r="E654"/>
      <c r="F654"/>
      <c r="G654"/>
      <c r="H654"/>
      <c r="W654"/>
    </row>
    <row r="655" spans="1:23" x14ac:dyDescent="0.25">
      <c r="A655"/>
      <c r="B655"/>
      <c r="C655"/>
      <c r="D655"/>
      <c r="E655"/>
      <c r="F655"/>
      <c r="G655"/>
      <c r="H655"/>
      <c r="W655"/>
    </row>
    <row r="656" spans="1:23" x14ac:dyDescent="0.25">
      <c r="A656"/>
      <c r="B656"/>
      <c r="C656"/>
      <c r="D656"/>
      <c r="E656"/>
      <c r="F656"/>
      <c r="G656"/>
      <c r="H656"/>
      <c r="W656"/>
    </row>
    <row r="657" spans="1:23" x14ac:dyDescent="0.25">
      <c r="A657"/>
      <c r="B657"/>
      <c r="C657"/>
      <c r="D657"/>
      <c r="E657"/>
      <c r="F657"/>
      <c r="G657"/>
      <c r="H657"/>
      <c r="W657"/>
    </row>
    <row r="658" spans="1:23" x14ac:dyDescent="0.25">
      <c r="A658"/>
      <c r="B658"/>
      <c r="C658"/>
      <c r="D658"/>
      <c r="E658"/>
      <c r="F658"/>
      <c r="G658"/>
      <c r="H658"/>
      <c r="W658"/>
    </row>
    <row r="659" spans="1:23" x14ac:dyDescent="0.25">
      <c r="A659"/>
      <c r="B659"/>
      <c r="C659"/>
      <c r="D659"/>
      <c r="E659"/>
      <c r="F659"/>
      <c r="G659"/>
      <c r="H659"/>
      <c r="W659"/>
    </row>
    <row r="660" spans="1:23" x14ac:dyDescent="0.25">
      <c r="A660"/>
      <c r="B660"/>
      <c r="C660"/>
      <c r="D660"/>
      <c r="E660"/>
      <c r="F660"/>
      <c r="G660"/>
      <c r="H660"/>
      <c r="W660"/>
    </row>
    <row r="661" spans="1:23" x14ac:dyDescent="0.25">
      <c r="A661"/>
      <c r="B661"/>
      <c r="C661"/>
      <c r="D661"/>
      <c r="E661"/>
      <c r="F661"/>
      <c r="G661"/>
      <c r="H661"/>
      <c r="W661"/>
    </row>
    <row r="662" spans="1:23" x14ac:dyDescent="0.25">
      <c r="A662"/>
      <c r="B662"/>
      <c r="C662"/>
      <c r="D662"/>
      <c r="E662"/>
      <c r="F662"/>
      <c r="G662"/>
      <c r="H662"/>
      <c r="W662"/>
    </row>
    <row r="663" spans="1:23" x14ac:dyDescent="0.25">
      <c r="A663"/>
      <c r="B663"/>
      <c r="C663"/>
      <c r="D663"/>
      <c r="E663"/>
      <c r="F663"/>
      <c r="G663"/>
      <c r="H663"/>
      <c r="W663"/>
    </row>
    <row r="664" spans="1:23" x14ac:dyDescent="0.25">
      <c r="A664"/>
      <c r="B664"/>
      <c r="C664"/>
      <c r="D664"/>
      <c r="E664"/>
      <c r="F664"/>
      <c r="G664"/>
      <c r="H664"/>
      <c r="W664"/>
    </row>
    <row r="665" spans="1:23" x14ac:dyDescent="0.25">
      <c r="A665"/>
      <c r="B665"/>
      <c r="C665"/>
      <c r="D665"/>
      <c r="E665"/>
      <c r="F665"/>
      <c r="G665"/>
      <c r="H665"/>
      <c r="W665"/>
    </row>
    <row r="666" spans="1:23" x14ac:dyDescent="0.25">
      <c r="A666"/>
      <c r="B666"/>
      <c r="C666"/>
      <c r="D666"/>
      <c r="E666"/>
      <c r="F666"/>
      <c r="G666"/>
      <c r="H666"/>
      <c r="W666"/>
    </row>
    <row r="667" spans="1:23" x14ac:dyDescent="0.25">
      <c r="A667"/>
      <c r="B667"/>
      <c r="C667"/>
      <c r="D667"/>
      <c r="E667"/>
      <c r="F667"/>
      <c r="G667"/>
      <c r="H667"/>
      <c r="W667"/>
    </row>
    <row r="668" spans="1:23" x14ac:dyDescent="0.25">
      <c r="A668"/>
      <c r="B668"/>
      <c r="C668"/>
      <c r="D668"/>
      <c r="E668"/>
      <c r="F668"/>
      <c r="G668"/>
      <c r="H668"/>
      <c r="W668"/>
    </row>
    <row r="669" spans="1:23" x14ac:dyDescent="0.25">
      <c r="A669"/>
      <c r="B669"/>
      <c r="C669"/>
      <c r="D669"/>
      <c r="E669"/>
      <c r="F669"/>
      <c r="G669"/>
      <c r="H669"/>
      <c r="W669"/>
    </row>
    <row r="670" spans="1:23" x14ac:dyDescent="0.25">
      <c r="A670"/>
      <c r="B670"/>
      <c r="C670"/>
      <c r="D670"/>
      <c r="E670"/>
      <c r="F670"/>
      <c r="G670"/>
      <c r="H670"/>
      <c r="W670"/>
    </row>
    <row r="671" spans="1:23" x14ac:dyDescent="0.25">
      <c r="A671"/>
      <c r="B671"/>
      <c r="C671"/>
      <c r="D671"/>
      <c r="E671"/>
      <c r="F671"/>
      <c r="G671"/>
      <c r="H671"/>
      <c r="W671"/>
    </row>
    <row r="672" spans="1:23" x14ac:dyDescent="0.25">
      <c r="A672"/>
      <c r="B672"/>
      <c r="C672"/>
      <c r="D672"/>
      <c r="E672"/>
      <c r="F672"/>
      <c r="G672"/>
      <c r="H672"/>
      <c r="W672"/>
    </row>
    <row r="673" spans="1:23" x14ac:dyDescent="0.25">
      <c r="A673"/>
      <c r="B673"/>
      <c r="C673"/>
      <c r="D673"/>
      <c r="E673"/>
      <c r="F673"/>
      <c r="G673"/>
      <c r="H673"/>
      <c r="W673"/>
    </row>
    <row r="674" spans="1:23" x14ac:dyDescent="0.25">
      <c r="A674"/>
      <c r="B674"/>
      <c r="C674"/>
      <c r="D674"/>
      <c r="E674"/>
      <c r="F674"/>
      <c r="G674"/>
      <c r="H674"/>
      <c r="W674"/>
    </row>
    <row r="675" spans="1:23" x14ac:dyDescent="0.25">
      <c r="A675"/>
      <c r="B675"/>
      <c r="C675"/>
      <c r="D675"/>
      <c r="E675"/>
      <c r="F675"/>
      <c r="G675"/>
      <c r="H675"/>
      <c r="W675"/>
    </row>
    <row r="676" spans="1:23" x14ac:dyDescent="0.25">
      <c r="A676"/>
      <c r="B676"/>
      <c r="C676"/>
      <c r="D676"/>
      <c r="E676"/>
      <c r="F676"/>
      <c r="G676"/>
      <c r="H676"/>
      <c r="W676"/>
    </row>
    <row r="677" spans="1:23" x14ac:dyDescent="0.25">
      <c r="A677"/>
      <c r="B677"/>
      <c r="C677"/>
      <c r="D677"/>
      <c r="E677"/>
      <c r="F677"/>
      <c r="G677"/>
      <c r="H677"/>
      <c r="W677"/>
    </row>
    <row r="678" spans="1:23" x14ac:dyDescent="0.25">
      <c r="A678"/>
      <c r="B678"/>
      <c r="C678"/>
      <c r="D678"/>
      <c r="E678"/>
      <c r="F678"/>
      <c r="G678"/>
      <c r="H678"/>
      <c r="W678"/>
    </row>
    <row r="679" spans="1:23" x14ac:dyDescent="0.25">
      <c r="A679"/>
      <c r="B679"/>
      <c r="C679"/>
      <c r="D679"/>
      <c r="E679"/>
      <c r="F679"/>
      <c r="G679"/>
      <c r="H679"/>
      <c r="W679"/>
    </row>
    <row r="680" spans="1:23" x14ac:dyDescent="0.25">
      <c r="A680"/>
      <c r="B680"/>
      <c r="C680"/>
      <c r="D680"/>
      <c r="E680"/>
      <c r="F680"/>
      <c r="G680"/>
      <c r="H680"/>
      <c r="W680"/>
    </row>
    <row r="681" spans="1:23" x14ac:dyDescent="0.25">
      <c r="A681"/>
      <c r="B681"/>
      <c r="C681"/>
      <c r="D681"/>
      <c r="E681"/>
      <c r="F681"/>
      <c r="G681"/>
      <c r="H681"/>
      <c r="W681"/>
    </row>
    <row r="682" spans="1:23" x14ac:dyDescent="0.25">
      <c r="A682"/>
      <c r="B682"/>
      <c r="C682"/>
      <c r="D682"/>
      <c r="E682"/>
      <c r="F682"/>
      <c r="G682"/>
      <c r="H682"/>
      <c r="W682"/>
    </row>
    <row r="683" spans="1:23" x14ac:dyDescent="0.25">
      <c r="A683"/>
      <c r="B683"/>
      <c r="C683"/>
      <c r="D683"/>
      <c r="E683"/>
      <c r="F683"/>
      <c r="G683"/>
      <c r="H683"/>
      <c r="W683"/>
    </row>
    <row r="684" spans="1:23" x14ac:dyDescent="0.25">
      <c r="A684"/>
      <c r="B684"/>
      <c r="C684"/>
      <c r="D684"/>
      <c r="E684"/>
      <c r="F684"/>
      <c r="G684"/>
      <c r="H684"/>
      <c r="W684"/>
    </row>
    <row r="685" spans="1:23" x14ac:dyDescent="0.25">
      <c r="A685"/>
      <c r="B685"/>
      <c r="C685"/>
      <c r="D685"/>
      <c r="E685"/>
      <c r="F685"/>
      <c r="G685"/>
      <c r="H685"/>
      <c r="W685"/>
    </row>
    <row r="686" spans="1:23" x14ac:dyDescent="0.25">
      <c r="A686"/>
      <c r="B686"/>
      <c r="C686"/>
      <c r="D686"/>
      <c r="E686"/>
      <c r="F686"/>
      <c r="G686"/>
      <c r="H686"/>
      <c r="W686"/>
    </row>
    <row r="687" spans="1:23" x14ac:dyDescent="0.25">
      <c r="A687"/>
      <c r="B687"/>
      <c r="C687"/>
      <c r="D687"/>
      <c r="E687"/>
      <c r="F687"/>
      <c r="G687"/>
      <c r="H687"/>
      <c r="W687"/>
    </row>
    <row r="688" spans="1:23" x14ac:dyDescent="0.25">
      <c r="A688"/>
      <c r="B688"/>
      <c r="C688"/>
      <c r="D688"/>
      <c r="E688"/>
      <c r="F688"/>
      <c r="G688"/>
      <c r="H688"/>
      <c r="W688"/>
    </row>
    <row r="689" spans="1:23" x14ac:dyDescent="0.25">
      <c r="A689"/>
      <c r="B689"/>
      <c r="C689"/>
      <c r="D689"/>
      <c r="E689"/>
      <c r="F689"/>
      <c r="G689"/>
      <c r="H689"/>
      <c r="W689"/>
    </row>
    <row r="690" spans="1:23" x14ac:dyDescent="0.25">
      <c r="A690"/>
      <c r="B690"/>
      <c r="C690"/>
      <c r="D690"/>
      <c r="E690"/>
      <c r="F690"/>
      <c r="G690"/>
      <c r="H690"/>
      <c r="W690"/>
    </row>
    <row r="691" spans="1:23" x14ac:dyDescent="0.25">
      <c r="A691"/>
      <c r="B691"/>
      <c r="C691"/>
      <c r="D691"/>
      <c r="E691"/>
      <c r="F691"/>
      <c r="G691"/>
      <c r="H691"/>
      <c r="W691"/>
    </row>
    <row r="692" spans="1:23" x14ac:dyDescent="0.25">
      <c r="A692"/>
      <c r="B692"/>
      <c r="C692"/>
      <c r="D692"/>
      <c r="E692"/>
      <c r="F692"/>
      <c r="G692"/>
      <c r="H692"/>
      <c r="W692"/>
    </row>
    <row r="693" spans="1:23" x14ac:dyDescent="0.25">
      <c r="A693"/>
      <c r="B693"/>
      <c r="C693"/>
      <c r="D693"/>
      <c r="E693"/>
      <c r="F693"/>
      <c r="G693"/>
      <c r="H693"/>
      <c r="W693"/>
    </row>
    <row r="694" spans="1:23" x14ac:dyDescent="0.25">
      <c r="A694"/>
      <c r="B694"/>
      <c r="C694"/>
      <c r="D694"/>
      <c r="E694"/>
      <c r="F694"/>
      <c r="G694"/>
      <c r="H694"/>
      <c r="W694"/>
    </row>
    <row r="695" spans="1:23" x14ac:dyDescent="0.25">
      <c r="A695"/>
      <c r="B695"/>
      <c r="C695"/>
      <c r="D695"/>
      <c r="E695"/>
      <c r="F695"/>
      <c r="G695"/>
      <c r="H695"/>
      <c r="W695"/>
    </row>
    <row r="696" spans="1:23" x14ac:dyDescent="0.25">
      <c r="A696"/>
      <c r="B696"/>
      <c r="C696"/>
      <c r="D696"/>
      <c r="E696"/>
      <c r="F696"/>
      <c r="G696"/>
      <c r="H696"/>
      <c r="W696"/>
    </row>
    <row r="697" spans="1:23" x14ac:dyDescent="0.25">
      <c r="A697"/>
      <c r="B697"/>
      <c r="C697"/>
      <c r="D697"/>
      <c r="E697"/>
      <c r="F697"/>
      <c r="G697"/>
      <c r="H697"/>
      <c r="W697"/>
    </row>
    <row r="698" spans="1:23" x14ac:dyDescent="0.25">
      <c r="A698"/>
      <c r="B698"/>
      <c r="C698"/>
      <c r="D698"/>
      <c r="E698"/>
      <c r="F698"/>
      <c r="G698"/>
      <c r="H698"/>
      <c r="W698"/>
    </row>
    <row r="699" spans="1:23" x14ac:dyDescent="0.25">
      <c r="A699"/>
      <c r="B699"/>
      <c r="C699"/>
      <c r="D699"/>
      <c r="E699"/>
      <c r="F699"/>
      <c r="G699"/>
      <c r="H699"/>
      <c r="W699"/>
    </row>
    <row r="700" spans="1:23" x14ac:dyDescent="0.25">
      <c r="A700"/>
      <c r="B700"/>
      <c r="C700"/>
      <c r="D700"/>
      <c r="E700"/>
      <c r="F700"/>
      <c r="G700"/>
      <c r="H700"/>
      <c r="W700"/>
    </row>
    <row r="701" spans="1:23" x14ac:dyDescent="0.25">
      <c r="A701"/>
      <c r="B701"/>
      <c r="C701"/>
      <c r="D701"/>
      <c r="E701"/>
      <c r="F701"/>
      <c r="G701"/>
      <c r="H701"/>
      <c r="W701"/>
    </row>
    <row r="702" spans="1:23" x14ac:dyDescent="0.25">
      <c r="A702"/>
      <c r="B702"/>
      <c r="C702"/>
      <c r="D702"/>
      <c r="E702"/>
      <c r="F702"/>
      <c r="G702"/>
      <c r="H702"/>
      <c r="W702"/>
    </row>
    <row r="703" spans="1:23" x14ac:dyDescent="0.25">
      <c r="A703"/>
      <c r="B703"/>
      <c r="C703"/>
      <c r="D703"/>
      <c r="E703"/>
      <c r="F703"/>
      <c r="G703"/>
      <c r="H703"/>
      <c r="W703"/>
    </row>
    <row r="704" spans="1:23" x14ac:dyDescent="0.25">
      <c r="A704"/>
      <c r="B704"/>
      <c r="C704"/>
      <c r="D704"/>
      <c r="E704"/>
      <c r="F704"/>
      <c r="G704"/>
      <c r="H704"/>
      <c r="W704"/>
    </row>
    <row r="705" spans="1:23" x14ac:dyDescent="0.25">
      <c r="A705"/>
      <c r="B705"/>
      <c r="C705"/>
      <c r="D705"/>
      <c r="E705"/>
      <c r="F705"/>
      <c r="G705"/>
      <c r="H705"/>
      <c r="W705"/>
    </row>
    <row r="706" spans="1:23" x14ac:dyDescent="0.25">
      <c r="A706"/>
      <c r="B706"/>
      <c r="C706"/>
      <c r="D706"/>
      <c r="E706"/>
      <c r="F706"/>
      <c r="G706"/>
      <c r="H706"/>
      <c r="W706"/>
    </row>
    <row r="707" spans="1:23" x14ac:dyDescent="0.25">
      <c r="A707"/>
      <c r="B707"/>
      <c r="C707"/>
      <c r="D707"/>
      <c r="E707"/>
      <c r="F707"/>
      <c r="G707"/>
      <c r="H707"/>
      <c r="W707"/>
    </row>
    <row r="708" spans="1:23" x14ac:dyDescent="0.25">
      <c r="A708"/>
      <c r="B708"/>
      <c r="C708"/>
      <c r="D708"/>
      <c r="E708"/>
      <c r="F708"/>
      <c r="G708"/>
      <c r="H708"/>
      <c r="W708"/>
    </row>
    <row r="709" spans="1:23" x14ac:dyDescent="0.25">
      <c r="A709"/>
      <c r="B709"/>
      <c r="C709"/>
      <c r="D709"/>
      <c r="E709"/>
      <c r="F709"/>
      <c r="G709"/>
      <c r="H709"/>
      <c r="W709"/>
    </row>
    <row r="710" spans="1:23" x14ac:dyDescent="0.25">
      <c r="A710"/>
      <c r="B710"/>
      <c r="C710"/>
      <c r="D710"/>
      <c r="E710"/>
      <c r="F710"/>
      <c r="G710"/>
      <c r="H710"/>
      <c r="W710"/>
    </row>
    <row r="711" spans="1:23" x14ac:dyDescent="0.25">
      <c r="A711"/>
      <c r="B711"/>
      <c r="C711"/>
      <c r="D711"/>
      <c r="E711"/>
      <c r="F711"/>
      <c r="G711"/>
      <c r="H711"/>
      <c r="W711"/>
    </row>
    <row r="712" spans="1:23" x14ac:dyDescent="0.25">
      <c r="A712"/>
      <c r="B712"/>
      <c r="C712"/>
      <c r="D712"/>
      <c r="E712"/>
      <c r="F712"/>
      <c r="G712"/>
      <c r="H712"/>
      <c r="W712"/>
    </row>
    <row r="713" spans="1:23" x14ac:dyDescent="0.25">
      <c r="A713"/>
      <c r="B713"/>
      <c r="C713"/>
      <c r="D713"/>
      <c r="E713"/>
      <c r="F713"/>
      <c r="G713"/>
      <c r="H713"/>
      <c r="W713"/>
    </row>
    <row r="714" spans="1:23" x14ac:dyDescent="0.25">
      <c r="A714"/>
      <c r="B714"/>
      <c r="C714"/>
      <c r="D714"/>
      <c r="E714"/>
      <c r="F714"/>
      <c r="G714"/>
      <c r="H714"/>
      <c r="W714"/>
    </row>
    <row r="715" spans="1:23" x14ac:dyDescent="0.25">
      <c r="A715"/>
      <c r="B715"/>
      <c r="C715"/>
      <c r="D715"/>
      <c r="E715"/>
      <c r="F715"/>
      <c r="G715"/>
      <c r="H715"/>
      <c r="W715"/>
    </row>
    <row r="716" spans="1:23" x14ac:dyDescent="0.25">
      <c r="A716"/>
      <c r="B716"/>
      <c r="C716"/>
      <c r="D716"/>
      <c r="E716"/>
      <c r="F716"/>
      <c r="G716"/>
      <c r="H716"/>
      <c r="W716"/>
    </row>
    <row r="717" spans="1:23" x14ac:dyDescent="0.25">
      <c r="A717"/>
      <c r="B717"/>
      <c r="C717"/>
      <c r="D717"/>
      <c r="E717"/>
      <c r="F717"/>
      <c r="G717"/>
      <c r="H717"/>
      <c r="W717"/>
    </row>
    <row r="718" spans="1:23" x14ac:dyDescent="0.25">
      <c r="A718"/>
      <c r="B718"/>
      <c r="C718"/>
      <c r="D718"/>
      <c r="E718"/>
      <c r="F718"/>
      <c r="G718"/>
      <c r="H718"/>
      <c r="W718"/>
    </row>
    <row r="719" spans="1:23" x14ac:dyDescent="0.25">
      <c r="A719"/>
      <c r="B719"/>
      <c r="C719"/>
      <c r="D719"/>
      <c r="E719"/>
      <c r="F719"/>
      <c r="G719"/>
      <c r="H719"/>
      <c r="W719"/>
    </row>
    <row r="720" spans="1:23" x14ac:dyDescent="0.25">
      <c r="A720"/>
      <c r="B720"/>
      <c r="C720"/>
      <c r="D720"/>
      <c r="E720"/>
      <c r="F720"/>
      <c r="G720"/>
      <c r="H720"/>
      <c r="W720"/>
    </row>
    <row r="721" spans="1:23" x14ac:dyDescent="0.25">
      <c r="A721"/>
      <c r="B721"/>
      <c r="C721"/>
      <c r="D721"/>
      <c r="E721"/>
      <c r="F721"/>
      <c r="G721"/>
      <c r="H721"/>
      <c r="W721"/>
    </row>
    <row r="722" spans="1:23" x14ac:dyDescent="0.25">
      <c r="A722"/>
      <c r="B722"/>
      <c r="C722"/>
      <c r="D722"/>
      <c r="E722"/>
      <c r="F722"/>
      <c r="G722"/>
      <c r="H722"/>
      <c r="W722"/>
    </row>
    <row r="723" spans="1:23" x14ac:dyDescent="0.25">
      <c r="A723"/>
      <c r="B723"/>
      <c r="C723"/>
      <c r="D723"/>
      <c r="E723"/>
      <c r="F723"/>
      <c r="G723"/>
      <c r="H723"/>
      <c r="W723"/>
    </row>
    <row r="724" spans="1:23" x14ac:dyDescent="0.25">
      <c r="A724"/>
      <c r="B724"/>
      <c r="C724"/>
      <c r="D724"/>
      <c r="E724"/>
      <c r="F724"/>
      <c r="G724"/>
      <c r="H724"/>
      <c r="W724"/>
    </row>
    <row r="725" spans="1:23" x14ac:dyDescent="0.25">
      <c r="A725"/>
      <c r="B725"/>
      <c r="C725"/>
      <c r="D725"/>
      <c r="E725"/>
      <c r="F725"/>
      <c r="G725"/>
      <c r="H725"/>
      <c r="W725"/>
    </row>
    <row r="726" spans="1:23" x14ac:dyDescent="0.25">
      <c r="A726"/>
      <c r="B726"/>
      <c r="C726"/>
      <c r="D726"/>
      <c r="E726"/>
      <c r="F726"/>
      <c r="G726"/>
      <c r="H726"/>
      <c r="W726"/>
    </row>
    <row r="727" spans="1:23" x14ac:dyDescent="0.25">
      <c r="A727"/>
      <c r="B727"/>
      <c r="C727"/>
      <c r="D727"/>
      <c r="E727"/>
      <c r="F727"/>
      <c r="G727"/>
      <c r="H727"/>
      <c r="W727"/>
    </row>
    <row r="728" spans="1:23" x14ac:dyDescent="0.25">
      <c r="A728"/>
      <c r="B728"/>
      <c r="C728"/>
      <c r="D728"/>
      <c r="E728"/>
      <c r="F728"/>
      <c r="G728"/>
      <c r="H728"/>
      <c r="W728"/>
    </row>
    <row r="729" spans="1:23" x14ac:dyDescent="0.25">
      <c r="A729"/>
      <c r="B729"/>
      <c r="C729"/>
      <c r="D729"/>
      <c r="E729"/>
      <c r="F729"/>
      <c r="G729"/>
      <c r="H729"/>
      <c r="W729"/>
    </row>
    <row r="730" spans="1:23" x14ac:dyDescent="0.25">
      <c r="A730"/>
      <c r="B730"/>
      <c r="C730"/>
      <c r="D730"/>
      <c r="E730"/>
      <c r="F730"/>
      <c r="G730"/>
      <c r="H730"/>
      <c r="W730"/>
    </row>
    <row r="731" spans="1:23" x14ac:dyDescent="0.25">
      <c r="A731"/>
      <c r="B731"/>
      <c r="C731"/>
      <c r="D731"/>
      <c r="E731"/>
      <c r="F731"/>
      <c r="G731"/>
      <c r="H731"/>
      <c r="W731"/>
    </row>
    <row r="732" spans="1:23" x14ac:dyDescent="0.25">
      <c r="A732"/>
      <c r="B732"/>
      <c r="C732"/>
      <c r="D732"/>
      <c r="E732"/>
      <c r="F732"/>
      <c r="G732"/>
      <c r="H732"/>
      <c r="W732"/>
    </row>
    <row r="733" spans="1:23" x14ac:dyDescent="0.25">
      <c r="A733"/>
      <c r="B733"/>
      <c r="C733"/>
      <c r="D733"/>
      <c r="E733"/>
      <c r="F733"/>
      <c r="G733"/>
      <c r="H733"/>
      <c r="W733"/>
    </row>
    <row r="734" spans="1:23" x14ac:dyDescent="0.25">
      <c r="A734"/>
      <c r="B734"/>
      <c r="C734"/>
      <c r="D734"/>
      <c r="E734"/>
      <c r="F734"/>
      <c r="G734"/>
      <c r="H734"/>
      <c r="W734"/>
    </row>
    <row r="735" spans="1:23" x14ac:dyDescent="0.25">
      <c r="A735"/>
      <c r="B735"/>
      <c r="C735"/>
      <c r="D735"/>
      <c r="E735"/>
      <c r="F735"/>
      <c r="G735"/>
      <c r="H735"/>
      <c r="W735"/>
    </row>
    <row r="736" spans="1:23" x14ac:dyDescent="0.25">
      <c r="A736"/>
      <c r="B736"/>
      <c r="C736"/>
      <c r="D736"/>
      <c r="E736"/>
      <c r="F736"/>
      <c r="G736"/>
      <c r="H736"/>
      <c r="W736"/>
    </row>
    <row r="737" spans="1:23" x14ac:dyDescent="0.25">
      <c r="A737"/>
      <c r="B737"/>
      <c r="C737"/>
      <c r="D737"/>
      <c r="E737"/>
      <c r="F737"/>
      <c r="G737"/>
      <c r="H737"/>
      <c r="W737"/>
    </row>
    <row r="738" spans="1:23" x14ac:dyDescent="0.25">
      <c r="A738"/>
      <c r="B738"/>
      <c r="C738"/>
      <c r="D738"/>
      <c r="E738"/>
      <c r="F738"/>
      <c r="G738"/>
      <c r="H738"/>
      <c r="W738"/>
    </row>
    <row r="739" spans="1:23" x14ac:dyDescent="0.25">
      <c r="A739"/>
      <c r="B739"/>
      <c r="C739"/>
      <c r="D739"/>
      <c r="E739"/>
      <c r="F739"/>
      <c r="G739"/>
      <c r="H739"/>
      <c r="W739"/>
    </row>
    <row r="740" spans="1:23" x14ac:dyDescent="0.25">
      <c r="A740"/>
      <c r="B740"/>
      <c r="C740"/>
      <c r="D740"/>
      <c r="E740"/>
      <c r="F740"/>
      <c r="G740"/>
      <c r="H740"/>
      <c r="W740"/>
    </row>
    <row r="741" spans="1:23" x14ac:dyDescent="0.25">
      <c r="A741"/>
      <c r="B741"/>
      <c r="C741"/>
      <c r="D741"/>
      <c r="E741"/>
      <c r="F741"/>
      <c r="G741"/>
      <c r="H741"/>
      <c r="W741"/>
    </row>
    <row r="742" spans="1:23" x14ac:dyDescent="0.25">
      <c r="A742"/>
      <c r="B742"/>
      <c r="C742"/>
      <c r="D742"/>
      <c r="E742"/>
      <c r="F742"/>
      <c r="G742"/>
      <c r="H742"/>
      <c r="W742"/>
    </row>
    <row r="743" spans="1:23" x14ac:dyDescent="0.25">
      <c r="A743"/>
      <c r="B743"/>
      <c r="C743"/>
      <c r="D743"/>
      <c r="E743"/>
      <c r="F743"/>
      <c r="G743"/>
      <c r="H743"/>
      <c r="W743"/>
    </row>
    <row r="744" spans="1:23" x14ac:dyDescent="0.25">
      <c r="A744"/>
      <c r="B744"/>
      <c r="C744"/>
      <c r="D744"/>
      <c r="E744"/>
      <c r="F744"/>
      <c r="G744"/>
      <c r="H744"/>
      <c r="W744"/>
    </row>
    <row r="745" spans="1:23" x14ac:dyDescent="0.25">
      <c r="A745"/>
      <c r="B745"/>
      <c r="C745"/>
      <c r="D745"/>
      <c r="E745"/>
      <c r="F745"/>
      <c r="G745"/>
      <c r="H745"/>
      <c r="W745"/>
    </row>
    <row r="746" spans="1:23" x14ac:dyDescent="0.25">
      <c r="A746"/>
      <c r="B746"/>
      <c r="C746"/>
      <c r="D746"/>
      <c r="E746"/>
      <c r="F746"/>
      <c r="G746"/>
      <c r="H746"/>
      <c r="W746"/>
    </row>
    <row r="747" spans="1:23" x14ac:dyDescent="0.25">
      <c r="A747"/>
      <c r="B747"/>
      <c r="C747"/>
      <c r="D747"/>
      <c r="E747"/>
      <c r="F747"/>
      <c r="G747"/>
      <c r="H747"/>
      <c r="W747"/>
    </row>
    <row r="748" spans="1:23" x14ac:dyDescent="0.25">
      <c r="A748"/>
      <c r="B748"/>
      <c r="C748"/>
      <c r="D748"/>
      <c r="E748"/>
      <c r="F748"/>
      <c r="G748"/>
      <c r="H748"/>
      <c r="W748"/>
    </row>
    <row r="749" spans="1:23" x14ac:dyDescent="0.25">
      <c r="A749"/>
      <c r="B749"/>
      <c r="C749"/>
      <c r="D749"/>
      <c r="E749"/>
      <c r="F749"/>
      <c r="G749"/>
      <c r="H749"/>
      <c r="W749"/>
    </row>
    <row r="750" spans="1:23" x14ac:dyDescent="0.25">
      <c r="A750"/>
      <c r="B750"/>
      <c r="C750"/>
      <c r="D750"/>
      <c r="E750"/>
      <c r="F750"/>
      <c r="G750"/>
      <c r="H750"/>
      <c r="W750"/>
    </row>
    <row r="751" spans="1:23" x14ac:dyDescent="0.25">
      <c r="A751"/>
      <c r="B751"/>
      <c r="C751"/>
      <c r="D751"/>
      <c r="E751"/>
      <c r="F751"/>
      <c r="G751"/>
      <c r="H751"/>
      <c r="W751"/>
    </row>
    <row r="752" spans="1:23" x14ac:dyDescent="0.25">
      <c r="A752"/>
      <c r="B752"/>
      <c r="C752"/>
      <c r="D752"/>
      <c r="E752"/>
      <c r="F752"/>
      <c r="G752"/>
      <c r="H752"/>
      <c r="W752"/>
    </row>
    <row r="753" spans="1:23" x14ac:dyDescent="0.25">
      <c r="A753"/>
      <c r="B753"/>
      <c r="C753"/>
      <c r="D753"/>
      <c r="E753"/>
      <c r="F753"/>
      <c r="G753"/>
      <c r="H753"/>
      <c r="W753"/>
    </row>
    <row r="754" spans="1:23" x14ac:dyDescent="0.25">
      <c r="A754"/>
      <c r="B754"/>
      <c r="C754"/>
      <c r="D754"/>
      <c r="E754"/>
      <c r="F754"/>
      <c r="G754"/>
      <c r="H754"/>
      <c r="W754"/>
    </row>
    <row r="755" spans="1:23" x14ac:dyDescent="0.25">
      <c r="A755"/>
      <c r="B755"/>
      <c r="C755"/>
      <c r="D755"/>
      <c r="E755"/>
      <c r="F755"/>
      <c r="G755"/>
      <c r="H755"/>
      <c r="W755"/>
    </row>
    <row r="756" spans="1:23" x14ac:dyDescent="0.25">
      <c r="A756"/>
      <c r="B756"/>
      <c r="C756"/>
      <c r="D756"/>
      <c r="E756"/>
      <c r="F756"/>
      <c r="G756"/>
      <c r="H756"/>
      <c r="W756"/>
    </row>
    <row r="757" spans="1:23" x14ac:dyDescent="0.25">
      <c r="A757"/>
      <c r="B757"/>
      <c r="C757"/>
      <c r="D757"/>
      <c r="E757"/>
      <c r="F757"/>
      <c r="G757"/>
      <c r="H757"/>
      <c r="W757"/>
    </row>
    <row r="758" spans="1:23" x14ac:dyDescent="0.25">
      <c r="A758"/>
      <c r="B758"/>
      <c r="C758"/>
      <c r="D758"/>
      <c r="E758"/>
      <c r="F758"/>
      <c r="G758"/>
      <c r="H758"/>
      <c r="W758"/>
    </row>
    <row r="759" spans="1:23" x14ac:dyDescent="0.25">
      <c r="A759"/>
      <c r="B759"/>
      <c r="C759"/>
      <c r="D759"/>
      <c r="E759"/>
      <c r="F759"/>
      <c r="G759"/>
      <c r="H759"/>
      <c r="W759"/>
    </row>
    <row r="760" spans="1:23" x14ac:dyDescent="0.25">
      <c r="A760"/>
      <c r="B760"/>
      <c r="C760"/>
      <c r="D760"/>
      <c r="E760"/>
      <c r="F760"/>
      <c r="G760"/>
      <c r="H760"/>
      <c r="W760"/>
    </row>
    <row r="761" spans="1:23" x14ac:dyDescent="0.25">
      <c r="A761"/>
      <c r="B761"/>
      <c r="C761"/>
      <c r="D761"/>
      <c r="E761"/>
      <c r="F761"/>
      <c r="G761"/>
      <c r="H761"/>
      <c r="W761"/>
    </row>
    <row r="762" spans="1:23" x14ac:dyDescent="0.25">
      <c r="A762"/>
      <c r="B762"/>
      <c r="C762"/>
      <c r="D762"/>
      <c r="E762"/>
      <c r="F762"/>
      <c r="G762"/>
      <c r="H762"/>
      <c r="W762"/>
    </row>
    <row r="763" spans="1:23" x14ac:dyDescent="0.25">
      <c r="A763"/>
      <c r="B763"/>
      <c r="C763"/>
      <c r="D763"/>
      <c r="E763"/>
      <c r="F763"/>
      <c r="G763"/>
      <c r="H763"/>
      <c r="W763"/>
    </row>
    <row r="764" spans="1:23" x14ac:dyDescent="0.25">
      <c r="A764"/>
      <c r="B764"/>
      <c r="C764"/>
      <c r="D764"/>
      <c r="E764"/>
      <c r="F764"/>
      <c r="G764"/>
      <c r="H764"/>
      <c r="W764"/>
    </row>
    <row r="765" spans="1:23" x14ac:dyDescent="0.25">
      <c r="A765"/>
      <c r="B765"/>
      <c r="C765"/>
      <c r="D765"/>
      <c r="E765"/>
      <c r="F765"/>
      <c r="G765"/>
      <c r="H765"/>
      <c r="W765"/>
    </row>
    <row r="766" spans="1:23" x14ac:dyDescent="0.25">
      <c r="A766"/>
      <c r="B766"/>
      <c r="C766"/>
      <c r="D766"/>
      <c r="E766"/>
      <c r="F766"/>
      <c r="G766"/>
      <c r="H766"/>
      <c r="W766"/>
    </row>
    <row r="767" spans="1:23" x14ac:dyDescent="0.25">
      <c r="A767"/>
      <c r="B767"/>
      <c r="C767"/>
      <c r="D767"/>
      <c r="E767"/>
      <c r="F767"/>
      <c r="G767"/>
      <c r="H767"/>
      <c r="W767"/>
    </row>
    <row r="768" spans="1:23" x14ac:dyDescent="0.25">
      <c r="A768"/>
      <c r="B768"/>
      <c r="C768"/>
      <c r="D768"/>
      <c r="E768"/>
      <c r="F768"/>
      <c r="G768"/>
      <c r="H768"/>
      <c r="W768"/>
    </row>
    <row r="769" spans="1:23" x14ac:dyDescent="0.25">
      <c r="A769"/>
      <c r="B769"/>
      <c r="C769"/>
      <c r="D769"/>
      <c r="E769"/>
      <c r="F769"/>
      <c r="G769"/>
      <c r="H769"/>
      <c r="W769"/>
    </row>
    <row r="770" spans="1:23" x14ac:dyDescent="0.25">
      <c r="A770"/>
      <c r="B770"/>
      <c r="C770"/>
      <c r="D770"/>
      <c r="E770"/>
      <c r="F770"/>
      <c r="G770"/>
      <c r="H770"/>
      <c r="W770"/>
    </row>
    <row r="771" spans="1:23" x14ac:dyDescent="0.25">
      <c r="A771"/>
      <c r="B771"/>
      <c r="C771"/>
      <c r="D771"/>
      <c r="E771"/>
      <c r="F771"/>
      <c r="G771"/>
      <c r="H771"/>
      <c r="W771"/>
    </row>
    <row r="772" spans="1:23" x14ac:dyDescent="0.25">
      <c r="A772"/>
      <c r="B772"/>
      <c r="C772"/>
      <c r="D772"/>
      <c r="E772"/>
      <c r="F772"/>
      <c r="G772"/>
      <c r="H772"/>
      <c r="W772"/>
    </row>
    <row r="773" spans="1:23" x14ac:dyDescent="0.25">
      <c r="A773"/>
      <c r="B773"/>
      <c r="C773"/>
      <c r="D773"/>
      <c r="E773"/>
      <c r="F773"/>
      <c r="G773"/>
      <c r="H773"/>
      <c r="W773"/>
    </row>
    <row r="774" spans="1:23" x14ac:dyDescent="0.25">
      <c r="A774"/>
      <c r="B774"/>
      <c r="C774"/>
      <c r="D774"/>
      <c r="E774"/>
      <c r="F774"/>
      <c r="G774"/>
      <c r="H774"/>
      <c r="W774"/>
    </row>
    <row r="775" spans="1:23" x14ac:dyDescent="0.25">
      <c r="A775"/>
      <c r="B775"/>
      <c r="C775"/>
      <c r="D775"/>
      <c r="E775"/>
      <c r="F775"/>
      <c r="G775"/>
      <c r="H775"/>
      <c r="W775"/>
    </row>
    <row r="776" spans="1:23" x14ac:dyDescent="0.25">
      <c r="A776"/>
      <c r="B776"/>
      <c r="C776"/>
      <c r="D776"/>
      <c r="E776"/>
      <c r="F776"/>
      <c r="G776"/>
      <c r="H776"/>
      <c r="W776"/>
    </row>
    <row r="777" spans="1:23" x14ac:dyDescent="0.25">
      <c r="A777"/>
      <c r="B777"/>
      <c r="C777"/>
      <c r="D777"/>
      <c r="E777"/>
      <c r="F777"/>
      <c r="G777"/>
      <c r="H777"/>
      <c r="W777"/>
    </row>
    <row r="778" spans="1:23" x14ac:dyDescent="0.25">
      <c r="A778"/>
      <c r="B778"/>
      <c r="C778"/>
      <c r="D778"/>
      <c r="E778"/>
      <c r="F778"/>
      <c r="G778"/>
      <c r="H778"/>
      <c r="W778"/>
    </row>
    <row r="779" spans="1:23" x14ac:dyDescent="0.25">
      <c r="A779"/>
      <c r="B779"/>
      <c r="C779"/>
      <c r="D779"/>
      <c r="E779"/>
      <c r="F779"/>
      <c r="G779"/>
      <c r="H779"/>
      <c r="W779"/>
    </row>
    <row r="780" spans="1:23" x14ac:dyDescent="0.25">
      <c r="A780"/>
      <c r="B780"/>
      <c r="C780"/>
      <c r="D780"/>
      <c r="E780"/>
      <c r="F780"/>
      <c r="G780"/>
      <c r="H780"/>
      <c r="W780"/>
    </row>
    <row r="781" spans="1:23" x14ac:dyDescent="0.25">
      <c r="A781"/>
      <c r="B781"/>
      <c r="C781"/>
      <c r="D781"/>
      <c r="E781"/>
      <c r="F781"/>
      <c r="G781"/>
      <c r="H781"/>
      <c r="W781"/>
    </row>
    <row r="782" spans="1:23" x14ac:dyDescent="0.25">
      <c r="A782"/>
      <c r="B782"/>
      <c r="C782"/>
      <c r="D782"/>
      <c r="E782"/>
      <c r="F782"/>
      <c r="G782"/>
      <c r="H782"/>
      <c r="W782"/>
    </row>
    <row r="783" spans="1:23" x14ac:dyDescent="0.25">
      <c r="A783"/>
      <c r="B783"/>
      <c r="C783"/>
      <c r="D783"/>
      <c r="E783"/>
      <c r="F783"/>
      <c r="G783"/>
      <c r="H783"/>
      <c r="W783"/>
    </row>
    <row r="784" spans="1:23" x14ac:dyDescent="0.25">
      <c r="A784"/>
      <c r="B784"/>
      <c r="C784"/>
      <c r="D784"/>
      <c r="E784"/>
      <c r="F784"/>
      <c r="G784"/>
      <c r="H784"/>
      <c r="W784"/>
    </row>
    <row r="785" spans="1:23" x14ac:dyDescent="0.25">
      <c r="A785"/>
      <c r="B785"/>
      <c r="C785"/>
      <c r="D785"/>
      <c r="E785"/>
      <c r="F785"/>
      <c r="G785"/>
      <c r="H785"/>
      <c r="W785"/>
    </row>
    <row r="786" spans="1:23" x14ac:dyDescent="0.25">
      <c r="A786"/>
      <c r="B786"/>
      <c r="C786"/>
      <c r="D786"/>
      <c r="E786"/>
      <c r="F786"/>
      <c r="G786"/>
      <c r="H786"/>
      <c r="W786"/>
    </row>
    <row r="787" spans="1:23" x14ac:dyDescent="0.25">
      <c r="A787"/>
      <c r="B787"/>
      <c r="C787"/>
      <c r="D787"/>
      <c r="E787"/>
      <c r="F787"/>
      <c r="G787"/>
      <c r="H787"/>
      <c r="W787"/>
    </row>
    <row r="788" spans="1:23" x14ac:dyDescent="0.25">
      <c r="A788"/>
      <c r="B788"/>
      <c r="C788"/>
      <c r="D788"/>
      <c r="E788"/>
      <c r="F788"/>
      <c r="G788"/>
      <c r="H788"/>
      <c r="W788"/>
    </row>
    <row r="789" spans="1:23" x14ac:dyDescent="0.25">
      <c r="A789"/>
      <c r="B789"/>
      <c r="C789"/>
      <c r="D789"/>
      <c r="E789"/>
      <c r="F789"/>
      <c r="G789"/>
      <c r="H789"/>
      <c r="W789"/>
    </row>
    <row r="790" spans="1:23" x14ac:dyDescent="0.25">
      <c r="A790"/>
      <c r="B790"/>
      <c r="C790"/>
      <c r="D790"/>
      <c r="E790"/>
      <c r="F790"/>
      <c r="G790"/>
      <c r="H790"/>
      <c r="W790"/>
    </row>
    <row r="791" spans="1:23" x14ac:dyDescent="0.25">
      <c r="A791"/>
      <c r="B791"/>
      <c r="C791"/>
      <c r="D791"/>
      <c r="E791"/>
      <c r="F791"/>
      <c r="G791"/>
      <c r="H791"/>
      <c r="W791"/>
    </row>
    <row r="792" spans="1:23" x14ac:dyDescent="0.25">
      <c r="A792"/>
      <c r="B792"/>
      <c r="C792"/>
      <c r="D792"/>
      <c r="E792"/>
      <c r="F792"/>
      <c r="G792"/>
      <c r="H792"/>
      <c r="W792"/>
    </row>
    <row r="793" spans="1:23" x14ac:dyDescent="0.25">
      <c r="A793"/>
      <c r="B793"/>
      <c r="C793"/>
      <c r="D793"/>
      <c r="E793"/>
      <c r="F793"/>
      <c r="G793"/>
      <c r="H793"/>
      <c r="W793"/>
    </row>
    <row r="794" spans="1:23" x14ac:dyDescent="0.25">
      <c r="A794"/>
      <c r="B794"/>
      <c r="C794"/>
      <c r="D794"/>
      <c r="E794"/>
      <c r="F794"/>
      <c r="G794"/>
      <c r="H794"/>
      <c r="W794"/>
    </row>
    <row r="795" spans="1:23" x14ac:dyDescent="0.25">
      <c r="A795"/>
      <c r="B795"/>
      <c r="C795"/>
      <c r="D795"/>
      <c r="E795"/>
      <c r="F795"/>
      <c r="G795"/>
      <c r="H795"/>
      <c r="W795"/>
    </row>
    <row r="796" spans="1:23" x14ac:dyDescent="0.25">
      <c r="A796"/>
      <c r="B796"/>
      <c r="C796"/>
      <c r="D796"/>
      <c r="E796"/>
      <c r="F796"/>
      <c r="G796"/>
      <c r="H796"/>
      <c r="W796"/>
    </row>
    <row r="797" spans="1:23" x14ac:dyDescent="0.25">
      <c r="A797"/>
      <c r="B797"/>
      <c r="C797"/>
      <c r="D797"/>
      <c r="E797"/>
      <c r="F797"/>
      <c r="G797"/>
      <c r="H797"/>
      <c r="W797"/>
    </row>
    <row r="798" spans="1:23" x14ac:dyDescent="0.25">
      <c r="A798"/>
      <c r="B798"/>
      <c r="C798"/>
      <c r="D798"/>
      <c r="E798"/>
      <c r="F798"/>
      <c r="G798"/>
      <c r="H798"/>
      <c r="W798"/>
    </row>
    <row r="799" spans="1:23" x14ac:dyDescent="0.25">
      <c r="A799"/>
      <c r="B799"/>
      <c r="C799"/>
      <c r="D799"/>
      <c r="E799"/>
      <c r="F799"/>
      <c r="G799"/>
      <c r="H799"/>
      <c r="W799"/>
    </row>
    <row r="800" spans="1:23" x14ac:dyDescent="0.25">
      <c r="A800"/>
      <c r="B800"/>
      <c r="C800"/>
      <c r="D800"/>
      <c r="E800"/>
      <c r="F800"/>
      <c r="G800"/>
      <c r="H800"/>
      <c r="W800"/>
    </row>
    <row r="801" spans="1:23" x14ac:dyDescent="0.25">
      <c r="A801"/>
      <c r="B801"/>
      <c r="C801"/>
      <c r="D801"/>
      <c r="E801"/>
      <c r="F801"/>
      <c r="G801"/>
      <c r="H801"/>
      <c r="W801"/>
    </row>
    <row r="802" spans="1:23" x14ac:dyDescent="0.25">
      <c r="A802"/>
      <c r="B802"/>
      <c r="C802"/>
      <c r="D802"/>
      <c r="E802"/>
      <c r="F802"/>
      <c r="G802"/>
      <c r="H802"/>
      <c r="W802"/>
    </row>
    <row r="803" spans="1:23" x14ac:dyDescent="0.25">
      <c r="A803"/>
      <c r="B803"/>
      <c r="C803"/>
      <c r="D803"/>
      <c r="E803"/>
      <c r="F803"/>
      <c r="G803"/>
      <c r="H803"/>
      <c r="W803"/>
    </row>
    <row r="804" spans="1:23" x14ac:dyDescent="0.25">
      <c r="A804"/>
      <c r="B804"/>
      <c r="C804"/>
      <c r="D804"/>
      <c r="E804"/>
      <c r="F804"/>
      <c r="G804"/>
      <c r="H804"/>
      <c r="W804"/>
    </row>
    <row r="805" spans="1:23" x14ac:dyDescent="0.25">
      <c r="A805"/>
      <c r="B805"/>
      <c r="C805"/>
      <c r="D805"/>
      <c r="E805"/>
      <c r="F805"/>
      <c r="G805"/>
      <c r="H805"/>
      <c r="W805"/>
    </row>
    <row r="806" spans="1:23" x14ac:dyDescent="0.25">
      <c r="A806"/>
      <c r="B806"/>
      <c r="C806"/>
      <c r="D806"/>
      <c r="E806"/>
      <c r="F806"/>
      <c r="G806"/>
      <c r="H806"/>
      <c r="W806"/>
    </row>
    <row r="807" spans="1:23" x14ac:dyDescent="0.25">
      <c r="A807"/>
      <c r="B807"/>
      <c r="C807"/>
      <c r="D807"/>
      <c r="E807"/>
      <c r="F807"/>
      <c r="G807"/>
      <c r="H807"/>
      <c r="W807"/>
    </row>
    <row r="808" spans="1:23" x14ac:dyDescent="0.25">
      <c r="A808"/>
      <c r="B808"/>
      <c r="C808"/>
      <c r="D808"/>
      <c r="E808"/>
      <c r="F808"/>
      <c r="G808"/>
      <c r="H808"/>
      <c r="W808"/>
    </row>
    <row r="809" spans="1:23" x14ac:dyDescent="0.25">
      <c r="A809"/>
      <c r="B809"/>
      <c r="C809"/>
      <c r="D809"/>
      <c r="E809"/>
      <c r="F809"/>
      <c r="G809"/>
      <c r="H809"/>
      <c r="W809"/>
    </row>
    <row r="810" spans="1:23" x14ac:dyDescent="0.25">
      <c r="A810"/>
      <c r="B810"/>
      <c r="C810"/>
      <c r="D810"/>
      <c r="E810"/>
      <c r="F810"/>
      <c r="G810"/>
      <c r="H810"/>
      <c r="W810"/>
    </row>
    <row r="811" spans="1:23" x14ac:dyDescent="0.25">
      <c r="A811"/>
      <c r="B811"/>
      <c r="C811"/>
      <c r="D811"/>
      <c r="E811"/>
      <c r="F811"/>
      <c r="G811"/>
      <c r="H811"/>
      <c r="W811"/>
    </row>
    <row r="812" spans="1:23" x14ac:dyDescent="0.25">
      <c r="A812"/>
      <c r="B812"/>
      <c r="C812"/>
      <c r="D812"/>
      <c r="E812"/>
      <c r="F812"/>
      <c r="G812"/>
      <c r="H812"/>
      <c r="W812"/>
    </row>
    <row r="813" spans="1:23" x14ac:dyDescent="0.25">
      <c r="A813"/>
      <c r="B813"/>
      <c r="C813"/>
      <c r="D813"/>
      <c r="E813"/>
      <c r="F813"/>
      <c r="G813"/>
      <c r="H813"/>
      <c r="W813"/>
    </row>
    <row r="814" spans="1:23" x14ac:dyDescent="0.25">
      <c r="A814"/>
      <c r="B814"/>
      <c r="C814"/>
      <c r="D814"/>
      <c r="E814"/>
      <c r="F814"/>
      <c r="G814"/>
      <c r="H814"/>
      <c r="W814"/>
    </row>
    <row r="815" spans="1:23" x14ac:dyDescent="0.25">
      <c r="A815"/>
      <c r="B815"/>
      <c r="C815"/>
      <c r="D815"/>
      <c r="E815"/>
      <c r="F815"/>
      <c r="G815"/>
      <c r="H815"/>
      <c r="W815"/>
    </row>
    <row r="816" spans="1:23" x14ac:dyDescent="0.25">
      <c r="A816"/>
      <c r="B816"/>
      <c r="C816"/>
      <c r="D816"/>
      <c r="E816"/>
      <c r="F816"/>
      <c r="G816"/>
      <c r="H816"/>
      <c r="W816"/>
    </row>
    <row r="817" spans="1:23" x14ac:dyDescent="0.25">
      <c r="A817"/>
      <c r="B817"/>
      <c r="C817"/>
      <c r="D817"/>
      <c r="E817"/>
      <c r="F817"/>
      <c r="G817"/>
      <c r="H817"/>
      <c r="W817"/>
    </row>
    <row r="818" spans="1:23" x14ac:dyDescent="0.25">
      <c r="A818"/>
      <c r="B818"/>
      <c r="C818"/>
      <c r="D818"/>
      <c r="E818"/>
      <c r="F818"/>
      <c r="G818"/>
      <c r="H818"/>
      <c r="W818"/>
    </row>
    <row r="819" spans="1:23" x14ac:dyDescent="0.25">
      <c r="A819"/>
      <c r="B819"/>
      <c r="C819"/>
      <c r="D819"/>
      <c r="E819"/>
      <c r="F819"/>
      <c r="G819"/>
      <c r="H819"/>
      <c r="W819"/>
    </row>
    <row r="820" spans="1:23" x14ac:dyDescent="0.25">
      <c r="A820"/>
      <c r="B820"/>
      <c r="C820"/>
      <c r="D820"/>
      <c r="E820"/>
      <c r="F820"/>
      <c r="G820"/>
      <c r="H820"/>
      <c r="W820"/>
    </row>
    <row r="821" spans="1:23" x14ac:dyDescent="0.25">
      <c r="A821"/>
      <c r="B821"/>
      <c r="C821"/>
      <c r="D821"/>
      <c r="E821"/>
      <c r="F821"/>
      <c r="G821"/>
      <c r="H821"/>
      <c r="W821"/>
    </row>
    <row r="822" spans="1:23" x14ac:dyDescent="0.25">
      <c r="A822"/>
      <c r="B822"/>
      <c r="C822"/>
      <c r="D822"/>
      <c r="E822"/>
      <c r="F822"/>
      <c r="G822"/>
      <c r="H822"/>
      <c r="W822"/>
    </row>
    <row r="823" spans="1:23" x14ac:dyDescent="0.25">
      <c r="A823"/>
      <c r="B823"/>
      <c r="C823"/>
      <c r="D823"/>
      <c r="E823"/>
      <c r="F823"/>
      <c r="G823"/>
      <c r="H823"/>
      <c r="W823"/>
    </row>
    <row r="824" spans="1:23" x14ac:dyDescent="0.25">
      <c r="A824"/>
      <c r="B824"/>
      <c r="C824"/>
      <c r="D824"/>
      <c r="E824"/>
      <c r="F824"/>
      <c r="G824"/>
      <c r="H824"/>
      <c r="W824"/>
    </row>
    <row r="825" spans="1:23" x14ac:dyDescent="0.25">
      <c r="A825"/>
      <c r="B825"/>
      <c r="C825"/>
      <c r="D825"/>
      <c r="E825"/>
      <c r="F825"/>
      <c r="G825"/>
      <c r="H825"/>
      <c r="W825"/>
    </row>
    <row r="826" spans="1:23" x14ac:dyDescent="0.25">
      <c r="A826"/>
      <c r="B826"/>
      <c r="C826"/>
      <c r="D826"/>
      <c r="E826"/>
      <c r="F826"/>
      <c r="G826"/>
      <c r="H826"/>
      <c r="W826"/>
    </row>
    <row r="827" spans="1:23" x14ac:dyDescent="0.25">
      <c r="A827"/>
      <c r="B827"/>
      <c r="C827"/>
      <c r="D827"/>
      <c r="E827"/>
      <c r="F827"/>
      <c r="G827"/>
      <c r="H827"/>
      <c r="W827"/>
    </row>
    <row r="828" spans="1:23" x14ac:dyDescent="0.25">
      <c r="A828"/>
      <c r="B828"/>
      <c r="C828"/>
      <c r="D828"/>
      <c r="E828"/>
      <c r="F828"/>
      <c r="G828"/>
      <c r="H828"/>
      <c r="W828"/>
    </row>
    <row r="829" spans="1:23" x14ac:dyDescent="0.25">
      <c r="A829"/>
      <c r="B829"/>
      <c r="C829"/>
      <c r="D829"/>
      <c r="E829"/>
      <c r="F829"/>
      <c r="G829"/>
      <c r="H829"/>
      <c r="W829"/>
    </row>
    <row r="830" spans="1:23" x14ac:dyDescent="0.25">
      <c r="A830"/>
      <c r="B830"/>
      <c r="C830"/>
      <c r="D830"/>
      <c r="E830"/>
      <c r="F830"/>
      <c r="G830"/>
      <c r="H830"/>
      <c r="W830"/>
    </row>
    <row r="831" spans="1:23" x14ac:dyDescent="0.25">
      <c r="A831"/>
      <c r="B831"/>
      <c r="C831"/>
      <c r="D831"/>
      <c r="E831"/>
      <c r="F831"/>
      <c r="G831"/>
      <c r="H831"/>
      <c r="W831"/>
    </row>
    <row r="832" spans="1:23" x14ac:dyDescent="0.25">
      <c r="A832"/>
      <c r="B832"/>
      <c r="C832"/>
      <c r="D832"/>
      <c r="E832"/>
      <c r="F832"/>
      <c r="G832"/>
      <c r="H832"/>
      <c r="W832"/>
    </row>
    <row r="833" spans="1:23" x14ac:dyDescent="0.25">
      <c r="A833"/>
      <c r="B833"/>
      <c r="C833"/>
      <c r="D833"/>
      <c r="E833"/>
      <c r="F833"/>
      <c r="G833"/>
      <c r="H833"/>
      <c r="W833"/>
    </row>
    <row r="834" spans="1:23" x14ac:dyDescent="0.25">
      <c r="A834"/>
      <c r="B834"/>
      <c r="C834"/>
      <c r="D834"/>
      <c r="E834"/>
      <c r="F834"/>
      <c r="G834"/>
      <c r="H834"/>
      <c r="W834"/>
    </row>
    <row r="835" spans="1:23" x14ac:dyDescent="0.25">
      <c r="A835"/>
      <c r="B835"/>
      <c r="C835"/>
      <c r="D835"/>
      <c r="E835"/>
      <c r="F835"/>
      <c r="G835"/>
      <c r="H835"/>
      <c r="W835"/>
    </row>
    <row r="836" spans="1:23" x14ac:dyDescent="0.25">
      <c r="A836"/>
      <c r="B836"/>
      <c r="C836"/>
      <c r="D836"/>
      <c r="E836"/>
      <c r="F836"/>
      <c r="G836"/>
      <c r="H836"/>
      <c r="W836"/>
    </row>
    <row r="837" spans="1:23" x14ac:dyDescent="0.25">
      <c r="A837"/>
      <c r="B837"/>
      <c r="C837"/>
      <c r="D837"/>
      <c r="E837"/>
      <c r="F837"/>
      <c r="G837"/>
      <c r="H837"/>
      <c r="W837"/>
    </row>
    <row r="838" spans="1:23" x14ac:dyDescent="0.25">
      <c r="A838"/>
      <c r="B838"/>
      <c r="C838"/>
      <c r="D838"/>
      <c r="E838"/>
      <c r="F838"/>
      <c r="G838"/>
      <c r="H838"/>
      <c r="W838"/>
    </row>
    <row r="839" spans="1:23" x14ac:dyDescent="0.25">
      <c r="A839"/>
      <c r="B839"/>
      <c r="C839"/>
      <c r="D839"/>
      <c r="E839"/>
      <c r="F839"/>
      <c r="G839"/>
      <c r="H839"/>
      <c r="W839"/>
    </row>
    <row r="840" spans="1:23" x14ac:dyDescent="0.25">
      <c r="A840"/>
      <c r="B840"/>
      <c r="C840"/>
      <c r="D840"/>
      <c r="E840"/>
      <c r="F840"/>
      <c r="G840"/>
      <c r="H840"/>
      <c r="W840"/>
    </row>
    <row r="841" spans="1:23" x14ac:dyDescent="0.25">
      <c r="A841"/>
      <c r="B841"/>
      <c r="C841"/>
      <c r="D841"/>
      <c r="E841"/>
      <c r="F841"/>
      <c r="G841"/>
      <c r="H841"/>
      <c r="W841"/>
    </row>
    <row r="842" spans="1:23" x14ac:dyDescent="0.25">
      <c r="A842"/>
      <c r="B842"/>
      <c r="C842"/>
      <c r="D842"/>
      <c r="E842"/>
      <c r="F842"/>
      <c r="G842"/>
      <c r="H842"/>
      <c r="W842"/>
    </row>
    <row r="843" spans="1:23" x14ac:dyDescent="0.25">
      <c r="A843"/>
      <c r="B843"/>
      <c r="C843"/>
      <c r="D843"/>
      <c r="E843"/>
      <c r="F843"/>
      <c r="G843"/>
      <c r="H843"/>
      <c r="W843"/>
    </row>
    <row r="844" spans="1:23" x14ac:dyDescent="0.25">
      <c r="A844"/>
      <c r="B844"/>
      <c r="C844"/>
      <c r="D844"/>
      <c r="E844"/>
      <c r="F844"/>
      <c r="G844"/>
      <c r="H844"/>
      <c r="W844"/>
    </row>
    <row r="845" spans="1:23" x14ac:dyDescent="0.25">
      <c r="A845"/>
      <c r="B845"/>
      <c r="C845"/>
      <c r="D845"/>
      <c r="E845"/>
      <c r="F845"/>
      <c r="G845"/>
      <c r="H845"/>
      <c r="W845"/>
    </row>
    <row r="846" spans="1:23" x14ac:dyDescent="0.25">
      <c r="A846"/>
      <c r="B846"/>
      <c r="C846"/>
      <c r="D846"/>
      <c r="E846"/>
      <c r="F846"/>
      <c r="G846"/>
      <c r="H846"/>
      <c r="W846"/>
    </row>
    <row r="847" spans="1:23" x14ac:dyDescent="0.25">
      <c r="A847"/>
      <c r="B847"/>
      <c r="C847"/>
      <c r="D847"/>
      <c r="E847"/>
      <c r="F847"/>
      <c r="G847"/>
      <c r="H847"/>
      <c r="W847"/>
    </row>
    <row r="848" spans="1:23" x14ac:dyDescent="0.25">
      <c r="A848"/>
      <c r="B848"/>
      <c r="C848"/>
      <c r="D848"/>
      <c r="E848"/>
      <c r="F848"/>
      <c r="G848"/>
      <c r="H848"/>
      <c r="W848"/>
    </row>
    <row r="849" spans="1:23" x14ac:dyDescent="0.25">
      <c r="A849"/>
      <c r="B849"/>
      <c r="C849"/>
      <c r="D849"/>
      <c r="E849"/>
      <c r="F849"/>
      <c r="G849"/>
      <c r="H849"/>
      <c r="W849"/>
    </row>
    <row r="850" spans="1:23" x14ac:dyDescent="0.25">
      <c r="A850"/>
      <c r="B850"/>
      <c r="C850"/>
      <c r="D850"/>
      <c r="E850"/>
      <c r="F850"/>
      <c r="G850"/>
      <c r="H850"/>
      <c r="W850"/>
    </row>
    <row r="851" spans="1:23" x14ac:dyDescent="0.25">
      <c r="A851"/>
      <c r="B851"/>
      <c r="C851"/>
      <c r="D851"/>
      <c r="E851"/>
      <c r="F851"/>
      <c r="G851"/>
      <c r="H851"/>
      <c r="W851"/>
    </row>
    <row r="852" spans="1:23" x14ac:dyDescent="0.25">
      <c r="A852"/>
      <c r="B852"/>
      <c r="C852"/>
      <c r="D852"/>
      <c r="E852"/>
      <c r="F852"/>
      <c r="G852"/>
      <c r="H852"/>
      <c r="W852"/>
    </row>
    <row r="853" spans="1:23" x14ac:dyDescent="0.25">
      <c r="A853"/>
      <c r="B853"/>
      <c r="C853"/>
      <c r="D853"/>
      <c r="E853"/>
      <c r="F853"/>
      <c r="G853"/>
      <c r="H853"/>
      <c r="W853"/>
    </row>
    <row r="854" spans="1:23" x14ac:dyDescent="0.25">
      <c r="A854"/>
      <c r="B854"/>
      <c r="C854"/>
      <c r="D854"/>
      <c r="E854"/>
      <c r="F854"/>
      <c r="G854"/>
      <c r="H854"/>
      <c r="W854"/>
    </row>
    <row r="855" spans="1:23" x14ac:dyDescent="0.25">
      <c r="A855"/>
      <c r="B855"/>
      <c r="C855"/>
      <c r="D855"/>
      <c r="E855"/>
      <c r="F855"/>
      <c r="G855"/>
      <c r="H855"/>
      <c r="W855"/>
    </row>
    <row r="856" spans="1:23" x14ac:dyDescent="0.25">
      <c r="A856"/>
      <c r="B856"/>
      <c r="C856"/>
      <c r="D856"/>
      <c r="E856"/>
      <c r="F856"/>
      <c r="G856"/>
      <c r="H856"/>
      <c r="W856"/>
    </row>
    <row r="857" spans="1:23" x14ac:dyDescent="0.25">
      <c r="A857"/>
      <c r="B857"/>
      <c r="C857"/>
      <c r="D857"/>
      <c r="E857"/>
      <c r="F857"/>
      <c r="G857"/>
      <c r="H857"/>
      <c r="W857"/>
    </row>
    <row r="858" spans="1:23" x14ac:dyDescent="0.25">
      <c r="A858"/>
      <c r="B858"/>
      <c r="C858"/>
      <c r="D858"/>
      <c r="E858"/>
      <c r="F858"/>
      <c r="G858"/>
      <c r="H858"/>
      <c r="W858"/>
    </row>
    <row r="859" spans="1:23" x14ac:dyDescent="0.25">
      <c r="A859"/>
      <c r="B859"/>
      <c r="C859"/>
      <c r="D859"/>
      <c r="E859"/>
      <c r="F859"/>
      <c r="G859"/>
      <c r="H859"/>
      <c r="W859"/>
    </row>
    <row r="860" spans="1:23" x14ac:dyDescent="0.25">
      <c r="A860"/>
      <c r="B860"/>
      <c r="C860"/>
      <c r="D860"/>
      <c r="E860"/>
      <c r="F860"/>
      <c r="G860"/>
      <c r="H860"/>
      <c r="W860"/>
    </row>
    <row r="861" spans="1:23" x14ac:dyDescent="0.25">
      <c r="A861"/>
      <c r="B861"/>
      <c r="C861"/>
      <c r="D861"/>
      <c r="E861"/>
      <c r="F861"/>
      <c r="G861"/>
      <c r="H861"/>
      <c r="W861"/>
    </row>
    <row r="862" spans="1:23" x14ac:dyDescent="0.25">
      <c r="A862"/>
      <c r="B862"/>
      <c r="C862"/>
      <c r="D862"/>
      <c r="E862"/>
      <c r="F862"/>
      <c r="G862"/>
      <c r="H862"/>
      <c r="W862"/>
    </row>
    <row r="863" spans="1:23" x14ac:dyDescent="0.25">
      <c r="A863"/>
      <c r="B863"/>
      <c r="C863"/>
      <c r="D863"/>
      <c r="E863"/>
      <c r="F863"/>
      <c r="G863"/>
      <c r="H863"/>
      <c r="W863"/>
    </row>
    <row r="864" spans="1:23" x14ac:dyDescent="0.25">
      <c r="A864"/>
      <c r="B864"/>
      <c r="C864"/>
      <c r="D864"/>
      <c r="E864"/>
      <c r="F864"/>
      <c r="G864"/>
      <c r="H864"/>
      <c r="W864"/>
    </row>
    <row r="865" spans="1:23" x14ac:dyDescent="0.25">
      <c r="A865"/>
      <c r="B865"/>
      <c r="C865"/>
      <c r="D865"/>
      <c r="E865"/>
      <c r="F865"/>
      <c r="G865"/>
      <c r="H865"/>
      <c r="W865"/>
    </row>
    <row r="866" spans="1:23" x14ac:dyDescent="0.25">
      <c r="A866"/>
      <c r="B866"/>
      <c r="C866"/>
      <c r="D866"/>
      <c r="E866"/>
      <c r="F866"/>
      <c r="G866"/>
      <c r="H866"/>
      <c r="W866"/>
    </row>
    <row r="867" spans="1:23" x14ac:dyDescent="0.25">
      <c r="A867"/>
      <c r="B867"/>
      <c r="C867"/>
      <c r="D867"/>
      <c r="E867"/>
      <c r="F867"/>
      <c r="G867"/>
      <c r="H867"/>
      <c r="W867"/>
    </row>
    <row r="868" spans="1:23" x14ac:dyDescent="0.25">
      <c r="A868"/>
      <c r="B868"/>
      <c r="C868"/>
      <c r="D868"/>
      <c r="E868"/>
      <c r="F868"/>
      <c r="G868"/>
      <c r="H868"/>
      <c r="W868"/>
    </row>
    <row r="869" spans="1:23" x14ac:dyDescent="0.25">
      <c r="A869"/>
      <c r="B869"/>
      <c r="C869"/>
      <c r="D869"/>
      <c r="E869"/>
      <c r="F869"/>
      <c r="G869"/>
      <c r="H869"/>
      <c r="W869"/>
    </row>
    <row r="870" spans="1:23" x14ac:dyDescent="0.25">
      <c r="A870"/>
      <c r="B870"/>
      <c r="C870"/>
      <c r="D870"/>
      <c r="E870"/>
      <c r="F870"/>
      <c r="G870"/>
      <c r="H870"/>
      <c r="W870"/>
    </row>
    <row r="871" spans="1:23" x14ac:dyDescent="0.25">
      <c r="A871"/>
      <c r="B871"/>
      <c r="C871"/>
      <c r="D871"/>
      <c r="E871"/>
      <c r="F871"/>
      <c r="G871"/>
      <c r="H871"/>
      <c r="W871"/>
    </row>
    <row r="872" spans="1:23" x14ac:dyDescent="0.25">
      <c r="A872"/>
      <c r="B872"/>
      <c r="C872"/>
      <c r="D872"/>
      <c r="E872"/>
      <c r="F872"/>
      <c r="G872"/>
      <c r="H872"/>
      <c r="W872"/>
    </row>
    <row r="873" spans="1:23" x14ac:dyDescent="0.25">
      <c r="A873"/>
      <c r="B873"/>
      <c r="C873"/>
      <c r="D873"/>
      <c r="E873"/>
      <c r="F873"/>
      <c r="G873"/>
      <c r="H873"/>
      <c r="W873"/>
    </row>
    <row r="874" spans="1:23" x14ac:dyDescent="0.25">
      <c r="A874"/>
      <c r="B874"/>
      <c r="C874"/>
      <c r="D874"/>
      <c r="E874"/>
      <c r="F874"/>
      <c r="G874"/>
      <c r="H874"/>
      <c r="W874"/>
    </row>
    <row r="875" spans="1:23" x14ac:dyDescent="0.25">
      <c r="A875"/>
      <c r="B875"/>
      <c r="C875"/>
      <c r="D875"/>
      <c r="E875"/>
      <c r="F875"/>
      <c r="G875"/>
      <c r="H875"/>
      <c r="W875"/>
    </row>
    <row r="876" spans="1:23" x14ac:dyDescent="0.25">
      <c r="A876"/>
      <c r="B876"/>
      <c r="C876"/>
      <c r="D876"/>
      <c r="E876"/>
      <c r="F876"/>
      <c r="G876"/>
      <c r="H876"/>
      <c r="W876"/>
    </row>
    <row r="877" spans="1:23" x14ac:dyDescent="0.25">
      <c r="A877"/>
      <c r="B877"/>
      <c r="C877"/>
      <c r="D877"/>
      <c r="E877"/>
      <c r="F877"/>
      <c r="G877"/>
      <c r="H877"/>
      <c r="W877"/>
    </row>
    <row r="878" spans="1:23" x14ac:dyDescent="0.25">
      <c r="A878"/>
      <c r="B878"/>
      <c r="C878"/>
      <c r="D878"/>
      <c r="E878"/>
      <c r="F878"/>
      <c r="G878"/>
      <c r="H878"/>
      <c r="W878"/>
    </row>
    <row r="879" spans="1:23" x14ac:dyDescent="0.25">
      <c r="A879"/>
      <c r="B879"/>
      <c r="C879"/>
      <c r="D879"/>
      <c r="E879"/>
      <c r="F879"/>
      <c r="G879"/>
      <c r="H879"/>
      <c r="W879"/>
    </row>
    <row r="880" spans="1:23" x14ac:dyDescent="0.25">
      <c r="A880"/>
      <c r="B880"/>
      <c r="C880"/>
      <c r="D880"/>
      <c r="E880"/>
      <c r="F880"/>
      <c r="G880"/>
      <c r="H880"/>
      <c r="W880"/>
    </row>
    <row r="881" spans="1:23" x14ac:dyDescent="0.25">
      <c r="A881"/>
      <c r="B881"/>
      <c r="C881"/>
      <c r="D881"/>
      <c r="E881"/>
      <c r="F881"/>
      <c r="G881"/>
      <c r="H881"/>
      <c r="W881"/>
    </row>
    <row r="882" spans="1:23" x14ac:dyDescent="0.25">
      <c r="A882"/>
      <c r="B882"/>
      <c r="C882"/>
      <c r="D882"/>
      <c r="E882"/>
      <c r="F882"/>
      <c r="G882"/>
      <c r="H882"/>
      <c r="W882"/>
    </row>
    <row r="883" spans="1:23" x14ac:dyDescent="0.25">
      <c r="A883"/>
      <c r="B883"/>
      <c r="C883"/>
      <c r="D883"/>
      <c r="E883"/>
      <c r="F883"/>
      <c r="G883"/>
      <c r="H883"/>
      <c r="W883"/>
    </row>
    <row r="884" spans="1:23" x14ac:dyDescent="0.25">
      <c r="A884"/>
      <c r="B884"/>
      <c r="C884"/>
      <c r="D884"/>
      <c r="E884"/>
      <c r="F884"/>
      <c r="G884"/>
      <c r="H884"/>
      <c r="W884"/>
    </row>
    <row r="885" spans="1:23" x14ac:dyDescent="0.25">
      <c r="A885"/>
      <c r="B885"/>
      <c r="C885"/>
      <c r="D885"/>
      <c r="E885"/>
      <c r="F885"/>
      <c r="G885"/>
      <c r="H885"/>
      <c r="W885"/>
    </row>
    <row r="886" spans="1:23" x14ac:dyDescent="0.25">
      <c r="A886"/>
      <c r="B886"/>
      <c r="C886"/>
      <c r="D886"/>
      <c r="E886"/>
      <c r="F886"/>
      <c r="G886"/>
      <c r="H886"/>
      <c r="W886"/>
    </row>
    <row r="887" spans="1:23" x14ac:dyDescent="0.25">
      <c r="A887"/>
      <c r="B887"/>
      <c r="C887"/>
      <c r="D887"/>
      <c r="E887"/>
      <c r="F887"/>
      <c r="G887"/>
      <c r="H887"/>
      <c r="W887"/>
    </row>
    <row r="888" spans="1:23" x14ac:dyDescent="0.25">
      <c r="A888"/>
      <c r="B888"/>
      <c r="C888"/>
      <c r="D888"/>
      <c r="E888"/>
      <c r="F888"/>
      <c r="G888"/>
      <c r="H888"/>
      <c r="W888"/>
    </row>
    <row r="889" spans="1:23" x14ac:dyDescent="0.25">
      <c r="A889"/>
      <c r="B889"/>
      <c r="C889"/>
      <c r="D889"/>
      <c r="E889"/>
      <c r="F889"/>
      <c r="G889"/>
      <c r="H889"/>
      <c r="W889"/>
    </row>
    <row r="890" spans="1:23" x14ac:dyDescent="0.25">
      <c r="A890"/>
      <c r="B890"/>
      <c r="C890"/>
      <c r="D890"/>
      <c r="E890"/>
      <c r="F890"/>
      <c r="G890"/>
      <c r="H890"/>
      <c r="W890"/>
    </row>
    <row r="891" spans="1:23" x14ac:dyDescent="0.25">
      <c r="A891"/>
      <c r="B891"/>
      <c r="C891"/>
      <c r="D891"/>
      <c r="E891"/>
      <c r="F891"/>
      <c r="G891"/>
      <c r="H891"/>
      <c r="W891"/>
    </row>
    <row r="892" spans="1:23" x14ac:dyDescent="0.25">
      <c r="A892"/>
      <c r="B892"/>
      <c r="C892"/>
      <c r="D892"/>
      <c r="E892"/>
      <c r="F892"/>
      <c r="G892"/>
      <c r="H892"/>
      <c r="W892"/>
    </row>
    <row r="893" spans="1:23" x14ac:dyDescent="0.25">
      <c r="A893"/>
      <c r="B893"/>
      <c r="C893"/>
      <c r="D893"/>
      <c r="E893"/>
      <c r="F893"/>
      <c r="G893"/>
      <c r="H893"/>
      <c r="W893"/>
    </row>
    <row r="894" spans="1:23" x14ac:dyDescent="0.25">
      <c r="A894"/>
      <c r="B894"/>
      <c r="C894"/>
      <c r="D894"/>
      <c r="E894"/>
      <c r="F894"/>
      <c r="G894"/>
      <c r="H894"/>
      <c r="W894"/>
    </row>
    <row r="895" spans="1:23" x14ac:dyDescent="0.25">
      <c r="A895"/>
      <c r="B895"/>
      <c r="C895"/>
      <c r="D895"/>
      <c r="E895"/>
      <c r="F895"/>
      <c r="G895"/>
      <c r="H895"/>
      <c r="W895"/>
    </row>
    <row r="896" spans="1:23" x14ac:dyDescent="0.25">
      <c r="A896"/>
      <c r="B896"/>
      <c r="C896"/>
      <c r="D896"/>
      <c r="E896"/>
      <c r="F896"/>
      <c r="G896"/>
      <c r="H896"/>
      <c r="W896"/>
    </row>
    <row r="897" spans="1:23" x14ac:dyDescent="0.25">
      <c r="A897"/>
      <c r="B897"/>
      <c r="C897"/>
      <c r="D897"/>
      <c r="E897"/>
      <c r="F897"/>
      <c r="G897"/>
      <c r="H897"/>
      <c r="W897"/>
    </row>
    <row r="898" spans="1:23" x14ac:dyDescent="0.25">
      <c r="A898"/>
      <c r="B898"/>
      <c r="C898"/>
      <c r="D898"/>
      <c r="E898"/>
      <c r="F898"/>
      <c r="G898"/>
      <c r="H898"/>
      <c r="W898"/>
    </row>
    <row r="899" spans="1:23" x14ac:dyDescent="0.25">
      <c r="A899"/>
      <c r="B899"/>
      <c r="C899"/>
      <c r="D899"/>
      <c r="E899"/>
      <c r="F899"/>
      <c r="G899"/>
      <c r="H899"/>
      <c r="W899"/>
    </row>
    <row r="900" spans="1:23" x14ac:dyDescent="0.25">
      <c r="A900"/>
      <c r="B900"/>
      <c r="C900"/>
      <c r="D900"/>
      <c r="E900"/>
      <c r="F900"/>
      <c r="G900"/>
      <c r="H900"/>
      <c r="W900"/>
    </row>
    <row r="901" spans="1:23" x14ac:dyDescent="0.25">
      <c r="A901"/>
      <c r="B901"/>
      <c r="C901"/>
      <c r="D901"/>
      <c r="E901"/>
      <c r="F901"/>
      <c r="G901"/>
      <c r="H901"/>
      <c r="W901"/>
    </row>
    <row r="902" spans="1:23" x14ac:dyDescent="0.25">
      <c r="A902"/>
      <c r="B902"/>
      <c r="C902"/>
      <c r="D902"/>
      <c r="E902"/>
      <c r="F902"/>
      <c r="G902"/>
      <c r="H902"/>
      <c r="W902"/>
    </row>
    <row r="903" spans="1:23" x14ac:dyDescent="0.25">
      <c r="A903"/>
      <c r="B903"/>
      <c r="C903"/>
      <c r="D903"/>
      <c r="E903"/>
      <c r="F903"/>
      <c r="G903"/>
      <c r="H903"/>
      <c r="W903"/>
    </row>
    <row r="904" spans="1:23" x14ac:dyDescent="0.25">
      <c r="A904"/>
      <c r="B904"/>
      <c r="C904"/>
      <c r="D904"/>
      <c r="E904"/>
      <c r="F904"/>
      <c r="G904"/>
      <c r="H904"/>
      <c r="W904"/>
    </row>
    <row r="905" spans="1:23" x14ac:dyDescent="0.25">
      <c r="A905"/>
      <c r="B905"/>
      <c r="C905"/>
      <c r="D905"/>
      <c r="E905"/>
      <c r="F905"/>
      <c r="G905"/>
      <c r="H905"/>
      <c r="W905"/>
    </row>
    <row r="906" spans="1:23" x14ac:dyDescent="0.25">
      <c r="A906"/>
      <c r="B906"/>
      <c r="C906"/>
      <c r="D906"/>
      <c r="E906"/>
      <c r="F906"/>
      <c r="G906"/>
      <c r="H906"/>
      <c r="W906"/>
    </row>
    <row r="907" spans="1:23" x14ac:dyDescent="0.25">
      <c r="A907"/>
      <c r="B907"/>
      <c r="C907"/>
      <c r="D907"/>
      <c r="E907"/>
      <c r="F907"/>
      <c r="G907"/>
      <c r="H907"/>
      <c r="W907"/>
    </row>
    <row r="908" spans="1:23" x14ac:dyDescent="0.25">
      <c r="A908"/>
      <c r="B908"/>
      <c r="C908"/>
      <c r="D908"/>
      <c r="E908"/>
      <c r="F908"/>
      <c r="G908"/>
      <c r="H908"/>
      <c r="W908"/>
    </row>
    <row r="909" spans="1:23" x14ac:dyDescent="0.25">
      <c r="A909"/>
      <c r="B909"/>
      <c r="C909"/>
      <c r="D909"/>
      <c r="E909"/>
      <c r="F909"/>
      <c r="G909"/>
      <c r="H909"/>
      <c r="W909"/>
    </row>
    <row r="910" spans="1:23" x14ac:dyDescent="0.25">
      <c r="A910"/>
      <c r="B910"/>
      <c r="C910"/>
      <c r="D910"/>
      <c r="E910"/>
      <c r="F910"/>
      <c r="G910"/>
      <c r="H910"/>
      <c r="W910"/>
    </row>
    <row r="911" spans="1:23" x14ac:dyDescent="0.25">
      <c r="A911"/>
      <c r="B911"/>
      <c r="C911"/>
      <c r="D911"/>
      <c r="E911"/>
      <c r="F911"/>
      <c r="G911"/>
      <c r="H911"/>
      <c r="W911"/>
    </row>
    <row r="912" spans="1:23" x14ac:dyDescent="0.25">
      <c r="A912"/>
      <c r="B912"/>
      <c r="C912"/>
      <c r="D912"/>
      <c r="E912"/>
      <c r="F912"/>
      <c r="G912"/>
      <c r="H912"/>
      <c r="W912"/>
    </row>
    <row r="913" spans="1:23" x14ac:dyDescent="0.25">
      <c r="A913"/>
      <c r="B913"/>
      <c r="C913"/>
      <c r="D913"/>
      <c r="E913"/>
      <c r="F913"/>
      <c r="G913"/>
      <c r="H913"/>
      <c r="W913"/>
    </row>
    <row r="914" spans="1:23" x14ac:dyDescent="0.25">
      <c r="A914"/>
      <c r="B914"/>
      <c r="C914"/>
      <c r="D914"/>
      <c r="E914"/>
      <c r="F914"/>
      <c r="G914"/>
      <c r="H914"/>
      <c r="W914"/>
    </row>
    <row r="915" spans="1:23" x14ac:dyDescent="0.25">
      <c r="A915"/>
      <c r="B915"/>
      <c r="C915"/>
      <c r="D915"/>
      <c r="E915"/>
      <c r="F915"/>
      <c r="G915"/>
      <c r="H915"/>
      <c r="W915"/>
    </row>
    <row r="916" spans="1:23" x14ac:dyDescent="0.25">
      <c r="A916"/>
      <c r="B916"/>
      <c r="C916"/>
      <c r="D916"/>
      <c r="E916"/>
      <c r="F916"/>
      <c r="G916"/>
      <c r="H916"/>
      <c r="W916"/>
    </row>
    <row r="917" spans="1:23" x14ac:dyDescent="0.25">
      <c r="A917"/>
      <c r="B917"/>
      <c r="C917"/>
      <c r="D917"/>
      <c r="E917"/>
      <c r="F917"/>
      <c r="G917"/>
      <c r="H917"/>
      <c r="W917"/>
    </row>
    <row r="918" spans="1:23" x14ac:dyDescent="0.25">
      <c r="A918"/>
      <c r="B918"/>
      <c r="C918"/>
      <c r="D918"/>
      <c r="E918"/>
      <c r="F918"/>
      <c r="G918"/>
      <c r="H918"/>
      <c r="W918"/>
    </row>
    <row r="919" spans="1:23" x14ac:dyDescent="0.25">
      <c r="A919"/>
      <c r="B919"/>
      <c r="C919"/>
      <c r="D919"/>
      <c r="E919"/>
      <c r="F919"/>
      <c r="G919"/>
      <c r="H919"/>
      <c r="W919"/>
    </row>
    <row r="920" spans="1:23" x14ac:dyDescent="0.25">
      <c r="A920"/>
      <c r="B920"/>
      <c r="C920"/>
      <c r="D920"/>
      <c r="E920"/>
      <c r="F920"/>
      <c r="G920"/>
      <c r="H920"/>
      <c r="W920"/>
    </row>
    <row r="921" spans="1:23" x14ac:dyDescent="0.25">
      <c r="A921"/>
      <c r="B921"/>
      <c r="C921"/>
      <c r="D921"/>
      <c r="E921"/>
      <c r="F921"/>
      <c r="G921"/>
      <c r="H921"/>
      <c r="W921"/>
    </row>
    <row r="922" spans="1:23" x14ac:dyDescent="0.25">
      <c r="A922"/>
      <c r="B922"/>
      <c r="C922"/>
      <c r="D922"/>
      <c r="E922"/>
      <c r="F922"/>
      <c r="G922"/>
      <c r="H922"/>
      <c r="W922"/>
    </row>
    <row r="923" spans="1:23" x14ac:dyDescent="0.25">
      <c r="A923"/>
      <c r="B923"/>
      <c r="C923"/>
      <c r="D923"/>
      <c r="E923"/>
      <c r="F923"/>
      <c r="G923"/>
      <c r="H923"/>
      <c r="W923"/>
    </row>
    <row r="924" spans="1:23" x14ac:dyDescent="0.25">
      <c r="A924"/>
      <c r="B924"/>
      <c r="C924"/>
      <c r="D924"/>
      <c r="E924"/>
      <c r="F924"/>
      <c r="G924"/>
      <c r="H924"/>
      <c r="W924"/>
    </row>
    <row r="925" spans="1:23" x14ac:dyDescent="0.25">
      <c r="A925"/>
      <c r="B925"/>
      <c r="C925"/>
      <c r="D925"/>
      <c r="E925"/>
      <c r="F925"/>
      <c r="G925"/>
      <c r="H925"/>
      <c r="W925"/>
    </row>
    <row r="926" spans="1:23" x14ac:dyDescent="0.25">
      <c r="A926"/>
      <c r="B926"/>
      <c r="C926"/>
      <c r="D926"/>
      <c r="E926"/>
      <c r="F926"/>
      <c r="G926"/>
      <c r="H926"/>
      <c r="W926"/>
    </row>
    <row r="927" spans="1:23" x14ac:dyDescent="0.25">
      <c r="A927"/>
      <c r="B927"/>
      <c r="C927"/>
      <c r="D927"/>
      <c r="E927"/>
      <c r="F927"/>
      <c r="G927"/>
      <c r="H927"/>
      <c r="W927"/>
    </row>
    <row r="928" spans="1:23" x14ac:dyDescent="0.25">
      <c r="A928"/>
      <c r="B928"/>
      <c r="C928"/>
      <c r="D928"/>
      <c r="E928"/>
      <c r="F928"/>
      <c r="G928"/>
      <c r="H928"/>
      <c r="W928"/>
    </row>
    <row r="929" spans="1:23" x14ac:dyDescent="0.25">
      <c r="A929"/>
      <c r="B929"/>
      <c r="C929"/>
      <c r="D929"/>
      <c r="E929"/>
      <c r="F929"/>
      <c r="G929"/>
      <c r="H929"/>
      <c r="W929"/>
    </row>
    <row r="930" spans="1:23" x14ac:dyDescent="0.25">
      <c r="A930"/>
      <c r="B930"/>
      <c r="C930"/>
      <c r="D930"/>
      <c r="E930"/>
      <c r="F930"/>
      <c r="G930"/>
      <c r="H930"/>
      <c r="W930"/>
    </row>
    <row r="931" spans="1:23" x14ac:dyDescent="0.25">
      <c r="A931"/>
      <c r="B931"/>
      <c r="C931"/>
      <c r="D931"/>
      <c r="E931"/>
      <c r="F931"/>
      <c r="G931"/>
      <c r="H931"/>
      <c r="W931"/>
    </row>
    <row r="932" spans="1:23" x14ac:dyDescent="0.25">
      <c r="A932"/>
      <c r="B932"/>
      <c r="C932"/>
      <c r="D932"/>
      <c r="E932"/>
      <c r="F932"/>
      <c r="G932"/>
      <c r="H932"/>
      <c r="W932"/>
    </row>
    <row r="933" spans="1:23" x14ac:dyDescent="0.25">
      <c r="A933"/>
      <c r="B933"/>
      <c r="C933"/>
      <c r="D933"/>
      <c r="E933"/>
      <c r="F933"/>
      <c r="G933"/>
      <c r="H933"/>
      <c r="W933"/>
    </row>
    <row r="934" spans="1:23" x14ac:dyDescent="0.25">
      <c r="A934"/>
      <c r="B934"/>
      <c r="C934"/>
      <c r="D934"/>
      <c r="E934"/>
      <c r="F934"/>
      <c r="G934"/>
      <c r="H934"/>
      <c r="W934"/>
    </row>
    <row r="935" spans="1:23" x14ac:dyDescent="0.25">
      <c r="A935"/>
      <c r="B935"/>
      <c r="C935"/>
      <c r="D935"/>
      <c r="E935"/>
      <c r="F935"/>
      <c r="G935"/>
      <c r="H935"/>
      <c r="W935"/>
    </row>
    <row r="936" spans="1:23" x14ac:dyDescent="0.25">
      <c r="A936"/>
      <c r="B936"/>
      <c r="C936"/>
      <c r="D936"/>
      <c r="E936"/>
      <c r="F936"/>
      <c r="G936"/>
      <c r="H936"/>
      <c r="W936"/>
    </row>
    <row r="937" spans="1:23" x14ac:dyDescent="0.25">
      <c r="A937"/>
      <c r="B937"/>
      <c r="C937"/>
      <c r="D937"/>
      <c r="E937"/>
      <c r="F937"/>
      <c r="G937"/>
      <c r="H937"/>
      <c r="W937"/>
    </row>
    <row r="938" spans="1:23" x14ac:dyDescent="0.25">
      <c r="A938"/>
      <c r="B938"/>
      <c r="C938"/>
      <c r="D938"/>
      <c r="E938"/>
      <c r="F938"/>
      <c r="G938"/>
      <c r="H938"/>
      <c r="W938"/>
    </row>
    <row r="939" spans="1:23" x14ac:dyDescent="0.25">
      <c r="A939"/>
      <c r="B939"/>
      <c r="C939"/>
      <c r="D939"/>
      <c r="E939"/>
      <c r="F939"/>
      <c r="G939"/>
      <c r="H939"/>
      <c r="W939"/>
    </row>
    <row r="940" spans="1:23" x14ac:dyDescent="0.25">
      <c r="A940"/>
      <c r="B940"/>
      <c r="C940"/>
      <c r="D940"/>
      <c r="E940"/>
      <c r="F940"/>
      <c r="G940"/>
      <c r="H940"/>
      <c r="W940"/>
    </row>
    <row r="941" spans="1:23" x14ac:dyDescent="0.25">
      <c r="A941"/>
      <c r="B941"/>
      <c r="C941"/>
      <c r="D941"/>
      <c r="E941"/>
      <c r="F941"/>
      <c r="G941"/>
      <c r="H941"/>
      <c r="W941"/>
    </row>
    <row r="942" spans="1:23" x14ac:dyDescent="0.25">
      <c r="A942"/>
      <c r="B942"/>
      <c r="C942"/>
      <c r="D942"/>
      <c r="E942"/>
      <c r="F942"/>
      <c r="G942"/>
      <c r="H942"/>
      <c r="W942"/>
    </row>
    <row r="943" spans="1:23" x14ac:dyDescent="0.25">
      <c r="A943"/>
      <c r="B943"/>
      <c r="C943"/>
      <c r="D943"/>
      <c r="E943"/>
      <c r="F943"/>
      <c r="G943"/>
      <c r="H943"/>
      <c r="W943"/>
    </row>
    <row r="944" spans="1:23" x14ac:dyDescent="0.25">
      <c r="A944"/>
      <c r="B944"/>
      <c r="C944"/>
      <c r="D944"/>
      <c r="E944"/>
      <c r="F944"/>
      <c r="G944"/>
      <c r="H944"/>
      <c r="W944"/>
    </row>
    <row r="945" spans="1:23" x14ac:dyDescent="0.25">
      <c r="A945"/>
      <c r="B945"/>
      <c r="C945"/>
      <c r="D945"/>
      <c r="E945"/>
      <c r="F945"/>
      <c r="G945"/>
      <c r="H945"/>
      <c r="W945"/>
    </row>
    <row r="946" spans="1:23" x14ac:dyDescent="0.25">
      <c r="A946"/>
      <c r="B946"/>
      <c r="C946"/>
      <c r="D946"/>
      <c r="E946"/>
      <c r="F946"/>
      <c r="G946"/>
      <c r="H946"/>
      <c r="W946"/>
    </row>
    <row r="947" spans="1:23" x14ac:dyDescent="0.25">
      <c r="A947"/>
      <c r="B947"/>
      <c r="C947"/>
      <c r="D947"/>
      <c r="E947"/>
      <c r="F947"/>
      <c r="G947"/>
      <c r="H947"/>
      <c r="W947"/>
    </row>
    <row r="948" spans="1:23" x14ac:dyDescent="0.25">
      <c r="A948"/>
      <c r="B948"/>
      <c r="C948"/>
      <c r="D948"/>
      <c r="E948"/>
      <c r="F948"/>
      <c r="G948"/>
      <c r="H948"/>
      <c r="W948"/>
    </row>
    <row r="949" spans="1:23" x14ac:dyDescent="0.25">
      <c r="A949"/>
      <c r="B949"/>
      <c r="C949"/>
      <c r="D949"/>
      <c r="E949"/>
      <c r="F949"/>
      <c r="G949"/>
      <c r="H949"/>
      <c r="W949"/>
    </row>
    <row r="950" spans="1:23" x14ac:dyDescent="0.25">
      <c r="A950"/>
      <c r="B950"/>
      <c r="C950"/>
      <c r="D950"/>
      <c r="E950"/>
      <c r="F950"/>
      <c r="G950"/>
      <c r="H950"/>
      <c r="W950"/>
    </row>
    <row r="951" spans="1:23" x14ac:dyDescent="0.25">
      <c r="A951"/>
      <c r="B951"/>
      <c r="C951"/>
      <c r="D951"/>
      <c r="E951"/>
      <c r="F951"/>
      <c r="G951"/>
      <c r="H951"/>
      <c r="W951"/>
    </row>
    <row r="952" spans="1:23" x14ac:dyDescent="0.25">
      <c r="A952"/>
      <c r="B952"/>
      <c r="C952"/>
      <c r="D952"/>
      <c r="E952"/>
      <c r="F952"/>
      <c r="G952"/>
      <c r="H952"/>
      <c r="W952"/>
    </row>
    <row r="953" spans="1:23" x14ac:dyDescent="0.25">
      <c r="A953"/>
      <c r="B953"/>
      <c r="C953"/>
      <c r="D953"/>
      <c r="E953"/>
      <c r="F953"/>
      <c r="G953"/>
      <c r="H953"/>
      <c r="W953"/>
    </row>
    <row r="954" spans="1:23" x14ac:dyDescent="0.25">
      <c r="A954"/>
      <c r="B954"/>
      <c r="C954"/>
      <c r="D954"/>
      <c r="E954"/>
      <c r="F954"/>
      <c r="G954"/>
      <c r="H954"/>
      <c r="W954"/>
    </row>
    <row r="955" spans="1:23" x14ac:dyDescent="0.25">
      <c r="A955"/>
      <c r="B955"/>
      <c r="C955"/>
      <c r="D955"/>
      <c r="E955"/>
      <c r="F955"/>
      <c r="G955"/>
      <c r="H955"/>
      <c r="W955"/>
    </row>
    <row r="956" spans="1:23" x14ac:dyDescent="0.25">
      <c r="A956"/>
      <c r="B956"/>
      <c r="C956"/>
      <c r="D956"/>
      <c r="E956"/>
      <c r="F956"/>
      <c r="G956"/>
      <c r="H956"/>
      <c r="W956"/>
    </row>
    <row r="957" spans="1:23" x14ac:dyDescent="0.25">
      <c r="A957"/>
      <c r="B957"/>
      <c r="C957"/>
      <c r="D957"/>
      <c r="E957"/>
      <c r="F957"/>
      <c r="G957"/>
      <c r="H957"/>
      <c r="W957"/>
    </row>
    <row r="958" spans="1:23" x14ac:dyDescent="0.25">
      <c r="A958"/>
      <c r="B958"/>
      <c r="C958"/>
      <c r="D958"/>
      <c r="E958"/>
      <c r="F958"/>
      <c r="G958"/>
      <c r="H958"/>
      <c r="W958"/>
    </row>
    <row r="959" spans="1:23" x14ac:dyDescent="0.25">
      <c r="A959"/>
      <c r="B959"/>
      <c r="C959"/>
      <c r="D959"/>
      <c r="E959"/>
      <c r="F959"/>
      <c r="G959"/>
      <c r="H959"/>
      <c r="W959"/>
    </row>
    <row r="960" spans="1:23" x14ac:dyDescent="0.25">
      <c r="A960"/>
      <c r="B960"/>
      <c r="C960"/>
      <c r="D960"/>
      <c r="E960"/>
      <c r="F960"/>
      <c r="G960"/>
      <c r="H960"/>
      <c r="W960"/>
    </row>
    <row r="961" spans="1:23" x14ac:dyDescent="0.25">
      <c r="A961"/>
      <c r="B961"/>
      <c r="C961"/>
      <c r="D961"/>
      <c r="E961"/>
      <c r="F961"/>
      <c r="G961"/>
      <c r="H961"/>
      <c r="W961"/>
    </row>
    <row r="962" spans="1:23" x14ac:dyDescent="0.25">
      <c r="A962"/>
      <c r="B962"/>
      <c r="C962"/>
      <c r="D962"/>
      <c r="E962"/>
      <c r="F962"/>
      <c r="G962"/>
      <c r="H962"/>
      <c r="W962"/>
    </row>
    <row r="963" spans="1:23" x14ac:dyDescent="0.25">
      <c r="A963"/>
      <c r="B963"/>
      <c r="C963"/>
      <c r="D963"/>
      <c r="E963"/>
      <c r="F963"/>
      <c r="G963"/>
      <c r="H963"/>
      <c r="W963"/>
    </row>
    <row r="964" spans="1:23" x14ac:dyDescent="0.25">
      <c r="A964"/>
      <c r="B964"/>
      <c r="C964"/>
      <c r="D964"/>
      <c r="E964"/>
      <c r="F964"/>
      <c r="G964"/>
      <c r="H964"/>
      <c r="W964"/>
    </row>
    <row r="965" spans="1:23" x14ac:dyDescent="0.25">
      <c r="A965"/>
      <c r="B965"/>
      <c r="C965"/>
      <c r="D965"/>
      <c r="E965"/>
      <c r="F965"/>
      <c r="G965"/>
      <c r="H965"/>
      <c r="W965"/>
    </row>
    <row r="966" spans="1:23" x14ac:dyDescent="0.25">
      <c r="A966"/>
      <c r="B966"/>
      <c r="C966"/>
      <c r="D966"/>
      <c r="E966"/>
      <c r="F966"/>
      <c r="G966"/>
      <c r="H966"/>
      <c r="W966"/>
    </row>
    <row r="967" spans="1:23" x14ac:dyDescent="0.25">
      <c r="A967"/>
      <c r="B967"/>
      <c r="C967"/>
      <c r="D967"/>
      <c r="E967"/>
      <c r="F967"/>
      <c r="G967"/>
      <c r="H967"/>
      <c r="W967"/>
    </row>
    <row r="968" spans="1:23" x14ac:dyDescent="0.25">
      <c r="A968"/>
      <c r="B968"/>
      <c r="C968"/>
      <c r="D968"/>
      <c r="E968"/>
      <c r="F968"/>
      <c r="G968"/>
      <c r="H968"/>
      <c r="W968"/>
    </row>
    <row r="969" spans="1:23" x14ac:dyDescent="0.25">
      <c r="A969"/>
      <c r="B969"/>
      <c r="C969"/>
      <c r="D969"/>
      <c r="E969"/>
      <c r="F969"/>
      <c r="G969"/>
      <c r="H969"/>
      <c r="W969"/>
    </row>
    <row r="970" spans="1:23" x14ac:dyDescent="0.25">
      <c r="A970"/>
      <c r="B970"/>
      <c r="C970"/>
      <c r="D970"/>
      <c r="E970"/>
      <c r="F970"/>
      <c r="G970"/>
      <c r="H970"/>
      <c r="W970"/>
    </row>
    <row r="971" spans="1:23" x14ac:dyDescent="0.25">
      <c r="A971"/>
      <c r="B971"/>
      <c r="C971"/>
      <c r="D971"/>
      <c r="E971"/>
      <c r="F971"/>
      <c r="G971"/>
      <c r="H971"/>
      <c r="W971"/>
    </row>
    <row r="972" spans="1:23" x14ac:dyDescent="0.25">
      <c r="A972"/>
      <c r="B972"/>
      <c r="C972"/>
      <c r="D972"/>
      <c r="E972"/>
      <c r="F972"/>
      <c r="G972"/>
      <c r="H972"/>
      <c r="W972"/>
    </row>
    <row r="973" spans="1:23" x14ac:dyDescent="0.25">
      <c r="A973"/>
      <c r="B973"/>
      <c r="C973"/>
      <c r="D973"/>
      <c r="E973"/>
      <c r="F973"/>
      <c r="G973"/>
      <c r="H973"/>
      <c r="W973"/>
    </row>
    <row r="974" spans="1:23" x14ac:dyDescent="0.25">
      <c r="A974"/>
      <c r="B974"/>
      <c r="C974"/>
      <c r="D974"/>
      <c r="E974"/>
      <c r="F974"/>
      <c r="G974"/>
      <c r="H974"/>
      <c r="W974"/>
    </row>
    <row r="975" spans="1:23" x14ac:dyDescent="0.25">
      <c r="A975"/>
      <c r="B975"/>
      <c r="C975"/>
      <c r="D975"/>
      <c r="E975"/>
      <c r="F975"/>
      <c r="G975"/>
      <c r="H975"/>
      <c r="W975"/>
    </row>
    <row r="976" spans="1:23" x14ac:dyDescent="0.25">
      <c r="A976"/>
      <c r="B976"/>
      <c r="C976"/>
      <c r="D976"/>
      <c r="E976"/>
      <c r="F976"/>
      <c r="G976"/>
      <c r="H976"/>
      <c r="W976"/>
    </row>
    <row r="977" spans="1:23" x14ac:dyDescent="0.25">
      <c r="A977"/>
      <c r="B977"/>
      <c r="C977"/>
      <c r="D977"/>
      <c r="E977"/>
      <c r="F977"/>
      <c r="G977"/>
      <c r="H977"/>
      <c r="W977"/>
    </row>
    <row r="978" spans="1:23" x14ac:dyDescent="0.25">
      <c r="A978"/>
      <c r="B978"/>
      <c r="C978"/>
      <c r="D978"/>
      <c r="E978"/>
      <c r="F978"/>
      <c r="G978"/>
      <c r="H978"/>
      <c r="W978"/>
    </row>
    <row r="979" spans="1:23" x14ac:dyDescent="0.25">
      <c r="A979"/>
      <c r="B979"/>
      <c r="C979"/>
      <c r="D979"/>
      <c r="E979"/>
      <c r="F979"/>
      <c r="G979"/>
      <c r="H979"/>
      <c r="W979"/>
    </row>
    <row r="980" spans="1:23" x14ac:dyDescent="0.25">
      <c r="A980"/>
      <c r="B980"/>
      <c r="C980"/>
      <c r="D980"/>
      <c r="E980"/>
      <c r="F980"/>
      <c r="G980"/>
      <c r="H980"/>
      <c r="W980"/>
    </row>
    <row r="981" spans="1:23" x14ac:dyDescent="0.25">
      <c r="A981"/>
      <c r="B981"/>
      <c r="C981"/>
      <c r="D981"/>
      <c r="E981"/>
      <c r="F981"/>
      <c r="G981"/>
      <c r="H981"/>
      <c r="W981"/>
    </row>
    <row r="982" spans="1:23" x14ac:dyDescent="0.25">
      <c r="A982"/>
      <c r="B982"/>
      <c r="C982"/>
      <c r="D982"/>
      <c r="E982"/>
      <c r="F982"/>
      <c r="G982"/>
      <c r="H982"/>
      <c r="W982"/>
    </row>
    <row r="983" spans="1:23" x14ac:dyDescent="0.25">
      <c r="A983"/>
      <c r="B983"/>
      <c r="C983"/>
      <c r="D983"/>
      <c r="E983"/>
      <c r="F983"/>
      <c r="G983"/>
      <c r="H983"/>
      <c r="W983"/>
    </row>
    <row r="984" spans="1:23" x14ac:dyDescent="0.25">
      <c r="A984"/>
      <c r="B984"/>
      <c r="C984"/>
      <c r="D984"/>
      <c r="E984"/>
      <c r="F984"/>
      <c r="G984"/>
      <c r="H984"/>
      <c r="W984"/>
    </row>
    <row r="985" spans="1:23" x14ac:dyDescent="0.25">
      <c r="A985"/>
      <c r="B985"/>
      <c r="C985"/>
      <c r="D985"/>
      <c r="E985"/>
      <c r="F985"/>
      <c r="G985"/>
      <c r="H985"/>
      <c r="W985"/>
    </row>
    <row r="986" spans="1:23" x14ac:dyDescent="0.25">
      <c r="A986"/>
      <c r="B986"/>
      <c r="C986"/>
      <c r="D986"/>
      <c r="E986"/>
      <c r="F986"/>
      <c r="G986"/>
      <c r="H986"/>
      <c r="W986"/>
    </row>
    <row r="987" spans="1:23" x14ac:dyDescent="0.25">
      <c r="A987"/>
      <c r="B987"/>
      <c r="C987"/>
      <c r="D987"/>
      <c r="E987"/>
      <c r="F987"/>
      <c r="G987"/>
      <c r="H987"/>
      <c r="W987"/>
    </row>
    <row r="988" spans="1:23" x14ac:dyDescent="0.25">
      <c r="A988"/>
      <c r="B988"/>
      <c r="C988"/>
      <c r="D988"/>
      <c r="E988"/>
      <c r="F988"/>
      <c r="G988"/>
      <c r="H988"/>
      <c r="W988"/>
    </row>
    <row r="989" spans="1:23" x14ac:dyDescent="0.25">
      <c r="A989"/>
      <c r="B989"/>
      <c r="C989"/>
      <c r="D989"/>
      <c r="E989"/>
      <c r="F989"/>
      <c r="G989"/>
      <c r="H989"/>
      <c r="W989"/>
    </row>
    <row r="990" spans="1:23" x14ac:dyDescent="0.25">
      <c r="A990"/>
      <c r="B990"/>
      <c r="C990"/>
      <c r="D990"/>
      <c r="E990"/>
      <c r="F990"/>
      <c r="G990"/>
      <c r="H990"/>
      <c r="W990"/>
    </row>
    <row r="991" spans="1:23" x14ac:dyDescent="0.25">
      <c r="A991"/>
      <c r="B991"/>
      <c r="C991"/>
      <c r="D991"/>
      <c r="E991"/>
      <c r="F991"/>
      <c r="G991"/>
      <c r="H991"/>
      <c r="W991"/>
    </row>
    <row r="992" spans="1:23" x14ac:dyDescent="0.25">
      <c r="A992"/>
      <c r="B992"/>
      <c r="C992"/>
      <c r="D992"/>
      <c r="E992"/>
      <c r="F992"/>
      <c r="G992"/>
      <c r="H992"/>
      <c r="W992"/>
    </row>
    <row r="993" spans="1:23" x14ac:dyDescent="0.25">
      <c r="A993"/>
      <c r="B993"/>
      <c r="C993"/>
      <c r="D993"/>
      <c r="E993"/>
      <c r="F993"/>
      <c r="G993"/>
      <c r="H993"/>
      <c r="W993"/>
    </row>
    <row r="994" spans="1:23" x14ac:dyDescent="0.25">
      <c r="A994"/>
      <c r="B994"/>
      <c r="C994"/>
      <c r="D994"/>
      <c r="E994"/>
      <c r="F994"/>
      <c r="G994"/>
      <c r="H994"/>
      <c r="W994"/>
    </row>
    <row r="995" spans="1:23" x14ac:dyDescent="0.25">
      <c r="A995"/>
      <c r="B995"/>
      <c r="C995"/>
      <c r="D995"/>
      <c r="E995"/>
      <c r="F995"/>
      <c r="G995"/>
      <c r="H995"/>
      <c r="W995"/>
    </row>
    <row r="996" spans="1:23" x14ac:dyDescent="0.25">
      <c r="A996"/>
      <c r="B996"/>
      <c r="C996"/>
      <c r="D996"/>
      <c r="E996"/>
      <c r="F996"/>
      <c r="G996"/>
      <c r="H996"/>
      <c r="W996"/>
    </row>
    <row r="997" spans="1:23" x14ac:dyDescent="0.25">
      <c r="A997"/>
      <c r="B997"/>
      <c r="C997"/>
      <c r="D997"/>
      <c r="E997"/>
      <c r="F997"/>
      <c r="G997"/>
      <c r="H997"/>
      <c r="W997"/>
    </row>
    <row r="998" spans="1:23" x14ac:dyDescent="0.25">
      <c r="A998"/>
      <c r="B998"/>
      <c r="C998"/>
      <c r="D998"/>
      <c r="E998"/>
      <c r="F998"/>
      <c r="G998"/>
      <c r="H998"/>
      <c r="W998"/>
    </row>
    <row r="999" spans="1:23" x14ac:dyDescent="0.25">
      <c r="A999"/>
      <c r="B999"/>
      <c r="C999"/>
      <c r="D999"/>
      <c r="E999"/>
      <c r="F999"/>
      <c r="G999"/>
      <c r="H999"/>
      <c r="W999"/>
    </row>
    <row r="1000" spans="1:23" x14ac:dyDescent="0.25">
      <c r="A1000"/>
      <c r="B1000"/>
      <c r="C1000"/>
      <c r="D1000"/>
      <c r="E1000"/>
      <c r="F1000"/>
      <c r="G1000"/>
      <c r="H1000"/>
      <c r="W1000"/>
    </row>
    <row r="1001" spans="1:23" x14ac:dyDescent="0.25">
      <c r="A1001"/>
      <c r="B1001"/>
      <c r="C1001"/>
      <c r="D1001"/>
      <c r="E1001"/>
      <c r="F1001"/>
      <c r="G1001"/>
      <c r="H1001"/>
      <c r="W1001"/>
    </row>
    <row r="1002" spans="1:23" x14ac:dyDescent="0.25">
      <c r="A1002"/>
      <c r="B1002"/>
      <c r="C1002"/>
      <c r="D1002"/>
      <c r="E1002"/>
      <c r="F1002"/>
      <c r="G1002"/>
      <c r="H1002"/>
      <c r="W1002"/>
    </row>
    <row r="1003" spans="1:23" x14ac:dyDescent="0.25">
      <c r="A1003"/>
      <c r="B1003"/>
      <c r="C1003"/>
      <c r="D1003"/>
      <c r="E1003"/>
      <c r="F1003"/>
      <c r="G1003"/>
      <c r="H1003"/>
      <c r="W1003"/>
    </row>
    <row r="1004" spans="1:23" x14ac:dyDescent="0.25">
      <c r="A1004"/>
      <c r="B1004"/>
      <c r="C1004"/>
      <c r="D1004"/>
      <c r="E1004"/>
      <c r="F1004"/>
      <c r="G1004"/>
      <c r="H1004"/>
      <c r="W1004"/>
    </row>
    <row r="1005" spans="1:23" x14ac:dyDescent="0.25">
      <c r="A1005"/>
      <c r="B1005"/>
      <c r="C1005"/>
      <c r="D1005"/>
      <c r="E1005"/>
      <c r="F1005"/>
      <c r="G1005"/>
      <c r="H1005"/>
      <c r="W1005"/>
    </row>
    <row r="1006" spans="1:23" x14ac:dyDescent="0.25">
      <c r="A1006"/>
      <c r="B1006"/>
      <c r="C1006"/>
      <c r="D1006"/>
      <c r="E1006"/>
      <c r="F1006"/>
      <c r="G1006"/>
      <c r="H1006"/>
      <c r="W1006"/>
    </row>
    <row r="1007" spans="1:23" x14ac:dyDescent="0.25">
      <c r="A1007"/>
      <c r="B1007"/>
      <c r="C1007"/>
      <c r="D1007"/>
      <c r="E1007"/>
      <c r="F1007"/>
      <c r="G1007"/>
      <c r="H1007"/>
      <c r="W1007"/>
    </row>
    <row r="1008" spans="1:23" x14ac:dyDescent="0.25">
      <c r="A1008"/>
      <c r="B1008"/>
      <c r="C1008"/>
      <c r="D1008"/>
      <c r="E1008"/>
      <c r="F1008"/>
      <c r="G1008"/>
      <c r="H1008"/>
      <c r="W1008"/>
    </row>
    <row r="1009" spans="1:23" x14ac:dyDescent="0.25">
      <c r="A1009"/>
      <c r="B1009"/>
      <c r="C1009"/>
      <c r="D1009"/>
      <c r="E1009"/>
      <c r="F1009"/>
      <c r="G1009"/>
      <c r="H1009"/>
      <c r="W1009"/>
    </row>
    <row r="1010" spans="1:23" x14ac:dyDescent="0.25">
      <c r="A1010"/>
      <c r="B1010"/>
      <c r="C1010"/>
      <c r="D1010"/>
      <c r="E1010"/>
      <c r="F1010"/>
      <c r="G1010"/>
      <c r="H1010"/>
      <c r="W1010"/>
    </row>
    <row r="1011" spans="1:23" x14ac:dyDescent="0.25">
      <c r="A1011"/>
      <c r="B1011"/>
      <c r="C1011"/>
      <c r="D1011"/>
      <c r="E1011"/>
      <c r="F1011"/>
      <c r="G1011"/>
      <c r="H1011"/>
      <c r="W1011"/>
    </row>
    <row r="1012" spans="1:23" x14ac:dyDescent="0.25">
      <c r="A1012"/>
      <c r="B1012"/>
      <c r="C1012"/>
      <c r="D1012"/>
      <c r="E1012"/>
      <c r="F1012"/>
      <c r="G1012"/>
      <c r="H1012"/>
      <c r="W1012"/>
    </row>
    <row r="1013" spans="1:23" x14ac:dyDescent="0.25">
      <c r="A1013"/>
      <c r="B1013"/>
      <c r="C1013"/>
      <c r="D1013"/>
      <c r="E1013"/>
      <c r="F1013"/>
      <c r="G1013"/>
      <c r="H1013"/>
      <c r="W1013"/>
    </row>
    <row r="1014" spans="1:23" x14ac:dyDescent="0.25">
      <c r="A1014"/>
      <c r="B1014"/>
      <c r="C1014"/>
      <c r="D1014"/>
      <c r="E1014"/>
      <c r="F1014"/>
      <c r="G1014"/>
      <c r="H1014"/>
      <c r="W1014"/>
    </row>
    <row r="1015" spans="1:23" x14ac:dyDescent="0.25">
      <c r="A1015"/>
      <c r="B1015"/>
      <c r="C1015"/>
      <c r="D1015"/>
      <c r="E1015"/>
      <c r="F1015"/>
      <c r="G1015"/>
      <c r="H1015"/>
      <c r="W1015"/>
    </row>
    <row r="1016" spans="1:23" x14ac:dyDescent="0.25">
      <c r="A1016"/>
      <c r="B1016"/>
      <c r="C1016"/>
      <c r="D1016"/>
      <c r="E1016"/>
      <c r="F1016"/>
      <c r="G1016"/>
      <c r="H1016"/>
      <c r="W1016"/>
    </row>
    <row r="1017" spans="1:23" x14ac:dyDescent="0.25">
      <c r="A1017"/>
      <c r="B1017"/>
      <c r="C1017"/>
      <c r="D1017"/>
      <c r="E1017"/>
      <c r="F1017"/>
      <c r="G1017"/>
      <c r="H1017"/>
      <c r="W1017"/>
    </row>
    <row r="1018" spans="1:23" x14ac:dyDescent="0.25">
      <c r="A1018"/>
      <c r="B1018"/>
      <c r="C1018"/>
      <c r="D1018"/>
      <c r="E1018"/>
      <c r="F1018"/>
      <c r="G1018"/>
      <c r="H1018"/>
      <c r="W1018"/>
    </row>
    <row r="1019" spans="1:23" x14ac:dyDescent="0.25">
      <c r="A1019"/>
      <c r="B1019"/>
      <c r="C1019"/>
      <c r="D1019"/>
      <c r="E1019"/>
      <c r="F1019"/>
      <c r="G1019"/>
      <c r="H1019"/>
      <c r="W1019"/>
    </row>
    <row r="1020" spans="1:23" x14ac:dyDescent="0.25">
      <c r="A1020"/>
      <c r="B1020"/>
      <c r="C1020"/>
      <c r="D1020"/>
      <c r="E1020"/>
      <c r="F1020"/>
      <c r="G1020"/>
      <c r="H1020"/>
      <c r="W1020"/>
    </row>
    <row r="1021" spans="1:23" x14ac:dyDescent="0.25">
      <c r="A1021"/>
      <c r="B1021"/>
      <c r="C1021"/>
      <c r="D1021"/>
      <c r="E1021"/>
      <c r="F1021"/>
      <c r="G1021"/>
      <c r="H1021"/>
      <c r="W1021"/>
    </row>
    <row r="1022" spans="1:23" x14ac:dyDescent="0.25">
      <c r="A1022"/>
      <c r="B1022"/>
      <c r="C1022"/>
      <c r="D1022"/>
      <c r="E1022"/>
      <c r="F1022"/>
      <c r="G1022"/>
      <c r="H1022"/>
      <c r="W1022"/>
    </row>
    <row r="1023" spans="1:23" x14ac:dyDescent="0.25">
      <c r="A1023"/>
      <c r="B1023"/>
      <c r="C1023"/>
      <c r="D1023"/>
      <c r="E1023"/>
      <c r="F1023"/>
      <c r="G1023"/>
      <c r="H1023"/>
      <c r="W1023"/>
    </row>
    <row r="1024" spans="1:23" x14ac:dyDescent="0.25">
      <c r="A1024"/>
      <c r="B1024"/>
      <c r="C1024"/>
      <c r="D1024"/>
      <c r="E1024"/>
      <c r="F1024"/>
      <c r="G1024"/>
      <c r="H1024"/>
      <c r="W1024"/>
    </row>
    <row r="1025" spans="1:23" x14ac:dyDescent="0.25">
      <c r="A1025"/>
      <c r="B1025"/>
      <c r="C1025"/>
      <c r="D1025"/>
      <c r="E1025"/>
      <c r="F1025"/>
      <c r="G1025"/>
      <c r="H1025"/>
      <c r="W1025"/>
    </row>
    <row r="1026" spans="1:23" x14ac:dyDescent="0.25">
      <c r="A1026"/>
      <c r="B1026"/>
      <c r="C1026"/>
      <c r="D1026"/>
      <c r="E1026"/>
      <c r="F1026"/>
      <c r="G1026"/>
      <c r="H1026"/>
      <c r="W1026"/>
    </row>
    <row r="1027" spans="1:23" x14ac:dyDescent="0.25">
      <c r="A1027"/>
      <c r="B1027"/>
      <c r="C1027"/>
      <c r="D1027"/>
      <c r="E1027"/>
      <c r="F1027"/>
      <c r="G1027"/>
      <c r="H1027"/>
      <c r="W1027"/>
    </row>
    <row r="1028" spans="1:23" x14ac:dyDescent="0.25">
      <c r="A1028"/>
      <c r="B1028"/>
      <c r="C1028"/>
      <c r="D1028"/>
      <c r="E1028"/>
      <c r="F1028"/>
      <c r="G1028"/>
      <c r="H1028"/>
      <c r="W1028"/>
    </row>
    <row r="1029" spans="1:23" x14ac:dyDescent="0.25">
      <c r="A1029"/>
      <c r="B1029"/>
      <c r="C1029"/>
      <c r="D1029"/>
      <c r="E1029"/>
      <c r="F1029"/>
      <c r="G1029"/>
      <c r="H1029"/>
      <c r="W1029"/>
    </row>
    <row r="1030" spans="1:23" x14ac:dyDescent="0.25">
      <c r="A1030"/>
      <c r="B1030"/>
      <c r="C1030"/>
      <c r="D1030"/>
      <c r="E1030"/>
      <c r="F1030"/>
      <c r="G1030"/>
      <c r="H1030"/>
      <c r="W1030"/>
    </row>
    <row r="1031" spans="1:23" x14ac:dyDescent="0.25">
      <c r="A1031"/>
      <c r="B1031"/>
      <c r="C1031"/>
      <c r="D1031"/>
      <c r="E1031"/>
      <c r="F1031"/>
      <c r="G1031"/>
      <c r="H1031"/>
      <c r="W1031"/>
    </row>
    <row r="1032" spans="1:23" x14ac:dyDescent="0.25">
      <c r="A1032"/>
      <c r="B1032"/>
      <c r="C1032"/>
      <c r="D1032"/>
      <c r="E1032"/>
      <c r="F1032"/>
      <c r="G1032"/>
      <c r="H1032"/>
      <c r="W1032"/>
    </row>
    <row r="1033" spans="1:23" x14ac:dyDescent="0.25">
      <c r="A1033"/>
      <c r="B1033"/>
      <c r="C1033"/>
      <c r="D1033"/>
      <c r="E1033"/>
      <c r="F1033"/>
      <c r="G1033"/>
      <c r="H1033"/>
      <c r="W1033"/>
    </row>
    <row r="1034" spans="1:23" x14ac:dyDescent="0.25">
      <c r="A1034"/>
      <c r="B1034"/>
      <c r="C1034"/>
      <c r="D1034"/>
      <c r="E1034"/>
      <c r="F1034"/>
      <c r="G1034"/>
      <c r="H1034"/>
      <c r="W1034"/>
    </row>
    <row r="1035" spans="1:23" x14ac:dyDescent="0.25">
      <c r="A1035"/>
      <c r="B1035"/>
      <c r="C1035"/>
      <c r="D1035"/>
      <c r="E1035"/>
      <c r="F1035"/>
      <c r="G1035"/>
      <c r="H1035"/>
      <c r="W1035"/>
    </row>
    <row r="1036" spans="1:23" x14ac:dyDescent="0.25">
      <c r="A1036"/>
      <c r="B1036"/>
      <c r="C1036"/>
      <c r="D1036"/>
      <c r="E1036"/>
      <c r="F1036"/>
      <c r="G1036"/>
      <c r="H1036"/>
      <c r="W1036"/>
    </row>
    <row r="1037" spans="1:23" x14ac:dyDescent="0.25">
      <c r="A1037"/>
      <c r="B1037"/>
      <c r="C1037"/>
      <c r="D1037"/>
      <c r="E1037"/>
      <c r="F1037"/>
      <c r="G1037"/>
      <c r="H1037"/>
      <c r="W1037"/>
    </row>
    <row r="1038" spans="1:23" x14ac:dyDescent="0.25">
      <c r="A1038"/>
      <c r="B1038"/>
      <c r="C1038"/>
      <c r="D1038"/>
      <c r="E1038"/>
      <c r="F1038"/>
      <c r="G1038"/>
      <c r="H1038"/>
      <c r="W1038"/>
    </row>
    <row r="1039" spans="1:23" x14ac:dyDescent="0.25">
      <c r="A1039"/>
      <c r="B1039"/>
      <c r="C1039"/>
      <c r="D1039"/>
      <c r="E1039"/>
      <c r="F1039"/>
      <c r="G1039"/>
      <c r="H1039"/>
      <c r="W1039"/>
    </row>
    <row r="1040" spans="1:23" x14ac:dyDescent="0.25">
      <c r="A1040"/>
      <c r="B1040"/>
      <c r="C1040"/>
      <c r="D1040"/>
      <c r="E1040"/>
      <c r="F1040"/>
      <c r="G1040"/>
      <c r="H1040"/>
      <c r="W1040"/>
    </row>
    <row r="1041" spans="1:23" x14ac:dyDescent="0.25">
      <c r="A1041"/>
      <c r="B1041"/>
      <c r="C1041"/>
      <c r="D1041"/>
      <c r="E1041"/>
      <c r="F1041"/>
      <c r="G1041"/>
      <c r="H1041"/>
      <c r="W1041"/>
    </row>
    <row r="1042" spans="1:23" x14ac:dyDescent="0.25">
      <c r="A1042"/>
      <c r="B1042"/>
      <c r="C1042"/>
      <c r="D1042"/>
      <c r="E1042"/>
      <c r="F1042"/>
      <c r="G1042"/>
      <c r="H1042"/>
      <c r="W1042"/>
    </row>
    <row r="1043" spans="1:23" x14ac:dyDescent="0.25">
      <c r="A1043"/>
      <c r="B1043"/>
      <c r="C1043"/>
      <c r="D1043"/>
      <c r="E1043"/>
      <c r="F1043"/>
      <c r="G1043"/>
      <c r="H1043"/>
      <c r="W1043"/>
    </row>
    <row r="1044" spans="1:23" x14ac:dyDescent="0.25">
      <c r="A1044"/>
      <c r="B1044"/>
      <c r="C1044"/>
      <c r="D1044"/>
      <c r="E1044"/>
      <c r="F1044"/>
      <c r="G1044"/>
      <c r="H1044"/>
      <c r="W1044"/>
    </row>
    <row r="1045" spans="1:23" x14ac:dyDescent="0.25">
      <c r="A1045"/>
      <c r="B1045"/>
      <c r="C1045"/>
      <c r="D1045"/>
      <c r="E1045"/>
      <c r="F1045"/>
      <c r="G1045"/>
      <c r="H1045"/>
      <c r="W1045"/>
    </row>
    <row r="1046" spans="1:23" x14ac:dyDescent="0.25">
      <c r="A1046"/>
      <c r="B1046"/>
      <c r="C1046"/>
      <c r="D1046"/>
      <c r="E1046"/>
      <c r="F1046"/>
      <c r="G1046"/>
      <c r="H1046"/>
      <c r="W1046"/>
    </row>
    <row r="1047" spans="1:23" x14ac:dyDescent="0.25">
      <c r="A1047"/>
      <c r="B1047"/>
      <c r="C1047"/>
      <c r="D1047"/>
      <c r="E1047"/>
      <c r="F1047"/>
      <c r="G1047"/>
      <c r="H1047"/>
      <c r="W1047"/>
    </row>
    <row r="1048" spans="1:23" x14ac:dyDescent="0.25">
      <c r="A1048"/>
      <c r="B1048"/>
      <c r="C1048"/>
      <c r="D1048"/>
      <c r="E1048"/>
      <c r="F1048"/>
      <c r="G1048"/>
      <c r="H1048"/>
      <c r="W1048"/>
    </row>
    <row r="1049" spans="1:23" x14ac:dyDescent="0.25">
      <c r="A1049"/>
      <c r="B1049"/>
      <c r="C1049"/>
      <c r="D1049"/>
      <c r="E1049"/>
      <c r="F1049"/>
      <c r="G1049"/>
      <c r="H1049"/>
      <c r="W1049"/>
    </row>
    <row r="1050" spans="1:23" x14ac:dyDescent="0.25">
      <c r="A1050"/>
      <c r="B1050"/>
      <c r="C1050"/>
      <c r="D1050"/>
      <c r="E1050"/>
      <c r="F1050"/>
      <c r="G1050"/>
      <c r="H1050"/>
      <c r="W1050"/>
    </row>
    <row r="1051" spans="1:23" x14ac:dyDescent="0.25">
      <c r="A1051"/>
      <c r="B1051"/>
      <c r="C1051"/>
      <c r="D1051"/>
      <c r="E1051"/>
      <c r="F1051"/>
      <c r="G1051"/>
      <c r="H1051"/>
      <c r="W1051"/>
    </row>
    <row r="1052" spans="1:23" x14ac:dyDescent="0.25">
      <c r="A1052"/>
      <c r="B1052"/>
      <c r="C1052"/>
      <c r="D1052"/>
      <c r="E1052"/>
      <c r="F1052"/>
      <c r="G1052"/>
      <c r="H1052"/>
      <c r="W1052"/>
    </row>
    <row r="1053" spans="1:23" x14ac:dyDescent="0.25">
      <c r="A1053"/>
      <c r="B1053"/>
      <c r="C1053"/>
      <c r="D1053"/>
      <c r="E1053"/>
      <c r="F1053"/>
      <c r="G1053"/>
      <c r="H1053"/>
      <c r="W1053"/>
    </row>
    <row r="1054" spans="1:23" x14ac:dyDescent="0.25">
      <c r="A1054"/>
      <c r="B1054"/>
      <c r="C1054"/>
      <c r="D1054"/>
      <c r="E1054"/>
      <c r="F1054"/>
      <c r="G1054"/>
      <c r="H1054"/>
      <c r="W1054"/>
    </row>
    <row r="1055" spans="1:23" x14ac:dyDescent="0.25">
      <c r="A1055"/>
      <c r="B1055"/>
      <c r="C1055"/>
      <c r="D1055"/>
      <c r="E1055"/>
      <c r="F1055"/>
      <c r="G1055"/>
      <c r="H1055"/>
      <c r="W1055"/>
    </row>
    <row r="1056" spans="1:23" x14ac:dyDescent="0.25">
      <c r="A1056"/>
      <c r="B1056"/>
      <c r="C1056"/>
      <c r="D1056"/>
      <c r="E1056"/>
      <c r="F1056"/>
      <c r="G1056"/>
      <c r="H1056"/>
      <c r="W1056"/>
    </row>
    <row r="1057" spans="1:23" x14ac:dyDescent="0.25">
      <c r="A1057"/>
      <c r="B1057"/>
      <c r="C1057"/>
      <c r="D1057"/>
      <c r="E1057"/>
      <c r="F1057"/>
      <c r="G1057"/>
      <c r="H1057"/>
      <c r="W1057"/>
    </row>
    <row r="1058" spans="1:23" x14ac:dyDescent="0.25">
      <c r="A1058"/>
      <c r="B1058"/>
      <c r="C1058"/>
      <c r="D1058"/>
      <c r="E1058"/>
      <c r="F1058"/>
      <c r="G1058"/>
      <c r="H1058"/>
      <c r="W1058"/>
    </row>
    <row r="1059" spans="1:23" x14ac:dyDescent="0.25">
      <c r="A1059"/>
      <c r="B1059"/>
      <c r="C1059"/>
      <c r="D1059"/>
      <c r="E1059"/>
      <c r="F1059"/>
      <c r="G1059"/>
      <c r="H1059"/>
      <c r="W1059"/>
    </row>
    <row r="1060" spans="1:23" x14ac:dyDescent="0.25">
      <c r="A1060"/>
      <c r="B1060"/>
      <c r="C1060"/>
      <c r="D1060"/>
      <c r="E1060"/>
      <c r="F1060"/>
      <c r="G1060"/>
      <c r="H1060"/>
      <c r="W1060"/>
    </row>
    <row r="1061" spans="1:23" x14ac:dyDescent="0.25">
      <c r="A1061"/>
      <c r="B1061"/>
      <c r="C1061"/>
      <c r="D1061"/>
      <c r="E1061"/>
      <c r="F1061"/>
      <c r="G1061"/>
      <c r="H1061"/>
      <c r="W1061"/>
    </row>
    <row r="1062" spans="1:23" x14ac:dyDescent="0.25">
      <c r="A1062"/>
      <c r="B1062"/>
      <c r="C1062"/>
      <c r="D1062"/>
      <c r="E1062"/>
      <c r="F1062"/>
      <c r="G1062"/>
      <c r="H1062"/>
      <c r="W1062"/>
    </row>
    <row r="1063" spans="1:23" x14ac:dyDescent="0.25">
      <c r="A1063"/>
      <c r="B1063"/>
      <c r="C1063"/>
      <c r="D1063"/>
      <c r="E1063"/>
      <c r="F1063"/>
      <c r="G1063"/>
      <c r="H1063"/>
      <c r="W1063"/>
    </row>
    <row r="1064" spans="1:23" x14ac:dyDescent="0.25">
      <c r="A1064"/>
      <c r="B1064"/>
      <c r="C1064"/>
      <c r="D1064"/>
      <c r="E1064"/>
      <c r="F1064"/>
      <c r="G1064"/>
      <c r="H1064"/>
      <c r="W1064"/>
    </row>
    <row r="1065" spans="1:23" x14ac:dyDescent="0.25">
      <c r="A1065"/>
      <c r="B1065"/>
      <c r="C1065"/>
      <c r="D1065"/>
      <c r="E1065"/>
      <c r="F1065"/>
      <c r="G1065"/>
      <c r="H1065"/>
      <c r="W1065"/>
    </row>
    <row r="1066" spans="1:23" x14ac:dyDescent="0.25">
      <c r="A1066"/>
      <c r="B1066"/>
      <c r="C1066"/>
      <c r="D1066"/>
      <c r="E1066"/>
      <c r="F1066"/>
      <c r="G1066"/>
      <c r="H1066"/>
      <c r="W1066"/>
    </row>
    <row r="1067" spans="1:23" x14ac:dyDescent="0.25">
      <c r="A1067"/>
      <c r="B1067"/>
      <c r="C1067"/>
      <c r="D1067"/>
      <c r="E1067"/>
      <c r="F1067"/>
      <c r="G1067"/>
      <c r="H1067"/>
      <c r="W1067"/>
    </row>
    <row r="1068" spans="1:23" x14ac:dyDescent="0.25">
      <c r="A1068"/>
      <c r="B1068"/>
      <c r="C1068"/>
      <c r="D1068"/>
      <c r="E1068"/>
      <c r="F1068"/>
      <c r="G1068"/>
      <c r="H1068"/>
      <c r="W1068"/>
    </row>
    <row r="1069" spans="1:23" x14ac:dyDescent="0.25">
      <c r="A1069"/>
      <c r="B1069"/>
      <c r="C1069"/>
      <c r="D1069"/>
      <c r="E1069"/>
      <c r="F1069"/>
      <c r="G1069"/>
      <c r="H1069"/>
      <c r="W1069"/>
    </row>
    <row r="1070" spans="1:23" x14ac:dyDescent="0.25">
      <c r="A1070"/>
      <c r="B1070"/>
      <c r="C1070"/>
      <c r="D1070"/>
      <c r="E1070"/>
      <c r="F1070"/>
      <c r="G1070"/>
      <c r="H1070"/>
      <c r="W1070"/>
    </row>
    <row r="1071" spans="1:23" x14ac:dyDescent="0.25">
      <c r="A1071"/>
      <c r="B1071"/>
      <c r="C1071"/>
      <c r="D1071"/>
      <c r="E1071"/>
      <c r="F1071"/>
      <c r="G1071"/>
      <c r="H1071"/>
      <c r="W1071"/>
    </row>
    <row r="1072" spans="1:23" x14ac:dyDescent="0.25">
      <c r="A1072"/>
      <c r="B1072"/>
      <c r="C1072"/>
      <c r="D1072"/>
      <c r="E1072"/>
      <c r="F1072"/>
      <c r="G1072"/>
      <c r="H1072"/>
      <c r="W1072"/>
    </row>
    <row r="1073" spans="1:23" x14ac:dyDescent="0.25">
      <c r="A1073"/>
      <c r="B1073"/>
      <c r="C1073"/>
      <c r="D1073"/>
      <c r="E1073"/>
      <c r="F1073"/>
      <c r="G1073"/>
      <c r="H1073"/>
      <c r="W1073"/>
    </row>
    <row r="1074" spans="1:23" x14ac:dyDescent="0.25">
      <c r="A1074"/>
      <c r="B1074"/>
      <c r="C1074"/>
      <c r="D1074"/>
      <c r="E1074"/>
      <c r="F1074"/>
      <c r="G1074"/>
      <c r="H1074"/>
      <c r="W1074"/>
    </row>
    <row r="1075" spans="1:23" x14ac:dyDescent="0.25">
      <c r="A1075"/>
      <c r="B1075"/>
      <c r="C1075"/>
      <c r="D1075"/>
      <c r="E1075"/>
      <c r="F1075"/>
      <c r="G1075"/>
      <c r="H1075"/>
      <c r="W1075"/>
    </row>
    <row r="1076" spans="1:23" x14ac:dyDescent="0.25">
      <c r="A1076"/>
      <c r="B1076"/>
      <c r="C1076"/>
      <c r="D1076"/>
      <c r="E1076"/>
      <c r="F1076"/>
      <c r="G1076"/>
      <c r="H1076"/>
      <c r="W1076"/>
    </row>
    <row r="1077" spans="1:23" x14ac:dyDescent="0.25">
      <c r="A1077"/>
      <c r="B1077"/>
      <c r="C1077"/>
      <c r="D1077"/>
      <c r="E1077"/>
      <c r="F1077"/>
      <c r="G1077"/>
      <c r="H1077"/>
      <c r="W1077"/>
    </row>
    <row r="1078" spans="1:23" x14ac:dyDescent="0.25">
      <c r="A1078"/>
      <c r="B1078"/>
      <c r="C1078"/>
      <c r="D1078"/>
      <c r="E1078"/>
      <c r="F1078"/>
      <c r="G1078"/>
      <c r="H1078"/>
      <c r="W1078"/>
    </row>
    <row r="1079" spans="1:23" x14ac:dyDescent="0.25">
      <c r="A1079"/>
      <c r="B1079"/>
      <c r="C1079"/>
      <c r="D1079"/>
      <c r="E1079"/>
      <c r="F1079"/>
      <c r="G1079"/>
      <c r="H1079"/>
      <c r="W1079"/>
    </row>
    <row r="1080" spans="1:23" x14ac:dyDescent="0.25">
      <c r="A1080"/>
      <c r="B1080"/>
      <c r="C1080"/>
      <c r="D1080"/>
      <c r="E1080"/>
      <c r="F1080"/>
      <c r="G1080"/>
      <c r="H1080"/>
      <c r="W1080"/>
    </row>
    <row r="1081" spans="1:23" x14ac:dyDescent="0.25">
      <c r="A1081"/>
      <c r="B1081"/>
      <c r="C1081"/>
      <c r="D1081"/>
      <c r="E1081"/>
      <c r="F1081"/>
      <c r="G1081"/>
      <c r="H1081"/>
      <c r="W1081"/>
    </row>
    <row r="1082" spans="1:23" x14ac:dyDescent="0.25">
      <c r="A1082"/>
      <c r="B1082"/>
      <c r="C1082"/>
      <c r="D1082"/>
      <c r="E1082"/>
      <c r="F1082"/>
      <c r="G1082"/>
      <c r="H1082"/>
      <c r="W1082"/>
    </row>
    <row r="1083" spans="1:23" x14ac:dyDescent="0.25">
      <c r="A1083"/>
      <c r="B1083"/>
      <c r="C1083"/>
      <c r="D1083"/>
      <c r="E1083"/>
      <c r="F1083"/>
      <c r="G1083"/>
      <c r="H1083"/>
      <c r="W1083"/>
    </row>
    <row r="1084" spans="1:23" x14ac:dyDescent="0.25">
      <c r="A1084"/>
      <c r="B1084"/>
      <c r="C1084"/>
      <c r="D1084"/>
      <c r="E1084"/>
      <c r="F1084"/>
      <c r="G1084"/>
      <c r="H1084"/>
      <c r="W1084"/>
    </row>
    <row r="1085" spans="1:23" x14ac:dyDescent="0.25">
      <c r="A1085"/>
      <c r="B1085"/>
      <c r="C1085"/>
      <c r="D1085"/>
      <c r="E1085"/>
      <c r="F1085"/>
      <c r="G1085"/>
      <c r="H1085"/>
      <c r="W1085"/>
    </row>
    <row r="1086" spans="1:23" x14ac:dyDescent="0.25">
      <c r="A1086"/>
      <c r="B1086"/>
      <c r="C1086"/>
      <c r="D1086"/>
      <c r="E1086"/>
      <c r="F1086"/>
      <c r="G1086"/>
      <c r="H1086"/>
      <c r="W1086"/>
    </row>
    <row r="1087" spans="1:23" x14ac:dyDescent="0.25">
      <c r="A1087"/>
      <c r="B1087"/>
      <c r="C1087"/>
      <c r="D1087"/>
      <c r="E1087"/>
      <c r="F1087"/>
      <c r="G1087"/>
      <c r="H1087"/>
      <c r="W1087"/>
    </row>
    <row r="1088" spans="1:23" x14ac:dyDescent="0.25">
      <c r="A1088"/>
      <c r="B1088"/>
      <c r="C1088"/>
      <c r="D1088"/>
      <c r="E1088"/>
      <c r="F1088"/>
      <c r="G1088"/>
      <c r="H1088"/>
      <c r="W1088"/>
    </row>
    <row r="1089" spans="1:23" x14ac:dyDescent="0.25">
      <c r="A1089"/>
      <c r="B1089"/>
      <c r="C1089"/>
      <c r="D1089"/>
      <c r="E1089"/>
      <c r="F1089"/>
      <c r="G1089"/>
      <c r="H1089"/>
      <c r="W1089"/>
    </row>
    <row r="1090" spans="1:23" x14ac:dyDescent="0.25">
      <c r="A1090"/>
      <c r="B1090"/>
      <c r="C1090"/>
      <c r="D1090"/>
      <c r="E1090"/>
      <c r="F1090"/>
      <c r="G1090"/>
      <c r="H1090"/>
      <c r="W1090"/>
    </row>
    <row r="1091" spans="1:23" x14ac:dyDescent="0.25">
      <c r="A1091"/>
      <c r="B1091"/>
      <c r="C1091"/>
      <c r="D1091"/>
      <c r="E1091"/>
      <c r="F1091"/>
      <c r="G1091"/>
      <c r="H1091"/>
      <c r="W1091"/>
    </row>
    <row r="1092" spans="1:23" x14ac:dyDescent="0.25">
      <c r="A1092"/>
      <c r="B1092"/>
      <c r="C1092"/>
      <c r="D1092"/>
      <c r="E1092"/>
      <c r="F1092"/>
      <c r="G1092"/>
      <c r="H1092"/>
      <c r="W1092"/>
    </row>
    <row r="1093" spans="1:23" x14ac:dyDescent="0.25">
      <c r="A1093"/>
      <c r="B1093"/>
      <c r="C1093"/>
      <c r="D1093"/>
      <c r="E1093"/>
      <c r="F1093"/>
      <c r="G1093"/>
      <c r="H1093"/>
      <c r="W1093"/>
    </row>
    <row r="1094" spans="1:23" x14ac:dyDescent="0.25">
      <c r="A1094"/>
      <c r="B1094"/>
      <c r="C1094"/>
      <c r="D1094"/>
      <c r="E1094"/>
      <c r="F1094"/>
      <c r="G1094"/>
      <c r="H1094"/>
      <c r="W1094"/>
    </row>
    <row r="1095" spans="1:23" x14ac:dyDescent="0.25">
      <c r="A1095"/>
      <c r="B1095"/>
      <c r="C1095"/>
      <c r="D1095"/>
      <c r="E1095"/>
      <c r="F1095"/>
      <c r="G1095"/>
      <c r="H1095"/>
      <c r="W1095"/>
    </row>
    <row r="1096" spans="1:23" x14ac:dyDescent="0.25">
      <c r="A1096"/>
      <c r="B1096"/>
      <c r="C1096"/>
      <c r="D1096"/>
      <c r="E1096"/>
      <c r="F1096"/>
      <c r="G1096"/>
      <c r="H1096"/>
      <c r="W1096"/>
    </row>
    <row r="1097" spans="1:23" x14ac:dyDescent="0.25">
      <c r="A1097"/>
      <c r="B1097"/>
      <c r="C1097"/>
      <c r="D1097"/>
      <c r="E1097"/>
      <c r="F1097"/>
      <c r="G1097"/>
      <c r="H1097"/>
      <c r="W1097"/>
    </row>
    <row r="1098" spans="1:23" x14ac:dyDescent="0.25">
      <c r="A1098"/>
      <c r="B1098"/>
      <c r="C1098"/>
      <c r="D1098"/>
      <c r="E1098"/>
      <c r="F1098"/>
      <c r="G1098"/>
      <c r="H1098"/>
      <c r="W1098"/>
    </row>
    <row r="1099" spans="1:23" x14ac:dyDescent="0.25">
      <c r="A1099"/>
      <c r="B1099"/>
      <c r="C1099"/>
      <c r="D1099"/>
      <c r="E1099"/>
      <c r="F1099"/>
      <c r="G1099"/>
      <c r="H1099"/>
      <c r="W1099"/>
    </row>
    <row r="1100" spans="1:23" x14ac:dyDescent="0.25">
      <c r="A1100"/>
      <c r="B1100"/>
      <c r="C1100"/>
      <c r="D1100"/>
      <c r="E1100"/>
      <c r="F1100"/>
      <c r="G1100"/>
      <c r="H1100"/>
      <c r="W1100"/>
    </row>
    <row r="1101" spans="1:23" x14ac:dyDescent="0.25">
      <c r="A1101"/>
      <c r="B1101"/>
      <c r="C1101"/>
      <c r="D1101"/>
      <c r="E1101"/>
      <c r="F1101"/>
      <c r="G1101"/>
      <c r="H1101"/>
      <c r="W1101"/>
    </row>
    <row r="1102" spans="1:23" x14ac:dyDescent="0.25">
      <c r="A1102"/>
      <c r="B1102"/>
      <c r="C1102"/>
      <c r="D1102"/>
      <c r="E1102"/>
      <c r="F1102"/>
      <c r="G1102"/>
      <c r="H1102"/>
      <c r="W1102"/>
    </row>
    <row r="1103" spans="1:23" x14ac:dyDescent="0.25">
      <c r="A1103"/>
      <c r="B1103"/>
      <c r="C1103"/>
      <c r="D1103"/>
      <c r="E1103"/>
      <c r="F1103"/>
      <c r="G1103"/>
      <c r="H1103"/>
      <c r="W1103"/>
    </row>
    <row r="1104" spans="1:23" x14ac:dyDescent="0.25">
      <c r="A1104"/>
      <c r="B1104"/>
      <c r="C1104"/>
      <c r="D1104"/>
      <c r="E1104"/>
      <c r="F1104"/>
      <c r="G1104"/>
      <c r="H1104"/>
      <c r="W1104"/>
    </row>
    <row r="1105" spans="1:23" x14ac:dyDescent="0.25">
      <c r="A1105"/>
      <c r="B1105"/>
      <c r="C1105"/>
      <c r="D1105"/>
      <c r="E1105"/>
      <c r="F1105"/>
      <c r="G1105"/>
      <c r="H1105"/>
      <c r="W1105"/>
    </row>
    <row r="1106" spans="1:23" x14ac:dyDescent="0.25">
      <c r="A1106"/>
      <c r="B1106"/>
      <c r="C1106"/>
      <c r="D1106"/>
      <c r="E1106"/>
      <c r="F1106"/>
      <c r="G1106"/>
      <c r="H1106"/>
      <c r="W1106"/>
    </row>
    <row r="1107" spans="1:23" x14ac:dyDescent="0.25">
      <c r="A1107"/>
      <c r="B1107"/>
      <c r="C1107"/>
      <c r="D1107"/>
      <c r="E1107"/>
      <c r="F1107"/>
      <c r="G1107"/>
      <c r="H1107"/>
      <c r="W1107"/>
    </row>
    <row r="1108" spans="1:23" x14ac:dyDescent="0.25">
      <c r="A1108"/>
      <c r="B1108"/>
      <c r="C1108"/>
      <c r="D1108"/>
      <c r="E1108"/>
      <c r="F1108"/>
      <c r="G1108"/>
      <c r="H1108"/>
      <c r="W1108"/>
    </row>
    <row r="1109" spans="1:23" x14ac:dyDescent="0.25">
      <c r="A1109"/>
      <c r="B1109"/>
      <c r="C1109"/>
      <c r="D1109"/>
      <c r="E1109"/>
      <c r="F1109"/>
      <c r="G1109"/>
      <c r="H1109"/>
      <c r="W1109"/>
    </row>
    <row r="1110" spans="1:23" x14ac:dyDescent="0.25">
      <c r="A1110"/>
      <c r="B1110"/>
      <c r="C1110"/>
      <c r="D1110"/>
      <c r="E1110"/>
      <c r="F1110"/>
      <c r="G1110"/>
      <c r="H1110"/>
      <c r="W1110"/>
    </row>
    <row r="1111" spans="1:23" x14ac:dyDescent="0.25">
      <c r="A1111"/>
      <c r="B1111"/>
      <c r="C1111"/>
      <c r="D1111"/>
      <c r="E1111"/>
      <c r="F1111"/>
      <c r="G1111"/>
      <c r="H1111"/>
      <c r="W1111"/>
    </row>
    <row r="1112" spans="1:23" x14ac:dyDescent="0.25">
      <c r="A1112"/>
      <c r="B1112"/>
      <c r="C1112"/>
      <c r="D1112"/>
      <c r="E1112"/>
      <c r="F1112"/>
      <c r="G1112"/>
      <c r="H1112"/>
      <c r="W1112"/>
    </row>
    <row r="1113" spans="1:23" x14ac:dyDescent="0.25">
      <c r="A1113"/>
      <c r="B1113"/>
      <c r="C1113"/>
      <c r="D1113"/>
      <c r="E1113"/>
      <c r="F1113"/>
      <c r="G1113"/>
      <c r="H1113"/>
      <c r="W1113"/>
    </row>
    <row r="1114" spans="1:23" x14ac:dyDescent="0.25">
      <c r="A1114"/>
      <c r="B1114"/>
      <c r="C1114"/>
      <c r="D1114"/>
      <c r="E1114"/>
      <c r="F1114"/>
      <c r="G1114"/>
      <c r="H1114"/>
      <c r="W1114"/>
    </row>
    <row r="1115" spans="1:23" x14ac:dyDescent="0.25">
      <c r="A1115"/>
      <c r="B1115"/>
      <c r="C1115"/>
      <c r="D1115"/>
      <c r="E1115"/>
      <c r="F1115"/>
      <c r="G1115"/>
      <c r="H1115"/>
      <c r="W1115"/>
    </row>
    <row r="1116" spans="1:23" x14ac:dyDescent="0.25">
      <c r="A1116"/>
      <c r="B1116"/>
      <c r="C1116"/>
      <c r="D1116"/>
      <c r="E1116"/>
      <c r="F1116"/>
      <c r="G1116"/>
      <c r="H1116"/>
      <c r="W1116"/>
    </row>
    <row r="1117" spans="1:23" x14ac:dyDescent="0.25">
      <c r="A1117"/>
      <c r="B1117"/>
      <c r="C1117"/>
      <c r="D1117"/>
      <c r="E1117"/>
      <c r="F1117"/>
      <c r="G1117"/>
      <c r="H1117"/>
      <c r="W1117"/>
    </row>
    <row r="1118" spans="1:23" x14ac:dyDescent="0.25">
      <c r="A1118"/>
      <c r="B1118"/>
      <c r="C1118"/>
      <c r="D1118"/>
      <c r="E1118"/>
      <c r="F1118"/>
      <c r="G1118"/>
      <c r="H1118"/>
      <c r="W1118"/>
    </row>
    <row r="1119" spans="1:23" x14ac:dyDescent="0.25">
      <c r="A1119"/>
      <c r="B1119"/>
      <c r="C1119"/>
      <c r="D1119"/>
      <c r="E1119"/>
      <c r="F1119"/>
      <c r="G1119"/>
      <c r="H1119"/>
      <c r="W1119"/>
    </row>
    <row r="1120" spans="1:23" x14ac:dyDescent="0.25">
      <c r="A1120"/>
      <c r="B1120"/>
      <c r="C1120"/>
      <c r="D1120"/>
      <c r="E1120"/>
      <c r="F1120"/>
      <c r="G1120"/>
      <c r="H1120"/>
      <c r="W1120"/>
    </row>
    <row r="1121" spans="1:23" x14ac:dyDescent="0.25">
      <c r="A1121"/>
      <c r="B1121"/>
      <c r="C1121"/>
      <c r="D1121"/>
      <c r="E1121"/>
      <c r="F1121"/>
      <c r="G1121"/>
      <c r="H1121"/>
      <c r="W1121"/>
    </row>
    <row r="1122" spans="1:23" x14ac:dyDescent="0.25">
      <c r="A1122"/>
      <c r="B1122"/>
      <c r="C1122"/>
      <c r="D1122"/>
      <c r="E1122"/>
      <c r="F1122"/>
      <c r="G1122"/>
      <c r="H1122"/>
      <c r="W1122"/>
    </row>
    <row r="1123" spans="1:23" x14ac:dyDescent="0.25">
      <c r="A1123"/>
      <c r="B1123"/>
      <c r="C1123"/>
      <c r="D1123"/>
      <c r="E1123"/>
      <c r="F1123"/>
      <c r="G1123"/>
      <c r="H1123"/>
      <c r="W1123"/>
    </row>
    <row r="1124" spans="1:23" x14ac:dyDescent="0.25">
      <c r="A1124"/>
      <c r="B1124"/>
      <c r="C1124"/>
      <c r="D1124"/>
      <c r="E1124"/>
      <c r="F1124"/>
      <c r="G1124"/>
      <c r="H1124"/>
      <c r="W1124"/>
    </row>
    <row r="1125" spans="1:23" x14ac:dyDescent="0.25">
      <c r="A1125"/>
      <c r="B1125"/>
      <c r="C1125"/>
      <c r="D1125"/>
      <c r="E1125"/>
      <c r="F1125"/>
      <c r="G1125"/>
      <c r="H1125"/>
      <c r="W1125"/>
    </row>
    <row r="1126" spans="1:23" x14ac:dyDescent="0.25">
      <c r="A1126"/>
      <c r="B1126"/>
      <c r="C1126"/>
      <c r="D1126"/>
      <c r="E1126"/>
      <c r="F1126"/>
      <c r="G1126"/>
      <c r="H1126"/>
      <c r="W1126"/>
    </row>
    <row r="1127" spans="1:23" x14ac:dyDescent="0.25">
      <c r="A1127"/>
      <c r="B1127"/>
      <c r="C1127"/>
      <c r="D1127"/>
      <c r="E1127"/>
      <c r="F1127"/>
      <c r="G1127"/>
      <c r="H1127"/>
      <c r="W1127"/>
    </row>
    <row r="1128" spans="1:23" x14ac:dyDescent="0.25">
      <c r="A1128"/>
      <c r="B1128"/>
      <c r="C1128"/>
      <c r="D1128"/>
      <c r="E1128"/>
      <c r="F1128"/>
      <c r="G1128"/>
      <c r="H1128"/>
      <c r="W1128"/>
    </row>
    <row r="1129" spans="1:23" x14ac:dyDescent="0.25">
      <c r="A1129"/>
      <c r="B1129"/>
      <c r="C1129"/>
      <c r="D1129"/>
      <c r="E1129"/>
      <c r="F1129"/>
      <c r="G1129"/>
      <c r="H1129"/>
      <c r="W1129"/>
    </row>
    <row r="1130" spans="1:23" x14ac:dyDescent="0.25">
      <c r="A1130"/>
      <c r="B1130"/>
      <c r="C1130"/>
      <c r="D1130"/>
      <c r="E1130"/>
      <c r="F1130"/>
      <c r="G1130"/>
      <c r="H1130"/>
      <c r="W1130"/>
    </row>
    <row r="1131" spans="1:23" x14ac:dyDescent="0.25">
      <c r="A1131"/>
      <c r="B1131"/>
      <c r="C1131"/>
      <c r="D1131"/>
      <c r="E1131"/>
      <c r="F1131"/>
      <c r="G1131"/>
      <c r="H1131"/>
      <c r="W1131"/>
    </row>
    <row r="1132" spans="1:23" x14ac:dyDescent="0.25">
      <c r="A1132"/>
      <c r="B1132"/>
      <c r="C1132"/>
      <c r="D1132"/>
      <c r="E1132"/>
      <c r="F1132"/>
      <c r="G1132"/>
      <c r="H1132"/>
      <c r="W1132"/>
    </row>
    <row r="1133" spans="1:23" x14ac:dyDescent="0.25">
      <c r="A1133"/>
      <c r="B1133"/>
      <c r="C1133"/>
      <c r="D1133"/>
      <c r="E1133"/>
      <c r="F1133"/>
      <c r="G1133"/>
      <c r="H1133"/>
      <c r="W1133"/>
    </row>
    <row r="1134" spans="1:23" x14ac:dyDescent="0.25">
      <c r="A1134"/>
      <c r="B1134"/>
      <c r="C1134"/>
      <c r="D1134"/>
      <c r="E1134"/>
      <c r="F1134"/>
      <c r="G1134"/>
      <c r="H1134"/>
      <c r="W1134"/>
    </row>
    <row r="1135" spans="1:23" x14ac:dyDescent="0.25">
      <c r="A1135"/>
      <c r="B1135"/>
      <c r="C1135"/>
      <c r="D1135"/>
      <c r="E1135"/>
      <c r="F1135"/>
      <c r="G1135"/>
      <c r="H1135"/>
      <c r="W1135"/>
    </row>
    <row r="1136" spans="1:23" x14ac:dyDescent="0.25">
      <c r="A1136"/>
      <c r="B1136"/>
      <c r="C1136"/>
      <c r="D1136"/>
      <c r="E1136"/>
      <c r="F1136"/>
      <c r="G1136"/>
      <c r="H1136"/>
      <c r="W1136"/>
    </row>
    <row r="1137" spans="1:23" x14ac:dyDescent="0.25">
      <c r="A1137"/>
      <c r="B1137"/>
      <c r="C1137"/>
      <c r="D1137"/>
      <c r="E1137"/>
      <c r="F1137"/>
      <c r="G1137"/>
      <c r="H1137"/>
      <c r="W1137"/>
    </row>
    <row r="1138" spans="1:23" x14ac:dyDescent="0.25">
      <c r="A1138"/>
      <c r="B1138"/>
      <c r="C1138"/>
      <c r="D1138"/>
      <c r="E1138"/>
      <c r="F1138"/>
      <c r="G1138"/>
      <c r="H1138"/>
      <c r="W1138"/>
    </row>
    <row r="1139" spans="1:23" x14ac:dyDescent="0.25">
      <c r="A1139"/>
      <c r="B1139"/>
      <c r="C1139"/>
      <c r="D1139"/>
      <c r="E1139"/>
      <c r="F1139"/>
      <c r="G1139"/>
      <c r="H1139"/>
      <c r="W1139"/>
    </row>
    <row r="1140" spans="1:23" x14ac:dyDescent="0.25">
      <c r="A1140"/>
      <c r="B1140"/>
      <c r="C1140"/>
      <c r="D1140"/>
      <c r="E1140"/>
      <c r="F1140"/>
      <c r="G1140"/>
      <c r="H1140"/>
      <c r="W1140"/>
    </row>
    <row r="1141" spans="1:23" x14ac:dyDescent="0.25">
      <c r="A1141"/>
      <c r="B1141"/>
      <c r="C1141"/>
      <c r="D1141"/>
      <c r="E1141"/>
      <c r="F1141"/>
      <c r="G1141"/>
      <c r="H1141"/>
      <c r="W1141"/>
    </row>
    <row r="1142" spans="1:23" x14ac:dyDescent="0.25">
      <c r="A1142"/>
      <c r="B1142"/>
      <c r="C1142"/>
      <c r="D1142"/>
      <c r="E1142"/>
      <c r="F1142"/>
      <c r="G1142"/>
      <c r="H1142"/>
      <c r="W1142"/>
    </row>
    <row r="1143" spans="1:23" x14ac:dyDescent="0.25">
      <c r="A1143"/>
      <c r="B1143"/>
      <c r="C1143"/>
      <c r="D1143"/>
      <c r="E1143"/>
      <c r="F1143"/>
      <c r="G1143"/>
      <c r="H1143"/>
      <c r="W1143"/>
    </row>
    <row r="1144" spans="1:23" x14ac:dyDescent="0.25">
      <c r="A1144"/>
      <c r="B1144"/>
      <c r="C1144"/>
      <c r="D1144"/>
      <c r="E1144"/>
      <c r="F1144"/>
      <c r="G1144"/>
      <c r="H1144"/>
      <c r="W1144"/>
    </row>
    <row r="1145" spans="1:23" x14ac:dyDescent="0.25">
      <c r="A1145"/>
      <c r="B1145"/>
      <c r="C1145"/>
      <c r="D1145"/>
      <c r="E1145"/>
      <c r="F1145"/>
      <c r="G1145"/>
      <c r="H1145"/>
      <c r="W1145"/>
    </row>
    <row r="1146" spans="1:23" x14ac:dyDescent="0.25">
      <c r="A1146"/>
      <c r="B1146"/>
      <c r="C1146"/>
      <c r="D1146"/>
      <c r="E1146"/>
      <c r="F1146"/>
      <c r="G1146"/>
      <c r="H1146"/>
      <c r="W1146"/>
    </row>
    <row r="1147" spans="1:23" x14ac:dyDescent="0.25">
      <c r="A1147"/>
      <c r="B1147"/>
      <c r="C1147"/>
      <c r="D1147"/>
      <c r="E1147"/>
      <c r="F1147"/>
      <c r="G1147"/>
      <c r="H1147"/>
      <c r="W1147"/>
    </row>
    <row r="1148" spans="1:23" x14ac:dyDescent="0.25">
      <c r="A1148"/>
      <c r="B1148"/>
      <c r="C1148"/>
      <c r="D1148"/>
      <c r="E1148"/>
      <c r="F1148"/>
      <c r="G1148"/>
      <c r="H1148"/>
      <c r="W1148"/>
    </row>
    <row r="1149" spans="1:23" x14ac:dyDescent="0.25">
      <c r="A1149"/>
      <c r="B1149"/>
      <c r="C1149"/>
      <c r="D1149"/>
      <c r="E1149"/>
      <c r="F1149"/>
      <c r="G1149"/>
      <c r="H1149"/>
      <c r="W1149"/>
    </row>
    <row r="1150" spans="1:23" x14ac:dyDescent="0.25">
      <c r="A1150"/>
      <c r="B1150"/>
      <c r="C1150"/>
      <c r="D1150"/>
      <c r="E1150"/>
      <c r="F1150"/>
      <c r="G1150"/>
      <c r="H1150"/>
      <c r="W1150"/>
    </row>
    <row r="1151" spans="1:23" x14ac:dyDescent="0.25">
      <c r="A1151"/>
      <c r="B1151"/>
      <c r="C1151"/>
      <c r="D1151"/>
      <c r="E1151"/>
      <c r="F1151"/>
      <c r="G1151"/>
      <c r="H1151"/>
      <c r="W1151"/>
    </row>
    <row r="1152" spans="1:23" x14ac:dyDescent="0.25">
      <c r="A1152"/>
      <c r="B1152"/>
      <c r="C1152"/>
      <c r="D1152"/>
      <c r="E1152"/>
      <c r="F1152"/>
      <c r="G1152"/>
      <c r="H1152"/>
      <c r="W1152"/>
    </row>
    <row r="1153" spans="1:23" x14ac:dyDescent="0.25">
      <c r="A1153"/>
      <c r="B1153"/>
      <c r="C1153"/>
      <c r="D1153"/>
      <c r="E1153"/>
      <c r="F1153"/>
      <c r="G1153"/>
      <c r="H1153"/>
      <c r="W1153"/>
    </row>
    <row r="1154" spans="1:23" x14ac:dyDescent="0.25">
      <c r="A1154"/>
      <c r="B1154"/>
      <c r="C1154"/>
      <c r="D1154"/>
      <c r="E1154"/>
      <c r="F1154"/>
      <c r="G1154"/>
      <c r="H1154"/>
      <c r="W1154"/>
    </row>
    <row r="1155" spans="1:23" x14ac:dyDescent="0.25">
      <c r="A1155"/>
      <c r="B1155"/>
      <c r="C1155"/>
      <c r="D1155"/>
      <c r="E1155"/>
      <c r="F1155"/>
      <c r="G1155"/>
      <c r="H1155"/>
      <c r="W1155"/>
    </row>
    <row r="1156" spans="1:23" x14ac:dyDescent="0.25">
      <c r="A1156"/>
      <c r="B1156"/>
      <c r="C1156"/>
      <c r="D1156"/>
      <c r="E1156"/>
      <c r="F1156"/>
      <c r="G1156"/>
      <c r="H1156"/>
      <c r="W1156"/>
    </row>
    <row r="1157" spans="1:23" x14ac:dyDescent="0.25">
      <c r="A1157"/>
      <c r="B1157"/>
      <c r="C1157"/>
      <c r="D1157"/>
      <c r="E1157"/>
      <c r="F1157"/>
      <c r="G1157"/>
      <c r="H1157"/>
      <c r="W1157"/>
    </row>
    <row r="1158" spans="1:23" x14ac:dyDescent="0.25">
      <c r="A1158"/>
      <c r="B1158"/>
      <c r="C1158"/>
      <c r="D1158"/>
      <c r="E1158"/>
      <c r="F1158"/>
      <c r="G1158"/>
      <c r="H1158"/>
      <c r="W1158"/>
    </row>
    <row r="1159" spans="1:23" x14ac:dyDescent="0.25">
      <c r="A1159"/>
      <c r="B1159"/>
      <c r="C1159"/>
      <c r="D1159"/>
      <c r="E1159"/>
      <c r="F1159"/>
      <c r="G1159"/>
      <c r="H1159"/>
      <c r="W1159"/>
    </row>
    <row r="1160" spans="1:23" x14ac:dyDescent="0.25">
      <c r="A1160"/>
      <c r="B1160"/>
      <c r="C1160"/>
      <c r="D1160"/>
      <c r="E1160"/>
      <c r="F1160"/>
      <c r="G1160"/>
      <c r="H1160"/>
      <c r="W1160"/>
    </row>
    <row r="1161" spans="1:23" x14ac:dyDescent="0.25">
      <c r="A1161"/>
      <c r="B1161"/>
      <c r="C1161"/>
      <c r="D1161"/>
      <c r="E1161"/>
      <c r="F1161"/>
      <c r="G1161"/>
      <c r="H1161"/>
      <c r="W1161"/>
    </row>
    <row r="1162" spans="1:23" x14ac:dyDescent="0.25">
      <c r="A1162"/>
      <c r="B1162"/>
      <c r="C1162"/>
      <c r="D1162"/>
      <c r="E1162"/>
      <c r="F1162"/>
      <c r="G1162"/>
      <c r="H1162"/>
      <c r="W1162"/>
    </row>
    <row r="1163" spans="1:23" x14ac:dyDescent="0.25">
      <c r="A1163"/>
      <c r="B1163"/>
      <c r="C1163"/>
      <c r="D1163"/>
      <c r="E1163"/>
      <c r="F1163"/>
      <c r="G1163"/>
      <c r="H1163"/>
      <c r="W1163"/>
    </row>
    <row r="1164" spans="1:23" x14ac:dyDescent="0.25">
      <c r="A1164"/>
      <c r="B1164"/>
      <c r="C1164"/>
      <c r="D1164"/>
      <c r="E1164"/>
      <c r="F1164"/>
      <c r="G1164"/>
      <c r="H1164"/>
      <c r="W1164"/>
    </row>
    <row r="1165" spans="1:23" x14ac:dyDescent="0.25">
      <c r="A1165"/>
      <c r="B1165"/>
      <c r="C1165"/>
      <c r="D1165"/>
      <c r="E1165"/>
      <c r="F1165"/>
      <c r="G1165"/>
      <c r="H1165"/>
      <c r="W1165"/>
    </row>
    <row r="1166" spans="1:23" x14ac:dyDescent="0.25">
      <c r="A1166"/>
      <c r="B1166"/>
      <c r="C1166"/>
      <c r="D1166"/>
      <c r="E1166"/>
      <c r="F1166"/>
      <c r="G1166"/>
      <c r="H1166"/>
      <c r="W1166"/>
    </row>
    <row r="1167" spans="1:23" x14ac:dyDescent="0.25">
      <c r="A1167"/>
      <c r="B1167"/>
      <c r="C1167"/>
      <c r="D1167"/>
      <c r="E1167"/>
      <c r="F1167"/>
      <c r="G1167"/>
      <c r="H1167"/>
      <c r="W1167"/>
    </row>
    <row r="1168" spans="1:23" x14ac:dyDescent="0.25">
      <c r="A1168"/>
      <c r="B1168"/>
      <c r="C1168"/>
      <c r="D1168"/>
      <c r="E1168"/>
      <c r="F1168"/>
      <c r="G1168"/>
      <c r="H1168"/>
      <c r="W1168"/>
    </row>
    <row r="1169" spans="1:23" x14ac:dyDescent="0.25">
      <c r="A1169"/>
      <c r="B1169"/>
      <c r="C1169"/>
      <c r="D1169"/>
      <c r="E1169"/>
      <c r="F1169"/>
      <c r="G1169"/>
      <c r="H1169"/>
      <c r="W1169"/>
    </row>
    <row r="1170" spans="1:23" x14ac:dyDescent="0.25">
      <c r="A1170"/>
      <c r="B1170"/>
      <c r="C1170"/>
      <c r="D1170"/>
      <c r="E1170"/>
      <c r="F1170"/>
      <c r="G1170"/>
      <c r="H1170"/>
      <c r="W1170"/>
    </row>
    <row r="1171" spans="1:23" x14ac:dyDescent="0.25">
      <c r="A1171"/>
      <c r="B1171"/>
      <c r="C1171"/>
      <c r="D1171"/>
      <c r="E1171"/>
      <c r="F1171"/>
      <c r="G1171"/>
      <c r="H1171"/>
      <c r="W1171"/>
    </row>
    <row r="1172" spans="1:23" x14ac:dyDescent="0.25">
      <c r="A1172"/>
      <c r="B1172"/>
      <c r="C1172"/>
      <c r="D1172"/>
      <c r="E1172"/>
      <c r="F1172"/>
      <c r="G1172"/>
      <c r="H1172"/>
      <c r="W1172"/>
    </row>
    <row r="1173" spans="1:23" x14ac:dyDescent="0.25">
      <c r="A1173"/>
      <c r="B1173"/>
      <c r="C1173"/>
      <c r="D1173"/>
      <c r="E1173"/>
      <c r="F1173"/>
      <c r="G1173"/>
      <c r="H1173"/>
      <c r="W1173"/>
    </row>
    <row r="1174" spans="1:23" x14ac:dyDescent="0.25">
      <c r="A1174"/>
      <c r="B1174"/>
      <c r="C1174"/>
      <c r="D1174"/>
      <c r="E1174"/>
      <c r="F1174"/>
      <c r="G1174"/>
      <c r="H1174"/>
      <c r="W1174"/>
    </row>
    <row r="1175" spans="1:23" x14ac:dyDescent="0.25">
      <c r="A1175"/>
      <c r="B1175"/>
      <c r="C1175"/>
      <c r="D1175"/>
      <c r="E1175"/>
      <c r="F1175"/>
      <c r="G1175"/>
      <c r="H1175"/>
      <c r="W1175"/>
    </row>
    <row r="1176" spans="1:23" x14ac:dyDescent="0.25">
      <c r="A1176"/>
      <c r="B1176"/>
      <c r="C1176"/>
      <c r="D1176"/>
      <c r="E1176"/>
      <c r="F1176"/>
      <c r="G1176"/>
      <c r="H1176"/>
      <c r="W1176"/>
    </row>
    <row r="1177" spans="1:23" x14ac:dyDescent="0.25">
      <c r="A1177"/>
      <c r="B1177"/>
      <c r="C1177"/>
      <c r="D1177"/>
      <c r="E1177"/>
      <c r="F1177"/>
      <c r="G1177"/>
      <c r="H1177"/>
      <c r="W1177"/>
    </row>
    <row r="1178" spans="1:23" x14ac:dyDescent="0.25">
      <c r="A1178"/>
      <c r="B1178"/>
      <c r="C1178"/>
      <c r="D1178"/>
      <c r="E1178"/>
      <c r="F1178"/>
      <c r="G1178"/>
      <c r="H1178"/>
      <c r="W1178"/>
    </row>
    <row r="1179" spans="1:23" x14ac:dyDescent="0.25">
      <c r="A1179"/>
      <c r="B1179"/>
      <c r="C1179"/>
      <c r="D1179"/>
      <c r="E1179"/>
      <c r="F1179"/>
      <c r="G1179"/>
      <c r="H1179"/>
      <c r="W1179"/>
    </row>
    <row r="1180" spans="1:23" x14ac:dyDescent="0.25">
      <c r="A1180"/>
      <c r="B1180"/>
      <c r="C1180"/>
      <c r="D1180"/>
      <c r="E1180"/>
      <c r="F1180"/>
      <c r="G1180"/>
      <c r="H1180"/>
      <c r="W1180"/>
    </row>
    <row r="1181" spans="1:23" x14ac:dyDescent="0.25">
      <c r="A1181"/>
      <c r="B1181"/>
      <c r="C1181"/>
      <c r="D1181"/>
      <c r="E1181"/>
      <c r="F1181"/>
      <c r="G1181"/>
      <c r="H1181"/>
      <c r="W1181"/>
    </row>
    <row r="1182" spans="1:23" x14ac:dyDescent="0.25">
      <c r="A1182"/>
      <c r="B1182"/>
      <c r="C1182"/>
      <c r="D1182"/>
      <c r="E1182"/>
      <c r="F1182"/>
      <c r="G1182"/>
      <c r="H1182"/>
      <c r="W1182"/>
    </row>
    <row r="1183" spans="1:23" x14ac:dyDescent="0.25">
      <c r="A1183"/>
      <c r="B1183"/>
      <c r="C1183"/>
      <c r="D1183"/>
      <c r="E1183"/>
      <c r="F1183"/>
      <c r="G1183"/>
      <c r="H1183"/>
      <c r="W1183"/>
    </row>
    <row r="1184" spans="1:23" x14ac:dyDescent="0.25">
      <c r="A1184"/>
      <c r="B1184"/>
      <c r="C1184"/>
      <c r="D1184"/>
      <c r="E1184"/>
      <c r="F1184"/>
      <c r="G1184"/>
      <c r="H1184"/>
      <c r="W1184"/>
    </row>
    <row r="1185" spans="1:23" x14ac:dyDescent="0.25">
      <c r="A1185"/>
      <c r="B1185"/>
      <c r="C1185"/>
      <c r="D1185"/>
      <c r="E1185"/>
      <c r="F1185"/>
      <c r="G1185"/>
      <c r="H1185"/>
      <c r="W1185"/>
    </row>
    <row r="1186" spans="1:23" x14ac:dyDescent="0.25">
      <c r="A1186"/>
      <c r="B1186"/>
      <c r="C1186"/>
      <c r="D1186"/>
      <c r="E1186"/>
      <c r="F1186"/>
      <c r="G1186"/>
      <c r="H1186"/>
      <c r="W1186"/>
    </row>
    <row r="1187" spans="1:23" x14ac:dyDescent="0.25">
      <c r="A1187"/>
      <c r="B1187"/>
      <c r="C1187"/>
      <c r="D1187"/>
      <c r="E1187"/>
      <c r="F1187"/>
      <c r="G1187"/>
      <c r="H1187"/>
      <c r="W1187"/>
    </row>
    <row r="1188" spans="1:23" x14ac:dyDescent="0.25">
      <c r="A1188"/>
      <c r="B1188"/>
      <c r="C1188"/>
      <c r="D1188"/>
      <c r="E1188"/>
      <c r="F1188"/>
      <c r="G1188"/>
      <c r="H1188"/>
      <c r="W1188"/>
    </row>
    <row r="1189" spans="1:23" x14ac:dyDescent="0.25">
      <c r="A1189"/>
      <c r="B1189"/>
      <c r="C1189"/>
      <c r="D1189"/>
      <c r="E1189"/>
      <c r="F1189"/>
      <c r="G1189"/>
      <c r="H1189"/>
      <c r="W1189"/>
    </row>
    <row r="1190" spans="1:23" x14ac:dyDescent="0.25">
      <c r="A1190"/>
      <c r="B1190"/>
      <c r="C1190"/>
      <c r="D1190"/>
      <c r="E1190"/>
      <c r="F1190"/>
      <c r="G1190"/>
      <c r="H1190"/>
      <c r="W1190"/>
    </row>
    <row r="1191" spans="1:23" x14ac:dyDescent="0.25">
      <c r="A1191"/>
      <c r="B1191"/>
      <c r="C1191"/>
      <c r="D1191"/>
      <c r="E1191"/>
      <c r="F1191"/>
      <c r="G1191"/>
      <c r="H1191"/>
      <c r="W1191"/>
    </row>
    <row r="1192" spans="1:23" x14ac:dyDescent="0.25">
      <c r="A1192"/>
      <c r="B1192"/>
      <c r="C1192"/>
      <c r="D1192"/>
      <c r="E1192"/>
      <c r="F1192"/>
      <c r="G1192"/>
      <c r="H1192"/>
      <c r="W1192"/>
    </row>
    <row r="1193" spans="1:23" x14ac:dyDescent="0.25">
      <c r="A1193"/>
      <c r="B1193"/>
      <c r="C1193"/>
      <c r="D1193"/>
      <c r="E1193"/>
      <c r="F1193"/>
      <c r="G1193"/>
      <c r="H1193"/>
      <c r="W1193"/>
    </row>
    <row r="1194" spans="1:23" x14ac:dyDescent="0.25">
      <c r="A1194"/>
      <c r="B1194"/>
      <c r="C1194"/>
      <c r="D1194"/>
      <c r="E1194"/>
      <c r="F1194"/>
      <c r="G1194"/>
      <c r="H1194"/>
      <c r="W1194"/>
    </row>
    <row r="1195" spans="1:23" x14ac:dyDescent="0.25">
      <c r="A1195"/>
      <c r="B1195"/>
      <c r="C1195"/>
      <c r="D1195"/>
      <c r="E1195"/>
      <c r="F1195"/>
      <c r="G1195"/>
      <c r="H1195"/>
      <c r="W1195"/>
    </row>
    <row r="1196" spans="1:23" x14ac:dyDescent="0.25">
      <c r="A1196"/>
      <c r="B1196"/>
      <c r="C1196"/>
      <c r="D1196"/>
      <c r="E1196"/>
      <c r="F1196"/>
      <c r="G1196"/>
      <c r="H1196"/>
      <c r="W1196"/>
    </row>
    <row r="1197" spans="1:23" x14ac:dyDescent="0.25">
      <c r="A1197"/>
      <c r="B1197"/>
      <c r="C1197"/>
      <c r="D1197"/>
      <c r="E1197"/>
      <c r="F1197"/>
      <c r="G1197"/>
      <c r="H1197"/>
      <c r="W1197"/>
    </row>
    <row r="1198" spans="1:23" x14ac:dyDescent="0.25">
      <c r="A1198"/>
      <c r="B1198"/>
      <c r="C1198"/>
      <c r="D1198"/>
      <c r="E1198"/>
      <c r="F1198"/>
      <c r="G1198"/>
      <c r="H1198"/>
      <c r="W1198"/>
    </row>
    <row r="1199" spans="1:23" x14ac:dyDescent="0.25">
      <c r="A1199"/>
      <c r="B1199"/>
      <c r="C1199"/>
      <c r="D1199"/>
      <c r="E1199"/>
      <c r="F1199"/>
      <c r="G1199"/>
      <c r="H1199"/>
      <c r="W1199"/>
    </row>
    <row r="1200" spans="1:23" x14ac:dyDescent="0.25">
      <c r="A1200"/>
      <c r="B1200"/>
      <c r="C1200"/>
      <c r="D1200"/>
      <c r="E1200"/>
      <c r="F1200"/>
      <c r="G1200"/>
      <c r="H1200"/>
      <c r="W1200"/>
    </row>
    <row r="1201" spans="1:23" x14ac:dyDescent="0.25">
      <c r="A1201"/>
      <c r="B1201"/>
      <c r="C1201"/>
      <c r="D1201"/>
      <c r="E1201"/>
      <c r="F1201"/>
      <c r="G1201"/>
      <c r="H1201"/>
      <c r="W1201"/>
    </row>
    <row r="1202" spans="1:23" x14ac:dyDescent="0.25">
      <c r="A1202"/>
      <c r="B1202"/>
      <c r="C1202"/>
      <c r="D1202"/>
      <c r="E1202"/>
      <c r="F1202"/>
      <c r="G1202"/>
      <c r="H1202"/>
      <c r="W1202"/>
    </row>
    <row r="1203" spans="1:23" x14ac:dyDescent="0.25">
      <c r="A1203"/>
      <c r="B1203"/>
      <c r="C1203"/>
      <c r="D1203"/>
      <c r="E1203"/>
      <c r="F1203"/>
      <c r="G1203"/>
      <c r="H1203"/>
      <c r="W1203"/>
    </row>
    <row r="1204" spans="1:23" x14ac:dyDescent="0.25">
      <c r="A1204"/>
      <c r="B1204"/>
      <c r="C1204"/>
      <c r="D1204"/>
      <c r="E1204"/>
      <c r="F1204"/>
      <c r="G1204"/>
      <c r="H1204"/>
      <c r="W1204"/>
    </row>
    <row r="1205" spans="1:23" x14ac:dyDescent="0.25">
      <c r="A1205"/>
      <c r="B1205"/>
      <c r="C1205"/>
      <c r="D1205"/>
      <c r="E1205"/>
      <c r="F1205"/>
      <c r="G1205"/>
      <c r="H1205"/>
      <c r="W1205"/>
    </row>
    <row r="1206" spans="1:23" x14ac:dyDescent="0.25">
      <c r="A1206"/>
      <c r="B1206"/>
      <c r="C1206"/>
      <c r="D1206"/>
      <c r="E1206"/>
      <c r="F1206"/>
      <c r="G1206"/>
      <c r="H1206"/>
      <c r="W1206"/>
    </row>
    <row r="1207" spans="1:23" x14ac:dyDescent="0.25">
      <c r="A1207"/>
      <c r="B1207"/>
      <c r="C1207"/>
      <c r="D1207"/>
      <c r="E1207"/>
      <c r="F1207"/>
      <c r="G1207"/>
      <c r="H1207"/>
      <c r="W1207"/>
    </row>
    <row r="1208" spans="1:23" x14ac:dyDescent="0.25">
      <c r="A1208"/>
      <c r="B1208"/>
      <c r="C1208"/>
      <c r="D1208"/>
      <c r="E1208"/>
      <c r="F1208"/>
      <c r="G1208"/>
      <c r="H1208"/>
      <c r="W1208"/>
    </row>
    <row r="1209" spans="1:23" x14ac:dyDescent="0.25">
      <c r="A1209"/>
      <c r="B1209"/>
      <c r="C1209"/>
      <c r="D1209"/>
      <c r="E1209"/>
      <c r="F1209"/>
      <c r="G1209"/>
      <c r="H1209"/>
      <c r="W1209"/>
    </row>
    <row r="1210" spans="1:23" x14ac:dyDescent="0.25">
      <c r="A1210"/>
      <c r="B1210"/>
      <c r="C1210"/>
      <c r="D1210"/>
      <c r="E1210"/>
      <c r="F1210"/>
      <c r="G1210"/>
      <c r="H1210"/>
      <c r="W1210"/>
    </row>
    <row r="1211" spans="1:23" x14ac:dyDescent="0.25">
      <c r="A1211"/>
      <c r="B1211"/>
      <c r="C1211"/>
      <c r="D1211"/>
      <c r="E1211"/>
      <c r="F1211"/>
      <c r="G1211"/>
      <c r="H1211"/>
      <c r="W1211"/>
    </row>
    <row r="1212" spans="1:23" x14ac:dyDescent="0.25">
      <c r="A1212"/>
      <c r="B1212"/>
      <c r="C1212"/>
      <c r="D1212"/>
      <c r="E1212"/>
      <c r="F1212"/>
      <c r="G1212"/>
      <c r="H1212"/>
      <c r="W1212"/>
    </row>
    <row r="1213" spans="1:23" x14ac:dyDescent="0.25">
      <c r="A1213"/>
      <c r="B1213"/>
      <c r="C1213"/>
      <c r="D1213"/>
      <c r="E1213"/>
      <c r="F1213"/>
      <c r="G1213"/>
      <c r="H1213"/>
      <c r="W1213"/>
    </row>
    <row r="1214" spans="1:23" x14ac:dyDescent="0.25">
      <c r="A1214"/>
      <c r="B1214"/>
      <c r="C1214"/>
      <c r="D1214"/>
      <c r="E1214"/>
      <c r="F1214"/>
      <c r="G1214"/>
      <c r="H1214"/>
      <c r="W1214"/>
    </row>
    <row r="1215" spans="1:23" x14ac:dyDescent="0.25">
      <c r="A1215"/>
      <c r="B1215"/>
      <c r="C1215"/>
      <c r="D1215"/>
      <c r="E1215"/>
      <c r="F1215"/>
      <c r="G1215"/>
      <c r="H1215"/>
      <c r="W1215"/>
    </row>
    <row r="1216" spans="1:23" x14ac:dyDescent="0.25">
      <c r="A1216"/>
      <c r="B1216"/>
      <c r="C1216"/>
      <c r="D1216"/>
      <c r="E1216"/>
      <c r="F1216"/>
      <c r="G1216"/>
      <c r="H1216"/>
      <c r="W1216"/>
    </row>
    <row r="1217" spans="1:23" x14ac:dyDescent="0.25">
      <c r="A1217"/>
      <c r="B1217"/>
      <c r="C1217"/>
      <c r="D1217"/>
      <c r="E1217"/>
      <c r="F1217"/>
      <c r="G1217"/>
      <c r="H1217"/>
      <c r="W1217"/>
    </row>
    <row r="1218" spans="1:23" x14ac:dyDescent="0.25">
      <c r="A1218"/>
      <c r="B1218"/>
      <c r="C1218"/>
      <c r="D1218"/>
      <c r="E1218"/>
      <c r="F1218"/>
      <c r="G1218"/>
      <c r="H1218"/>
      <c r="W1218"/>
    </row>
    <row r="1219" spans="1:23" x14ac:dyDescent="0.25">
      <c r="A1219"/>
      <c r="B1219"/>
      <c r="C1219"/>
      <c r="D1219"/>
      <c r="E1219"/>
      <c r="F1219"/>
      <c r="G1219"/>
      <c r="H1219"/>
      <c r="W1219"/>
    </row>
    <row r="1220" spans="1:23" x14ac:dyDescent="0.25">
      <c r="A1220"/>
      <c r="B1220"/>
      <c r="C1220"/>
      <c r="D1220"/>
      <c r="E1220"/>
      <c r="F1220"/>
      <c r="G1220"/>
      <c r="H1220"/>
      <c r="W1220"/>
    </row>
    <row r="1221" spans="1:23" x14ac:dyDescent="0.25">
      <c r="A1221"/>
      <c r="B1221"/>
      <c r="C1221"/>
      <c r="D1221"/>
      <c r="E1221"/>
      <c r="F1221"/>
      <c r="G1221"/>
      <c r="H1221"/>
      <c r="W1221"/>
    </row>
    <row r="1222" spans="1:23" x14ac:dyDescent="0.25">
      <c r="A1222"/>
      <c r="B1222"/>
      <c r="C1222"/>
      <c r="D1222"/>
      <c r="E1222"/>
      <c r="F1222"/>
      <c r="G1222"/>
      <c r="H1222"/>
      <c r="W1222"/>
    </row>
    <row r="1223" spans="1:23" x14ac:dyDescent="0.25">
      <c r="A1223"/>
      <c r="B1223"/>
      <c r="C1223"/>
      <c r="D1223"/>
      <c r="E1223"/>
      <c r="F1223"/>
      <c r="G1223"/>
      <c r="H1223"/>
      <c r="W1223"/>
    </row>
    <row r="1224" spans="1:23" x14ac:dyDescent="0.25">
      <c r="A1224"/>
      <c r="B1224"/>
      <c r="C1224"/>
      <c r="D1224"/>
      <c r="E1224"/>
      <c r="F1224"/>
      <c r="G1224"/>
      <c r="H1224"/>
      <c r="W1224"/>
    </row>
    <row r="1225" spans="1:23" x14ac:dyDescent="0.25">
      <c r="A1225"/>
      <c r="B1225"/>
      <c r="C1225"/>
      <c r="D1225"/>
      <c r="E1225"/>
      <c r="F1225"/>
      <c r="G1225"/>
      <c r="H1225"/>
      <c r="W1225"/>
    </row>
    <row r="1226" spans="1:23" x14ac:dyDescent="0.25">
      <c r="A1226"/>
      <c r="B1226"/>
      <c r="C1226"/>
      <c r="D1226"/>
      <c r="E1226"/>
      <c r="F1226"/>
      <c r="G1226"/>
      <c r="H1226"/>
      <c r="W1226"/>
    </row>
    <row r="1227" spans="1:23" x14ac:dyDescent="0.25">
      <c r="A1227"/>
      <c r="B1227"/>
      <c r="C1227"/>
      <c r="D1227"/>
      <c r="E1227"/>
      <c r="F1227"/>
      <c r="G1227"/>
      <c r="H1227"/>
      <c r="W1227"/>
    </row>
    <row r="1228" spans="1:23" x14ac:dyDescent="0.25">
      <c r="A1228"/>
      <c r="B1228"/>
      <c r="C1228"/>
      <c r="D1228"/>
      <c r="E1228"/>
      <c r="F1228"/>
      <c r="G1228"/>
      <c r="H1228"/>
      <c r="W1228"/>
    </row>
    <row r="1229" spans="1:23" x14ac:dyDescent="0.25">
      <c r="A1229"/>
      <c r="B1229"/>
      <c r="C1229"/>
      <c r="D1229"/>
      <c r="E1229"/>
      <c r="F1229"/>
      <c r="G1229"/>
      <c r="H1229"/>
      <c r="W1229"/>
    </row>
    <row r="1230" spans="1:23" x14ac:dyDescent="0.25">
      <c r="A1230"/>
      <c r="B1230"/>
      <c r="C1230"/>
      <c r="D1230"/>
      <c r="E1230"/>
      <c r="F1230"/>
      <c r="G1230"/>
      <c r="H1230"/>
      <c r="W1230"/>
    </row>
    <row r="1231" spans="1:23" x14ac:dyDescent="0.25">
      <c r="A1231"/>
      <c r="B1231"/>
      <c r="C1231"/>
      <c r="D1231"/>
      <c r="E1231"/>
      <c r="F1231"/>
      <c r="G1231"/>
      <c r="H1231"/>
      <c r="W1231"/>
    </row>
    <row r="1232" spans="1:23" x14ac:dyDescent="0.25">
      <c r="A1232"/>
      <c r="B1232"/>
      <c r="C1232"/>
      <c r="D1232"/>
      <c r="E1232"/>
      <c r="F1232"/>
      <c r="G1232"/>
      <c r="H1232"/>
      <c r="W1232"/>
    </row>
    <row r="1233" spans="1:23" x14ac:dyDescent="0.25">
      <c r="A1233"/>
      <c r="B1233"/>
      <c r="C1233"/>
      <c r="D1233"/>
      <c r="E1233"/>
      <c r="F1233"/>
      <c r="G1233"/>
      <c r="H1233"/>
      <c r="W1233"/>
    </row>
    <row r="1234" spans="1:23" x14ac:dyDescent="0.25">
      <c r="A1234"/>
      <c r="B1234"/>
      <c r="C1234"/>
      <c r="D1234"/>
      <c r="E1234"/>
      <c r="F1234"/>
      <c r="G1234"/>
      <c r="H1234"/>
      <c r="W1234"/>
    </row>
    <row r="1235" spans="1:23" x14ac:dyDescent="0.25">
      <c r="A1235"/>
      <c r="B1235"/>
      <c r="C1235"/>
      <c r="D1235"/>
      <c r="E1235"/>
      <c r="F1235"/>
      <c r="G1235"/>
      <c r="H1235"/>
      <c r="W1235"/>
    </row>
    <row r="1236" spans="1:23" x14ac:dyDescent="0.25">
      <c r="A1236"/>
      <c r="B1236"/>
      <c r="C1236"/>
      <c r="D1236"/>
      <c r="E1236"/>
      <c r="F1236"/>
      <c r="G1236"/>
      <c r="H1236"/>
      <c r="W1236"/>
    </row>
    <row r="1237" spans="1:23" x14ac:dyDescent="0.25">
      <c r="A1237"/>
      <c r="B1237"/>
      <c r="C1237"/>
      <c r="D1237"/>
      <c r="E1237"/>
      <c r="F1237"/>
      <c r="G1237"/>
      <c r="H1237"/>
      <c r="W1237"/>
    </row>
    <row r="1238" spans="1:23" x14ac:dyDescent="0.25">
      <c r="A1238"/>
      <c r="B1238"/>
      <c r="C1238"/>
      <c r="D1238"/>
      <c r="E1238"/>
      <c r="F1238"/>
      <c r="G1238"/>
      <c r="H1238"/>
      <c r="W1238"/>
    </row>
    <row r="1239" spans="1:23" x14ac:dyDescent="0.25">
      <c r="A1239"/>
      <c r="B1239"/>
      <c r="C1239"/>
      <c r="D1239"/>
      <c r="E1239"/>
      <c r="F1239"/>
      <c r="G1239"/>
      <c r="H1239"/>
      <c r="W1239"/>
    </row>
    <row r="1240" spans="1:23" x14ac:dyDescent="0.25">
      <c r="A1240"/>
      <c r="B1240"/>
      <c r="C1240"/>
      <c r="D1240"/>
      <c r="E1240"/>
      <c r="F1240"/>
      <c r="G1240"/>
      <c r="H1240"/>
      <c r="W1240"/>
    </row>
    <row r="1241" spans="1:23" x14ac:dyDescent="0.25">
      <c r="A1241"/>
      <c r="B1241"/>
      <c r="C1241"/>
      <c r="D1241"/>
      <c r="E1241"/>
      <c r="F1241"/>
      <c r="G1241"/>
      <c r="H1241"/>
      <c r="W1241"/>
    </row>
    <row r="1242" spans="1:23" x14ac:dyDescent="0.25">
      <c r="A1242"/>
      <c r="B1242"/>
      <c r="C1242"/>
      <c r="D1242"/>
      <c r="E1242"/>
      <c r="F1242"/>
      <c r="G1242"/>
      <c r="H1242"/>
      <c r="W1242"/>
    </row>
    <row r="1243" spans="1:23" x14ac:dyDescent="0.25">
      <c r="A1243"/>
      <c r="B1243"/>
      <c r="C1243"/>
      <c r="D1243"/>
      <c r="E1243"/>
      <c r="F1243"/>
      <c r="G1243"/>
      <c r="H1243"/>
      <c r="W1243"/>
    </row>
    <row r="1244" spans="1:23" x14ac:dyDescent="0.25">
      <c r="A1244"/>
      <c r="B1244"/>
      <c r="C1244"/>
      <c r="D1244"/>
      <c r="E1244"/>
      <c r="F1244"/>
      <c r="G1244"/>
      <c r="H1244"/>
      <c r="W1244"/>
    </row>
    <row r="1245" spans="1:23" x14ac:dyDescent="0.25">
      <c r="A1245"/>
      <c r="B1245"/>
      <c r="C1245"/>
      <c r="D1245"/>
      <c r="E1245"/>
      <c r="F1245"/>
      <c r="G1245"/>
      <c r="H1245"/>
      <c r="W1245"/>
    </row>
    <row r="1246" spans="1:23" x14ac:dyDescent="0.25">
      <c r="A1246"/>
      <c r="B1246"/>
      <c r="C1246"/>
      <c r="D1246"/>
      <c r="E1246"/>
      <c r="F1246"/>
      <c r="G1246"/>
      <c r="H1246"/>
      <c r="W1246"/>
    </row>
    <row r="1247" spans="1:23" x14ac:dyDescent="0.25">
      <c r="A1247"/>
      <c r="B1247"/>
      <c r="C1247"/>
      <c r="D1247"/>
      <c r="E1247"/>
      <c r="F1247"/>
      <c r="G1247"/>
      <c r="H1247"/>
      <c r="W1247"/>
    </row>
    <row r="1248" spans="1:23" x14ac:dyDescent="0.25">
      <c r="A1248"/>
      <c r="B1248"/>
      <c r="C1248"/>
      <c r="D1248"/>
      <c r="E1248"/>
      <c r="F1248"/>
      <c r="G1248"/>
      <c r="H1248"/>
      <c r="W1248"/>
    </row>
    <row r="1249" spans="1:23" x14ac:dyDescent="0.25">
      <c r="A1249"/>
      <c r="B1249"/>
      <c r="C1249"/>
      <c r="D1249"/>
      <c r="E1249"/>
      <c r="F1249"/>
      <c r="G1249"/>
      <c r="H1249"/>
      <c r="W1249"/>
    </row>
    <row r="1250" spans="1:23" x14ac:dyDescent="0.25">
      <c r="A1250"/>
      <c r="B1250"/>
      <c r="C1250"/>
      <c r="D1250"/>
      <c r="E1250"/>
      <c r="F1250"/>
      <c r="G1250"/>
      <c r="H1250"/>
      <c r="W1250"/>
    </row>
    <row r="1251" spans="1:23" x14ac:dyDescent="0.25">
      <c r="A1251"/>
      <c r="B1251"/>
      <c r="C1251"/>
      <c r="D1251"/>
      <c r="E1251"/>
      <c r="F1251"/>
      <c r="G1251"/>
      <c r="H1251"/>
      <c r="W1251"/>
    </row>
    <row r="1252" spans="1:23" x14ac:dyDescent="0.25">
      <c r="A1252"/>
      <c r="B1252"/>
      <c r="C1252"/>
      <c r="D1252"/>
      <c r="E1252"/>
      <c r="F1252"/>
      <c r="G1252"/>
      <c r="H1252"/>
      <c r="W1252"/>
    </row>
    <row r="1253" spans="1:23" x14ac:dyDescent="0.25">
      <c r="A1253"/>
      <c r="B1253"/>
      <c r="C1253"/>
      <c r="D1253"/>
      <c r="E1253"/>
      <c r="F1253"/>
      <c r="G1253"/>
      <c r="H1253"/>
      <c r="W1253"/>
    </row>
    <row r="1254" spans="1:23" x14ac:dyDescent="0.25">
      <c r="A1254"/>
      <c r="B1254"/>
      <c r="C1254"/>
      <c r="D1254"/>
      <c r="E1254"/>
      <c r="F1254"/>
      <c r="G1254"/>
      <c r="H1254"/>
      <c r="W1254"/>
    </row>
    <row r="1255" spans="1:23" x14ac:dyDescent="0.25">
      <c r="A1255"/>
      <c r="B1255"/>
      <c r="C1255"/>
      <c r="D1255"/>
      <c r="E1255"/>
      <c r="F1255"/>
      <c r="G1255"/>
      <c r="H1255"/>
      <c r="W1255"/>
    </row>
    <row r="1256" spans="1:23" x14ac:dyDescent="0.25">
      <c r="A1256"/>
      <c r="B1256"/>
      <c r="C1256"/>
      <c r="D1256"/>
      <c r="E1256"/>
      <c r="F1256"/>
      <c r="G1256"/>
      <c r="H1256"/>
      <c r="W1256"/>
    </row>
    <row r="1257" spans="1:23" x14ac:dyDescent="0.25">
      <c r="A1257"/>
      <c r="B1257"/>
      <c r="C1257"/>
      <c r="D1257"/>
      <c r="E1257"/>
      <c r="F1257"/>
      <c r="G1257"/>
      <c r="H1257"/>
      <c r="W1257"/>
    </row>
    <row r="1258" spans="1:23" x14ac:dyDescent="0.25">
      <c r="A1258"/>
      <c r="B1258"/>
      <c r="C1258"/>
      <c r="D1258"/>
      <c r="E1258"/>
      <c r="F1258"/>
      <c r="G1258"/>
      <c r="H1258"/>
      <c r="W1258"/>
    </row>
    <row r="1259" spans="1:23" x14ac:dyDescent="0.25">
      <c r="A1259"/>
      <c r="B1259"/>
      <c r="C1259"/>
      <c r="D1259"/>
      <c r="E1259"/>
      <c r="F1259"/>
      <c r="G1259"/>
      <c r="H1259"/>
      <c r="W1259"/>
    </row>
    <row r="1260" spans="1:23" x14ac:dyDescent="0.25">
      <c r="A1260"/>
      <c r="B1260"/>
      <c r="C1260"/>
      <c r="D1260"/>
      <c r="E1260"/>
      <c r="F1260"/>
      <c r="G1260"/>
      <c r="H1260"/>
      <c r="W1260"/>
    </row>
    <row r="1261" spans="1:23" x14ac:dyDescent="0.25">
      <c r="A1261"/>
      <c r="B1261"/>
      <c r="C1261"/>
      <c r="D1261"/>
      <c r="E1261"/>
      <c r="F1261"/>
      <c r="G1261"/>
      <c r="H1261"/>
      <c r="W1261"/>
    </row>
    <row r="1262" spans="1:23" x14ac:dyDescent="0.25">
      <c r="A1262"/>
      <c r="B1262"/>
      <c r="C1262"/>
      <c r="D1262"/>
      <c r="E1262"/>
      <c r="F1262"/>
      <c r="G1262"/>
      <c r="H1262"/>
      <c r="W1262"/>
    </row>
    <row r="1263" spans="1:23" x14ac:dyDescent="0.25">
      <c r="A1263"/>
      <c r="B1263"/>
      <c r="C1263"/>
      <c r="D1263"/>
      <c r="E1263"/>
      <c r="F1263"/>
      <c r="G1263"/>
      <c r="H1263"/>
      <c r="W1263"/>
    </row>
    <row r="1264" spans="1:23" x14ac:dyDescent="0.25">
      <c r="A1264"/>
      <c r="B1264"/>
      <c r="C1264"/>
      <c r="D1264"/>
      <c r="E1264"/>
      <c r="F1264"/>
      <c r="G1264"/>
      <c r="H1264"/>
      <c r="W1264"/>
    </row>
    <row r="1265" spans="1:23" x14ac:dyDescent="0.25">
      <c r="A1265"/>
      <c r="B1265"/>
      <c r="C1265"/>
      <c r="D1265"/>
      <c r="E1265"/>
      <c r="F1265"/>
      <c r="G1265"/>
      <c r="H1265"/>
      <c r="W1265"/>
    </row>
    <row r="1266" spans="1:23" x14ac:dyDescent="0.25">
      <c r="A1266"/>
      <c r="B1266"/>
      <c r="C1266"/>
      <c r="D1266"/>
      <c r="E1266"/>
      <c r="F1266"/>
      <c r="G1266"/>
      <c r="H1266"/>
      <c r="W1266"/>
    </row>
    <row r="1267" spans="1:23" x14ac:dyDescent="0.25">
      <c r="A1267"/>
      <c r="B1267"/>
      <c r="C1267"/>
      <c r="D1267"/>
      <c r="E1267"/>
      <c r="F1267"/>
      <c r="G1267"/>
      <c r="H1267"/>
      <c r="W1267"/>
    </row>
    <row r="1268" spans="1:23" x14ac:dyDescent="0.25">
      <c r="A1268"/>
      <c r="B1268"/>
      <c r="C1268"/>
      <c r="D1268"/>
      <c r="E1268"/>
      <c r="F1268"/>
      <c r="G1268"/>
      <c r="H1268"/>
      <c r="W1268"/>
    </row>
    <row r="1269" spans="1:23" x14ac:dyDescent="0.25">
      <c r="A1269"/>
      <c r="B1269"/>
      <c r="C1269"/>
      <c r="D1269"/>
      <c r="E1269"/>
      <c r="F1269"/>
      <c r="G1269"/>
      <c r="H1269"/>
      <c r="W1269"/>
    </row>
    <row r="1270" spans="1:23" x14ac:dyDescent="0.25">
      <c r="A1270"/>
      <c r="B1270"/>
      <c r="C1270"/>
      <c r="D1270"/>
      <c r="E1270"/>
      <c r="F1270"/>
      <c r="G1270"/>
      <c r="H1270"/>
      <c r="W1270"/>
    </row>
    <row r="1271" spans="1:23" x14ac:dyDescent="0.25">
      <c r="A1271"/>
      <c r="B1271"/>
      <c r="C1271"/>
      <c r="D1271"/>
      <c r="E1271"/>
      <c r="F1271"/>
      <c r="G1271"/>
      <c r="H1271"/>
      <c r="W1271"/>
    </row>
    <row r="1272" spans="1:23" x14ac:dyDescent="0.25">
      <c r="A1272"/>
      <c r="B1272"/>
      <c r="C1272"/>
      <c r="D1272"/>
      <c r="E1272"/>
      <c r="F1272"/>
      <c r="G1272"/>
      <c r="H1272"/>
      <c r="W1272"/>
    </row>
    <row r="1273" spans="1:23" x14ac:dyDescent="0.25">
      <c r="A1273"/>
      <c r="B1273"/>
      <c r="C1273"/>
      <c r="D1273"/>
      <c r="E1273"/>
      <c r="F1273"/>
      <c r="G1273"/>
      <c r="H1273"/>
      <c r="W1273"/>
    </row>
    <row r="1274" spans="1:23" x14ac:dyDescent="0.25">
      <c r="A1274"/>
      <c r="B1274"/>
      <c r="C1274"/>
      <c r="D1274"/>
      <c r="E1274"/>
      <c r="F1274"/>
      <c r="G1274"/>
      <c r="H1274"/>
      <c r="W1274"/>
    </row>
    <row r="1275" spans="1:23" x14ac:dyDescent="0.25">
      <c r="A1275"/>
      <c r="B1275"/>
      <c r="C1275"/>
      <c r="D1275"/>
      <c r="E1275"/>
      <c r="F1275"/>
      <c r="G1275"/>
      <c r="H1275"/>
      <c r="W1275"/>
    </row>
    <row r="1276" spans="1:23" x14ac:dyDescent="0.25">
      <c r="A1276"/>
      <c r="B1276"/>
      <c r="C1276"/>
      <c r="D1276"/>
      <c r="E1276"/>
      <c r="F1276"/>
      <c r="G1276"/>
      <c r="H1276"/>
      <c r="W1276"/>
    </row>
    <row r="1277" spans="1:23" x14ac:dyDescent="0.25">
      <c r="A1277"/>
      <c r="B1277"/>
      <c r="C1277"/>
      <c r="D1277"/>
      <c r="E1277"/>
      <c r="F1277"/>
      <c r="G1277"/>
      <c r="H1277"/>
      <c r="W1277"/>
    </row>
    <row r="1278" spans="1:23" x14ac:dyDescent="0.25">
      <c r="A1278"/>
      <c r="B1278"/>
      <c r="C1278"/>
      <c r="D1278"/>
      <c r="E1278"/>
      <c r="F1278"/>
      <c r="G1278"/>
      <c r="H1278"/>
      <c r="W1278"/>
    </row>
    <row r="1279" spans="1:23" x14ac:dyDescent="0.25">
      <c r="A1279"/>
      <c r="B1279"/>
      <c r="C1279"/>
      <c r="D1279"/>
      <c r="E1279"/>
      <c r="F1279"/>
      <c r="G1279"/>
      <c r="H1279"/>
      <c r="W1279"/>
    </row>
    <row r="1280" spans="1:23" x14ac:dyDescent="0.25">
      <c r="A1280"/>
      <c r="B1280"/>
      <c r="C1280"/>
      <c r="D1280"/>
      <c r="E1280"/>
      <c r="F1280"/>
      <c r="G1280"/>
      <c r="H1280"/>
      <c r="W1280"/>
    </row>
    <row r="1281" spans="1:23" x14ac:dyDescent="0.25">
      <c r="A1281"/>
      <c r="B1281"/>
      <c r="C1281"/>
      <c r="D1281"/>
      <c r="E1281"/>
      <c r="F1281"/>
      <c r="G1281"/>
      <c r="H1281"/>
      <c r="W1281"/>
    </row>
    <row r="1282" spans="1:23" x14ac:dyDescent="0.25">
      <c r="A1282"/>
      <c r="B1282"/>
      <c r="C1282"/>
      <c r="D1282"/>
      <c r="E1282"/>
      <c r="F1282"/>
      <c r="G1282"/>
      <c r="H1282"/>
      <c r="W1282"/>
    </row>
    <row r="1283" spans="1:23" x14ac:dyDescent="0.25">
      <c r="A1283"/>
      <c r="B1283"/>
      <c r="C1283"/>
      <c r="D1283"/>
      <c r="E1283"/>
      <c r="F1283"/>
      <c r="G1283"/>
      <c r="H1283"/>
      <c r="W1283"/>
    </row>
    <row r="1284" spans="1:23" x14ac:dyDescent="0.25">
      <c r="A1284"/>
      <c r="B1284"/>
      <c r="C1284"/>
      <c r="D1284"/>
      <c r="E1284"/>
      <c r="F1284"/>
      <c r="G1284"/>
      <c r="H1284"/>
      <c r="W1284"/>
    </row>
    <row r="1285" spans="1:23" x14ac:dyDescent="0.25">
      <c r="A1285"/>
      <c r="B1285"/>
      <c r="C1285"/>
      <c r="D1285"/>
      <c r="E1285"/>
      <c r="F1285"/>
      <c r="G1285"/>
      <c r="H1285"/>
      <c r="W1285"/>
    </row>
    <row r="1286" spans="1:23" x14ac:dyDescent="0.25">
      <c r="A1286"/>
      <c r="B1286"/>
      <c r="C1286"/>
      <c r="D1286"/>
      <c r="E1286"/>
      <c r="F1286"/>
      <c r="G1286"/>
      <c r="H1286"/>
      <c r="W1286"/>
    </row>
    <row r="1287" spans="1:23" x14ac:dyDescent="0.25">
      <c r="A1287"/>
      <c r="B1287"/>
      <c r="C1287"/>
      <c r="D1287"/>
      <c r="E1287"/>
      <c r="F1287"/>
      <c r="G1287"/>
      <c r="H1287"/>
      <c r="W1287"/>
    </row>
    <row r="1288" spans="1:23" x14ac:dyDescent="0.25">
      <c r="A1288"/>
      <c r="B1288"/>
      <c r="C1288"/>
      <c r="D1288"/>
      <c r="E1288"/>
      <c r="F1288"/>
      <c r="G1288"/>
      <c r="H1288"/>
      <c r="W1288"/>
    </row>
    <row r="1289" spans="1:23" x14ac:dyDescent="0.25">
      <c r="A1289"/>
      <c r="B1289"/>
      <c r="C1289"/>
      <c r="D1289"/>
      <c r="E1289"/>
      <c r="F1289"/>
      <c r="G1289"/>
      <c r="H1289"/>
      <c r="W1289"/>
    </row>
    <row r="1290" spans="1:23" x14ac:dyDescent="0.25">
      <c r="A1290"/>
      <c r="B1290"/>
      <c r="C1290"/>
      <c r="D1290"/>
      <c r="E1290"/>
      <c r="F1290"/>
      <c r="G1290"/>
      <c r="H1290"/>
      <c r="W1290"/>
    </row>
    <row r="1291" spans="1:23" x14ac:dyDescent="0.25">
      <c r="A1291"/>
      <c r="B1291"/>
      <c r="C1291"/>
      <c r="D1291"/>
      <c r="E1291"/>
      <c r="F1291"/>
      <c r="G1291"/>
      <c r="H1291"/>
      <c r="W1291"/>
    </row>
    <row r="1292" spans="1:23" x14ac:dyDescent="0.25">
      <c r="A1292"/>
      <c r="B1292"/>
      <c r="C1292"/>
      <c r="D1292"/>
      <c r="E1292"/>
      <c r="F1292"/>
      <c r="G1292"/>
      <c r="H1292"/>
      <c r="W1292"/>
    </row>
    <row r="1293" spans="1:23" x14ac:dyDescent="0.25">
      <c r="A1293"/>
      <c r="B1293"/>
      <c r="C1293"/>
      <c r="D1293"/>
      <c r="E1293"/>
      <c r="F1293"/>
      <c r="G1293"/>
      <c r="H1293"/>
      <c r="W1293"/>
    </row>
    <row r="1294" spans="1:23" x14ac:dyDescent="0.25">
      <c r="A1294"/>
      <c r="B1294"/>
      <c r="C1294"/>
      <c r="D1294"/>
      <c r="E1294"/>
      <c r="F1294"/>
      <c r="G1294"/>
      <c r="H1294"/>
      <c r="W1294"/>
    </row>
    <row r="1295" spans="1:23" x14ac:dyDescent="0.25">
      <c r="A1295"/>
      <c r="B1295"/>
      <c r="C1295"/>
      <c r="D1295"/>
      <c r="E1295"/>
      <c r="F1295"/>
      <c r="G1295"/>
      <c r="H1295"/>
      <c r="W1295"/>
    </row>
    <row r="1296" spans="1:23" x14ac:dyDescent="0.25">
      <c r="A1296"/>
      <c r="B1296"/>
      <c r="C1296"/>
      <c r="D1296"/>
      <c r="E1296"/>
      <c r="F1296"/>
      <c r="G1296"/>
      <c r="H1296"/>
      <c r="W1296"/>
    </row>
    <row r="1297" spans="1:23" x14ac:dyDescent="0.25">
      <c r="A1297"/>
      <c r="B1297"/>
      <c r="C1297"/>
      <c r="D1297"/>
      <c r="E1297"/>
      <c r="F1297"/>
      <c r="G1297"/>
      <c r="H1297"/>
      <c r="W1297"/>
    </row>
    <row r="1298" spans="1:23" x14ac:dyDescent="0.25">
      <c r="A1298"/>
      <c r="B1298"/>
      <c r="C1298"/>
      <c r="D1298"/>
      <c r="E1298"/>
      <c r="F1298"/>
      <c r="G1298"/>
      <c r="H1298"/>
      <c r="W1298"/>
    </row>
    <row r="1299" spans="1:23" x14ac:dyDescent="0.25">
      <c r="A1299"/>
      <c r="B1299"/>
      <c r="C1299"/>
      <c r="D1299"/>
      <c r="E1299"/>
      <c r="F1299"/>
      <c r="G1299"/>
      <c r="H1299"/>
      <c r="W1299"/>
    </row>
    <row r="1300" spans="1:23" x14ac:dyDescent="0.25">
      <c r="A1300"/>
      <c r="B1300"/>
      <c r="C1300"/>
      <c r="D1300"/>
      <c r="E1300"/>
      <c r="F1300"/>
      <c r="G1300"/>
      <c r="H1300"/>
      <c r="W1300"/>
    </row>
    <row r="1301" spans="1:23" x14ac:dyDescent="0.25">
      <c r="A1301"/>
      <c r="B1301"/>
      <c r="C1301"/>
      <c r="D1301"/>
      <c r="E1301"/>
      <c r="F1301"/>
      <c r="G1301"/>
      <c r="H1301"/>
      <c r="W1301"/>
    </row>
    <row r="1302" spans="1:23" x14ac:dyDescent="0.25">
      <c r="A1302"/>
      <c r="B1302"/>
      <c r="C1302"/>
      <c r="D1302"/>
      <c r="E1302"/>
      <c r="F1302"/>
      <c r="G1302"/>
      <c r="H1302"/>
      <c r="W1302"/>
    </row>
    <row r="1303" spans="1:23" x14ac:dyDescent="0.25">
      <c r="A1303"/>
      <c r="B1303"/>
      <c r="C1303"/>
      <c r="D1303"/>
      <c r="E1303"/>
      <c r="F1303"/>
      <c r="G1303"/>
      <c r="H1303"/>
      <c r="W1303"/>
    </row>
    <row r="1304" spans="1:23" x14ac:dyDescent="0.25">
      <c r="A1304"/>
      <c r="B1304"/>
      <c r="C1304"/>
      <c r="D1304"/>
      <c r="E1304"/>
      <c r="F1304"/>
      <c r="G1304"/>
      <c r="H1304"/>
      <c r="W1304"/>
    </row>
    <row r="1305" spans="1:23" x14ac:dyDescent="0.25">
      <c r="A1305"/>
      <c r="B1305"/>
      <c r="C1305"/>
      <c r="D1305"/>
      <c r="E1305"/>
      <c r="F1305"/>
      <c r="G1305"/>
      <c r="H1305"/>
      <c r="W1305"/>
    </row>
    <row r="1306" spans="1:23" x14ac:dyDescent="0.25">
      <c r="A1306"/>
      <c r="B1306"/>
      <c r="C1306"/>
      <c r="D1306"/>
      <c r="E1306"/>
      <c r="F1306"/>
      <c r="G1306"/>
      <c r="H1306"/>
      <c r="W1306"/>
    </row>
    <row r="1307" spans="1:23" x14ac:dyDescent="0.25">
      <c r="A1307"/>
      <c r="B1307"/>
      <c r="C1307"/>
      <c r="D1307"/>
      <c r="E1307"/>
      <c r="F1307"/>
      <c r="G1307"/>
      <c r="H1307"/>
      <c r="W1307"/>
    </row>
    <row r="1308" spans="1:23" x14ac:dyDescent="0.25">
      <c r="A1308"/>
      <c r="B1308"/>
      <c r="C1308"/>
      <c r="D1308"/>
      <c r="E1308"/>
      <c r="F1308"/>
      <c r="G1308"/>
      <c r="H1308"/>
      <c r="W1308"/>
    </row>
    <row r="1309" spans="1:23" x14ac:dyDescent="0.25">
      <c r="A1309"/>
      <c r="B1309"/>
      <c r="C1309"/>
      <c r="D1309"/>
      <c r="E1309"/>
      <c r="F1309"/>
      <c r="G1309"/>
      <c r="H1309"/>
      <c r="W1309"/>
    </row>
    <row r="1310" spans="1:23" x14ac:dyDescent="0.25">
      <c r="A1310"/>
      <c r="B1310"/>
      <c r="C1310"/>
      <c r="D1310"/>
      <c r="E1310"/>
      <c r="F1310"/>
      <c r="G1310"/>
      <c r="H1310"/>
      <c r="W1310"/>
    </row>
    <row r="1311" spans="1:23" x14ac:dyDescent="0.25">
      <c r="A1311"/>
      <c r="B1311"/>
      <c r="C1311"/>
      <c r="D1311"/>
      <c r="E1311"/>
      <c r="F1311"/>
      <c r="G1311"/>
      <c r="H1311"/>
      <c r="W1311"/>
    </row>
    <row r="1312" spans="1:23" x14ac:dyDescent="0.25">
      <c r="A1312"/>
      <c r="B1312"/>
      <c r="C1312"/>
      <c r="D1312"/>
      <c r="E1312"/>
      <c r="F1312"/>
      <c r="G1312"/>
      <c r="H1312"/>
      <c r="W1312"/>
    </row>
    <row r="1313" spans="1:23" x14ac:dyDescent="0.25">
      <c r="A1313"/>
      <c r="B1313"/>
      <c r="C1313"/>
      <c r="D1313"/>
      <c r="E1313"/>
      <c r="F1313"/>
      <c r="G1313"/>
      <c r="H1313"/>
      <c r="W1313"/>
    </row>
    <row r="1314" spans="1:23" x14ac:dyDescent="0.25">
      <c r="A1314"/>
      <c r="B1314"/>
      <c r="C1314"/>
      <c r="D1314"/>
      <c r="E1314"/>
      <c r="F1314"/>
      <c r="G1314"/>
      <c r="H1314"/>
      <c r="W1314"/>
    </row>
    <row r="1315" spans="1:23" x14ac:dyDescent="0.25">
      <c r="A1315"/>
      <c r="B1315"/>
      <c r="C1315"/>
      <c r="D1315"/>
      <c r="E1315"/>
      <c r="F1315"/>
      <c r="G1315"/>
      <c r="H1315"/>
      <c r="W1315"/>
    </row>
    <row r="1316" spans="1:23" x14ac:dyDescent="0.25">
      <c r="A1316"/>
      <c r="B1316"/>
      <c r="C1316"/>
      <c r="D1316"/>
      <c r="E1316"/>
      <c r="F1316"/>
      <c r="G1316"/>
      <c r="H1316"/>
      <c r="W1316"/>
    </row>
    <row r="1317" spans="1:23" x14ac:dyDescent="0.25">
      <c r="A1317"/>
      <c r="B1317"/>
      <c r="C1317"/>
      <c r="D1317"/>
      <c r="E1317"/>
      <c r="F1317"/>
      <c r="G1317"/>
      <c r="H1317"/>
      <c r="W1317"/>
    </row>
    <row r="1318" spans="1:23" x14ac:dyDescent="0.25">
      <c r="A1318"/>
      <c r="B1318"/>
      <c r="C1318"/>
      <c r="D1318"/>
      <c r="E1318"/>
      <c r="F1318"/>
      <c r="G1318"/>
      <c r="H1318"/>
      <c r="W1318"/>
    </row>
    <row r="1319" spans="1:23" x14ac:dyDescent="0.25">
      <c r="A1319"/>
      <c r="B1319"/>
      <c r="C1319"/>
      <c r="D1319"/>
      <c r="E1319"/>
      <c r="F1319"/>
      <c r="G1319"/>
      <c r="H1319"/>
      <c r="W1319"/>
    </row>
    <row r="1320" spans="1:23" x14ac:dyDescent="0.25">
      <c r="A1320"/>
      <c r="B1320"/>
      <c r="C1320"/>
      <c r="D1320"/>
      <c r="E1320"/>
      <c r="F1320"/>
      <c r="G1320"/>
      <c r="H1320"/>
      <c r="W1320"/>
    </row>
    <row r="1321" spans="1:23" x14ac:dyDescent="0.25">
      <c r="A1321"/>
      <c r="B1321"/>
      <c r="C1321"/>
      <c r="D1321"/>
      <c r="E1321"/>
      <c r="F1321"/>
      <c r="G1321"/>
      <c r="H1321"/>
      <c r="W1321"/>
    </row>
    <row r="1322" spans="1:23" x14ac:dyDescent="0.25">
      <c r="A1322"/>
      <c r="B1322"/>
      <c r="C1322"/>
      <c r="D1322"/>
      <c r="E1322"/>
      <c r="F1322"/>
      <c r="G1322"/>
      <c r="H1322"/>
      <c r="W1322"/>
    </row>
    <row r="1323" spans="1:23" x14ac:dyDescent="0.25">
      <c r="A1323"/>
      <c r="B1323"/>
      <c r="C1323"/>
      <c r="D1323"/>
      <c r="E1323"/>
      <c r="F1323"/>
      <c r="G1323"/>
      <c r="H1323"/>
      <c r="W1323"/>
    </row>
    <row r="1324" spans="1:23" x14ac:dyDescent="0.25">
      <c r="A1324"/>
      <c r="B1324"/>
      <c r="C1324"/>
      <c r="D1324"/>
      <c r="E1324"/>
      <c r="F1324"/>
      <c r="G1324"/>
      <c r="H1324"/>
      <c r="W1324"/>
    </row>
    <row r="1325" spans="1:23" x14ac:dyDescent="0.25">
      <c r="A1325"/>
      <c r="B1325"/>
      <c r="C1325"/>
      <c r="D1325"/>
      <c r="E1325"/>
      <c r="F1325"/>
      <c r="G1325"/>
      <c r="H1325"/>
      <c r="W1325"/>
    </row>
    <row r="1326" spans="1:23" x14ac:dyDescent="0.25">
      <c r="A1326"/>
      <c r="B1326"/>
      <c r="C1326"/>
      <c r="D1326"/>
      <c r="E1326"/>
      <c r="F1326"/>
      <c r="G1326"/>
      <c r="H1326"/>
      <c r="W1326"/>
    </row>
    <row r="1327" spans="1:23" x14ac:dyDescent="0.25">
      <c r="A1327"/>
      <c r="B1327"/>
      <c r="C1327"/>
      <c r="D1327"/>
      <c r="E1327"/>
      <c r="F1327"/>
      <c r="G1327"/>
      <c r="H1327"/>
      <c r="W1327"/>
    </row>
    <row r="1328" spans="1:23" x14ac:dyDescent="0.25">
      <c r="A1328"/>
      <c r="B1328"/>
      <c r="C1328"/>
      <c r="D1328"/>
      <c r="E1328"/>
      <c r="F1328"/>
      <c r="G1328"/>
      <c r="H1328"/>
      <c r="W1328"/>
    </row>
    <row r="1329" spans="1:23" x14ac:dyDescent="0.25">
      <c r="A1329"/>
      <c r="B1329"/>
      <c r="C1329"/>
      <c r="D1329"/>
      <c r="E1329"/>
      <c r="F1329"/>
      <c r="G1329"/>
      <c r="H1329"/>
      <c r="W1329"/>
    </row>
    <row r="1330" spans="1:23" x14ac:dyDescent="0.25">
      <c r="A1330"/>
      <c r="B1330"/>
      <c r="C1330"/>
      <c r="D1330"/>
      <c r="E1330"/>
      <c r="F1330"/>
      <c r="G1330"/>
      <c r="H1330"/>
      <c r="W1330"/>
    </row>
    <row r="1331" spans="1:23" x14ac:dyDescent="0.25">
      <c r="A1331"/>
      <c r="B1331"/>
      <c r="C1331"/>
      <c r="D1331"/>
      <c r="E1331"/>
      <c r="F1331"/>
      <c r="G1331"/>
      <c r="H1331"/>
      <c r="W1331"/>
    </row>
    <row r="1332" spans="1:23" x14ac:dyDescent="0.25">
      <c r="A1332"/>
      <c r="B1332"/>
      <c r="C1332"/>
      <c r="D1332"/>
      <c r="E1332"/>
      <c r="F1332"/>
      <c r="G1332"/>
      <c r="H1332"/>
      <c r="W1332"/>
    </row>
    <row r="1333" spans="1:23" x14ac:dyDescent="0.25">
      <c r="A1333"/>
      <c r="B1333"/>
      <c r="C1333"/>
      <c r="D1333"/>
      <c r="E1333"/>
      <c r="F1333"/>
      <c r="G1333"/>
      <c r="H1333"/>
      <c r="W1333"/>
    </row>
    <row r="1334" spans="1:23" x14ac:dyDescent="0.25">
      <c r="A1334"/>
      <c r="B1334"/>
      <c r="C1334"/>
      <c r="D1334"/>
      <c r="E1334"/>
      <c r="F1334"/>
      <c r="G1334"/>
      <c r="H1334"/>
      <c r="W1334"/>
    </row>
    <row r="1335" spans="1:23" x14ac:dyDescent="0.25">
      <c r="A1335"/>
      <c r="B1335"/>
      <c r="C1335"/>
      <c r="D1335"/>
      <c r="E1335"/>
      <c r="F1335"/>
      <c r="G1335"/>
      <c r="H1335"/>
      <c r="W1335"/>
    </row>
    <row r="1336" spans="1:23" x14ac:dyDescent="0.25">
      <c r="A1336"/>
      <c r="B1336"/>
      <c r="C1336"/>
      <c r="D1336"/>
      <c r="E1336"/>
      <c r="F1336"/>
      <c r="G1336"/>
      <c r="H1336"/>
      <c r="W1336"/>
    </row>
    <row r="1337" spans="1:23" x14ac:dyDescent="0.25">
      <c r="A1337"/>
      <c r="B1337"/>
      <c r="C1337"/>
      <c r="D1337"/>
      <c r="E1337"/>
      <c r="F1337"/>
      <c r="G1337"/>
      <c r="H1337"/>
      <c r="W1337"/>
    </row>
    <row r="1338" spans="1:23" x14ac:dyDescent="0.25">
      <c r="A1338"/>
      <c r="B1338"/>
      <c r="C1338"/>
      <c r="D1338"/>
      <c r="E1338"/>
      <c r="F1338"/>
      <c r="G1338"/>
      <c r="H1338"/>
      <c r="W1338"/>
    </row>
    <row r="1339" spans="1:23" x14ac:dyDescent="0.25">
      <c r="A1339"/>
      <c r="B1339"/>
      <c r="C1339"/>
      <c r="D1339"/>
      <c r="E1339"/>
      <c r="F1339"/>
      <c r="G1339"/>
      <c r="H1339"/>
      <c r="W1339"/>
    </row>
    <row r="1340" spans="1:23" x14ac:dyDescent="0.25">
      <c r="A1340"/>
      <c r="B1340"/>
      <c r="C1340"/>
      <c r="D1340"/>
      <c r="E1340"/>
      <c r="F1340"/>
      <c r="G1340"/>
      <c r="H1340"/>
      <c r="W1340"/>
    </row>
    <row r="1341" spans="1:23" x14ac:dyDescent="0.25">
      <c r="A1341"/>
      <c r="B1341"/>
      <c r="C1341"/>
      <c r="D1341"/>
      <c r="E1341"/>
      <c r="F1341"/>
      <c r="G1341"/>
      <c r="H1341"/>
      <c r="W1341"/>
    </row>
    <row r="1342" spans="1:23" x14ac:dyDescent="0.25">
      <c r="A1342"/>
      <c r="B1342"/>
      <c r="C1342"/>
      <c r="D1342"/>
      <c r="E1342"/>
      <c r="F1342"/>
      <c r="G1342"/>
      <c r="H1342"/>
      <c r="W1342"/>
    </row>
    <row r="1343" spans="1:23" x14ac:dyDescent="0.25">
      <c r="A1343"/>
      <c r="B1343"/>
      <c r="C1343"/>
      <c r="D1343"/>
      <c r="E1343"/>
      <c r="F1343"/>
      <c r="G1343"/>
      <c r="H1343"/>
      <c r="W1343"/>
    </row>
    <row r="1344" spans="1:23" x14ac:dyDescent="0.25">
      <c r="A1344"/>
      <c r="B1344"/>
      <c r="C1344"/>
      <c r="D1344"/>
      <c r="E1344"/>
      <c r="F1344"/>
      <c r="G1344"/>
      <c r="H1344"/>
      <c r="W1344"/>
    </row>
    <row r="1345" spans="1:23" x14ac:dyDescent="0.25">
      <c r="A1345"/>
      <c r="B1345"/>
      <c r="C1345"/>
      <c r="D1345"/>
      <c r="E1345"/>
      <c r="F1345"/>
      <c r="G1345"/>
      <c r="H1345"/>
      <c r="W1345"/>
    </row>
    <row r="1346" spans="1:23" x14ac:dyDescent="0.25">
      <c r="A1346"/>
      <c r="B1346"/>
      <c r="C1346"/>
      <c r="D1346"/>
      <c r="E1346"/>
      <c r="F1346"/>
      <c r="G1346"/>
      <c r="H1346"/>
      <c r="W1346"/>
    </row>
    <row r="1347" spans="1:23" x14ac:dyDescent="0.25">
      <c r="A1347"/>
      <c r="B1347"/>
      <c r="C1347"/>
      <c r="D1347"/>
      <c r="E1347"/>
      <c r="F1347"/>
      <c r="G1347"/>
      <c r="H1347"/>
      <c r="W1347"/>
    </row>
    <row r="1348" spans="1:23" x14ac:dyDescent="0.25">
      <c r="A1348"/>
      <c r="B1348"/>
      <c r="C1348"/>
      <c r="D1348"/>
      <c r="E1348"/>
      <c r="F1348"/>
      <c r="G1348"/>
      <c r="H1348"/>
      <c r="W1348"/>
    </row>
    <row r="1349" spans="1:23" x14ac:dyDescent="0.25">
      <c r="A1349"/>
      <c r="B1349"/>
      <c r="C1349"/>
      <c r="D1349"/>
      <c r="E1349"/>
      <c r="F1349"/>
      <c r="G1349"/>
      <c r="H1349"/>
      <c r="W1349"/>
    </row>
    <row r="1350" spans="1:23" x14ac:dyDescent="0.25">
      <c r="A1350"/>
      <c r="B1350"/>
      <c r="C1350"/>
      <c r="D1350"/>
      <c r="E1350"/>
      <c r="F1350"/>
      <c r="G1350"/>
      <c r="H1350"/>
      <c r="W1350"/>
    </row>
    <row r="1351" spans="1:23" x14ac:dyDescent="0.25">
      <c r="A1351"/>
      <c r="B1351"/>
      <c r="C1351"/>
      <c r="D1351"/>
      <c r="E1351"/>
      <c r="F1351"/>
      <c r="G1351"/>
      <c r="H1351"/>
      <c r="W1351"/>
    </row>
    <row r="1352" spans="1:23" x14ac:dyDescent="0.25">
      <c r="A1352"/>
      <c r="B1352"/>
      <c r="C1352"/>
      <c r="D1352"/>
      <c r="E1352"/>
      <c r="F1352"/>
      <c r="G1352"/>
      <c r="H1352"/>
      <c r="W1352"/>
    </row>
    <row r="1353" spans="1:23" x14ac:dyDescent="0.25">
      <c r="A1353"/>
      <c r="B1353"/>
      <c r="C1353"/>
      <c r="D1353"/>
      <c r="E1353"/>
      <c r="F1353"/>
      <c r="G1353"/>
      <c r="H1353"/>
      <c r="W1353"/>
    </row>
    <row r="1354" spans="1:23" x14ac:dyDescent="0.25">
      <c r="A1354"/>
      <c r="B1354"/>
      <c r="C1354"/>
      <c r="D1354"/>
      <c r="E1354"/>
      <c r="F1354"/>
      <c r="G1354"/>
      <c r="H1354"/>
      <c r="W1354"/>
    </row>
    <row r="1355" spans="1:23" x14ac:dyDescent="0.25">
      <c r="A1355"/>
      <c r="B1355"/>
      <c r="C1355"/>
      <c r="D1355"/>
      <c r="E1355"/>
      <c r="F1355"/>
      <c r="G1355"/>
      <c r="H1355"/>
      <c r="W1355"/>
    </row>
    <row r="1356" spans="1:23" x14ac:dyDescent="0.25">
      <c r="A1356"/>
      <c r="B1356"/>
      <c r="C1356"/>
      <c r="D1356"/>
      <c r="E1356"/>
      <c r="F1356"/>
      <c r="G1356"/>
      <c r="H1356"/>
      <c r="W1356"/>
    </row>
    <row r="1357" spans="1:23" x14ac:dyDescent="0.25">
      <c r="A1357"/>
      <c r="B1357"/>
      <c r="C1357"/>
      <c r="D1357"/>
      <c r="E1357"/>
      <c r="F1357"/>
      <c r="G1357"/>
      <c r="H1357"/>
      <c r="W1357"/>
    </row>
    <row r="1358" spans="1:23" x14ac:dyDescent="0.25">
      <c r="A1358"/>
      <c r="B1358"/>
      <c r="C1358"/>
      <c r="D1358"/>
      <c r="E1358"/>
      <c r="F1358"/>
      <c r="G1358"/>
      <c r="H1358"/>
      <c r="W1358"/>
    </row>
    <row r="1359" spans="1:23" x14ac:dyDescent="0.25">
      <c r="A1359"/>
      <c r="B1359"/>
      <c r="C1359"/>
      <c r="D1359"/>
      <c r="E1359"/>
      <c r="F1359"/>
      <c r="G1359"/>
      <c r="H1359"/>
      <c r="W1359"/>
    </row>
    <row r="1360" spans="1:23" x14ac:dyDescent="0.25">
      <c r="A1360"/>
      <c r="B1360"/>
      <c r="C1360"/>
      <c r="D1360"/>
      <c r="E1360"/>
      <c r="F1360"/>
      <c r="G1360"/>
      <c r="H1360"/>
      <c r="W1360"/>
    </row>
    <row r="1361" spans="1:23" x14ac:dyDescent="0.25">
      <c r="A1361"/>
      <c r="B1361"/>
      <c r="C1361"/>
      <c r="D1361"/>
      <c r="E1361"/>
      <c r="F1361"/>
      <c r="G1361"/>
      <c r="H1361"/>
      <c r="W1361"/>
    </row>
    <row r="1362" spans="1:23" x14ac:dyDescent="0.25">
      <c r="A1362"/>
      <c r="B1362"/>
      <c r="C1362"/>
      <c r="D1362"/>
      <c r="E1362"/>
      <c r="F1362"/>
      <c r="G1362"/>
      <c r="H1362"/>
      <c r="W1362"/>
    </row>
    <row r="1363" spans="1:23" x14ac:dyDescent="0.25">
      <c r="A1363"/>
      <c r="B1363"/>
      <c r="C1363"/>
      <c r="D1363"/>
      <c r="E1363"/>
      <c r="F1363"/>
      <c r="G1363"/>
      <c r="H1363"/>
      <c r="W1363"/>
    </row>
    <row r="1364" spans="1:23" x14ac:dyDescent="0.25">
      <c r="A1364"/>
      <c r="B1364"/>
      <c r="C1364"/>
      <c r="D1364"/>
      <c r="E1364"/>
      <c r="F1364"/>
      <c r="G1364"/>
      <c r="H1364"/>
      <c r="W1364"/>
    </row>
    <row r="1365" spans="1:23" x14ac:dyDescent="0.25">
      <c r="A1365"/>
      <c r="B1365"/>
      <c r="C1365"/>
      <c r="D1365"/>
      <c r="E1365"/>
      <c r="F1365"/>
      <c r="G1365"/>
      <c r="H1365"/>
      <c r="W1365"/>
    </row>
    <row r="1366" spans="1:23" x14ac:dyDescent="0.25">
      <c r="A1366"/>
      <c r="B1366"/>
      <c r="C1366"/>
      <c r="D1366"/>
      <c r="E1366"/>
      <c r="F1366"/>
      <c r="G1366"/>
      <c r="H1366"/>
      <c r="W1366"/>
    </row>
    <row r="1367" spans="1:23" x14ac:dyDescent="0.25">
      <c r="A1367"/>
      <c r="B1367"/>
      <c r="C1367"/>
      <c r="D1367"/>
      <c r="E1367"/>
      <c r="F1367"/>
      <c r="G1367"/>
      <c r="H1367"/>
      <c r="W1367"/>
    </row>
    <row r="1368" spans="1:23" x14ac:dyDescent="0.25">
      <c r="A1368"/>
      <c r="B1368"/>
      <c r="C1368"/>
      <c r="D1368"/>
      <c r="E1368"/>
      <c r="F1368"/>
      <c r="G1368"/>
      <c r="H1368"/>
      <c r="W1368"/>
    </row>
    <row r="1369" spans="1:23" x14ac:dyDescent="0.25">
      <c r="A1369"/>
      <c r="B1369"/>
      <c r="C1369"/>
      <c r="D1369"/>
      <c r="E1369"/>
      <c r="F1369"/>
      <c r="G1369"/>
      <c r="H1369"/>
      <c r="W1369"/>
    </row>
    <row r="1370" spans="1:23" x14ac:dyDescent="0.25">
      <c r="A1370"/>
      <c r="B1370"/>
      <c r="C1370"/>
      <c r="D1370"/>
      <c r="E1370"/>
      <c r="F1370"/>
      <c r="G1370"/>
      <c r="H1370"/>
      <c r="W1370"/>
    </row>
    <row r="1371" spans="1:23" x14ac:dyDescent="0.25">
      <c r="A1371"/>
      <c r="B1371"/>
      <c r="C1371"/>
      <c r="D1371"/>
      <c r="E1371"/>
      <c r="F1371"/>
      <c r="G1371"/>
      <c r="H1371"/>
      <c r="W1371"/>
    </row>
    <row r="1372" spans="1:23" x14ac:dyDescent="0.25">
      <c r="A1372"/>
      <c r="B1372"/>
      <c r="C1372"/>
      <c r="D1372"/>
      <c r="E1372"/>
      <c r="F1372"/>
      <c r="G1372"/>
      <c r="H1372"/>
      <c r="W1372"/>
    </row>
    <row r="1373" spans="1:23" x14ac:dyDescent="0.25">
      <c r="A1373"/>
      <c r="B1373"/>
      <c r="C1373"/>
      <c r="D1373"/>
      <c r="E1373"/>
      <c r="F1373"/>
      <c r="G1373"/>
      <c r="H1373"/>
      <c r="W1373"/>
    </row>
    <row r="1374" spans="1:23" x14ac:dyDescent="0.25">
      <c r="A1374"/>
      <c r="B1374"/>
      <c r="C1374"/>
      <c r="D1374"/>
      <c r="E1374"/>
      <c r="F1374"/>
      <c r="G1374"/>
      <c r="H1374"/>
      <c r="W1374"/>
    </row>
    <row r="1375" spans="1:23" x14ac:dyDescent="0.25">
      <c r="A1375"/>
      <c r="B1375"/>
      <c r="C1375"/>
      <c r="D1375"/>
      <c r="E1375"/>
      <c r="F1375"/>
      <c r="G1375"/>
      <c r="H1375"/>
      <c r="W1375"/>
    </row>
    <row r="1376" spans="1:23" x14ac:dyDescent="0.25">
      <c r="A1376"/>
      <c r="B1376"/>
      <c r="C1376"/>
      <c r="D1376"/>
      <c r="E1376"/>
      <c r="F1376"/>
      <c r="G1376"/>
      <c r="H1376"/>
      <c r="W1376"/>
    </row>
    <row r="1377" spans="1:23" x14ac:dyDescent="0.25">
      <c r="A1377"/>
      <c r="B1377"/>
      <c r="C1377"/>
      <c r="D1377"/>
      <c r="E1377"/>
      <c r="F1377"/>
      <c r="G1377"/>
      <c r="H1377"/>
      <c r="W1377"/>
    </row>
    <row r="1378" spans="1:23" x14ac:dyDescent="0.25">
      <c r="A1378"/>
      <c r="B1378"/>
      <c r="C1378"/>
      <c r="D1378"/>
      <c r="E1378"/>
      <c r="F1378"/>
      <c r="G1378"/>
      <c r="H1378"/>
      <c r="W1378"/>
    </row>
    <row r="1379" spans="1:23" x14ac:dyDescent="0.25">
      <c r="A1379"/>
      <c r="B1379"/>
      <c r="C1379"/>
      <c r="D1379"/>
      <c r="E1379"/>
      <c r="F1379"/>
      <c r="G1379"/>
      <c r="H1379"/>
      <c r="W1379"/>
    </row>
    <row r="1380" spans="1:23" x14ac:dyDescent="0.25">
      <c r="A1380"/>
      <c r="B1380"/>
      <c r="C1380"/>
      <c r="D1380"/>
      <c r="E1380"/>
      <c r="F1380"/>
      <c r="G1380"/>
      <c r="H1380"/>
      <c r="W1380"/>
    </row>
    <row r="1381" spans="1:23" x14ac:dyDescent="0.25">
      <c r="A1381"/>
      <c r="B1381"/>
      <c r="C1381"/>
      <c r="D1381"/>
      <c r="E1381"/>
      <c r="F1381"/>
      <c r="G1381"/>
      <c r="H1381"/>
      <c r="W1381"/>
    </row>
    <row r="1382" spans="1:23" x14ac:dyDescent="0.25">
      <c r="A1382"/>
      <c r="B1382"/>
      <c r="C1382"/>
      <c r="D1382"/>
      <c r="E1382"/>
      <c r="F1382"/>
      <c r="G1382"/>
      <c r="H1382"/>
      <c r="W1382"/>
    </row>
    <row r="1383" spans="1:23" x14ac:dyDescent="0.25">
      <c r="A1383"/>
      <c r="B1383"/>
      <c r="C1383"/>
      <c r="D1383"/>
      <c r="E1383"/>
      <c r="F1383"/>
      <c r="G1383"/>
      <c r="H1383"/>
      <c r="W1383"/>
    </row>
    <row r="1384" spans="1:23" x14ac:dyDescent="0.25">
      <c r="A1384"/>
      <c r="B1384"/>
      <c r="C1384"/>
      <c r="D1384"/>
      <c r="E1384"/>
      <c r="F1384"/>
      <c r="G1384"/>
      <c r="H1384"/>
      <c r="W1384"/>
    </row>
    <row r="1385" spans="1:23" x14ac:dyDescent="0.25">
      <c r="A1385"/>
      <c r="B1385"/>
      <c r="C1385"/>
      <c r="D1385"/>
      <c r="E1385"/>
      <c r="F1385"/>
      <c r="G1385"/>
      <c r="H1385"/>
      <c r="W1385"/>
    </row>
    <row r="1386" spans="1:23" x14ac:dyDescent="0.25">
      <c r="A1386"/>
      <c r="B1386"/>
      <c r="C1386"/>
      <c r="D1386"/>
      <c r="E1386"/>
      <c r="F1386"/>
      <c r="G1386"/>
      <c r="H1386"/>
      <c r="W1386"/>
    </row>
    <row r="1387" spans="1:23" x14ac:dyDescent="0.25">
      <c r="A1387"/>
      <c r="B1387"/>
      <c r="C1387"/>
      <c r="D1387"/>
      <c r="E1387"/>
      <c r="F1387"/>
      <c r="G1387"/>
      <c r="H1387"/>
      <c r="W1387"/>
    </row>
    <row r="1388" spans="1:23" x14ac:dyDescent="0.25">
      <c r="A1388"/>
      <c r="B1388"/>
      <c r="C1388"/>
      <c r="D1388"/>
      <c r="E1388"/>
      <c r="F1388"/>
      <c r="G1388"/>
      <c r="H1388"/>
      <c r="W1388"/>
    </row>
    <row r="1389" spans="1:23" x14ac:dyDescent="0.25">
      <c r="A1389"/>
      <c r="B1389"/>
      <c r="C1389"/>
      <c r="D1389"/>
      <c r="E1389"/>
      <c r="F1389"/>
      <c r="G1389"/>
      <c r="H1389"/>
      <c r="W1389"/>
    </row>
    <row r="1390" spans="1:23" x14ac:dyDescent="0.25">
      <c r="A1390"/>
      <c r="B1390"/>
      <c r="C1390"/>
      <c r="D1390"/>
      <c r="E1390"/>
      <c r="F1390"/>
      <c r="G1390"/>
      <c r="H1390"/>
      <c r="W1390"/>
    </row>
    <row r="1391" spans="1:23" x14ac:dyDescent="0.25">
      <c r="A1391"/>
      <c r="B1391"/>
      <c r="C1391"/>
      <c r="D1391"/>
      <c r="E1391"/>
      <c r="F1391"/>
      <c r="G1391"/>
      <c r="H1391"/>
      <c r="W1391"/>
    </row>
    <row r="1392" spans="1:23" x14ac:dyDescent="0.25">
      <c r="A1392"/>
      <c r="B1392"/>
      <c r="C1392"/>
      <c r="D1392"/>
      <c r="E1392"/>
      <c r="F1392"/>
      <c r="G1392"/>
      <c r="H1392"/>
      <c r="W1392"/>
    </row>
    <row r="1393" spans="1:23" x14ac:dyDescent="0.25">
      <c r="A1393"/>
      <c r="B1393"/>
      <c r="C1393"/>
      <c r="D1393"/>
      <c r="E1393"/>
      <c r="F1393"/>
      <c r="G1393"/>
      <c r="H1393"/>
      <c r="W1393"/>
    </row>
    <row r="1394" spans="1:23" x14ac:dyDescent="0.25">
      <c r="A1394"/>
      <c r="B1394"/>
      <c r="C1394"/>
      <c r="D1394"/>
      <c r="E1394"/>
      <c r="F1394"/>
      <c r="G1394"/>
      <c r="H1394"/>
      <c r="W1394"/>
    </row>
    <row r="1395" spans="1:23" x14ac:dyDescent="0.25">
      <c r="A1395"/>
      <c r="B1395"/>
      <c r="C1395"/>
      <c r="D1395"/>
      <c r="E1395"/>
      <c r="F1395"/>
      <c r="G1395"/>
      <c r="H1395"/>
      <c r="W1395"/>
    </row>
    <row r="1396" spans="1:23" x14ac:dyDescent="0.25">
      <c r="A1396"/>
      <c r="B1396"/>
      <c r="C1396"/>
      <c r="D1396"/>
      <c r="E1396"/>
      <c r="F1396"/>
      <c r="G1396"/>
      <c r="H1396"/>
      <c r="W1396"/>
    </row>
    <row r="1397" spans="1:23" x14ac:dyDescent="0.25">
      <c r="A1397"/>
      <c r="B1397"/>
      <c r="C1397"/>
      <c r="D1397"/>
      <c r="E1397"/>
      <c r="F1397"/>
      <c r="G1397"/>
      <c r="H1397"/>
      <c r="W1397"/>
    </row>
    <row r="1398" spans="1:23" x14ac:dyDescent="0.25">
      <c r="A1398"/>
      <c r="B1398"/>
      <c r="C1398"/>
      <c r="D1398"/>
      <c r="E1398"/>
      <c r="F1398"/>
      <c r="G1398"/>
      <c r="H1398"/>
      <c r="W1398"/>
    </row>
    <row r="1399" spans="1:23" x14ac:dyDescent="0.25">
      <c r="A1399"/>
      <c r="B1399"/>
      <c r="C1399"/>
      <c r="D1399"/>
      <c r="E1399"/>
      <c r="F1399"/>
      <c r="G1399"/>
      <c r="H1399"/>
      <c r="W1399"/>
    </row>
    <row r="1400" spans="1:23" x14ac:dyDescent="0.25">
      <c r="A1400"/>
      <c r="B1400"/>
      <c r="C1400"/>
      <c r="D1400"/>
      <c r="E1400"/>
      <c r="F1400"/>
      <c r="G1400"/>
      <c r="H1400"/>
      <c r="W1400"/>
    </row>
    <row r="1401" spans="1:23" x14ac:dyDescent="0.25">
      <c r="A1401"/>
      <c r="B1401"/>
      <c r="C1401"/>
      <c r="D1401"/>
      <c r="E1401"/>
      <c r="F1401"/>
      <c r="G1401"/>
      <c r="H1401"/>
      <c r="W1401"/>
    </row>
    <row r="1402" spans="1:23" x14ac:dyDescent="0.25">
      <c r="A1402"/>
      <c r="B1402"/>
      <c r="C1402"/>
      <c r="D1402"/>
      <c r="E1402"/>
      <c r="F1402"/>
      <c r="G1402"/>
      <c r="H1402"/>
      <c r="W1402"/>
    </row>
    <row r="1403" spans="1:23" x14ac:dyDescent="0.25">
      <c r="A1403"/>
      <c r="B1403"/>
      <c r="C1403"/>
      <c r="D1403"/>
      <c r="E1403"/>
      <c r="F1403"/>
      <c r="G1403"/>
      <c r="H1403"/>
      <c r="W1403"/>
    </row>
    <row r="1404" spans="1:23" x14ac:dyDescent="0.25">
      <c r="A1404"/>
      <c r="B1404"/>
      <c r="C1404"/>
      <c r="D1404"/>
      <c r="E1404"/>
      <c r="F1404"/>
      <c r="G1404"/>
      <c r="H1404"/>
      <c r="W1404"/>
    </row>
    <row r="1405" spans="1:23" x14ac:dyDescent="0.25">
      <c r="A1405"/>
      <c r="B1405"/>
      <c r="C1405"/>
      <c r="D1405"/>
      <c r="E1405"/>
      <c r="F1405"/>
      <c r="G1405"/>
      <c r="H1405"/>
      <c r="W1405"/>
    </row>
    <row r="1406" spans="1:23" x14ac:dyDescent="0.25">
      <c r="A1406"/>
      <c r="B1406"/>
      <c r="C1406"/>
      <c r="D1406"/>
      <c r="E1406"/>
      <c r="F1406"/>
      <c r="G1406"/>
      <c r="H1406"/>
      <c r="W1406"/>
    </row>
    <row r="1407" spans="1:23" x14ac:dyDescent="0.25">
      <c r="A1407"/>
      <c r="B1407"/>
      <c r="C1407"/>
      <c r="D1407"/>
      <c r="E1407"/>
      <c r="F1407"/>
      <c r="G1407"/>
      <c r="H1407"/>
      <c r="W1407"/>
    </row>
    <row r="1408" spans="1:23" x14ac:dyDescent="0.25">
      <c r="A1408"/>
      <c r="B1408"/>
      <c r="C1408"/>
      <c r="D1408"/>
      <c r="E1408"/>
      <c r="F1408"/>
      <c r="G1408"/>
      <c r="H1408"/>
      <c r="W1408"/>
    </row>
    <row r="1409" spans="1:23" x14ac:dyDescent="0.25">
      <c r="A1409"/>
      <c r="B1409"/>
      <c r="C1409"/>
      <c r="D1409"/>
      <c r="E1409"/>
      <c r="F1409"/>
      <c r="G1409"/>
      <c r="H1409"/>
      <c r="W1409"/>
    </row>
    <row r="1410" spans="1:23" x14ac:dyDescent="0.25">
      <c r="A1410"/>
      <c r="B1410"/>
      <c r="C1410"/>
      <c r="D1410"/>
      <c r="E1410"/>
      <c r="F1410"/>
      <c r="G1410"/>
      <c r="H1410"/>
      <c r="W1410"/>
    </row>
    <row r="1411" spans="1:23" x14ac:dyDescent="0.25">
      <c r="A1411"/>
      <c r="B1411"/>
      <c r="C1411"/>
      <c r="D1411"/>
      <c r="E1411"/>
      <c r="F1411"/>
      <c r="G1411"/>
      <c r="H1411"/>
      <c r="W1411"/>
    </row>
    <row r="1412" spans="1:23" x14ac:dyDescent="0.25">
      <c r="A1412"/>
      <c r="B1412"/>
      <c r="C1412"/>
      <c r="D1412"/>
      <c r="E1412"/>
      <c r="F1412"/>
      <c r="G1412"/>
      <c r="H1412"/>
      <c r="W1412"/>
    </row>
    <row r="1413" spans="1:23" x14ac:dyDescent="0.25">
      <c r="A1413"/>
      <c r="B1413"/>
      <c r="C1413"/>
      <c r="D1413"/>
      <c r="E1413"/>
      <c r="F1413"/>
      <c r="G1413"/>
      <c r="H1413"/>
      <c r="W1413"/>
    </row>
    <row r="1414" spans="1:23" x14ac:dyDescent="0.25">
      <c r="A1414"/>
      <c r="B1414"/>
      <c r="C1414"/>
      <c r="D1414"/>
      <c r="E1414"/>
      <c r="F1414"/>
      <c r="G1414"/>
      <c r="H1414"/>
      <c r="W1414"/>
    </row>
    <row r="1415" spans="1:23" x14ac:dyDescent="0.25">
      <c r="A1415"/>
      <c r="B1415"/>
      <c r="C1415"/>
      <c r="D1415"/>
      <c r="E1415"/>
      <c r="F1415"/>
      <c r="G1415"/>
      <c r="H1415"/>
      <c r="W1415"/>
    </row>
    <row r="1416" spans="1:23" x14ac:dyDescent="0.25">
      <c r="A1416"/>
      <c r="B1416"/>
      <c r="C1416"/>
      <c r="D1416"/>
      <c r="E1416"/>
      <c r="F1416"/>
      <c r="G1416"/>
      <c r="H1416"/>
      <c r="W1416"/>
    </row>
    <row r="1417" spans="1:23" x14ac:dyDescent="0.25">
      <c r="A1417"/>
      <c r="B1417"/>
      <c r="C1417"/>
      <c r="D1417"/>
      <c r="E1417"/>
      <c r="F1417"/>
      <c r="G1417"/>
      <c r="H1417"/>
      <c r="W1417"/>
    </row>
    <row r="1418" spans="1:23" x14ac:dyDescent="0.25">
      <c r="A1418"/>
      <c r="B1418"/>
      <c r="C1418"/>
      <c r="D1418"/>
      <c r="E1418"/>
      <c r="F1418"/>
      <c r="G1418"/>
      <c r="H1418"/>
      <c r="W1418"/>
    </row>
    <row r="1419" spans="1:23" x14ac:dyDescent="0.25">
      <c r="A1419"/>
      <c r="B1419"/>
      <c r="C1419"/>
      <c r="D1419"/>
      <c r="E1419"/>
      <c r="F1419"/>
      <c r="G1419"/>
      <c r="H1419"/>
      <c r="W1419"/>
    </row>
    <row r="1420" spans="1:23" x14ac:dyDescent="0.25">
      <c r="A1420"/>
      <c r="B1420"/>
      <c r="C1420"/>
      <c r="D1420"/>
      <c r="E1420"/>
      <c r="F1420"/>
      <c r="G1420"/>
      <c r="H1420"/>
      <c r="W1420"/>
    </row>
    <row r="1421" spans="1:23" x14ac:dyDescent="0.25">
      <c r="A1421"/>
      <c r="B1421"/>
      <c r="C1421"/>
      <c r="D1421"/>
      <c r="E1421"/>
      <c r="F1421"/>
      <c r="G1421"/>
      <c r="H1421"/>
      <c r="W1421"/>
    </row>
    <row r="1422" spans="1:23" x14ac:dyDescent="0.25">
      <c r="A1422"/>
      <c r="B1422"/>
      <c r="C1422"/>
      <c r="D1422"/>
      <c r="E1422"/>
      <c r="F1422"/>
      <c r="G1422"/>
      <c r="H1422"/>
      <c r="W1422"/>
    </row>
    <row r="1423" spans="1:23" x14ac:dyDescent="0.25">
      <c r="A1423"/>
      <c r="B1423"/>
      <c r="C1423"/>
      <c r="D1423"/>
      <c r="E1423"/>
      <c r="F1423"/>
      <c r="G1423"/>
      <c r="H1423"/>
      <c r="W1423"/>
    </row>
    <row r="1424" spans="1:23" x14ac:dyDescent="0.25">
      <c r="A1424"/>
      <c r="B1424"/>
      <c r="C1424"/>
      <c r="D1424"/>
      <c r="E1424"/>
      <c r="F1424"/>
      <c r="G1424"/>
      <c r="H1424"/>
      <c r="W1424"/>
    </row>
    <row r="1425" spans="1:23" x14ac:dyDescent="0.25">
      <c r="A1425"/>
      <c r="B1425"/>
      <c r="C1425"/>
      <c r="D1425"/>
      <c r="E1425"/>
      <c r="F1425"/>
      <c r="G1425"/>
      <c r="H1425"/>
      <c r="W1425"/>
    </row>
    <row r="1426" spans="1:23" x14ac:dyDescent="0.25">
      <c r="A1426"/>
      <c r="B1426"/>
      <c r="C1426"/>
      <c r="D1426"/>
      <c r="E1426"/>
      <c r="F1426"/>
      <c r="G1426"/>
      <c r="H1426"/>
      <c r="W1426"/>
    </row>
    <row r="1427" spans="1:23" x14ac:dyDescent="0.25">
      <c r="A1427"/>
      <c r="B1427"/>
      <c r="C1427"/>
      <c r="D1427"/>
      <c r="E1427"/>
      <c r="F1427"/>
      <c r="G1427"/>
      <c r="H1427"/>
      <c r="W1427"/>
    </row>
    <row r="1428" spans="1:23" x14ac:dyDescent="0.25">
      <c r="A1428"/>
      <c r="B1428"/>
      <c r="C1428"/>
      <c r="D1428"/>
      <c r="E1428"/>
      <c r="F1428"/>
      <c r="G1428"/>
      <c r="H1428"/>
      <c r="W1428"/>
    </row>
    <row r="1429" spans="1:23" x14ac:dyDescent="0.25">
      <c r="A1429"/>
      <c r="B1429"/>
      <c r="C1429"/>
      <c r="D1429"/>
      <c r="E1429"/>
      <c r="F1429"/>
      <c r="G1429"/>
      <c r="H1429"/>
      <c r="W1429"/>
    </row>
    <row r="1430" spans="1:23" x14ac:dyDescent="0.25">
      <c r="A1430"/>
      <c r="B1430"/>
      <c r="C1430"/>
      <c r="D1430"/>
      <c r="E1430"/>
      <c r="F1430"/>
      <c r="G1430"/>
      <c r="H1430"/>
      <c r="W1430"/>
    </row>
    <row r="1431" spans="1:23" x14ac:dyDescent="0.25">
      <c r="A1431"/>
      <c r="B1431"/>
      <c r="C1431"/>
      <c r="D1431"/>
      <c r="E1431"/>
      <c r="F1431"/>
      <c r="G1431"/>
      <c r="H1431"/>
      <c r="W1431"/>
    </row>
    <row r="1432" spans="1:23" x14ac:dyDescent="0.25">
      <c r="A1432"/>
      <c r="B1432"/>
      <c r="C1432"/>
      <c r="D1432"/>
      <c r="E1432"/>
      <c r="F1432"/>
      <c r="G1432"/>
      <c r="H1432"/>
      <c r="W1432"/>
    </row>
    <row r="1433" spans="1:23" x14ac:dyDescent="0.25">
      <c r="A1433"/>
      <c r="B1433"/>
      <c r="C1433"/>
      <c r="D1433"/>
      <c r="E1433"/>
      <c r="F1433"/>
      <c r="G1433"/>
      <c r="H1433"/>
      <c r="W1433"/>
    </row>
    <row r="1434" spans="1:23" x14ac:dyDescent="0.25">
      <c r="A1434"/>
      <c r="B1434"/>
      <c r="C1434"/>
      <c r="D1434"/>
      <c r="E1434"/>
      <c r="F1434"/>
      <c r="G1434"/>
      <c r="H1434"/>
      <c r="W1434"/>
    </row>
    <row r="1435" spans="1:23" x14ac:dyDescent="0.25">
      <c r="A1435"/>
      <c r="B1435"/>
      <c r="C1435"/>
      <c r="D1435"/>
      <c r="E1435"/>
      <c r="F1435"/>
      <c r="G1435"/>
      <c r="H1435"/>
      <c r="W1435"/>
    </row>
    <row r="1436" spans="1:23" x14ac:dyDescent="0.25">
      <c r="A1436"/>
      <c r="B1436"/>
      <c r="C1436"/>
      <c r="D1436"/>
      <c r="E1436"/>
      <c r="F1436"/>
      <c r="G1436"/>
      <c r="H1436"/>
      <c r="W1436"/>
    </row>
    <row r="1437" spans="1:23" x14ac:dyDescent="0.25">
      <c r="A1437"/>
      <c r="B1437"/>
      <c r="C1437"/>
      <c r="D1437"/>
      <c r="E1437"/>
      <c r="F1437"/>
      <c r="G1437"/>
      <c r="H1437"/>
      <c r="W1437"/>
    </row>
    <row r="1438" spans="1:23" x14ac:dyDescent="0.25">
      <c r="A1438"/>
      <c r="B1438"/>
      <c r="C1438"/>
      <c r="D1438"/>
      <c r="E1438"/>
      <c r="F1438"/>
      <c r="G1438"/>
      <c r="H1438"/>
      <c r="W1438"/>
    </row>
    <row r="1439" spans="1:23" x14ac:dyDescent="0.25">
      <c r="A1439"/>
      <c r="B1439"/>
      <c r="C1439"/>
      <c r="D1439"/>
      <c r="E1439"/>
      <c r="F1439"/>
      <c r="G1439"/>
      <c r="H1439"/>
      <c r="W1439"/>
    </row>
    <row r="1440" spans="1:23" x14ac:dyDescent="0.25">
      <c r="A1440"/>
      <c r="B1440"/>
      <c r="C1440"/>
      <c r="D1440"/>
      <c r="E1440"/>
      <c r="F1440"/>
      <c r="G1440"/>
      <c r="H1440"/>
      <c r="W1440"/>
    </row>
    <row r="1441" spans="1:23" x14ac:dyDescent="0.25">
      <c r="A1441"/>
      <c r="B1441"/>
      <c r="C1441"/>
      <c r="D1441"/>
      <c r="E1441"/>
      <c r="F1441"/>
      <c r="G1441"/>
      <c r="H1441"/>
      <c r="W1441"/>
    </row>
    <row r="1442" spans="1:23" x14ac:dyDescent="0.25">
      <c r="A1442"/>
      <c r="B1442"/>
      <c r="C1442"/>
      <c r="D1442"/>
      <c r="E1442"/>
      <c r="F1442"/>
      <c r="G1442"/>
      <c r="H1442"/>
      <c r="W1442"/>
    </row>
    <row r="1443" spans="1:23" x14ac:dyDescent="0.25">
      <c r="A1443"/>
      <c r="B1443"/>
      <c r="C1443"/>
      <c r="D1443"/>
      <c r="E1443"/>
      <c r="F1443"/>
      <c r="G1443"/>
      <c r="H1443"/>
      <c r="W1443"/>
    </row>
    <row r="1444" spans="1:23" x14ac:dyDescent="0.25">
      <c r="A1444"/>
      <c r="B1444"/>
      <c r="C1444"/>
      <c r="D1444"/>
      <c r="E1444"/>
      <c r="F1444"/>
      <c r="G1444"/>
      <c r="H1444"/>
      <c r="W1444"/>
    </row>
    <row r="1445" spans="1:23" x14ac:dyDescent="0.25">
      <c r="A1445"/>
      <c r="B1445"/>
      <c r="C1445"/>
      <c r="D1445"/>
      <c r="E1445"/>
      <c r="F1445"/>
      <c r="G1445"/>
      <c r="H1445"/>
      <c r="W1445"/>
    </row>
    <row r="1446" spans="1:23" x14ac:dyDescent="0.25">
      <c r="A1446"/>
      <c r="B1446"/>
      <c r="C1446"/>
      <c r="D1446"/>
      <c r="E1446"/>
      <c r="F1446"/>
      <c r="G1446"/>
      <c r="H1446"/>
      <c r="W1446"/>
    </row>
    <row r="1447" spans="1:23" x14ac:dyDescent="0.25">
      <c r="A1447"/>
      <c r="B1447"/>
      <c r="C1447"/>
      <c r="D1447"/>
      <c r="E1447"/>
      <c r="F1447"/>
      <c r="G1447"/>
      <c r="H1447"/>
      <c r="W1447"/>
    </row>
    <row r="1448" spans="1:23" x14ac:dyDescent="0.25">
      <c r="A1448"/>
      <c r="B1448"/>
      <c r="C1448"/>
      <c r="D1448"/>
      <c r="E1448"/>
      <c r="F1448"/>
      <c r="G1448"/>
      <c r="H1448"/>
      <c r="W1448"/>
    </row>
    <row r="1449" spans="1:23" x14ac:dyDescent="0.25">
      <c r="A1449"/>
      <c r="B1449"/>
      <c r="C1449"/>
      <c r="D1449"/>
      <c r="E1449"/>
      <c r="F1449"/>
      <c r="G1449"/>
      <c r="H1449"/>
      <c r="W1449"/>
    </row>
    <row r="1450" spans="1:23" x14ac:dyDescent="0.25">
      <c r="A1450"/>
      <c r="B1450"/>
      <c r="C1450"/>
      <c r="D1450"/>
      <c r="E1450"/>
      <c r="F1450"/>
      <c r="G1450"/>
      <c r="H1450"/>
      <c r="W1450"/>
    </row>
    <row r="1451" spans="1:23" x14ac:dyDescent="0.25">
      <c r="A1451"/>
      <c r="B1451"/>
      <c r="C1451"/>
      <c r="D1451"/>
      <c r="E1451"/>
      <c r="F1451"/>
      <c r="G1451"/>
      <c r="H1451"/>
      <c r="W1451"/>
    </row>
    <row r="1452" spans="1:23" x14ac:dyDescent="0.25">
      <c r="A1452"/>
      <c r="B1452"/>
      <c r="C1452"/>
      <c r="D1452"/>
      <c r="E1452"/>
      <c r="F1452"/>
      <c r="G1452"/>
      <c r="H1452"/>
      <c r="W1452"/>
    </row>
    <row r="1453" spans="1:23" x14ac:dyDescent="0.25">
      <c r="A1453"/>
      <c r="B1453"/>
      <c r="C1453"/>
      <c r="D1453"/>
      <c r="E1453"/>
      <c r="F1453"/>
      <c r="G1453"/>
      <c r="H1453"/>
      <c r="W1453"/>
    </row>
    <row r="1454" spans="1:23" x14ac:dyDescent="0.25">
      <c r="A1454"/>
      <c r="B1454"/>
      <c r="C1454"/>
      <c r="D1454"/>
      <c r="E1454"/>
      <c r="F1454"/>
      <c r="G1454"/>
      <c r="H1454"/>
      <c r="W1454"/>
    </row>
    <row r="1455" spans="1:23" x14ac:dyDescent="0.25">
      <c r="A1455"/>
      <c r="B1455"/>
      <c r="C1455"/>
      <c r="D1455"/>
      <c r="E1455"/>
      <c r="F1455"/>
      <c r="G1455"/>
      <c r="H1455"/>
      <c r="W1455"/>
    </row>
    <row r="1456" spans="1:23" x14ac:dyDescent="0.25">
      <c r="A1456"/>
      <c r="B1456"/>
      <c r="C1456"/>
      <c r="D1456"/>
      <c r="E1456"/>
      <c r="F1456"/>
      <c r="G1456"/>
      <c r="H1456"/>
      <c r="W1456"/>
    </row>
    <row r="1457" spans="1:23" x14ac:dyDescent="0.25">
      <c r="A1457"/>
      <c r="B1457"/>
      <c r="C1457"/>
      <c r="D1457"/>
      <c r="E1457"/>
      <c r="F1457"/>
      <c r="G1457"/>
      <c r="H1457"/>
      <c r="W1457"/>
    </row>
    <row r="1458" spans="1:23" x14ac:dyDescent="0.25">
      <c r="A1458"/>
      <c r="B1458"/>
      <c r="C1458"/>
      <c r="D1458"/>
      <c r="E1458"/>
      <c r="F1458"/>
      <c r="G1458"/>
      <c r="H1458"/>
      <c r="W1458"/>
    </row>
    <row r="1459" spans="1:23" x14ac:dyDescent="0.25">
      <c r="A1459"/>
      <c r="B1459"/>
      <c r="C1459"/>
      <c r="D1459"/>
      <c r="E1459"/>
      <c r="F1459"/>
      <c r="G1459"/>
      <c r="H1459"/>
      <c r="W1459"/>
    </row>
    <row r="1460" spans="1:23" x14ac:dyDescent="0.25">
      <c r="A1460"/>
      <c r="B1460"/>
      <c r="C1460"/>
      <c r="D1460"/>
      <c r="E1460"/>
      <c r="F1460"/>
      <c r="G1460"/>
      <c r="H1460"/>
      <c r="W1460"/>
    </row>
    <row r="1461" spans="1:23" x14ac:dyDescent="0.25">
      <c r="A1461"/>
      <c r="B1461"/>
      <c r="C1461"/>
      <c r="D1461"/>
      <c r="E1461"/>
      <c r="F1461"/>
      <c r="G1461"/>
      <c r="H1461"/>
      <c r="W1461"/>
    </row>
    <row r="1462" spans="1:23" x14ac:dyDescent="0.25">
      <c r="A1462"/>
      <c r="B1462"/>
      <c r="C1462"/>
      <c r="D1462"/>
      <c r="E1462"/>
      <c r="F1462"/>
      <c r="G1462"/>
      <c r="H1462"/>
      <c r="W1462"/>
    </row>
    <row r="1463" spans="1:23" x14ac:dyDescent="0.25">
      <c r="A1463"/>
      <c r="B1463"/>
      <c r="C1463"/>
      <c r="D1463"/>
      <c r="E1463"/>
      <c r="F1463"/>
      <c r="G1463"/>
      <c r="H1463"/>
      <c r="W1463"/>
    </row>
    <row r="1464" spans="1:23" x14ac:dyDescent="0.25">
      <c r="A1464"/>
      <c r="B1464"/>
      <c r="C1464"/>
      <c r="D1464"/>
      <c r="E1464"/>
      <c r="F1464"/>
      <c r="G1464"/>
      <c r="H1464"/>
      <c r="W1464"/>
    </row>
    <row r="1465" spans="1:23" x14ac:dyDescent="0.25">
      <c r="A1465"/>
      <c r="B1465"/>
      <c r="C1465"/>
      <c r="D1465"/>
      <c r="E1465"/>
      <c r="F1465"/>
      <c r="G1465"/>
      <c r="H1465"/>
      <c r="W1465"/>
    </row>
    <row r="1466" spans="1:23" x14ac:dyDescent="0.25">
      <c r="A1466"/>
      <c r="B1466"/>
      <c r="C1466"/>
      <c r="D1466"/>
      <c r="E1466"/>
      <c r="F1466"/>
      <c r="G1466"/>
      <c r="H1466"/>
      <c r="W1466"/>
    </row>
    <row r="1467" spans="1:23" x14ac:dyDescent="0.25">
      <c r="A1467"/>
      <c r="B1467"/>
      <c r="C1467"/>
      <c r="D1467"/>
      <c r="E1467"/>
      <c r="F1467"/>
      <c r="G1467"/>
      <c r="H1467"/>
      <c r="W1467"/>
    </row>
    <row r="1468" spans="1:23" x14ac:dyDescent="0.25">
      <c r="A1468"/>
      <c r="B1468"/>
      <c r="C1468"/>
      <c r="D1468"/>
      <c r="E1468"/>
      <c r="F1468"/>
      <c r="G1468"/>
      <c r="H1468"/>
      <c r="W1468"/>
    </row>
    <row r="1469" spans="1:23" x14ac:dyDescent="0.25">
      <c r="A1469"/>
      <c r="B1469"/>
      <c r="C1469"/>
      <c r="D1469"/>
      <c r="E1469"/>
      <c r="F1469"/>
      <c r="G1469"/>
      <c r="H1469"/>
      <c r="W1469"/>
    </row>
    <row r="1470" spans="1:23" x14ac:dyDescent="0.25">
      <c r="A1470"/>
      <c r="B1470"/>
      <c r="C1470"/>
      <c r="D1470"/>
      <c r="E1470"/>
      <c r="F1470"/>
      <c r="G1470"/>
      <c r="H1470"/>
      <c r="W1470"/>
    </row>
    <row r="1471" spans="1:23" x14ac:dyDescent="0.25">
      <c r="A1471"/>
      <c r="B1471"/>
      <c r="C1471"/>
      <c r="D1471"/>
      <c r="E1471"/>
      <c r="F1471"/>
      <c r="G1471"/>
      <c r="H1471"/>
      <c r="W1471"/>
    </row>
    <row r="1472" spans="1:23" x14ac:dyDescent="0.25">
      <c r="A1472"/>
      <c r="B1472"/>
      <c r="C1472"/>
      <c r="D1472"/>
      <c r="E1472"/>
      <c r="F1472"/>
      <c r="G1472"/>
      <c r="H1472"/>
      <c r="W1472"/>
    </row>
    <row r="1473" spans="1:23" x14ac:dyDescent="0.25">
      <c r="A1473"/>
      <c r="B1473"/>
      <c r="C1473"/>
      <c r="D1473"/>
      <c r="E1473"/>
      <c r="F1473"/>
      <c r="G1473"/>
      <c r="H1473"/>
      <c r="W1473"/>
    </row>
    <row r="1474" spans="1:23" x14ac:dyDescent="0.25">
      <c r="A1474"/>
      <c r="B1474"/>
      <c r="C1474"/>
      <c r="D1474"/>
      <c r="E1474"/>
      <c r="F1474"/>
      <c r="G1474"/>
      <c r="H1474"/>
      <c r="W1474"/>
    </row>
    <row r="1475" spans="1:23" x14ac:dyDescent="0.25">
      <c r="A1475"/>
      <c r="B1475"/>
      <c r="C1475"/>
      <c r="D1475"/>
      <c r="E1475"/>
      <c r="F1475"/>
      <c r="G1475"/>
      <c r="H1475"/>
      <c r="W1475"/>
    </row>
    <row r="1476" spans="1:23" x14ac:dyDescent="0.25">
      <c r="A1476"/>
      <c r="B1476"/>
      <c r="C1476"/>
      <c r="D1476"/>
      <c r="E1476"/>
      <c r="F1476"/>
      <c r="G1476"/>
      <c r="H1476"/>
      <c r="W1476"/>
    </row>
    <row r="1477" spans="1:23" x14ac:dyDescent="0.25">
      <c r="A1477"/>
      <c r="B1477"/>
      <c r="C1477"/>
      <c r="D1477"/>
      <c r="E1477"/>
      <c r="F1477"/>
      <c r="G1477"/>
      <c r="H1477"/>
      <c r="W1477"/>
    </row>
    <row r="1478" spans="1:23" x14ac:dyDescent="0.25">
      <c r="A1478"/>
      <c r="B1478"/>
      <c r="C1478"/>
      <c r="D1478"/>
      <c r="E1478"/>
      <c r="F1478"/>
      <c r="G1478"/>
      <c r="H1478"/>
      <c r="W1478"/>
    </row>
    <row r="1479" spans="1:23" x14ac:dyDescent="0.25">
      <c r="A1479"/>
      <c r="B1479"/>
      <c r="C1479"/>
      <c r="D1479"/>
      <c r="E1479"/>
      <c r="F1479"/>
      <c r="G1479"/>
      <c r="H1479"/>
      <c r="W1479"/>
    </row>
    <row r="1480" spans="1:23" x14ac:dyDescent="0.25">
      <c r="A1480"/>
      <c r="B1480"/>
      <c r="C1480"/>
      <c r="D1480"/>
      <c r="E1480"/>
      <c r="F1480"/>
      <c r="G1480"/>
      <c r="H1480"/>
      <c r="W1480"/>
    </row>
    <row r="1481" spans="1:23" x14ac:dyDescent="0.25">
      <c r="A1481"/>
      <c r="B1481"/>
      <c r="C1481"/>
      <c r="D1481"/>
      <c r="E1481"/>
      <c r="F1481"/>
      <c r="G1481"/>
      <c r="H1481"/>
      <c r="W1481"/>
    </row>
    <row r="1482" spans="1:23" x14ac:dyDescent="0.25">
      <c r="A1482"/>
      <c r="B1482"/>
      <c r="C1482"/>
      <c r="D1482"/>
      <c r="E1482"/>
      <c r="F1482"/>
      <c r="G1482"/>
      <c r="H1482"/>
      <c r="W1482"/>
    </row>
    <row r="1483" spans="1:23" x14ac:dyDescent="0.25">
      <c r="A1483"/>
      <c r="B1483"/>
      <c r="C1483"/>
      <c r="D1483"/>
      <c r="E1483"/>
      <c r="F1483"/>
      <c r="G1483"/>
      <c r="H1483"/>
      <c r="W1483"/>
    </row>
    <row r="1484" spans="1:23" x14ac:dyDescent="0.25">
      <c r="A1484"/>
      <c r="B1484"/>
      <c r="C1484"/>
      <c r="D1484"/>
      <c r="E1484"/>
      <c r="F1484"/>
      <c r="G1484"/>
      <c r="H1484"/>
      <c r="W1484"/>
    </row>
    <row r="1485" spans="1:23" x14ac:dyDescent="0.25">
      <c r="A1485"/>
      <c r="B1485"/>
      <c r="C1485"/>
      <c r="D1485"/>
      <c r="E1485"/>
      <c r="F1485"/>
      <c r="G1485"/>
      <c r="H1485"/>
      <c r="W1485"/>
    </row>
    <row r="1486" spans="1:23" x14ac:dyDescent="0.25">
      <c r="A1486"/>
      <c r="B1486"/>
      <c r="C1486"/>
      <c r="D1486"/>
      <c r="E1486"/>
      <c r="F1486"/>
      <c r="G1486"/>
      <c r="H1486"/>
      <c r="W1486"/>
    </row>
    <row r="1487" spans="1:23" x14ac:dyDescent="0.25">
      <c r="A1487"/>
      <c r="B1487"/>
      <c r="C1487"/>
      <c r="D1487"/>
      <c r="E1487"/>
      <c r="F1487"/>
      <c r="G1487"/>
      <c r="H1487"/>
      <c r="W1487"/>
    </row>
    <row r="1488" spans="1:23" x14ac:dyDescent="0.25">
      <c r="A1488"/>
      <c r="B1488"/>
      <c r="C1488"/>
      <c r="D1488"/>
      <c r="E1488"/>
      <c r="F1488"/>
      <c r="G1488"/>
      <c r="H1488"/>
      <c r="W1488"/>
    </row>
    <row r="1489" spans="1:23" x14ac:dyDescent="0.25">
      <c r="A1489"/>
      <c r="B1489"/>
      <c r="C1489"/>
      <c r="D1489"/>
      <c r="E1489"/>
      <c r="F1489"/>
      <c r="G1489"/>
      <c r="H1489"/>
      <c r="W1489"/>
    </row>
    <row r="1490" spans="1:23" x14ac:dyDescent="0.25">
      <c r="A1490"/>
      <c r="B1490"/>
      <c r="C1490"/>
      <c r="D1490"/>
      <c r="E1490"/>
      <c r="F1490"/>
      <c r="G1490"/>
      <c r="H1490"/>
      <c r="W1490"/>
    </row>
    <row r="1491" spans="1:23" x14ac:dyDescent="0.25">
      <c r="A1491"/>
      <c r="B1491"/>
      <c r="C1491"/>
      <c r="D1491"/>
      <c r="E1491"/>
      <c r="F1491"/>
      <c r="G1491"/>
      <c r="H1491"/>
      <c r="W1491"/>
    </row>
    <row r="1492" spans="1:23" x14ac:dyDescent="0.25">
      <c r="A1492"/>
      <c r="B1492"/>
      <c r="C1492"/>
      <c r="D1492"/>
      <c r="E1492"/>
      <c r="F1492"/>
      <c r="G1492"/>
      <c r="H1492"/>
      <c r="W1492"/>
    </row>
    <row r="1493" spans="1:23" x14ac:dyDescent="0.25">
      <c r="A1493"/>
      <c r="B1493"/>
      <c r="C1493"/>
      <c r="D1493"/>
      <c r="E1493"/>
      <c r="F1493"/>
      <c r="G1493"/>
      <c r="H1493"/>
      <c r="W1493"/>
    </row>
    <row r="1494" spans="1:23" x14ac:dyDescent="0.25">
      <c r="A1494"/>
      <c r="B1494"/>
      <c r="C1494"/>
      <c r="D1494"/>
      <c r="E1494"/>
      <c r="F1494"/>
      <c r="G1494"/>
      <c r="H1494"/>
      <c r="W1494"/>
    </row>
    <row r="1495" spans="1:23" x14ac:dyDescent="0.25">
      <c r="A1495"/>
      <c r="B1495"/>
      <c r="C1495"/>
      <c r="D1495"/>
      <c r="E1495"/>
      <c r="F1495"/>
      <c r="G1495"/>
      <c r="H1495"/>
      <c r="W1495"/>
    </row>
    <row r="1496" spans="1:23" x14ac:dyDescent="0.25">
      <c r="A1496"/>
      <c r="B1496"/>
      <c r="C1496"/>
      <c r="D1496"/>
      <c r="E1496"/>
      <c r="F1496"/>
      <c r="G1496"/>
      <c r="H1496"/>
      <c r="W1496"/>
    </row>
    <row r="1497" spans="1:23" x14ac:dyDescent="0.25">
      <c r="A1497"/>
      <c r="B1497"/>
      <c r="C1497"/>
      <c r="D1497"/>
      <c r="E1497"/>
      <c r="F1497"/>
      <c r="G1497"/>
      <c r="H1497"/>
      <c r="W1497"/>
    </row>
    <row r="1498" spans="1:23" x14ac:dyDescent="0.25">
      <c r="A1498"/>
      <c r="B1498"/>
      <c r="C1498"/>
      <c r="D1498"/>
      <c r="E1498"/>
      <c r="F1498"/>
      <c r="G1498"/>
      <c r="H1498"/>
      <c r="W1498"/>
    </row>
    <row r="1499" spans="1:23" x14ac:dyDescent="0.25">
      <c r="A1499"/>
      <c r="B1499"/>
      <c r="C1499"/>
      <c r="D1499"/>
      <c r="E1499"/>
      <c r="F1499"/>
      <c r="G1499"/>
      <c r="H1499"/>
      <c r="W1499"/>
    </row>
    <row r="1500" spans="1:23" x14ac:dyDescent="0.25">
      <c r="A1500"/>
      <c r="B1500"/>
      <c r="C1500"/>
      <c r="D1500"/>
      <c r="E1500"/>
      <c r="F1500"/>
      <c r="G1500"/>
      <c r="H1500"/>
      <c r="W1500"/>
    </row>
    <row r="1501" spans="1:23" x14ac:dyDescent="0.25">
      <c r="A1501"/>
      <c r="B1501"/>
      <c r="C1501"/>
      <c r="D1501"/>
      <c r="E1501"/>
      <c r="F1501"/>
      <c r="G1501"/>
      <c r="H1501"/>
      <c r="W1501"/>
    </row>
    <row r="1502" spans="1:23" x14ac:dyDescent="0.25">
      <c r="A1502"/>
      <c r="B1502"/>
      <c r="C1502"/>
      <c r="D1502"/>
      <c r="E1502"/>
      <c r="F1502"/>
      <c r="G1502"/>
      <c r="H1502"/>
      <c r="W1502"/>
    </row>
    <row r="1503" spans="1:23" x14ac:dyDescent="0.25">
      <c r="A1503"/>
      <c r="B1503"/>
      <c r="C1503"/>
      <c r="D1503"/>
      <c r="E1503"/>
      <c r="F1503"/>
      <c r="G1503"/>
      <c r="H1503"/>
      <c r="W1503"/>
    </row>
    <row r="1504" spans="1:23" x14ac:dyDescent="0.25">
      <c r="A1504"/>
      <c r="B1504"/>
      <c r="C1504"/>
      <c r="D1504"/>
      <c r="E1504"/>
      <c r="F1504"/>
      <c r="G1504"/>
      <c r="H1504"/>
      <c r="W1504"/>
    </row>
    <row r="1505" spans="1:23" x14ac:dyDescent="0.25">
      <c r="A1505"/>
      <c r="B1505"/>
      <c r="C1505"/>
      <c r="D1505"/>
      <c r="E1505"/>
      <c r="F1505"/>
      <c r="G1505"/>
      <c r="H1505"/>
      <c r="W1505"/>
    </row>
    <row r="1506" spans="1:23" x14ac:dyDescent="0.25">
      <c r="A1506"/>
      <c r="B1506"/>
      <c r="C1506"/>
      <c r="D1506"/>
      <c r="E1506"/>
      <c r="F1506"/>
      <c r="G1506"/>
      <c r="H1506"/>
      <c r="W1506"/>
    </row>
    <row r="1507" spans="1:23" x14ac:dyDescent="0.25">
      <c r="A1507"/>
      <c r="B1507"/>
      <c r="C1507"/>
      <c r="D1507"/>
      <c r="E1507"/>
      <c r="F1507"/>
      <c r="G1507"/>
      <c r="H1507"/>
      <c r="W1507"/>
    </row>
    <row r="1508" spans="1:23" x14ac:dyDescent="0.25">
      <c r="A1508"/>
      <c r="B1508"/>
      <c r="C1508"/>
      <c r="D1508"/>
      <c r="E1508"/>
      <c r="F1508"/>
      <c r="G1508"/>
      <c r="H1508"/>
      <c r="W1508"/>
    </row>
    <row r="1509" spans="1:23" x14ac:dyDescent="0.25">
      <c r="A1509"/>
      <c r="B1509"/>
      <c r="C1509"/>
      <c r="D1509"/>
      <c r="E1509"/>
      <c r="F1509"/>
      <c r="G1509"/>
      <c r="H1509"/>
      <c r="W1509"/>
    </row>
    <row r="1510" spans="1:23" x14ac:dyDescent="0.25">
      <c r="A1510"/>
      <c r="B1510"/>
      <c r="C1510"/>
      <c r="D1510"/>
      <c r="E1510"/>
      <c r="F1510"/>
      <c r="G1510"/>
      <c r="H1510"/>
      <c r="W1510"/>
    </row>
    <row r="1511" spans="1:23" x14ac:dyDescent="0.25">
      <c r="A1511"/>
      <c r="B1511"/>
      <c r="C1511"/>
      <c r="D1511"/>
      <c r="E1511"/>
      <c r="F1511"/>
      <c r="G1511"/>
      <c r="H1511"/>
      <c r="W1511"/>
    </row>
    <row r="1512" spans="1:23" x14ac:dyDescent="0.25">
      <c r="A1512"/>
      <c r="B1512"/>
      <c r="C1512"/>
      <c r="D1512"/>
      <c r="E1512"/>
      <c r="F1512"/>
      <c r="G1512"/>
      <c r="H1512"/>
      <c r="W1512"/>
    </row>
    <row r="1513" spans="1:23" x14ac:dyDescent="0.25">
      <c r="A1513"/>
      <c r="B1513"/>
      <c r="C1513"/>
      <c r="D1513"/>
      <c r="E1513"/>
      <c r="F1513"/>
      <c r="G1513"/>
      <c r="H1513"/>
      <c r="W1513"/>
    </row>
    <row r="1514" spans="1:23" x14ac:dyDescent="0.25">
      <c r="A1514"/>
      <c r="B1514"/>
      <c r="C1514"/>
      <c r="D1514"/>
      <c r="E1514"/>
      <c r="F1514"/>
      <c r="G1514"/>
      <c r="H1514"/>
      <c r="W1514"/>
    </row>
    <row r="1515" spans="1:23" x14ac:dyDescent="0.25">
      <c r="A1515"/>
      <c r="B1515"/>
      <c r="C1515"/>
      <c r="D1515"/>
      <c r="E1515"/>
      <c r="F1515"/>
      <c r="G1515"/>
      <c r="H1515"/>
      <c r="W1515"/>
    </row>
    <row r="1516" spans="1:23" x14ac:dyDescent="0.25">
      <c r="A1516"/>
      <c r="B1516"/>
      <c r="C1516"/>
      <c r="D1516"/>
      <c r="E1516"/>
      <c r="F1516"/>
      <c r="G1516"/>
      <c r="H1516"/>
      <c r="W1516"/>
    </row>
    <row r="1517" spans="1:23" x14ac:dyDescent="0.25">
      <c r="A1517"/>
      <c r="B1517"/>
      <c r="C1517"/>
      <c r="D1517"/>
      <c r="E1517"/>
      <c r="F1517"/>
      <c r="G1517"/>
      <c r="H1517"/>
      <c r="W1517"/>
    </row>
    <row r="1518" spans="1:23" x14ac:dyDescent="0.25">
      <c r="A1518"/>
      <c r="B1518"/>
      <c r="C1518"/>
      <c r="D1518"/>
      <c r="E1518"/>
      <c r="F1518"/>
      <c r="G1518"/>
      <c r="H1518"/>
      <c r="W1518"/>
    </row>
    <row r="1519" spans="1:23" x14ac:dyDescent="0.25">
      <c r="A1519"/>
      <c r="B1519"/>
      <c r="C1519"/>
      <c r="D1519"/>
      <c r="E1519"/>
      <c r="F1519"/>
      <c r="G1519"/>
      <c r="H1519"/>
      <c r="W1519"/>
    </row>
    <row r="1520" spans="1:23" x14ac:dyDescent="0.25">
      <c r="A1520"/>
      <c r="B1520"/>
      <c r="C1520"/>
      <c r="D1520"/>
      <c r="E1520"/>
      <c r="F1520"/>
      <c r="G1520"/>
      <c r="H1520"/>
      <c r="W1520"/>
    </row>
    <row r="1521" spans="1:23" x14ac:dyDescent="0.25">
      <c r="A1521"/>
      <c r="B1521"/>
      <c r="C1521"/>
      <c r="D1521"/>
      <c r="E1521"/>
      <c r="F1521"/>
      <c r="G1521"/>
      <c r="H1521"/>
      <c r="W1521"/>
    </row>
    <row r="1522" spans="1:23" x14ac:dyDescent="0.25">
      <c r="A1522"/>
      <c r="B1522"/>
      <c r="C1522"/>
      <c r="D1522"/>
      <c r="E1522"/>
      <c r="F1522"/>
      <c r="G1522"/>
      <c r="H1522"/>
      <c r="W1522"/>
    </row>
    <row r="1523" spans="1:23" x14ac:dyDescent="0.25">
      <c r="A1523"/>
      <c r="B1523"/>
      <c r="C1523"/>
      <c r="D1523"/>
      <c r="E1523"/>
      <c r="F1523"/>
      <c r="G1523"/>
      <c r="H1523"/>
      <c r="W1523"/>
    </row>
    <row r="1524" spans="1:23" x14ac:dyDescent="0.25">
      <c r="A1524"/>
      <c r="B1524"/>
      <c r="C1524"/>
      <c r="D1524"/>
      <c r="E1524"/>
      <c r="F1524"/>
      <c r="G1524"/>
      <c r="H1524"/>
      <c r="W1524"/>
    </row>
    <row r="1525" spans="1:23" x14ac:dyDescent="0.25">
      <c r="A1525"/>
      <c r="B1525"/>
      <c r="C1525"/>
      <c r="D1525"/>
      <c r="E1525"/>
      <c r="F1525"/>
      <c r="G1525"/>
      <c r="H1525"/>
      <c r="W1525"/>
    </row>
    <row r="1526" spans="1:23" x14ac:dyDescent="0.25">
      <c r="A1526"/>
      <c r="B1526"/>
      <c r="C1526"/>
      <c r="D1526"/>
      <c r="E1526"/>
      <c r="F1526"/>
      <c r="G1526"/>
      <c r="H1526"/>
      <c r="W1526"/>
    </row>
    <row r="1527" spans="1:23" x14ac:dyDescent="0.25">
      <c r="A1527"/>
      <c r="B1527"/>
      <c r="C1527"/>
      <c r="D1527"/>
      <c r="E1527"/>
      <c r="F1527"/>
      <c r="G1527"/>
      <c r="H1527"/>
      <c r="W1527"/>
    </row>
    <row r="1528" spans="1:23" x14ac:dyDescent="0.25">
      <c r="A1528"/>
      <c r="B1528"/>
      <c r="C1528"/>
      <c r="D1528"/>
      <c r="E1528"/>
      <c r="F1528"/>
      <c r="G1528"/>
      <c r="H1528"/>
      <c r="W1528"/>
    </row>
    <row r="1529" spans="1:23" x14ac:dyDescent="0.25">
      <c r="A1529"/>
      <c r="B1529"/>
      <c r="C1529"/>
      <c r="D1529"/>
      <c r="E1529"/>
      <c r="F1529"/>
      <c r="G1529"/>
      <c r="H1529"/>
      <c r="W1529"/>
    </row>
    <row r="1530" spans="1:23" x14ac:dyDescent="0.25">
      <c r="A1530"/>
      <c r="B1530"/>
      <c r="C1530"/>
      <c r="D1530"/>
      <c r="E1530"/>
      <c r="F1530"/>
      <c r="G1530"/>
      <c r="H1530"/>
      <c r="W1530"/>
    </row>
    <row r="1531" spans="1:23" x14ac:dyDescent="0.25">
      <c r="A1531"/>
      <c r="B1531"/>
      <c r="C1531"/>
      <c r="D1531"/>
      <c r="E1531"/>
      <c r="F1531"/>
      <c r="G1531"/>
      <c r="H1531"/>
      <c r="W1531"/>
    </row>
    <row r="1532" spans="1:23" x14ac:dyDescent="0.25">
      <c r="A1532"/>
      <c r="B1532"/>
      <c r="C1532"/>
      <c r="D1532"/>
      <c r="E1532"/>
      <c r="F1532"/>
      <c r="G1532"/>
      <c r="H1532"/>
      <c r="W1532"/>
    </row>
    <row r="1533" spans="1:23" x14ac:dyDescent="0.25">
      <c r="A1533"/>
      <c r="B1533"/>
      <c r="C1533"/>
      <c r="D1533"/>
      <c r="E1533"/>
      <c r="F1533"/>
      <c r="G1533"/>
      <c r="H1533"/>
      <c r="W1533"/>
    </row>
    <row r="1534" spans="1:23" x14ac:dyDescent="0.25">
      <c r="A1534"/>
      <c r="B1534"/>
      <c r="C1534"/>
      <c r="D1534"/>
      <c r="E1534"/>
      <c r="F1534"/>
      <c r="G1534"/>
      <c r="H1534"/>
      <c r="W1534"/>
    </row>
    <row r="1535" spans="1:23" x14ac:dyDescent="0.25">
      <c r="A1535"/>
      <c r="B1535"/>
      <c r="C1535"/>
      <c r="D1535"/>
      <c r="E1535"/>
      <c r="F1535"/>
      <c r="G1535"/>
      <c r="H1535"/>
      <c r="W1535"/>
    </row>
    <row r="1536" spans="1:23" x14ac:dyDescent="0.25">
      <c r="A1536"/>
      <c r="B1536"/>
      <c r="C1536"/>
      <c r="D1536"/>
      <c r="E1536"/>
      <c r="F1536"/>
      <c r="G1536"/>
      <c r="H1536"/>
      <c r="W1536"/>
    </row>
    <row r="1537" spans="1:23" x14ac:dyDescent="0.25">
      <c r="A1537"/>
      <c r="B1537"/>
      <c r="C1537"/>
      <c r="D1537"/>
      <c r="E1537"/>
      <c r="F1537"/>
      <c r="G1537"/>
      <c r="H1537"/>
      <c r="W1537"/>
    </row>
    <row r="1538" spans="1:23" x14ac:dyDescent="0.25">
      <c r="A1538"/>
      <c r="B1538"/>
      <c r="C1538"/>
      <c r="D1538"/>
      <c r="E1538"/>
      <c r="F1538"/>
      <c r="G1538"/>
      <c r="H1538"/>
      <c r="W1538"/>
    </row>
    <row r="1539" spans="1:23" x14ac:dyDescent="0.25">
      <c r="A1539"/>
      <c r="B1539"/>
      <c r="C1539"/>
      <c r="D1539"/>
      <c r="E1539"/>
      <c r="F1539"/>
      <c r="G1539"/>
      <c r="H1539"/>
      <c r="W1539"/>
    </row>
    <row r="1540" spans="1:23" x14ac:dyDescent="0.25">
      <c r="A1540"/>
      <c r="B1540"/>
      <c r="C1540"/>
      <c r="D1540"/>
      <c r="E1540"/>
      <c r="F1540"/>
      <c r="G1540"/>
      <c r="H1540"/>
      <c r="W1540"/>
    </row>
    <row r="1541" spans="1:23" x14ac:dyDescent="0.25">
      <c r="A1541"/>
      <c r="B1541"/>
      <c r="C1541"/>
      <c r="D1541"/>
      <c r="E1541"/>
      <c r="F1541"/>
      <c r="G1541"/>
      <c r="H1541"/>
      <c r="W1541"/>
    </row>
    <row r="1542" spans="1:23" x14ac:dyDescent="0.25">
      <c r="A1542"/>
      <c r="B1542"/>
      <c r="C1542"/>
      <c r="D1542"/>
      <c r="E1542"/>
      <c r="F1542"/>
      <c r="G1542"/>
      <c r="H1542"/>
      <c r="W1542"/>
    </row>
    <row r="1543" spans="1:23" x14ac:dyDescent="0.25">
      <c r="A1543"/>
      <c r="B1543"/>
      <c r="C1543"/>
      <c r="D1543"/>
      <c r="E1543"/>
      <c r="F1543"/>
      <c r="G1543"/>
      <c r="H1543"/>
      <c r="W1543"/>
    </row>
    <row r="1544" spans="1:23" x14ac:dyDescent="0.25">
      <c r="A1544"/>
      <c r="B1544"/>
      <c r="C1544"/>
      <c r="D1544"/>
      <c r="E1544"/>
      <c r="F1544"/>
      <c r="G1544"/>
      <c r="H1544"/>
      <c r="W1544"/>
    </row>
    <row r="1545" spans="1:23" x14ac:dyDescent="0.25">
      <c r="A1545"/>
      <c r="B1545"/>
      <c r="C1545"/>
      <c r="D1545"/>
      <c r="E1545"/>
      <c r="F1545"/>
      <c r="G1545"/>
      <c r="H1545"/>
      <c r="W1545"/>
    </row>
    <row r="1546" spans="1:23" x14ac:dyDescent="0.25">
      <c r="A1546"/>
      <c r="B1546"/>
      <c r="C1546"/>
      <c r="D1546"/>
      <c r="E1546"/>
      <c r="F1546"/>
      <c r="G1546"/>
      <c r="H1546"/>
      <c r="W1546"/>
    </row>
    <row r="1547" spans="1:23" x14ac:dyDescent="0.25">
      <c r="A1547"/>
      <c r="B1547"/>
      <c r="C1547"/>
      <c r="D1547"/>
      <c r="E1547"/>
      <c r="F1547"/>
      <c r="G1547"/>
      <c r="H1547"/>
      <c r="W1547"/>
    </row>
    <row r="1548" spans="1:23" x14ac:dyDescent="0.25">
      <c r="A1548"/>
      <c r="B1548"/>
      <c r="C1548"/>
      <c r="D1548"/>
      <c r="E1548"/>
      <c r="F1548"/>
      <c r="G1548"/>
      <c r="H1548"/>
      <c r="W1548"/>
    </row>
    <row r="1549" spans="1:23" x14ac:dyDescent="0.25">
      <c r="A1549"/>
      <c r="B1549"/>
      <c r="C1549"/>
      <c r="D1549"/>
      <c r="E1549"/>
      <c r="F1549"/>
      <c r="G1549"/>
      <c r="H1549"/>
      <c r="W1549"/>
    </row>
    <row r="1550" spans="1:23" x14ac:dyDescent="0.25">
      <c r="A1550"/>
      <c r="B1550"/>
      <c r="C1550"/>
      <c r="D1550"/>
      <c r="E1550"/>
      <c r="F1550"/>
      <c r="G1550"/>
      <c r="H1550"/>
      <c r="W1550"/>
    </row>
    <row r="1551" spans="1:23" x14ac:dyDescent="0.25">
      <c r="A1551"/>
      <c r="B1551"/>
      <c r="C1551"/>
      <c r="D1551"/>
      <c r="E1551"/>
      <c r="F1551"/>
      <c r="G1551"/>
      <c r="H1551"/>
      <c r="W1551"/>
    </row>
    <row r="1552" spans="1:23" x14ac:dyDescent="0.25">
      <c r="A1552"/>
      <c r="B1552"/>
      <c r="C1552"/>
      <c r="D1552"/>
      <c r="E1552"/>
      <c r="F1552"/>
      <c r="G1552"/>
      <c r="H1552"/>
      <c r="W1552"/>
    </row>
    <row r="1553" spans="1:23" x14ac:dyDescent="0.25">
      <c r="A1553"/>
      <c r="B1553"/>
      <c r="C1553"/>
      <c r="D1553"/>
      <c r="E1553"/>
      <c r="F1553"/>
      <c r="G1553"/>
      <c r="H1553"/>
      <c r="W1553"/>
    </row>
    <row r="1554" spans="1:23" x14ac:dyDescent="0.25">
      <c r="A1554"/>
      <c r="B1554"/>
      <c r="C1554"/>
      <c r="D1554"/>
      <c r="E1554"/>
      <c r="F1554"/>
      <c r="G1554"/>
      <c r="H1554"/>
      <c r="W1554"/>
    </row>
    <row r="1555" spans="1:23" x14ac:dyDescent="0.25">
      <c r="A1555"/>
      <c r="B1555"/>
      <c r="C1555"/>
      <c r="D1555"/>
      <c r="E1555"/>
      <c r="F1555"/>
      <c r="G1555"/>
      <c r="H1555"/>
      <c r="W1555"/>
    </row>
    <row r="1556" spans="1:23" x14ac:dyDescent="0.25">
      <c r="A1556"/>
      <c r="B1556"/>
      <c r="C1556"/>
      <c r="D1556"/>
      <c r="E1556"/>
      <c r="F1556"/>
      <c r="G1556"/>
      <c r="H1556"/>
      <c r="W1556"/>
    </row>
    <row r="1557" spans="1:23" x14ac:dyDescent="0.25">
      <c r="A1557"/>
      <c r="B1557"/>
      <c r="C1557"/>
      <c r="D1557"/>
      <c r="E1557"/>
      <c r="F1557"/>
      <c r="G1557"/>
      <c r="H1557"/>
      <c r="W1557"/>
    </row>
    <row r="1558" spans="1:23" x14ac:dyDescent="0.25">
      <c r="A1558"/>
      <c r="B1558"/>
      <c r="C1558"/>
      <c r="D1558"/>
      <c r="E1558"/>
      <c r="F1558"/>
      <c r="G1558"/>
      <c r="H1558"/>
      <c r="W1558"/>
    </row>
    <row r="1559" spans="1:23" x14ac:dyDescent="0.25">
      <c r="A1559"/>
      <c r="B1559"/>
      <c r="C1559"/>
      <c r="D1559"/>
      <c r="E1559"/>
      <c r="F1559"/>
      <c r="G1559"/>
      <c r="H1559"/>
      <c r="W1559"/>
    </row>
    <row r="1560" spans="1:23" x14ac:dyDescent="0.25">
      <c r="A1560"/>
      <c r="B1560"/>
      <c r="C1560"/>
      <c r="D1560"/>
      <c r="E1560"/>
      <c r="F1560"/>
      <c r="G1560"/>
      <c r="H1560"/>
      <c r="W1560"/>
    </row>
    <row r="1561" spans="1:23" x14ac:dyDescent="0.25">
      <c r="A1561"/>
      <c r="B1561"/>
      <c r="C1561"/>
      <c r="D1561"/>
      <c r="E1561"/>
      <c r="F1561"/>
      <c r="G1561"/>
      <c r="H1561"/>
      <c r="W1561"/>
    </row>
    <row r="1562" spans="1:23" x14ac:dyDescent="0.25">
      <c r="A1562"/>
      <c r="B1562"/>
      <c r="C1562"/>
      <c r="D1562"/>
      <c r="E1562"/>
      <c r="F1562"/>
      <c r="G1562"/>
      <c r="H1562"/>
      <c r="W1562"/>
    </row>
    <row r="1563" spans="1:23" x14ac:dyDescent="0.25">
      <c r="A1563"/>
      <c r="B1563"/>
      <c r="C1563"/>
      <c r="D1563"/>
      <c r="E1563"/>
      <c r="F1563"/>
      <c r="G1563"/>
      <c r="H1563"/>
      <c r="W1563"/>
    </row>
    <row r="1564" spans="1:23" x14ac:dyDescent="0.25">
      <c r="A1564"/>
      <c r="B1564"/>
      <c r="C1564"/>
      <c r="D1564"/>
      <c r="E1564"/>
      <c r="F1564"/>
      <c r="G1564"/>
      <c r="H1564"/>
      <c r="W1564"/>
    </row>
    <row r="1565" spans="1:23" x14ac:dyDescent="0.25">
      <c r="A1565"/>
      <c r="B1565"/>
      <c r="C1565"/>
      <c r="D1565"/>
      <c r="E1565"/>
      <c r="F1565"/>
      <c r="G1565"/>
      <c r="H1565"/>
      <c r="W1565"/>
    </row>
    <row r="1566" spans="1:23" x14ac:dyDescent="0.25">
      <c r="A1566"/>
      <c r="B1566"/>
      <c r="C1566"/>
      <c r="D1566"/>
      <c r="E1566"/>
      <c r="F1566"/>
      <c r="G1566"/>
      <c r="H1566"/>
      <c r="W1566"/>
    </row>
    <row r="1567" spans="1:23" x14ac:dyDescent="0.25">
      <c r="A1567"/>
      <c r="B1567"/>
      <c r="C1567"/>
      <c r="D1567"/>
      <c r="E1567"/>
      <c r="F1567"/>
      <c r="G1567"/>
      <c r="H1567"/>
      <c r="W1567"/>
    </row>
    <row r="1568" spans="1:23" x14ac:dyDescent="0.25">
      <c r="A1568"/>
      <c r="B1568"/>
      <c r="C1568"/>
      <c r="D1568"/>
      <c r="E1568"/>
      <c r="F1568"/>
      <c r="G1568"/>
      <c r="H1568"/>
      <c r="W1568"/>
    </row>
    <row r="1569" spans="1:23" x14ac:dyDescent="0.25">
      <c r="A1569"/>
      <c r="B1569"/>
      <c r="C1569"/>
      <c r="D1569"/>
      <c r="E1569"/>
      <c r="F1569"/>
      <c r="G1569"/>
      <c r="H1569"/>
      <c r="W1569"/>
    </row>
    <row r="1570" spans="1:23" x14ac:dyDescent="0.25">
      <c r="A1570"/>
      <c r="B1570"/>
      <c r="C1570"/>
      <c r="D1570"/>
      <c r="E1570"/>
      <c r="F1570"/>
      <c r="G1570"/>
      <c r="H1570"/>
      <c r="W1570"/>
    </row>
    <row r="1571" spans="1:23" x14ac:dyDescent="0.25">
      <c r="A1571"/>
      <c r="B1571"/>
      <c r="C1571"/>
      <c r="D1571"/>
      <c r="E1571"/>
      <c r="F1571"/>
      <c r="G1571"/>
      <c r="H1571"/>
      <c r="W1571"/>
    </row>
    <row r="1572" spans="1:23" x14ac:dyDescent="0.25">
      <c r="A1572"/>
      <c r="B1572"/>
      <c r="C1572"/>
      <c r="D1572"/>
      <c r="E1572"/>
      <c r="F1572"/>
      <c r="G1572"/>
      <c r="H1572"/>
      <c r="W1572"/>
    </row>
    <row r="1573" spans="1:23" x14ac:dyDescent="0.25">
      <c r="A1573"/>
      <c r="B1573"/>
      <c r="C1573"/>
      <c r="D1573"/>
      <c r="E1573"/>
      <c r="F1573"/>
      <c r="G1573"/>
      <c r="H1573"/>
      <c r="W1573"/>
    </row>
    <row r="1574" spans="1:23" x14ac:dyDescent="0.25">
      <c r="A1574"/>
      <c r="B1574"/>
      <c r="C1574"/>
      <c r="D1574"/>
      <c r="E1574"/>
      <c r="F1574"/>
      <c r="G1574"/>
      <c r="H1574"/>
      <c r="W1574"/>
    </row>
    <row r="1575" spans="1:23" x14ac:dyDescent="0.25">
      <c r="A1575"/>
      <c r="B1575"/>
      <c r="C1575"/>
      <c r="D1575"/>
      <c r="E1575"/>
      <c r="F1575"/>
      <c r="G1575"/>
      <c r="H1575"/>
      <c r="W1575"/>
    </row>
    <row r="1576" spans="1:23" x14ac:dyDescent="0.25">
      <c r="A1576"/>
      <c r="B1576"/>
      <c r="C1576"/>
      <c r="D1576"/>
      <c r="E1576"/>
      <c r="F1576"/>
      <c r="G1576"/>
      <c r="H1576"/>
      <c r="W1576"/>
    </row>
    <row r="1577" spans="1:23" x14ac:dyDescent="0.25">
      <c r="A1577"/>
      <c r="B1577"/>
      <c r="C1577"/>
      <c r="D1577"/>
      <c r="E1577"/>
      <c r="F1577"/>
      <c r="G1577"/>
      <c r="H1577"/>
      <c r="W1577"/>
    </row>
    <row r="1578" spans="1:23" x14ac:dyDescent="0.25">
      <c r="A1578"/>
      <c r="B1578"/>
      <c r="C1578"/>
      <c r="D1578"/>
      <c r="E1578"/>
      <c r="F1578"/>
      <c r="G1578"/>
      <c r="H1578"/>
      <c r="W1578"/>
    </row>
    <row r="1579" spans="1:23" x14ac:dyDescent="0.25">
      <c r="A1579"/>
      <c r="B1579"/>
      <c r="C1579"/>
      <c r="D1579"/>
      <c r="E1579"/>
      <c r="F1579"/>
      <c r="G1579"/>
      <c r="H1579"/>
      <c r="W1579"/>
    </row>
    <row r="1580" spans="1:23" x14ac:dyDescent="0.25">
      <c r="A1580"/>
      <c r="B1580"/>
      <c r="C1580"/>
      <c r="D1580"/>
      <c r="E1580"/>
      <c r="F1580"/>
      <c r="G1580"/>
      <c r="H1580"/>
      <c r="W1580"/>
    </row>
    <row r="1581" spans="1:23" x14ac:dyDescent="0.25">
      <c r="A1581"/>
      <c r="B1581"/>
      <c r="C1581"/>
      <c r="D1581"/>
      <c r="E1581"/>
      <c r="F1581"/>
      <c r="G1581"/>
      <c r="H1581"/>
      <c r="W1581"/>
    </row>
    <row r="1582" spans="1:23" x14ac:dyDescent="0.25">
      <c r="A1582"/>
      <c r="B1582"/>
      <c r="C1582"/>
      <c r="D1582"/>
      <c r="E1582"/>
      <c r="F1582"/>
      <c r="G1582"/>
      <c r="H1582"/>
      <c r="W1582"/>
    </row>
    <row r="1583" spans="1:23" x14ac:dyDescent="0.25">
      <c r="A1583"/>
      <c r="B1583"/>
      <c r="C1583"/>
      <c r="D1583"/>
      <c r="E1583"/>
      <c r="F1583"/>
      <c r="G1583"/>
      <c r="H1583"/>
      <c r="W1583"/>
    </row>
    <row r="1584" spans="1:23" x14ac:dyDescent="0.25">
      <c r="A1584"/>
      <c r="B1584"/>
      <c r="C1584"/>
      <c r="D1584"/>
      <c r="E1584"/>
      <c r="F1584"/>
      <c r="G1584"/>
      <c r="H1584"/>
      <c r="W1584"/>
    </row>
    <row r="1585" spans="1:23" x14ac:dyDescent="0.25">
      <c r="A1585"/>
      <c r="B1585"/>
      <c r="C1585"/>
      <c r="D1585"/>
      <c r="E1585"/>
      <c r="F1585"/>
      <c r="G1585"/>
      <c r="H1585"/>
      <c r="W1585"/>
    </row>
    <row r="1586" spans="1:23" x14ac:dyDescent="0.25">
      <c r="A1586"/>
      <c r="B1586"/>
      <c r="C1586"/>
      <c r="D1586"/>
      <c r="E1586"/>
      <c r="F1586"/>
      <c r="G1586"/>
      <c r="H1586"/>
      <c r="W1586"/>
    </row>
    <row r="1587" spans="1:23" x14ac:dyDescent="0.25">
      <c r="A1587"/>
      <c r="B1587"/>
      <c r="C1587"/>
      <c r="D1587"/>
      <c r="E1587"/>
      <c r="F1587"/>
      <c r="G1587"/>
      <c r="H1587"/>
      <c r="W1587"/>
    </row>
    <row r="1588" spans="1:23" x14ac:dyDescent="0.25">
      <c r="A1588"/>
      <c r="B1588"/>
      <c r="C1588"/>
      <c r="D1588"/>
      <c r="E1588"/>
      <c r="F1588"/>
      <c r="G1588"/>
      <c r="H1588"/>
      <c r="W1588"/>
    </row>
    <row r="1589" spans="1:23" x14ac:dyDescent="0.25">
      <c r="A1589"/>
      <c r="B1589"/>
      <c r="C1589"/>
      <c r="D1589"/>
      <c r="E1589"/>
      <c r="F1589"/>
      <c r="G1589"/>
      <c r="H1589"/>
      <c r="W1589"/>
    </row>
    <row r="1590" spans="1:23" x14ac:dyDescent="0.25">
      <c r="A1590"/>
      <c r="B1590"/>
      <c r="C1590"/>
      <c r="D1590"/>
      <c r="E1590"/>
      <c r="F1590"/>
      <c r="G1590"/>
      <c r="H1590"/>
      <c r="W1590"/>
    </row>
    <row r="1591" spans="1:23" x14ac:dyDescent="0.25">
      <c r="A1591"/>
      <c r="B1591"/>
      <c r="C1591"/>
      <c r="D1591"/>
      <c r="E1591"/>
      <c r="F1591"/>
      <c r="G1591"/>
      <c r="H1591"/>
      <c r="W1591"/>
    </row>
    <row r="1592" spans="1:23" x14ac:dyDescent="0.25">
      <c r="A1592"/>
      <c r="B1592"/>
      <c r="C1592"/>
      <c r="D1592"/>
      <c r="E1592"/>
      <c r="F1592"/>
      <c r="G1592"/>
      <c r="H1592"/>
      <c r="W1592"/>
    </row>
    <row r="1593" spans="1:23" x14ac:dyDescent="0.25">
      <c r="A1593"/>
      <c r="B1593"/>
      <c r="C1593"/>
      <c r="D1593"/>
      <c r="E1593"/>
      <c r="F1593"/>
      <c r="G1593"/>
      <c r="H1593"/>
      <c r="W1593"/>
    </row>
    <row r="1594" spans="1:23" x14ac:dyDescent="0.25">
      <c r="A1594"/>
      <c r="B1594"/>
      <c r="C1594"/>
      <c r="D1594"/>
      <c r="E1594"/>
      <c r="F1594"/>
      <c r="G1594"/>
      <c r="H1594"/>
      <c r="W1594"/>
    </row>
    <row r="1595" spans="1:23" x14ac:dyDescent="0.25">
      <c r="A1595"/>
      <c r="B1595"/>
      <c r="C1595"/>
      <c r="D1595"/>
      <c r="E1595"/>
      <c r="F1595"/>
      <c r="G1595"/>
      <c r="H1595"/>
      <c r="W1595"/>
    </row>
    <row r="1596" spans="1:23" x14ac:dyDescent="0.25">
      <c r="A1596"/>
      <c r="B1596"/>
      <c r="C1596"/>
      <c r="D1596"/>
      <c r="E1596"/>
      <c r="F1596"/>
      <c r="G1596"/>
      <c r="H1596"/>
      <c r="W1596"/>
    </row>
    <row r="1597" spans="1:23" x14ac:dyDescent="0.25">
      <c r="A1597"/>
      <c r="B1597"/>
      <c r="C1597"/>
      <c r="D1597"/>
      <c r="E1597"/>
      <c r="F1597"/>
      <c r="G1597"/>
      <c r="H1597"/>
      <c r="W1597"/>
    </row>
    <row r="1598" spans="1:23" x14ac:dyDescent="0.25">
      <c r="A1598"/>
      <c r="B1598"/>
      <c r="C1598"/>
      <c r="D1598"/>
      <c r="E1598"/>
      <c r="F1598"/>
      <c r="G1598"/>
      <c r="H1598"/>
      <c r="W1598"/>
    </row>
    <row r="1599" spans="1:23" x14ac:dyDescent="0.25">
      <c r="A1599"/>
      <c r="B1599"/>
      <c r="C1599"/>
      <c r="D1599"/>
      <c r="E1599"/>
      <c r="F1599"/>
      <c r="G1599"/>
      <c r="H1599"/>
      <c r="W1599"/>
    </row>
    <row r="1600" spans="1:23" x14ac:dyDescent="0.25">
      <c r="A1600"/>
      <c r="B1600"/>
      <c r="C1600"/>
      <c r="D1600"/>
      <c r="E1600"/>
      <c r="F1600"/>
      <c r="G1600"/>
      <c r="H1600"/>
      <c r="W1600"/>
    </row>
    <row r="1601" spans="1:23" x14ac:dyDescent="0.25">
      <c r="A1601"/>
      <c r="B1601"/>
      <c r="C1601"/>
      <c r="D1601"/>
      <c r="E1601"/>
      <c r="F1601"/>
      <c r="G1601"/>
      <c r="H1601"/>
      <c r="W1601"/>
    </row>
    <row r="1602" spans="1:23" x14ac:dyDescent="0.25">
      <c r="A1602"/>
      <c r="B1602"/>
      <c r="C1602"/>
      <c r="D1602"/>
      <c r="E1602"/>
      <c r="F1602"/>
      <c r="G1602"/>
      <c r="H1602"/>
      <c r="W1602"/>
    </row>
    <row r="1603" spans="1:23" x14ac:dyDescent="0.25">
      <c r="A1603"/>
      <c r="B1603"/>
      <c r="C1603"/>
      <c r="D1603"/>
      <c r="E1603"/>
      <c r="F1603"/>
      <c r="G1603"/>
      <c r="H1603"/>
      <c r="W1603"/>
    </row>
    <row r="1604" spans="1:23" x14ac:dyDescent="0.25">
      <c r="A1604"/>
      <c r="B1604"/>
      <c r="C1604"/>
      <c r="D1604"/>
      <c r="E1604"/>
      <c r="F1604"/>
      <c r="G1604"/>
      <c r="H1604"/>
      <c r="W1604"/>
    </row>
    <row r="1605" spans="1:23" x14ac:dyDescent="0.25">
      <c r="A1605"/>
      <c r="B1605"/>
      <c r="C1605"/>
      <c r="D1605"/>
      <c r="E1605"/>
      <c r="F1605"/>
      <c r="G1605"/>
      <c r="H1605"/>
      <c r="W1605"/>
    </row>
    <row r="1606" spans="1:23" x14ac:dyDescent="0.25">
      <c r="A1606"/>
      <c r="B1606"/>
      <c r="C1606"/>
      <c r="D1606"/>
      <c r="E1606"/>
      <c r="F1606"/>
      <c r="G1606"/>
      <c r="H1606"/>
      <c r="W1606"/>
    </row>
    <row r="1607" spans="1:23" x14ac:dyDescent="0.25">
      <c r="A1607"/>
      <c r="B1607"/>
      <c r="C1607"/>
      <c r="D1607"/>
      <c r="E1607"/>
      <c r="F1607"/>
      <c r="G1607"/>
      <c r="H1607"/>
      <c r="W1607"/>
    </row>
    <row r="1608" spans="1:23" x14ac:dyDescent="0.25">
      <c r="A1608"/>
      <c r="B1608"/>
      <c r="C1608"/>
      <c r="D1608"/>
      <c r="E1608"/>
      <c r="F1608"/>
      <c r="G1608"/>
      <c r="H1608"/>
      <c r="W1608"/>
    </row>
    <row r="1609" spans="1:23" x14ac:dyDescent="0.25">
      <c r="A1609"/>
      <c r="B1609"/>
      <c r="C1609"/>
      <c r="D1609"/>
      <c r="E1609"/>
      <c r="F1609"/>
      <c r="G1609"/>
      <c r="H1609"/>
      <c r="W1609"/>
    </row>
    <row r="1610" spans="1:23" x14ac:dyDescent="0.25">
      <c r="A1610"/>
      <c r="B1610"/>
      <c r="C1610"/>
      <c r="D1610"/>
      <c r="E1610"/>
      <c r="F1610"/>
      <c r="G1610"/>
      <c r="H1610"/>
      <c r="W1610"/>
    </row>
    <row r="1611" spans="1:23" x14ac:dyDescent="0.25">
      <c r="A1611"/>
      <c r="B1611"/>
      <c r="C1611"/>
      <c r="D1611"/>
      <c r="E1611"/>
      <c r="F1611"/>
      <c r="G1611"/>
      <c r="H1611"/>
      <c r="W1611"/>
    </row>
    <row r="1612" spans="1:23" x14ac:dyDescent="0.25">
      <c r="A1612"/>
      <c r="B1612"/>
      <c r="C1612"/>
      <c r="D1612"/>
      <c r="E1612"/>
      <c r="F1612"/>
      <c r="G1612"/>
      <c r="H1612"/>
      <c r="W1612"/>
    </row>
    <row r="1613" spans="1:23" x14ac:dyDescent="0.25">
      <c r="A1613"/>
      <c r="B1613"/>
      <c r="C1613"/>
      <c r="D1613"/>
      <c r="E1613"/>
      <c r="F1613"/>
      <c r="G1613"/>
      <c r="H1613"/>
      <c r="W1613"/>
    </row>
    <row r="1614" spans="1:23" x14ac:dyDescent="0.25">
      <c r="A1614"/>
      <c r="B1614"/>
      <c r="C1614"/>
      <c r="D1614"/>
      <c r="E1614"/>
      <c r="F1614"/>
      <c r="G1614"/>
      <c r="H1614"/>
      <c r="W1614"/>
    </row>
    <row r="1615" spans="1:23" x14ac:dyDescent="0.25">
      <c r="A1615"/>
      <c r="B1615"/>
      <c r="C1615"/>
      <c r="D1615"/>
      <c r="E1615"/>
      <c r="F1615"/>
      <c r="G1615"/>
      <c r="H1615"/>
      <c r="W1615"/>
    </row>
    <row r="1616" spans="1:23" x14ac:dyDescent="0.25">
      <c r="A1616"/>
      <c r="B1616"/>
      <c r="C1616"/>
      <c r="D1616"/>
      <c r="E1616"/>
      <c r="F1616"/>
      <c r="G1616"/>
      <c r="H1616"/>
      <c r="W1616"/>
    </row>
    <row r="1617" spans="1:23" x14ac:dyDescent="0.25">
      <c r="A1617"/>
      <c r="B1617"/>
      <c r="C1617"/>
      <c r="D1617"/>
      <c r="E1617"/>
      <c r="F1617"/>
      <c r="G1617"/>
      <c r="H1617"/>
      <c r="W1617"/>
    </row>
    <row r="1618" spans="1:23" x14ac:dyDescent="0.25">
      <c r="A1618"/>
      <c r="B1618"/>
      <c r="C1618"/>
      <c r="D1618"/>
      <c r="E1618"/>
      <c r="F1618"/>
      <c r="G1618"/>
      <c r="H1618"/>
      <c r="W1618"/>
    </row>
    <row r="1619" spans="1:23" x14ac:dyDescent="0.25">
      <c r="A1619"/>
      <c r="B1619"/>
      <c r="C1619"/>
      <c r="D1619"/>
      <c r="E1619"/>
      <c r="F1619"/>
      <c r="G1619"/>
      <c r="H1619"/>
      <c r="W1619"/>
    </row>
    <row r="1620" spans="1:23" x14ac:dyDescent="0.25">
      <c r="A1620"/>
      <c r="B1620"/>
      <c r="C1620"/>
      <c r="D1620"/>
      <c r="E1620"/>
      <c r="F1620"/>
      <c r="G1620"/>
      <c r="H1620"/>
      <c r="W1620"/>
    </row>
    <row r="1621" spans="1:23" x14ac:dyDescent="0.25">
      <c r="W1621"/>
    </row>
    <row r="1622" spans="1:23" x14ac:dyDescent="0.25">
      <c r="W1622"/>
    </row>
    <row r="1623" spans="1:23" x14ac:dyDescent="0.25">
      <c r="W1623"/>
    </row>
    <row r="1624" spans="1:23" x14ac:dyDescent="0.25">
      <c r="W1624"/>
    </row>
    <row r="1625" spans="1:23" x14ac:dyDescent="0.25">
      <c r="W1625"/>
    </row>
    <row r="1626" spans="1:23" x14ac:dyDescent="0.25">
      <c r="W1626"/>
    </row>
    <row r="1627" spans="1:23" x14ac:dyDescent="0.25">
      <c r="W1627"/>
    </row>
    <row r="1628" spans="1:23" x14ac:dyDescent="0.25">
      <c r="W1628"/>
    </row>
    <row r="1629" spans="1:23" x14ac:dyDescent="0.25">
      <c r="W1629"/>
    </row>
    <row r="1630" spans="1:23" x14ac:dyDescent="0.25">
      <c r="W1630"/>
    </row>
    <row r="1631" spans="1:23" x14ac:dyDescent="0.25">
      <c r="W1631"/>
    </row>
    <row r="1632" spans="1:23" x14ac:dyDescent="0.25">
      <c r="W1632"/>
    </row>
    <row r="1633" spans="23:23" x14ac:dyDescent="0.25">
      <c r="W1633"/>
    </row>
    <row r="1634" spans="23:23" x14ac:dyDescent="0.25">
      <c r="W1634"/>
    </row>
    <row r="1635" spans="23:23" x14ac:dyDescent="0.25">
      <c r="W1635"/>
    </row>
    <row r="1636" spans="23:23" x14ac:dyDescent="0.25">
      <c r="W1636"/>
    </row>
    <row r="1637" spans="23:23" x14ac:dyDescent="0.25">
      <c r="W1637"/>
    </row>
    <row r="1638" spans="23:23" x14ac:dyDescent="0.25">
      <c r="W1638"/>
    </row>
    <row r="1639" spans="23:23" x14ac:dyDescent="0.25">
      <c r="W1639"/>
    </row>
    <row r="1640" spans="23:23" x14ac:dyDescent="0.25">
      <c r="W1640"/>
    </row>
    <row r="1641" spans="23:23" x14ac:dyDescent="0.25">
      <c r="W1641"/>
    </row>
    <row r="1642" spans="23:23" x14ac:dyDescent="0.25">
      <c r="W1642"/>
    </row>
    <row r="1643" spans="23:23" x14ac:dyDescent="0.25">
      <c r="W1643"/>
    </row>
    <row r="1644" spans="23:23" x14ac:dyDescent="0.25">
      <c r="W1644"/>
    </row>
    <row r="1645" spans="23:23" x14ac:dyDescent="0.25">
      <c r="W1645"/>
    </row>
    <row r="1646" spans="23:23" x14ac:dyDescent="0.25">
      <c r="W1646"/>
    </row>
    <row r="1647" spans="23:23" x14ac:dyDescent="0.25">
      <c r="W1647"/>
    </row>
    <row r="1648" spans="23:23" x14ac:dyDescent="0.25">
      <c r="W1648"/>
    </row>
    <row r="1649" spans="23:23" x14ac:dyDescent="0.25">
      <c r="W1649"/>
    </row>
    <row r="1650" spans="23:23" x14ac:dyDescent="0.25">
      <c r="W1650"/>
    </row>
    <row r="1651" spans="23:23" x14ac:dyDescent="0.25">
      <c r="W1651"/>
    </row>
    <row r="1652" spans="23:23" x14ac:dyDescent="0.25">
      <c r="W1652"/>
    </row>
    <row r="1653" spans="23:23" x14ac:dyDescent="0.25">
      <c r="W1653"/>
    </row>
    <row r="1654" spans="23:23" x14ac:dyDescent="0.25">
      <c r="W1654"/>
    </row>
    <row r="1655" spans="23:23" x14ac:dyDescent="0.25">
      <c r="W1655"/>
    </row>
    <row r="1656" spans="23:23" x14ac:dyDescent="0.25">
      <c r="W1656"/>
    </row>
    <row r="1657" spans="23:23" x14ac:dyDescent="0.25">
      <c r="W1657"/>
    </row>
    <row r="1658" spans="23:23" x14ac:dyDescent="0.25">
      <c r="W1658"/>
    </row>
    <row r="1659" spans="23:23" x14ac:dyDescent="0.25">
      <c r="W1659"/>
    </row>
    <row r="1660" spans="23:23" x14ac:dyDescent="0.25">
      <c r="W1660"/>
    </row>
    <row r="1661" spans="23:23" x14ac:dyDescent="0.25">
      <c r="W1661"/>
    </row>
    <row r="1662" spans="23:23" x14ac:dyDescent="0.25">
      <c r="W1662"/>
    </row>
    <row r="1663" spans="23:23" x14ac:dyDescent="0.25">
      <c r="W1663"/>
    </row>
    <row r="1664" spans="23:23" x14ac:dyDescent="0.25">
      <c r="W1664"/>
    </row>
    <row r="1665" spans="23:23" x14ac:dyDescent="0.25">
      <c r="W1665"/>
    </row>
    <row r="1666" spans="23:23" x14ac:dyDescent="0.25">
      <c r="W1666"/>
    </row>
    <row r="1667" spans="23:23" x14ac:dyDescent="0.25">
      <c r="W1667"/>
    </row>
    <row r="1668" spans="23:23" x14ac:dyDescent="0.25">
      <c r="W1668"/>
    </row>
    <row r="1669" spans="23:23" x14ac:dyDescent="0.25">
      <c r="W1669"/>
    </row>
    <row r="1670" spans="23:23" x14ac:dyDescent="0.25">
      <c r="W1670"/>
    </row>
    <row r="1671" spans="23:23" x14ac:dyDescent="0.25">
      <c r="W1671"/>
    </row>
    <row r="1672" spans="23:23" x14ac:dyDescent="0.25">
      <c r="W1672"/>
    </row>
    <row r="1673" spans="23:23" x14ac:dyDescent="0.25">
      <c r="W1673"/>
    </row>
    <row r="1674" spans="23:23" x14ac:dyDescent="0.25">
      <c r="W1674"/>
    </row>
    <row r="1675" spans="23:23" x14ac:dyDescent="0.25">
      <c r="W1675"/>
    </row>
    <row r="1676" spans="23:23" x14ac:dyDescent="0.25">
      <c r="W1676"/>
    </row>
    <row r="1677" spans="23:23" x14ac:dyDescent="0.25">
      <c r="W1677"/>
    </row>
    <row r="1678" spans="23:23" x14ac:dyDescent="0.25">
      <c r="W1678"/>
    </row>
    <row r="1679" spans="23:23" x14ac:dyDescent="0.25">
      <c r="W1679"/>
    </row>
    <row r="1680" spans="23:23" x14ac:dyDescent="0.25">
      <c r="W1680"/>
    </row>
    <row r="1681" spans="23:23" x14ac:dyDescent="0.25">
      <c r="W1681"/>
    </row>
    <row r="1682" spans="23:23" x14ac:dyDescent="0.25">
      <c r="W1682"/>
    </row>
    <row r="1683" spans="23:23" x14ac:dyDescent="0.25">
      <c r="W1683"/>
    </row>
    <row r="1684" spans="23:23" x14ac:dyDescent="0.25">
      <c r="W1684"/>
    </row>
    <row r="1685" spans="23:23" x14ac:dyDescent="0.25">
      <c r="W1685"/>
    </row>
    <row r="1686" spans="23:23" x14ac:dyDescent="0.25">
      <c r="W1686"/>
    </row>
    <row r="1687" spans="23:23" x14ac:dyDescent="0.25">
      <c r="W1687"/>
    </row>
    <row r="1688" spans="23:23" x14ac:dyDescent="0.25">
      <c r="W1688"/>
    </row>
    <row r="1689" spans="23:23" x14ac:dyDescent="0.25">
      <c r="W1689"/>
    </row>
    <row r="1690" spans="23:23" x14ac:dyDescent="0.25">
      <c r="W1690"/>
    </row>
    <row r="1691" spans="23:23" x14ac:dyDescent="0.25">
      <c r="W1691"/>
    </row>
    <row r="1692" spans="23:23" x14ac:dyDescent="0.25">
      <c r="W1692"/>
    </row>
    <row r="1693" spans="23:23" x14ac:dyDescent="0.25">
      <c r="W1693"/>
    </row>
    <row r="1694" spans="23:23" x14ac:dyDescent="0.25">
      <c r="W1694"/>
    </row>
    <row r="1695" spans="23:23" x14ac:dyDescent="0.25">
      <c r="W1695"/>
    </row>
    <row r="1696" spans="23:23" x14ac:dyDescent="0.25">
      <c r="W1696"/>
    </row>
    <row r="1697" spans="23:23" x14ac:dyDescent="0.25">
      <c r="W1697"/>
    </row>
    <row r="1698" spans="23:23" x14ac:dyDescent="0.25">
      <c r="W1698"/>
    </row>
    <row r="1699" spans="23:23" x14ac:dyDescent="0.25">
      <c r="W1699"/>
    </row>
    <row r="1700" spans="23:23" x14ac:dyDescent="0.25">
      <c r="W1700"/>
    </row>
    <row r="1701" spans="23:23" x14ac:dyDescent="0.25">
      <c r="W1701"/>
    </row>
    <row r="1702" spans="23:23" x14ac:dyDescent="0.25">
      <c r="W1702"/>
    </row>
    <row r="1703" spans="23:23" x14ac:dyDescent="0.25">
      <c r="W1703"/>
    </row>
    <row r="1704" spans="23:23" x14ac:dyDescent="0.25">
      <c r="W1704"/>
    </row>
    <row r="1705" spans="23:23" x14ac:dyDescent="0.25">
      <c r="W1705"/>
    </row>
    <row r="1706" spans="23:23" x14ac:dyDescent="0.25">
      <c r="W1706"/>
    </row>
    <row r="1707" spans="23:23" x14ac:dyDescent="0.25">
      <c r="W1707"/>
    </row>
    <row r="1708" spans="23:23" x14ac:dyDescent="0.25">
      <c r="W1708"/>
    </row>
    <row r="1709" spans="23:23" x14ac:dyDescent="0.25">
      <c r="W1709"/>
    </row>
    <row r="1710" spans="23:23" x14ac:dyDescent="0.25">
      <c r="W1710"/>
    </row>
    <row r="1711" spans="23:23" x14ac:dyDescent="0.25">
      <c r="W1711"/>
    </row>
    <row r="1712" spans="23:23" x14ac:dyDescent="0.25">
      <c r="W1712"/>
    </row>
    <row r="1713" spans="23:23" x14ac:dyDescent="0.25">
      <c r="W1713"/>
    </row>
    <row r="1714" spans="23:23" x14ac:dyDescent="0.25">
      <c r="W1714"/>
    </row>
    <row r="1715" spans="23:23" x14ac:dyDescent="0.25">
      <c r="W1715"/>
    </row>
    <row r="1716" spans="23:23" x14ac:dyDescent="0.25">
      <c r="W1716"/>
    </row>
    <row r="1717" spans="23:23" x14ac:dyDescent="0.25">
      <c r="W1717"/>
    </row>
    <row r="1718" spans="23:23" x14ac:dyDescent="0.25">
      <c r="W1718"/>
    </row>
    <row r="1719" spans="23:23" x14ac:dyDescent="0.25">
      <c r="W1719"/>
    </row>
    <row r="1720" spans="23:23" x14ac:dyDescent="0.25">
      <c r="W1720"/>
    </row>
    <row r="1721" spans="23:23" x14ac:dyDescent="0.25">
      <c r="W1721"/>
    </row>
    <row r="1722" spans="23:23" x14ac:dyDescent="0.25">
      <c r="W1722"/>
    </row>
    <row r="1723" spans="23:23" x14ac:dyDescent="0.25">
      <c r="W1723"/>
    </row>
    <row r="1724" spans="23:23" x14ac:dyDescent="0.25">
      <c r="W1724"/>
    </row>
    <row r="1725" spans="23:23" x14ac:dyDescent="0.25">
      <c r="W1725"/>
    </row>
    <row r="1726" spans="23:23" x14ac:dyDescent="0.25">
      <c r="W1726"/>
    </row>
    <row r="1727" spans="23:23" x14ac:dyDescent="0.25">
      <c r="W1727"/>
    </row>
    <row r="1728" spans="23:23" x14ac:dyDescent="0.25">
      <c r="W1728"/>
    </row>
    <row r="1729" spans="23:23" x14ac:dyDescent="0.25">
      <c r="W1729"/>
    </row>
    <row r="1730" spans="23:23" x14ac:dyDescent="0.25">
      <c r="W1730"/>
    </row>
    <row r="1731" spans="23:23" x14ac:dyDescent="0.25">
      <c r="W1731"/>
    </row>
    <row r="1732" spans="23:23" x14ac:dyDescent="0.25">
      <c r="W1732"/>
    </row>
    <row r="1733" spans="23:23" x14ac:dyDescent="0.25">
      <c r="W1733"/>
    </row>
    <row r="1734" spans="23:23" x14ac:dyDescent="0.25">
      <c r="W1734"/>
    </row>
    <row r="1735" spans="23:23" x14ac:dyDescent="0.25">
      <c r="W1735"/>
    </row>
    <row r="1736" spans="23:23" x14ac:dyDescent="0.25">
      <c r="W1736"/>
    </row>
    <row r="1737" spans="23:23" x14ac:dyDescent="0.25">
      <c r="W1737"/>
    </row>
    <row r="1738" spans="23:23" x14ac:dyDescent="0.25">
      <c r="W1738"/>
    </row>
    <row r="1739" spans="23:23" x14ac:dyDescent="0.25">
      <c r="W1739"/>
    </row>
    <row r="1740" spans="23:23" x14ac:dyDescent="0.25">
      <c r="W1740"/>
    </row>
    <row r="1741" spans="23:23" x14ac:dyDescent="0.25">
      <c r="W1741"/>
    </row>
    <row r="1742" spans="23:23" x14ac:dyDescent="0.25">
      <c r="W1742"/>
    </row>
    <row r="1743" spans="23:23" x14ac:dyDescent="0.25">
      <c r="W1743"/>
    </row>
    <row r="1744" spans="23:23" x14ac:dyDescent="0.25">
      <c r="W1744"/>
    </row>
    <row r="1745" spans="23:23" x14ac:dyDescent="0.25">
      <c r="W1745"/>
    </row>
    <row r="1746" spans="23:23" x14ac:dyDescent="0.25">
      <c r="W1746"/>
    </row>
    <row r="1747" spans="23:23" x14ac:dyDescent="0.25">
      <c r="W1747"/>
    </row>
    <row r="1748" spans="23:23" x14ac:dyDescent="0.25">
      <c r="W1748"/>
    </row>
    <row r="1749" spans="23:23" x14ac:dyDescent="0.25">
      <c r="W1749"/>
    </row>
    <row r="1750" spans="23:23" x14ac:dyDescent="0.25">
      <c r="W1750"/>
    </row>
    <row r="1751" spans="23:23" x14ac:dyDescent="0.25">
      <c r="W1751"/>
    </row>
    <row r="1752" spans="23:23" x14ac:dyDescent="0.25">
      <c r="W1752"/>
    </row>
    <row r="1753" spans="23:23" x14ac:dyDescent="0.25">
      <c r="W1753"/>
    </row>
    <row r="1754" spans="23:23" x14ac:dyDescent="0.25">
      <c r="W1754"/>
    </row>
    <row r="1755" spans="23:23" x14ac:dyDescent="0.25">
      <c r="W1755"/>
    </row>
    <row r="1756" spans="23:23" x14ac:dyDescent="0.25">
      <c r="W1756"/>
    </row>
    <row r="1757" spans="23:23" x14ac:dyDescent="0.25">
      <c r="W1757"/>
    </row>
    <row r="1758" spans="23:23" x14ac:dyDescent="0.25">
      <c r="W1758"/>
    </row>
    <row r="1759" spans="23:23" x14ac:dyDescent="0.25">
      <c r="W1759"/>
    </row>
    <row r="1760" spans="23:23" x14ac:dyDescent="0.25">
      <c r="W1760"/>
    </row>
    <row r="1761" spans="23:23" x14ac:dyDescent="0.25">
      <c r="W1761"/>
    </row>
    <row r="1762" spans="23:23" x14ac:dyDescent="0.25">
      <c r="W1762"/>
    </row>
    <row r="1763" spans="23:23" x14ac:dyDescent="0.25">
      <c r="W1763"/>
    </row>
    <row r="1764" spans="23:23" x14ac:dyDescent="0.25">
      <c r="W1764"/>
    </row>
    <row r="1765" spans="23:23" x14ac:dyDescent="0.25">
      <c r="W1765"/>
    </row>
    <row r="1766" spans="23:23" x14ac:dyDescent="0.25">
      <c r="W1766"/>
    </row>
    <row r="1767" spans="23:23" x14ac:dyDescent="0.25">
      <c r="W1767"/>
    </row>
    <row r="1768" spans="23:23" x14ac:dyDescent="0.25">
      <c r="W1768"/>
    </row>
    <row r="1769" spans="23:23" x14ac:dyDescent="0.25">
      <c r="W1769"/>
    </row>
    <row r="1770" spans="23:23" x14ac:dyDescent="0.25">
      <c r="W1770"/>
    </row>
    <row r="1771" spans="23:23" x14ac:dyDescent="0.25">
      <c r="W1771"/>
    </row>
    <row r="1772" spans="23:23" x14ac:dyDescent="0.25">
      <c r="W1772"/>
    </row>
    <row r="1773" spans="23:23" x14ac:dyDescent="0.25">
      <c r="W1773"/>
    </row>
    <row r="1774" spans="23:23" x14ac:dyDescent="0.25">
      <c r="W1774"/>
    </row>
    <row r="1775" spans="23:23" x14ac:dyDescent="0.25">
      <c r="W1775"/>
    </row>
    <row r="1776" spans="23:23" x14ac:dyDescent="0.25">
      <c r="W1776"/>
    </row>
    <row r="1777" spans="23:23" x14ac:dyDescent="0.25">
      <c r="W1777"/>
    </row>
    <row r="1778" spans="23:23" x14ac:dyDescent="0.25">
      <c r="W1778"/>
    </row>
    <row r="1779" spans="23:23" x14ac:dyDescent="0.25">
      <c r="W1779"/>
    </row>
    <row r="1780" spans="23:23" x14ac:dyDescent="0.25">
      <c r="W1780"/>
    </row>
    <row r="1781" spans="23:23" x14ac:dyDescent="0.25">
      <c r="W1781"/>
    </row>
    <row r="1782" spans="23:23" x14ac:dyDescent="0.25">
      <c r="W1782"/>
    </row>
    <row r="1783" spans="23:23" x14ac:dyDescent="0.25">
      <c r="W1783"/>
    </row>
    <row r="1784" spans="23:23" x14ac:dyDescent="0.25">
      <c r="W1784"/>
    </row>
    <row r="1785" spans="23:23" x14ac:dyDescent="0.25">
      <c r="W1785"/>
    </row>
    <row r="1786" spans="23:23" x14ac:dyDescent="0.25">
      <c r="W1786"/>
    </row>
    <row r="1787" spans="23:23" x14ac:dyDescent="0.25">
      <c r="W1787"/>
    </row>
    <row r="1788" spans="23:23" x14ac:dyDescent="0.25">
      <c r="W1788"/>
    </row>
    <row r="1789" spans="23:23" x14ac:dyDescent="0.25">
      <c r="W1789"/>
    </row>
    <row r="1790" spans="23:23" x14ac:dyDescent="0.25">
      <c r="W1790"/>
    </row>
    <row r="1791" spans="23:23" x14ac:dyDescent="0.25">
      <c r="W1791"/>
    </row>
    <row r="1792" spans="23:23" x14ac:dyDescent="0.25">
      <c r="W1792"/>
    </row>
    <row r="1793" spans="23:23" x14ac:dyDescent="0.25">
      <c r="W1793"/>
    </row>
    <row r="1794" spans="23:23" x14ac:dyDescent="0.25">
      <c r="W1794"/>
    </row>
    <row r="1795" spans="23:23" x14ac:dyDescent="0.25">
      <c r="W1795"/>
    </row>
    <row r="1796" spans="23:23" x14ac:dyDescent="0.25">
      <c r="W1796"/>
    </row>
    <row r="1797" spans="23:23" x14ac:dyDescent="0.25">
      <c r="W1797"/>
    </row>
    <row r="1798" spans="23:23" x14ac:dyDescent="0.25">
      <c r="W1798"/>
    </row>
    <row r="1799" spans="23:23" x14ac:dyDescent="0.25">
      <c r="W1799"/>
    </row>
    <row r="1800" spans="23:23" x14ac:dyDescent="0.25">
      <c r="W1800"/>
    </row>
    <row r="1801" spans="23:23" x14ac:dyDescent="0.25">
      <c r="W1801"/>
    </row>
    <row r="1802" spans="23:23" x14ac:dyDescent="0.25">
      <c r="W1802"/>
    </row>
    <row r="1803" spans="23:23" x14ac:dyDescent="0.25">
      <c r="W1803"/>
    </row>
    <row r="1804" spans="23:23" x14ac:dyDescent="0.25">
      <c r="W1804"/>
    </row>
    <row r="1805" spans="23:23" x14ac:dyDescent="0.25">
      <c r="W1805"/>
    </row>
    <row r="1806" spans="23:23" x14ac:dyDescent="0.25">
      <c r="W1806"/>
    </row>
    <row r="1807" spans="23:23" x14ac:dyDescent="0.25">
      <c r="W1807"/>
    </row>
    <row r="1808" spans="23:23" x14ac:dyDescent="0.25">
      <c r="W1808"/>
    </row>
    <row r="1809" spans="23:23" x14ac:dyDescent="0.25">
      <c r="W1809"/>
    </row>
    <row r="1810" spans="23:23" x14ac:dyDescent="0.25">
      <c r="W1810"/>
    </row>
    <row r="1811" spans="23:23" x14ac:dyDescent="0.25">
      <c r="W1811"/>
    </row>
    <row r="1812" spans="23:23" x14ac:dyDescent="0.25">
      <c r="W1812"/>
    </row>
    <row r="1813" spans="23:23" x14ac:dyDescent="0.25">
      <c r="W1813"/>
    </row>
    <row r="1814" spans="23:23" x14ac:dyDescent="0.25">
      <c r="W1814"/>
    </row>
    <row r="1815" spans="23:23" x14ac:dyDescent="0.25">
      <c r="W1815"/>
    </row>
    <row r="1816" spans="23:23" x14ac:dyDescent="0.25">
      <c r="W1816"/>
    </row>
    <row r="1817" spans="23:23" x14ac:dyDescent="0.25">
      <c r="W1817"/>
    </row>
    <row r="1818" spans="23:23" x14ac:dyDescent="0.25">
      <c r="W1818"/>
    </row>
    <row r="1819" spans="23:23" x14ac:dyDescent="0.25">
      <c r="W1819"/>
    </row>
    <row r="1820" spans="23:23" x14ac:dyDescent="0.25">
      <c r="W1820"/>
    </row>
    <row r="1821" spans="23:23" x14ac:dyDescent="0.25">
      <c r="W1821"/>
    </row>
    <row r="1822" spans="23:23" x14ac:dyDescent="0.25">
      <c r="W1822"/>
    </row>
    <row r="1823" spans="23:23" x14ac:dyDescent="0.25">
      <c r="W1823"/>
    </row>
    <row r="1824" spans="23:23" x14ac:dyDescent="0.25">
      <c r="W1824"/>
    </row>
    <row r="1825" spans="23:23" x14ac:dyDescent="0.25">
      <c r="W1825"/>
    </row>
    <row r="1826" spans="23:23" x14ac:dyDescent="0.25">
      <c r="W1826"/>
    </row>
    <row r="1827" spans="23:23" x14ac:dyDescent="0.25">
      <c r="W1827"/>
    </row>
    <row r="1828" spans="23:23" x14ac:dyDescent="0.25">
      <c r="W1828"/>
    </row>
    <row r="1829" spans="23:23" x14ac:dyDescent="0.25">
      <c r="W1829"/>
    </row>
    <row r="1830" spans="23:23" x14ac:dyDescent="0.25">
      <c r="W1830"/>
    </row>
    <row r="1831" spans="23:23" x14ac:dyDescent="0.25">
      <c r="W1831"/>
    </row>
    <row r="1832" spans="23:23" x14ac:dyDescent="0.25">
      <c r="W1832"/>
    </row>
    <row r="1833" spans="23:23" x14ac:dyDescent="0.25">
      <c r="W1833"/>
    </row>
    <row r="1834" spans="23:23" x14ac:dyDescent="0.25">
      <c r="W1834"/>
    </row>
    <row r="1835" spans="23:23" x14ac:dyDescent="0.25">
      <c r="W1835"/>
    </row>
    <row r="1836" spans="23:23" x14ac:dyDescent="0.25">
      <c r="W1836"/>
    </row>
    <row r="1837" spans="23:23" x14ac:dyDescent="0.25">
      <c r="W1837"/>
    </row>
    <row r="1838" spans="23:23" x14ac:dyDescent="0.25">
      <c r="W1838"/>
    </row>
    <row r="1839" spans="23:23" x14ac:dyDescent="0.25">
      <c r="W1839"/>
    </row>
    <row r="1840" spans="23:23" x14ac:dyDescent="0.25">
      <c r="W1840"/>
    </row>
    <row r="1841" spans="23:23" x14ac:dyDescent="0.25">
      <c r="W1841"/>
    </row>
    <row r="1842" spans="23:23" x14ac:dyDescent="0.25">
      <c r="W1842"/>
    </row>
    <row r="1843" spans="23:23" x14ac:dyDescent="0.25">
      <c r="W1843"/>
    </row>
    <row r="1844" spans="23:23" x14ac:dyDescent="0.25">
      <c r="W1844"/>
    </row>
    <row r="1845" spans="23:23" x14ac:dyDescent="0.25">
      <c r="W1845"/>
    </row>
    <row r="1846" spans="23:23" x14ac:dyDescent="0.25">
      <c r="W1846"/>
    </row>
    <row r="1847" spans="23:23" x14ac:dyDescent="0.25">
      <c r="W1847"/>
    </row>
    <row r="1848" spans="23:23" x14ac:dyDescent="0.25">
      <c r="W1848"/>
    </row>
    <row r="1849" spans="23:23" x14ac:dyDescent="0.25">
      <c r="W1849"/>
    </row>
    <row r="1850" spans="23:23" x14ac:dyDescent="0.25">
      <c r="W1850"/>
    </row>
    <row r="1851" spans="23:23" x14ac:dyDescent="0.25">
      <c r="W1851"/>
    </row>
    <row r="1852" spans="23:23" x14ac:dyDescent="0.25">
      <c r="W1852"/>
    </row>
    <row r="1853" spans="23:23" x14ac:dyDescent="0.25">
      <c r="W1853"/>
    </row>
    <row r="1854" spans="23:23" x14ac:dyDescent="0.25">
      <c r="W1854"/>
    </row>
    <row r="1855" spans="23:23" x14ac:dyDescent="0.25">
      <c r="W1855"/>
    </row>
    <row r="1856" spans="23:23" x14ac:dyDescent="0.25">
      <c r="W1856"/>
    </row>
    <row r="1857" spans="23:23" x14ac:dyDescent="0.25">
      <c r="W1857"/>
    </row>
    <row r="1858" spans="23:23" x14ac:dyDescent="0.25">
      <c r="W1858"/>
    </row>
    <row r="1859" spans="23:23" x14ac:dyDescent="0.25">
      <c r="W1859"/>
    </row>
    <row r="1860" spans="23:23" x14ac:dyDescent="0.25">
      <c r="W1860"/>
    </row>
    <row r="1861" spans="23:23" x14ac:dyDescent="0.25">
      <c r="W1861"/>
    </row>
    <row r="1862" spans="23:23" x14ac:dyDescent="0.25">
      <c r="W1862"/>
    </row>
    <row r="1863" spans="23:23" x14ac:dyDescent="0.25">
      <c r="W1863"/>
    </row>
    <row r="1864" spans="23:23" x14ac:dyDescent="0.25">
      <c r="W1864"/>
    </row>
    <row r="1865" spans="23:23" x14ac:dyDescent="0.25">
      <c r="W1865"/>
    </row>
    <row r="1866" spans="23:23" x14ac:dyDescent="0.25">
      <c r="W1866"/>
    </row>
    <row r="1867" spans="23:23" x14ac:dyDescent="0.25">
      <c r="W1867"/>
    </row>
    <row r="1868" spans="23:23" x14ac:dyDescent="0.25">
      <c r="W1868"/>
    </row>
    <row r="1869" spans="23:23" x14ac:dyDescent="0.25">
      <c r="W1869"/>
    </row>
    <row r="1870" spans="23:23" x14ac:dyDescent="0.25">
      <c r="W1870"/>
    </row>
    <row r="1871" spans="23:23" x14ac:dyDescent="0.25">
      <c r="W1871"/>
    </row>
    <row r="1872" spans="23:23" x14ac:dyDescent="0.25">
      <c r="W1872"/>
    </row>
    <row r="1873" spans="23:23" x14ac:dyDescent="0.25">
      <c r="W1873"/>
    </row>
    <row r="1874" spans="23:23" x14ac:dyDescent="0.25">
      <c r="W1874"/>
    </row>
    <row r="1875" spans="23:23" x14ac:dyDescent="0.25">
      <c r="W1875"/>
    </row>
    <row r="1876" spans="23:23" x14ac:dyDescent="0.25">
      <c r="W1876"/>
    </row>
    <row r="1877" spans="23:23" x14ac:dyDescent="0.25">
      <c r="W1877"/>
    </row>
    <row r="1878" spans="23:23" x14ac:dyDescent="0.25">
      <c r="W1878"/>
    </row>
    <row r="1879" spans="23:23" x14ac:dyDescent="0.25">
      <c r="W1879"/>
    </row>
    <row r="1880" spans="23:23" x14ac:dyDescent="0.25">
      <c r="W1880"/>
    </row>
    <row r="1881" spans="23:23" x14ac:dyDescent="0.25">
      <c r="W1881"/>
    </row>
    <row r="1882" spans="23:23" x14ac:dyDescent="0.25">
      <c r="W1882"/>
    </row>
    <row r="1883" spans="23:23" x14ac:dyDescent="0.25">
      <c r="W1883"/>
    </row>
    <row r="1884" spans="23:23" x14ac:dyDescent="0.25">
      <c r="W1884"/>
    </row>
    <row r="1885" spans="23:23" x14ac:dyDescent="0.25">
      <c r="W1885"/>
    </row>
    <row r="1886" spans="23:23" x14ac:dyDescent="0.25">
      <c r="W1886"/>
    </row>
    <row r="1887" spans="23:23" x14ac:dyDescent="0.25">
      <c r="W1887"/>
    </row>
    <row r="1888" spans="23:23" x14ac:dyDescent="0.25">
      <c r="W1888"/>
    </row>
    <row r="1889" spans="23:23" x14ac:dyDescent="0.25">
      <c r="W1889"/>
    </row>
    <row r="1890" spans="23:23" x14ac:dyDescent="0.25">
      <c r="W1890"/>
    </row>
    <row r="1891" spans="23:23" x14ac:dyDescent="0.25">
      <c r="W1891"/>
    </row>
    <row r="1892" spans="23:23" x14ac:dyDescent="0.25">
      <c r="W1892"/>
    </row>
    <row r="1893" spans="23:23" x14ac:dyDescent="0.25">
      <c r="W1893"/>
    </row>
    <row r="1894" spans="23:23" x14ac:dyDescent="0.25">
      <c r="W1894"/>
    </row>
    <row r="1895" spans="23:23" x14ac:dyDescent="0.25">
      <c r="W1895"/>
    </row>
    <row r="1896" spans="23:23" x14ac:dyDescent="0.25">
      <c r="W1896"/>
    </row>
    <row r="1897" spans="23:23" x14ac:dyDescent="0.25">
      <c r="W1897"/>
    </row>
    <row r="1898" spans="23:23" x14ac:dyDescent="0.25">
      <c r="W1898"/>
    </row>
    <row r="1899" spans="23:23" x14ac:dyDescent="0.25">
      <c r="W1899"/>
    </row>
    <row r="1900" spans="23:23" x14ac:dyDescent="0.25">
      <c r="W1900"/>
    </row>
    <row r="1901" spans="23:23" x14ac:dyDescent="0.25">
      <c r="W1901"/>
    </row>
    <row r="1902" spans="23:23" x14ac:dyDescent="0.25">
      <c r="W1902"/>
    </row>
    <row r="1903" spans="23:23" x14ac:dyDescent="0.25">
      <c r="W1903"/>
    </row>
    <row r="1904" spans="23:23" x14ac:dyDescent="0.25">
      <c r="W1904"/>
    </row>
    <row r="1905" spans="23:23" x14ac:dyDescent="0.25">
      <c r="W1905"/>
    </row>
    <row r="1906" spans="23:23" x14ac:dyDescent="0.25">
      <c r="W1906"/>
    </row>
    <row r="1907" spans="23:23" x14ac:dyDescent="0.25">
      <c r="W1907"/>
    </row>
    <row r="1908" spans="23:23" x14ac:dyDescent="0.25">
      <c r="W1908"/>
    </row>
    <row r="1909" spans="23:23" x14ac:dyDescent="0.25">
      <c r="W1909"/>
    </row>
    <row r="1910" spans="23:23" x14ac:dyDescent="0.25">
      <c r="W1910"/>
    </row>
    <row r="1911" spans="23:23" x14ac:dyDescent="0.25">
      <c r="W1911"/>
    </row>
    <row r="1912" spans="23:23" x14ac:dyDescent="0.25">
      <c r="W1912"/>
    </row>
    <row r="1913" spans="23:23" x14ac:dyDescent="0.25">
      <c r="W1913"/>
    </row>
    <row r="1914" spans="23:23" x14ac:dyDescent="0.25">
      <c r="W1914"/>
    </row>
    <row r="1915" spans="23:23" x14ac:dyDescent="0.25">
      <c r="W1915"/>
    </row>
    <row r="1916" spans="23:23" x14ac:dyDescent="0.25">
      <c r="W1916"/>
    </row>
    <row r="1917" spans="23:23" x14ac:dyDescent="0.25">
      <c r="W1917"/>
    </row>
    <row r="1918" spans="23:23" x14ac:dyDescent="0.25">
      <c r="W1918"/>
    </row>
    <row r="1919" spans="23:23" x14ac:dyDescent="0.25">
      <c r="W1919"/>
    </row>
    <row r="1920" spans="23:23" x14ac:dyDescent="0.25">
      <c r="W1920"/>
    </row>
    <row r="1921" spans="23:23" x14ac:dyDescent="0.25">
      <c r="W1921"/>
    </row>
    <row r="1922" spans="23:23" x14ac:dyDescent="0.25">
      <c r="W1922"/>
    </row>
    <row r="1923" spans="23:23" x14ac:dyDescent="0.25">
      <c r="W1923"/>
    </row>
    <row r="1924" spans="23:23" x14ac:dyDescent="0.25">
      <c r="W1924"/>
    </row>
    <row r="1925" spans="23:23" x14ac:dyDescent="0.25">
      <c r="W1925"/>
    </row>
    <row r="1926" spans="23:23" x14ac:dyDescent="0.25">
      <c r="W1926"/>
    </row>
    <row r="1927" spans="23:23" x14ac:dyDescent="0.25">
      <c r="W1927"/>
    </row>
    <row r="1928" spans="23:23" x14ac:dyDescent="0.25">
      <c r="W1928"/>
    </row>
    <row r="1929" spans="23:23" x14ac:dyDescent="0.25">
      <c r="W1929"/>
    </row>
    <row r="1930" spans="23:23" x14ac:dyDescent="0.25">
      <c r="W1930"/>
    </row>
    <row r="1931" spans="23:23" x14ac:dyDescent="0.25">
      <c r="W1931"/>
    </row>
    <row r="1932" spans="23:23" x14ac:dyDescent="0.25">
      <c r="W1932"/>
    </row>
    <row r="1933" spans="23:23" x14ac:dyDescent="0.25">
      <c r="W1933"/>
    </row>
    <row r="1934" spans="23:23" x14ac:dyDescent="0.25">
      <c r="W1934"/>
    </row>
    <row r="1935" spans="23:23" x14ac:dyDescent="0.25">
      <c r="W1935"/>
    </row>
    <row r="1936" spans="23:23" x14ac:dyDescent="0.25">
      <c r="W1936"/>
    </row>
    <row r="1937" spans="23:23" x14ac:dyDescent="0.25">
      <c r="W1937"/>
    </row>
    <row r="1938" spans="23:23" x14ac:dyDescent="0.25">
      <c r="W1938"/>
    </row>
    <row r="1939" spans="23:23" x14ac:dyDescent="0.25">
      <c r="W1939"/>
    </row>
    <row r="1940" spans="23:23" x14ac:dyDescent="0.25">
      <c r="W1940"/>
    </row>
    <row r="1941" spans="23:23" x14ac:dyDescent="0.25">
      <c r="W1941"/>
    </row>
    <row r="1942" spans="23:23" x14ac:dyDescent="0.25">
      <c r="W1942"/>
    </row>
    <row r="1943" spans="23:23" x14ac:dyDescent="0.25">
      <c r="W1943"/>
    </row>
    <row r="1944" spans="23:23" x14ac:dyDescent="0.25">
      <c r="W1944"/>
    </row>
    <row r="1945" spans="23:23" x14ac:dyDescent="0.25">
      <c r="W1945"/>
    </row>
    <row r="1946" spans="23:23" x14ac:dyDescent="0.25">
      <c r="W1946"/>
    </row>
    <row r="1947" spans="23:23" x14ac:dyDescent="0.25">
      <c r="W1947"/>
    </row>
    <row r="1948" spans="23:23" x14ac:dyDescent="0.25">
      <c r="W1948"/>
    </row>
    <row r="1949" spans="23:23" x14ac:dyDescent="0.25">
      <c r="W1949"/>
    </row>
    <row r="1950" spans="23:23" x14ac:dyDescent="0.25">
      <c r="W1950"/>
    </row>
    <row r="1951" spans="23:23" x14ac:dyDescent="0.25">
      <c r="W1951"/>
    </row>
    <row r="1952" spans="23:23" x14ac:dyDescent="0.25">
      <c r="W1952"/>
    </row>
    <row r="1953" spans="23:23" x14ac:dyDescent="0.25">
      <c r="W1953"/>
    </row>
    <row r="1954" spans="23:23" x14ac:dyDescent="0.25">
      <c r="W1954"/>
    </row>
    <row r="1955" spans="23:23" x14ac:dyDescent="0.25">
      <c r="W1955"/>
    </row>
    <row r="1956" spans="23:23" x14ac:dyDescent="0.25">
      <c r="W1956"/>
    </row>
    <row r="1957" spans="23:23" x14ac:dyDescent="0.25">
      <c r="W1957"/>
    </row>
    <row r="1958" spans="23:23" x14ac:dyDescent="0.25">
      <c r="W1958"/>
    </row>
    <row r="1959" spans="23:23" x14ac:dyDescent="0.25">
      <c r="W1959"/>
    </row>
    <row r="1960" spans="23:23" x14ac:dyDescent="0.25">
      <c r="W1960"/>
    </row>
    <row r="1961" spans="23:23" x14ac:dyDescent="0.25">
      <c r="W1961"/>
    </row>
    <row r="1962" spans="23:23" x14ac:dyDescent="0.25">
      <c r="W1962"/>
    </row>
    <row r="1963" spans="23:23" x14ac:dyDescent="0.25">
      <c r="W1963"/>
    </row>
    <row r="1964" spans="23:23" x14ac:dyDescent="0.25">
      <c r="W1964"/>
    </row>
    <row r="1965" spans="23:23" x14ac:dyDescent="0.25">
      <c r="W1965"/>
    </row>
    <row r="1966" spans="23:23" x14ac:dyDescent="0.25">
      <c r="W1966"/>
    </row>
    <row r="1967" spans="23:23" x14ac:dyDescent="0.25">
      <c r="W1967"/>
    </row>
    <row r="1968" spans="23:23" x14ac:dyDescent="0.25">
      <c r="W1968"/>
    </row>
    <row r="1969" spans="23:23" x14ac:dyDescent="0.25">
      <c r="W1969"/>
    </row>
    <row r="1970" spans="23:23" x14ac:dyDescent="0.25">
      <c r="W1970"/>
    </row>
    <row r="1971" spans="23:23" x14ac:dyDescent="0.25">
      <c r="W1971"/>
    </row>
    <row r="1972" spans="23:23" x14ac:dyDescent="0.25">
      <c r="W1972"/>
    </row>
    <row r="1973" spans="23:23" x14ac:dyDescent="0.25">
      <c r="W1973"/>
    </row>
    <row r="1974" spans="23:23" x14ac:dyDescent="0.25">
      <c r="W1974"/>
    </row>
    <row r="1975" spans="23:23" x14ac:dyDescent="0.25">
      <c r="W1975"/>
    </row>
    <row r="1976" spans="23:23" x14ac:dyDescent="0.25">
      <c r="W1976"/>
    </row>
    <row r="1977" spans="23:23" x14ac:dyDescent="0.25">
      <c r="W1977"/>
    </row>
    <row r="1978" spans="23:23" x14ac:dyDescent="0.25">
      <c r="W1978"/>
    </row>
    <row r="1979" spans="23:23" x14ac:dyDescent="0.25">
      <c r="W1979"/>
    </row>
    <row r="1980" spans="23:23" x14ac:dyDescent="0.25">
      <c r="W1980"/>
    </row>
    <row r="1981" spans="23:23" x14ac:dyDescent="0.25">
      <c r="W1981"/>
    </row>
    <row r="1982" spans="23:23" x14ac:dyDescent="0.25">
      <c r="W1982"/>
    </row>
    <row r="1983" spans="23:23" x14ac:dyDescent="0.25">
      <c r="W1983"/>
    </row>
    <row r="1984" spans="23:23" x14ac:dyDescent="0.25">
      <c r="W1984"/>
    </row>
    <row r="1985" spans="23:23" x14ac:dyDescent="0.25">
      <c r="W1985"/>
    </row>
    <row r="1986" spans="23:23" x14ac:dyDescent="0.25">
      <c r="W1986"/>
    </row>
    <row r="1987" spans="23:23" x14ac:dyDescent="0.25">
      <c r="W1987"/>
    </row>
    <row r="1988" spans="23:23" x14ac:dyDescent="0.25">
      <c r="W1988"/>
    </row>
    <row r="1989" spans="23:23" x14ac:dyDescent="0.25">
      <c r="W1989"/>
    </row>
    <row r="1990" spans="23:23" x14ac:dyDescent="0.25">
      <c r="W1990"/>
    </row>
    <row r="1991" spans="23:23" x14ac:dyDescent="0.25">
      <c r="W1991"/>
    </row>
    <row r="1992" spans="23:23" x14ac:dyDescent="0.25">
      <c r="W1992"/>
    </row>
    <row r="1993" spans="23:23" x14ac:dyDescent="0.25">
      <c r="W1993"/>
    </row>
    <row r="1994" spans="23:23" x14ac:dyDescent="0.25">
      <c r="W1994"/>
    </row>
    <row r="1995" spans="23:23" x14ac:dyDescent="0.25">
      <c r="W1995"/>
    </row>
    <row r="1996" spans="23:23" x14ac:dyDescent="0.25">
      <c r="W1996"/>
    </row>
    <row r="1997" spans="23:23" x14ac:dyDescent="0.25">
      <c r="W1997"/>
    </row>
    <row r="1998" spans="23:23" x14ac:dyDescent="0.25">
      <c r="W1998"/>
    </row>
    <row r="1999" spans="23:23" x14ac:dyDescent="0.25">
      <c r="W1999"/>
    </row>
    <row r="2000" spans="23:23" x14ac:dyDescent="0.25">
      <c r="W2000"/>
    </row>
    <row r="2001" spans="23:23" x14ac:dyDescent="0.25">
      <c r="W2001"/>
    </row>
    <row r="2002" spans="23:23" x14ac:dyDescent="0.25">
      <c r="W2002"/>
    </row>
    <row r="2003" spans="23:23" x14ac:dyDescent="0.25">
      <c r="W2003"/>
    </row>
    <row r="2004" spans="23:23" x14ac:dyDescent="0.25">
      <c r="W2004"/>
    </row>
    <row r="2005" spans="23:23" x14ac:dyDescent="0.25">
      <c r="W2005"/>
    </row>
    <row r="2006" spans="23:23" x14ac:dyDescent="0.25">
      <c r="W2006"/>
    </row>
    <row r="2007" spans="23:23" x14ac:dyDescent="0.25">
      <c r="W2007"/>
    </row>
    <row r="2008" spans="23:23" x14ac:dyDescent="0.25">
      <c r="W2008"/>
    </row>
    <row r="2009" spans="23:23" x14ac:dyDescent="0.25">
      <c r="W2009"/>
    </row>
    <row r="2010" spans="23:23" x14ac:dyDescent="0.25">
      <c r="W2010"/>
    </row>
    <row r="2011" spans="23:23" x14ac:dyDescent="0.25">
      <c r="W2011"/>
    </row>
    <row r="2012" spans="23:23" x14ac:dyDescent="0.25">
      <c r="W2012"/>
    </row>
    <row r="2013" spans="23:23" x14ac:dyDescent="0.25">
      <c r="W2013"/>
    </row>
    <row r="2014" spans="23:23" x14ac:dyDescent="0.25">
      <c r="W2014"/>
    </row>
    <row r="2015" spans="23:23" x14ac:dyDescent="0.25">
      <c r="W2015"/>
    </row>
    <row r="2016" spans="23:23" x14ac:dyDescent="0.25">
      <c r="W2016"/>
    </row>
    <row r="2017" spans="23:23" x14ac:dyDescent="0.25">
      <c r="W2017"/>
    </row>
    <row r="2018" spans="23:23" x14ac:dyDescent="0.25">
      <c r="W2018"/>
    </row>
    <row r="2019" spans="23:23" x14ac:dyDescent="0.25">
      <c r="W2019"/>
    </row>
    <row r="2020" spans="23:23" x14ac:dyDescent="0.25">
      <c r="W2020"/>
    </row>
    <row r="2021" spans="23:23" x14ac:dyDescent="0.25">
      <c r="W2021"/>
    </row>
    <row r="2022" spans="23:23" x14ac:dyDescent="0.25">
      <c r="W2022"/>
    </row>
    <row r="2023" spans="23:23" x14ac:dyDescent="0.25">
      <c r="W2023"/>
    </row>
    <row r="2024" spans="23:23" x14ac:dyDescent="0.25">
      <c r="W2024"/>
    </row>
    <row r="2025" spans="23:23" x14ac:dyDescent="0.25">
      <c r="W2025"/>
    </row>
    <row r="2026" spans="23:23" x14ac:dyDescent="0.25">
      <c r="W2026"/>
    </row>
    <row r="2027" spans="23:23" x14ac:dyDescent="0.25">
      <c r="W2027"/>
    </row>
    <row r="2028" spans="23:23" x14ac:dyDescent="0.25">
      <c r="W2028"/>
    </row>
    <row r="2029" spans="23:23" x14ac:dyDescent="0.25">
      <c r="W2029"/>
    </row>
    <row r="2030" spans="23:23" x14ac:dyDescent="0.25">
      <c r="W2030"/>
    </row>
    <row r="2031" spans="23:23" x14ac:dyDescent="0.25">
      <c r="W2031"/>
    </row>
    <row r="2032" spans="23:23" x14ac:dyDescent="0.25">
      <c r="W2032"/>
    </row>
    <row r="2033" spans="23:23" x14ac:dyDescent="0.25">
      <c r="W2033"/>
    </row>
    <row r="2034" spans="23:23" x14ac:dyDescent="0.25">
      <c r="W2034"/>
    </row>
    <row r="2035" spans="23:23" x14ac:dyDescent="0.25">
      <c r="W2035"/>
    </row>
    <row r="2036" spans="23:23" x14ac:dyDescent="0.25">
      <c r="W2036"/>
    </row>
    <row r="2037" spans="23:23" x14ac:dyDescent="0.25">
      <c r="W2037"/>
    </row>
    <row r="2038" spans="23:23" x14ac:dyDescent="0.25">
      <c r="W2038"/>
    </row>
    <row r="2039" spans="23:23" x14ac:dyDescent="0.25">
      <c r="W2039"/>
    </row>
    <row r="2040" spans="23:23" x14ac:dyDescent="0.25">
      <c r="W2040"/>
    </row>
    <row r="2041" spans="23:23" x14ac:dyDescent="0.25">
      <c r="W2041"/>
    </row>
    <row r="2042" spans="23:23" x14ac:dyDescent="0.25">
      <c r="W2042"/>
    </row>
    <row r="2043" spans="23:23" x14ac:dyDescent="0.25">
      <c r="W2043"/>
    </row>
    <row r="2044" spans="23:23" x14ac:dyDescent="0.25">
      <c r="W2044"/>
    </row>
    <row r="2045" spans="23:23" x14ac:dyDescent="0.25">
      <c r="W2045"/>
    </row>
    <row r="2046" spans="23:23" x14ac:dyDescent="0.25">
      <c r="W2046"/>
    </row>
    <row r="2047" spans="23:23" x14ac:dyDescent="0.25">
      <c r="W2047"/>
    </row>
    <row r="2048" spans="23:23" x14ac:dyDescent="0.25">
      <c r="W2048"/>
    </row>
    <row r="2049" spans="23:23" x14ac:dyDescent="0.25">
      <c r="W2049"/>
    </row>
    <row r="2050" spans="23:23" x14ac:dyDescent="0.25">
      <c r="W2050"/>
    </row>
    <row r="2051" spans="23:23" x14ac:dyDescent="0.25">
      <c r="W2051"/>
    </row>
    <row r="2052" spans="23:23" x14ac:dyDescent="0.25">
      <c r="W2052"/>
    </row>
    <row r="2053" spans="23:23" x14ac:dyDescent="0.25">
      <c r="W2053"/>
    </row>
    <row r="2054" spans="23:23" x14ac:dyDescent="0.25">
      <c r="W2054"/>
    </row>
    <row r="2055" spans="23:23" x14ac:dyDescent="0.25">
      <c r="W2055"/>
    </row>
    <row r="2056" spans="23:23" x14ac:dyDescent="0.25">
      <c r="W2056"/>
    </row>
    <row r="2057" spans="23:23" x14ac:dyDescent="0.25">
      <c r="W2057"/>
    </row>
    <row r="2058" spans="23:23" x14ac:dyDescent="0.25">
      <c r="W2058"/>
    </row>
    <row r="2059" spans="23:23" x14ac:dyDescent="0.25">
      <c r="W2059"/>
    </row>
    <row r="2060" spans="23:23" x14ac:dyDescent="0.25">
      <c r="W2060"/>
    </row>
    <row r="2061" spans="23:23" x14ac:dyDescent="0.25">
      <c r="W2061"/>
    </row>
    <row r="2062" spans="23:23" x14ac:dyDescent="0.25">
      <c r="W2062"/>
    </row>
    <row r="2063" spans="23:23" x14ac:dyDescent="0.25">
      <c r="W2063"/>
    </row>
    <row r="2064" spans="23:23" x14ac:dyDescent="0.25">
      <c r="W2064"/>
    </row>
    <row r="2065" spans="23:23" x14ac:dyDescent="0.25">
      <c r="W2065"/>
    </row>
    <row r="2066" spans="23:23" x14ac:dyDescent="0.25">
      <c r="W2066"/>
    </row>
    <row r="2067" spans="23:23" x14ac:dyDescent="0.25">
      <c r="W2067"/>
    </row>
    <row r="2068" spans="23:23" x14ac:dyDescent="0.25">
      <c r="W2068"/>
    </row>
    <row r="2069" spans="23:23" x14ac:dyDescent="0.25">
      <c r="W2069"/>
    </row>
    <row r="2070" spans="23:23" x14ac:dyDescent="0.25">
      <c r="W2070"/>
    </row>
    <row r="2071" spans="23:23" x14ac:dyDescent="0.25">
      <c r="W2071"/>
    </row>
    <row r="2072" spans="23:23" x14ac:dyDescent="0.25">
      <c r="W2072"/>
    </row>
    <row r="2073" spans="23:23" x14ac:dyDescent="0.25">
      <c r="W2073"/>
    </row>
    <row r="2074" spans="23:23" x14ac:dyDescent="0.25">
      <c r="W2074"/>
    </row>
    <row r="2075" spans="23:23" x14ac:dyDescent="0.25">
      <c r="W2075"/>
    </row>
    <row r="2076" spans="23:23" x14ac:dyDescent="0.25">
      <c r="W2076"/>
    </row>
    <row r="2077" spans="23:23" x14ac:dyDescent="0.25">
      <c r="W2077"/>
    </row>
    <row r="2078" spans="23:23" x14ac:dyDescent="0.25">
      <c r="W2078"/>
    </row>
    <row r="2079" spans="23:23" x14ac:dyDescent="0.25">
      <c r="W2079"/>
    </row>
    <row r="2080" spans="23:23" x14ac:dyDescent="0.25">
      <c r="W2080"/>
    </row>
    <row r="2081" spans="23:23" x14ac:dyDescent="0.25">
      <c r="W2081"/>
    </row>
    <row r="2082" spans="23:23" x14ac:dyDescent="0.25">
      <c r="W2082"/>
    </row>
    <row r="2083" spans="23:23" x14ac:dyDescent="0.25">
      <c r="W2083"/>
    </row>
    <row r="2084" spans="23:23" x14ac:dyDescent="0.25">
      <c r="W2084"/>
    </row>
    <row r="2085" spans="23:23" x14ac:dyDescent="0.25">
      <c r="W2085"/>
    </row>
    <row r="2086" spans="23:23" x14ac:dyDescent="0.25">
      <c r="W2086"/>
    </row>
    <row r="2087" spans="23:23" x14ac:dyDescent="0.25">
      <c r="W2087"/>
    </row>
    <row r="2088" spans="23:23" x14ac:dyDescent="0.25">
      <c r="W2088"/>
    </row>
    <row r="2089" spans="23:23" x14ac:dyDescent="0.25">
      <c r="W2089"/>
    </row>
    <row r="2090" spans="23:23" x14ac:dyDescent="0.25">
      <c r="W2090"/>
    </row>
    <row r="2091" spans="23:23" x14ac:dyDescent="0.25">
      <c r="W2091"/>
    </row>
    <row r="2092" spans="23:23" x14ac:dyDescent="0.25">
      <c r="W2092"/>
    </row>
    <row r="2093" spans="23:23" x14ac:dyDescent="0.25">
      <c r="W2093"/>
    </row>
    <row r="2094" spans="23:23" x14ac:dyDescent="0.25">
      <c r="W2094"/>
    </row>
    <row r="2095" spans="23:23" x14ac:dyDescent="0.25">
      <c r="W2095"/>
    </row>
    <row r="2096" spans="23:23" x14ac:dyDescent="0.25">
      <c r="W2096"/>
    </row>
    <row r="2097" spans="23:23" x14ac:dyDescent="0.25">
      <c r="W2097"/>
    </row>
    <row r="2098" spans="23:23" x14ac:dyDescent="0.25">
      <c r="W2098"/>
    </row>
    <row r="2099" spans="23:23" x14ac:dyDescent="0.25">
      <c r="W2099"/>
    </row>
    <row r="2100" spans="23:23" x14ac:dyDescent="0.25">
      <c r="W2100"/>
    </row>
    <row r="2101" spans="23:23" x14ac:dyDescent="0.25">
      <c r="W2101"/>
    </row>
    <row r="2102" spans="23:23" x14ac:dyDescent="0.25">
      <c r="W2102"/>
    </row>
    <row r="2103" spans="23:23" x14ac:dyDescent="0.25">
      <c r="W2103"/>
    </row>
    <row r="2104" spans="23:23" x14ac:dyDescent="0.25">
      <c r="W2104"/>
    </row>
    <row r="2105" spans="23:23" x14ac:dyDescent="0.25">
      <c r="W2105"/>
    </row>
    <row r="2106" spans="23:23" x14ac:dyDescent="0.25">
      <c r="W2106"/>
    </row>
    <row r="2107" spans="23:23" x14ac:dyDescent="0.25">
      <c r="W2107"/>
    </row>
    <row r="2108" spans="23:23" x14ac:dyDescent="0.25">
      <c r="W2108"/>
    </row>
    <row r="2109" spans="23:23" x14ac:dyDescent="0.25">
      <c r="W2109"/>
    </row>
    <row r="2110" spans="23:23" x14ac:dyDescent="0.25">
      <c r="W2110"/>
    </row>
    <row r="2111" spans="23:23" x14ac:dyDescent="0.25">
      <c r="W2111"/>
    </row>
    <row r="2112" spans="23:23" x14ac:dyDescent="0.25">
      <c r="W2112"/>
    </row>
    <row r="2113" spans="23:23" x14ac:dyDescent="0.25">
      <c r="W2113"/>
    </row>
    <row r="2114" spans="23:23" x14ac:dyDescent="0.25">
      <c r="W2114"/>
    </row>
    <row r="2115" spans="23:23" x14ac:dyDescent="0.25">
      <c r="W2115"/>
    </row>
    <row r="2116" spans="23:23" x14ac:dyDescent="0.25">
      <c r="W2116"/>
    </row>
    <row r="2117" spans="23:23" x14ac:dyDescent="0.25">
      <c r="W2117"/>
    </row>
    <row r="2118" spans="23:23" x14ac:dyDescent="0.25">
      <c r="W2118"/>
    </row>
    <row r="2119" spans="23:23" x14ac:dyDescent="0.25">
      <c r="W2119"/>
    </row>
    <row r="2120" spans="23:23" x14ac:dyDescent="0.25">
      <c r="W2120"/>
    </row>
    <row r="2121" spans="23:23" x14ac:dyDescent="0.25">
      <c r="W2121"/>
    </row>
    <row r="2122" spans="23:23" x14ac:dyDescent="0.25">
      <c r="W2122"/>
    </row>
    <row r="2123" spans="23:23" x14ac:dyDescent="0.25">
      <c r="W2123"/>
    </row>
    <row r="2124" spans="23:23" x14ac:dyDescent="0.25">
      <c r="W2124"/>
    </row>
    <row r="2125" spans="23:23" x14ac:dyDescent="0.25">
      <c r="W2125"/>
    </row>
    <row r="2126" spans="23:23" x14ac:dyDescent="0.25">
      <c r="W2126"/>
    </row>
    <row r="2127" spans="23:23" x14ac:dyDescent="0.25">
      <c r="W2127"/>
    </row>
    <row r="2128" spans="23:23" x14ac:dyDescent="0.25">
      <c r="W2128"/>
    </row>
    <row r="2129" spans="23:23" x14ac:dyDescent="0.25">
      <c r="W2129"/>
    </row>
    <row r="2130" spans="23:23" x14ac:dyDescent="0.25">
      <c r="W2130"/>
    </row>
    <row r="2131" spans="23:23" x14ac:dyDescent="0.25">
      <c r="W2131"/>
    </row>
    <row r="2132" spans="23:23" x14ac:dyDescent="0.25">
      <c r="W2132"/>
    </row>
    <row r="2133" spans="23:23" x14ac:dyDescent="0.25">
      <c r="W2133"/>
    </row>
    <row r="2134" spans="23:23" x14ac:dyDescent="0.25">
      <c r="W2134"/>
    </row>
    <row r="2135" spans="23:23" x14ac:dyDescent="0.25">
      <c r="W2135"/>
    </row>
    <row r="2136" spans="23:23" x14ac:dyDescent="0.25">
      <c r="W2136"/>
    </row>
    <row r="2137" spans="23:23" x14ac:dyDescent="0.25">
      <c r="W2137"/>
    </row>
    <row r="2138" spans="23:23" x14ac:dyDescent="0.25">
      <c r="W2138"/>
    </row>
    <row r="2139" spans="23:23" x14ac:dyDescent="0.25">
      <c r="W2139"/>
    </row>
    <row r="2140" spans="23:23" x14ac:dyDescent="0.25">
      <c r="W2140"/>
    </row>
    <row r="2141" spans="23:23" x14ac:dyDescent="0.25">
      <c r="W2141"/>
    </row>
    <row r="2142" spans="23:23" x14ac:dyDescent="0.25">
      <c r="W2142"/>
    </row>
    <row r="2143" spans="23:23" x14ac:dyDescent="0.25">
      <c r="W2143"/>
    </row>
    <row r="2144" spans="23:23" x14ac:dyDescent="0.25">
      <c r="W2144"/>
    </row>
    <row r="2145" spans="23:23" x14ac:dyDescent="0.25">
      <c r="W2145"/>
    </row>
    <row r="2146" spans="23:23" x14ac:dyDescent="0.25">
      <c r="W2146"/>
    </row>
    <row r="2147" spans="23:23" x14ac:dyDescent="0.25">
      <c r="W2147"/>
    </row>
    <row r="2148" spans="23:23" x14ac:dyDescent="0.25">
      <c r="W2148"/>
    </row>
    <row r="2149" spans="23:23" x14ac:dyDescent="0.25">
      <c r="W2149"/>
    </row>
    <row r="2150" spans="23:23" x14ac:dyDescent="0.25">
      <c r="W2150"/>
    </row>
    <row r="2151" spans="23:23" x14ac:dyDescent="0.25">
      <c r="W2151"/>
    </row>
    <row r="2152" spans="23:23" x14ac:dyDescent="0.25">
      <c r="W2152"/>
    </row>
    <row r="2153" spans="23:23" x14ac:dyDescent="0.25">
      <c r="W2153"/>
    </row>
    <row r="2154" spans="23:23" x14ac:dyDescent="0.25">
      <c r="W2154"/>
    </row>
    <row r="2155" spans="23:23" x14ac:dyDescent="0.25">
      <c r="W2155"/>
    </row>
    <row r="2156" spans="23:23" x14ac:dyDescent="0.25">
      <c r="W2156"/>
    </row>
    <row r="2157" spans="23:23" x14ac:dyDescent="0.25">
      <c r="W2157"/>
    </row>
    <row r="2158" spans="23:23" x14ac:dyDescent="0.25">
      <c r="W2158"/>
    </row>
    <row r="2159" spans="23:23" x14ac:dyDescent="0.25">
      <c r="W2159"/>
    </row>
    <row r="2160" spans="23:23" x14ac:dyDescent="0.25">
      <c r="W2160"/>
    </row>
    <row r="2161" spans="23:23" x14ac:dyDescent="0.25">
      <c r="W2161"/>
    </row>
    <row r="2162" spans="23:23" x14ac:dyDescent="0.25">
      <c r="W2162"/>
    </row>
    <row r="2163" spans="23:23" x14ac:dyDescent="0.25">
      <c r="W2163"/>
    </row>
    <row r="2164" spans="23:23" x14ac:dyDescent="0.25">
      <c r="W2164"/>
    </row>
    <row r="2165" spans="23:23" x14ac:dyDescent="0.25">
      <c r="W2165"/>
    </row>
    <row r="2166" spans="23:23" x14ac:dyDescent="0.25">
      <c r="W2166"/>
    </row>
    <row r="2167" spans="23:23" x14ac:dyDescent="0.25">
      <c r="W2167"/>
    </row>
    <row r="2168" spans="23:23" x14ac:dyDescent="0.25">
      <c r="W2168"/>
    </row>
    <row r="2169" spans="23:23" x14ac:dyDescent="0.25">
      <c r="W2169"/>
    </row>
    <row r="2170" spans="23:23" x14ac:dyDescent="0.25">
      <c r="W2170"/>
    </row>
    <row r="2171" spans="23:23" x14ac:dyDescent="0.25">
      <c r="W2171"/>
    </row>
    <row r="2172" spans="23:23" x14ac:dyDescent="0.25">
      <c r="W2172"/>
    </row>
    <row r="2173" spans="23:23" x14ac:dyDescent="0.25">
      <c r="W2173"/>
    </row>
    <row r="2174" spans="23:23" x14ac:dyDescent="0.25">
      <c r="W2174"/>
    </row>
    <row r="2175" spans="23:23" x14ac:dyDescent="0.25">
      <c r="W2175"/>
    </row>
    <row r="2176" spans="23:23" x14ac:dyDescent="0.25">
      <c r="W2176"/>
    </row>
    <row r="2177" spans="23:23" x14ac:dyDescent="0.25">
      <c r="W2177"/>
    </row>
    <row r="2178" spans="23:23" x14ac:dyDescent="0.25">
      <c r="W2178"/>
    </row>
    <row r="2179" spans="23:23" x14ac:dyDescent="0.25">
      <c r="W2179"/>
    </row>
    <row r="2180" spans="23:23" x14ac:dyDescent="0.25">
      <c r="W2180"/>
    </row>
    <row r="2181" spans="23:23" x14ac:dyDescent="0.25">
      <c r="W2181"/>
    </row>
    <row r="2182" spans="23:23" x14ac:dyDescent="0.25">
      <c r="W2182"/>
    </row>
    <row r="2183" spans="23:23" x14ac:dyDescent="0.25">
      <c r="W2183"/>
    </row>
    <row r="2184" spans="23:23" x14ac:dyDescent="0.25">
      <c r="W2184"/>
    </row>
    <row r="2185" spans="23:23" x14ac:dyDescent="0.25">
      <c r="W2185"/>
    </row>
    <row r="2186" spans="23:23" x14ac:dyDescent="0.25">
      <c r="W2186"/>
    </row>
    <row r="2187" spans="23:23" x14ac:dyDescent="0.25">
      <c r="W2187"/>
    </row>
    <row r="2188" spans="23:23" x14ac:dyDescent="0.25">
      <c r="W2188"/>
    </row>
    <row r="2189" spans="23:23" x14ac:dyDescent="0.25">
      <c r="W2189"/>
    </row>
    <row r="2190" spans="23:23" x14ac:dyDescent="0.25">
      <c r="W2190"/>
    </row>
    <row r="2191" spans="23:23" x14ac:dyDescent="0.25">
      <c r="W2191"/>
    </row>
    <row r="2192" spans="23:23" x14ac:dyDescent="0.25">
      <c r="W2192"/>
    </row>
    <row r="2193" spans="23:23" x14ac:dyDescent="0.25">
      <c r="W2193"/>
    </row>
    <row r="2194" spans="23:23" x14ac:dyDescent="0.25">
      <c r="W2194"/>
    </row>
    <row r="2195" spans="23:23" x14ac:dyDescent="0.25">
      <c r="W2195"/>
    </row>
    <row r="2196" spans="23:23" x14ac:dyDescent="0.25">
      <c r="W2196"/>
    </row>
    <row r="2197" spans="23:23" x14ac:dyDescent="0.25">
      <c r="W2197"/>
    </row>
    <row r="2198" spans="23:23" x14ac:dyDescent="0.25">
      <c r="W2198"/>
    </row>
    <row r="2199" spans="23:23" x14ac:dyDescent="0.25">
      <c r="W2199"/>
    </row>
    <row r="2200" spans="23:23" x14ac:dyDescent="0.25">
      <c r="W2200"/>
    </row>
    <row r="2201" spans="23:23" x14ac:dyDescent="0.25">
      <c r="W2201"/>
    </row>
    <row r="2202" spans="23:23" x14ac:dyDescent="0.25">
      <c r="W2202"/>
    </row>
    <row r="2203" spans="23:23" x14ac:dyDescent="0.25">
      <c r="W2203"/>
    </row>
    <row r="2204" spans="23:23" x14ac:dyDescent="0.25">
      <c r="W2204"/>
    </row>
    <row r="2205" spans="23:23" x14ac:dyDescent="0.25">
      <c r="W2205"/>
    </row>
    <row r="2206" spans="23:23" x14ac:dyDescent="0.25">
      <c r="W2206"/>
    </row>
    <row r="2207" spans="23:23" x14ac:dyDescent="0.25">
      <c r="W2207"/>
    </row>
    <row r="2208" spans="23:23" x14ac:dyDescent="0.25">
      <c r="W2208"/>
    </row>
    <row r="2209" spans="23:23" x14ac:dyDescent="0.25">
      <c r="W2209"/>
    </row>
    <row r="2210" spans="23:23" x14ac:dyDescent="0.25">
      <c r="W2210"/>
    </row>
    <row r="2211" spans="23:23" x14ac:dyDescent="0.25">
      <c r="W2211"/>
    </row>
    <row r="2212" spans="23:23" x14ac:dyDescent="0.25">
      <c r="W2212"/>
    </row>
    <row r="2213" spans="23:23" x14ac:dyDescent="0.25">
      <c r="W2213"/>
    </row>
    <row r="2214" spans="23:23" x14ac:dyDescent="0.25">
      <c r="W2214"/>
    </row>
    <row r="2215" spans="23:23" x14ac:dyDescent="0.25">
      <c r="W2215"/>
    </row>
    <row r="2216" spans="23:23" x14ac:dyDescent="0.25">
      <c r="W2216"/>
    </row>
    <row r="2217" spans="23:23" x14ac:dyDescent="0.25">
      <c r="W2217"/>
    </row>
    <row r="2218" spans="23:23" x14ac:dyDescent="0.25">
      <c r="W2218"/>
    </row>
    <row r="2219" spans="23:23" x14ac:dyDescent="0.25">
      <c r="W2219"/>
    </row>
    <row r="2220" spans="23:23" x14ac:dyDescent="0.25">
      <c r="W2220"/>
    </row>
    <row r="2221" spans="23:23" x14ac:dyDescent="0.25">
      <c r="W2221"/>
    </row>
    <row r="2222" spans="23:23" x14ac:dyDescent="0.25">
      <c r="W2222"/>
    </row>
    <row r="2223" spans="23:23" x14ac:dyDescent="0.25">
      <c r="W2223"/>
    </row>
    <row r="2224" spans="23:23" x14ac:dyDescent="0.25">
      <c r="W2224"/>
    </row>
    <row r="2225" spans="23:23" x14ac:dyDescent="0.25">
      <c r="W2225"/>
    </row>
    <row r="2226" spans="23:23" x14ac:dyDescent="0.25">
      <c r="W2226"/>
    </row>
    <row r="2227" spans="23:23" x14ac:dyDescent="0.25">
      <c r="W2227"/>
    </row>
    <row r="2228" spans="23:23" x14ac:dyDescent="0.25">
      <c r="W2228"/>
    </row>
    <row r="2229" spans="23:23" x14ac:dyDescent="0.25">
      <c r="W2229"/>
    </row>
    <row r="2230" spans="23:23" x14ac:dyDescent="0.25">
      <c r="W2230"/>
    </row>
    <row r="2231" spans="23:23" x14ac:dyDescent="0.25">
      <c r="W2231"/>
    </row>
    <row r="2232" spans="23:23" x14ac:dyDescent="0.25">
      <c r="W2232"/>
    </row>
    <row r="2233" spans="23:23" x14ac:dyDescent="0.25">
      <c r="W2233"/>
    </row>
    <row r="2234" spans="23:23" x14ac:dyDescent="0.25">
      <c r="W2234"/>
    </row>
    <row r="2235" spans="23:23" x14ac:dyDescent="0.25">
      <c r="W2235"/>
    </row>
    <row r="2236" spans="23:23" x14ac:dyDescent="0.25">
      <c r="W2236"/>
    </row>
    <row r="2237" spans="23:23" x14ac:dyDescent="0.25">
      <c r="W2237"/>
    </row>
    <row r="2238" spans="23:23" x14ac:dyDescent="0.25">
      <c r="W2238"/>
    </row>
    <row r="2239" spans="23:23" x14ac:dyDescent="0.25">
      <c r="W2239"/>
    </row>
    <row r="2240" spans="23:23" x14ac:dyDescent="0.25">
      <c r="W2240"/>
    </row>
    <row r="2241" spans="23:23" x14ac:dyDescent="0.25">
      <c r="W2241"/>
    </row>
    <row r="2242" spans="23:23" x14ac:dyDescent="0.25">
      <c r="W2242"/>
    </row>
    <row r="2243" spans="23:23" x14ac:dyDescent="0.25">
      <c r="W2243"/>
    </row>
    <row r="2244" spans="23:23" x14ac:dyDescent="0.25">
      <c r="W2244"/>
    </row>
    <row r="2245" spans="23:23" x14ac:dyDescent="0.25">
      <c r="W2245"/>
    </row>
    <row r="2246" spans="23:23" x14ac:dyDescent="0.25">
      <c r="W2246"/>
    </row>
    <row r="2247" spans="23:23" x14ac:dyDescent="0.25">
      <c r="W2247"/>
    </row>
    <row r="2248" spans="23:23" x14ac:dyDescent="0.25">
      <c r="W2248"/>
    </row>
    <row r="2249" spans="23:23" x14ac:dyDescent="0.25">
      <c r="W2249"/>
    </row>
    <row r="2250" spans="23:23" x14ac:dyDescent="0.25">
      <c r="W2250"/>
    </row>
    <row r="2251" spans="23:23" x14ac:dyDescent="0.25">
      <c r="W2251"/>
    </row>
    <row r="2252" spans="23:23" x14ac:dyDescent="0.25">
      <c r="W2252"/>
    </row>
    <row r="2253" spans="23:23" x14ac:dyDescent="0.25">
      <c r="W2253"/>
    </row>
    <row r="2254" spans="23:23" x14ac:dyDescent="0.25">
      <c r="W2254"/>
    </row>
    <row r="2255" spans="23:23" x14ac:dyDescent="0.25">
      <c r="W2255"/>
    </row>
    <row r="2256" spans="23:23" x14ac:dyDescent="0.25">
      <c r="W2256"/>
    </row>
    <row r="2257" spans="23:23" x14ac:dyDescent="0.25">
      <c r="W2257"/>
    </row>
    <row r="2258" spans="23:23" x14ac:dyDescent="0.25">
      <c r="W2258"/>
    </row>
    <row r="2259" spans="23:23" x14ac:dyDescent="0.25">
      <c r="W2259"/>
    </row>
    <row r="2260" spans="23:23" x14ac:dyDescent="0.25">
      <c r="W2260"/>
    </row>
    <row r="2261" spans="23:23" x14ac:dyDescent="0.25">
      <c r="W2261"/>
    </row>
    <row r="2262" spans="23:23" x14ac:dyDescent="0.25">
      <c r="W2262"/>
    </row>
    <row r="2263" spans="23:23" x14ac:dyDescent="0.25">
      <c r="W2263"/>
    </row>
    <row r="2264" spans="23:23" x14ac:dyDescent="0.25">
      <c r="W2264"/>
    </row>
    <row r="2265" spans="23:23" x14ac:dyDescent="0.25">
      <c r="W2265"/>
    </row>
    <row r="2266" spans="23:23" x14ac:dyDescent="0.25">
      <c r="W2266"/>
    </row>
    <row r="2267" spans="23:23" x14ac:dyDescent="0.25">
      <c r="W2267"/>
    </row>
    <row r="2268" spans="23:23" x14ac:dyDescent="0.25">
      <c r="W2268"/>
    </row>
    <row r="2269" spans="23:23" x14ac:dyDescent="0.25">
      <c r="W2269"/>
    </row>
    <row r="2270" spans="23:23" x14ac:dyDescent="0.25">
      <c r="W2270"/>
    </row>
    <row r="2271" spans="23:23" x14ac:dyDescent="0.25">
      <c r="W2271"/>
    </row>
    <row r="2272" spans="23:23" x14ac:dyDescent="0.25">
      <c r="W2272"/>
    </row>
    <row r="2273" spans="23:23" x14ac:dyDescent="0.25">
      <c r="W2273"/>
    </row>
    <row r="2274" spans="23:23" x14ac:dyDescent="0.25">
      <c r="W2274"/>
    </row>
    <row r="2275" spans="23:23" x14ac:dyDescent="0.25">
      <c r="W2275"/>
    </row>
    <row r="2276" spans="23:23" x14ac:dyDescent="0.25">
      <c r="W2276"/>
    </row>
    <row r="2277" spans="23:23" x14ac:dyDescent="0.25">
      <c r="W2277"/>
    </row>
    <row r="2278" spans="23:23" x14ac:dyDescent="0.25">
      <c r="W2278"/>
    </row>
    <row r="2279" spans="23:23" x14ac:dyDescent="0.25">
      <c r="W2279"/>
    </row>
    <row r="2280" spans="23:23" x14ac:dyDescent="0.25">
      <c r="W2280"/>
    </row>
    <row r="2281" spans="23:23" x14ac:dyDescent="0.25">
      <c r="W2281"/>
    </row>
    <row r="2282" spans="23:23" x14ac:dyDescent="0.25">
      <c r="W2282"/>
    </row>
    <row r="2283" spans="23:23" x14ac:dyDescent="0.25">
      <c r="W2283"/>
    </row>
    <row r="2284" spans="23:23" x14ac:dyDescent="0.25">
      <c r="W2284"/>
    </row>
    <row r="2285" spans="23:23" x14ac:dyDescent="0.25">
      <c r="W2285"/>
    </row>
    <row r="2286" spans="23:23" x14ac:dyDescent="0.25">
      <c r="W2286"/>
    </row>
    <row r="2287" spans="23:23" x14ac:dyDescent="0.25">
      <c r="W2287"/>
    </row>
    <row r="2288" spans="23:23" x14ac:dyDescent="0.25">
      <c r="W2288"/>
    </row>
    <row r="2289" spans="23:23" x14ac:dyDescent="0.25">
      <c r="W2289"/>
    </row>
    <row r="2290" spans="23:23" x14ac:dyDescent="0.25">
      <c r="W2290"/>
    </row>
    <row r="2291" spans="23:23" x14ac:dyDescent="0.25">
      <c r="W2291"/>
    </row>
    <row r="2292" spans="23:23" x14ac:dyDescent="0.25">
      <c r="W2292"/>
    </row>
    <row r="2293" spans="23:23" x14ac:dyDescent="0.25">
      <c r="W2293"/>
    </row>
    <row r="2294" spans="23:23" x14ac:dyDescent="0.25">
      <c r="W2294"/>
    </row>
    <row r="2295" spans="23:23" x14ac:dyDescent="0.25">
      <c r="W2295"/>
    </row>
    <row r="2296" spans="23:23" x14ac:dyDescent="0.25">
      <c r="W2296"/>
    </row>
    <row r="2297" spans="23:23" x14ac:dyDescent="0.25">
      <c r="W2297"/>
    </row>
    <row r="2298" spans="23:23" x14ac:dyDescent="0.25">
      <c r="W2298"/>
    </row>
    <row r="2299" spans="23:23" x14ac:dyDescent="0.25">
      <c r="W2299"/>
    </row>
    <row r="2300" spans="23:23" x14ac:dyDescent="0.25">
      <c r="W2300"/>
    </row>
    <row r="2301" spans="23:23" x14ac:dyDescent="0.25">
      <c r="W2301"/>
    </row>
    <row r="2302" spans="23:23" x14ac:dyDescent="0.25">
      <c r="W2302"/>
    </row>
    <row r="2303" spans="23:23" x14ac:dyDescent="0.25">
      <c r="W2303"/>
    </row>
    <row r="2304" spans="23:23" x14ac:dyDescent="0.25">
      <c r="W2304"/>
    </row>
    <row r="2305" spans="23:23" x14ac:dyDescent="0.25">
      <c r="W2305"/>
    </row>
    <row r="2306" spans="23:23" x14ac:dyDescent="0.25">
      <c r="W2306"/>
    </row>
    <row r="2307" spans="23:23" x14ac:dyDescent="0.25">
      <c r="W2307"/>
    </row>
    <row r="2308" spans="23:23" x14ac:dyDescent="0.25">
      <c r="W2308"/>
    </row>
    <row r="2309" spans="23:23" x14ac:dyDescent="0.25">
      <c r="W2309"/>
    </row>
    <row r="2310" spans="23:23" x14ac:dyDescent="0.25">
      <c r="W2310"/>
    </row>
    <row r="2311" spans="23:23" x14ac:dyDescent="0.25">
      <c r="W2311"/>
    </row>
    <row r="2312" spans="23:23" x14ac:dyDescent="0.25">
      <c r="W2312"/>
    </row>
    <row r="2313" spans="23:23" x14ac:dyDescent="0.25">
      <c r="W2313"/>
    </row>
    <row r="2314" spans="23:23" x14ac:dyDescent="0.25">
      <c r="W2314"/>
    </row>
    <row r="2315" spans="23:23" x14ac:dyDescent="0.25">
      <c r="W2315"/>
    </row>
    <row r="2316" spans="23:23" x14ac:dyDescent="0.25">
      <c r="W2316"/>
    </row>
    <row r="2317" spans="23:23" x14ac:dyDescent="0.25">
      <c r="W2317"/>
    </row>
    <row r="2318" spans="23:23" x14ac:dyDescent="0.25">
      <c r="W2318"/>
    </row>
    <row r="2319" spans="23:23" x14ac:dyDescent="0.25">
      <c r="W2319"/>
    </row>
    <row r="2320" spans="23:23" x14ac:dyDescent="0.25">
      <c r="W2320"/>
    </row>
    <row r="2321" spans="23:23" x14ac:dyDescent="0.25">
      <c r="W2321"/>
    </row>
    <row r="2322" spans="23:23" x14ac:dyDescent="0.25">
      <c r="W2322"/>
    </row>
    <row r="2323" spans="23:23" x14ac:dyDescent="0.25">
      <c r="W2323"/>
    </row>
    <row r="2324" spans="23:23" x14ac:dyDescent="0.25">
      <c r="W2324"/>
    </row>
    <row r="2325" spans="23:23" x14ac:dyDescent="0.25">
      <c r="W2325"/>
    </row>
    <row r="2326" spans="23:23" x14ac:dyDescent="0.25">
      <c r="W2326"/>
    </row>
    <row r="2327" spans="23:23" x14ac:dyDescent="0.25">
      <c r="W2327"/>
    </row>
    <row r="2328" spans="23:23" x14ac:dyDescent="0.25">
      <c r="W2328"/>
    </row>
    <row r="2329" spans="23:23" x14ac:dyDescent="0.25">
      <c r="W2329"/>
    </row>
    <row r="2330" spans="23:23" x14ac:dyDescent="0.25">
      <c r="W2330"/>
    </row>
    <row r="2331" spans="23:23" x14ac:dyDescent="0.25">
      <c r="W2331"/>
    </row>
    <row r="2332" spans="23:23" x14ac:dyDescent="0.25">
      <c r="W2332"/>
    </row>
    <row r="2333" spans="23:23" x14ac:dyDescent="0.25">
      <c r="W2333"/>
    </row>
    <row r="2334" spans="23:23" x14ac:dyDescent="0.25">
      <c r="W2334"/>
    </row>
    <row r="2335" spans="23:23" x14ac:dyDescent="0.25">
      <c r="W2335"/>
    </row>
    <row r="2336" spans="23:23" x14ac:dyDescent="0.25">
      <c r="W2336"/>
    </row>
    <row r="2337" spans="23:23" x14ac:dyDescent="0.25">
      <c r="W2337"/>
    </row>
    <row r="2338" spans="23:23" x14ac:dyDescent="0.25">
      <c r="W2338"/>
    </row>
    <row r="2339" spans="23:23" x14ac:dyDescent="0.25">
      <c r="W2339"/>
    </row>
    <row r="2340" spans="23:23" x14ac:dyDescent="0.25">
      <c r="W2340"/>
    </row>
    <row r="2341" spans="23:23" x14ac:dyDescent="0.25">
      <c r="W2341"/>
    </row>
    <row r="2342" spans="23:23" x14ac:dyDescent="0.25">
      <c r="W2342"/>
    </row>
    <row r="2343" spans="23:23" x14ac:dyDescent="0.25">
      <c r="W2343"/>
    </row>
    <row r="2344" spans="23:23" x14ac:dyDescent="0.25">
      <c r="W2344"/>
    </row>
    <row r="2345" spans="23:23" x14ac:dyDescent="0.25">
      <c r="W2345"/>
    </row>
    <row r="2346" spans="23:23" x14ac:dyDescent="0.25">
      <c r="W2346"/>
    </row>
    <row r="2347" spans="23:23" x14ac:dyDescent="0.25">
      <c r="W2347"/>
    </row>
    <row r="2348" spans="23:23" x14ac:dyDescent="0.25">
      <c r="W2348"/>
    </row>
    <row r="2349" spans="23:23" x14ac:dyDescent="0.25">
      <c r="W2349"/>
    </row>
    <row r="2350" spans="23:23" x14ac:dyDescent="0.25">
      <c r="W2350"/>
    </row>
    <row r="2351" spans="23:23" x14ac:dyDescent="0.25">
      <c r="W2351"/>
    </row>
    <row r="2352" spans="23:23" x14ac:dyDescent="0.25">
      <c r="W2352"/>
    </row>
    <row r="2353" spans="23:23" x14ac:dyDescent="0.25">
      <c r="W2353"/>
    </row>
    <row r="2354" spans="23:23" x14ac:dyDescent="0.25">
      <c r="W2354"/>
    </row>
    <row r="2355" spans="23:23" x14ac:dyDescent="0.25">
      <c r="W2355"/>
    </row>
    <row r="2356" spans="23:23" x14ac:dyDescent="0.25">
      <c r="W2356"/>
    </row>
    <row r="2357" spans="23:23" x14ac:dyDescent="0.25">
      <c r="W2357"/>
    </row>
    <row r="2358" spans="23:23" x14ac:dyDescent="0.25">
      <c r="W2358"/>
    </row>
    <row r="2359" spans="23:23" x14ac:dyDescent="0.25">
      <c r="W2359"/>
    </row>
    <row r="2360" spans="23:23" x14ac:dyDescent="0.25">
      <c r="W2360"/>
    </row>
    <row r="2361" spans="23:23" x14ac:dyDescent="0.25">
      <c r="W2361"/>
    </row>
    <row r="2362" spans="23:23" x14ac:dyDescent="0.25">
      <c r="W2362"/>
    </row>
    <row r="2363" spans="23:23" x14ac:dyDescent="0.25">
      <c r="W2363"/>
    </row>
    <row r="2364" spans="23:23" x14ac:dyDescent="0.25">
      <c r="W2364"/>
    </row>
    <row r="2365" spans="23:23" x14ac:dyDescent="0.25">
      <c r="W2365"/>
    </row>
    <row r="2366" spans="23:23" x14ac:dyDescent="0.25">
      <c r="W2366"/>
    </row>
    <row r="2367" spans="23:23" x14ac:dyDescent="0.25">
      <c r="W2367"/>
    </row>
    <row r="2368" spans="23:23" x14ac:dyDescent="0.25">
      <c r="W2368"/>
    </row>
    <row r="2369" spans="23:23" x14ac:dyDescent="0.25">
      <c r="W2369"/>
    </row>
    <row r="2370" spans="23:23" x14ac:dyDescent="0.25">
      <c r="W2370"/>
    </row>
    <row r="2371" spans="23:23" x14ac:dyDescent="0.25">
      <c r="W2371"/>
    </row>
    <row r="2372" spans="23:23" x14ac:dyDescent="0.25">
      <c r="W2372"/>
    </row>
    <row r="2373" spans="23:23" x14ac:dyDescent="0.25">
      <c r="W2373"/>
    </row>
    <row r="2374" spans="23:23" x14ac:dyDescent="0.25">
      <c r="W2374"/>
    </row>
    <row r="2375" spans="23:23" x14ac:dyDescent="0.25">
      <c r="W2375"/>
    </row>
    <row r="2376" spans="23:23" x14ac:dyDescent="0.25">
      <c r="W2376"/>
    </row>
    <row r="2377" spans="23:23" x14ac:dyDescent="0.25">
      <c r="W2377"/>
    </row>
    <row r="2378" spans="23:23" x14ac:dyDescent="0.25">
      <c r="W2378"/>
    </row>
    <row r="2379" spans="23:23" x14ac:dyDescent="0.25">
      <c r="W2379"/>
    </row>
    <row r="2380" spans="23:23" x14ac:dyDescent="0.25">
      <c r="W2380"/>
    </row>
    <row r="2381" spans="23:23" x14ac:dyDescent="0.25">
      <c r="W2381"/>
    </row>
    <row r="2382" spans="23:23" x14ac:dyDescent="0.25">
      <c r="W2382"/>
    </row>
    <row r="2383" spans="23:23" x14ac:dyDescent="0.25">
      <c r="W2383"/>
    </row>
    <row r="2384" spans="23:23" x14ac:dyDescent="0.25">
      <c r="W2384"/>
    </row>
    <row r="2385" spans="23:23" x14ac:dyDescent="0.25">
      <c r="W2385"/>
    </row>
    <row r="2386" spans="23:23" x14ac:dyDescent="0.25">
      <c r="W2386"/>
    </row>
    <row r="2387" spans="23:23" x14ac:dyDescent="0.25">
      <c r="W2387"/>
    </row>
    <row r="2388" spans="23:23" x14ac:dyDescent="0.25">
      <c r="W2388"/>
    </row>
    <row r="2389" spans="23:23" x14ac:dyDescent="0.25">
      <c r="W2389"/>
    </row>
    <row r="2390" spans="23:23" x14ac:dyDescent="0.25">
      <c r="W2390"/>
    </row>
    <row r="2391" spans="23:23" x14ac:dyDescent="0.25">
      <c r="W2391"/>
    </row>
    <row r="2392" spans="23:23" x14ac:dyDescent="0.25">
      <c r="W2392"/>
    </row>
    <row r="2393" spans="23:23" x14ac:dyDescent="0.25">
      <c r="W2393"/>
    </row>
    <row r="2394" spans="23:23" x14ac:dyDescent="0.25">
      <c r="W2394"/>
    </row>
    <row r="2395" spans="23:23" x14ac:dyDescent="0.25">
      <c r="W2395"/>
    </row>
    <row r="2396" spans="23:23" x14ac:dyDescent="0.25">
      <c r="W2396"/>
    </row>
    <row r="2397" spans="23:23" x14ac:dyDescent="0.25">
      <c r="W2397"/>
    </row>
    <row r="2398" spans="23:23" x14ac:dyDescent="0.25">
      <c r="W2398"/>
    </row>
    <row r="2399" spans="23:23" x14ac:dyDescent="0.25">
      <c r="W2399"/>
    </row>
    <row r="2400" spans="23:23" x14ac:dyDescent="0.25">
      <c r="W2400"/>
    </row>
    <row r="2401" spans="23:23" x14ac:dyDescent="0.25">
      <c r="W2401"/>
    </row>
    <row r="2402" spans="23:23" x14ac:dyDescent="0.25">
      <c r="W2402"/>
    </row>
    <row r="2403" spans="23:23" x14ac:dyDescent="0.25">
      <c r="W2403"/>
    </row>
    <row r="2404" spans="23:23" x14ac:dyDescent="0.25">
      <c r="W2404"/>
    </row>
    <row r="2405" spans="23:23" x14ac:dyDescent="0.25">
      <c r="W2405"/>
    </row>
    <row r="2406" spans="23:23" x14ac:dyDescent="0.25">
      <c r="W2406"/>
    </row>
    <row r="2407" spans="23:23" x14ac:dyDescent="0.25">
      <c r="W2407"/>
    </row>
    <row r="2408" spans="23:23" x14ac:dyDescent="0.25">
      <c r="W2408"/>
    </row>
    <row r="2409" spans="23:23" x14ac:dyDescent="0.25">
      <c r="W2409"/>
    </row>
    <row r="2410" spans="23:23" x14ac:dyDescent="0.25">
      <c r="W2410"/>
    </row>
    <row r="2411" spans="23:23" x14ac:dyDescent="0.25">
      <c r="W2411"/>
    </row>
    <row r="2412" spans="23:23" x14ac:dyDescent="0.25">
      <c r="W2412"/>
    </row>
    <row r="2413" spans="23:23" x14ac:dyDescent="0.25">
      <c r="W2413"/>
    </row>
    <row r="2414" spans="23:23" x14ac:dyDescent="0.25">
      <c r="W2414"/>
    </row>
    <row r="2415" spans="23:23" x14ac:dyDescent="0.25">
      <c r="W2415"/>
    </row>
    <row r="2416" spans="23:23" x14ac:dyDescent="0.25">
      <c r="W2416"/>
    </row>
    <row r="2417" spans="23:23" x14ac:dyDescent="0.25">
      <c r="W2417"/>
    </row>
    <row r="2418" spans="23:23" x14ac:dyDescent="0.25">
      <c r="W2418"/>
    </row>
    <row r="2419" spans="23:23" x14ac:dyDescent="0.25">
      <c r="W2419"/>
    </row>
    <row r="2420" spans="23:23" x14ac:dyDescent="0.25">
      <c r="W2420"/>
    </row>
    <row r="2421" spans="23:23" x14ac:dyDescent="0.25">
      <c r="W2421"/>
    </row>
    <row r="2422" spans="23:23" x14ac:dyDescent="0.25">
      <c r="W2422"/>
    </row>
    <row r="2423" spans="23:23" x14ac:dyDescent="0.25">
      <c r="W2423"/>
    </row>
    <row r="2424" spans="23:23" x14ac:dyDescent="0.25">
      <c r="W2424"/>
    </row>
    <row r="2425" spans="23:23" x14ac:dyDescent="0.25">
      <c r="W2425"/>
    </row>
    <row r="2426" spans="23:23" x14ac:dyDescent="0.25">
      <c r="W2426"/>
    </row>
    <row r="2427" spans="23:23" x14ac:dyDescent="0.25">
      <c r="W2427"/>
    </row>
    <row r="2428" spans="23:23" x14ac:dyDescent="0.25">
      <c r="W2428"/>
    </row>
    <row r="2429" spans="23:23" x14ac:dyDescent="0.25">
      <c r="W2429"/>
    </row>
    <row r="2430" spans="23:23" x14ac:dyDescent="0.25">
      <c r="W2430"/>
    </row>
    <row r="2431" spans="23:23" x14ac:dyDescent="0.25">
      <c r="W2431"/>
    </row>
    <row r="2432" spans="23:23" x14ac:dyDescent="0.25">
      <c r="W2432"/>
    </row>
    <row r="2433" spans="23:23" x14ac:dyDescent="0.25">
      <c r="W2433"/>
    </row>
    <row r="2434" spans="23:23" x14ac:dyDescent="0.25">
      <c r="W2434"/>
    </row>
    <row r="2435" spans="23:23" x14ac:dyDescent="0.25">
      <c r="W2435"/>
    </row>
    <row r="2436" spans="23:23" x14ac:dyDescent="0.25">
      <c r="W2436"/>
    </row>
    <row r="2437" spans="23:23" x14ac:dyDescent="0.25">
      <c r="W2437"/>
    </row>
    <row r="2438" spans="23:23" x14ac:dyDescent="0.25">
      <c r="W2438"/>
    </row>
    <row r="2439" spans="23:23" x14ac:dyDescent="0.25">
      <c r="W2439"/>
    </row>
    <row r="2440" spans="23:23" x14ac:dyDescent="0.25">
      <c r="W2440"/>
    </row>
    <row r="2441" spans="23:23" x14ac:dyDescent="0.25">
      <c r="W2441"/>
    </row>
    <row r="2442" spans="23:23" x14ac:dyDescent="0.25">
      <c r="W2442"/>
    </row>
    <row r="2443" spans="23:23" x14ac:dyDescent="0.25">
      <c r="W2443"/>
    </row>
    <row r="2444" spans="23:23" x14ac:dyDescent="0.25">
      <c r="W2444"/>
    </row>
    <row r="2445" spans="23:23" x14ac:dyDescent="0.25">
      <c r="W2445"/>
    </row>
    <row r="2446" spans="23:23" x14ac:dyDescent="0.25">
      <c r="W2446"/>
    </row>
    <row r="2447" spans="23:23" x14ac:dyDescent="0.25">
      <c r="W2447"/>
    </row>
    <row r="2448" spans="23:23" x14ac:dyDescent="0.25">
      <c r="W2448"/>
    </row>
    <row r="2449" spans="23:23" x14ac:dyDescent="0.25">
      <c r="W2449"/>
    </row>
    <row r="2450" spans="23:23" x14ac:dyDescent="0.25">
      <c r="W2450"/>
    </row>
    <row r="2451" spans="23:23" x14ac:dyDescent="0.25">
      <c r="W2451"/>
    </row>
    <row r="2452" spans="23:23" x14ac:dyDescent="0.25">
      <c r="W2452"/>
    </row>
    <row r="2453" spans="23:23" x14ac:dyDescent="0.25">
      <c r="W2453"/>
    </row>
    <row r="2454" spans="23:23" x14ac:dyDescent="0.25">
      <c r="W2454"/>
    </row>
    <row r="2455" spans="23:23" x14ac:dyDescent="0.25">
      <c r="W2455"/>
    </row>
    <row r="2456" spans="23:23" x14ac:dyDescent="0.25">
      <c r="W2456"/>
    </row>
    <row r="2457" spans="23:23" x14ac:dyDescent="0.25">
      <c r="W2457"/>
    </row>
    <row r="2458" spans="23:23" x14ac:dyDescent="0.25">
      <c r="W2458"/>
    </row>
    <row r="2459" spans="23:23" x14ac:dyDescent="0.25">
      <c r="W2459"/>
    </row>
    <row r="2460" spans="23:23" x14ac:dyDescent="0.25">
      <c r="W2460"/>
    </row>
    <row r="2461" spans="23:23" x14ac:dyDescent="0.25">
      <c r="W2461"/>
    </row>
    <row r="2462" spans="23:23" x14ac:dyDescent="0.25">
      <c r="W2462"/>
    </row>
    <row r="2463" spans="23:23" x14ac:dyDescent="0.25">
      <c r="W2463"/>
    </row>
    <row r="2464" spans="23:23" x14ac:dyDescent="0.25">
      <c r="W2464"/>
    </row>
    <row r="2465" spans="23:23" x14ac:dyDescent="0.25">
      <c r="W2465"/>
    </row>
    <row r="2466" spans="23:23" x14ac:dyDescent="0.25">
      <c r="W2466"/>
    </row>
    <row r="2467" spans="23:23" x14ac:dyDescent="0.25">
      <c r="W2467"/>
    </row>
    <row r="2468" spans="23:23" x14ac:dyDescent="0.25">
      <c r="W2468"/>
    </row>
    <row r="2469" spans="23:23" x14ac:dyDescent="0.25">
      <c r="W2469"/>
    </row>
    <row r="2470" spans="23:23" x14ac:dyDescent="0.25">
      <c r="W2470"/>
    </row>
    <row r="2471" spans="23:23" x14ac:dyDescent="0.25">
      <c r="W2471"/>
    </row>
    <row r="2472" spans="23:23" x14ac:dyDescent="0.25">
      <c r="W2472"/>
    </row>
    <row r="2473" spans="23:23" x14ac:dyDescent="0.25">
      <c r="W2473"/>
    </row>
    <row r="2474" spans="23:23" x14ac:dyDescent="0.25">
      <c r="W2474"/>
    </row>
    <row r="2475" spans="23:23" x14ac:dyDescent="0.25">
      <c r="W2475"/>
    </row>
    <row r="2476" spans="23:23" x14ac:dyDescent="0.25">
      <c r="W2476"/>
    </row>
    <row r="2477" spans="23:23" x14ac:dyDescent="0.25">
      <c r="W2477"/>
    </row>
    <row r="2478" spans="23:23" x14ac:dyDescent="0.25">
      <c r="W2478"/>
    </row>
    <row r="2479" spans="23:23" x14ac:dyDescent="0.25">
      <c r="W2479"/>
    </row>
    <row r="2480" spans="23:23" x14ac:dyDescent="0.25">
      <c r="W2480"/>
    </row>
    <row r="2481" spans="23:23" x14ac:dyDescent="0.25">
      <c r="W2481"/>
    </row>
    <row r="2482" spans="23:23" x14ac:dyDescent="0.25">
      <c r="W2482"/>
    </row>
    <row r="2483" spans="23:23" x14ac:dyDescent="0.25">
      <c r="W2483"/>
    </row>
    <row r="2484" spans="23:23" x14ac:dyDescent="0.25">
      <c r="W2484"/>
    </row>
    <row r="2485" spans="23:23" x14ac:dyDescent="0.25">
      <c r="W2485"/>
    </row>
    <row r="2486" spans="23:23" x14ac:dyDescent="0.25">
      <c r="W2486"/>
    </row>
    <row r="2487" spans="23:23" x14ac:dyDescent="0.25">
      <c r="W2487"/>
    </row>
    <row r="2488" spans="23:23" x14ac:dyDescent="0.25">
      <c r="W2488"/>
    </row>
    <row r="2489" spans="23:23" x14ac:dyDescent="0.25">
      <c r="W2489"/>
    </row>
    <row r="2490" spans="23:23" x14ac:dyDescent="0.25">
      <c r="W2490"/>
    </row>
    <row r="2491" spans="23:23" x14ac:dyDescent="0.25">
      <c r="W2491"/>
    </row>
    <row r="2492" spans="23:23" x14ac:dyDescent="0.25">
      <c r="W2492"/>
    </row>
    <row r="2493" spans="23:23" x14ac:dyDescent="0.25">
      <c r="W2493"/>
    </row>
    <row r="2494" spans="23:23" x14ac:dyDescent="0.25">
      <c r="W2494"/>
    </row>
    <row r="2495" spans="23:23" x14ac:dyDescent="0.25">
      <c r="W2495"/>
    </row>
    <row r="2496" spans="23:23" x14ac:dyDescent="0.25">
      <c r="W2496"/>
    </row>
    <row r="2497" spans="23:23" x14ac:dyDescent="0.25">
      <c r="W2497"/>
    </row>
    <row r="2498" spans="23:23" x14ac:dyDescent="0.25">
      <c r="W2498"/>
    </row>
    <row r="2499" spans="23:23" x14ac:dyDescent="0.25">
      <c r="W2499"/>
    </row>
    <row r="2500" spans="23:23" x14ac:dyDescent="0.25">
      <c r="W2500"/>
    </row>
    <row r="2501" spans="23:23" x14ac:dyDescent="0.25">
      <c r="W2501"/>
    </row>
    <row r="2502" spans="23:23" x14ac:dyDescent="0.25">
      <c r="W2502"/>
    </row>
    <row r="2503" spans="23:23" x14ac:dyDescent="0.25">
      <c r="W2503"/>
    </row>
    <row r="2504" spans="23:23" x14ac:dyDescent="0.25">
      <c r="W2504"/>
    </row>
    <row r="2505" spans="23:23" x14ac:dyDescent="0.25">
      <c r="W2505"/>
    </row>
    <row r="2506" spans="23:23" x14ac:dyDescent="0.25">
      <c r="W2506"/>
    </row>
    <row r="2507" spans="23:23" x14ac:dyDescent="0.25">
      <c r="W2507"/>
    </row>
    <row r="2508" spans="23:23" x14ac:dyDescent="0.25">
      <c r="W2508"/>
    </row>
    <row r="2509" spans="23:23" x14ac:dyDescent="0.25">
      <c r="W2509"/>
    </row>
    <row r="2510" spans="23:23" x14ac:dyDescent="0.25">
      <c r="W2510"/>
    </row>
    <row r="2511" spans="23:23" x14ac:dyDescent="0.25">
      <c r="W2511"/>
    </row>
    <row r="2512" spans="23:23" x14ac:dyDescent="0.25">
      <c r="W2512"/>
    </row>
    <row r="2513" spans="23:23" x14ac:dyDescent="0.25">
      <c r="W2513"/>
    </row>
    <row r="2514" spans="23:23" x14ac:dyDescent="0.25">
      <c r="W2514"/>
    </row>
    <row r="2515" spans="23:23" x14ac:dyDescent="0.25">
      <c r="W2515"/>
    </row>
    <row r="2516" spans="23:23" x14ac:dyDescent="0.25">
      <c r="W2516"/>
    </row>
    <row r="2517" spans="23:23" x14ac:dyDescent="0.25">
      <c r="W2517"/>
    </row>
    <row r="2518" spans="23:23" x14ac:dyDescent="0.25">
      <c r="W2518"/>
    </row>
    <row r="2519" spans="23:23" x14ac:dyDescent="0.25">
      <c r="W2519"/>
    </row>
    <row r="2520" spans="23:23" x14ac:dyDescent="0.25">
      <c r="W2520"/>
    </row>
    <row r="2521" spans="23:23" x14ac:dyDescent="0.25">
      <c r="W2521"/>
    </row>
    <row r="2522" spans="23:23" x14ac:dyDescent="0.25">
      <c r="W2522"/>
    </row>
    <row r="2523" spans="23:23" x14ac:dyDescent="0.25">
      <c r="W2523"/>
    </row>
    <row r="2524" spans="23:23" x14ac:dyDescent="0.25">
      <c r="W2524"/>
    </row>
    <row r="2525" spans="23:23" x14ac:dyDescent="0.25">
      <c r="W2525"/>
    </row>
    <row r="2526" spans="23:23" x14ac:dyDescent="0.25">
      <c r="W2526"/>
    </row>
    <row r="2527" spans="23:23" x14ac:dyDescent="0.25">
      <c r="W2527"/>
    </row>
    <row r="2528" spans="23:23" x14ac:dyDescent="0.25">
      <c r="W2528"/>
    </row>
    <row r="2529" spans="23:23" x14ac:dyDescent="0.25">
      <c r="W2529"/>
    </row>
    <row r="2530" spans="23:23" x14ac:dyDescent="0.25">
      <c r="W2530"/>
    </row>
    <row r="2531" spans="23:23" x14ac:dyDescent="0.25">
      <c r="W2531"/>
    </row>
    <row r="2532" spans="23:23" x14ac:dyDescent="0.25">
      <c r="W2532"/>
    </row>
    <row r="2533" spans="23:23" x14ac:dyDescent="0.25">
      <c r="W2533"/>
    </row>
    <row r="2534" spans="23:23" x14ac:dyDescent="0.25">
      <c r="W2534"/>
    </row>
    <row r="2535" spans="23:23" x14ac:dyDescent="0.25">
      <c r="W2535"/>
    </row>
    <row r="2536" spans="23:23" x14ac:dyDescent="0.25">
      <c r="W2536"/>
    </row>
    <row r="2537" spans="23:23" x14ac:dyDescent="0.25">
      <c r="W2537"/>
    </row>
    <row r="2538" spans="23:23" x14ac:dyDescent="0.25">
      <c r="W2538"/>
    </row>
    <row r="2539" spans="23:23" x14ac:dyDescent="0.25">
      <c r="W2539"/>
    </row>
    <row r="2540" spans="23:23" x14ac:dyDescent="0.25">
      <c r="W2540"/>
    </row>
    <row r="2541" spans="23:23" x14ac:dyDescent="0.25">
      <c r="W2541"/>
    </row>
    <row r="2542" spans="23:23" x14ac:dyDescent="0.25">
      <c r="W2542"/>
    </row>
    <row r="2543" spans="23:23" x14ac:dyDescent="0.25">
      <c r="W2543"/>
    </row>
    <row r="2544" spans="23:23" x14ac:dyDescent="0.25">
      <c r="W2544"/>
    </row>
    <row r="2545" spans="23:23" x14ac:dyDescent="0.25">
      <c r="W2545"/>
    </row>
    <row r="2546" spans="23:23" x14ac:dyDescent="0.25">
      <c r="W2546"/>
    </row>
    <row r="2547" spans="23:23" x14ac:dyDescent="0.25">
      <c r="W2547"/>
    </row>
    <row r="2548" spans="23:23" x14ac:dyDescent="0.25">
      <c r="W2548"/>
    </row>
    <row r="2549" spans="23:23" x14ac:dyDescent="0.25">
      <c r="W2549"/>
    </row>
    <row r="2550" spans="23:23" x14ac:dyDescent="0.25">
      <c r="W2550"/>
    </row>
    <row r="2551" spans="23:23" x14ac:dyDescent="0.25">
      <c r="W2551"/>
    </row>
    <row r="2552" spans="23:23" x14ac:dyDescent="0.25">
      <c r="W2552"/>
    </row>
    <row r="2553" spans="23:23" x14ac:dyDescent="0.25">
      <c r="W2553"/>
    </row>
    <row r="2554" spans="23:23" x14ac:dyDescent="0.25">
      <c r="W2554"/>
    </row>
    <row r="2555" spans="23:23" x14ac:dyDescent="0.25">
      <c r="W2555"/>
    </row>
    <row r="2556" spans="23:23" x14ac:dyDescent="0.25">
      <c r="W2556"/>
    </row>
    <row r="2557" spans="23:23" x14ac:dyDescent="0.25">
      <c r="W2557"/>
    </row>
    <row r="2558" spans="23:23" x14ac:dyDescent="0.25">
      <c r="W2558"/>
    </row>
    <row r="2559" spans="23:23" x14ac:dyDescent="0.25">
      <c r="W2559"/>
    </row>
    <row r="2560" spans="23:23" x14ac:dyDescent="0.25">
      <c r="W2560"/>
    </row>
    <row r="2561" spans="23:23" x14ac:dyDescent="0.25">
      <c r="W2561"/>
    </row>
    <row r="2562" spans="23:23" x14ac:dyDescent="0.25">
      <c r="W2562"/>
    </row>
    <row r="2563" spans="23:23" x14ac:dyDescent="0.25">
      <c r="W2563"/>
    </row>
    <row r="2564" spans="23:23" x14ac:dyDescent="0.25">
      <c r="W2564"/>
    </row>
    <row r="2565" spans="23:23" x14ac:dyDescent="0.25">
      <c r="W2565"/>
    </row>
    <row r="2566" spans="23:23" x14ac:dyDescent="0.25">
      <c r="W2566"/>
    </row>
    <row r="2567" spans="23:23" x14ac:dyDescent="0.25">
      <c r="W2567"/>
    </row>
    <row r="2568" spans="23:23" x14ac:dyDescent="0.25">
      <c r="W2568"/>
    </row>
    <row r="2569" spans="23:23" x14ac:dyDescent="0.25">
      <c r="W2569"/>
    </row>
    <row r="2570" spans="23:23" x14ac:dyDescent="0.25">
      <c r="W2570"/>
    </row>
    <row r="2571" spans="23:23" x14ac:dyDescent="0.25">
      <c r="W2571"/>
    </row>
    <row r="2572" spans="23:23" x14ac:dyDescent="0.25">
      <c r="W2572"/>
    </row>
    <row r="2573" spans="23:23" x14ac:dyDescent="0.25">
      <c r="W2573"/>
    </row>
    <row r="2574" spans="23:23" x14ac:dyDescent="0.25">
      <c r="W2574"/>
    </row>
    <row r="2575" spans="23:23" x14ac:dyDescent="0.25">
      <c r="W2575"/>
    </row>
    <row r="2576" spans="23:23" x14ac:dyDescent="0.25">
      <c r="W2576"/>
    </row>
    <row r="2577" spans="23:23" x14ac:dyDescent="0.25">
      <c r="W2577"/>
    </row>
    <row r="2578" spans="23:23" x14ac:dyDescent="0.25">
      <c r="W2578"/>
    </row>
    <row r="2579" spans="23:23" x14ac:dyDescent="0.25">
      <c r="W2579"/>
    </row>
    <row r="2580" spans="23:23" x14ac:dyDescent="0.25">
      <c r="W2580"/>
    </row>
    <row r="2581" spans="23:23" x14ac:dyDescent="0.25">
      <c r="W2581"/>
    </row>
    <row r="2582" spans="23:23" x14ac:dyDescent="0.25">
      <c r="W2582"/>
    </row>
    <row r="2583" spans="23:23" x14ac:dyDescent="0.25">
      <c r="W2583"/>
    </row>
    <row r="2584" spans="23:23" x14ac:dyDescent="0.25">
      <c r="W2584"/>
    </row>
    <row r="2585" spans="23:23" x14ac:dyDescent="0.25">
      <c r="W2585"/>
    </row>
    <row r="2586" spans="23:23" x14ac:dyDescent="0.25">
      <c r="W2586"/>
    </row>
    <row r="2587" spans="23:23" x14ac:dyDescent="0.25">
      <c r="W2587"/>
    </row>
    <row r="2588" spans="23:23" x14ac:dyDescent="0.25">
      <c r="W2588"/>
    </row>
    <row r="2589" spans="23:23" x14ac:dyDescent="0.25">
      <c r="W2589"/>
    </row>
    <row r="2590" spans="23:23" x14ac:dyDescent="0.25">
      <c r="W2590"/>
    </row>
    <row r="2591" spans="23:23" x14ac:dyDescent="0.25">
      <c r="W2591"/>
    </row>
    <row r="2592" spans="23:23" x14ac:dyDescent="0.25">
      <c r="W2592"/>
    </row>
    <row r="2593" spans="23:23" x14ac:dyDescent="0.25">
      <c r="W2593"/>
    </row>
    <row r="2594" spans="23:23" x14ac:dyDescent="0.25">
      <c r="W2594"/>
    </row>
    <row r="2595" spans="23:23" x14ac:dyDescent="0.25">
      <c r="W2595"/>
    </row>
    <row r="2596" spans="23:23" x14ac:dyDescent="0.25">
      <c r="W2596"/>
    </row>
    <row r="2597" spans="23:23" x14ac:dyDescent="0.25">
      <c r="W2597"/>
    </row>
    <row r="2598" spans="23:23" x14ac:dyDescent="0.25">
      <c r="W2598"/>
    </row>
    <row r="2599" spans="23:23" x14ac:dyDescent="0.25">
      <c r="W2599"/>
    </row>
    <row r="2600" spans="23:23" x14ac:dyDescent="0.25">
      <c r="W2600"/>
    </row>
    <row r="2601" spans="23:23" x14ac:dyDescent="0.25">
      <c r="W2601"/>
    </row>
    <row r="2602" spans="23:23" x14ac:dyDescent="0.25">
      <c r="W2602"/>
    </row>
    <row r="2603" spans="23:23" x14ac:dyDescent="0.25">
      <c r="W2603"/>
    </row>
    <row r="2604" spans="23:23" x14ac:dyDescent="0.25">
      <c r="W2604"/>
    </row>
    <row r="2605" spans="23:23" x14ac:dyDescent="0.25">
      <c r="W2605"/>
    </row>
    <row r="2606" spans="23:23" x14ac:dyDescent="0.25">
      <c r="W2606"/>
    </row>
    <row r="2607" spans="23:23" x14ac:dyDescent="0.25">
      <c r="W2607"/>
    </row>
    <row r="2608" spans="23:23" x14ac:dyDescent="0.25">
      <c r="W2608"/>
    </row>
    <row r="2609" spans="23:23" x14ac:dyDescent="0.25">
      <c r="W2609"/>
    </row>
    <row r="2610" spans="23:23" x14ac:dyDescent="0.25">
      <c r="W2610"/>
    </row>
    <row r="2611" spans="23:23" x14ac:dyDescent="0.25">
      <c r="W2611"/>
    </row>
    <row r="2612" spans="23:23" x14ac:dyDescent="0.25">
      <c r="W2612"/>
    </row>
    <row r="2613" spans="23:23" x14ac:dyDescent="0.25">
      <c r="W2613"/>
    </row>
    <row r="2614" spans="23:23" x14ac:dyDescent="0.25">
      <c r="W2614"/>
    </row>
    <row r="2615" spans="23:23" x14ac:dyDescent="0.25">
      <c r="W2615"/>
    </row>
    <row r="2616" spans="23:23" x14ac:dyDescent="0.25">
      <c r="W2616"/>
    </row>
    <row r="2617" spans="23:23" x14ac:dyDescent="0.25">
      <c r="W2617"/>
    </row>
    <row r="2618" spans="23:23" x14ac:dyDescent="0.25">
      <c r="W2618"/>
    </row>
    <row r="2619" spans="23:23" x14ac:dyDescent="0.25">
      <c r="W2619"/>
    </row>
    <row r="2620" spans="23:23" x14ac:dyDescent="0.25">
      <c r="W2620"/>
    </row>
    <row r="2621" spans="23:23" x14ac:dyDescent="0.25">
      <c r="W2621"/>
    </row>
    <row r="2622" spans="23:23" x14ac:dyDescent="0.25">
      <c r="W2622"/>
    </row>
    <row r="2623" spans="23:23" x14ac:dyDescent="0.25">
      <c r="W2623"/>
    </row>
    <row r="2624" spans="23:23" x14ac:dyDescent="0.25">
      <c r="W2624"/>
    </row>
    <row r="2625" spans="23:23" x14ac:dyDescent="0.25">
      <c r="W2625"/>
    </row>
    <row r="2626" spans="23:23" x14ac:dyDescent="0.25">
      <c r="W2626"/>
    </row>
    <row r="2627" spans="23:23" x14ac:dyDescent="0.25">
      <c r="W2627"/>
    </row>
    <row r="2628" spans="23:23" x14ac:dyDescent="0.25">
      <c r="W2628"/>
    </row>
    <row r="2629" spans="23:23" x14ac:dyDescent="0.25">
      <c r="W2629"/>
    </row>
    <row r="2630" spans="23:23" x14ac:dyDescent="0.25">
      <c r="W2630"/>
    </row>
    <row r="2631" spans="23:23" x14ac:dyDescent="0.25">
      <c r="W2631"/>
    </row>
    <row r="2632" spans="23:23" x14ac:dyDescent="0.25">
      <c r="W2632"/>
    </row>
    <row r="2633" spans="23:23" x14ac:dyDescent="0.25">
      <c r="W2633"/>
    </row>
    <row r="2634" spans="23:23" x14ac:dyDescent="0.25">
      <c r="W2634"/>
    </row>
    <row r="2635" spans="23:23" x14ac:dyDescent="0.25">
      <c r="W2635"/>
    </row>
    <row r="2636" spans="23:23" x14ac:dyDescent="0.25">
      <c r="W2636"/>
    </row>
    <row r="2637" spans="23:23" x14ac:dyDescent="0.25">
      <c r="W2637"/>
    </row>
    <row r="2638" spans="23:23" x14ac:dyDescent="0.25">
      <c r="W2638"/>
    </row>
    <row r="2639" spans="23:23" x14ac:dyDescent="0.25">
      <c r="W2639"/>
    </row>
    <row r="2640" spans="23:23" x14ac:dyDescent="0.25">
      <c r="W2640"/>
    </row>
    <row r="2641" spans="23:23" x14ac:dyDescent="0.25">
      <c r="W2641"/>
    </row>
    <row r="2642" spans="23:23" x14ac:dyDescent="0.25">
      <c r="W2642"/>
    </row>
    <row r="2643" spans="23:23" x14ac:dyDescent="0.25">
      <c r="W2643"/>
    </row>
    <row r="2644" spans="23:23" x14ac:dyDescent="0.25">
      <c r="W2644"/>
    </row>
    <row r="2645" spans="23:23" x14ac:dyDescent="0.25">
      <c r="W2645"/>
    </row>
    <row r="2646" spans="23:23" x14ac:dyDescent="0.25">
      <c r="W2646"/>
    </row>
    <row r="2647" spans="23:23" x14ac:dyDescent="0.25">
      <c r="W2647"/>
    </row>
    <row r="2648" spans="23:23" x14ac:dyDescent="0.25">
      <c r="W2648"/>
    </row>
    <row r="2649" spans="23:23" x14ac:dyDescent="0.25">
      <c r="W2649"/>
    </row>
    <row r="2650" spans="23:23" x14ac:dyDescent="0.25">
      <c r="W2650"/>
    </row>
    <row r="2651" spans="23:23" x14ac:dyDescent="0.25">
      <c r="W2651"/>
    </row>
    <row r="2652" spans="23:23" x14ac:dyDescent="0.25">
      <c r="W2652"/>
    </row>
    <row r="2653" spans="23:23" x14ac:dyDescent="0.25">
      <c r="W2653"/>
    </row>
    <row r="2654" spans="23:23" x14ac:dyDescent="0.25">
      <c r="W2654"/>
    </row>
    <row r="2655" spans="23:23" x14ac:dyDescent="0.25">
      <c r="W2655"/>
    </row>
    <row r="2656" spans="23:23" x14ac:dyDescent="0.25">
      <c r="W2656"/>
    </row>
    <row r="2657" spans="23:23" x14ac:dyDescent="0.25">
      <c r="W2657"/>
    </row>
    <row r="2658" spans="23:23" x14ac:dyDescent="0.25">
      <c r="W2658"/>
    </row>
    <row r="2659" spans="23:23" x14ac:dyDescent="0.25">
      <c r="W2659"/>
    </row>
    <row r="2660" spans="23:23" x14ac:dyDescent="0.25">
      <c r="W2660"/>
    </row>
    <row r="2661" spans="23:23" x14ac:dyDescent="0.25">
      <c r="W2661"/>
    </row>
    <row r="2662" spans="23:23" x14ac:dyDescent="0.25">
      <c r="W2662"/>
    </row>
    <row r="2663" spans="23:23" x14ac:dyDescent="0.25">
      <c r="W2663"/>
    </row>
    <row r="2664" spans="23:23" x14ac:dyDescent="0.25">
      <c r="W2664"/>
    </row>
    <row r="2665" spans="23:23" x14ac:dyDescent="0.25">
      <c r="W2665"/>
    </row>
    <row r="2666" spans="23:23" x14ac:dyDescent="0.25">
      <c r="W2666"/>
    </row>
    <row r="2667" spans="23:23" x14ac:dyDescent="0.25">
      <c r="W2667"/>
    </row>
    <row r="2668" spans="23:23" x14ac:dyDescent="0.25">
      <c r="W2668"/>
    </row>
    <row r="2669" spans="23:23" x14ac:dyDescent="0.25">
      <c r="W2669"/>
    </row>
    <row r="2670" spans="23:23" x14ac:dyDescent="0.25">
      <c r="W2670"/>
    </row>
    <row r="2671" spans="23:23" x14ac:dyDescent="0.25">
      <c r="W2671"/>
    </row>
    <row r="2672" spans="23:23" x14ac:dyDescent="0.25">
      <c r="W2672"/>
    </row>
    <row r="2673" spans="23:23" x14ac:dyDescent="0.25">
      <c r="W2673"/>
    </row>
    <row r="2674" spans="23:23" x14ac:dyDescent="0.25">
      <c r="W2674"/>
    </row>
    <row r="2675" spans="23:23" x14ac:dyDescent="0.25">
      <c r="W2675"/>
    </row>
    <row r="2676" spans="23:23" x14ac:dyDescent="0.25">
      <c r="W2676"/>
    </row>
    <row r="2677" spans="23:23" x14ac:dyDescent="0.25">
      <c r="W2677"/>
    </row>
    <row r="2678" spans="23:23" x14ac:dyDescent="0.25">
      <c r="W2678"/>
    </row>
    <row r="2679" spans="23:23" x14ac:dyDescent="0.25">
      <c r="W2679"/>
    </row>
    <row r="2680" spans="23:23" x14ac:dyDescent="0.25">
      <c r="W2680"/>
    </row>
    <row r="2681" spans="23:23" x14ac:dyDescent="0.25">
      <c r="W2681"/>
    </row>
    <row r="2682" spans="23:23" x14ac:dyDescent="0.25">
      <c r="W2682"/>
    </row>
    <row r="2683" spans="23:23" x14ac:dyDescent="0.25">
      <c r="W2683"/>
    </row>
    <row r="2684" spans="23:23" x14ac:dyDescent="0.25">
      <c r="W2684"/>
    </row>
    <row r="2685" spans="23:23" x14ac:dyDescent="0.25">
      <c r="W2685"/>
    </row>
    <row r="2686" spans="23:23" x14ac:dyDescent="0.25">
      <c r="W2686"/>
    </row>
    <row r="2687" spans="23:23" x14ac:dyDescent="0.25">
      <c r="W2687"/>
    </row>
    <row r="2688" spans="23:23" x14ac:dyDescent="0.25">
      <c r="W2688"/>
    </row>
    <row r="2689" spans="23:23" x14ac:dyDescent="0.25">
      <c r="W2689"/>
    </row>
    <row r="2690" spans="23:23" x14ac:dyDescent="0.25">
      <c r="W2690"/>
    </row>
    <row r="2691" spans="23:23" x14ac:dyDescent="0.25">
      <c r="W2691"/>
    </row>
    <row r="2692" spans="23:23" x14ac:dyDescent="0.25">
      <c r="W2692"/>
    </row>
    <row r="2693" spans="23:23" x14ac:dyDescent="0.25">
      <c r="W2693"/>
    </row>
    <row r="2694" spans="23:23" x14ac:dyDescent="0.25">
      <c r="W2694"/>
    </row>
    <row r="2695" spans="23:23" x14ac:dyDescent="0.25">
      <c r="W2695"/>
    </row>
    <row r="2696" spans="23:23" x14ac:dyDescent="0.25">
      <c r="W2696"/>
    </row>
    <row r="2697" spans="23:23" x14ac:dyDescent="0.25">
      <c r="W2697"/>
    </row>
    <row r="2698" spans="23:23" x14ac:dyDescent="0.25">
      <c r="W2698"/>
    </row>
    <row r="2699" spans="23:23" x14ac:dyDescent="0.25">
      <c r="W2699"/>
    </row>
    <row r="2700" spans="23:23" x14ac:dyDescent="0.25">
      <c r="W2700"/>
    </row>
    <row r="2701" spans="23:23" x14ac:dyDescent="0.25">
      <c r="W2701"/>
    </row>
    <row r="2702" spans="23:23" x14ac:dyDescent="0.25">
      <c r="W2702"/>
    </row>
    <row r="2703" spans="23:23" x14ac:dyDescent="0.25">
      <c r="W2703"/>
    </row>
    <row r="2704" spans="23:23" x14ac:dyDescent="0.25">
      <c r="W2704"/>
    </row>
    <row r="2705" spans="23:23" x14ac:dyDescent="0.25">
      <c r="W2705"/>
    </row>
    <row r="2706" spans="23:23" x14ac:dyDescent="0.25">
      <c r="W2706"/>
    </row>
    <row r="2707" spans="23:23" x14ac:dyDescent="0.25">
      <c r="W2707"/>
    </row>
    <row r="2708" spans="23:23" x14ac:dyDescent="0.25">
      <c r="W2708"/>
    </row>
    <row r="2709" spans="23:23" x14ac:dyDescent="0.25">
      <c r="W2709"/>
    </row>
    <row r="2710" spans="23:23" x14ac:dyDescent="0.25">
      <c r="W2710"/>
    </row>
    <row r="2711" spans="23:23" x14ac:dyDescent="0.25">
      <c r="W2711"/>
    </row>
    <row r="2712" spans="23:23" x14ac:dyDescent="0.25">
      <c r="W2712"/>
    </row>
    <row r="2713" spans="23:23" x14ac:dyDescent="0.25">
      <c r="W2713"/>
    </row>
    <row r="2714" spans="23:23" x14ac:dyDescent="0.25">
      <c r="W2714"/>
    </row>
    <row r="2715" spans="23:23" x14ac:dyDescent="0.25">
      <c r="W2715"/>
    </row>
    <row r="2716" spans="23:23" x14ac:dyDescent="0.25">
      <c r="W2716"/>
    </row>
    <row r="2717" spans="23:23" x14ac:dyDescent="0.25">
      <c r="W2717"/>
    </row>
    <row r="2718" spans="23:23" x14ac:dyDescent="0.25">
      <c r="W2718"/>
    </row>
    <row r="2719" spans="23:23" x14ac:dyDescent="0.25">
      <c r="W2719"/>
    </row>
    <row r="2720" spans="23:23" x14ac:dyDescent="0.25">
      <c r="W2720"/>
    </row>
    <row r="2721" spans="23:23" x14ac:dyDescent="0.25">
      <c r="W2721"/>
    </row>
    <row r="2722" spans="23:23" x14ac:dyDescent="0.25">
      <c r="W2722"/>
    </row>
    <row r="2723" spans="23:23" x14ac:dyDescent="0.25">
      <c r="W2723"/>
    </row>
    <row r="2724" spans="23:23" x14ac:dyDescent="0.25">
      <c r="W2724"/>
    </row>
    <row r="2725" spans="23:23" x14ac:dyDescent="0.25">
      <c r="W2725"/>
    </row>
    <row r="2726" spans="23:23" x14ac:dyDescent="0.25">
      <c r="W2726"/>
    </row>
    <row r="2727" spans="23:23" x14ac:dyDescent="0.25">
      <c r="W2727"/>
    </row>
    <row r="2728" spans="23:23" x14ac:dyDescent="0.25">
      <c r="W2728"/>
    </row>
    <row r="2729" spans="23:23" x14ac:dyDescent="0.25">
      <c r="W2729"/>
    </row>
    <row r="2730" spans="23:23" x14ac:dyDescent="0.25">
      <c r="W2730"/>
    </row>
    <row r="2731" spans="23:23" x14ac:dyDescent="0.25">
      <c r="W2731"/>
    </row>
    <row r="2732" spans="23:23" x14ac:dyDescent="0.25">
      <c r="W2732"/>
    </row>
    <row r="2733" spans="23:23" x14ac:dyDescent="0.25">
      <c r="W2733"/>
    </row>
    <row r="2734" spans="23:23" x14ac:dyDescent="0.25">
      <c r="W2734"/>
    </row>
    <row r="2735" spans="23:23" x14ac:dyDescent="0.25">
      <c r="W2735"/>
    </row>
    <row r="2736" spans="23:23" x14ac:dyDescent="0.25">
      <c r="W2736"/>
    </row>
    <row r="2737" spans="23:23" x14ac:dyDescent="0.25">
      <c r="W2737"/>
    </row>
    <row r="2738" spans="23:23" x14ac:dyDescent="0.25">
      <c r="W2738"/>
    </row>
    <row r="2739" spans="23:23" x14ac:dyDescent="0.25">
      <c r="W2739"/>
    </row>
    <row r="2740" spans="23:23" x14ac:dyDescent="0.25">
      <c r="W2740"/>
    </row>
    <row r="2741" spans="23:23" x14ac:dyDescent="0.25">
      <c r="W2741"/>
    </row>
    <row r="2742" spans="23:23" x14ac:dyDescent="0.25">
      <c r="W2742"/>
    </row>
    <row r="2743" spans="23:23" x14ac:dyDescent="0.25">
      <c r="W2743"/>
    </row>
    <row r="2744" spans="23:23" x14ac:dyDescent="0.25">
      <c r="W2744"/>
    </row>
    <row r="2745" spans="23:23" x14ac:dyDescent="0.25">
      <c r="W2745"/>
    </row>
    <row r="2746" spans="23:23" x14ac:dyDescent="0.25">
      <c r="W2746"/>
    </row>
    <row r="2747" spans="23:23" x14ac:dyDescent="0.25">
      <c r="W2747"/>
    </row>
    <row r="2748" spans="23:23" x14ac:dyDescent="0.25">
      <c r="W2748"/>
    </row>
    <row r="2749" spans="23:23" x14ac:dyDescent="0.25">
      <c r="W2749"/>
    </row>
    <row r="2750" spans="23:23" x14ac:dyDescent="0.25">
      <c r="W2750"/>
    </row>
    <row r="2751" spans="23:23" x14ac:dyDescent="0.25">
      <c r="W2751"/>
    </row>
    <row r="2752" spans="23:23" x14ac:dyDescent="0.25">
      <c r="W2752"/>
    </row>
    <row r="2753" spans="23:23" x14ac:dyDescent="0.25">
      <c r="W2753"/>
    </row>
    <row r="2754" spans="23:23" x14ac:dyDescent="0.25">
      <c r="W2754"/>
    </row>
    <row r="2755" spans="23:23" x14ac:dyDescent="0.25">
      <c r="W2755"/>
    </row>
    <row r="2756" spans="23:23" x14ac:dyDescent="0.25">
      <c r="W2756"/>
    </row>
    <row r="2757" spans="23:23" x14ac:dyDescent="0.25">
      <c r="W2757"/>
    </row>
    <row r="2758" spans="23:23" x14ac:dyDescent="0.25">
      <c r="W2758"/>
    </row>
    <row r="2759" spans="23:23" x14ac:dyDescent="0.25">
      <c r="W2759"/>
    </row>
    <row r="2760" spans="23:23" x14ac:dyDescent="0.25">
      <c r="W2760"/>
    </row>
    <row r="2761" spans="23:23" x14ac:dyDescent="0.25">
      <c r="W2761"/>
    </row>
    <row r="2762" spans="23:23" x14ac:dyDescent="0.25">
      <c r="W2762"/>
    </row>
    <row r="2763" spans="23:23" x14ac:dyDescent="0.25">
      <c r="W2763"/>
    </row>
    <row r="2764" spans="23:23" x14ac:dyDescent="0.25">
      <c r="W2764"/>
    </row>
    <row r="2765" spans="23:23" x14ac:dyDescent="0.25">
      <c r="W2765"/>
    </row>
    <row r="2766" spans="23:23" x14ac:dyDescent="0.25">
      <c r="W2766"/>
    </row>
    <row r="2767" spans="23:23" x14ac:dyDescent="0.25">
      <c r="W2767"/>
    </row>
    <row r="2768" spans="23:23" x14ac:dyDescent="0.25">
      <c r="W2768"/>
    </row>
    <row r="2769" spans="23:23" x14ac:dyDescent="0.25">
      <c r="W2769"/>
    </row>
    <row r="2770" spans="23:23" x14ac:dyDescent="0.25">
      <c r="W2770"/>
    </row>
    <row r="2771" spans="23:23" x14ac:dyDescent="0.25">
      <c r="W2771"/>
    </row>
    <row r="2772" spans="23:23" x14ac:dyDescent="0.25">
      <c r="W2772"/>
    </row>
    <row r="2773" spans="23:23" x14ac:dyDescent="0.25">
      <c r="W2773"/>
    </row>
    <row r="2774" spans="23:23" x14ac:dyDescent="0.25">
      <c r="W2774"/>
    </row>
    <row r="2775" spans="23:23" x14ac:dyDescent="0.25">
      <c r="W2775"/>
    </row>
    <row r="2776" spans="23:23" x14ac:dyDescent="0.25">
      <c r="W2776"/>
    </row>
    <row r="2777" spans="23:23" x14ac:dyDescent="0.25">
      <c r="W2777"/>
    </row>
    <row r="2778" spans="23:23" x14ac:dyDescent="0.25">
      <c r="W2778"/>
    </row>
    <row r="2779" spans="23:23" x14ac:dyDescent="0.25">
      <c r="W2779"/>
    </row>
    <row r="2780" spans="23:23" x14ac:dyDescent="0.25">
      <c r="W2780"/>
    </row>
    <row r="2781" spans="23:23" x14ac:dyDescent="0.25">
      <c r="W2781"/>
    </row>
    <row r="2782" spans="23:23" x14ac:dyDescent="0.25">
      <c r="W2782"/>
    </row>
    <row r="2783" spans="23:23" x14ac:dyDescent="0.25">
      <c r="W2783"/>
    </row>
    <row r="2784" spans="23:23" x14ac:dyDescent="0.25">
      <c r="W2784"/>
    </row>
    <row r="2785" spans="23:23" x14ac:dyDescent="0.25">
      <c r="W2785"/>
    </row>
    <row r="2786" spans="23:23" x14ac:dyDescent="0.25">
      <c r="W2786"/>
    </row>
    <row r="2787" spans="23:23" x14ac:dyDescent="0.25">
      <c r="W2787"/>
    </row>
    <row r="2788" spans="23:23" x14ac:dyDescent="0.25">
      <c r="W2788"/>
    </row>
    <row r="2789" spans="23:23" x14ac:dyDescent="0.25">
      <c r="W2789"/>
    </row>
    <row r="2790" spans="23:23" x14ac:dyDescent="0.25">
      <c r="W2790"/>
    </row>
    <row r="2791" spans="23:23" x14ac:dyDescent="0.25">
      <c r="W2791"/>
    </row>
    <row r="2792" spans="23:23" x14ac:dyDescent="0.25">
      <c r="W2792"/>
    </row>
    <row r="2793" spans="23:23" x14ac:dyDescent="0.25">
      <c r="W2793"/>
    </row>
    <row r="2794" spans="23:23" x14ac:dyDescent="0.25">
      <c r="W2794"/>
    </row>
    <row r="2795" spans="23:23" x14ac:dyDescent="0.25">
      <c r="W2795"/>
    </row>
    <row r="2796" spans="23:23" x14ac:dyDescent="0.25">
      <c r="W2796"/>
    </row>
    <row r="2797" spans="23:23" x14ac:dyDescent="0.25">
      <c r="W2797"/>
    </row>
    <row r="2798" spans="23:23" x14ac:dyDescent="0.25">
      <c r="W2798"/>
    </row>
    <row r="2799" spans="23:23" x14ac:dyDescent="0.25">
      <c r="W2799"/>
    </row>
    <row r="2800" spans="23:23" x14ac:dyDescent="0.25">
      <c r="W2800"/>
    </row>
    <row r="2801" spans="23:23" x14ac:dyDescent="0.25">
      <c r="W2801"/>
    </row>
    <row r="2802" spans="23:23" x14ac:dyDescent="0.25">
      <c r="W2802"/>
    </row>
    <row r="2803" spans="23:23" x14ac:dyDescent="0.25">
      <c r="W2803"/>
    </row>
    <row r="2804" spans="23:23" x14ac:dyDescent="0.25">
      <c r="W2804"/>
    </row>
    <row r="2805" spans="23:23" x14ac:dyDescent="0.25">
      <c r="W2805"/>
    </row>
    <row r="2806" spans="23:23" x14ac:dyDescent="0.25">
      <c r="W2806"/>
    </row>
    <row r="2807" spans="23:23" x14ac:dyDescent="0.25">
      <c r="W2807"/>
    </row>
    <row r="2808" spans="23:23" x14ac:dyDescent="0.25">
      <c r="W2808"/>
    </row>
    <row r="2809" spans="23:23" x14ac:dyDescent="0.25">
      <c r="W2809"/>
    </row>
    <row r="2810" spans="23:23" x14ac:dyDescent="0.25">
      <c r="W2810"/>
    </row>
    <row r="2811" spans="23:23" x14ac:dyDescent="0.25">
      <c r="W2811"/>
    </row>
    <row r="2812" spans="23:23" x14ac:dyDescent="0.25">
      <c r="W2812"/>
    </row>
    <row r="2813" spans="23:23" x14ac:dyDescent="0.25">
      <c r="W2813"/>
    </row>
    <row r="2814" spans="23:23" x14ac:dyDescent="0.25">
      <c r="W2814"/>
    </row>
    <row r="2815" spans="23:23" x14ac:dyDescent="0.25">
      <c r="W2815"/>
    </row>
    <row r="2816" spans="23:23" x14ac:dyDescent="0.25">
      <c r="W2816"/>
    </row>
    <row r="2817" spans="23:23" x14ac:dyDescent="0.25">
      <c r="W2817"/>
    </row>
    <row r="2818" spans="23:23" x14ac:dyDescent="0.25">
      <c r="W2818"/>
    </row>
    <row r="2819" spans="23:23" x14ac:dyDescent="0.25">
      <c r="W2819"/>
    </row>
    <row r="2820" spans="23:23" x14ac:dyDescent="0.25">
      <c r="W2820"/>
    </row>
    <row r="2821" spans="23:23" x14ac:dyDescent="0.25">
      <c r="W2821"/>
    </row>
    <row r="2822" spans="23:23" x14ac:dyDescent="0.25">
      <c r="W2822"/>
    </row>
    <row r="2823" spans="23:23" x14ac:dyDescent="0.25">
      <c r="W2823"/>
    </row>
    <row r="2824" spans="23:23" x14ac:dyDescent="0.25">
      <c r="W2824"/>
    </row>
    <row r="2825" spans="23:23" x14ac:dyDescent="0.25">
      <c r="W2825"/>
    </row>
    <row r="2826" spans="23:23" x14ac:dyDescent="0.25">
      <c r="W2826"/>
    </row>
    <row r="2827" spans="23:23" x14ac:dyDescent="0.25">
      <c r="W2827"/>
    </row>
    <row r="2828" spans="23:23" x14ac:dyDescent="0.25">
      <c r="W2828"/>
    </row>
    <row r="2829" spans="23:23" x14ac:dyDescent="0.25">
      <c r="W2829"/>
    </row>
    <row r="2830" spans="23:23" x14ac:dyDescent="0.25">
      <c r="W2830"/>
    </row>
    <row r="2831" spans="23:23" x14ac:dyDescent="0.25">
      <c r="W2831"/>
    </row>
    <row r="2832" spans="23:23" x14ac:dyDescent="0.25">
      <c r="W2832"/>
    </row>
    <row r="2833" spans="23:23" x14ac:dyDescent="0.25">
      <c r="W2833"/>
    </row>
    <row r="2834" spans="23:23" x14ac:dyDescent="0.25">
      <c r="W2834"/>
    </row>
    <row r="2835" spans="23:23" x14ac:dyDescent="0.25">
      <c r="W2835"/>
    </row>
    <row r="2836" spans="23:23" x14ac:dyDescent="0.25">
      <c r="W2836"/>
    </row>
    <row r="2837" spans="23:23" x14ac:dyDescent="0.25">
      <c r="W2837"/>
    </row>
    <row r="2838" spans="23:23" x14ac:dyDescent="0.25">
      <c r="W2838"/>
    </row>
    <row r="2839" spans="23:23" x14ac:dyDescent="0.25">
      <c r="W2839"/>
    </row>
    <row r="2840" spans="23:23" x14ac:dyDescent="0.25">
      <c r="W2840"/>
    </row>
    <row r="2841" spans="23:23" x14ac:dyDescent="0.25">
      <c r="W2841"/>
    </row>
    <row r="2842" spans="23:23" x14ac:dyDescent="0.25">
      <c r="W2842"/>
    </row>
    <row r="2843" spans="23:23" x14ac:dyDescent="0.25">
      <c r="W2843"/>
    </row>
    <row r="2844" spans="23:23" x14ac:dyDescent="0.25">
      <c r="W2844"/>
    </row>
    <row r="2845" spans="23:23" x14ac:dyDescent="0.25">
      <c r="W2845"/>
    </row>
    <row r="2846" spans="23:23" x14ac:dyDescent="0.25">
      <c r="W2846"/>
    </row>
    <row r="2847" spans="23:23" x14ac:dyDescent="0.25">
      <c r="W2847"/>
    </row>
    <row r="2848" spans="23:23" x14ac:dyDescent="0.25">
      <c r="W2848"/>
    </row>
    <row r="2849" spans="23:23" x14ac:dyDescent="0.25">
      <c r="W2849"/>
    </row>
    <row r="2850" spans="23:23" x14ac:dyDescent="0.25">
      <c r="W2850"/>
    </row>
    <row r="2851" spans="23:23" x14ac:dyDescent="0.25">
      <c r="W2851"/>
    </row>
    <row r="2852" spans="23:23" x14ac:dyDescent="0.25">
      <c r="W2852"/>
    </row>
    <row r="2853" spans="23:23" x14ac:dyDescent="0.25">
      <c r="W2853"/>
    </row>
    <row r="2854" spans="23:23" x14ac:dyDescent="0.25">
      <c r="W2854"/>
    </row>
    <row r="2855" spans="23:23" x14ac:dyDescent="0.25">
      <c r="W2855"/>
    </row>
    <row r="2856" spans="23:23" x14ac:dyDescent="0.25">
      <c r="W2856"/>
    </row>
    <row r="2857" spans="23:23" x14ac:dyDescent="0.25">
      <c r="W2857"/>
    </row>
    <row r="2858" spans="23:23" x14ac:dyDescent="0.25">
      <c r="W2858"/>
    </row>
    <row r="2859" spans="23:23" x14ac:dyDescent="0.25">
      <c r="W2859"/>
    </row>
    <row r="2860" spans="23:23" x14ac:dyDescent="0.25">
      <c r="W2860"/>
    </row>
    <row r="2861" spans="23:23" x14ac:dyDescent="0.25">
      <c r="W2861"/>
    </row>
    <row r="2862" spans="23:23" x14ac:dyDescent="0.25">
      <c r="W2862"/>
    </row>
    <row r="2863" spans="23:23" x14ac:dyDescent="0.25">
      <c r="W2863"/>
    </row>
    <row r="2864" spans="23:23" x14ac:dyDescent="0.25">
      <c r="W2864"/>
    </row>
    <row r="2865" spans="23:23" x14ac:dyDescent="0.25">
      <c r="W2865"/>
    </row>
    <row r="2866" spans="23:23" x14ac:dyDescent="0.25">
      <c r="W2866"/>
    </row>
    <row r="2867" spans="23:23" x14ac:dyDescent="0.25">
      <c r="W286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S1620"/>
  <sheetViews>
    <sheetView workbookViewId="0">
      <selection sqref="A1:A1048576"/>
    </sheetView>
  </sheetViews>
  <sheetFormatPr baseColWidth="10" defaultRowHeight="15" x14ac:dyDescent="0.25"/>
  <cols>
    <col min="1" max="1" width="13.5703125" style="1" bestFit="1" customWidth="1"/>
    <col min="2" max="2" width="12.7109375" bestFit="1" customWidth="1"/>
    <col min="3" max="3" width="40.7109375" bestFit="1" customWidth="1"/>
    <col min="4" max="4" width="13.5703125" bestFit="1" customWidth="1"/>
    <col min="5" max="5" width="56.28515625" bestFit="1" customWidth="1"/>
    <col min="6" max="7" width="14.28515625" style="3" bestFit="1" customWidth="1"/>
    <col min="8" max="8" width="11.85546875" style="3" bestFit="1" customWidth="1"/>
    <col min="9" max="9" width="11.85546875" style="2" bestFit="1" customWidth="1"/>
    <col min="10" max="11" width="14.28515625" style="3" bestFit="1" customWidth="1"/>
    <col min="12" max="12" width="12.28515625" style="3" bestFit="1" customWidth="1"/>
    <col min="13" max="13" width="13.140625" style="2" bestFit="1" customWidth="1"/>
    <col min="14" max="14" width="12.85546875" style="2" bestFit="1" customWidth="1"/>
    <col min="15" max="15" width="11.42578125" style="2"/>
    <col min="16" max="17" width="11.42578125" style="4"/>
    <col min="18" max="19" width="11.42578125" style="2"/>
  </cols>
  <sheetData>
    <row r="1" spans="1:13" x14ac:dyDescent="0.25">
      <c r="A1" s="16" t="str">
        <f>data!H1</f>
        <v>CMD_ORIGINE</v>
      </c>
      <c r="B1" s="7" t="str">
        <f>data!A1</f>
        <v>FRN_CODE</v>
      </c>
      <c r="C1" s="7" t="str">
        <f>data!B1</f>
        <v>FRN_NOM</v>
      </c>
      <c r="D1" s="7" t="str">
        <f>data!C1</f>
        <v>PRD_CODE</v>
      </c>
      <c r="E1" s="7" t="str">
        <f>data!D1</f>
        <v>PRD_LIBELLE</v>
      </c>
      <c r="F1" s="10" t="str">
        <f>CONCATENATE("CA ",YEAR(Feuil1!D1))</f>
        <v>CA 2016</v>
      </c>
      <c r="G1" s="8" t="str">
        <f>CONCATENATE("CA ",YEAR(Feuil1!D2))</f>
        <v>CA 2015</v>
      </c>
      <c r="H1" s="8" t="s">
        <v>0</v>
      </c>
      <c r="I1" s="11" t="s">
        <v>1</v>
      </c>
      <c r="J1" s="8" t="str">
        <f>CONCATENATE("Cols ",YEAR(Feuil1!D1))</f>
        <v>Cols 2016</v>
      </c>
      <c r="K1" s="8" t="str">
        <f>CONCATENATE("Cols ",YEAR(Feuil1!D2))</f>
        <v>Cols 2015</v>
      </c>
      <c r="L1" s="8" t="s">
        <v>3</v>
      </c>
      <c r="M1" s="11" t="s">
        <v>2</v>
      </c>
    </row>
    <row r="2" spans="1:13" x14ac:dyDescent="0.25">
      <c r="A2" s="17" t="str">
        <f>data!H2</f>
        <v>VINICOM</v>
      </c>
      <c r="B2" s="15" t="str">
        <f>data!A2</f>
        <v>001</v>
      </c>
      <c r="C2" s="1" t="str">
        <f>data!B2</f>
        <v>CHAMPAGNE PANNIER</v>
      </c>
      <c r="D2" s="1" t="str">
        <f>data!C2</f>
        <v>001001</v>
      </c>
      <c r="E2" s="1" t="str">
        <f>data!D2</f>
        <v>PANNIER AC CHAMP SELECTION BRUT</v>
      </c>
      <c r="F2" s="14">
        <f>SUMIFS(data!G:G,data!A:A,TABLEAU!B2,data!C:C,TABLEAU!D2,data!F:F,YEAR(Feuil1!$D$1))</f>
        <v>17930</v>
      </c>
      <c r="G2" s="9">
        <f>SUMIFS(data!G:G,data!A:A,TABLEAU!B2,data!C:C,TABLEAU!D2,data!F:F,YEAR(Feuil1!$D$2))</f>
        <v>37339.550000000003</v>
      </c>
      <c r="H2" s="9">
        <f>F2-G2</f>
        <v>-19409.550000000003</v>
      </c>
      <c r="I2" s="12">
        <f>IF(ISERR(H2/G2),"",H2/G2)</f>
        <v>-0.51981210271682443</v>
      </c>
      <c r="J2" s="13">
        <f>SUMIFS(data!E:E,data!A:A,TABLEAU!B2,data!C:C,TABLEAU!D2,data!F:F,YEAR(Feuil1!$D$1))</f>
        <v>1380</v>
      </c>
      <c r="K2" s="13">
        <f>SUMIFS(data!E:E,data!A:A,TABLEAU!B2,data!C:C,TABLEAU!D2,data!F:F,YEAR(Feuil1!$D$2))</f>
        <v>2854</v>
      </c>
      <c r="L2" s="13">
        <f>J2-K2</f>
        <v>-1474</v>
      </c>
      <c r="M2" s="12">
        <f>IF(ISERR(L2/K2),"",L2/K2)</f>
        <v>-0.51646811492641909</v>
      </c>
    </row>
    <row r="3" spans="1:13" x14ac:dyDescent="0.25">
      <c r="A3" s="17" t="str">
        <f>data!H4</f>
        <v>VINICOM</v>
      </c>
      <c r="B3" s="15" t="str">
        <f>data!A4</f>
        <v>001</v>
      </c>
      <c r="C3" s="1" t="str">
        <f>data!B4</f>
        <v>CHAMPAGNE PANNIER</v>
      </c>
      <c r="D3" s="1" t="str">
        <f>data!C4</f>
        <v>001002</v>
      </c>
      <c r="E3" s="1" t="str">
        <f>data!D3</f>
        <v>PANNIER AC CHAMP SELECTION BRUT</v>
      </c>
      <c r="F3" s="14">
        <f>SUMIFS(data!G:G,data!A:A,TABLEAU!B3,data!C:C,TABLEAU!D3,data!F:F,YEAR(Feuil1!$D$1))</f>
        <v>168.52</v>
      </c>
      <c r="G3" s="9">
        <f>SUMIFS(data!G:G,data!A:A,TABLEAU!B3,data!C:C,TABLEAU!D3,data!F:F,YEAR(Feuil1!$D$2))</f>
        <v>1256.6199999999999</v>
      </c>
      <c r="H3" s="9">
        <f t="shared" ref="H3:H66" si="0">F3-G3</f>
        <v>-1088.0999999999999</v>
      </c>
      <c r="I3" s="12">
        <f t="shared" ref="I3:I66" si="1">IF(ISERR(H3/G3),"",H3/G3)</f>
        <v>-0.86589422418869666</v>
      </c>
      <c r="J3" s="13">
        <f>SUMIFS(data!E:E,data!A:A,TABLEAU!B3,data!C:C,TABLEAU!D3,data!F:F,YEAR(Feuil1!$D$1))</f>
        <v>12</v>
      </c>
      <c r="K3" s="13">
        <f>SUMIFS(data!E:E,data!A:A,TABLEAU!B3,data!C:C,TABLEAU!D3,data!F:F,YEAR(Feuil1!$D$2))</f>
        <v>90</v>
      </c>
      <c r="L3" s="13">
        <f t="shared" ref="L3:L66" si="2">J3-K3</f>
        <v>-78</v>
      </c>
      <c r="M3" s="12">
        <f t="shared" ref="M3:M66" si="3">IF(ISERR(L3/K3),"",L3/K3)</f>
        <v>-0.8666666666666667</v>
      </c>
    </row>
    <row r="4" spans="1:13" x14ac:dyDescent="0.25">
      <c r="A4" s="17" t="str">
        <f>data!H6</f>
        <v>VINICOM</v>
      </c>
      <c r="B4" s="15" t="str">
        <f>data!A6</f>
        <v>001</v>
      </c>
      <c r="C4" s="1" t="str">
        <f>data!B6</f>
        <v>CHAMPAGNE PANNIER</v>
      </c>
      <c r="D4" s="1" t="str">
        <f>data!C6</f>
        <v>001003</v>
      </c>
      <c r="E4" s="1" t="str">
        <f>data!D4</f>
        <v>PANNIER AC CHAMP SELECTION BRUT</v>
      </c>
      <c r="F4" s="14">
        <f>SUMIFS(data!G:G,data!A:A,TABLEAU!B4,data!C:C,TABLEAU!D4,data!F:F,YEAR(Feuil1!$D$1))</f>
        <v>0</v>
      </c>
      <c r="G4" s="9">
        <f>SUMIFS(data!G:G,data!A:A,TABLEAU!B4,data!C:C,TABLEAU!D4,data!F:F,YEAR(Feuil1!$D$2))</f>
        <v>1549.19</v>
      </c>
      <c r="H4" s="9">
        <f t="shared" si="0"/>
        <v>-1549.19</v>
      </c>
      <c r="I4" s="12">
        <f t="shared" si="1"/>
        <v>-1</v>
      </c>
      <c r="J4" s="13">
        <f>SUMIFS(data!E:E,data!A:A,TABLEAU!B4,data!C:C,TABLEAU!D4,data!F:F,YEAR(Feuil1!$D$1))</f>
        <v>0</v>
      </c>
      <c r="K4" s="13">
        <f>SUMIFS(data!E:E,data!A:A,TABLEAU!B4,data!C:C,TABLEAU!D4,data!F:F,YEAR(Feuil1!$D$2))</f>
        <v>114</v>
      </c>
      <c r="L4" s="13">
        <f t="shared" si="2"/>
        <v>-114</v>
      </c>
      <c r="M4" s="12">
        <f t="shared" si="3"/>
        <v>-1</v>
      </c>
    </row>
    <row r="5" spans="1:13" x14ac:dyDescent="0.25">
      <c r="A5" s="17" t="str">
        <f>data!H7</f>
        <v>VINICOM</v>
      </c>
      <c r="B5" s="15" t="str">
        <f>data!A7</f>
        <v>001</v>
      </c>
      <c r="C5" s="1" t="str">
        <f>data!B7</f>
        <v>CHAMPAGNE PANNIER</v>
      </c>
      <c r="D5" s="1" t="str">
        <f>data!C7</f>
        <v>001004</v>
      </c>
      <c r="E5" s="1" t="str">
        <f>data!D5</f>
        <v>PANNIER AC CHAMP SELECTION BRUT</v>
      </c>
      <c r="F5" s="14">
        <f>SUMIFS(data!G:G,data!A:A,TABLEAU!B5,data!C:C,TABLEAU!D5,data!F:F,YEAR(Feuil1!$D$1))</f>
        <v>0</v>
      </c>
      <c r="G5" s="9">
        <f>SUMIFS(data!G:G,data!A:A,TABLEAU!B5,data!C:C,TABLEAU!D5,data!F:F,YEAR(Feuil1!$D$2))</f>
        <v>263.04000000000002</v>
      </c>
      <c r="H5" s="9">
        <f t="shared" si="0"/>
        <v>-263.04000000000002</v>
      </c>
      <c r="I5" s="12">
        <f t="shared" si="1"/>
        <v>-1</v>
      </c>
      <c r="J5" s="13">
        <f>SUMIFS(data!E:E,data!A:A,TABLEAU!B5,data!C:C,TABLEAU!D5,data!F:F,YEAR(Feuil1!$D$1))</f>
        <v>0</v>
      </c>
      <c r="K5" s="13">
        <f>SUMIFS(data!E:E,data!A:A,TABLEAU!B5,data!C:C,TABLEAU!D5,data!F:F,YEAR(Feuil1!$D$2))</f>
        <v>12</v>
      </c>
      <c r="L5" s="13">
        <f t="shared" si="2"/>
        <v>-12</v>
      </c>
      <c r="M5" s="12">
        <f t="shared" si="3"/>
        <v>-1</v>
      </c>
    </row>
    <row r="6" spans="1:13" x14ac:dyDescent="0.25">
      <c r="A6" s="17" t="str">
        <f>data!H8</f>
        <v>VINICOM</v>
      </c>
      <c r="B6" s="15" t="str">
        <f>data!A8</f>
        <v>001</v>
      </c>
      <c r="C6" s="1" t="str">
        <f>data!B8</f>
        <v>CHAMPAGNE PANNIER</v>
      </c>
      <c r="D6" s="1" t="str">
        <f>data!C8</f>
        <v>001005</v>
      </c>
      <c r="E6" s="1" t="str">
        <f>data!D6</f>
        <v>PANNIER AC CHAMP SELECTION BRUT</v>
      </c>
      <c r="F6" s="14">
        <f>SUMIFS(data!G:G,data!A:A,TABLEAU!B6,data!C:C,TABLEAU!D6,data!F:F,YEAR(Feuil1!$D$1))</f>
        <v>1770</v>
      </c>
      <c r="G6" s="9">
        <f>SUMIFS(data!G:G,data!A:A,TABLEAU!B6,data!C:C,TABLEAU!D6,data!F:F,YEAR(Feuil1!$D$2))</f>
        <v>5323.38</v>
      </c>
      <c r="H6" s="9">
        <f t="shared" si="0"/>
        <v>-3553.38</v>
      </c>
      <c r="I6" s="12">
        <f t="shared" si="1"/>
        <v>-0.66750448023624087</v>
      </c>
      <c r="J6" s="13">
        <f>SUMIFS(data!E:E,data!A:A,TABLEAU!B6,data!C:C,TABLEAU!D6,data!F:F,YEAR(Feuil1!$D$1))</f>
        <v>120</v>
      </c>
      <c r="K6" s="13">
        <f>SUMIFS(data!E:E,data!A:A,TABLEAU!B6,data!C:C,TABLEAU!D6,data!F:F,YEAR(Feuil1!$D$2))</f>
        <v>350</v>
      </c>
      <c r="L6" s="13">
        <f t="shared" si="2"/>
        <v>-230</v>
      </c>
      <c r="M6" s="12">
        <f t="shared" si="3"/>
        <v>-0.65714285714285714</v>
      </c>
    </row>
    <row r="7" spans="1:13" x14ac:dyDescent="0.25">
      <c r="A7" s="17" t="str">
        <f>data!H10</f>
        <v>VINICOM</v>
      </c>
      <c r="B7" s="15" t="str">
        <f>data!A10</f>
        <v>001</v>
      </c>
      <c r="C7" s="1" t="str">
        <f>data!B10</f>
        <v>CHAMPAGNE PANNIER</v>
      </c>
      <c r="D7" s="1" t="str">
        <f>data!C10</f>
        <v>001013</v>
      </c>
      <c r="E7" s="1" t="str">
        <f>data!D7</f>
        <v>PANNIER AC CHAMPAGNE TRAD BRUT EN CAISSE BOIS</v>
      </c>
      <c r="F7" s="14">
        <f>SUMIFS(data!G:G,data!A:A,TABLEAU!B7,data!C:C,TABLEAU!D7,data!F:F,YEAR(Feuil1!$D$1))</f>
        <v>0</v>
      </c>
      <c r="G7" s="9">
        <f>SUMIFS(data!G:G,data!A:A,TABLEAU!B7,data!C:C,TABLEAU!D7,data!F:F,YEAR(Feuil1!$D$2))</f>
        <v>314.05</v>
      </c>
      <c r="H7" s="9">
        <f t="shared" si="0"/>
        <v>-314.05</v>
      </c>
      <c r="I7" s="12">
        <f t="shared" si="1"/>
        <v>-1</v>
      </c>
      <c r="J7" s="13">
        <f>SUMIFS(data!E:E,data!A:A,TABLEAU!B7,data!C:C,TABLEAU!D7,data!F:F,YEAR(Feuil1!$D$1))</f>
        <v>0</v>
      </c>
      <c r="K7" s="13">
        <f>SUMIFS(data!E:E,data!A:A,TABLEAU!B7,data!C:C,TABLEAU!D7,data!F:F,YEAR(Feuil1!$D$2))</f>
        <v>24</v>
      </c>
      <c r="L7" s="13">
        <f t="shared" si="2"/>
        <v>-24</v>
      </c>
      <c r="M7" s="12">
        <f t="shared" si="3"/>
        <v>-1</v>
      </c>
    </row>
    <row r="8" spans="1:13" x14ac:dyDescent="0.25">
      <c r="A8" s="17" t="str">
        <f>data!H11</f>
        <v>VINICOM</v>
      </c>
      <c r="B8" s="15" t="str">
        <f>data!A11</f>
        <v>001</v>
      </c>
      <c r="C8" s="1" t="str">
        <f>data!B11</f>
        <v>CHAMPAGNE PANNIER</v>
      </c>
      <c r="D8" s="1" t="str">
        <f>data!C11</f>
        <v>001015</v>
      </c>
      <c r="E8" s="1" t="str">
        <f>data!D8</f>
        <v>PANNIER AC CHAMP ROSE BRUT</v>
      </c>
      <c r="F8" s="14">
        <f>SUMIFS(data!G:G,data!A:A,TABLEAU!B8,data!C:C,TABLEAU!D8,data!F:F,YEAR(Feuil1!$D$1))</f>
        <v>412.56</v>
      </c>
      <c r="G8" s="9">
        <f>SUMIFS(data!G:G,data!A:A,TABLEAU!B8,data!C:C,TABLEAU!D8,data!F:F,YEAR(Feuil1!$D$2))</f>
        <v>547.32000000000005</v>
      </c>
      <c r="H8" s="9">
        <f t="shared" si="0"/>
        <v>-134.76000000000005</v>
      </c>
      <c r="I8" s="12">
        <f t="shared" si="1"/>
        <v>-0.24621793466345107</v>
      </c>
      <c r="J8" s="13">
        <f>SUMIFS(data!E:E,data!A:A,TABLEAU!B8,data!C:C,TABLEAU!D8,data!F:F,YEAR(Feuil1!$D$1))</f>
        <v>24</v>
      </c>
      <c r="K8" s="13">
        <f>SUMIFS(data!E:E,data!A:A,TABLEAU!B8,data!C:C,TABLEAU!D8,data!F:F,YEAR(Feuil1!$D$2))</f>
        <v>30</v>
      </c>
      <c r="L8" s="13">
        <f t="shared" si="2"/>
        <v>-6</v>
      </c>
      <c r="M8" s="12">
        <f t="shared" si="3"/>
        <v>-0.2</v>
      </c>
    </row>
    <row r="9" spans="1:13" x14ac:dyDescent="0.25">
      <c r="A9" s="17" t="str">
        <f>data!H13</f>
        <v>VINICOM</v>
      </c>
      <c r="B9" s="15" t="str">
        <f>data!A13</f>
        <v>001</v>
      </c>
      <c r="C9" s="1" t="str">
        <f>data!B13</f>
        <v>CHAMPAGNE PANNIER</v>
      </c>
      <c r="D9" s="1" t="str">
        <f>data!C13</f>
        <v>001021</v>
      </c>
      <c r="E9" s="1" t="str">
        <f>data!D9</f>
        <v>PANNIER AC CHAMP ROSE BRUT</v>
      </c>
      <c r="F9" s="14">
        <f>SUMIFS(data!G:G,data!A:A,TABLEAU!B9,data!C:C,TABLEAU!D9,data!F:F,YEAR(Feuil1!$D$1))</f>
        <v>463.65</v>
      </c>
      <c r="G9" s="9">
        <f>SUMIFS(data!G:G,data!A:A,TABLEAU!B9,data!C:C,TABLEAU!D9,data!F:F,YEAR(Feuil1!$D$2))</f>
        <v>0</v>
      </c>
      <c r="H9" s="9">
        <f t="shared" si="0"/>
        <v>463.65</v>
      </c>
      <c r="I9" s="12" t="str">
        <f t="shared" si="1"/>
        <v/>
      </c>
      <c r="J9" s="13">
        <f>SUMIFS(data!E:E,data!A:A,TABLEAU!B9,data!C:C,TABLEAU!D9,data!F:F,YEAR(Feuil1!$D$1))</f>
        <v>36</v>
      </c>
      <c r="K9" s="13">
        <f>SUMIFS(data!E:E,data!A:A,TABLEAU!B9,data!C:C,TABLEAU!D9,data!F:F,YEAR(Feuil1!$D$2))</f>
        <v>0</v>
      </c>
      <c r="L9" s="13">
        <f t="shared" si="2"/>
        <v>36</v>
      </c>
      <c r="M9" s="12" t="str">
        <f t="shared" si="3"/>
        <v/>
      </c>
    </row>
    <row r="10" spans="1:13" x14ac:dyDescent="0.25">
      <c r="A10" s="17" t="str">
        <f>data!H14</f>
        <v>VINICOM</v>
      </c>
      <c r="B10" s="15" t="str">
        <f>data!A14</f>
        <v>001</v>
      </c>
      <c r="C10" s="1" t="str">
        <f>data!B14</f>
        <v>CHAMPAGNE PANNIER</v>
      </c>
      <c r="D10" s="1" t="str">
        <f>data!C14</f>
        <v>001031</v>
      </c>
      <c r="E10" s="1" t="str">
        <f>data!D10</f>
        <v>PANNIER AC CHAMP SEDUCTION DEMI SEC</v>
      </c>
      <c r="F10" s="14">
        <f>SUMIFS(data!G:G,data!A:A,TABLEAU!B10,data!C:C,TABLEAU!D10,data!F:F,YEAR(Feuil1!$D$1))</f>
        <v>659.04</v>
      </c>
      <c r="G10" s="9">
        <f>SUMIFS(data!G:G,data!A:A,TABLEAU!B10,data!C:C,TABLEAU!D10,data!F:F,YEAR(Feuil1!$D$2))</f>
        <v>1263.24</v>
      </c>
      <c r="H10" s="9">
        <f t="shared" si="0"/>
        <v>-604.20000000000005</v>
      </c>
      <c r="I10" s="12">
        <f t="shared" si="1"/>
        <v>-0.47829391089579182</v>
      </c>
      <c r="J10" s="13">
        <f>SUMIFS(data!E:E,data!A:A,TABLEAU!B10,data!C:C,TABLEAU!D10,data!F:F,YEAR(Feuil1!$D$1))</f>
        <v>48</v>
      </c>
      <c r="K10" s="13">
        <f>SUMIFS(data!E:E,data!A:A,TABLEAU!B10,data!C:C,TABLEAU!D10,data!F:F,YEAR(Feuil1!$D$2))</f>
        <v>90</v>
      </c>
      <c r="L10" s="13">
        <f t="shared" si="2"/>
        <v>-42</v>
      </c>
      <c r="M10" s="12">
        <f t="shared" si="3"/>
        <v>-0.46666666666666667</v>
      </c>
    </row>
    <row r="11" spans="1:13" x14ac:dyDescent="0.25">
      <c r="A11" s="17" t="str">
        <f>data!H16</f>
        <v>VINICOM</v>
      </c>
      <c r="B11" s="15" t="str">
        <f>data!A16</f>
        <v>001</v>
      </c>
      <c r="C11" s="1" t="str">
        <f>data!B16</f>
        <v>CHAMPAGNE PANNIER</v>
      </c>
      <c r="D11" s="1" t="str">
        <f>data!C16</f>
        <v>001033</v>
      </c>
      <c r="E11" s="1" t="str">
        <f>data!D11</f>
        <v>PANNIER CHAMP BRUT BLANC DE BLANCS</v>
      </c>
      <c r="F11" s="14">
        <f>SUMIFS(data!G:G,data!A:A,TABLEAU!B11,data!C:C,TABLEAU!D11,data!F:F,YEAR(Feuil1!$D$1))</f>
        <v>0</v>
      </c>
      <c r="G11" s="9">
        <f>SUMIFS(data!G:G,data!A:A,TABLEAU!B11,data!C:C,TABLEAU!D11,data!F:F,YEAR(Feuil1!$D$2))</f>
        <v>169.68</v>
      </c>
      <c r="H11" s="9">
        <f t="shared" si="0"/>
        <v>-169.68</v>
      </c>
      <c r="I11" s="12">
        <f t="shared" si="1"/>
        <v>-1</v>
      </c>
      <c r="J11" s="13">
        <f>SUMIFS(data!E:E,data!A:A,TABLEAU!B11,data!C:C,TABLEAU!D11,data!F:F,YEAR(Feuil1!$D$1))</f>
        <v>0</v>
      </c>
      <c r="K11" s="13">
        <f>SUMIFS(data!E:E,data!A:A,TABLEAU!B11,data!C:C,TABLEAU!D11,data!F:F,YEAR(Feuil1!$D$2))</f>
        <v>12</v>
      </c>
      <c r="L11" s="13">
        <f t="shared" si="2"/>
        <v>-12</v>
      </c>
      <c r="M11" s="12">
        <f t="shared" si="3"/>
        <v>-1</v>
      </c>
    </row>
    <row r="12" spans="1:13" x14ac:dyDescent="0.25">
      <c r="A12" s="17" t="str">
        <f>data!H17</f>
        <v>VINICOM</v>
      </c>
      <c r="B12" s="15" t="str">
        <f>data!A17</f>
        <v>001</v>
      </c>
      <c r="C12" s="1" t="str">
        <f>data!B17</f>
        <v>CHAMPAGNE PANNIER</v>
      </c>
      <c r="D12" s="1" t="str">
        <f>data!C17</f>
        <v>001034</v>
      </c>
      <c r="E12" s="1" t="str">
        <f>data!D12</f>
        <v>PANNIER CHAMP BRUT BLANC DE BLANCS</v>
      </c>
      <c r="F12" s="14">
        <f>SUMIFS(data!G:G,data!A:A,TABLEAU!B12,data!C:C,TABLEAU!D12,data!F:F,YEAR(Feuil1!$D$1))</f>
        <v>0</v>
      </c>
      <c r="G12" s="9">
        <f>SUMIFS(data!G:G,data!A:A,TABLEAU!B12,data!C:C,TABLEAU!D12,data!F:F,YEAR(Feuil1!$D$2))</f>
        <v>1191.72</v>
      </c>
      <c r="H12" s="9">
        <f t="shared" si="0"/>
        <v>-1191.72</v>
      </c>
      <c r="I12" s="12">
        <f t="shared" si="1"/>
        <v>-1</v>
      </c>
      <c r="J12" s="13">
        <f>SUMIFS(data!E:E,data!A:A,TABLEAU!B12,data!C:C,TABLEAU!D12,data!F:F,YEAR(Feuil1!$D$1))</f>
        <v>0</v>
      </c>
      <c r="K12" s="13">
        <f>SUMIFS(data!E:E,data!A:A,TABLEAU!B12,data!C:C,TABLEAU!D12,data!F:F,YEAR(Feuil1!$D$2))</f>
        <v>84</v>
      </c>
      <c r="L12" s="13">
        <f t="shared" si="2"/>
        <v>-84</v>
      </c>
      <c r="M12" s="12">
        <f t="shared" si="3"/>
        <v>-1</v>
      </c>
    </row>
    <row r="13" spans="1:13" x14ac:dyDescent="0.25">
      <c r="A13" s="17" t="str">
        <f>data!H18</f>
        <v>VINICOM</v>
      </c>
      <c r="B13" s="15" t="str">
        <f>data!A18</f>
        <v>001</v>
      </c>
      <c r="C13" s="1" t="str">
        <f>data!B18</f>
        <v>CHAMPAGNE PANNIER</v>
      </c>
      <c r="D13" s="1" t="str">
        <f>data!C18</f>
        <v>CDH001001</v>
      </c>
      <c r="E13" s="1" t="str">
        <f>data!D13</f>
        <v>PANNIER AC CHAMP BRUT SELECTION EN ETUIS</v>
      </c>
      <c r="F13" s="14">
        <f>SUMIFS(data!G:G,data!A:A,TABLEAU!B13,data!C:C,TABLEAU!D13,data!F:F,YEAR(Feuil1!$D$1))</f>
        <v>0</v>
      </c>
      <c r="G13" s="9">
        <f>SUMIFS(data!G:G,data!A:A,TABLEAU!B13,data!C:C,TABLEAU!D13,data!F:F,YEAR(Feuil1!$D$2))</f>
        <v>0</v>
      </c>
      <c r="H13" s="9">
        <f t="shared" si="0"/>
        <v>0</v>
      </c>
      <c r="I13" s="12" t="str">
        <f t="shared" si="1"/>
        <v/>
      </c>
      <c r="J13" s="13">
        <f>SUMIFS(data!E:E,data!A:A,TABLEAU!B13,data!C:C,TABLEAU!D13,data!F:F,YEAR(Feuil1!$D$1))</f>
        <v>30</v>
      </c>
      <c r="K13" s="13">
        <f>SUMIFS(data!E:E,data!A:A,TABLEAU!B13,data!C:C,TABLEAU!D13,data!F:F,YEAR(Feuil1!$D$2))</f>
        <v>0</v>
      </c>
      <c r="L13" s="13">
        <f t="shared" si="2"/>
        <v>30</v>
      </c>
      <c r="M13" s="12" t="str">
        <f t="shared" si="3"/>
        <v/>
      </c>
    </row>
    <row r="14" spans="1:13" x14ac:dyDescent="0.25">
      <c r="A14" s="17" t="str">
        <f>data!H19</f>
        <v>VINICOM</v>
      </c>
      <c r="B14" s="15" t="str">
        <f>data!A19</f>
        <v>001</v>
      </c>
      <c r="C14" s="1" t="str">
        <f>data!B19</f>
        <v>CHAMPAGNE PANNIER</v>
      </c>
      <c r="D14" s="1" t="str">
        <f>data!C19</f>
        <v>CDH001015</v>
      </c>
      <c r="E14" s="1" t="str">
        <f>data!D14</f>
        <v>AC CHAMPAGNE EXTRA BRUT SELECTION - CHAMPAGNE PANN</v>
      </c>
      <c r="F14" s="14">
        <f>SUMIFS(data!G:G,data!A:A,TABLEAU!B14,data!C:C,TABLEAU!D14,data!F:F,YEAR(Feuil1!$D$1))</f>
        <v>0</v>
      </c>
      <c r="G14" s="9">
        <f>SUMIFS(data!G:G,data!A:A,TABLEAU!B14,data!C:C,TABLEAU!D14,data!F:F,YEAR(Feuil1!$D$2))</f>
        <v>0</v>
      </c>
      <c r="H14" s="9">
        <f t="shared" si="0"/>
        <v>0</v>
      </c>
      <c r="I14" s="12" t="str">
        <f t="shared" si="1"/>
        <v/>
      </c>
      <c r="J14" s="13">
        <f>SUMIFS(data!E:E,data!A:A,TABLEAU!B14,data!C:C,TABLEAU!D14,data!F:F,YEAR(Feuil1!$D$1))</f>
        <v>6</v>
      </c>
      <c r="K14" s="13">
        <f>SUMIFS(data!E:E,data!A:A,TABLEAU!B14,data!C:C,TABLEAU!D14,data!F:F,YEAR(Feuil1!$D$2))</f>
        <v>0</v>
      </c>
      <c r="L14" s="13">
        <f t="shared" si="2"/>
        <v>6</v>
      </c>
      <c r="M14" s="12" t="str">
        <f t="shared" si="3"/>
        <v/>
      </c>
    </row>
    <row r="15" spans="1:13" x14ac:dyDescent="0.25">
      <c r="A15" s="17" t="str">
        <f>data!H20</f>
        <v>VINICOM</v>
      </c>
      <c r="B15" s="15" t="str">
        <f>data!A20</f>
        <v>002</v>
      </c>
      <c r="C15" s="1" t="str">
        <f>data!B20</f>
        <v>CAVE DE GALLICIAN</v>
      </c>
      <c r="D15" s="1" t="str">
        <f>data!C20</f>
        <v>002001</v>
      </c>
      <c r="E15" s="1" t="str">
        <f>data!D15</f>
        <v>AC CHAMPAGNE EXTRA BRUT SELECTION - CHAMPAGNE PANN</v>
      </c>
      <c r="F15" s="14">
        <f>SUMIFS(data!G:G,data!A:A,TABLEAU!B15,data!C:C,TABLEAU!D15,data!F:F,YEAR(Feuil1!$D$1))</f>
        <v>34770.660000000003</v>
      </c>
      <c r="G15" s="9">
        <f>SUMIFS(data!G:G,data!A:A,TABLEAU!B15,data!C:C,TABLEAU!D15,data!F:F,YEAR(Feuil1!$D$2))</f>
        <v>38804.699999999997</v>
      </c>
      <c r="H15" s="9">
        <f t="shared" si="0"/>
        <v>-4034.0399999999936</v>
      </c>
      <c r="I15" s="12">
        <f t="shared" si="1"/>
        <v>-0.10395751030158702</v>
      </c>
      <c r="J15" s="13">
        <f>SUMIFS(data!E:E,data!A:A,TABLEAU!B15,data!C:C,TABLEAU!D15,data!F:F,YEAR(Feuil1!$D$1))</f>
        <v>29861.590000000077</v>
      </c>
      <c r="K15" s="13">
        <f>SUMIFS(data!E:E,data!A:A,TABLEAU!B15,data!C:C,TABLEAU!D15,data!F:F,YEAR(Feuil1!$D$2))</f>
        <v>34750.700000000063</v>
      </c>
      <c r="L15" s="13">
        <f t="shared" si="2"/>
        <v>-4889.109999999986</v>
      </c>
      <c r="M15" s="12">
        <f t="shared" si="3"/>
        <v>-0.14069097888675558</v>
      </c>
    </row>
    <row r="16" spans="1:13" x14ac:dyDescent="0.25">
      <c r="A16" s="17" t="str">
        <f>data!H22</f>
        <v>VINICOM</v>
      </c>
      <c r="B16" s="15" t="str">
        <f>data!A22</f>
        <v>002</v>
      </c>
      <c r="C16" s="1" t="str">
        <f>data!B22</f>
        <v>CAVE DE GALLICIAN</v>
      </c>
      <c r="D16" s="1" t="str">
        <f>data!C22</f>
        <v>002002</v>
      </c>
      <c r="E16" s="1" t="str">
        <f>data!D16</f>
        <v>RATAFIA CHAMPAGNE PANNIER</v>
      </c>
      <c r="F16" s="14">
        <f>SUMIFS(data!G:G,data!A:A,TABLEAU!B16,data!C:C,TABLEAU!D16,data!F:F,YEAR(Feuil1!$D$1))</f>
        <v>109316.21</v>
      </c>
      <c r="G16" s="9">
        <f>SUMIFS(data!G:G,data!A:A,TABLEAU!B16,data!C:C,TABLEAU!D16,data!F:F,YEAR(Feuil1!$D$2))</f>
        <v>118614.5</v>
      </c>
      <c r="H16" s="9">
        <f t="shared" si="0"/>
        <v>-9298.2899999999936</v>
      </c>
      <c r="I16" s="12">
        <f t="shared" si="1"/>
        <v>-7.839083754515673E-2</v>
      </c>
      <c r="J16" s="13">
        <f>SUMIFS(data!E:E,data!A:A,TABLEAU!B16,data!C:C,TABLEAU!D16,data!F:F,YEAR(Feuil1!$D$1))</f>
        <v>106906.60000000031</v>
      </c>
      <c r="K16" s="13">
        <f>SUMIFS(data!E:E,data!A:A,TABLEAU!B16,data!C:C,TABLEAU!D16,data!F:F,YEAR(Feuil1!$D$2))</f>
        <v>120329.91000000029</v>
      </c>
      <c r="L16" s="13">
        <f t="shared" si="2"/>
        <v>-13423.309999999983</v>
      </c>
      <c r="M16" s="12">
        <f t="shared" si="3"/>
        <v>-0.11155422621025771</v>
      </c>
    </row>
    <row r="17" spans="1:13" x14ac:dyDescent="0.25">
      <c r="A17" s="17" t="str">
        <f>data!H24</f>
        <v>VINICOM</v>
      </c>
      <c r="B17" s="15" t="str">
        <f>data!A24</f>
        <v>002</v>
      </c>
      <c r="C17" s="1" t="str">
        <f>data!B24</f>
        <v>CAVE DE GALLICIAN</v>
      </c>
      <c r="D17" s="1" t="str">
        <f>data!C24</f>
        <v>002003</v>
      </c>
      <c r="E17" s="1" t="str">
        <f>data!D17</f>
        <v>AC CHAMPAGNE EXTRA BRUT</v>
      </c>
      <c r="F17" s="14">
        <f>SUMIFS(data!G:G,data!A:A,TABLEAU!B17,data!C:C,TABLEAU!D17,data!F:F,YEAR(Feuil1!$D$1))</f>
        <v>71263.73</v>
      </c>
      <c r="G17" s="9">
        <f>SUMIFS(data!G:G,data!A:A,TABLEAU!B17,data!C:C,TABLEAU!D17,data!F:F,YEAR(Feuil1!$D$2))</f>
        <v>65115.6</v>
      </c>
      <c r="H17" s="9">
        <f t="shared" si="0"/>
        <v>6148.1299999999974</v>
      </c>
      <c r="I17" s="12">
        <f t="shared" si="1"/>
        <v>9.4418695366394495E-2</v>
      </c>
      <c r="J17" s="13">
        <f>SUMIFS(data!E:E,data!A:A,TABLEAU!B17,data!C:C,TABLEAU!D17,data!F:F,YEAR(Feuil1!$D$1))</f>
        <v>77114.050000000236</v>
      </c>
      <c r="K17" s="13">
        <f>SUMIFS(data!E:E,data!A:A,TABLEAU!B17,data!C:C,TABLEAU!D17,data!F:F,YEAR(Feuil1!$D$2))</f>
        <v>73848.200000000201</v>
      </c>
      <c r="L17" s="13">
        <f t="shared" si="2"/>
        <v>3265.8500000000349</v>
      </c>
      <c r="M17" s="12">
        <f t="shared" si="3"/>
        <v>4.4223826714801795E-2</v>
      </c>
    </row>
    <row r="18" spans="1:13" x14ac:dyDescent="0.25">
      <c r="A18" s="17" t="str">
        <f>data!H26</f>
        <v>VINICOM</v>
      </c>
      <c r="B18" s="15" t="str">
        <f>data!A26</f>
        <v>002</v>
      </c>
      <c r="C18" s="1" t="str">
        <f>data!B26</f>
        <v>CAVE DE GALLICIAN</v>
      </c>
      <c r="D18" s="1" t="str">
        <f>data!C26</f>
        <v>002004</v>
      </c>
      <c r="E18" s="1" t="str">
        <f>data!D18</f>
        <v>AC CHAMPAGNE PANNIER BRUT SELECTION</v>
      </c>
      <c r="F18" s="14">
        <f>SUMIFS(data!G:G,data!A:A,TABLEAU!B18,data!C:C,TABLEAU!D18,data!F:F,YEAR(Feuil1!$D$1))</f>
        <v>14743</v>
      </c>
      <c r="G18" s="9">
        <f>SUMIFS(data!G:G,data!A:A,TABLEAU!B18,data!C:C,TABLEAU!D18,data!F:F,YEAR(Feuil1!$D$2))</f>
        <v>15781.93</v>
      </c>
      <c r="H18" s="9">
        <f t="shared" si="0"/>
        <v>-1038.9300000000003</v>
      </c>
      <c r="I18" s="12">
        <f t="shared" si="1"/>
        <v>-6.5830351547624427E-2</v>
      </c>
      <c r="J18" s="13">
        <f>SUMIFS(data!E:E,data!A:A,TABLEAU!B18,data!C:C,TABLEAU!D18,data!F:F,YEAR(Feuil1!$D$1))</f>
        <v>13733.530000000028</v>
      </c>
      <c r="K18" s="13">
        <f>SUMIFS(data!E:E,data!A:A,TABLEAU!B18,data!C:C,TABLEAU!D18,data!F:F,YEAR(Feuil1!$D$2))</f>
        <v>14980.820000000052</v>
      </c>
      <c r="L18" s="13">
        <f t="shared" si="2"/>
        <v>-1247.2900000000245</v>
      </c>
      <c r="M18" s="12">
        <f t="shared" si="3"/>
        <v>-8.3259127337490219E-2</v>
      </c>
    </row>
    <row r="19" spans="1:13" x14ac:dyDescent="0.25">
      <c r="A19" s="17" t="str">
        <f>data!H28</f>
        <v>VINICOM</v>
      </c>
      <c r="B19" s="15" t="str">
        <f>data!A28</f>
        <v>002</v>
      </c>
      <c r="C19" s="1" t="str">
        <f>data!B28</f>
        <v>CAVE DE GALLICIAN</v>
      </c>
      <c r="D19" s="1" t="str">
        <f>data!C28</f>
        <v>002006</v>
      </c>
      <c r="E19" s="1" t="str">
        <f>data!D19</f>
        <v>AC CHAMPAGNE PANNIER BLANC DE BLANC</v>
      </c>
      <c r="F19" s="14">
        <f>SUMIFS(data!G:G,data!A:A,TABLEAU!B19,data!C:C,TABLEAU!D19,data!F:F,YEAR(Feuil1!$D$1))</f>
        <v>0</v>
      </c>
      <c r="G19" s="9">
        <f>SUMIFS(data!G:G,data!A:A,TABLEAU!B19,data!C:C,TABLEAU!D19,data!F:F,YEAR(Feuil1!$D$2))</f>
        <v>3823.2</v>
      </c>
      <c r="H19" s="9">
        <f t="shared" si="0"/>
        <v>-3823.2</v>
      </c>
      <c r="I19" s="12">
        <f t="shared" si="1"/>
        <v>-1</v>
      </c>
      <c r="J19" s="13">
        <f>SUMIFS(data!E:E,data!A:A,TABLEAU!B19,data!C:C,TABLEAU!D19,data!F:F,YEAR(Feuil1!$D$1))</f>
        <v>0</v>
      </c>
      <c r="K19" s="13">
        <f>SUMIFS(data!E:E,data!A:A,TABLEAU!B19,data!C:C,TABLEAU!D19,data!F:F,YEAR(Feuil1!$D$2))</f>
        <v>4720.59</v>
      </c>
      <c r="L19" s="13">
        <f t="shared" si="2"/>
        <v>-4720.59</v>
      </c>
      <c r="M19" s="12">
        <f t="shared" si="3"/>
        <v>-1</v>
      </c>
    </row>
    <row r="20" spans="1:13" x14ac:dyDescent="0.25">
      <c r="A20" s="17" t="str">
        <f>data!H29</f>
        <v>VINICOM</v>
      </c>
      <c r="B20" s="15" t="str">
        <f>data!A29</f>
        <v>002</v>
      </c>
      <c r="C20" s="1" t="str">
        <f>data!B29</f>
        <v>CAVE DE GALLICIAN</v>
      </c>
      <c r="D20" s="1" t="str">
        <f>data!C29</f>
        <v>002007</v>
      </c>
      <c r="E20" s="1" t="str">
        <f>data!D20</f>
        <v>VDP MERLOT C.GALLICIAN</v>
      </c>
      <c r="F20" s="14">
        <f>SUMIFS(data!G:G,data!A:A,TABLEAU!B20,data!C:C,TABLEAU!D20,data!F:F,YEAR(Feuil1!$D$1))</f>
        <v>26996.04</v>
      </c>
      <c r="G20" s="9">
        <f>SUMIFS(data!G:G,data!A:A,TABLEAU!B20,data!C:C,TABLEAU!D20,data!F:F,YEAR(Feuil1!$D$2))</f>
        <v>36503.699999999997</v>
      </c>
      <c r="H20" s="9">
        <f t="shared" si="0"/>
        <v>-9507.6599999999962</v>
      </c>
      <c r="I20" s="12">
        <f t="shared" si="1"/>
        <v>-0.26045743308212582</v>
      </c>
      <c r="J20" s="13">
        <f>SUMIFS(data!E:E,data!A:A,TABLEAU!B20,data!C:C,TABLEAU!D20,data!F:F,YEAR(Feuil1!$D$1))</f>
        <v>30179.119999999944</v>
      </c>
      <c r="K20" s="13">
        <f>SUMIFS(data!E:E,data!A:A,TABLEAU!B20,data!C:C,TABLEAU!D20,data!F:F,YEAR(Feuil1!$D$2))</f>
        <v>42855.949999999961</v>
      </c>
      <c r="L20" s="13">
        <f t="shared" si="2"/>
        <v>-12676.830000000016</v>
      </c>
      <c r="M20" s="12">
        <f t="shared" si="3"/>
        <v>-0.29580093312597266</v>
      </c>
    </row>
    <row r="21" spans="1:13" x14ac:dyDescent="0.25">
      <c r="A21" s="17" t="str">
        <f>data!H31</f>
        <v>VINICOM</v>
      </c>
      <c r="B21" s="15" t="str">
        <f>data!A31</f>
        <v>002</v>
      </c>
      <c r="C21" s="1" t="str">
        <f>data!B31</f>
        <v>CAVE DE GALLICIAN</v>
      </c>
      <c r="D21" s="1" t="str">
        <f>data!C31</f>
        <v>002008</v>
      </c>
      <c r="E21" s="1" t="str">
        <f>data!D21</f>
        <v>VDP MERLOT C.GALLICIAN</v>
      </c>
      <c r="F21" s="14">
        <f>SUMIFS(data!G:G,data!A:A,TABLEAU!B21,data!C:C,TABLEAU!D21,data!F:F,YEAR(Feuil1!$D$1))</f>
        <v>27952.74</v>
      </c>
      <c r="G21" s="9">
        <f>SUMIFS(data!G:G,data!A:A,TABLEAU!B21,data!C:C,TABLEAU!D21,data!F:F,YEAR(Feuil1!$D$2))</f>
        <v>32028</v>
      </c>
      <c r="H21" s="9">
        <f t="shared" si="0"/>
        <v>-4075.2599999999984</v>
      </c>
      <c r="I21" s="12">
        <f t="shared" si="1"/>
        <v>-0.12724053952791303</v>
      </c>
      <c r="J21" s="13">
        <f>SUMIFS(data!E:E,data!A:A,TABLEAU!B21,data!C:C,TABLEAU!D21,data!F:F,YEAR(Feuil1!$D$1))</f>
        <v>33230.820000000007</v>
      </c>
      <c r="K21" s="13">
        <f>SUMIFS(data!E:E,data!A:A,TABLEAU!B21,data!C:C,TABLEAU!D21,data!F:F,YEAR(Feuil1!$D$2))</f>
        <v>40325.039999999994</v>
      </c>
      <c r="L21" s="13">
        <f t="shared" si="2"/>
        <v>-7094.2199999999866</v>
      </c>
      <c r="M21" s="12">
        <f t="shared" si="3"/>
        <v>-0.17592592592592562</v>
      </c>
    </row>
    <row r="22" spans="1:13" x14ac:dyDescent="0.25">
      <c r="A22" s="17" t="str">
        <f>data!H33</f>
        <v>VINICOM</v>
      </c>
      <c r="B22" s="15" t="str">
        <f>data!A33</f>
        <v>002</v>
      </c>
      <c r="C22" s="1" t="str">
        <f>data!B33</f>
        <v>CAVE DE GALLICIAN</v>
      </c>
      <c r="D22" s="1" t="str">
        <f>data!C33</f>
        <v>002009</v>
      </c>
      <c r="E22" s="1" t="str">
        <f>data!D22</f>
        <v>VDP MERLOT. C GALLICIAN</v>
      </c>
      <c r="F22" s="14">
        <f>SUMIFS(data!G:G,data!A:A,TABLEAU!B22,data!C:C,TABLEAU!D22,data!F:F,YEAR(Feuil1!$D$1))</f>
        <v>9673.34</v>
      </c>
      <c r="G22" s="9">
        <f>SUMIFS(data!G:G,data!A:A,TABLEAU!B22,data!C:C,TABLEAU!D22,data!F:F,YEAR(Feuil1!$D$2))</f>
        <v>8051.75</v>
      </c>
      <c r="H22" s="9">
        <f t="shared" si="0"/>
        <v>1621.5900000000001</v>
      </c>
      <c r="I22" s="12">
        <f t="shared" si="1"/>
        <v>0.20139596982022542</v>
      </c>
      <c r="J22" s="13">
        <f>SUMIFS(data!E:E,data!A:A,TABLEAU!B22,data!C:C,TABLEAU!D22,data!F:F,YEAR(Feuil1!$D$1))</f>
        <v>11521.440000000002</v>
      </c>
      <c r="K22" s="13">
        <f>SUMIFS(data!E:E,data!A:A,TABLEAU!B22,data!C:C,TABLEAU!D22,data!F:F,YEAR(Feuil1!$D$2))</f>
        <v>10161.270000000002</v>
      </c>
      <c r="L22" s="13">
        <f t="shared" si="2"/>
        <v>1360.17</v>
      </c>
      <c r="M22" s="12">
        <f t="shared" si="3"/>
        <v>0.13385826771653542</v>
      </c>
    </row>
    <row r="23" spans="1:13" x14ac:dyDescent="0.25">
      <c r="A23" s="17" t="str">
        <f>data!H35</f>
        <v>VINICOM</v>
      </c>
      <c r="B23" s="15" t="str">
        <f>data!A35</f>
        <v>002</v>
      </c>
      <c r="C23" s="1" t="str">
        <f>data!B35</f>
        <v>CAVE DE GALLICIAN</v>
      </c>
      <c r="D23" s="1" t="str">
        <f>data!C35</f>
        <v>002010</v>
      </c>
      <c r="E23" s="1" t="str">
        <f>data!D23</f>
        <v>VDP MERLOT. C GALLICIAN</v>
      </c>
      <c r="F23" s="14">
        <f>SUMIFS(data!G:G,data!A:A,TABLEAU!B23,data!C:C,TABLEAU!D23,data!F:F,YEAR(Feuil1!$D$1))</f>
        <v>20132.5</v>
      </c>
      <c r="G23" s="9">
        <f>SUMIFS(data!G:G,data!A:A,TABLEAU!B23,data!C:C,TABLEAU!D23,data!F:F,YEAR(Feuil1!$D$2))</f>
        <v>22379.26</v>
      </c>
      <c r="H23" s="9">
        <f t="shared" si="0"/>
        <v>-2246.7599999999984</v>
      </c>
      <c r="I23" s="12">
        <f t="shared" si="1"/>
        <v>-0.10039474048739765</v>
      </c>
      <c r="J23" s="13">
        <f>SUMIFS(data!E:E,data!A:A,TABLEAU!B23,data!C:C,TABLEAU!D23,data!F:F,YEAR(Feuil1!$D$1))</f>
        <v>14553.940000000057</v>
      </c>
      <c r="K23" s="13">
        <f>SUMIFS(data!E:E,data!A:A,TABLEAU!B23,data!C:C,TABLEAU!D23,data!F:F,YEAR(Feuil1!$D$2))</f>
        <v>16708.350000000082</v>
      </c>
      <c r="L23" s="13">
        <f t="shared" si="2"/>
        <v>-2154.4100000000253</v>
      </c>
      <c r="M23" s="12">
        <f t="shared" si="3"/>
        <v>-0.12894211576846396</v>
      </c>
    </row>
    <row r="24" spans="1:13" x14ac:dyDescent="0.25">
      <c r="A24" s="17" t="str">
        <f>data!H37</f>
        <v>VINICOM</v>
      </c>
      <c r="B24" s="15" t="str">
        <f>data!A37</f>
        <v>002</v>
      </c>
      <c r="C24" s="1" t="str">
        <f>data!B37</f>
        <v>CAVE DE GALLICIAN</v>
      </c>
      <c r="D24" s="1" t="str">
        <f>data!C37</f>
        <v>002011</v>
      </c>
      <c r="E24" s="1" t="str">
        <f>data!D24</f>
        <v>VDP GARD. C GALLICIAN</v>
      </c>
      <c r="F24" s="14">
        <f>SUMIFS(data!G:G,data!A:A,TABLEAU!B24,data!C:C,TABLEAU!D24,data!F:F,YEAR(Feuil1!$D$1))</f>
        <v>30591.02</v>
      </c>
      <c r="G24" s="9">
        <f>SUMIFS(data!G:G,data!A:A,TABLEAU!B24,data!C:C,TABLEAU!D24,data!F:F,YEAR(Feuil1!$D$2))</f>
        <v>37403.4</v>
      </c>
      <c r="H24" s="9">
        <f t="shared" si="0"/>
        <v>-6812.380000000001</v>
      </c>
      <c r="I24" s="12">
        <f t="shared" si="1"/>
        <v>-0.18213264034820367</v>
      </c>
      <c r="J24" s="13">
        <f>SUMIFS(data!E:E,data!A:A,TABLEAU!B24,data!C:C,TABLEAU!D24,data!F:F,YEAR(Feuil1!$D$1))</f>
        <v>24740.479999999963</v>
      </c>
      <c r="K24" s="13">
        <f>SUMIFS(data!E:E,data!A:A,TABLEAU!B24,data!C:C,TABLEAU!D24,data!F:F,YEAR(Feuil1!$D$2))</f>
        <v>31005.579999999976</v>
      </c>
      <c r="L24" s="13">
        <f t="shared" si="2"/>
        <v>-6265.1000000000131</v>
      </c>
      <c r="M24" s="12">
        <f t="shared" si="3"/>
        <v>-0.20206362854686213</v>
      </c>
    </row>
    <row r="25" spans="1:13" x14ac:dyDescent="0.25">
      <c r="A25" s="17" t="str">
        <f>data!H39</f>
        <v>VINICOM</v>
      </c>
      <c r="B25" s="15" t="str">
        <f>data!A39</f>
        <v>002</v>
      </c>
      <c r="C25" s="1" t="str">
        <f>data!B39</f>
        <v>CAVE DE GALLICIAN</v>
      </c>
      <c r="D25" s="1" t="str">
        <f>data!C39</f>
        <v>002014</v>
      </c>
      <c r="E25" s="1" t="str">
        <f>data!D25</f>
        <v>VDP GARD. C GALLICIAN</v>
      </c>
      <c r="F25" s="14">
        <f>SUMIFS(data!G:G,data!A:A,TABLEAU!B25,data!C:C,TABLEAU!D25,data!F:F,YEAR(Feuil1!$D$1))</f>
        <v>0</v>
      </c>
      <c r="G25" s="9">
        <f>SUMIFS(data!G:G,data!A:A,TABLEAU!B25,data!C:C,TABLEAU!D25,data!F:F,YEAR(Feuil1!$D$2))</f>
        <v>0</v>
      </c>
      <c r="H25" s="9">
        <f t="shared" si="0"/>
        <v>0</v>
      </c>
      <c r="I25" s="12" t="str">
        <f t="shared" si="1"/>
        <v/>
      </c>
      <c r="J25" s="13">
        <f>SUMIFS(data!E:E,data!A:A,TABLEAU!B25,data!C:C,TABLEAU!D25,data!F:F,YEAR(Feuil1!$D$1))</f>
        <v>0</v>
      </c>
      <c r="K25" s="13">
        <f>SUMIFS(data!E:E,data!A:A,TABLEAU!B25,data!C:C,TABLEAU!D25,data!F:F,YEAR(Feuil1!$D$2))</f>
        <v>106.64</v>
      </c>
      <c r="L25" s="13">
        <f t="shared" si="2"/>
        <v>-106.64</v>
      </c>
      <c r="M25" s="12">
        <f t="shared" si="3"/>
        <v>-1</v>
      </c>
    </row>
    <row r="26" spans="1:13" x14ac:dyDescent="0.25">
      <c r="A26" s="17" t="str">
        <f>data!H40</f>
        <v>VINICOM</v>
      </c>
      <c r="B26" s="15" t="str">
        <f>data!A40</f>
        <v>002</v>
      </c>
      <c r="C26" s="1" t="str">
        <f>data!B40</f>
        <v>CAVE DE GALLICIAN</v>
      </c>
      <c r="D26" s="1" t="str">
        <f>data!C40</f>
        <v>002015</v>
      </c>
      <c r="E26" s="1" t="str">
        <f>data!D26</f>
        <v>VDP GARD. C GALLICIAN</v>
      </c>
      <c r="F26" s="14">
        <f>SUMIFS(data!G:G,data!A:A,TABLEAU!B26,data!C:C,TABLEAU!D26,data!F:F,YEAR(Feuil1!$D$1))</f>
        <v>31533.81</v>
      </c>
      <c r="G26" s="9">
        <f>SUMIFS(data!G:G,data!A:A,TABLEAU!B26,data!C:C,TABLEAU!D26,data!F:F,YEAR(Feuil1!$D$2))</f>
        <v>49712.14</v>
      </c>
      <c r="H26" s="9">
        <f t="shared" si="0"/>
        <v>-18178.329999999998</v>
      </c>
      <c r="I26" s="12">
        <f t="shared" si="1"/>
        <v>-0.36567184595151203</v>
      </c>
      <c r="J26" s="13">
        <f>SUMIFS(data!E:E,data!A:A,TABLEAU!B26,data!C:C,TABLEAU!D26,data!F:F,YEAR(Feuil1!$D$1))</f>
        <v>25313.669999999973</v>
      </c>
      <c r="K26" s="13">
        <f>SUMIFS(data!E:E,data!A:A,TABLEAU!B26,data!C:C,TABLEAU!D26,data!F:F,YEAR(Feuil1!$D$2))</f>
        <v>41336.330000000045</v>
      </c>
      <c r="L26" s="13">
        <f t="shared" si="2"/>
        <v>-16022.660000000073</v>
      </c>
      <c r="M26" s="12">
        <f t="shared" si="3"/>
        <v>-0.38761689777491265</v>
      </c>
    </row>
    <row r="27" spans="1:13" x14ac:dyDescent="0.25">
      <c r="A27" s="17" t="str">
        <f>data!H42</f>
        <v>VINICOM</v>
      </c>
      <c r="B27" s="15" t="str">
        <f>data!A42</f>
        <v>002</v>
      </c>
      <c r="C27" s="1" t="str">
        <f>data!B42</f>
        <v>CAVE DE GALLICIAN</v>
      </c>
      <c r="D27" s="1" t="str">
        <f>data!C42</f>
        <v>002016</v>
      </c>
      <c r="E27" s="1" t="str">
        <f>data!D27</f>
        <v>VDP GARD. C GALLICIAN</v>
      </c>
      <c r="F27" s="14">
        <f>SUMIFS(data!G:G,data!A:A,TABLEAU!B27,data!C:C,TABLEAU!D27,data!F:F,YEAR(Feuil1!$D$1))</f>
        <v>28577.55</v>
      </c>
      <c r="G27" s="9">
        <f>SUMIFS(data!G:G,data!A:A,TABLEAU!B27,data!C:C,TABLEAU!D27,data!F:F,YEAR(Feuil1!$D$2))</f>
        <v>29039.279999999999</v>
      </c>
      <c r="H27" s="9">
        <f t="shared" si="0"/>
        <v>-461.72999999999956</v>
      </c>
      <c r="I27" s="12">
        <f t="shared" si="1"/>
        <v>-1.5900187607957209E-2</v>
      </c>
      <c r="J27" s="13">
        <f>SUMIFS(data!E:E,data!A:A,TABLEAU!B27,data!C:C,TABLEAU!D27,data!F:F,YEAR(Feuil1!$D$1))</f>
        <v>20343.500000000033</v>
      </c>
      <c r="K27" s="13">
        <f>SUMIFS(data!E:E,data!A:A,TABLEAU!B27,data!C:C,TABLEAU!D27,data!F:F,YEAR(Feuil1!$D$2))</f>
        <v>21610.800000000047</v>
      </c>
      <c r="L27" s="13">
        <f t="shared" si="2"/>
        <v>-1267.3000000000138</v>
      </c>
      <c r="M27" s="12">
        <f t="shared" si="3"/>
        <v>-5.8641975308642486E-2</v>
      </c>
    </row>
    <row r="28" spans="1:13" x14ac:dyDescent="0.25">
      <c r="A28" s="17" t="str">
        <f>data!H44</f>
        <v>VINICOM</v>
      </c>
      <c r="B28" s="15" t="str">
        <f>data!A44</f>
        <v>002</v>
      </c>
      <c r="C28" s="1" t="str">
        <f>data!B44</f>
        <v>CAVE DE GALLICIAN</v>
      </c>
      <c r="D28" s="1" t="str">
        <f>data!C44</f>
        <v>002017</v>
      </c>
      <c r="E28" s="1" t="str">
        <f>data!D28</f>
        <v>VDP MERLOT</v>
      </c>
      <c r="F28" s="14">
        <f>SUMIFS(data!G:G,data!A:A,TABLEAU!B28,data!C:C,TABLEAU!D28,data!F:F,YEAR(Feuil1!$D$1))</f>
        <v>64399.68</v>
      </c>
      <c r="G28" s="9">
        <f>SUMIFS(data!G:G,data!A:A,TABLEAU!B28,data!C:C,TABLEAU!D28,data!F:F,YEAR(Feuil1!$D$2))</f>
        <v>66179.28</v>
      </c>
      <c r="H28" s="9">
        <f t="shared" si="0"/>
        <v>-1779.5999999999985</v>
      </c>
      <c r="I28" s="12">
        <f t="shared" si="1"/>
        <v>-2.6890591738078725E-2</v>
      </c>
      <c r="J28" s="13">
        <f>SUMIFS(data!E:E,data!A:A,TABLEAU!B28,data!C:C,TABLEAU!D28,data!F:F,YEAR(Feuil1!$D$1))</f>
        <v>69609.260000000097</v>
      </c>
      <c r="K28" s="13">
        <f>SUMIFS(data!E:E,data!A:A,TABLEAU!B28,data!C:C,TABLEAU!D28,data!F:F,YEAR(Feuil1!$D$2))</f>
        <v>74488.04000000027</v>
      </c>
      <c r="L28" s="13">
        <f t="shared" si="2"/>
        <v>-4878.7800000001735</v>
      </c>
      <c r="M28" s="12">
        <f t="shared" si="3"/>
        <v>-6.5497494631354986E-2</v>
      </c>
    </row>
    <row r="29" spans="1:13" x14ac:dyDescent="0.25">
      <c r="A29" s="17" t="str">
        <f>data!H46</f>
        <v>VINICOM</v>
      </c>
      <c r="B29" s="15" t="str">
        <f>data!A46</f>
        <v>002</v>
      </c>
      <c r="C29" s="1" t="str">
        <f>data!B46</f>
        <v>CAVE DE GALLICIAN</v>
      </c>
      <c r="D29" s="1" t="str">
        <f>data!C46</f>
        <v>002018</v>
      </c>
      <c r="E29" s="1" t="str">
        <f>data!D29</f>
        <v>VDT C GALLICIAN</v>
      </c>
      <c r="F29" s="14">
        <f>SUMIFS(data!G:G,data!A:A,TABLEAU!B29,data!C:C,TABLEAU!D29,data!F:F,YEAR(Feuil1!$D$1))</f>
        <v>29351.14</v>
      </c>
      <c r="G29" s="9">
        <f>SUMIFS(data!G:G,data!A:A,TABLEAU!B29,data!C:C,TABLEAU!D29,data!F:F,YEAR(Feuil1!$D$2))</f>
        <v>31586.65</v>
      </c>
      <c r="H29" s="9">
        <f t="shared" si="0"/>
        <v>-2235.510000000002</v>
      </c>
      <c r="I29" s="12">
        <f t="shared" si="1"/>
        <v>-7.0773887069379052E-2</v>
      </c>
      <c r="J29" s="13">
        <f>SUMIFS(data!E:E,data!A:A,TABLEAU!B29,data!C:C,TABLEAU!D29,data!F:F,YEAR(Feuil1!$D$1))</f>
        <v>26359.840000000055</v>
      </c>
      <c r="K29" s="13">
        <f>SUMIFS(data!E:E,data!A:A,TABLEAU!B29,data!C:C,TABLEAU!D29,data!F:F,YEAR(Feuil1!$D$2))</f>
        <v>29554.770000000066</v>
      </c>
      <c r="L29" s="13">
        <f t="shared" si="2"/>
        <v>-3194.9300000000112</v>
      </c>
      <c r="M29" s="12">
        <f t="shared" si="3"/>
        <v>-0.10810200857594236</v>
      </c>
    </row>
    <row r="30" spans="1:13" x14ac:dyDescent="0.25">
      <c r="A30" s="17" t="str">
        <f>data!H48</f>
        <v>VINICOM</v>
      </c>
      <c r="B30" s="15" t="str">
        <f>data!A48</f>
        <v>002</v>
      </c>
      <c r="C30" s="1" t="str">
        <f>data!B48</f>
        <v>CAVE DE GALLICIAN</v>
      </c>
      <c r="D30" s="1" t="str">
        <f>data!C48</f>
        <v>002020</v>
      </c>
      <c r="E30" s="1" t="str">
        <f>data!D30</f>
        <v>VDT C GALLICIAN</v>
      </c>
      <c r="F30" s="14">
        <f>SUMIFS(data!G:G,data!A:A,TABLEAU!B30,data!C:C,TABLEAU!D30,data!F:F,YEAR(Feuil1!$D$1))</f>
        <v>24938.1</v>
      </c>
      <c r="G30" s="9">
        <f>SUMIFS(data!G:G,data!A:A,TABLEAU!B30,data!C:C,TABLEAU!D30,data!F:F,YEAR(Feuil1!$D$2))</f>
        <v>20721.7</v>
      </c>
      <c r="H30" s="9">
        <f t="shared" si="0"/>
        <v>4216.3999999999978</v>
      </c>
      <c r="I30" s="12">
        <f t="shared" si="1"/>
        <v>0.20347751391053812</v>
      </c>
      <c r="J30" s="13">
        <f>SUMIFS(data!E:E,data!A:A,TABLEAU!B30,data!C:C,TABLEAU!D30,data!F:F,YEAR(Feuil1!$D$1))</f>
        <v>10410</v>
      </c>
      <c r="K30" s="13">
        <f>SUMIFS(data!E:E,data!A:A,TABLEAU!B30,data!C:C,TABLEAU!D30,data!F:F,YEAR(Feuil1!$D$2))</f>
        <v>8790</v>
      </c>
      <c r="L30" s="13">
        <f t="shared" si="2"/>
        <v>1620</v>
      </c>
      <c r="M30" s="12">
        <f t="shared" si="3"/>
        <v>0.18430034129692832</v>
      </c>
    </row>
    <row r="31" spans="1:13" x14ac:dyDescent="0.25">
      <c r="A31" s="17" t="str">
        <f>data!H50</f>
        <v>VINICOM</v>
      </c>
      <c r="B31" s="15" t="str">
        <f>data!A50</f>
        <v>002</v>
      </c>
      <c r="C31" s="1" t="str">
        <f>data!B50</f>
        <v>CAVE DE GALLICIAN</v>
      </c>
      <c r="D31" s="1" t="str">
        <f>data!C50</f>
        <v>002021</v>
      </c>
      <c r="E31" s="1" t="str">
        <f>data!D31</f>
        <v>VDT. C GALLICIAN</v>
      </c>
      <c r="F31" s="14">
        <f>SUMIFS(data!G:G,data!A:A,TABLEAU!B31,data!C:C,TABLEAU!D31,data!F:F,YEAR(Feuil1!$D$1))</f>
        <v>404.94</v>
      </c>
      <c r="G31" s="9">
        <f>SUMIFS(data!G:G,data!A:A,TABLEAU!B31,data!C:C,TABLEAU!D31,data!F:F,YEAR(Feuil1!$D$2))</f>
        <v>873.6</v>
      </c>
      <c r="H31" s="9">
        <f t="shared" si="0"/>
        <v>-468.66</v>
      </c>
      <c r="I31" s="12">
        <f t="shared" si="1"/>
        <v>-0.5364697802197802</v>
      </c>
      <c r="J31" s="13">
        <f>SUMIFS(data!E:E,data!A:A,TABLEAU!B31,data!C:C,TABLEAU!D31,data!F:F,YEAR(Feuil1!$D$1))</f>
        <v>204</v>
      </c>
      <c r="K31" s="13">
        <f>SUMIFS(data!E:E,data!A:A,TABLEAU!B31,data!C:C,TABLEAU!D31,data!F:F,YEAR(Feuil1!$D$2))</f>
        <v>552</v>
      </c>
      <c r="L31" s="13">
        <f t="shared" si="2"/>
        <v>-348</v>
      </c>
      <c r="M31" s="12">
        <f t="shared" si="3"/>
        <v>-0.63043478260869568</v>
      </c>
    </row>
    <row r="32" spans="1:13" x14ac:dyDescent="0.25">
      <c r="A32" s="17" t="str">
        <f>data!H52</f>
        <v>VINICOM</v>
      </c>
      <c r="B32" s="15" t="str">
        <f>data!A52</f>
        <v>002</v>
      </c>
      <c r="C32" s="1" t="str">
        <f>data!B52</f>
        <v>CAVE DE GALLICIAN</v>
      </c>
      <c r="D32" s="1" t="str">
        <f>data!C52</f>
        <v>002023</v>
      </c>
      <c r="E32" s="1" t="str">
        <f>data!D32</f>
        <v>VDT. C GALLICIAN</v>
      </c>
      <c r="F32" s="14">
        <f>SUMIFS(data!G:G,data!A:A,TABLEAU!B32,data!C:C,TABLEAU!D32,data!F:F,YEAR(Feuil1!$D$1))</f>
        <v>380.64</v>
      </c>
      <c r="G32" s="9">
        <f>SUMIFS(data!G:G,data!A:A,TABLEAU!B32,data!C:C,TABLEAU!D32,data!F:F,YEAR(Feuil1!$D$2))</f>
        <v>499.32</v>
      </c>
      <c r="H32" s="9">
        <f t="shared" si="0"/>
        <v>-118.68</v>
      </c>
      <c r="I32" s="12">
        <f t="shared" si="1"/>
        <v>-0.23768324921893777</v>
      </c>
      <c r="J32" s="13">
        <f>SUMIFS(data!E:E,data!A:A,TABLEAU!B32,data!C:C,TABLEAU!D32,data!F:F,YEAR(Feuil1!$D$1))</f>
        <v>138</v>
      </c>
      <c r="K32" s="13">
        <f>SUMIFS(data!E:E,data!A:A,TABLEAU!B32,data!C:C,TABLEAU!D32,data!F:F,YEAR(Feuil1!$D$2))</f>
        <v>252</v>
      </c>
      <c r="L32" s="13">
        <f t="shared" si="2"/>
        <v>-114</v>
      </c>
      <c r="M32" s="12">
        <f t="shared" si="3"/>
        <v>-0.45238095238095238</v>
      </c>
    </row>
    <row r="33" spans="1:13" x14ac:dyDescent="0.25">
      <c r="A33" s="17" t="str">
        <f>data!H54</f>
        <v>VINICOM</v>
      </c>
      <c r="B33" s="15" t="str">
        <f>data!A54</f>
        <v>002</v>
      </c>
      <c r="C33" s="1" t="str">
        <f>data!B54</f>
        <v>CAVE DE GALLICIAN</v>
      </c>
      <c r="D33" s="1" t="str">
        <f>data!C54</f>
        <v>002024</v>
      </c>
      <c r="E33" s="1" t="str">
        <f>data!D33</f>
        <v>VDT. C GALLICIAN</v>
      </c>
      <c r="F33" s="14">
        <f>SUMIFS(data!G:G,data!A:A,TABLEAU!B33,data!C:C,TABLEAU!D33,data!F:F,YEAR(Feuil1!$D$1))</f>
        <v>132</v>
      </c>
      <c r="G33" s="9">
        <f>SUMIFS(data!G:G,data!A:A,TABLEAU!B33,data!C:C,TABLEAU!D33,data!F:F,YEAR(Feuil1!$D$2))</f>
        <v>576</v>
      </c>
      <c r="H33" s="9">
        <f t="shared" si="0"/>
        <v>-444</v>
      </c>
      <c r="I33" s="12">
        <f t="shared" si="1"/>
        <v>-0.77083333333333337</v>
      </c>
      <c r="J33" s="13">
        <f>SUMIFS(data!E:E,data!A:A,TABLEAU!B33,data!C:C,TABLEAU!D33,data!F:F,YEAR(Feuil1!$D$1))</f>
        <v>78</v>
      </c>
      <c r="K33" s="13">
        <f>SUMIFS(data!E:E,data!A:A,TABLEAU!B33,data!C:C,TABLEAU!D33,data!F:F,YEAR(Feuil1!$D$2))</f>
        <v>288</v>
      </c>
      <c r="L33" s="13">
        <f t="shared" si="2"/>
        <v>-210</v>
      </c>
      <c r="M33" s="12">
        <f t="shared" si="3"/>
        <v>-0.72916666666666663</v>
      </c>
    </row>
    <row r="34" spans="1:13" x14ac:dyDescent="0.25">
      <c r="A34" s="17" t="str">
        <f>data!H56</f>
        <v>VINICOM</v>
      </c>
      <c r="B34" s="15" t="str">
        <f>data!A56</f>
        <v>002</v>
      </c>
      <c r="C34" s="1" t="str">
        <f>data!B56</f>
        <v>CAVE DE GALLICIAN</v>
      </c>
      <c r="D34" s="1" t="str">
        <f>data!C56</f>
        <v>002025</v>
      </c>
      <c r="E34" s="1" t="str">
        <f>data!D34</f>
        <v>VDT. C GALLICIAN</v>
      </c>
      <c r="F34" s="14">
        <f>SUMIFS(data!G:G,data!A:A,TABLEAU!B34,data!C:C,TABLEAU!D34,data!F:F,YEAR(Feuil1!$D$1))</f>
        <v>1465.11</v>
      </c>
      <c r="G34" s="9">
        <f>SUMIFS(data!G:G,data!A:A,TABLEAU!B34,data!C:C,TABLEAU!D34,data!F:F,YEAR(Feuil1!$D$2))</f>
        <v>2582.1</v>
      </c>
      <c r="H34" s="9">
        <f t="shared" si="0"/>
        <v>-1116.99</v>
      </c>
      <c r="I34" s="12">
        <f t="shared" si="1"/>
        <v>-0.43258975252701293</v>
      </c>
      <c r="J34" s="13">
        <f>SUMIFS(data!E:E,data!A:A,TABLEAU!B34,data!C:C,TABLEAU!D34,data!F:F,YEAR(Feuil1!$D$1))</f>
        <v>690</v>
      </c>
      <c r="K34" s="13">
        <f>SUMIFS(data!E:E,data!A:A,TABLEAU!B34,data!C:C,TABLEAU!D34,data!F:F,YEAR(Feuil1!$D$2))</f>
        <v>1224</v>
      </c>
      <c r="L34" s="13">
        <f t="shared" si="2"/>
        <v>-534</v>
      </c>
      <c r="M34" s="12">
        <f t="shared" si="3"/>
        <v>-0.43627450980392157</v>
      </c>
    </row>
    <row r="35" spans="1:13" x14ac:dyDescent="0.25">
      <c r="A35" s="17" t="str">
        <f>data!H58</f>
        <v>VINICOM</v>
      </c>
      <c r="B35" s="15" t="str">
        <f>data!A58</f>
        <v>002</v>
      </c>
      <c r="C35" s="1" t="str">
        <f>data!B58</f>
        <v>CAVE DE GALLICIAN</v>
      </c>
      <c r="D35" s="1" t="str">
        <f>data!C58</f>
        <v>002026</v>
      </c>
      <c r="E35" s="1" t="str">
        <f>data!D35</f>
        <v>AC C. DE NIMES. C GALLICIAN</v>
      </c>
      <c r="F35" s="14">
        <f>SUMIFS(data!G:G,data!A:A,TABLEAU!B35,data!C:C,TABLEAU!D35,data!F:F,YEAR(Feuil1!$D$1))</f>
        <v>2197.92</v>
      </c>
      <c r="G35" s="9">
        <f>SUMIFS(data!G:G,data!A:A,TABLEAU!B35,data!C:C,TABLEAU!D35,data!F:F,YEAR(Feuil1!$D$2))</f>
        <v>2493.84</v>
      </c>
      <c r="H35" s="9">
        <f t="shared" si="0"/>
        <v>-295.92000000000007</v>
      </c>
      <c r="I35" s="12">
        <f t="shared" si="1"/>
        <v>-0.11866037917428546</v>
      </c>
      <c r="J35" s="13">
        <f>SUMIFS(data!E:E,data!A:A,TABLEAU!B35,data!C:C,TABLEAU!D35,data!F:F,YEAR(Feuil1!$D$1))</f>
        <v>1068</v>
      </c>
      <c r="K35" s="13">
        <f>SUMIFS(data!E:E,data!A:A,TABLEAU!B35,data!C:C,TABLEAU!D35,data!F:F,YEAR(Feuil1!$D$2))</f>
        <v>1224</v>
      </c>
      <c r="L35" s="13">
        <f t="shared" si="2"/>
        <v>-156</v>
      </c>
      <c r="M35" s="12">
        <f t="shared" si="3"/>
        <v>-0.12745098039215685</v>
      </c>
    </row>
    <row r="36" spans="1:13" x14ac:dyDescent="0.25">
      <c r="A36" s="17" t="str">
        <f>data!H60</f>
        <v>VINICOM</v>
      </c>
      <c r="B36" s="15" t="str">
        <f>data!A60</f>
        <v>002</v>
      </c>
      <c r="C36" s="1" t="str">
        <f>data!B60</f>
        <v>CAVE DE GALLICIAN</v>
      </c>
      <c r="D36" s="1" t="str">
        <f>data!C60</f>
        <v>002027</v>
      </c>
      <c r="E36" s="1" t="str">
        <f>data!D36</f>
        <v>AC C. DE NIMES. C GALLICIAN</v>
      </c>
      <c r="F36" s="14">
        <f>SUMIFS(data!G:G,data!A:A,TABLEAU!B36,data!C:C,TABLEAU!D36,data!F:F,YEAR(Feuil1!$D$1))</f>
        <v>8994.2000000000007</v>
      </c>
      <c r="G36" s="9">
        <f>SUMIFS(data!G:G,data!A:A,TABLEAU!B36,data!C:C,TABLEAU!D36,data!F:F,YEAR(Feuil1!$D$2))</f>
        <v>6745.52</v>
      </c>
      <c r="H36" s="9">
        <f t="shared" si="0"/>
        <v>2248.6800000000003</v>
      </c>
      <c r="I36" s="12">
        <f t="shared" si="1"/>
        <v>0.3333590294002538</v>
      </c>
      <c r="J36" s="13">
        <f>SUMIFS(data!E:E,data!A:A,TABLEAU!B36,data!C:C,TABLEAU!D36,data!F:F,YEAR(Feuil1!$D$1))</f>
        <v>4788</v>
      </c>
      <c r="K36" s="13">
        <f>SUMIFS(data!E:E,data!A:A,TABLEAU!B36,data!C:C,TABLEAU!D36,data!F:F,YEAR(Feuil1!$D$2))</f>
        <v>3780</v>
      </c>
      <c r="L36" s="13">
        <f t="shared" si="2"/>
        <v>1008</v>
      </c>
      <c r="M36" s="12">
        <f t="shared" si="3"/>
        <v>0.26666666666666666</v>
      </c>
    </row>
    <row r="37" spans="1:13" x14ac:dyDescent="0.25">
      <c r="A37" s="17" t="str">
        <f>data!H62</f>
        <v>VINICOM</v>
      </c>
      <c r="B37" s="15" t="str">
        <f>data!A62</f>
        <v>002</v>
      </c>
      <c r="C37" s="1" t="str">
        <f>data!B62</f>
        <v>CAVE DE GALLICIAN</v>
      </c>
      <c r="D37" s="1" t="str">
        <f>data!C62</f>
        <v>002028</v>
      </c>
      <c r="E37" s="1" t="str">
        <f>data!D37</f>
        <v>AC C DE NIMES C. GALLICIAN</v>
      </c>
      <c r="F37" s="14">
        <f>SUMIFS(data!G:G,data!A:A,TABLEAU!B37,data!C:C,TABLEAU!D37,data!F:F,YEAR(Feuil1!$D$1))</f>
        <v>21.58</v>
      </c>
      <c r="G37" s="9">
        <f>SUMIFS(data!G:G,data!A:A,TABLEAU!B37,data!C:C,TABLEAU!D37,data!F:F,YEAR(Feuil1!$D$2))</f>
        <v>884.78</v>
      </c>
      <c r="H37" s="9">
        <f t="shared" si="0"/>
        <v>-863.19999999999993</v>
      </c>
      <c r="I37" s="12">
        <f t="shared" si="1"/>
        <v>-0.97560975609756095</v>
      </c>
      <c r="J37" s="13">
        <f>SUMIFS(data!E:E,data!A:A,TABLEAU!B37,data!C:C,TABLEAU!D37,data!F:F,YEAR(Feuil1!$D$1))</f>
        <v>26.67</v>
      </c>
      <c r="K37" s="13">
        <f>SUMIFS(data!E:E,data!A:A,TABLEAU!B37,data!C:C,TABLEAU!D37,data!F:F,YEAR(Feuil1!$D$2))</f>
        <v>1093.47</v>
      </c>
      <c r="L37" s="13">
        <f t="shared" si="2"/>
        <v>-1066.8</v>
      </c>
      <c r="M37" s="12">
        <f t="shared" si="3"/>
        <v>-0.97560975609756095</v>
      </c>
    </row>
    <row r="38" spans="1:13" x14ac:dyDescent="0.25">
      <c r="A38" s="17" t="str">
        <f>data!H64</f>
        <v>VINICOM</v>
      </c>
      <c r="B38" s="15" t="str">
        <f>data!A64</f>
        <v>002</v>
      </c>
      <c r="C38" s="1" t="str">
        <f>data!B64</f>
        <v>CAVE DE GALLICIAN</v>
      </c>
      <c r="D38" s="1" t="str">
        <f>data!C64</f>
        <v>002029</v>
      </c>
      <c r="E38" s="1" t="str">
        <f>data!D38</f>
        <v>AC C DE NIMES C. GALLICIAN</v>
      </c>
      <c r="F38" s="14">
        <f>SUMIFS(data!G:G,data!A:A,TABLEAU!B38,data!C:C,TABLEAU!D38,data!F:F,YEAR(Feuil1!$D$1))</f>
        <v>0</v>
      </c>
      <c r="G38" s="9">
        <f>SUMIFS(data!G:G,data!A:A,TABLEAU!B38,data!C:C,TABLEAU!D38,data!F:F,YEAR(Feuil1!$D$2))</f>
        <v>544.79999999999995</v>
      </c>
      <c r="H38" s="9">
        <f t="shared" si="0"/>
        <v>-544.79999999999995</v>
      </c>
      <c r="I38" s="12">
        <f t="shared" si="1"/>
        <v>-1</v>
      </c>
      <c r="J38" s="13">
        <f>SUMIFS(data!E:E,data!A:A,TABLEAU!B38,data!C:C,TABLEAU!D38,data!F:F,YEAR(Feuil1!$D$1))</f>
        <v>0</v>
      </c>
      <c r="K38" s="13">
        <f>SUMIFS(data!E:E,data!A:A,TABLEAU!B38,data!C:C,TABLEAU!D38,data!F:F,YEAR(Feuil1!$D$2))</f>
        <v>318</v>
      </c>
      <c r="L38" s="13">
        <f t="shared" si="2"/>
        <v>-318</v>
      </c>
      <c r="M38" s="12">
        <f t="shared" si="3"/>
        <v>-1</v>
      </c>
    </row>
    <row r="39" spans="1:13" x14ac:dyDescent="0.25">
      <c r="A39" s="17" t="str">
        <f>data!H65</f>
        <v>VINICOM</v>
      </c>
      <c r="B39" s="15" t="str">
        <f>data!A65</f>
        <v>002</v>
      </c>
      <c r="C39" s="1" t="str">
        <f>data!B65</f>
        <v>CAVE DE GALLICIAN</v>
      </c>
      <c r="D39" s="1" t="str">
        <f>data!C65</f>
        <v>002032</v>
      </c>
      <c r="E39" s="1" t="str">
        <f>data!D39</f>
        <v>VDT CAVE GALLICIAN</v>
      </c>
      <c r="F39" s="14">
        <f>SUMIFS(data!G:G,data!A:A,TABLEAU!B39,data!C:C,TABLEAU!D39,data!F:F,YEAR(Feuil1!$D$1))</f>
        <v>0</v>
      </c>
      <c r="G39" s="9">
        <f>SUMIFS(data!G:G,data!A:A,TABLEAU!B39,data!C:C,TABLEAU!D39,data!F:F,YEAR(Feuil1!$D$2))</f>
        <v>0</v>
      </c>
      <c r="H39" s="9">
        <f t="shared" si="0"/>
        <v>0</v>
      </c>
      <c r="I39" s="12" t="str">
        <f t="shared" si="1"/>
        <v/>
      </c>
      <c r="J39" s="13">
        <f>SUMIFS(data!E:E,data!A:A,TABLEAU!B39,data!C:C,TABLEAU!D39,data!F:F,YEAR(Feuil1!$D$1))</f>
        <v>0</v>
      </c>
      <c r="K39" s="13">
        <f>SUMIFS(data!E:E,data!A:A,TABLEAU!B39,data!C:C,TABLEAU!D39,data!F:F,YEAR(Feuil1!$D$2))</f>
        <v>120</v>
      </c>
      <c r="L39" s="13">
        <f t="shared" si="2"/>
        <v>-120</v>
      </c>
      <c r="M39" s="12">
        <f t="shared" si="3"/>
        <v>-1</v>
      </c>
    </row>
    <row r="40" spans="1:13" x14ac:dyDescent="0.25">
      <c r="A40" s="17" t="str">
        <f>data!H66</f>
        <v>VINICOM</v>
      </c>
      <c r="B40" s="15" t="str">
        <f>data!A66</f>
        <v>002</v>
      </c>
      <c r="C40" s="1" t="str">
        <f>data!B66</f>
        <v>CAVE DE GALLICIAN</v>
      </c>
      <c r="D40" s="1" t="str">
        <f>data!C66</f>
        <v>002033</v>
      </c>
      <c r="E40" s="1" t="str">
        <f>data!D40</f>
        <v>AC C DE NIMES C. GALLICIAN</v>
      </c>
      <c r="F40" s="14">
        <f>SUMIFS(data!G:G,data!A:A,TABLEAU!B40,data!C:C,TABLEAU!D40,data!F:F,YEAR(Feuil1!$D$1))</f>
        <v>137.49</v>
      </c>
      <c r="G40" s="9">
        <f>SUMIFS(data!G:G,data!A:A,TABLEAU!B40,data!C:C,TABLEAU!D40,data!F:F,YEAR(Feuil1!$D$2))</f>
        <v>398.72</v>
      </c>
      <c r="H40" s="9">
        <f t="shared" si="0"/>
        <v>-261.23</v>
      </c>
      <c r="I40" s="12">
        <f t="shared" si="1"/>
        <v>-0.6551715489566613</v>
      </c>
      <c r="J40" s="13">
        <f>SUMIFS(data!E:E,data!A:A,TABLEAU!B40,data!C:C,TABLEAU!D40,data!F:F,YEAR(Feuil1!$D$1))</f>
        <v>84</v>
      </c>
      <c r="K40" s="13">
        <f>SUMIFS(data!E:E,data!A:A,TABLEAU!B40,data!C:C,TABLEAU!D40,data!F:F,YEAR(Feuil1!$D$2))</f>
        <v>304</v>
      </c>
      <c r="L40" s="13">
        <f t="shared" si="2"/>
        <v>-220</v>
      </c>
      <c r="M40" s="12">
        <f t="shared" si="3"/>
        <v>-0.72368421052631582</v>
      </c>
    </row>
    <row r="41" spans="1:13" x14ac:dyDescent="0.25">
      <c r="A41" s="17" t="str">
        <f>data!H68</f>
        <v>VINICOM</v>
      </c>
      <c r="B41" s="15" t="str">
        <f>data!A68</f>
        <v>002</v>
      </c>
      <c r="C41" s="1" t="str">
        <f>data!B68</f>
        <v>CAVE DE GALLICIAN</v>
      </c>
      <c r="D41" s="1" t="str">
        <f>data!C68</f>
        <v>002034</v>
      </c>
      <c r="E41" s="1" t="str">
        <f>data!D41</f>
        <v>AC C DE NIMES C. GALLICIAN</v>
      </c>
      <c r="F41" s="14">
        <f>SUMIFS(data!G:G,data!A:A,TABLEAU!B41,data!C:C,TABLEAU!D41,data!F:F,YEAR(Feuil1!$D$1))</f>
        <v>288.55</v>
      </c>
      <c r="G41" s="9">
        <f>SUMIFS(data!G:G,data!A:A,TABLEAU!B41,data!C:C,TABLEAU!D41,data!F:F,YEAR(Feuil1!$D$2))</f>
        <v>822.36</v>
      </c>
      <c r="H41" s="9">
        <f t="shared" si="0"/>
        <v>-533.80999999999995</v>
      </c>
      <c r="I41" s="12">
        <f t="shared" si="1"/>
        <v>-0.64911960698477544</v>
      </c>
      <c r="J41" s="13">
        <f>SUMIFS(data!E:E,data!A:A,TABLEAU!B41,data!C:C,TABLEAU!D41,data!F:F,YEAR(Feuil1!$D$1))</f>
        <v>176</v>
      </c>
      <c r="K41" s="13">
        <f>SUMIFS(data!E:E,data!A:A,TABLEAU!B41,data!C:C,TABLEAU!D41,data!F:F,YEAR(Feuil1!$D$2))</f>
        <v>568</v>
      </c>
      <c r="L41" s="13">
        <f t="shared" si="2"/>
        <v>-392</v>
      </c>
      <c r="M41" s="12">
        <f t="shared" si="3"/>
        <v>-0.6901408450704225</v>
      </c>
    </row>
    <row r="42" spans="1:13" x14ac:dyDescent="0.25">
      <c r="A42" s="17" t="str">
        <f>data!H70</f>
        <v>VINICOM</v>
      </c>
      <c r="B42" s="15" t="str">
        <f>data!A70</f>
        <v>002</v>
      </c>
      <c r="C42" s="1" t="str">
        <f>data!B70</f>
        <v>CAVE DE GALLICIAN</v>
      </c>
      <c r="D42" s="1" t="str">
        <f>data!C70</f>
        <v>002035</v>
      </c>
      <c r="E42" s="1" t="str">
        <f>data!D42</f>
        <v>AC C DE NIMES C. GALLICIAN</v>
      </c>
      <c r="F42" s="14">
        <f>SUMIFS(data!G:G,data!A:A,TABLEAU!B42,data!C:C,TABLEAU!D42,data!F:F,YEAR(Feuil1!$D$1))</f>
        <v>215.21</v>
      </c>
      <c r="G42" s="9">
        <f>SUMIFS(data!G:G,data!A:A,TABLEAU!B42,data!C:C,TABLEAU!D42,data!F:F,YEAR(Feuil1!$D$2))</f>
        <v>230.51</v>
      </c>
      <c r="H42" s="9">
        <f t="shared" si="0"/>
        <v>-15.299999999999983</v>
      </c>
      <c r="I42" s="12">
        <f t="shared" si="1"/>
        <v>-6.6374560756583156E-2</v>
      </c>
      <c r="J42" s="13">
        <f>SUMIFS(data!E:E,data!A:A,TABLEAU!B42,data!C:C,TABLEAU!D42,data!F:F,YEAR(Feuil1!$D$1))</f>
        <v>132</v>
      </c>
      <c r="K42" s="13">
        <f>SUMIFS(data!E:E,data!A:A,TABLEAU!B42,data!C:C,TABLEAU!D42,data!F:F,YEAR(Feuil1!$D$2))</f>
        <v>152</v>
      </c>
      <c r="L42" s="13">
        <f t="shared" si="2"/>
        <v>-20</v>
      </c>
      <c r="M42" s="12">
        <f t="shared" si="3"/>
        <v>-0.13157894736842105</v>
      </c>
    </row>
    <row r="43" spans="1:13" x14ac:dyDescent="0.25">
      <c r="A43" s="17" t="str">
        <f>data!H72</f>
        <v>VINICOM</v>
      </c>
      <c r="B43" s="15" t="str">
        <f>data!A72</f>
        <v>002</v>
      </c>
      <c r="C43" s="1" t="str">
        <f>data!B72</f>
        <v>CAVE DE GALLICIAN</v>
      </c>
      <c r="D43" s="1" t="str">
        <f>data!C72</f>
        <v>002036</v>
      </c>
      <c r="E43" s="1" t="str">
        <f>data!D43</f>
        <v>AC C DE NIMES C. GALLICIAN</v>
      </c>
      <c r="F43" s="14">
        <f>SUMIFS(data!G:G,data!A:A,TABLEAU!B43,data!C:C,TABLEAU!D43,data!F:F,YEAR(Feuil1!$D$1))</f>
        <v>0</v>
      </c>
      <c r="G43" s="9">
        <f>SUMIFS(data!G:G,data!A:A,TABLEAU!B43,data!C:C,TABLEAU!D43,data!F:F,YEAR(Feuil1!$D$2))</f>
        <v>0</v>
      </c>
      <c r="H43" s="9">
        <f t="shared" si="0"/>
        <v>0</v>
      </c>
      <c r="I43" s="12" t="str">
        <f t="shared" si="1"/>
        <v/>
      </c>
      <c r="J43" s="13">
        <f>SUMIFS(data!E:E,data!A:A,TABLEAU!B43,data!C:C,TABLEAU!D43,data!F:F,YEAR(Feuil1!$D$1))</f>
        <v>0</v>
      </c>
      <c r="K43" s="13">
        <f>SUMIFS(data!E:E,data!A:A,TABLEAU!B43,data!C:C,TABLEAU!D43,data!F:F,YEAR(Feuil1!$D$2))</f>
        <v>159.96</v>
      </c>
      <c r="L43" s="13">
        <f t="shared" si="2"/>
        <v>-159.96</v>
      </c>
      <c r="M43" s="12">
        <f t="shared" si="3"/>
        <v>-1</v>
      </c>
    </row>
    <row r="44" spans="1:13" x14ac:dyDescent="0.25">
      <c r="A44" s="17" t="str">
        <f>data!H73</f>
        <v>VINICOM</v>
      </c>
      <c r="B44" s="15" t="str">
        <f>data!A73</f>
        <v>002</v>
      </c>
      <c r="C44" s="1" t="str">
        <f>data!B73</f>
        <v>CAVE DE GALLICIAN</v>
      </c>
      <c r="D44" s="1" t="str">
        <f>data!C73</f>
        <v>002037</v>
      </c>
      <c r="E44" s="1" t="str">
        <f>data!D44</f>
        <v>VDP GARD C. GALLICIAN</v>
      </c>
      <c r="F44" s="14">
        <f>SUMIFS(data!G:G,data!A:A,TABLEAU!B44,data!C:C,TABLEAU!D44,data!F:F,YEAR(Feuil1!$D$1))</f>
        <v>2451.6</v>
      </c>
      <c r="G44" s="9">
        <f>SUMIFS(data!G:G,data!A:A,TABLEAU!B44,data!C:C,TABLEAU!D44,data!F:F,YEAR(Feuil1!$D$2))</f>
        <v>3003.84</v>
      </c>
      <c r="H44" s="9">
        <f t="shared" si="0"/>
        <v>-552.24000000000024</v>
      </c>
      <c r="I44" s="12">
        <f t="shared" si="1"/>
        <v>-0.18384467881112185</v>
      </c>
      <c r="J44" s="13">
        <f>SUMIFS(data!E:E,data!A:A,TABLEAU!B44,data!C:C,TABLEAU!D44,data!F:F,YEAR(Feuil1!$D$1))</f>
        <v>828</v>
      </c>
      <c r="K44" s="13">
        <f>SUMIFS(data!E:E,data!A:A,TABLEAU!B44,data!C:C,TABLEAU!D44,data!F:F,YEAR(Feuil1!$D$2))</f>
        <v>1128</v>
      </c>
      <c r="L44" s="13">
        <f t="shared" si="2"/>
        <v>-300</v>
      </c>
      <c r="M44" s="12">
        <f t="shared" si="3"/>
        <v>-0.26595744680851063</v>
      </c>
    </row>
    <row r="45" spans="1:13" x14ac:dyDescent="0.25">
      <c r="A45" s="17" t="str">
        <f>data!H75</f>
        <v>VINICOM</v>
      </c>
      <c r="B45" s="15" t="str">
        <f>data!A75</f>
        <v>002</v>
      </c>
      <c r="C45" s="1" t="str">
        <f>data!B75</f>
        <v>CAVE DE GALLICIAN</v>
      </c>
      <c r="D45" s="1" t="str">
        <f>data!C75</f>
        <v>002038</v>
      </c>
      <c r="E45" s="1" t="str">
        <f>data!D45</f>
        <v>VDP GARD C. GALLICIAN</v>
      </c>
      <c r="F45" s="14">
        <f>SUMIFS(data!G:G,data!A:A,TABLEAU!B45,data!C:C,TABLEAU!D45,data!F:F,YEAR(Feuil1!$D$1))</f>
        <v>0</v>
      </c>
      <c r="G45" s="9">
        <f>SUMIFS(data!G:G,data!A:A,TABLEAU!B45,data!C:C,TABLEAU!D45,data!F:F,YEAR(Feuil1!$D$2))</f>
        <v>111.84</v>
      </c>
      <c r="H45" s="9">
        <f t="shared" si="0"/>
        <v>-111.84</v>
      </c>
      <c r="I45" s="12">
        <f t="shared" si="1"/>
        <v>-1</v>
      </c>
      <c r="J45" s="13">
        <f>SUMIFS(data!E:E,data!A:A,TABLEAU!B45,data!C:C,TABLEAU!D45,data!F:F,YEAR(Feuil1!$D$1))</f>
        <v>0</v>
      </c>
      <c r="K45" s="13">
        <f>SUMIFS(data!E:E,data!A:A,TABLEAU!B45,data!C:C,TABLEAU!D45,data!F:F,YEAR(Feuil1!$D$2))</f>
        <v>119.97000000000001</v>
      </c>
      <c r="L45" s="13">
        <f t="shared" si="2"/>
        <v>-119.97000000000001</v>
      </c>
      <c r="M45" s="12">
        <f t="shared" si="3"/>
        <v>-1</v>
      </c>
    </row>
    <row r="46" spans="1:13" x14ac:dyDescent="0.25">
      <c r="A46" s="17" t="str">
        <f>data!H76</f>
        <v>VINICOM</v>
      </c>
      <c r="B46" s="15" t="str">
        <f>data!A76</f>
        <v>002</v>
      </c>
      <c r="C46" s="1" t="str">
        <f>data!B76</f>
        <v>CAVE DE GALLICIAN</v>
      </c>
      <c r="D46" s="1" t="str">
        <f>data!C76</f>
        <v>002039</v>
      </c>
      <c r="E46" s="1" t="str">
        <f>data!D46</f>
        <v>VDP GARD C. GALLICIAN</v>
      </c>
      <c r="F46" s="14">
        <f>SUMIFS(data!G:G,data!A:A,TABLEAU!B46,data!C:C,TABLEAU!D46,data!F:F,YEAR(Feuil1!$D$1))</f>
        <v>0</v>
      </c>
      <c r="G46" s="9">
        <f>SUMIFS(data!G:G,data!A:A,TABLEAU!B46,data!C:C,TABLEAU!D46,data!F:F,YEAR(Feuil1!$D$2))</f>
        <v>81</v>
      </c>
      <c r="H46" s="9">
        <f t="shared" si="0"/>
        <v>-81</v>
      </c>
      <c r="I46" s="12">
        <f t="shared" si="1"/>
        <v>-1</v>
      </c>
      <c r="J46" s="13">
        <f>SUMIFS(data!E:E,data!A:A,TABLEAU!B46,data!C:C,TABLEAU!D46,data!F:F,YEAR(Feuil1!$D$1))</f>
        <v>0</v>
      </c>
      <c r="K46" s="13">
        <f>SUMIFS(data!E:E,data!A:A,TABLEAU!B46,data!C:C,TABLEAU!D46,data!F:F,YEAR(Feuil1!$D$2))</f>
        <v>80.040000000000006</v>
      </c>
      <c r="L46" s="13">
        <f t="shared" si="2"/>
        <v>-80.040000000000006</v>
      </c>
      <c r="M46" s="12">
        <f t="shared" si="3"/>
        <v>-1</v>
      </c>
    </row>
    <row r="47" spans="1:13" x14ac:dyDescent="0.25">
      <c r="A47" s="17" t="str">
        <f>data!H77</f>
        <v>VINICOM</v>
      </c>
      <c r="B47" s="15" t="str">
        <f>data!A77</f>
        <v>002</v>
      </c>
      <c r="C47" s="1" t="str">
        <f>data!B77</f>
        <v>CAVE DE GALLICIAN</v>
      </c>
      <c r="D47" s="1" t="str">
        <f>data!C77</f>
        <v>002040</v>
      </c>
      <c r="E47" s="1" t="str">
        <f>data!D47</f>
        <v>VDP GARD C. GALLICIAN</v>
      </c>
      <c r="F47" s="14">
        <f>SUMIFS(data!G:G,data!A:A,TABLEAU!B47,data!C:C,TABLEAU!D47,data!F:F,YEAR(Feuil1!$D$1))</f>
        <v>3295.95</v>
      </c>
      <c r="G47" s="9">
        <f>SUMIFS(data!G:G,data!A:A,TABLEAU!B47,data!C:C,TABLEAU!D47,data!F:F,YEAR(Feuil1!$D$2))</f>
        <v>2246.94</v>
      </c>
      <c r="H47" s="9">
        <f t="shared" si="0"/>
        <v>1049.0099999999998</v>
      </c>
      <c r="I47" s="12">
        <f t="shared" si="1"/>
        <v>0.4668615984405457</v>
      </c>
      <c r="J47" s="13">
        <f>SUMIFS(data!E:E,data!A:A,TABLEAU!B47,data!C:C,TABLEAU!D47,data!F:F,YEAR(Feuil1!$D$1))</f>
        <v>1518</v>
      </c>
      <c r="K47" s="13">
        <f>SUMIFS(data!E:E,data!A:A,TABLEAU!B47,data!C:C,TABLEAU!D47,data!F:F,YEAR(Feuil1!$D$2))</f>
        <v>1056</v>
      </c>
      <c r="L47" s="13">
        <f t="shared" si="2"/>
        <v>462</v>
      </c>
      <c r="M47" s="12">
        <f t="shared" si="3"/>
        <v>0.4375</v>
      </c>
    </row>
    <row r="48" spans="1:13" x14ac:dyDescent="0.25">
      <c r="A48" s="17" t="str">
        <f>data!H79</f>
        <v>VINICOM</v>
      </c>
      <c r="B48" s="15" t="str">
        <f>data!A79</f>
        <v>002</v>
      </c>
      <c r="C48" s="1" t="str">
        <f>data!B79</f>
        <v>CAVE DE GALLICIAN</v>
      </c>
      <c r="D48" s="1" t="str">
        <f>data!C79</f>
        <v>002100</v>
      </c>
      <c r="E48" s="1" t="str">
        <f>data!D48</f>
        <v>AC C DE NIMES C DES LAUNES</v>
      </c>
      <c r="F48" s="14">
        <f>SUMIFS(data!G:G,data!A:A,TABLEAU!B48,data!C:C,TABLEAU!D48,data!F:F,YEAR(Feuil1!$D$1))</f>
        <v>5675.82</v>
      </c>
      <c r="G48" s="9">
        <f>SUMIFS(data!G:G,data!A:A,TABLEAU!B48,data!C:C,TABLEAU!D48,data!F:F,YEAR(Feuil1!$D$2))</f>
        <v>7709.7</v>
      </c>
      <c r="H48" s="9">
        <f t="shared" si="0"/>
        <v>-2033.88</v>
      </c>
      <c r="I48" s="12">
        <f t="shared" si="1"/>
        <v>-0.26380793026966032</v>
      </c>
      <c r="J48" s="13">
        <f>SUMIFS(data!E:E,data!A:A,TABLEAU!B48,data!C:C,TABLEAU!D48,data!F:F,YEAR(Feuil1!$D$1))</f>
        <v>3222</v>
      </c>
      <c r="K48" s="13">
        <f>SUMIFS(data!E:E,data!A:A,TABLEAU!B48,data!C:C,TABLEAU!D48,data!F:F,YEAR(Feuil1!$D$2))</f>
        <v>4512</v>
      </c>
      <c r="L48" s="13">
        <f t="shared" si="2"/>
        <v>-1290</v>
      </c>
      <c r="M48" s="12">
        <f t="shared" si="3"/>
        <v>-0.28590425531914893</v>
      </c>
    </row>
    <row r="49" spans="1:13" x14ac:dyDescent="0.25">
      <c r="A49" s="17" t="str">
        <f>data!H81</f>
        <v>VINICOM</v>
      </c>
      <c r="B49" s="15" t="str">
        <f>data!A81</f>
        <v>002</v>
      </c>
      <c r="C49" s="1" t="str">
        <f>data!B81</f>
        <v>CAVE DE GALLICIAN</v>
      </c>
      <c r="D49" s="1" t="str">
        <f>data!C81</f>
        <v>002101</v>
      </c>
      <c r="E49" s="1" t="str">
        <f>data!D49</f>
        <v>AC C DE NIMES C DES LAUNES</v>
      </c>
      <c r="F49" s="14">
        <f>SUMIFS(data!G:G,data!A:A,TABLEAU!B49,data!C:C,TABLEAU!D49,data!F:F,YEAR(Feuil1!$D$1))</f>
        <v>3759.52</v>
      </c>
      <c r="G49" s="9">
        <f>SUMIFS(data!G:G,data!A:A,TABLEAU!B49,data!C:C,TABLEAU!D49,data!F:F,YEAR(Feuil1!$D$2))</f>
        <v>5890.08</v>
      </c>
      <c r="H49" s="9">
        <f t="shared" si="0"/>
        <v>-2130.56</v>
      </c>
      <c r="I49" s="12">
        <f t="shared" si="1"/>
        <v>-0.36172004454947981</v>
      </c>
      <c r="J49" s="13">
        <f>SUMIFS(data!E:E,data!A:A,TABLEAU!B49,data!C:C,TABLEAU!D49,data!F:F,YEAR(Feuil1!$D$1))</f>
        <v>2137</v>
      </c>
      <c r="K49" s="13">
        <f>SUMIFS(data!E:E,data!A:A,TABLEAU!B49,data!C:C,TABLEAU!D49,data!F:F,YEAR(Feuil1!$D$2))</f>
        <v>3450</v>
      </c>
      <c r="L49" s="13">
        <f t="shared" si="2"/>
        <v>-1313</v>
      </c>
      <c r="M49" s="12">
        <f t="shared" si="3"/>
        <v>-0.38057971014492753</v>
      </c>
    </row>
    <row r="50" spans="1:13" x14ac:dyDescent="0.25">
      <c r="A50" s="17" t="str">
        <f>data!H83</f>
        <v>VINICOM</v>
      </c>
      <c r="B50" s="15" t="str">
        <f>data!A83</f>
        <v>002</v>
      </c>
      <c r="C50" s="1" t="str">
        <f>data!B83</f>
        <v>CAVE DE GALLICIAN</v>
      </c>
      <c r="D50" s="1" t="str">
        <f>data!C83</f>
        <v>002102</v>
      </c>
      <c r="E50" s="1" t="str">
        <f>data!D50</f>
        <v>AC COSTIERES DE NIMES CUVEE PRESTIGE</v>
      </c>
      <c r="F50" s="14">
        <f>SUMIFS(data!G:G,data!A:A,TABLEAU!B50,data!C:C,TABLEAU!D50,data!F:F,YEAR(Feuil1!$D$1))</f>
        <v>163.80000000000001</v>
      </c>
      <c r="G50" s="9">
        <f>SUMIFS(data!G:G,data!A:A,TABLEAU!B50,data!C:C,TABLEAU!D50,data!F:F,YEAR(Feuil1!$D$2))</f>
        <v>1193.94</v>
      </c>
      <c r="H50" s="9">
        <f t="shared" si="0"/>
        <v>-1030.1400000000001</v>
      </c>
      <c r="I50" s="12">
        <f t="shared" si="1"/>
        <v>-0.86280717624001213</v>
      </c>
      <c r="J50" s="13">
        <f>SUMIFS(data!E:E,data!A:A,TABLEAU!B50,data!C:C,TABLEAU!D50,data!F:F,YEAR(Feuil1!$D$1))</f>
        <v>102</v>
      </c>
      <c r="K50" s="13">
        <f>SUMIFS(data!E:E,data!A:A,TABLEAU!B50,data!C:C,TABLEAU!D50,data!F:F,YEAR(Feuil1!$D$2))</f>
        <v>684</v>
      </c>
      <c r="L50" s="13">
        <f t="shared" si="2"/>
        <v>-582</v>
      </c>
      <c r="M50" s="12">
        <f t="shared" si="3"/>
        <v>-0.85087719298245612</v>
      </c>
    </row>
    <row r="51" spans="1:13" x14ac:dyDescent="0.25">
      <c r="A51" s="17" t="str">
        <f>data!H85</f>
        <v>VINICOM</v>
      </c>
      <c r="B51" s="15" t="str">
        <f>data!A85</f>
        <v>002</v>
      </c>
      <c r="C51" s="1" t="str">
        <f>data!B85</f>
        <v>CAVE DE GALLICIAN</v>
      </c>
      <c r="D51" s="1" t="str">
        <f>data!C85</f>
        <v>002200</v>
      </c>
      <c r="E51" s="1" t="str">
        <f>data!D51</f>
        <v>AC COSTIERES DE NIMES CUVEE PRESTIGE</v>
      </c>
      <c r="F51" s="14">
        <f>SUMIFS(data!G:G,data!A:A,TABLEAU!B51,data!C:C,TABLEAU!D51,data!F:F,YEAR(Feuil1!$D$1))</f>
        <v>763.78</v>
      </c>
      <c r="G51" s="9">
        <f>SUMIFS(data!G:G,data!A:A,TABLEAU!B51,data!C:C,TABLEAU!D51,data!F:F,YEAR(Feuil1!$D$2))</f>
        <v>1408.16</v>
      </c>
      <c r="H51" s="9">
        <f t="shared" si="0"/>
        <v>-644.38000000000011</v>
      </c>
      <c r="I51" s="12">
        <f t="shared" si="1"/>
        <v>-0.45760424951710038</v>
      </c>
      <c r="J51" s="13">
        <f>SUMIFS(data!E:E,data!A:A,TABLEAU!B51,data!C:C,TABLEAU!D51,data!F:F,YEAR(Feuil1!$D$1))</f>
        <v>436</v>
      </c>
      <c r="K51" s="13">
        <f>SUMIFS(data!E:E,data!A:A,TABLEAU!B51,data!C:C,TABLEAU!D51,data!F:F,YEAR(Feuil1!$D$2))</f>
        <v>836</v>
      </c>
      <c r="L51" s="13">
        <f t="shared" si="2"/>
        <v>-400</v>
      </c>
      <c r="M51" s="12">
        <f t="shared" si="3"/>
        <v>-0.4784688995215311</v>
      </c>
    </row>
    <row r="52" spans="1:13" x14ac:dyDescent="0.25">
      <c r="A52" s="17" t="str">
        <f>data!H87</f>
        <v>VINICOM</v>
      </c>
      <c r="B52" s="15" t="str">
        <f>data!A87</f>
        <v>002</v>
      </c>
      <c r="C52" s="1" t="str">
        <f>data!B87</f>
        <v>CAVE DE GALLICIAN</v>
      </c>
      <c r="D52" s="1" t="str">
        <f>data!C87</f>
        <v>002900</v>
      </c>
      <c r="E52" s="1" t="str">
        <f>data!D52</f>
        <v>AC COSTIERES DE NIMES LES COMBES DE MEZIERES</v>
      </c>
      <c r="F52" s="14">
        <f>SUMIFS(data!G:G,data!A:A,TABLEAU!B52,data!C:C,TABLEAU!D52,data!F:F,YEAR(Feuil1!$D$1))</f>
        <v>4095</v>
      </c>
      <c r="G52" s="9">
        <f>SUMIFS(data!G:G,data!A:A,TABLEAU!B52,data!C:C,TABLEAU!D52,data!F:F,YEAR(Feuil1!$D$2))</f>
        <v>5352.3</v>
      </c>
      <c r="H52" s="9">
        <f t="shared" si="0"/>
        <v>-1257.3000000000002</v>
      </c>
      <c r="I52" s="12">
        <f t="shared" si="1"/>
        <v>-0.23490835715486802</v>
      </c>
      <c r="J52" s="13">
        <f>SUMIFS(data!E:E,data!A:A,TABLEAU!B52,data!C:C,TABLEAU!D52,data!F:F,YEAR(Feuil1!$D$1))</f>
        <v>5600.7000000000007</v>
      </c>
      <c r="K52" s="13">
        <f>SUMIFS(data!E:E,data!A:A,TABLEAU!B52,data!C:C,TABLEAU!D52,data!F:F,YEAR(Feuil1!$D$2))</f>
        <v>7200.9</v>
      </c>
      <c r="L52" s="13">
        <f t="shared" si="2"/>
        <v>-1600.1999999999989</v>
      </c>
      <c r="M52" s="12">
        <f t="shared" si="3"/>
        <v>-0.22222222222222207</v>
      </c>
    </row>
    <row r="53" spans="1:13" x14ac:dyDescent="0.25">
      <c r="A53" s="17" t="str">
        <f>data!H89</f>
        <v>VINICOM</v>
      </c>
      <c r="B53" s="15" t="str">
        <f>data!A89</f>
        <v>002</v>
      </c>
      <c r="C53" s="1" t="str">
        <f>data!B89</f>
        <v>CAVE DE GALLICIAN</v>
      </c>
      <c r="D53" s="1" t="str">
        <f>data!C89</f>
        <v>002901</v>
      </c>
      <c r="E53" s="1" t="str">
        <f>data!D53</f>
        <v>AC COSTIERES DE NIMES LES COMBES DE MEZIERES</v>
      </c>
      <c r="F53" s="14">
        <f>SUMIFS(data!G:G,data!A:A,TABLEAU!B53,data!C:C,TABLEAU!D53,data!F:F,YEAR(Feuil1!$D$1))</f>
        <v>9165</v>
      </c>
      <c r="G53" s="9">
        <f>SUMIFS(data!G:G,data!A:A,TABLEAU!B53,data!C:C,TABLEAU!D53,data!F:F,YEAR(Feuil1!$D$2))</f>
        <v>11533.1</v>
      </c>
      <c r="H53" s="9">
        <f t="shared" si="0"/>
        <v>-2368.1000000000004</v>
      </c>
      <c r="I53" s="12">
        <f t="shared" si="1"/>
        <v>-0.20533074368556592</v>
      </c>
      <c r="J53" s="13">
        <f>SUMIFS(data!E:E,data!A:A,TABLEAU!B53,data!C:C,TABLEAU!D53,data!F:F,YEAR(Feuil1!$D$1))</f>
        <v>12534.900000000001</v>
      </c>
      <c r="K53" s="13">
        <f>SUMIFS(data!E:E,data!A:A,TABLEAU!B53,data!C:C,TABLEAU!D53,data!F:F,YEAR(Feuil1!$D$2))</f>
        <v>15468.6</v>
      </c>
      <c r="L53" s="13">
        <f t="shared" si="2"/>
        <v>-2933.6999999999989</v>
      </c>
      <c r="M53" s="12">
        <f t="shared" si="3"/>
        <v>-0.18965517241379304</v>
      </c>
    </row>
    <row r="54" spans="1:13" x14ac:dyDescent="0.25">
      <c r="A54" s="17" t="str">
        <f>data!H91</f>
        <v>VINICOM</v>
      </c>
      <c r="B54" s="15" t="str">
        <f>data!A91</f>
        <v>002</v>
      </c>
      <c r="C54" s="1" t="str">
        <f>data!B91</f>
        <v>CAVE DE GALLICIAN</v>
      </c>
      <c r="D54" s="1" t="str">
        <f>data!C91</f>
        <v>002902</v>
      </c>
      <c r="E54" s="1" t="str">
        <f>data!D54</f>
        <v>IGP MERLOT D'OC Cave Gallician</v>
      </c>
      <c r="F54" s="14">
        <f>SUMIFS(data!G:G,data!A:A,TABLEAU!B54,data!C:C,TABLEAU!D54,data!F:F,YEAR(Feuil1!$D$1))</f>
        <v>2260.66</v>
      </c>
      <c r="G54" s="9">
        <f>SUMIFS(data!G:G,data!A:A,TABLEAU!B54,data!C:C,TABLEAU!D54,data!F:F,YEAR(Feuil1!$D$2))</f>
        <v>2917.6</v>
      </c>
      <c r="H54" s="9">
        <f t="shared" si="0"/>
        <v>-656.94</v>
      </c>
      <c r="I54" s="12">
        <f t="shared" si="1"/>
        <v>-0.22516451878256102</v>
      </c>
      <c r="J54" s="13">
        <f>SUMIFS(data!E:E,data!A:A,TABLEAU!B54,data!C:C,TABLEAU!D54,data!F:F,YEAR(Feuil1!$D$1))</f>
        <v>2907.03</v>
      </c>
      <c r="K54" s="13">
        <f>SUMIFS(data!E:E,data!A:A,TABLEAU!B54,data!C:C,TABLEAU!D54,data!F:F,YEAR(Feuil1!$D$2))</f>
        <v>4267.2000000000007</v>
      </c>
      <c r="L54" s="13">
        <f t="shared" si="2"/>
        <v>-1360.1700000000005</v>
      </c>
      <c r="M54" s="12">
        <f t="shared" si="3"/>
        <v>-0.31875000000000009</v>
      </c>
    </row>
    <row r="55" spans="1:13" x14ac:dyDescent="0.25">
      <c r="A55" s="17" t="str">
        <f>data!H93</f>
        <v>VINICOM</v>
      </c>
      <c r="B55" s="15" t="str">
        <f>data!A93</f>
        <v>002</v>
      </c>
      <c r="C55" s="1" t="str">
        <f>data!B93</f>
        <v>CAVE DE GALLICIAN</v>
      </c>
      <c r="D55" s="1" t="str">
        <f>data!C93</f>
        <v>002903</v>
      </c>
      <c r="E55" s="1" t="str">
        <f>data!D55</f>
        <v>IGP MERLOT D'OC Cave Gallician</v>
      </c>
      <c r="F55" s="14">
        <f>SUMIFS(data!G:G,data!A:A,TABLEAU!B55,data!C:C,TABLEAU!D55,data!F:F,YEAR(Feuil1!$D$1))</f>
        <v>14320.6</v>
      </c>
      <c r="G55" s="9">
        <f>SUMIFS(data!G:G,data!A:A,TABLEAU!B55,data!C:C,TABLEAU!D55,data!F:F,YEAR(Feuil1!$D$2))</f>
        <v>1007.6</v>
      </c>
      <c r="H55" s="9">
        <f t="shared" si="0"/>
        <v>13313</v>
      </c>
      <c r="I55" s="12">
        <f t="shared" si="1"/>
        <v>13.212584358872569</v>
      </c>
      <c r="J55" s="13">
        <f>SUMIFS(data!E:E,data!A:A,TABLEAU!B55,data!C:C,TABLEAU!D55,data!F:F,YEAR(Feuil1!$D$1))</f>
        <v>16722.09</v>
      </c>
      <c r="K55" s="13">
        <f>SUMIFS(data!E:E,data!A:A,TABLEAU!B55,data!C:C,TABLEAU!D55,data!F:F,YEAR(Feuil1!$D$2))</f>
        <v>1466.8500000000001</v>
      </c>
      <c r="L55" s="13">
        <f t="shared" si="2"/>
        <v>15255.24</v>
      </c>
      <c r="M55" s="12">
        <f t="shared" si="3"/>
        <v>10.399999999999999</v>
      </c>
    </row>
    <row r="56" spans="1:13" x14ac:dyDescent="0.25">
      <c r="A56" s="17" t="str">
        <f>data!H95</f>
        <v>VINICOM</v>
      </c>
      <c r="B56" s="15" t="str">
        <f>data!A95</f>
        <v>002</v>
      </c>
      <c r="C56" s="1" t="str">
        <f>data!B95</f>
        <v>CAVE DE GALLICIAN</v>
      </c>
      <c r="D56" s="1" t="str">
        <f>data!C95</f>
        <v>002905</v>
      </c>
      <c r="E56" s="1" t="str">
        <f>data!D56</f>
        <v>AC COSTIERES DE NIMES CUVEE PRESTIGE</v>
      </c>
      <c r="F56" s="14">
        <f>SUMIFS(data!G:G,data!A:A,TABLEAU!B56,data!C:C,TABLEAU!D56,data!F:F,YEAR(Feuil1!$D$1))</f>
        <v>4719.6000000000004</v>
      </c>
      <c r="G56" s="9">
        <f>SUMIFS(data!G:G,data!A:A,TABLEAU!B56,data!C:C,TABLEAU!D56,data!F:F,YEAR(Feuil1!$D$2))</f>
        <v>4298.3999999999996</v>
      </c>
      <c r="H56" s="9">
        <f t="shared" si="0"/>
        <v>421.20000000000073</v>
      </c>
      <c r="I56" s="12">
        <f t="shared" si="1"/>
        <v>9.7989949748743893E-2</v>
      </c>
      <c r="J56" s="13">
        <f>SUMIFS(data!E:E,data!A:A,TABLEAU!B56,data!C:C,TABLEAU!D56,data!F:F,YEAR(Feuil1!$D$1))</f>
        <v>5825.2100000000009</v>
      </c>
      <c r="K56" s="13">
        <f>SUMIFS(data!E:E,data!A:A,TABLEAU!B56,data!C:C,TABLEAU!D56,data!F:F,YEAR(Feuil1!$D$2))</f>
        <v>6265.1</v>
      </c>
      <c r="L56" s="13">
        <f t="shared" si="2"/>
        <v>-439.88999999999942</v>
      </c>
      <c r="M56" s="12">
        <f t="shared" si="3"/>
        <v>-7.0212765957446716E-2</v>
      </c>
    </row>
    <row r="57" spans="1:13" x14ac:dyDescent="0.25">
      <c r="A57" s="17" t="str">
        <f>data!H97</f>
        <v>VINICOM</v>
      </c>
      <c r="B57" s="15" t="str">
        <f>data!A97</f>
        <v>002</v>
      </c>
      <c r="C57" s="1" t="str">
        <f>data!B97</f>
        <v>CAVE DE GALLICIAN</v>
      </c>
      <c r="D57" s="1" t="str">
        <f>data!C97</f>
        <v>CDV002015</v>
      </c>
      <c r="E57" s="1" t="str">
        <f>data!D57</f>
        <v>AC COSTIERES DE NIMES CUVEE PRESTIGE</v>
      </c>
      <c r="F57" s="14">
        <f>SUMIFS(data!G:G,data!A:A,TABLEAU!B57,data!C:C,TABLEAU!D57,data!F:F,YEAR(Feuil1!$D$1))</f>
        <v>0</v>
      </c>
      <c r="G57" s="9">
        <f>SUMIFS(data!G:G,data!A:A,TABLEAU!B57,data!C:C,TABLEAU!D57,data!F:F,YEAR(Feuil1!$D$2))</f>
        <v>161.80000000000001</v>
      </c>
      <c r="H57" s="9">
        <f t="shared" si="0"/>
        <v>-161.80000000000001</v>
      </c>
      <c r="I57" s="12">
        <f t="shared" si="1"/>
        <v>-1</v>
      </c>
      <c r="J57" s="13">
        <f>SUMIFS(data!E:E,data!A:A,TABLEAU!B57,data!C:C,TABLEAU!D57,data!F:F,YEAR(Feuil1!$D$1))</f>
        <v>0</v>
      </c>
      <c r="K57" s="13">
        <f>SUMIFS(data!E:E,data!A:A,TABLEAU!B57,data!C:C,TABLEAU!D57,data!F:F,YEAR(Feuil1!$D$2))</f>
        <v>-79.980000000000018</v>
      </c>
      <c r="L57" s="13">
        <f t="shared" si="2"/>
        <v>79.980000000000018</v>
      </c>
      <c r="M57" s="12">
        <f t="shared" si="3"/>
        <v>-1</v>
      </c>
    </row>
    <row r="58" spans="1:13" x14ac:dyDescent="0.25">
      <c r="A58" s="17" t="str">
        <f>data!H98</f>
        <v>VINICOM</v>
      </c>
      <c r="B58" s="15" t="str">
        <f>data!A98</f>
        <v>002</v>
      </c>
      <c r="C58" s="1" t="str">
        <f>data!B98</f>
        <v>CAVE DE GALLICIAN</v>
      </c>
      <c r="D58" s="1" t="str">
        <f>data!C98</f>
        <v>CDV002017</v>
      </c>
      <c r="E58" s="1" t="str">
        <f>data!D58</f>
        <v>IGP GARD GRES D'OR</v>
      </c>
      <c r="F58" s="14">
        <f>SUMIFS(data!G:G,data!A:A,TABLEAU!B58,data!C:C,TABLEAU!D58,data!F:F,YEAR(Feuil1!$D$1))</f>
        <v>0</v>
      </c>
      <c r="G58" s="9">
        <f>SUMIFS(data!G:G,data!A:A,TABLEAU!B58,data!C:C,TABLEAU!D58,data!F:F,YEAR(Feuil1!$D$2))</f>
        <v>210.68</v>
      </c>
      <c r="H58" s="9">
        <f t="shared" si="0"/>
        <v>-210.68</v>
      </c>
      <c r="I58" s="12">
        <f t="shared" si="1"/>
        <v>-1</v>
      </c>
      <c r="J58" s="13">
        <f>SUMIFS(data!E:E,data!A:A,TABLEAU!B58,data!C:C,TABLEAU!D58,data!F:F,YEAR(Feuil1!$D$1))</f>
        <v>0</v>
      </c>
      <c r="K58" s="13">
        <f>SUMIFS(data!E:E,data!A:A,TABLEAU!B58,data!C:C,TABLEAU!D58,data!F:F,YEAR(Feuil1!$D$2))</f>
        <v>239.94</v>
      </c>
      <c r="L58" s="13">
        <f t="shared" si="2"/>
        <v>-239.94</v>
      </c>
      <c r="M58" s="12">
        <f t="shared" si="3"/>
        <v>-1</v>
      </c>
    </row>
    <row r="59" spans="1:13" x14ac:dyDescent="0.25">
      <c r="A59" s="17" t="str">
        <f>data!H99</f>
        <v>VINICOM</v>
      </c>
      <c r="B59" s="15" t="str">
        <f>data!A99</f>
        <v>002</v>
      </c>
      <c r="C59" s="1" t="str">
        <f>data!B99</f>
        <v>CAVE DE GALLICIAN</v>
      </c>
      <c r="D59" s="1" t="str">
        <f>data!C99</f>
        <v>CDV002036</v>
      </c>
      <c r="E59" s="1" t="str">
        <f>data!D59</f>
        <v>IGP GARD GRES D'OR</v>
      </c>
      <c r="F59" s="14">
        <f>SUMIFS(data!G:G,data!A:A,TABLEAU!B59,data!C:C,TABLEAU!D59,data!F:F,YEAR(Feuil1!$D$1))</f>
        <v>0</v>
      </c>
      <c r="G59" s="9">
        <f>SUMIFS(data!G:G,data!A:A,TABLEAU!B59,data!C:C,TABLEAU!D59,data!F:F,YEAR(Feuil1!$D$2))</f>
        <v>0</v>
      </c>
      <c r="H59" s="9">
        <f t="shared" si="0"/>
        <v>0</v>
      </c>
      <c r="I59" s="12" t="str">
        <f t="shared" si="1"/>
        <v/>
      </c>
      <c r="J59" s="13">
        <f>SUMIFS(data!E:E,data!A:A,TABLEAU!B59,data!C:C,TABLEAU!D59,data!F:F,YEAR(Feuil1!$D$1))</f>
        <v>0</v>
      </c>
      <c r="K59" s="13">
        <f>SUMIFS(data!E:E,data!A:A,TABLEAU!B59,data!C:C,TABLEAU!D59,data!F:F,YEAR(Feuil1!$D$2))</f>
        <v>159.96</v>
      </c>
      <c r="L59" s="13">
        <f t="shared" si="2"/>
        <v>-159.96</v>
      </c>
      <c r="M59" s="12">
        <f t="shared" si="3"/>
        <v>-1</v>
      </c>
    </row>
    <row r="60" spans="1:13" x14ac:dyDescent="0.25">
      <c r="A60" s="17" t="str">
        <f>data!H100</f>
        <v>VINICOM</v>
      </c>
      <c r="B60" s="15" t="str">
        <f>data!A100</f>
        <v>002</v>
      </c>
      <c r="C60" s="1" t="str">
        <f>data!B100</f>
        <v>CAVE DE GALLICIAN</v>
      </c>
      <c r="D60" s="1" t="str">
        <f>data!C100</f>
        <v>CDV002903</v>
      </c>
      <c r="E60" s="1" t="str">
        <f>data!D60</f>
        <v>IGP D'OC  GRIS DES LAUNES  GALLICIAN</v>
      </c>
      <c r="F60" s="14">
        <f>SUMIFS(data!G:G,data!A:A,TABLEAU!B60,data!C:C,TABLEAU!D60,data!F:F,YEAR(Feuil1!$D$1))</f>
        <v>0</v>
      </c>
      <c r="G60" s="9">
        <f>SUMIFS(data!G:G,data!A:A,TABLEAU!B60,data!C:C,TABLEAU!D60,data!F:F,YEAR(Feuil1!$D$2))</f>
        <v>206.1</v>
      </c>
      <c r="H60" s="9">
        <f t="shared" si="0"/>
        <v>-206.1</v>
      </c>
      <c r="I60" s="12">
        <f t="shared" si="1"/>
        <v>-1</v>
      </c>
      <c r="J60" s="13">
        <f>SUMIFS(data!E:E,data!A:A,TABLEAU!B60,data!C:C,TABLEAU!D60,data!F:F,YEAR(Feuil1!$D$1))</f>
        <v>0</v>
      </c>
      <c r="K60" s="13">
        <f>SUMIFS(data!E:E,data!A:A,TABLEAU!B60,data!C:C,TABLEAU!D60,data!F:F,YEAR(Feuil1!$D$2))</f>
        <v>240.03000000000003</v>
      </c>
      <c r="L60" s="13">
        <f t="shared" si="2"/>
        <v>-240.03000000000003</v>
      </c>
      <c r="M60" s="12">
        <f t="shared" si="3"/>
        <v>-1</v>
      </c>
    </row>
    <row r="61" spans="1:13" x14ac:dyDescent="0.25">
      <c r="A61" s="17" t="str">
        <f>data!H101</f>
        <v>VINICOM</v>
      </c>
      <c r="B61" s="15" t="str">
        <f>data!A101</f>
        <v>003517</v>
      </c>
      <c r="C61" s="1" t="str">
        <f>data!B101</f>
        <v>HOBIVIN</v>
      </c>
      <c r="D61" s="1" t="str">
        <f>data!C101</f>
        <v>012001H</v>
      </c>
      <c r="E61" s="1" t="str">
        <f>data!D61</f>
        <v>IGP D'OC  GRIS DES LAUNES  GALLICIAN</v>
      </c>
      <c r="F61" s="14">
        <f>SUMIFS(data!G:G,data!A:A,TABLEAU!B61,data!C:C,TABLEAU!D61,data!F:F,YEAR(Feuil1!$D$1))</f>
        <v>0</v>
      </c>
      <c r="G61" s="9">
        <f>SUMIFS(data!G:G,data!A:A,TABLEAU!B61,data!C:C,TABLEAU!D61,data!F:F,YEAR(Feuil1!$D$2))</f>
        <v>3810.24</v>
      </c>
      <c r="H61" s="9">
        <f t="shared" si="0"/>
        <v>-3810.24</v>
      </c>
      <c r="I61" s="12">
        <f t="shared" si="1"/>
        <v>-1</v>
      </c>
      <c r="J61" s="13">
        <f>SUMIFS(data!E:E,data!A:A,TABLEAU!B61,data!C:C,TABLEAU!D61,data!F:F,YEAR(Feuil1!$D$1))</f>
        <v>0</v>
      </c>
      <c r="K61" s="13">
        <f>SUMIFS(data!E:E,data!A:A,TABLEAU!B61,data!C:C,TABLEAU!D61,data!F:F,YEAR(Feuil1!$D$2))</f>
        <v>1764</v>
      </c>
      <c r="L61" s="13">
        <f t="shared" si="2"/>
        <v>-1764</v>
      </c>
      <c r="M61" s="12">
        <f t="shared" si="3"/>
        <v>-1</v>
      </c>
    </row>
    <row r="62" spans="1:13" x14ac:dyDescent="0.25">
      <c r="A62" s="17" t="str">
        <f>data!H102</f>
        <v>VINICOM</v>
      </c>
      <c r="B62" s="15" t="str">
        <f>data!A102</f>
        <v>003517</v>
      </c>
      <c r="C62" s="1" t="str">
        <f>data!B102</f>
        <v>HOBIVIN</v>
      </c>
      <c r="D62" s="1" t="str">
        <f>data!C102</f>
        <v>012002H</v>
      </c>
      <c r="E62" s="1" t="str">
        <f>data!D62</f>
        <v>VDT GALLICIAN</v>
      </c>
      <c r="F62" s="14">
        <f>SUMIFS(data!G:G,data!A:A,TABLEAU!B62,data!C:C,TABLEAU!D62,data!F:F,YEAR(Feuil1!$D$1))</f>
        <v>1913.08</v>
      </c>
      <c r="G62" s="9">
        <f>SUMIFS(data!G:G,data!A:A,TABLEAU!B62,data!C:C,TABLEAU!D62,data!F:F,YEAR(Feuil1!$D$2))</f>
        <v>648.96</v>
      </c>
      <c r="H62" s="9">
        <f t="shared" si="0"/>
        <v>1264.1199999999999</v>
      </c>
      <c r="I62" s="12">
        <f t="shared" si="1"/>
        <v>1.9479166666666663</v>
      </c>
      <c r="J62" s="13">
        <f>SUMIFS(data!E:E,data!A:A,TABLEAU!B62,data!C:C,TABLEAU!D62,data!F:F,YEAR(Feuil1!$D$1))</f>
        <v>606</v>
      </c>
      <c r="K62" s="13">
        <f>SUMIFS(data!E:E,data!A:A,TABLEAU!B62,data!C:C,TABLEAU!D62,data!F:F,YEAR(Feuil1!$D$2))</f>
        <v>210</v>
      </c>
      <c r="L62" s="13">
        <f t="shared" si="2"/>
        <v>396</v>
      </c>
      <c r="M62" s="12">
        <f t="shared" si="3"/>
        <v>1.8857142857142857</v>
      </c>
    </row>
    <row r="63" spans="1:13" x14ac:dyDescent="0.25">
      <c r="A63" s="17" t="str">
        <f>data!H104</f>
        <v>VINICOM</v>
      </c>
      <c r="B63" s="15" t="str">
        <f>data!A104</f>
        <v>003517</v>
      </c>
      <c r="C63" s="1" t="str">
        <f>data!B104</f>
        <v>HOBIVIN</v>
      </c>
      <c r="D63" s="1" t="str">
        <f>data!C104</f>
        <v>012003H</v>
      </c>
      <c r="E63" s="1" t="str">
        <f>data!D63</f>
        <v>VDT GALLICIAN</v>
      </c>
      <c r="F63" s="14">
        <f>SUMIFS(data!G:G,data!A:A,TABLEAU!B63,data!C:C,TABLEAU!D63,data!F:F,YEAR(Feuil1!$D$1))</f>
        <v>959.92</v>
      </c>
      <c r="G63" s="9">
        <f>SUMIFS(data!G:G,data!A:A,TABLEAU!B63,data!C:C,TABLEAU!D63,data!F:F,YEAR(Feuil1!$D$2))</f>
        <v>547.55999999999995</v>
      </c>
      <c r="H63" s="9">
        <f t="shared" si="0"/>
        <v>412.36</v>
      </c>
      <c r="I63" s="12">
        <f t="shared" si="1"/>
        <v>0.75308641975308654</v>
      </c>
      <c r="J63" s="13">
        <f>SUMIFS(data!E:E,data!A:A,TABLEAU!B63,data!C:C,TABLEAU!D63,data!F:F,YEAR(Feuil1!$D$1))</f>
        <v>318</v>
      </c>
      <c r="K63" s="13">
        <f>SUMIFS(data!E:E,data!A:A,TABLEAU!B63,data!C:C,TABLEAU!D63,data!F:F,YEAR(Feuil1!$D$2))</f>
        <v>180</v>
      </c>
      <c r="L63" s="13">
        <f t="shared" si="2"/>
        <v>138</v>
      </c>
      <c r="M63" s="12">
        <f t="shared" si="3"/>
        <v>0.76666666666666672</v>
      </c>
    </row>
    <row r="64" spans="1:13" x14ac:dyDescent="0.25">
      <c r="A64" s="17" t="str">
        <f>data!H106</f>
        <v>VINICOM</v>
      </c>
      <c r="B64" s="15" t="str">
        <f>data!A106</f>
        <v>003517</v>
      </c>
      <c r="C64" s="1" t="str">
        <f>data!B106</f>
        <v>HOBIVIN</v>
      </c>
      <c r="D64" s="1" t="str">
        <f>data!C106</f>
        <v>012004H</v>
      </c>
      <c r="E64" s="1" t="str">
        <f>data!D64</f>
        <v>IGP D'OC MERLOT</v>
      </c>
      <c r="F64" s="14">
        <f>SUMIFS(data!G:G,data!A:A,TABLEAU!B64,data!C:C,TABLEAU!D64,data!F:F,YEAR(Feuil1!$D$1))</f>
        <v>93.12</v>
      </c>
      <c r="G64" s="9">
        <f>SUMIFS(data!G:G,data!A:A,TABLEAU!B64,data!C:C,TABLEAU!D64,data!F:F,YEAR(Feuil1!$D$2))</f>
        <v>0</v>
      </c>
      <c r="H64" s="9">
        <f t="shared" si="0"/>
        <v>93.12</v>
      </c>
      <c r="I64" s="12" t="str">
        <f t="shared" si="1"/>
        <v/>
      </c>
      <c r="J64" s="13">
        <f>SUMIFS(data!E:E,data!A:A,TABLEAU!B64,data!C:C,TABLEAU!D64,data!F:F,YEAR(Feuil1!$D$1))</f>
        <v>36</v>
      </c>
      <c r="K64" s="13">
        <f>SUMIFS(data!E:E,data!A:A,TABLEAU!B64,data!C:C,TABLEAU!D64,data!F:F,YEAR(Feuil1!$D$2))</f>
        <v>0</v>
      </c>
      <c r="L64" s="13">
        <f t="shared" si="2"/>
        <v>36</v>
      </c>
      <c r="M64" s="12" t="str">
        <f t="shared" si="3"/>
        <v/>
      </c>
    </row>
    <row r="65" spans="1:13" x14ac:dyDescent="0.25">
      <c r="A65" s="17" t="str">
        <f>data!H107</f>
        <v>VINICOM</v>
      </c>
      <c r="B65" s="15" t="str">
        <f>data!A107</f>
        <v>003517</v>
      </c>
      <c r="C65" s="1" t="str">
        <f>data!B107</f>
        <v>HOBIVIN</v>
      </c>
      <c r="D65" s="1" t="str">
        <f>data!C107</f>
        <v>012008H</v>
      </c>
      <c r="E65" s="1" t="str">
        <f>data!D65</f>
        <v>IGP D'OC CABERNET SAUVIGNON</v>
      </c>
      <c r="F65" s="14">
        <f>SUMIFS(data!G:G,data!A:A,TABLEAU!B65,data!C:C,TABLEAU!D65,data!F:F,YEAR(Feuil1!$D$1))</f>
        <v>980.4</v>
      </c>
      <c r="G65" s="9">
        <f>SUMIFS(data!G:G,data!A:A,TABLEAU!B65,data!C:C,TABLEAU!D65,data!F:F,YEAR(Feuil1!$D$2))</f>
        <v>1067.04</v>
      </c>
      <c r="H65" s="9">
        <f t="shared" si="0"/>
        <v>-86.639999999999986</v>
      </c>
      <c r="I65" s="12">
        <f t="shared" si="1"/>
        <v>-8.1196581196581186E-2</v>
      </c>
      <c r="J65" s="13">
        <f>SUMIFS(data!E:E,data!A:A,TABLEAU!B65,data!C:C,TABLEAU!D65,data!F:F,YEAR(Feuil1!$D$1))</f>
        <v>222</v>
      </c>
      <c r="K65" s="13">
        <f>SUMIFS(data!E:E,data!A:A,TABLEAU!B65,data!C:C,TABLEAU!D65,data!F:F,YEAR(Feuil1!$D$2))</f>
        <v>276</v>
      </c>
      <c r="L65" s="13">
        <f t="shared" si="2"/>
        <v>-54</v>
      </c>
      <c r="M65" s="12">
        <f t="shared" si="3"/>
        <v>-0.19565217391304349</v>
      </c>
    </row>
    <row r="66" spans="1:13" x14ac:dyDescent="0.25">
      <c r="A66" s="17" t="str">
        <f>data!H109</f>
        <v>VINICOM</v>
      </c>
      <c r="B66" s="15" t="str">
        <f>data!A109</f>
        <v>003517</v>
      </c>
      <c r="C66" s="1" t="str">
        <f>data!B109</f>
        <v>HOBIVIN</v>
      </c>
      <c r="D66" s="1" t="str">
        <f>data!C109</f>
        <v>012010H</v>
      </c>
      <c r="E66" s="1" t="str">
        <f>data!D66</f>
        <v>AOP COSTIERES DE NIMES</v>
      </c>
      <c r="F66" s="14">
        <f>SUMIFS(data!G:G,data!A:A,TABLEAU!B66,data!C:C,TABLEAU!D66,data!F:F,YEAR(Feuil1!$D$1))</f>
        <v>156.9</v>
      </c>
      <c r="G66" s="9">
        <f>SUMIFS(data!G:G,data!A:A,TABLEAU!B66,data!C:C,TABLEAU!D66,data!F:F,YEAR(Feuil1!$D$2))</f>
        <v>244.02</v>
      </c>
      <c r="H66" s="9">
        <f t="shared" si="0"/>
        <v>-87.12</v>
      </c>
      <c r="I66" s="12">
        <f t="shared" si="1"/>
        <v>-0.35701991640029507</v>
      </c>
      <c r="J66" s="13">
        <f>SUMIFS(data!E:E,data!A:A,TABLEAU!B66,data!C:C,TABLEAU!D66,data!F:F,YEAR(Feuil1!$D$1))</f>
        <v>36</v>
      </c>
      <c r="K66" s="13">
        <f>SUMIFS(data!E:E,data!A:A,TABLEAU!B66,data!C:C,TABLEAU!D66,data!F:F,YEAR(Feuil1!$D$2))</f>
        <v>102</v>
      </c>
      <c r="L66" s="13">
        <f t="shared" si="2"/>
        <v>-66</v>
      </c>
      <c r="M66" s="12">
        <f t="shared" si="3"/>
        <v>-0.6470588235294118</v>
      </c>
    </row>
    <row r="67" spans="1:13" x14ac:dyDescent="0.25">
      <c r="A67" s="17" t="str">
        <f>data!H111</f>
        <v>VINICOM</v>
      </c>
      <c r="B67" s="15" t="str">
        <f>data!A111</f>
        <v>003517</v>
      </c>
      <c r="C67" s="1" t="str">
        <f>data!B111</f>
        <v>HOBIVIN</v>
      </c>
      <c r="D67" s="1" t="str">
        <f>data!C111</f>
        <v>017001H</v>
      </c>
      <c r="E67" s="1" t="str">
        <f>data!D67</f>
        <v>AOP COSTIERES DE NIMES</v>
      </c>
      <c r="F67" s="14">
        <f>SUMIFS(data!G:G,data!A:A,TABLEAU!B67,data!C:C,TABLEAU!D67,data!F:F,YEAR(Feuil1!$D$1))</f>
        <v>0</v>
      </c>
      <c r="G67" s="9">
        <f>SUMIFS(data!G:G,data!A:A,TABLEAU!B67,data!C:C,TABLEAU!D67,data!F:F,YEAR(Feuil1!$D$2))</f>
        <v>225.96</v>
      </c>
      <c r="H67" s="9">
        <f t="shared" ref="H67:H130" si="4">F67-G67</f>
        <v>-225.96</v>
      </c>
      <c r="I67" s="12">
        <f t="shared" ref="I67:I130" si="5">IF(ISERR(H67/G67),"",H67/G67)</f>
        <v>-1</v>
      </c>
      <c r="J67" s="13">
        <f>SUMIFS(data!E:E,data!A:A,TABLEAU!B67,data!C:C,TABLEAU!D67,data!F:F,YEAR(Feuil1!$D$1))</f>
        <v>6</v>
      </c>
      <c r="K67" s="13">
        <f>SUMIFS(data!E:E,data!A:A,TABLEAU!B67,data!C:C,TABLEAU!D67,data!F:F,YEAR(Feuil1!$D$2))</f>
        <v>54</v>
      </c>
      <c r="L67" s="13">
        <f t="shared" ref="L67:L130" si="6">J67-K67</f>
        <v>-48</v>
      </c>
      <c r="M67" s="12">
        <f t="shared" ref="M67:M130" si="7">IF(ISERR(L67/K67),"",L67/K67)</f>
        <v>-0.88888888888888884</v>
      </c>
    </row>
    <row r="68" spans="1:13" x14ac:dyDescent="0.25">
      <c r="A68" s="17" t="str">
        <f>data!H113</f>
        <v>VINICOM</v>
      </c>
      <c r="B68" s="15" t="str">
        <f>data!A113</f>
        <v>003517</v>
      </c>
      <c r="C68" s="1" t="str">
        <f>data!B113</f>
        <v>HOBIVIN</v>
      </c>
      <c r="D68" s="1" t="str">
        <f>data!C113</f>
        <v>017005H</v>
      </c>
      <c r="E68" s="1" t="str">
        <f>data!D68</f>
        <v>AOP COSTIERES DE NIMES</v>
      </c>
      <c r="F68" s="14">
        <f>SUMIFS(data!G:G,data!A:A,TABLEAU!B68,data!C:C,TABLEAU!D68,data!F:F,YEAR(Feuil1!$D$1))</f>
        <v>266.39999999999998</v>
      </c>
      <c r="G68" s="9">
        <f>SUMIFS(data!G:G,data!A:A,TABLEAU!B68,data!C:C,TABLEAU!D68,data!F:F,YEAR(Feuil1!$D$2))</f>
        <v>371.52</v>
      </c>
      <c r="H68" s="9">
        <f t="shared" si="4"/>
        <v>-105.12</v>
      </c>
      <c r="I68" s="12">
        <f t="shared" si="5"/>
        <v>-0.28294573643410853</v>
      </c>
      <c r="J68" s="13">
        <f>SUMIFS(data!E:E,data!A:A,TABLEAU!B68,data!C:C,TABLEAU!D68,data!F:F,YEAR(Feuil1!$D$1))</f>
        <v>36</v>
      </c>
      <c r="K68" s="13">
        <f>SUMIFS(data!E:E,data!A:A,TABLEAU!B68,data!C:C,TABLEAU!D68,data!F:F,YEAR(Feuil1!$D$2))</f>
        <v>54</v>
      </c>
      <c r="L68" s="13">
        <f t="shared" si="6"/>
        <v>-18</v>
      </c>
      <c r="M68" s="12">
        <f t="shared" si="7"/>
        <v>-0.33333333333333331</v>
      </c>
    </row>
    <row r="69" spans="1:13" x14ac:dyDescent="0.25">
      <c r="A69" s="17" t="str">
        <f>data!H115</f>
        <v>VINICOM</v>
      </c>
      <c r="B69" s="15" t="str">
        <f>data!A115</f>
        <v>003517</v>
      </c>
      <c r="C69" s="1" t="str">
        <f>data!B115</f>
        <v>HOBIVIN</v>
      </c>
      <c r="D69" s="1" t="str">
        <f>data!C115</f>
        <v>017010H</v>
      </c>
      <c r="E69" s="1" t="str">
        <f>data!D69</f>
        <v>AOP COSTIERES DE NIMES</v>
      </c>
      <c r="F69" s="14">
        <f>SUMIFS(data!G:G,data!A:A,TABLEAU!B69,data!C:C,TABLEAU!D69,data!F:F,YEAR(Feuil1!$D$1))</f>
        <v>866.88</v>
      </c>
      <c r="G69" s="9">
        <f>SUMIFS(data!G:G,data!A:A,TABLEAU!B69,data!C:C,TABLEAU!D69,data!F:F,YEAR(Feuil1!$D$2))</f>
        <v>3467.52</v>
      </c>
      <c r="H69" s="9">
        <f t="shared" si="4"/>
        <v>-2600.64</v>
      </c>
      <c r="I69" s="12">
        <f t="shared" si="5"/>
        <v>-0.75</v>
      </c>
      <c r="J69" s="13">
        <f>SUMIFS(data!E:E,data!A:A,TABLEAU!B69,data!C:C,TABLEAU!D69,data!F:F,YEAR(Feuil1!$D$1))</f>
        <v>132</v>
      </c>
      <c r="K69" s="13">
        <f>SUMIFS(data!E:E,data!A:A,TABLEAU!B69,data!C:C,TABLEAU!D69,data!F:F,YEAR(Feuil1!$D$2))</f>
        <v>516</v>
      </c>
      <c r="L69" s="13">
        <f t="shared" si="6"/>
        <v>-384</v>
      </c>
      <c r="M69" s="12">
        <f t="shared" si="7"/>
        <v>-0.7441860465116279</v>
      </c>
    </row>
    <row r="70" spans="1:13" x14ac:dyDescent="0.25">
      <c r="A70" s="17" t="str">
        <f>data!H117</f>
        <v>VINICOM</v>
      </c>
      <c r="B70" s="15" t="str">
        <f>data!A117</f>
        <v>003517</v>
      </c>
      <c r="C70" s="1" t="str">
        <f>data!B117</f>
        <v>HOBIVIN</v>
      </c>
      <c r="D70" s="1" t="str">
        <f>data!C117</f>
        <v>058004H</v>
      </c>
      <c r="E70" s="1" t="str">
        <f>data!D70</f>
        <v>AOP COSTIERES DE NIMES</v>
      </c>
      <c r="F70" s="14">
        <f>SUMIFS(data!G:G,data!A:A,TABLEAU!B70,data!C:C,TABLEAU!D70,data!F:F,YEAR(Feuil1!$D$1))</f>
        <v>3015.96</v>
      </c>
      <c r="G70" s="9">
        <f>SUMIFS(data!G:G,data!A:A,TABLEAU!B70,data!C:C,TABLEAU!D70,data!F:F,YEAR(Feuil1!$D$2))</f>
        <v>2457.42</v>
      </c>
      <c r="H70" s="9">
        <f t="shared" si="4"/>
        <v>558.54</v>
      </c>
      <c r="I70" s="12">
        <f t="shared" si="5"/>
        <v>0.22728715482090972</v>
      </c>
      <c r="J70" s="13">
        <f>SUMIFS(data!E:E,data!A:A,TABLEAU!B70,data!C:C,TABLEAU!D70,data!F:F,YEAR(Feuil1!$D$1))</f>
        <v>492</v>
      </c>
      <c r="K70" s="13">
        <f>SUMIFS(data!E:E,data!A:A,TABLEAU!B70,data!C:C,TABLEAU!D70,data!F:F,YEAR(Feuil1!$D$2))</f>
        <v>426</v>
      </c>
      <c r="L70" s="13">
        <f t="shared" si="6"/>
        <v>66</v>
      </c>
      <c r="M70" s="12">
        <f t="shared" si="7"/>
        <v>0.15492957746478872</v>
      </c>
    </row>
    <row r="71" spans="1:13" x14ac:dyDescent="0.25">
      <c r="A71" s="17" t="str">
        <f>data!H119</f>
        <v>VINICOM</v>
      </c>
      <c r="B71" s="15" t="str">
        <f>data!A119</f>
        <v>003517</v>
      </c>
      <c r="C71" s="1" t="str">
        <f>data!B119</f>
        <v>HOBIVIN</v>
      </c>
      <c r="D71" s="1" t="str">
        <f>data!C119</f>
        <v>070002H</v>
      </c>
      <c r="E71" s="1" t="str">
        <f>data!D71</f>
        <v>AOP COSTIERES DE NIMES</v>
      </c>
      <c r="F71" s="14">
        <f>SUMIFS(data!G:G,data!A:A,TABLEAU!B71,data!C:C,TABLEAU!D71,data!F:F,YEAR(Feuil1!$D$1))</f>
        <v>15153.04</v>
      </c>
      <c r="G71" s="9">
        <f>SUMIFS(data!G:G,data!A:A,TABLEAU!B71,data!C:C,TABLEAU!D71,data!F:F,YEAR(Feuil1!$D$2))</f>
        <v>5261.4</v>
      </c>
      <c r="H71" s="9">
        <f t="shared" si="4"/>
        <v>9891.6400000000012</v>
      </c>
      <c r="I71" s="12">
        <f t="shared" si="5"/>
        <v>1.8800395332040905</v>
      </c>
      <c r="J71" s="13">
        <f>SUMIFS(data!E:E,data!A:A,TABLEAU!B71,data!C:C,TABLEAU!D71,data!F:F,YEAR(Feuil1!$D$1))</f>
        <v>4770</v>
      </c>
      <c r="K71" s="13">
        <f>SUMIFS(data!E:E,data!A:A,TABLEAU!B71,data!C:C,TABLEAU!D71,data!F:F,YEAR(Feuil1!$D$2))</f>
        <v>1932</v>
      </c>
      <c r="L71" s="13">
        <f t="shared" si="6"/>
        <v>2838</v>
      </c>
      <c r="M71" s="12">
        <f t="shared" si="7"/>
        <v>1.468944099378882</v>
      </c>
    </row>
    <row r="72" spans="1:13" x14ac:dyDescent="0.25">
      <c r="A72" s="17" t="str">
        <f>data!H121</f>
        <v>VINICOM</v>
      </c>
      <c r="B72" s="15" t="str">
        <f>data!A121</f>
        <v>003517</v>
      </c>
      <c r="C72" s="1" t="str">
        <f>data!B121</f>
        <v>HOBIVIN</v>
      </c>
      <c r="D72" s="1" t="str">
        <f>data!C121</f>
        <v>070015H</v>
      </c>
      <c r="E72" s="1" t="str">
        <f>data!D72</f>
        <v>IGP D'OC MERLOT - CARTON GALLICIAN</v>
      </c>
      <c r="F72" s="14">
        <f>SUMIFS(data!G:G,data!A:A,TABLEAU!B72,data!C:C,TABLEAU!D72,data!F:F,YEAR(Feuil1!$D$1))</f>
        <v>839.64</v>
      </c>
      <c r="G72" s="9">
        <f>SUMIFS(data!G:G,data!A:A,TABLEAU!B72,data!C:C,TABLEAU!D72,data!F:F,YEAR(Feuil1!$D$2))</f>
        <v>291.60000000000002</v>
      </c>
      <c r="H72" s="9">
        <f t="shared" si="4"/>
        <v>548.04</v>
      </c>
      <c r="I72" s="12">
        <f t="shared" si="5"/>
        <v>1.8794238683127569</v>
      </c>
      <c r="J72" s="13">
        <f>SUMIFS(data!E:E,data!A:A,TABLEAU!B72,data!C:C,TABLEAU!D72,data!F:F,YEAR(Feuil1!$D$1))</f>
        <v>240</v>
      </c>
      <c r="K72" s="13">
        <f>SUMIFS(data!E:E,data!A:A,TABLEAU!B72,data!C:C,TABLEAU!D72,data!F:F,YEAR(Feuil1!$D$2))</f>
        <v>96</v>
      </c>
      <c r="L72" s="13">
        <f t="shared" si="6"/>
        <v>144</v>
      </c>
      <c r="M72" s="12">
        <f t="shared" si="7"/>
        <v>1.5</v>
      </c>
    </row>
    <row r="73" spans="1:13" x14ac:dyDescent="0.25">
      <c r="A73" s="17" t="str">
        <f>data!H123</f>
        <v>VINICOM</v>
      </c>
      <c r="B73" s="15" t="str">
        <f>data!A123</f>
        <v>003517</v>
      </c>
      <c r="C73" s="1" t="str">
        <f>data!B123</f>
        <v>HOBIVIN</v>
      </c>
      <c r="D73" s="1" t="str">
        <f>data!C123</f>
        <v>096007H</v>
      </c>
      <c r="E73" s="1" t="str">
        <f>data!D73</f>
        <v>AOP COSTIERES DE NIMES COMBES DE MEZIERES</v>
      </c>
      <c r="F73" s="14">
        <f>SUMIFS(data!G:G,data!A:A,TABLEAU!B73,data!C:C,TABLEAU!D73,data!F:F,YEAR(Feuil1!$D$1))</f>
        <v>2322</v>
      </c>
      <c r="G73" s="9">
        <f>SUMIFS(data!G:G,data!A:A,TABLEAU!B73,data!C:C,TABLEAU!D73,data!F:F,YEAR(Feuil1!$D$2))</f>
        <v>1581</v>
      </c>
      <c r="H73" s="9">
        <f t="shared" si="4"/>
        <v>741</v>
      </c>
      <c r="I73" s="12">
        <f t="shared" si="5"/>
        <v>0.46869070208728653</v>
      </c>
      <c r="J73" s="13">
        <f>SUMIFS(data!E:E,data!A:A,TABLEAU!B73,data!C:C,TABLEAU!D73,data!F:F,YEAR(Feuil1!$D$1))</f>
        <v>288</v>
      </c>
      <c r="K73" s="13">
        <f>SUMIFS(data!E:E,data!A:A,TABLEAU!B73,data!C:C,TABLEAU!D73,data!F:F,YEAR(Feuil1!$D$2))</f>
        <v>228</v>
      </c>
      <c r="L73" s="13">
        <f t="shared" si="6"/>
        <v>60</v>
      </c>
      <c r="M73" s="12">
        <f t="shared" si="7"/>
        <v>0.26315789473684209</v>
      </c>
    </row>
    <row r="74" spans="1:13" x14ac:dyDescent="0.25">
      <c r="A74" s="17" t="str">
        <f>data!H125</f>
        <v>VINICOM</v>
      </c>
      <c r="B74" s="15" t="str">
        <f>data!A125</f>
        <v>003517</v>
      </c>
      <c r="C74" s="1" t="str">
        <f>data!B125</f>
        <v>HOBIVIN</v>
      </c>
      <c r="D74" s="1" t="str">
        <f>data!C125</f>
        <v>096010H</v>
      </c>
      <c r="E74" s="1" t="str">
        <f>data!D74</f>
        <v>AOP COSTIERES DE NIMES COMBES DE MEZIERES</v>
      </c>
      <c r="F74" s="14">
        <f>SUMIFS(data!G:G,data!A:A,TABLEAU!B74,data!C:C,TABLEAU!D74,data!F:F,YEAR(Feuil1!$D$1))</f>
        <v>16756.259999999998</v>
      </c>
      <c r="G74" s="9">
        <f>SUMIFS(data!G:G,data!A:A,TABLEAU!B74,data!C:C,TABLEAU!D74,data!F:F,YEAR(Feuil1!$D$2))</f>
        <v>12656.04</v>
      </c>
      <c r="H74" s="9">
        <f t="shared" si="4"/>
        <v>4100.2199999999975</v>
      </c>
      <c r="I74" s="12">
        <f t="shared" si="5"/>
        <v>0.32397337555823125</v>
      </c>
      <c r="J74" s="13">
        <f>SUMIFS(data!E:E,data!A:A,TABLEAU!B74,data!C:C,TABLEAU!D74,data!F:F,YEAR(Feuil1!$D$1))</f>
        <v>2706</v>
      </c>
      <c r="K74" s="13">
        <f>SUMIFS(data!E:E,data!A:A,TABLEAU!B74,data!C:C,TABLEAU!D74,data!F:F,YEAR(Feuil1!$D$2))</f>
        <v>2016</v>
      </c>
      <c r="L74" s="13">
        <f t="shared" si="6"/>
        <v>690</v>
      </c>
      <c r="M74" s="12">
        <f t="shared" si="7"/>
        <v>0.34226190476190477</v>
      </c>
    </row>
    <row r="75" spans="1:13" x14ac:dyDescent="0.25">
      <c r="A75" s="17" t="str">
        <f>data!H127</f>
        <v>VINICOM</v>
      </c>
      <c r="B75" s="15" t="str">
        <f>data!A127</f>
        <v>003517</v>
      </c>
      <c r="C75" s="1" t="str">
        <f>data!B127</f>
        <v>HOBIVIN</v>
      </c>
      <c r="D75" s="1" t="str">
        <f>data!C127</f>
        <v>100001H</v>
      </c>
      <c r="E75" s="1" t="str">
        <f>data!D75</f>
        <v>IGP GARD</v>
      </c>
      <c r="F75" s="14">
        <f>SUMIFS(data!G:G,data!A:A,TABLEAU!B75,data!C:C,TABLEAU!D75,data!F:F,YEAR(Feuil1!$D$1))</f>
        <v>3487.5</v>
      </c>
      <c r="G75" s="9">
        <f>SUMIFS(data!G:G,data!A:A,TABLEAU!B75,data!C:C,TABLEAU!D75,data!F:F,YEAR(Feuil1!$D$2))</f>
        <v>5175</v>
      </c>
      <c r="H75" s="9">
        <f t="shared" si="4"/>
        <v>-1687.5</v>
      </c>
      <c r="I75" s="12">
        <f t="shared" si="5"/>
        <v>-0.32608695652173914</v>
      </c>
      <c r="J75" s="13">
        <f>SUMIFS(data!E:E,data!A:A,TABLEAU!B75,data!C:C,TABLEAU!D75,data!F:F,YEAR(Feuil1!$D$1))</f>
        <v>198</v>
      </c>
      <c r="K75" s="13">
        <f>SUMIFS(data!E:E,data!A:A,TABLEAU!B75,data!C:C,TABLEAU!D75,data!F:F,YEAR(Feuil1!$D$2))</f>
        <v>288</v>
      </c>
      <c r="L75" s="13">
        <f t="shared" si="6"/>
        <v>-90</v>
      </c>
      <c r="M75" s="12">
        <f t="shared" si="7"/>
        <v>-0.3125</v>
      </c>
    </row>
    <row r="76" spans="1:13" x14ac:dyDescent="0.25">
      <c r="A76" s="17" t="str">
        <f>data!H129</f>
        <v>VINICOM</v>
      </c>
      <c r="B76" s="15" t="str">
        <f>data!A129</f>
        <v>003517</v>
      </c>
      <c r="C76" s="1" t="str">
        <f>data!B129</f>
        <v>HOBIVIN</v>
      </c>
      <c r="D76" s="1" t="str">
        <f>data!C129</f>
        <v>107003H</v>
      </c>
      <c r="E76" s="1" t="str">
        <f>data!D76</f>
        <v>IGP GARD</v>
      </c>
      <c r="F76" s="14">
        <f>SUMIFS(data!G:G,data!A:A,TABLEAU!B76,data!C:C,TABLEAU!D76,data!F:F,YEAR(Feuil1!$D$1))</f>
        <v>0</v>
      </c>
      <c r="G76" s="9">
        <f>SUMIFS(data!G:G,data!A:A,TABLEAU!B76,data!C:C,TABLEAU!D76,data!F:F,YEAR(Feuil1!$D$2))</f>
        <v>1419.54</v>
      </c>
      <c r="H76" s="9">
        <f t="shared" si="4"/>
        <v>-1419.54</v>
      </c>
      <c r="I76" s="12">
        <f t="shared" si="5"/>
        <v>-1</v>
      </c>
      <c r="J76" s="13">
        <f>SUMIFS(data!E:E,data!A:A,TABLEAU!B76,data!C:C,TABLEAU!D76,data!F:F,YEAR(Feuil1!$D$1))</f>
        <v>0</v>
      </c>
      <c r="K76" s="13">
        <f>SUMIFS(data!E:E,data!A:A,TABLEAU!B76,data!C:C,TABLEAU!D76,data!F:F,YEAR(Feuil1!$D$2))</f>
        <v>96</v>
      </c>
      <c r="L76" s="13">
        <f t="shared" si="6"/>
        <v>-96</v>
      </c>
      <c r="M76" s="12">
        <f t="shared" si="7"/>
        <v>-1</v>
      </c>
    </row>
    <row r="77" spans="1:13" x14ac:dyDescent="0.25">
      <c r="A77" s="17" t="str">
        <f>data!H130</f>
        <v>VINICOM</v>
      </c>
      <c r="B77" s="15" t="str">
        <f>data!A130</f>
        <v>003517</v>
      </c>
      <c r="C77" s="1" t="str">
        <f>data!B130</f>
        <v>HOBIVIN</v>
      </c>
      <c r="D77" s="1" t="str">
        <f>data!C130</f>
        <v>107004H</v>
      </c>
      <c r="E77" s="1" t="str">
        <f>data!D77</f>
        <v>AOP COSTIERES DE NIMES PRESTIGE</v>
      </c>
      <c r="F77" s="14">
        <f>SUMIFS(data!G:G,data!A:A,TABLEAU!B77,data!C:C,TABLEAU!D77,data!F:F,YEAR(Feuil1!$D$1))</f>
        <v>0</v>
      </c>
      <c r="G77" s="9">
        <f>SUMIFS(data!G:G,data!A:A,TABLEAU!B77,data!C:C,TABLEAU!D77,data!F:F,YEAR(Feuil1!$D$2))</f>
        <v>2145</v>
      </c>
      <c r="H77" s="9">
        <f t="shared" si="4"/>
        <v>-2145</v>
      </c>
      <c r="I77" s="12">
        <f t="shared" si="5"/>
        <v>-1</v>
      </c>
      <c r="J77" s="13">
        <f>SUMIFS(data!E:E,data!A:A,TABLEAU!B77,data!C:C,TABLEAU!D77,data!F:F,YEAR(Feuil1!$D$1))</f>
        <v>0</v>
      </c>
      <c r="K77" s="13">
        <f>SUMIFS(data!E:E,data!A:A,TABLEAU!B77,data!C:C,TABLEAU!D77,data!F:F,YEAR(Feuil1!$D$2))</f>
        <v>156</v>
      </c>
      <c r="L77" s="13">
        <f t="shared" si="6"/>
        <v>-156</v>
      </c>
      <c r="M77" s="12">
        <f t="shared" si="7"/>
        <v>-1</v>
      </c>
    </row>
    <row r="78" spans="1:13" x14ac:dyDescent="0.25">
      <c r="A78" s="17" t="str">
        <f>data!H131</f>
        <v>VINICOM</v>
      </c>
      <c r="B78" s="15" t="str">
        <f>data!A131</f>
        <v>003517</v>
      </c>
      <c r="C78" s="1" t="str">
        <f>data!B131</f>
        <v>HOBIVIN</v>
      </c>
      <c r="D78" s="1" t="str">
        <f>data!C131</f>
        <v>107005H</v>
      </c>
      <c r="E78" s="1" t="str">
        <f>data!D78</f>
        <v>AOP COSTIERES DE NIMES PRESTIGE</v>
      </c>
      <c r="F78" s="14">
        <f>SUMIFS(data!G:G,data!A:A,TABLEAU!B78,data!C:C,TABLEAU!D78,data!F:F,YEAR(Feuil1!$D$1))</f>
        <v>4047</v>
      </c>
      <c r="G78" s="9">
        <f>SUMIFS(data!G:G,data!A:A,TABLEAU!B78,data!C:C,TABLEAU!D78,data!F:F,YEAR(Feuil1!$D$2))</f>
        <v>8505</v>
      </c>
      <c r="H78" s="9">
        <f t="shared" si="4"/>
        <v>-4458</v>
      </c>
      <c r="I78" s="12">
        <f t="shared" si="5"/>
        <v>-0.52416225749559087</v>
      </c>
      <c r="J78" s="13">
        <f>SUMIFS(data!E:E,data!A:A,TABLEAU!B78,data!C:C,TABLEAU!D78,data!F:F,YEAR(Feuil1!$D$1))</f>
        <v>306</v>
      </c>
      <c r="K78" s="13">
        <f>SUMIFS(data!E:E,data!A:A,TABLEAU!B78,data!C:C,TABLEAU!D78,data!F:F,YEAR(Feuil1!$D$2))</f>
        <v>654</v>
      </c>
      <c r="L78" s="13">
        <f t="shared" si="6"/>
        <v>-348</v>
      </c>
      <c r="M78" s="12">
        <f t="shared" si="7"/>
        <v>-0.5321100917431193</v>
      </c>
    </row>
    <row r="79" spans="1:13" x14ac:dyDescent="0.25">
      <c r="A79" s="17" t="str">
        <f>data!H133</f>
        <v>VINICOM</v>
      </c>
      <c r="B79" s="15" t="str">
        <f>data!A133</f>
        <v>003517</v>
      </c>
      <c r="C79" s="1" t="str">
        <f>data!B133</f>
        <v>HOBIVIN</v>
      </c>
      <c r="D79" s="1" t="str">
        <f>data!C133</f>
        <v>107006H</v>
      </c>
      <c r="E79" s="1" t="str">
        <f>data!D79</f>
        <v>VDP DU GARD. LOU GRES D'OR</v>
      </c>
      <c r="F79" s="14">
        <f>SUMIFS(data!G:G,data!A:A,TABLEAU!B79,data!C:C,TABLEAU!D79,data!F:F,YEAR(Feuil1!$D$1))</f>
        <v>1401.12</v>
      </c>
      <c r="G79" s="9">
        <f>SUMIFS(data!G:G,data!A:A,TABLEAU!B79,data!C:C,TABLEAU!D79,data!F:F,YEAR(Feuil1!$D$2))</f>
        <v>1751.4</v>
      </c>
      <c r="H79" s="9">
        <f t="shared" si="4"/>
        <v>-350.2800000000002</v>
      </c>
      <c r="I79" s="12">
        <f t="shared" si="5"/>
        <v>-0.20000000000000009</v>
      </c>
      <c r="J79" s="13">
        <f>SUMIFS(data!E:E,data!A:A,TABLEAU!B79,data!C:C,TABLEAU!D79,data!F:F,YEAR(Feuil1!$D$1))</f>
        <v>96</v>
      </c>
      <c r="K79" s="13">
        <f>SUMIFS(data!E:E,data!A:A,TABLEAU!B79,data!C:C,TABLEAU!D79,data!F:F,YEAR(Feuil1!$D$2))</f>
        <v>132</v>
      </c>
      <c r="L79" s="13">
        <f t="shared" si="6"/>
        <v>-36</v>
      </c>
      <c r="M79" s="12">
        <f t="shared" si="7"/>
        <v>-0.27272727272727271</v>
      </c>
    </row>
    <row r="80" spans="1:13" x14ac:dyDescent="0.25">
      <c r="A80" s="17" t="str">
        <f>data!H135</f>
        <v>VINICOM</v>
      </c>
      <c r="B80" s="15" t="str">
        <f>data!A135</f>
        <v>003517</v>
      </c>
      <c r="C80" s="1" t="str">
        <f>data!B135</f>
        <v>HOBIVIN</v>
      </c>
      <c r="D80" s="1" t="str">
        <f>data!C135</f>
        <v>123001H</v>
      </c>
      <c r="E80" s="1" t="str">
        <f>data!D80</f>
        <v>VDP DU GARD. LOU GRES D'OR</v>
      </c>
      <c r="F80" s="14">
        <f>SUMIFS(data!G:G,data!A:A,TABLEAU!B80,data!C:C,TABLEAU!D80,data!F:F,YEAR(Feuil1!$D$1))</f>
        <v>0</v>
      </c>
      <c r="G80" s="9">
        <f>SUMIFS(data!G:G,data!A:A,TABLEAU!B80,data!C:C,TABLEAU!D80,data!F:F,YEAR(Feuil1!$D$2))</f>
        <v>96</v>
      </c>
      <c r="H80" s="9">
        <f t="shared" si="4"/>
        <v>-96</v>
      </c>
      <c r="I80" s="12">
        <f t="shared" si="5"/>
        <v>-1</v>
      </c>
      <c r="J80" s="13">
        <f>SUMIFS(data!E:E,data!A:A,TABLEAU!B80,data!C:C,TABLEAU!D80,data!F:F,YEAR(Feuil1!$D$1))</f>
        <v>0</v>
      </c>
      <c r="K80" s="13">
        <f>SUMIFS(data!E:E,data!A:A,TABLEAU!B80,data!C:C,TABLEAU!D80,data!F:F,YEAR(Feuil1!$D$2))</f>
        <v>48</v>
      </c>
      <c r="L80" s="13">
        <f t="shared" si="6"/>
        <v>-48</v>
      </c>
      <c r="M80" s="12">
        <f t="shared" si="7"/>
        <v>-1</v>
      </c>
    </row>
    <row r="81" spans="1:13" x14ac:dyDescent="0.25">
      <c r="A81" s="17" t="str">
        <f>data!H136</f>
        <v>VINICOM</v>
      </c>
      <c r="B81" s="15" t="str">
        <f>data!A136</f>
        <v>003517</v>
      </c>
      <c r="C81" s="1" t="str">
        <f>data!B136</f>
        <v>HOBIVIN</v>
      </c>
      <c r="D81" s="1" t="str">
        <f>data!C136</f>
        <v>123002H</v>
      </c>
      <c r="E81" s="1" t="str">
        <f>data!D81</f>
        <v>IGP DU GARD LOU GRES D'OR</v>
      </c>
      <c r="F81" s="14">
        <f>SUMIFS(data!G:G,data!A:A,TABLEAU!B81,data!C:C,TABLEAU!D81,data!F:F,YEAR(Feuil1!$D$1))</f>
        <v>2848.5</v>
      </c>
      <c r="G81" s="9">
        <f>SUMIFS(data!G:G,data!A:A,TABLEAU!B81,data!C:C,TABLEAU!D81,data!F:F,YEAR(Feuil1!$D$2))</f>
        <v>0</v>
      </c>
      <c r="H81" s="9">
        <f t="shared" si="4"/>
        <v>2848.5</v>
      </c>
      <c r="I81" s="12" t="str">
        <f t="shared" si="5"/>
        <v/>
      </c>
      <c r="J81" s="13">
        <f>SUMIFS(data!E:E,data!A:A,TABLEAU!B81,data!C:C,TABLEAU!D81,data!F:F,YEAR(Feuil1!$D$1))</f>
        <v>1188</v>
      </c>
      <c r="K81" s="13">
        <f>SUMIFS(data!E:E,data!A:A,TABLEAU!B81,data!C:C,TABLEAU!D81,data!F:F,YEAR(Feuil1!$D$2))</f>
        <v>0</v>
      </c>
      <c r="L81" s="13">
        <f t="shared" si="6"/>
        <v>1188</v>
      </c>
      <c r="M81" s="12" t="str">
        <f t="shared" si="7"/>
        <v/>
      </c>
    </row>
    <row r="82" spans="1:13" x14ac:dyDescent="0.25">
      <c r="A82" s="17" t="str">
        <f>data!H137</f>
        <v>VINICOM</v>
      </c>
      <c r="B82" s="15" t="str">
        <f>data!A137</f>
        <v>003517</v>
      </c>
      <c r="C82" s="1" t="str">
        <f>data!B137</f>
        <v>HOBIVIN</v>
      </c>
      <c r="D82" s="1" t="str">
        <f>data!C137</f>
        <v>125001H</v>
      </c>
      <c r="E82" s="1" t="str">
        <f>data!D82</f>
        <v>IGP DU GARD LOU GRES D'OR</v>
      </c>
      <c r="F82" s="14">
        <f>SUMIFS(data!G:G,data!A:A,TABLEAU!B82,data!C:C,TABLEAU!D82,data!F:F,YEAR(Feuil1!$D$1))</f>
        <v>0</v>
      </c>
      <c r="G82" s="9">
        <f>SUMIFS(data!G:G,data!A:A,TABLEAU!B82,data!C:C,TABLEAU!D82,data!F:F,YEAR(Feuil1!$D$2))</f>
        <v>1785.84</v>
      </c>
      <c r="H82" s="9">
        <f t="shared" si="4"/>
        <v>-1785.84</v>
      </c>
      <c r="I82" s="12">
        <f t="shared" si="5"/>
        <v>-1</v>
      </c>
      <c r="J82" s="13">
        <f>SUMIFS(data!E:E,data!A:A,TABLEAU!B82,data!C:C,TABLEAU!D82,data!F:F,YEAR(Feuil1!$D$1))</f>
        <v>0</v>
      </c>
      <c r="K82" s="13">
        <f>SUMIFS(data!E:E,data!A:A,TABLEAU!B82,data!C:C,TABLEAU!D82,data!F:F,YEAR(Feuil1!$D$2))</f>
        <v>168</v>
      </c>
      <c r="L82" s="13">
        <f t="shared" si="6"/>
        <v>-168</v>
      </c>
      <c r="M82" s="12">
        <f t="shared" si="7"/>
        <v>-1</v>
      </c>
    </row>
    <row r="83" spans="1:13" x14ac:dyDescent="0.25">
      <c r="A83" s="17" t="str">
        <f>data!H138</f>
        <v>VINICOM</v>
      </c>
      <c r="B83" s="15" t="str">
        <f>data!A138</f>
        <v>003517</v>
      </c>
      <c r="C83" s="1" t="str">
        <f>data!B138</f>
        <v>HOBIVIN</v>
      </c>
      <c r="D83" s="1" t="str">
        <f>data!C138</f>
        <v>125005H</v>
      </c>
      <c r="E83" s="1" t="str">
        <f>data!D83</f>
        <v>VDP GARD LOU GRES D'OR</v>
      </c>
      <c r="F83" s="14">
        <f>SUMIFS(data!G:G,data!A:A,TABLEAU!B83,data!C:C,TABLEAU!D83,data!F:F,YEAR(Feuil1!$D$1))</f>
        <v>0</v>
      </c>
      <c r="G83" s="9">
        <f>SUMIFS(data!G:G,data!A:A,TABLEAU!B83,data!C:C,TABLEAU!D83,data!F:F,YEAR(Feuil1!$D$2))</f>
        <v>720</v>
      </c>
      <c r="H83" s="9">
        <f t="shared" si="4"/>
        <v>-720</v>
      </c>
      <c r="I83" s="12">
        <f t="shared" si="5"/>
        <v>-1</v>
      </c>
      <c r="J83" s="13">
        <f>SUMIFS(data!E:E,data!A:A,TABLEAU!B83,data!C:C,TABLEAU!D83,data!F:F,YEAR(Feuil1!$D$1))</f>
        <v>0</v>
      </c>
      <c r="K83" s="13">
        <f>SUMIFS(data!E:E,data!A:A,TABLEAU!B83,data!C:C,TABLEAU!D83,data!F:F,YEAR(Feuil1!$D$2))</f>
        <v>120</v>
      </c>
      <c r="L83" s="13">
        <f t="shared" si="6"/>
        <v>-120</v>
      </c>
      <c r="M83" s="12">
        <f t="shared" si="7"/>
        <v>-1</v>
      </c>
    </row>
    <row r="84" spans="1:13" x14ac:dyDescent="0.25">
      <c r="A84" s="17" t="str">
        <f>data!H139</f>
        <v>VINICOM</v>
      </c>
      <c r="B84" s="15" t="str">
        <f>data!A139</f>
        <v>003517</v>
      </c>
      <c r="C84" s="1" t="str">
        <f>data!B139</f>
        <v>HOBIVIN</v>
      </c>
      <c r="D84" s="1" t="str">
        <f>data!C139</f>
        <v>126005H</v>
      </c>
      <c r="E84" s="1" t="str">
        <f>data!D84</f>
        <v>VDP GARD LOU GRES D'OR</v>
      </c>
      <c r="F84" s="14">
        <f>SUMIFS(data!G:G,data!A:A,TABLEAU!B84,data!C:C,TABLEAU!D84,data!F:F,YEAR(Feuil1!$D$1))</f>
        <v>162.41999999999999</v>
      </c>
      <c r="G84" s="9">
        <f>SUMIFS(data!G:G,data!A:A,TABLEAU!B84,data!C:C,TABLEAU!D84,data!F:F,YEAR(Feuil1!$D$2))</f>
        <v>126</v>
      </c>
      <c r="H84" s="9">
        <f t="shared" si="4"/>
        <v>36.419999999999987</v>
      </c>
      <c r="I84" s="12">
        <f t="shared" si="5"/>
        <v>0.28904761904761894</v>
      </c>
      <c r="J84" s="13">
        <f>SUMIFS(data!E:E,data!A:A,TABLEAU!B84,data!C:C,TABLEAU!D84,data!F:F,YEAR(Feuil1!$D$1))</f>
        <v>24</v>
      </c>
      <c r="K84" s="13">
        <f>SUMIFS(data!E:E,data!A:A,TABLEAU!B84,data!C:C,TABLEAU!D84,data!F:F,YEAR(Feuil1!$D$2))</f>
        <v>30</v>
      </c>
      <c r="L84" s="13">
        <f t="shared" si="6"/>
        <v>-6</v>
      </c>
      <c r="M84" s="12">
        <f t="shared" si="7"/>
        <v>-0.2</v>
      </c>
    </row>
    <row r="85" spans="1:13" x14ac:dyDescent="0.25">
      <c r="A85" s="17" t="str">
        <f>data!H141</f>
        <v>VINICOM</v>
      </c>
      <c r="B85" s="15" t="str">
        <f>data!A141</f>
        <v>003517</v>
      </c>
      <c r="C85" s="1" t="str">
        <f>data!B141</f>
        <v>HOBIVIN</v>
      </c>
      <c r="D85" s="1" t="str">
        <f>data!C141</f>
        <v>126006H</v>
      </c>
      <c r="E85" s="1" t="str">
        <f>data!D85</f>
        <v>ROSE PAMPLEMOUSSE</v>
      </c>
      <c r="F85" s="14">
        <f>SUMIFS(data!G:G,data!A:A,TABLEAU!B85,data!C:C,TABLEAU!D85,data!F:F,YEAR(Feuil1!$D$1))</f>
        <v>211.56</v>
      </c>
      <c r="G85" s="9">
        <f>SUMIFS(data!G:G,data!A:A,TABLEAU!B85,data!C:C,TABLEAU!D85,data!F:F,YEAR(Feuil1!$D$2))</f>
        <v>126.42</v>
      </c>
      <c r="H85" s="9">
        <f t="shared" si="4"/>
        <v>85.14</v>
      </c>
      <c r="I85" s="12">
        <f t="shared" si="5"/>
        <v>0.67346938775510201</v>
      </c>
      <c r="J85" s="13">
        <f>SUMIFS(data!E:E,data!A:A,TABLEAU!B85,data!C:C,TABLEAU!D85,data!F:F,YEAR(Feuil1!$D$1))</f>
        <v>30</v>
      </c>
      <c r="K85" s="13">
        <f>SUMIFS(data!E:E,data!A:A,TABLEAU!B85,data!C:C,TABLEAU!D85,data!F:F,YEAR(Feuil1!$D$2))</f>
        <v>30</v>
      </c>
      <c r="L85" s="13">
        <f t="shared" si="6"/>
        <v>0</v>
      </c>
      <c r="M85" s="12">
        <f t="shared" si="7"/>
        <v>0</v>
      </c>
    </row>
    <row r="86" spans="1:13" x14ac:dyDescent="0.25">
      <c r="A86" s="17" t="str">
        <f>data!H143</f>
        <v>VINICOM</v>
      </c>
      <c r="B86" s="15" t="str">
        <f>data!A143</f>
        <v>003517</v>
      </c>
      <c r="C86" s="1" t="str">
        <f>data!B143</f>
        <v>HOBIVIN</v>
      </c>
      <c r="D86" s="1" t="str">
        <f>data!C143</f>
        <v>126007H</v>
      </c>
      <c r="E86" s="1" t="str">
        <f>data!D86</f>
        <v>ROSE PAMPLEMOUSSE</v>
      </c>
      <c r="F86" s="14">
        <f>SUMIFS(data!G:G,data!A:A,TABLEAU!B86,data!C:C,TABLEAU!D86,data!F:F,YEAR(Feuil1!$D$1))</f>
        <v>547.14</v>
      </c>
      <c r="G86" s="9">
        <f>SUMIFS(data!G:G,data!A:A,TABLEAU!B86,data!C:C,TABLEAU!D86,data!F:F,YEAR(Feuil1!$D$2))</f>
        <v>521.4</v>
      </c>
      <c r="H86" s="9">
        <f t="shared" si="4"/>
        <v>25.740000000000009</v>
      </c>
      <c r="I86" s="12">
        <f t="shared" si="5"/>
        <v>4.9367088607594957E-2</v>
      </c>
      <c r="J86" s="13">
        <f>SUMIFS(data!E:E,data!A:A,TABLEAU!B86,data!C:C,TABLEAU!D86,data!F:F,YEAR(Feuil1!$D$1))</f>
        <v>72</v>
      </c>
      <c r="K86" s="13">
        <f>SUMIFS(data!E:E,data!A:A,TABLEAU!B86,data!C:C,TABLEAU!D86,data!F:F,YEAR(Feuil1!$D$2))</f>
        <v>72</v>
      </c>
      <c r="L86" s="13">
        <f t="shared" si="6"/>
        <v>0</v>
      </c>
      <c r="M86" s="12">
        <f t="shared" si="7"/>
        <v>0</v>
      </c>
    </row>
    <row r="87" spans="1:13" x14ac:dyDescent="0.25">
      <c r="A87" s="17" t="str">
        <f>data!H145</f>
        <v>VINICOM</v>
      </c>
      <c r="B87" s="15" t="str">
        <f>data!A145</f>
        <v>003517</v>
      </c>
      <c r="C87" s="1" t="str">
        <f>data!B145</f>
        <v>HOBIVIN</v>
      </c>
      <c r="D87" s="1" t="str">
        <f>data!C145</f>
        <v>127001H</v>
      </c>
      <c r="E87" s="1" t="str">
        <f>data!D87</f>
        <v>VDT CUVEE PRINCIE étiq perso scaeL</v>
      </c>
      <c r="F87" s="14">
        <f>SUMIFS(data!G:G,data!A:A,TABLEAU!B87,data!C:C,TABLEAU!D87,data!F:F,YEAR(Feuil1!$D$1))</f>
        <v>7039.2</v>
      </c>
      <c r="G87" s="9">
        <f>SUMIFS(data!G:G,data!A:A,TABLEAU!B87,data!C:C,TABLEAU!D87,data!F:F,YEAR(Feuil1!$D$2))</f>
        <v>6873.36</v>
      </c>
      <c r="H87" s="9">
        <f t="shared" si="4"/>
        <v>165.84000000000015</v>
      </c>
      <c r="I87" s="12">
        <f t="shared" si="5"/>
        <v>2.4127937427982842E-2</v>
      </c>
      <c r="J87" s="13">
        <f>SUMIFS(data!E:E,data!A:A,TABLEAU!B87,data!C:C,TABLEAU!D87,data!F:F,YEAR(Feuil1!$D$1))</f>
        <v>846</v>
      </c>
      <c r="K87" s="13">
        <f>SUMIFS(data!E:E,data!A:A,TABLEAU!B87,data!C:C,TABLEAU!D87,data!F:F,YEAR(Feuil1!$D$2))</f>
        <v>846</v>
      </c>
      <c r="L87" s="13">
        <f t="shared" si="6"/>
        <v>0</v>
      </c>
      <c r="M87" s="12">
        <f t="shared" si="7"/>
        <v>0</v>
      </c>
    </row>
    <row r="88" spans="1:13" x14ac:dyDescent="0.25">
      <c r="A88" s="17" t="str">
        <f>data!H147</f>
        <v>VINICOM</v>
      </c>
      <c r="B88" s="15" t="str">
        <f>data!A147</f>
        <v>003517</v>
      </c>
      <c r="C88" s="1" t="str">
        <f>data!B147</f>
        <v>HOBIVIN</v>
      </c>
      <c r="D88" s="1" t="str">
        <f>data!C147</f>
        <v>127005H</v>
      </c>
      <c r="E88" s="1" t="str">
        <f>data!D88</f>
        <v>VDT CUVEE PRINCIE étiq perso scaeL</v>
      </c>
      <c r="F88" s="14">
        <f>SUMIFS(data!G:G,data!A:A,TABLEAU!B88,data!C:C,TABLEAU!D88,data!F:F,YEAR(Feuil1!$D$1))</f>
        <v>2158.8000000000002</v>
      </c>
      <c r="G88" s="9">
        <f>SUMIFS(data!G:G,data!A:A,TABLEAU!B88,data!C:C,TABLEAU!D88,data!F:F,YEAR(Feuil1!$D$2))</f>
        <v>2754.12</v>
      </c>
      <c r="H88" s="9">
        <f t="shared" si="4"/>
        <v>-595.31999999999971</v>
      </c>
      <c r="I88" s="12">
        <f t="shared" si="5"/>
        <v>-0.21615615877303812</v>
      </c>
      <c r="J88" s="13">
        <f>SUMIFS(data!E:E,data!A:A,TABLEAU!B88,data!C:C,TABLEAU!D88,data!F:F,YEAR(Feuil1!$D$1))</f>
        <v>264</v>
      </c>
      <c r="K88" s="13">
        <f>SUMIFS(data!E:E,data!A:A,TABLEAU!B88,data!C:C,TABLEAU!D88,data!F:F,YEAR(Feuil1!$D$2))</f>
        <v>306</v>
      </c>
      <c r="L88" s="13">
        <f t="shared" si="6"/>
        <v>-42</v>
      </c>
      <c r="M88" s="12">
        <f t="shared" si="7"/>
        <v>-0.13725490196078433</v>
      </c>
    </row>
    <row r="89" spans="1:13" x14ac:dyDescent="0.25">
      <c r="A89" s="17" t="str">
        <f>data!H149</f>
        <v>VINICOM</v>
      </c>
      <c r="B89" s="15" t="str">
        <f>data!A149</f>
        <v>003517</v>
      </c>
      <c r="C89" s="1" t="str">
        <f>data!B149</f>
        <v>HOBIVIN</v>
      </c>
      <c r="D89" s="1" t="str">
        <f>data!C149</f>
        <v>127008H</v>
      </c>
      <c r="E89" s="1" t="str">
        <f>data!D89</f>
        <v>VDT. CUVEE FIOJOLI étiq perso scaeL</v>
      </c>
      <c r="F89" s="14">
        <f>SUMIFS(data!G:G,data!A:A,TABLEAU!B89,data!C:C,TABLEAU!D89,data!F:F,YEAR(Feuil1!$D$1))</f>
        <v>1624.5</v>
      </c>
      <c r="G89" s="9">
        <f>SUMIFS(data!G:G,data!A:A,TABLEAU!B89,data!C:C,TABLEAU!D89,data!F:F,YEAR(Feuil1!$D$2))</f>
        <v>3161.1</v>
      </c>
      <c r="H89" s="9">
        <f t="shared" si="4"/>
        <v>-1536.6</v>
      </c>
      <c r="I89" s="12">
        <f t="shared" si="5"/>
        <v>-0.48609661193888204</v>
      </c>
      <c r="J89" s="13">
        <f>SUMIFS(data!E:E,data!A:A,TABLEAU!B89,data!C:C,TABLEAU!D89,data!F:F,YEAR(Feuil1!$D$1))</f>
        <v>354</v>
      </c>
      <c r="K89" s="13">
        <f>SUMIFS(data!E:E,data!A:A,TABLEAU!B89,data!C:C,TABLEAU!D89,data!F:F,YEAR(Feuil1!$D$2))</f>
        <v>708</v>
      </c>
      <c r="L89" s="13">
        <f t="shared" si="6"/>
        <v>-354</v>
      </c>
      <c r="M89" s="12">
        <f t="shared" si="7"/>
        <v>-0.5</v>
      </c>
    </row>
    <row r="90" spans="1:13" x14ac:dyDescent="0.25">
      <c r="A90" s="17" t="str">
        <f>data!H151</f>
        <v>VINICOM</v>
      </c>
      <c r="B90" s="15" t="str">
        <f>data!A151</f>
        <v>003517</v>
      </c>
      <c r="C90" s="1" t="str">
        <f>data!B151</f>
        <v>HOBIVIN</v>
      </c>
      <c r="D90" s="1" t="str">
        <f>data!C151</f>
        <v>127010H</v>
      </c>
      <c r="E90" s="1" t="str">
        <f>data!D90</f>
        <v>VDT. CUVEE FIOJOLI étiq perso scaeL</v>
      </c>
      <c r="F90" s="14">
        <f>SUMIFS(data!G:G,data!A:A,TABLEAU!B90,data!C:C,TABLEAU!D90,data!F:F,YEAR(Feuil1!$D$1))</f>
        <v>1890</v>
      </c>
      <c r="G90" s="9">
        <f>SUMIFS(data!G:G,data!A:A,TABLEAU!B90,data!C:C,TABLEAU!D90,data!F:F,YEAR(Feuil1!$D$2))</f>
        <v>765</v>
      </c>
      <c r="H90" s="9">
        <f t="shared" si="4"/>
        <v>1125</v>
      </c>
      <c r="I90" s="12">
        <f t="shared" si="5"/>
        <v>1.4705882352941178</v>
      </c>
      <c r="J90" s="13">
        <f>SUMIFS(data!E:E,data!A:A,TABLEAU!B90,data!C:C,TABLEAU!D90,data!F:F,YEAR(Feuil1!$D$1))</f>
        <v>510</v>
      </c>
      <c r="K90" s="13">
        <f>SUMIFS(data!E:E,data!A:A,TABLEAU!B90,data!C:C,TABLEAU!D90,data!F:F,YEAR(Feuil1!$D$2))</f>
        <v>210</v>
      </c>
      <c r="L90" s="13">
        <f t="shared" si="6"/>
        <v>300</v>
      </c>
      <c r="M90" s="12">
        <f t="shared" si="7"/>
        <v>1.4285714285714286</v>
      </c>
    </row>
    <row r="91" spans="1:13" x14ac:dyDescent="0.25">
      <c r="A91" s="17" t="str">
        <f>data!H153</f>
        <v>VINICOM</v>
      </c>
      <c r="B91" s="15" t="str">
        <f>data!A153</f>
        <v>003517</v>
      </c>
      <c r="C91" s="1" t="str">
        <f>data!B153</f>
        <v>HOBIVIN</v>
      </c>
      <c r="D91" s="1" t="str">
        <f>data!C153</f>
        <v>127011H</v>
      </c>
      <c r="E91" s="1" t="str">
        <f>data!D91</f>
        <v>VDT. CUVEE LEON étiq perso scaeL</v>
      </c>
      <c r="F91" s="14">
        <f>SUMIFS(data!G:G,data!A:A,TABLEAU!B91,data!C:C,TABLEAU!D91,data!F:F,YEAR(Feuil1!$D$1))</f>
        <v>1632</v>
      </c>
      <c r="G91" s="9">
        <f>SUMIFS(data!G:G,data!A:A,TABLEAU!B91,data!C:C,TABLEAU!D91,data!F:F,YEAR(Feuil1!$D$2))</f>
        <v>1812.72</v>
      </c>
      <c r="H91" s="9">
        <f t="shared" si="4"/>
        <v>-180.72000000000003</v>
      </c>
      <c r="I91" s="12">
        <f t="shared" si="5"/>
        <v>-9.9695485237653925E-2</v>
      </c>
      <c r="J91" s="13">
        <f>SUMIFS(data!E:E,data!A:A,TABLEAU!B91,data!C:C,TABLEAU!D91,data!F:F,YEAR(Feuil1!$D$1))</f>
        <v>120</v>
      </c>
      <c r="K91" s="13">
        <f>SUMIFS(data!E:E,data!A:A,TABLEAU!B91,data!C:C,TABLEAU!D91,data!F:F,YEAR(Feuil1!$D$2))</f>
        <v>120</v>
      </c>
      <c r="L91" s="13">
        <f t="shared" si="6"/>
        <v>0</v>
      </c>
      <c r="M91" s="12">
        <f t="shared" si="7"/>
        <v>0</v>
      </c>
    </row>
    <row r="92" spans="1:13" x14ac:dyDescent="0.25">
      <c r="A92" s="17" t="str">
        <f>data!H155</f>
        <v>VINICOM</v>
      </c>
      <c r="B92" s="15" t="str">
        <f>data!A155</f>
        <v>003517</v>
      </c>
      <c r="C92" s="1" t="str">
        <f>data!B155</f>
        <v>HOBIVIN</v>
      </c>
      <c r="D92" s="1" t="str">
        <f>data!C155</f>
        <v>139001H</v>
      </c>
      <c r="E92" s="1" t="str">
        <f>data!D92</f>
        <v>VDT. CUVEE LEON étiq perso scaeL</v>
      </c>
      <c r="F92" s="14">
        <f>SUMIFS(data!G:G,data!A:A,TABLEAU!B92,data!C:C,TABLEAU!D92,data!F:F,YEAR(Feuil1!$D$1))</f>
        <v>2200.92</v>
      </c>
      <c r="G92" s="9">
        <f>SUMIFS(data!G:G,data!A:A,TABLEAU!B92,data!C:C,TABLEAU!D92,data!F:F,YEAR(Feuil1!$D$2))</f>
        <v>2132.52</v>
      </c>
      <c r="H92" s="9">
        <f t="shared" si="4"/>
        <v>68.400000000000091</v>
      </c>
      <c r="I92" s="12">
        <f t="shared" si="5"/>
        <v>3.2074728490236945E-2</v>
      </c>
      <c r="J92" s="13">
        <f>SUMIFS(data!E:E,data!A:A,TABLEAU!B92,data!C:C,TABLEAU!D92,data!F:F,YEAR(Feuil1!$D$1))</f>
        <v>648</v>
      </c>
      <c r="K92" s="13">
        <f>SUMIFS(data!E:E,data!A:A,TABLEAU!B92,data!C:C,TABLEAU!D92,data!F:F,YEAR(Feuil1!$D$2))</f>
        <v>642</v>
      </c>
      <c r="L92" s="13">
        <f t="shared" si="6"/>
        <v>6</v>
      </c>
      <c r="M92" s="12">
        <f t="shared" si="7"/>
        <v>9.3457943925233638E-3</v>
      </c>
    </row>
    <row r="93" spans="1:13" x14ac:dyDescent="0.25">
      <c r="A93" s="17" t="str">
        <f>data!H157</f>
        <v>VINICOM</v>
      </c>
      <c r="B93" s="15" t="str">
        <f>data!A157</f>
        <v>003517</v>
      </c>
      <c r="C93" s="1" t="str">
        <f>data!B157</f>
        <v>HOBIVIN</v>
      </c>
      <c r="D93" s="1" t="str">
        <f>data!C157</f>
        <v>139002H</v>
      </c>
      <c r="E93" s="1" t="str">
        <f>data!D93</f>
        <v>VDP MERLOT C. GALLICIAN</v>
      </c>
      <c r="F93" s="14">
        <f>SUMIFS(data!G:G,data!A:A,TABLEAU!B93,data!C:C,TABLEAU!D93,data!F:F,YEAR(Feuil1!$D$1))</f>
        <v>535.44000000000005</v>
      </c>
      <c r="G93" s="9">
        <f>SUMIFS(data!G:G,data!A:A,TABLEAU!B93,data!C:C,TABLEAU!D93,data!F:F,YEAR(Feuil1!$D$2))</f>
        <v>974.64</v>
      </c>
      <c r="H93" s="9">
        <f t="shared" si="4"/>
        <v>-439.19999999999993</v>
      </c>
      <c r="I93" s="12">
        <f t="shared" si="5"/>
        <v>-0.45062792415661163</v>
      </c>
      <c r="J93" s="13">
        <f>SUMIFS(data!E:E,data!A:A,TABLEAU!B93,data!C:C,TABLEAU!D93,data!F:F,YEAR(Feuil1!$D$1))</f>
        <v>138</v>
      </c>
      <c r="K93" s="13">
        <f>SUMIFS(data!E:E,data!A:A,TABLEAU!B93,data!C:C,TABLEAU!D93,data!F:F,YEAR(Feuil1!$D$2))</f>
        <v>270</v>
      </c>
      <c r="L93" s="13">
        <f t="shared" si="6"/>
        <v>-132</v>
      </c>
      <c r="M93" s="12">
        <f t="shared" si="7"/>
        <v>-0.48888888888888887</v>
      </c>
    </row>
    <row r="94" spans="1:13" x14ac:dyDescent="0.25">
      <c r="A94" s="17" t="str">
        <f>data!H159</f>
        <v>VINICOM</v>
      </c>
      <c r="B94" s="15" t="str">
        <f>data!A159</f>
        <v>003517</v>
      </c>
      <c r="C94" s="1" t="str">
        <f>data!B159</f>
        <v>HOBIVIN</v>
      </c>
      <c r="D94" s="1" t="str">
        <f>data!C159</f>
        <v>142001H</v>
      </c>
      <c r="E94" s="1" t="str">
        <f>data!D94</f>
        <v>VDP MERLOT C. GALLICIAN</v>
      </c>
      <c r="F94" s="14">
        <f>SUMIFS(data!G:G,data!A:A,TABLEAU!B94,data!C:C,TABLEAU!D94,data!F:F,YEAR(Feuil1!$D$1))</f>
        <v>759.3</v>
      </c>
      <c r="G94" s="9">
        <f>SUMIFS(data!G:G,data!A:A,TABLEAU!B94,data!C:C,TABLEAU!D94,data!F:F,YEAR(Feuil1!$D$2))</f>
        <v>1181.6400000000001</v>
      </c>
      <c r="H94" s="9">
        <f t="shared" si="4"/>
        <v>-422.34000000000015</v>
      </c>
      <c r="I94" s="12">
        <f t="shared" si="5"/>
        <v>-0.35741850309739015</v>
      </c>
      <c r="J94" s="13">
        <f>SUMIFS(data!E:E,data!A:A,TABLEAU!B94,data!C:C,TABLEAU!D94,data!F:F,YEAR(Feuil1!$D$1))</f>
        <v>240</v>
      </c>
      <c r="K94" s="13">
        <f>SUMIFS(data!E:E,data!A:A,TABLEAU!B94,data!C:C,TABLEAU!D94,data!F:F,YEAR(Feuil1!$D$2))</f>
        <v>366</v>
      </c>
      <c r="L94" s="13">
        <f t="shared" si="6"/>
        <v>-126</v>
      </c>
      <c r="M94" s="12">
        <f t="shared" si="7"/>
        <v>-0.34426229508196721</v>
      </c>
    </row>
    <row r="95" spans="1:13" x14ac:dyDescent="0.25">
      <c r="A95" s="17" t="str">
        <f>data!H161</f>
        <v>VINICOM</v>
      </c>
      <c r="B95" s="15" t="str">
        <f>data!A161</f>
        <v>003517</v>
      </c>
      <c r="C95" s="1" t="str">
        <f>data!B161</f>
        <v>HOBIVIN</v>
      </c>
      <c r="D95" s="1" t="str">
        <f>data!C161</f>
        <v>142002H</v>
      </c>
      <c r="E95" s="1" t="str">
        <f>data!D95</f>
        <v>VDT. CUVEE FIOJOLI étiq perso scaeL</v>
      </c>
      <c r="F95" s="14">
        <f>SUMIFS(data!G:G,data!A:A,TABLEAU!B95,data!C:C,TABLEAU!D95,data!F:F,YEAR(Feuil1!$D$1))</f>
        <v>671.25</v>
      </c>
      <c r="G95" s="9">
        <f>SUMIFS(data!G:G,data!A:A,TABLEAU!B95,data!C:C,TABLEAU!D95,data!F:F,YEAR(Feuil1!$D$2))</f>
        <v>261.3</v>
      </c>
      <c r="H95" s="9">
        <f t="shared" si="4"/>
        <v>409.95</v>
      </c>
      <c r="I95" s="12">
        <f t="shared" si="5"/>
        <v>1.568886337543054</v>
      </c>
      <c r="J95" s="13">
        <f>SUMIFS(data!E:E,data!A:A,TABLEAU!B95,data!C:C,TABLEAU!D95,data!F:F,YEAR(Feuil1!$D$1))</f>
        <v>210</v>
      </c>
      <c r="K95" s="13">
        <f>SUMIFS(data!E:E,data!A:A,TABLEAU!B95,data!C:C,TABLEAU!D95,data!F:F,YEAR(Feuil1!$D$2))</f>
        <v>84</v>
      </c>
      <c r="L95" s="13">
        <f t="shared" si="6"/>
        <v>126</v>
      </c>
      <c r="M95" s="12">
        <f t="shared" si="7"/>
        <v>1.5</v>
      </c>
    </row>
    <row r="96" spans="1:13" x14ac:dyDescent="0.25">
      <c r="A96" s="17" t="str">
        <f>data!H163</f>
        <v>VINICOM</v>
      </c>
      <c r="B96" s="15" t="str">
        <f>data!A163</f>
        <v>003517</v>
      </c>
      <c r="C96" s="1" t="str">
        <f>data!B163</f>
        <v>HOBIVIN</v>
      </c>
      <c r="D96" s="1" t="str">
        <f>data!C163</f>
        <v>142003H</v>
      </c>
      <c r="E96" s="1" t="str">
        <f>data!D96</f>
        <v>VDT. CUVEE FIOJOLI étiq perso scaeL</v>
      </c>
      <c r="F96" s="14">
        <f>SUMIFS(data!G:G,data!A:A,TABLEAU!B96,data!C:C,TABLEAU!D96,data!F:F,YEAR(Feuil1!$D$1))</f>
        <v>784.08</v>
      </c>
      <c r="G96" s="9">
        <f>SUMIFS(data!G:G,data!A:A,TABLEAU!B96,data!C:C,TABLEAU!D96,data!F:F,YEAR(Feuil1!$D$2))</f>
        <v>196.02</v>
      </c>
      <c r="H96" s="9">
        <f t="shared" si="4"/>
        <v>588.06000000000006</v>
      </c>
      <c r="I96" s="12">
        <f t="shared" si="5"/>
        <v>3</v>
      </c>
      <c r="J96" s="13">
        <f>SUMIFS(data!E:E,data!A:A,TABLEAU!B96,data!C:C,TABLEAU!D96,data!F:F,YEAR(Feuil1!$D$1))</f>
        <v>222</v>
      </c>
      <c r="K96" s="13">
        <f>SUMIFS(data!E:E,data!A:A,TABLEAU!B96,data!C:C,TABLEAU!D96,data!F:F,YEAR(Feuil1!$D$2))</f>
        <v>54</v>
      </c>
      <c r="L96" s="13">
        <f t="shared" si="6"/>
        <v>168</v>
      </c>
      <c r="M96" s="12">
        <f t="shared" si="7"/>
        <v>3.1111111111111112</v>
      </c>
    </row>
    <row r="97" spans="1:13" x14ac:dyDescent="0.25">
      <c r="A97" s="17" t="str">
        <f>data!H165</f>
        <v>VINICOM</v>
      </c>
      <c r="B97" s="15" t="str">
        <f>data!A165</f>
        <v>003517</v>
      </c>
      <c r="C97" s="1" t="str">
        <f>data!B165</f>
        <v>HOBIVIN</v>
      </c>
      <c r="D97" s="1" t="str">
        <f>data!C165</f>
        <v>142004H</v>
      </c>
      <c r="E97" s="1" t="str">
        <f>data!D97</f>
        <v>AC COSTIERES DE NIMES</v>
      </c>
      <c r="F97" s="14">
        <f>SUMIFS(data!G:G,data!A:A,TABLEAU!B97,data!C:C,TABLEAU!D97,data!F:F,YEAR(Feuil1!$D$1))</f>
        <v>111.9</v>
      </c>
      <c r="G97" s="9">
        <f>SUMIFS(data!G:G,data!A:A,TABLEAU!B97,data!C:C,TABLEAU!D97,data!F:F,YEAR(Feuil1!$D$2))</f>
        <v>757.02</v>
      </c>
      <c r="H97" s="9">
        <f t="shared" si="4"/>
        <v>-645.12</v>
      </c>
      <c r="I97" s="12">
        <f t="shared" si="5"/>
        <v>-0.85218356186098121</v>
      </c>
      <c r="J97" s="13">
        <f>SUMIFS(data!E:E,data!A:A,TABLEAU!B97,data!C:C,TABLEAU!D97,data!F:F,YEAR(Feuil1!$D$1))</f>
        <v>36</v>
      </c>
      <c r="K97" s="13">
        <f>SUMIFS(data!E:E,data!A:A,TABLEAU!B97,data!C:C,TABLEAU!D97,data!F:F,YEAR(Feuil1!$D$2))</f>
        <v>222</v>
      </c>
      <c r="L97" s="13">
        <f t="shared" si="6"/>
        <v>-186</v>
      </c>
      <c r="M97" s="12">
        <f t="shared" si="7"/>
        <v>-0.83783783783783783</v>
      </c>
    </row>
    <row r="98" spans="1:13" x14ac:dyDescent="0.25">
      <c r="A98" s="17" t="str">
        <f>data!H167</f>
        <v>VINICOM</v>
      </c>
      <c r="B98" s="15" t="str">
        <f>data!A167</f>
        <v>003517</v>
      </c>
      <c r="C98" s="1" t="str">
        <f>data!B167</f>
        <v>HOBIVIN</v>
      </c>
      <c r="D98" s="1" t="str">
        <f>data!C167</f>
        <v>142005H</v>
      </c>
      <c r="E98" s="1" t="str">
        <f>data!D98</f>
        <v>IGP GARD GALLICIAN</v>
      </c>
      <c r="F98" s="14">
        <f>SUMIFS(data!G:G,data!A:A,TABLEAU!B98,data!C:C,TABLEAU!D98,data!F:F,YEAR(Feuil1!$D$1))</f>
        <v>0</v>
      </c>
      <c r="G98" s="9">
        <f>SUMIFS(data!G:G,data!A:A,TABLEAU!B98,data!C:C,TABLEAU!D98,data!F:F,YEAR(Feuil1!$D$2))</f>
        <v>236.4</v>
      </c>
      <c r="H98" s="9">
        <f t="shared" si="4"/>
        <v>-236.4</v>
      </c>
      <c r="I98" s="12">
        <f t="shared" si="5"/>
        <v>-1</v>
      </c>
      <c r="J98" s="13">
        <f>SUMIFS(data!E:E,data!A:A,TABLEAU!B98,data!C:C,TABLEAU!D98,data!F:F,YEAR(Feuil1!$D$1))</f>
        <v>0</v>
      </c>
      <c r="K98" s="13">
        <f>SUMIFS(data!E:E,data!A:A,TABLEAU!B98,data!C:C,TABLEAU!D98,data!F:F,YEAR(Feuil1!$D$2))</f>
        <v>66</v>
      </c>
      <c r="L98" s="13">
        <f t="shared" si="6"/>
        <v>-66</v>
      </c>
      <c r="M98" s="12">
        <f t="shared" si="7"/>
        <v>-1</v>
      </c>
    </row>
    <row r="99" spans="1:13" x14ac:dyDescent="0.25">
      <c r="A99" s="17" t="str">
        <f>data!H168</f>
        <v>VINICOM</v>
      </c>
      <c r="B99" s="15" t="str">
        <f>data!A168</f>
        <v>003517</v>
      </c>
      <c r="C99" s="1" t="str">
        <f>data!B168</f>
        <v>HOBIVIN</v>
      </c>
      <c r="D99" s="1" t="str">
        <f>data!C168</f>
        <v>151001H</v>
      </c>
      <c r="E99" s="1" t="str">
        <f>data!D99</f>
        <v>IGP D'OC MERLOT - CARTON GALLICIAN</v>
      </c>
      <c r="F99" s="14">
        <f>SUMIFS(data!G:G,data!A:A,TABLEAU!B99,data!C:C,TABLEAU!D99,data!F:F,YEAR(Feuil1!$D$1))</f>
        <v>1755.36</v>
      </c>
      <c r="G99" s="9">
        <f>SUMIFS(data!G:G,data!A:A,TABLEAU!B99,data!C:C,TABLEAU!D99,data!F:F,YEAR(Feuil1!$D$2))</f>
        <v>1722.66</v>
      </c>
      <c r="H99" s="9">
        <f t="shared" si="4"/>
        <v>32.699999999999818</v>
      </c>
      <c r="I99" s="12">
        <f t="shared" si="5"/>
        <v>1.8982271603218172E-2</v>
      </c>
      <c r="J99" s="13">
        <f>SUMIFS(data!E:E,data!A:A,TABLEAU!B99,data!C:C,TABLEAU!D99,data!F:F,YEAR(Feuil1!$D$1))</f>
        <v>144</v>
      </c>
      <c r="K99" s="13">
        <f>SUMIFS(data!E:E,data!A:A,TABLEAU!B99,data!C:C,TABLEAU!D99,data!F:F,YEAR(Feuil1!$D$2))</f>
        <v>150</v>
      </c>
      <c r="L99" s="13">
        <f t="shared" si="6"/>
        <v>-6</v>
      </c>
      <c r="M99" s="12">
        <f t="shared" si="7"/>
        <v>-0.04</v>
      </c>
    </row>
    <row r="100" spans="1:13" x14ac:dyDescent="0.25">
      <c r="A100" s="17" t="str">
        <f>data!H170</f>
        <v>VINICOM</v>
      </c>
      <c r="B100" s="15" t="str">
        <f>data!A170</f>
        <v>003517</v>
      </c>
      <c r="C100" s="1" t="str">
        <f>data!B170</f>
        <v>HOBIVIN</v>
      </c>
      <c r="D100" s="1" t="str">
        <f>data!C170</f>
        <v>151002H</v>
      </c>
      <c r="E100" s="1" t="str">
        <f>data!D100</f>
        <v>IGP OC MERLOT</v>
      </c>
      <c r="F100" s="14">
        <f>SUMIFS(data!G:G,data!A:A,TABLEAU!B100,data!C:C,TABLEAU!D100,data!F:F,YEAR(Feuil1!$D$1))</f>
        <v>536.4</v>
      </c>
      <c r="G100" s="9">
        <f>SUMIFS(data!G:G,data!A:A,TABLEAU!B100,data!C:C,TABLEAU!D100,data!F:F,YEAR(Feuil1!$D$2))</f>
        <v>349.8</v>
      </c>
      <c r="H100" s="9">
        <f t="shared" si="4"/>
        <v>186.59999999999997</v>
      </c>
      <c r="I100" s="12">
        <f t="shared" si="5"/>
        <v>0.53344768439108048</v>
      </c>
      <c r="J100" s="13">
        <f>SUMIFS(data!E:E,data!A:A,TABLEAU!B100,data!C:C,TABLEAU!D100,data!F:F,YEAR(Feuil1!$D$1))</f>
        <v>60</v>
      </c>
      <c r="K100" s="13">
        <f>SUMIFS(data!E:E,data!A:A,TABLEAU!B100,data!C:C,TABLEAU!D100,data!F:F,YEAR(Feuil1!$D$2))</f>
        <v>42</v>
      </c>
      <c r="L100" s="13">
        <f t="shared" si="6"/>
        <v>18</v>
      </c>
      <c r="M100" s="12">
        <f t="shared" si="7"/>
        <v>0.42857142857142855</v>
      </c>
    </row>
    <row r="101" spans="1:13" x14ac:dyDescent="0.25">
      <c r="A101" s="17" t="str">
        <f>data!H172</f>
        <v>VINICOM</v>
      </c>
      <c r="B101" s="15" t="str">
        <f>data!A172</f>
        <v>003517</v>
      </c>
      <c r="C101" s="1" t="str">
        <f>data!B172</f>
        <v>HOBIVIN</v>
      </c>
      <c r="D101" s="1" t="str">
        <f>data!C172</f>
        <v>151003H</v>
      </c>
      <c r="E101" s="1" t="str">
        <f>data!D101</f>
        <v>IGP CEVENNES PIERRES CHAUDES</v>
      </c>
      <c r="F101" s="14">
        <f>SUMIFS(data!G:G,data!A:A,TABLEAU!B101,data!C:C,TABLEAU!D101,data!F:F,YEAR(Feuil1!$D$1))</f>
        <v>877.68</v>
      </c>
      <c r="G101" s="9">
        <f>SUMIFS(data!G:G,data!A:A,TABLEAU!B101,data!C:C,TABLEAU!D101,data!F:F,YEAR(Feuil1!$D$2))</f>
        <v>0</v>
      </c>
      <c r="H101" s="9">
        <f t="shared" si="4"/>
        <v>877.68</v>
      </c>
      <c r="I101" s="12" t="str">
        <f t="shared" si="5"/>
        <v/>
      </c>
      <c r="J101" s="13">
        <f>SUMIFS(data!E:E,data!A:A,TABLEAU!B101,data!C:C,TABLEAU!D101,data!F:F,YEAR(Feuil1!$D$1))</f>
        <v>72</v>
      </c>
      <c r="K101" s="13">
        <f>SUMIFS(data!E:E,data!A:A,TABLEAU!B101,data!C:C,TABLEAU!D101,data!F:F,YEAR(Feuil1!$D$2))</f>
        <v>0</v>
      </c>
      <c r="L101" s="13">
        <f t="shared" si="6"/>
        <v>72</v>
      </c>
      <c r="M101" s="12" t="str">
        <f t="shared" si="7"/>
        <v/>
      </c>
    </row>
    <row r="102" spans="1:13" x14ac:dyDescent="0.25">
      <c r="A102" s="17" t="str">
        <f>data!H173</f>
        <v>VINICOM</v>
      </c>
      <c r="B102" s="15" t="str">
        <f>data!A173</f>
        <v>003517</v>
      </c>
      <c r="C102" s="1" t="str">
        <f>data!B173</f>
        <v>HOBIVIN</v>
      </c>
      <c r="D102" s="1" t="str">
        <f>data!C173</f>
        <v>154001H</v>
      </c>
      <c r="E102" s="1" t="str">
        <f>data!D102</f>
        <v>IGP CEVENNES LES FRIGOULIERS DME CAMP GALHAN</v>
      </c>
      <c r="F102" s="14">
        <f>SUMIFS(data!G:G,data!A:A,TABLEAU!B102,data!C:C,TABLEAU!D102,data!F:F,YEAR(Feuil1!$D$1))</f>
        <v>1697.76</v>
      </c>
      <c r="G102" s="9">
        <f>SUMIFS(data!G:G,data!A:A,TABLEAU!B102,data!C:C,TABLEAU!D102,data!F:F,YEAR(Feuil1!$D$2))</f>
        <v>4039.68</v>
      </c>
      <c r="H102" s="9">
        <f t="shared" si="4"/>
        <v>-2341.92</v>
      </c>
      <c r="I102" s="12">
        <f t="shared" si="5"/>
        <v>-0.57972908745247154</v>
      </c>
      <c r="J102" s="13">
        <f>SUMIFS(data!E:E,data!A:A,TABLEAU!B102,data!C:C,TABLEAU!D102,data!F:F,YEAR(Feuil1!$D$1))</f>
        <v>186</v>
      </c>
      <c r="K102" s="13">
        <f>SUMIFS(data!E:E,data!A:A,TABLEAU!B102,data!C:C,TABLEAU!D102,data!F:F,YEAR(Feuil1!$D$2))</f>
        <v>462</v>
      </c>
      <c r="L102" s="13">
        <f t="shared" si="6"/>
        <v>-276</v>
      </c>
      <c r="M102" s="12">
        <f t="shared" si="7"/>
        <v>-0.59740259740259738</v>
      </c>
    </row>
    <row r="103" spans="1:13" x14ac:dyDescent="0.25">
      <c r="A103" s="17" t="str">
        <f>data!H175</f>
        <v>VINICOM</v>
      </c>
      <c r="B103" s="15" t="str">
        <f>data!A175</f>
        <v>003517</v>
      </c>
      <c r="C103" s="1" t="str">
        <f>data!B175</f>
        <v>HOBIVIN</v>
      </c>
      <c r="D103" s="1" t="str">
        <f>data!C175</f>
        <v>154003H</v>
      </c>
      <c r="E103" s="1" t="str">
        <f>data!D103</f>
        <v>IGP CEVENNES LES FRIGOULIERS DME CAMP GALHAN</v>
      </c>
      <c r="F103" s="14">
        <f>SUMIFS(data!G:G,data!A:A,TABLEAU!B103,data!C:C,TABLEAU!D103,data!F:F,YEAR(Feuil1!$D$1))</f>
        <v>0</v>
      </c>
      <c r="G103" s="9">
        <f>SUMIFS(data!G:G,data!A:A,TABLEAU!B103,data!C:C,TABLEAU!D103,data!F:F,YEAR(Feuil1!$D$2))</f>
        <v>0</v>
      </c>
      <c r="H103" s="9">
        <f t="shared" si="4"/>
        <v>0</v>
      </c>
      <c r="I103" s="12" t="str">
        <f t="shared" si="5"/>
        <v/>
      </c>
      <c r="J103" s="13">
        <f>SUMIFS(data!E:E,data!A:A,TABLEAU!B103,data!C:C,TABLEAU!D103,data!F:F,YEAR(Feuil1!$D$1))</f>
        <v>6</v>
      </c>
      <c r="K103" s="13">
        <f>SUMIFS(data!E:E,data!A:A,TABLEAU!B103,data!C:C,TABLEAU!D103,data!F:F,YEAR(Feuil1!$D$2))</f>
        <v>18</v>
      </c>
      <c r="L103" s="13">
        <f t="shared" si="6"/>
        <v>-12</v>
      </c>
      <c r="M103" s="12">
        <f t="shared" si="7"/>
        <v>-0.66666666666666663</v>
      </c>
    </row>
    <row r="104" spans="1:13" x14ac:dyDescent="0.25">
      <c r="A104" s="17" t="str">
        <f>data!H177</f>
        <v>VINICOM</v>
      </c>
      <c r="B104" s="15" t="str">
        <f>data!A177</f>
        <v>003517</v>
      </c>
      <c r="C104" s="1" t="str">
        <f>data!B177</f>
        <v>HOBIVIN</v>
      </c>
      <c r="D104" s="1" t="str">
        <f>data!C177</f>
        <v>156001H</v>
      </c>
      <c r="E104" s="1" t="str">
        <f>data!D104</f>
        <v>IGP CEVENNES LES FRIGOULIERS DME CAMP GALHAN</v>
      </c>
      <c r="F104" s="14">
        <f>SUMIFS(data!G:G,data!A:A,TABLEAU!B104,data!C:C,TABLEAU!D104,data!F:F,YEAR(Feuil1!$D$1))</f>
        <v>2225.19</v>
      </c>
      <c r="G104" s="9">
        <f>SUMIFS(data!G:G,data!A:A,TABLEAU!B104,data!C:C,TABLEAU!D104,data!F:F,YEAR(Feuil1!$D$2))</f>
        <v>2157.7600000000002</v>
      </c>
      <c r="H104" s="9">
        <f t="shared" si="4"/>
        <v>67.429999999999836</v>
      </c>
      <c r="I104" s="12">
        <f t="shared" si="5"/>
        <v>3.124999999999992E-2</v>
      </c>
      <c r="J104" s="13">
        <f>SUMIFS(data!E:E,data!A:A,TABLEAU!B104,data!C:C,TABLEAU!D104,data!F:F,YEAR(Feuil1!$D$1))</f>
        <v>1444</v>
      </c>
      <c r="K104" s="13">
        <f>SUMIFS(data!E:E,data!A:A,TABLEAU!B104,data!C:C,TABLEAU!D104,data!F:F,YEAR(Feuil1!$D$2))</f>
        <v>1440</v>
      </c>
      <c r="L104" s="13">
        <f t="shared" si="6"/>
        <v>4</v>
      </c>
      <c r="M104" s="12">
        <f t="shared" si="7"/>
        <v>2.7777777777777779E-3</v>
      </c>
    </row>
    <row r="105" spans="1:13" x14ac:dyDescent="0.25">
      <c r="A105" s="17" t="str">
        <f>data!H179</f>
        <v>VINICOM</v>
      </c>
      <c r="B105" s="15" t="str">
        <f>data!A179</f>
        <v>003517</v>
      </c>
      <c r="C105" s="1" t="str">
        <f>data!B179</f>
        <v>HOBIVIN</v>
      </c>
      <c r="D105" s="1" t="str">
        <f>data!C179</f>
        <v>158001H</v>
      </c>
      <c r="E105" s="1" t="str">
        <f>data!D105</f>
        <v>IGP CEVENNES LES FRIGOULIERS DME CAMP GALHAN</v>
      </c>
      <c r="F105" s="14">
        <f>SUMIFS(data!G:G,data!A:A,TABLEAU!B105,data!C:C,TABLEAU!D105,data!F:F,YEAR(Feuil1!$D$1))</f>
        <v>4761.0600000000004</v>
      </c>
      <c r="G105" s="9">
        <f>SUMIFS(data!G:G,data!A:A,TABLEAU!B105,data!C:C,TABLEAU!D105,data!F:F,YEAR(Feuil1!$D$2))</f>
        <v>8365.92</v>
      </c>
      <c r="H105" s="9">
        <f t="shared" si="4"/>
        <v>-3604.8599999999997</v>
      </c>
      <c r="I105" s="12">
        <f t="shared" si="5"/>
        <v>-0.43089821561764868</v>
      </c>
      <c r="J105" s="13">
        <f>SUMIFS(data!E:E,data!A:A,TABLEAU!B105,data!C:C,TABLEAU!D105,data!F:F,YEAR(Feuil1!$D$1))</f>
        <v>726</v>
      </c>
      <c r="K105" s="13">
        <f>SUMIFS(data!E:E,data!A:A,TABLEAU!B105,data!C:C,TABLEAU!D105,data!F:F,YEAR(Feuil1!$D$2))</f>
        <v>1290</v>
      </c>
      <c r="L105" s="13">
        <f t="shared" si="6"/>
        <v>-564</v>
      </c>
      <c r="M105" s="12">
        <f t="shared" si="7"/>
        <v>-0.43720930232558142</v>
      </c>
    </row>
    <row r="106" spans="1:13" x14ac:dyDescent="0.25">
      <c r="A106" s="17" t="str">
        <f>data!H181</f>
        <v>VINICOM</v>
      </c>
      <c r="B106" s="15" t="str">
        <f>data!A181</f>
        <v>003517</v>
      </c>
      <c r="C106" s="1" t="str">
        <f>data!B181</f>
        <v>HOBIVIN</v>
      </c>
      <c r="D106" s="1" t="str">
        <f>data!C181</f>
        <v>159001H</v>
      </c>
      <c r="E106" s="1" t="str">
        <f>data!D106</f>
        <v>IGP CEVENNES LES FRIGOULIERS 100% CHARDONNAY DME C</v>
      </c>
      <c r="F106" s="14">
        <f>SUMIFS(data!G:G,data!A:A,TABLEAU!B106,data!C:C,TABLEAU!D106,data!F:F,YEAR(Feuil1!$D$1))</f>
        <v>3768.57</v>
      </c>
      <c r="G106" s="9">
        <f>SUMIFS(data!G:G,data!A:A,TABLEAU!B106,data!C:C,TABLEAU!D106,data!F:F,YEAR(Feuil1!$D$2))</f>
        <v>3937.92</v>
      </c>
      <c r="H106" s="9">
        <f t="shared" si="4"/>
        <v>-169.34999999999991</v>
      </c>
      <c r="I106" s="12">
        <f t="shared" si="5"/>
        <v>-4.3004936616284718E-2</v>
      </c>
      <c r="J106" s="13">
        <f>SUMIFS(data!E:E,data!A:A,TABLEAU!B106,data!C:C,TABLEAU!D106,data!F:F,YEAR(Feuil1!$D$1))</f>
        <v>588</v>
      </c>
      <c r="K106" s="13">
        <f>SUMIFS(data!E:E,data!A:A,TABLEAU!B106,data!C:C,TABLEAU!D106,data!F:F,YEAR(Feuil1!$D$2))</f>
        <v>612</v>
      </c>
      <c r="L106" s="13">
        <f t="shared" si="6"/>
        <v>-24</v>
      </c>
      <c r="M106" s="12">
        <f t="shared" si="7"/>
        <v>-3.9215686274509803E-2</v>
      </c>
    </row>
    <row r="107" spans="1:13" x14ac:dyDescent="0.25">
      <c r="A107" s="17" t="str">
        <f>data!H183</f>
        <v>VINICOM</v>
      </c>
      <c r="B107" s="15" t="str">
        <f>data!A183</f>
        <v>003517</v>
      </c>
      <c r="C107" s="1" t="str">
        <f>data!B183</f>
        <v>HOBIVIN</v>
      </c>
      <c r="D107" s="1" t="str">
        <f>data!C183</f>
        <v>159002H</v>
      </c>
      <c r="E107" s="1" t="str">
        <f>data!D107</f>
        <v>DME CP-GALHAN VDP DUCHE D'UZES AMANLIE</v>
      </c>
      <c r="F107" s="14">
        <f>SUMIFS(data!G:G,data!A:A,TABLEAU!B107,data!C:C,TABLEAU!D107,data!F:F,YEAR(Feuil1!$D$1))</f>
        <v>1396.35</v>
      </c>
      <c r="G107" s="9">
        <f>SUMIFS(data!G:G,data!A:A,TABLEAU!B107,data!C:C,TABLEAU!D107,data!F:F,YEAR(Feuil1!$D$2))</f>
        <v>1378.56</v>
      </c>
      <c r="H107" s="9">
        <f t="shared" si="4"/>
        <v>17.789999999999964</v>
      </c>
      <c r="I107" s="12">
        <f t="shared" si="5"/>
        <v>1.2904770194986046E-2</v>
      </c>
      <c r="J107" s="13">
        <f>SUMIFS(data!E:E,data!A:A,TABLEAU!B107,data!C:C,TABLEAU!D107,data!F:F,YEAR(Feuil1!$D$1))</f>
        <v>216</v>
      </c>
      <c r="K107" s="13">
        <f>SUMIFS(data!E:E,data!A:A,TABLEAU!B107,data!C:C,TABLEAU!D107,data!F:F,YEAR(Feuil1!$D$2))</f>
        <v>204</v>
      </c>
      <c r="L107" s="13">
        <f t="shared" si="6"/>
        <v>12</v>
      </c>
      <c r="M107" s="12">
        <f t="shared" si="7"/>
        <v>5.8823529411764705E-2</v>
      </c>
    </row>
    <row r="108" spans="1:13" x14ac:dyDescent="0.25">
      <c r="A108" s="17" t="str">
        <f>data!H185</f>
        <v>VINICOM</v>
      </c>
      <c r="B108" s="15" t="str">
        <f>data!A185</f>
        <v>003517</v>
      </c>
      <c r="C108" s="1" t="str">
        <f>data!B185</f>
        <v>HOBIVIN</v>
      </c>
      <c r="D108" s="1" t="str">
        <f>data!C185</f>
        <v>160001H</v>
      </c>
      <c r="E108" s="1" t="str">
        <f>data!D108</f>
        <v>DME CP-GALHAN VDP DUCHE D'UZES AMANLIE</v>
      </c>
      <c r="F108" s="14">
        <f>SUMIFS(data!G:G,data!A:A,TABLEAU!B108,data!C:C,TABLEAU!D108,data!F:F,YEAR(Feuil1!$D$1))</f>
        <v>1746.36</v>
      </c>
      <c r="G108" s="9">
        <f>SUMIFS(data!G:G,data!A:A,TABLEAU!B108,data!C:C,TABLEAU!D108,data!F:F,YEAR(Feuil1!$D$2))</f>
        <v>3116.82</v>
      </c>
      <c r="H108" s="9">
        <f t="shared" si="4"/>
        <v>-1370.4600000000003</v>
      </c>
      <c r="I108" s="12">
        <f t="shared" si="5"/>
        <v>-0.43969815388761629</v>
      </c>
      <c r="J108" s="13">
        <f>SUMIFS(data!E:E,data!A:A,TABLEAU!B108,data!C:C,TABLEAU!D108,data!F:F,YEAR(Feuil1!$D$1))</f>
        <v>312</v>
      </c>
      <c r="K108" s="13">
        <f>SUMIFS(data!E:E,data!A:A,TABLEAU!B108,data!C:C,TABLEAU!D108,data!F:F,YEAR(Feuil1!$D$2))</f>
        <v>522</v>
      </c>
      <c r="L108" s="13">
        <f t="shared" si="6"/>
        <v>-210</v>
      </c>
      <c r="M108" s="12">
        <f t="shared" si="7"/>
        <v>-0.40229885057471265</v>
      </c>
    </row>
    <row r="109" spans="1:13" x14ac:dyDescent="0.25">
      <c r="A109" s="17" t="str">
        <f>data!H187</f>
        <v>VINICOM</v>
      </c>
      <c r="B109" s="15" t="str">
        <f>data!A187</f>
        <v>003517</v>
      </c>
      <c r="C109" s="1" t="str">
        <f>data!B187</f>
        <v>HOBIVIN</v>
      </c>
      <c r="D109" s="1" t="str">
        <f>data!C187</f>
        <v>160002H</v>
      </c>
      <c r="E109" s="1" t="str">
        <f>data!D109</f>
        <v>AOP DUCHE D'UZES LES PERRASSIERES DME CAMP GALHAN</v>
      </c>
      <c r="F109" s="14">
        <f>SUMIFS(data!G:G,data!A:A,TABLEAU!B109,data!C:C,TABLEAU!D109,data!F:F,YEAR(Feuil1!$D$1))</f>
        <v>1347.84</v>
      </c>
      <c r="G109" s="9">
        <f>SUMIFS(data!G:G,data!A:A,TABLEAU!B109,data!C:C,TABLEAU!D109,data!F:F,YEAR(Feuil1!$D$2))</f>
        <v>1444.8</v>
      </c>
      <c r="H109" s="9">
        <f t="shared" si="4"/>
        <v>-96.960000000000036</v>
      </c>
      <c r="I109" s="12">
        <f t="shared" si="5"/>
        <v>-6.7109634551495045E-2</v>
      </c>
      <c r="J109" s="13">
        <f>SUMIFS(data!E:E,data!A:A,TABLEAU!B109,data!C:C,TABLEAU!D109,data!F:F,YEAR(Feuil1!$D$1))</f>
        <v>480</v>
      </c>
      <c r="K109" s="13">
        <f>SUMIFS(data!E:E,data!A:A,TABLEAU!B109,data!C:C,TABLEAU!D109,data!F:F,YEAR(Feuil1!$D$2))</f>
        <v>522</v>
      </c>
      <c r="L109" s="13">
        <f t="shared" si="6"/>
        <v>-42</v>
      </c>
      <c r="M109" s="12">
        <f t="shared" si="7"/>
        <v>-8.0459770114942528E-2</v>
      </c>
    </row>
    <row r="110" spans="1:13" x14ac:dyDescent="0.25">
      <c r="A110" s="17" t="str">
        <f>data!H189</f>
        <v>VINICOM</v>
      </c>
      <c r="B110" s="15" t="str">
        <f>data!A189</f>
        <v>003517</v>
      </c>
      <c r="C110" s="1" t="str">
        <f>data!B189</f>
        <v>HOBIVIN</v>
      </c>
      <c r="D110" s="1" t="str">
        <f>data!C189</f>
        <v>160004H</v>
      </c>
      <c r="E110" s="1" t="str">
        <f>data!D110</f>
        <v>AOP DUCHE D'UZES LES PERRASSIERES DME CAMP GALHAN</v>
      </c>
      <c r="F110" s="14">
        <f>SUMIFS(data!G:G,data!A:A,TABLEAU!B110,data!C:C,TABLEAU!D110,data!F:F,YEAR(Feuil1!$D$1))</f>
        <v>239.76</v>
      </c>
      <c r="G110" s="9">
        <f>SUMIFS(data!G:G,data!A:A,TABLEAU!B110,data!C:C,TABLEAU!D110,data!F:F,YEAR(Feuil1!$D$2))</f>
        <v>0</v>
      </c>
      <c r="H110" s="9">
        <f t="shared" si="4"/>
        <v>239.76</v>
      </c>
      <c r="I110" s="12" t="str">
        <f t="shared" si="5"/>
        <v/>
      </c>
      <c r="J110" s="13">
        <f>SUMIFS(data!E:E,data!A:A,TABLEAU!B110,data!C:C,TABLEAU!D110,data!F:F,YEAR(Feuil1!$D$1))</f>
        <v>54</v>
      </c>
      <c r="K110" s="13">
        <f>SUMIFS(data!E:E,data!A:A,TABLEAU!B110,data!C:C,TABLEAU!D110,data!F:F,YEAR(Feuil1!$D$2))</f>
        <v>12</v>
      </c>
      <c r="L110" s="13">
        <f t="shared" si="6"/>
        <v>42</v>
      </c>
      <c r="M110" s="12">
        <f t="shared" si="7"/>
        <v>3.5</v>
      </c>
    </row>
    <row r="111" spans="1:13" x14ac:dyDescent="0.25">
      <c r="A111" s="17" t="str">
        <f>data!H191</f>
        <v>VINICOM</v>
      </c>
      <c r="B111" s="15" t="str">
        <f>data!A191</f>
        <v>003517</v>
      </c>
      <c r="C111" s="1" t="str">
        <f>data!B191</f>
        <v>HOBIVIN</v>
      </c>
      <c r="D111" s="1" t="str">
        <f>data!C191</f>
        <v>163001H</v>
      </c>
      <c r="E111" s="1" t="str">
        <f>data!D111</f>
        <v>AOP JURANCON SEC TRADITION</v>
      </c>
      <c r="F111" s="14">
        <f>SUMIFS(data!G:G,data!A:A,TABLEAU!B111,data!C:C,TABLEAU!D111,data!F:F,YEAR(Feuil1!$D$1))</f>
        <v>1186.08</v>
      </c>
      <c r="G111" s="9">
        <f>SUMIFS(data!G:G,data!A:A,TABLEAU!B111,data!C:C,TABLEAU!D111,data!F:F,YEAR(Feuil1!$D$2))</f>
        <v>0</v>
      </c>
      <c r="H111" s="9">
        <f t="shared" si="4"/>
        <v>1186.08</v>
      </c>
      <c r="I111" s="12" t="str">
        <f t="shared" si="5"/>
        <v/>
      </c>
      <c r="J111" s="13">
        <f>SUMIFS(data!E:E,data!A:A,TABLEAU!B111,data!C:C,TABLEAU!D111,data!F:F,YEAR(Feuil1!$D$1))</f>
        <v>192</v>
      </c>
      <c r="K111" s="13">
        <f>SUMIFS(data!E:E,data!A:A,TABLEAU!B111,data!C:C,TABLEAU!D111,data!F:F,YEAR(Feuil1!$D$2))</f>
        <v>0</v>
      </c>
      <c r="L111" s="13">
        <f t="shared" si="6"/>
        <v>192</v>
      </c>
      <c r="M111" s="12" t="str">
        <f t="shared" si="7"/>
        <v/>
      </c>
    </row>
    <row r="112" spans="1:13" x14ac:dyDescent="0.25">
      <c r="A112" s="17" t="str">
        <f>data!H192</f>
        <v>VINICOM</v>
      </c>
      <c r="B112" s="15" t="str">
        <f>data!A192</f>
        <v>003517</v>
      </c>
      <c r="C112" s="1" t="str">
        <f>data!B192</f>
        <v>HOBIVIN</v>
      </c>
      <c r="D112" s="1" t="str">
        <f>data!C192</f>
        <v>163002H</v>
      </c>
      <c r="E112" s="1" t="str">
        <f>data!D112</f>
        <v>AOP JURANCON SEC TRADITION</v>
      </c>
      <c r="F112" s="14">
        <f>SUMIFS(data!G:G,data!A:A,TABLEAU!B112,data!C:C,TABLEAU!D112,data!F:F,YEAR(Feuil1!$D$1))</f>
        <v>2279.64</v>
      </c>
      <c r="G112" s="9">
        <f>SUMIFS(data!G:G,data!A:A,TABLEAU!B112,data!C:C,TABLEAU!D112,data!F:F,YEAR(Feuil1!$D$2))</f>
        <v>0</v>
      </c>
      <c r="H112" s="9">
        <f t="shared" si="4"/>
        <v>2279.64</v>
      </c>
      <c r="I112" s="12" t="str">
        <f t="shared" si="5"/>
        <v/>
      </c>
      <c r="J112" s="13">
        <f>SUMIFS(data!E:E,data!A:A,TABLEAU!B112,data!C:C,TABLEAU!D112,data!F:F,YEAR(Feuil1!$D$1))</f>
        <v>420</v>
      </c>
      <c r="K112" s="13">
        <f>SUMIFS(data!E:E,data!A:A,TABLEAU!B112,data!C:C,TABLEAU!D112,data!F:F,YEAR(Feuil1!$D$2))</f>
        <v>0</v>
      </c>
      <c r="L112" s="13">
        <f t="shared" si="6"/>
        <v>420</v>
      </c>
      <c r="M112" s="12" t="str">
        <f t="shared" si="7"/>
        <v/>
      </c>
    </row>
    <row r="113" spans="1:13" x14ac:dyDescent="0.25">
      <c r="A113" s="17" t="str">
        <f>data!H193</f>
        <v>VINICOM</v>
      </c>
      <c r="B113" s="15" t="str">
        <f>data!A193</f>
        <v>003517</v>
      </c>
      <c r="C113" s="1" t="str">
        <f>data!B193</f>
        <v>HOBIVIN</v>
      </c>
      <c r="D113" s="1" t="str">
        <f>data!C193</f>
        <v>163006H</v>
      </c>
      <c r="E113" s="1" t="str">
        <f>data!D113</f>
        <v>AOP JURANCON SEC LA PIERRE BLANCHE</v>
      </c>
      <c r="F113" s="14">
        <f>SUMIFS(data!G:G,data!A:A,TABLEAU!B113,data!C:C,TABLEAU!D113,data!F:F,YEAR(Feuil1!$D$1))</f>
        <v>0</v>
      </c>
      <c r="G113" s="9">
        <f>SUMIFS(data!G:G,data!A:A,TABLEAU!B113,data!C:C,TABLEAU!D113,data!F:F,YEAR(Feuil1!$D$2))</f>
        <v>0</v>
      </c>
      <c r="H113" s="9">
        <f t="shared" si="4"/>
        <v>0</v>
      </c>
      <c r="I113" s="12" t="str">
        <f t="shared" si="5"/>
        <v/>
      </c>
      <c r="J113" s="13">
        <f>SUMIFS(data!E:E,data!A:A,TABLEAU!B113,data!C:C,TABLEAU!D113,data!F:F,YEAR(Feuil1!$D$1))</f>
        <v>18</v>
      </c>
      <c r="K113" s="13">
        <f>SUMIFS(data!E:E,data!A:A,TABLEAU!B113,data!C:C,TABLEAU!D113,data!F:F,YEAR(Feuil1!$D$2))</f>
        <v>0</v>
      </c>
      <c r="L113" s="13">
        <f t="shared" si="6"/>
        <v>18</v>
      </c>
      <c r="M113" s="12" t="str">
        <f t="shared" si="7"/>
        <v/>
      </c>
    </row>
    <row r="114" spans="1:13" x14ac:dyDescent="0.25">
      <c r="A114" s="17" t="str">
        <f>data!H194</f>
        <v>VINICOM</v>
      </c>
      <c r="B114" s="15" t="str">
        <f>data!A194</f>
        <v>003517</v>
      </c>
      <c r="C114" s="1" t="str">
        <f>data!B194</f>
        <v>HOBIVIN</v>
      </c>
      <c r="D114" s="1" t="str">
        <f>data!C194</f>
        <v>171001H</v>
      </c>
      <c r="E114" s="1" t="str">
        <f>data!D114</f>
        <v>AOP JURANCON SEC LA PIERRE BLANCHE</v>
      </c>
      <c r="F114" s="14">
        <f>SUMIFS(data!G:G,data!A:A,TABLEAU!B114,data!C:C,TABLEAU!D114,data!F:F,YEAR(Feuil1!$D$1))</f>
        <v>1404.48</v>
      </c>
      <c r="G114" s="9">
        <f>SUMIFS(data!G:G,data!A:A,TABLEAU!B114,data!C:C,TABLEAU!D114,data!F:F,YEAR(Feuil1!$D$2))</f>
        <v>2142</v>
      </c>
      <c r="H114" s="9">
        <f t="shared" si="4"/>
        <v>-737.52</v>
      </c>
      <c r="I114" s="12">
        <f t="shared" si="5"/>
        <v>-0.34431372549019607</v>
      </c>
      <c r="J114" s="13">
        <f>SUMIFS(data!E:E,data!A:A,TABLEAU!B114,data!C:C,TABLEAU!D114,data!F:F,YEAR(Feuil1!$D$1))</f>
        <v>246</v>
      </c>
      <c r="K114" s="13">
        <f>SUMIFS(data!E:E,data!A:A,TABLEAU!B114,data!C:C,TABLEAU!D114,data!F:F,YEAR(Feuil1!$D$2))</f>
        <v>360</v>
      </c>
      <c r="L114" s="13">
        <f t="shared" si="6"/>
        <v>-114</v>
      </c>
      <c r="M114" s="12">
        <f t="shared" si="7"/>
        <v>-0.31666666666666665</v>
      </c>
    </row>
    <row r="115" spans="1:13" x14ac:dyDescent="0.25">
      <c r="A115" s="17" t="str">
        <f>data!H196</f>
        <v>VINICOM</v>
      </c>
      <c r="B115" s="15" t="str">
        <f>data!A196</f>
        <v>003517</v>
      </c>
      <c r="C115" s="1" t="str">
        <f>data!B196</f>
        <v>HOBIVIN</v>
      </c>
      <c r="D115" s="1" t="str">
        <f>data!C196</f>
        <v>171002H</v>
      </c>
      <c r="E115" s="1" t="str">
        <f>data!D115</f>
        <v>AOP JURANCON MOELLEUX</v>
      </c>
      <c r="F115" s="14">
        <f>SUMIFS(data!G:G,data!A:A,TABLEAU!B115,data!C:C,TABLEAU!D115,data!F:F,YEAR(Feuil1!$D$1))</f>
        <v>0</v>
      </c>
      <c r="G115" s="9">
        <f>SUMIFS(data!G:G,data!A:A,TABLEAU!B115,data!C:C,TABLEAU!D115,data!F:F,YEAR(Feuil1!$D$2))</f>
        <v>1357.2</v>
      </c>
      <c r="H115" s="9">
        <f t="shared" si="4"/>
        <v>-1357.2</v>
      </c>
      <c r="I115" s="12">
        <f t="shared" si="5"/>
        <v>-1</v>
      </c>
      <c r="J115" s="13">
        <f>SUMIFS(data!E:E,data!A:A,TABLEAU!B115,data!C:C,TABLEAU!D115,data!F:F,YEAR(Feuil1!$D$1))</f>
        <v>0</v>
      </c>
      <c r="K115" s="13">
        <f>SUMIFS(data!E:E,data!A:A,TABLEAU!B115,data!C:C,TABLEAU!D115,data!F:F,YEAR(Feuil1!$D$2))</f>
        <v>174</v>
      </c>
      <c r="L115" s="13">
        <f t="shared" si="6"/>
        <v>-174</v>
      </c>
      <c r="M115" s="12">
        <f t="shared" si="7"/>
        <v>-1</v>
      </c>
    </row>
    <row r="116" spans="1:13" x14ac:dyDescent="0.25">
      <c r="A116" s="17" t="str">
        <f>data!H197</f>
        <v>VINICOM</v>
      </c>
      <c r="B116" s="15" t="str">
        <f>data!A197</f>
        <v>003517</v>
      </c>
      <c r="C116" s="1" t="str">
        <f>data!B197</f>
        <v>HOBIVIN</v>
      </c>
      <c r="D116" s="1" t="str">
        <f>data!C197</f>
        <v>171003H</v>
      </c>
      <c r="E116" s="1" t="str">
        <f>data!D116</f>
        <v>AOP JURANCON MOELLEUX</v>
      </c>
      <c r="F116" s="14">
        <f>SUMIFS(data!G:G,data!A:A,TABLEAU!B116,data!C:C,TABLEAU!D116,data!F:F,YEAR(Feuil1!$D$1))</f>
        <v>0</v>
      </c>
      <c r="G116" s="9">
        <f>SUMIFS(data!G:G,data!A:A,TABLEAU!B116,data!C:C,TABLEAU!D116,data!F:F,YEAR(Feuil1!$D$2))</f>
        <v>0</v>
      </c>
      <c r="H116" s="9">
        <f t="shared" si="4"/>
        <v>0</v>
      </c>
      <c r="I116" s="12" t="str">
        <f t="shared" si="5"/>
        <v/>
      </c>
      <c r="J116" s="13">
        <f>SUMIFS(data!E:E,data!A:A,TABLEAU!B116,data!C:C,TABLEAU!D116,data!F:F,YEAR(Feuil1!$D$1))</f>
        <v>0</v>
      </c>
      <c r="K116" s="13">
        <f>SUMIFS(data!E:E,data!A:A,TABLEAU!B116,data!C:C,TABLEAU!D116,data!F:F,YEAR(Feuil1!$D$2))</f>
        <v>120</v>
      </c>
      <c r="L116" s="13">
        <f t="shared" si="6"/>
        <v>-120</v>
      </c>
      <c r="M116" s="12">
        <f t="shared" si="7"/>
        <v>-1</v>
      </c>
    </row>
    <row r="117" spans="1:13" x14ac:dyDescent="0.25">
      <c r="A117" s="17" t="str">
        <f>data!H198</f>
        <v>VINICOM</v>
      </c>
      <c r="B117" s="15" t="str">
        <f>data!A198</f>
        <v>003517</v>
      </c>
      <c r="C117" s="1" t="str">
        <f>data!B198</f>
        <v>HOBIVIN</v>
      </c>
      <c r="D117" s="1" t="str">
        <f>data!C198</f>
        <v>171004H</v>
      </c>
      <c r="E117" s="1" t="str">
        <f>data!D117</f>
        <v>AC HAUT MEDOC LA PETITE DEVISE</v>
      </c>
      <c r="F117" s="14">
        <f>SUMIFS(data!G:G,data!A:A,TABLEAU!B117,data!C:C,TABLEAU!D117,data!F:F,YEAR(Feuil1!$D$1))</f>
        <v>111.12</v>
      </c>
      <c r="G117" s="9">
        <f>SUMIFS(data!G:G,data!A:A,TABLEAU!B117,data!C:C,TABLEAU!D117,data!F:F,YEAR(Feuil1!$D$2))</f>
        <v>0</v>
      </c>
      <c r="H117" s="9">
        <f t="shared" si="4"/>
        <v>111.12</v>
      </c>
      <c r="I117" s="12" t="str">
        <f t="shared" si="5"/>
        <v/>
      </c>
      <c r="J117" s="13">
        <f>SUMIFS(data!E:E,data!A:A,TABLEAU!B117,data!C:C,TABLEAU!D117,data!F:F,YEAR(Feuil1!$D$1))</f>
        <v>36</v>
      </c>
      <c r="K117" s="13">
        <f>SUMIFS(data!E:E,data!A:A,TABLEAU!B117,data!C:C,TABLEAU!D117,data!F:F,YEAR(Feuil1!$D$2))</f>
        <v>0</v>
      </c>
      <c r="L117" s="13">
        <f t="shared" si="6"/>
        <v>36</v>
      </c>
      <c r="M117" s="12" t="str">
        <f t="shared" si="7"/>
        <v/>
      </c>
    </row>
    <row r="118" spans="1:13" x14ac:dyDescent="0.25">
      <c r="A118" s="17" t="str">
        <f>data!H199</f>
        <v>VINICOM</v>
      </c>
      <c r="B118" s="15" t="str">
        <f>data!A199</f>
        <v>003517</v>
      </c>
      <c r="C118" s="1" t="str">
        <f>data!B199</f>
        <v>HOBIVIN</v>
      </c>
      <c r="D118" s="1" t="str">
        <f>data!C199</f>
        <v>176001H</v>
      </c>
      <c r="E118" s="1" t="str">
        <f>data!D118</f>
        <v>AC HAUT MEDOC LA PETITE DEVISE</v>
      </c>
      <c r="F118" s="14">
        <f>SUMIFS(data!G:G,data!A:A,TABLEAU!B118,data!C:C,TABLEAU!D118,data!F:F,YEAR(Feuil1!$D$1))</f>
        <v>208.2</v>
      </c>
      <c r="G118" s="9">
        <f>SUMIFS(data!G:G,data!A:A,TABLEAU!B118,data!C:C,TABLEAU!D118,data!F:F,YEAR(Feuil1!$D$2))</f>
        <v>397.2</v>
      </c>
      <c r="H118" s="9">
        <f t="shared" si="4"/>
        <v>-189</v>
      </c>
      <c r="I118" s="12">
        <f t="shared" si="5"/>
        <v>-0.47583081570996982</v>
      </c>
      <c r="J118" s="13">
        <f>SUMIFS(data!E:E,data!A:A,TABLEAU!B118,data!C:C,TABLEAU!D118,data!F:F,YEAR(Feuil1!$D$1))</f>
        <v>60</v>
      </c>
      <c r="K118" s="13">
        <f>SUMIFS(data!E:E,data!A:A,TABLEAU!B118,data!C:C,TABLEAU!D118,data!F:F,YEAR(Feuil1!$D$2))</f>
        <v>126</v>
      </c>
      <c r="L118" s="13">
        <f t="shared" si="6"/>
        <v>-66</v>
      </c>
      <c r="M118" s="12">
        <f t="shared" si="7"/>
        <v>-0.52380952380952384</v>
      </c>
    </row>
    <row r="119" spans="1:13" x14ac:dyDescent="0.25">
      <c r="A119" s="17" t="str">
        <f>data!H201</f>
        <v>VINICOM</v>
      </c>
      <c r="B119" s="15" t="str">
        <f>data!A201</f>
        <v>003517</v>
      </c>
      <c r="C119" s="1" t="str">
        <f>data!B201</f>
        <v>HOBIVIN</v>
      </c>
      <c r="D119" s="1" t="str">
        <f>data!C201</f>
        <v>176004H</v>
      </c>
      <c r="E119" s="1" t="str">
        <f>data!D119</f>
        <v>EL GRANO CARMENERE VIN DU CHILI</v>
      </c>
      <c r="F119" s="14">
        <f>SUMIFS(data!G:G,data!A:A,TABLEAU!B119,data!C:C,TABLEAU!D119,data!F:F,YEAR(Feuil1!$D$1))</f>
        <v>243.36</v>
      </c>
      <c r="G119" s="9">
        <f>SUMIFS(data!G:G,data!A:A,TABLEAU!B119,data!C:C,TABLEAU!D119,data!F:F,YEAR(Feuil1!$D$2))</f>
        <v>243.36</v>
      </c>
      <c r="H119" s="9">
        <f t="shared" si="4"/>
        <v>0</v>
      </c>
      <c r="I119" s="12">
        <f t="shared" si="5"/>
        <v>0</v>
      </c>
      <c r="J119" s="13">
        <f>SUMIFS(data!E:E,data!A:A,TABLEAU!B119,data!C:C,TABLEAU!D119,data!F:F,YEAR(Feuil1!$D$1))</f>
        <v>78</v>
      </c>
      <c r="K119" s="13">
        <f>SUMIFS(data!E:E,data!A:A,TABLEAU!B119,data!C:C,TABLEAU!D119,data!F:F,YEAR(Feuil1!$D$2))</f>
        <v>90</v>
      </c>
      <c r="L119" s="13">
        <f t="shared" si="6"/>
        <v>-12</v>
      </c>
      <c r="M119" s="12">
        <f t="shared" si="7"/>
        <v>-0.13333333333333333</v>
      </c>
    </row>
    <row r="120" spans="1:13" x14ac:dyDescent="0.25">
      <c r="A120" s="17" t="str">
        <f>data!H203</f>
        <v>VINICOM</v>
      </c>
      <c r="B120" s="15" t="str">
        <f>data!A203</f>
        <v>003517</v>
      </c>
      <c r="C120" s="1" t="str">
        <f>data!B203</f>
        <v>HOBIVIN</v>
      </c>
      <c r="D120" s="1" t="str">
        <f>data!C203</f>
        <v>178001H</v>
      </c>
      <c r="E120" s="1" t="str">
        <f>data!D120</f>
        <v>EL GRANO CARMENERE VIN DU CHILI</v>
      </c>
      <c r="F120" s="14">
        <f>SUMIFS(data!G:G,data!A:A,TABLEAU!B120,data!C:C,TABLEAU!D120,data!F:F,YEAR(Feuil1!$D$1))</f>
        <v>44133.66</v>
      </c>
      <c r="G120" s="9">
        <f>SUMIFS(data!G:G,data!A:A,TABLEAU!B120,data!C:C,TABLEAU!D120,data!F:F,YEAR(Feuil1!$D$2))</f>
        <v>53117.37</v>
      </c>
      <c r="H120" s="9">
        <f t="shared" si="4"/>
        <v>-8983.7099999999991</v>
      </c>
      <c r="I120" s="12">
        <f t="shared" si="5"/>
        <v>-0.16912942037604645</v>
      </c>
      <c r="J120" s="13">
        <f>SUMIFS(data!E:E,data!A:A,TABLEAU!B120,data!C:C,TABLEAU!D120,data!F:F,YEAR(Feuil1!$D$1))</f>
        <v>20700</v>
      </c>
      <c r="K120" s="13">
        <f>SUMIFS(data!E:E,data!A:A,TABLEAU!B120,data!C:C,TABLEAU!D120,data!F:F,YEAR(Feuil1!$D$2))</f>
        <v>24666</v>
      </c>
      <c r="L120" s="13">
        <f t="shared" si="6"/>
        <v>-3966</v>
      </c>
      <c r="M120" s="12">
        <f t="shared" si="7"/>
        <v>-0.16078812940890294</v>
      </c>
    </row>
    <row r="121" spans="1:13" x14ac:dyDescent="0.25">
      <c r="A121" s="17" t="str">
        <f>data!H205</f>
        <v>VINICOM</v>
      </c>
      <c r="B121" s="15" t="str">
        <f>data!A205</f>
        <v>003517</v>
      </c>
      <c r="C121" s="1" t="str">
        <f>data!B205</f>
        <v>HOBIVIN</v>
      </c>
      <c r="D121" s="1" t="str">
        <f>data!C205</f>
        <v>178002H</v>
      </c>
      <c r="E121" s="1" t="str">
        <f>data!D121</f>
        <v>EL PODA CORTA VIN DU CHILI</v>
      </c>
      <c r="F121" s="14">
        <f>SUMIFS(data!G:G,data!A:A,TABLEAU!B121,data!C:C,TABLEAU!D121,data!F:F,YEAR(Feuil1!$D$1))</f>
        <v>21005.040000000001</v>
      </c>
      <c r="G121" s="9">
        <f>SUMIFS(data!G:G,data!A:A,TABLEAU!B121,data!C:C,TABLEAU!D121,data!F:F,YEAR(Feuil1!$D$2))</f>
        <v>22971.3</v>
      </c>
      <c r="H121" s="9">
        <f t="shared" si="4"/>
        <v>-1966.2599999999984</v>
      </c>
      <c r="I121" s="12">
        <f t="shared" si="5"/>
        <v>-8.5596374606574224E-2</v>
      </c>
      <c r="J121" s="13">
        <f>SUMIFS(data!E:E,data!A:A,TABLEAU!B121,data!C:C,TABLEAU!D121,data!F:F,YEAR(Feuil1!$D$1))</f>
        <v>8706</v>
      </c>
      <c r="K121" s="13">
        <f>SUMIFS(data!E:E,data!A:A,TABLEAU!B121,data!C:C,TABLEAU!D121,data!F:F,YEAR(Feuil1!$D$2))</f>
        <v>9798</v>
      </c>
      <c r="L121" s="13">
        <f t="shared" si="6"/>
        <v>-1092</v>
      </c>
      <c r="M121" s="12">
        <f t="shared" si="7"/>
        <v>-0.11145131659522352</v>
      </c>
    </row>
    <row r="122" spans="1:13" x14ac:dyDescent="0.25">
      <c r="A122" s="17" t="str">
        <f>data!H207</f>
        <v>VINICOM</v>
      </c>
      <c r="B122" s="15" t="str">
        <f>data!A207</f>
        <v>003517</v>
      </c>
      <c r="C122" s="1" t="str">
        <f>data!B207</f>
        <v>HOBIVIN</v>
      </c>
      <c r="D122" s="1" t="str">
        <f>data!C207</f>
        <v>178003H</v>
      </c>
      <c r="E122" s="1" t="str">
        <f>data!D122</f>
        <v>EL PODA CORTA VIN DU CHILI</v>
      </c>
      <c r="F122" s="14">
        <f>SUMIFS(data!G:G,data!A:A,TABLEAU!B122,data!C:C,TABLEAU!D122,data!F:F,YEAR(Feuil1!$D$1))</f>
        <v>13503.03</v>
      </c>
      <c r="G122" s="9">
        <f>SUMIFS(data!G:G,data!A:A,TABLEAU!B122,data!C:C,TABLEAU!D122,data!F:F,YEAR(Feuil1!$D$2))</f>
        <v>22984.38</v>
      </c>
      <c r="H122" s="9">
        <f t="shared" si="4"/>
        <v>-9481.35</v>
      </c>
      <c r="I122" s="12">
        <f t="shared" si="5"/>
        <v>-0.41251275866479759</v>
      </c>
      <c r="J122" s="13">
        <f>SUMIFS(data!E:E,data!A:A,TABLEAU!B122,data!C:C,TABLEAU!D122,data!F:F,YEAR(Feuil1!$D$1))</f>
        <v>6342</v>
      </c>
      <c r="K122" s="13">
        <f>SUMIFS(data!E:E,data!A:A,TABLEAU!B122,data!C:C,TABLEAU!D122,data!F:F,YEAR(Feuil1!$D$2))</f>
        <v>11178</v>
      </c>
      <c r="L122" s="13">
        <f t="shared" si="6"/>
        <v>-4836</v>
      </c>
      <c r="M122" s="12">
        <f t="shared" si="7"/>
        <v>-0.43263553408480943</v>
      </c>
    </row>
    <row r="123" spans="1:13" x14ac:dyDescent="0.25">
      <c r="A123" s="17" t="str">
        <f>data!H209</f>
        <v>VINICOM</v>
      </c>
      <c r="B123" s="15" t="str">
        <f>data!A209</f>
        <v>003517</v>
      </c>
      <c r="C123" s="1" t="str">
        <f>data!B209</f>
        <v>HOBIVIN</v>
      </c>
      <c r="D123" s="1" t="str">
        <f>data!C209</f>
        <v>178004H</v>
      </c>
      <c r="E123" s="1" t="str">
        <f>data!D123</f>
        <v>AC GRAVES CH DE L'HOSPITAL</v>
      </c>
      <c r="F123" s="14">
        <f>SUMIFS(data!G:G,data!A:A,TABLEAU!B123,data!C:C,TABLEAU!D123,data!F:F,YEAR(Feuil1!$D$1))</f>
        <v>2021.76</v>
      </c>
      <c r="G123" s="9">
        <f>SUMIFS(data!G:G,data!A:A,TABLEAU!B123,data!C:C,TABLEAU!D123,data!F:F,YEAR(Feuil1!$D$2))</f>
        <v>503.76</v>
      </c>
      <c r="H123" s="9">
        <f t="shared" si="4"/>
        <v>1518</v>
      </c>
      <c r="I123" s="12">
        <f t="shared" si="5"/>
        <v>3.0133396855645547</v>
      </c>
      <c r="J123" s="13">
        <f>SUMIFS(data!E:E,data!A:A,TABLEAU!B123,data!C:C,TABLEAU!D123,data!F:F,YEAR(Feuil1!$D$1))</f>
        <v>672</v>
      </c>
      <c r="K123" s="13">
        <f>SUMIFS(data!E:E,data!A:A,TABLEAU!B123,data!C:C,TABLEAU!D123,data!F:F,YEAR(Feuil1!$D$2))</f>
        <v>174</v>
      </c>
      <c r="L123" s="13">
        <f t="shared" si="6"/>
        <v>498</v>
      </c>
      <c r="M123" s="12">
        <f t="shared" si="7"/>
        <v>2.8620689655172415</v>
      </c>
    </row>
    <row r="124" spans="1:13" x14ac:dyDescent="0.25">
      <c r="A124" s="17" t="str">
        <f>data!H211</f>
        <v>VINICOM</v>
      </c>
      <c r="B124" s="15" t="str">
        <f>data!A211</f>
        <v>003517</v>
      </c>
      <c r="C124" s="1" t="str">
        <f>data!B211</f>
        <v>HOBIVIN</v>
      </c>
      <c r="D124" s="1" t="str">
        <f>data!C211</f>
        <v>178006H</v>
      </c>
      <c r="E124" s="1" t="str">
        <f>data!D124</f>
        <v>AC GRAVES CH DE L'HOSPITAL</v>
      </c>
      <c r="F124" s="14">
        <f>SUMIFS(data!G:G,data!A:A,TABLEAU!B124,data!C:C,TABLEAU!D124,data!F:F,YEAR(Feuil1!$D$1))</f>
        <v>1824.42</v>
      </c>
      <c r="G124" s="9">
        <f>SUMIFS(data!G:G,data!A:A,TABLEAU!B124,data!C:C,TABLEAU!D124,data!F:F,YEAR(Feuil1!$D$2))</f>
        <v>3787.46</v>
      </c>
      <c r="H124" s="9">
        <f t="shared" si="4"/>
        <v>-1963.04</v>
      </c>
      <c r="I124" s="12">
        <f t="shared" si="5"/>
        <v>-0.51829986323287902</v>
      </c>
      <c r="J124" s="13">
        <f>SUMIFS(data!E:E,data!A:A,TABLEAU!B124,data!C:C,TABLEAU!D124,data!F:F,YEAR(Feuil1!$D$1))</f>
        <v>822</v>
      </c>
      <c r="K124" s="13">
        <f>SUMIFS(data!E:E,data!A:A,TABLEAU!B124,data!C:C,TABLEAU!D124,data!F:F,YEAR(Feuil1!$D$2))</f>
        <v>1770</v>
      </c>
      <c r="L124" s="13">
        <f t="shared" si="6"/>
        <v>-948</v>
      </c>
      <c r="M124" s="12">
        <f t="shared" si="7"/>
        <v>-0.53559322033898304</v>
      </c>
    </row>
    <row r="125" spans="1:13" x14ac:dyDescent="0.25">
      <c r="A125" s="17" t="str">
        <f>data!H213</f>
        <v>VINICOM</v>
      </c>
      <c r="B125" s="15" t="str">
        <f>data!A213</f>
        <v>003517</v>
      </c>
      <c r="C125" s="1" t="str">
        <f>data!B213</f>
        <v>HOBIVIN</v>
      </c>
      <c r="D125" s="1" t="str">
        <f>data!C213</f>
        <v>178007H</v>
      </c>
      <c r="E125" s="1" t="str">
        <f>data!D125</f>
        <v>AC GRAVES CHATEAU DE L'HOSPITAL</v>
      </c>
      <c r="F125" s="14">
        <f>SUMIFS(data!G:G,data!A:A,TABLEAU!B125,data!C:C,TABLEAU!D125,data!F:F,YEAR(Feuil1!$D$1))</f>
        <v>82.56</v>
      </c>
      <c r="G125" s="9">
        <f>SUMIFS(data!G:G,data!A:A,TABLEAU!B125,data!C:C,TABLEAU!D125,data!F:F,YEAR(Feuil1!$D$2))</f>
        <v>82.56</v>
      </c>
      <c r="H125" s="9">
        <f t="shared" si="4"/>
        <v>0</v>
      </c>
      <c r="I125" s="12">
        <f t="shared" si="5"/>
        <v>0</v>
      </c>
      <c r="J125" s="13">
        <f>SUMIFS(data!E:E,data!A:A,TABLEAU!B125,data!C:C,TABLEAU!D125,data!F:F,YEAR(Feuil1!$D$1))</f>
        <v>24</v>
      </c>
      <c r="K125" s="13">
        <f>SUMIFS(data!E:E,data!A:A,TABLEAU!B125,data!C:C,TABLEAU!D125,data!F:F,YEAR(Feuil1!$D$2))</f>
        <v>24</v>
      </c>
      <c r="L125" s="13">
        <f t="shared" si="6"/>
        <v>0</v>
      </c>
      <c r="M125" s="12">
        <f t="shared" si="7"/>
        <v>0</v>
      </c>
    </row>
    <row r="126" spans="1:13" x14ac:dyDescent="0.25">
      <c r="A126" s="17" t="str">
        <f>data!H215</f>
        <v>VINICOM</v>
      </c>
      <c r="B126" s="15" t="str">
        <f>data!A215</f>
        <v>003517</v>
      </c>
      <c r="C126" s="1" t="str">
        <f>data!B215</f>
        <v>HOBIVIN</v>
      </c>
      <c r="D126" s="1" t="str">
        <f>data!C215</f>
        <v>178008H</v>
      </c>
      <c r="E126" s="1" t="str">
        <f>data!D126</f>
        <v>AC GRAVES CHATEAU DE L'HOSPITAL</v>
      </c>
      <c r="F126" s="14">
        <f>SUMIFS(data!G:G,data!A:A,TABLEAU!B126,data!C:C,TABLEAU!D126,data!F:F,YEAR(Feuil1!$D$1))</f>
        <v>2538.39</v>
      </c>
      <c r="G126" s="9">
        <f>SUMIFS(data!G:G,data!A:A,TABLEAU!B126,data!C:C,TABLEAU!D126,data!F:F,YEAR(Feuil1!$D$2))</f>
        <v>2749.92</v>
      </c>
      <c r="H126" s="9">
        <f t="shared" si="4"/>
        <v>-211.5300000000002</v>
      </c>
      <c r="I126" s="12">
        <f t="shared" si="5"/>
        <v>-7.6922237737825166E-2</v>
      </c>
      <c r="J126" s="13">
        <f>SUMIFS(data!E:E,data!A:A,TABLEAU!B126,data!C:C,TABLEAU!D126,data!F:F,YEAR(Feuil1!$D$1))</f>
        <v>1194</v>
      </c>
      <c r="K126" s="13">
        <f>SUMIFS(data!E:E,data!A:A,TABLEAU!B126,data!C:C,TABLEAU!D126,data!F:F,YEAR(Feuil1!$D$2))</f>
        <v>1380</v>
      </c>
      <c r="L126" s="13">
        <f t="shared" si="6"/>
        <v>-186</v>
      </c>
      <c r="M126" s="12">
        <f t="shared" si="7"/>
        <v>-0.13478260869565217</v>
      </c>
    </row>
    <row r="127" spans="1:13" x14ac:dyDescent="0.25">
      <c r="A127" s="17" t="str">
        <f>data!H217</f>
        <v>VINICOM</v>
      </c>
      <c r="B127" s="15" t="str">
        <f>data!A217</f>
        <v>003517</v>
      </c>
      <c r="C127" s="1" t="str">
        <f>data!B217</f>
        <v>HOBIVIN</v>
      </c>
      <c r="D127" s="1" t="str">
        <f>data!C217</f>
        <v>178009H</v>
      </c>
      <c r="E127" s="1" t="str">
        <f>data!D127</f>
        <v>AC COTE ROTIE DOMAINE PARPETTE</v>
      </c>
      <c r="F127" s="14">
        <f>SUMIFS(data!G:G,data!A:A,TABLEAU!B127,data!C:C,TABLEAU!D127,data!F:F,YEAR(Feuil1!$D$1))</f>
        <v>1291.56</v>
      </c>
      <c r="G127" s="9">
        <f>SUMIFS(data!G:G,data!A:A,TABLEAU!B127,data!C:C,TABLEAU!D127,data!F:F,YEAR(Feuil1!$D$2))</f>
        <v>1567.24</v>
      </c>
      <c r="H127" s="9">
        <f t="shared" si="4"/>
        <v>-275.68000000000006</v>
      </c>
      <c r="I127" s="12">
        <f t="shared" si="5"/>
        <v>-0.17590158495188998</v>
      </c>
      <c r="J127" s="13">
        <f>SUMIFS(data!E:E,data!A:A,TABLEAU!B127,data!C:C,TABLEAU!D127,data!F:F,YEAR(Feuil1!$D$1))</f>
        <v>582</v>
      </c>
      <c r="K127" s="13">
        <f>SUMIFS(data!E:E,data!A:A,TABLEAU!B127,data!C:C,TABLEAU!D127,data!F:F,YEAR(Feuil1!$D$2))</f>
        <v>714</v>
      </c>
      <c r="L127" s="13">
        <f t="shared" si="6"/>
        <v>-132</v>
      </c>
      <c r="M127" s="12">
        <f t="shared" si="7"/>
        <v>-0.18487394957983194</v>
      </c>
    </row>
    <row r="128" spans="1:13" x14ac:dyDescent="0.25">
      <c r="A128" s="17" t="str">
        <f>data!H219</f>
        <v>VINICOM</v>
      </c>
      <c r="B128" s="15" t="str">
        <f>data!A219</f>
        <v>003517</v>
      </c>
      <c r="C128" s="1" t="str">
        <f>data!B219</f>
        <v>HOBIVIN</v>
      </c>
      <c r="D128" s="1" t="str">
        <f>data!C219</f>
        <v>178015H</v>
      </c>
      <c r="E128" s="1" t="str">
        <f>data!D128</f>
        <v>AC COTE ROTIE DOMAINE PARPETTE</v>
      </c>
      <c r="F128" s="14">
        <f>SUMIFS(data!G:G,data!A:A,TABLEAU!B128,data!C:C,TABLEAU!D128,data!F:F,YEAR(Feuil1!$D$1))</f>
        <v>381.12</v>
      </c>
      <c r="G128" s="9">
        <f>SUMIFS(data!G:G,data!A:A,TABLEAU!B128,data!C:C,TABLEAU!D128,data!F:F,YEAR(Feuil1!$D$2))</f>
        <v>1105.8</v>
      </c>
      <c r="H128" s="9">
        <f t="shared" si="4"/>
        <v>-724.68</v>
      </c>
      <c r="I128" s="12">
        <f t="shared" si="5"/>
        <v>-0.65534454693434618</v>
      </c>
      <c r="J128" s="13">
        <f>SUMIFS(data!E:E,data!A:A,TABLEAU!B128,data!C:C,TABLEAU!D128,data!F:F,YEAR(Feuil1!$D$1))</f>
        <v>198</v>
      </c>
      <c r="K128" s="13">
        <f>SUMIFS(data!E:E,data!A:A,TABLEAU!B128,data!C:C,TABLEAU!D128,data!F:F,YEAR(Feuil1!$D$2))</f>
        <v>594</v>
      </c>
      <c r="L128" s="13">
        <f t="shared" si="6"/>
        <v>-396</v>
      </c>
      <c r="M128" s="12">
        <f t="shared" si="7"/>
        <v>-0.66666666666666663</v>
      </c>
    </row>
    <row r="129" spans="1:13" x14ac:dyDescent="0.25">
      <c r="A129" s="17" t="str">
        <f>data!H221</f>
        <v>VINICOM</v>
      </c>
      <c r="B129" s="15" t="str">
        <f>data!A221</f>
        <v>003517</v>
      </c>
      <c r="C129" s="1" t="str">
        <f>data!B221</f>
        <v>HOBIVIN</v>
      </c>
      <c r="D129" s="1" t="str">
        <f>data!C221</f>
        <v>178016H</v>
      </c>
      <c r="E129" s="1" t="str">
        <f>data!D129</f>
        <v>AOP MARGAUX CH DEYREM VALENTIN</v>
      </c>
      <c r="F129" s="14">
        <f>SUMIFS(data!G:G,data!A:A,TABLEAU!B129,data!C:C,TABLEAU!D129,data!F:F,YEAR(Feuil1!$D$1))</f>
        <v>840</v>
      </c>
      <c r="G129" s="9">
        <f>SUMIFS(data!G:G,data!A:A,TABLEAU!B129,data!C:C,TABLEAU!D129,data!F:F,YEAR(Feuil1!$D$2))</f>
        <v>232.8</v>
      </c>
      <c r="H129" s="9">
        <f t="shared" si="4"/>
        <v>607.20000000000005</v>
      </c>
      <c r="I129" s="12">
        <f t="shared" si="5"/>
        <v>2.6082474226804124</v>
      </c>
      <c r="J129" s="13">
        <f>SUMIFS(data!E:E,data!A:A,TABLEAU!B129,data!C:C,TABLEAU!D129,data!F:F,YEAR(Feuil1!$D$1))</f>
        <v>426</v>
      </c>
      <c r="K129" s="13">
        <f>SUMIFS(data!E:E,data!A:A,TABLEAU!B129,data!C:C,TABLEAU!D129,data!F:F,YEAR(Feuil1!$D$2))</f>
        <v>120</v>
      </c>
      <c r="L129" s="13">
        <f t="shared" si="6"/>
        <v>306</v>
      </c>
      <c r="M129" s="12">
        <f t="shared" si="7"/>
        <v>2.5499999999999998</v>
      </c>
    </row>
    <row r="130" spans="1:13" x14ac:dyDescent="0.25">
      <c r="A130" s="17" t="str">
        <f>data!H223</f>
        <v>VINICOM</v>
      </c>
      <c r="B130" s="15" t="str">
        <f>data!A223</f>
        <v>003517</v>
      </c>
      <c r="C130" s="1" t="str">
        <f>data!B223</f>
        <v>HOBIVIN</v>
      </c>
      <c r="D130" s="1" t="str">
        <f>data!C223</f>
        <v>178017H</v>
      </c>
      <c r="E130" s="1" t="str">
        <f>data!D130</f>
        <v>AC MARGAUX DEYREM VALENTIN</v>
      </c>
      <c r="F130" s="14">
        <f>SUMIFS(data!G:G,data!A:A,TABLEAU!B130,data!C:C,TABLEAU!D130,data!F:F,YEAR(Feuil1!$D$1))</f>
        <v>132</v>
      </c>
      <c r="G130" s="9">
        <f>SUMIFS(data!G:G,data!A:A,TABLEAU!B130,data!C:C,TABLEAU!D130,data!F:F,YEAR(Feuil1!$D$2))</f>
        <v>0</v>
      </c>
      <c r="H130" s="9">
        <f t="shared" si="4"/>
        <v>132</v>
      </c>
      <c r="I130" s="12" t="str">
        <f t="shared" si="5"/>
        <v/>
      </c>
      <c r="J130" s="13">
        <f>SUMIFS(data!E:E,data!A:A,TABLEAU!B130,data!C:C,TABLEAU!D130,data!F:F,YEAR(Feuil1!$D$1))</f>
        <v>72</v>
      </c>
      <c r="K130" s="13">
        <f>SUMIFS(data!E:E,data!A:A,TABLEAU!B130,data!C:C,TABLEAU!D130,data!F:F,YEAR(Feuil1!$D$2))</f>
        <v>18</v>
      </c>
      <c r="L130" s="13">
        <f t="shared" si="6"/>
        <v>54</v>
      </c>
      <c r="M130" s="12">
        <f t="shared" si="7"/>
        <v>3</v>
      </c>
    </row>
    <row r="131" spans="1:13" x14ac:dyDescent="0.25">
      <c r="A131" s="17" t="str">
        <f>data!H225</f>
        <v>VINICOM</v>
      </c>
      <c r="B131" s="15" t="str">
        <f>data!A225</f>
        <v>003517</v>
      </c>
      <c r="C131" s="1" t="str">
        <f>data!B225</f>
        <v>HOBIVIN</v>
      </c>
      <c r="D131" s="1" t="str">
        <f>data!C225</f>
        <v>179001H</v>
      </c>
      <c r="E131" s="1" t="str">
        <f>data!D131</f>
        <v>AC MARGAUX DEYREM VALENTIN</v>
      </c>
      <c r="F131" s="14">
        <f>SUMIFS(data!G:G,data!A:A,TABLEAU!B131,data!C:C,TABLEAU!D131,data!F:F,YEAR(Feuil1!$D$1))</f>
        <v>516.48</v>
      </c>
      <c r="G131" s="9">
        <f>SUMIFS(data!G:G,data!A:A,TABLEAU!B131,data!C:C,TABLEAU!D131,data!F:F,YEAR(Feuil1!$D$2))</f>
        <v>0</v>
      </c>
      <c r="H131" s="9">
        <f t="shared" ref="H131:H194" si="8">F131-G131</f>
        <v>516.48</v>
      </c>
      <c r="I131" s="12" t="str">
        <f t="shared" ref="I131:I194" si="9">IF(ISERR(H131/G131),"",H131/G131)</f>
        <v/>
      </c>
      <c r="J131" s="13">
        <f>SUMIFS(data!E:E,data!A:A,TABLEAU!B131,data!C:C,TABLEAU!D131,data!F:F,YEAR(Feuil1!$D$1))</f>
        <v>96</v>
      </c>
      <c r="K131" s="13">
        <f>SUMIFS(data!E:E,data!A:A,TABLEAU!B131,data!C:C,TABLEAU!D131,data!F:F,YEAR(Feuil1!$D$2))</f>
        <v>0</v>
      </c>
      <c r="L131" s="13">
        <f t="shared" ref="L131:L194" si="10">J131-K131</f>
        <v>96</v>
      </c>
      <c r="M131" s="12" t="str">
        <f t="shared" ref="M131:M194" si="11">IF(ISERR(L131/K131),"",L131/K131)</f>
        <v/>
      </c>
    </row>
    <row r="132" spans="1:13" x14ac:dyDescent="0.25">
      <c r="A132" s="17" t="str">
        <f>data!H226</f>
        <v>VINICOM</v>
      </c>
      <c r="B132" s="15" t="str">
        <f>data!A226</f>
        <v>003517</v>
      </c>
      <c r="C132" s="1" t="str">
        <f>data!B226</f>
        <v>HOBIVIN</v>
      </c>
      <c r="D132" s="1" t="str">
        <f>data!C226</f>
        <v>179002H</v>
      </c>
      <c r="E132" s="1" t="str">
        <f>data!D132</f>
        <v>AC MARGAUX DEYREM VALENTIN</v>
      </c>
      <c r="F132" s="14">
        <f>SUMIFS(data!G:G,data!A:A,TABLEAU!B132,data!C:C,TABLEAU!D132,data!F:F,YEAR(Feuil1!$D$1))</f>
        <v>675</v>
      </c>
      <c r="G132" s="9">
        <f>SUMIFS(data!G:G,data!A:A,TABLEAU!B132,data!C:C,TABLEAU!D132,data!F:F,YEAR(Feuil1!$D$2))</f>
        <v>0</v>
      </c>
      <c r="H132" s="9">
        <f t="shared" si="8"/>
        <v>675</v>
      </c>
      <c r="I132" s="12" t="str">
        <f t="shared" si="9"/>
        <v/>
      </c>
      <c r="J132" s="13">
        <f>SUMIFS(data!E:E,data!A:A,TABLEAU!B132,data!C:C,TABLEAU!D132,data!F:F,YEAR(Feuil1!$D$1))</f>
        <v>186</v>
      </c>
      <c r="K132" s="13">
        <f>SUMIFS(data!E:E,data!A:A,TABLEAU!B132,data!C:C,TABLEAU!D132,data!F:F,YEAR(Feuil1!$D$2))</f>
        <v>0</v>
      </c>
      <c r="L132" s="13">
        <f t="shared" si="10"/>
        <v>186</v>
      </c>
      <c r="M132" s="12" t="str">
        <f t="shared" si="11"/>
        <v/>
      </c>
    </row>
    <row r="133" spans="1:13" x14ac:dyDescent="0.25">
      <c r="A133" s="17" t="str">
        <f>data!H227</f>
        <v>VINICOM</v>
      </c>
      <c r="B133" s="15" t="str">
        <f>data!A227</f>
        <v>003517</v>
      </c>
      <c r="C133" s="1" t="str">
        <f>data!B227</f>
        <v>HOBIVIN</v>
      </c>
      <c r="D133" s="1" t="str">
        <f>data!C227</f>
        <v>180001H</v>
      </c>
      <c r="E133" s="1" t="str">
        <f>data!D133</f>
        <v>AC MARGAUX DEYREM VALENTIN</v>
      </c>
      <c r="F133" s="14">
        <f>SUMIFS(data!G:G,data!A:A,TABLEAU!B133,data!C:C,TABLEAU!D133,data!F:F,YEAR(Feuil1!$D$1))</f>
        <v>0</v>
      </c>
      <c r="G133" s="9">
        <f>SUMIFS(data!G:G,data!A:A,TABLEAU!B133,data!C:C,TABLEAU!D133,data!F:F,YEAR(Feuil1!$D$2))</f>
        <v>1474.02</v>
      </c>
      <c r="H133" s="9">
        <f t="shared" si="8"/>
        <v>-1474.02</v>
      </c>
      <c r="I133" s="12">
        <f t="shared" si="9"/>
        <v>-1</v>
      </c>
      <c r="J133" s="13">
        <f>SUMIFS(data!E:E,data!A:A,TABLEAU!B133,data!C:C,TABLEAU!D133,data!F:F,YEAR(Feuil1!$D$1))</f>
        <v>0</v>
      </c>
      <c r="K133" s="13">
        <f>SUMIFS(data!E:E,data!A:A,TABLEAU!B133,data!C:C,TABLEAU!D133,data!F:F,YEAR(Feuil1!$D$2))</f>
        <v>402</v>
      </c>
      <c r="L133" s="13">
        <f t="shared" si="10"/>
        <v>-402</v>
      </c>
      <c r="M133" s="12">
        <f t="shared" si="11"/>
        <v>-1</v>
      </c>
    </row>
    <row r="134" spans="1:13" x14ac:dyDescent="0.25">
      <c r="A134" s="17" t="str">
        <f>data!H228</f>
        <v>VINICOM</v>
      </c>
      <c r="B134" s="15" t="str">
        <f>data!A228</f>
        <v>003517</v>
      </c>
      <c r="C134" s="1" t="str">
        <f>data!B228</f>
        <v>HOBIVIN</v>
      </c>
      <c r="D134" s="1" t="str">
        <f>data!C228</f>
        <v>180002H</v>
      </c>
      <c r="E134" s="1" t="str">
        <f>data!D134</f>
        <v>AC MARGAUX DEYREM VALENTIN</v>
      </c>
      <c r="F134" s="14">
        <f>SUMIFS(data!G:G,data!A:A,TABLEAU!B134,data!C:C,TABLEAU!D134,data!F:F,YEAR(Feuil1!$D$1))</f>
        <v>4048.26</v>
      </c>
      <c r="G134" s="9">
        <f>SUMIFS(data!G:G,data!A:A,TABLEAU!B134,data!C:C,TABLEAU!D134,data!F:F,YEAR(Feuil1!$D$2))</f>
        <v>5826.3</v>
      </c>
      <c r="H134" s="9">
        <f t="shared" si="8"/>
        <v>-1778.04</v>
      </c>
      <c r="I134" s="12">
        <f t="shared" si="9"/>
        <v>-0.30517481077184488</v>
      </c>
      <c r="J134" s="13">
        <f>SUMIFS(data!E:E,data!A:A,TABLEAU!B134,data!C:C,TABLEAU!D134,data!F:F,YEAR(Feuil1!$D$1))</f>
        <v>672</v>
      </c>
      <c r="K134" s="13">
        <f>SUMIFS(data!E:E,data!A:A,TABLEAU!B134,data!C:C,TABLEAU!D134,data!F:F,YEAR(Feuil1!$D$2))</f>
        <v>948</v>
      </c>
      <c r="L134" s="13">
        <f t="shared" si="10"/>
        <v>-276</v>
      </c>
      <c r="M134" s="12">
        <f t="shared" si="11"/>
        <v>-0.29113924050632911</v>
      </c>
    </row>
    <row r="135" spans="1:13" x14ac:dyDescent="0.25">
      <c r="A135" s="17" t="str">
        <f>data!H230</f>
        <v>VINICOM</v>
      </c>
      <c r="B135" s="15" t="str">
        <f>data!A230</f>
        <v>003517</v>
      </c>
      <c r="C135" s="1" t="str">
        <f>data!B230</f>
        <v>HOBIVIN</v>
      </c>
      <c r="D135" s="1" t="str">
        <f>data!C230</f>
        <v>181013H</v>
      </c>
      <c r="E135" s="1" t="str">
        <f>data!D135</f>
        <v>NAZARES TEMPRANILLO</v>
      </c>
      <c r="F135" s="14">
        <f>SUMIFS(data!G:G,data!A:A,TABLEAU!B135,data!C:C,TABLEAU!D135,data!F:F,YEAR(Feuil1!$D$1))</f>
        <v>1277.0999999999999</v>
      </c>
      <c r="G135" s="9">
        <f>SUMIFS(data!G:G,data!A:A,TABLEAU!B135,data!C:C,TABLEAU!D135,data!F:F,YEAR(Feuil1!$D$2))</f>
        <v>2298.7800000000002</v>
      </c>
      <c r="H135" s="9">
        <f t="shared" si="8"/>
        <v>-1021.6800000000003</v>
      </c>
      <c r="I135" s="12">
        <f t="shared" si="9"/>
        <v>-0.44444444444444453</v>
      </c>
      <c r="J135" s="13">
        <f>SUMIFS(data!E:E,data!A:A,TABLEAU!B135,data!C:C,TABLEAU!D135,data!F:F,YEAR(Feuil1!$D$1))</f>
        <v>96</v>
      </c>
      <c r="K135" s="13">
        <f>SUMIFS(data!E:E,data!A:A,TABLEAU!B135,data!C:C,TABLEAU!D135,data!F:F,YEAR(Feuil1!$D$2))</f>
        <v>168</v>
      </c>
      <c r="L135" s="13">
        <f t="shared" si="10"/>
        <v>-72</v>
      </c>
      <c r="M135" s="12">
        <f t="shared" si="11"/>
        <v>-0.42857142857142855</v>
      </c>
    </row>
    <row r="136" spans="1:13" x14ac:dyDescent="0.25">
      <c r="A136" s="17" t="str">
        <f>data!H232</f>
        <v>VINICOM</v>
      </c>
      <c r="B136" s="15" t="str">
        <f>data!A232</f>
        <v>003517</v>
      </c>
      <c r="C136" s="1" t="str">
        <f>data!B232</f>
        <v>HOBIVIN</v>
      </c>
      <c r="D136" s="1" t="str">
        <f>data!C232</f>
        <v>181508H</v>
      </c>
      <c r="E136" s="1" t="str">
        <f>data!D136</f>
        <v>V.DO CANFORRALES TEMPRANILLO</v>
      </c>
      <c r="F136" s="14">
        <f>SUMIFS(data!G:G,data!A:A,TABLEAU!B136,data!C:C,TABLEAU!D136,data!F:F,YEAR(Feuil1!$D$1))</f>
        <v>2623.5</v>
      </c>
      <c r="G136" s="9">
        <f>SUMIFS(data!G:G,data!A:A,TABLEAU!B136,data!C:C,TABLEAU!D136,data!F:F,YEAR(Feuil1!$D$2))</f>
        <v>2782.5</v>
      </c>
      <c r="H136" s="9">
        <f t="shared" si="8"/>
        <v>-159</v>
      </c>
      <c r="I136" s="12">
        <f t="shared" si="9"/>
        <v>-5.7142857142857141E-2</v>
      </c>
      <c r="J136" s="13">
        <f>SUMIFS(data!E:E,data!A:A,TABLEAU!B136,data!C:C,TABLEAU!D136,data!F:F,YEAR(Feuil1!$D$1))</f>
        <v>204</v>
      </c>
      <c r="K136" s="13">
        <f>SUMIFS(data!E:E,data!A:A,TABLEAU!B136,data!C:C,TABLEAU!D136,data!F:F,YEAR(Feuil1!$D$2))</f>
        <v>216</v>
      </c>
      <c r="L136" s="13">
        <f t="shared" si="10"/>
        <v>-12</v>
      </c>
      <c r="M136" s="12">
        <f t="shared" si="11"/>
        <v>-5.5555555555555552E-2</v>
      </c>
    </row>
    <row r="137" spans="1:13" x14ac:dyDescent="0.25">
      <c r="A137" s="17" t="str">
        <f>data!H234</f>
        <v>VINICOM</v>
      </c>
      <c r="B137" s="15" t="str">
        <f>data!A234</f>
        <v>003517</v>
      </c>
      <c r="C137" s="1" t="str">
        <f>data!B234</f>
        <v>HOBIVIN</v>
      </c>
      <c r="D137" s="1" t="str">
        <f>data!C234</f>
        <v>182001H</v>
      </c>
      <c r="E137" s="1" t="str">
        <f>data!D137</f>
        <v>AC SAUTERNES CH GRAND CARRETEY</v>
      </c>
      <c r="F137" s="14">
        <f>SUMIFS(data!G:G,data!A:A,TABLEAU!B137,data!C:C,TABLEAU!D137,data!F:F,YEAR(Feuil1!$D$1))</f>
        <v>2634.96</v>
      </c>
      <c r="G137" s="9">
        <f>SUMIFS(data!G:G,data!A:A,TABLEAU!B137,data!C:C,TABLEAU!D137,data!F:F,YEAR(Feuil1!$D$2))</f>
        <v>3110.04</v>
      </c>
      <c r="H137" s="9">
        <f t="shared" si="8"/>
        <v>-475.07999999999993</v>
      </c>
      <c r="I137" s="12">
        <f t="shared" si="9"/>
        <v>-0.15275687772504531</v>
      </c>
      <c r="J137" s="13">
        <f>SUMIFS(data!E:E,data!A:A,TABLEAU!B137,data!C:C,TABLEAU!D137,data!F:F,YEAR(Feuil1!$D$1))</f>
        <v>228</v>
      </c>
      <c r="K137" s="13">
        <f>SUMIFS(data!E:E,data!A:A,TABLEAU!B137,data!C:C,TABLEAU!D137,data!F:F,YEAR(Feuil1!$D$2))</f>
        <v>276</v>
      </c>
      <c r="L137" s="13">
        <f t="shared" si="10"/>
        <v>-48</v>
      </c>
      <c r="M137" s="12">
        <f t="shared" si="11"/>
        <v>-0.17391304347826086</v>
      </c>
    </row>
    <row r="138" spans="1:13" x14ac:dyDescent="0.25">
      <c r="A138" s="17" t="str">
        <f>data!H236</f>
        <v>VINICOM</v>
      </c>
      <c r="B138" s="15" t="str">
        <f>data!A236</f>
        <v>003517</v>
      </c>
      <c r="C138" s="1" t="str">
        <f>data!B236</f>
        <v>HOBIVIN</v>
      </c>
      <c r="D138" s="1" t="str">
        <f>data!C236</f>
        <v>182002H</v>
      </c>
      <c r="E138" s="1" t="str">
        <f>data!D138</f>
        <v>AC SAINTE CROIX DU MONT</v>
      </c>
      <c r="F138" s="14">
        <f>SUMIFS(data!G:G,data!A:A,TABLEAU!B138,data!C:C,TABLEAU!D138,data!F:F,YEAR(Feuil1!$D$1))</f>
        <v>2560.5</v>
      </c>
      <c r="G138" s="9">
        <f>SUMIFS(data!G:G,data!A:A,TABLEAU!B138,data!C:C,TABLEAU!D138,data!F:F,YEAR(Feuil1!$D$2))</f>
        <v>2304</v>
      </c>
      <c r="H138" s="9">
        <f t="shared" si="8"/>
        <v>256.5</v>
      </c>
      <c r="I138" s="12">
        <f t="shared" si="9"/>
        <v>0.111328125</v>
      </c>
      <c r="J138" s="13">
        <f>SUMIFS(data!E:E,data!A:A,TABLEAU!B138,data!C:C,TABLEAU!D138,data!F:F,YEAR(Feuil1!$D$1))</f>
        <v>168</v>
      </c>
      <c r="K138" s="13">
        <f>SUMIFS(data!E:E,data!A:A,TABLEAU!B138,data!C:C,TABLEAU!D138,data!F:F,YEAR(Feuil1!$D$2))</f>
        <v>150</v>
      </c>
      <c r="L138" s="13">
        <f t="shared" si="10"/>
        <v>18</v>
      </c>
      <c r="M138" s="12">
        <f t="shared" si="11"/>
        <v>0.12</v>
      </c>
    </row>
    <row r="139" spans="1:13" x14ac:dyDescent="0.25">
      <c r="A139" s="17" t="str">
        <f>data!H238</f>
        <v>VINICOM</v>
      </c>
      <c r="B139" s="15" t="str">
        <f>data!A238</f>
        <v>003517</v>
      </c>
      <c r="C139" s="1" t="str">
        <f>data!B238</f>
        <v>HOBIVIN</v>
      </c>
      <c r="D139" s="1" t="str">
        <f>data!C238</f>
        <v>184001H</v>
      </c>
      <c r="E139" s="1" t="str">
        <f>data!D139</f>
        <v>AC MORGON DOMAINE DUBOST</v>
      </c>
      <c r="F139" s="14">
        <f>SUMIFS(data!G:G,data!A:A,TABLEAU!B139,data!C:C,TABLEAU!D139,data!F:F,YEAR(Feuil1!$D$1))</f>
        <v>825.9</v>
      </c>
      <c r="G139" s="9">
        <f>SUMIFS(data!G:G,data!A:A,TABLEAU!B139,data!C:C,TABLEAU!D139,data!F:F,YEAR(Feuil1!$D$2))</f>
        <v>1318.95</v>
      </c>
      <c r="H139" s="9">
        <f t="shared" si="8"/>
        <v>-493.05000000000007</v>
      </c>
      <c r="I139" s="12">
        <f t="shared" si="9"/>
        <v>-0.37382008415785289</v>
      </c>
      <c r="J139" s="13">
        <f>SUMIFS(data!E:E,data!A:A,TABLEAU!B139,data!C:C,TABLEAU!D139,data!F:F,YEAR(Feuil1!$D$1))</f>
        <v>399.90000000000009</v>
      </c>
      <c r="K139" s="13">
        <f>SUMIFS(data!E:E,data!A:A,TABLEAU!B139,data!C:C,TABLEAU!D139,data!F:F,YEAR(Feuil1!$D$2))</f>
        <v>679.82999999999993</v>
      </c>
      <c r="L139" s="13">
        <f t="shared" si="10"/>
        <v>-279.92999999999984</v>
      </c>
      <c r="M139" s="12">
        <f t="shared" si="11"/>
        <v>-0.41176470588235276</v>
      </c>
    </row>
    <row r="140" spans="1:13" x14ac:dyDescent="0.25">
      <c r="A140" s="17" t="str">
        <f>data!H240</f>
        <v>VINICOM</v>
      </c>
      <c r="B140" s="15" t="str">
        <f>data!A240</f>
        <v>003517</v>
      </c>
      <c r="C140" s="1" t="str">
        <f>data!B240</f>
        <v>HOBIVIN</v>
      </c>
      <c r="D140" s="1" t="str">
        <f>data!C240</f>
        <v>184002H</v>
      </c>
      <c r="E140" s="1" t="str">
        <f>data!D140</f>
        <v>AC MORGON DOMAINE DUBOST</v>
      </c>
      <c r="F140" s="14">
        <f>SUMIFS(data!G:G,data!A:A,TABLEAU!B140,data!C:C,TABLEAU!D140,data!F:F,YEAR(Feuil1!$D$1))</f>
        <v>1465</v>
      </c>
      <c r="G140" s="9">
        <f>SUMIFS(data!G:G,data!A:A,TABLEAU!B140,data!C:C,TABLEAU!D140,data!F:F,YEAR(Feuil1!$D$2))</f>
        <v>2216.25</v>
      </c>
      <c r="H140" s="9">
        <f t="shared" si="8"/>
        <v>-751.25</v>
      </c>
      <c r="I140" s="12">
        <f t="shared" si="9"/>
        <v>-0.33897349125775522</v>
      </c>
      <c r="J140" s="13">
        <f>SUMIFS(data!E:E,data!A:A,TABLEAU!B140,data!C:C,TABLEAU!D140,data!F:F,YEAR(Feuil1!$D$1))</f>
        <v>660.32999999999993</v>
      </c>
      <c r="K140" s="13">
        <f>SUMIFS(data!E:E,data!A:A,TABLEAU!B140,data!C:C,TABLEAU!D140,data!F:F,YEAR(Feuil1!$D$2))</f>
        <v>1053.8599999999999</v>
      </c>
      <c r="L140" s="13">
        <f t="shared" si="10"/>
        <v>-393.53</v>
      </c>
      <c r="M140" s="12">
        <f t="shared" si="11"/>
        <v>-0.37341772151898733</v>
      </c>
    </row>
    <row r="141" spans="1:13" x14ac:dyDescent="0.25">
      <c r="A141" s="17" t="str">
        <f>data!H242</f>
        <v>VINICOM</v>
      </c>
      <c r="B141" s="15" t="str">
        <f>data!A242</f>
        <v>003517</v>
      </c>
      <c r="C141" s="1" t="str">
        <f>data!B242</f>
        <v>HOBIVIN</v>
      </c>
      <c r="D141" s="1" t="str">
        <f>data!C242</f>
        <v>185001H</v>
      </c>
      <c r="E141" s="1" t="str">
        <f>data!D141</f>
        <v>AC BROUILLY DOMAINE DUBOST</v>
      </c>
      <c r="F141" s="14">
        <f>SUMIFS(data!G:G,data!A:A,TABLEAU!B141,data!C:C,TABLEAU!D141,data!F:F,YEAR(Feuil1!$D$1))</f>
        <v>4092</v>
      </c>
      <c r="G141" s="9">
        <f>SUMIFS(data!G:G,data!A:A,TABLEAU!B141,data!C:C,TABLEAU!D141,data!F:F,YEAR(Feuil1!$D$2))</f>
        <v>3720.1</v>
      </c>
      <c r="H141" s="9">
        <f t="shared" si="8"/>
        <v>371.90000000000009</v>
      </c>
      <c r="I141" s="12">
        <f t="shared" si="9"/>
        <v>9.997043090239513E-2</v>
      </c>
      <c r="J141" s="13">
        <f>SUMIFS(data!E:E,data!A:A,TABLEAU!B141,data!C:C,TABLEAU!D141,data!F:F,YEAR(Feuil1!$D$1))</f>
        <v>1470</v>
      </c>
      <c r="K141" s="13">
        <f>SUMIFS(data!E:E,data!A:A,TABLEAU!B141,data!C:C,TABLEAU!D141,data!F:F,YEAR(Feuil1!$D$2))</f>
        <v>1374</v>
      </c>
      <c r="L141" s="13">
        <f t="shared" si="10"/>
        <v>96</v>
      </c>
      <c r="M141" s="12">
        <f t="shared" si="11"/>
        <v>6.9868995633187769E-2</v>
      </c>
    </row>
    <row r="142" spans="1:13" x14ac:dyDescent="0.25">
      <c r="A142" s="17" t="str">
        <f>data!H244</f>
        <v>VINICOM</v>
      </c>
      <c r="B142" s="15" t="str">
        <f>data!A244</f>
        <v>003517</v>
      </c>
      <c r="C142" s="1" t="str">
        <f>data!B244</f>
        <v>HOBIVIN</v>
      </c>
      <c r="D142" s="1" t="str">
        <f>data!C244</f>
        <v>185002H</v>
      </c>
      <c r="E142" s="1" t="str">
        <f>data!D142</f>
        <v>AC BROUILLY DOMAINE DUBOST</v>
      </c>
      <c r="F142" s="14">
        <f>SUMIFS(data!G:G,data!A:A,TABLEAU!B142,data!C:C,TABLEAU!D142,data!F:F,YEAR(Feuil1!$D$1))</f>
        <v>449.52</v>
      </c>
      <c r="G142" s="9">
        <f>SUMIFS(data!G:G,data!A:A,TABLEAU!B142,data!C:C,TABLEAU!D142,data!F:F,YEAR(Feuil1!$D$2))</f>
        <v>1211.1600000000001</v>
      </c>
      <c r="H142" s="9">
        <f t="shared" si="8"/>
        <v>-761.6400000000001</v>
      </c>
      <c r="I142" s="12">
        <f t="shared" si="9"/>
        <v>-0.6288516793817498</v>
      </c>
      <c r="J142" s="13">
        <f>SUMIFS(data!E:E,data!A:A,TABLEAU!B142,data!C:C,TABLEAU!D142,data!F:F,YEAR(Feuil1!$D$1))</f>
        <v>156</v>
      </c>
      <c r="K142" s="13">
        <f>SUMIFS(data!E:E,data!A:A,TABLEAU!B142,data!C:C,TABLEAU!D142,data!F:F,YEAR(Feuil1!$D$2))</f>
        <v>420</v>
      </c>
      <c r="L142" s="13">
        <f t="shared" si="10"/>
        <v>-264</v>
      </c>
      <c r="M142" s="12">
        <f t="shared" si="11"/>
        <v>-0.62857142857142856</v>
      </c>
    </row>
    <row r="143" spans="1:13" x14ac:dyDescent="0.25">
      <c r="A143" s="17" t="str">
        <f>data!H246</f>
        <v>VINICOM</v>
      </c>
      <c r="B143" s="15" t="str">
        <f>data!A246</f>
        <v>003517</v>
      </c>
      <c r="C143" s="1" t="str">
        <f>data!B246</f>
        <v>HOBIVIN</v>
      </c>
      <c r="D143" s="1" t="str">
        <f>data!C246</f>
        <v>185003H</v>
      </c>
      <c r="E143" s="1" t="str">
        <f>data!D143</f>
        <v>AC MOULIN A VENT DOMAINE DUBOST</v>
      </c>
      <c r="F143" s="14">
        <f>SUMIFS(data!G:G,data!A:A,TABLEAU!B143,data!C:C,TABLEAU!D143,data!F:F,YEAR(Feuil1!$D$1))</f>
        <v>64.56</v>
      </c>
      <c r="G143" s="9">
        <f>SUMIFS(data!G:G,data!A:A,TABLEAU!B143,data!C:C,TABLEAU!D143,data!F:F,YEAR(Feuil1!$D$2))</f>
        <v>47.22</v>
      </c>
      <c r="H143" s="9">
        <f t="shared" si="8"/>
        <v>17.340000000000003</v>
      </c>
      <c r="I143" s="12">
        <f t="shared" si="9"/>
        <v>0.36721728081321481</v>
      </c>
      <c r="J143" s="13">
        <f>SUMIFS(data!E:E,data!A:A,TABLEAU!B143,data!C:C,TABLEAU!D143,data!F:F,YEAR(Feuil1!$D$1))</f>
        <v>24</v>
      </c>
      <c r="K143" s="13">
        <f>SUMIFS(data!E:E,data!A:A,TABLEAU!B143,data!C:C,TABLEAU!D143,data!F:F,YEAR(Feuil1!$D$2))</f>
        <v>24</v>
      </c>
      <c r="L143" s="13">
        <f t="shared" si="10"/>
        <v>0</v>
      </c>
      <c r="M143" s="12">
        <f t="shared" si="11"/>
        <v>0</v>
      </c>
    </row>
    <row r="144" spans="1:13" x14ac:dyDescent="0.25">
      <c r="A144" s="17" t="str">
        <f>data!H248</f>
        <v>VINICOM</v>
      </c>
      <c r="B144" s="15" t="str">
        <f>data!A248</f>
        <v>003517</v>
      </c>
      <c r="C144" s="1" t="str">
        <f>data!B248</f>
        <v>HOBIVIN</v>
      </c>
      <c r="D144" s="1" t="str">
        <f>data!C248</f>
        <v>185004H</v>
      </c>
      <c r="E144" s="1" t="str">
        <f>data!D144</f>
        <v>AC MOULIN A VENT DOMAINE DUBOST</v>
      </c>
      <c r="F144" s="14">
        <f>SUMIFS(data!G:G,data!A:A,TABLEAU!B144,data!C:C,TABLEAU!D144,data!F:F,YEAR(Feuil1!$D$1))</f>
        <v>1178.4000000000001</v>
      </c>
      <c r="G144" s="9">
        <f>SUMIFS(data!G:G,data!A:A,TABLEAU!B144,data!C:C,TABLEAU!D144,data!F:F,YEAR(Feuil1!$D$2))</f>
        <v>2567.52</v>
      </c>
      <c r="H144" s="9">
        <f t="shared" si="8"/>
        <v>-1389.12</v>
      </c>
      <c r="I144" s="12">
        <f t="shared" si="9"/>
        <v>-0.54103570760889885</v>
      </c>
      <c r="J144" s="13">
        <f>SUMIFS(data!E:E,data!A:A,TABLEAU!B144,data!C:C,TABLEAU!D144,data!F:F,YEAR(Feuil1!$D$1))</f>
        <v>240</v>
      </c>
      <c r="K144" s="13">
        <f>SUMIFS(data!E:E,data!A:A,TABLEAU!B144,data!C:C,TABLEAU!D144,data!F:F,YEAR(Feuil1!$D$2))</f>
        <v>546</v>
      </c>
      <c r="L144" s="13">
        <f t="shared" si="10"/>
        <v>-306</v>
      </c>
      <c r="M144" s="12">
        <f t="shared" si="11"/>
        <v>-0.56043956043956045</v>
      </c>
    </row>
    <row r="145" spans="1:13" x14ac:dyDescent="0.25">
      <c r="A145" s="17" t="str">
        <f>data!H250</f>
        <v>VINICOM</v>
      </c>
      <c r="B145" s="15" t="str">
        <f>data!A250</f>
        <v>003517</v>
      </c>
      <c r="C145" s="1" t="str">
        <f>data!B250</f>
        <v>HOBIVIN</v>
      </c>
      <c r="D145" s="1" t="str">
        <f>data!C250</f>
        <v>187001H</v>
      </c>
      <c r="E145" s="1" t="str">
        <f>data!D145</f>
        <v>AC ST JOSEPH V. LAURENT MARTHOURET LES ROTISSES</v>
      </c>
      <c r="F145" s="14">
        <f>SUMIFS(data!G:G,data!A:A,TABLEAU!B145,data!C:C,TABLEAU!D145,data!F:F,YEAR(Feuil1!$D$1))</f>
        <v>7451.54</v>
      </c>
      <c r="G145" s="9">
        <f>SUMIFS(data!G:G,data!A:A,TABLEAU!B145,data!C:C,TABLEAU!D145,data!F:F,YEAR(Feuil1!$D$2))</f>
        <v>8862.1200000000008</v>
      </c>
      <c r="H145" s="9">
        <f t="shared" si="8"/>
        <v>-1410.5800000000008</v>
      </c>
      <c r="I145" s="12">
        <f t="shared" si="9"/>
        <v>-0.15916958921792987</v>
      </c>
      <c r="J145" s="13">
        <f>SUMIFS(data!E:E,data!A:A,TABLEAU!B145,data!C:C,TABLEAU!D145,data!F:F,YEAR(Feuil1!$D$1))</f>
        <v>5436.05</v>
      </c>
      <c r="K145" s="13">
        <f>SUMIFS(data!E:E,data!A:A,TABLEAU!B145,data!C:C,TABLEAU!D145,data!F:F,YEAR(Feuil1!$D$2))</f>
        <v>6696.6800000000039</v>
      </c>
      <c r="L145" s="13">
        <f t="shared" si="10"/>
        <v>-1260.6300000000037</v>
      </c>
      <c r="M145" s="12">
        <f t="shared" si="11"/>
        <v>-0.18824701195219168</v>
      </c>
    </row>
    <row r="146" spans="1:13" x14ac:dyDescent="0.25">
      <c r="A146" s="17" t="str">
        <f>data!H252</f>
        <v>VINICOM</v>
      </c>
      <c r="B146" s="15" t="str">
        <f>data!A252</f>
        <v>003517</v>
      </c>
      <c r="C146" s="1" t="str">
        <f>data!B252</f>
        <v>HOBIVIN</v>
      </c>
      <c r="D146" s="1" t="str">
        <f>data!C252</f>
        <v>187002H</v>
      </c>
      <c r="E146" s="1" t="str">
        <f>data!D146</f>
        <v>AC ST JOSEPH V. LAURENT MARTHOURET LES ROTISSES</v>
      </c>
      <c r="F146" s="14">
        <f>SUMIFS(data!G:G,data!A:A,TABLEAU!B146,data!C:C,TABLEAU!D146,data!F:F,YEAR(Feuil1!$D$1))</f>
        <v>3376.22</v>
      </c>
      <c r="G146" s="9">
        <f>SUMIFS(data!G:G,data!A:A,TABLEAU!B146,data!C:C,TABLEAU!D146,data!F:F,YEAR(Feuil1!$D$2))</f>
        <v>2311.92</v>
      </c>
      <c r="H146" s="9">
        <f t="shared" si="8"/>
        <v>1064.2999999999997</v>
      </c>
      <c r="I146" s="12">
        <f t="shared" si="9"/>
        <v>0.46035329942212522</v>
      </c>
      <c r="J146" s="13">
        <f>SUMIFS(data!E:E,data!A:A,TABLEAU!B146,data!C:C,TABLEAU!D146,data!F:F,YEAR(Feuil1!$D$1))</f>
        <v>2327.8300000000008</v>
      </c>
      <c r="K146" s="13">
        <f>SUMIFS(data!E:E,data!A:A,TABLEAU!B146,data!C:C,TABLEAU!D146,data!F:F,YEAR(Feuil1!$D$2))</f>
        <v>1660.8300000000002</v>
      </c>
      <c r="L146" s="13">
        <f t="shared" si="10"/>
        <v>667.00000000000068</v>
      </c>
      <c r="M146" s="12">
        <f t="shared" si="11"/>
        <v>0.40160642570281163</v>
      </c>
    </row>
    <row r="147" spans="1:13" x14ac:dyDescent="0.25">
      <c r="A147" s="17" t="str">
        <f>data!H254</f>
        <v>VINICOM</v>
      </c>
      <c r="B147" s="15" t="str">
        <f>data!A254</f>
        <v>003517</v>
      </c>
      <c r="C147" s="1" t="str">
        <f>data!B254</f>
        <v>HOBIVIN</v>
      </c>
      <c r="D147" s="1" t="str">
        <f>data!C254</f>
        <v>187003H</v>
      </c>
      <c r="E147" s="1" t="str">
        <f>data!D147</f>
        <v>AC ST JOSEPH V. LAURENT MARTHOURET</v>
      </c>
      <c r="F147" s="14">
        <f>SUMIFS(data!G:G,data!A:A,TABLEAU!B147,data!C:C,TABLEAU!D147,data!F:F,YEAR(Feuil1!$D$1))</f>
        <v>3345.3</v>
      </c>
      <c r="G147" s="9">
        <f>SUMIFS(data!G:G,data!A:A,TABLEAU!B147,data!C:C,TABLEAU!D147,data!F:F,YEAR(Feuil1!$D$2))</f>
        <v>2558.6799999999998</v>
      </c>
      <c r="H147" s="9">
        <f t="shared" si="8"/>
        <v>786.62000000000035</v>
      </c>
      <c r="I147" s="12">
        <f t="shared" si="9"/>
        <v>0.30743195710288135</v>
      </c>
      <c r="J147" s="13">
        <f>SUMIFS(data!E:E,data!A:A,TABLEAU!B147,data!C:C,TABLEAU!D147,data!F:F,YEAR(Feuil1!$D$1))</f>
        <v>1987.6599999999996</v>
      </c>
      <c r="K147" s="13">
        <f>SUMIFS(data!E:E,data!A:A,TABLEAU!B147,data!C:C,TABLEAU!D147,data!F:F,YEAR(Feuil1!$D$2))</f>
        <v>1607.4699999999998</v>
      </c>
      <c r="L147" s="13">
        <f t="shared" si="10"/>
        <v>380.18999999999983</v>
      </c>
      <c r="M147" s="12">
        <f t="shared" si="11"/>
        <v>0.23651452282157667</v>
      </c>
    </row>
    <row r="148" spans="1:13" x14ac:dyDescent="0.25">
      <c r="A148" s="17" t="str">
        <f>data!H256</f>
        <v>VINICOM</v>
      </c>
      <c r="B148" s="15" t="str">
        <f>data!A256</f>
        <v>003517</v>
      </c>
      <c r="C148" s="1" t="str">
        <f>data!B256</f>
        <v>HOBIVIN</v>
      </c>
      <c r="D148" s="1" t="str">
        <f>data!C256</f>
        <v>188001H</v>
      </c>
      <c r="E148" s="1" t="str">
        <f>data!D148</f>
        <v>AC ST JOSEPH V. LAURENT MARTHOURET</v>
      </c>
      <c r="F148" s="14">
        <f>SUMIFS(data!G:G,data!A:A,TABLEAU!B148,data!C:C,TABLEAU!D148,data!F:F,YEAR(Feuil1!$D$1))</f>
        <v>2251.5</v>
      </c>
      <c r="G148" s="9">
        <f>SUMIFS(data!G:G,data!A:A,TABLEAU!B148,data!C:C,TABLEAU!D148,data!F:F,YEAR(Feuil1!$D$2))</f>
        <v>4029.9</v>
      </c>
      <c r="H148" s="9">
        <f t="shared" si="8"/>
        <v>-1778.4</v>
      </c>
      <c r="I148" s="12">
        <f t="shared" si="9"/>
        <v>-0.44130127298444133</v>
      </c>
      <c r="J148" s="13">
        <f>SUMIFS(data!E:E,data!A:A,TABLEAU!B148,data!C:C,TABLEAU!D148,data!F:F,YEAR(Feuil1!$D$1))</f>
        <v>438</v>
      </c>
      <c r="K148" s="13">
        <f>SUMIFS(data!E:E,data!A:A,TABLEAU!B148,data!C:C,TABLEAU!D148,data!F:F,YEAR(Feuil1!$D$2))</f>
        <v>810</v>
      </c>
      <c r="L148" s="13">
        <f t="shared" si="10"/>
        <v>-372</v>
      </c>
      <c r="M148" s="12">
        <f t="shared" si="11"/>
        <v>-0.45925925925925926</v>
      </c>
    </row>
    <row r="149" spans="1:13" x14ac:dyDescent="0.25">
      <c r="A149" s="17" t="str">
        <f>data!H258</f>
        <v>VINICOM</v>
      </c>
      <c r="B149" s="15" t="str">
        <f>data!A258</f>
        <v>003517</v>
      </c>
      <c r="C149" s="1" t="str">
        <f>data!B258</f>
        <v>HOBIVIN</v>
      </c>
      <c r="D149" s="1" t="str">
        <f>data!C258</f>
        <v>188002H</v>
      </c>
      <c r="E149" s="1" t="str">
        <f>data!D149</f>
        <v>IGP MARSANNE DOMAINE MARTHOURET</v>
      </c>
      <c r="F149" s="14">
        <f>SUMIFS(data!G:G,data!A:A,TABLEAU!B149,data!C:C,TABLEAU!D149,data!F:F,YEAR(Feuil1!$D$1))</f>
        <v>368.4</v>
      </c>
      <c r="G149" s="9">
        <f>SUMIFS(data!G:G,data!A:A,TABLEAU!B149,data!C:C,TABLEAU!D149,data!F:F,YEAR(Feuil1!$D$2))</f>
        <v>996.3</v>
      </c>
      <c r="H149" s="9">
        <f t="shared" si="8"/>
        <v>-627.9</v>
      </c>
      <c r="I149" s="12">
        <f t="shared" si="9"/>
        <v>-0.63023185787413427</v>
      </c>
      <c r="J149" s="13">
        <f>SUMIFS(data!E:E,data!A:A,TABLEAU!B149,data!C:C,TABLEAU!D149,data!F:F,YEAR(Feuil1!$D$1))</f>
        <v>90</v>
      </c>
      <c r="K149" s="13">
        <f>SUMIFS(data!E:E,data!A:A,TABLEAU!B149,data!C:C,TABLEAU!D149,data!F:F,YEAR(Feuil1!$D$2))</f>
        <v>198</v>
      </c>
      <c r="L149" s="13">
        <f t="shared" si="10"/>
        <v>-108</v>
      </c>
      <c r="M149" s="12">
        <f t="shared" si="11"/>
        <v>-0.54545454545454541</v>
      </c>
    </row>
    <row r="150" spans="1:13" x14ac:dyDescent="0.25">
      <c r="A150" s="17" t="str">
        <f>data!H260</f>
        <v>VINICOM</v>
      </c>
      <c r="B150" s="15" t="str">
        <f>data!A260</f>
        <v>003517</v>
      </c>
      <c r="C150" s="1" t="str">
        <f>data!B260</f>
        <v>HOBIVIN</v>
      </c>
      <c r="D150" s="1" t="str">
        <f>data!C260</f>
        <v>189001H</v>
      </c>
      <c r="E150" s="1" t="str">
        <f>data!D150</f>
        <v>IGP MARSANNE DOMAINE MARTHOURET</v>
      </c>
      <c r="F150" s="14">
        <f>SUMIFS(data!G:G,data!A:A,TABLEAU!B150,data!C:C,TABLEAU!D150,data!F:F,YEAR(Feuil1!$D$1))</f>
        <v>0</v>
      </c>
      <c r="G150" s="9">
        <f>SUMIFS(data!G:G,data!A:A,TABLEAU!B150,data!C:C,TABLEAU!D150,data!F:F,YEAR(Feuil1!$D$2))</f>
        <v>745.92</v>
      </c>
      <c r="H150" s="9">
        <f t="shared" si="8"/>
        <v>-745.92</v>
      </c>
      <c r="I150" s="12">
        <f t="shared" si="9"/>
        <v>-1</v>
      </c>
      <c r="J150" s="13">
        <f>SUMIFS(data!E:E,data!A:A,TABLEAU!B150,data!C:C,TABLEAU!D150,data!F:F,YEAR(Feuil1!$D$1))</f>
        <v>0</v>
      </c>
      <c r="K150" s="13">
        <f>SUMIFS(data!E:E,data!A:A,TABLEAU!B150,data!C:C,TABLEAU!D150,data!F:F,YEAR(Feuil1!$D$2))</f>
        <v>252</v>
      </c>
      <c r="L150" s="13">
        <f t="shared" si="10"/>
        <v>-252</v>
      </c>
      <c r="M150" s="12">
        <f t="shared" si="11"/>
        <v>-1</v>
      </c>
    </row>
    <row r="151" spans="1:13" x14ac:dyDescent="0.25">
      <c r="A151" s="17" t="str">
        <f>data!H261</f>
        <v>VINICOM</v>
      </c>
      <c r="B151" s="15" t="str">
        <f>data!A261</f>
        <v>003517</v>
      </c>
      <c r="C151" s="1" t="str">
        <f>data!B261</f>
        <v>HOBIVIN</v>
      </c>
      <c r="D151" s="1" t="str">
        <f>data!C261</f>
        <v>189002H</v>
      </c>
      <c r="E151" s="1" t="str">
        <f>data!D151</f>
        <v>IGP SYRAH  V. LAURENT MARTHOURET</v>
      </c>
      <c r="F151" s="14">
        <f>SUMIFS(data!G:G,data!A:A,TABLEAU!B151,data!C:C,TABLEAU!D151,data!F:F,YEAR(Feuil1!$D$1))</f>
        <v>0</v>
      </c>
      <c r="G151" s="9">
        <f>SUMIFS(data!G:G,data!A:A,TABLEAU!B151,data!C:C,TABLEAU!D151,data!F:F,YEAR(Feuil1!$D$2))</f>
        <v>888</v>
      </c>
      <c r="H151" s="9">
        <f t="shared" si="8"/>
        <v>-888</v>
      </c>
      <c r="I151" s="12">
        <f t="shared" si="9"/>
        <v>-1</v>
      </c>
      <c r="J151" s="13">
        <f>SUMIFS(data!E:E,data!A:A,TABLEAU!B151,data!C:C,TABLEAU!D151,data!F:F,YEAR(Feuil1!$D$1))</f>
        <v>0</v>
      </c>
      <c r="K151" s="13">
        <f>SUMIFS(data!E:E,data!A:A,TABLEAU!B151,data!C:C,TABLEAU!D151,data!F:F,YEAR(Feuil1!$D$2))</f>
        <v>306</v>
      </c>
      <c r="L151" s="13">
        <f t="shared" si="10"/>
        <v>-306</v>
      </c>
      <c r="M151" s="12">
        <f t="shared" si="11"/>
        <v>-1</v>
      </c>
    </row>
    <row r="152" spans="1:13" x14ac:dyDescent="0.25">
      <c r="A152" s="17" t="str">
        <f>data!H262</f>
        <v>VINICOM</v>
      </c>
      <c r="B152" s="15" t="str">
        <f>data!A262</f>
        <v>003517</v>
      </c>
      <c r="C152" s="1" t="str">
        <f>data!B262</f>
        <v>HOBIVIN</v>
      </c>
      <c r="D152" s="1" t="str">
        <f>data!C262</f>
        <v>189003H</v>
      </c>
      <c r="E152" s="1" t="str">
        <f>data!D152</f>
        <v>IGP SYRAH  V. LAURENT MARTHOURET</v>
      </c>
      <c r="F152" s="14">
        <f>SUMIFS(data!G:G,data!A:A,TABLEAU!B152,data!C:C,TABLEAU!D152,data!F:F,YEAR(Feuil1!$D$1))</f>
        <v>0</v>
      </c>
      <c r="G152" s="9">
        <f>SUMIFS(data!G:G,data!A:A,TABLEAU!B152,data!C:C,TABLEAU!D152,data!F:F,YEAR(Feuil1!$D$2))</f>
        <v>1030.08</v>
      </c>
      <c r="H152" s="9">
        <f t="shared" si="8"/>
        <v>-1030.08</v>
      </c>
      <c r="I152" s="12">
        <f t="shared" si="9"/>
        <v>-1</v>
      </c>
      <c r="J152" s="13">
        <f>SUMIFS(data!E:E,data!A:A,TABLEAU!B152,data!C:C,TABLEAU!D152,data!F:F,YEAR(Feuil1!$D$1))</f>
        <v>0</v>
      </c>
      <c r="K152" s="13">
        <f>SUMIFS(data!E:E,data!A:A,TABLEAU!B152,data!C:C,TABLEAU!D152,data!F:F,YEAR(Feuil1!$D$2))</f>
        <v>354</v>
      </c>
      <c r="L152" s="13">
        <f t="shared" si="10"/>
        <v>-354</v>
      </c>
      <c r="M152" s="12">
        <f t="shared" si="11"/>
        <v>-1</v>
      </c>
    </row>
    <row r="153" spans="1:13" x14ac:dyDescent="0.25">
      <c r="A153" s="17" t="str">
        <f>data!H263</f>
        <v>VINICOM</v>
      </c>
      <c r="B153" s="15" t="str">
        <f>data!A263</f>
        <v>003517</v>
      </c>
      <c r="C153" s="1" t="str">
        <f>data!B263</f>
        <v>HOBIVIN</v>
      </c>
      <c r="D153" s="1" t="str">
        <f>data!C263</f>
        <v>191001H</v>
      </c>
      <c r="E153" s="1" t="str">
        <f>data!D153</f>
        <v>AC CONDRIEU MARTHOURET</v>
      </c>
      <c r="F153" s="14">
        <f>SUMIFS(data!G:G,data!A:A,TABLEAU!B153,data!C:C,TABLEAU!D153,data!F:F,YEAR(Feuil1!$D$1))</f>
        <v>726.3</v>
      </c>
      <c r="G153" s="9">
        <f>SUMIFS(data!G:G,data!A:A,TABLEAU!B153,data!C:C,TABLEAU!D153,data!F:F,YEAR(Feuil1!$D$2))</f>
        <v>2005.2</v>
      </c>
      <c r="H153" s="9">
        <f t="shared" si="8"/>
        <v>-1278.9000000000001</v>
      </c>
      <c r="I153" s="12">
        <f t="shared" si="9"/>
        <v>-0.63779174147217244</v>
      </c>
      <c r="J153" s="13">
        <f>SUMIFS(data!E:E,data!A:A,TABLEAU!B153,data!C:C,TABLEAU!D153,data!F:F,YEAR(Feuil1!$D$1))</f>
        <v>156</v>
      </c>
      <c r="K153" s="13">
        <f>SUMIFS(data!E:E,data!A:A,TABLEAU!B153,data!C:C,TABLEAU!D153,data!F:F,YEAR(Feuil1!$D$2))</f>
        <v>426</v>
      </c>
      <c r="L153" s="13">
        <f t="shared" si="10"/>
        <v>-270</v>
      </c>
      <c r="M153" s="12">
        <f t="shared" si="11"/>
        <v>-0.63380281690140849</v>
      </c>
    </row>
    <row r="154" spans="1:13" x14ac:dyDescent="0.25">
      <c r="A154" s="17" t="str">
        <f>data!H265</f>
        <v>VINICOM</v>
      </c>
      <c r="B154" s="15" t="str">
        <f>data!A265</f>
        <v>003517</v>
      </c>
      <c r="C154" s="1" t="str">
        <f>data!B265</f>
        <v>HOBIVIN</v>
      </c>
      <c r="D154" s="1" t="str">
        <f>data!C265</f>
        <v>191004H</v>
      </c>
      <c r="E154" s="1" t="str">
        <f>data!D154</f>
        <v>AC CONDRIEU MARTHOURET</v>
      </c>
      <c r="F154" s="14">
        <f>SUMIFS(data!G:G,data!A:A,TABLEAU!B154,data!C:C,TABLEAU!D154,data!F:F,YEAR(Feuil1!$D$1))</f>
        <v>660.84</v>
      </c>
      <c r="G154" s="9">
        <f>SUMIFS(data!G:G,data!A:A,TABLEAU!B154,data!C:C,TABLEAU!D154,data!F:F,YEAR(Feuil1!$D$2))</f>
        <v>1627.98</v>
      </c>
      <c r="H154" s="9">
        <f t="shared" si="8"/>
        <v>-967.14</v>
      </c>
      <c r="I154" s="12">
        <f t="shared" si="9"/>
        <v>-0.59407363726827112</v>
      </c>
      <c r="J154" s="13">
        <f>SUMIFS(data!E:E,data!A:A,TABLEAU!B154,data!C:C,TABLEAU!D154,data!F:F,YEAR(Feuil1!$D$1))</f>
        <v>132</v>
      </c>
      <c r="K154" s="13">
        <f>SUMIFS(data!E:E,data!A:A,TABLEAU!B154,data!C:C,TABLEAU!D154,data!F:F,YEAR(Feuil1!$D$2))</f>
        <v>336</v>
      </c>
      <c r="L154" s="13">
        <f t="shared" si="10"/>
        <v>-204</v>
      </c>
      <c r="M154" s="12">
        <f t="shared" si="11"/>
        <v>-0.6071428571428571</v>
      </c>
    </row>
    <row r="155" spans="1:13" x14ac:dyDescent="0.25">
      <c r="A155" s="17" t="str">
        <f>data!H267</f>
        <v>VINICOM</v>
      </c>
      <c r="B155" s="15" t="str">
        <f>data!A267</f>
        <v>003517</v>
      </c>
      <c r="C155" s="1" t="str">
        <f>data!B267</f>
        <v>HOBIVIN</v>
      </c>
      <c r="D155" s="1" t="str">
        <f>data!C267</f>
        <v>191005H</v>
      </c>
      <c r="E155" s="1" t="str">
        <f>data!D155</f>
        <v>AC FITOU B DE BERNARD</v>
      </c>
      <c r="F155" s="14">
        <f>SUMIFS(data!G:G,data!A:A,TABLEAU!B155,data!C:C,TABLEAU!D155,data!F:F,YEAR(Feuil1!$D$1))</f>
        <v>210.9</v>
      </c>
      <c r="G155" s="9">
        <f>SUMIFS(data!G:G,data!A:A,TABLEAU!B155,data!C:C,TABLEAU!D155,data!F:F,YEAR(Feuil1!$D$2))</f>
        <v>331.8</v>
      </c>
      <c r="H155" s="9">
        <f t="shared" si="8"/>
        <v>-120.9</v>
      </c>
      <c r="I155" s="12">
        <f t="shared" si="9"/>
        <v>-0.36437613019891502</v>
      </c>
      <c r="J155" s="13">
        <f>SUMIFS(data!E:E,data!A:A,TABLEAU!B155,data!C:C,TABLEAU!D155,data!F:F,YEAR(Feuil1!$D$1))</f>
        <v>54</v>
      </c>
      <c r="K155" s="13">
        <f>SUMIFS(data!E:E,data!A:A,TABLEAU!B155,data!C:C,TABLEAU!D155,data!F:F,YEAR(Feuil1!$D$2))</f>
        <v>108</v>
      </c>
      <c r="L155" s="13">
        <f t="shared" si="10"/>
        <v>-54</v>
      </c>
      <c r="M155" s="12">
        <f t="shared" si="11"/>
        <v>-0.5</v>
      </c>
    </row>
    <row r="156" spans="1:13" x14ac:dyDescent="0.25">
      <c r="A156" s="17" t="str">
        <f>data!H269</f>
        <v>VINICOM</v>
      </c>
      <c r="B156" s="15" t="str">
        <f>data!A269</f>
        <v>003517</v>
      </c>
      <c r="C156" s="1" t="str">
        <f>data!B269</f>
        <v>HOBIVIN</v>
      </c>
      <c r="D156" s="1" t="str">
        <f>data!C269</f>
        <v>192001H</v>
      </c>
      <c r="E156" s="1" t="str">
        <f>data!D156</f>
        <v>AC FITOU B DE BERNARD</v>
      </c>
      <c r="F156" s="14">
        <f>SUMIFS(data!G:G,data!A:A,TABLEAU!B156,data!C:C,TABLEAU!D156,data!F:F,YEAR(Feuil1!$D$1))</f>
        <v>268.8</v>
      </c>
      <c r="G156" s="9">
        <f>SUMIFS(data!G:G,data!A:A,TABLEAU!B156,data!C:C,TABLEAU!D156,data!F:F,YEAR(Feuil1!$D$2))</f>
        <v>576</v>
      </c>
      <c r="H156" s="9">
        <f t="shared" si="8"/>
        <v>-307.2</v>
      </c>
      <c r="I156" s="12">
        <f t="shared" si="9"/>
        <v>-0.53333333333333333</v>
      </c>
      <c r="J156" s="13">
        <f>SUMIFS(data!E:E,data!A:A,TABLEAU!B156,data!C:C,TABLEAU!D156,data!F:F,YEAR(Feuil1!$D$1))</f>
        <v>84</v>
      </c>
      <c r="K156" s="13">
        <f>SUMIFS(data!E:E,data!A:A,TABLEAU!B156,data!C:C,TABLEAU!D156,data!F:F,YEAR(Feuil1!$D$2))</f>
        <v>186</v>
      </c>
      <c r="L156" s="13">
        <f t="shared" si="10"/>
        <v>-102</v>
      </c>
      <c r="M156" s="12">
        <f t="shared" si="11"/>
        <v>-0.54838709677419351</v>
      </c>
    </row>
    <row r="157" spans="1:13" x14ac:dyDescent="0.25">
      <c r="A157" s="17" t="str">
        <f>data!H271</f>
        <v>VINICOM</v>
      </c>
      <c r="B157" s="15" t="str">
        <f>data!A271</f>
        <v>003517</v>
      </c>
      <c r="C157" s="1" t="str">
        <f>data!B271</f>
        <v>HOBIVIN</v>
      </c>
      <c r="D157" s="1" t="str">
        <f>data!C271</f>
        <v>192002H</v>
      </c>
      <c r="E157" s="1" t="str">
        <f>data!D157</f>
        <v>AC FITOU MAYNADIER CUVEE ANCETRE</v>
      </c>
      <c r="F157" s="14">
        <f>SUMIFS(data!G:G,data!A:A,TABLEAU!B157,data!C:C,TABLEAU!D157,data!F:F,YEAR(Feuil1!$D$1))</f>
        <v>502.74</v>
      </c>
      <c r="G157" s="9">
        <f>SUMIFS(data!G:G,data!A:A,TABLEAU!B157,data!C:C,TABLEAU!D157,data!F:F,YEAR(Feuil1!$D$2))</f>
        <v>423.36</v>
      </c>
      <c r="H157" s="9">
        <f t="shared" si="8"/>
        <v>79.38</v>
      </c>
      <c r="I157" s="12">
        <f t="shared" si="9"/>
        <v>0.18749999999999997</v>
      </c>
      <c r="J157" s="13">
        <f>SUMIFS(data!E:E,data!A:A,TABLEAU!B157,data!C:C,TABLEAU!D157,data!F:F,YEAR(Feuil1!$D$1))</f>
        <v>120</v>
      </c>
      <c r="K157" s="13">
        <f>SUMIFS(data!E:E,data!A:A,TABLEAU!B157,data!C:C,TABLEAU!D157,data!F:F,YEAR(Feuil1!$D$2))</f>
        <v>96</v>
      </c>
      <c r="L157" s="13">
        <f t="shared" si="10"/>
        <v>24</v>
      </c>
      <c r="M157" s="12">
        <f t="shared" si="11"/>
        <v>0.25</v>
      </c>
    </row>
    <row r="158" spans="1:13" x14ac:dyDescent="0.25">
      <c r="A158" s="17" t="str">
        <f>data!H273</f>
        <v>VINICOM</v>
      </c>
      <c r="B158" s="15" t="str">
        <f>data!A273</f>
        <v>003517</v>
      </c>
      <c r="C158" s="1" t="str">
        <f>data!B273</f>
        <v>HOBIVIN</v>
      </c>
      <c r="D158" s="1" t="str">
        <f>data!C273</f>
        <v>194001H</v>
      </c>
      <c r="E158" s="1" t="str">
        <f>data!D158</f>
        <v>AC FITOU MAYNADIER CUVEE ANCETRE</v>
      </c>
      <c r="F158" s="14">
        <f>SUMIFS(data!G:G,data!A:A,TABLEAU!B158,data!C:C,TABLEAU!D158,data!F:F,YEAR(Feuil1!$D$1))</f>
        <v>3249.24</v>
      </c>
      <c r="G158" s="9">
        <f>SUMIFS(data!G:G,data!A:A,TABLEAU!B158,data!C:C,TABLEAU!D158,data!F:F,YEAR(Feuil1!$D$2))</f>
        <v>2295</v>
      </c>
      <c r="H158" s="9">
        <f t="shared" si="8"/>
        <v>954.23999999999978</v>
      </c>
      <c r="I158" s="12">
        <f t="shared" si="9"/>
        <v>0.41579084967320251</v>
      </c>
      <c r="J158" s="13">
        <f>SUMIFS(data!E:E,data!A:A,TABLEAU!B158,data!C:C,TABLEAU!D158,data!F:F,YEAR(Feuil1!$D$1))</f>
        <v>456</v>
      </c>
      <c r="K158" s="13">
        <f>SUMIFS(data!E:E,data!A:A,TABLEAU!B158,data!C:C,TABLEAU!D158,data!F:F,YEAR(Feuil1!$D$2))</f>
        <v>306</v>
      </c>
      <c r="L158" s="13">
        <f t="shared" si="10"/>
        <v>150</v>
      </c>
      <c r="M158" s="12">
        <f t="shared" si="11"/>
        <v>0.49019607843137253</v>
      </c>
    </row>
    <row r="159" spans="1:13" x14ac:dyDescent="0.25">
      <c r="A159" s="17" t="str">
        <f>data!H275</f>
        <v>VINICOM</v>
      </c>
      <c r="B159" s="15" t="str">
        <f>data!A275</f>
        <v>003517</v>
      </c>
      <c r="C159" s="1" t="str">
        <f>data!B275</f>
        <v>HOBIVIN</v>
      </c>
      <c r="D159" s="1" t="str">
        <f>data!C275</f>
        <v>194002H</v>
      </c>
      <c r="E159" s="1" t="str">
        <f>data!D159</f>
        <v>AC MAREUIL FIEFS VENDEENS ROUGE</v>
      </c>
      <c r="F159" s="14">
        <f>SUMIFS(data!G:G,data!A:A,TABLEAU!B159,data!C:C,TABLEAU!D159,data!F:F,YEAR(Feuil1!$D$1))</f>
        <v>1174.5</v>
      </c>
      <c r="G159" s="9">
        <f>SUMIFS(data!G:G,data!A:A,TABLEAU!B159,data!C:C,TABLEAU!D159,data!F:F,YEAR(Feuil1!$D$2))</f>
        <v>1435.5</v>
      </c>
      <c r="H159" s="9">
        <f t="shared" si="8"/>
        <v>-261</v>
      </c>
      <c r="I159" s="12">
        <f t="shared" si="9"/>
        <v>-0.18181818181818182</v>
      </c>
      <c r="J159" s="13">
        <f>SUMIFS(data!E:E,data!A:A,TABLEAU!B159,data!C:C,TABLEAU!D159,data!F:F,YEAR(Feuil1!$D$1))</f>
        <v>168</v>
      </c>
      <c r="K159" s="13">
        <f>SUMIFS(data!E:E,data!A:A,TABLEAU!B159,data!C:C,TABLEAU!D159,data!F:F,YEAR(Feuil1!$D$2))</f>
        <v>204</v>
      </c>
      <c r="L159" s="13">
        <f t="shared" si="10"/>
        <v>-36</v>
      </c>
      <c r="M159" s="12">
        <f t="shared" si="11"/>
        <v>-0.17647058823529413</v>
      </c>
    </row>
    <row r="160" spans="1:13" x14ac:dyDescent="0.25">
      <c r="A160" s="17" t="str">
        <f>data!H277</f>
        <v>VINICOM</v>
      </c>
      <c r="B160" s="15" t="str">
        <f>data!A277</f>
        <v>003517</v>
      </c>
      <c r="C160" s="1" t="str">
        <f>data!B277</f>
        <v>HOBIVIN</v>
      </c>
      <c r="D160" s="1" t="str">
        <f>data!C277</f>
        <v>196001</v>
      </c>
      <c r="E160" s="1" t="str">
        <f>data!D160</f>
        <v>AC MAREUIL FIEFS VENDEENS ROUGE</v>
      </c>
      <c r="F160" s="14">
        <f>SUMIFS(data!G:G,data!A:A,TABLEAU!B160,data!C:C,TABLEAU!D160,data!F:F,YEAR(Feuil1!$D$1))</f>
        <v>0</v>
      </c>
      <c r="G160" s="9">
        <f>SUMIFS(data!G:G,data!A:A,TABLEAU!B160,data!C:C,TABLEAU!D160,data!F:F,YEAR(Feuil1!$D$2))</f>
        <v>1447.02</v>
      </c>
      <c r="H160" s="9">
        <f t="shared" si="8"/>
        <v>-1447.02</v>
      </c>
      <c r="I160" s="12">
        <f t="shared" si="9"/>
        <v>-1</v>
      </c>
      <c r="J160" s="13">
        <f>SUMIFS(data!E:E,data!A:A,TABLEAU!B160,data!C:C,TABLEAU!D160,data!F:F,YEAR(Feuil1!$D$1))</f>
        <v>0</v>
      </c>
      <c r="K160" s="13">
        <f>SUMIFS(data!E:E,data!A:A,TABLEAU!B160,data!C:C,TABLEAU!D160,data!F:F,YEAR(Feuil1!$D$2))</f>
        <v>702</v>
      </c>
      <c r="L160" s="13">
        <f t="shared" si="10"/>
        <v>-702</v>
      </c>
      <c r="M160" s="12">
        <f t="shared" si="11"/>
        <v>-1</v>
      </c>
    </row>
    <row r="161" spans="1:13" x14ac:dyDescent="0.25">
      <c r="A161" s="17" t="str">
        <f>data!H278</f>
        <v>VINICOM</v>
      </c>
      <c r="B161" s="15" t="str">
        <f>data!A278</f>
        <v>003517</v>
      </c>
      <c r="C161" s="1" t="str">
        <f>data!B278</f>
        <v>HOBIVIN</v>
      </c>
      <c r="D161" s="1" t="str">
        <f>data!C278</f>
        <v>196001H</v>
      </c>
      <c r="E161" s="1" t="str">
        <f>data!D161</f>
        <v>AC MAREUIL FIEFS VENDEENS ROSE</v>
      </c>
      <c r="F161" s="14">
        <f>SUMIFS(data!G:G,data!A:A,TABLEAU!B161,data!C:C,TABLEAU!D161,data!F:F,YEAR(Feuil1!$D$1))</f>
        <v>1545</v>
      </c>
      <c r="G161" s="9">
        <f>SUMIFS(data!G:G,data!A:A,TABLEAU!B161,data!C:C,TABLEAU!D161,data!F:F,YEAR(Feuil1!$D$2))</f>
        <v>210.12</v>
      </c>
      <c r="H161" s="9">
        <f t="shared" si="8"/>
        <v>1334.88</v>
      </c>
      <c r="I161" s="12">
        <f t="shared" si="9"/>
        <v>6.3529411764705888</v>
      </c>
      <c r="J161" s="13">
        <f>SUMIFS(data!E:E,data!A:A,TABLEAU!B161,data!C:C,TABLEAU!D161,data!F:F,YEAR(Feuil1!$D$1))</f>
        <v>756</v>
      </c>
      <c r="K161" s="13">
        <f>SUMIFS(data!E:E,data!A:A,TABLEAU!B161,data!C:C,TABLEAU!D161,data!F:F,YEAR(Feuil1!$D$2))</f>
        <v>150</v>
      </c>
      <c r="L161" s="13">
        <f t="shared" si="10"/>
        <v>606</v>
      </c>
      <c r="M161" s="12">
        <f t="shared" si="11"/>
        <v>4.04</v>
      </c>
    </row>
    <row r="162" spans="1:13" x14ac:dyDescent="0.25">
      <c r="A162" s="17" t="str">
        <f>data!H280</f>
        <v>VINICOM</v>
      </c>
      <c r="B162" s="15" t="str">
        <f>data!A280</f>
        <v>003517</v>
      </c>
      <c r="C162" s="1" t="str">
        <f>data!B280</f>
        <v>HOBIVIN</v>
      </c>
      <c r="D162" s="1" t="str">
        <f>data!C280</f>
        <v>196002H</v>
      </c>
      <c r="E162" s="1" t="str">
        <f>data!D162</f>
        <v>AC MAREUIL FIEFS VENDEENS ROSE</v>
      </c>
      <c r="F162" s="14">
        <f>SUMIFS(data!G:G,data!A:A,TABLEAU!B162,data!C:C,TABLEAU!D162,data!F:F,YEAR(Feuil1!$D$1))</f>
        <v>210</v>
      </c>
      <c r="G162" s="9">
        <f>SUMIFS(data!G:G,data!A:A,TABLEAU!B162,data!C:C,TABLEAU!D162,data!F:F,YEAR(Feuil1!$D$2))</f>
        <v>210</v>
      </c>
      <c r="H162" s="9">
        <f t="shared" si="8"/>
        <v>0</v>
      </c>
      <c r="I162" s="12">
        <f t="shared" si="9"/>
        <v>0</v>
      </c>
      <c r="J162" s="13">
        <f>SUMIFS(data!E:E,data!A:A,TABLEAU!B162,data!C:C,TABLEAU!D162,data!F:F,YEAR(Feuil1!$D$1))</f>
        <v>42</v>
      </c>
      <c r="K162" s="13">
        <f>SUMIFS(data!E:E,data!A:A,TABLEAU!B162,data!C:C,TABLEAU!D162,data!F:F,YEAR(Feuil1!$D$2))</f>
        <v>54</v>
      </c>
      <c r="L162" s="13">
        <f t="shared" si="10"/>
        <v>-12</v>
      </c>
      <c r="M162" s="12">
        <f t="shared" si="11"/>
        <v>-0.22222222222222221</v>
      </c>
    </row>
    <row r="163" spans="1:13" x14ac:dyDescent="0.25">
      <c r="A163" s="17" t="str">
        <f>data!H282</f>
        <v>VINICOM</v>
      </c>
      <c r="B163" s="15" t="str">
        <f>data!A282</f>
        <v>003517</v>
      </c>
      <c r="C163" s="1" t="str">
        <f>data!B282</f>
        <v>HOBIVIN</v>
      </c>
      <c r="D163" s="1" t="str">
        <f>data!C282</f>
        <v>197001H</v>
      </c>
      <c r="E163" s="1" t="str">
        <f>data!D163</f>
        <v>AC MAREUIL FIEFS VENDEENS BLANC</v>
      </c>
      <c r="F163" s="14">
        <f>SUMIFS(data!G:G,data!A:A,TABLEAU!B163,data!C:C,TABLEAU!D163,data!F:F,YEAR(Feuil1!$D$1))</f>
        <v>1160.1600000000001</v>
      </c>
      <c r="G163" s="9">
        <f>SUMIFS(data!G:G,data!A:A,TABLEAU!B163,data!C:C,TABLEAU!D163,data!F:F,YEAR(Feuil1!$D$2))</f>
        <v>1734.6</v>
      </c>
      <c r="H163" s="9">
        <f t="shared" si="8"/>
        <v>-574.43999999999983</v>
      </c>
      <c r="I163" s="12">
        <f t="shared" si="9"/>
        <v>-0.33116568661362844</v>
      </c>
      <c r="J163" s="13">
        <f>SUMIFS(data!E:E,data!A:A,TABLEAU!B163,data!C:C,TABLEAU!D163,data!F:F,YEAR(Feuil1!$D$1))</f>
        <v>204</v>
      </c>
      <c r="K163" s="13">
        <f>SUMIFS(data!E:E,data!A:A,TABLEAU!B163,data!C:C,TABLEAU!D163,data!F:F,YEAR(Feuil1!$D$2))</f>
        <v>318</v>
      </c>
      <c r="L163" s="13">
        <f t="shared" si="10"/>
        <v>-114</v>
      </c>
      <c r="M163" s="12">
        <f t="shared" si="11"/>
        <v>-0.35849056603773582</v>
      </c>
    </row>
    <row r="164" spans="1:13" x14ac:dyDescent="0.25">
      <c r="A164" s="17" t="str">
        <f>data!H284</f>
        <v>VINICOM</v>
      </c>
      <c r="B164" s="15" t="str">
        <f>data!A284</f>
        <v>003517</v>
      </c>
      <c r="C164" s="1" t="str">
        <f>data!B284</f>
        <v>HOBIVIN</v>
      </c>
      <c r="D164" s="1" t="str">
        <f>data!C284</f>
        <v>198001H</v>
      </c>
      <c r="E164" s="1" t="str">
        <f>data!D164</f>
        <v>AC MAREUIL FIEFS VENDEENS BLANC</v>
      </c>
      <c r="F164" s="14">
        <f>SUMIFS(data!G:G,data!A:A,TABLEAU!B164,data!C:C,TABLEAU!D164,data!F:F,YEAR(Feuil1!$D$1))</f>
        <v>4132.8</v>
      </c>
      <c r="G164" s="9">
        <f>SUMIFS(data!G:G,data!A:A,TABLEAU!B164,data!C:C,TABLEAU!D164,data!F:F,YEAR(Feuil1!$D$2))</f>
        <v>8318.94</v>
      </c>
      <c r="H164" s="9">
        <f t="shared" si="8"/>
        <v>-4186.1400000000003</v>
      </c>
      <c r="I164" s="12">
        <f t="shared" si="9"/>
        <v>-0.50320593729489571</v>
      </c>
      <c r="J164" s="13">
        <f>SUMIFS(data!E:E,data!A:A,TABLEAU!B164,data!C:C,TABLEAU!D164,data!F:F,YEAR(Feuil1!$D$1))</f>
        <v>1452</v>
      </c>
      <c r="K164" s="13">
        <f>SUMIFS(data!E:E,data!A:A,TABLEAU!B164,data!C:C,TABLEAU!D164,data!F:F,YEAR(Feuil1!$D$2))</f>
        <v>2898</v>
      </c>
      <c r="L164" s="13">
        <f t="shared" si="10"/>
        <v>-1446</v>
      </c>
      <c r="M164" s="12">
        <f t="shared" si="11"/>
        <v>-0.49896480331262938</v>
      </c>
    </row>
    <row r="165" spans="1:13" x14ac:dyDescent="0.25">
      <c r="A165" s="17" t="str">
        <f>data!H286</f>
        <v>VINICOM</v>
      </c>
      <c r="B165" s="15" t="str">
        <f>data!A286</f>
        <v>003517</v>
      </c>
      <c r="C165" s="1" t="str">
        <f>data!B286</f>
        <v>HOBIVIN</v>
      </c>
      <c r="D165" s="1" t="str">
        <f>data!C286</f>
        <v>203002H</v>
      </c>
      <c r="E165" s="1" t="str">
        <f>data!D165</f>
        <v>IGP PINOT NOIR CLOS DES CHAUMES</v>
      </c>
      <c r="F165" s="14">
        <f>SUMIFS(data!G:G,data!A:A,TABLEAU!B165,data!C:C,TABLEAU!D165,data!F:F,YEAR(Feuil1!$D$1))</f>
        <v>372.48</v>
      </c>
      <c r="G165" s="9">
        <f>SUMIFS(data!G:G,data!A:A,TABLEAU!B165,data!C:C,TABLEAU!D165,data!F:F,YEAR(Feuil1!$D$2))</f>
        <v>442.32</v>
      </c>
      <c r="H165" s="9">
        <f t="shared" si="8"/>
        <v>-69.839999999999975</v>
      </c>
      <c r="I165" s="12">
        <f t="shared" si="9"/>
        <v>-0.1578947368421052</v>
      </c>
      <c r="J165" s="13">
        <f>SUMIFS(data!E:E,data!A:A,TABLEAU!B165,data!C:C,TABLEAU!D165,data!F:F,YEAR(Feuil1!$D$1))</f>
        <v>102</v>
      </c>
      <c r="K165" s="13">
        <f>SUMIFS(data!E:E,data!A:A,TABLEAU!B165,data!C:C,TABLEAU!D165,data!F:F,YEAR(Feuil1!$D$2))</f>
        <v>120</v>
      </c>
      <c r="L165" s="13">
        <f t="shared" si="10"/>
        <v>-18</v>
      </c>
      <c r="M165" s="12">
        <f t="shared" si="11"/>
        <v>-0.15</v>
      </c>
    </row>
    <row r="166" spans="1:13" x14ac:dyDescent="0.25">
      <c r="A166" s="17" t="str">
        <f>data!H288</f>
        <v>VINICOM</v>
      </c>
      <c r="B166" s="15" t="str">
        <f>data!A288</f>
        <v>003517</v>
      </c>
      <c r="C166" s="1" t="str">
        <f>data!B288</f>
        <v>HOBIVIN</v>
      </c>
      <c r="D166" s="1" t="str">
        <f>data!C288</f>
        <v>204008H</v>
      </c>
      <c r="E166" s="1" t="str">
        <f>data!D166</f>
        <v>IGP PINOT NOIR CLOS DES CHAUMES</v>
      </c>
      <c r="F166" s="14">
        <f>SUMIFS(data!G:G,data!A:A,TABLEAU!B166,data!C:C,TABLEAU!D166,data!F:F,YEAR(Feuil1!$D$1))</f>
        <v>120</v>
      </c>
      <c r="G166" s="9">
        <f>SUMIFS(data!G:G,data!A:A,TABLEAU!B166,data!C:C,TABLEAU!D166,data!F:F,YEAR(Feuil1!$D$2))</f>
        <v>31.2</v>
      </c>
      <c r="H166" s="9">
        <f t="shared" si="8"/>
        <v>88.8</v>
      </c>
      <c r="I166" s="12">
        <f t="shared" si="9"/>
        <v>2.8461538461538463</v>
      </c>
      <c r="J166" s="13">
        <f>SUMIFS(data!E:E,data!A:A,TABLEAU!B166,data!C:C,TABLEAU!D166,data!F:F,YEAR(Feuil1!$D$1))</f>
        <v>24</v>
      </c>
      <c r="K166" s="13">
        <f>SUMIFS(data!E:E,data!A:A,TABLEAU!B166,data!C:C,TABLEAU!D166,data!F:F,YEAR(Feuil1!$D$2))</f>
        <v>18</v>
      </c>
      <c r="L166" s="13">
        <f t="shared" si="10"/>
        <v>6</v>
      </c>
      <c r="M166" s="12">
        <f t="shared" si="11"/>
        <v>0.33333333333333331</v>
      </c>
    </row>
    <row r="167" spans="1:13" x14ac:dyDescent="0.25">
      <c r="A167" s="17" t="str">
        <f>data!H290</f>
        <v>VINICOM</v>
      </c>
      <c r="B167" s="15" t="str">
        <f>data!A290</f>
        <v>003517</v>
      </c>
      <c r="C167" s="1" t="str">
        <f>data!B290</f>
        <v>HOBIVIN</v>
      </c>
      <c r="D167" s="1" t="str">
        <f>data!C290</f>
        <v>206001H</v>
      </c>
      <c r="E167" s="1" t="str">
        <f>data!D167</f>
        <v>AC FIEFS VENDEENS CUVEE JADIS CLOS DES CHAUMES</v>
      </c>
      <c r="F167" s="14">
        <f>SUMIFS(data!G:G,data!A:A,TABLEAU!B167,data!C:C,TABLEAU!D167,data!F:F,YEAR(Feuil1!$D$1))</f>
        <v>657.54</v>
      </c>
      <c r="G167" s="9">
        <f>SUMIFS(data!G:G,data!A:A,TABLEAU!B167,data!C:C,TABLEAU!D167,data!F:F,YEAR(Feuil1!$D$2))</f>
        <v>673.74</v>
      </c>
      <c r="H167" s="9">
        <f t="shared" si="8"/>
        <v>-16.200000000000045</v>
      </c>
      <c r="I167" s="12">
        <f t="shared" si="9"/>
        <v>-2.4044883783061782E-2</v>
      </c>
      <c r="J167" s="13">
        <f>SUMIFS(data!E:E,data!A:A,TABLEAU!B167,data!C:C,TABLEAU!D167,data!F:F,YEAR(Feuil1!$D$1))</f>
        <v>240</v>
      </c>
      <c r="K167" s="13">
        <f>SUMIFS(data!E:E,data!A:A,TABLEAU!B167,data!C:C,TABLEAU!D167,data!F:F,YEAR(Feuil1!$D$2))</f>
        <v>246</v>
      </c>
      <c r="L167" s="13">
        <f t="shared" si="10"/>
        <v>-6</v>
      </c>
      <c r="M167" s="12">
        <f t="shared" si="11"/>
        <v>-2.4390243902439025E-2</v>
      </c>
    </row>
    <row r="168" spans="1:13" x14ac:dyDescent="0.25">
      <c r="A168" s="17" t="str">
        <f>data!H292</f>
        <v>VINICOM</v>
      </c>
      <c r="B168" s="15" t="str">
        <f>data!A292</f>
        <v>003517</v>
      </c>
      <c r="C168" s="1" t="str">
        <f>data!B292</f>
        <v>HOBIVIN</v>
      </c>
      <c r="D168" s="1" t="str">
        <f>data!C292</f>
        <v>206002H</v>
      </c>
      <c r="E168" s="1" t="str">
        <f>data!D168</f>
        <v>AC COTEAUX VAROIS EN PROVENCE</v>
      </c>
      <c r="F168" s="14">
        <f>SUMIFS(data!G:G,data!A:A,TABLEAU!B168,data!C:C,TABLEAU!D168,data!F:F,YEAR(Feuil1!$D$1))</f>
        <v>451.98</v>
      </c>
      <c r="G168" s="9">
        <f>SUMIFS(data!G:G,data!A:A,TABLEAU!B168,data!C:C,TABLEAU!D168,data!F:F,YEAR(Feuil1!$D$2))</f>
        <v>946.98</v>
      </c>
      <c r="H168" s="9">
        <f t="shared" si="8"/>
        <v>-495</v>
      </c>
      <c r="I168" s="12">
        <f t="shared" si="9"/>
        <v>-0.52271431286827597</v>
      </c>
      <c r="J168" s="13">
        <f>SUMIFS(data!E:E,data!A:A,TABLEAU!B168,data!C:C,TABLEAU!D168,data!F:F,YEAR(Feuil1!$D$1))</f>
        <v>168</v>
      </c>
      <c r="K168" s="13">
        <f>SUMIFS(data!E:E,data!A:A,TABLEAU!B168,data!C:C,TABLEAU!D168,data!F:F,YEAR(Feuil1!$D$2))</f>
        <v>342</v>
      </c>
      <c r="L168" s="13">
        <f t="shared" si="10"/>
        <v>-174</v>
      </c>
      <c r="M168" s="12">
        <f t="shared" si="11"/>
        <v>-0.50877192982456143</v>
      </c>
    </row>
    <row r="169" spans="1:13" x14ac:dyDescent="0.25">
      <c r="A169" s="17" t="str">
        <f>data!H294</f>
        <v>VINICOM</v>
      </c>
      <c r="B169" s="15" t="str">
        <f>data!A294</f>
        <v>003517</v>
      </c>
      <c r="C169" s="1" t="str">
        <f>data!B294</f>
        <v>HOBIVIN</v>
      </c>
      <c r="D169" s="1" t="str">
        <f>data!C294</f>
        <v>206003H</v>
      </c>
      <c r="E169" s="1" t="str">
        <f>data!D169</f>
        <v>AC COTEAUX VAROIS EN PROVENCE</v>
      </c>
      <c r="F169" s="14">
        <f>SUMIFS(data!G:G,data!A:A,TABLEAU!B169,data!C:C,TABLEAU!D169,data!F:F,YEAR(Feuil1!$D$1))</f>
        <v>3527.28</v>
      </c>
      <c r="G169" s="9">
        <f>SUMIFS(data!G:G,data!A:A,TABLEAU!B169,data!C:C,TABLEAU!D169,data!F:F,YEAR(Feuil1!$D$2))</f>
        <v>6060.88</v>
      </c>
      <c r="H169" s="9">
        <f t="shared" si="8"/>
        <v>-2533.6</v>
      </c>
      <c r="I169" s="12">
        <f t="shared" si="9"/>
        <v>-0.418025105265242</v>
      </c>
      <c r="J169" s="13">
        <f>SUMIFS(data!E:E,data!A:A,TABLEAU!B169,data!C:C,TABLEAU!D169,data!F:F,YEAR(Feuil1!$D$1))</f>
        <v>1266</v>
      </c>
      <c r="K169" s="13">
        <f>SUMIFS(data!E:E,data!A:A,TABLEAU!B169,data!C:C,TABLEAU!D169,data!F:F,YEAR(Feuil1!$D$2))</f>
        <v>2196</v>
      </c>
      <c r="L169" s="13">
        <f t="shared" si="10"/>
        <v>-930</v>
      </c>
      <c r="M169" s="12">
        <f t="shared" si="11"/>
        <v>-0.42349726775956287</v>
      </c>
    </row>
    <row r="170" spans="1:13" x14ac:dyDescent="0.25">
      <c r="A170" s="17" t="str">
        <f>data!H296</f>
        <v>VINICOM</v>
      </c>
      <c r="B170" s="15" t="str">
        <f>data!A296</f>
        <v>003517</v>
      </c>
      <c r="C170" s="1" t="str">
        <f>data!B296</f>
        <v>HOBIVIN</v>
      </c>
      <c r="D170" s="1" t="str">
        <f>data!C296</f>
        <v>206004H</v>
      </c>
      <c r="E170" s="1" t="str">
        <f>data!D170</f>
        <v>AC COTEAUX VAROIS EN PROVENCE</v>
      </c>
      <c r="F170" s="14">
        <f>SUMIFS(data!G:G,data!A:A,TABLEAU!B170,data!C:C,TABLEAU!D170,data!F:F,YEAR(Feuil1!$D$1))</f>
        <v>1045.32</v>
      </c>
      <c r="G170" s="9">
        <f>SUMIFS(data!G:G,data!A:A,TABLEAU!B170,data!C:C,TABLEAU!D170,data!F:F,YEAR(Feuil1!$D$2))</f>
        <v>1854.96</v>
      </c>
      <c r="H170" s="9">
        <f t="shared" si="8"/>
        <v>-809.6400000000001</v>
      </c>
      <c r="I170" s="12">
        <f t="shared" si="9"/>
        <v>-0.43647302367706048</v>
      </c>
      <c r="J170" s="13">
        <f>SUMIFS(data!E:E,data!A:A,TABLEAU!B170,data!C:C,TABLEAU!D170,data!F:F,YEAR(Feuil1!$D$1))</f>
        <v>378</v>
      </c>
      <c r="K170" s="13">
        <f>SUMIFS(data!E:E,data!A:A,TABLEAU!B170,data!C:C,TABLEAU!D170,data!F:F,YEAR(Feuil1!$D$2))</f>
        <v>708</v>
      </c>
      <c r="L170" s="13">
        <f t="shared" si="10"/>
        <v>-330</v>
      </c>
      <c r="M170" s="12">
        <f t="shared" si="11"/>
        <v>-0.46610169491525422</v>
      </c>
    </row>
    <row r="171" spans="1:13" x14ac:dyDescent="0.25">
      <c r="A171" s="17" t="str">
        <f>data!H298</f>
        <v>VINICOM</v>
      </c>
      <c r="B171" s="15" t="str">
        <f>data!A298</f>
        <v>003517</v>
      </c>
      <c r="C171" s="1" t="str">
        <f>data!B298</f>
        <v>HOBIVIN</v>
      </c>
      <c r="D171" s="1" t="str">
        <f>data!C298</f>
        <v>206005H</v>
      </c>
      <c r="E171" s="1" t="str">
        <f>data!D171</f>
        <v>AC COTEAUX VAROIS EN PROVENCE</v>
      </c>
      <c r="F171" s="14">
        <f>SUMIFS(data!G:G,data!A:A,TABLEAU!B171,data!C:C,TABLEAU!D171,data!F:F,YEAR(Feuil1!$D$1))</f>
        <v>0</v>
      </c>
      <c r="G171" s="9">
        <f>SUMIFS(data!G:G,data!A:A,TABLEAU!B171,data!C:C,TABLEAU!D171,data!F:F,YEAR(Feuil1!$D$2))</f>
        <v>112.8</v>
      </c>
      <c r="H171" s="9">
        <f t="shared" si="8"/>
        <v>-112.8</v>
      </c>
      <c r="I171" s="12">
        <f t="shared" si="9"/>
        <v>-1</v>
      </c>
      <c r="J171" s="13">
        <f>SUMIFS(data!E:E,data!A:A,TABLEAU!B171,data!C:C,TABLEAU!D171,data!F:F,YEAR(Feuil1!$D$1))</f>
        <v>0</v>
      </c>
      <c r="K171" s="13">
        <f>SUMIFS(data!E:E,data!A:A,TABLEAU!B171,data!C:C,TABLEAU!D171,data!F:F,YEAR(Feuil1!$D$2))</f>
        <v>42</v>
      </c>
      <c r="L171" s="13">
        <f t="shared" si="10"/>
        <v>-42</v>
      </c>
      <c r="M171" s="12">
        <f t="shared" si="11"/>
        <v>-1</v>
      </c>
    </row>
    <row r="172" spans="1:13" x14ac:dyDescent="0.25">
      <c r="A172" s="17" t="str">
        <f>data!H299</f>
        <v>VINICOM</v>
      </c>
      <c r="B172" s="15" t="str">
        <f>data!A299</f>
        <v>003517</v>
      </c>
      <c r="C172" s="1" t="str">
        <f>data!B299</f>
        <v>HOBIVIN</v>
      </c>
      <c r="D172" s="1" t="str">
        <f>data!C299</f>
        <v>206006H</v>
      </c>
      <c r="E172" s="1" t="str">
        <f>data!D172</f>
        <v>AC COTEAUX VAROIS EN PROVENCE</v>
      </c>
      <c r="F172" s="14">
        <f>SUMIFS(data!G:G,data!A:A,TABLEAU!B172,data!C:C,TABLEAU!D172,data!F:F,YEAR(Feuil1!$D$1))</f>
        <v>1281.3599999999999</v>
      </c>
      <c r="G172" s="9">
        <f>SUMIFS(data!G:G,data!A:A,TABLEAU!B172,data!C:C,TABLEAU!D172,data!F:F,YEAR(Feuil1!$D$2))</f>
        <v>1914.6</v>
      </c>
      <c r="H172" s="9">
        <f t="shared" si="8"/>
        <v>-633.24</v>
      </c>
      <c r="I172" s="12">
        <f t="shared" si="9"/>
        <v>-0.33074271388279536</v>
      </c>
      <c r="J172" s="13">
        <f>SUMIFS(data!E:E,data!A:A,TABLEAU!B172,data!C:C,TABLEAU!D172,data!F:F,YEAR(Feuil1!$D$1))</f>
        <v>468</v>
      </c>
      <c r="K172" s="13">
        <f>SUMIFS(data!E:E,data!A:A,TABLEAU!B172,data!C:C,TABLEAU!D172,data!F:F,YEAR(Feuil1!$D$2))</f>
        <v>696</v>
      </c>
      <c r="L172" s="13">
        <f t="shared" si="10"/>
        <v>-228</v>
      </c>
      <c r="M172" s="12">
        <f t="shared" si="11"/>
        <v>-0.32758620689655171</v>
      </c>
    </row>
    <row r="173" spans="1:13" x14ac:dyDescent="0.25">
      <c r="A173" s="17" t="str">
        <f>data!H301</f>
        <v>VINICOM</v>
      </c>
      <c r="B173" s="15" t="str">
        <f>data!A301</f>
        <v>003517</v>
      </c>
      <c r="C173" s="1" t="str">
        <f>data!B301</f>
        <v>HOBIVIN</v>
      </c>
      <c r="D173" s="1" t="str">
        <f>data!C301</f>
        <v>206015H</v>
      </c>
      <c r="E173" s="1" t="str">
        <f>data!D173</f>
        <v>AC MERCUREY DME SUREMAIN</v>
      </c>
      <c r="F173" s="14">
        <f>SUMIFS(data!G:G,data!A:A,TABLEAU!B173,data!C:C,TABLEAU!D173,data!F:F,YEAR(Feuil1!$D$1))</f>
        <v>1878.24</v>
      </c>
      <c r="G173" s="9">
        <f>SUMIFS(data!G:G,data!A:A,TABLEAU!B173,data!C:C,TABLEAU!D173,data!F:F,YEAR(Feuil1!$D$2))</f>
        <v>3569.88</v>
      </c>
      <c r="H173" s="9">
        <f t="shared" si="8"/>
        <v>-1691.64</v>
      </c>
      <c r="I173" s="12">
        <f t="shared" si="9"/>
        <v>-0.47386466771992336</v>
      </c>
      <c r="J173" s="13">
        <f>SUMIFS(data!E:E,data!A:A,TABLEAU!B173,data!C:C,TABLEAU!D173,data!F:F,YEAR(Feuil1!$D$1))</f>
        <v>336</v>
      </c>
      <c r="K173" s="13">
        <f>SUMIFS(data!E:E,data!A:A,TABLEAU!B173,data!C:C,TABLEAU!D173,data!F:F,YEAR(Feuil1!$D$2))</f>
        <v>648</v>
      </c>
      <c r="L173" s="13">
        <f t="shared" si="10"/>
        <v>-312</v>
      </c>
      <c r="M173" s="12">
        <f t="shared" si="11"/>
        <v>-0.48148148148148145</v>
      </c>
    </row>
    <row r="174" spans="1:13" x14ac:dyDescent="0.25">
      <c r="A174" s="17" t="str">
        <f>data!H303</f>
        <v>VINICOM</v>
      </c>
      <c r="B174" s="15" t="str">
        <f>data!A303</f>
        <v>003517</v>
      </c>
      <c r="C174" s="1" t="str">
        <f>data!B303</f>
        <v>HOBIVIN</v>
      </c>
      <c r="D174" s="1" t="str">
        <f>data!C303</f>
        <v>207001H</v>
      </c>
      <c r="E174" s="1" t="str">
        <f>data!D174</f>
        <v>AC MERCUREY DME SUREMAIN</v>
      </c>
      <c r="F174" s="14">
        <f>SUMIFS(data!G:G,data!A:A,TABLEAU!B174,data!C:C,TABLEAU!D174,data!F:F,YEAR(Feuil1!$D$1))</f>
        <v>1900.8</v>
      </c>
      <c r="G174" s="9">
        <f>SUMIFS(data!G:G,data!A:A,TABLEAU!B174,data!C:C,TABLEAU!D174,data!F:F,YEAR(Feuil1!$D$2))</f>
        <v>1579.2</v>
      </c>
      <c r="H174" s="9">
        <f t="shared" si="8"/>
        <v>321.59999999999991</v>
      </c>
      <c r="I174" s="12">
        <f t="shared" si="9"/>
        <v>0.20364741641337381</v>
      </c>
      <c r="J174" s="13">
        <f>SUMIFS(data!E:E,data!A:A,TABLEAU!B174,data!C:C,TABLEAU!D174,data!F:F,YEAR(Feuil1!$D$1))</f>
        <v>408</v>
      </c>
      <c r="K174" s="13">
        <f>SUMIFS(data!E:E,data!A:A,TABLEAU!B174,data!C:C,TABLEAU!D174,data!F:F,YEAR(Feuil1!$D$2))</f>
        <v>342</v>
      </c>
      <c r="L174" s="13">
        <f t="shared" si="10"/>
        <v>66</v>
      </c>
      <c r="M174" s="12">
        <f t="shared" si="11"/>
        <v>0.19298245614035087</v>
      </c>
    </row>
    <row r="175" spans="1:13" x14ac:dyDescent="0.25">
      <c r="A175" s="17" t="str">
        <f>data!H305</f>
        <v>VINICOM</v>
      </c>
      <c r="B175" s="15" t="str">
        <f>data!A305</f>
        <v>003517</v>
      </c>
      <c r="C175" s="1" t="str">
        <f>data!B305</f>
        <v>HOBIVIN</v>
      </c>
      <c r="D175" s="1" t="str">
        <f>data!C305</f>
        <v>208001H</v>
      </c>
      <c r="E175" s="1" t="str">
        <f>data!D175</f>
        <v>AOP MERCUREY DME DE SUREMAIN</v>
      </c>
      <c r="F175" s="14">
        <f>SUMIFS(data!G:G,data!A:A,TABLEAU!B175,data!C:C,TABLEAU!D175,data!F:F,YEAR(Feuil1!$D$1))</f>
        <v>529.38</v>
      </c>
      <c r="G175" s="9">
        <f>SUMIFS(data!G:G,data!A:A,TABLEAU!B175,data!C:C,TABLEAU!D175,data!F:F,YEAR(Feuil1!$D$2))</f>
        <v>372.6</v>
      </c>
      <c r="H175" s="9">
        <f t="shared" si="8"/>
        <v>156.77999999999997</v>
      </c>
      <c r="I175" s="12">
        <f t="shared" si="9"/>
        <v>0.4207729468599033</v>
      </c>
      <c r="J175" s="13">
        <f>SUMIFS(data!E:E,data!A:A,TABLEAU!B175,data!C:C,TABLEAU!D175,data!F:F,YEAR(Feuil1!$D$1))</f>
        <v>108</v>
      </c>
      <c r="K175" s="13">
        <f>SUMIFS(data!E:E,data!A:A,TABLEAU!B175,data!C:C,TABLEAU!D175,data!F:F,YEAR(Feuil1!$D$2))</f>
        <v>78</v>
      </c>
      <c r="L175" s="13">
        <f t="shared" si="10"/>
        <v>30</v>
      </c>
      <c r="M175" s="12">
        <f t="shared" si="11"/>
        <v>0.38461538461538464</v>
      </c>
    </row>
    <row r="176" spans="1:13" x14ac:dyDescent="0.25">
      <c r="A176" s="17" t="str">
        <f>data!H307</f>
        <v>VINICOM</v>
      </c>
      <c r="B176" s="15" t="str">
        <f>data!A307</f>
        <v>003517</v>
      </c>
      <c r="C176" s="1" t="str">
        <f>data!B307</f>
        <v>HOBIVIN</v>
      </c>
      <c r="D176" s="1" t="str">
        <f>data!C307</f>
        <v>208002H</v>
      </c>
      <c r="E176" s="1" t="str">
        <f>data!D176</f>
        <v>AOP MERCUREY DME DE SUREMAIN</v>
      </c>
      <c r="F176" s="14">
        <f>SUMIFS(data!G:G,data!A:A,TABLEAU!B176,data!C:C,TABLEAU!D176,data!F:F,YEAR(Feuil1!$D$1))</f>
        <v>93.72</v>
      </c>
      <c r="G176" s="9">
        <f>SUMIFS(data!G:G,data!A:A,TABLEAU!B176,data!C:C,TABLEAU!D176,data!F:F,YEAR(Feuil1!$D$2))</f>
        <v>46.86</v>
      </c>
      <c r="H176" s="9">
        <f t="shared" si="8"/>
        <v>46.86</v>
      </c>
      <c r="I176" s="12">
        <f t="shared" si="9"/>
        <v>1</v>
      </c>
      <c r="J176" s="13">
        <f>SUMIFS(data!E:E,data!A:A,TABLEAU!B176,data!C:C,TABLEAU!D176,data!F:F,YEAR(Feuil1!$D$1))</f>
        <v>12</v>
      </c>
      <c r="K176" s="13">
        <f>SUMIFS(data!E:E,data!A:A,TABLEAU!B176,data!C:C,TABLEAU!D176,data!F:F,YEAR(Feuil1!$D$2))</f>
        <v>12</v>
      </c>
      <c r="L176" s="13">
        <f t="shared" si="10"/>
        <v>0</v>
      </c>
      <c r="M176" s="12">
        <f t="shared" si="11"/>
        <v>0</v>
      </c>
    </row>
    <row r="177" spans="1:13" x14ac:dyDescent="0.25">
      <c r="A177" s="17" t="str">
        <f>data!H309</f>
        <v>VINICOM</v>
      </c>
      <c r="B177" s="15" t="str">
        <f>data!A309</f>
        <v>003517</v>
      </c>
      <c r="C177" s="1" t="str">
        <f>data!B309</f>
        <v>HOBIVIN</v>
      </c>
      <c r="D177" s="1" t="str">
        <f>data!C309</f>
        <v>208003H</v>
      </c>
      <c r="E177" s="1" t="str">
        <f>data!D177</f>
        <v>SANGRIA FIESTA  (cond. x 4)</v>
      </c>
      <c r="F177" s="14">
        <f>SUMIFS(data!G:G,data!A:A,TABLEAU!B177,data!C:C,TABLEAU!D177,data!F:F,YEAR(Feuil1!$D$1))</f>
        <v>70.56</v>
      </c>
      <c r="G177" s="9">
        <f>SUMIFS(data!G:G,data!A:A,TABLEAU!B177,data!C:C,TABLEAU!D177,data!F:F,YEAR(Feuil1!$D$2))</f>
        <v>141.12</v>
      </c>
      <c r="H177" s="9">
        <f t="shared" si="8"/>
        <v>-70.56</v>
      </c>
      <c r="I177" s="12">
        <f t="shared" si="9"/>
        <v>-0.5</v>
      </c>
      <c r="J177" s="13">
        <f>SUMIFS(data!E:E,data!A:A,TABLEAU!B177,data!C:C,TABLEAU!D177,data!F:F,YEAR(Feuil1!$D$1))</f>
        <v>12</v>
      </c>
      <c r="K177" s="13">
        <f>SUMIFS(data!E:E,data!A:A,TABLEAU!B177,data!C:C,TABLEAU!D177,data!F:F,YEAR(Feuil1!$D$2))</f>
        <v>36</v>
      </c>
      <c r="L177" s="13">
        <f t="shared" si="10"/>
        <v>-24</v>
      </c>
      <c r="M177" s="12">
        <f t="shared" si="11"/>
        <v>-0.66666666666666663</v>
      </c>
    </row>
    <row r="178" spans="1:13" x14ac:dyDescent="0.25">
      <c r="A178" s="17" t="str">
        <f>data!H311</f>
        <v>VINICOM</v>
      </c>
      <c r="B178" s="15" t="str">
        <f>data!A311</f>
        <v>003517</v>
      </c>
      <c r="C178" s="1" t="str">
        <f>data!B311</f>
        <v>HOBIVIN</v>
      </c>
      <c r="D178" s="1" t="str">
        <f>data!C311</f>
        <v>209001H</v>
      </c>
      <c r="E178" s="1" t="str">
        <f>data!D178</f>
        <v>SANGRIA FIESTA  (cond. x 4)</v>
      </c>
      <c r="F178" s="14">
        <f>SUMIFS(data!G:G,data!A:A,TABLEAU!B178,data!C:C,TABLEAU!D178,data!F:F,YEAR(Feuil1!$D$1))</f>
        <v>4678.8599999999997</v>
      </c>
      <c r="G178" s="9">
        <f>SUMIFS(data!G:G,data!A:A,TABLEAU!B178,data!C:C,TABLEAU!D178,data!F:F,YEAR(Feuil1!$D$2))</f>
        <v>5305.14</v>
      </c>
      <c r="H178" s="9">
        <f t="shared" si="8"/>
        <v>-626.28000000000065</v>
      </c>
      <c r="I178" s="12">
        <f t="shared" si="9"/>
        <v>-0.1180515500062205</v>
      </c>
      <c r="J178" s="13">
        <f>SUMIFS(data!E:E,data!A:A,TABLEAU!B178,data!C:C,TABLEAU!D178,data!F:F,YEAR(Feuil1!$D$1))</f>
        <v>882</v>
      </c>
      <c r="K178" s="13">
        <f>SUMIFS(data!E:E,data!A:A,TABLEAU!B178,data!C:C,TABLEAU!D178,data!F:F,YEAR(Feuil1!$D$2))</f>
        <v>1056</v>
      </c>
      <c r="L178" s="13">
        <f t="shared" si="10"/>
        <v>-174</v>
      </c>
      <c r="M178" s="12">
        <f t="shared" si="11"/>
        <v>-0.16477272727272727</v>
      </c>
    </row>
    <row r="179" spans="1:13" x14ac:dyDescent="0.25">
      <c r="A179" s="17" t="str">
        <f>data!H313</f>
        <v>VINICOM</v>
      </c>
      <c r="B179" s="15" t="str">
        <f>data!A313</f>
        <v>003517</v>
      </c>
      <c r="C179" s="1" t="str">
        <f>data!B313</f>
        <v>HOBIVIN</v>
      </c>
      <c r="D179" s="1" t="str">
        <f>data!C313</f>
        <v>210001H</v>
      </c>
      <c r="E179" s="1" t="str">
        <f>data!D179</f>
        <v>AC POUILLY FUME DME BARDIN</v>
      </c>
      <c r="F179" s="14">
        <f>SUMIFS(data!G:G,data!A:A,TABLEAU!B179,data!C:C,TABLEAU!D179,data!F:F,YEAR(Feuil1!$D$1))</f>
        <v>3907.5</v>
      </c>
      <c r="G179" s="9">
        <f>SUMIFS(data!G:G,data!A:A,TABLEAU!B179,data!C:C,TABLEAU!D179,data!F:F,YEAR(Feuil1!$D$2))</f>
        <v>5740.32</v>
      </c>
      <c r="H179" s="9">
        <f t="shared" si="8"/>
        <v>-1832.8199999999997</v>
      </c>
      <c r="I179" s="12">
        <f t="shared" si="9"/>
        <v>-0.31928882013546278</v>
      </c>
      <c r="J179" s="13">
        <f>SUMIFS(data!E:E,data!A:A,TABLEAU!B179,data!C:C,TABLEAU!D179,data!F:F,YEAR(Feuil1!$D$1))</f>
        <v>1542</v>
      </c>
      <c r="K179" s="13">
        <f>SUMIFS(data!E:E,data!A:A,TABLEAU!B179,data!C:C,TABLEAU!D179,data!F:F,YEAR(Feuil1!$D$2))</f>
        <v>2316</v>
      </c>
      <c r="L179" s="13">
        <f t="shared" si="10"/>
        <v>-774</v>
      </c>
      <c r="M179" s="12">
        <f t="shared" si="11"/>
        <v>-0.33419689119170987</v>
      </c>
    </row>
    <row r="180" spans="1:13" x14ac:dyDescent="0.25">
      <c r="A180" s="17" t="str">
        <f>data!H315</f>
        <v>VINICOM</v>
      </c>
      <c r="B180" s="15" t="str">
        <f>data!A315</f>
        <v>003517</v>
      </c>
      <c r="C180" s="1" t="str">
        <f>data!B315</f>
        <v>HOBIVIN</v>
      </c>
      <c r="D180" s="1" t="str">
        <f>data!C315</f>
        <v>210002H</v>
      </c>
      <c r="E180" s="1" t="str">
        <f>data!D180</f>
        <v>AC POUILLY FUME DME BARDIN</v>
      </c>
      <c r="F180" s="14">
        <f>SUMIFS(data!G:G,data!A:A,TABLEAU!B180,data!C:C,TABLEAU!D180,data!F:F,YEAR(Feuil1!$D$1))</f>
        <v>3077.51</v>
      </c>
      <c r="G180" s="9">
        <f>SUMIFS(data!G:G,data!A:A,TABLEAU!B180,data!C:C,TABLEAU!D180,data!F:F,YEAR(Feuil1!$D$2))</f>
        <v>6238.9</v>
      </c>
      <c r="H180" s="9">
        <f t="shared" si="8"/>
        <v>-3161.3899999999994</v>
      </c>
      <c r="I180" s="12">
        <f t="shared" si="9"/>
        <v>-0.50672233887383988</v>
      </c>
      <c r="J180" s="13">
        <f>SUMIFS(data!E:E,data!A:A,TABLEAU!B180,data!C:C,TABLEAU!D180,data!F:F,YEAR(Feuil1!$D$1))</f>
        <v>1880.9399999999991</v>
      </c>
      <c r="K180" s="13">
        <f>SUMIFS(data!E:E,data!A:A,TABLEAU!B180,data!C:C,TABLEAU!D180,data!F:F,YEAR(Feuil1!$D$2))</f>
        <v>3655.16</v>
      </c>
      <c r="L180" s="13">
        <f t="shared" si="10"/>
        <v>-1774.2200000000007</v>
      </c>
      <c r="M180" s="12">
        <f t="shared" si="11"/>
        <v>-0.48540145985401484</v>
      </c>
    </row>
    <row r="181" spans="1:13" x14ac:dyDescent="0.25">
      <c r="A181" s="17" t="str">
        <f>data!H317</f>
        <v>VINICOM</v>
      </c>
      <c r="B181" s="15" t="str">
        <f>data!A317</f>
        <v>003517</v>
      </c>
      <c r="C181" s="1" t="str">
        <f>data!B317</f>
        <v>HOBIVIN</v>
      </c>
      <c r="D181" s="1" t="str">
        <f>data!C317</f>
        <v>210003H</v>
      </c>
      <c r="E181" s="1" t="str">
        <f>data!D181</f>
        <v>AC BANDOL DME DE LA GARENNE</v>
      </c>
      <c r="F181" s="14">
        <f>SUMIFS(data!G:G,data!A:A,TABLEAU!B181,data!C:C,TABLEAU!D181,data!F:F,YEAR(Feuil1!$D$1))</f>
        <v>1595.1</v>
      </c>
      <c r="G181" s="9">
        <f>SUMIFS(data!G:G,data!A:A,TABLEAU!B181,data!C:C,TABLEAU!D181,data!F:F,YEAR(Feuil1!$D$2))</f>
        <v>2842.35</v>
      </c>
      <c r="H181" s="9">
        <f t="shared" si="8"/>
        <v>-1247.25</v>
      </c>
      <c r="I181" s="12">
        <f t="shared" si="9"/>
        <v>-0.43880943585413479</v>
      </c>
      <c r="J181" s="13">
        <f>SUMIFS(data!E:E,data!A:A,TABLEAU!B181,data!C:C,TABLEAU!D181,data!F:F,YEAR(Feuil1!$D$1))</f>
        <v>1039.74</v>
      </c>
      <c r="K181" s="13">
        <f>SUMIFS(data!E:E,data!A:A,TABLEAU!B181,data!C:C,TABLEAU!D181,data!F:F,YEAR(Feuil1!$D$2))</f>
        <v>2292.7599999999998</v>
      </c>
      <c r="L181" s="13">
        <f t="shared" si="10"/>
        <v>-1253.0199999999998</v>
      </c>
      <c r="M181" s="12">
        <f t="shared" si="11"/>
        <v>-0.54651162790697672</v>
      </c>
    </row>
    <row r="182" spans="1:13" x14ac:dyDescent="0.25">
      <c r="A182" s="17" t="str">
        <f>data!H319</f>
        <v>VINICOM</v>
      </c>
      <c r="B182" s="15" t="str">
        <f>data!A319</f>
        <v>003517</v>
      </c>
      <c r="C182" s="1" t="str">
        <f>data!B319</f>
        <v>HOBIVIN</v>
      </c>
      <c r="D182" s="1" t="str">
        <f>data!C319</f>
        <v>210004H</v>
      </c>
      <c r="E182" s="1" t="str">
        <f>data!D182</f>
        <v>AC BANDOL DME DE LA GARENNE</v>
      </c>
      <c r="F182" s="14">
        <f>SUMIFS(data!G:G,data!A:A,TABLEAU!B182,data!C:C,TABLEAU!D182,data!F:F,YEAR(Feuil1!$D$1))</f>
        <v>58.8</v>
      </c>
      <c r="G182" s="9">
        <f>SUMIFS(data!G:G,data!A:A,TABLEAU!B182,data!C:C,TABLEAU!D182,data!F:F,YEAR(Feuil1!$D$2))</f>
        <v>0</v>
      </c>
      <c r="H182" s="9">
        <f t="shared" si="8"/>
        <v>58.8</v>
      </c>
      <c r="I182" s="12" t="str">
        <f t="shared" si="9"/>
        <v/>
      </c>
      <c r="J182" s="13">
        <f>SUMIFS(data!E:E,data!A:A,TABLEAU!B182,data!C:C,TABLEAU!D182,data!F:F,YEAR(Feuil1!$D$1))</f>
        <v>12</v>
      </c>
      <c r="K182" s="13">
        <f>SUMIFS(data!E:E,data!A:A,TABLEAU!B182,data!C:C,TABLEAU!D182,data!F:F,YEAR(Feuil1!$D$2))</f>
        <v>6</v>
      </c>
      <c r="L182" s="13">
        <f t="shared" si="10"/>
        <v>6</v>
      </c>
      <c r="M182" s="12">
        <f t="shared" si="11"/>
        <v>1</v>
      </c>
    </row>
    <row r="183" spans="1:13" x14ac:dyDescent="0.25">
      <c r="A183" s="17" t="str">
        <f>data!H321</f>
        <v>VINICOM</v>
      </c>
      <c r="B183" s="15" t="str">
        <f>data!A321</f>
        <v>003517</v>
      </c>
      <c r="C183" s="1" t="str">
        <f>data!B321</f>
        <v>HOBIVIN</v>
      </c>
      <c r="D183" s="1" t="str">
        <f>data!C321</f>
        <v>211001H</v>
      </c>
      <c r="E183" s="1" t="str">
        <f>data!D183</f>
        <v>AC BANDOL DME DE LA GARENNE</v>
      </c>
      <c r="F183" s="14">
        <f>SUMIFS(data!G:G,data!A:A,TABLEAU!B183,data!C:C,TABLEAU!D183,data!F:F,YEAR(Feuil1!$D$1))</f>
        <v>1492.14</v>
      </c>
      <c r="G183" s="9">
        <f>SUMIFS(data!G:G,data!A:A,TABLEAU!B183,data!C:C,TABLEAU!D183,data!F:F,YEAR(Feuil1!$D$2))</f>
        <v>1412.82</v>
      </c>
      <c r="H183" s="9">
        <f t="shared" si="8"/>
        <v>79.320000000000164</v>
      </c>
      <c r="I183" s="12">
        <f t="shared" si="9"/>
        <v>5.614303308277075E-2</v>
      </c>
      <c r="J183" s="13">
        <f>SUMIFS(data!E:E,data!A:A,TABLEAU!B183,data!C:C,TABLEAU!D183,data!F:F,YEAR(Feuil1!$D$1))</f>
        <v>300</v>
      </c>
      <c r="K183" s="13">
        <f>SUMIFS(data!E:E,data!A:A,TABLEAU!B183,data!C:C,TABLEAU!D183,data!F:F,YEAR(Feuil1!$D$2))</f>
        <v>282</v>
      </c>
      <c r="L183" s="13">
        <f t="shared" si="10"/>
        <v>18</v>
      </c>
      <c r="M183" s="12">
        <f t="shared" si="11"/>
        <v>6.3829787234042548E-2</v>
      </c>
    </row>
    <row r="184" spans="1:13" x14ac:dyDescent="0.25">
      <c r="A184" s="17" t="str">
        <f>data!H323</f>
        <v>VINICOM</v>
      </c>
      <c r="B184" s="15" t="str">
        <f>data!A323</f>
        <v>003517</v>
      </c>
      <c r="C184" s="1" t="str">
        <f>data!B323</f>
        <v>HOBIVIN</v>
      </c>
      <c r="D184" s="1" t="str">
        <f>data!C323</f>
        <v>212001H</v>
      </c>
      <c r="E184" s="1" t="str">
        <f>data!D184</f>
        <v>AC BANDOL DME DE LA GARENNE</v>
      </c>
      <c r="F184" s="14">
        <f>SUMIFS(data!G:G,data!A:A,TABLEAU!B184,data!C:C,TABLEAU!D184,data!F:F,YEAR(Feuil1!$D$1))</f>
        <v>2124.2399999999998</v>
      </c>
      <c r="G184" s="9">
        <f>SUMIFS(data!G:G,data!A:A,TABLEAU!B184,data!C:C,TABLEAU!D184,data!F:F,YEAR(Feuil1!$D$2))</f>
        <v>3716.4</v>
      </c>
      <c r="H184" s="9">
        <f t="shared" si="8"/>
        <v>-1592.1600000000003</v>
      </c>
      <c r="I184" s="12">
        <f t="shared" si="9"/>
        <v>-0.42841459476913146</v>
      </c>
      <c r="J184" s="13">
        <f>SUMIFS(data!E:E,data!A:A,TABLEAU!B184,data!C:C,TABLEAU!D184,data!F:F,YEAR(Feuil1!$D$1))</f>
        <v>390</v>
      </c>
      <c r="K184" s="13">
        <f>SUMIFS(data!E:E,data!A:A,TABLEAU!B184,data!C:C,TABLEAU!D184,data!F:F,YEAR(Feuil1!$D$2))</f>
        <v>726</v>
      </c>
      <c r="L184" s="13">
        <f t="shared" si="10"/>
        <v>-336</v>
      </c>
      <c r="M184" s="12">
        <f t="shared" si="11"/>
        <v>-0.46280991735537191</v>
      </c>
    </row>
    <row r="185" spans="1:13" x14ac:dyDescent="0.25">
      <c r="A185" s="17" t="str">
        <f>data!H325</f>
        <v>VINICOM</v>
      </c>
      <c r="B185" s="15" t="str">
        <f>data!A325</f>
        <v>003517</v>
      </c>
      <c r="C185" s="1" t="str">
        <f>data!B325</f>
        <v>HOBIVIN</v>
      </c>
      <c r="D185" s="1" t="str">
        <f>data!C325</f>
        <v>212002H</v>
      </c>
      <c r="E185" s="1" t="str">
        <f>data!D185</f>
        <v>AC LIRAC DME LA COSTE DU PUY</v>
      </c>
      <c r="F185" s="14">
        <f>SUMIFS(data!G:G,data!A:A,TABLEAU!B185,data!C:C,TABLEAU!D185,data!F:F,YEAR(Feuil1!$D$1))</f>
        <v>0</v>
      </c>
      <c r="G185" s="9">
        <f>SUMIFS(data!G:G,data!A:A,TABLEAU!B185,data!C:C,TABLEAU!D185,data!F:F,YEAR(Feuil1!$D$2))</f>
        <v>249.84</v>
      </c>
      <c r="H185" s="9">
        <f t="shared" si="8"/>
        <v>-249.84</v>
      </c>
      <c r="I185" s="12">
        <f t="shared" si="9"/>
        <v>-1</v>
      </c>
      <c r="J185" s="13">
        <f>SUMIFS(data!E:E,data!A:A,TABLEAU!B185,data!C:C,TABLEAU!D185,data!F:F,YEAR(Feuil1!$D$1))</f>
        <v>0</v>
      </c>
      <c r="K185" s="13">
        <f>SUMIFS(data!E:E,data!A:A,TABLEAU!B185,data!C:C,TABLEAU!D185,data!F:F,YEAR(Feuil1!$D$2))</f>
        <v>24</v>
      </c>
      <c r="L185" s="13">
        <f t="shared" si="10"/>
        <v>-24</v>
      </c>
      <c r="M185" s="12">
        <f t="shared" si="11"/>
        <v>-1</v>
      </c>
    </row>
    <row r="186" spans="1:13" x14ac:dyDescent="0.25">
      <c r="A186" s="17" t="str">
        <f>data!H326</f>
        <v>VINICOM</v>
      </c>
      <c r="B186" s="15" t="str">
        <f>data!A326</f>
        <v>003517</v>
      </c>
      <c r="C186" s="1" t="str">
        <f>data!B326</f>
        <v>HOBIVIN</v>
      </c>
      <c r="D186" s="1" t="str">
        <f>data!C326</f>
        <v>213001H</v>
      </c>
      <c r="E186" s="1" t="str">
        <f>data!D186</f>
        <v>AC LIRAC DME LA COSTE DU PUY</v>
      </c>
      <c r="F186" s="14">
        <f>SUMIFS(data!G:G,data!A:A,TABLEAU!B186,data!C:C,TABLEAU!D186,data!F:F,YEAR(Feuil1!$D$1))</f>
        <v>757.68</v>
      </c>
      <c r="G186" s="9">
        <f>SUMIFS(data!G:G,data!A:A,TABLEAU!B186,data!C:C,TABLEAU!D186,data!F:F,YEAR(Feuil1!$D$2))</f>
        <v>2354.2199999999998</v>
      </c>
      <c r="H186" s="9">
        <f t="shared" si="8"/>
        <v>-1596.54</v>
      </c>
      <c r="I186" s="12">
        <f t="shared" si="9"/>
        <v>-0.67816091954022995</v>
      </c>
      <c r="J186" s="13">
        <f>SUMIFS(data!E:E,data!A:A,TABLEAU!B186,data!C:C,TABLEAU!D186,data!F:F,YEAR(Feuil1!$D$1))</f>
        <v>180</v>
      </c>
      <c r="K186" s="13">
        <f>SUMIFS(data!E:E,data!A:A,TABLEAU!B186,data!C:C,TABLEAU!D186,data!F:F,YEAR(Feuil1!$D$2))</f>
        <v>540</v>
      </c>
      <c r="L186" s="13">
        <f t="shared" si="10"/>
        <v>-360</v>
      </c>
      <c r="M186" s="12">
        <f t="shared" si="11"/>
        <v>-0.66666666666666663</v>
      </c>
    </row>
    <row r="187" spans="1:13" x14ac:dyDescent="0.25">
      <c r="A187" s="17" t="str">
        <f>data!H328</f>
        <v>VINICOM</v>
      </c>
      <c r="B187" s="15" t="str">
        <f>data!A328</f>
        <v>003517</v>
      </c>
      <c r="C187" s="1" t="str">
        <f>data!B328</f>
        <v>HOBIVIN</v>
      </c>
      <c r="D187" s="1" t="str">
        <f>data!C328</f>
        <v>214001H</v>
      </c>
      <c r="E187" s="1" t="str">
        <f>data!D187</f>
        <v>IGP GARD CHAMPETRE</v>
      </c>
      <c r="F187" s="14">
        <f>SUMIFS(data!G:G,data!A:A,TABLEAU!B187,data!C:C,TABLEAU!D187,data!F:F,YEAR(Feuil1!$D$1))</f>
        <v>2407.31</v>
      </c>
      <c r="G187" s="9">
        <f>SUMIFS(data!G:G,data!A:A,TABLEAU!B187,data!C:C,TABLEAU!D187,data!F:F,YEAR(Feuil1!$D$2))</f>
        <v>5454.18</v>
      </c>
      <c r="H187" s="9">
        <f t="shared" si="8"/>
        <v>-3046.8700000000003</v>
      </c>
      <c r="I187" s="12">
        <f t="shared" si="9"/>
        <v>-0.55863026156085793</v>
      </c>
      <c r="J187" s="13">
        <f>SUMIFS(data!E:E,data!A:A,TABLEAU!B187,data!C:C,TABLEAU!D187,data!F:F,YEAR(Feuil1!$D$1))</f>
        <v>1062</v>
      </c>
      <c r="K187" s="13">
        <f>SUMIFS(data!E:E,data!A:A,TABLEAU!B187,data!C:C,TABLEAU!D187,data!F:F,YEAR(Feuil1!$D$2))</f>
        <v>2484</v>
      </c>
      <c r="L187" s="13">
        <f t="shared" si="10"/>
        <v>-1422</v>
      </c>
      <c r="M187" s="12">
        <f t="shared" si="11"/>
        <v>-0.57246376811594202</v>
      </c>
    </row>
    <row r="188" spans="1:13" x14ac:dyDescent="0.25">
      <c r="A188" s="17" t="str">
        <f>data!H330</f>
        <v>VINICOM</v>
      </c>
      <c r="B188" s="15" t="str">
        <f>data!A330</f>
        <v>003517</v>
      </c>
      <c r="C188" s="1" t="str">
        <f>data!B330</f>
        <v>HOBIVIN</v>
      </c>
      <c r="D188" s="1" t="str">
        <f>data!C330</f>
        <v>214002H</v>
      </c>
      <c r="E188" s="1" t="str">
        <f>data!D188</f>
        <v>IGP GARD CHAMPETRE</v>
      </c>
      <c r="F188" s="14">
        <f>SUMIFS(data!G:G,data!A:A,TABLEAU!B188,data!C:C,TABLEAU!D188,data!F:F,YEAR(Feuil1!$D$1))</f>
        <v>544.44000000000005</v>
      </c>
      <c r="G188" s="9">
        <f>SUMIFS(data!G:G,data!A:A,TABLEAU!B188,data!C:C,TABLEAU!D188,data!F:F,YEAR(Feuil1!$D$2))</f>
        <v>697.68</v>
      </c>
      <c r="H188" s="9">
        <f t="shared" si="8"/>
        <v>-153.2399999999999</v>
      </c>
      <c r="I188" s="12">
        <f t="shared" si="9"/>
        <v>-0.21964224286205697</v>
      </c>
      <c r="J188" s="13">
        <f>SUMIFS(data!E:E,data!A:A,TABLEAU!B188,data!C:C,TABLEAU!D188,data!F:F,YEAR(Feuil1!$D$1))</f>
        <v>252</v>
      </c>
      <c r="K188" s="13">
        <f>SUMIFS(data!E:E,data!A:A,TABLEAU!B188,data!C:C,TABLEAU!D188,data!F:F,YEAR(Feuil1!$D$2))</f>
        <v>390</v>
      </c>
      <c r="L188" s="13">
        <f t="shared" si="10"/>
        <v>-138</v>
      </c>
      <c r="M188" s="12">
        <f t="shared" si="11"/>
        <v>-0.35384615384615387</v>
      </c>
    </row>
    <row r="189" spans="1:13" x14ac:dyDescent="0.25">
      <c r="A189" s="17" t="str">
        <f>data!H332</f>
        <v>VINICOM</v>
      </c>
      <c r="B189" s="15" t="str">
        <f>data!A332</f>
        <v>003517</v>
      </c>
      <c r="C189" s="1" t="str">
        <f>data!B332</f>
        <v>HOBIVIN</v>
      </c>
      <c r="D189" s="1" t="str">
        <f>data!C332</f>
        <v>215001H</v>
      </c>
      <c r="E189" s="1" t="str">
        <f>data!D189</f>
        <v>AOP COTES DU RHONE DME LACOSTE DUPUY</v>
      </c>
      <c r="F189" s="14">
        <f>SUMIFS(data!G:G,data!A:A,TABLEAU!B189,data!C:C,TABLEAU!D189,data!F:F,YEAR(Feuil1!$D$1))</f>
        <v>7745.68</v>
      </c>
      <c r="G189" s="9">
        <f>SUMIFS(data!G:G,data!A:A,TABLEAU!B189,data!C:C,TABLEAU!D189,data!F:F,YEAR(Feuil1!$D$2))</f>
        <v>16092.32</v>
      </c>
      <c r="H189" s="9">
        <f t="shared" si="8"/>
        <v>-8346.64</v>
      </c>
      <c r="I189" s="12">
        <f t="shared" si="9"/>
        <v>-0.51867226105372</v>
      </c>
      <c r="J189" s="13">
        <f>SUMIFS(data!E:E,data!A:A,TABLEAU!B189,data!C:C,TABLEAU!D189,data!F:F,YEAR(Feuil1!$D$1))</f>
        <v>1230</v>
      </c>
      <c r="K189" s="13">
        <f>SUMIFS(data!E:E,data!A:A,TABLEAU!B189,data!C:C,TABLEAU!D189,data!F:F,YEAR(Feuil1!$D$2))</f>
        <v>2382</v>
      </c>
      <c r="L189" s="13">
        <f t="shared" si="10"/>
        <v>-1152</v>
      </c>
      <c r="M189" s="12">
        <f t="shared" si="11"/>
        <v>-0.48362720403022669</v>
      </c>
    </row>
    <row r="190" spans="1:13" x14ac:dyDescent="0.25">
      <c r="A190" s="17" t="str">
        <f>data!H334</f>
        <v>VINICOM</v>
      </c>
      <c r="B190" s="15" t="str">
        <f>data!A334</f>
        <v>003517</v>
      </c>
      <c r="C190" s="1" t="str">
        <f>data!B334</f>
        <v>HOBIVIN</v>
      </c>
      <c r="D190" s="1" t="str">
        <f>data!C334</f>
        <v>215002H</v>
      </c>
      <c r="E190" s="1" t="str">
        <f>data!D190</f>
        <v>AOP COTES DU RHONE DME LACOSTE DUPUY</v>
      </c>
      <c r="F190" s="14">
        <f>SUMIFS(data!G:G,data!A:A,TABLEAU!B190,data!C:C,TABLEAU!D190,data!F:F,YEAR(Feuil1!$D$1))</f>
        <v>0</v>
      </c>
      <c r="G190" s="9">
        <f>SUMIFS(data!G:G,data!A:A,TABLEAU!B190,data!C:C,TABLEAU!D190,data!F:F,YEAR(Feuil1!$D$2))</f>
        <v>0</v>
      </c>
      <c r="H190" s="9">
        <f t="shared" si="8"/>
        <v>0</v>
      </c>
      <c r="I190" s="12" t="str">
        <f t="shared" si="9"/>
        <v/>
      </c>
      <c r="J190" s="13">
        <f>SUMIFS(data!E:E,data!A:A,TABLEAU!B190,data!C:C,TABLEAU!D190,data!F:F,YEAR(Feuil1!$D$1))</f>
        <v>0</v>
      </c>
      <c r="K190" s="13">
        <f>SUMIFS(data!E:E,data!A:A,TABLEAU!B190,data!C:C,TABLEAU!D190,data!F:F,YEAR(Feuil1!$D$2))</f>
        <v>12</v>
      </c>
      <c r="L190" s="13">
        <f t="shared" si="10"/>
        <v>-12</v>
      </c>
      <c r="M190" s="12">
        <f t="shared" si="11"/>
        <v>-1</v>
      </c>
    </row>
    <row r="191" spans="1:13" x14ac:dyDescent="0.25">
      <c r="A191" s="17" t="str">
        <f>data!H335</f>
        <v>VINICOM</v>
      </c>
      <c r="B191" s="15" t="str">
        <f>data!A335</f>
        <v>003517</v>
      </c>
      <c r="C191" s="1" t="str">
        <f>data!B335</f>
        <v>HOBIVIN</v>
      </c>
      <c r="D191" s="1" t="str">
        <f>data!C335</f>
        <v>216001H</v>
      </c>
      <c r="E191" s="1" t="str">
        <f>data!D191</f>
        <v>AOP CROZE HERMITAGE SENS</v>
      </c>
      <c r="F191" s="14">
        <f>SUMIFS(data!G:G,data!A:A,TABLEAU!B191,data!C:C,TABLEAU!D191,data!F:F,YEAR(Feuil1!$D$1))</f>
        <v>1355.94</v>
      </c>
      <c r="G191" s="9">
        <f>SUMIFS(data!G:G,data!A:A,TABLEAU!B191,data!C:C,TABLEAU!D191,data!F:F,YEAR(Feuil1!$D$2))</f>
        <v>1336.92</v>
      </c>
      <c r="H191" s="9">
        <f t="shared" si="8"/>
        <v>19.019999999999982</v>
      </c>
      <c r="I191" s="12">
        <f t="shared" si="9"/>
        <v>1.4226730096041633E-2</v>
      </c>
      <c r="J191" s="13">
        <f>SUMIFS(data!E:E,data!A:A,TABLEAU!B191,data!C:C,TABLEAU!D191,data!F:F,YEAR(Feuil1!$D$1))</f>
        <v>420</v>
      </c>
      <c r="K191" s="13">
        <f>SUMIFS(data!E:E,data!A:A,TABLEAU!B191,data!C:C,TABLEAU!D191,data!F:F,YEAR(Feuil1!$D$2))</f>
        <v>432</v>
      </c>
      <c r="L191" s="13">
        <f t="shared" si="10"/>
        <v>-12</v>
      </c>
      <c r="M191" s="12">
        <f t="shared" si="11"/>
        <v>-2.7777777777777776E-2</v>
      </c>
    </row>
    <row r="192" spans="1:13" x14ac:dyDescent="0.25">
      <c r="A192" s="17" t="str">
        <f>data!H337</f>
        <v>VINICOM</v>
      </c>
      <c r="B192" s="15" t="str">
        <f>data!A337</f>
        <v>003517</v>
      </c>
      <c r="C192" s="1" t="str">
        <f>data!B337</f>
        <v>HOBIVIN</v>
      </c>
      <c r="D192" s="1" t="str">
        <f>data!C337</f>
        <v>217001H</v>
      </c>
      <c r="E192" s="1" t="str">
        <f>data!D192</f>
        <v>AOP CROZE HERMITAGE SENS</v>
      </c>
      <c r="F192" s="14">
        <f>SUMIFS(data!G:G,data!A:A,TABLEAU!B192,data!C:C,TABLEAU!D192,data!F:F,YEAR(Feuil1!$D$1))</f>
        <v>138.41999999999999</v>
      </c>
      <c r="G192" s="9">
        <f>SUMIFS(data!G:G,data!A:A,TABLEAU!B192,data!C:C,TABLEAU!D192,data!F:F,YEAR(Feuil1!$D$2))</f>
        <v>581.1</v>
      </c>
      <c r="H192" s="9">
        <f t="shared" si="8"/>
        <v>-442.68000000000006</v>
      </c>
      <c r="I192" s="12">
        <f t="shared" si="9"/>
        <v>-0.76179659266907596</v>
      </c>
      <c r="J192" s="13">
        <f>SUMIFS(data!E:E,data!A:A,TABLEAU!B192,data!C:C,TABLEAU!D192,data!F:F,YEAR(Feuil1!$D$1))</f>
        <v>36</v>
      </c>
      <c r="K192" s="13">
        <f>SUMIFS(data!E:E,data!A:A,TABLEAU!B192,data!C:C,TABLEAU!D192,data!F:F,YEAR(Feuil1!$D$2))</f>
        <v>90</v>
      </c>
      <c r="L192" s="13">
        <f t="shared" si="10"/>
        <v>-54</v>
      </c>
      <c r="M192" s="12">
        <f t="shared" si="11"/>
        <v>-0.6</v>
      </c>
    </row>
    <row r="193" spans="1:13" x14ac:dyDescent="0.25">
      <c r="A193" s="17" t="str">
        <f>data!H339</f>
        <v>VINICOM</v>
      </c>
      <c r="B193" s="15" t="str">
        <f>data!A339</f>
        <v>003517</v>
      </c>
      <c r="C193" s="1" t="str">
        <f>data!B339</f>
        <v>HOBIVIN</v>
      </c>
      <c r="D193" s="1" t="str">
        <f>data!C339</f>
        <v>217002H</v>
      </c>
      <c r="E193" s="1" t="str">
        <f>data!D193</f>
        <v>AOP HERMITAGE LES DIONNIERES</v>
      </c>
      <c r="F193" s="14">
        <f>SUMIFS(data!G:G,data!A:A,TABLEAU!B193,data!C:C,TABLEAU!D193,data!F:F,YEAR(Feuil1!$D$1))</f>
        <v>853.44</v>
      </c>
      <c r="G193" s="9">
        <f>SUMIFS(data!G:G,data!A:A,TABLEAU!B193,data!C:C,TABLEAU!D193,data!F:F,YEAR(Feuil1!$D$2))</f>
        <v>1252.8</v>
      </c>
      <c r="H193" s="9">
        <f t="shared" si="8"/>
        <v>-399.3599999999999</v>
      </c>
      <c r="I193" s="12">
        <f t="shared" si="9"/>
        <v>-0.31877394636015322</v>
      </c>
      <c r="J193" s="13">
        <f>SUMIFS(data!E:E,data!A:A,TABLEAU!B193,data!C:C,TABLEAU!D193,data!F:F,YEAR(Feuil1!$D$1))</f>
        <v>108</v>
      </c>
      <c r="K193" s="13">
        <f>SUMIFS(data!E:E,data!A:A,TABLEAU!B193,data!C:C,TABLEAU!D193,data!F:F,YEAR(Feuil1!$D$2))</f>
        <v>156</v>
      </c>
      <c r="L193" s="13">
        <f t="shared" si="10"/>
        <v>-48</v>
      </c>
      <c r="M193" s="12">
        <f t="shared" si="11"/>
        <v>-0.30769230769230771</v>
      </c>
    </row>
    <row r="194" spans="1:13" x14ac:dyDescent="0.25">
      <c r="A194" s="17" t="str">
        <f>data!H341</f>
        <v>VINICOM</v>
      </c>
      <c r="B194" s="15" t="str">
        <f>data!A341</f>
        <v>003517</v>
      </c>
      <c r="C194" s="1" t="str">
        <f>data!B341</f>
        <v>HOBIVIN</v>
      </c>
      <c r="D194" s="1" t="str">
        <f>data!C341</f>
        <v>217003H</v>
      </c>
      <c r="E194" s="1" t="str">
        <f>data!D194</f>
        <v>AC COTES DU RHONE VILLAGE GARANCE DME LA  CABOTTE</v>
      </c>
      <c r="F194" s="14">
        <f>SUMIFS(data!G:G,data!A:A,TABLEAU!B194,data!C:C,TABLEAU!D194,data!F:F,YEAR(Feuil1!$D$1))</f>
        <v>779.76</v>
      </c>
      <c r="G194" s="9">
        <f>SUMIFS(data!G:G,data!A:A,TABLEAU!B194,data!C:C,TABLEAU!D194,data!F:F,YEAR(Feuil1!$D$2))</f>
        <v>1015.68</v>
      </c>
      <c r="H194" s="9">
        <f t="shared" si="8"/>
        <v>-235.91999999999996</v>
      </c>
      <c r="I194" s="12">
        <f t="shared" si="9"/>
        <v>-0.23227788279773154</v>
      </c>
      <c r="J194" s="13">
        <f>SUMIFS(data!E:E,data!A:A,TABLEAU!B194,data!C:C,TABLEAU!D194,data!F:F,YEAR(Feuil1!$D$1))</f>
        <v>90</v>
      </c>
      <c r="K194" s="13">
        <f>SUMIFS(data!E:E,data!A:A,TABLEAU!B194,data!C:C,TABLEAU!D194,data!F:F,YEAR(Feuil1!$D$2))</f>
        <v>102</v>
      </c>
      <c r="L194" s="13">
        <f t="shared" si="10"/>
        <v>-12</v>
      </c>
      <c r="M194" s="12">
        <f t="shared" si="11"/>
        <v>-0.11764705882352941</v>
      </c>
    </row>
    <row r="195" spans="1:13" x14ac:dyDescent="0.25">
      <c r="A195" s="17" t="str">
        <f>data!H343</f>
        <v>VINICOM</v>
      </c>
      <c r="B195" s="15" t="str">
        <f>data!A343</f>
        <v>003517</v>
      </c>
      <c r="C195" s="1" t="str">
        <f>data!B343</f>
        <v>HOBIVIN</v>
      </c>
      <c r="D195" s="1" t="str">
        <f>data!C343</f>
        <v>218001H</v>
      </c>
      <c r="E195" s="1" t="str">
        <f>data!D195</f>
        <v>AC COTES DU RHONE VILLAGE GARANCE DME LA  CABOTTE</v>
      </c>
      <c r="F195" s="14">
        <f>SUMIFS(data!G:G,data!A:A,TABLEAU!B195,data!C:C,TABLEAU!D195,data!F:F,YEAR(Feuil1!$D$1))</f>
        <v>5260.02</v>
      </c>
      <c r="G195" s="9">
        <f>SUMIFS(data!G:G,data!A:A,TABLEAU!B195,data!C:C,TABLEAU!D195,data!F:F,YEAR(Feuil1!$D$2))</f>
        <v>2805</v>
      </c>
      <c r="H195" s="9">
        <f t="shared" ref="H195:H258" si="12">F195-G195</f>
        <v>2455.0200000000004</v>
      </c>
      <c r="I195" s="12">
        <f t="shared" ref="I195:I258" si="13">IF(ISERR(H195/G195),"",H195/G195)</f>
        <v>0.87522994652406427</v>
      </c>
      <c r="J195" s="13">
        <f>SUMIFS(data!E:E,data!A:A,TABLEAU!B195,data!C:C,TABLEAU!D195,data!F:F,YEAR(Feuil1!$D$1))</f>
        <v>1368</v>
      </c>
      <c r="K195" s="13">
        <f>SUMIFS(data!E:E,data!A:A,TABLEAU!B195,data!C:C,TABLEAU!D195,data!F:F,YEAR(Feuil1!$D$2))</f>
        <v>780</v>
      </c>
      <c r="L195" s="13">
        <f t="shared" ref="L195:L258" si="14">J195-K195</f>
        <v>588</v>
      </c>
      <c r="M195" s="12">
        <f t="shared" ref="M195:M258" si="15">IF(ISERR(L195/K195),"",L195/K195)</f>
        <v>0.75384615384615383</v>
      </c>
    </row>
    <row r="196" spans="1:13" x14ac:dyDescent="0.25">
      <c r="A196" s="17" t="str">
        <f>data!H345</f>
        <v>VINICOM</v>
      </c>
      <c r="B196" s="15" t="str">
        <f>data!A345</f>
        <v>003517</v>
      </c>
      <c r="C196" s="1" t="str">
        <f>data!B345</f>
        <v>HOBIVIN</v>
      </c>
      <c r="D196" s="1" t="str">
        <f>data!C345</f>
        <v>219001H</v>
      </c>
      <c r="E196" s="1" t="str">
        <f>data!D196</f>
        <v>AOP COTES DU RHONE VILLAGES CUVEE YVONNE DME LA CA</v>
      </c>
      <c r="F196" s="14">
        <f>SUMIFS(data!G:G,data!A:A,TABLEAU!B196,data!C:C,TABLEAU!D196,data!F:F,YEAR(Feuil1!$D$1))</f>
        <v>1102.1400000000001</v>
      </c>
      <c r="G196" s="9">
        <f>SUMIFS(data!G:G,data!A:A,TABLEAU!B196,data!C:C,TABLEAU!D196,data!F:F,YEAR(Feuil1!$D$2))</f>
        <v>1455.39</v>
      </c>
      <c r="H196" s="9">
        <f t="shared" si="12"/>
        <v>-353.25</v>
      </c>
      <c r="I196" s="12">
        <f t="shared" si="13"/>
        <v>-0.24271844660194172</v>
      </c>
      <c r="J196" s="13">
        <f>SUMIFS(data!E:E,data!A:A,TABLEAU!B196,data!C:C,TABLEAU!D196,data!F:F,YEAR(Feuil1!$D$1))</f>
        <v>540.27</v>
      </c>
      <c r="K196" s="13">
        <f>SUMIFS(data!E:E,data!A:A,TABLEAU!B196,data!C:C,TABLEAU!D196,data!F:F,YEAR(Feuil1!$D$2))</f>
        <v>720.3599999999999</v>
      </c>
      <c r="L196" s="13">
        <f t="shared" si="14"/>
        <v>-180.08999999999992</v>
      </c>
      <c r="M196" s="12">
        <f t="shared" si="15"/>
        <v>-0.24999999999999992</v>
      </c>
    </row>
    <row r="197" spans="1:13" x14ac:dyDescent="0.25">
      <c r="A197" s="17" t="str">
        <f>data!H347</f>
        <v>VINICOM</v>
      </c>
      <c r="B197" s="15" t="str">
        <f>data!A347</f>
        <v>003517</v>
      </c>
      <c r="C197" s="1" t="str">
        <f>data!B347</f>
        <v>HOBIVIN</v>
      </c>
      <c r="D197" s="1" t="str">
        <f>data!C347</f>
        <v>220007H</v>
      </c>
      <c r="E197" s="1" t="str">
        <f>data!D197</f>
        <v>AOP COTES DU RHONE DOMAINE CABOTTE</v>
      </c>
      <c r="F197" s="14">
        <f>SUMIFS(data!G:G,data!A:A,TABLEAU!B197,data!C:C,TABLEAU!D197,data!F:F,YEAR(Feuil1!$D$1))</f>
        <v>-28.14</v>
      </c>
      <c r="G197" s="9">
        <f>SUMIFS(data!G:G,data!A:A,TABLEAU!B197,data!C:C,TABLEAU!D197,data!F:F,YEAR(Feuil1!$D$2))</f>
        <v>356.44</v>
      </c>
      <c r="H197" s="9">
        <f t="shared" si="12"/>
        <v>-384.58</v>
      </c>
      <c r="I197" s="12">
        <f t="shared" si="13"/>
        <v>-1.0789473684210527</v>
      </c>
      <c r="J197" s="13">
        <f>SUMIFS(data!E:E,data!A:A,TABLEAU!B197,data!C:C,TABLEAU!D197,data!F:F,YEAR(Feuil1!$D$1))</f>
        <v>593.63</v>
      </c>
      <c r="K197" s="13">
        <f>SUMIFS(data!E:E,data!A:A,TABLEAU!B197,data!C:C,TABLEAU!D197,data!F:F,YEAR(Feuil1!$D$2))</f>
        <v>333.49999999999994</v>
      </c>
      <c r="L197" s="13">
        <f t="shared" si="14"/>
        <v>260.13000000000005</v>
      </c>
      <c r="M197" s="12">
        <f t="shared" si="15"/>
        <v>0.78000000000000025</v>
      </c>
    </row>
    <row r="198" spans="1:13" x14ac:dyDescent="0.25">
      <c r="A198" s="17" t="str">
        <f>data!H349</f>
        <v>VINICOM</v>
      </c>
      <c r="B198" s="15" t="str">
        <f>data!A349</f>
        <v>003517</v>
      </c>
      <c r="C198" s="1" t="str">
        <f>data!B349</f>
        <v>HOBIVIN</v>
      </c>
      <c r="D198" s="1" t="str">
        <f>data!C349</f>
        <v>220009H</v>
      </c>
      <c r="E198" s="1" t="str">
        <f>data!D198</f>
        <v>AOP COTES DU RHONE COLLINE DME DE LA CABOTTE</v>
      </c>
      <c r="F198" s="14">
        <f>SUMIFS(data!G:G,data!A:A,TABLEAU!B198,data!C:C,TABLEAU!D198,data!F:F,YEAR(Feuil1!$D$1))</f>
        <v>28.14</v>
      </c>
      <c r="G198" s="9">
        <f>SUMIFS(data!G:G,data!A:A,TABLEAU!B198,data!C:C,TABLEAU!D198,data!F:F,YEAR(Feuil1!$D$2))</f>
        <v>290.77999999999997</v>
      </c>
      <c r="H198" s="9">
        <f t="shared" si="12"/>
        <v>-262.64</v>
      </c>
      <c r="I198" s="12">
        <f t="shared" si="13"/>
        <v>-0.90322580645161299</v>
      </c>
      <c r="J198" s="13">
        <f>SUMIFS(data!E:E,data!A:A,TABLEAU!B198,data!C:C,TABLEAU!D198,data!F:F,YEAR(Feuil1!$D$1))</f>
        <v>573.62</v>
      </c>
      <c r="K198" s="13">
        <f>SUMIFS(data!E:E,data!A:A,TABLEAU!B198,data!C:C,TABLEAU!D198,data!F:F,YEAR(Feuil1!$D$2))</f>
        <v>346.84</v>
      </c>
      <c r="L198" s="13">
        <f t="shared" si="14"/>
        <v>226.78000000000003</v>
      </c>
      <c r="M198" s="12">
        <f t="shared" si="15"/>
        <v>0.65384615384615397</v>
      </c>
    </row>
    <row r="199" spans="1:13" x14ac:dyDescent="0.25">
      <c r="A199" s="17" t="str">
        <f>data!H351</f>
        <v>VINICOM</v>
      </c>
      <c r="B199" s="15" t="str">
        <f>data!A351</f>
        <v>003517</v>
      </c>
      <c r="C199" s="1" t="str">
        <f>data!B351</f>
        <v>HOBIVIN</v>
      </c>
      <c r="D199" s="1" t="str">
        <f>data!C351</f>
        <v>220020H</v>
      </c>
      <c r="E199" s="1" t="str">
        <f>data!D199</f>
        <v>UTIEL REQUENA ARANLEON CRIANZA</v>
      </c>
      <c r="F199" s="14">
        <f>SUMIFS(data!G:G,data!A:A,TABLEAU!B199,data!C:C,TABLEAU!D199,data!F:F,YEAR(Feuil1!$D$1))</f>
        <v>2150.58</v>
      </c>
      <c r="G199" s="9">
        <f>SUMIFS(data!G:G,data!A:A,TABLEAU!B199,data!C:C,TABLEAU!D199,data!F:F,YEAR(Feuil1!$D$2))</f>
        <v>2917.08</v>
      </c>
      <c r="H199" s="9">
        <f t="shared" si="12"/>
        <v>-766.5</v>
      </c>
      <c r="I199" s="12">
        <f t="shared" si="13"/>
        <v>-0.26276276276276278</v>
      </c>
      <c r="J199" s="13">
        <f>SUMIFS(data!E:E,data!A:A,TABLEAU!B199,data!C:C,TABLEAU!D199,data!F:F,YEAR(Feuil1!$D$1))</f>
        <v>1032</v>
      </c>
      <c r="K199" s="13">
        <f>SUMIFS(data!E:E,data!A:A,TABLEAU!B199,data!C:C,TABLEAU!D199,data!F:F,YEAR(Feuil1!$D$2))</f>
        <v>1434</v>
      </c>
      <c r="L199" s="13">
        <f t="shared" si="14"/>
        <v>-402</v>
      </c>
      <c r="M199" s="12">
        <f t="shared" si="15"/>
        <v>-0.28033472803347281</v>
      </c>
    </row>
    <row r="200" spans="1:13" x14ac:dyDescent="0.25">
      <c r="A200" s="17" t="str">
        <f>data!H353</f>
        <v>VINICOM</v>
      </c>
      <c r="B200" s="15" t="str">
        <f>data!A353</f>
        <v>003517</v>
      </c>
      <c r="C200" s="1" t="str">
        <f>data!B353</f>
        <v>HOBIVIN</v>
      </c>
      <c r="D200" s="1" t="str">
        <f>data!C353</f>
        <v>220021H</v>
      </c>
      <c r="E200" s="1" t="str">
        <f>data!D200</f>
        <v>UTIEL REQUENA ARANLEON CRIANZA</v>
      </c>
      <c r="F200" s="14">
        <f>SUMIFS(data!G:G,data!A:A,TABLEAU!B200,data!C:C,TABLEAU!D200,data!F:F,YEAR(Feuil1!$D$1))</f>
        <v>2582.0100000000002</v>
      </c>
      <c r="G200" s="9">
        <f>SUMIFS(data!G:G,data!A:A,TABLEAU!B200,data!C:C,TABLEAU!D200,data!F:F,YEAR(Feuil1!$D$2))</f>
        <v>1156.32</v>
      </c>
      <c r="H200" s="9">
        <f t="shared" si="12"/>
        <v>1425.6900000000003</v>
      </c>
      <c r="I200" s="12">
        <f t="shared" si="13"/>
        <v>1.2329545454545459</v>
      </c>
      <c r="J200" s="13">
        <f>SUMIFS(data!E:E,data!A:A,TABLEAU!B200,data!C:C,TABLEAU!D200,data!F:F,YEAR(Feuil1!$D$1))</f>
        <v>1386</v>
      </c>
      <c r="K200" s="13">
        <f>SUMIFS(data!E:E,data!A:A,TABLEAU!B200,data!C:C,TABLEAU!D200,data!F:F,YEAR(Feuil1!$D$2))</f>
        <v>612</v>
      </c>
      <c r="L200" s="13">
        <f t="shared" si="14"/>
        <v>774</v>
      </c>
      <c r="M200" s="12">
        <f t="shared" si="15"/>
        <v>1.2647058823529411</v>
      </c>
    </row>
    <row r="201" spans="1:13" x14ac:dyDescent="0.25">
      <c r="A201" s="17" t="str">
        <f>data!H355</f>
        <v>VINICOM</v>
      </c>
      <c r="B201" s="15" t="str">
        <f>data!A355</f>
        <v>003517</v>
      </c>
      <c r="C201" s="1" t="str">
        <f>data!B355</f>
        <v>HOBIVIN</v>
      </c>
      <c r="D201" s="1" t="str">
        <f>data!C355</f>
        <v>220022H</v>
      </c>
      <c r="E201" s="1" t="str">
        <f>data!D201</f>
        <v>UTIEL REQUENA ARANLEON AHORA</v>
      </c>
      <c r="F201" s="14">
        <f>SUMIFS(data!G:G,data!A:A,TABLEAU!B201,data!C:C,TABLEAU!D201,data!F:F,YEAR(Feuil1!$D$1))</f>
        <v>996.45</v>
      </c>
      <c r="G201" s="9">
        <f>SUMIFS(data!G:G,data!A:A,TABLEAU!B201,data!C:C,TABLEAU!D201,data!F:F,YEAR(Feuil1!$D$2))</f>
        <v>2338.92</v>
      </c>
      <c r="H201" s="9">
        <f t="shared" si="12"/>
        <v>-1342.47</v>
      </c>
      <c r="I201" s="12">
        <f t="shared" si="13"/>
        <v>-0.57397003745318353</v>
      </c>
      <c r="J201" s="13">
        <f>SUMIFS(data!E:E,data!A:A,TABLEAU!B201,data!C:C,TABLEAU!D201,data!F:F,YEAR(Feuil1!$D$1))</f>
        <v>546</v>
      </c>
      <c r="K201" s="13">
        <f>SUMIFS(data!E:E,data!A:A,TABLEAU!B201,data!C:C,TABLEAU!D201,data!F:F,YEAR(Feuil1!$D$2))</f>
        <v>1152</v>
      </c>
      <c r="L201" s="13">
        <f t="shared" si="14"/>
        <v>-606</v>
      </c>
      <c r="M201" s="12">
        <f t="shared" si="15"/>
        <v>-0.52604166666666663</v>
      </c>
    </row>
    <row r="202" spans="1:13" x14ac:dyDescent="0.25">
      <c r="A202" s="17" t="str">
        <f>data!H357</f>
        <v>VINICOM</v>
      </c>
      <c r="B202" s="15" t="str">
        <f>data!A357</f>
        <v>003517</v>
      </c>
      <c r="C202" s="1" t="str">
        <f>data!B357</f>
        <v>HOBIVIN</v>
      </c>
      <c r="D202" s="1" t="str">
        <f>data!C357</f>
        <v>220028H</v>
      </c>
      <c r="E202" s="1" t="str">
        <f>data!D202</f>
        <v>UTIEL REQUENA ARANLEON AHORA</v>
      </c>
      <c r="F202" s="14">
        <f>SUMIFS(data!G:G,data!A:A,TABLEAU!B202,data!C:C,TABLEAU!D202,data!F:F,YEAR(Feuil1!$D$1))</f>
        <v>1307.6400000000001</v>
      </c>
      <c r="G202" s="9">
        <f>SUMIFS(data!G:G,data!A:A,TABLEAU!B202,data!C:C,TABLEAU!D202,data!F:F,YEAR(Feuil1!$D$2))</f>
        <v>1615.32</v>
      </c>
      <c r="H202" s="9">
        <f t="shared" si="12"/>
        <v>-307.67999999999984</v>
      </c>
      <c r="I202" s="12">
        <f t="shared" si="13"/>
        <v>-0.19047619047619038</v>
      </c>
      <c r="J202" s="13">
        <f>SUMIFS(data!E:E,data!A:A,TABLEAU!B202,data!C:C,TABLEAU!D202,data!F:F,YEAR(Feuil1!$D$1))</f>
        <v>210</v>
      </c>
      <c r="K202" s="13">
        <f>SUMIFS(data!E:E,data!A:A,TABLEAU!B202,data!C:C,TABLEAU!D202,data!F:F,YEAR(Feuil1!$D$2))</f>
        <v>264</v>
      </c>
      <c r="L202" s="13">
        <f t="shared" si="14"/>
        <v>-54</v>
      </c>
      <c r="M202" s="12">
        <f t="shared" si="15"/>
        <v>-0.20454545454545456</v>
      </c>
    </row>
    <row r="203" spans="1:13" x14ac:dyDescent="0.25">
      <c r="A203" s="17" t="str">
        <f>data!H359</f>
        <v>VINICOM</v>
      </c>
      <c r="B203" s="15" t="str">
        <f>data!A359</f>
        <v>003517</v>
      </c>
      <c r="C203" s="1" t="str">
        <f>data!B359</f>
        <v>HOBIVIN</v>
      </c>
      <c r="D203" s="1" t="str">
        <f>data!C359</f>
        <v>220029H</v>
      </c>
      <c r="E203" s="1" t="str">
        <f>data!D203</f>
        <v>IGP PAYS D'OC CHARDONNAY DME DE CASTELNAU</v>
      </c>
      <c r="F203" s="14">
        <f>SUMIFS(data!G:G,data!A:A,TABLEAU!B203,data!C:C,TABLEAU!D203,data!F:F,YEAR(Feuil1!$D$1))</f>
        <v>76.92</v>
      </c>
      <c r="G203" s="9">
        <f>SUMIFS(data!G:G,data!A:A,TABLEAU!B203,data!C:C,TABLEAU!D203,data!F:F,YEAR(Feuil1!$D$2))</f>
        <v>230.76</v>
      </c>
      <c r="H203" s="9">
        <f t="shared" si="12"/>
        <v>-153.83999999999997</v>
      </c>
      <c r="I203" s="12">
        <f t="shared" si="13"/>
        <v>-0.66666666666666663</v>
      </c>
      <c r="J203" s="13">
        <f>SUMIFS(data!E:E,data!A:A,TABLEAU!B203,data!C:C,TABLEAU!D203,data!F:F,YEAR(Feuil1!$D$1))</f>
        <v>24</v>
      </c>
      <c r="K203" s="13">
        <f>SUMIFS(data!E:E,data!A:A,TABLEAU!B203,data!C:C,TABLEAU!D203,data!F:F,YEAR(Feuil1!$D$2))</f>
        <v>48</v>
      </c>
      <c r="L203" s="13">
        <f t="shared" si="14"/>
        <v>-24</v>
      </c>
      <c r="M203" s="12">
        <f t="shared" si="15"/>
        <v>-0.5</v>
      </c>
    </row>
    <row r="204" spans="1:13" x14ac:dyDescent="0.25">
      <c r="A204" s="17" t="str">
        <f>data!H361</f>
        <v>VINICOM</v>
      </c>
      <c r="B204" s="15" t="str">
        <f>data!A361</f>
        <v>003517</v>
      </c>
      <c r="C204" s="1" t="str">
        <f>data!B361</f>
        <v>HOBIVIN</v>
      </c>
      <c r="D204" s="1" t="str">
        <f>data!C361</f>
        <v>221001H</v>
      </c>
      <c r="E204" s="1" t="str">
        <f>data!D204</f>
        <v>IGP PAYS D'OC CHARDONNAY DME DE CASTELNAU</v>
      </c>
      <c r="F204" s="14">
        <f>SUMIFS(data!G:G,data!A:A,TABLEAU!B204,data!C:C,TABLEAU!D204,data!F:F,YEAR(Feuil1!$D$1))</f>
        <v>1102.2</v>
      </c>
      <c r="G204" s="9">
        <f>SUMIFS(data!G:G,data!A:A,TABLEAU!B204,data!C:C,TABLEAU!D204,data!F:F,YEAR(Feuil1!$D$2))</f>
        <v>1574.1</v>
      </c>
      <c r="H204" s="9">
        <f t="shared" si="12"/>
        <v>-471.89999999999986</v>
      </c>
      <c r="I204" s="12">
        <f t="shared" si="13"/>
        <v>-0.29979035639412993</v>
      </c>
      <c r="J204" s="13">
        <f>SUMIFS(data!E:E,data!A:A,TABLEAU!B204,data!C:C,TABLEAU!D204,data!F:F,YEAR(Feuil1!$D$1))</f>
        <v>138</v>
      </c>
      <c r="K204" s="13">
        <f>SUMIFS(data!E:E,data!A:A,TABLEAU!B204,data!C:C,TABLEAU!D204,data!F:F,YEAR(Feuil1!$D$2))</f>
        <v>216</v>
      </c>
      <c r="L204" s="13">
        <f t="shared" si="14"/>
        <v>-78</v>
      </c>
      <c r="M204" s="12">
        <f t="shared" si="15"/>
        <v>-0.3611111111111111</v>
      </c>
    </row>
    <row r="205" spans="1:13" x14ac:dyDescent="0.25">
      <c r="A205" s="17" t="str">
        <f>data!H363</f>
        <v>VINICOM</v>
      </c>
      <c r="B205" s="15" t="str">
        <f>data!A363</f>
        <v>003517</v>
      </c>
      <c r="C205" s="1" t="str">
        <f>data!B363</f>
        <v>HOBIVIN</v>
      </c>
      <c r="D205" s="1" t="str">
        <f>data!C363</f>
        <v>223001H</v>
      </c>
      <c r="E205" s="1" t="str">
        <f>data!D205</f>
        <v>IGP PAYS D'OC VIOGNIER DME CASTELNAU</v>
      </c>
      <c r="F205" s="14">
        <f>SUMIFS(data!G:G,data!A:A,TABLEAU!B205,data!C:C,TABLEAU!D205,data!F:F,YEAR(Feuil1!$D$1))</f>
        <v>1500.48</v>
      </c>
      <c r="G205" s="9">
        <f>SUMIFS(data!G:G,data!A:A,TABLEAU!B205,data!C:C,TABLEAU!D205,data!F:F,YEAR(Feuil1!$D$2))</f>
        <v>2880</v>
      </c>
      <c r="H205" s="9">
        <f t="shared" si="12"/>
        <v>-1379.52</v>
      </c>
      <c r="I205" s="12">
        <f t="shared" si="13"/>
        <v>-0.47899999999999998</v>
      </c>
      <c r="J205" s="13">
        <f>SUMIFS(data!E:E,data!A:A,TABLEAU!B205,data!C:C,TABLEAU!D205,data!F:F,YEAR(Feuil1!$D$1))</f>
        <v>120</v>
      </c>
      <c r="K205" s="13">
        <f>SUMIFS(data!E:E,data!A:A,TABLEAU!B205,data!C:C,TABLEAU!D205,data!F:F,YEAR(Feuil1!$D$2))</f>
        <v>198</v>
      </c>
      <c r="L205" s="13">
        <f t="shared" si="14"/>
        <v>-78</v>
      </c>
      <c r="M205" s="12">
        <f t="shared" si="15"/>
        <v>-0.39393939393939392</v>
      </c>
    </row>
    <row r="206" spans="1:13" x14ac:dyDescent="0.25">
      <c r="A206" s="17" t="str">
        <f>data!H365</f>
        <v>VINICOM</v>
      </c>
      <c r="B206" s="15" t="str">
        <f>data!A365</f>
        <v>003517</v>
      </c>
      <c r="C206" s="1" t="str">
        <f>data!B365</f>
        <v>HOBIVIN</v>
      </c>
      <c r="D206" s="1" t="str">
        <f>data!C365</f>
        <v>224002H</v>
      </c>
      <c r="E206" s="1" t="str">
        <f>data!D206</f>
        <v>IGP PAYS D'OC VIOGNIER DME CASTELNAU</v>
      </c>
      <c r="F206" s="14">
        <f>SUMIFS(data!G:G,data!A:A,TABLEAU!B206,data!C:C,TABLEAU!D206,data!F:F,YEAR(Feuil1!$D$1))</f>
        <v>120</v>
      </c>
      <c r="G206" s="9">
        <f>SUMIFS(data!G:G,data!A:A,TABLEAU!B206,data!C:C,TABLEAU!D206,data!F:F,YEAR(Feuil1!$D$2))</f>
        <v>390</v>
      </c>
      <c r="H206" s="9">
        <f t="shared" si="12"/>
        <v>-270</v>
      </c>
      <c r="I206" s="12">
        <f t="shared" si="13"/>
        <v>-0.69230769230769229</v>
      </c>
      <c r="J206" s="13">
        <f>SUMIFS(data!E:E,data!A:A,TABLEAU!B206,data!C:C,TABLEAU!D206,data!F:F,YEAR(Feuil1!$D$1))</f>
        <v>73.37</v>
      </c>
      <c r="K206" s="13">
        <f>SUMIFS(data!E:E,data!A:A,TABLEAU!B206,data!C:C,TABLEAU!D206,data!F:F,YEAR(Feuil1!$D$2))</f>
        <v>246.78999999999991</v>
      </c>
      <c r="L206" s="13">
        <f t="shared" si="14"/>
        <v>-173.4199999999999</v>
      </c>
      <c r="M206" s="12">
        <f t="shared" si="15"/>
        <v>-0.70270270270270252</v>
      </c>
    </row>
    <row r="207" spans="1:13" x14ac:dyDescent="0.25">
      <c r="A207" s="17" t="str">
        <f>data!H367</f>
        <v>VINICOM</v>
      </c>
      <c r="B207" s="15" t="str">
        <f>data!A367</f>
        <v>003517</v>
      </c>
      <c r="C207" s="1" t="str">
        <f>data!B367</f>
        <v>HOBIVIN</v>
      </c>
      <c r="D207" s="1" t="str">
        <f>data!C367</f>
        <v>224003H</v>
      </c>
      <c r="E207" s="1" t="str">
        <f>data!D207</f>
        <v>IGP PAYS D'OC SYRAH DME CASTELNAU</v>
      </c>
      <c r="F207" s="14">
        <f>SUMIFS(data!G:G,data!A:A,TABLEAU!B207,data!C:C,TABLEAU!D207,data!F:F,YEAR(Feuil1!$D$1))</f>
        <v>825.6</v>
      </c>
      <c r="G207" s="9">
        <f>SUMIFS(data!G:G,data!A:A,TABLEAU!B207,data!C:C,TABLEAU!D207,data!F:F,YEAR(Feuil1!$D$2))</f>
        <v>784.32</v>
      </c>
      <c r="H207" s="9">
        <f t="shared" si="12"/>
        <v>41.279999999999973</v>
      </c>
      <c r="I207" s="12">
        <f t="shared" si="13"/>
        <v>5.2631578947368383E-2</v>
      </c>
      <c r="J207" s="13">
        <f>SUMIFS(data!E:E,data!A:A,TABLEAU!B207,data!C:C,TABLEAU!D207,data!F:F,YEAR(Feuil1!$D$1))</f>
        <v>258</v>
      </c>
      <c r="K207" s="13">
        <f>SUMIFS(data!E:E,data!A:A,TABLEAU!B207,data!C:C,TABLEAU!D207,data!F:F,YEAR(Feuil1!$D$2))</f>
        <v>240</v>
      </c>
      <c r="L207" s="13">
        <f t="shared" si="14"/>
        <v>18</v>
      </c>
      <c r="M207" s="12">
        <f t="shared" si="15"/>
        <v>7.4999999999999997E-2</v>
      </c>
    </row>
    <row r="208" spans="1:13" x14ac:dyDescent="0.25">
      <c r="A208" s="17" t="str">
        <f>data!H369</f>
        <v>VINICOM</v>
      </c>
      <c r="B208" s="15" t="str">
        <f>data!A369</f>
        <v>003517</v>
      </c>
      <c r="C208" s="1" t="str">
        <f>data!B369</f>
        <v>HOBIVIN</v>
      </c>
      <c r="D208" s="1" t="str">
        <f>data!C369</f>
        <v>225001H</v>
      </c>
      <c r="E208" s="1" t="str">
        <f>data!D208</f>
        <v>IGP PAYS D'OC SYRAH DME CASTELNAU</v>
      </c>
      <c r="F208" s="14">
        <f>SUMIFS(data!G:G,data!A:A,TABLEAU!B208,data!C:C,TABLEAU!D208,data!F:F,YEAR(Feuil1!$D$1))</f>
        <v>342.24</v>
      </c>
      <c r="G208" s="9">
        <f>SUMIFS(data!G:G,data!A:A,TABLEAU!B208,data!C:C,TABLEAU!D208,data!F:F,YEAR(Feuil1!$D$2))</f>
        <v>85.56</v>
      </c>
      <c r="H208" s="9">
        <f t="shared" si="12"/>
        <v>256.68</v>
      </c>
      <c r="I208" s="12">
        <f t="shared" si="13"/>
        <v>3</v>
      </c>
      <c r="J208" s="13">
        <f>SUMIFS(data!E:E,data!A:A,TABLEAU!B208,data!C:C,TABLEAU!D208,data!F:F,YEAR(Feuil1!$D$1))</f>
        <v>54</v>
      </c>
      <c r="K208" s="13">
        <f>SUMIFS(data!E:E,data!A:A,TABLEAU!B208,data!C:C,TABLEAU!D208,data!F:F,YEAR(Feuil1!$D$2))</f>
        <v>12</v>
      </c>
      <c r="L208" s="13">
        <f t="shared" si="14"/>
        <v>42</v>
      </c>
      <c r="M208" s="12">
        <f t="shared" si="15"/>
        <v>3.5</v>
      </c>
    </row>
    <row r="209" spans="1:13" x14ac:dyDescent="0.25">
      <c r="A209" s="17" t="str">
        <f>data!H371</f>
        <v>VINICOM</v>
      </c>
      <c r="B209" s="15" t="str">
        <f>data!A371</f>
        <v>003517</v>
      </c>
      <c r="C209" s="1" t="str">
        <f>data!B371</f>
        <v>HOBIVIN</v>
      </c>
      <c r="D209" s="1" t="str">
        <f>data!C371</f>
        <v>227001H</v>
      </c>
      <c r="E209" s="1" t="str">
        <f>data!D209</f>
        <v>IGP PINOT NOIR DME CASTELNAU</v>
      </c>
      <c r="F209" s="14">
        <f>SUMIFS(data!G:G,data!A:A,TABLEAU!B209,data!C:C,TABLEAU!D209,data!F:F,YEAR(Feuil1!$D$1))</f>
        <v>590.1</v>
      </c>
      <c r="G209" s="9">
        <f>SUMIFS(data!G:G,data!A:A,TABLEAU!B209,data!C:C,TABLEAU!D209,data!F:F,YEAR(Feuil1!$D$2))</f>
        <v>1097.0999999999999</v>
      </c>
      <c r="H209" s="9">
        <f t="shared" si="12"/>
        <v>-506.99999999999989</v>
      </c>
      <c r="I209" s="12">
        <f t="shared" si="13"/>
        <v>-0.46212742685261138</v>
      </c>
      <c r="J209" s="13">
        <f>SUMIFS(data!E:E,data!A:A,TABLEAU!B209,data!C:C,TABLEAU!D209,data!F:F,YEAR(Feuil1!$D$1))</f>
        <v>186</v>
      </c>
      <c r="K209" s="13">
        <f>SUMIFS(data!E:E,data!A:A,TABLEAU!B209,data!C:C,TABLEAU!D209,data!F:F,YEAR(Feuil1!$D$2))</f>
        <v>402</v>
      </c>
      <c r="L209" s="13">
        <f t="shared" si="14"/>
        <v>-216</v>
      </c>
      <c r="M209" s="12">
        <f t="shared" si="15"/>
        <v>-0.53731343283582089</v>
      </c>
    </row>
    <row r="210" spans="1:13" x14ac:dyDescent="0.25">
      <c r="A210" s="17" t="str">
        <f>data!H373</f>
        <v>VINICOM</v>
      </c>
      <c r="B210" s="15" t="str">
        <f>data!A373</f>
        <v>003517</v>
      </c>
      <c r="C210" s="1" t="str">
        <f>data!B373</f>
        <v>HOBIVIN</v>
      </c>
      <c r="D210" s="1" t="str">
        <f>data!C373</f>
        <v>227002H</v>
      </c>
      <c r="E210" s="1" t="str">
        <f>data!D210</f>
        <v>IGP PINOT NOIR DME CASTELNAU</v>
      </c>
      <c r="F210" s="14">
        <f>SUMIFS(data!G:G,data!A:A,TABLEAU!B210,data!C:C,TABLEAU!D210,data!F:F,YEAR(Feuil1!$D$1))</f>
        <v>417.6</v>
      </c>
      <c r="G210" s="9">
        <f>SUMIFS(data!G:G,data!A:A,TABLEAU!B210,data!C:C,TABLEAU!D210,data!F:F,YEAR(Feuil1!$D$2))</f>
        <v>602.70000000000005</v>
      </c>
      <c r="H210" s="9">
        <f t="shared" si="12"/>
        <v>-185.10000000000002</v>
      </c>
      <c r="I210" s="12">
        <f t="shared" si="13"/>
        <v>-0.30711796913887507</v>
      </c>
      <c r="J210" s="13">
        <f>SUMIFS(data!E:E,data!A:A,TABLEAU!B210,data!C:C,TABLEAU!D210,data!F:F,YEAR(Feuil1!$D$1))</f>
        <v>144</v>
      </c>
      <c r="K210" s="13">
        <f>SUMIFS(data!E:E,data!A:A,TABLEAU!B210,data!C:C,TABLEAU!D210,data!F:F,YEAR(Feuil1!$D$2))</f>
        <v>234</v>
      </c>
      <c r="L210" s="13">
        <f t="shared" si="14"/>
        <v>-90</v>
      </c>
      <c r="M210" s="12">
        <f t="shared" si="15"/>
        <v>-0.38461538461538464</v>
      </c>
    </row>
    <row r="211" spans="1:13" x14ac:dyDescent="0.25">
      <c r="A211" s="17" t="str">
        <f>data!H375</f>
        <v>VINICOM</v>
      </c>
      <c r="B211" s="15" t="str">
        <f>data!A375</f>
        <v>003517</v>
      </c>
      <c r="C211" s="1" t="str">
        <f>data!B375</f>
        <v>HOBIVIN</v>
      </c>
      <c r="D211" s="1" t="str">
        <f>data!C375</f>
        <v>227003H</v>
      </c>
      <c r="E211" s="1" t="str">
        <f>data!D211</f>
        <v>IGP PAYS D'OC CHARDONNAY ( CAPSULE A VIS )</v>
      </c>
      <c r="F211" s="14">
        <f>SUMIFS(data!G:G,data!A:A,TABLEAU!B211,data!C:C,TABLEAU!D211,data!F:F,YEAR(Feuil1!$D$1))</f>
        <v>0</v>
      </c>
      <c r="G211" s="9">
        <f>SUMIFS(data!G:G,data!A:A,TABLEAU!B211,data!C:C,TABLEAU!D211,data!F:F,YEAR(Feuil1!$D$2))</f>
        <v>459</v>
      </c>
      <c r="H211" s="9">
        <f t="shared" si="12"/>
        <v>-459</v>
      </c>
      <c r="I211" s="12">
        <f t="shared" si="13"/>
        <v>-1</v>
      </c>
      <c r="J211" s="13">
        <f>SUMIFS(data!E:E,data!A:A,TABLEAU!B211,data!C:C,TABLEAU!D211,data!F:F,YEAR(Feuil1!$D$1))</f>
        <v>0</v>
      </c>
      <c r="K211" s="13">
        <f>SUMIFS(data!E:E,data!A:A,TABLEAU!B211,data!C:C,TABLEAU!D211,data!F:F,YEAR(Feuil1!$D$2))</f>
        <v>156</v>
      </c>
      <c r="L211" s="13">
        <f t="shared" si="14"/>
        <v>-156</v>
      </c>
      <c r="M211" s="12">
        <f t="shared" si="15"/>
        <v>-1</v>
      </c>
    </row>
    <row r="212" spans="1:13" x14ac:dyDescent="0.25">
      <c r="A212" s="17" t="str">
        <f>data!H376</f>
        <v>VINICOM</v>
      </c>
      <c r="B212" s="15" t="str">
        <f>data!A376</f>
        <v>003517</v>
      </c>
      <c r="C212" s="1" t="str">
        <f>data!B376</f>
        <v>HOBIVIN</v>
      </c>
      <c r="D212" s="1" t="str">
        <f>data!C376</f>
        <v>227004H</v>
      </c>
      <c r="E212" s="1" t="str">
        <f>data!D212</f>
        <v>IGP PAYS D'OC CHARDONNAY ( CAPSULE A VIS )</v>
      </c>
      <c r="F212" s="14">
        <f>SUMIFS(data!G:G,data!A:A,TABLEAU!B212,data!C:C,TABLEAU!D212,data!F:F,YEAR(Feuil1!$D$1))</f>
        <v>132.30000000000001</v>
      </c>
      <c r="G212" s="9">
        <f>SUMIFS(data!G:G,data!A:A,TABLEAU!B212,data!C:C,TABLEAU!D212,data!F:F,YEAR(Feuil1!$D$2))</f>
        <v>85.5</v>
      </c>
      <c r="H212" s="9">
        <f t="shared" si="12"/>
        <v>46.800000000000011</v>
      </c>
      <c r="I212" s="12">
        <f t="shared" si="13"/>
        <v>0.54736842105263173</v>
      </c>
      <c r="J212" s="13">
        <f>SUMIFS(data!E:E,data!A:A,TABLEAU!B212,data!C:C,TABLEAU!D212,data!F:F,YEAR(Feuil1!$D$1))</f>
        <v>42</v>
      </c>
      <c r="K212" s="13">
        <f>SUMIFS(data!E:E,data!A:A,TABLEAU!B212,data!C:C,TABLEAU!D212,data!F:F,YEAR(Feuil1!$D$2))</f>
        <v>36</v>
      </c>
      <c r="L212" s="13">
        <f t="shared" si="14"/>
        <v>6</v>
      </c>
      <c r="M212" s="12">
        <f t="shared" si="15"/>
        <v>0.16666666666666666</v>
      </c>
    </row>
    <row r="213" spans="1:13" x14ac:dyDescent="0.25">
      <c r="A213" s="17" t="str">
        <f>data!H378</f>
        <v>VINICOM</v>
      </c>
      <c r="B213" s="15" t="str">
        <f>data!A378</f>
        <v>003517</v>
      </c>
      <c r="C213" s="1" t="str">
        <f>data!B378</f>
        <v>HOBIVIN</v>
      </c>
      <c r="D213" s="1" t="str">
        <f>data!C378</f>
        <v>227005H</v>
      </c>
      <c r="E213" s="1" t="str">
        <f>data!D213</f>
        <v>IGP CINSAULT ROSE OSE LE ROSE</v>
      </c>
      <c r="F213" s="14">
        <f>SUMIFS(data!G:G,data!A:A,TABLEAU!B213,data!C:C,TABLEAU!D213,data!F:F,YEAR(Feuil1!$D$1))</f>
        <v>1405.8</v>
      </c>
      <c r="G213" s="9">
        <f>SUMIFS(data!G:G,data!A:A,TABLEAU!B213,data!C:C,TABLEAU!D213,data!F:F,YEAR(Feuil1!$D$2))</f>
        <v>1386.6</v>
      </c>
      <c r="H213" s="9">
        <f t="shared" si="12"/>
        <v>19.200000000000045</v>
      </c>
      <c r="I213" s="12">
        <f t="shared" si="13"/>
        <v>1.3846819558632661E-2</v>
      </c>
      <c r="J213" s="13">
        <f>SUMIFS(data!E:E,data!A:A,TABLEAU!B213,data!C:C,TABLEAU!D213,data!F:F,YEAR(Feuil1!$D$1))</f>
        <v>426</v>
      </c>
      <c r="K213" s="13">
        <f>SUMIFS(data!E:E,data!A:A,TABLEAU!B213,data!C:C,TABLEAU!D213,data!F:F,YEAR(Feuil1!$D$2))</f>
        <v>432</v>
      </c>
      <c r="L213" s="13">
        <f t="shared" si="14"/>
        <v>-6</v>
      </c>
      <c r="M213" s="12">
        <f t="shared" si="15"/>
        <v>-1.3888888888888888E-2</v>
      </c>
    </row>
    <row r="214" spans="1:13" x14ac:dyDescent="0.25">
      <c r="A214" s="17" t="str">
        <f>data!H380</f>
        <v>VINICOM</v>
      </c>
      <c r="B214" s="15" t="str">
        <f>data!A380</f>
        <v>003517</v>
      </c>
      <c r="C214" s="1" t="str">
        <f>data!B380</f>
        <v>HOBIVIN</v>
      </c>
      <c r="D214" s="1" t="str">
        <f>data!C380</f>
        <v>227006H</v>
      </c>
      <c r="E214" s="1" t="str">
        <f>data!D214</f>
        <v>IGP CINSAULT ROSE OSE LE ROSE</v>
      </c>
      <c r="F214" s="14">
        <f>SUMIFS(data!G:G,data!A:A,TABLEAU!B214,data!C:C,TABLEAU!D214,data!F:F,YEAR(Feuil1!$D$1))</f>
        <v>304.2</v>
      </c>
      <c r="G214" s="9">
        <f>SUMIFS(data!G:G,data!A:A,TABLEAU!B214,data!C:C,TABLEAU!D214,data!F:F,YEAR(Feuil1!$D$2))</f>
        <v>340.2</v>
      </c>
      <c r="H214" s="9">
        <f t="shared" si="12"/>
        <v>-36</v>
      </c>
      <c r="I214" s="12">
        <f t="shared" si="13"/>
        <v>-0.10582010582010583</v>
      </c>
      <c r="J214" s="13">
        <f>SUMIFS(data!E:E,data!A:A,TABLEAU!B214,data!C:C,TABLEAU!D214,data!F:F,YEAR(Feuil1!$D$1))</f>
        <v>96</v>
      </c>
      <c r="K214" s="13">
        <f>SUMIFS(data!E:E,data!A:A,TABLEAU!B214,data!C:C,TABLEAU!D214,data!F:F,YEAR(Feuil1!$D$2))</f>
        <v>114</v>
      </c>
      <c r="L214" s="13">
        <f t="shared" si="14"/>
        <v>-18</v>
      </c>
      <c r="M214" s="12">
        <f t="shared" si="15"/>
        <v>-0.15789473684210525</v>
      </c>
    </row>
    <row r="215" spans="1:13" x14ac:dyDescent="0.25">
      <c r="A215" s="17" t="str">
        <f>data!H382</f>
        <v>VINICOM</v>
      </c>
      <c r="B215" s="15" t="str">
        <f>data!A382</f>
        <v>003517</v>
      </c>
      <c r="C215" s="1" t="str">
        <f>data!B382</f>
        <v>HOBIVIN</v>
      </c>
      <c r="D215" s="1" t="str">
        <f>data!C382</f>
        <v>227007H</v>
      </c>
      <c r="E215" s="1" t="str">
        <f>data!D215</f>
        <v>IGP D'OC MERLOT CABERNET</v>
      </c>
      <c r="F215" s="14">
        <f>SUMIFS(data!G:G,data!A:A,TABLEAU!B215,data!C:C,TABLEAU!D215,data!F:F,YEAR(Feuil1!$D$1))</f>
        <v>457.8</v>
      </c>
      <c r="G215" s="9">
        <f>SUMIFS(data!G:G,data!A:A,TABLEAU!B215,data!C:C,TABLEAU!D215,data!F:F,YEAR(Feuil1!$D$2))</f>
        <v>415.8</v>
      </c>
      <c r="H215" s="9">
        <f t="shared" si="12"/>
        <v>42</v>
      </c>
      <c r="I215" s="12">
        <f t="shared" si="13"/>
        <v>0.10101010101010101</v>
      </c>
      <c r="J215" s="13">
        <f>SUMIFS(data!E:E,data!A:A,TABLEAU!B215,data!C:C,TABLEAU!D215,data!F:F,YEAR(Feuil1!$D$1))</f>
        <v>144</v>
      </c>
      <c r="K215" s="13">
        <f>SUMIFS(data!E:E,data!A:A,TABLEAU!B215,data!C:C,TABLEAU!D215,data!F:F,YEAR(Feuil1!$D$2))</f>
        <v>132</v>
      </c>
      <c r="L215" s="13">
        <f t="shared" si="14"/>
        <v>12</v>
      </c>
      <c r="M215" s="12">
        <f t="shared" si="15"/>
        <v>9.0909090909090912E-2</v>
      </c>
    </row>
    <row r="216" spans="1:13" x14ac:dyDescent="0.25">
      <c r="A216" s="17" t="str">
        <f>data!H384</f>
        <v>VINICOM</v>
      </c>
      <c r="B216" s="15" t="str">
        <f>data!A384</f>
        <v>003517</v>
      </c>
      <c r="C216" s="1" t="str">
        <f>data!B384</f>
        <v>HOBIVIN</v>
      </c>
      <c r="D216" s="1" t="str">
        <f>data!C384</f>
        <v>227010H</v>
      </c>
      <c r="E216" s="1" t="str">
        <f>data!D216</f>
        <v>IGP D'OC MERLOT CABERNET</v>
      </c>
      <c r="F216" s="14">
        <f>SUMIFS(data!G:G,data!A:A,TABLEAU!B216,data!C:C,TABLEAU!D216,data!F:F,YEAR(Feuil1!$D$1))</f>
        <v>182.4</v>
      </c>
      <c r="G216" s="9">
        <f>SUMIFS(data!G:G,data!A:A,TABLEAU!B216,data!C:C,TABLEAU!D216,data!F:F,YEAR(Feuil1!$D$2))</f>
        <v>45.6</v>
      </c>
      <c r="H216" s="9">
        <f t="shared" si="12"/>
        <v>136.80000000000001</v>
      </c>
      <c r="I216" s="12">
        <f t="shared" si="13"/>
        <v>3</v>
      </c>
      <c r="J216" s="13">
        <f>SUMIFS(data!E:E,data!A:A,TABLEAU!B216,data!C:C,TABLEAU!D216,data!F:F,YEAR(Feuil1!$D$1))</f>
        <v>48</v>
      </c>
      <c r="K216" s="13">
        <f>SUMIFS(data!E:E,data!A:A,TABLEAU!B216,data!C:C,TABLEAU!D216,data!F:F,YEAR(Feuil1!$D$2))</f>
        <v>18</v>
      </c>
      <c r="L216" s="13">
        <f t="shared" si="14"/>
        <v>30</v>
      </c>
      <c r="M216" s="12">
        <f t="shared" si="15"/>
        <v>1.6666666666666667</v>
      </c>
    </row>
    <row r="217" spans="1:13" x14ac:dyDescent="0.25">
      <c r="A217" s="17" t="str">
        <f>data!H386</f>
        <v>VINICOM</v>
      </c>
      <c r="B217" s="15" t="str">
        <f>data!A386</f>
        <v>003517</v>
      </c>
      <c r="C217" s="1" t="str">
        <f>data!B386</f>
        <v>HOBIVIN</v>
      </c>
      <c r="D217" s="1" t="str">
        <f>data!C386</f>
        <v>227011H</v>
      </c>
      <c r="E217" s="1" t="str">
        <f>data!D217</f>
        <v>IGP SAUVIGNON DME CASTELNAU</v>
      </c>
      <c r="F217" s="14">
        <f>SUMIFS(data!G:G,data!A:A,TABLEAU!B217,data!C:C,TABLEAU!D217,data!F:F,YEAR(Feuil1!$D$1))</f>
        <v>0</v>
      </c>
      <c r="G217" s="9">
        <f>SUMIFS(data!G:G,data!A:A,TABLEAU!B217,data!C:C,TABLEAU!D217,data!F:F,YEAR(Feuil1!$D$2))</f>
        <v>0</v>
      </c>
      <c r="H217" s="9">
        <f t="shared" si="12"/>
        <v>0</v>
      </c>
      <c r="I217" s="12" t="str">
        <f t="shared" si="13"/>
        <v/>
      </c>
      <c r="J217" s="13">
        <f>SUMIFS(data!E:E,data!A:A,TABLEAU!B217,data!C:C,TABLEAU!D217,data!F:F,YEAR(Feuil1!$D$1))</f>
        <v>0</v>
      </c>
      <c r="K217" s="13">
        <f>SUMIFS(data!E:E,data!A:A,TABLEAU!B217,data!C:C,TABLEAU!D217,data!F:F,YEAR(Feuil1!$D$2))</f>
        <v>6</v>
      </c>
      <c r="L217" s="13">
        <f t="shared" si="14"/>
        <v>-6</v>
      </c>
      <c r="M217" s="12">
        <f t="shared" si="15"/>
        <v>-1</v>
      </c>
    </row>
    <row r="218" spans="1:13" x14ac:dyDescent="0.25">
      <c r="A218" s="17" t="str">
        <f>data!H387</f>
        <v>VINICOM</v>
      </c>
      <c r="B218" s="15" t="str">
        <f>data!A387</f>
        <v>003517</v>
      </c>
      <c r="C218" s="1" t="str">
        <f>data!B387</f>
        <v>HOBIVIN</v>
      </c>
      <c r="D218" s="1" t="str">
        <f>data!C387</f>
        <v>228001H</v>
      </c>
      <c r="E218" s="1" t="str">
        <f>data!D218</f>
        <v>IGP SAUVIGNON DME CASTELNAU</v>
      </c>
      <c r="F218" s="14">
        <f>SUMIFS(data!G:G,data!A:A,TABLEAU!B218,data!C:C,TABLEAU!D218,data!F:F,YEAR(Feuil1!$D$1))</f>
        <v>1078.5</v>
      </c>
      <c r="G218" s="9">
        <f>SUMIFS(data!G:G,data!A:A,TABLEAU!B218,data!C:C,TABLEAU!D218,data!F:F,YEAR(Feuil1!$D$2))</f>
        <v>603.96</v>
      </c>
      <c r="H218" s="9">
        <f t="shared" si="12"/>
        <v>474.53999999999996</v>
      </c>
      <c r="I218" s="12">
        <f t="shared" si="13"/>
        <v>0.78571428571428559</v>
      </c>
      <c r="J218" s="13">
        <f>SUMIFS(data!E:E,data!A:A,TABLEAU!B218,data!C:C,TABLEAU!D218,data!F:F,YEAR(Feuil1!$D$1))</f>
        <v>162</v>
      </c>
      <c r="K218" s="13">
        <f>SUMIFS(data!E:E,data!A:A,TABLEAU!B218,data!C:C,TABLEAU!D218,data!F:F,YEAR(Feuil1!$D$2))</f>
        <v>90</v>
      </c>
      <c r="L218" s="13">
        <f t="shared" si="14"/>
        <v>72</v>
      </c>
      <c r="M218" s="12">
        <f t="shared" si="15"/>
        <v>0.8</v>
      </c>
    </row>
    <row r="219" spans="1:13" x14ac:dyDescent="0.25">
      <c r="A219" s="17" t="str">
        <f>data!H389</f>
        <v>VINICOM</v>
      </c>
      <c r="B219" s="15" t="str">
        <f>data!A389</f>
        <v>003517</v>
      </c>
      <c r="C219" s="1" t="str">
        <f>data!B389</f>
        <v>HOBIVIN</v>
      </c>
      <c r="D219" s="1" t="str">
        <f>data!C389</f>
        <v>228002H</v>
      </c>
      <c r="E219" s="1" t="str">
        <f>data!D219</f>
        <v>IGP PAYS D'OC L'EPICERIE DE CASTELNAU (bouchon)</v>
      </c>
      <c r="F219" s="14">
        <f>SUMIFS(data!G:G,data!A:A,TABLEAU!B219,data!C:C,TABLEAU!D219,data!F:F,YEAR(Feuil1!$D$1))</f>
        <v>1725.6</v>
      </c>
      <c r="G219" s="9">
        <f>SUMIFS(data!G:G,data!A:A,TABLEAU!B219,data!C:C,TABLEAU!D219,data!F:F,YEAR(Feuil1!$D$2))</f>
        <v>776.52</v>
      </c>
      <c r="H219" s="9">
        <f t="shared" si="12"/>
        <v>949.07999999999993</v>
      </c>
      <c r="I219" s="12">
        <f t="shared" si="13"/>
        <v>1.2222222222222221</v>
      </c>
      <c r="J219" s="13">
        <f>SUMIFS(data!E:E,data!A:A,TABLEAU!B219,data!C:C,TABLEAU!D219,data!F:F,YEAR(Feuil1!$D$1))</f>
        <v>252</v>
      </c>
      <c r="K219" s="13">
        <f>SUMIFS(data!E:E,data!A:A,TABLEAU!B219,data!C:C,TABLEAU!D219,data!F:F,YEAR(Feuil1!$D$2))</f>
        <v>114</v>
      </c>
      <c r="L219" s="13">
        <f t="shared" si="14"/>
        <v>138</v>
      </c>
      <c r="M219" s="12">
        <f t="shared" si="15"/>
        <v>1.2105263157894737</v>
      </c>
    </row>
    <row r="220" spans="1:13" x14ac:dyDescent="0.25">
      <c r="A220" s="17" t="str">
        <f>data!H391</f>
        <v>VINICOM</v>
      </c>
      <c r="B220" s="15" t="str">
        <f>data!A391</f>
        <v>003517</v>
      </c>
      <c r="C220" s="1" t="str">
        <f>data!B391</f>
        <v>HOBIVIN</v>
      </c>
      <c r="D220" s="1" t="str">
        <f>data!C391</f>
        <v>230001H</v>
      </c>
      <c r="E220" s="1" t="str">
        <f>data!D220</f>
        <v>IGP PAYS D'OC L'EPICERIE DE CASTELNAU (bouchon)</v>
      </c>
      <c r="F220" s="14">
        <f>SUMIFS(data!G:G,data!A:A,TABLEAU!B220,data!C:C,TABLEAU!D220,data!F:F,YEAR(Feuil1!$D$1))</f>
        <v>473.28</v>
      </c>
      <c r="G220" s="9">
        <f>SUMIFS(data!G:G,data!A:A,TABLEAU!B220,data!C:C,TABLEAU!D220,data!F:F,YEAR(Feuil1!$D$2))</f>
        <v>118.32</v>
      </c>
      <c r="H220" s="9">
        <f t="shared" si="12"/>
        <v>354.96</v>
      </c>
      <c r="I220" s="12">
        <f t="shared" si="13"/>
        <v>3</v>
      </c>
      <c r="J220" s="13">
        <f>SUMIFS(data!E:E,data!A:A,TABLEAU!B220,data!C:C,TABLEAU!D220,data!F:F,YEAR(Feuil1!$D$1))</f>
        <v>54</v>
      </c>
      <c r="K220" s="13">
        <f>SUMIFS(data!E:E,data!A:A,TABLEAU!B220,data!C:C,TABLEAU!D220,data!F:F,YEAR(Feuil1!$D$2))</f>
        <v>66</v>
      </c>
      <c r="L220" s="13">
        <f t="shared" si="14"/>
        <v>-12</v>
      </c>
      <c r="M220" s="12">
        <f t="shared" si="15"/>
        <v>-0.18181818181818182</v>
      </c>
    </row>
    <row r="221" spans="1:13" x14ac:dyDescent="0.25">
      <c r="A221" s="17" t="str">
        <f>data!H393</f>
        <v>VINICOM</v>
      </c>
      <c r="B221" s="15" t="str">
        <f>data!A393</f>
        <v>003517</v>
      </c>
      <c r="C221" s="1" t="str">
        <f>data!B393</f>
        <v>HOBIVIN</v>
      </c>
      <c r="D221" s="1" t="str">
        <f>data!C393</f>
        <v>232001H</v>
      </c>
      <c r="E221" s="1" t="str">
        <f>data!D221</f>
        <v>IGP PAYS D'OC L'EPICERIE DE CASTELNAU (bouchon)</v>
      </c>
      <c r="F221" s="14">
        <f>SUMIFS(data!G:G,data!A:A,TABLEAU!B221,data!C:C,TABLEAU!D221,data!F:F,YEAR(Feuil1!$D$1))</f>
        <v>1088.82</v>
      </c>
      <c r="G221" s="9">
        <f>SUMIFS(data!G:G,data!A:A,TABLEAU!B221,data!C:C,TABLEAU!D221,data!F:F,YEAR(Feuil1!$D$2))</f>
        <v>843.7</v>
      </c>
      <c r="H221" s="9">
        <f t="shared" si="12"/>
        <v>245.11999999999989</v>
      </c>
      <c r="I221" s="12">
        <f t="shared" si="13"/>
        <v>0.29052980917387683</v>
      </c>
      <c r="J221" s="13">
        <f>SUMIFS(data!E:E,data!A:A,TABLEAU!B221,data!C:C,TABLEAU!D221,data!F:F,YEAR(Feuil1!$D$1))</f>
        <v>318</v>
      </c>
      <c r="K221" s="13">
        <f>SUMIFS(data!E:E,data!A:A,TABLEAU!B221,data!C:C,TABLEAU!D221,data!F:F,YEAR(Feuil1!$D$2))</f>
        <v>336</v>
      </c>
      <c r="L221" s="13">
        <f t="shared" si="14"/>
        <v>-18</v>
      </c>
      <c r="M221" s="12">
        <f t="shared" si="15"/>
        <v>-5.3571428571428568E-2</v>
      </c>
    </row>
    <row r="222" spans="1:13" x14ac:dyDescent="0.25">
      <c r="A222" s="17" t="str">
        <f>data!H395</f>
        <v>VINICOM</v>
      </c>
      <c r="B222" s="15" t="str">
        <f>data!A395</f>
        <v>003517</v>
      </c>
      <c r="C222" s="1" t="str">
        <f>data!B395</f>
        <v>HOBIVIN</v>
      </c>
      <c r="D222" s="1" t="str">
        <f>data!C395</f>
        <v>233001H</v>
      </c>
      <c r="E222" s="1" t="str">
        <f>data!D222</f>
        <v>IGP PAYS D'OC L'EPICERIE DE CASTELNAU (bouchon)</v>
      </c>
      <c r="F222" s="14">
        <f>SUMIFS(data!G:G,data!A:A,TABLEAU!B222,data!C:C,TABLEAU!D222,data!F:F,YEAR(Feuil1!$D$1))</f>
        <v>3959.7</v>
      </c>
      <c r="G222" s="9">
        <f>SUMIFS(data!G:G,data!A:A,TABLEAU!B222,data!C:C,TABLEAU!D222,data!F:F,YEAR(Feuil1!$D$2))</f>
        <v>0</v>
      </c>
      <c r="H222" s="9">
        <f t="shared" si="12"/>
        <v>3959.7</v>
      </c>
      <c r="I222" s="12" t="str">
        <f t="shared" si="13"/>
        <v/>
      </c>
      <c r="J222" s="13">
        <f>SUMIFS(data!E:E,data!A:A,TABLEAU!B222,data!C:C,TABLEAU!D222,data!F:F,YEAR(Feuil1!$D$1))</f>
        <v>1212</v>
      </c>
      <c r="K222" s="13">
        <f>SUMIFS(data!E:E,data!A:A,TABLEAU!B222,data!C:C,TABLEAU!D222,data!F:F,YEAR(Feuil1!$D$2))</f>
        <v>0</v>
      </c>
      <c r="L222" s="13">
        <f t="shared" si="14"/>
        <v>1212</v>
      </c>
      <c r="M222" s="12" t="str">
        <f t="shared" si="15"/>
        <v/>
      </c>
    </row>
    <row r="223" spans="1:13" x14ac:dyDescent="0.25">
      <c r="A223" s="17" t="str">
        <f>data!H396</f>
        <v>VINICOM</v>
      </c>
      <c r="B223" s="15" t="str">
        <f>data!A396</f>
        <v>003517</v>
      </c>
      <c r="C223" s="1" t="str">
        <f>data!B396</f>
        <v>HOBIVIN</v>
      </c>
      <c r="D223" s="1" t="str">
        <f>data!C396</f>
        <v>234001H</v>
      </c>
      <c r="E223" s="1" t="str">
        <f>data!D223</f>
        <v>IGP PAYS D'OC L'EPICERIE DE CASTELNAU (bouchon)</v>
      </c>
      <c r="F223" s="14">
        <f>SUMIFS(data!G:G,data!A:A,TABLEAU!B223,data!C:C,TABLEAU!D223,data!F:F,YEAR(Feuil1!$D$1))</f>
        <v>5552.7</v>
      </c>
      <c r="G223" s="9">
        <f>SUMIFS(data!G:G,data!A:A,TABLEAU!B223,data!C:C,TABLEAU!D223,data!F:F,YEAR(Feuil1!$D$2))</f>
        <v>0</v>
      </c>
      <c r="H223" s="9">
        <f t="shared" si="12"/>
        <v>5552.7</v>
      </c>
      <c r="I223" s="12" t="str">
        <f t="shared" si="13"/>
        <v/>
      </c>
      <c r="J223" s="13">
        <f>SUMIFS(data!E:E,data!A:A,TABLEAU!B223,data!C:C,TABLEAU!D223,data!F:F,YEAR(Feuil1!$D$1))</f>
        <v>1392</v>
      </c>
      <c r="K223" s="13">
        <f>SUMIFS(data!E:E,data!A:A,TABLEAU!B223,data!C:C,TABLEAU!D223,data!F:F,YEAR(Feuil1!$D$2))</f>
        <v>0</v>
      </c>
      <c r="L223" s="13">
        <f t="shared" si="14"/>
        <v>1392</v>
      </c>
      <c r="M223" s="12" t="str">
        <f t="shared" si="15"/>
        <v/>
      </c>
    </row>
    <row r="224" spans="1:13" x14ac:dyDescent="0.25">
      <c r="A224" s="17" t="str">
        <f>data!H397</f>
        <v>VINICOM</v>
      </c>
      <c r="B224" s="15" t="str">
        <f>data!A397</f>
        <v>003517</v>
      </c>
      <c r="C224" s="1" t="str">
        <f>data!B397</f>
        <v>HOBIVIN</v>
      </c>
      <c r="D224" s="1" t="str">
        <f>data!C397</f>
        <v>235001H</v>
      </c>
      <c r="E224" s="1" t="str">
        <f>data!D224</f>
        <v>IGP PAYS D'OC L'EPICERIE DE CASTELNAU (bouchon)</v>
      </c>
      <c r="F224" s="14">
        <f>SUMIFS(data!G:G,data!A:A,TABLEAU!B224,data!C:C,TABLEAU!D224,data!F:F,YEAR(Feuil1!$D$1))</f>
        <v>16463.900000000001</v>
      </c>
      <c r="G224" s="9">
        <f>SUMIFS(data!G:G,data!A:A,TABLEAU!B224,data!C:C,TABLEAU!D224,data!F:F,YEAR(Feuil1!$D$2))</f>
        <v>0</v>
      </c>
      <c r="H224" s="9">
        <f t="shared" si="12"/>
        <v>16463.900000000001</v>
      </c>
      <c r="I224" s="12" t="str">
        <f t="shared" si="13"/>
        <v/>
      </c>
      <c r="J224" s="13">
        <f>SUMIFS(data!E:E,data!A:A,TABLEAU!B224,data!C:C,TABLEAU!D224,data!F:F,YEAR(Feuil1!$D$1))</f>
        <v>5670</v>
      </c>
      <c r="K224" s="13">
        <f>SUMIFS(data!E:E,data!A:A,TABLEAU!B224,data!C:C,TABLEAU!D224,data!F:F,YEAR(Feuil1!$D$2))</f>
        <v>0</v>
      </c>
      <c r="L224" s="13">
        <f t="shared" si="14"/>
        <v>5670</v>
      </c>
      <c r="M224" s="12" t="str">
        <f t="shared" si="15"/>
        <v/>
      </c>
    </row>
    <row r="225" spans="1:13" x14ac:dyDescent="0.25">
      <c r="A225" s="17" t="str">
        <f>data!H398</f>
        <v>VINICOM</v>
      </c>
      <c r="B225" s="15" t="str">
        <f>data!A398</f>
        <v>003517</v>
      </c>
      <c r="C225" s="1" t="str">
        <f>data!B398</f>
        <v>HOBIVIN</v>
      </c>
      <c r="D225" s="1" t="str">
        <f>data!C398</f>
        <v>235002H</v>
      </c>
      <c r="E225" s="1" t="str">
        <f>data!D225</f>
        <v>AOP MONTPEYROUX CTX DU LANGUEDOC  VELOURS DME DE L</v>
      </c>
      <c r="F225" s="14">
        <f>SUMIFS(data!G:G,data!A:A,TABLEAU!B225,data!C:C,TABLEAU!D225,data!F:F,YEAR(Feuil1!$D$1))</f>
        <v>1674.54</v>
      </c>
      <c r="G225" s="9">
        <f>SUMIFS(data!G:G,data!A:A,TABLEAU!B225,data!C:C,TABLEAU!D225,data!F:F,YEAR(Feuil1!$D$2))</f>
        <v>0</v>
      </c>
      <c r="H225" s="9">
        <f t="shared" si="12"/>
        <v>1674.54</v>
      </c>
      <c r="I225" s="12" t="str">
        <f t="shared" si="13"/>
        <v/>
      </c>
      <c r="J225" s="13">
        <f>SUMIFS(data!E:E,data!A:A,TABLEAU!B225,data!C:C,TABLEAU!D225,data!F:F,YEAR(Feuil1!$D$1))</f>
        <v>420</v>
      </c>
      <c r="K225" s="13">
        <f>SUMIFS(data!E:E,data!A:A,TABLEAU!B225,data!C:C,TABLEAU!D225,data!F:F,YEAR(Feuil1!$D$2))</f>
        <v>0</v>
      </c>
      <c r="L225" s="13">
        <f t="shared" si="14"/>
        <v>420</v>
      </c>
      <c r="M225" s="12" t="str">
        <f t="shared" si="15"/>
        <v/>
      </c>
    </row>
    <row r="226" spans="1:13" x14ac:dyDescent="0.25">
      <c r="A226" s="17" t="str">
        <f>data!H399</f>
        <v>VINICOM</v>
      </c>
      <c r="B226" s="15" t="str">
        <f>data!A399</f>
        <v>003517</v>
      </c>
      <c r="C226" s="1" t="str">
        <f>data!B399</f>
        <v>HOBIVIN</v>
      </c>
      <c r="D226" s="1" t="str">
        <f>data!C399</f>
        <v>235003H</v>
      </c>
      <c r="E226" s="1" t="str">
        <f>data!D226</f>
        <v>AOP COTEAUX DU LANGUEDOC LE SOURIRE DE LISE DME L'</v>
      </c>
      <c r="F226" s="14">
        <f>SUMIFS(data!G:G,data!A:A,TABLEAU!B226,data!C:C,TABLEAU!D226,data!F:F,YEAR(Feuil1!$D$1))</f>
        <v>265.02</v>
      </c>
      <c r="G226" s="9">
        <f>SUMIFS(data!G:G,data!A:A,TABLEAU!B226,data!C:C,TABLEAU!D226,data!F:F,YEAR(Feuil1!$D$2))</f>
        <v>0</v>
      </c>
      <c r="H226" s="9">
        <f t="shared" si="12"/>
        <v>265.02</v>
      </c>
      <c r="I226" s="12" t="str">
        <f t="shared" si="13"/>
        <v/>
      </c>
      <c r="J226" s="13">
        <f>SUMIFS(data!E:E,data!A:A,TABLEAU!B226,data!C:C,TABLEAU!D226,data!F:F,YEAR(Feuil1!$D$1))</f>
        <v>54</v>
      </c>
      <c r="K226" s="13">
        <f>SUMIFS(data!E:E,data!A:A,TABLEAU!B226,data!C:C,TABLEAU!D226,data!F:F,YEAR(Feuil1!$D$2))</f>
        <v>0</v>
      </c>
      <c r="L226" s="13">
        <f t="shared" si="14"/>
        <v>54</v>
      </c>
      <c r="M226" s="12" t="str">
        <f t="shared" si="15"/>
        <v/>
      </c>
    </row>
    <row r="227" spans="1:13" x14ac:dyDescent="0.25">
      <c r="A227" s="17" t="str">
        <f>data!H400</f>
        <v>VINICOM</v>
      </c>
      <c r="B227" s="15" t="str">
        <f>data!A400</f>
        <v>003517</v>
      </c>
      <c r="C227" s="1" t="str">
        <f>data!B400</f>
        <v>HOBIVIN</v>
      </c>
      <c r="D227" s="1" t="str">
        <f>data!C400</f>
        <v>240001H</v>
      </c>
      <c r="E227" s="1" t="str">
        <f>data!D227</f>
        <v>AC MEDOC B DE LA BRANNE</v>
      </c>
      <c r="F227" s="14">
        <f>SUMIFS(data!G:G,data!A:A,TABLEAU!B227,data!C:C,TABLEAU!D227,data!F:F,YEAR(Feuil1!$D$1))</f>
        <v>4321.8</v>
      </c>
      <c r="G227" s="9">
        <f>SUMIFS(data!G:G,data!A:A,TABLEAU!B227,data!C:C,TABLEAU!D227,data!F:F,YEAR(Feuil1!$D$2))</f>
        <v>0</v>
      </c>
      <c r="H227" s="9">
        <f t="shared" si="12"/>
        <v>4321.8</v>
      </c>
      <c r="I227" s="12" t="str">
        <f t="shared" si="13"/>
        <v/>
      </c>
      <c r="J227" s="13">
        <f>SUMIFS(data!E:E,data!A:A,TABLEAU!B227,data!C:C,TABLEAU!D227,data!F:F,YEAR(Feuil1!$D$1))</f>
        <v>1506</v>
      </c>
      <c r="K227" s="13">
        <f>SUMIFS(data!E:E,data!A:A,TABLEAU!B227,data!C:C,TABLEAU!D227,data!F:F,YEAR(Feuil1!$D$2))</f>
        <v>0</v>
      </c>
      <c r="L227" s="13">
        <f t="shared" si="14"/>
        <v>1506</v>
      </c>
      <c r="M227" s="12" t="str">
        <f t="shared" si="15"/>
        <v/>
      </c>
    </row>
    <row r="228" spans="1:13" x14ac:dyDescent="0.25">
      <c r="A228" s="17" t="str">
        <f>data!H401</f>
        <v>VINICOM</v>
      </c>
      <c r="B228" s="15" t="str">
        <f>data!A401</f>
        <v>003517</v>
      </c>
      <c r="C228" s="1" t="str">
        <f>data!B401</f>
        <v>HOBIVIN</v>
      </c>
      <c r="D228" s="1" t="str">
        <f>data!C401</f>
        <v>240002H</v>
      </c>
      <c r="E228" s="1" t="str">
        <f>data!D228</f>
        <v>AOP MEDOC CHATEAU DE LA BRANNE</v>
      </c>
      <c r="F228" s="14">
        <f>SUMIFS(data!G:G,data!A:A,TABLEAU!B228,data!C:C,TABLEAU!D228,data!F:F,YEAR(Feuil1!$D$1))</f>
        <v>4127.76</v>
      </c>
      <c r="G228" s="9">
        <f>SUMIFS(data!G:G,data!A:A,TABLEAU!B228,data!C:C,TABLEAU!D228,data!F:F,YEAR(Feuil1!$D$2))</f>
        <v>0</v>
      </c>
      <c r="H228" s="9">
        <f t="shared" si="12"/>
        <v>4127.76</v>
      </c>
      <c r="I228" s="12" t="str">
        <f t="shared" si="13"/>
        <v/>
      </c>
      <c r="J228" s="13">
        <f>SUMIFS(data!E:E,data!A:A,TABLEAU!B228,data!C:C,TABLEAU!D228,data!F:F,YEAR(Feuil1!$D$1))</f>
        <v>1440</v>
      </c>
      <c r="K228" s="13">
        <f>SUMIFS(data!E:E,data!A:A,TABLEAU!B228,data!C:C,TABLEAU!D228,data!F:F,YEAR(Feuil1!$D$2))</f>
        <v>0</v>
      </c>
      <c r="L228" s="13">
        <f t="shared" si="14"/>
        <v>1440</v>
      </c>
      <c r="M228" s="12" t="str">
        <f t="shared" si="15"/>
        <v/>
      </c>
    </row>
    <row r="229" spans="1:13" x14ac:dyDescent="0.25">
      <c r="A229" s="17" t="str">
        <f>data!H402</f>
        <v>VINICOM</v>
      </c>
      <c r="B229" s="15" t="str">
        <f>data!A402</f>
        <v>003517</v>
      </c>
      <c r="C229" s="1" t="str">
        <f>data!B402</f>
        <v>HOBIVIN</v>
      </c>
      <c r="D229" s="1" t="str">
        <f>data!C402</f>
        <v>240003H</v>
      </c>
      <c r="E229" s="1" t="str">
        <f>data!D229</f>
        <v>AOP MEDOC CHATEAU DE LA BRANNE</v>
      </c>
      <c r="F229" s="14">
        <f>SUMIFS(data!G:G,data!A:A,TABLEAU!B229,data!C:C,TABLEAU!D229,data!F:F,YEAR(Feuil1!$D$1))</f>
        <v>2083.5</v>
      </c>
      <c r="G229" s="9">
        <f>SUMIFS(data!G:G,data!A:A,TABLEAU!B229,data!C:C,TABLEAU!D229,data!F:F,YEAR(Feuil1!$D$2))</f>
        <v>0</v>
      </c>
      <c r="H229" s="9">
        <f t="shared" si="12"/>
        <v>2083.5</v>
      </c>
      <c r="I229" s="12" t="str">
        <f t="shared" si="13"/>
        <v/>
      </c>
      <c r="J229" s="13">
        <f>SUMIFS(data!E:E,data!A:A,TABLEAU!B229,data!C:C,TABLEAU!D229,data!F:F,YEAR(Feuil1!$D$1))</f>
        <v>462</v>
      </c>
      <c r="K229" s="13">
        <f>SUMIFS(data!E:E,data!A:A,TABLEAU!B229,data!C:C,TABLEAU!D229,data!F:F,YEAR(Feuil1!$D$2))</f>
        <v>0</v>
      </c>
      <c r="L229" s="13">
        <f t="shared" si="14"/>
        <v>462</v>
      </c>
      <c r="M229" s="12" t="str">
        <f t="shared" si="15"/>
        <v/>
      </c>
    </row>
    <row r="230" spans="1:13" x14ac:dyDescent="0.25">
      <c r="A230" s="17" t="str">
        <f>data!H403</f>
        <v>VINICOM</v>
      </c>
      <c r="B230" s="15" t="str">
        <f>data!A403</f>
        <v>003517</v>
      </c>
      <c r="C230" s="1" t="str">
        <f>data!B403</f>
        <v>HOBIVIN</v>
      </c>
      <c r="D230" s="1" t="str">
        <f>data!C403</f>
        <v>241001H</v>
      </c>
      <c r="E230" s="1" t="str">
        <f>data!D230</f>
        <v>AC PAUILLAC CHATEAU DE BELLEGRAVE</v>
      </c>
      <c r="F230" s="14">
        <f>SUMIFS(data!G:G,data!A:A,TABLEAU!B230,data!C:C,TABLEAU!D230,data!F:F,YEAR(Feuil1!$D$1))</f>
        <v>1115.0999999999999</v>
      </c>
      <c r="G230" s="9">
        <f>SUMIFS(data!G:G,data!A:A,TABLEAU!B230,data!C:C,TABLEAU!D230,data!F:F,YEAR(Feuil1!$D$2))</f>
        <v>0</v>
      </c>
      <c r="H230" s="9">
        <f t="shared" si="12"/>
        <v>1115.0999999999999</v>
      </c>
      <c r="I230" s="12" t="str">
        <f t="shared" si="13"/>
        <v/>
      </c>
      <c r="J230" s="13">
        <f>SUMIFS(data!E:E,data!A:A,TABLEAU!B230,data!C:C,TABLEAU!D230,data!F:F,YEAR(Feuil1!$D$1))</f>
        <v>408</v>
      </c>
      <c r="K230" s="13">
        <f>SUMIFS(data!E:E,data!A:A,TABLEAU!B230,data!C:C,TABLEAU!D230,data!F:F,YEAR(Feuil1!$D$2))</f>
        <v>0</v>
      </c>
      <c r="L230" s="13">
        <f t="shared" si="14"/>
        <v>408</v>
      </c>
      <c r="M230" s="12" t="str">
        <f t="shared" si="15"/>
        <v/>
      </c>
    </row>
    <row r="231" spans="1:13" x14ac:dyDescent="0.25">
      <c r="A231" s="17" t="str">
        <f>data!H404</f>
        <v>VINICOM</v>
      </c>
      <c r="B231" s="15" t="str">
        <f>data!A404</f>
        <v>003517</v>
      </c>
      <c r="C231" s="1" t="str">
        <f>data!B404</f>
        <v>HOBIVIN</v>
      </c>
      <c r="D231" s="1" t="str">
        <f>data!C404</f>
        <v>241002H</v>
      </c>
      <c r="E231" s="1" t="str">
        <f>data!D231</f>
        <v>AC PAUILLAC CHATEAU DE BELLEGRAVE</v>
      </c>
      <c r="F231" s="14">
        <f>SUMIFS(data!G:G,data!A:A,TABLEAU!B231,data!C:C,TABLEAU!D231,data!F:F,YEAR(Feuil1!$D$1))</f>
        <v>460.2</v>
      </c>
      <c r="G231" s="9">
        <f>SUMIFS(data!G:G,data!A:A,TABLEAU!B231,data!C:C,TABLEAU!D231,data!F:F,YEAR(Feuil1!$D$2))</f>
        <v>0</v>
      </c>
      <c r="H231" s="9">
        <f t="shared" si="12"/>
        <v>460.2</v>
      </c>
      <c r="I231" s="12" t="str">
        <f t="shared" si="13"/>
        <v/>
      </c>
      <c r="J231" s="13">
        <f>SUMIFS(data!E:E,data!A:A,TABLEAU!B231,data!C:C,TABLEAU!D231,data!F:F,YEAR(Feuil1!$D$1))</f>
        <v>186</v>
      </c>
      <c r="K231" s="13">
        <f>SUMIFS(data!E:E,data!A:A,TABLEAU!B231,data!C:C,TABLEAU!D231,data!F:F,YEAR(Feuil1!$D$2))</f>
        <v>0</v>
      </c>
      <c r="L231" s="13">
        <f t="shared" si="14"/>
        <v>186</v>
      </c>
      <c r="M231" s="12" t="str">
        <f t="shared" si="15"/>
        <v/>
      </c>
    </row>
    <row r="232" spans="1:13" x14ac:dyDescent="0.25">
      <c r="A232" s="17" t="str">
        <f>data!H405</f>
        <v>VINICOM</v>
      </c>
      <c r="B232" s="15" t="str">
        <f>data!A405</f>
        <v>003517</v>
      </c>
      <c r="C232" s="1" t="str">
        <f>data!B405</f>
        <v>HOBIVIN</v>
      </c>
      <c r="D232" s="1" t="str">
        <f>data!C405</f>
        <v>241003H</v>
      </c>
      <c r="E232" s="1" t="str">
        <f>data!D232</f>
        <v>AC ST JULIEN  CHATEAU DU GLANA</v>
      </c>
      <c r="F232" s="14">
        <f>SUMIFS(data!G:G,data!A:A,TABLEAU!B232,data!C:C,TABLEAU!D232,data!F:F,YEAR(Feuil1!$D$1))</f>
        <v>1628.4</v>
      </c>
      <c r="G232" s="9">
        <f>SUMIFS(data!G:G,data!A:A,TABLEAU!B232,data!C:C,TABLEAU!D232,data!F:F,YEAR(Feuil1!$D$2))</f>
        <v>0</v>
      </c>
      <c r="H232" s="9">
        <f t="shared" si="12"/>
        <v>1628.4</v>
      </c>
      <c r="I232" s="12" t="str">
        <f t="shared" si="13"/>
        <v/>
      </c>
      <c r="J232" s="13">
        <f>SUMIFS(data!E:E,data!A:A,TABLEAU!B232,data!C:C,TABLEAU!D232,data!F:F,YEAR(Feuil1!$D$1))</f>
        <v>594</v>
      </c>
      <c r="K232" s="13">
        <f>SUMIFS(data!E:E,data!A:A,TABLEAU!B232,data!C:C,TABLEAU!D232,data!F:F,YEAR(Feuil1!$D$2))</f>
        <v>0</v>
      </c>
      <c r="L232" s="13">
        <f t="shared" si="14"/>
        <v>594</v>
      </c>
      <c r="M232" s="12" t="str">
        <f t="shared" si="15"/>
        <v/>
      </c>
    </row>
    <row r="233" spans="1:13" x14ac:dyDescent="0.25">
      <c r="A233" s="17" t="str">
        <f>data!H406</f>
        <v>VINICOM</v>
      </c>
      <c r="B233" s="15" t="str">
        <f>data!A406</f>
        <v>003517</v>
      </c>
      <c r="C233" s="1" t="str">
        <f>data!B406</f>
        <v>HOBIVIN</v>
      </c>
      <c r="D233" s="1" t="str">
        <f>data!C406</f>
        <v>241004H</v>
      </c>
      <c r="E233" s="1" t="str">
        <f>data!D233</f>
        <v>AC ST JULIEN  CHATEAU DU GLANA</v>
      </c>
      <c r="F233" s="14">
        <f>SUMIFS(data!G:G,data!A:A,TABLEAU!B233,data!C:C,TABLEAU!D233,data!F:F,YEAR(Feuil1!$D$1))</f>
        <v>230.1</v>
      </c>
      <c r="G233" s="9">
        <f>SUMIFS(data!G:G,data!A:A,TABLEAU!B233,data!C:C,TABLEAU!D233,data!F:F,YEAR(Feuil1!$D$2))</f>
        <v>0</v>
      </c>
      <c r="H233" s="9">
        <f t="shared" si="12"/>
        <v>230.1</v>
      </c>
      <c r="I233" s="12" t="str">
        <f t="shared" si="13"/>
        <v/>
      </c>
      <c r="J233" s="13">
        <f>SUMIFS(data!E:E,data!A:A,TABLEAU!B233,data!C:C,TABLEAU!D233,data!F:F,YEAR(Feuil1!$D$1))</f>
        <v>90</v>
      </c>
      <c r="K233" s="13">
        <f>SUMIFS(data!E:E,data!A:A,TABLEAU!B233,data!C:C,TABLEAU!D233,data!F:F,YEAR(Feuil1!$D$2))</f>
        <v>0</v>
      </c>
      <c r="L233" s="13">
        <f t="shared" si="14"/>
        <v>90</v>
      </c>
      <c r="M233" s="12" t="str">
        <f t="shared" si="15"/>
        <v/>
      </c>
    </row>
    <row r="234" spans="1:13" x14ac:dyDescent="0.25">
      <c r="A234" s="17" t="str">
        <f>data!H407</f>
        <v>VINICOM</v>
      </c>
      <c r="B234" s="15" t="str">
        <f>data!A407</f>
        <v>003517</v>
      </c>
      <c r="C234" s="1" t="str">
        <f>data!B407</f>
        <v>HOBIVIN</v>
      </c>
      <c r="D234" s="1" t="str">
        <f>data!C407</f>
        <v>241005H</v>
      </c>
      <c r="E234" s="1" t="str">
        <f>data!D234</f>
        <v>AC ST ESTEPHE CH SEGUR DE CABANAC</v>
      </c>
      <c r="F234" s="14">
        <f>SUMIFS(data!G:G,data!A:A,TABLEAU!B234,data!C:C,TABLEAU!D234,data!F:F,YEAR(Feuil1!$D$1))</f>
        <v>1805.4</v>
      </c>
      <c r="G234" s="9">
        <f>SUMIFS(data!G:G,data!A:A,TABLEAU!B234,data!C:C,TABLEAU!D234,data!F:F,YEAR(Feuil1!$D$2))</f>
        <v>0</v>
      </c>
      <c r="H234" s="9">
        <f t="shared" si="12"/>
        <v>1805.4</v>
      </c>
      <c r="I234" s="12" t="str">
        <f t="shared" si="13"/>
        <v/>
      </c>
      <c r="J234" s="13">
        <f>SUMIFS(data!E:E,data!A:A,TABLEAU!B234,data!C:C,TABLEAU!D234,data!F:F,YEAR(Feuil1!$D$1))</f>
        <v>642</v>
      </c>
      <c r="K234" s="13">
        <f>SUMIFS(data!E:E,data!A:A,TABLEAU!B234,data!C:C,TABLEAU!D234,data!F:F,YEAR(Feuil1!$D$2))</f>
        <v>0</v>
      </c>
      <c r="L234" s="13">
        <f t="shared" si="14"/>
        <v>642</v>
      </c>
      <c r="M234" s="12" t="str">
        <f t="shared" si="15"/>
        <v/>
      </c>
    </row>
    <row r="235" spans="1:13" x14ac:dyDescent="0.25">
      <c r="A235" s="17" t="str">
        <f>data!H408</f>
        <v>VINICOM</v>
      </c>
      <c r="B235" s="15" t="str">
        <f>data!A408</f>
        <v>003517</v>
      </c>
      <c r="C235" s="1" t="str">
        <f>data!B408</f>
        <v>HOBIVIN</v>
      </c>
      <c r="D235" s="1" t="str">
        <f>data!C408</f>
        <v>241006H</v>
      </c>
      <c r="E235" s="1" t="str">
        <f>data!D235</f>
        <v>AC ST ESTEPHE CH SEGUR DE CABANAC</v>
      </c>
      <c r="F235" s="14">
        <f>SUMIFS(data!G:G,data!A:A,TABLEAU!B235,data!C:C,TABLEAU!D235,data!F:F,YEAR(Feuil1!$D$1))</f>
        <v>633.6</v>
      </c>
      <c r="G235" s="9">
        <f>SUMIFS(data!G:G,data!A:A,TABLEAU!B235,data!C:C,TABLEAU!D235,data!F:F,YEAR(Feuil1!$D$2))</f>
        <v>0</v>
      </c>
      <c r="H235" s="9">
        <f t="shared" si="12"/>
        <v>633.6</v>
      </c>
      <c r="I235" s="12" t="str">
        <f t="shared" si="13"/>
        <v/>
      </c>
      <c r="J235" s="13">
        <f>SUMIFS(data!E:E,data!A:A,TABLEAU!B235,data!C:C,TABLEAU!D235,data!F:F,YEAR(Feuil1!$D$1))</f>
        <v>222</v>
      </c>
      <c r="K235" s="13">
        <f>SUMIFS(data!E:E,data!A:A,TABLEAU!B235,data!C:C,TABLEAU!D235,data!F:F,YEAR(Feuil1!$D$2))</f>
        <v>0</v>
      </c>
      <c r="L235" s="13">
        <f t="shared" si="14"/>
        <v>222</v>
      </c>
      <c r="M235" s="12" t="str">
        <f t="shared" si="15"/>
        <v/>
      </c>
    </row>
    <row r="236" spans="1:13" x14ac:dyDescent="0.25">
      <c r="A236" s="17" t="str">
        <f>data!H409</f>
        <v>VINICOM</v>
      </c>
      <c r="B236" s="15" t="str">
        <f>data!A409</f>
        <v>003517</v>
      </c>
      <c r="C236" s="1" t="str">
        <f>data!B409</f>
        <v>HOBIVIN</v>
      </c>
      <c r="D236" s="1" t="str">
        <f>data!C409</f>
        <v>242001H</v>
      </c>
      <c r="E236" s="1" t="str">
        <f>data!D236</f>
        <v>AC ST JULIEN CRU BOURGEOIS CHATEAU MOULIN DE LA RO</v>
      </c>
      <c r="F236" s="14">
        <f>SUMIFS(data!G:G,data!A:A,TABLEAU!B236,data!C:C,TABLEAU!D236,data!F:F,YEAR(Feuil1!$D$1))</f>
        <v>183.96</v>
      </c>
      <c r="G236" s="9">
        <f>SUMIFS(data!G:G,data!A:A,TABLEAU!B236,data!C:C,TABLEAU!D236,data!F:F,YEAR(Feuil1!$D$2))</f>
        <v>0</v>
      </c>
      <c r="H236" s="9">
        <f t="shared" si="12"/>
        <v>183.96</v>
      </c>
      <c r="I236" s="12" t="str">
        <f t="shared" si="13"/>
        <v/>
      </c>
      <c r="J236" s="13">
        <f>SUMIFS(data!E:E,data!A:A,TABLEAU!B236,data!C:C,TABLEAU!D236,data!F:F,YEAR(Feuil1!$D$1))</f>
        <v>72</v>
      </c>
      <c r="K236" s="13">
        <f>SUMIFS(data!E:E,data!A:A,TABLEAU!B236,data!C:C,TABLEAU!D236,data!F:F,YEAR(Feuil1!$D$2))</f>
        <v>0</v>
      </c>
      <c r="L236" s="13">
        <f t="shared" si="14"/>
        <v>72</v>
      </c>
      <c r="M236" s="12" t="str">
        <f t="shared" si="15"/>
        <v/>
      </c>
    </row>
    <row r="237" spans="1:13" x14ac:dyDescent="0.25">
      <c r="A237" s="17" t="str">
        <f>data!H410</f>
        <v>VINICOM</v>
      </c>
      <c r="B237" s="15" t="str">
        <f>data!A410</f>
        <v>003517</v>
      </c>
      <c r="C237" s="1" t="str">
        <f>data!B410</f>
        <v>HOBIVIN</v>
      </c>
      <c r="D237" s="1" t="str">
        <f>data!C410</f>
        <v>242002H</v>
      </c>
      <c r="E237" s="1" t="str">
        <f>data!D237</f>
        <v>AC ST JULIEN CRU BOURGEOIS CHATEAU MOULIN DE LA RO</v>
      </c>
      <c r="F237" s="14">
        <f>SUMIFS(data!G:G,data!A:A,TABLEAU!B237,data!C:C,TABLEAU!D237,data!F:F,YEAR(Feuil1!$D$1))</f>
        <v>52.56</v>
      </c>
      <c r="G237" s="9">
        <f>SUMIFS(data!G:G,data!A:A,TABLEAU!B237,data!C:C,TABLEAU!D237,data!F:F,YEAR(Feuil1!$D$2))</f>
        <v>0</v>
      </c>
      <c r="H237" s="9">
        <f t="shared" si="12"/>
        <v>52.56</v>
      </c>
      <c r="I237" s="12" t="str">
        <f t="shared" si="13"/>
        <v/>
      </c>
      <c r="J237" s="13">
        <f>SUMIFS(data!E:E,data!A:A,TABLEAU!B237,data!C:C,TABLEAU!D237,data!F:F,YEAR(Feuil1!$D$1))</f>
        <v>24</v>
      </c>
      <c r="K237" s="13">
        <f>SUMIFS(data!E:E,data!A:A,TABLEAU!B237,data!C:C,TABLEAU!D237,data!F:F,YEAR(Feuil1!$D$2))</f>
        <v>0</v>
      </c>
      <c r="L237" s="13">
        <f t="shared" si="14"/>
        <v>24</v>
      </c>
      <c r="M237" s="12" t="str">
        <f t="shared" si="15"/>
        <v/>
      </c>
    </row>
    <row r="238" spans="1:13" x14ac:dyDescent="0.25">
      <c r="A238" s="17" t="str">
        <f>data!H411</f>
        <v>VINICOM</v>
      </c>
      <c r="B238" s="15" t="str">
        <f>data!A411</f>
        <v>003517</v>
      </c>
      <c r="C238" s="1" t="str">
        <f>data!B411</f>
        <v>HOBIVIN</v>
      </c>
      <c r="D238" s="1" t="str">
        <f>data!C411</f>
        <v>243001H</v>
      </c>
      <c r="E238" s="1" t="str">
        <f>data!D238</f>
        <v>AC CABERNET D'ANJOU  DME GAGNEBERT</v>
      </c>
      <c r="F238" s="14">
        <f>SUMIFS(data!G:G,data!A:A,TABLEAU!B238,data!C:C,TABLEAU!D238,data!F:F,YEAR(Feuil1!$D$1))</f>
        <v>599.76</v>
      </c>
      <c r="G238" s="9">
        <f>SUMIFS(data!G:G,data!A:A,TABLEAU!B238,data!C:C,TABLEAU!D238,data!F:F,YEAR(Feuil1!$D$2))</f>
        <v>0</v>
      </c>
      <c r="H238" s="9">
        <f t="shared" si="12"/>
        <v>599.76</v>
      </c>
      <c r="I238" s="12" t="str">
        <f t="shared" si="13"/>
        <v/>
      </c>
      <c r="J238" s="13">
        <f>SUMIFS(data!E:E,data!A:A,TABLEAU!B238,data!C:C,TABLEAU!D238,data!F:F,YEAR(Feuil1!$D$1))</f>
        <v>126</v>
      </c>
      <c r="K238" s="13">
        <f>SUMIFS(data!E:E,data!A:A,TABLEAU!B238,data!C:C,TABLEAU!D238,data!F:F,YEAR(Feuil1!$D$2))</f>
        <v>0</v>
      </c>
      <c r="L238" s="13">
        <f t="shared" si="14"/>
        <v>126</v>
      </c>
      <c r="M238" s="12" t="str">
        <f t="shared" si="15"/>
        <v/>
      </c>
    </row>
    <row r="239" spans="1:13" x14ac:dyDescent="0.25">
      <c r="A239" s="17" t="str">
        <f>data!H412</f>
        <v>VINICOM</v>
      </c>
      <c r="B239" s="15" t="str">
        <f>data!A412</f>
        <v>003517</v>
      </c>
      <c r="C239" s="1" t="str">
        <f>data!B412</f>
        <v>HOBIVIN</v>
      </c>
      <c r="D239" s="1" t="str">
        <f>data!C412</f>
        <v>243002H</v>
      </c>
      <c r="E239" s="1" t="str">
        <f>data!D239</f>
        <v>AC CABERNET D'ANJOU  DME GAGNEBERT</v>
      </c>
      <c r="F239" s="14">
        <f>SUMIFS(data!G:G,data!A:A,TABLEAU!B239,data!C:C,TABLEAU!D239,data!F:F,YEAR(Feuil1!$D$1))</f>
        <v>70.56</v>
      </c>
      <c r="G239" s="9">
        <f>SUMIFS(data!G:G,data!A:A,TABLEAU!B239,data!C:C,TABLEAU!D239,data!F:F,YEAR(Feuil1!$D$2))</f>
        <v>0</v>
      </c>
      <c r="H239" s="9">
        <f t="shared" si="12"/>
        <v>70.56</v>
      </c>
      <c r="I239" s="12" t="str">
        <f t="shared" si="13"/>
        <v/>
      </c>
      <c r="J239" s="13">
        <f>SUMIFS(data!E:E,data!A:A,TABLEAU!B239,data!C:C,TABLEAU!D239,data!F:F,YEAR(Feuil1!$D$1))</f>
        <v>36</v>
      </c>
      <c r="K239" s="13">
        <f>SUMIFS(data!E:E,data!A:A,TABLEAU!B239,data!C:C,TABLEAU!D239,data!F:F,YEAR(Feuil1!$D$2))</f>
        <v>0</v>
      </c>
      <c r="L239" s="13">
        <f t="shared" si="14"/>
        <v>36</v>
      </c>
      <c r="M239" s="12" t="str">
        <f t="shared" si="15"/>
        <v/>
      </c>
    </row>
    <row r="240" spans="1:13" x14ac:dyDescent="0.25">
      <c r="A240" s="17" t="str">
        <f>data!H413</f>
        <v>VINICOM</v>
      </c>
      <c r="B240" s="15" t="str">
        <f>data!A413</f>
        <v>003517</v>
      </c>
      <c r="C240" s="1" t="str">
        <f>data!B413</f>
        <v>HOBIVIN</v>
      </c>
      <c r="D240" s="1" t="str">
        <f>data!C413</f>
        <v>244001H</v>
      </c>
      <c r="E240" s="1" t="str">
        <f>data!D240</f>
        <v>AC CABERNET D'ANJOU  DME GAGNEBERT</v>
      </c>
      <c r="F240" s="14">
        <f>SUMIFS(data!G:G,data!A:A,TABLEAU!B240,data!C:C,TABLEAU!D240,data!F:F,YEAR(Feuil1!$D$1))</f>
        <v>2599</v>
      </c>
      <c r="G240" s="9">
        <f>SUMIFS(data!G:G,data!A:A,TABLEAU!B240,data!C:C,TABLEAU!D240,data!F:F,YEAR(Feuil1!$D$2))</f>
        <v>0</v>
      </c>
      <c r="H240" s="9">
        <f t="shared" si="12"/>
        <v>2599</v>
      </c>
      <c r="I240" s="12" t="str">
        <f t="shared" si="13"/>
        <v/>
      </c>
      <c r="J240" s="13">
        <f>SUMIFS(data!E:E,data!A:A,TABLEAU!B240,data!C:C,TABLEAU!D240,data!F:F,YEAR(Feuil1!$D$1))</f>
        <v>492</v>
      </c>
      <c r="K240" s="13">
        <f>SUMIFS(data!E:E,data!A:A,TABLEAU!B240,data!C:C,TABLEAU!D240,data!F:F,YEAR(Feuil1!$D$2))</f>
        <v>0</v>
      </c>
      <c r="L240" s="13">
        <f t="shared" si="14"/>
        <v>492</v>
      </c>
      <c r="M240" s="12" t="str">
        <f t="shared" si="15"/>
        <v/>
      </c>
    </row>
    <row r="241" spans="1:13" x14ac:dyDescent="0.25">
      <c r="A241" s="17" t="str">
        <f>data!H414</f>
        <v>VINICOM</v>
      </c>
      <c r="B241" s="15" t="str">
        <f>data!A414</f>
        <v>003517</v>
      </c>
      <c r="C241" s="1" t="str">
        <f>data!B414</f>
        <v>HOBIVIN</v>
      </c>
      <c r="D241" s="1" t="str">
        <f>data!C414</f>
        <v>244002H</v>
      </c>
      <c r="E241" s="1" t="str">
        <f>data!D241</f>
        <v>AC CABERNET D'ANJOU  DME GAGNEBERT</v>
      </c>
      <c r="F241" s="14">
        <f>SUMIFS(data!G:G,data!A:A,TABLEAU!B241,data!C:C,TABLEAU!D241,data!F:F,YEAR(Feuil1!$D$1))</f>
        <v>1314.28</v>
      </c>
      <c r="G241" s="9">
        <f>SUMIFS(data!G:G,data!A:A,TABLEAU!B241,data!C:C,TABLEAU!D241,data!F:F,YEAR(Feuil1!$D$2))</f>
        <v>0</v>
      </c>
      <c r="H241" s="9">
        <f t="shared" si="12"/>
        <v>1314.28</v>
      </c>
      <c r="I241" s="12" t="str">
        <f t="shared" si="13"/>
        <v/>
      </c>
      <c r="J241" s="13">
        <f>SUMIFS(data!E:E,data!A:A,TABLEAU!B241,data!C:C,TABLEAU!D241,data!F:F,YEAR(Feuil1!$D$1))</f>
        <v>228</v>
      </c>
      <c r="K241" s="13">
        <f>SUMIFS(data!E:E,data!A:A,TABLEAU!B241,data!C:C,TABLEAU!D241,data!F:F,YEAR(Feuil1!$D$2))</f>
        <v>0</v>
      </c>
      <c r="L241" s="13">
        <f t="shared" si="14"/>
        <v>228</v>
      </c>
      <c r="M241" s="12" t="str">
        <f t="shared" si="15"/>
        <v/>
      </c>
    </row>
    <row r="242" spans="1:13" x14ac:dyDescent="0.25">
      <c r="A242" s="17" t="str">
        <f>data!H415</f>
        <v>VINICOM</v>
      </c>
      <c r="B242" s="15" t="str">
        <f>data!A415</f>
        <v>003517</v>
      </c>
      <c r="C242" s="1" t="str">
        <f>data!B415</f>
        <v>HOBIVIN</v>
      </c>
      <c r="D242" s="1" t="str">
        <f>data!C415</f>
        <v>245001H</v>
      </c>
      <c r="E242" s="1" t="str">
        <f>data!D242</f>
        <v>AC CABERNET D'ANJOU  DME DE LA MOTTE</v>
      </c>
      <c r="F242" s="14">
        <f>SUMIFS(data!G:G,data!A:A,TABLEAU!B242,data!C:C,TABLEAU!D242,data!F:F,YEAR(Feuil1!$D$1))</f>
        <v>379.98</v>
      </c>
      <c r="G242" s="9">
        <f>SUMIFS(data!G:G,data!A:A,TABLEAU!B242,data!C:C,TABLEAU!D242,data!F:F,YEAR(Feuil1!$D$2))</f>
        <v>0</v>
      </c>
      <c r="H242" s="9">
        <f t="shared" si="12"/>
        <v>379.98</v>
      </c>
      <c r="I242" s="12" t="str">
        <f t="shared" si="13"/>
        <v/>
      </c>
      <c r="J242" s="13">
        <f>SUMIFS(data!E:E,data!A:A,TABLEAU!B242,data!C:C,TABLEAU!D242,data!F:F,YEAR(Feuil1!$D$1))</f>
        <v>102</v>
      </c>
      <c r="K242" s="13">
        <f>SUMIFS(data!E:E,data!A:A,TABLEAU!B242,data!C:C,TABLEAU!D242,data!F:F,YEAR(Feuil1!$D$2))</f>
        <v>0</v>
      </c>
      <c r="L242" s="13">
        <f t="shared" si="14"/>
        <v>102</v>
      </c>
      <c r="M242" s="12" t="str">
        <f t="shared" si="15"/>
        <v/>
      </c>
    </row>
    <row r="243" spans="1:13" x14ac:dyDescent="0.25">
      <c r="A243" s="17" t="str">
        <f>data!H416</f>
        <v>VINICOM</v>
      </c>
      <c r="B243" s="15" t="str">
        <f>data!A416</f>
        <v>003517</v>
      </c>
      <c r="C243" s="1" t="str">
        <f>data!B416</f>
        <v>HOBIVIN</v>
      </c>
      <c r="D243" s="1" t="str">
        <f>data!C416</f>
        <v>245002H</v>
      </c>
      <c r="E243" s="1" t="str">
        <f>data!D243</f>
        <v>AC CABERNET D'ANJOU  DME DE LA MOTTE</v>
      </c>
      <c r="F243" s="14">
        <f>SUMIFS(data!G:G,data!A:A,TABLEAU!B243,data!C:C,TABLEAU!D243,data!F:F,YEAR(Feuil1!$D$1))</f>
        <v>379.98</v>
      </c>
      <c r="G243" s="9">
        <f>SUMIFS(data!G:G,data!A:A,TABLEAU!B243,data!C:C,TABLEAU!D243,data!F:F,YEAR(Feuil1!$D$2))</f>
        <v>0</v>
      </c>
      <c r="H243" s="9">
        <f t="shared" si="12"/>
        <v>379.98</v>
      </c>
      <c r="I243" s="12" t="str">
        <f t="shared" si="13"/>
        <v/>
      </c>
      <c r="J243" s="13">
        <f>SUMIFS(data!E:E,data!A:A,TABLEAU!B243,data!C:C,TABLEAU!D243,data!F:F,YEAR(Feuil1!$D$1))</f>
        <v>102</v>
      </c>
      <c r="K243" s="13">
        <f>SUMIFS(data!E:E,data!A:A,TABLEAU!B243,data!C:C,TABLEAU!D243,data!F:F,YEAR(Feuil1!$D$2))</f>
        <v>0</v>
      </c>
      <c r="L243" s="13">
        <f t="shared" si="14"/>
        <v>102</v>
      </c>
      <c r="M243" s="12" t="str">
        <f t="shared" si="15"/>
        <v/>
      </c>
    </row>
    <row r="244" spans="1:13" x14ac:dyDescent="0.25">
      <c r="A244" s="17" t="str">
        <f>data!H417</f>
        <v>VINICOM</v>
      </c>
      <c r="B244" s="15" t="str">
        <f>data!A417</f>
        <v>003517</v>
      </c>
      <c r="C244" s="1" t="str">
        <f>data!B417</f>
        <v>HOBIVIN</v>
      </c>
      <c r="D244" s="1" t="str">
        <f>data!C417</f>
        <v>245003H</v>
      </c>
      <c r="E244" s="1" t="str">
        <f>data!D244</f>
        <v>AC ANJOU  DME DE LA MOTTE</v>
      </c>
      <c r="F244" s="14">
        <f>SUMIFS(data!G:G,data!A:A,TABLEAU!B244,data!C:C,TABLEAU!D244,data!F:F,YEAR(Feuil1!$D$1))</f>
        <v>608.08000000000004</v>
      </c>
      <c r="G244" s="9">
        <f>SUMIFS(data!G:G,data!A:A,TABLEAU!B244,data!C:C,TABLEAU!D244,data!F:F,YEAR(Feuil1!$D$2))</f>
        <v>0</v>
      </c>
      <c r="H244" s="9">
        <f t="shared" si="12"/>
        <v>608.08000000000004</v>
      </c>
      <c r="I244" s="12" t="str">
        <f t="shared" si="13"/>
        <v/>
      </c>
      <c r="J244" s="13">
        <f>SUMIFS(data!E:E,data!A:A,TABLEAU!B244,data!C:C,TABLEAU!D244,data!F:F,YEAR(Feuil1!$D$1))</f>
        <v>144</v>
      </c>
      <c r="K244" s="13">
        <f>SUMIFS(data!E:E,data!A:A,TABLEAU!B244,data!C:C,TABLEAU!D244,data!F:F,YEAR(Feuil1!$D$2))</f>
        <v>0</v>
      </c>
      <c r="L244" s="13">
        <f t="shared" si="14"/>
        <v>144</v>
      </c>
      <c r="M244" s="12" t="str">
        <f t="shared" si="15"/>
        <v/>
      </c>
    </row>
    <row r="245" spans="1:13" x14ac:dyDescent="0.25">
      <c r="A245" s="17" t="str">
        <f>data!H418</f>
        <v>VINICOM</v>
      </c>
      <c r="B245" s="15" t="str">
        <f>data!A418</f>
        <v>003517</v>
      </c>
      <c r="C245" s="1" t="str">
        <f>data!B418</f>
        <v>HOBIVIN</v>
      </c>
      <c r="D245" s="1" t="str">
        <f>data!C418</f>
        <v>502001H</v>
      </c>
      <c r="E245" s="1" t="str">
        <f>data!D245</f>
        <v>AC ANJOU  DME DE LA MOTTE</v>
      </c>
      <c r="F245" s="14">
        <f>SUMIFS(data!G:G,data!A:A,TABLEAU!B245,data!C:C,TABLEAU!D245,data!F:F,YEAR(Feuil1!$D$1))</f>
        <v>315</v>
      </c>
      <c r="G245" s="9">
        <f>SUMIFS(data!G:G,data!A:A,TABLEAU!B245,data!C:C,TABLEAU!D245,data!F:F,YEAR(Feuil1!$D$2))</f>
        <v>0</v>
      </c>
      <c r="H245" s="9">
        <f t="shared" si="12"/>
        <v>315</v>
      </c>
      <c r="I245" s="12" t="str">
        <f t="shared" si="13"/>
        <v/>
      </c>
      <c r="J245" s="13">
        <f>SUMIFS(data!E:E,data!A:A,TABLEAU!B245,data!C:C,TABLEAU!D245,data!F:F,YEAR(Feuil1!$D$1))</f>
        <v>186</v>
      </c>
      <c r="K245" s="13">
        <f>SUMIFS(data!E:E,data!A:A,TABLEAU!B245,data!C:C,TABLEAU!D245,data!F:F,YEAR(Feuil1!$D$2))</f>
        <v>0</v>
      </c>
      <c r="L245" s="13">
        <f t="shared" si="14"/>
        <v>186</v>
      </c>
      <c r="M245" s="12" t="str">
        <f t="shared" si="15"/>
        <v/>
      </c>
    </row>
    <row r="246" spans="1:13" x14ac:dyDescent="0.25">
      <c r="A246" s="17" t="str">
        <f>data!H419</f>
        <v>VINICOM</v>
      </c>
      <c r="B246" s="15" t="str">
        <f>data!A419</f>
        <v>003517</v>
      </c>
      <c r="C246" s="1" t="str">
        <f>data!B419</f>
        <v>HOBIVIN</v>
      </c>
      <c r="D246" s="1" t="str">
        <f>data!C419</f>
        <v>563001</v>
      </c>
      <c r="E246" s="1" t="str">
        <f>data!D246</f>
        <v>AC ROSE DE LOIRE  DME DE LA MOTTE</v>
      </c>
      <c r="F246" s="14">
        <f>SUMIFS(data!G:G,data!A:A,TABLEAU!B246,data!C:C,TABLEAU!D246,data!F:F,YEAR(Feuil1!$D$1))</f>
        <v>0</v>
      </c>
      <c r="G246" s="9">
        <f>SUMIFS(data!G:G,data!A:A,TABLEAU!B246,data!C:C,TABLEAU!D246,data!F:F,YEAR(Feuil1!$D$2))</f>
        <v>1341</v>
      </c>
      <c r="H246" s="9">
        <f t="shared" si="12"/>
        <v>-1341</v>
      </c>
      <c r="I246" s="12">
        <f t="shared" si="13"/>
        <v>-1</v>
      </c>
      <c r="J246" s="13">
        <f>SUMIFS(data!E:E,data!A:A,TABLEAU!B246,data!C:C,TABLEAU!D246,data!F:F,YEAR(Feuil1!$D$1))</f>
        <v>0</v>
      </c>
      <c r="K246" s="13">
        <f>SUMIFS(data!E:E,data!A:A,TABLEAU!B246,data!C:C,TABLEAU!D246,data!F:F,YEAR(Feuil1!$D$2))</f>
        <v>78</v>
      </c>
      <c r="L246" s="13">
        <f t="shared" si="14"/>
        <v>-78</v>
      </c>
      <c r="M246" s="12">
        <f t="shared" si="15"/>
        <v>-1</v>
      </c>
    </row>
    <row r="247" spans="1:13" x14ac:dyDescent="0.25">
      <c r="A247" s="17" t="str">
        <f>data!H420</f>
        <v>VINICOM</v>
      </c>
      <c r="B247" s="15" t="str">
        <f>data!A420</f>
        <v>003517</v>
      </c>
      <c r="C247" s="1" t="str">
        <f>data!B420</f>
        <v>HOBIVIN</v>
      </c>
      <c r="D247" s="1" t="str">
        <f>data!C420</f>
        <v>563001H</v>
      </c>
      <c r="E247" s="1" t="str">
        <f>data!D247</f>
        <v>AC ROSE DE LOIRE  DME DE LA MOTTE</v>
      </c>
      <c r="F247" s="14">
        <f>SUMIFS(data!G:G,data!A:A,TABLEAU!B247,data!C:C,TABLEAU!D247,data!F:F,YEAR(Feuil1!$D$1))</f>
        <v>2106</v>
      </c>
      <c r="G247" s="9">
        <f>SUMIFS(data!G:G,data!A:A,TABLEAU!B247,data!C:C,TABLEAU!D247,data!F:F,YEAR(Feuil1!$D$2))</f>
        <v>1539</v>
      </c>
      <c r="H247" s="9">
        <f t="shared" si="12"/>
        <v>567</v>
      </c>
      <c r="I247" s="12">
        <f t="shared" si="13"/>
        <v>0.36842105263157893</v>
      </c>
      <c r="J247" s="13">
        <f>SUMIFS(data!E:E,data!A:A,TABLEAU!B247,data!C:C,TABLEAU!D247,data!F:F,YEAR(Feuil1!$D$1))</f>
        <v>162</v>
      </c>
      <c r="K247" s="13">
        <f>SUMIFS(data!E:E,data!A:A,TABLEAU!B247,data!C:C,TABLEAU!D247,data!F:F,YEAR(Feuil1!$D$2))</f>
        <v>126</v>
      </c>
      <c r="L247" s="13">
        <f t="shared" si="14"/>
        <v>36</v>
      </c>
      <c r="M247" s="12">
        <f t="shared" si="15"/>
        <v>0.2857142857142857</v>
      </c>
    </row>
    <row r="248" spans="1:13" x14ac:dyDescent="0.25">
      <c r="A248" s="17" t="str">
        <f>data!H422</f>
        <v>VINICOM</v>
      </c>
      <c r="B248" s="15" t="str">
        <f>data!A422</f>
        <v>003517</v>
      </c>
      <c r="C248" s="1" t="str">
        <f>data!B422</f>
        <v>HOBIVIN</v>
      </c>
      <c r="D248" s="1" t="str">
        <f>data!C422</f>
        <v>600001H</v>
      </c>
      <c r="E248" s="1" t="str">
        <f>data!D248</f>
        <v>AC COTEAUX DU LAYON DME DE LA MOTTE</v>
      </c>
      <c r="F248" s="14">
        <f>SUMIFS(data!G:G,data!A:A,TABLEAU!B248,data!C:C,TABLEAU!D248,data!F:F,YEAR(Feuil1!$D$1))</f>
        <v>19100.25</v>
      </c>
      <c r="G248" s="9">
        <f>SUMIFS(data!G:G,data!A:A,TABLEAU!B248,data!C:C,TABLEAU!D248,data!F:F,YEAR(Feuil1!$D$2))</f>
        <v>19833.060000000001</v>
      </c>
      <c r="H248" s="9">
        <f t="shared" si="12"/>
        <v>-732.81000000000131</v>
      </c>
      <c r="I248" s="12">
        <f t="shared" si="13"/>
        <v>-3.694891257324897E-2</v>
      </c>
      <c r="J248" s="13">
        <f>SUMIFS(data!E:E,data!A:A,TABLEAU!B248,data!C:C,TABLEAU!D248,data!F:F,YEAR(Feuil1!$D$1))</f>
        <v>13113.220000000036</v>
      </c>
      <c r="K248" s="13">
        <f>SUMIFS(data!E:E,data!A:A,TABLEAU!B248,data!C:C,TABLEAU!D248,data!F:F,YEAR(Feuil1!$D$2))</f>
        <v>13760.210000000032</v>
      </c>
      <c r="L248" s="13">
        <f t="shared" si="14"/>
        <v>-646.98999999999614</v>
      </c>
      <c r="M248" s="12">
        <f t="shared" si="15"/>
        <v>-4.7018904507997672E-2</v>
      </c>
    </row>
    <row r="249" spans="1:13" x14ac:dyDescent="0.25">
      <c r="A249" s="17" t="str">
        <f>data!H424</f>
        <v>VINICOM</v>
      </c>
      <c r="B249" s="15" t="str">
        <f>data!A424</f>
        <v>003517</v>
      </c>
      <c r="C249" s="1" t="str">
        <f>data!B424</f>
        <v>HOBIVIN</v>
      </c>
      <c r="D249" s="1" t="str">
        <f>data!C424</f>
        <v>601001H</v>
      </c>
      <c r="E249" s="1" t="str">
        <f>data!D249</f>
        <v>AC COTEAUX DU LAYON DME DE LA MOTTE</v>
      </c>
      <c r="F249" s="14">
        <f>SUMIFS(data!G:G,data!A:A,TABLEAU!B249,data!C:C,TABLEAU!D249,data!F:F,YEAR(Feuil1!$D$1))</f>
        <v>4969.38</v>
      </c>
      <c r="G249" s="9">
        <f>SUMIFS(data!G:G,data!A:A,TABLEAU!B249,data!C:C,TABLEAU!D249,data!F:F,YEAR(Feuil1!$D$2))</f>
        <v>6750.9</v>
      </c>
      <c r="H249" s="9">
        <f t="shared" si="12"/>
        <v>-1781.5199999999995</v>
      </c>
      <c r="I249" s="12">
        <f t="shared" si="13"/>
        <v>-0.26389370306181392</v>
      </c>
      <c r="J249" s="13">
        <f>SUMIFS(data!E:E,data!A:A,TABLEAU!B249,data!C:C,TABLEAU!D249,data!F:F,YEAR(Feuil1!$D$1))</f>
        <v>2454</v>
      </c>
      <c r="K249" s="13">
        <f>SUMIFS(data!E:E,data!A:A,TABLEAU!B249,data!C:C,TABLEAU!D249,data!F:F,YEAR(Feuil1!$D$2))</f>
        <v>3474</v>
      </c>
      <c r="L249" s="13">
        <f t="shared" si="14"/>
        <v>-1020</v>
      </c>
      <c r="M249" s="12">
        <f t="shared" si="15"/>
        <v>-0.29360967184801384</v>
      </c>
    </row>
    <row r="250" spans="1:13" x14ac:dyDescent="0.25">
      <c r="A250" s="17" t="str">
        <f>data!H426</f>
        <v>VINICOM</v>
      </c>
      <c r="B250" s="15" t="str">
        <f>data!A426</f>
        <v>003517</v>
      </c>
      <c r="C250" s="1" t="str">
        <f>data!B426</f>
        <v>HOBIVIN</v>
      </c>
      <c r="D250" s="1" t="str">
        <f>data!C426</f>
        <v>601002H</v>
      </c>
      <c r="E250" s="1" t="str">
        <f>data!D250</f>
        <v>VDP DES CEVENNES</v>
      </c>
      <c r="F250" s="14">
        <f>SUMIFS(data!G:G,data!A:A,TABLEAU!B250,data!C:C,TABLEAU!D250,data!F:F,YEAR(Feuil1!$D$1))</f>
        <v>6223.46</v>
      </c>
      <c r="G250" s="9">
        <f>SUMIFS(data!G:G,data!A:A,TABLEAU!B250,data!C:C,TABLEAU!D250,data!F:F,YEAR(Feuil1!$D$2))</f>
        <v>5787.72</v>
      </c>
      <c r="H250" s="9">
        <f t="shared" si="12"/>
        <v>435.73999999999978</v>
      </c>
      <c r="I250" s="12">
        <f t="shared" si="13"/>
        <v>7.5286986930950317E-2</v>
      </c>
      <c r="J250" s="13">
        <f>SUMIFS(data!E:E,data!A:A,TABLEAU!B250,data!C:C,TABLEAU!D250,data!F:F,YEAR(Feuil1!$D$1))</f>
        <v>3072</v>
      </c>
      <c r="K250" s="13">
        <f>SUMIFS(data!E:E,data!A:A,TABLEAU!B250,data!C:C,TABLEAU!D250,data!F:F,YEAR(Feuil1!$D$2))</f>
        <v>2952</v>
      </c>
      <c r="L250" s="13">
        <f t="shared" si="14"/>
        <v>120</v>
      </c>
      <c r="M250" s="12">
        <f t="shared" si="15"/>
        <v>4.065040650406504E-2</v>
      </c>
    </row>
    <row r="251" spans="1:13" x14ac:dyDescent="0.25">
      <c r="A251" s="17" t="str">
        <f>data!H428</f>
        <v>VINICOM</v>
      </c>
      <c r="B251" s="15" t="str">
        <f>data!A428</f>
        <v>003517</v>
      </c>
      <c r="C251" s="1" t="str">
        <f>data!B428</f>
        <v>HOBIVIN</v>
      </c>
      <c r="D251" s="1" t="str">
        <f>data!C428</f>
        <v>601003H</v>
      </c>
      <c r="E251" s="1" t="str">
        <f>data!D251</f>
        <v>VDP DES CEVENNES</v>
      </c>
      <c r="F251" s="14">
        <f>SUMIFS(data!G:G,data!A:A,TABLEAU!B251,data!C:C,TABLEAU!D251,data!F:F,YEAR(Feuil1!$D$1))</f>
        <v>4268.3999999999996</v>
      </c>
      <c r="G251" s="9">
        <f>SUMIFS(data!G:G,data!A:A,TABLEAU!B251,data!C:C,TABLEAU!D251,data!F:F,YEAR(Feuil1!$D$2))</f>
        <v>5562</v>
      </c>
      <c r="H251" s="9">
        <f t="shared" si="12"/>
        <v>-1293.6000000000004</v>
      </c>
      <c r="I251" s="12">
        <f t="shared" si="13"/>
        <v>-0.23257820927723846</v>
      </c>
      <c r="J251" s="13">
        <f>SUMIFS(data!E:E,data!A:A,TABLEAU!B251,data!C:C,TABLEAU!D251,data!F:F,YEAR(Feuil1!$D$1))</f>
        <v>1446</v>
      </c>
      <c r="K251" s="13">
        <f>SUMIFS(data!E:E,data!A:A,TABLEAU!B251,data!C:C,TABLEAU!D251,data!F:F,YEAR(Feuil1!$D$2))</f>
        <v>1860</v>
      </c>
      <c r="L251" s="13">
        <f t="shared" si="14"/>
        <v>-414</v>
      </c>
      <c r="M251" s="12">
        <f t="shared" si="15"/>
        <v>-0.22258064516129034</v>
      </c>
    </row>
    <row r="252" spans="1:13" x14ac:dyDescent="0.25">
      <c r="A252" s="17" t="str">
        <f>data!H430</f>
        <v>VINICOM</v>
      </c>
      <c r="B252" s="15" t="str">
        <f>data!A430</f>
        <v>003517</v>
      </c>
      <c r="C252" s="1" t="str">
        <f>data!B430</f>
        <v>HOBIVIN</v>
      </c>
      <c r="D252" s="1" t="str">
        <f>data!C430</f>
        <v>601004H</v>
      </c>
      <c r="E252" s="1" t="str">
        <f>data!D252</f>
        <v>IGP DES CEVENNES</v>
      </c>
      <c r="F252" s="14">
        <f>SUMIFS(data!G:G,data!A:A,TABLEAU!B252,data!C:C,TABLEAU!D252,data!F:F,YEAR(Feuil1!$D$1))</f>
        <v>3780</v>
      </c>
      <c r="G252" s="9">
        <f>SUMIFS(data!G:G,data!A:A,TABLEAU!B252,data!C:C,TABLEAU!D252,data!F:F,YEAR(Feuil1!$D$2))</f>
        <v>5508</v>
      </c>
      <c r="H252" s="9">
        <f t="shared" si="12"/>
        <v>-1728</v>
      </c>
      <c r="I252" s="12">
        <f t="shared" si="13"/>
        <v>-0.31372549019607843</v>
      </c>
      <c r="J252" s="13">
        <f>SUMIFS(data!E:E,data!A:A,TABLEAU!B252,data!C:C,TABLEAU!D252,data!F:F,YEAR(Feuil1!$D$1))</f>
        <v>1056</v>
      </c>
      <c r="K252" s="13">
        <f>SUMIFS(data!E:E,data!A:A,TABLEAU!B252,data!C:C,TABLEAU!D252,data!F:F,YEAR(Feuil1!$D$2))</f>
        <v>1536</v>
      </c>
      <c r="L252" s="13">
        <f t="shared" si="14"/>
        <v>-480</v>
      </c>
      <c r="M252" s="12">
        <f t="shared" si="15"/>
        <v>-0.3125</v>
      </c>
    </row>
    <row r="253" spans="1:13" x14ac:dyDescent="0.25">
      <c r="A253" s="17" t="str">
        <f>data!H432</f>
        <v>VINICOM</v>
      </c>
      <c r="B253" s="15" t="str">
        <f>data!A432</f>
        <v>003517</v>
      </c>
      <c r="C253" s="1" t="str">
        <f>data!B432</f>
        <v>HOBIVIN</v>
      </c>
      <c r="D253" s="1" t="str">
        <f>data!C432</f>
        <v>601006H</v>
      </c>
      <c r="E253" s="1" t="str">
        <f>data!D253</f>
        <v>IGP DES CEVENNES</v>
      </c>
      <c r="F253" s="14">
        <f>SUMIFS(data!G:G,data!A:A,TABLEAU!B253,data!C:C,TABLEAU!D253,data!F:F,YEAR(Feuil1!$D$1))</f>
        <v>0</v>
      </c>
      <c r="G253" s="9">
        <f>SUMIFS(data!G:G,data!A:A,TABLEAU!B253,data!C:C,TABLEAU!D253,data!F:F,YEAR(Feuil1!$D$2))</f>
        <v>25.8</v>
      </c>
      <c r="H253" s="9">
        <f t="shared" si="12"/>
        <v>-25.8</v>
      </c>
      <c r="I253" s="12">
        <f t="shared" si="13"/>
        <v>-1</v>
      </c>
      <c r="J253" s="13">
        <f>SUMIFS(data!E:E,data!A:A,TABLEAU!B253,data!C:C,TABLEAU!D253,data!F:F,YEAR(Feuil1!$D$1))</f>
        <v>138</v>
      </c>
      <c r="K253" s="13">
        <f>SUMIFS(data!E:E,data!A:A,TABLEAU!B253,data!C:C,TABLEAU!D253,data!F:F,YEAR(Feuil1!$D$2))</f>
        <v>6</v>
      </c>
      <c r="L253" s="13">
        <f t="shared" si="14"/>
        <v>132</v>
      </c>
      <c r="M253" s="12">
        <f t="shared" si="15"/>
        <v>22</v>
      </c>
    </row>
    <row r="254" spans="1:13" x14ac:dyDescent="0.25">
      <c r="A254" s="17" t="str">
        <f>data!H434</f>
        <v>VINICOM</v>
      </c>
      <c r="B254" s="15" t="str">
        <f>data!A434</f>
        <v>003517</v>
      </c>
      <c r="C254" s="1" t="str">
        <f>data!B434</f>
        <v>HOBIVIN</v>
      </c>
      <c r="D254" s="1" t="str">
        <f>data!C434</f>
        <v>601010H</v>
      </c>
      <c r="E254" s="1" t="str">
        <f>data!D254</f>
        <v>IGP DES CEVENNES</v>
      </c>
      <c r="F254" s="14">
        <f>SUMIFS(data!G:G,data!A:A,TABLEAU!B254,data!C:C,TABLEAU!D254,data!F:F,YEAR(Feuil1!$D$1))</f>
        <v>14557.69</v>
      </c>
      <c r="G254" s="9">
        <f>SUMIFS(data!G:G,data!A:A,TABLEAU!B254,data!C:C,TABLEAU!D254,data!F:F,YEAR(Feuil1!$D$2))</f>
        <v>13363.25</v>
      </c>
      <c r="H254" s="9">
        <f t="shared" si="12"/>
        <v>1194.4400000000005</v>
      </c>
      <c r="I254" s="12">
        <f t="shared" si="13"/>
        <v>8.9382448132003856E-2</v>
      </c>
      <c r="J254" s="13">
        <f>SUMIFS(data!E:E,data!A:A,TABLEAU!B254,data!C:C,TABLEAU!D254,data!F:F,YEAR(Feuil1!$D$1))</f>
        <v>13969.83999999998</v>
      </c>
      <c r="K254" s="13">
        <f>SUMIFS(data!E:E,data!A:A,TABLEAU!B254,data!C:C,TABLEAU!D254,data!F:F,YEAR(Feuil1!$D$2))</f>
        <v>12930.099999999984</v>
      </c>
      <c r="L254" s="13">
        <f t="shared" si="14"/>
        <v>1039.7399999999961</v>
      </c>
      <c r="M254" s="12">
        <f t="shared" si="15"/>
        <v>8.0412371134020416E-2</v>
      </c>
    </row>
    <row r="255" spans="1:13" x14ac:dyDescent="0.25">
      <c r="A255" s="17" t="str">
        <f>data!H436</f>
        <v>VINICOM</v>
      </c>
      <c r="B255" s="15" t="str">
        <f>data!A436</f>
        <v>003517</v>
      </c>
      <c r="C255" s="1" t="str">
        <f>data!B436</f>
        <v>HOBIVIN</v>
      </c>
      <c r="D255" s="1" t="str">
        <f>data!C436</f>
        <v>601011H</v>
      </c>
      <c r="E255" s="1" t="str">
        <f>data!D255</f>
        <v>IGP DES CEVENNES</v>
      </c>
      <c r="F255" s="14">
        <f>SUMIFS(data!G:G,data!A:A,TABLEAU!B255,data!C:C,TABLEAU!D255,data!F:F,YEAR(Feuil1!$D$1))</f>
        <v>8617.5</v>
      </c>
      <c r="G255" s="9">
        <f>SUMIFS(data!G:G,data!A:A,TABLEAU!B255,data!C:C,TABLEAU!D255,data!F:F,YEAR(Feuil1!$D$2))</f>
        <v>7440.22</v>
      </c>
      <c r="H255" s="9">
        <f t="shared" si="12"/>
        <v>1177.2799999999997</v>
      </c>
      <c r="I255" s="12">
        <f t="shared" si="13"/>
        <v>0.15823188024010038</v>
      </c>
      <c r="J255" s="13">
        <f>SUMIFS(data!E:E,data!A:A,TABLEAU!B255,data!C:C,TABLEAU!D255,data!F:F,YEAR(Feuil1!$D$1))</f>
        <v>7030.1800000000094</v>
      </c>
      <c r="K255" s="13">
        <f>SUMIFS(data!E:E,data!A:A,TABLEAU!B255,data!C:C,TABLEAU!D255,data!F:F,YEAR(Feuil1!$D$2))</f>
        <v>6129.7300000000068</v>
      </c>
      <c r="L255" s="13">
        <f t="shared" si="14"/>
        <v>900.45000000000255</v>
      </c>
      <c r="M255" s="12">
        <f t="shared" si="15"/>
        <v>0.14689880304679023</v>
      </c>
    </row>
    <row r="256" spans="1:13" x14ac:dyDescent="0.25">
      <c r="A256" s="17" t="str">
        <f>data!H438</f>
        <v>VINICOM</v>
      </c>
      <c r="B256" s="15" t="str">
        <f>data!A438</f>
        <v>003517</v>
      </c>
      <c r="C256" s="1" t="str">
        <f>data!B438</f>
        <v>HOBIVIN</v>
      </c>
      <c r="D256" s="1" t="str">
        <f>data!C438</f>
        <v>603001H</v>
      </c>
      <c r="E256" s="1" t="str">
        <f>data!D256</f>
        <v>AC TAVEL ROSE DOMAINE CORNELOUP</v>
      </c>
      <c r="F256" s="14">
        <f>SUMIFS(data!G:G,data!A:A,TABLEAU!B256,data!C:C,TABLEAU!D256,data!F:F,YEAR(Feuil1!$D$1))</f>
        <v>10818.35</v>
      </c>
      <c r="G256" s="9">
        <f>SUMIFS(data!G:G,data!A:A,TABLEAU!B256,data!C:C,TABLEAU!D256,data!F:F,YEAR(Feuil1!$D$2))</f>
        <v>14797.49</v>
      </c>
      <c r="H256" s="9">
        <f t="shared" si="12"/>
        <v>-3979.1399999999994</v>
      </c>
      <c r="I256" s="12">
        <f t="shared" si="13"/>
        <v>-0.26890641588539677</v>
      </c>
      <c r="J256" s="13">
        <f>SUMIFS(data!E:E,data!A:A,TABLEAU!B256,data!C:C,TABLEAU!D256,data!F:F,YEAR(Feuil1!$D$1))</f>
        <v>7744.7299999999923</v>
      </c>
      <c r="K256" s="13">
        <f>SUMIFS(data!E:E,data!A:A,TABLEAU!B256,data!C:C,TABLEAU!D256,data!F:F,YEAR(Feuil1!$D$2))</f>
        <v>10624.009999999978</v>
      </c>
      <c r="L256" s="13">
        <f t="shared" si="14"/>
        <v>-2879.2799999999861</v>
      </c>
      <c r="M256" s="12">
        <f t="shared" si="15"/>
        <v>-0.27101631116687502</v>
      </c>
    </row>
    <row r="257" spans="1:13" x14ac:dyDescent="0.25">
      <c r="A257" s="17" t="str">
        <f>data!H440</f>
        <v>VINICOM</v>
      </c>
      <c r="B257" s="15" t="str">
        <f>data!A440</f>
        <v>003517</v>
      </c>
      <c r="C257" s="1" t="str">
        <f>data!B440</f>
        <v>HOBIVIN</v>
      </c>
      <c r="D257" s="1" t="str">
        <f>data!C440</f>
        <v>603002H</v>
      </c>
      <c r="E257" s="1" t="str">
        <f>data!D257</f>
        <v>AC TAVEL ROSE DOMAINE CORNELOUP</v>
      </c>
      <c r="F257" s="14">
        <f>SUMIFS(data!G:G,data!A:A,TABLEAU!B257,data!C:C,TABLEAU!D257,data!F:F,YEAR(Feuil1!$D$1))</f>
        <v>14682.66</v>
      </c>
      <c r="G257" s="9">
        <f>SUMIFS(data!G:G,data!A:A,TABLEAU!B257,data!C:C,TABLEAU!D257,data!F:F,YEAR(Feuil1!$D$2))</f>
        <v>16559.55</v>
      </c>
      <c r="H257" s="9">
        <f t="shared" si="12"/>
        <v>-1876.8899999999994</v>
      </c>
      <c r="I257" s="12">
        <f t="shared" si="13"/>
        <v>-0.11334184805746531</v>
      </c>
      <c r="J257" s="13">
        <f>SUMIFS(data!E:E,data!A:A,TABLEAU!B257,data!C:C,TABLEAU!D257,data!F:F,YEAR(Feuil1!$D$1))</f>
        <v>9531.4300000000239</v>
      </c>
      <c r="K257" s="13">
        <f>SUMIFS(data!E:E,data!A:A,TABLEAU!B257,data!C:C,TABLEAU!D257,data!F:F,YEAR(Feuil1!$D$2))</f>
        <v>10898.780000000041</v>
      </c>
      <c r="L257" s="13">
        <f t="shared" si="14"/>
        <v>-1367.3500000000167</v>
      </c>
      <c r="M257" s="12">
        <f t="shared" si="15"/>
        <v>-0.12545899632803045</v>
      </c>
    </row>
    <row r="258" spans="1:13" x14ac:dyDescent="0.25">
      <c r="A258" s="17" t="str">
        <f>data!H442</f>
        <v>VINICOM</v>
      </c>
      <c r="B258" s="15" t="str">
        <f>data!A442</f>
        <v>003517</v>
      </c>
      <c r="C258" s="1" t="str">
        <f>data!B442</f>
        <v>HOBIVIN</v>
      </c>
      <c r="D258" s="1" t="str">
        <f>data!C442</f>
        <v>603003H</v>
      </c>
      <c r="E258" s="1" t="str">
        <f>data!D258</f>
        <v>AC LIRAC DME CORNE LOUP</v>
      </c>
      <c r="F258" s="14">
        <f>SUMIFS(data!G:G,data!A:A,TABLEAU!B258,data!C:C,TABLEAU!D258,data!F:F,YEAR(Feuil1!$D$1))</f>
        <v>13493.25</v>
      </c>
      <c r="G258" s="9">
        <f>SUMIFS(data!G:G,data!A:A,TABLEAU!B258,data!C:C,TABLEAU!D258,data!F:F,YEAR(Feuil1!$D$2))</f>
        <v>18893.25</v>
      </c>
      <c r="H258" s="9">
        <f t="shared" si="12"/>
        <v>-5400</v>
      </c>
      <c r="I258" s="12">
        <f t="shared" si="13"/>
        <v>-0.28581636298678098</v>
      </c>
      <c r="J258" s="13">
        <f>SUMIFS(data!E:E,data!A:A,TABLEAU!B258,data!C:C,TABLEAU!D258,data!F:F,YEAR(Feuil1!$D$1))</f>
        <v>6024</v>
      </c>
      <c r="K258" s="13">
        <f>SUMIFS(data!E:E,data!A:A,TABLEAU!B258,data!C:C,TABLEAU!D258,data!F:F,YEAR(Feuil1!$D$2))</f>
        <v>8496</v>
      </c>
      <c r="L258" s="13">
        <f t="shared" si="14"/>
        <v>-2472</v>
      </c>
      <c r="M258" s="12">
        <f t="shared" si="15"/>
        <v>-0.29096045197740111</v>
      </c>
    </row>
    <row r="259" spans="1:13" x14ac:dyDescent="0.25">
      <c r="A259" s="17" t="str">
        <f>data!H444</f>
        <v>VINICOM</v>
      </c>
      <c r="B259" s="15" t="str">
        <f>data!A444</f>
        <v>003517</v>
      </c>
      <c r="C259" s="1" t="str">
        <f>data!B444</f>
        <v>HOBIVIN</v>
      </c>
      <c r="D259" s="1" t="str">
        <f>data!C444</f>
        <v>603004H</v>
      </c>
      <c r="E259" s="1" t="str">
        <f>data!D259</f>
        <v>AC LIRAC DME CORNE LOUP</v>
      </c>
      <c r="F259" s="14">
        <f>SUMIFS(data!G:G,data!A:A,TABLEAU!B259,data!C:C,TABLEAU!D259,data!F:F,YEAR(Feuil1!$D$1))</f>
        <v>0</v>
      </c>
      <c r="G259" s="9">
        <f>SUMIFS(data!G:G,data!A:A,TABLEAU!B259,data!C:C,TABLEAU!D259,data!F:F,YEAR(Feuil1!$D$2))</f>
        <v>54.6</v>
      </c>
      <c r="H259" s="9">
        <f t="shared" ref="H259:H322" si="16">F259-G259</f>
        <v>-54.6</v>
      </c>
      <c r="I259" s="12">
        <f t="shared" ref="I259:I322" si="17">IF(ISERR(H259/G259),"",H259/G259)</f>
        <v>-1</v>
      </c>
      <c r="J259" s="13">
        <f>SUMIFS(data!E:E,data!A:A,TABLEAU!B259,data!C:C,TABLEAU!D259,data!F:F,YEAR(Feuil1!$D$1))</f>
        <v>0</v>
      </c>
      <c r="K259" s="13">
        <f>SUMIFS(data!E:E,data!A:A,TABLEAU!B259,data!C:C,TABLEAU!D259,data!F:F,YEAR(Feuil1!$D$2))</f>
        <v>12</v>
      </c>
      <c r="L259" s="13">
        <f t="shared" ref="L259:L322" si="18">J259-K259</f>
        <v>-12</v>
      </c>
      <c r="M259" s="12">
        <f t="shared" ref="M259:M322" si="19">IF(ISERR(L259/K259),"",L259/K259)</f>
        <v>-1</v>
      </c>
    </row>
    <row r="260" spans="1:13" x14ac:dyDescent="0.25">
      <c r="A260" s="17" t="str">
        <f>data!H445</f>
        <v>VINICOM</v>
      </c>
      <c r="B260" s="15" t="str">
        <f>data!A445</f>
        <v>003517</v>
      </c>
      <c r="C260" s="1" t="str">
        <f>data!B445</f>
        <v>HOBIVIN</v>
      </c>
      <c r="D260" s="1" t="str">
        <f>data!C445</f>
        <v>801001H</v>
      </c>
      <c r="E260" s="1" t="str">
        <f>data!D260</f>
        <v>IGP PAYS DE L'HERAULT CARIGNAN MAS AZAN</v>
      </c>
      <c r="F260" s="14">
        <f>SUMIFS(data!G:G,data!A:A,TABLEAU!B260,data!C:C,TABLEAU!D260,data!F:F,YEAR(Feuil1!$D$1))</f>
        <v>1155.9000000000001</v>
      </c>
      <c r="G260" s="9">
        <f>SUMIFS(data!G:G,data!A:A,TABLEAU!B260,data!C:C,TABLEAU!D260,data!F:F,YEAR(Feuil1!$D$2))</f>
        <v>2187.7199999999998</v>
      </c>
      <c r="H260" s="9">
        <f t="shared" si="16"/>
        <v>-1031.8199999999997</v>
      </c>
      <c r="I260" s="12">
        <f t="shared" si="17"/>
        <v>-0.47164170917667697</v>
      </c>
      <c r="J260" s="13">
        <f>SUMIFS(data!E:E,data!A:A,TABLEAU!B260,data!C:C,TABLEAU!D260,data!F:F,YEAR(Feuil1!$D$1))</f>
        <v>192</v>
      </c>
      <c r="K260" s="13">
        <f>SUMIFS(data!E:E,data!A:A,TABLEAU!B260,data!C:C,TABLEAU!D260,data!F:F,YEAR(Feuil1!$D$2))</f>
        <v>366</v>
      </c>
      <c r="L260" s="13">
        <f t="shared" si="18"/>
        <v>-174</v>
      </c>
      <c r="M260" s="12">
        <f t="shared" si="19"/>
        <v>-0.47540983606557374</v>
      </c>
    </row>
    <row r="261" spans="1:13" x14ac:dyDescent="0.25">
      <c r="A261" s="17" t="str">
        <f>data!H447</f>
        <v>VINICOM</v>
      </c>
      <c r="B261" s="15" t="str">
        <f>data!A447</f>
        <v>003517</v>
      </c>
      <c r="C261" s="1" t="str">
        <f>data!B447</f>
        <v>HOBIVIN</v>
      </c>
      <c r="D261" s="1" t="str">
        <f>data!C447</f>
        <v>801003H</v>
      </c>
      <c r="E261" s="1" t="str">
        <f>data!D261</f>
        <v>IGP DE L'HERAULT GRENACHE MAS AZAN</v>
      </c>
      <c r="F261" s="14">
        <f>SUMIFS(data!G:G,data!A:A,TABLEAU!B261,data!C:C,TABLEAU!D261,data!F:F,YEAR(Feuil1!$D$1))</f>
        <v>5045.3999999999996</v>
      </c>
      <c r="G261" s="9">
        <f>SUMIFS(data!G:G,data!A:A,TABLEAU!B261,data!C:C,TABLEAU!D261,data!F:F,YEAR(Feuil1!$D$2))</f>
        <v>5673.24</v>
      </c>
      <c r="H261" s="9">
        <f t="shared" si="16"/>
        <v>-627.84000000000015</v>
      </c>
      <c r="I261" s="12">
        <f t="shared" si="17"/>
        <v>-0.11066692048987883</v>
      </c>
      <c r="J261" s="13">
        <f>SUMIFS(data!E:E,data!A:A,TABLEAU!B261,data!C:C,TABLEAU!D261,data!F:F,YEAR(Feuil1!$D$1))</f>
        <v>804</v>
      </c>
      <c r="K261" s="13">
        <f>SUMIFS(data!E:E,data!A:A,TABLEAU!B261,data!C:C,TABLEAU!D261,data!F:F,YEAR(Feuil1!$D$2))</f>
        <v>924</v>
      </c>
      <c r="L261" s="13">
        <f t="shared" si="18"/>
        <v>-120</v>
      </c>
      <c r="M261" s="12">
        <f t="shared" si="19"/>
        <v>-0.12987012987012986</v>
      </c>
    </row>
    <row r="262" spans="1:13" x14ac:dyDescent="0.25">
      <c r="A262" s="17" t="str">
        <f>data!H449</f>
        <v>VINICOM</v>
      </c>
      <c r="B262" s="15" t="str">
        <f>data!A449</f>
        <v>003517</v>
      </c>
      <c r="C262" s="1" t="str">
        <f>data!B449</f>
        <v>HOBIVIN</v>
      </c>
      <c r="D262" s="1" t="str">
        <f>data!C449</f>
        <v>805005H</v>
      </c>
      <c r="E262" s="1" t="str">
        <f>data!D262</f>
        <v>IGP PAYS DE L'HERAULT MAS AZAN</v>
      </c>
      <c r="F262" s="14">
        <f>SUMIFS(data!G:G,data!A:A,TABLEAU!B262,data!C:C,TABLEAU!D262,data!F:F,YEAR(Feuil1!$D$1))</f>
        <v>2526.62</v>
      </c>
      <c r="G262" s="9">
        <f>SUMIFS(data!G:G,data!A:A,TABLEAU!B262,data!C:C,TABLEAU!D262,data!F:F,YEAR(Feuil1!$D$2))</f>
        <v>139.08000000000001</v>
      </c>
      <c r="H262" s="9">
        <f t="shared" si="16"/>
        <v>2387.54</v>
      </c>
      <c r="I262" s="12">
        <f t="shared" si="17"/>
        <v>17.166666666666664</v>
      </c>
      <c r="J262" s="13">
        <f>SUMIFS(data!E:E,data!A:A,TABLEAU!B262,data!C:C,TABLEAU!D262,data!F:F,YEAR(Feuil1!$D$1))</f>
        <v>228</v>
      </c>
      <c r="K262" s="13">
        <f>SUMIFS(data!E:E,data!A:A,TABLEAU!B262,data!C:C,TABLEAU!D262,data!F:F,YEAR(Feuil1!$D$2))</f>
        <v>12</v>
      </c>
      <c r="L262" s="13">
        <f t="shared" si="18"/>
        <v>216</v>
      </c>
      <c r="M262" s="12">
        <f t="shared" si="19"/>
        <v>18</v>
      </c>
    </row>
    <row r="263" spans="1:13" x14ac:dyDescent="0.25">
      <c r="A263" s="17" t="str">
        <f>data!H451</f>
        <v>VINICOM</v>
      </c>
      <c r="B263" s="15" t="str">
        <f>data!A451</f>
        <v>003517</v>
      </c>
      <c r="C263" s="1" t="str">
        <f>data!B451</f>
        <v>HOBIVIN</v>
      </c>
      <c r="D263" s="1" t="str">
        <f>data!C451</f>
        <v>805007H</v>
      </c>
      <c r="E263" s="1" t="str">
        <f>data!D263</f>
        <v>AC VIN DE SAVOIS APPREMONT</v>
      </c>
      <c r="F263" s="14">
        <f>SUMIFS(data!G:G,data!A:A,TABLEAU!B263,data!C:C,TABLEAU!D263,data!F:F,YEAR(Feuil1!$D$1))</f>
        <v>5707.34</v>
      </c>
      <c r="G263" s="9">
        <f>SUMIFS(data!G:G,data!A:A,TABLEAU!B263,data!C:C,TABLEAU!D263,data!F:F,YEAR(Feuil1!$D$2))</f>
        <v>0</v>
      </c>
      <c r="H263" s="9">
        <f t="shared" si="16"/>
        <v>5707.34</v>
      </c>
      <c r="I263" s="12" t="str">
        <f t="shared" si="17"/>
        <v/>
      </c>
      <c r="J263" s="13">
        <f>SUMIFS(data!E:E,data!A:A,TABLEAU!B263,data!C:C,TABLEAU!D263,data!F:F,YEAR(Feuil1!$D$1))</f>
        <v>600</v>
      </c>
      <c r="K263" s="13">
        <f>SUMIFS(data!E:E,data!A:A,TABLEAU!B263,data!C:C,TABLEAU!D263,data!F:F,YEAR(Feuil1!$D$2))</f>
        <v>30</v>
      </c>
      <c r="L263" s="13">
        <f t="shared" si="18"/>
        <v>570</v>
      </c>
      <c r="M263" s="12">
        <f t="shared" si="19"/>
        <v>19</v>
      </c>
    </row>
    <row r="264" spans="1:13" x14ac:dyDescent="0.25">
      <c r="A264" s="17" t="str">
        <f>data!H453</f>
        <v>VINICOM</v>
      </c>
      <c r="B264" s="15" t="str">
        <f>data!A453</f>
        <v>003517</v>
      </c>
      <c r="C264" s="1" t="str">
        <f>data!B453</f>
        <v>HOBIVIN</v>
      </c>
      <c r="D264" s="1" t="str">
        <f>data!C453</f>
        <v>990005H</v>
      </c>
      <c r="E264" s="1" t="str">
        <f>data!D264</f>
        <v>AC VIN DE SAVOIS APPREMONT</v>
      </c>
      <c r="F264" s="14">
        <f>SUMIFS(data!G:G,data!A:A,TABLEAU!B264,data!C:C,TABLEAU!D264,data!F:F,YEAR(Feuil1!$D$1))</f>
        <v>0</v>
      </c>
      <c r="G264" s="9">
        <f>SUMIFS(data!G:G,data!A:A,TABLEAU!B264,data!C:C,TABLEAU!D264,data!F:F,YEAR(Feuil1!$D$2))</f>
        <v>0</v>
      </c>
      <c r="H264" s="9">
        <f t="shared" si="16"/>
        <v>0</v>
      </c>
      <c r="I264" s="12" t="str">
        <f t="shared" si="17"/>
        <v/>
      </c>
      <c r="J264" s="13">
        <f>SUMIFS(data!E:E,data!A:A,TABLEAU!B264,data!C:C,TABLEAU!D264,data!F:F,YEAR(Feuil1!$D$1))</f>
        <v>0</v>
      </c>
      <c r="K264" s="13">
        <f>SUMIFS(data!E:E,data!A:A,TABLEAU!B264,data!C:C,TABLEAU!D264,data!F:F,YEAR(Feuil1!$D$2))</f>
        <v>0</v>
      </c>
      <c r="L264" s="13">
        <f t="shared" si="18"/>
        <v>0</v>
      </c>
      <c r="M264" s="12" t="str">
        <f t="shared" si="19"/>
        <v/>
      </c>
    </row>
    <row r="265" spans="1:13" x14ac:dyDescent="0.25">
      <c r="A265" s="17" t="str">
        <f>data!H454</f>
        <v>VINICOM</v>
      </c>
      <c r="B265" s="15" t="str">
        <f>data!A454</f>
        <v>003517</v>
      </c>
      <c r="C265" s="1" t="str">
        <f>data!B454</f>
        <v>HOBIVIN</v>
      </c>
      <c r="D265" s="1" t="str">
        <f>data!C454</f>
        <v>990010H</v>
      </c>
      <c r="E265" s="1" t="str">
        <f>data!D265</f>
        <v>AC VIN DE SAVOIE MONDEUSE</v>
      </c>
      <c r="F265" s="14">
        <f>SUMIFS(data!G:G,data!A:A,TABLEAU!B265,data!C:C,TABLEAU!D265,data!F:F,YEAR(Feuil1!$D$1))</f>
        <v>0</v>
      </c>
      <c r="G265" s="9">
        <f>SUMIFS(data!G:G,data!A:A,TABLEAU!B265,data!C:C,TABLEAU!D265,data!F:F,YEAR(Feuil1!$D$2))</f>
        <v>1248</v>
      </c>
      <c r="H265" s="9">
        <f t="shared" si="16"/>
        <v>-1248</v>
      </c>
      <c r="I265" s="12">
        <f t="shared" si="17"/>
        <v>-1</v>
      </c>
      <c r="J265" s="13">
        <f>SUMIFS(data!E:E,data!A:A,TABLEAU!B265,data!C:C,TABLEAU!D265,data!F:F,YEAR(Feuil1!$D$1))</f>
        <v>0</v>
      </c>
      <c r="K265" s="13">
        <f>SUMIFS(data!E:E,data!A:A,TABLEAU!B265,data!C:C,TABLEAU!D265,data!F:F,YEAR(Feuil1!$D$2))</f>
        <v>0</v>
      </c>
      <c r="L265" s="13">
        <f t="shared" si="18"/>
        <v>0</v>
      </c>
      <c r="M265" s="12" t="str">
        <f t="shared" si="19"/>
        <v/>
      </c>
    </row>
    <row r="266" spans="1:13" x14ac:dyDescent="0.25">
      <c r="A266" s="17" t="str">
        <f>data!H456</f>
        <v>VINICOM</v>
      </c>
      <c r="B266" s="15" t="str">
        <f>data!A456</f>
        <v>003517</v>
      </c>
      <c r="C266" s="1" t="str">
        <f>data!B456</f>
        <v>HOBIVIN</v>
      </c>
      <c r="D266" s="1" t="str">
        <f>data!C456</f>
        <v>995001H</v>
      </c>
      <c r="E266" s="1" t="str">
        <f>data!D266</f>
        <v>AC VIN DE SAVOIE MONDEUSE</v>
      </c>
      <c r="F266" s="14">
        <f>SUMIFS(data!G:G,data!A:A,TABLEAU!B266,data!C:C,TABLEAU!D266,data!F:F,YEAR(Feuil1!$D$1))</f>
        <v>0</v>
      </c>
      <c r="G266" s="9">
        <f>SUMIFS(data!G:G,data!A:A,TABLEAU!B266,data!C:C,TABLEAU!D266,data!F:F,YEAR(Feuil1!$D$2))</f>
        <v>0</v>
      </c>
      <c r="H266" s="9">
        <f t="shared" si="16"/>
        <v>0</v>
      </c>
      <c r="I266" s="12" t="str">
        <f t="shared" si="17"/>
        <v/>
      </c>
      <c r="J266" s="13">
        <f>SUMIFS(data!E:E,data!A:A,TABLEAU!B266,data!C:C,TABLEAU!D266,data!F:F,YEAR(Feuil1!$D$1))</f>
        <v>3</v>
      </c>
      <c r="K266" s="13">
        <f>SUMIFS(data!E:E,data!A:A,TABLEAU!B266,data!C:C,TABLEAU!D266,data!F:F,YEAR(Feuil1!$D$2))</f>
        <v>2</v>
      </c>
      <c r="L266" s="13">
        <f t="shared" si="18"/>
        <v>1</v>
      </c>
      <c r="M266" s="12">
        <f t="shared" si="19"/>
        <v>0.5</v>
      </c>
    </row>
    <row r="267" spans="1:13" x14ac:dyDescent="0.25">
      <c r="A267" s="17" t="str">
        <f>data!H458</f>
        <v>VINICOM</v>
      </c>
      <c r="B267" s="15" t="str">
        <f>data!A458</f>
        <v>003517</v>
      </c>
      <c r="C267" s="1" t="str">
        <f>data!B458</f>
        <v>HOBIVIN</v>
      </c>
      <c r="D267" s="1" t="str">
        <f>data!C458</f>
        <v>995002H</v>
      </c>
      <c r="E267" s="1" t="str">
        <f>data!D267</f>
        <v>AC VIN DE SAVOIE ABYMES CH DE LA VIOLETTE</v>
      </c>
      <c r="F267" s="14">
        <f>SUMIFS(data!G:G,data!A:A,TABLEAU!B267,data!C:C,TABLEAU!D267,data!F:F,YEAR(Feuil1!$D$1))</f>
        <v>0</v>
      </c>
      <c r="G267" s="9">
        <f>SUMIFS(data!G:G,data!A:A,TABLEAU!B267,data!C:C,TABLEAU!D267,data!F:F,YEAR(Feuil1!$D$2))</f>
        <v>763.65</v>
      </c>
      <c r="H267" s="9">
        <f t="shared" si="16"/>
        <v>-763.65</v>
      </c>
      <c r="I267" s="12">
        <f t="shared" si="17"/>
        <v>-1</v>
      </c>
      <c r="J267" s="13">
        <f>SUMIFS(data!E:E,data!A:A,TABLEAU!B267,data!C:C,TABLEAU!D267,data!F:F,YEAR(Feuil1!$D$1))</f>
        <v>46</v>
      </c>
      <c r="K267" s="13">
        <f>SUMIFS(data!E:E,data!A:A,TABLEAU!B267,data!C:C,TABLEAU!D267,data!F:F,YEAR(Feuil1!$D$2))</f>
        <v>232</v>
      </c>
      <c r="L267" s="13">
        <f t="shared" si="18"/>
        <v>-186</v>
      </c>
      <c r="M267" s="12">
        <f t="shared" si="19"/>
        <v>-0.80172413793103448</v>
      </c>
    </row>
    <row r="268" spans="1:13" x14ac:dyDescent="0.25">
      <c r="A268" s="17" t="str">
        <f>data!H460</f>
        <v>VINICOM</v>
      </c>
      <c r="B268" s="15" t="str">
        <f>data!A460</f>
        <v>003517</v>
      </c>
      <c r="C268" s="1" t="str">
        <f>data!B460</f>
        <v>HOBIVIN</v>
      </c>
      <c r="D268" s="1" t="str">
        <f>data!C460</f>
        <v>995003H</v>
      </c>
      <c r="E268" s="1" t="str">
        <f>data!D268</f>
        <v>AC VIN DE SAVOIE ABYMES CH DE LA VIOLETTE</v>
      </c>
      <c r="F268" s="14">
        <f>SUMIFS(data!G:G,data!A:A,TABLEAU!B268,data!C:C,TABLEAU!D268,data!F:F,YEAR(Feuil1!$D$1))</f>
        <v>0</v>
      </c>
      <c r="G268" s="9">
        <f>SUMIFS(data!G:G,data!A:A,TABLEAU!B268,data!C:C,TABLEAU!D268,data!F:F,YEAR(Feuil1!$D$2))</f>
        <v>493.02</v>
      </c>
      <c r="H268" s="9">
        <f t="shared" si="16"/>
        <v>-493.02</v>
      </c>
      <c r="I268" s="12">
        <f t="shared" si="17"/>
        <v>-1</v>
      </c>
      <c r="J268" s="13">
        <f>SUMIFS(data!E:E,data!A:A,TABLEAU!B268,data!C:C,TABLEAU!D268,data!F:F,YEAR(Feuil1!$D$1))</f>
        <v>71</v>
      </c>
      <c r="K268" s="13">
        <f>SUMIFS(data!E:E,data!A:A,TABLEAU!B268,data!C:C,TABLEAU!D268,data!F:F,YEAR(Feuil1!$D$2))</f>
        <v>217</v>
      </c>
      <c r="L268" s="13">
        <f t="shared" si="18"/>
        <v>-146</v>
      </c>
      <c r="M268" s="12">
        <f t="shared" si="19"/>
        <v>-0.67281105990783407</v>
      </c>
    </row>
    <row r="269" spans="1:13" x14ac:dyDescent="0.25">
      <c r="A269" s="17" t="str">
        <f>data!H462</f>
        <v>VINICOM</v>
      </c>
      <c r="B269" s="15" t="str">
        <f>data!A462</f>
        <v>003517</v>
      </c>
      <c r="C269" s="1" t="str">
        <f>data!B462</f>
        <v>HOBIVIN</v>
      </c>
      <c r="D269" s="1" t="str">
        <f>data!C462</f>
        <v>995004H</v>
      </c>
      <c r="E269" s="1" t="str">
        <f>data!D269</f>
        <v>VIN DE FRANCE LES FILLES DE LA GUINGUETTE</v>
      </c>
      <c r="F269" s="14">
        <f>SUMIFS(data!G:G,data!A:A,TABLEAU!B269,data!C:C,TABLEAU!D269,data!F:F,YEAR(Feuil1!$D$1))</f>
        <v>0</v>
      </c>
      <c r="G269" s="9">
        <f>SUMIFS(data!G:G,data!A:A,TABLEAU!B269,data!C:C,TABLEAU!D269,data!F:F,YEAR(Feuil1!$D$2))</f>
        <v>765.79</v>
      </c>
      <c r="H269" s="9">
        <f t="shared" si="16"/>
        <v>-765.79</v>
      </c>
      <c r="I269" s="12">
        <f t="shared" si="17"/>
        <v>-1</v>
      </c>
      <c r="J269" s="13">
        <f>SUMIFS(data!E:E,data!A:A,TABLEAU!B269,data!C:C,TABLEAU!D269,data!F:F,YEAR(Feuil1!$D$1))</f>
        <v>62</v>
      </c>
      <c r="K269" s="13">
        <f>SUMIFS(data!E:E,data!A:A,TABLEAU!B269,data!C:C,TABLEAU!D269,data!F:F,YEAR(Feuil1!$D$2))</f>
        <v>194</v>
      </c>
      <c r="L269" s="13">
        <f t="shared" si="18"/>
        <v>-132</v>
      </c>
      <c r="M269" s="12">
        <f t="shared" si="19"/>
        <v>-0.68041237113402064</v>
      </c>
    </row>
    <row r="270" spans="1:13" x14ac:dyDescent="0.25">
      <c r="A270" s="17" t="str">
        <f>data!H464</f>
        <v>VINICOM</v>
      </c>
      <c r="B270" s="15" t="str">
        <f>data!A464</f>
        <v>003517</v>
      </c>
      <c r="C270" s="1" t="str">
        <f>data!B464</f>
        <v>HOBIVIN</v>
      </c>
      <c r="D270" s="1" t="str">
        <f>data!C464</f>
        <v>995007H</v>
      </c>
      <c r="E270" s="1" t="str">
        <f>data!D270</f>
        <v>VIN DE FRANCE LES FILLES DE LA GUINGUETTE</v>
      </c>
      <c r="F270" s="14">
        <f>SUMIFS(data!G:G,data!A:A,TABLEAU!B270,data!C:C,TABLEAU!D270,data!F:F,YEAR(Feuil1!$D$1))</f>
        <v>0</v>
      </c>
      <c r="G270" s="9">
        <f>SUMIFS(data!G:G,data!A:A,TABLEAU!B270,data!C:C,TABLEAU!D270,data!F:F,YEAR(Feuil1!$D$2))</f>
        <v>1279.3599999999999</v>
      </c>
      <c r="H270" s="9">
        <f t="shared" si="16"/>
        <v>-1279.3599999999999</v>
      </c>
      <c r="I270" s="12">
        <f t="shared" si="17"/>
        <v>-1</v>
      </c>
      <c r="J270" s="13">
        <f>SUMIFS(data!E:E,data!A:A,TABLEAU!B270,data!C:C,TABLEAU!D270,data!F:F,YEAR(Feuil1!$D$1))</f>
        <v>121</v>
      </c>
      <c r="K270" s="13">
        <f>SUMIFS(data!E:E,data!A:A,TABLEAU!B270,data!C:C,TABLEAU!D270,data!F:F,YEAR(Feuil1!$D$2))</f>
        <v>513</v>
      </c>
      <c r="L270" s="13">
        <f t="shared" si="18"/>
        <v>-392</v>
      </c>
      <c r="M270" s="12">
        <f t="shared" si="19"/>
        <v>-0.76413255360623777</v>
      </c>
    </row>
    <row r="271" spans="1:13" x14ac:dyDescent="0.25">
      <c r="A271" s="17" t="str">
        <f>data!H466</f>
        <v>VINICOM</v>
      </c>
      <c r="B271" s="15" t="str">
        <f>data!A466</f>
        <v>003517</v>
      </c>
      <c r="C271" s="1" t="str">
        <f>data!B466</f>
        <v>HOBIVIN</v>
      </c>
      <c r="D271" s="1" t="str">
        <f>data!C466</f>
        <v>995008H</v>
      </c>
      <c r="E271" s="1" t="str">
        <f>data!D271</f>
        <v>AC SAINT CHINIAN METISS MARQUISE DES MURES</v>
      </c>
      <c r="F271" s="14">
        <f>SUMIFS(data!G:G,data!A:A,TABLEAU!B271,data!C:C,TABLEAU!D271,data!F:F,YEAR(Feuil1!$D$1))</f>
        <v>0</v>
      </c>
      <c r="G271" s="9">
        <f>SUMIFS(data!G:G,data!A:A,TABLEAU!B271,data!C:C,TABLEAU!D271,data!F:F,YEAR(Feuil1!$D$2))</f>
        <v>382.28</v>
      </c>
      <c r="H271" s="9">
        <f t="shared" si="16"/>
        <v>-382.28</v>
      </c>
      <c r="I271" s="12">
        <f t="shared" si="17"/>
        <v>-1</v>
      </c>
      <c r="J271" s="13">
        <f>SUMIFS(data!E:E,data!A:A,TABLEAU!B271,data!C:C,TABLEAU!D271,data!F:F,YEAR(Feuil1!$D$1))</f>
        <v>57</v>
      </c>
      <c r="K271" s="13">
        <f>SUMIFS(data!E:E,data!A:A,TABLEAU!B271,data!C:C,TABLEAU!D271,data!F:F,YEAR(Feuil1!$D$2))</f>
        <v>178</v>
      </c>
      <c r="L271" s="13">
        <f t="shared" si="18"/>
        <v>-121</v>
      </c>
      <c r="M271" s="12">
        <f t="shared" si="19"/>
        <v>-0.6797752808988764</v>
      </c>
    </row>
    <row r="272" spans="1:13" x14ac:dyDescent="0.25">
      <c r="A272" s="17" t="str">
        <f>data!H468</f>
        <v>VINICOM</v>
      </c>
      <c r="B272" s="15" t="str">
        <f>data!A468</f>
        <v>003517</v>
      </c>
      <c r="C272" s="1" t="str">
        <f>data!B468</f>
        <v>HOBIVIN</v>
      </c>
      <c r="D272" s="1" t="str">
        <f>data!C468</f>
        <v>995009H</v>
      </c>
      <c r="E272" s="1" t="str">
        <f>data!D272</f>
        <v>AC SAINT CHINIAN METISS MARQUISE DES MURES</v>
      </c>
      <c r="F272" s="14">
        <f>SUMIFS(data!G:G,data!A:A,TABLEAU!B272,data!C:C,TABLEAU!D272,data!F:F,YEAR(Feuil1!$D$1))</f>
        <v>74.099999999999994</v>
      </c>
      <c r="G272" s="9">
        <f>SUMIFS(data!G:G,data!A:A,TABLEAU!B272,data!C:C,TABLEAU!D272,data!F:F,YEAR(Feuil1!$D$2))</f>
        <v>1137.81</v>
      </c>
      <c r="H272" s="9">
        <f t="shared" si="16"/>
        <v>-1063.71</v>
      </c>
      <c r="I272" s="12">
        <f t="shared" si="17"/>
        <v>-0.93487489123843182</v>
      </c>
      <c r="J272" s="13">
        <f>SUMIFS(data!E:E,data!A:A,TABLEAU!B272,data!C:C,TABLEAU!D272,data!F:F,YEAR(Feuil1!$D$1))</f>
        <v>73</v>
      </c>
      <c r="K272" s="13">
        <f>SUMIFS(data!E:E,data!A:A,TABLEAU!B272,data!C:C,TABLEAU!D272,data!F:F,YEAR(Feuil1!$D$2))</f>
        <v>242</v>
      </c>
      <c r="L272" s="13">
        <f t="shared" si="18"/>
        <v>-169</v>
      </c>
      <c r="M272" s="12">
        <f t="shared" si="19"/>
        <v>-0.69834710743801653</v>
      </c>
    </row>
    <row r="273" spans="1:13" x14ac:dyDescent="0.25">
      <c r="A273" s="17" t="str">
        <f>data!H470</f>
        <v>VINICOM</v>
      </c>
      <c r="B273" s="15" t="str">
        <f>data!A470</f>
        <v>003517</v>
      </c>
      <c r="C273" s="1" t="str">
        <f>data!B470</f>
        <v>HOBIVIN</v>
      </c>
      <c r="D273" s="1" t="str">
        <f>data!C470</f>
        <v>995011H</v>
      </c>
      <c r="E273" s="1" t="str">
        <f>data!D273</f>
        <v>AC LISTRAC-MEDOC CLOS DES DEMOISELLES</v>
      </c>
      <c r="F273" s="14">
        <f>SUMIFS(data!G:G,data!A:A,TABLEAU!B273,data!C:C,TABLEAU!D273,data!F:F,YEAR(Feuil1!$D$1))</f>
        <v>0</v>
      </c>
      <c r="G273" s="9">
        <f>SUMIFS(data!G:G,data!A:A,TABLEAU!B273,data!C:C,TABLEAU!D273,data!F:F,YEAR(Feuil1!$D$2))</f>
        <v>0</v>
      </c>
      <c r="H273" s="9">
        <f t="shared" si="16"/>
        <v>0</v>
      </c>
      <c r="I273" s="12" t="str">
        <f t="shared" si="17"/>
        <v/>
      </c>
      <c r="J273" s="13">
        <f>SUMIFS(data!E:E,data!A:A,TABLEAU!B273,data!C:C,TABLEAU!D273,data!F:F,YEAR(Feuil1!$D$1))</f>
        <v>17</v>
      </c>
      <c r="K273" s="13">
        <f>SUMIFS(data!E:E,data!A:A,TABLEAU!B273,data!C:C,TABLEAU!D273,data!F:F,YEAR(Feuil1!$D$2))</f>
        <v>20</v>
      </c>
      <c r="L273" s="13">
        <f t="shared" si="18"/>
        <v>-3</v>
      </c>
      <c r="M273" s="12">
        <f t="shared" si="19"/>
        <v>-0.15</v>
      </c>
    </row>
    <row r="274" spans="1:13" x14ac:dyDescent="0.25">
      <c r="A274" s="17" t="str">
        <f>data!H472</f>
        <v>VINICOM</v>
      </c>
      <c r="B274" s="15" t="str">
        <f>data!A472</f>
        <v>003517</v>
      </c>
      <c r="C274" s="1" t="str">
        <f>data!B472</f>
        <v>HOBIVIN</v>
      </c>
      <c r="D274" s="1" t="str">
        <f>data!C472</f>
        <v>CDH- 222005</v>
      </c>
      <c r="E274" s="1" t="str">
        <f>data!D274</f>
        <v>AC LISTRAC-MEDOC CLOS DES DEMOISELLES</v>
      </c>
      <c r="F274" s="14">
        <f>SUMIFS(data!G:G,data!A:A,TABLEAU!B274,data!C:C,TABLEAU!D274,data!F:F,YEAR(Feuil1!$D$1))</f>
        <v>0</v>
      </c>
      <c r="G274" s="9">
        <f>SUMIFS(data!G:G,data!A:A,TABLEAU!B274,data!C:C,TABLEAU!D274,data!F:F,YEAR(Feuil1!$D$2))</f>
        <v>0</v>
      </c>
      <c r="H274" s="9">
        <f t="shared" si="16"/>
        <v>0</v>
      </c>
      <c r="I274" s="12" t="str">
        <f t="shared" si="17"/>
        <v/>
      </c>
      <c r="J274" s="13">
        <f>SUMIFS(data!E:E,data!A:A,TABLEAU!B274,data!C:C,TABLEAU!D274,data!F:F,YEAR(Feuil1!$D$1))</f>
        <v>6</v>
      </c>
      <c r="K274" s="13">
        <f>SUMIFS(data!E:E,data!A:A,TABLEAU!B274,data!C:C,TABLEAU!D274,data!F:F,YEAR(Feuil1!$D$2))</f>
        <v>6</v>
      </c>
      <c r="L274" s="13">
        <f t="shared" si="18"/>
        <v>0</v>
      </c>
      <c r="M274" s="12">
        <f t="shared" si="19"/>
        <v>0</v>
      </c>
    </row>
    <row r="275" spans="1:13" x14ac:dyDescent="0.25">
      <c r="A275" s="17" t="str">
        <f>data!H474</f>
        <v>VINICOM</v>
      </c>
      <c r="B275" s="15" t="str">
        <f>data!A474</f>
        <v>003517</v>
      </c>
      <c r="C275" s="1" t="str">
        <f>data!B474</f>
        <v>HOBIVIN</v>
      </c>
      <c r="D275" s="1" t="str">
        <f>data!C474</f>
        <v>CDH-001001</v>
      </c>
      <c r="E275" s="1" t="str">
        <f>data!D275</f>
        <v>AC MOULIS EN MEDOC CH CHEMIN ROYAL</v>
      </c>
      <c r="F275" s="14">
        <f>SUMIFS(data!G:G,data!A:A,TABLEAU!B275,data!C:C,TABLEAU!D275,data!F:F,YEAR(Feuil1!$D$1))</f>
        <v>8994.2999999999993</v>
      </c>
      <c r="G275" s="9">
        <f>SUMIFS(data!G:G,data!A:A,TABLEAU!B275,data!C:C,TABLEAU!D275,data!F:F,YEAR(Feuil1!$D$2))</f>
        <v>17752.400000000001</v>
      </c>
      <c r="H275" s="9">
        <f t="shared" si="16"/>
        <v>-8758.1000000000022</v>
      </c>
      <c r="I275" s="12">
        <f t="shared" si="17"/>
        <v>-0.49334737838264131</v>
      </c>
      <c r="J275" s="13">
        <f>SUMIFS(data!E:E,data!A:A,TABLEAU!B275,data!C:C,TABLEAU!D275,data!F:F,YEAR(Feuil1!$D$1))</f>
        <v>636</v>
      </c>
      <c r="K275" s="13">
        <f>SUMIFS(data!E:E,data!A:A,TABLEAU!B275,data!C:C,TABLEAU!D275,data!F:F,YEAR(Feuil1!$D$2))</f>
        <v>1428</v>
      </c>
      <c r="L275" s="13">
        <f t="shared" si="18"/>
        <v>-792</v>
      </c>
      <c r="M275" s="12">
        <f t="shared" si="19"/>
        <v>-0.55462184873949583</v>
      </c>
    </row>
    <row r="276" spans="1:13" x14ac:dyDescent="0.25">
      <c r="A276" s="17" t="str">
        <f>data!H476</f>
        <v>VINICOM</v>
      </c>
      <c r="B276" s="15" t="str">
        <f>data!A476</f>
        <v>003517</v>
      </c>
      <c r="C276" s="1" t="str">
        <f>data!B476</f>
        <v>HOBIVIN</v>
      </c>
      <c r="D276" s="1" t="str">
        <f>data!C476</f>
        <v>CDH-001002</v>
      </c>
      <c r="E276" s="1" t="str">
        <f>data!D276</f>
        <v>AC MOULIS EN MEDOC CH CHEMIN ROYAL</v>
      </c>
      <c r="F276" s="14">
        <f>SUMIFS(data!G:G,data!A:A,TABLEAU!B276,data!C:C,TABLEAU!D276,data!F:F,YEAR(Feuil1!$D$1))</f>
        <v>182.76</v>
      </c>
      <c r="G276" s="9">
        <f>SUMIFS(data!G:G,data!A:A,TABLEAU!B276,data!C:C,TABLEAU!D276,data!F:F,YEAR(Feuil1!$D$2))</f>
        <v>628.30999999999995</v>
      </c>
      <c r="H276" s="9">
        <f t="shared" si="16"/>
        <v>-445.54999999999995</v>
      </c>
      <c r="I276" s="12">
        <f t="shared" si="17"/>
        <v>-0.70912447677102064</v>
      </c>
      <c r="J276" s="13">
        <f>SUMIFS(data!E:E,data!A:A,TABLEAU!B276,data!C:C,TABLEAU!D276,data!F:F,YEAR(Feuil1!$D$1))</f>
        <v>12</v>
      </c>
      <c r="K276" s="13">
        <f>SUMIFS(data!E:E,data!A:A,TABLEAU!B276,data!C:C,TABLEAU!D276,data!F:F,YEAR(Feuil1!$D$2))</f>
        <v>42</v>
      </c>
      <c r="L276" s="13">
        <f t="shared" si="18"/>
        <v>-30</v>
      </c>
      <c r="M276" s="12">
        <f t="shared" si="19"/>
        <v>-0.7142857142857143</v>
      </c>
    </row>
    <row r="277" spans="1:13" x14ac:dyDescent="0.25">
      <c r="A277" s="17" t="str">
        <f>data!H478</f>
        <v>VINICOM</v>
      </c>
      <c r="B277" s="15" t="str">
        <f>data!A478</f>
        <v>003517</v>
      </c>
      <c r="C277" s="1" t="str">
        <f>data!B478</f>
        <v>HOBIVIN</v>
      </c>
      <c r="D277" s="1" t="str">
        <f>data!C478</f>
        <v>CDH-001003</v>
      </c>
      <c r="E277" s="1" t="str">
        <f>data!D277</f>
        <v>SENORIO BARIOBERO JOVEN DE RIOJA</v>
      </c>
      <c r="F277" s="14">
        <f>SUMIFS(data!G:G,data!A:A,TABLEAU!B277,data!C:C,TABLEAU!D277,data!F:F,YEAR(Feuil1!$D$1))</f>
        <v>643.05999999999995</v>
      </c>
      <c r="G277" s="9">
        <f>SUMIFS(data!G:G,data!A:A,TABLEAU!B277,data!C:C,TABLEAU!D277,data!F:F,YEAR(Feuil1!$D$2))</f>
        <v>935.36</v>
      </c>
      <c r="H277" s="9">
        <f t="shared" si="16"/>
        <v>-292.30000000000007</v>
      </c>
      <c r="I277" s="12">
        <f t="shared" si="17"/>
        <v>-0.31250000000000006</v>
      </c>
      <c r="J277" s="13">
        <f>SUMIFS(data!E:E,data!A:A,TABLEAU!B277,data!C:C,TABLEAU!D277,data!F:F,YEAR(Feuil1!$D$1))</f>
        <v>44</v>
      </c>
      <c r="K277" s="13">
        <f>SUMIFS(data!E:E,data!A:A,TABLEAU!B277,data!C:C,TABLEAU!D277,data!F:F,YEAR(Feuil1!$D$2))</f>
        <v>66</v>
      </c>
      <c r="L277" s="13">
        <f t="shared" si="18"/>
        <v>-22</v>
      </c>
      <c r="M277" s="12">
        <f t="shared" si="19"/>
        <v>-0.33333333333333331</v>
      </c>
    </row>
    <row r="278" spans="1:13" x14ac:dyDescent="0.25">
      <c r="A278" s="17" t="str">
        <f>data!H480</f>
        <v>VINICOM</v>
      </c>
      <c r="B278" s="15" t="str">
        <f>data!A480</f>
        <v>003517</v>
      </c>
      <c r="C278" s="1" t="str">
        <f>data!B480</f>
        <v>HOBIVIN</v>
      </c>
      <c r="D278" s="1" t="str">
        <f>data!C480</f>
        <v>CDH-001004</v>
      </c>
      <c r="E278" s="1" t="str">
        <f>data!D278</f>
        <v>SENORIO BARIOBERO JOVEN DE RIOJA</v>
      </c>
      <c r="F278" s="14">
        <f>SUMIFS(data!G:G,data!A:A,TABLEAU!B278,data!C:C,TABLEAU!D278,data!F:F,YEAR(Feuil1!$D$1))</f>
        <v>0</v>
      </c>
      <c r="G278" s="9">
        <f>SUMIFS(data!G:G,data!A:A,TABLEAU!B278,data!C:C,TABLEAU!D278,data!F:F,YEAR(Feuil1!$D$2))</f>
        <v>289.5</v>
      </c>
      <c r="H278" s="9">
        <f t="shared" si="16"/>
        <v>-289.5</v>
      </c>
      <c r="I278" s="12">
        <f t="shared" si="17"/>
        <v>-1</v>
      </c>
      <c r="J278" s="13">
        <f>SUMIFS(data!E:E,data!A:A,TABLEAU!B278,data!C:C,TABLEAU!D278,data!F:F,YEAR(Feuil1!$D$1))</f>
        <v>8</v>
      </c>
      <c r="K278" s="13">
        <f>SUMIFS(data!E:E,data!A:A,TABLEAU!B278,data!C:C,TABLEAU!D278,data!F:F,YEAR(Feuil1!$D$2))</f>
        <v>12</v>
      </c>
      <c r="L278" s="13">
        <f t="shared" si="18"/>
        <v>-4</v>
      </c>
      <c r="M278" s="12">
        <f t="shared" si="19"/>
        <v>-0.33333333333333331</v>
      </c>
    </row>
    <row r="279" spans="1:13" x14ac:dyDescent="0.25">
      <c r="A279" s="17" t="str">
        <f>data!H482</f>
        <v>VINICOM</v>
      </c>
      <c r="B279" s="15" t="str">
        <f>data!A482</f>
        <v>003517</v>
      </c>
      <c r="C279" s="1" t="str">
        <f>data!B482</f>
        <v>HOBIVIN</v>
      </c>
      <c r="D279" s="1" t="str">
        <f>data!C482</f>
        <v>CDH-001005</v>
      </c>
      <c r="E279" s="1" t="str">
        <f>data!D279</f>
        <v>SENORIO BARIOBERO JOVEN DE RIOJA</v>
      </c>
      <c r="F279" s="14">
        <f>SUMIFS(data!G:G,data!A:A,TABLEAU!B279,data!C:C,TABLEAU!D279,data!F:F,YEAR(Feuil1!$D$1))</f>
        <v>1118.7</v>
      </c>
      <c r="G279" s="9">
        <f>SUMIFS(data!G:G,data!A:A,TABLEAU!B279,data!C:C,TABLEAU!D279,data!F:F,YEAR(Feuil1!$D$2))</f>
        <v>3456</v>
      </c>
      <c r="H279" s="9">
        <f t="shared" si="16"/>
        <v>-2337.3000000000002</v>
      </c>
      <c r="I279" s="12">
        <f t="shared" si="17"/>
        <v>-0.67630208333333341</v>
      </c>
      <c r="J279" s="13">
        <f>SUMIFS(data!E:E,data!A:A,TABLEAU!B279,data!C:C,TABLEAU!D279,data!F:F,YEAR(Feuil1!$D$1))</f>
        <v>66</v>
      </c>
      <c r="K279" s="13">
        <f>SUMIFS(data!E:E,data!A:A,TABLEAU!B279,data!C:C,TABLEAU!D279,data!F:F,YEAR(Feuil1!$D$2))</f>
        <v>204</v>
      </c>
      <c r="L279" s="13">
        <f t="shared" si="18"/>
        <v>-138</v>
      </c>
      <c r="M279" s="12">
        <f t="shared" si="19"/>
        <v>-0.67647058823529416</v>
      </c>
    </row>
    <row r="280" spans="1:13" x14ac:dyDescent="0.25">
      <c r="A280" s="17" t="str">
        <f>data!H484</f>
        <v>VINICOM</v>
      </c>
      <c r="B280" s="15" t="str">
        <f>data!A484</f>
        <v>003517</v>
      </c>
      <c r="C280" s="1" t="str">
        <f>data!B484</f>
        <v>HOBIVIN</v>
      </c>
      <c r="D280" s="1" t="str">
        <f>data!C484</f>
        <v>CDH-001006</v>
      </c>
      <c r="E280" s="1" t="str">
        <f>data!D280</f>
        <v>RIBERA DEL DUERO SAN QUIRCE</v>
      </c>
      <c r="F280" s="14">
        <f>SUMIFS(data!G:G,data!A:A,TABLEAU!B280,data!C:C,TABLEAU!D280,data!F:F,YEAR(Feuil1!$D$1))</f>
        <v>0</v>
      </c>
      <c r="G280" s="9">
        <f>SUMIFS(data!G:G,data!A:A,TABLEAU!B280,data!C:C,TABLEAU!D280,data!F:F,YEAR(Feuil1!$D$2))</f>
        <v>240.6</v>
      </c>
      <c r="H280" s="9">
        <f t="shared" si="16"/>
        <v>-240.6</v>
      </c>
      <c r="I280" s="12">
        <f t="shared" si="17"/>
        <v>-1</v>
      </c>
      <c r="J280" s="13">
        <f>SUMIFS(data!E:E,data!A:A,TABLEAU!B280,data!C:C,TABLEAU!D280,data!F:F,YEAR(Feuil1!$D$1))</f>
        <v>0</v>
      </c>
      <c r="K280" s="13">
        <f>SUMIFS(data!E:E,data!A:A,TABLEAU!B280,data!C:C,TABLEAU!D280,data!F:F,YEAR(Feuil1!$D$2))</f>
        <v>12</v>
      </c>
      <c r="L280" s="13">
        <f t="shared" si="18"/>
        <v>-12</v>
      </c>
      <c r="M280" s="12">
        <f t="shared" si="19"/>
        <v>-1</v>
      </c>
    </row>
    <row r="281" spans="1:13" x14ac:dyDescent="0.25">
      <c r="A281" s="17" t="str">
        <f>data!H485</f>
        <v>VINICOM</v>
      </c>
      <c r="B281" s="15" t="str">
        <f>data!A485</f>
        <v>003517</v>
      </c>
      <c r="C281" s="1" t="str">
        <f>data!B485</f>
        <v>HOBIVIN</v>
      </c>
      <c r="D281" s="1" t="str">
        <f>data!C485</f>
        <v>CDH-001031</v>
      </c>
      <c r="E281" s="1" t="str">
        <f>data!D281</f>
        <v>RIBERA DEL DUERO SAN QUIRCE</v>
      </c>
      <c r="F281" s="14">
        <f>SUMIFS(data!G:G,data!A:A,TABLEAU!B281,data!C:C,TABLEAU!D281,data!F:F,YEAR(Feuil1!$D$1))</f>
        <v>0</v>
      </c>
      <c r="G281" s="9">
        <f>SUMIFS(data!G:G,data!A:A,TABLEAU!B281,data!C:C,TABLEAU!D281,data!F:F,YEAR(Feuil1!$D$2))</f>
        <v>0</v>
      </c>
      <c r="H281" s="9">
        <f t="shared" si="16"/>
        <v>0</v>
      </c>
      <c r="I281" s="12" t="str">
        <f t="shared" si="17"/>
        <v/>
      </c>
      <c r="J281" s="13">
        <f>SUMIFS(data!E:E,data!A:A,TABLEAU!B281,data!C:C,TABLEAU!D281,data!F:F,YEAR(Feuil1!$D$1))</f>
        <v>0</v>
      </c>
      <c r="K281" s="13">
        <f>SUMIFS(data!E:E,data!A:A,TABLEAU!B281,data!C:C,TABLEAU!D281,data!F:F,YEAR(Feuil1!$D$2))</f>
        <v>36</v>
      </c>
      <c r="L281" s="13">
        <f t="shared" si="18"/>
        <v>-36</v>
      </c>
      <c r="M281" s="12">
        <f t="shared" si="19"/>
        <v>-1</v>
      </c>
    </row>
    <row r="282" spans="1:13" x14ac:dyDescent="0.25">
      <c r="A282" s="17" t="str">
        <f>data!H486</f>
        <v>VINICOM</v>
      </c>
      <c r="B282" s="15" t="str">
        <f>data!A486</f>
        <v>003517</v>
      </c>
      <c r="C282" s="1" t="str">
        <f>data!B486</f>
        <v>HOBIVIN</v>
      </c>
      <c r="D282" s="1" t="str">
        <f>data!C486</f>
        <v>CDH-001033</v>
      </c>
      <c r="E282" s="1" t="str">
        <f>data!D282</f>
        <v>AOP RASTEAU DOMAINE DE LA COLLIERE</v>
      </c>
      <c r="F282" s="14">
        <f>SUMIFS(data!G:G,data!A:A,TABLEAU!B282,data!C:C,TABLEAU!D282,data!F:F,YEAR(Feuil1!$D$1))</f>
        <v>0</v>
      </c>
      <c r="G282" s="9">
        <f>SUMIFS(data!G:G,data!A:A,TABLEAU!B282,data!C:C,TABLEAU!D282,data!F:F,YEAR(Feuil1!$D$2))</f>
        <v>0</v>
      </c>
      <c r="H282" s="9">
        <f t="shared" si="16"/>
        <v>0</v>
      </c>
      <c r="I282" s="12" t="str">
        <f t="shared" si="17"/>
        <v/>
      </c>
      <c r="J282" s="13">
        <f>SUMIFS(data!E:E,data!A:A,TABLEAU!B282,data!C:C,TABLEAU!D282,data!F:F,YEAR(Feuil1!$D$1))</f>
        <v>0</v>
      </c>
      <c r="K282" s="13">
        <f>SUMIFS(data!E:E,data!A:A,TABLEAU!B282,data!C:C,TABLEAU!D282,data!F:F,YEAR(Feuil1!$D$2))</f>
        <v>12</v>
      </c>
      <c r="L282" s="13">
        <f t="shared" si="18"/>
        <v>-12</v>
      </c>
      <c r="M282" s="12">
        <f t="shared" si="19"/>
        <v>-1</v>
      </c>
    </row>
    <row r="283" spans="1:13" x14ac:dyDescent="0.25">
      <c r="A283" s="17" t="str">
        <f>data!H487</f>
        <v>VINICOM</v>
      </c>
      <c r="B283" s="15" t="str">
        <f>data!A487</f>
        <v>003517</v>
      </c>
      <c r="C283" s="1" t="str">
        <f>data!B487</f>
        <v>HOBIVIN</v>
      </c>
      <c r="D283" s="1" t="str">
        <f>data!C487</f>
        <v>CDH-001036</v>
      </c>
      <c r="E283" s="1" t="str">
        <f>data!D283</f>
        <v>AOP RASTEAU DOMAINE DE LA COLLIERE</v>
      </c>
      <c r="F283" s="14">
        <f>SUMIFS(data!G:G,data!A:A,TABLEAU!B283,data!C:C,TABLEAU!D283,data!F:F,YEAR(Feuil1!$D$1))</f>
        <v>0</v>
      </c>
      <c r="G283" s="9">
        <f>SUMIFS(data!G:G,data!A:A,TABLEAU!B283,data!C:C,TABLEAU!D283,data!F:F,YEAR(Feuil1!$D$2))</f>
        <v>248.35</v>
      </c>
      <c r="H283" s="9">
        <f t="shared" si="16"/>
        <v>-248.35</v>
      </c>
      <c r="I283" s="12">
        <f t="shared" si="17"/>
        <v>-1</v>
      </c>
      <c r="J283" s="13">
        <f>SUMIFS(data!E:E,data!A:A,TABLEAU!B283,data!C:C,TABLEAU!D283,data!F:F,YEAR(Feuil1!$D$1))</f>
        <v>0</v>
      </c>
      <c r="K283" s="13">
        <f>SUMIFS(data!E:E,data!A:A,TABLEAU!B283,data!C:C,TABLEAU!D283,data!F:F,YEAR(Feuil1!$D$2))</f>
        <v>8</v>
      </c>
      <c r="L283" s="13">
        <f t="shared" si="18"/>
        <v>-8</v>
      </c>
      <c r="M283" s="12">
        <f t="shared" si="19"/>
        <v>-1</v>
      </c>
    </row>
    <row r="284" spans="1:13" x14ac:dyDescent="0.25">
      <c r="A284" s="17" t="str">
        <f>data!H488</f>
        <v>VINICOM</v>
      </c>
      <c r="B284" s="15" t="str">
        <f>data!A488</f>
        <v>003517</v>
      </c>
      <c r="C284" s="1" t="str">
        <f>data!B488</f>
        <v>HOBIVIN</v>
      </c>
      <c r="D284" s="1" t="str">
        <f>data!C488</f>
        <v>CDH-012001</v>
      </c>
      <c r="E284" s="1" t="str">
        <f>data!D284</f>
        <v>MARQUISE DES LYS BLANC DE BLANC</v>
      </c>
      <c r="F284" s="14">
        <f>SUMIFS(data!G:G,data!A:A,TABLEAU!B284,data!C:C,TABLEAU!D284,data!F:F,YEAR(Feuil1!$D$1))</f>
        <v>0</v>
      </c>
      <c r="G284" s="9">
        <f>SUMIFS(data!G:G,data!A:A,TABLEAU!B284,data!C:C,TABLEAU!D284,data!F:F,YEAR(Feuil1!$D$2))</f>
        <v>181.44</v>
      </c>
      <c r="H284" s="9">
        <f t="shared" si="16"/>
        <v>-181.44</v>
      </c>
      <c r="I284" s="12">
        <f t="shared" si="17"/>
        <v>-1</v>
      </c>
      <c r="J284" s="13">
        <f>SUMIFS(data!E:E,data!A:A,TABLEAU!B284,data!C:C,TABLEAU!D284,data!F:F,YEAR(Feuil1!$D$1))</f>
        <v>0</v>
      </c>
      <c r="K284" s="13">
        <f>SUMIFS(data!E:E,data!A:A,TABLEAU!B284,data!C:C,TABLEAU!D284,data!F:F,YEAR(Feuil1!$D$2))</f>
        <v>84</v>
      </c>
      <c r="L284" s="13">
        <f t="shared" si="18"/>
        <v>-84</v>
      </c>
      <c r="M284" s="12">
        <f t="shared" si="19"/>
        <v>-1</v>
      </c>
    </row>
    <row r="285" spans="1:13" x14ac:dyDescent="0.25">
      <c r="A285" s="17" t="str">
        <f>data!H489</f>
        <v>VINICOM</v>
      </c>
      <c r="B285" s="15" t="str">
        <f>data!A489</f>
        <v>003517</v>
      </c>
      <c r="C285" s="1" t="str">
        <f>data!B489</f>
        <v>HOBIVIN</v>
      </c>
      <c r="D285" s="1" t="str">
        <f>data!C489</f>
        <v>CDH-022001</v>
      </c>
      <c r="E285" s="1" t="str">
        <f>data!D285</f>
        <v>MARQUISE DES LYS BLANC DE BLANC</v>
      </c>
      <c r="F285" s="14">
        <f>SUMIFS(data!G:G,data!A:A,TABLEAU!B285,data!C:C,TABLEAU!D285,data!F:F,YEAR(Feuil1!$D$1))</f>
        <v>0</v>
      </c>
      <c r="G285" s="9">
        <f>SUMIFS(data!G:G,data!A:A,TABLEAU!B285,data!C:C,TABLEAU!D285,data!F:F,YEAR(Feuil1!$D$2))</f>
        <v>476.46</v>
      </c>
      <c r="H285" s="9">
        <f t="shared" si="16"/>
        <v>-476.46</v>
      </c>
      <c r="I285" s="12">
        <f t="shared" si="17"/>
        <v>-1</v>
      </c>
      <c r="J285" s="13">
        <f>SUMIFS(data!E:E,data!A:A,TABLEAU!B285,data!C:C,TABLEAU!D285,data!F:F,YEAR(Feuil1!$D$1))</f>
        <v>0</v>
      </c>
      <c r="K285" s="13">
        <f>SUMIFS(data!E:E,data!A:A,TABLEAU!B285,data!C:C,TABLEAU!D285,data!F:F,YEAR(Feuil1!$D$2))</f>
        <v>18</v>
      </c>
      <c r="L285" s="13">
        <f t="shared" si="18"/>
        <v>-18</v>
      </c>
      <c r="M285" s="12">
        <f t="shared" si="19"/>
        <v>-1</v>
      </c>
    </row>
    <row r="286" spans="1:13" x14ac:dyDescent="0.25">
      <c r="A286" s="17" t="str">
        <f>data!H490</f>
        <v>VINICOM</v>
      </c>
      <c r="B286" s="15" t="str">
        <f>data!A490</f>
        <v>003517</v>
      </c>
      <c r="C286" s="1" t="str">
        <f>data!B490</f>
        <v>HOBIVIN</v>
      </c>
      <c r="D286" s="1" t="str">
        <f>data!C490</f>
        <v>CDH-022002</v>
      </c>
      <c r="E286" s="1" t="str">
        <f>data!D286</f>
        <v>AOP COTES DE BOURG CHATEAU HAUT GUIRAUD</v>
      </c>
      <c r="F286" s="14">
        <f>SUMIFS(data!G:G,data!A:A,TABLEAU!B286,data!C:C,TABLEAU!D286,data!F:F,YEAR(Feuil1!$D$1))</f>
        <v>686.16</v>
      </c>
      <c r="G286" s="9">
        <f>SUMIFS(data!G:G,data!A:A,TABLEAU!B286,data!C:C,TABLEAU!D286,data!F:F,YEAR(Feuil1!$D$2))</f>
        <v>823.44</v>
      </c>
      <c r="H286" s="9">
        <f t="shared" si="16"/>
        <v>-137.28000000000009</v>
      </c>
      <c r="I286" s="12">
        <f t="shared" si="17"/>
        <v>-0.16671524336928017</v>
      </c>
      <c r="J286" s="13">
        <f>SUMIFS(data!E:E,data!A:A,TABLEAU!B286,data!C:C,TABLEAU!D286,data!F:F,YEAR(Feuil1!$D$1))</f>
        <v>36</v>
      </c>
      <c r="K286" s="13">
        <f>SUMIFS(data!E:E,data!A:A,TABLEAU!B286,data!C:C,TABLEAU!D286,data!F:F,YEAR(Feuil1!$D$2))</f>
        <v>42</v>
      </c>
      <c r="L286" s="13">
        <f t="shared" si="18"/>
        <v>-6</v>
      </c>
      <c r="M286" s="12">
        <f t="shared" si="19"/>
        <v>-0.14285714285714285</v>
      </c>
    </row>
    <row r="287" spans="1:13" x14ac:dyDescent="0.25">
      <c r="A287" s="17" t="str">
        <f>data!H492</f>
        <v>VINICOM</v>
      </c>
      <c r="B287" s="15" t="str">
        <f>data!A492</f>
        <v>003517</v>
      </c>
      <c r="C287" s="1" t="str">
        <f>data!B492</f>
        <v>HOBIVIN</v>
      </c>
      <c r="D287" s="1" t="str">
        <f>data!C492</f>
        <v>CDH-022003</v>
      </c>
      <c r="E287" s="1" t="str">
        <f>data!D287</f>
        <v>AOP COTES DE BOURG CHATEAU HAUT GUIRAUD</v>
      </c>
      <c r="F287" s="14">
        <f>SUMIFS(data!G:G,data!A:A,TABLEAU!B287,data!C:C,TABLEAU!D287,data!F:F,YEAR(Feuil1!$D$1))</f>
        <v>296.52</v>
      </c>
      <c r="G287" s="9">
        <f>SUMIFS(data!G:G,data!A:A,TABLEAU!B287,data!C:C,TABLEAU!D287,data!F:F,YEAR(Feuil1!$D$2))</f>
        <v>593.04</v>
      </c>
      <c r="H287" s="9">
        <f t="shared" si="16"/>
        <v>-296.52</v>
      </c>
      <c r="I287" s="12">
        <f t="shared" si="17"/>
        <v>-0.5</v>
      </c>
      <c r="J287" s="13">
        <f>SUMIFS(data!E:E,data!A:A,TABLEAU!B287,data!C:C,TABLEAU!D287,data!F:F,YEAR(Feuil1!$D$1))</f>
        <v>12</v>
      </c>
      <c r="K287" s="13">
        <f>SUMIFS(data!E:E,data!A:A,TABLEAU!B287,data!C:C,TABLEAU!D287,data!F:F,YEAR(Feuil1!$D$2))</f>
        <v>24</v>
      </c>
      <c r="L287" s="13">
        <f t="shared" si="18"/>
        <v>-12</v>
      </c>
      <c r="M287" s="12">
        <f t="shared" si="19"/>
        <v>-0.5</v>
      </c>
    </row>
    <row r="288" spans="1:13" x14ac:dyDescent="0.25">
      <c r="A288" s="17" t="str">
        <f>data!H494</f>
        <v>VINICOM</v>
      </c>
      <c r="B288" s="15" t="str">
        <f>data!A494</f>
        <v>003517</v>
      </c>
      <c r="C288" s="1" t="str">
        <f>data!B494</f>
        <v>HOBIVIN</v>
      </c>
      <c r="D288" s="1" t="str">
        <f>data!C494</f>
        <v>CDH-022004</v>
      </c>
      <c r="E288" s="1" t="str">
        <f>data!D288</f>
        <v>IGP VIOGNIER DME DU BON REMEDE</v>
      </c>
      <c r="F288" s="14">
        <f>SUMIFS(data!G:G,data!A:A,TABLEAU!B288,data!C:C,TABLEAU!D288,data!F:F,YEAR(Feuil1!$D$1))</f>
        <v>1030.5</v>
      </c>
      <c r="G288" s="9">
        <f>SUMIFS(data!G:G,data!A:A,TABLEAU!B288,data!C:C,TABLEAU!D288,data!F:F,YEAR(Feuil1!$D$2))</f>
        <v>824.4</v>
      </c>
      <c r="H288" s="9">
        <f t="shared" si="16"/>
        <v>206.10000000000002</v>
      </c>
      <c r="I288" s="12">
        <f t="shared" si="17"/>
        <v>0.25000000000000006</v>
      </c>
      <c r="J288" s="13">
        <f>SUMIFS(data!E:E,data!A:A,TABLEAU!B288,data!C:C,TABLEAU!D288,data!F:F,YEAR(Feuil1!$D$1))</f>
        <v>30</v>
      </c>
      <c r="K288" s="13">
        <f>SUMIFS(data!E:E,data!A:A,TABLEAU!B288,data!C:C,TABLEAU!D288,data!F:F,YEAR(Feuil1!$D$2))</f>
        <v>24</v>
      </c>
      <c r="L288" s="13">
        <f t="shared" si="18"/>
        <v>6</v>
      </c>
      <c r="M288" s="12">
        <f t="shared" si="19"/>
        <v>0.25</v>
      </c>
    </row>
    <row r="289" spans="1:13" x14ac:dyDescent="0.25">
      <c r="A289" s="17" t="str">
        <f>data!H496</f>
        <v>VINICOM</v>
      </c>
      <c r="B289" s="15" t="str">
        <f>data!A496</f>
        <v>003517</v>
      </c>
      <c r="C289" s="1" t="str">
        <f>data!B496</f>
        <v>HOBIVIN</v>
      </c>
      <c r="D289" s="1" t="str">
        <f>data!C496</f>
        <v>CDH-022011</v>
      </c>
      <c r="E289" s="1" t="str">
        <f>data!D289</f>
        <v>IGP VIOGNIER DME DU BON REMEDE</v>
      </c>
      <c r="F289" s="14">
        <f>SUMIFS(data!G:G,data!A:A,TABLEAU!B289,data!C:C,TABLEAU!D289,data!F:F,YEAR(Feuil1!$D$1))</f>
        <v>0</v>
      </c>
      <c r="G289" s="9">
        <f>SUMIFS(data!G:G,data!A:A,TABLEAU!B289,data!C:C,TABLEAU!D289,data!F:F,YEAR(Feuil1!$D$2))</f>
        <v>985.61</v>
      </c>
      <c r="H289" s="9">
        <f t="shared" si="16"/>
        <v>-985.61</v>
      </c>
      <c r="I289" s="12">
        <f t="shared" si="17"/>
        <v>-1</v>
      </c>
      <c r="J289" s="13">
        <f>SUMIFS(data!E:E,data!A:A,TABLEAU!B289,data!C:C,TABLEAU!D289,data!F:F,YEAR(Feuil1!$D$1))</f>
        <v>0</v>
      </c>
      <c r="K289" s="13">
        <f>SUMIFS(data!E:E,data!A:A,TABLEAU!B289,data!C:C,TABLEAU!D289,data!F:F,YEAR(Feuil1!$D$2))</f>
        <v>35</v>
      </c>
      <c r="L289" s="13">
        <f t="shared" si="18"/>
        <v>-35</v>
      </c>
      <c r="M289" s="12">
        <f t="shared" si="19"/>
        <v>-1</v>
      </c>
    </row>
    <row r="290" spans="1:13" x14ac:dyDescent="0.25">
      <c r="A290" s="17" t="str">
        <f>data!H497</f>
        <v>VINICOM</v>
      </c>
      <c r="B290" s="15" t="str">
        <f>data!A497</f>
        <v>003517</v>
      </c>
      <c r="C290" s="1" t="str">
        <f>data!B497</f>
        <v>HOBIVIN</v>
      </c>
      <c r="D290" s="1" t="str">
        <f>data!C497</f>
        <v>CDH-030003</v>
      </c>
      <c r="E290" s="1" t="str">
        <f>data!D290</f>
        <v>IGP D'OC CHARDONNAY BACHELLERY</v>
      </c>
      <c r="F290" s="14">
        <f>SUMIFS(data!G:G,data!A:A,TABLEAU!B290,data!C:C,TABLEAU!D290,data!F:F,YEAR(Feuil1!$D$1))</f>
        <v>0</v>
      </c>
      <c r="G290" s="9">
        <f>SUMIFS(data!G:G,data!A:A,TABLEAU!B290,data!C:C,TABLEAU!D290,data!F:F,YEAR(Feuil1!$D$2))</f>
        <v>0</v>
      </c>
      <c r="H290" s="9">
        <f t="shared" si="16"/>
        <v>0</v>
      </c>
      <c r="I290" s="12" t="str">
        <f t="shared" si="17"/>
        <v/>
      </c>
      <c r="J290" s="13">
        <f>SUMIFS(data!E:E,data!A:A,TABLEAU!B290,data!C:C,TABLEAU!D290,data!F:F,YEAR(Feuil1!$D$1))</f>
        <v>0</v>
      </c>
      <c r="K290" s="13">
        <f>SUMIFS(data!E:E,data!A:A,TABLEAU!B290,data!C:C,TABLEAU!D290,data!F:F,YEAR(Feuil1!$D$2))</f>
        <v>12</v>
      </c>
      <c r="L290" s="13">
        <f t="shared" si="18"/>
        <v>-12</v>
      </c>
      <c r="M290" s="12">
        <f t="shared" si="19"/>
        <v>-1</v>
      </c>
    </row>
    <row r="291" spans="1:13" x14ac:dyDescent="0.25">
      <c r="A291" s="17" t="str">
        <f>data!H498</f>
        <v>VINICOM</v>
      </c>
      <c r="B291" s="15" t="str">
        <f>data!A498</f>
        <v>003517</v>
      </c>
      <c r="C291" s="1" t="str">
        <f>data!B498</f>
        <v>HOBIVIN</v>
      </c>
      <c r="D291" s="1" t="str">
        <f>data!C498</f>
        <v>CDH-041020</v>
      </c>
      <c r="E291" s="1" t="str">
        <f>data!D291</f>
        <v>IGP D'OC CHARDONNAY BACHELLERY</v>
      </c>
      <c r="F291" s="14">
        <f>SUMIFS(data!G:G,data!A:A,TABLEAU!B291,data!C:C,TABLEAU!D291,data!F:F,YEAR(Feuil1!$D$1))</f>
        <v>0</v>
      </c>
      <c r="G291" s="9">
        <f>SUMIFS(data!G:G,data!A:A,TABLEAU!B291,data!C:C,TABLEAU!D291,data!F:F,YEAR(Feuil1!$D$2))</f>
        <v>0</v>
      </c>
      <c r="H291" s="9">
        <f t="shared" si="16"/>
        <v>0</v>
      </c>
      <c r="I291" s="12" t="str">
        <f t="shared" si="17"/>
        <v/>
      </c>
      <c r="J291" s="13">
        <f>SUMIFS(data!E:E,data!A:A,TABLEAU!B291,data!C:C,TABLEAU!D291,data!F:F,YEAR(Feuil1!$D$1))</f>
        <v>0</v>
      </c>
      <c r="K291" s="13">
        <f>SUMIFS(data!E:E,data!A:A,TABLEAU!B291,data!C:C,TABLEAU!D291,data!F:F,YEAR(Feuil1!$D$2))</f>
        <v>2</v>
      </c>
      <c r="L291" s="13">
        <f t="shared" si="18"/>
        <v>-2</v>
      </c>
      <c r="M291" s="12">
        <f t="shared" si="19"/>
        <v>-1</v>
      </c>
    </row>
    <row r="292" spans="1:13" x14ac:dyDescent="0.25">
      <c r="A292" s="17" t="str">
        <f>data!H499</f>
        <v>VINICOM</v>
      </c>
      <c r="B292" s="15" t="str">
        <f>data!A499</f>
        <v>003517</v>
      </c>
      <c r="C292" s="1" t="str">
        <f>data!B499</f>
        <v>HOBIVIN</v>
      </c>
      <c r="D292" s="1" t="str">
        <f>data!C499</f>
        <v>CDH-049027</v>
      </c>
      <c r="E292" s="1" t="str">
        <f>data!D292</f>
        <v>IGP D'OC GRENACHE BACHELLERY</v>
      </c>
      <c r="F292" s="14">
        <f>SUMIFS(data!G:G,data!A:A,TABLEAU!B292,data!C:C,TABLEAU!D292,data!F:F,YEAR(Feuil1!$D$1))</f>
        <v>0</v>
      </c>
      <c r="G292" s="9">
        <f>SUMIFS(data!G:G,data!A:A,TABLEAU!B292,data!C:C,TABLEAU!D292,data!F:F,YEAR(Feuil1!$D$2))</f>
        <v>101.25</v>
      </c>
      <c r="H292" s="9">
        <f t="shared" si="16"/>
        <v>-101.25</v>
      </c>
      <c r="I292" s="12">
        <f t="shared" si="17"/>
        <v>-1</v>
      </c>
      <c r="J292" s="13">
        <f>SUMIFS(data!E:E,data!A:A,TABLEAU!B292,data!C:C,TABLEAU!D292,data!F:F,YEAR(Feuil1!$D$1))</f>
        <v>0</v>
      </c>
      <c r="K292" s="13">
        <f>SUMIFS(data!E:E,data!A:A,TABLEAU!B292,data!C:C,TABLEAU!D292,data!F:F,YEAR(Feuil1!$D$2))</f>
        <v>30</v>
      </c>
      <c r="L292" s="13">
        <f t="shared" si="18"/>
        <v>-30</v>
      </c>
      <c r="M292" s="12">
        <f t="shared" si="19"/>
        <v>-1</v>
      </c>
    </row>
    <row r="293" spans="1:13" x14ac:dyDescent="0.25">
      <c r="A293" s="17" t="str">
        <f>data!H500</f>
        <v>VINICOM</v>
      </c>
      <c r="B293" s="15" t="str">
        <f>data!A500</f>
        <v>003517</v>
      </c>
      <c r="C293" s="1" t="str">
        <f>data!B500</f>
        <v>HOBIVIN</v>
      </c>
      <c r="D293" s="1" t="str">
        <f>data!C500</f>
        <v>CDH-059025</v>
      </c>
      <c r="E293" s="1" t="str">
        <f>data!D293</f>
        <v>IGP D'OC GRENACHE BACHELLERY</v>
      </c>
      <c r="F293" s="14">
        <f>SUMIFS(data!G:G,data!A:A,TABLEAU!B293,data!C:C,TABLEAU!D293,data!F:F,YEAR(Feuil1!$D$1))</f>
        <v>0</v>
      </c>
      <c r="G293" s="9">
        <f>SUMIFS(data!G:G,data!A:A,TABLEAU!B293,data!C:C,TABLEAU!D293,data!F:F,YEAR(Feuil1!$D$2))</f>
        <v>108</v>
      </c>
      <c r="H293" s="9">
        <f t="shared" si="16"/>
        <v>-108</v>
      </c>
      <c r="I293" s="12">
        <f t="shared" si="17"/>
        <v>-1</v>
      </c>
      <c r="J293" s="13">
        <f>SUMIFS(data!E:E,data!A:A,TABLEAU!B293,data!C:C,TABLEAU!D293,data!F:F,YEAR(Feuil1!$D$1))</f>
        <v>0</v>
      </c>
      <c r="K293" s="13">
        <f>SUMIFS(data!E:E,data!A:A,TABLEAU!B293,data!C:C,TABLEAU!D293,data!F:F,YEAR(Feuil1!$D$2))</f>
        <v>48</v>
      </c>
      <c r="L293" s="13">
        <f t="shared" si="18"/>
        <v>-48</v>
      </c>
      <c r="M293" s="12">
        <f t="shared" si="19"/>
        <v>-1</v>
      </c>
    </row>
    <row r="294" spans="1:13" x14ac:dyDescent="0.25">
      <c r="A294" s="17" t="str">
        <f>data!H501</f>
        <v>VINICOM</v>
      </c>
      <c r="B294" s="15" t="str">
        <f>data!A501</f>
        <v>003517</v>
      </c>
      <c r="C294" s="1" t="str">
        <f>data!B501</f>
        <v>HOBIVIN</v>
      </c>
      <c r="D294" s="1" t="str">
        <f>data!C501</f>
        <v>CDH-068001</v>
      </c>
      <c r="E294" s="1" t="str">
        <f>data!D294</f>
        <v>IGP D'OC PINOT BACHELLERY</v>
      </c>
      <c r="F294" s="14">
        <f>SUMIFS(data!G:G,data!A:A,TABLEAU!B294,data!C:C,TABLEAU!D294,data!F:F,YEAR(Feuil1!$D$1))</f>
        <v>1840.02</v>
      </c>
      <c r="G294" s="9">
        <f>SUMIFS(data!G:G,data!A:A,TABLEAU!B294,data!C:C,TABLEAU!D294,data!F:F,YEAR(Feuil1!$D$2))</f>
        <v>1675.86</v>
      </c>
      <c r="H294" s="9">
        <f t="shared" si="16"/>
        <v>164.16000000000008</v>
      </c>
      <c r="I294" s="12">
        <f t="shared" si="17"/>
        <v>9.7955676488489546E-2</v>
      </c>
      <c r="J294" s="13">
        <f>SUMIFS(data!E:E,data!A:A,TABLEAU!B294,data!C:C,TABLEAU!D294,data!F:F,YEAR(Feuil1!$D$1))</f>
        <v>96</v>
      </c>
      <c r="K294" s="13">
        <f>SUMIFS(data!E:E,data!A:A,TABLEAU!B294,data!C:C,TABLEAU!D294,data!F:F,YEAR(Feuil1!$D$2))</f>
        <v>78</v>
      </c>
      <c r="L294" s="13">
        <f t="shared" si="18"/>
        <v>18</v>
      </c>
      <c r="M294" s="12">
        <f t="shared" si="19"/>
        <v>0.23076923076923078</v>
      </c>
    </row>
    <row r="295" spans="1:13" x14ac:dyDescent="0.25">
      <c r="A295" s="17" t="str">
        <f>data!H503</f>
        <v>VINICOM</v>
      </c>
      <c r="B295" s="15" t="str">
        <f>data!A503</f>
        <v>003517</v>
      </c>
      <c r="C295" s="1" t="str">
        <f>data!B503</f>
        <v>HOBIVIN</v>
      </c>
      <c r="D295" s="1" t="str">
        <f>data!C503</f>
        <v>CDH-068005</v>
      </c>
      <c r="E295" s="1" t="str">
        <f>data!D295</f>
        <v>IGP D'OC PINOT BACHELLERY</v>
      </c>
      <c r="F295" s="14">
        <f>SUMIFS(data!G:G,data!A:A,TABLEAU!B295,data!C:C,TABLEAU!D295,data!F:F,YEAR(Feuil1!$D$1))</f>
        <v>0</v>
      </c>
      <c r="G295" s="9">
        <f>SUMIFS(data!G:G,data!A:A,TABLEAU!B295,data!C:C,TABLEAU!D295,data!F:F,YEAR(Feuil1!$D$2))</f>
        <v>90.36</v>
      </c>
      <c r="H295" s="9">
        <f t="shared" si="16"/>
        <v>-90.36</v>
      </c>
      <c r="I295" s="12">
        <f t="shared" si="17"/>
        <v>-1</v>
      </c>
      <c r="J295" s="13">
        <f>SUMIFS(data!E:E,data!A:A,TABLEAU!B295,data!C:C,TABLEAU!D295,data!F:F,YEAR(Feuil1!$D$1))</f>
        <v>0</v>
      </c>
      <c r="K295" s="13">
        <f>SUMIFS(data!E:E,data!A:A,TABLEAU!B295,data!C:C,TABLEAU!D295,data!F:F,YEAR(Feuil1!$D$2))</f>
        <v>6</v>
      </c>
      <c r="L295" s="13">
        <f t="shared" si="18"/>
        <v>-6</v>
      </c>
      <c r="M295" s="12">
        <f t="shared" si="19"/>
        <v>-1</v>
      </c>
    </row>
    <row r="296" spans="1:13" x14ac:dyDescent="0.25">
      <c r="A296" s="17" t="str">
        <f>data!H504</f>
        <v>VINICOM</v>
      </c>
      <c r="B296" s="15" t="str">
        <f>data!A504</f>
        <v>003517</v>
      </c>
      <c r="C296" s="1" t="str">
        <f>data!B504</f>
        <v>HOBIVIN</v>
      </c>
      <c r="D296" s="1" t="str">
        <f>data!C504</f>
        <v>CDH-068010</v>
      </c>
      <c r="E296" s="1" t="str">
        <f>data!D296</f>
        <v>IGP D'OC BLANC DOMAINE DE MUS</v>
      </c>
      <c r="F296" s="14">
        <f>SUMIFS(data!G:G,data!A:A,TABLEAU!B296,data!C:C,TABLEAU!D296,data!F:F,YEAR(Feuil1!$D$1))</f>
        <v>275.58</v>
      </c>
      <c r="G296" s="9">
        <f>SUMIFS(data!G:G,data!A:A,TABLEAU!B296,data!C:C,TABLEAU!D296,data!F:F,YEAR(Feuil1!$D$2))</f>
        <v>908.28</v>
      </c>
      <c r="H296" s="9">
        <f t="shared" si="16"/>
        <v>-632.70000000000005</v>
      </c>
      <c r="I296" s="12">
        <f t="shared" si="17"/>
        <v>-0.69659135949266748</v>
      </c>
      <c r="J296" s="13">
        <f>SUMIFS(data!E:E,data!A:A,TABLEAU!B296,data!C:C,TABLEAU!D296,data!F:F,YEAR(Feuil1!$D$1))</f>
        <v>18</v>
      </c>
      <c r="K296" s="13">
        <f>SUMIFS(data!E:E,data!A:A,TABLEAU!B296,data!C:C,TABLEAU!D296,data!F:F,YEAR(Feuil1!$D$2))</f>
        <v>54</v>
      </c>
      <c r="L296" s="13">
        <f t="shared" si="18"/>
        <v>-36</v>
      </c>
      <c r="M296" s="12">
        <f t="shared" si="19"/>
        <v>-0.66666666666666663</v>
      </c>
    </row>
    <row r="297" spans="1:13" x14ac:dyDescent="0.25">
      <c r="A297" s="17" t="str">
        <f>data!H506</f>
        <v>VINICOM</v>
      </c>
      <c r="B297" s="15" t="str">
        <f>data!A506</f>
        <v>003517</v>
      </c>
      <c r="C297" s="1" t="str">
        <f>data!B506</f>
        <v>HOBIVIN</v>
      </c>
      <c r="D297" s="1" t="str">
        <f>data!C506</f>
        <v>CDH-0730013</v>
      </c>
      <c r="E297" s="1" t="str">
        <f>data!D297</f>
        <v>IGP D'OC BLANC DOMAINE DE MUS</v>
      </c>
      <c r="F297" s="14">
        <f>SUMIFS(data!G:G,data!A:A,TABLEAU!B297,data!C:C,TABLEAU!D297,data!F:F,YEAR(Feuil1!$D$1))</f>
        <v>0</v>
      </c>
      <c r="G297" s="9">
        <f>SUMIFS(data!G:G,data!A:A,TABLEAU!B297,data!C:C,TABLEAU!D297,data!F:F,YEAR(Feuil1!$D$2))</f>
        <v>70.599999999999994</v>
      </c>
      <c r="H297" s="9">
        <f t="shared" si="16"/>
        <v>-70.599999999999994</v>
      </c>
      <c r="I297" s="12">
        <f t="shared" si="17"/>
        <v>-1</v>
      </c>
      <c r="J297" s="13">
        <f>SUMIFS(data!E:E,data!A:A,TABLEAU!B297,data!C:C,TABLEAU!D297,data!F:F,YEAR(Feuil1!$D$1))</f>
        <v>0</v>
      </c>
      <c r="K297" s="13">
        <f>SUMIFS(data!E:E,data!A:A,TABLEAU!B297,data!C:C,TABLEAU!D297,data!F:F,YEAR(Feuil1!$D$2))</f>
        <v>4</v>
      </c>
      <c r="L297" s="13">
        <f t="shared" si="18"/>
        <v>-4</v>
      </c>
      <c r="M297" s="12">
        <f t="shared" si="19"/>
        <v>-1</v>
      </c>
    </row>
    <row r="298" spans="1:13" x14ac:dyDescent="0.25">
      <c r="A298" s="17" t="str">
        <f>data!H507</f>
        <v>VINICOM</v>
      </c>
      <c r="B298" s="15" t="str">
        <f>data!A507</f>
        <v>003517</v>
      </c>
      <c r="C298" s="1" t="str">
        <f>data!B507</f>
        <v>HOBIVIN</v>
      </c>
      <c r="D298" s="1" t="str">
        <f>data!C507</f>
        <v>CDH-073010</v>
      </c>
      <c r="E298" s="1" t="str">
        <f>data!D298</f>
        <v>IGP D'OC ROSE DOMAINE DE MUS</v>
      </c>
      <c r="F298" s="14">
        <f>SUMIFS(data!G:G,data!A:A,TABLEAU!B298,data!C:C,TABLEAU!D298,data!F:F,YEAR(Feuil1!$D$1))</f>
        <v>0</v>
      </c>
      <c r="G298" s="9">
        <f>SUMIFS(data!G:G,data!A:A,TABLEAU!B298,data!C:C,TABLEAU!D298,data!F:F,YEAR(Feuil1!$D$2))</f>
        <v>0</v>
      </c>
      <c r="H298" s="9">
        <f t="shared" si="16"/>
        <v>0</v>
      </c>
      <c r="I298" s="12" t="str">
        <f t="shared" si="17"/>
        <v/>
      </c>
      <c r="J298" s="13">
        <f>SUMIFS(data!E:E,data!A:A,TABLEAU!B298,data!C:C,TABLEAU!D298,data!F:F,YEAR(Feuil1!$D$1))</f>
        <v>0</v>
      </c>
      <c r="K298" s="13">
        <f>SUMIFS(data!E:E,data!A:A,TABLEAU!B298,data!C:C,TABLEAU!D298,data!F:F,YEAR(Feuil1!$D$2))</f>
        <v>6</v>
      </c>
      <c r="L298" s="13">
        <f t="shared" si="18"/>
        <v>-6</v>
      </c>
      <c r="M298" s="12">
        <f t="shared" si="19"/>
        <v>-1</v>
      </c>
    </row>
    <row r="299" spans="1:13" x14ac:dyDescent="0.25">
      <c r="A299" s="17" t="str">
        <f>data!H508</f>
        <v>VINICOM</v>
      </c>
      <c r="B299" s="15" t="str">
        <f>data!A508</f>
        <v>003517</v>
      </c>
      <c r="C299" s="1" t="str">
        <f>data!B508</f>
        <v>HOBIVIN</v>
      </c>
      <c r="D299" s="1" t="str">
        <f>data!C508</f>
        <v>CDH-073012</v>
      </c>
      <c r="E299" s="1" t="str">
        <f>data!D299</f>
        <v>IGP D'OC ROUGE DOMAINE DE MUS</v>
      </c>
      <c r="F299" s="14">
        <f>SUMIFS(data!G:G,data!A:A,TABLEAU!B299,data!C:C,TABLEAU!D299,data!F:F,YEAR(Feuil1!$D$1))</f>
        <v>35.299999999999997</v>
      </c>
      <c r="G299" s="9">
        <f>SUMIFS(data!G:G,data!A:A,TABLEAU!B299,data!C:C,TABLEAU!D299,data!F:F,YEAR(Feuil1!$D$2))</f>
        <v>0</v>
      </c>
      <c r="H299" s="9">
        <f t="shared" si="16"/>
        <v>35.299999999999997</v>
      </c>
      <c r="I299" s="12" t="str">
        <f t="shared" si="17"/>
        <v/>
      </c>
      <c r="J299" s="13">
        <f>SUMIFS(data!E:E,data!A:A,TABLEAU!B299,data!C:C,TABLEAU!D299,data!F:F,YEAR(Feuil1!$D$1))</f>
        <v>4</v>
      </c>
      <c r="K299" s="13">
        <f>SUMIFS(data!E:E,data!A:A,TABLEAU!B299,data!C:C,TABLEAU!D299,data!F:F,YEAR(Feuil1!$D$2))</f>
        <v>0</v>
      </c>
      <c r="L299" s="13">
        <f t="shared" si="18"/>
        <v>4</v>
      </c>
      <c r="M299" s="12" t="str">
        <f t="shared" si="19"/>
        <v/>
      </c>
    </row>
    <row r="300" spans="1:13" x14ac:dyDescent="0.25">
      <c r="A300" s="17" t="str">
        <f>data!H509</f>
        <v>VINICOM</v>
      </c>
      <c r="B300" s="15" t="str">
        <f>data!A509</f>
        <v>003517</v>
      </c>
      <c r="C300" s="1" t="str">
        <f>data!B509</f>
        <v>HOBIVIN</v>
      </c>
      <c r="D300" s="1" t="str">
        <f>data!C509</f>
        <v>CDH-096006</v>
      </c>
      <c r="E300" s="1" t="str">
        <f>data!D300</f>
        <v>IGP D'OC ROUGE DOMAINE DE MUS</v>
      </c>
      <c r="F300" s="14">
        <f>SUMIFS(data!G:G,data!A:A,TABLEAU!B300,data!C:C,TABLEAU!D300,data!F:F,YEAR(Feuil1!$D$1))</f>
        <v>423.9</v>
      </c>
      <c r="G300" s="9">
        <f>SUMIFS(data!G:G,data!A:A,TABLEAU!B300,data!C:C,TABLEAU!D300,data!F:F,YEAR(Feuil1!$D$2))</f>
        <v>0</v>
      </c>
      <c r="H300" s="9">
        <f t="shared" si="16"/>
        <v>423.9</v>
      </c>
      <c r="I300" s="12" t="str">
        <f t="shared" si="17"/>
        <v/>
      </c>
      <c r="J300" s="13">
        <f>SUMIFS(data!E:E,data!A:A,TABLEAU!B300,data!C:C,TABLEAU!D300,data!F:F,YEAR(Feuil1!$D$1))</f>
        <v>54</v>
      </c>
      <c r="K300" s="13">
        <f>SUMIFS(data!E:E,data!A:A,TABLEAU!B300,data!C:C,TABLEAU!D300,data!F:F,YEAR(Feuil1!$D$2))</f>
        <v>0</v>
      </c>
      <c r="L300" s="13">
        <f t="shared" si="18"/>
        <v>54</v>
      </c>
      <c r="M300" s="12" t="str">
        <f t="shared" si="19"/>
        <v/>
      </c>
    </row>
    <row r="301" spans="1:13" x14ac:dyDescent="0.25">
      <c r="A301" s="17" t="str">
        <f>data!H510</f>
        <v>VINICOM</v>
      </c>
      <c r="B301" s="15" t="str">
        <f>data!A510</f>
        <v>003517</v>
      </c>
      <c r="C301" s="1" t="str">
        <f>data!B510</f>
        <v>HOBIVIN</v>
      </c>
      <c r="D301" s="1" t="str">
        <f>data!C510</f>
        <v>CDH-100001</v>
      </c>
      <c r="E301" s="1" t="str">
        <f>data!D301</f>
        <v>IGP D'OC BALLADE EN STRAMINER</v>
      </c>
      <c r="F301" s="14">
        <f>SUMIFS(data!G:G,data!A:A,TABLEAU!B301,data!C:C,TABLEAU!D301,data!F:F,YEAR(Feuil1!$D$1))</f>
        <v>0</v>
      </c>
      <c r="G301" s="9">
        <f>SUMIFS(data!G:G,data!A:A,TABLEAU!B301,data!C:C,TABLEAU!D301,data!F:F,YEAR(Feuil1!$D$2))</f>
        <v>1462.5</v>
      </c>
      <c r="H301" s="9">
        <f t="shared" si="16"/>
        <v>-1462.5</v>
      </c>
      <c r="I301" s="12">
        <f t="shared" si="17"/>
        <v>-1</v>
      </c>
      <c r="J301" s="13">
        <f>SUMIFS(data!E:E,data!A:A,TABLEAU!B301,data!C:C,TABLEAU!D301,data!F:F,YEAR(Feuil1!$D$1))</f>
        <v>0</v>
      </c>
      <c r="K301" s="13">
        <f>SUMIFS(data!E:E,data!A:A,TABLEAU!B301,data!C:C,TABLEAU!D301,data!F:F,YEAR(Feuil1!$D$2))</f>
        <v>78</v>
      </c>
      <c r="L301" s="13">
        <f t="shared" si="18"/>
        <v>-78</v>
      </c>
      <c r="M301" s="12">
        <f t="shared" si="19"/>
        <v>-1</v>
      </c>
    </row>
    <row r="302" spans="1:13" x14ac:dyDescent="0.25">
      <c r="A302" s="17" t="str">
        <f>data!H511</f>
        <v>VINICOM</v>
      </c>
      <c r="B302" s="15" t="str">
        <f>data!A511</f>
        <v>003517</v>
      </c>
      <c r="C302" s="1" t="str">
        <f>data!B511</f>
        <v>HOBIVIN</v>
      </c>
      <c r="D302" s="1" t="str">
        <f>data!C511</f>
        <v>CDH-126001</v>
      </c>
      <c r="E302" s="1" t="str">
        <f>data!D302</f>
        <v>IGP D'OC BALLADE EN STRAMINER</v>
      </c>
      <c r="F302" s="14">
        <f>SUMIFS(data!G:G,data!A:A,TABLEAU!B302,data!C:C,TABLEAU!D302,data!F:F,YEAR(Feuil1!$D$1))</f>
        <v>0</v>
      </c>
      <c r="G302" s="9">
        <f>SUMIFS(data!G:G,data!A:A,TABLEAU!B302,data!C:C,TABLEAU!D302,data!F:F,YEAR(Feuil1!$D$2))</f>
        <v>182.16</v>
      </c>
      <c r="H302" s="9">
        <f t="shared" si="16"/>
        <v>-182.16</v>
      </c>
      <c r="I302" s="12">
        <f t="shared" si="17"/>
        <v>-1</v>
      </c>
      <c r="J302" s="13">
        <f>SUMIFS(data!E:E,data!A:A,TABLEAU!B302,data!C:C,TABLEAU!D302,data!F:F,YEAR(Feuil1!$D$1))</f>
        <v>0</v>
      </c>
      <c r="K302" s="13">
        <f>SUMIFS(data!E:E,data!A:A,TABLEAU!B302,data!C:C,TABLEAU!D302,data!F:F,YEAR(Feuil1!$D$2))</f>
        <v>36</v>
      </c>
      <c r="L302" s="13">
        <f t="shared" si="18"/>
        <v>-36</v>
      </c>
      <c r="M302" s="12">
        <f t="shared" si="19"/>
        <v>-1</v>
      </c>
    </row>
    <row r="303" spans="1:13" x14ac:dyDescent="0.25">
      <c r="A303" s="17" t="str">
        <f>data!H512</f>
        <v>VINICOM</v>
      </c>
      <c r="B303" s="15" t="str">
        <f>data!A512</f>
        <v>003517</v>
      </c>
      <c r="C303" s="1" t="str">
        <f>data!B512</f>
        <v>HOBIVIN</v>
      </c>
      <c r="D303" s="1" t="str">
        <f>data!C512</f>
        <v>CDH-126005</v>
      </c>
      <c r="E303" s="1" t="str">
        <f>data!D303</f>
        <v>AOP CLAIRETTE DE DIE</v>
      </c>
      <c r="F303" s="14">
        <f>SUMIFS(data!G:G,data!A:A,TABLEAU!B303,data!C:C,TABLEAU!D303,data!F:F,YEAR(Feuil1!$D$1))</f>
        <v>42</v>
      </c>
      <c r="G303" s="9">
        <f>SUMIFS(data!G:G,data!A:A,TABLEAU!B303,data!C:C,TABLEAU!D303,data!F:F,YEAR(Feuil1!$D$2))</f>
        <v>126</v>
      </c>
      <c r="H303" s="9">
        <f t="shared" si="16"/>
        <v>-84</v>
      </c>
      <c r="I303" s="12">
        <f t="shared" si="17"/>
        <v>-0.66666666666666663</v>
      </c>
      <c r="J303" s="13">
        <f>SUMIFS(data!E:E,data!A:A,TABLEAU!B303,data!C:C,TABLEAU!D303,data!F:F,YEAR(Feuil1!$D$1))</f>
        <v>6</v>
      </c>
      <c r="K303" s="13">
        <f>SUMIFS(data!E:E,data!A:A,TABLEAU!B303,data!C:C,TABLEAU!D303,data!F:F,YEAR(Feuil1!$D$2))</f>
        <v>18</v>
      </c>
      <c r="L303" s="13">
        <f t="shared" si="18"/>
        <v>-12</v>
      </c>
      <c r="M303" s="12">
        <f t="shared" si="19"/>
        <v>-0.66666666666666663</v>
      </c>
    </row>
    <row r="304" spans="1:13" x14ac:dyDescent="0.25">
      <c r="A304" s="17" t="str">
        <f>data!H514</f>
        <v>VINICOM</v>
      </c>
      <c r="B304" s="15" t="str">
        <f>data!A514</f>
        <v>003517</v>
      </c>
      <c r="C304" s="1" t="str">
        <f>data!B514</f>
        <v>HOBIVIN</v>
      </c>
      <c r="D304" s="1" t="str">
        <f>data!C514</f>
        <v>CDH-126006</v>
      </c>
      <c r="E304" s="1" t="str">
        <f>data!D304</f>
        <v>AOP CLAIRETTE DE DIE</v>
      </c>
      <c r="F304" s="14">
        <f>SUMIFS(data!G:G,data!A:A,TABLEAU!B304,data!C:C,TABLEAU!D304,data!F:F,YEAR(Feuil1!$D$1))</f>
        <v>43.86</v>
      </c>
      <c r="G304" s="9">
        <f>SUMIFS(data!G:G,data!A:A,TABLEAU!B304,data!C:C,TABLEAU!D304,data!F:F,YEAR(Feuil1!$D$2))</f>
        <v>307.02</v>
      </c>
      <c r="H304" s="9">
        <f t="shared" si="16"/>
        <v>-263.15999999999997</v>
      </c>
      <c r="I304" s="12">
        <f t="shared" si="17"/>
        <v>-0.8571428571428571</v>
      </c>
      <c r="J304" s="13">
        <f>SUMIFS(data!E:E,data!A:A,TABLEAU!B304,data!C:C,TABLEAU!D304,data!F:F,YEAR(Feuil1!$D$1))</f>
        <v>6</v>
      </c>
      <c r="K304" s="13">
        <f>SUMIFS(data!E:E,data!A:A,TABLEAU!B304,data!C:C,TABLEAU!D304,data!F:F,YEAR(Feuil1!$D$2))</f>
        <v>45</v>
      </c>
      <c r="L304" s="13">
        <f t="shared" si="18"/>
        <v>-39</v>
      </c>
      <c r="M304" s="12">
        <f t="shared" si="19"/>
        <v>-0.8666666666666667</v>
      </c>
    </row>
    <row r="305" spans="1:13" x14ac:dyDescent="0.25">
      <c r="A305" s="17" t="str">
        <f>data!H516</f>
        <v>VINICOM</v>
      </c>
      <c r="B305" s="15" t="str">
        <f>data!A516</f>
        <v>003517</v>
      </c>
      <c r="C305" s="1" t="str">
        <f>data!B516</f>
        <v>HOBIVIN</v>
      </c>
      <c r="D305" s="1" t="str">
        <f>data!C516</f>
        <v>CDH-126007</v>
      </c>
      <c r="E305" s="1" t="str">
        <f>data!D305</f>
        <v>AOP LANGUEDOC LA DAME</v>
      </c>
      <c r="F305" s="14">
        <f>SUMIFS(data!G:G,data!A:A,TABLEAU!B305,data!C:C,TABLEAU!D305,data!F:F,YEAR(Feuil1!$D$1))</f>
        <v>52.14</v>
      </c>
      <c r="G305" s="9">
        <f>SUMIFS(data!G:G,data!A:A,TABLEAU!B305,data!C:C,TABLEAU!D305,data!F:F,YEAR(Feuil1!$D$2))</f>
        <v>52.14</v>
      </c>
      <c r="H305" s="9">
        <f t="shared" si="16"/>
        <v>0</v>
      </c>
      <c r="I305" s="12">
        <f t="shared" si="17"/>
        <v>0</v>
      </c>
      <c r="J305" s="13">
        <f>SUMIFS(data!E:E,data!A:A,TABLEAU!B305,data!C:C,TABLEAU!D305,data!F:F,YEAR(Feuil1!$D$1))</f>
        <v>6</v>
      </c>
      <c r="K305" s="13">
        <f>SUMIFS(data!E:E,data!A:A,TABLEAU!B305,data!C:C,TABLEAU!D305,data!F:F,YEAR(Feuil1!$D$2))</f>
        <v>6</v>
      </c>
      <c r="L305" s="13">
        <f t="shared" si="18"/>
        <v>0</v>
      </c>
      <c r="M305" s="12">
        <f t="shared" si="19"/>
        <v>0</v>
      </c>
    </row>
    <row r="306" spans="1:13" x14ac:dyDescent="0.25">
      <c r="A306" s="17" t="str">
        <f>data!H518</f>
        <v>VINICOM</v>
      </c>
      <c r="B306" s="15" t="str">
        <f>data!A518</f>
        <v>003517</v>
      </c>
      <c r="C306" s="1" t="str">
        <f>data!B518</f>
        <v>HOBIVIN</v>
      </c>
      <c r="D306" s="1" t="str">
        <f>data!C518</f>
        <v>CDH-127001</v>
      </c>
      <c r="E306" s="1" t="str">
        <f>data!D306</f>
        <v>AOP LANGUEDOC LA DAME</v>
      </c>
      <c r="F306" s="14">
        <f>SUMIFS(data!G:G,data!A:A,TABLEAU!B306,data!C:C,TABLEAU!D306,data!F:F,YEAR(Feuil1!$D$1))</f>
        <v>0</v>
      </c>
      <c r="G306" s="9">
        <f>SUMIFS(data!G:G,data!A:A,TABLEAU!B306,data!C:C,TABLEAU!D306,data!F:F,YEAR(Feuil1!$D$2))</f>
        <v>50.28</v>
      </c>
      <c r="H306" s="9">
        <f t="shared" si="16"/>
        <v>-50.28</v>
      </c>
      <c r="I306" s="12">
        <f t="shared" si="17"/>
        <v>-1</v>
      </c>
      <c r="J306" s="13">
        <f>SUMIFS(data!E:E,data!A:A,TABLEAU!B306,data!C:C,TABLEAU!D306,data!F:F,YEAR(Feuil1!$D$1))</f>
        <v>0</v>
      </c>
      <c r="K306" s="13">
        <f>SUMIFS(data!E:E,data!A:A,TABLEAU!B306,data!C:C,TABLEAU!D306,data!F:F,YEAR(Feuil1!$D$2))</f>
        <v>6</v>
      </c>
      <c r="L306" s="13">
        <f t="shared" si="18"/>
        <v>-6</v>
      </c>
      <c r="M306" s="12">
        <f t="shared" si="19"/>
        <v>-1</v>
      </c>
    </row>
    <row r="307" spans="1:13" x14ac:dyDescent="0.25">
      <c r="A307" s="17" t="str">
        <f>data!H519</f>
        <v>VINICOM</v>
      </c>
      <c r="B307" s="15" t="str">
        <f>data!A519</f>
        <v>003517</v>
      </c>
      <c r="C307" s="1" t="str">
        <f>data!B519</f>
        <v>HOBIVIN</v>
      </c>
      <c r="D307" s="1" t="str">
        <f>data!C519</f>
        <v>CDH-127008</v>
      </c>
      <c r="E307" s="1" t="str">
        <f>data!D307</f>
        <v>IGP DES COTEAUX DE MURVIEL LA DIVA</v>
      </c>
      <c r="F307" s="14">
        <f>SUMIFS(data!G:G,data!A:A,TABLEAU!B307,data!C:C,TABLEAU!D307,data!F:F,YEAR(Feuil1!$D$1))</f>
        <v>150.47999999999999</v>
      </c>
      <c r="G307" s="9">
        <f>SUMIFS(data!G:G,data!A:A,TABLEAU!B307,data!C:C,TABLEAU!D307,data!F:F,YEAR(Feuil1!$D$2))</f>
        <v>0</v>
      </c>
      <c r="H307" s="9">
        <f t="shared" si="16"/>
        <v>150.47999999999999</v>
      </c>
      <c r="I307" s="12" t="str">
        <f t="shared" si="17"/>
        <v/>
      </c>
      <c r="J307" s="13">
        <f>SUMIFS(data!E:E,data!A:A,TABLEAU!B307,data!C:C,TABLEAU!D307,data!F:F,YEAR(Feuil1!$D$1))</f>
        <v>36</v>
      </c>
      <c r="K307" s="13">
        <f>SUMIFS(data!E:E,data!A:A,TABLEAU!B307,data!C:C,TABLEAU!D307,data!F:F,YEAR(Feuil1!$D$2))</f>
        <v>0</v>
      </c>
      <c r="L307" s="13">
        <f t="shared" si="18"/>
        <v>36</v>
      </c>
      <c r="M307" s="12" t="str">
        <f t="shared" si="19"/>
        <v/>
      </c>
    </row>
    <row r="308" spans="1:13" x14ac:dyDescent="0.25">
      <c r="A308" s="17" t="str">
        <f>data!H520</f>
        <v>VINICOM</v>
      </c>
      <c r="B308" s="15" t="str">
        <f>data!A520</f>
        <v>003517</v>
      </c>
      <c r="C308" s="1" t="str">
        <f>data!B520</f>
        <v>HOBIVIN</v>
      </c>
      <c r="D308" s="1" t="str">
        <f>data!C520</f>
        <v>CDH-127011</v>
      </c>
      <c r="E308" s="1" t="str">
        <f>data!D308</f>
        <v>IGP DES COTEAUX DE MURVIEL LA DIVA</v>
      </c>
      <c r="F308" s="14">
        <f>SUMIFS(data!G:G,data!A:A,TABLEAU!B308,data!C:C,TABLEAU!D308,data!F:F,YEAR(Feuil1!$D$1))</f>
        <v>192</v>
      </c>
      <c r="G308" s="9">
        <f>SUMIFS(data!G:G,data!A:A,TABLEAU!B308,data!C:C,TABLEAU!D308,data!F:F,YEAR(Feuil1!$D$2))</f>
        <v>176</v>
      </c>
      <c r="H308" s="9">
        <f t="shared" si="16"/>
        <v>16</v>
      </c>
      <c r="I308" s="12">
        <f t="shared" si="17"/>
        <v>9.0909090909090912E-2</v>
      </c>
      <c r="J308" s="13">
        <f>SUMIFS(data!E:E,data!A:A,TABLEAU!B308,data!C:C,TABLEAU!D308,data!F:F,YEAR(Feuil1!$D$1))</f>
        <v>12</v>
      </c>
      <c r="K308" s="13">
        <f>SUMIFS(data!E:E,data!A:A,TABLEAU!B308,data!C:C,TABLEAU!D308,data!F:F,YEAR(Feuil1!$D$2))</f>
        <v>11</v>
      </c>
      <c r="L308" s="13">
        <f t="shared" si="18"/>
        <v>1</v>
      </c>
      <c r="M308" s="12">
        <f t="shared" si="19"/>
        <v>9.0909090909090912E-2</v>
      </c>
    </row>
    <row r="309" spans="1:13" x14ac:dyDescent="0.25">
      <c r="A309" s="17" t="str">
        <f>data!H522</f>
        <v>VINICOM</v>
      </c>
      <c r="B309" s="15" t="str">
        <f>data!A522</f>
        <v>003517</v>
      </c>
      <c r="C309" s="1" t="str">
        <f>data!B522</f>
        <v>HOBIVIN</v>
      </c>
      <c r="D309" s="1" t="str">
        <f>data!C522</f>
        <v>CDH-154002</v>
      </c>
      <c r="E309" s="1" t="str">
        <f>data!D309</f>
        <v>IGP D'OC GRENACHE</v>
      </c>
      <c r="F309" s="14">
        <f>SUMIFS(data!G:G,data!A:A,TABLEAU!B309,data!C:C,TABLEAU!D309,data!F:F,YEAR(Feuil1!$D$1))</f>
        <v>324</v>
      </c>
      <c r="G309" s="9">
        <f>SUMIFS(data!G:G,data!A:A,TABLEAU!B309,data!C:C,TABLEAU!D309,data!F:F,YEAR(Feuil1!$D$2))</f>
        <v>2285.2800000000002</v>
      </c>
      <c r="H309" s="9">
        <f t="shared" si="16"/>
        <v>-1961.2800000000002</v>
      </c>
      <c r="I309" s="12">
        <f t="shared" si="17"/>
        <v>-0.85822306238185253</v>
      </c>
      <c r="J309" s="13">
        <f>SUMIFS(data!E:E,data!A:A,TABLEAU!B309,data!C:C,TABLEAU!D309,data!F:F,YEAR(Feuil1!$D$1))</f>
        <v>30</v>
      </c>
      <c r="K309" s="13">
        <f>SUMIFS(data!E:E,data!A:A,TABLEAU!B309,data!C:C,TABLEAU!D309,data!F:F,YEAR(Feuil1!$D$2))</f>
        <v>216</v>
      </c>
      <c r="L309" s="13">
        <f t="shared" si="18"/>
        <v>-186</v>
      </c>
      <c r="M309" s="12">
        <f t="shared" si="19"/>
        <v>-0.86111111111111116</v>
      </c>
    </row>
    <row r="310" spans="1:13" x14ac:dyDescent="0.25">
      <c r="A310" s="17" t="str">
        <f>data!H524</f>
        <v>VINICOM</v>
      </c>
      <c r="B310" s="15" t="str">
        <f>data!A524</f>
        <v>003517</v>
      </c>
      <c r="C310" s="1" t="str">
        <f>data!B524</f>
        <v>HOBIVIN</v>
      </c>
      <c r="D310" s="1" t="str">
        <f>data!C524</f>
        <v>CDH-157005</v>
      </c>
      <c r="E310" s="1" t="str">
        <f>data!D310</f>
        <v>IGP D'OC GRENACHE</v>
      </c>
      <c r="F310" s="14">
        <f>SUMIFS(data!G:G,data!A:A,TABLEAU!B310,data!C:C,TABLEAU!D310,data!F:F,YEAR(Feuil1!$D$1))</f>
        <v>0</v>
      </c>
      <c r="G310" s="9">
        <f>SUMIFS(data!G:G,data!A:A,TABLEAU!B310,data!C:C,TABLEAU!D310,data!F:F,YEAR(Feuil1!$D$2))</f>
        <v>55.2</v>
      </c>
      <c r="H310" s="9">
        <f t="shared" si="16"/>
        <v>-55.2</v>
      </c>
      <c r="I310" s="12">
        <f t="shared" si="17"/>
        <v>-1</v>
      </c>
      <c r="J310" s="13">
        <f>SUMIFS(data!E:E,data!A:A,TABLEAU!B310,data!C:C,TABLEAU!D310,data!F:F,YEAR(Feuil1!$D$1))</f>
        <v>0</v>
      </c>
      <c r="K310" s="13">
        <f>SUMIFS(data!E:E,data!A:A,TABLEAU!B310,data!C:C,TABLEAU!D310,data!F:F,YEAR(Feuil1!$D$2))</f>
        <v>24</v>
      </c>
      <c r="L310" s="13">
        <f t="shared" si="18"/>
        <v>-24</v>
      </c>
      <c r="M310" s="12">
        <f t="shared" si="19"/>
        <v>-1</v>
      </c>
    </row>
    <row r="311" spans="1:13" x14ac:dyDescent="0.25">
      <c r="A311" s="17" t="str">
        <f>data!H525</f>
        <v>VINICOM</v>
      </c>
      <c r="B311" s="15" t="str">
        <f>data!A525</f>
        <v>003517</v>
      </c>
      <c r="C311" s="1" t="str">
        <f>data!B525</f>
        <v>HOBIVIN</v>
      </c>
      <c r="D311" s="1" t="str">
        <f>data!C525</f>
        <v>CDH-171002</v>
      </c>
      <c r="E311" s="1" t="str">
        <f>data!D311</f>
        <v>AOP VOUVRAY DOMAINE DU PETIT COTEAU</v>
      </c>
      <c r="F311" s="14">
        <f>SUMIFS(data!G:G,data!A:A,TABLEAU!B311,data!C:C,TABLEAU!D311,data!F:F,YEAR(Feuil1!$D$1))</f>
        <v>0</v>
      </c>
      <c r="G311" s="9">
        <f>SUMIFS(data!G:G,data!A:A,TABLEAU!B311,data!C:C,TABLEAU!D311,data!F:F,YEAR(Feuil1!$D$2))</f>
        <v>97.56</v>
      </c>
      <c r="H311" s="9">
        <f t="shared" si="16"/>
        <v>-97.56</v>
      </c>
      <c r="I311" s="12">
        <f t="shared" si="17"/>
        <v>-1</v>
      </c>
      <c r="J311" s="13">
        <f>SUMIFS(data!E:E,data!A:A,TABLEAU!B311,data!C:C,TABLEAU!D311,data!F:F,YEAR(Feuil1!$D$1))</f>
        <v>0</v>
      </c>
      <c r="K311" s="13">
        <f>SUMIFS(data!E:E,data!A:A,TABLEAU!B311,data!C:C,TABLEAU!D311,data!F:F,YEAR(Feuil1!$D$2))</f>
        <v>138</v>
      </c>
      <c r="L311" s="13">
        <f t="shared" si="18"/>
        <v>-138</v>
      </c>
      <c r="M311" s="12">
        <f t="shared" si="19"/>
        <v>-1</v>
      </c>
    </row>
    <row r="312" spans="1:13" x14ac:dyDescent="0.25">
      <c r="A312" s="17" t="str">
        <f>data!H526</f>
        <v>VINICOM</v>
      </c>
      <c r="B312" s="15" t="str">
        <f>data!A526</f>
        <v>003517</v>
      </c>
      <c r="C312" s="1" t="str">
        <f>data!B526</f>
        <v>HOBIVIN</v>
      </c>
      <c r="D312" s="1" t="str">
        <f>data!C526</f>
        <v>CDH-171003</v>
      </c>
      <c r="E312" s="1" t="str">
        <f>data!D312</f>
        <v>AOP VOUVRAY DOMAINE DU PETIT COTEAU</v>
      </c>
      <c r="F312" s="14">
        <f>SUMIFS(data!G:G,data!A:A,TABLEAU!B312,data!C:C,TABLEAU!D312,data!F:F,YEAR(Feuil1!$D$1))</f>
        <v>222.24</v>
      </c>
      <c r="G312" s="9">
        <f>SUMIFS(data!G:G,data!A:A,TABLEAU!B312,data!C:C,TABLEAU!D312,data!F:F,YEAR(Feuil1!$D$2))</f>
        <v>0</v>
      </c>
      <c r="H312" s="9">
        <f t="shared" si="16"/>
        <v>222.24</v>
      </c>
      <c r="I312" s="12" t="str">
        <f t="shared" si="17"/>
        <v/>
      </c>
      <c r="J312" s="13">
        <f>SUMIFS(data!E:E,data!A:A,TABLEAU!B312,data!C:C,TABLEAU!D312,data!F:F,YEAR(Feuil1!$D$1))</f>
        <v>72</v>
      </c>
      <c r="K312" s="13">
        <f>SUMIFS(data!E:E,data!A:A,TABLEAU!B312,data!C:C,TABLEAU!D312,data!F:F,YEAR(Feuil1!$D$2))</f>
        <v>0</v>
      </c>
      <c r="L312" s="13">
        <f t="shared" si="18"/>
        <v>72</v>
      </c>
      <c r="M312" s="12" t="str">
        <f t="shared" si="19"/>
        <v/>
      </c>
    </row>
    <row r="313" spans="1:13" x14ac:dyDescent="0.25">
      <c r="A313" s="17" t="str">
        <f>data!H527</f>
        <v>VINICOM</v>
      </c>
      <c r="B313" s="15" t="str">
        <f>data!A527</f>
        <v>003517</v>
      </c>
      <c r="C313" s="1" t="str">
        <f>data!B527</f>
        <v>HOBIVIN</v>
      </c>
      <c r="D313" s="1" t="str">
        <f>data!C527</f>
        <v>CDH-176002</v>
      </c>
      <c r="E313" s="1" t="str">
        <f>data!D313</f>
        <v>AOP MINERVOIS Tradition DME PUJOL-IZARD</v>
      </c>
      <c r="F313" s="14">
        <f>SUMIFS(data!G:G,data!A:A,TABLEAU!B313,data!C:C,TABLEAU!D313,data!F:F,YEAR(Feuil1!$D$1))</f>
        <v>0</v>
      </c>
      <c r="G313" s="9">
        <f>SUMIFS(data!G:G,data!A:A,TABLEAU!B313,data!C:C,TABLEAU!D313,data!F:F,YEAR(Feuil1!$D$2))</f>
        <v>439.2</v>
      </c>
      <c r="H313" s="9">
        <f t="shared" si="16"/>
        <v>-439.2</v>
      </c>
      <c r="I313" s="12">
        <f t="shared" si="17"/>
        <v>-1</v>
      </c>
      <c r="J313" s="13">
        <f>SUMIFS(data!E:E,data!A:A,TABLEAU!B313,data!C:C,TABLEAU!D313,data!F:F,YEAR(Feuil1!$D$1))</f>
        <v>0</v>
      </c>
      <c r="K313" s="13">
        <f>SUMIFS(data!E:E,data!A:A,TABLEAU!B313,data!C:C,TABLEAU!D313,data!F:F,YEAR(Feuil1!$D$2))</f>
        <v>120</v>
      </c>
      <c r="L313" s="13">
        <f t="shared" si="18"/>
        <v>-120</v>
      </c>
      <c r="M313" s="12">
        <f t="shared" si="19"/>
        <v>-1</v>
      </c>
    </row>
    <row r="314" spans="1:13" x14ac:dyDescent="0.25">
      <c r="A314" s="17" t="str">
        <f>data!H528</f>
        <v>VINICOM</v>
      </c>
      <c r="B314" s="15" t="str">
        <f>data!A528</f>
        <v>003517</v>
      </c>
      <c r="C314" s="1" t="str">
        <f>data!B528</f>
        <v>HOBIVIN</v>
      </c>
      <c r="D314" s="1" t="str">
        <f>data!C528</f>
        <v>CDH-176003</v>
      </c>
      <c r="E314" s="1" t="str">
        <f>data!D314</f>
        <v>AOP MINERVOIS Tradition DME PUJOL-IZARD</v>
      </c>
      <c r="F314" s="14">
        <f>SUMIFS(data!G:G,data!A:A,TABLEAU!B314,data!C:C,TABLEAU!D314,data!F:F,YEAR(Feuil1!$D$1))</f>
        <v>65.64</v>
      </c>
      <c r="G314" s="9">
        <f>SUMIFS(data!G:G,data!A:A,TABLEAU!B314,data!C:C,TABLEAU!D314,data!F:F,YEAR(Feuil1!$D$2))</f>
        <v>75.48</v>
      </c>
      <c r="H314" s="9">
        <f t="shared" si="16"/>
        <v>-9.8400000000000034</v>
      </c>
      <c r="I314" s="12">
        <f t="shared" si="17"/>
        <v>-0.13036565977742451</v>
      </c>
      <c r="J314" s="13">
        <f>SUMIFS(data!E:E,data!A:A,TABLEAU!B314,data!C:C,TABLEAU!D314,data!F:F,YEAR(Feuil1!$D$1))</f>
        <v>12</v>
      </c>
      <c r="K314" s="13">
        <f>SUMIFS(data!E:E,data!A:A,TABLEAU!B314,data!C:C,TABLEAU!D314,data!F:F,YEAR(Feuil1!$D$2))</f>
        <v>12</v>
      </c>
      <c r="L314" s="13">
        <f t="shared" si="18"/>
        <v>0</v>
      </c>
      <c r="M314" s="12">
        <f t="shared" si="19"/>
        <v>0</v>
      </c>
    </row>
    <row r="315" spans="1:13" x14ac:dyDescent="0.25">
      <c r="A315" s="17" t="str">
        <f>data!H530</f>
        <v>VINICOM</v>
      </c>
      <c r="B315" s="15" t="str">
        <f>data!A530</f>
        <v>003517</v>
      </c>
      <c r="C315" s="1" t="str">
        <f>data!B530</f>
        <v>HOBIVIN</v>
      </c>
      <c r="D315" s="1" t="str">
        <f>data!C530</f>
        <v>CDH-178001</v>
      </c>
      <c r="E315" s="1" t="str">
        <f>data!D315</f>
        <v>AOP MINERVOIS DME PUJOL-IZARD</v>
      </c>
      <c r="F315" s="14">
        <f>SUMIFS(data!G:G,data!A:A,TABLEAU!B315,data!C:C,TABLEAU!D315,data!F:F,YEAR(Feuil1!$D$1))</f>
        <v>160.56</v>
      </c>
      <c r="G315" s="9">
        <f>SUMIFS(data!G:G,data!A:A,TABLEAU!B315,data!C:C,TABLEAU!D315,data!F:F,YEAR(Feuil1!$D$2))</f>
        <v>286.56</v>
      </c>
      <c r="H315" s="9">
        <f t="shared" si="16"/>
        <v>-126</v>
      </c>
      <c r="I315" s="12">
        <f t="shared" si="17"/>
        <v>-0.43969849246231157</v>
      </c>
      <c r="J315" s="13">
        <f>SUMIFS(data!E:E,data!A:A,TABLEAU!B315,data!C:C,TABLEAU!D315,data!F:F,YEAR(Feuil1!$D$1))</f>
        <v>72</v>
      </c>
      <c r="K315" s="13">
        <f>SUMIFS(data!E:E,data!A:A,TABLEAU!B315,data!C:C,TABLEAU!D315,data!F:F,YEAR(Feuil1!$D$2))</f>
        <v>216</v>
      </c>
      <c r="L315" s="13">
        <f t="shared" si="18"/>
        <v>-144</v>
      </c>
      <c r="M315" s="12">
        <f t="shared" si="19"/>
        <v>-0.66666666666666663</v>
      </c>
    </row>
    <row r="316" spans="1:13" x14ac:dyDescent="0.25">
      <c r="A316" s="17" t="str">
        <f>data!H532</f>
        <v>VINICOM</v>
      </c>
      <c r="B316" s="15" t="str">
        <f>data!A532</f>
        <v>003517</v>
      </c>
      <c r="C316" s="1" t="str">
        <f>data!B532</f>
        <v>HOBIVIN</v>
      </c>
      <c r="D316" s="1" t="str">
        <f>data!C532</f>
        <v>CDH-178002</v>
      </c>
      <c r="E316" s="1" t="str">
        <f>data!D316</f>
        <v>AOP MINERVOIS DME PUJOL-IZARD</v>
      </c>
      <c r="F316" s="14">
        <f>SUMIFS(data!G:G,data!A:A,TABLEAU!B316,data!C:C,TABLEAU!D316,data!F:F,YEAR(Feuil1!$D$1))</f>
        <v>29.28</v>
      </c>
      <c r="G316" s="9">
        <f>SUMIFS(data!G:G,data!A:A,TABLEAU!B316,data!C:C,TABLEAU!D316,data!F:F,YEAR(Feuil1!$D$2))</f>
        <v>151.68</v>
      </c>
      <c r="H316" s="9">
        <f t="shared" si="16"/>
        <v>-122.4</v>
      </c>
      <c r="I316" s="12">
        <f t="shared" si="17"/>
        <v>-0.80696202531645567</v>
      </c>
      <c r="J316" s="13">
        <f>SUMIFS(data!E:E,data!A:A,TABLEAU!B316,data!C:C,TABLEAU!D316,data!F:F,YEAR(Feuil1!$D$1))</f>
        <v>12</v>
      </c>
      <c r="K316" s="13">
        <f>SUMIFS(data!E:E,data!A:A,TABLEAU!B316,data!C:C,TABLEAU!D316,data!F:F,YEAR(Feuil1!$D$2))</f>
        <v>64</v>
      </c>
      <c r="L316" s="13">
        <f t="shared" si="18"/>
        <v>-52</v>
      </c>
      <c r="M316" s="12">
        <f t="shared" si="19"/>
        <v>-0.8125</v>
      </c>
    </row>
    <row r="317" spans="1:13" x14ac:dyDescent="0.25">
      <c r="A317" s="17" t="str">
        <f>data!H534</f>
        <v>VINICOM</v>
      </c>
      <c r="B317" s="15" t="str">
        <f>data!A534</f>
        <v>003517</v>
      </c>
      <c r="C317" s="1" t="str">
        <f>data!B534</f>
        <v>HOBIVIN</v>
      </c>
      <c r="D317" s="1" t="str">
        <f>data!C534</f>
        <v>CDH-178003</v>
      </c>
      <c r="E317" s="1" t="str">
        <f>data!D317</f>
        <v>AOP MINERVOIS DME PUJOL-IZARD</v>
      </c>
      <c r="F317" s="14">
        <f>SUMIFS(data!G:G,data!A:A,TABLEAU!B317,data!C:C,TABLEAU!D317,data!F:F,YEAR(Feuil1!$D$1))</f>
        <v>0</v>
      </c>
      <c r="G317" s="9">
        <f>SUMIFS(data!G:G,data!A:A,TABLEAU!B317,data!C:C,TABLEAU!D317,data!F:F,YEAR(Feuil1!$D$2))</f>
        <v>217.26</v>
      </c>
      <c r="H317" s="9">
        <f t="shared" si="16"/>
        <v>-217.26</v>
      </c>
      <c r="I317" s="12">
        <f t="shared" si="17"/>
        <v>-1</v>
      </c>
      <c r="J317" s="13">
        <f>SUMIFS(data!E:E,data!A:A,TABLEAU!B317,data!C:C,TABLEAU!D317,data!F:F,YEAR(Feuil1!$D$1))</f>
        <v>0</v>
      </c>
      <c r="K317" s="13">
        <f>SUMIFS(data!E:E,data!A:A,TABLEAU!B317,data!C:C,TABLEAU!D317,data!F:F,YEAR(Feuil1!$D$2))</f>
        <v>102</v>
      </c>
      <c r="L317" s="13">
        <f t="shared" si="18"/>
        <v>-102</v>
      </c>
      <c r="M317" s="12">
        <f t="shared" si="19"/>
        <v>-1</v>
      </c>
    </row>
    <row r="318" spans="1:13" x14ac:dyDescent="0.25">
      <c r="A318" s="17" t="str">
        <f>data!H535</f>
        <v>VINICOM</v>
      </c>
      <c r="B318" s="15" t="str">
        <f>data!A535</f>
        <v>003517</v>
      </c>
      <c r="C318" s="1" t="str">
        <f>data!B535</f>
        <v>HOBIVIN</v>
      </c>
      <c r="D318" s="1" t="str">
        <f>data!C535</f>
        <v>CDH-179001</v>
      </c>
      <c r="E318" s="1" t="str">
        <f>data!D318</f>
        <v>AOP MINERVOIS DME PUJOL-IZARD</v>
      </c>
      <c r="F318" s="14">
        <f>SUMIFS(data!G:G,data!A:A,TABLEAU!B318,data!C:C,TABLEAU!D318,data!F:F,YEAR(Feuil1!$D$1))</f>
        <v>262.8</v>
      </c>
      <c r="G318" s="9">
        <f>SUMIFS(data!G:G,data!A:A,TABLEAU!B318,data!C:C,TABLEAU!D318,data!F:F,YEAR(Feuil1!$D$2))</f>
        <v>876</v>
      </c>
      <c r="H318" s="9">
        <f t="shared" si="16"/>
        <v>-613.20000000000005</v>
      </c>
      <c r="I318" s="12">
        <f t="shared" si="17"/>
        <v>-0.70000000000000007</v>
      </c>
      <c r="J318" s="13">
        <f>SUMIFS(data!E:E,data!A:A,TABLEAU!B318,data!C:C,TABLEAU!D318,data!F:F,YEAR(Feuil1!$D$1))</f>
        <v>84</v>
      </c>
      <c r="K318" s="13">
        <f>SUMIFS(data!E:E,data!A:A,TABLEAU!B318,data!C:C,TABLEAU!D318,data!F:F,YEAR(Feuil1!$D$2))</f>
        <v>240</v>
      </c>
      <c r="L318" s="13">
        <f t="shared" si="18"/>
        <v>-156</v>
      </c>
      <c r="M318" s="12">
        <f t="shared" si="19"/>
        <v>-0.65</v>
      </c>
    </row>
    <row r="319" spans="1:13" x14ac:dyDescent="0.25">
      <c r="A319" s="17" t="str">
        <f>data!H537</f>
        <v>VINICOM</v>
      </c>
      <c r="B319" s="15" t="str">
        <f>data!A537</f>
        <v>003517</v>
      </c>
      <c r="C319" s="1" t="str">
        <f>data!B537</f>
        <v>HOBIVIN</v>
      </c>
      <c r="D319" s="1" t="str">
        <f>data!C537</f>
        <v>CDH-181506</v>
      </c>
      <c r="E319" s="1" t="str">
        <f>data!D319</f>
        <v>AOP MINERVOIS GRANDE RESERVE DME PUJOL-IZARD</v>
      </c>
      <c r="F319" s="14">
        <f>SUMIFS(data!G:G,data!A:A,TABLEAU!B319,data!C:C,TABLEAU!D319,data!F:F,YEAR(Feuil1!$D$1))</f>
        <v>318</v>
      </c>
      <c r="G319" s="9">
        <f>SUMIFS(data!G:G,data!A:A,TABLEAU!B319,data!C:C,TABLEAU!D319,data!F:F,YEAR(Feuil1!$D$2))</f>
        <v>159</v>
      </c>
      <c r="H319" s="9">
        <f t="shared" si="16"/>
        <v>159</v>
      </c>
      <c r="I319" s="12">
        <f t="shared" si="17"/>
        <v>1</v>
      </c>
      <c r="J319" s="13">
        <f>SUMIFS(data!E:E,data!A:A,TABLEAU!B319,data!C:C,TABLEAU!D319,data!F:F,YEAR(Feuil1!$D$1))</f>
        <v>24</v>
      </c>
      <c r="K319" s="13">
        <f>SUMIFS(data!E:E,data!A:A,TABLEAU!B319,data!C:C,TABLEAU!D319,data!F:F,YEAR(Feuil1!$D$2))</f>
        <v>12</v>
      </c>
      <c r="L319" s="13">
        <f t="shared" si="18"/>
        <v>12</v>
      </c>
      <c r="M319" s="12">
        <f t="shared" si="19"/>
        <v>1</v>
      </c>
    </row>
    <row r="320" spans="1:13" x14ac:dyDescent="0.25">
      <c r="A320" s="17" t="str">
        <f>data!H539</f>
        <v>VINICOM</v>
      </c>
      <c r="B320" s="15" t="str">
        <f>data!A539</f>
        <v>003517</v>
      </c>
      <c r="C320" s="1" t="str">
        <f>data!B539</f>
        <v>HOBIVIN</v>
      </c>
      <c r="D320" s="1" t="str">
        <f>data!C539</f>
        <v>CDH-187002</v>
      </c>
      <c r="E320" s="1" t="str">
        <f>data!D320</f>
        <v>AOP MINERVOIS GRANDE RESERVE DME PUJOL-IZARD</v>
      </c>
      <c r="F320" s="14">
        <f>SUMIFS(data!G:G,data!A:A,TABLEAU!B320,data!C:C,TABLEAU!D320,data!F:F,YEAR(Feuil1!$D$1))</f>
        <v>0</v>
      </c>
      <c r="G320" s="9">
        <f>SUMIFS(data!G:G,data!A:A,TABLEAU!B320,data!C:C,TABLEAU!D320,data!F:F,YEAR(Feuil1!$D$2))</f>
        <v>43.8</v>
      </c>
      <c r="H320" s="9">
        <f t="shared" si="16"/>
        <v>-43.8</v>
      </c>
      <c r="I320" s="12">
        <f t="shared" si="17"/>
        <v>-1</v>
      </c>
      <c r="J320" s="13">
        <f>SUMIFS(data!E:E,data!A:A,TABLEAU!B320,data!C:C,TABLEAU!D320,data!F:F,YEAR(Feuil1!$D$1))</f>
        <v>0</v>
      </c>
      <c r="K320" s="13">
        <f>SUMIFS(data!E:E,data!A:A,TABLEAU!B320,data!C:C,TABLEAU!D320,data!F:F,YEAR(Feuil1!$D$2))</f>
        <v>40.019999999999996</v>
      </c>
      <c r="L320" s="13">
        <f t="shared" si="18"/>
        <v>-40.019999999999996</v>
      </c>
      <c r="M320" s="12">
        <f t="shared" si="19"/>
        <v>-1</v>
      </c>
    </row>
    <row r="321" spans="1:13" x14ac:dyDescent="0.25">
      <c r="A321" s="17" t="str">
        <f>data!H540</f>
        <v>VINICOM</v>
      </c>
      <c r="B321" s="15" t="str">
        <f>data!A540</f>
        <v>003517</v>
      </c>
      <c r="C321" s="1" t="str">
        <f>data!B540</f>
        <v>HOBIVIN</v>
      </c>
      <c r="D321" s="1" t="str">
        <f>data!C540</f>
        <v>CDH-187003</v>
      </c>
      <c r="E321" s="1" t="str">
        <f>data!D321</f>
        <v>AC COTEAUX DE L'AUBANCE DME DES ROCHETTES</v>
      </c>
      <c r="F321" s="14">
        <f>SUMIFS(data!G:G,data!A:A,TABLEAU!B321,data!C:C,TABLEAU!D321,data!F:F,YEAR(Feuil1!$D$1))</f>
        <v>0</v>
      </c>
      <c r="G321" s="9">
        <f>SUMIFS(data!G:G,data!A:A,TABLEAU!B321,data!C:C,TABLEAU!D321,data!F:F,YEAR(Feuil1!$D$2))</f>
        <v>21.88</v>
      </c>
      <c r="H321" s="9">
        <f t="shared" si="16"/>
        <v>-21.88</v>
      </c>
      <c r="I321" s="12">
        <f t="shared" si="17"/>
        <v>-1</v>
      </c>
      <c r="J321" s="13">
        <f>SUMIFS(data!E:E,data!A:A,TABLEAU!B321,data!C:C,TABLEAU!D321,data!F:F,YEAR(Feuil1!$D$1))</f>
        <v>0</v>
      </c>
      <c r="K321" s="13">
        <f>SUMIFS(data!E:E,data!A:A,TABLEAU!B321,data!C:C,TABLEAU!D321,data!F:F,YEAR(Feuil1!$D$2))</f>
        <v>13.34</v>
      </c>
      <c r="L321" s="13">
        <f t="shared" si="18"/>
        <v>-13.34</v>
      </c>
      <c r="M321" s="12">
        <f t="shared" si="19"/>
        <v>-1</v>
      </c>
    </row>
    <row r="322" spans="1:13" x14ac:dyDescent="0.25">
      <c r="A322" s="17" t="str">
        <f>data!H541</f>
        <v>VINICOM</v>
      </c>
      <c r="B322" s="15" t="str">
        <f>data!A541</f>
        <v>003517</v>
      </c>
      <c r="C322" s="1" t="str">
        <f>data!B541</f>
        <v>HOBIVIN</v>
      </c>
      <c r="D322" s="1" t="str">
        <f>data!C541</f>
        <v>CDH-187007</v>
      </c>
      <c r="E322" s="1" t="str">
        <f>data!D322</f>
        <v>AC COTEAUX DE L'AUBANCE DME DES ROCHETTES</v>
      </c>
      <c r="F322" s="14">
        <f>SUMIFS(data!G:G,data!A:A,TABLEAU!B322,data!C:C,TABLEAU!D322,data!F:F,YEAR(Feuil1!$D$1))</f>
        <v>406.64</v>
      </c>
      <c r="G322" s="9">
        <f>SUMIFS(data!G:G,data!A:A,TABLEAU!B322,data!C:C,TABLEAU!D322,data!F:F,YEAR(Feuil1!$D$2))</f>
        <v>978.72</v>
      </c>
      <c r="H322" s="9">
        <f t="shared" si="16"/>
        <v>-572.08000000000004</v>
      </c>
      <c r="I322" s="12">
        <f t="shared" si="17"/>
        <v>-0.58451855484714732</v>
      </c>
      <c r="J322" s="13">
        <f>SUMIFS(data!E:E,data!A:A,TABLEAU!B322,data!C:C,TABLEAU!D322,data!F:F,YEAR(Feuil1!$D$1))</f>
        <v>240</v>
      </c>
      <c r="K322" s="13">
        <f>SUMIFS(data!E:E,data!A:A,TABLEAU!B322,data!C:C,TABLEAU!D322,data!F:F,YEAR(Feuil1!$D$2))</f>
        <v>608</v>
      </c>
      <c r="L322" s="13">
        <f t="shared" si="18"/>
        <v>-368</v>
      </c>
      <c r="M322" s="12">
        <f t="shared" si="19"/>
        <v>-0.60526315789473684</v>
      </c>
    </row>
    <row r="323" spans="1:13" x14ac:dyDescent="0.25">
      <c r="A323" s="17" t="str">
        <f>data!H543</f>
        <v>VINICOM</v>
      </c>
      <c r="B323" s="15" t="str">
        <f>data!A543</f>
        <v>003517</v>
      </c>
      <c r="C323" s="1" t="str">
        <f>data!B543</f>
        <v>HOBIVIN</v>
      </c>
      <c r="D323" s="1" t="str">
        <f>data!C543</f>
        <v>CDH-187008</v>
      </c>
      <c r="E323" s="1" t="str">
        <f>data!D323</f>
        <v>AOP CAHORS La Rangée du Curé DOMAINE CAPELANEL</v>
      </c>
      <c r="F323" s="14">
        <f>SUMIFS(data!G:G,data!A:A,TABLEAU!B323,data!C:C,TABLEAU!D323,data!F:F,YEAR(Feuil1!$D$1))</f>
        <v>164.96</v>
      </c>
      <c r="G323" s="9">
        <f>SUMIFS(data!G:G,data!A:A,TABLEAU!B323,data!C:C,TABLEAU!D323,data!F:F,YEAR(Feuil1!$D$2))</f>
        <v>900.48</v>
      </c>
      <c r="H323" s="9">
        <f t="shared" ref="H323:H386" si="20">F323-G323</f>
        <v>-735.52</v>
      </c>
      <c r="I323" s="12">
        <f t="shared" ref="I323:I386" si="21">IF(ISERR(H323/G323),"",H323/G323)</f>
        <v>-0.81680881307746978</v>
      </c>
      <c r="J323" s="13">
        <f>SUMIFS(data!E:E,data!A:A,TABLEAU!B323,data!C:C,TABLEAU!D323,data!F:F,YEAR(Feuil1!$D$1))</f>
        <v>96</v>
      </c>
      <c r="K323" s="13">
        <f>SUMIFS(data!E:E,data!A:A,TABLEAU!B323,data!C:C,TABLEAU!D323,data!F:F,YEAR(Feuil1!$D$2))</f>
        <v>544</v>
      </c>
      <c r="L323" s="13">
        <f t="shared" ref="L323:L386" si="22">J323-K323</f>
        <v>-448</v>
      </c>
      <c r="M323" s="12">
        <f t="shared" ref="M323:M386" si="23">IF(ISERR(L323/K323),"",L323/K323)</f>
        <v>-0.82352941176470584</v>
      </c>
    </row>
    <row r="324" spans="1:13" x14ac:dyDescent="0.25">
      <c r="A324" s="17" t="str">
        <f>data!H545</f>
        <v>VINICOM</v>
      </c>
      <c r="B324" s="15" t="str">
        <f>data!A545</f>
        <v>003517</v>
      </c>
      <c r="C324" s="1" t="str">
        <f>data!B545</f>
        <v>HOBIVIN</v>
      </c>
      <c r="D324" s="1" t="str">
        <f>data!C545</f>
        <v>CDH-187009</v>
      </c>
      <c r="E324" s="1" t="str">
        <f>data!D324</f>
        <v>AOP CAHORS La Rangée du Curé DOMAINE CAPELANEL</v>
      </c>
      <c r="F324" s="14">
        <f>SUMIFS(data!G:G,data!A:A,TABLEAU!B324,data!C:C,TABLEAU!D324,data!F:F,YEAR(Feuil1!$D$1))</f>
        <v>234.76</v>
      </c>
      <c r="G324" s="9">
        <f>SUMIFS(data!G:G,data!A:A,TABLEAU!B324,data!C:C,TABLEAU!D324,data!F:F,YEAR(Feuil1!$D$2))</f>
        <v>516.24</v>
      </c>
      <c r="H324" s="9">
        <f t="shared" si="20"/>
        <v>-281.48</v>
      </c>
      <c r="I324" s="12">
        <f t="shared" si="21"/>
        <v>-0.54525027119169378</v>
      </c>
      <c r="J324" s="13">
        <f>SUMIFS(data!E:E,data!A:A,TABLEAU!B324,data!C:C,TABLEAU!D324,data!F:F,YEAR(Feuil1!$D$1))</f>
        <v>128</v>
      </c>
      <c r="K324" s="13">
        <f>SUMIFS(data!E:E,data!A:A,TABLEAU!B324,data!C:C,TABLEAU!D324,data!F:F,YEAR(Feuil1!$D$2))</f>
        <v>288</v>
      </c>
      <c r="L324" s="13">
        <f t="shared" si="22"/>
        <v>-160</v>
      </c>
      <c r="M324" s="12">
        <f t="shared" si="23"/>
        <v>-0.55555555555555558</v>
      </c>
    </row>
    <row r="325" spans="1:13" x14ac:dyDescent="0.25">
      <c r="A325" s="17" t="str">
        <f>data!H547</f>
        <v>VINICOM</v>
      </c>
      <c r="B325" s="15" t="str">
        <f>data!A547</f>
        <v>003517</v>
      </c>
      <c r="C325" s="1" t="str">
        <f>data!B547</f>
        <v>HOBIVIN</v>
      </c>
      <c r="D325" s="1" t="str">
        <f>data!C547</f>
        <v>CDH-187011</v>
      </c>
      <c r="E325" s="1" t="str">
        <f>data!D325</f>
        <v>AOP CAHORS CUVEE MYTHIQUE</v>
      </c>
      <c r="F325" s="14">
        <f>SUMIFS(data!G:G,data!A:A,TABLEAU!B325,data!C:C,TABLEAU!D325,data!F:F,YEAR(Feuil1!$D$1))</f>
        <v>0</v>
      </c>
      <c r="G325" s="9">
        <f>SUMIFS(data!G:G,data!A:A,TABLEAU!B325,data!C:C,TABLEAU!D325,data!F:F,YEAR(Feuil1!$D$2))</f>
        <v>190.8</v>
      </c>
      <c r="H325" s="9">
        <f t="shared" si="20"/>
        <v>-190.8</v>
      </c>
      <c r="I325" s="12">
        <f t="shared" si="21"/>
        <v>-1</v>
      </c>
      <c r="J325" s="13">
        <f>SUMIFS(data!E:E,data!A:A,TABLEAU!B325,data!C:C,TABLEAU!D325,data!F:F,YEAR(Feuil1!$D$1))</f>
        <v>0</v>
      </c>
      <c r="K325" s="13">
        <f>SUMIFS(data!E:E,data!A:A,TABLEAU!B325,data!C:C,TABLEAU!D325,data!F:F,YEAR(Feuil1!$D$2))</f>
        <v>159.96</v>
      </c>
      <c r="L325" s="13">
        <f t="shared" si="22"/>
        <v>-159.96</v>
      </c>
      <c r="M325" s="12">
        <f t="shared" si="23"/>
        <v>-1</v>
      </c>
    </row>
    <row r="326" spans="1:13" x14ac:dyDescent="0.25">
      <c r="A326" s="17" t="str">
        <f>data!H548</f>
        <v>VINICOM</v>
      </c>
      <c r="B326" s="15" t="str">
        <f>data!A548</f>
        <v>003517</v>
      </c>
      <c r="C326" s="1" t="str">
        <f>data!B548</f>
        <v>HOBIVIN</v>
      </c>
      <c r="D326" s="1" t="str">
        <f>data!C548</f>
        <v>CDH-191001</v>
      </c>
      <c r="E326" s="1" t="str">
        <f>data!D326</f>
        <v>AOP MADIRAN DME DU MOULIE</v>
      </c>
      <c r="F326" s="14">
        <f>SUMIFS(data!G:G,data!A:A,TABLEAU!B326,data!C:C,TABLEAU!D326,data!F:F,YEAR(Feuil1!$D$1))</f>
        <v>0</v>
      </c>
      <c r="G326" s="9">
        <f>SUMIFS(data!G:G,data!A:A,TABLEAU!B326,data!C:C,TABLEAU!D326,data!F:F,YEAR(Feuil1!$D$2))</f>
        <v>28.8</v>
      </c>
      <c r="H326" s="9">
        <f t="shared" si="20"/>
        <v>-28.8</v>
      </c>
      <c r="I326" s="12">
        <f t="shared" si="21"/>
        <v>-1</v>
      </c>
      <c r="J326" s="13">
        <f>SUMIFS(data!E:E,data!A:A,TABLEAU!B326,data!C:C,TABLEAU!D326,data!F:F,YEAR(Feuil1!$D$1))</f>
        <v>0</v>
      </c>
      <c r="K326" s="13">
        <f>SUMIFS(data!E:E,data!A:A,TABLEAU!B326,data!C:C,TABLEAU!D326,data!F:F,YEAR(Feuil1!$D$2))</f>
        <v>6</v>
      </c>
      <c r="L326" s="13">
        <f t="shared" si="22"/>
        <v>-6</v>
      </c>
      <c r="M326" s="12">
        <f t="shared" si="23"/>
        <v>-1</v>
      </c>
    </row>
    <row r="327" spans="1:13" x14ac:dyDescent="0.25">
      <c r="A327" s="17" t="str">
        <f>data!H549</f>
        <v>VINICOM</v>
      </c>
      <c r="B327" s="15" t="str">
        <f>data!A549</f>
        <v>003517</v>
      </c>
      <c r="C327" s="1" t="str">
        <f>data!B549</f>
        <v>HOBIVIN</v>
      </c>
      <c r="D327" s="1" t="str">
        <f>data!C549</f>
        <v>CDH-191002</v>
      </c>
      <c r="E327" s="1" t="str">
        <f>data!D327</f>
        <v>AOP MADIRAN DME DU MOULIE</v>
      </c>
      <c r="F327" s="14">
        <f>SUMIFS(data!G:G,data!A:A,TABLEAU!B327,data!C:C,TABLEAU!D327,data!F:F,YEAR(Feuil1!$D$1))</f>
        <v>103.32</v>
      </c>
      <c r="G327" s="9">
        <f>SUMIFS(data!G:G,data!A:A,TABLEAU!B327,data!C:C,TABLEAU!D327,data!F:F,YEAR(Feuil1!$D$2))</f>
        <v>211.92</v>
      </c>
      <c r="H327" s="9">
        <f t="shared" si="20"/>
        <v>-108.6</v>
      </c>
      <c r="I327" s="12">
        <f t="shared" si="21"/>
        <v>-0.51245753114382786</v>
      </c>
      <c r="J327" s="13">
        <f>SUMIFS(data!E:E,data!A:A,TABLEAU!B327,data!C:C,TABLEAU!D327,data!F:F,YEAR(Feuil1!$D$1))</f>
        <v>12</v>
      </c>
      <c r="K327" s="13">
        <f>SUMIFS(data!E:E,data!A:A,TABLEAU!B327,data!C:C,TABLEAU!D327,data!F:F,YEAR(Feuil1!$D$2))</f>
        <v>24</v>
      </c>
      <c r="L327" s="13">
        <f t="shared" si="22"/>
        <v>-12</v>
      </c>
      <c r="M327" s="12">
        <f t="shared" si="23"/>
        <v>-0.5</v>
      </c>
    </row>
    <row r="328" spans="1:13" x14ac:dyDescent="0.25">
      <c r="A328" s="17" t="str">
        <f>data!H551</f>
        <v>VINICOM</v>
      </c>
      <c r="B328" s="15" t="str">
        <f>data!A551</f>
        <v>003517</v>
      </c>
      <c r="C328" s="1" t="str">
        <f>data!B551</f>
        <v>HOBIVIN</v>
      </c>
      <c r="D328" s="1" t="str">
        <f>data!C551</f>
        <v>CDH-191003</v>
      </c>
      <c r="E328" s="1" t="str">
        <f>data!D328</f>
        <v>IGP etc  COMTE TOLOSAN MALBEC CAB FRANC</v>
      </c>
      <c r="F328" s="14">
        <f>SUMIFS(data!G:G,data!A:A,TABLEAU!B328,data!C:C,TABLEAU!D328,data!F:F,YEAR(Feuil1!$D$1))</f>
        <v>0</v>
      </c>
      <c r="G328" s="9">
        <f>SUMIFS(data!G:G,data!A:A,TABLEAU!B328,data!C:C,TABLEAU!D328,data!F:F,YEAR(Feuil1!$D$2))</f>
        <v>26.52</v>
      </c>
      <c r="H328" s="9">
        <f t="shared" si="20"/>
        <v>-26.52</v>
      </c>
      <c r="I328" s="12">
        <f t="shared" si="21"/>
        <v>-1</v>
      </c>
      <c r="J328" s="13">
        <f>SUMIFS(data!E:E,data!A:A,TABLEAU!B328,data!C:C,TABLEAU!D328,data!F:F,YEAR(Feuil1!$D$1))</f>
        <v>0</v>
      </c>
      <c r="K328" s="13">
        <f>SUMIFS(data!E:E,data!A:A,TABLEAU!B328,data!C:C,TABLEAU!D328,data!F:F,YEAR(Feuil1!$D$2))</f>
        <v>6</v>
      </c>
      <c r="L328" s="13">
        <f t="shared" si="22"/>
        <v>-6</v>
      </c>
      <c r="M328" s="12">
        <f t="shared" si="23"/>
        <v>-1</v>
      </c>
    </row>
    <row r="329" spans="1:13" x14ac:dyDescent="0.25">
      <c r="A329" s="17" t="str">
        <f>data!H552</f>
        <v>VINICOM</v>
      </c>
      <c r="B329" s="15" t="str">
        <f>data!A552</f>
        <v>003517</v>
      </c>
      <c r="C329" s="1" t="str">
        <f>data!B552</f>
        <v>HOBIVIN</v>
      </c>
      <c r="D329" s="1" t="str">
        <f>data!C552</f>
        <v>CDH-191004</v>
      </c>
      <c r="E329" s="1" t="str">
        <f>data!D329</f>
        <v>IGP etc  COMTE TOLOSAN MALBEC CAB FRANC</v>
      </c>
      <c r="F329" s="14">
        <f>SUMIFS(data!G:G,data!A:A,TABLEAU!B329,data!C:C,TABLEAU!D329,data!F:F,YEAR(Feuil1!$D$1))</f>
        <v>62.76</v>
      </c>
      <c r="G329" s="9">
        <f>SUMIFS(data!G:G,data!A:A,TABLEAU!B329,data!C:C,TABLEAU!D329,data!F:F,YEAR(Feuil1!$D$2))</f>
        <v>0</v>
      </c>
      <c r="H329" s="9">
        <f t="shared" si="20"/>
        <v>62.76</v>
      </c>
      <c r="I329" s="12" t="str">
        <f t="shared" si="21"/>
        <v/>
      </c>
      <c r="J329" s="13">
        <f>SUMIFS(data!E:E,data!A:A,TABLEAU!B329,data!C:C,TABLEAU!D329,data!F:F,YEAR(Feuil1!$D$1))</f>
        <v>12</v>
      </c>
      <c r="K329" s="13">
        <f>SUMIFS(data!E:E,data!A:A,TABLEAU!B329,data!C:C,TABLEAU!D329,data!F:F,YEAR(Feuil1!$D$2))</f>
        <v>0</v>
      </c>
      <c r="L329" s="13">
        <f t="shared" si="22"/>
        <v>12</v>
      </c>
      <c r="M329" s="12" t="str">
        <f t="shared" si="23"/>
        <v/>
      </c>
    </row>
    <row r="330" spans="1:13" x14ac:dyDescent="0.25">
      <c r="A330" s="17" t="str">
        <f>data!H553</f>
        <v>VINICOM</v>
      </c>
      <c r="B330" s="15" t="str">
        <f>data!A553</f>
        <v>003517</v>
      </c>
      <c r="C330" s="1" t="str">
        <f>data!B553</f>
        <v>HOBIVIN</v>
      </c>
      <c r="D330" s="1" t="str">
        <f>data!C553</f>
        <v>CDH-191005</v>
      </c>
      <c r="E330" s="1" t="str">
        <f>data!D330</f>
        <v>IGP COMTE TOLOSAN MERLOT TANNAT "ETC" Vign du Quer</v>
      </c>
      <c r="F330" s="14">
        <f>SUMIFS(data!G:G,data!A:A,TABLEAU!B330,data!C:C,TABLEAU!D330,data!F:F,YEAR(Feuil1!$D$1))</f>
        <v>8.2200000000000006</v>
      </c>
      <c r="G330" s="9">
        <f>SUMIFS(data!G:G,data!A:A,TABLEAU!B330,data!C:C,TABLEAU!D330,data!F:F,YEAR(Feuil1!$D$2))</f>
        <v>22.56</v>
      </c>
      <c r="H330" s="9">
        <f t="shared" si="20"/>
        <v>-14.339999999999998</v>
      </c>
      <c r="I330" s="12">
        <f t="shared" si="21"/>
        <v>-0.63563829787234039</v>
      </c>
      <c r="J330" s="13">
        <f>SUMIFS(data!E:E,data!A:A,TABLEAU!B330,data!C:C,TABLEAU!D330,data!F:F,YEAR(Feuil1!$D$1))</f>
        <v>2</v>
      </c>
      <c r="K330" s="13">
        <f>SUMIFS(data!E:E,data!A:A,TABLEAU!B330,data!C:C,TABLEAU!D330,data!F:F,YEAR(Feuil1!$D$2))</f>
        <v>6</v>
      </c>
      <c r="L330" s="13">
        <f t="shared" si="22"/>
        <v>-4</v>
      </c>
      <c r="M330" s="12">
        <f t="shared" si="23"/>
        <v>-0.66666666666666663</v>
      </c>
    </row>
    <row r="331" spans="1:13" x14ac:dyDescent="0.25">
      <c r="A331" s="17" t="str">
        <f>data!H555</f>
        <v>VINICOM</v>
      </c>
      <c r="B331" s="15" t="str">
        <f>data!A555</f>
        <v>003517</v>
      </c>
      <c r="C331" s="1" t="str">
        <f>data!B555</f>
        <v>HOBIVIN</v>
      </c>
      <c r="D331" s="1" t="str">
        <f>data!C555</f>
        <v>CDH-195002</v>
      </c>
      <c r="E331" s="1" t="str">
        <f>data!D331</f>
        <v>IGP COMTE TOLOSAN MERLOT TANNAT "ETC" Vign du Quer</v>
      </c>
      <c r="F331" s="14">
        <f>SUMIFS(data!G:G,data!A:A,TABLEAU!B331,data!C:C,TABLEAU!D331,data!F:F,YEAR(Feuil1!$D$1))</f>
        <v>0</v>
      </c>
      <c r="G331" s="9">
        <f>SUMIFS(data!G:G,data!A:A,TABLEAU!B331,data!C:C,TABLEAU!D331,data!F:F,YEAR(Feuil1!$D$2))</f>
        <v>52.92</v>
      </c>
      <c r="H331" s="9">
        <f t="shared" si="20"/>
        <v>-52.92</v>
      </c>
      <c r="I331" s="12">
        <f t="shared" si="21"/>
        <v>-1</v>
      </c>
      <c r="J331" s="13">
        <f>SUMIFS(data!E:E,data!A:A,TABLEAU!B331,data!C:C,TABLEAU!D331,data!F:F,YEAR(Feuil1!$D$1))</f>
        <v>0</v>
      </c>
      <c r="K331" s="13">
        <f>SUMIFS(data!E:E,data!A:A,TABLEAU!B331,data!C:C,TABLEAU!D331,data!F:F,YEAR(Feuil1!$D$2))</f>
        <v>12</v>
      </c>
      <c r="L331" s="13">
        <f t="shared" si="22"/>
        <v>-12</v>
      </c>
      <c r="M331" s="12">
        <f t="shared" si="23"/>
        <v>-1</v>
      </c>
    </row>
    <row r="332" spans="1:13" x14ac:dyDescent="0.25">
      <c r="A332" s="17" t="str">
        <f>data!H556</f>
        <v>VINICOM</v>
      </c>
      <c r="B332" s="15" t="str">
        <f>data!A556</f>
        <v>003517</v>
      </c>
      <c r="C332" s="1" t="str">
        <f>data!B556</f>
        <v>HOBIVIN</v>
      </c>
      <c r="D332" s="1" t="str">
        <f>data!C556</f>
        <v>CDH-196001</v>
      </c>
      <c r="E332" s="1" t="str">
        <f>data!D332</f>
        <v>AOP HAUT MEDOC CH TOUR MARCILLANET</v>
      </c>
      <c r="F332" s="14">
        <f>SUMIFS(data!G:G,data!A:A,TABLEAU!B332,data!C:C,TABLEAU!D332,data!F:F,YEAR(Feuil1!$D$1))</f>
        <v>0</v>
      </c>
      <c r="G332" s="9">
        <f>SUMIFS(data!G:G,data!A:A,TABLEAU!B332,data!C:C,TABLEAU!D332,data!F:F,YEAR(Feuil1!$D$2))</f>
        <v>160.68</v>
      </c>
      <c r="H332" s="9">
        <f t="shared" si="20"/>
        <v>-160.68</v>
      </c>
      <c r="I332" s="12">
        <f t="shared" si="21"/>
        <v>-1</v>
      </c>
      <c r="J332" s="13">
        <f>SUMIFS(data!E:E,data!A:A,TABLEAU!B332,data!C:C,TABLEAU!D332,data!F:F,YEAR(Feuil1!$D$1))</f>
        <v>0</v>
      </c>
      <c r="K332" s="13">
        <f>SUMIFS(data!E:E,data!A:A,TABLEAU!B332,data!C:C,TABLEAU!D332,data!F:F,YEAR(Feuil1!$D$2))</f>
        <v>78</v>
      </c>
      <c r="L332" s="13">
        <f t="shared" si="22"/>
        <v>-78</v>
      </c>
      <c r="M332" s="12">
        <f t="shared" si="23"/>
        <v>-1</v>
      </c>
    </row>
    <row r="333" spans="1:13" x14ac:dyDescent="0.25">
      <c r="A333" s="17" t="str">
        <f>data!H557</f>
        <v>VINICOM</v>
      </c>
      <c r="B333" s="15" t="str">
        <f>data!A557</f>
        <v>003517</v>
      </c>
      <c r="C333" s="1" t="str">
        <f>data!B557</f>
        <v>HOBIVIN</v>
      </c>
      <c r="D333" s="1" t="str">
        <f>data!C557</f>
        <v>CDH-199002</v>
      </c>
      <c r="E333" s="1" t="str">
        <f>data!D333</f>
        <v>AOP HAUT MEDOC CH TOUR MARCILLANET</v>
      </c>
      <c r="F333" s="14">
        <f>SUMIFS(data!G:G,data!A:A,TABLEAU!B333,data!C:C,TABLEAU!D333,data!F:F,YEAR(Feuil1!$D$1))</f>
        <v>78</v>
      </c>
      <c r="G333" s="9">
        <f>SUMIFS(data!G:G,data!A:A,TABLEAU!B333,data!C:C,TABLEAU!D333,data!F:F,YEAR(Feuil1!$D$2))</f>
        <v>0</v>
      </c>
      <c r="H333" s="9">
        <f t="shared" si="20"/>
        <v>78</v>
      </c>
      <c r="I333" s="12" t="str">
        <f t="shared" si="21"/>
        <v/>
      </c>
      <c r="J333" s="13">
        <f>SUMIFS(data!E:E,data!A:A,TABLEAU!B333,data!C:C,TABLEAU!D333,data!F:F,YEAR(Feuil1!$D$1))</f>
        <v>6</v>
      </c>
      <c r="K333" s="13">
        <f>SUMIFS(data!E:E,data!A:A,TABLEAU!B333,data!C:C,TABLEAU!D333,data!F:F,YEAR(Feuil1!$D$2))</f>
        <v>0</v>
      </c>
      <c r="L333" s="13">
        <f t="shared" si="22"/>
        <v>6</v>
      </c>
      <c r="M333" s="12" t="str">
        <f t="shared" si="23"/>
        <v/>
      </c>
    </row>
    <row r="334" spans="1:13" x14ac:dyDescent="0.25">
      <c r="A334" s="17" t="str">
        <f>data!H558</f>
        <v>VINICOM</v>
      </c>
      <c r="B334" s="15" t="str">
        <f>data!A558</f>
        <v>003517</v>
      </c>
      <c r="C334" s="1" t="str">
        <f>data!B558</f>
        <v>HOBIVIN</v>
      </c>
      <c r="D334" s="1" t="str">
        <f>data!C558</f>
        <v>CDH-204002</v>
      </c>
      <c r="E334" s="1" t="str">
        <f>data!D334</f>
        <v>AOP HAUT-MEDOC CH TOUR MARCILLANET</v>
      </c>
      <c r="F334" s="14">
        <f>SUMIFS(data!G:G,data!A:A,TABLEAU!B334,data!C:C,TABLEAU!D334,data!F:F,YEAR(Feuil1!$D$1))</f>
        <v>0</v>
      </c>
      <c r="G334" s="9">
        <f>SUMIFS(data!G:G,data!A:A,TABLEAU!B334,data!C:C,TABLEAU!D334,data!F:F,YEAR(Feuil1!$D$2))</f>
        <v>-15.18</v>
      </c>
      <c r="H334" s="9">
        <f t="shared" si="20"/>
        <v>15.18</v>
      </c>
      <c r="I334" s="12">
        <f t="shared" si="21"/>
        <v>-1</v>
      </c>
      <c r="J334" s="13">
        <f>SUMIFS(data!E:E,data!A:A,TABLEAU!B334,data!C:C,TABLEAU!D334,data!F:F,YEAR(Feuil1!$D$1))</f>
        <v>0</v>
      </c>
      <c r="K334" s="13">
        <f>SUMIFS(data!E:E,data!A:A,TABLEAU!B334,data!C:C,TABLEAU!D334,data!F:F,YEAR(Feuil1!$D$2))</f>
        <v>-6.6700000000000017</v>
      </c>
      <c r="L334" s="13">
        <f t="shared" si="22"/>
        <v>6.6700000000000017</v>
      </c>
      <c r="M334" s="12">
        <f t="shared" si="23"/>
        <v>-1</v>
      </c>
    </row>
    <row r="335" spans="1:13" x14ac:dyDescent="0.25">
      <c r="A335" s="17" t="str">
        <f>data!H559</f>
        <v>VINICOM</v>
      </c>
      <c r="B335" s="15" t="str">
        <f>data!A559</f>
        <v>003517</v>
      </c>
      <c r="C335" s="1" t="str">
        <f>data!B559</f>
        <v>HOBIVIN</v>
      </c>
      <c r="D335" s="1" t="str">
        <f>data!C559</f>
        <v>CDH-204003</v>
      </c>
      <c r="E335" s="1" t="str">
        <f>data!D335</f>
        <v>AC PREMIERES COTES DE BLAYE LES GRAVES DAVID</v>
      </c>
      <c r="F335" s="14">
        <f>SUMIFS(data!G:G,data!A:A,TABLEAU!B335,data!C:C,TABLEAU!D335,data!F:F,YEAR(Feuil1!$D$1))</f>
        <v>0</v>
      </c>
      <c r="G335" s="9">
        <f>SUMIFS(data!G:G,data!A:A,TABLEAU!B335,data!C:C,TABLEAU!D335,data!F:F,YEAR(Feuil1!$D$2))</f>
        <v>44.25</v>
      </c>
      <c r="H335" s="9">
        <f t="shared" si="20"/>
        <v>-44.25</v>
      </c>
      <c r="I335" s="12">
        <f t="shared" si="21"/>
        <v>-1</v>
      </c>
      <c r="J335" s="13">
        <f>SUMIFS(data!E:E,data!A:A,TABLEAU!B335,data!C:C,TABLEAU!D335,data!F:F,YEAR(Feuil1!$D$1))</f>
        <v>0</v>
      </c>
      <c r="K335" s="13">
        <f>SUMIFS(data!E:E,data!A:A,TABLEAU!B335,data!C:C,TABLEAU!D335,data!F:F,YEAR(Feuil1!$D$2))</f>
        <v>39.99</v>
      </c>
      <c r="L335" s="13">
        <f t="shared" si="22"/>
        <v>-39.99</v>
      </c>
      <c r="M335" s="12">
        <f t="shared" si="23"/>
        <v>-1</v>
      </c>
    </row>
    <row r="336" spans="1:13" x14ac:dyDescent="0.25">
      <c r="A336" s="17" t="str">
        <f>data!H560</f>
        <v>VINICOM</v>
      </c>
      <c r="B336" s="15" t="str">
        <f>data!A560</f>
        <v>003517</v>
      </c>
      <c r="C336" s="1" t="str">
        <f>data!B560</f>
        <v>HOBIVIN</v>
      </c>
      <c r="D336" s="1" t="str">
        <f>data!C560</f>
        <v>CDH-204004</v>
      </c>
      <c r="E336" s="1" t="str">
        <f>data!D336</f>
        <v>AC PREMIERES COTES DE BLAYE LES GRAVES DAVID</v>
      </c>
      <c r="F336" s="14">
        <f>SUMIFS(data!G:G,data!A:A,TABLEAU!B336,data!C:C,TABLEAU!D336,data!F:F,YEAR(Feuil1!$D$1))</f>
        <v>0</v>
      </c>
      <c r="G336" s="9">
        <f>SUMIFS(data!G:G,data!A:A,TABLEAU!B336,data!C:C,TABLEAU!D336,data!F:F,YEAR(Feuil1!$D$2))</f>
        <v>-18.43</v>
      </c>
      <c r="H336" s="9">
        <f t="shared" si="20"/>
        <v>18.43</v>
      </c>
      <c r="I336" s="12">
        <f t="shared" si="21"/>
        <v>-1</v>
      </c>
      <c r="J336" s="13">
        <f>SUMIFS(data!E:E,data!A:A,TABLEAU!B336,data!C:C,TABLEAU!D336,data!F:F,YEAR(Feuil1!$D$1))</f>
        <v>0</v>
      </c>
      <c r="K336" s="13">
        <f>SUMIFS(data!E:E,data!A:A,TABLEAU!B336,data!C:C,TABLEAU!D336,data!F:F,YEAR(Feuil1!$D$2))</f>
        <v>-6.6700000000000017</v>
      </c>
      <c r="L336" s="13">
        <f t="shared" si="22"/>
        <v>6.6700000000000017</v>
      </c>
      <c r="M336" s="12">
        <f t="shared" si="23"/>
        <v>-1</v>
      </c>
    </row>
    <row r="337" spans="1:13" x14ac:dyDescent="0.25">
      <c r="A337" s="17" t="str">
        <f>data!H561</f>
        <v>VINICOM</v>
      </c>
      <c r="B337" s="15" t="str">
        <f>data!A561</f>
        <v>003517</v>
      </c>
      <c r="C337" s="1" t="str">
        <f>data!B561</f>
        <v>HOBIVIN</v>
      </c>
      <c r="D337" s="1" t="str">
        <f>data!C561</f>
        <v>CDH-206005</v>
      </c>
      <c r="E337" s="1" t="str">
        <f>data!D337</f>
        <v>AC COTES DU RHONE SEGURET CLOS DU JONCUAS</v>
      </c>
      <c r="F337" s="14">
        <f>SUMIFS(data!G:G,data!A:A,TABLEAU!B337,data!C:C,TABLEAU!D337,data!F:F,YEAR(Feuil1!$D$1))</f>
        <v>0</v>
      </c>
      <c r="G337" s="9">
        <f>SUMIFS(data!G:G,data!A:A,TABLEAU!B337,data!C:C,TABLEAU!D337,data!F:F,YEAR(Feuil1!$D$2))</f>
        <v>32.4</v>
      </c>
      <c r="H337" s="9">
        <f t="shared" si="20"/>
        <v>-32.4</v>
      </c>
      <c r="I337" s="12">
        <f t="shared" si="21"/>
        <v>-1</v>
      </c>
      <c r="J337" s="13">
        <f>SUMIFS(data!E:E,data!A:A,TABLEAU!B337,data!C:C,TABLEAU!D337,data!F:F,YEAR(Feuil1!$D$1))</f>
        <v>72</v>
      </c>
      <c r="K337" s="13">
        <f>SUMIFS(data!E:E,data!A:A,TABLEAU!B337,data!C:C,TABLEAU!D337,data!F:F,YEAR(Feuil1!$D$2))</f>
        <v>12</v>
      </c>
      <c r="L337" s="13">
        <f t="shared" si="22"/>
        <v>60</v>
      </c>
      <c r="M337" s="12">
        <f t="shared" si="23"/>
        <v>5</v>
      </c>
    </row>
    <row r="338" spans="1:13" x14ac:dyDescent="0.25">
      <c r="A338" s="17" t="str">
        <f>data!H563</f>
        <v>VINICOM</v>
      </c>
      <c r="B338" s="15" t="str">
        <f>data!A563</f>
        <v>003517</v>
      </c>
      <c r="C338" s="1" t="str">
        <f>data!B563</f>
        <v>HOBIVIN</v>
      </c>
      <c r="D338" s="1" t="str">
        <f>data!C563</f>
        <v>CDH-220002</v>
      </c>
      <c r="E338" s="1" t="str">
        <f>data!D338</f>
        <v>AC COTES DU RHONE SEGURET CLOS DU JONCUAS</v>
      </c>
      <c r="F338" s="14">
        <f>SUMIFS(data!G:G,data!A:A,TABLEAU!B338,data!C:C,TABLEAU!D338,data!F:F,YEAR(Feuil1!$D$1))</f>
        <v>0</v>
      </c>
      <c r="G338" s="9">
        <f>SUMIFS(data!G:G,data!A:A,TABLEAU!B338,data!C:C,TABLEAU!D338,data!F:F,YEAR(Feuil1!$D$2))</f>
        <v>345.12</v>
      </c>
      <c r="H338" s="9">
        <f t="shared" si="20"/>
        <v>-345.12</v>
      </c>
      <c r="I338" s="12">
        <f t="shared" si="21"/>
        <v>-1</v>
      </c>
      <c r="J338" s="13">
        <f>SUMIFS(data!E:E,data!A:A,TABLEAU!B338,data!C:C,TABLEAU!D338,data!F:F,YEAR(Feuil1!$D$1))</f>
        <v>0</v>
      </c>
      <c r="K338" s="13">
        <f>SUMIFS(data!E:E,data!A:A,TABLEAU!B338,data!C:C,TABLEAU!D338,data!F:F,YEAR(Feuil1!$D$2))</f>
        <v>66</v>
      </c>
      <c r="L338" s="13">
        <f t="shared" si="22"/>
        <v>-66</v>
      </c>
      <c r="M338" s="12">
        <f t="shared" si="23"/>
        <v>-1</v>
      </c>
    </row>
    <row r="339" spans="1:13" x14ac:dyDescent="0.25">
      <c r="A339" s="17" t="str">
        <f>data!H564</f>
        <v>VINICOM</v>
      </c>
      <c r="B339" s="15" t="str">
        <f>data!A564</f>
        <v>003517</v>
      </c>
      <c r="C339" s="1" t="str">
        <f>data!B564</f>
        <v>HOBIVIN</v>
      </c>
      <c r="D339" s="1" t="str">
        <f>data!C564</f>
        <v>CDH-220003</v>
      </c>
      <c r="E339" s="1" t="str">
        <f>data!D339</f>
        <v>AC VACQUEYRAS LA FOND DE PAPIER CLOS DU JONCUAS</v>
      </c>
      <c r="F339" s="14">
        <f>SUMIFS(data!G:G,data!A:A,TABLEAU!B339,data!C:C,TABLEAU!D339,data!F:F,YEAR(Feuil1!$D$1))</f>
        <v>45.36</v>
      </c>
      <c r="G339" s="9">
        <f>SUMIFS(data!G:G,data!A:A,TABLEAU!B339,data!C:C,TABLEAU!D339,data!F:F,YEAR(Feuil1!$D$2))</f>
        <v>317.52</v>
      </c>
      <c r="H339" s="9">
        <f t="shared" si="20"/>
        <v>-272.15999999999997</v>
      </c>
      <c r="I339" s="12">
        <f t="shared" si="21"/>
        <v>-0.8571428571428571</v>
      </c>
      <c r="J339" s="13">
        <f>SUMIFS(data!E:E,data!A:A,TABLEAU!B339,data!C:C,TABLEAU!D339,data!F:F,YEAR(Feuil1!$D$1))</f>
        <v>6</v>
      </c>
      <c r="K339" s="13">
        <f>SUMIFS(data!E:E,data!A:A,TABLEAU!B339,data!C:C,TABLEAU!D339,data!F:F,YEAR(Feuil1!$D$2))</f>
        <v>42</v>
      </c>
      <c r="L339" s="13">
        <f t="shared" si="22"/>
        <v>-36</v>
      </c>
      <c r="M339" s="12">
        <f t="shared" si="23"/>
        <v>-0.8571428571428571</v>
      </c>
    </row>
    <row r="340" spans="1:13" x14ac:dyDescent="0.25">
      <c r="A340" s="17" t="str">
        <f>data!H566</f>
        <v>VINICOM</v>
      </c>
      <c r="B340" s="15" t="str">
        <f>data!A566</f>
        <v>003517</v>
      </c>
      <c r="C340" s="1" t="str">
        <f>data!B566</f>
        <v>HOBIVIN</v>
      </c>
      <c r="D340" s="1" t="str">
        <f>data!C566</f>
        <v>CDH-220004</v>
      </c>
      <c r="E340" s="1" t="str">
        <f>data!D340</f>
        <v>AC VACQUEYRAS LA FOND DE PAPIER CLOS DU JONCUAS</v>
      </c>
      <c r="F340" s="14">
        <f>SUMIFS(data!G:G,data!A:A,TABLEAU!B340,data!C:C,TABLEAU!D340,data!F:F,YEAR(Feuil1!$D$1))</f>
        <v>81.72</v>
      </c>
      <c r="G340" s="9">
        <f>SUMIFS(data!G:G,data!A:A,TABLEAU!B340,data!C:C,TABLEAU!D340,data!F:F,YEAR(Feuil1!$D$2))</f>
        <v>286.02</v>
      </c>
      <c r="H340" s="9">
        <f t="shared" si="20"/>
        <v>-204.29999999999998</v>
      </c>
      <c r="I340" s="12">
        <f t="shared" si="21"/>
        <v>-0.7142857142857143</v>
      </c>
      <c r="J340" s="13">
        <f>SUMIFS(data!E:E,data!A:A,TABLEAU!B340,data!C:C,TABLEAU!D340,data!F:F,YEAR(Feuil1!$D$1))</f>
        <v>12</v>
      </c>
      <c r="K340" s="13">
        <f>SUMIFS(data!E:E,data!A:A,TABLEAU!B340,data!C:C,TABLEAU!D340,data!F:F,YEAR(Feuil1!$D$2))</f>
        <v>42</v>
      </c>
      <c r="L340" s="13">
        <f t="shared" si="22"/>
        <v>-30</v>
      </c>
      <c r="M340" s="12">
        <f t="shared" si="23"/>
        <v>-0.7142857142857143</v>
      </c>
    </row>
    <row r="341" spans="1:13" x14ac:dyDescent="0.25">
      <c r="A341" s="17" t="str">
        <f>data!H568</f>
        <v>VINICOM</v>
      </c>
      <c r="B341" s="15" t="str">
        <f>data!A568</f>
        <v>003517</v>
      </c>
      <c r="C341" s="1" t="str">
        <f>data!B568</f>
        <v>HOBIVIN</v>
      </c>
      <c r="D341" s="1" t="str">
        <f>data!C568</f>
        <v>CDH-220005</v>
      </c>
      <c r="E341" s="1" t="str">
        <f>data!D341</f>
        <v>AC GIGONDAS CLOS DU JONCUAS</v>
      </c>
      <c r="F341" s="14">
        <f>SUMIFS(data!G:G,data!A:A,TABLEAU!B341,data!C:C,TABLEAU!D341,data!F:F,YEAR(Feuil1!$D$1))</f>
        <v>141.41999999999999</v>
      </c>
      <c r="G341" s="9">
        <f>SUMIFS(data!G:G,data!A:A,TABLEAU!B341,data!C:C,TABLEAU!D341,data!F:F,YEAR(Feuil1!$D$2))</f>
        <v>907.14</v>
      </c>
      <c r="H341" s="9">
        <f t="shared" si="20"/>
        <v>-765.72</v>
      </c>
      <c r="I341" s="12">
        <f t="shared" si="21"/>
        <v>-0.84410344599510556</v>
      </c>
      <c r="J341" s="13">
        <f>SUMIFS(data!E:E,data!A:A,TABLEAU!B341,data!C:C,TABLEAU!D341,data!F:F,YEAR(Feuil1!$D$1))</f>
        <v>12</v>
      </c>
      <c r="K341" s="13">
        <f>SUMIFS(data!E:E,data!A:A,TABLEAU!B341,data!C:C,TABLEAU!D341,data!F:F,YEAR(Feuil1!$D$2))</f>
        <v>78</v>
      </c>
      <c r="L341" s="13">
        <f t="shared" si="22"/>
        <v>-66</v>
      </c>
      <c r="M341" s="12">
        <f t="shared" si="23"/>
        <v>-0.84615384615384615</v>
      </c>
    </row>
    <row r="342" spans="1:13" x14ac:dyDescent="0.25">
      <c r="A342" s="17" t="str">
        <f>data!H570</f>
        <v>VINICOM</v>
      </c>
      <c r="B342" s="15" t="str">
        <f>data!A570</f>
        <v>003517</v>
      </c>
      <c r="C342" s="1" t="str">
        <f>data!B570</f>
        <v>HOBIVIN</v>
      </c>
      <c r="D342" s="1" t="str">
        <f>data!C570</f>
        <v>CDH-222001</v>
      </c>
      <c r="E342" s="1" t="str">
        <f>data!D342</f>
        <v>AC GIGONDAS CLOS DU JONCUAS</v>
      </c>
      <c r="F342" s="14">
        <f>SUMIFS(data!G:G,data!A:A,TABLEAU!B342,data!C:C,TABLEAU!D342,data!F:F,YEAR(Feuil1!$D$1))</f>
        <v>83.43</v>
      </c>
      <c r="G342" s="9">
        <f>SUMIFS(data!G:G,data!A:A,TABLEAU!B342,data!C:C,TABLEAU!D342,data!F:F,YEAR(Feuil1!$D$2))</f>
        <v>157.5</v>
      </c>
      <c r="H342" s="9">
        <f t="shared" si="20"/>
        <v>-74.069999999999993</v>
      </c>
      <c r="I342" s="12">
        <f t="shared" si="21"/>
        <v>-0.47028571428571425</v>
      </c>
      <c r="J342" s="13">
        <f>SUMIFS(data!E:E,data!A:A,TABLEAU!B342,data!C:C,TABLEAU!D342,data!F:F,YEAR(Feuil1!$D$1))</f>
        <v>3</v>
      </c>
      <c r="K342" s="13">
        <f>SUMIFS(data!E:E,data!A:A,TABLEAU!B342,data!C:C,TABLEAU!D342,data!F:F,YEAR(Feuil1!$D$2))</f>
        <v>24</v>
      </c>
      <c r="L342" s="13">
        <f t="shared" si="22"/>
        <v>-21</v>
      </c>
      <c r="M342" s="12">
        <f t="shared" si="23"/>
        <v>-0.875</v>
      </c>
    </row>
    <row r="343" spans="1:13" x14ac:dyDescent="0.25">
      <c r="A343" s="17" t="str">
        <f>data!H572</f>
        <v>VINICOM</v>
      </c>
      <c r="B343" s="15" t="str">
        <f>data!A572</f>
        <v>003517</v>
      </c>
      <c r="C343" s="1" t="str">
        <f>data!B572</f>
        <v>HOBIVIN</v>
      </c>
      <c r="D343" s="1" t="str">
        <f>data!C572</f>
        <v>CDH-222004</v>
      </c>
      <c r="E343" s="1" t="str">
        <f>data!D343</f>
        <v>AOP SAUMUR CHAMPIGNY PLAISIR DE ST JEAN</v>
      </c>
      <c r="F343" s="14">
        <f>SUMIFS(data!G:G,data!A:A,TABLEAU!B343,data!C:C,TABLEAU!D343,data!F:F,YEAR(Feuil1!$D$1))</f>
        <v>223.2</v>
      </c>
      <c r="G343" s="9">
        <f>SUMIFS(data!G:G,data!A:A,TABLEAU!B343,data!C:C,TABLEAU!D343,data!F:F,YEAR(Feuil1!$D$2))</f>
        <v>40.86</v>
      </c>
      <c r="H343" s="9">
        <f t="shared" si="20"/>
        <v>182.33999999999997</v>
      </c>
      <c r="I343" s="12">
        <f t="shared" si="21"/>
        <v>4.462555066079295</v>
      </c>
      <c r="J343" s="13">
        <f>SUMIFS(data!E:E,data!A:A,TABLEAU!B343,data!C:C,TABLEAU!D343,data!F:F,YEAR(Feuil1!$D$1))</f>
        <v>30</v>
      </c>
      <c r="K343" s="13">
        <f>SUMIFS(data!E:E,data!A:A,TABLEAU!B343,data!C:C,TABLEAU!D343,data!F:F,YEAR(Feuil1!$D$2))</f>
        <v>24</v>
      </c>
      <c r="L343" s="13">
        <f t="shared" si="22"/>
        <v>6</v>
      </c>
      <c r="M343" s="12">
        <f t="shared" si="23"/>
        <v>0.25</v>
      </c>
    </row>
    <row r="344" spans="1:13" x14ac:dyDescent="0.25">
      <c r="A344" s="17" t="str">
        <f>data!H574</f>
        <v>VINICOM</v>
      </c>
      <c r="B344" s="15" t="str">
        <f>data!A574</f>
        <v>003517</v>
      </c>
      <c r="C344" s="1" t="str">
        <f>data!B574</f>
        <v>HOBIVIN</v>
      </c>
      <c r="D344" s="1" t="str">
        <f>data!C574</f>
        <v>CDH-225001</v>
      </c>
      <c r="E344" s="1" t="str">
        <f>data!D344</f>
        <v>AOP SAUMUR CHAMPIGNY PLAISIR DE ST JEAN</v>
      </c>
      <c r="F344" s="14">
        <f>SUMIFS(data!G:G,data!A:A,TABLEAU!B344,data!C:C,TABLEAU!D344,data!F:F,YEAR(Feuil1!$D$1))</f>
        <v>0</v>
      </c>
      <c r="G344" s="9">
        <f>SUMIFS(data!G:G,data!A:A,TABLEAU!B344,data!C:C,TABLEAU!D344,data!F:F,YEAR(Feuil1!$D$2))</f>
        <v>770.04</v>
      </c>
      <c r="H344" s="9">
        <f t="shared" si="20"/>
        <v>-770.04</v>
      </c>
      <c r="I344" s="12">
        <f t="shared" si="21"/>
        <v>-1</v>
      </c>
      <c r="J344" s="13">
        <f>SUMIFS(data!E:E,data!A:A,TABLEAU!B344,data!C:C,TABLEAU!D344,data!F:F,YEAR(Feuil1!$D$1))</f>
        <v>0</v>
      </c>
      <c r="K344" s="13">
        <f>SUMIFS(data!E:E,data!A:A,TABLEAU!B344,data!C:C,TABLEAU!D344,data!F:F,YEAR(Feuil1!$D$2))</f>
        <v>108</v>
      </c>
      <c r="L344" s="13">
        <f t="shared" si="22"/>
        <v>-108</v>
      </c>
      <c r="M344" s="12">
        <f t="shared" si="23"/>
        <v>-1</v>
      </c>
    </row>
    <row r="345" spans="1:13" x14ac:dyDescent="0.25">
      <c r="A345" s="17" t="str">
        <f>data!H575</f>
        <v>VINICOM</v>
      </c>
      <c r="B345" s="15" t="str">
        <f>data!A575</f>
        <v>003517</v>
      </c>
      <c r="C345" s="1" t="str">
        <f>data!B575</f>
        <v>HOBIVIN</v>
      </c>
      <c r="D345" s="1" t="str">
        <f>data!C575</f>
        <v>CDH-230001</v>
      </c>
      <c r="E345" s="1" t="str">
        <f>data!D345</f>
        <v>AOP COTEAUX D'AIX EN PROVENCE LES VIGNERONS DU MIS</v>
      </c>
      <c r="F345" s="14">
        <f>SUMIFS(data!G:G,data!A:A,TABLEAU!B345,data!C:C,TABLEAU!D345,data!F:F,YEAR(Feuil1!$D$1))</f>
        <v>0</v>
      </c>
      <c r="G345" s="9">
        <f>SUMIFS(data!G:G,data!A:A,TABLEAU!B345,data!C:C,TABLEAU!D345,data!F:F,YEAR(Feuil1!$D$2))</f>
        <v>236.64</v>
      </c>
      <c r="H345" s="9">
        <f t="shared" si="20"/>
        <v>-236.64</v>
      </c>
      <c r="I345" s="12">
        <f t="shared" si="21"/>
        <v>-1</v>
      </c>
      <c r="J345" s="13">
        <f>SUMIFS(data!E:E,data!A:A,TABLEAU!B345,data!C:C,TABLEAU!D345,data!F:F,YEAR(Feuil1!$D$1))</f>
        <v>0</v>
      </c>
      <c r="K345" s="13">
        <f>SUMIFS(data!E:E,data!A:A,TABLEAU!B345,data!C:C,TABLEAU!D345,data!F:F,YEAR(Feuil1!$D$2))</f>
        <v>36</v>
      </c>
      <c r="L345" s="13">
        <f t="shared" si="22"/>
        <v>-36</v>
      </c>
      <c r="M345" s="12">
        <f t="shared" si="23"/>
        <v>-1</v>
      </c>
    </row>
    <row r="346" spans="1:13" x14ac:dyDescent="0.25">
      <c r="A346" s="17" t="str">
        <f>data!H576</f>
        <v>VINICOM</v>
      </c>
      <c r="B346" s="15" t="str">
        <f>data!A576</f>
        <v>003517</v>
      </c>
      <c r="C346" s="1" t="str">
        <f>data!B576</f>
        <v>HOBIVIN</v>
      </c>
      <c r="D346" s="1" t="str">
        <f>data!C576</f>
        <v>CDH-230002</v>
      </c>
      <c r="E346" s="1" t="str">
        <f>data!D346</f>
        <v>AOP COTEAUX D'AIX EN PROVENCE LES VIGNERONS DU MIS</v>
      </c>
      <c r="F346" s="14">
        <f>SUMIFS(data!G:G,data!A:A,TABLEAU!B346,data!C:C,TABLEAU!D346,data!F:F,YEAR(Feuil1!$D$1))</f>
        <v>577.08000000000004</v>
      </c>
      <c r="G346" s="9">
        <f>SUMIFS(data!G:G,data!A:A,TABLEAU!B346,data!C:C,TABLEAU!D346,data!F:F,YEAR(Feuil1!$D$2))</f>
        <v>494.64</v>
      </c>
      <c r="H346" s="9">
        <f t="shared" si="20"/>
        <v>82.440000000000055</v>
      </c>
      <c r="I346" s="12">
        <f t="shared" si="21"/>
        <v>0.16666666666666677</v>
      </c>
      <c r="J346" s="13">
        <f>SUMIFS(data!E:E,data!A:A,TABLEAU!B346,data!C:C,TABLEAU!D346,data!F:F,YEAR(Feuil1!$D$1))</f>
        <v>66</v>
      </c>
      <c r="K346" s="13">
        <f>SUMIFS(data!E:E,data!A:A,TABLEAU!B346,data!C:C,TABLEAU!D346,data!F:F,YEAR(Feuil1!$D$2))</f>
        <v>60</v>
      </c>
      <c r="L346" s="13">
        <f t="shared" si="22"/>
        <v>6</v>
      </c>
      <c r="M346" s="12">
        <f t="shared" si="23"/>
        <v>0.1</v>
      </c>
    </row>
    <row r="347" spans="1:13" x14ac:dyDescent="0.25">
      <c r="A347" s="17" t="str">
        <f>data!H578</f>
        <v>VINICOM</v>
      </c>
      <c r="B347" s="15" t="str">
        <f>data!A578</f>
        <v>003517</v>
      </c>
      <c r="C347" s="1" t="str">
        <f>data!B578</f>
        <v>HOBIVIN</v>
      </c>
      <c r="D347" s="1" t="str">
        <f>data!C578</f>
        <v>CDH-230003</v>
      </c>
      <c r="E347" s="1" t="str">
        <f>data!D347</f>
        <v>IGP GAMAY COMTE TOLOSAN - CAVE DE LA BASTIDE</v>
      </c>
      <c r="F347" s="14">
        <f>SUMIFS(data!G:G,data!A:A,TABLEAU!B347,data!C:C,TABLEAU!D347,data!F:F,YEAR(Feuil1!$D$1))</f>
        <v>494.64</v>
      </c>
      <c r="G347" s="9">
        <f>SUMIFS(data!G:G,data!A:A,TABLEAU!B347,data!C:C,TABLEAU!D347,data!F:F,YEAR(Feuil1!$D$2))</f>
        <v>0</v>
      </c>
      <c r="H347" s="9">
        <f t="shared" si="20"/>
        <v>494.64</v>
      </c>
      <c r="I347" s="12" t="str">
        <f t="shared" si="21"/>
        <v/>
      </c>
      <c r="J347" s="13">
        <f>SUMIFS(data!E:E,data!A:A,TABLEAU!B347,data!C:C,TABLEAU!D347,data!F:F,YEAR(Feuil1!$D$1))</f>
        <v>36</v>
      </c>
      <c r="K347" s="13">
        <f>SUMIFS(data!E:E,data!A:A,TABLEAU!B347,data!C:C,TABLEAU!D347,data!F:F,YEAR(Feuil1!$D$2))</f>
        <v>42</v>
      </c>
      <c r="L347" s="13">
        <f t="shared" si="22"/>
        <v>-6</v>
      </c>
      <c r="M347" s="12">
        <f t="shared" si="23"/>
        <v>-0.14285714285714285</v>
      </c>
    </row>
    <row r="348" spans="1:13" x14ac:dyDescent="0.25">
      <c r="A348" s="17" t="str">
        <f>data!H580</f>
        <v>VINICOM</v>
      </c>
      <c r="B348" s="15" t="str">
        <f>data!A580</f>
        <v>003517</v>
      </c>
      <c r="C348" s="1" t="str">
        <f>data!B580</f>
        <v>HOBIVIN</v>
      </c>
      <c r="D348" s="1" t="str">
        <f>data!C580</f>
        <v>CDH-231001</v>
      </c>
      <c r="E348" s="1" t="str">
        <f>data!D348</f>
        <v>IGP GAMAY COMTE TOLOSAN - CAVE DE LA BASTIDE</v>
      </c>
      <c r="F348" s="14">
        <f>SUMIFS(data!G:G,data!A:A,TABLEAU!B348,data!C:C,TABLEAU!D348,data!F:F,YEAR(Feuil1!$D$1))</f>
        <v>0</v>
      </c>
      <c r="G348" s="9">
        <f>SUMIFS(data!G:G,data!A:A,TABLEAU!B348,data!C:C,TABLEAU!D348,data!F:F,YEAR(Feuil1!$D$2))</f>
        <v>195</v>
      </c>
      <c r="H348" s="9">
        <f t="shared" si="20"/>
        <v>-195</v>
      </c>
      <c r="I348" s="12">
        <f t="shared" si="21"/>
        <v>-1</v>
      </c>
      <c r="J348" s="13">
        <f>SUMIFS(data!E:E,data!A:A,TABLEAU!B348,data!C:C,TABLEAU!D348,data!F:F,YEAR(Feuil1!$D$1))</f>
        <v>0</v>
      </c>
      <c r="K348" s="13">
        <f>SUMIFS(data!E:E,data!A:A,TABLEAU!B348,data!C:C,TABLEAU!D348,data!F:F,YEAR(Feuil1!$D$2))</f>
        <v>60</v>
      </c>
      <c r="L348" s="13">
        <f t="shared" si="22"/>
        <v>-60</v>
      </c>
      <c r="M348" s="12">
        <f t="shared" si="23"/>
        <v>-1</v>
      </c>
    </row>
    <row r="349" spans="1:13" x14ac:dyDescent="0.25">
      <c r="A349" s="17" t="str">
        <f>data!H581</f>
        <v>VINICOM</v>
      </c>
      <c r="B349" s="15" t="str">
        <f>data!A581</f>
        <v>003517</v>
      </c>
      <c r="C349" s="1" t="str">
        <f>data!B581</f>
        <v>HOBIVIN</v>
      </c>
      <c r="D349" s="1" t="str">
        <f>data!C581</f>
        <v>CDH-240010H</v>
      </c>
      <c r="E349" s="1" t="str">
        <f>data!D349</f>
        <v>IGP SAUVIGNON COMTE TOLOSAN - CAVE DE LA BASTIDE</v>
      </c>
      <c r="F349" s="14">
        <f>SUMIFS(data!G:G,data!A:A,TABLEAU!B349,data!C:C,TABLEAU!D349,data!F:F,YEAR(Feuil1!$D$1))</f>
        <v>0</v>
      </c>
      <c r="G349" s="9">
        <f>SUMIFS(data!G:G,data!A:A,TABLEAU!B349,data!C:C,TABLEAU!D349,data!F:F,YEAR(Feuil1!$D$2))</f>
        <v>0</v>
      </c>
      <c r="H349" s="9">
        <f t="shared" si="20"/>
        <v>0</v>
      </c>
      <c r="I349" s="12" t="str">
        <f t="shared" si="21"/>
        <v/>
      </c>
      <c r="J349" s="13">
        <f>SUMIFS(data!E:E,data!A:A,TABLEAU!B349,data!C:C,TABLEAU!D349,data!F:F,YEAR(Feuil1!$D$1))</f>
        <v>6</v>
      </c>
      <c r="K349" s="13">
        <f>SUMIFS(data!E:E,data!A:A,TABLEAU!B349,data!C:C,TABLEAU!D349,data!F:F,YEAR(Feuil1!$D$2))</f>
        <v>0</v>
      </c>
      <c r="L349" s="13">
        <f t="shared" si="22"/>
        <v>6</v>
      </c>
      <c r="M349" s="12" t="str">
        <f t="shared" si="23"/>
        <v/>
      </c>
    </row>
    <row r="350" spans="1:13" x14ac:dyDescent="0.25">
      <c r="A350" s="17" t="str">
        <f>data!H582</f>
        <v>VINICOM</v>
      </c>
      <c r="B350" s="15" t="str">
        <f>data!A582</f>
        <v>003517</v>
      </c>
      <c r="C350" s="1" t="str">
        <f>data!B582</f>
        <v>HOBIVIN</v>
      </c>
      <c r="D350" s="1" t="str">
        <f>data!C582</f>
        <v>CDH-556001</v>
      </c>
      <c r="E350" s="1" t="str">
        <f>data!D350</f>
        <v>IGP SAUVIGNON COMTE TOLOSAN - CAVE DE LA BASTIDE</v>
      </c>
      <c r="F350" s="14">
        <f>SUMIFS(data!G:G,data!A:A,TABLEAU!B350,data!C:C,TABLEAU!D350,data!F:F,YEAR(Feuil1!$D$1))</f>
        <v>270.3</v>
      </c>
      <c r="G350" s="9">
        <f>SUMIFS(data!G:G,data!A:A,TABLEAU!B350,data!C:C,TABLEAU!D350,data!F:F,YEAR(Feuil1!$D$2))</f>
        <v>324.36</v>
      </c>
      <c r="H350" s="9">
        <f t="shared" si="20"/>
        <v>-54.06</v>
      </c>
      <c r="I350" s="12">
        <f t="shared" si="21"/>
        <v>-0.16666666666666666</v>
      </c>
      <c r="J350" s="13">
        <f>SUMIFS(data!E:E,data!A:A,TABLEAU!B350,data!C:C,TABLEAU!D350,data!F:F,YEAR(Feuil1!$D$1))</f>
        <v>30</v>
      </c>
      <c r="K350" s="13">
        <f>SUMIFS(data!E:E,data!A:A,TABLEAU!B350,data!C:C,TABLEAU!D350,data!F:F,YEAR(Feuil1!$D$2))</f>
        <v>36</v>
      </c>
      <c r="L350" s="13">
        <f t="shared" si="22"/>
        <v>-6</v>
      </c>
      <c r="M350" s="12">
        <f t="shared" si="23"/>
        <v>-0.16666666666666666</v>
      </c>
    </row>
    <row r="351" spans="1:13" x14ac:dyDescent="0.25">
      <c r="A351" s="17" t="str">
        <f>data!H584</f>
        <v>VINICOM</v>
      </c>
      <c r="B351" s="15" t="str">
        <f>data!A584</f>
        <v>003517</v>
      </c>
      <c r="C351" s="1" t="str">
        <f>data!B584</f>
        <v>HOBIVIN</v>
      </c>
      <c r="D351" s="1" t="str">
        <f>data!C584</f>
        <v>CDH-556002</v>
      </c>
      <c r="E351" s="1" t="str">
        <f>data!D351</f>
        <v>IGP COMTE TOLOSAN - LEO &amp; CO</v>
      </c>
      <c r="F351" s="14">
        <f>SUMIFS(data!G:G,data!A:A,TABLEAU!B351,data!C:C,TABLEAU!D351,data!F:F,YEAR(Feuil1!$D$1))</f>
        <v>198.22</v>
      </c>
      <c r="G351" s="9">
        <f>SUMIFS(data!G:G,data!A:A,TABLEAU!B351,data!C:C,TABLEAU!D351,data!F:F,YEAR(Feuil1!$D$2))</f>
        <v>54.06</v>
      </c>
      <c r="H351" s="9">
        <f t="shared" si="20"/>
        <v>144.16</v>
      </c>
      <c r="I351" s="12">
        <f t="shared" si="21"/>
        <v>2.6666666666666665</v>
      </c>
      <c r="J351" s="13">
        <f>SUMIFS(data!E:E,data!A:A,TABLEAU!B351,data!C:C,TABLEAU!D351,data!F:F,YEAR(Feuil1!$D$1))</f>
        <v>22</v>
      </c>
      <c r="K351" s="13">
        <f>SUMIFS(data!E:E,data!A:A,TABLEAU!B351,data!C:C,TABLEAU!D351,data!F:F,YEAR(Feuil1!$D$2))</f>
        <v>6</v>
      </c>
      <c r="L351" s="13">
        <f t="shared" si="22"/>
        <v>16</v>
      </c>
      <c r="M351" s="12">
        <f t="shared" si="23"/>
        <v>2.6666666666666665</v>
      </c>
    </row>
    <row r="352" spans="1:13" x14ac:dyDescent="0.25">
      <c r="A352" s="17" t="str">
        <f>data!H586</f>
        <v>VINICOM</v>
      </c>
      <c r="B352" s="15" t="str">
        <f>data!A586</f>
        <v>003517</v>
      </c>
      <c r="C352" s="1" t="str">
        <f>data!B586</f>
        <v>HOBIVIN</v>
      </c>
      <c r="D352" s="1" t="str">
        <f>data!C586</f>
        <v>CDH-556003</v>
      </c>
      <c r="E352" s="1" t="str">
        <f>data!D352</f>
        <v>IGP COMTE TOLOSAN - LEO &amp; CO</v>
      </c>
      <c r="F352" s="14">
        <f>SUMIFS(data!G:G,data!A:A,TABLEAU!B352,data!C:C,TABLEAU!D352,data!F:F,YEAR(Feuil1!$D$1))</f>
        <v>315.64</v>
      </c>
      <c r="G352" s="9">
        <f>SUMIFS(data!G:G,data!A:A,TABLEAU!B352,data!C:C,TABLEAU!D352,data!F:F,YEAR(Feuil1!$D$2))</f>
        <v>364.2</v>
      </c>
      <c r="H352" s="9">
        <f t="shared" si="20"/>
        <v>-48.56</v>
      </c>
      <c r="I352" s="12">
        <f t="shared" si="21"/>
        <v>-0.13333333333333333</v>
      </c>
      <c r="J352" s="13">
        <f>SUMIFS(data!E:E,data!A:A,TABLEAU!B352,data!C:C,TABLEAU!D352,data!F:F,YEAR(Feuil1!$D$1))</f>
        <v>26</v>
      </c>
      <c r="K352" s="13">
        <f>SUMIFS(data!E:E,data!A:A,TABLEAU!B352,data!C:C,TABLEAU!D352,data!F:F,YEAR(Feuil1!$D$2))</f>
        <v>30</v>
      </c>
      <c r="L352" s="13">
        <f t="shared" si="22"/>
        <v>-4</v>
      </c>
      <c r="M352" s="12">
        <f t="shared" si="23"/>
        <v>-0.13333333333333333</v>
      </c>
    </row>
    <row r="353" spans="1:13" x14ac:dyDescent="0.25">
      <c r="A353" s="17" t="str">
        <f>data!H588</f>
        <v>VINICOM</v>
      </c>
      <c r="B353" s="15" t="str">
        <f>data!A588</f>
        <v>003517</v>
      </c>
      <c r="C353" s="1" t="str">
        <f>data!B588</f>
        <v>HOBIVIN</v>
      </c>
      <c r="D353" s="1" t="str">
        <f>data!C588</f>
        <v>CDH-556004</v>
      </c>
      <c r="E353" s="1" t="str">
        <f>data!D353</f>
        <v>IGP COMTE TOLOSAN - LEO &amp; CO</v>
      </c>
      <c r="F353" s="14">
        <f>SUMIFS(data!G:G,data!A:A,TABLEAU!B353,data!C:C,TABLEAU!D353,data!F:F,YEAR(Feuil1!$D$1))</f>
        <v>0</v>
      </c>
      <c r="G353" s="9">
        <f>SUMIFS(data!G:G,data!A:A,TABLEAU!B353,data!C:C,TABLEAU!D353,data!F:F,YEAR(Feuil1!$D$2))</f>
        <v>366.3</v>
      </c>
      <c r="H353" s="9">
        <f t="shared" si="20"/>
        <v>-366.3</v>
      </c>
      <c r="I353" s="12">
        <f t="shared" si="21"/>
        <v>-1</v>
      </c>
      <c r="J353" s="13">
        <f>SUMIFS(data!E:E,data!A:A,TABLEAU!B353,data!C:C,TABLEAU!D353,data!F:F,YEAR(Feuil1!$D$1))</f>
        <v>0</v>
      </c>
      <c r="K353" s="13">
        <f>SUMIFS(data!E:E,data!A:A,TABLEAU!B353,data!C:C,TABLEAU!D353,data!F:F,YEAR(Feuil1!$D$2))</f>
        <v>18</v>
      </c>
      <c r="L353" s="13">
        <f t="shared" si="22"/>
        <v>-18</v>
      </c>
      <c r="M353" s="12">
        <f t="shared" si="23"/>
        <v>-1</v>
      </c>
    </row>
    <row r="354" spans="1:13" x14ac:dyDescent="0.25">
      <c r="A354" s="17" t="str">
        <f>data!H589</f>
        <v>VINICOM</v>
      </c>
      <c r="B354" s="15" t="str">
        <f>data!A589</f>
        <v>003517</v>
      </c>
      <c r="C354" s="1" t="str">
        <f>data!B589</f>
        <v>HOBIVIN</v>
      </c>
      <c r="D354" s="1" t="str">
        <f>data!C589</f>
        <v>CDH-556005</v>
      </c>
      <c r="E354" s="1" t="str">
        <f>data!D354</f>
        <v>IGP COMTE TOLOSAN - LEO &amp; CO</v>
      </c>
      <c r="F354" s="14">
        <f>SUMIFS(data!G:G,data!A:A,TABLEAU!B354,data!C:C,TABLEAU!D354,data!F:F,YEAR(Feuil1!$D$1))</f>
        <v>189.42</v>
      </c>
      <c r="G354" s="9">
        <f>SUMIFS(data!G:G,data!A:A,TABLEAU!B354,data!C:C,TABLEAU!D354,data!F:F,YEAR(Feuil1!$D$2))</f>
        <v>0</v>
      </c>
      <c r="H354" s="9">
        <f t="shared" si="20"/>
        <v>189.42</v>
      </c>
      <c r="I354" s="12" t="str">
        <f t="shared" si="21"/>
        <v/>
      </c>
      <c r="J354" s="13">
        <f>SUMIFS(data!E:E,data!A:A,TABLEAU!B354,data!C:C,TABLEAU!D354,data!F:F,YEAR(Feuil1!$D$1))</f>
        <v>6</v>
      </c>
      <c r="K354" s="13">
        <f>SUMIFS(data!E:E,data!A:A,TABLEAU!B354,data!C:C,TABLEAU!D354,data!F:F,YEAR(Feuil1!$D$2))</f>
        <v>0</v>
      </c>
      <c r="L354" s="13">
        <f t="shared" si="22"/>
        <v>6</v>
      </c>
      <c r="M354" s="12" t="str">
        <f t="shared" si="23"/>
        <v/>
      </c>
    </row>
    <row r="355" spans="1:13" x14ac:dyDescent="0.25">
      <c r="A355" s="17" t="str">
        <f>data!H590</f>
        <v>VINICOM</v>
      </c>
      <c r="B355" s="15" t="str">
        <f>data!A590</f>
        <v>003517</v>
      </c>
      <c r="C355" s="1" t="str">
        <f>data!B590</f>
        <v>HOBIVIN</v>
      </c>
      <c r="D355" s="1" t="str">
        <f>data!C590</f>
        <v>CDH-556006</v>
      </c>
      <c r="E355" s="1" t="str">
        <f>data!D355</f>
        <v>IGP COMTE TOLOSAN - LEO &amp; CO</v>
      </c>
      <c r="F355" s="14">
        <f>SUMIFS(data!G:G,data!A:A,TABLEAU!B355,data!C:C,TABLEAU!D355,data!F:F,YEAR(Feuil1!$D$1))</f>
        <v>270.3</v>
      </c>
      <c r="G355" s="9">
        <f>SUMIFS(data!G:G,data!A:A,TABLEAU!B355,data!C:C,TABLEAU!D355,data!F:F,YEAR(Feuil1!$D$2))</f>
        <v>270.3</v>
      </c>
      <c r="H355" s="9">
        <f t="shared" si="20"/>
        <v>0</v>
      </c>
      <c r="I355" s="12">
        <f t="shared" si="21"/>
        <v>0</v>
      </c>
      <c r="J355" s="13">
        <f>SUMIFS(data!E:E,data!A:A,TABLEAU!B355,data!C:C,TABLEAU!D355,data!F:F,YEAR(Feuil1!$D$1))</f>
        <v>30</v>
      </c>
      <c r="K355" s="13">
        <f>SUMIFS(data!E:E,data!A:A,TABLEAU!B355,data!C:C,TABLEAU!D355,data!F:F,YEAR(Feuil1!$D$2))</f>
        <v>30</v>
      </c>
      <c r="L355" s="13">
        <f t="shared" si="22"/>
        <v>0</v>
      </c>
      <c r="M355" s="12">
        <f t="shared" si="23"/>
        <v>0</v>
      </c>
    </row>
    <row r="356" spans="1:13" x14ac:dyDescent="0.25">
      <c r="A356" s="17" t="str">
        <f>data!H592</f>
        <v>VINICOM</v>
      </c>
      <c r="B356" s="15" t="str">
        <f>data!A592</f>
        <v>003517</v>
      </c>
      <c r="C356" s="1" t="str">
        <f>data!B592</f>
        <v>HOBIVIN</v>
      </c>
      <c r="D356" s="1" t="str">
        <f>data!C592</f>
        <v>CDH-556007</v>
      </c>
      <c r="E356" s="1" t="str">
        <f>data!D356</f>
        <v>IGP COMTE TOLOSAN - LEO &amp; CO</v>
      </c>
      <c r="F356" s="14">
        <f>SUMIFS(data!G:G,data!A:A,TABLEAU!B356,data!C:C,TABLEAU!D356,data!F:F,YEAR(Feuil1!$D$1))</f>
        <v>54.06</v>
      </c>
      <c r="G356" s="9">
        <f>SUMIFS(data!G:G,data!A:A,TABLEAU!B356,data!C:C,TABLEAU!D356,data!F:F,YEAR(Feuil1!$D$2))</f>
        <v>0</v>
      </c>
      <c r="H356" s="9">
        <f t="shared" si="20"/>
        <v>54.06</v>
      </c>
      <c r="I356" s="12" t="str">
        <f t="shared" si="21"/>
        <v/>
      </c>
      <c r="J356" s="13">
        <f>SUMIFS(data!E:E,data!A:A,TABLEAU!B356,data!C:C,TABLEAU!D356,data!F:F,YEAR(Feuil1!$D$1))</f>
        <v>6</v>
      </c>
      <c r="K356" s="13">
        <f>SUMIFS(data!E:E,data!A:A,TABLEAU!B356,data!C:C,TABLEAU!D356,data!F:F,YEAR(Feuil1!$D$2))</f>
        <v>0</v>
      </c>
      <c r="L356" s="13">
        <f t="shared" si="22"/>
        <v>6</v>
      </c>
      <c r="M356" s="12" t="str">
        <f t="shared" si="23"/>
        <v/>
      </c>
    </row>
    <row r="357" spans="1:13" x14ac:dyDescent="0.25">
      <c r="A357" s="17" t="str">
        <f>data!H593</f>
        <v>VINICOM</v>
      </c>
      <c r="B357" s="15" t="str">
        <f>data!A593</f>
        <v>003517</v>
      </c>
      <c r="C357" s="1" t="str">
        <f>data!B593</f>
        <v>HOBIVIN</v>
      </c>
      <c r="D357" s="1" t="str">
        <f>data!C593</f>
        <v>CDH-561003</v>
      </c>
      <c r="E357" s="1" t="str">
        <f>data!D357</f>
        <v>AOP GAILLAC - HOMMAGE A LA TRUFFE</v>
      </c>
      <c r="F357" s="14">
        <f>SUMIFS(data!G:G,data!A:A,TABLEAU!B357,data!C:C,TABLEAU!D357,data!F:F,YEAR(Feuil1!$D$1))</f>
        <v>0</v>
      </c>
      <c r="G357" s="9">
        <f>SUMIFS(data!G:G,data!A:A,TABLEAU!B357,data!C:C,TABLEAU!D357,data!F:F,YEAR(Feuil1!$D$2))</f>
        <v>967.5</v>
      </c>
      <c r="H357" s="9">
        <f t="shared" si="20"/>
        <v>-967.5</v>
      </c>
      <c r="I357" s="12">
        <f t="shared" si="21"/>
        <v>-1</v>
      </c>
      <c r="J357" s="13">
        <f>SUMIFS(data!E:E,data!A:A,TABLEAU!B357,data!C:C,TABLEAU!D357,data!F:F,YEAR(Feuil1!$D$1))</f>
        <v>0</v>
      </c>
      <c r="K357" s="13">
        <f>SUMIFS(data!E:E,data!A:A,TABLEAU!B357,data!C:C,TABLEAU!D357,data!F:F,YEAR(Feuil1!$D$2))</f>
        <v>30</v>
      </c>
      <c r="L357" s="13">
        <f t="shared" si="22"/>
        <v>-30</v>
      </c>
      <c r="M357" s="12">
        <f t="shared" si="23"/>
        <v>-1</v>
      </c>
    </row>
    <row r="358" spans="1:13" x14ac:dyDescent="0.25">
      <c r="A358" s="17" t="str">
        <f>data!H594</f>
        <v>VINICOM</v>
      </c>
      <c r="B358" s="15" t="str">
        <f>data!A594</f>
        <v>003517</v>
      </c>
      <c r="C358" s="1" t="str">
        <f>data!B594</f>
        <v>HOBIVIN</v>
      </c>
      <c r="D358" s="1" t="str">
        <f>data!C594</f>
        <v>CDH-800002</v>
      </c>
      <c r="E358" s="1" t="str">
        <f>data!D358</f>
        <v>AOP GAILLAC - HOMMAGE A LA TRUFFE</v>
      </c>
      <c r="F358" s="14">
        <f>SUMIFS(data!G:G,data!A:A,TABLEAU!B358,data!C:C,TABLEAU!D358,data!F:F,YEAR(Feuil1!$D$1))</f>
        <v>344.4</v>
      </c>
      <c r="G358" s="9">
        <f>SUMIFS(data!G:G,data!A:A,TABLEAU!B358,data!C:C,TABLEAU!D358,data!F:F,YEAR(Feuil1!$D$2))</f>
        <v>344.4</v>
      </c>
      <c r="H358" s="9">
        <f t="shared" si="20"/>
        <v>0</v>
      </c>
      <c r="I358" s="12">
        <f t="shared" si="21"/>
        <v>0</v>
      </c>
      <c r="J358" s="13">
        <f>SUMIFS(data!E:E,data!A:A,TABLEAU!B358,data!C:C,TABLEAU!D358,data!F:F,YEAR(Feuil1!$D$1))</f>
        <v>24</v>
      </c>
      <c r="K358" s="13">
        <f>SUMIFS(data!E:E,data!A:A,TABLEAU!B358,data!C:C,TABLEAU!D358,data!F:F,YEAR(Feuil1!$D$2))</f>
        <v>24</v>
      </c>
      <c r="L358" s="13">
        <f t="shared" si="22"/>
        <v>0</v>
      </c>
      <c r="M358" s="12">
        <f t="shared" si="23"/>
        <v>0</v>
      </c>
    </row>
    <row r="359" spans="1:13" x14ac:dyDescent="0.25">
      <c r="A359" s="17" t="str">
        <f>data!H596</f>
        <v>VINICOM</v>
      </c>
      <c r="B359" s="15" t="str">
        <f>data!A596</f>
        <v>003517</v>
      </c>
      <c r="C359" s="1" t="str">
        <f>data!B596</f>
        <v>HOBIVIN</v>
      </c>
      <c r="D359" s="1" t="str">
        <f>data!C596</f>
        <v>CDH-801001</v>
      </c>
      <c r="E359" s="1" t="str">
        <f>data!D359</f>
        <v>AOP GAILLAC - HOMMAGE A LA TRUFFE</v>
      </c>
      <c r="F359" s="14">
        <f>SUMIFS(data!G:G,data!A:A,TABLEAU!B359,data!C:C,TABLEAU!D359,data!F:F,YEAR(Feuil1!$D$1))</f>
        <v>0</v>
      </c>
      <c r="G359" s="9">
        <f>SUMIFS(data!G:G,data!A:A,TABLEAU!B359,data!C:C,TABLEAU!D359,data!F:F,YEAR(Feuil1!$D$2))</f>
        <v>242.58</v>
      </c>
      <c r="H359" s="9">
        <f t="shared" si="20"/>
        <v>-242.58</v>
      </c>
      <c r="I359" s="12">
        <f t="shared" si="21"/>
        <v>-1</v>
      </c>
      <c r="J359" s="13">
        <f>SUMIFS(data!E:E,data!A:A,TABLEAU!B359,data!C:C,TABLEAU!D359,data!F:F,YEAR(Feuil1!$D$1))</f>
        <v>0</v>
      </c>
      <c r="K359" s="13">
        <f>SUMIFS(data!E:E,data!A:A,TABLEAU!B359,data!C:C,TABLEAU!D359,data!F:F,YEAR(Feuil1!$D$2))</f>
        <v>41</v>
      </c>
      <c r="L359" s="13">
        <f t="shared" si="22"/>
        <v>-41</v>
      </c>
      <c r="M359" s="12">
        <f t="shared" si="23"/>
        <v>-1</v>
      </c>
    </row>
    <row r="360" spans="1:13" x14ac:dyDescent="0.25">
      <c r="A360" s="17" t="str">
        <f>data!H597</f>
        <v>VINICOM</v>
      </c>
      <c r="B360" s="15" t="str">
        <f>data!A597</f>
        <v>003517</v>
      </c>
      <c r="C360" s="1" t="str">
        <f>data!B597</f>
        <v>HOBIVIN</v>
      </c>
      <c r="D360" s="1" t="str">
        <f>data!C597</f>
        <v>CDH-801004</v>
      </c>
      <c r="E360" s="1" t="str">
        <f>data!D360</f>
        <v>AOP GAILLAC - HOMMAGE A LA TRUFFE</v>
      </c>
      <c r="F360" s="14">
        <f>SUMIFS(data!G:G,data!A:A,TABLEAU!B360,data!C:C,TABLEAU!D360,data!F:F,YEAR(Feuil1!$D$1))</f>
        <v>96</v>
      </c>
      <c r="G360" s="9">
        <f>SUMIFS(data!G:G,data!A:A,TABLEAU!B360,data!C:C,TABLEAU!D360,data!F:F,YEAR(Feuil1!$D$2))</f>
        <v>750.96</v>
      </c>
      <c r="H360" s="9">
        <f t="shared" si="20"/>
        <v>-654.96</v>
      </c>
      <c r="I360" s="12">
        <f t="shared" si="21"/>
        <v>-0.87216363055289226</v>
      </c>
      <c r="J360" s="13">
        <f>SUMIFS(data!E:E,data!A:A,TABLEAU!B360,data!C:C,TABLEAU!D360,data!F:F,YEAR(Feuil1!$D$1))</f>
        <v>12</v>
      </c>
      <c r="K360" s="13">
        <f>SUMIFS(data!E:E,data!A:A,TABLEAU!B360,data!C:C,TABLEAU!D360,data!F:F,YEAR(Feuil1!$D$2))</f>
        <v>96</v>
      </c>
      <c r="L360" s="13">
        <f t="shared" si="22"/>
        <v>-84</v>
      </c>
      <c r="M360" s="12">
        <f t="shared" si="23"/>
        <v>-0.875</v>
      </c>
    </row>
    <row r="361" spans="1:13" x14ac:dyDescent="0.25">
      <c r="A361" s="17" t="str">
        <f>data!H599</f>
        <v>VINICOM</v>
      </c>
      <c r="B361" s="15" t="str">
        <f>data!A599</f>
        <v>003517</v>
      </c>
      <c r="C361" s="1" t="str">
        <f>data!B599</f>
        <v>HOBIVIN</v>
      </c>
      <c r="D361" s="1" t="str">
        <f>data!C599</f>
        <v>CDH-801005</v>
      </c>
      <c r="E361" s="1" t="str">
        <f>data!D361</f>
        <v>AOP IROULEGUY DOMAINE MOURGUY</v>
      </c>
      <c r="F361" s="14">
        <f>SUMIFS(data!G:G,data!A:A,TABLEAU!B361,data!C:C,TABLEAU!D361,data!F:F,YEAR(Feuil1!$D$1))</f>
        <v>0</v>
      </c>
      <c r="G361" s="9">
        <f>SUMIFS(data!G:G,data!A:A,TABLEAU!B361,data!C:C,TABLEAU!D361,data!F:F,YEAR(Feuil1!$D$2))</f>
        <v>0</v>
      </c>
      <c r="H361" s="9">
        <f t="shared" si="20"/>
        <v>0</v>
      </c>
      <c r="I361" s="12" t="str">
        <f t="shared" si="21"/>
        <v/>
      </c>
      <c r="J361" s="13">
        <f>SUMIFS(data!E:E,data!A:A,TABLEAU!B361,data!C:C,TABLEAU!D361,data!F:F,YEAR(Feuil1!$D$1))</f>
        <v>0</v>
      </c>
      <c r="K361" s="13">
        <f>SUMIFS(data!E:E,data!A:A,TABLEAU!B361,data!C:C,TABLEAU!D361,data!F:F,YEAR(Feuil1!$D$2))</f>
        <v>6</v>
      </c>
      <c r="L361" s="13">
        <f t="shared" si="22"/>
        <v>-6</v>
      </c>
      <c r="M361" s="12">
        <f t="shared" si="23"/>
        <v>-1</v>
      </c>
    </row>
    <row r="362" spans="1:13" x14ac:dyDescent="0.25">
      <c r="A362" s="17" t="str">
        <f>data!H600</f>
        <v>VINICOM</v>
      </c>
      <c r="B362" s="15" t="str">
        <f>data!A600</f>
        <v>003517</v>
      </c>
      <c r="C362" s="1" t="str">
        <f>data!B600</f>
        <v>HOBIVIN</v>
      </c>
      <c r="D362" s="1" t="str">
        <f>data!C600</f>
        <v>CDH-801008</v>
      </c>
      <c r="E362" s="1" t="str">
        <f>data!D362</f>
        <v>AOP IROULEGUY DOMAINE MOURGUY</v>
      </c>
      <c r="F362" s="14">
        <f>SUMIFS(data!G:G,data!A:A,TABLEAU!B362,data!C:C,TABLEAU!D362,data!F:F,YEAR(Feuil1!$D$1))</f>
        <v>198.54</v>
      </c>
      <c r="G362" s="9">
        <f>SUMIFS(data!G:G,data!A:A,TABLEAU!B362,data!C:C,TABLEAU!D362,data!F:F,YEAR(Feuil1!$D$2))</f>
        <v>466.8</v>
      </c>
      <c r="H362" s="9">
        <f t="shared" si="20"/>
        <v>-268.26</v>
      </c>
      <c r="I362" s="12">
        <f t="shared" si="21"/>
        <v>-0.57467866323907457</v>
      </c>
      <c r="J362" s="13">
        <f>SUMIFS(data!E:E,data!A:A,TABLEAU!B362,data!C:C,TABLEAU!D362,data!F:F,YEAR(Feuil1!$D$1))</f>
        <v>12</v>
      </c>
      <c r="K362" s="13">
        <f>SUMIFS(data!E:E,data!A:A,TABLEAU!B362,data!C:C,TABLEAU!D362,data!F:F,YEAR(Feuil1!$D$2))</f>
        <v>30</v>
      </c>
      <c r="L362" s="13">
        <f t="shared" si="22"/>
        <v>-18</v>
      </c>
      <c r="M362" s="12">
        <f t="shared" si="23"/>
        <v>-0.6</v>
      </c>
    </row>
    <row r="363" spans="1:13" x14ac:dyDescent="0.25">
      <c r="A363" s="17" t="str">
        <f>data!H602</f>
        <v>VINICOM</v>
      </c>
      <c r="B363" s="15" t="str">
        <f>data!A602</f>
        <v>003517</v>
      </c>
      <c r="C363" s="1" t="str">
        <f>data!B602</f>
        <v>HOBIVIN</v>
      </c>
      <c r="D363" s="1" t="str">
        <f>data!C602</f>
        <v>CDH-801009</v>
      </c>
      <c r="E363" s="1" t="str">
        <f>data!D363</f>
        <v>AOP CORNAS - DOM JOHANN MICHEL</v>
      </c>
      <c r="F363" s="14">
        <f>SUMIFS(data!G:G,data!A:A,TABLEAU!B363,data!C:C,TABLEAU!D363,data!F:F,YEAR(Feuil1!$D$1))</f>
        <v>462.3</v>
      </c>
      <c r="G363" s="9">
        <f>SUMIFS(data!G:G,data!A:A,TABLEAU!B363,data!C:C,TABLEAU!D363,data!F:F,YEAR(Feuil1!$D$2))</f>
        <v>182.16</v>
      </c>
      <c r="H363" s="9">
        <f t="shared" si="20"/>
        <v>280.14</v>
      </c>
      <c r="I363" s="12">
        <f t="shared" si="21"/>
        <v>1.5378787878787878</v>
      </c>
      <c r="J363" s="13">
        <f>SUMIFS(data!E:E,data!A:A,TABLEAU!B363,data!C:C,TABLEAU!D363,data!F:F,YEAR(Feuil1!$D$1))</f>
        <v>60</v>
      </c>
      <c r="K363" s="13">
        <f>SUMIFS(data!E:E,data!A:A,TABLEAU!B363,data!C:C,TABLEAU!D363,data!F:F,YEAR(Feuil1!$D$2))</f>
        <v>24</v>
      </c>
      <c r="L363" s="13">
        <f t="shared" si="22"/>
        <v>36</v>
      </c>
      <c r="M363" s="12">
        <f t="shared" si="23"/>
        <v>1.5</v>
      </c>
    </row>
    <row r="364" spans="1:13" x14ac:dyDescent="0.25">
      <c r="A364" s="17" t="str">
        <f>data!H604</f>
        <v>VINICOM</v>
      </c>
      <c r="B364" s="15" t="str">
        <f>data!A604</f>
        <v>003517</v>
      </c>
      <c r="C364" s="1" t="str">
        <f>data!B604</f>
        <v>HOBIVIN</v>
      </c>
      <c r="D364" s="1" t="str">
        <f>data!C604</f>
        <v>CDH-801010</v>
      </c>
      <c r="E364" s="1" t="str">
        <f>data!D364</f>
        <v>AOP CORNAS - DOM JOHANN MICHEL</v>
      </c>
      <c r="F364" s="14">
        <f>SUMIFS(data!G:G,data!A:A,TABLEAU!B364,data!C:C,TABLEAU!D364,data!F:F,YEAR(Feuil1!$D$1))</f>
        <v>403.68</v>
      </c>
      <c r="G364" s="9">
        <f>SUMIFS(data!G:G,data!A:A,TABLEAU!B364,data!C:C,TABLEAU!D364,data!F:F,YEAR(Feuil1!$D$2))</f>
        <v>403.68</v>
      </c>
      <c r="H364" s="9">
        <f t="shared" si="20"/>
        <v>0</v>
      </c>
      <c r="I364" s="12">
        <f t="shared" si="21"/>
        <v>0</v>
      </c>
      <c r="J364" s="13">
        <f>SUMIFS(data!E:E,data!A:A,TABLEAU!B364,data!C:C,TABLEAU!D364,data!F:F,YEAR(Feuil1!$D$1))</f>
        <v>24</v>
      </c>
      <c r="K364" s="13">
        <f>SUMIFS(data!E:E,data!A:A,TABLEAU!B364,data!C:C,TABLEAU!D364,data!F:F,YEAR(Feuil1!$D$2))</f>
        <v>24</v>
      </c>
      <c r="L364" s="13">
        <f t="shared" si="22"/>
        <v>0</v>
      </c>
      <c r="M364" s="12">
        <f t="shared" si="23"/>
        <v>0</v>
      </c>
    </row>
    <row r="365" spans="1:13" x14ac:dyDescent="0.25">
      <c r="A365" s="17" t="str">
        <f>data!H606</f>
        <v>VINICOM</v>
      </c>
      <c r="B365" s="15" t="str">
        <f>data!A606</f>
        <v>003517</v>
      </c>
      <c r="C365" s="1" t="str">
        <f>data!B606</f>
        <v>HOBIVIN</v>
      </c>
      <c r="D365" s="1" t="str">
        <f>data!C606</f>
        <v>CDH-805002</v>
      </c>
      <c r="E365" s="1" t="str">
        <f>data!D365</f>
        <v>AOP COTEAUX DU LYONNAIS - DOM. PETIT FROMENTIN</v>
      </c>
      <c r="F365" s="14">
        <f>SUMIFS(data!G:G,data!A:A,TABLEAU!B365,data!C:C,TABLEAU!D365,data!F:F,YEAR(Feuil1!$D$1))</f>
        <v>2562.06</v>
      </c>
      <c r="G365" s="9">
        <f>SUMIFS(data!G:G,data!A:A,TABLEAU!B365,data!C:C,TABLEAU!D365,data!F:F,YEAR(Feuil1!$D$2))</f>
        <v>861</v>
      </c>
      <c r="H365" s="9">
        <f t="shared" si="20"/>
        <v>1701.06</v>
      </c>
      <c r="I365" s="12">
        <f t="shared" si="21"/>
        <v>1.9756794425087107</v>
      </c>
      <c r="J365" s="13">
        <f>SUMIFS(data!E:E,data!A:A,TABLEAU!B365,data!C:C,TABLEAU!D365,data!F:F,YEAR(Feuil1!$D$1))</f>
        <v>192</v>
      </c>
      <c r="K365" s="13">
        <f>SUMIFS(data!E:E,data!A:A,TABLEAU!B365,data!C:C,TABLEAU!D365,data!F:F,YEAR(Feuil1!$D$2))</f>
        <v>60</v>
      </c>
      <c r="L365" s="13">
        <f t="shared" si="22"/>
        <v>132</v>
      </c>
      <c r="M365" s="12">
        <f t="shared" si="23"/>
        <v>2.2000000000000002</v>
      </c>
    </row>
    <row r="366" spans="1:13" x14ac:dyDescent="0.25">
      <c r="A366" s="17" t="str">
        <f>data!H608</f>
        <v>VINICOM</v>
      </c>
      <c r="B366" s="15" t="str">
        <f>data!A608</f>
        <v>003517</v>
      </c>
      <c r="C366" s="1" t="str">
        <f>data!B608</f>
        <v>HOBIVIN</v>
      </c>
      <c r="D366" s="1" t="str">
        <f>data!C608</f>
        <v>CDH-805003</v>
      </c>
      <c r="E366" s="1" t="str">
        <f>data!D366</f>
        <v>AOP COTEAUX DU LYONNAIS - DOM. PETIT FROMENTIN</v>
      </c>
      <c r="F366" s="14">
        <f>SUMIFS(data!G:G,data!A:A,TABLEAU!B366,data!C:C,TABLEAU!D366,data!F:F,YEAR(Feuil1!$D$1))</f>
        <v>2023.97</v>
      </c>
      <c r="G366" s="9">
        <f>SUMIFS(data!G:G,data!A:A,TABLEAU!B366,data!C:C,TABLEAU!D366,data!F:F,YEAR(Feuil1!$D$2))</f>
        <v>1851.84</v>
      </c>
      <c r="H366" s="9">
        <f t="shared" si="20"/>
        <v>172.13000000000011</v>
      </c>
      <c r="I366" s="12">
        <f t="shared" si="21"/>
        <v>9.2950794885087326E-2</v>
      </c>
      <c r="J366" s="13">
        <f>SUMIFS(data!E:E,data!A:A,TABLEAU!B366,data!C:C,TABLEAU!D366,data!F:F,YEAR(Feuil1!$D$1))</f>
        <v>113</v>
      </c>
      <c r="K366" s="13">
        <f>SUMIFS(data!E:E,data!A:A,TABLEAU!B366,data!C:C,TABLEAU!D366,data!F:F,YEAR(Feuil1!$D$2))</f>
        <v>96</v>
      </c>
      <c r="L366" s="13">
        <f t="shared" si="22"/>
        <v>17</v>
      </c>
      <c r="M366" s="12">
        <f t="shared" si="23"/>
        <v>0.17708333333333334</v>
      </c>
    </row>
    <row r="367" spans="1:13" x14ac:dyDescent="0.25">
      <c r="A367" s="17" t="str">
        <f>data!H610</f>
        <v>VINICOM</v>
      </c>
      <c r="B367" s="15" t="str">
        <f>data!A610</f>
        <v>003517</v>
      </c>
      <c r="C367" s="1" t="str">
        <f>data!B610</f>
        <v>HOBIVIN</v>
      </c>
      <c r="D367" s="1" t="str">
        <f>data!C610</f>
        <v>CDH-805004</v>
      </c>
      <c r="E367" s="1" t="str">
        <f>data!D367</f>
        <v>AOP COTEAUX DU LYONNAIS - DOM. PETIT FROMENTIN</v>
      </c>
      <c r="F367" s="14">
        <f>SUMIFS(data!G:G,data!A:A,TABLEAU!B367,data!C:C,TABLEAU!D367,data!F:F,YEAR(Feuil1!$D$1))</f>
        <v>0</v>
      </c>
      <c r="G367" s="9">
        <f>SUMIFS(data!G:G,data!A:A,TABLEAU!B367,data!C:C,TABLEAU!D367,data!F:F,YEAR(Feuil1!$D$2))</f>
        <v>105.9</v>
      </c>
      <c r="H367" s="9">
        <f t="shared" si="20"/>
        <v>-105.9</v>
      </c>
      <c r="I367" s="12">
        <f t="shared" si="21"/>
        <v>-1</v>
      </c>
      <c r="J367" s="13">
        <f>SUMIFS(data!E:E,data!A:A,TABLEAU!B367,data!C:C,TABLEAU!D367,data!F:F,YEAR(Feuil1!$D$1))</f>
        <v>24</v>
      </c>
      <c r="K367" s="13">
        <f>SUMIFS(data!E:E,data!A:A,TABLEAU!B367,data!C:C,TABLEAU!D367,data!F:F,YEAR(Feuil1!$D$2))</f>
        <v>6</v>
      </c>
      <c r="L367" s="13">
        <f t="shared" si="22"/>
        <v>18</v>
      </c>
      <c r="M367" s="12">
        <f t="shared" si="23"/>
        <v>3</v>
      </c>
    </row>
    <row r="368" spans="1:13" x14ac:dyDescent="0.25">
      <c r="A368" s="17" t="str">
        <f>data!H612</f>
        <v>VINICOM</v>
      </c>
      <c r="B368" s="15" t="str">
        <f>data!A612</f>
        <v>003517</v>
      </c>
      <c r="C368" s="1" t="str">
        <f>data!B612</f>
        <v>HOBIVIN</v>
      </c>
      <c r="D368" s="1" t="str">
        <f>data!C612</f>
        <v>CDH-805005</v>
      </c>
      <c r="E368" s="1" t="str">
        <f>data!D368</f>
        <v>AOP COTEAUX DU LYONNAIS - DOM. PETIT FROMENTIN</v>
      </c>
      <c r="F368" s="14">
        <f>SUMIFS(data!G:G,data!A:A,TABLEAU!B368,data!C:C,TABLEAU!D368,data!F:F,YEAR(Feuil1!$D$1))</f>
        <v>0</v>
      </c>
      <c r="G368" s="9">
        <f>SUMIFS(data!G:G,data!A:A,TABLEAU!B368,data!C:C,TABLEAU!D368,data!F:F,YEAR(Feuil1!$D$2))</f>
        <v>823.02</v>
      </c>
      <c r="H368" s="9">
        <f t="shared" si="20"/>
        <v>-823.02</v>
      </c>
      <c r="I368" s="12">
        <f t="shared" si="21"/>
        <v>-1</v>
      </c>
      <c r="J368" s="13">
        <f>SUMIFS(data!E:E,data!A:A,TABLEAU!B368,data!C:C,TABLEAU!D368,data!F:F,YEAR(Feuil1!$D$1))</f>
        <v>0</v>
      </c>
      <c r="K368" s="13">
        <f>SUMIFS(data!E:E,data!A:A,TABLEAU!B368,data!C:C,TABLEAU!D368,data!F:F,YEAR(Feuil1!$D$2))</f>
        <v>66</v>
      </c>
      <c r="L368" s="13">
        <f t="shared" si="22"/>
        <v>-66</v>
      </c>
      <c r="M368" s="12">
        <f t="shared" si="23"/>
        <v>-1</v>
      </c>
    </row>
    <row r="369" spans="1:13" x14ac:dyDescent="0.25">
      <c r="A369" s="17" t="str">
        <f>data!H613</f>
        <v>VINICOM</v>
      </c>
      <c r="B369" s="15" t="str">
        <f>data!A613</f>
        <v>003517</v>
      </c>
      <c r="C369" s="1" t="str">
        <f>data!B613</f>
        <v>HOBIVIN</v>
      </c>
      <c r="D369" s="1" t="str">
        <f>data!C613</f>
        <v>CDH-805007</v>
      </c>
      <c r="E369" s="1" t="str">
        <f>data!D369</f>
        <v>AOP SAVENNIERES - CROIX PICOT - DOM. FL</v>
      </c>
      <c r="F369" s="14">
        <f>SUMIFS(data!G:G,data!A:A,TABLEAU!B369,data!C:C,TABLEAU!D369,data!F:F,YEAR(Feuil1!$D$1))</f>
        <v>0</v>
      </c>
      <c r="G369" s="9">
        <f>SUMIFS(data!G:G,data!A:A,TABLEAU!B369,data!C:C,TABLEAU!D369,data!F:F,YEAR(Feuil1!$D$2))</f>
        <v>2253.61</v>
      </c>
      <c r="H369" s="9">
        <f t="shared" si="20"/>
        <v>-2253.61</v>
      </c>
      <c r="I369" s="12">
        <f t="shared" si="21"/>
        <v>-1</v>
      </c>
      <c r="J369" s="13">
        <f>SUMIFS(data!E:E,data!A:A,TABLEAU!B369,data!C:C,TABLEAU!D369,data!F:F,YEAR(Feuil1!$D$1))</f>
        <v>0</v>
      </c>
      <c r="K369" s="13">
        <f>SUMIFS(data!E:E,data!A:A,TABLEAU!B369,data!C:C,TABLEAU!D369,data!F:F,YEAR(Feuil1!$D$2))</f>
        <v>179</v>
      </c>
      <c r="L369" s="13">
        <f t="shared" si="22"/>
        <v>-179</v>
      </c>
      <c r="M369" s="12">
        <f t="shared" si="23"/>
        <v>-1</v>
      </c>
    </row>
    <row r="370" spans="1:13" x14ac:dyDescent="0.25">
      <c r="A370" s="17" t="str">
        <f>data!H614</f>
        <v>VINICOM</v>
      </c>
      <c r="B370" s="15" t="str">
        <f>data!A614</f>
        <v>003517</v>
      </c>
      <c r="C370" s="1" t="str">
        <f>data!B614</f>
        <v>HOBIVIN</v>
      </c>
      <c r="D370" s="1" t="str">
        <f>data!C614</f>
        <v>CDH-990418</v>
      </c>
      <c r="E370" s="1" t="str">
        <f>data!D370</f>
        <v>AOP SAVENNIERES - CROIX PICOT - DOM. FL</v>
      </c>
      <c r="F370" s="14">
        <f>SUMIFS(data!G:G,data!A:A,TABLEAU!B370,data!C:C,TABLEAU!D370,data!F:F,YEAR(Feuil1!$D$1))</f>
        <v>0</v>
      </c>
      <c r="G370" s="9">
        <f>SUMIFS(data!G:G,data!A:A,TABLEAU!B370,data!C:C,TABLEAU!D370,data!F:F,YEAR(Feuil1!$D$2))</f>
        <v>243.86</v>
      </c>
      <c r="H370" s="9">
        <f t="shared" si="20"/>
        <v>-243.86</v>
      </c>
      <c r="I370" s="12">
        <f t="shared" si="21"/>
        <v>-1</v>
      </c>
      <c r="J370" s="13">
        <f>SUMIFS(data!E:E,data!A:A,TABLEAU!B370,data!C:C,TABLEAU!D370,data!F:F,YEAR(Feuil1!$D$1))</f>
        <v>0</v>
      </c>
      <c r="K370" s="13">
        <f>SUMIFS(data!E:E,data!A:A,TABLEAU!B370,data!C:C,TABLEAU!D370,data!F:F,YEAR(Feuil1!$D$2))</f>
        <v>476</v>
      </c>
      <c r="L370" s="13">
        <f t="shared" si="22"/>
        <v>-476</v>
      </c>
      <c r="M370" s="12">
        <f t="shared" si="23"/>
        <v>-1</v>
      </c>
    </row>
    <row r="371" spans="1:13" x14ac:dyDescent="0.25">
      <c r="A371" s="17" t="str">
        <f>data!H615</f>
        <v>VINICOM</v>
      </c>
      <c r="B371" s="15" t="str">
        <f>data!A615</f>
        <v>003517</v>
      </c>
      <c r="C371" s="1" t="str">
        <f>data!B615</f>
        <v>HOBIVIN</v>
      </c>
      <c r="D371" s="1" t="str">
        <f>data!C615</f>
        <v>CDH-991001</v>
      </c>
      <c r="E371" s="1" t="str">
        <f>data!D371</f>
        <v>IGP PAYS D'OC MOURVEDRE LES JAMELLES</v>
      </c>
      <c r="F371" s="14">
        <f>SUMIFS(data!G:G,data!A:A,TABLEAU!B371,data!C:C,TABLEAU!D371,data!F:F,YEAR(Feuil1!$D$1))</f>
        <v>450.72</v>
      </c>
      <c r="G371" s="9">
        <f>SUMIFS(data!G:G,data!A:A,TABLEAU!B371,data!C:C,TABLEAU!D371,data!F:F,YEAR(Feuil1!$D$2))</f>
        <v>150.24</v>
      </c>
      <c r="H371" s="9">
        <f t="shared" si="20"/>
        <v>300.48</v>
      </c>
      <c r="I371" s="12">
        <f t="shared" si="21"/>
        <v>2</v>
      </c>
      <c r="J371" s="13">
        <f>SUMIFS(data!E:E,data!A:A,TABLEAU!B371,data!C:C,TABLEAU!D371,data!F:F,YEAR(Feuil1!$D$1))</f>
        <v>133.30000000000001</v>
      </c>
      <c r="K371" s="13">
        <f>SUMIFS(data!E:E,data!A:A,TABLEAU!B371,data!C:C,TABLEAU!D371,data!F:F,YEAR(Feuil1!$D$2))</f>
        <v>39.99</v>
      </c>
      <c r="L371" s="13">
        <f t="shared" si="22"/>
        <v>93.31</v>
      </c>
      <c r="M371" s="12">
        <f t="shared" si="23"/>
        <v>2.3333333333333335</v>
      </c>
    </row>
    <row r="372" spans="1:13" x14ac:dyDescent="0.25">
      <c r="A372" s="17" t="str">
        <f>data!H617</f>
        <v>VINICOM</v>
      </c>
      <c r="B372" s="15" t="str">
        <f>data!A617</f>
        <v>003518</v>
      </c>
      <c r="C372" s="1" t="str">
        <f>data!B617</f>
        <v>HOBIBAG PACKAGING</v>
      </c>
      <c r="D372" s="1" t="str">
        <f>data!C617</f>
        <v>082001H</v>
      </c>
      <c r="E372" s="1" t="str">
        <f>data!D372</f>
        <v>IGP PAYS D'OC MOURVEDRE LES JAMELLES</v>
      </c>
      <c r="F372" s="14">
        <f>SUMIFS(data!G:G,data!A:A,TABLEAU!B372,data!C:C,TABLEAU!D372,data!F:F,YEAR(Feuil1!$D$1))</f>
        <v>0</v>
      </c>
      <c r="G372" s="9">
        <f>SUMIFS(data!G:G,data!A:A,TABLEAU!B372,data!C:C,TABLEAU!D372,data!F:F,YEAR(Feuil1!$D$2))</f>
        <v>1896</v>
      </c>
      <c r="H372" s="9">
        <f t="shared" si="20"/>
        <v>-1896</v>
      </c>
      <c r="I372" s="12">
        <f t="shared" si="21"/>
        <v>-1</v>
      </c>
      <c r="J372" s="13">
        <f>SUMIFS(data!E:E,data!A:A,TABLEAU!B372,data!C:C,TABLEAU!D372,data!F:F,YEAR(Feuil1!$D$1))</f>
        <v>0</v>
      </c>
      <c r="K372" s="13">
        <f>SUMIFS(data!E:E,data!A:A,TABLEAU!B372,data!C:C,TABLEAU!D372,data!F:F,YEAR(Feuil1!$D$2))</f>
        <v>0</v>
      </c>
      <c r="L372" s="13">
        <f t="shared" si="22"/>
        <v>0</v>
      </c>
      <c r="M372" s="12" t="str">
        <f t="shared" si="23"/>
        <v/>
      </c>
    </row>
    <row r="373" spans="1:13" x14ac:dyDescent="0.25">
      <c r="A373" s="17" t="str">
        <f>data!H619</f>
        <v>VINICOM</v>
      </c>
      <c r="B373" s="15" t="str">
        <f>data!A619</f>
        <v>003518</v>
      </c>
      <c r="C373" s="1" t="str">
        <f>data!B619</f>
        <v>HOBIBAG PACKAGING</v>
      </c>
      <c r="D373" s="1" t="str">
        <f>data!C619</f>
        <v>082002H</v>
      </c>
      <c r="E373" s="1" t="str">
        <f>data!D373</f>
        <v>IGP PAYS D'OC SYRAH LES JAMELLES</v>
      </c>
      <c r="F373" s="14">
        <f>SUMIFS(data!G:G,data!A:A,TABLEAU!B373,data!C:C,TABLEAU!D373,data!F:F,YEAR(Feuil1!$D$1))</f>
        <v>0</v>
      </c>
      <c r="G373" s="9">
        <f>SUMIFS(data!G:G,data!A:A,TABLEAU!B373,data!C:C,TABLEAU!D373,data!F:F,YEAR(Feuil1!$D$2))</f>
        <v>0</v>
      </c>
      <c r="H373" s="9">
        <f t="shared" si="20"/>
        <v>0</v>
      </c>
      <c r="I373" s="12" t="str">
        <f t="shared" si="21"/>
        <v/>
      </c>
      <c r="J373" s="13">
        <f>SUMIFS(data!E:E,data!A:A,TABLEAU!B373,data!C:C,TABLEAU!D373,data!F:F,YEAR(Feuil1!$D$1))</f>
        <v>0</v>
      </c>
      <c r="K373" s="13">
        <f>SUMIFS(data!E:E,data!A:A,TABLEAU!B373,data!C:C,TABLEAU!D373,data!F:F,YEAR(Feuil1!$D$2))</f>
        <v>0</v>
      </c>
      <c r="L373" s="13">
        <f t="shared" si="22"/>
        <v>0</v>
      </c>
      <c r="M373" s="12" t="str">
        <f t="shared" si="23"/>
        <v/>
      </c>
    </row>
    <row r="374" spans="1:13" x14ac:dyDescent="0.25">
      <c r="A374" s="17" t="str">
        <f>data!H621</f>
        <v>VINICOM</v>
      </c>
      <c r="B374" s="15" t="str">
        <f>data!A621</f>
        <v>003518</v>
      </c>
      <c r="C374" s="1" t="str">
        <f>data!B621</f>
        <v>HOBIBAG PACKAGING</v>
      </c>
      <c r="D374" s="1" t="str">
        <f>data!C621</f>
        <v>082005H</v>
      </c>
      <c r="E374" s="1" t="str">
        <f>data!D374</f>
        <v>IGP PAYS D'OC SYRAH LES JAMELLES</v>
      </c>
      <c r="F374" s="14">
        <f>SUMIFS(data!G:G,data!A:A,TABLEAU!B374,data!C:C,TABLEAU!D374,data!F:F,YEAR(Feuil1!$D$1))</f>
        <v>0</v>
      </c>
      <c r="G374" s="9">
        <f>SUMIFS(data!G:G,data!A:A,TABLEAU!B374,data!C:C,TABLEAU!D374,data!F:F,YEAR(Feuil1!$D$2))</f>
        <v>0</v>
      </c>
      <c r="H374" s="9">
        <f t="shared" si="20"/>
        <v>0</v>
      </c>
      <c r="I374" s="12" t="str">
        <f t="shared" si="21"/>
        <v/>
      </c>
      <c r="J374" s="13">
        <f>SUMIFS(data!E:E,data!A:A,TABLEAU!B374,data!C:C,TABLEAU!D374,data!F:F,YEAR(Feuil1!$D$1))</f>
        <v>0</v>
      </c>
      <c r="K374" s="13">
        <f>SUMIFS(data!E:E,data!A:A,TABLEAU!B374,data!C:C,TABLEAU!D374,data!F:F,YEAR(Feuil1!$D$2))</f>
        <v>0</v>
      </c>
      <c r="L374" s="13">
        <f t="shared" si="22"/>
        <v>0</v>
      </c>
      <c r="M374" s="12" t="str">
        <f t="shared" si="23"/>
        <v/>
      </c>
    </row>
    <row r="375" spans="1:13" x14ac:dyDescent="0.25">
      <c r="A375" s="17" t="str">
        <f>data!H623</f>
        <v>VINICOM</v>
      </c>
      <c r="B375" s="15" t="str">
        <f>data!A623</f>
        <v>003518</v>
      </c>
      <c r="C375" s="1" t="str">
        <f>data!B623</f>
        <v>HOBIBAG PACKAGING</v>
      </c>
      <c r="D375" s="1" t="str">
        <f>data!C623</f>
        <v>082006H</v>
      </c>
      <c r="E375" s="1" t="str">
        <f>data!D375</f>
        <v>IGP PAYS D'OC PINOT NOIR LES JAMELLES</v>
      </c>
      <c r="F375" s="14">
        <f>SUMIFS(data!G:G,data!A:A,TABLEAU!B375,data!C:C,TABLEAU!D375,data!F:F,YEAR(Feuil1!$D$1))</f>
        <v>0</v>
      </c>
      <c r="G375" s="9">
        <f>SUMIFS(data!G:G,data!A:A,TABLEAU!B375,data!C:C,TABLEAU!D375,data!F:F,YEAR(Feuil1!$D$2))</f>
        <v>0</v>
      </c>
      <c r="H375" s="9">
        <f t="shared" si="20"/>
        <v>0</v>
      </c>
      <c r="I375" s="12" t="str">
        <f t="shared" si="21"/>
        <v/>
      </c>
      <c r="J375" s="13">
        <f>SUMIFS(data!E:E,data!A:A,TABLEAU!B375,data!C:C,TABLEAU!D375,data!F:F,YEAR(Feuil1!$D$1))</f>
        <v>0</v>
      </c>
      <c r="K375" s="13">
        <f>SUMIFS(data!E:E,data!A:A,TABLEAU!B375,data!C:C,TABLEAU!D375,data!F:F,YEAR(Feuil1!$D$2))</f>
        <v>0</v>
      </c>
      <c r="L375" s="13">
        <f t="shared" si="22"/>
        <v>0</v>
      </c>
      <c r="M375" s="12" t="str">
        <f t="shared" si="23"/>
        <v/>
      </c>
    </row>
    <row r="376" spans="1:13" x14ac:dyDescent="0.25">
      <c r="A376" s="17" t="str">
        <f>data!H625</f>
        <v>VINICOM</v>
      </c>
      <c r="B376" s="15" t="str">
        <f>data!A625</f>
        <v>007</v>
      </c>
      <c r="C376" s="1" t="str">
        <f>data!B625</f>
        <v>DOMAINE ANDRE DUSSOURT</v>
      </c>
      <c r="D376" s="1" t="str">
        <f>data!C625</f>
        <v>007001</v>
      </c>
      <c r="E376" s="1" t="str">
        <f>data!D376</f>
        <v>IGP PAYS D'OC CHARDONNAY LES JAMELLES</v>
      </c>
      <c r="F376" s="14">
        <f>SUMIFS(data!G:G,data!A:A,TABLEAU!B376,data!C:C,TABLEAU!D376,data!F:F,YEAR(Feuil1!$D$1))</f>
        <v>213.9</v>
      </c>
      <c r="G376" s="9">
        <f>SUMIFS(data!G:G,data!A:A,TABLEAU!B376,data!C:C,TABLEAU!D376,data!F:F,YEAR(Feuil1!$D$2))</f>
        <v>590.4</v>
      </c>
      <c r="H376" s="9">
        <f t="shared" si="20"/>
        <v>-376.5</v>
      </c>
      <c r="I376" s="12">
        <f t="shared" si="21"/>
        <v>-0.63770325203252032</v>
      </c>
      <c r="J376" s="13">
        <f>SUMIFS(data!E:E,data!A:A,TABLEAU!B376,data!C:C,TABLEAU!D376,data!F:F,YEAR(Feuil1!$D$1))</f>
        <v>54</v>
      </c>
      <c r="K376" s="13">
        <f>SUMIFS(data!E:E,data!A:A,TABLEAU!B376,data!C:C,TABLEAU!D376,data!F:F,YEAR(Feuil1!$D$2))</f>
        <v>168</v>
      </c>
      <c r="L376" s="13">
        <f t="shared" si="22"/>
        <v>-114</v>
      </c>
      <c r="M376" s="12">
        <f t="shared" si="23"/>
        <v>-0.6785714285714286</v>
      </c>
    </row>
    <row r="377" spans="1:13" x14ac:dyDescent="0.25">
      <c r="A377" s="17" t="str">
        <f>data!H627</f>
        <v>VINICOM</v>
      </c>
      <c r="B377" s="15" t="str">
        <f>data!A627</f>
        <v>007</v>
      </c>
      <c r="C377" s="1" t="str">
        <f>data!B627</f>
        <v>DOMAINE ANDRE DUSSOURT</v>
      </c>
      <c r="D377" s="1" t="str">
        <f>data!C627</f>
        <v>007002</v>
      </c>
      <c r="E377" s="1" t="str">
        <f>data!D377</f>
        <v>IGP PAYS D'OC CHARDONNAY LES JAMELLES</v>
      </c>
      <c r="F377" s="14">
        <f>SUMIFS(data!G:G,data!A:A,TABLEAU!B377,data!C:C,TABLEAU!D377,data!F:F,YEAR(Feuil1!$D$1))</f>
        <v>2377.8000000000002</v>
      </c>
      <c r="G377" s="9">
        <f>SUMIFS(data!G:G,data!A:A,TABLEAU!B377,data!C:C,TABLEAU!D377,data!F:F,YEAR(Feuil1!$D$2))</f>
        <v>4887.6000000000004</v>
      </c>
      <c r="H377" s="9">
        <f t="shared" si="20"/>
        <v>-2509.8000000000002</v>
      </c>
      <c r="I377" s="12">
        <f t="shared" si="21"/>
        <v>-0.51350356002946229</v>
      </c>
      <c r="J377" s="13">
        <f>SUMIFS(data!E:E,data!A:A,TABLEAU!B377,data!C:C,TABLEAU!D377,data!F:F,YEAR(Feuil1!$D$1))</f>
        <v>534</v>
      </c>
      <c r="K377" s="13">
        <f>SUMIFS(data!E:E,data!A:A,TABLEAU!B377,data!C:C,TABLEAU!D377,data!F:F,YEAR(Feuil1!$D$2))</f>
        <v>1212</v>
      </c>
      <c r="L377" s="13">
        <f t="shared" si="22"/>
        <v>-678</v>
      </c>
      <c r="M377" s="12">
        <f t="shared" si="23"/>
        <v>-0.55940594059405946</v>
      </c>
    </row>
    <row r="378" spans="1:13" x14ac:dyDescent="0.25">
      <c r="A378" s="17" t="str">
        <f>data!H629</f>
        <v>VINICOM</v>
      </c>
      <c r="B378" s="15" t="str">
        <f>data!A629</f>
        <v>007</v>
      </c>
      <c r="C378" s="1" t="str">
        <f>data!B629</f>
        <v>DOMAINE ANDRE DUSSOURT</v>
      </c>
      <c r="D378" s="1" t="str">
        <f>data!C629</f>
        <v>007003</v>
      </c>
      <c r="E378" s="1" t="str">
        <f>data!D378</f>
        <v>IGP PAYS D'OC VIOGNIER LES JAMELLES</v>
      </c>
      <c r="F378" s="14">
        <f>SUMIFS(data!G:G,data!A:A,TABLEAU!B378,data!C:C,TABLEAU!D378,data!F:F,YEAR(Feuil1!$D$1))</f>
        <v>2137.8000000000002</v>
      </c>
      <c r="G378" s="9">
        <f>SUMIFS(data!G:G,data!A:A,TABLEAU!B378,data!C:C,TABLEAU!D378,data!F:F,YEAR(Feuil1!$D$2))</f>
        <v>2808</v>
      </c>
      <c r="H378" s="9">
        <f t="shared" si="20"/>
        <v>-670.19999999999982</v>
      </c>
      <c r="I378" s="12">
        <f t="shared" si="21"/>
        <v>-0.2386752136752136</v>
      </c>
      <c r="J378" s="13">
        <f>SUMIFS(data!E:E,data!A:A,TABLEAU!B378,data!C:C,TABLEAU!D378,data!F:F,YEAR(Feuil1!$D$1))</f>
        <v>390</v>
      </c>
      <c r="K378" s="13">
        <f>SUMIFS(data!E:E,data!A:A,TABLEAU!B378,data!C:C,TABLEAU!D378,data!F:F,YEAR(Feuil1!$D$2))</f>
        <v>564</v>
      </c>
      <c r="L378" s="13">
        <f t="shared" si="22"/>
        <v>-174</v>
      </c>
      <c r="M378" s="12">
        <f t="shared" si="23"/>
        <v>-0.30851063829787234</v>
      </c>
    </row>
    <row r="379" spans="1:13" x14ac:dyDescent="0.25">
      <c r="A379" s="17" t="str">
        <f>data!H631</f>
        <v>VINICOM</v>
      </c>
      <c r="B379" s="15" t="str">
        <f>data!A631</f>
        <v>007</v>
      </c>
      <c r="C379" s="1" t="str">
        <f>data!B631</f>
        <v>DOMAINE ANDRE DUSSOURT</v>
      </c>
      <c r="D379" s="1" t="str">
        <f>data!C631</f>
        <v>007004</v>
      </c>
      <c r="E379" s="1" t="str">
        <f>data!D379</f>
        <v>IGP PAYS D'OC VIOGNIER LES JAMELLES</v>
      </c>
      <c r="F379" s="14">
        <f>SUMIFS(data!G:G,data!A:A,TABLEAU!B379,data!C:C,TABLEAU!D379,data!F:F,YEAR(Feuil1!$D$1))</f>
        <v>2337</v>
      </c>
      <c r="G379" s="9">
        <f>SUMIFS(data!G:G,data!A:A,TABLEAU!B379,data!C:C,TABLEAU!D379,data!F:F,YEAR(Feuil1!$D$2))</f>
        <v>5484.9</v>
      </c>
      <c r="H379" s="9">
        <f t="shared" si="20"/>
        <v>-3147.8999999999996</v>
      </c>
      <c r="I379" s="12">
        <f t="shared" si="21"/>
        <v>-0.57392112891757363</v>
      </c>
      <c r="J379" s="13">
        <f>SUMIFS(data!E:E,data!A:A,TABLEAU!B379,data!C:C,TABLEAU!D379,data!F:F,YEAR(Feuil1!$D$1))</f>
        <v>330</v>
      </c>
      <c r="K379" s="13">
        <f>SUMIFS(data!E:E,data!A:A,TABLEAU!B379,data!C:C,TABLEAU!D379,data!F:F,YEAR(Feuil1!$D$2))</f>
        <v>828</v>
      </c>
      <c r="L379" s="13">
        <f t="shared" si="22"/>
        <v>-498</v>
      </c>
      <c r="M379" s="12">
        <f t="shared" si="23"/>
        <v>-0.60144927536231885</v>
      </c>
    </row>
    <row r="380" spans="1:13" x14ac:dyDescent="0.25">
      <c r="A380" s="17" t="str">
        <f>data!H633</f>
        <v>VINICOM</v>
      </c>
      <c r="B380" s="15" t="str">
        <f>data!A633</f>
        <v>007</v>
      </c>
      <c r="C380" s="1" t="str">
        <f>data!B633</f>
        <v>DOMAINE ANDRE DUSSOURT</v>
      </c>
      <c r="D380" s="1" t="str">
        <f>data!C633</f>
        <v>007005</v>
      </c>
      <c r="E380" s="1" t="str">
        <f>data!D380</f>
        <v>IGP PAYS D'OC MALBEC LES JAMELLES</v>
      </c>
      <c r="F380" s="14">
        <f>SUMIFS(data!G:G,data!A:A,TABLEAU!B380,data!C:C,TABLEAU!D380,data!F:F,YEAR(Feuil1!$D$1))</f>
        <v>273.3</v>
      </c>
      <c r="G380" s="9">
        <f>SUMIFS(data!G:G,data!A:A,TABLEAU!B380,data!C:C,TABLEAU!D380,data!F:F,YEAR(Feuil1!$D$2))</f>
        <v>2026.8</v>
      </c>
      <c r="H380" s="9">
        <f t="shared" si="20"/>
        <v>-1753.5</v>
      </c>
      <c r="I380" s="12">
        <f t="shared" si="21"/>
        <v>-0.86515689757252812</v>
      </c>
      <c r="J380" s="13">
        <f>SUMIFS(data!E:E,data!A:A,TABLEAU!B380,data!C:C,TABLEAU!D380,data!F:F,YEAR(Feuil1!$D$1))</f>
        <v>42</v>
      </c>
      <c r="K380" s="13">
        <f>SUMIFS(data!E:E,data!A:A,TABLEAU!B380,data!C:C,TABLEAU!D380,data!F:F,YEAR(Feuil1!$D$2))</f>
        <v>330</v>
      </c>
      <c r="L380" s="13">
        <f t="shared" si="22"/>
        <v>-288</v>
      </c>
      <c r="M380" s="12">
        <f t="shared" si="23"/>
        <v>-0.87272727272727268</v>
      </c>
    </row>
    <row r="381" spans="1:13" x14ac:dyDescent="0.25">
      <c r="A381" s="17" t="str">
        <f>data!H635</f>
        <v>VINICOM</v>
      </c>
      <c r="B381" s="15" t="str">
        <f>data!A635</f>
        <v>007</v>
      </c>
      <c r="C381" s="1" t="str">
        <f>data!B635</f>
        <v>DOMAINE ANDRE DUSSOURT</v>
      </c>
      <c r="D381" s="1" t="str">
        <f>data!C635</f>
        <v>007006</v>
      </c>
      <c r="E381" s="1" t="str">
        <f>data!D381</f>
        <v>IGP PAYS D'OC MALBEC LES JAMELLES</v>
      </c>
      <c r="F381" s="14">
        <f>SUMIFS(data!G:G,data!A:A,TABLEAU!B381,data!C:C,TABLEAU!D381,data!F:F,YEAR(Feuil1!$D$1))</f>
        <v>2239.1999999999998</v>
      </c>
      <c r="G381" s="9">
        <f>SUMIFS(data!G:G,data!A:A,TABLEAU!B381,data!C:C,TABLEAU!D381,data!F:F,YEAR(Feuil1!$D$2))</f>
        <v>2422.8000000000002</v>
      </c>
      <c r="H381" s="9">
        <f t="shared" si="20"/>
        <v>-183.60000000000036</v>
      </c>
      <c r="I381" s="12">
        <f t="shared" si="21"/>
        <v>-7.578008915304621E-2</v>
      </c>
      <c r="J381" s="13">
        <f>SUMIFS(data!E:E,data!A:A,TABLEAU!B381,data!C:C,TABLEAU!D381,data!F:F,YEAR(Feuil1!$D$1))</f>
        <v>360</v>
      </c>
      <c r="K381" s="13">
        <f>SUMIFS(data!E:E,data!A:A,TABLEAU!B381,data!C:C,TABLEAU!D381,data!F:F,YEAR(Feuil1!$D$2))</f>
        <v>426</v>
      </c>
      <c r="L381" s="13">
        <f t="shared" si="22"/>
        <v>-66</v>
      </c>
      <c r="M381" s="12">
        <f t="shared" si="23"/>
        <v>-0.15492957746478872</v>
      </c>
    </row>
    <row r="382" spans="1:13" x14ac:dyDescent="0.25">
      <c r="A382" s="17" t="str">
        <f>data!H637</f>
        <v>VINICOM</v>
      </c>
      <c r="B382" s="15" t="str">
        <f>data!A637</f>
        <v>007</v>
      </c>
      <c r="C382" s="1" t="str">
        <f>data!B637</f>
        <v>DOMAINE ANDRE DUSSOURT</v>
      </c>
      <c r="D382" s="1" t="str">
        <f>data!C637</f>
        <v>007008</v>
      </c>
      <c r="E382" s="1" t="str">
        <f>data!D382</f>
        <v>IGP PAYS D'OC CARIGNAN LES JAMELLES</v>
      </c>
      <c r="F382" s="14">
        <f>SUMIFS(data!G:G,data!A:A,TABLEAU!B382,data!C:C,TABLEAU!D382,data!F:F,YEAR(Feuil1!$D$1))</f>
        <v>186</v>
      </c>
      <c r="G382" s="9">
        <f>SUMIFS(data!G:G,data!A:A,TABLEAU!B382,data!C:C,TABLEAU!D382,data!F:F,YEAR(Feuil1!$D$2))</f>
        <v>68.400000000000006</v>
      </c>
      <c r="H382" s="9">
        <f t="shared" si="20"/>
        <v>117.6</v>
      </c>
      <c r="I382" s="12">
        <f t="shared" si="21"/>
        <v>1.7192982456140349</v>
      </c>
      <c r="J382" s="13">
        <f>SUMIFS(data!E:E,data!A:A,TABLEAU!B382,data!C:C,TABLEAU!D382,data!F:F,YEAR(Feuil1!$D$1))</f>
        <v>30</v>
      </c>
      <c r="K382" s="13">
        <f>SUMIFS(data!E:E,data!A:A,TABLEAU!B382,data!C:C,TABLEAU!D382,data!F:F,YEAR(Feuil1!$D$2))</f>
        <v>24</v>
      </c>
      <c r="L382" s="13">
        <f t="shared" si="22"/>
        <v>6</v>
      </c>
      <c r="M382" s="12">
        <f t="shared" si="23"/>
        <v>0.25</v>
      </c>
    </row>
    <row r="383" spans="1:13" x14ac:dyDescent="0.25">
      <c r="A383" s="17" t="str">
        <f>data!H639</f>
        <v>VINICOM</v>
      </c>
      <c r="B383" s="15" t="str">
        <f>data!A639</f>
        <v>007</v>
      </c>
      <c r="C383" s="1" t="str">
        <f>data!B639</f>
        <v>DOMAINE ANDRE DUSSOURT</v>
      </c>
      <c r="D383" s="1" t="str">
        <f>data!C639</f>
        <v>007011</v>
      </c>
      <c r="E383" s="1" t="str">
        <f>data!D383</f>
        <v>IGP PAYS D'OC CARIGNAN LES JAMELLES</v>
      </c>
      <c r="F383" s="14">
        <f>SUMIFS(data!G:G,data!A:A,TABLEAU!B383,data!C:C,TABLEAU!D383,data!F:F,YEAR(Feuil1!$D$1))</f>
        <v>45.6</v>
      </c>
      <c r="G383" s="9">
        <f>SUMIFS(data!G:G,data!A:A,TABLEAU!B383,data!C:C,TABLEAU!D383,data!F:F,YEAR(Feuil1!$D$2))</f>
        <v>283.2</v>
      </c>
      <c r="H383" s="9">
        <f t="shared" si="20"/>
        <v>-237.6</v>
      </c>
      <c r="I383" s="12">
        <f t="shared" si="21"/>
        <v>-0.83898305084745761</v>
      </c>
      <c r="J383" s="13">
        <f>SUMIFS(data!E:E,data!A:A,TABLEAU!B383,data!C:C,TABLEAU!D383,data!F:F,YEAR(Feuil1!$D$1))</f>
        <v>6</v>
      </c>
      <c r="K383" s="13">
        <f>SUMIFS(data!E:E,data!A:A,TABLEAU!B383,data!C:C,TABLEAU!D383,data!F:F,YEAR(Feuil1!$D$2))</f>
        <v>48</v>
      </c>
      <c r="L383" s="13">
        <f t="shared" si="22"/>
        <v>-42</v>
      </c>
      <c r="M383" s="12">
        <f t="shared" si="23"/>
        <v>-0.875</v>
      </c>
    </row>
    <row r="384" spans="1:13" x14ac:dyDescent="0.25">
      <c r="A384" s="17" t="str">
        <f>data!H641</f>
        <v>VINICOM</v>
      </c>
      <c r="B384" s="15" t="str">
        <f>data!A641</f>
        <v>007</v>
      </c>
      <c r="C384" s="1" t="str">
        <f>data!B641</f>
        <v>DOMAINE ANDRE DUSSOURT</v>
      </c>
      <c r="D384" s="1" t="str">
        <f>data!C641</f>
        <v>007021</v>
      </c>
      <c r="E384" s="1" t="str">
        <f>data!D384</f>
        <v>IGP PAYS D'OC MERLOT (BIO) LES JAMELLES BIO</v>
      </c>
      <c r="F384" s="14">
        <f>SUMIFS(data!G:G,data!A:A,TABLEAU!B384,data!C:C,TABLEAU!D384,data!F:F,YEAR(Feuil1!$D$1))</f>
        <v>258</v>
      </c>
      <c r="G384" s="9">
        <f>SUMIFS(data!G:G,data!A:A,TABLEAU!B384,data!C:C,TABLEAU!D384,data!F:F,YEAR(Feuil1!$D$2))</f>
        <v>112.8</v>
      </c>
      <c r="H384" s="9">
        <f t="shared" si="20"/>
        <v>145.19999999999999</v>
      </c>
      <c r="I384" s="12">
        <f t="shared" si="21"/>
        <v>1.2872340425531914</v>
      </c>
      <c r="J384" s="13">
        <f>SUMIFS(data!E:E,data!A:A,TABLEAU!B384,data!C:C,TABLEAU!D384,data!F:F,YEAR(Feuil1!$D$1))</f>
        <v>12</v>
      </c>
      <c r="K384" s="13">
        <f>SUMIFS(data!E:E,data!A:A,TABLEAU!B384,data!C:C,TABLEAU!D384,data!F:F,YEAR(Feuil1!$D$2))</f>
        <v>36</v>
      </c>
      <c r="L384" s="13">
        <f t="shared" si="22"/>
        <v>-24</v>
      </c>
      <c r="M384" s="12">
        <f t="shared" si="23"/>
        <v>-0.66666666666666663</v>
      </c>
    </row>
    <row r="385" spans="1:13" x14ac:dyDescent="0.25">
      <c r="A385" s="17" t="str">
        <f>data!H643</f>
        <v>VINICOM</v>
      </c>
      <c r="B385" s="15" t="str">
        <f>data!A643</f>
        <v>007</v>
      </c>
      <c r="C385" s="1" t="str">
        <f>data!B643</f>
        <v>DOMAINE ANDRE DUSSOURT</v>
      </c>
      <c r="D385" s="1" t="str">
        <f>data!C643</f>
        <v>CDV007010</v>
      </c>
      <c r="E385" s="1" t="str">
        <f>data!D385</f>
        <v>IGP PAYS D'OC MERLOT (BIO) LES JAMELLES BIO</v>
      </c>
      <c r="F385" s="14">
        <f>SUMIFS(data!G:G,data!A:A,TABLEAU!B385,data!C:C,TABLEAU!D385,data!F:F,YEAR(Feuil1!$D$1))</f>
        <v>335.7</v>
      </c>
      <c r="G385" s="9">
        <f>SUMIFS(data!G:G,data!A:A,TABLEAU!B385,data!C:C,TABLEAU!D385,data!F:F,YEAR(Feuil1!$D$2))</f>
        <v>728.7</v>
      </c>
      <c r="H385" s="9">
        <f t="shared" si="20"/>
        <v>-393.00000000000006</v>
      </c>
      <c r="I385" s="12">
        <f t="shared" si="21"/>
        <v>-0.53931659118979003</v>
      </c>
      <c r="J385" s="13">
        <f>SUMIFS(data!E:E,data!A:A,TABLEAU!B385,data!C:C,TABLEAU!D385,data!F:F,YEAR(Feuil1!$D$1))</f>
        <v>18</v>
      </c>
      <c r="K385" s="13">
        <f>SUMIFS(data!E:E,data!A:A,TABLEAU!B385,data!C:C,TABLEAU!D385,data!F:F,YEAR(Feuil1!$D$2))</f>
        <v>42</v>
      </c>
      <c r="L385" s="13">
        <f t="shared" si="22"/>
        <v>-24</v>
      </c>
      <c r="M385" s="12">
        <f t="shared" si="23"/>
        <v>-0.5714285714285714</v>
      </c>
    </row>
    <row r="386" spans="1:13" x14ac:dyDescent="0.25">
      <c r="A386" s="17" t="str">
        <f>data!H645</f>
        <v>VINICOM</v>
      </c>
      <c r="B386" s="15" t="str">
        <f>data!A645</f>
        <v>007</v>
      </c>
      <c r="C386" s="1" t="str">
        <f>data!B645</f>
        <v>DOMAINE ANDRE DUSSOURT</v>
      </c>
      <c r="D386" s="1" t="str">
        <f>data!C645</f>
        <v>CDV007015</v>
      </c>
      <c r="E386" s="1" t="str">
        <f>data!D386</f>
        <v>IGP PAYS D'OC CHARDONNAY (BIO) LES JAMELLES BIO</v>
      </c>
      <c r="F386" s="14">
        <f>SUMIFS(data!G:G,data!A:A,TABLEAU!B386,data!C:C,TABLEAU!D386,data!F:F,YEAR(Feuil1!$D$1))</f>
        <v>0</v>
      </c>
      <c r="G386" s="9">
        <f>SUMIFS(data!G:G,data!A:A,TABLEAU!B386,data!C:C,TABLEAU!D386,data!F:F,YEAR(Feuil1!$D$2))</f>
        <v>342</v>
      </c>
      <c r="H386" s="9">
        <f t="shared" si="20"/>
        <v>-342</v>
      </c>
      <c r="I386" s="12">
        <f t="shared" si="21"/>
        <v>-1</v>
      </c>
      <c r="J386" s="13">
        <f>SUMIFS(data!E:E,data!A:A,TABLEAU!B386,data!C:C,TABLEAU!D386,data!F:F,YEAR(Feuil1!$D$1))</f>
        <v>0</v>
      </c>
      <c r="K386" s="13">
        <f>SUMIFS(data!E:E,data!A:A,TABLEAU!B386,data!C:C,TABLEAU!D386,data!F:F,YEAR(Feuil1!$D$2))</f>
        <v>57</v>
      </c>
      <c r="L386" s="13">
        <f t="shared" si="22"/>
        <v>-57</v>
      </c>
      <c r="M386" s="12">
        <f t="shared" si="23"/>
        <v>-1</v>
      </c>
    </row>
    <row r="387" spans="1:13" x14ac:dyDescent="0.25">
      <c r="A387" s="17" t="str">
        <f>data!H646</f>
        <v>VINICOM</v>
      </c>
      <c r="B387" s="15" t="str">
        <f>data!A646</f>
        <v>007</v>
      </c>
      <c r="C387" s="1" t="str">
        <f>data!B646</f>
        <v>DOMAINE ANDRE DUSSOURT</v>
      </c>
      <c r="D387" s="1" t="str">
        <f>data!C646</f>
        <v>CDV007021</v>
      </c>
      <c r="E387" s="1" t="str">
        <f>data!D387</f>
        <v>AOP  LE BLANC DME TURNER PAGEOT</v>
      </c>
      <c r="F387" s="14">
        <f>SUMIFS(data!G:G,data!A:A,TABLEAU!B387,data!C:C,TABLEAU!D387,data!F:F,YEAR(Feuil1!$D$1))</f>
        <v>0</v>
      </c>
      <c r="G387" s="9">
        <f>SUMIFS(data!G:G,data!A:A,TABLEAU!B387,data!C:C,TABLEAU!D387,data!F:F,YEAR(Feuil1!$D$2))</f>
        <v>39</v>
      </c>
      <c r="H387" s="9">
        <f t="shared" ref="H387:H450" si="24">F387-G387</f>
        <v>-39</v>
      </c>
      <c r="I387" s="12">
        <f t="shared" ref="I387:I450" si="25">IF(ISERR(H387/G387),"",H387/G387)</f>
        <v>-1</v>
      </c>
      <c r="J387" s="13">
        <f>SUMIFS(data!E:E,data!A:A,TABLEAU!B387,data!C:C,TABLEAU!D387,data!F:F,YEAR(Feuil1!$D$1))</f>
        <v>0</v>
      </c>
      <c r="K387" s="13">
        <f>SUMIFS(data!E:E,data!A:A,TABLEAU!B387,data!C:C,TABLEAU!D387,data!F:F,YEAR(Feuil1!$D$2))</f>
        <v>6</v>
      </c>
      <c r="L387" s="13">
        <f t="shared" ref="L387:L450" si="26">J387-K387</f>
        <v>-6</v>
      </c>
      <c r="M387" s="12">
        <f t="shared" ref="M387:M450" si="27">IF(ISERR(L387/K387),"",L387/K387)</f>
        <v>-1</v>
      </c>
    </row>
    <row r="388" spans="1:13" x14ac:dyDescent="0.25">
      <c r="A388" s="17" t="str">
        <f>data!H647</f>
        <v>VINICOM</v>
      </c>
      <c r="B388" s="15" t="str">
        <f>data!A647</f>
        <v>009</v>
      </c>
      <c r="C388" s="1" t="str">
        <f>data!B647</f>
        <v>DOMAINE CHATELAIN</v>
      </c>
      <c r="D388" s="1" t="str">
        <f>data!C647</f>
        <v>009011</v>
      </c>
      <c r="E388" s="1" t="str">
        <f>data!D388</f>
        <v>AOP  LE BLANC DME TURNER PAGEOT</v>
      </c>
      <c r="F388" s="14">
        <f>SUMIFS(data!G:G,data!A:A,TABLEAU!B388,data!C:C,TABLEAU!D388,data!F:F,YEAR(Feuil1!$D$1))</f>
        <v>187.2</v>
      </c>
      <c r="G388" s="9">
        <f>SUMIFS(data!G:G,data!A:A,TABLEAU!B388,data!C:C,TABLEAU!D388,data!F:F,YEAR(Feuil1!$D$2))</f>
        <v>280.8</v>
      </c>
      <c r="H388" s="9">
        <f t="shared" si="24"/>
        <v>-93.600000000000023</v>
      </c>
      <c r="I388" s="12">
        <f t="shared" si="25"/>
        <v>-0.33333333333333343</v>
      </c>
      <c r="J388" s="13">
        <f>SUMIFS(data!E:E,data!A:A,TABLEAU!B388,data!C:C,TABLEAU!D388,data!F:F,YEAR(Feuil1!$D$1))</f>
        <v>48</v>
      </c>
      <c r="K388" s="13">
        <f>SUMIFS(data!E:E,data!A:A,TABLEAU!B388,data!C:C,TABLEAU!D388,data!F:F,YEAR(Feuil1!$D$2))</f>
        <v>36</v>
      </c>
      <c r="L388" s="13">
        <f t="shared" si="26"/>
        <v>12</v>
      </c>
      <c r="M388" s="12">
        <f t="shared" si="27"/>
        <v>0.33333333333333331</v>
      </c>
    </row>
    <row r="389" spans="1:13" x14ac:dyDescent="0.25">
      <c r="A389" s="17" t="str">
        <f>data!H649</f>
        <v>VINICOM</v>
      </c>
      <c r="B389" s="15" t="str">
        <f>data!A649</f>
        <v>009</v>
      </c>
      <c r="C389" s="1" t="str">
        <f>data!B649</f>
        <v>DOMAINE CHATELAIN</v>
      </c>
      <c r="D389" s="1" t="str">
        <f>data!C649</f>
        <v>009012</v>
      </c>
      <c r="E389" s="1" t="str">
        <f>data!D389</f>
        <v>AOP LANGUEDOC LE ROUGE TURNER PAGEOT</v>
      </c>
      <c r="F389" s="14">
        <f>SUMIFS(data!G:G,data!A:A,TABLEAU!B389,data!C:C,TABLEAU!D389,data!F:F,YEAR(Feuil1!$D$1))</f>
        <v>108</v>
      </c>
      <c r="G389" s="9">
        <f>SUMIFS(data!G:G,data!A:A,TABLEAU!B389,data!C:C,TABLEAU!D389,data!F:F,YEAR(Feuil1!$D$2))</f>
        <v>432</v>
      </c>
      <c r="H389" s="9">
        <f t="shared" si="24"/>
        <v>-324</v>
      </c>
      <c r="I389" s="12">
        <f t="shared" si="25"/>
        <v>-0.75</v>
      </c>
      <c r="J389" s="13">
        <f>SUMIFS(data!E:E,data!A:A,TABLEAU!B389,data!C:C,TABLEAU!D389,data!F:F,YEAR(Feuil1!$D$1))</f>
        <v>36</v>
      </c>
      <c r="K389" s="13">
        <f>SUMIFS(data!E:E,data!A:A,TABLEAU!B389,data!C:C,TABLEAU!D389,data!F:F,YEAR(Feuil1!$D$2))</f>
        <v>48</v>
      </c>
      <c r="L389" s="13">
        <f t="shared" si="26"/>
        <v>-12</v>
      </c>
      <c r="M389" s="12">
        <f t="shared" si="27"/>
        <v>-0.25</v>
      </c>
    </row>
    <row r="390" spans="1:13" x14ac:dyDescent="0.25">
      <c r="A390" s="17" t="str">
        <f>data!H651</f>
        <v>VINICOM</v>
      </c>
      <c r="B390" s="15" t="str">
        <f>data!A651</f>
        <v>010</v>
      </c>
      <c r="C390" s="1" t="str">
        <f>data!B651</f>
        <v>DOMAINE VIGNEAU CHEVRAU</v>
      </c>
      <c r="D390" s="1" t="str">
        <f>data!C651</f>
        <v>010001</v>
      </c>
      <c r="E390" s="1" t="str">
        <f>data!D390</f>
        <v>AOP LANGUEDOC LE ROUGE TURNER PAGEOT</v>
      </c>
      <c r="F390" s="14">
        <f>SUMIFS(data!G:G,data!A:A,TABLEAU!B390,data!C:C,TABLEAU!D390,data!F:F,YEAR(Feuil1!$D$1))</f>
        <v>4491.6000000000004</v>
      </c>
      <c r="G390" s="9">
        <f>SUMIFS(data!G:G,data!A:A,TABLEAU!B390,data!C:C,TABLEAU!D390,data!F:F,YEAR(Feuil1!$D$2))</f>
        <v>4779.6000000000004</v>
      </c>
      <c r="H390" s="9">
        <f t="shared" si="24"/>
        <v>-288</v>
      </c>
      <c r="I390" s="12">
        <f t="shared" si="25"/>
        <v>-6.0256088375596283E-2</v>
      </c>
      <c r="J390" s="13">
        <f>SUMIFS(data!E:E,data!A:A,TABLEAU!B390,data!C:C,TABLEAU!D390,data!F:F,YEAR(Feuil1!$D$1))</f>
        <v>864</v>
      </c>
      <c r="K390" s="13">
        <f>SUMIFS(data!E:E,data!A:A,TABLEAU!B390,data!C:C,TABLEAU!D390,data!F:F,YEAR(Feuil1!$D$2))</f>
        <v>936</v>
      </c>
      <c r="L390" s="13">
        <f t="shared" si="26"/>
        <v>-72</v>
      </c>
      <c r="M390" s="12">
        <f t="shared" si="27"/>
        <v>-7.6923076923076927E-2</v>
      </c>
    </row>
    <row r="391" spans="1:13" x14ac:dyDescent="0.25">
      <c r="A391" s="17" t="str">
        <f>data!H653</f>
        <v>VINICOM</v>
      </c>
      <c r="B391" s="15" t="str">
        <f>data!A653</f>
        <v>010</v>
      </c>
      <c r="C391" s="1" t="str">
        <f>data!B653</f>
        <v>DOMAINE VIGNEAU CHEVRAU</v>
      </c>
      <c r="D391" s="1" t="str">
        <f>data!C653</f>
        <v>010019</v>
      </c>
      <c r="E391" s="1" t="str">
        <f>data!D391</f>
        <v>AOP ST ROMAIN DME LE BOUT DU MONDE</v>
      </c>
      <c r="F391" s="14">
        <f>SUMIFS(data!G:G,data!A:A,TABLEAU!B391,data!C:C,TABLEAU!D391,data!F:F,YEAR(Feuil1!$D$1))</f>
        <v>2512.1999999999998</v>
      </c>
      <c r="G391" s="9">
        <f>SUMIFS(data!G:G,data!A:A,TABLEAU!B391,data!C:C,TABLEAU!D391,data!F:F,YEAR(Feuil1!$D$2))</f>
        <v>0</v>
      </c>
      <c r="H391" s="9">
        <f t="shared" si="24"/>
        <v>2512.1999999999998</v>
      </c>
      <c r="I391" s="12" t="str">
        <f t="shared" si="25"/>
        <v/>
      </c>
      <c r="J391" s="13">
        <f>SUMIFS(data!E:E,data!A:A,TABLEAU!B391,data!C:C,TABLEAU!D391,data!F:F,YEAR(Feuil1!$D$1))</f>
        <v>480</v>
      </c>
      <c r="K391" s="13">
        <f>SUMIFS(data!E:E,data!A:A,TABLEAU!B391,data!C:C,TABLEAU!D391,data!F:F,YEAR(Feuil1!$D$2))</f>
        <v>0</v>
      </c>
      <c r="L391" s="13">
        <f t="shared" si="26"/>
        <v>480</v>
      </c>
      <c r="M391" s="12" t="str">
        <f t="shared" si="27"/>
        <v/>
      </c>
    </row>
    <row r="392" spans="1:13" x14ac:dyDescent="0.25">
      <c r="A392" s="17" t="str">
        <f>data!H654</f>
        <v>VINICOM</v>
      </c>
      <c r="B392" s="15" t="str">
        <f>data!A654</f>
        <v>010</v>
      </c>
      <c r="C392" s="1" t="str">
        <f>data!B654</f>
        <v>DOMAINE VIGNEAU CHEVRAU</v>
      </c>
      <c r="D392" s="1" t="str">
        <f>data!C654</f>
        <v>CDV010050</v>
      </c>
      <c r="E392" s="1" t="str">
        <f>data!D392</f>
        <v>AOP ST ROMAIN DME LE BOUT DU MONDE</v>
      </c>
      <c r="F392" s="14">
        <f>SUMIFS(data!G:G,data!A:A,TABLEAU!B392,data!C:C,TABLEAU!D392,data!F:F,YEAR(Feuil1!$D$1))</f>
        <v>264.60000000000002</v>
      </c>
      <c r="G392" s="9">
        <f>SUMIFS(data!G:G,data!A:A,TABLEAU!B392,data!C:C,TABLEAU!D392,data!F:F,YEAR(Feuil1!$D$2))</f>
        <v>366.6</v>
      </c>
      <c r="H392" s="9">
        <f t="shared" si="24"/>
        <v>-102</v>
      </c>
      <c r="I392" s="12">
        <f t="shared" si="25"/>
        <v>-0.27823240589198034</v>
      </c>
      <c r="J392" s="13">
        <f>SUMIFS(data!E:E,data!A:A,TABLEAU!B392,data!C:C,TABLEAU!D392,data!F:F,YEAR(Feuil1!$D$1))</f>
        <v>42</v>
      </c>
      <c r="K392" s="13">
        <f>SUMIFS(data!E:E,data!A:A,TABLEAU!B392,data!C:C,TABLEAU!D392,data!F:F,YEAR(Feuil1!$D$2))</f>
        <v>60</v>
      </c>
      <c r="L392" s="13">
        <f t="shared" si="26"/>
        <v>-18</v>
      </c>
      <c r="M392" s="12">
        <f t="shared" si="27"/>
        <v>-0.3</v>
      </c>
    </row>
    <row r="393" spans="1:13" x14ac:dyDescent="0.25">
      <c r="A393" s="17" t="str">
        <f>data!H656</f>
        <v>VINICOM</v>
      </c>
      <c r="B393" s="15" t="str">
        <f>data!A656</f>
        <v>010</v>
      </c>
      <c r="C393" s="1" t="str">
        <f>data!B656</f>
        <v>DOMAINE VIGNEAU CHEVRAU</v>
      </c>
      <c r="D393" s="1" t="str">
        <f>data!C656</f>
        <v>CDV010051</v>
      </c>
      <c r="E393" s="1" t="str">
        <f>data!D393</f>
        <v>AOP COTES DE RHONE VALREAS DME VALLEE DES GRIVES</v>
      </c>
      <c r="F393" s="14">
        <f>SUMIFS(data!G:G,data!A:A,TABLEAU!B393,data!C:C,TABLEAU!D393,data!F:F,YEAR(Feuil1!$D$1))</f>
        <v>0</v>
      </c>
      <c r="G393" s="9">
        <f>SUMIFS(data!G:G,data!A:A,TABLEAU!B393,data!C:C,TABLEAU!D393,data!F:F,YEAR(Feuil1!$D$2))</f>
        <v>98.4</v>
      </c>
      <c r="H393" s="9">
        <f t="shared" si="24"/>
        <v>-98.4</v>
      </c>
      <c r="I393" s="12">
        <f t="shared" si="25"/>
        <v>-1</v>
      </c>
      <c r="J393" s="13">
        <f>SUMIFS(data!E:E,data!A:A,TABLEAU!B393,data!C:C,TABLEAU!D393,data!F:F,YEAR(Feuil1!$D$1))</f>
        <v>0</v>
      </c>
      <c r="K393" s="13">
        <f>SUMIFS(data!E:E,data!A:A,TABLEAU!B393,data!C:C,TABLEAU!D393,data!F:F,YEAR(Feuil1!$D$2))</f>
        <v>12</v>
      </c>
      <c r="L393" s="13">
        <f t="shared" si="26"/>
        <v>-12</v>
      </c>
      <c r="M393" s="12">
        <f t="shared" si="27"/>
        <v>-1</v>
      </c>
    </row>
    <row r="394" spans="1:13" x14ac:dyDescent="0.25">
      <c r="A394" s="17" t="str">
        <f>data!H657</f>
        <v>VINICOM</v>
      </c>
      <c r="B394" s="15" t="str">
        <f>data!A657</f>
        <v>011</v>
      </c>
      <c r="C394" s="1" t="str">
        <f>data!B657</f>
        <v>CAVE GAUTIER</v>
      </c>
      <c r="D394" s="1" t="str">
        <f>data!C657</f>
        <v>011001</v>
      </c>
      <c r="E394" s="1" t="str">
        <f>data!D394</f>
        <v>AOP COTES DE RHONE VALREAS DME VALLEE DES GRIVES</v>
      </c>
      <c r="F394" s="14">
        <f>SUMIFS(data!G:G,data!A:A,TABLEAU!B394,data!C:C,TABLEAU!D394,data!F:F,YEAR(Feuil1!$D$1))</f>
        <v>23580.9</v>
      </c>
      <c r="G394" s="9">
        <f>SUMIFS(data!G:G,data!A:A,TABLEAU!B394,data!C:C,TABLEAU!D394,data!F:F,YEAR(Feuil1!$D$2))</f>
        <v>32462.639999999999</v>
      </c>
      <c r="H394" s="9">
        <f t="shared" si="24"/>
        <v>-8881.739999999998</v>
      </c>
      <c r="I394" s="12">
        <f t="shared" si="25"/>
        <v>-0.27359882005899699</v>
      </c>
      <c r="J394" s="13">
        <f>SUMIFS(data!E:E,data!A:A,TABLEAU!B394,data!C:C,TABLEAU!D394,data!F:F,YEAR(Feuil1!$D$1))</f>
        <v>5904</v>
      </c>
      <c r="K394" s="13">
        <f>SUMIFS(data!E:E,data!A:A,TABLEAU!B394,data!C:C,TABLEAU!D394,data!F:F,YEAR(Feuil1!$D$2))</f>
        <v>8160</v>
      </c>
      <c r="L394" s="13">
        <f t="shared" si="26"/>
        <v>-2256</v>
      </c>
      <c r="M394" s="12">
        <f t="shared" si="27"/>
        <v>-0.27647058823529413</v>
      </c>
    </row>
    <row r="395" spans="1:13" x14ac:dyDescent="0.25">
      <c r="A395" s="17" t="str">
        <f>data!H659</f>
        <v>VINICOM</v>
      </c>
      <c r="B395" s="15" t="str">
        <f>data!A659</f>
        <v>011</v>
      </c>
      <c r="C395" s="1" t="str">
        <f>data!B659</f>
        <v>CAVE GAUTIER</v>
      </c>
      <c r="D395" s="1" t="str">
        <f>data!C659</f>
        <v>011002</v>
      </c>
      <c r="E395" s="1" t="str">
        <f>data!D395</f>
        <v>AOP COTES DE PROVENCE SECRETS DE COMPTOIR</v>
      </c>
      <c r="F395" s="14">
        <f>SUMIFS(data!G:G,data!A:A,TABLEAU!B395,data!C:C,TABLEAU!D395,data!F:F,YEAR(Feuil1!$D$1))</f>
        <v>837.9</v>
      </c>
      <c r="G395" s="9">
        <f>SUMIFS(data!G:G,data!A:A,TABLEAU!B395,data!C:C,TABLEAU!D395,data!F:F,YEAR(Feuil1!$D$2))</f>
        <v>2240.6999999999998</v>
      </c>
      <c r="H395" s="9">
        <f t="shared" si="24"/>
        <v>-1402.7999999999997</v>
      </c>
      <c r="I395" s="12">
        <f t="shared" si="25"/>
        <v>-0.62605435801312082</v>
      </c>
      <c r="J395" s="13">
        <f>SUMIFS(data!E:E,data!A:A,TABLEAU!B395,data!C:C,TABLEAU!D395,data!F:F,YEAR(Feuil1!$D$1))</f>
        <v>210</v>
      </c>
      <c r="K395" s="13">
        <f>SUMIFS(data!E:E,data!A:A,TABLEAU!B395,data!C:C,TABLEAU!D395,data!F:F,YEAR(Feuil1!$D$2))</f>
        <v>582</v>
      </c>
      <c r="L395" s="13">
        <f t="shared" si="26"/>
        <v>-372</v>
      </c>
      <c r="M395" s="12">
        <f t="shared" si="27"/>
        <v>-0.63917525773195871</v>
      </c>
    </row>
    <row r="396" spans="1:13" x14ac:dyDescent="0.25">
      <c r="A396" s="17" t="str">
        <f>data!H661</f>
        <v>VINICOM</v>
      </c>
      <c r="B396" s="15" t="str">
        <f>data!A661</f>
        <v>011</v>
      </c>
      <c r="C396" s="1" t="str">
        <f>data!B661</f>
        <v>CAVE GAUTIER</v>
      </c>
      <c r="D396" s="1" t="str">
        <f>data!C661</f>
        <v>011004</v>
      </c>
      <c r="E396" s="1" t="str">
        <f>data!D396</f>
        <v>BARMIOLI PROSECCO EXTRA DRY</v>
      </c>
      <c r="F396" s="14">
        <f>SUMIFS(data!G:G,data!A:A,TABLEAU!B396,data!C:C,TABLEAU!D396,data!F:F,YEAR(Feuil1!$D$1))</f>
        <v>0</v>
      </c>
      <c r="G396" s="9">
        <f>SUMIFS(data!G:G,data!A:A,TABLEAU!B396,data!C:C,TABLEAU!D396,data!F:F,YEAR(Feuil1!$D$2))</f>
        <v>142.80000000000001</v>
      </c>
      <c r="H396" s="9">
        <f t="shared" si="24"/>
        <v>-142.80000000000001</v>
      </c>
      <c r="I396" s="12">
        <f t="shared" si="25"/>
        <v>-1</v>
      </c>
      <c r="J396" s="13">
        <f>SUMIFS(data!E:E,data!A:A,TABLEAU!B396,data!C:C,TABLEAU!D396,data!F:F,YEAR(Feuil1!$D$1))</f>
        <v>0</v>
      </c>
      <c r="K396" s="13">
        <f>SUMIFS(data!E:E,data!A:A,TABLEAU!B396,data!C:C,TABLEAU!D396,data!F:F,YEAR(Feuil1!$D$2))</f>
        <v>36</v>
      </c>
      <c r="L396" s="13">
        <f t="shared" si="26"/>
        <v>-36</v>
      </c>
      <c r="M396" s="12">
        <f t="shared" si="27"/>
        <v>-1</v>
      </c>
    </row>
    <row r="397" spans="1:13" x14ac:dyDescent="0.25">
      <c r="A397" s="17" t="str">
        <f>data!H662</f>
        <v>VINICOM</v>
      </c>
      <c r="B397" s="15" t="str">
        <f>data!A662</f>
        <v>011</v>
      </c>
      <c r="C397" s="1" t="str">
        <f>data!B662</f>
        <v>CAVE GAUTIER</v>
      </c>
      <c r="D397" s="1" t="str">
        <f>data!C662</f>
        <v>011005</v>
      </c>
      <c r="E397" s="1" t="str">
        <f>data!D397</f>
        <v>IGP ILE DE BEAUTE CASANOVA</v>
      </c>
      <c r="F397" s="14">
        <f>SUMIFS(data!G:G,data!A:A,TABLEAU!B397,data!C:C,TABLEAU!D397,data!F:F,YEAR(Feuil1!$D$1))</f>
        <v>6332.16</v>
      </c>
      <c r="G397" s="9">
        <f>SUMIFS(data!G:G,data!A:A,TABLEAU!B397,data!C:C,TABLEAU!D397,data!F:F,YEAR(Feuil1!$D$2))</f>
        <v>9141.2999999999993</v>
      </c>
      <c r="H397" s="9">
        <f t="shared" si="24"/>
        <v>-2809.1399999999994</v>
      </c>
      <c r="I397" s="12">
        <f t="shared" si="25"/>
        <v>-0.30730202487611169</v>
      </c>
      <c r="J397" s="13">
        <f>SUMIFS(data!E:E,data!A:A,TABLEAU!B397,data!C:C,TABLEAU!D397,data!F:F,YEAR(Feuil1!$D$1))</f>
        <v>1278</v>
      </c>
      <c r="K397" s="13">
        <f>SUMIFS(data!E:E,data!A:A,TABLEAU!B397,data!C:C,TABLEAU!D397,data!F:F,YEAR(Feuil1!$D$2))</f>
        <v>1878</v>
      </c>
      <c r="L397" s="13">
        <f t="shared" si="26"/>
        <v>-600</v>
      </c>
      <c r="M397" s="12">
        <f t="shared" si="27"/>
        <v>-0.31948881789137379</v>
      </c>
    </row>
    <row r="398" spans="1:13" x14ac:dyDescent="0.25">
      <c r="A398" s="17" t="str">
        <f>data!H664</f>
        <v>VINICOM</v>
      </c>
      <c r="B398" s="15" t="str">
        <f>data!A664</f>
        <v>011</v>
      </c>
      <c r="C398" s="1" t="str">
        <f>data!B664</f>
        <v>CAVE GAUTIER</v>
      </c>
      <c r="D398" s="1" t="str">
        <f>data!C664</f>
        <v>011006</v>
      </c>
      <c r="E398" s="1" t="str">
        <f>data!D398</f>
        <v>AOP VIN DE CORSE PARALLELE CASANOVA</v>
      </c>
      <c r="F398" s="14">
        <f>SUMIFS(data!G:G,data!A:A,TABLEAU!B398,data!C:C,TABLEAU!D398,data!F:F,YEAR(Feuil1!$D$1))</f>
        <v>1288.3800000000001</v>
      </c>
      <c r="G398" s="9">
        <f>SUMIFS(data!G:G,data!A:A,TABLEAU!B398,data!C:C,TABLEAU!D398,data!F:F,YEAR(Feuil1!$D$2))</f>
        <v>1156.02</v>
      </c>
      <c r="H398" s="9">
        <f t="shared" si="24"/>
        <v>132.36000000000013</v>
      </c>
      <c r="I398" s="12">
        <f t="shared" si="25"/>
        <v>0.11449628899154005</v>
      </c>
      <c r="J398" s="13">
        <f>SUMIFS(data!E:E,data!A:A,TABLEAU!B398,data!C:C,TABLEAU!D398,data!F:F,YEAR(Feuil1!$D$1))</f>
        <v>288</v>
      </c>
      <c r="K398" s="13">
        <f>SUMIFS(data!E:E,data!A:A,TABLEAU!B398,data!C:C,TABLEAU!D398,data!F:F,YEAR(Feuil1!$D$2))</f>
        <v>270</v>
      </c>
      <c r="L398" s="13">
        <f t="shared" si="26"/>
        <v>18</v>
      </c>
      <c r="M398" s="12">
        <f t="shared" si="27"/>
        <v>6.6666666666666666E-2</v>
      </c>
    </row>
    <row r="399" spans="1:13" x14ac:dyDescent="0.25">
      <c r="A399" s="17" t="str">
        <f>data!H666</f>
        <v>VINICOM</v>
      </c>
      <c r="B399" s="15" t="str">
        <f>data!A666</f>
        <v>012</v>
      </c>
      <c r="C399" s="1" t="str">
        <f>data!B666</f>
        <v>DOMAINE CAMP-GALHAN</v>
      </c>
      <c r="D399" s="1" t="str">
        <f>data!C666</f>
        <v>012001</v>
      </c>
      <c r="E399" s="1" t="str">
        <f>data!D399</f>
        <v>MUSCAT PETILLANT CASANOVA OR</v>
      </c>
      <c r="F399" s="14">
        <f>SUMIFS(data!G:G,data!A:A,TABLEAU!B399,data!C:C,TABLEAU!D399,data!F:F,YEAR(Feuil1!$D$1))</f>
        <v>0</v>
      </c>
      <c r="G399" s="9">
        <f>SUMIFS(data!G:G,data!A:A,TABLEAU!B399,data!C:C,TABLEAU!D399,data!F:F,YEAR(Feuil1!$D$2))</f>
        <v>1088.6400000000001</v>
      </c>
      <c r="H399" s="9">
        <f t="shared" si="24"/>
        <v>-1088.6400000000001</v>
      </c>
      <c r="I399" s="12">
        <f t="shared" si="25"/>
        <v>-1</v>
      </c>
      <c r="J399" s="13">
        <f>SUMIFS(data!E:E,data!A:A,TABLEAU!B399,data!C:C,TABLEAU!D399,data!F:F,YEAR(Feuil1!$D$1))</f>
        <v>0</v>
      </c>
      <c r="K399" s="13">
        <f>SUMIFS(data!E:E,data!A:A,TABLEAU!B399,data!C:C,TABLEAU!D399,data!F:F,YEAR(Feuil1!$D$2))</f>
        <v>510</v>
      </c>
      <c r="L399" s="13">
        <f t="shared" si="26"/>
        <v>-510</v>
      </c>
      <c r="M399" s="12">
        <f t="shared" si="27"/>
        <v>-1</v>
      </c>
    </row>
    <row r="400" spans="1:13" x14ac:dyDescent="0.25">
      <c r="A400" s="17" t="str">
        <f>data!H667</f>
        <v>VINICOM</v>
      </c>
      <c r="B400" s="15" t="str">
        <f>data!A667</f>
        <v>012</v>
      </c>
      <c r="C400" s="1" t="str">
        <f>data!B667</f>
        <v>DOMAINE CAMP-GALHAN</v>
      </c>
      <c r="D400" s="1" t="str">
        <f>data!C667</f>
        <v>012008</v>
      </c>
      <c r="E400" s="1" t="str">
        <f>data!D400</f>
        <v>IGP ROUGE RESERVE DE GARDIAN</v>
      </c>
      <c r="F400" s="14">
        <f>SUMIFS(data!G:G,data!A:A,TABLEAU!B400,data!C:C,TABLEAU!D400,data!F:F,YEAR(Feuil1!$D$1))</f>
        <v>0</v>
      </c>
      <c r="G400" s="9">
        <f>SUMIFS(data!G:G,data!A:A,TABLEAU!B400,data!C:C,TABLEAU!D400,data!F:F,YEAR(Feuil1!$D$2))</f>
        <v>891</v>
      </c>
      <c r="H400" s="9">
        <f t="shared" si="24"/>
        <v>-891</v>
      </c>
      <c r="I400" s="12">
        <f t="shared" si="25"/>
        <v>-1</v>
      </c>
      <c r="J400" s="13">
        <f>SUMIFS(data!E:E,data!A:A,TABLEAU!B400,data!C:C,TABLEAU!D400,data!F:F,YEAR(Feuil1!$D$1))</f>
        <v>0</v>
      </c>
      <c r="K400" s="13">
        <f>SUMIFS(data!E:E,data!A:A,TABLEAU!B400,data!C:C,TABLEAU!D400,data!F:F,YEAR(Feuil1!$D$2))</f>
        <v>270</v>
      </c>
      <c r="L400" s="13">
        <f t="shared" si="26"/>
        <v>-270</v>
      </c>
      <c r="M400" s="12">
        <f t="shared" si="27"/>
        <v>-1</v>
      </c>
    </row>
    <row r="401" spans="1:13" x14ac:dyDescent="0.25">
      <c r="A401" s="17" t="str">
        <f>data!H668</f>
        <v>VINICOM</v>
      </c>
      <c r="B401" s="15" t="str">
        <f>data!A668</f>
        <v>016</v>
      </c>
      <c r="C401" s="1" t="str">
        <f>data!B668</f>
        <v>VIGNERON DU GRAND SUD</v>
      </c>
      <c r="D401" s="1" t="str">
        <f>data!C668</f>
        <v>016000</v>
      </c>
      <c r="E401" s="1" t="str">
        <f>data!D401</f>
        <v>IGP ROSE RESERVE DE GARDIAN</v>
      </c>
      <c r="F401" s="14">
        <f>SUMIFS(data!G:G,data!A:A,TABLEAU!B401,data!C:C,TABLEAU!D401,data!F:F,YEAR(Feuil1!$D$1))</f>
        <v>0</v>
      </c>
      <c r="G401" s="9">
        <f>SUMIFS(data!G:G,data!A:A,TABLEAU!B401,data!C:C,TABLEAU!D401,data!F:F,YEAR(Feuil1!$D$2))</f>
        <v>0</v>
      </c>
      <c r="H401" s="9">
        <f t="shared" si="24"/>
        <v>0</v>
      </c>
      <c r="I401" s="12" t="str">
        <f t="shared" si="25"/>
        <v/>
      </c>
      <c r="J401" s="13">
        <f>SUMIFS(data!E:E,data!A:A,TABLEAU!B401,data!C:C,TABLEAU!D401,data!F:F,YEAR(Feuil1!$D$1))</f>
        <v>0</v>
      </c>
      <c r="K401" s="13">
        <f>SUMIFS(data!E:E,data!A:A,TABLEAU!B401,data!C:C,TABLEAU!D401,data!F:F,YEAR(Feuil1!$D$2))</f>
        <v>24</v>
      </c>
      <c r="L401" s="13">
        <f t="shared" si="26"/>
        <v>-24</v>
      </c>
      <c r="M401" s="12">
        <f t="shared" si="27"/>
        <v>-1</v>
      </c>
    </row>
    <row r="402" spans="1:13" x14ac:dyDescent="0.25">
      <c r="A402" s="17" t="str">
        <f>data!H669</f>
        <v>VINICOM</v>
      </c>
      <c r="B402" s="15" t="str">
        <f>data!A669</f>
        <v>016</v>
      </c>
      <c r="C402" s="1" t="str">
        <f>data!B669</f>
        <v>VIGNERON DU GRAND SUD</v>
      </c>
      <c r="D402" s="1" t="str">
        <f>data!C669</f>
        <v>016001</v>
      </c>
      <c r="E402" s="1" t="str">
        <f>data!D402</f>
        <v>IGP MARSELAN NATURE "SANS SOUFFRE AJOUTE"</v>
      </c>
      <c r="F402" s="14">
        <f>SUMIFS(data!G:G,data!A:A,TABLEAU!B402,data!C:C,TABLEAU!D402,data!F:F,YEAR(Feuil1!$D$1))</f>
        <v>196.8</v>
      </c>
      <c r="G402" s="9">
        <f>SUMIFS(data!G:G,data!A:A,TABLEAU!B402,data!C:C,TABLEAU!D402,data!F:F,YEAR(Feuil1!$D$2))</f>
        <v>236.4</v>
      </c>
      <c r="H402" s="9">
        <f t="shared" si="24"/>
        <v>-39.599999999999994</v>
      </c>
      <c r="I402" s="12">
        <f t="shared" si="25"/>
        <v>-0.16751269035532992</v>
      </c>
      <c r="J402" s="13">
        <f>SUMIFS(data!E:E,data!A:A,TABLEAU!B402,data!C:C,TABLEAU!D402,data!F:F,YEAR(Feuil1!$D$1))</f>
        <v>48</v>
      </c>
      <c r="K402" s="13">
        <f>SUMIFS(data!E:E,data!A:A,TABLEAU!B402,data!C:C,TABLEAU!D402,data!F:F,YEAR(Feuil1!$D$2))</f>
        <v>114</v>
      </c>
      <c r="L402" s="13">
        <f t="shared" si="26"/>
        <v>-66</v>
      </c>
      <c r="M402" s="12">
        <f t="shared" si="27"/>
        <v>-0.57894736842105265</v>
      </c>
    </row>
    <row r="403" spans="1:13" x14ac:dyDescent="0.25">
      <c r="A403" s="17" t="str">
        <f>data!H671</f>
        <v>VINICOM</v>
      </c>
      <c r="B403" s="15" t="str">
        <f>data!A671</f>
        <v>019</v>
      </c>
      <c r="C403" s="1" t="str">
        <f>data!B671</f>
        <v>VIGNOBLES YON</v>
      </c>
      <c r="D403" s="1" t="str">
        <f>data!C671</f>
        <v>019003</v>
      </c>
      <c r="E403" s="1" t="str">
        <f>data!D403</f>
        <v>IGP MARSELAN LES GARRIGUES GRANDE RESERVE</v>
      </c>
      <c r="F403" s="14">
        <f>SUMIFS(data!G:G,data!A:A,TABLEAU!B403,data!C:C,TABLEAU!D403,data!F:F,YEAR(Feuil1!$D$1))</f>
        <v>33379.5</v>
      </c>
      <c r="G403" s="9">
        <f>SUMIFS(data!G:G,data!A:A,TABLEAU!B403,data!C:C,TABLEAU!D403,data!F:F,YEAR(Feuil1!$D$2))</f>
        <v>56455.1</v>
      </c>
      <c r="H403" s="9">
        <f t="shared" si="24"/>
        <v>-23075.599999999999</v>
      </c>
      <c r="I403" s="12">
        <f t="shared" si="25"/>
        <v>-0.40874252281901902</v>
      </c>
      <c r="J403" s="13">
        <f>SUMIFS(data!E:E,data!A:A,TABLEAU!B403,data!C:C,TABLEAU!D403,data!F:F,YEAR(Feuil1!$D$1))</f>
        <v>14976</v>
      </c>
      <c r="K403" s="13">
        <f>SUMIFS(data!E:E,data!A:A,TABLEAU!B403,data!C:C,TABLEAU!D403,data!F:F,YEAR(Feuil1!$D$2))</f>
        <v>25824</v>
      </c>
      <c r="L403" s="13">
        <f t="shared" si="26"/>
        <v>-10848</v>
      </c>
      <c r="M403" s="12">
        <f t="shared" si="27"/>
        <v>-0.4200743494423792</v>
      </c>
    </row>
    <row r="404" spans="1:13" x14ac:dyDescent="0.25">
      <c r="A404" s="17" t="str">
        <f>data!H673</f>
        <v>VINICOM</v>
      </c>
      <c r="B404" s="15" t="str">
        <f>data!A673</f>
        <v>019</v>
      </c>
      <c r="C404" s="1" t="str">
        <f>data!B673</f>
        <v>VIGNOBLES YON</v>
      </c>
      <c r="D404" s="1" t="str">
        <f>data!C673</f>
        <v>019004</v>
      </c>
      <c r="E404" s="1" t="str">
        <f>data!D404</f>
        <v>IGP CARIGNAN LES GARRIGUES GRANDE RESERVE</v>
      </c>
      <c r="F404" s="14">
        <f>SUMIFS(data!G:G,data!A:A,TABLEAU!B404,data!C:C,TABLEAU!D404,data!F:F,YEAR(Feuil1!$D$1))</f>
        <v>558.36</v>
      </c>
      <c r="G404" s="9">
        <f>SUMIFS(data!G:G,data!A:A,TABLEAU!B404,data!C:C,TABLEAU!D404,data!F:F,YEAR(Feuil1!$D$2))</f>
        <v>1949.86</v>
      </c>
      <c r="H404" s="9">
        <f t="shared" si="24"/>
        <v>-1391.5</v>
      </c>
      <c r="I404" s="12">
        <f t="shared" si="25"/>
        <v>-0.71364097935236381</v>
      </c>
      <c r="J404" s="13">
        <f>SUMIFS(data!E:E,data!A:A,TABLEAU!B404,data!C:C,TABLEAU!D404,data!F:F,YEAR(Feuil1!$D$1))</f>
        <v>192</v>
      </c>
      <c r="K404" s="13">
        <f>SUMIFS(data!E:E,data!A:A,TABLEAU!B404,data!C:C,TABLEAU!D404,data!F:F,YEAR(Feuil1!$D$2))</f>
        <v>690</v>
      </c>
      <c r="L404" s="13">
        <f t="shared" si="26"/>
        <v>-498</v>
      </c>
      <c r="M404" s="12">
        <f t="shared" si="27"/>
        <v>-0.72173913043478266</v>
      </c>
    </row>
    <row r="405" spans="1:13" x14ac:dyDescent="0.25">
      <c r="A405" s="17" t="str">
        <f>data!H675</f>
        <v>VINICOM</v>
      </c>
      <c r="B405" s="15" t="str">
        <f>data!A675</f>
        <v>019</v>
      </c>
      <c r="C405" s="1" t="str">
        <f>data!B675</f>
        <v>VIGNOBLES YON</v>
      </c>
      <c r="D405" s="1" t="str">
        <f>data!C675</f>
        <v>019008</v>
      </c>
      <c r="E405" s="1" t="str">
        <f>data!D405</f>
        <v>IGP GRENACHE NOIR LES GARRIGUES GRANDE RESERVE</v>
      </c>
      <c r="F405" s="14">
        <f>SUMIFS(data!G:G,data!A:A,TABLEAU!B405,data!C:C,TABLEAU!D405,data!F:F,YEAR(Feuil1!$D$1))</f>
        <v>7393</v>
      </c>
      <c r="G405" s="9">
        <f>SUMIFS(data!G:G,data!A:A,TABLEAU!B405,data!C:C,TABLEAU!D405,data!F:F,YEAR(Feuil1!$D$2))</f>
        <v>7651</v>
      </c>
      <c r="H405" s="9">
        <f t="shared" si="24"/>
        <v>-258</v>
      </c>
      <c r="I405" s="12">
        <f t="shared" si="25"/>
        <v>-3.3721082211475621E-2</v>
      </c>
      <c r="J405" s="13">
        <f>SUMIFS(data!E:E,data!A:A,TABLEAU!B405,data!C:C,TABLEAU!D405,data!F:F,YEAR(Feuil1!$D$1))</f>
        <v>4998.7499999999973</v>
      </c>
      <c r="K405" s="13">
        <f>SUMIFS(data!E:E,data!A:A,TABLEAU!B405,data!C:C,TABLEAU!D405,data!F:F,YEAR(Feuil1!$D$2))</f>
        <v>5318.6699999999983</v>
      </c>
      <c r="L405" s="13">
        <f t="shared" si="26"/>
        <v>-319.92000000000098</v>
      </c>
      <c r="M405" s="12">
        <f t="shared" si="27"/>
        <v>-6.0150375939849829E-2</v>
      </c>
    </row>
    <row r="406" spans="1:13" x14ac:dyDescent="0.25">
      <c r="A406" s="17" t="str">
        <f>data!H677</f>
        <v>VINICOM</v>
      </c>
      <c r="B406" s="15" t="str">
        <f>data!A677</f>
        <v>019</v>
      </c>
      <c r="C406" s="1" t="str">
        <f>data!B677</f>
        <v>VIGNOBLES YON</v>
      </c>
      <c r="D406" s="1" t="str">
        <f>data!C677</f>
        <v>019009</v>
      </c>
      <c r="E406" s="1" t="str">
        <f>data!D406</f>
        <v>IGP GRIS LES GARRIGUES GRANDE RESERVE</v>
      </c>
      <c r="F406" s="14">
        <f>SUMIFS(data!G:G,data!A:A,TABLEAU!B406,data!C:C,TABLEAU!D406,data!F:F,YEAR(Feuil1!$D$1))</f>
        <v>5754.2</v>
      </c>
      <c r="G406" s="9">
        <f>SUMIFS(data!G:G,data!A:A,TABLEAU!B406,data!C:C,TABLEAU!D406,data!F:F,YEAR(Feuil1!$D$2))</f>
        <v>6340.4</v>
      </c>
      <c r="H406" s="9">
        <f t="shared" si="24"/>
        <v>-586.19999999999982</v>
      </c>
      <c r="I406" s="12">
        <f t="shared" si="25"/>
        <v>-9.2454734717052525E-2</v>
      </c>
      <c r="J406" s="13">
        <f>SUMIFS(data!E:E,data!A:A,TABLEAU!B406,data!C:C,TABLEAU!D406,data!F:F,YEAR(Feuil1!$D$1))</f>
        <v>3508.4200000000005</v>
      </c>
      <c r="K406" s="13">
        <f>SUMIFS(data!E:E,data!A:A,TABLEAU!B406,data!C:C,TABLEAU!D406,data!F:F,YEAR(Feuil1!$D$2))</f>
        <v>3928.6300000000006</v>
      </c>
      <c r="L406" s="13">
        <f t="shared" si="26"/>
        <v>-420.21000000000004</v>
      </c>
      <c r="M406" s="12">
        <f t="shared" si="27"/>
        <v>-0.10696095076400679</v>
      </c>
    </row>
    <row r="407" spans="1:13" x14ac:dyDescent="0.25">
      <c r="A407" s="17" t="str">
        <f>data!H679</f>
        <v>VINICOM</v>
      </c>
      <c r="B407" s="15" t="str">
        <f>data!A679</f>
        <v>019</v>
      </c>
      <c r="C407" s="1" t="str">
        <f>data!B679</f>
        <v>VIGNOBLES YON</v>
      </c>
      <c r="D407" s="1" t="str">
        <f>data!C679</f>
        <v>019011</v>
      </c>
      <c r="E407" s="1" t="str">
        <f>data!D407</f>
        <v>IGP GRENACHE LES GARRIGUES GRANDE RESERVE</v>
      </c>
      <c r="F407" s="14">
        <f>SUMIFS(data!G:G,data!A:A,TABLEAU!B407,data!C:C,TABLEAU!D407,data!F:F,YEAR(Feuil1!$D$1))</f>
        <v>1319.16</v>
      </c>
      <c r="G407" s="9">
        <f>SUMIFS(data!G:G,data!A:A,TABLEAU!B407,data!C:C,TABLEAU!D407,data!F:F,YEAR(Feuil1!$D$2))</f>
        <v>4095.24</v>
      </c>
      <c r="H407" s="9">
        <f t="shared" si="24"/>
        <v>-2776.08</v>
      </c>
      <c r="I407" s="12">
        <f t="shared" si="25"/>
        <v>-0.67787968470712345</v>
      </c>
      <c r="J407" s="13">
        <f>SUMIFS(data!E:E,data!A:A,TABLEAU!B407,data!C:C,TABLEAU!D407,data!F:F,YEAR(Feuil1!$D$1))</f>
        <v>498</v>
      </c>
      <c r="K407" s="13">
        <f>SUMIFS(data!E:E,data!A:A,TABLEAU!B407,data!C:C,TABLEAU!D407,data!F:F,YEAR(Feuil1!$D$2))</f>
        <v>1584</v>
      </c>
      <c r="L407" s="13">
        <f t="shared" si="26"/>
        <v>-1086</v>
      </c>
      <c r="M407" s="12">
        <f t="shared" si="27"/>
        <v>-0.68560606060606055</v>
      </c>
    </row>
    <row r="408" spans="1:13" x14ac:dyDescent="0.25">
      <c r="A408" s="17" t="str">
        <f>data!H681</f>
        <v>VINICOM</v>
      </c>
      <c r="B408" s="15" t="str">
        <f>data!A681</f>
        <v>019</v>
      </c>
      <c r="C408" s="1" t="str">
        <f>data!B681</f>
        <v>VIGNOBLES YON</v>
      </c>
      <c r="D408" s="1" t="str">
        <f>data!C681</f>
        <v>019012</v>
      </c>
      <c r="E408" s="1" t="str">
        <f>data!D408</f>
        <v>AOP FITOU DME COURTAL</v>
      </c>
      <c r="F408" s="14">
        <f>SUMIFS(data!G:G,data!A:A,TABLEAU!B408,data!C:C,TABLEAU!D408,data!F:F,YEAR(Feuil1!$D$1))</f>
        <v>111.24</v>
      </c>
      <c r="G408" s="9">
        <f>SUMIFS(data!G:G,data!A:A,TABLEAU!B408,data!C:C,TABLEAU!D408,data!F:F,YEAR(Feuil1!$D$2))</f>
        <v>74.16</v>
      </c>
      <c r="H408" s="9">
        <f t="shared" si="24"/>
        <v>37.08</v>
      </c>
      <c r="I408" s="12">
        <f t="shared" si="25"/>
        <v>0.5</v>
      </c>
      <c r="J408" s="13">
        <f>SUMIFS(data!E:E,data!A:A,TABLEAU!B408,data!C:C,TABLEAU!D408,data!F:F,YEAR(Feuil1!$D$1))</f>
        <v>36</v>
      </c>
      <c r="K408" s="13">
        <f>SUMIFS(data!E:E,data!A:A,TABLEAU!B408,data!C:C,TABLEAU!D408,data!F:F,YEAR(Feuil1!$D$2))</f>
        <v>24</v>
      </c>
      <c r="L408" s="13">
        <f t="shared" si="26"/>
        <v>12</v>
      </c>
      <c r="M408" s="12">
        <f t="shared" si="27"/>
        <v>0.5</v>
      </c>
    </row>
    <row r="409" spans="1:13" x14ac:dyDescent="0.25">
      <c r="A409" s="17" t="str">
        <f>data!H683</f>
        <v>VINICOM</v>
      </c>
      <c r="B409" s="15" t="str">
        <f>data!A683</f>
        <v>019</v>
      </c>
      <c r="C409" s="1" t="str">
        <f>data!B683</f>
        <v>VIGNOBLES YON</v>
      </c>
      <c r="D409" s="1" t="str">
        <f>data!C683</f>
        <v>019014</v>
      </c>
      <c r="E409" s="1" t="str">
        <f>data!D409</f>
        <v>AOP LUBERON TERRE DE SAFRES</v>
      </c>
      <c r="F409" s="14">
        <f>SUMIFS(data!G:G,data!A:A,TABLEAU!B409,data!C:C,TABLEAU!D409,data!F:F,YEAR(Feuil1!$D$1))</f>
        <v>61.2</v>
      </c>
      <c r="G409" s="9">
        <f>SUMIFS(data!G:G,data!A:A,TABLEAU!B409,data!C:C,TABLEAU!D409,data!F:F,YEAR(Feuil1!$D$2))</f>
        <v>40.56</v>
      </c>
      <c r="H409" s="9">
        <f t="shared" si="24"/>
        <v>20.64</v>
      </c>
      <c r="I409" s="12">
        <f t="shared" si="25"/>
        <v>0.50887573964497035</v>
      </c>
      <c r="J409" s="13">
        <f>SUMIFS(data!E:E,data!A:A,TABLEAU!B409,data!C:C,TABLEAU!D409,data!F:F,YEAR(Feuil1!$D$1))</f>
        <v>18</v>
      </c>
      <c r="K409" s="13">
        <f>SUMIFS(data!E:E,data!A:A,TABLEAU!B409,data!C:C,TABLEAU!D409,data!F:F,YEAR(Feuil1!$D$2))</f>
        <v>12</v>
      </c>
      <c r="L409" s="13">
        <f t="shared" si="26"/>
        <v>6</v>
      </c>
      <c r="M409" s="12">
        <f t="shared" si="27"/>
        <v>0.5</v>
      </c>
    </row>
    <row r="410" spans="1:13" x14ac:dyDescent="0.25">
      <c r="A410" s="17" t="str">
        <f>data!H685</f>
        <v>VINICOM</v>
      </c>
      <c r="B410" s="15" t="str">
        <f>data!A685</f>
        <v>019</v>
      </c>
      <c r="C410" s="1" t="str">
        <f>data!B685</f>
        <v>VIGNOBLES YON</v>
      </c>
      <c r="D410" s="1" t="str">
        <f>data!C685</f>
        <v>019015</v>
      </c>
      <c r="E410" s="1" t="str">
        <f>data!D410</f>
        <v>AOP LUBERON COTE LEVANT</v>
      </c>
      <c r="F410" s="14">
        <f>SUMIFS(data!G:G,data!A:A,TABLEAU!B410,data!C:C,TABLEAU!D410,data!F:F,YEAR(Feuil1!$D$1))</f>
        <v>1984.7</v>
      </c>
      <c r="G410" s="9">
        <f>SUMIFS(data!G:G,data!A:A,TABLEAU!B410,data!C:C,TABLEAU!D410,data!F:F,YEAR(Feuil1!$D$2))</f>
        <v>5186.04</v>
      </c>
      <c r="H410" s="9">
        <f t="shared" si="24"/>
        <v>-3201.34</v>
      </c>
      <c r="I410" s="12">
        <f t="shared" si="25"/>
        <v>-0.61729951947921735</v>
      </c>
      <c r="J410" s="13">
        <f>SUMIFS(data!E:E,data!A:A,TABLEAU!B410,data!C:C,TABLEAU!D410,data!F:F,YEAR(Feuil1!$D$1))</f>
        <v>888</v>
      </c>
      <c r="K410" s="13">
        <f>SUMIFS(data!E:E,data!A:A,TABLEAU!B410,data!C:C,TABLEAU!D410,data!F:F,YEAR(Feuil1!$D$2))</f>
        <v>2328</v>
      </c>
      <c r="L410" s="13">
        <f t="shared" si="26"/>
        <v>-1440</v>
      </c>
      <c r="M410" s="12">
        <f t="shared" si="27"/>
        <v>-0.61855670103092786</v>
      </c>
    </row>
    <row r="411" spans="1:13" x14ac:dyDescent="0.25">
      <c r="A411" s="17" t="str">
        <f>data!H687</f>
        <v>VINICOM</v>
      </c>
      <c r="B411" s="15" t="str">
        <f>data!A687</f>
        <v>019</v>
      </c>
      <c r="C411" s="1" t="str">
        <f>data!B687</f>
        <v>VIGNOBLES YON</v>
      </c>
      <c r="D411" s="1" t="str">
        <f>data!C687</f>
        <v>019999</v>
      </c>
      <c r="E411" s="1" t="str">
        <f>data!D411</f>
        <v>AOP CAIRANNE CDR VILLAGES DME BOISSON</v>
      </c>
      <c r="F411" s="14">
        <f>SUMIFS(data!G:G,data!A:A,TABLEAU!B411,data!C:C,TABLEAU!D411,data!F:F,YEAR(Feuil1!$D$1))</f>
        <v>50</v>
      </c>
      <c r="G411" s="9">
        <f>SUMIFS(data!G:G,data!A:A,TABLEAU!B411,data!C:C,TABLEAU!D411,data!F:F,YEAR(Feuil1!$D$2))</f>
        <v>0</v>
      </c>
      <c r="H411" s="9">
        <f t="shared" si="24"/>
        <v>50</v>
      </c>
      <c r="I411" s="12" t="str">
        <f t="shared" si="25"/>
        <v/>
      </c>
      <c r="J411" s="13">
        <f>SUMIFS(data!E:E,data!A:A,TABLEAU!B411,data!C:C,TABLEAU!D411,data!F:F,YEAR(Feuil1!$D$1))</f>
        <v>266.66000000000003</v>
      </c>
      <c r="K411" s="13">
        <f>SUMIFS(data!E:E,data!A:A,TABLEAU!B411,data!C:C,TABLEAU!D411,data!F:F,YEAR(Feuil1!$D$2))</f>
        <v>0</v>
      </c>
      <c r="L411" s="13">
        <f t="shared" si="26"/>
        <v>266.66000000000003</v>
      </c>
      <c r="M411" s="12" t="str">
        <f t="shared" si="27"/>
        <v/>
      </c>
    </row>
    <row r="412" spans="1:13" x14ac:dyDescent="0.25">
      <c r="A412" s="17" t="str">
        <f>data!H688</f>
        <v>VINICOM</v>
      </c>
      <c r="B412" s="15" t="str">
        <f>data!A688</f>
        <v>019</v>
      </c>
      <c r="C412" s="1" t="str">
        <f>data!B688</f>
        <v>VIGNOBLES YON</v>
      </c>
      <c r="D412" s="1" t="str">
        <f>data!C688</f>
        <v>CDV019003</v>
      </c>
      <c r="E412" s="1" t="str">
        <f>data!D412</f>
        <v>AOP CAIRANNE CDR VILLAGES DME BOISSON</v>
      </c>
      <c r="F412" s="14">
        <f>SUMIFS(data!G:G,data!A:A,TABLEAU!B412,data!C:C,TABLEAU!D412,data!F:F,YEAR(Feuil1!$D$1))</f>
        <v>0</v>
      </c>
      <c r="G412" s="9">
        <f>SUMIFS(data!G:G,data!A:A,TABLEAU!B412,data!C:C,TABLEAU!D412,data!F:F,YEAR(Feuil1!$D$2))</f>
        <v>0</v>
      </c>
      <c r="H412" s="9">
        <f t="shared" si="24"/>
        <v>0</v>
      </c>
      <c r="I412" s="12" t="str">
        <f t="shared" si="25"/>
        <v/>
      </c>
      <c r="J412" s="13">
        <f>SUMIFS(data!E:E,data!A:A,TABLEAU!B412,data!C:C,TABLEAU!D412,data!F:F,YEAR(Feuil1!$D$1))</f>
        <v>0</v>
      </c>
      <c r="K412" s="13">
        <f>SUMIFS(data!E:E,data!A:A,TABLEAU!B412,data!C:C,TABLEAU!D412,data!F:F,YEAR(Feuil1!$D$2))</f>
        <v>78</v>
      </c>
      <c r="L412" s="13">
        <f t="shared" si="26"/>
        <v>-78</v>
      </c>
      <c r="M412" s="12">
        <f t="shared" si="27"/>
        <v>-1</v>
      </c>
    </row>
    <row r="413" spans="1:13" x14ac:dyDescent="0.25">
      <c r="A413" s="17" t="str">
        <f>data!H689</f>
        <v>VINICOM</v>
      </c>
      <c r="B413" s="15" t="str">
        <f>data!A689</f>
        <v>025</v>
      </c>
      <c r="C413" s="1" t="str">
        <f>data!B689</f>
        <v>COLLOVRAY &amp; TERRIER</v>
      </c>
      <c r="D413" s="1" t="str">
        <f>data!C689</f>
        <v>025001</v>
      </c>
      <c r="E413" s="1" t="str">
        <f>data!D413</f>
        <v>AOP MENETOU SALON DME DE LOYE</v>
      </c>
      <c r="F413" s="14">
        <f>SUMIFS(data!G:G,data!A:A,TABLEAU!B413,data!C:C,TABLEAU!D413,data!F:F,YEAR(Feuil1!$D$1))</f>
        <v>11011.08</v>
      </c>
      <c r="G413" s="9">
        <f>SUMIFS(data!G:G,data!A:A,TABLEAU!B413,data!C:C,TABLEAU!D413,data!F:F,YEAR(Feuil1!$D$2))</f>
        <v>14451.72</v>
      </c>
      <c r="H413" s="9">
        <f t="shared" si="24"/>
        <v>-3440.6399999999994</v>
      </c>
      <c r="I413" s="12">
        <f t="shared" si="25"/>
        <v>-0.23807823567021777</v>
      </c>
      <c r="J413" s="13">
        <f>SUMIFS(data!E:E,data!A:A,TABLEAU!B413,data!C:C,TABLEAU!D413,data!F:F,YEAR(Feuil1!$D$1))</f>
        <v>1650</v>
      </c>
      <c r="K413" s="13">
        <f>SUMIFS(data!E:E,data!A:A,TABLEAU!B413,data!C:C,TABLEAU!D413,data!F:F,YEAR(Feuil1!$D$2))</f>
        <v>2190</v>
      </c>
      <c r="L413" s="13">
        <f t="shared" si="26"/>
        <v>-540</v>
      </c>
      <c r="M413" s="12">
        <f t="shared" si="27"/>
        <v>-0.24657534246575341</v>
      </c>
    </row>
    <row r="414" spans="1:13" x14ac:dyDescent="0.25">
      <c r="A414" s="17" t="str">
        <f>data!H691</f>
        <v>VINICOM</v>
      </c>
      <c r="B414" s="15" t="str">
        <f>data!A691</f>
        <v>025</v>
      </c>
      <c r="C414" s="1" t="str">
        <f>data!B691</f>
        <v>COLLOVRAY &amp; TERRIER</v>
      </c>
      <c r="D414" s="1" t="str">
        <f>data!C691</f>
        <v>025002</v>
      </c>
      <c r="E414" s="1" t="str">
        <f>data!D414</f>
        <v>AOP MENETOU SALON DME DE LOYE</v>
      </c>
      <c r="F414" s="14">
        <f>SUMIFS(data!G:G,data!A:A,TABLEAU!B414,data!C:C,TABLEAU!D414,data!F:F,YEAR(Feuil1!$D$1))</f>
        <v>94.08</v>
      </c>
      <c r="G414" s="9">
        <f>SUMIFS(data!G:G,data!A:A,TABLEAU!B414,data!C:C,TABLEAU!D414,data!F:F,YEAR(Feuil1!$D$2))</f>
        <v>76.08</v>
      </c>
      <c r="H414" s="9">
        <f t="shared" si="24"/>
        <v>18</v>
      </c>
      <c r="I414" s="12">
        <f t="shared" si="25"/>
        <v>0.23659305993690852</v>
      </c>
      <c r="J414" s="13">
        <f>SUMIFS(data!E:E,data!A:A,TABLEAU!B414,data!C:C,TABLEAU!D414,data!F:F,YEAR(Feuil1!$D$1))</f>
        <v>12</v>
      </c>
      <c r="K414" s="13">
        <f>SUMIFS(data!E:E,data!A:A,TABLEAU!B414,data!C:C,TABLEAU!D414,data!F:F,YEAR(Feuil1!$D$2))</f>
        <v>12</v>
      </c>
      <c r="L414" s="13">
        <f t="shared" si="26"/>
        <v>0</v>
      </c>
      <c r="M414" s="12">
        <f t="shared" si="27"/>
        <v>0</v>
      </c>
    </row>
    <row r="415" spans="1:13" x14ac:dyDescent="0.25">
      <c r="A415" s="17" t="str">
        <f>data!H693</f>
        <v>VINICOM</v>
      </c>
      <c r="B415" s="15" t="str">
        <f>data!A693</f>
        <v>025</v>
      </c>
      <c r="C415" s="1" t="str">
        <f>data!B693</f>
        <v>COLLOVRAY &amp; TERRIER</v>
      </c>
      <c r="D415" s="1" t="str">
        <f>data!C693</f>
        <v>025003</v>
      </c>
      <c r="E415" s="1" t="str">
        <f>data!D415</f>
        <v>AOP RIESLING DME GOCKER</v>
      </c>
      <c r="F415" s="14">
        <f>SUMIFS(data!G:G,data!A:A,TABLEAU!B415,data!C:C,TABLEAU!D415,data!F:F,YEAR(Feuil1!$D$1))</f>
        <v>1652.4</v>
      </c>
      <c r="G415" s="9">
        <f>SUMIFS(data!G:G,data!A:A,TABLEAU!B415,data!C:C,TABLEAU!D415,data!F:F,YEAR(Feuil1!$D$2))</f>
        <v>1721.52</v>
      </c>
      <c r="H415" s="9">
        <f t="shared" si="24"/>
        <v>-69.119999999999891</v>
      </c>
      <c r="I415" s="12">
        <f t="shared" si="25"/>
        <v>-4.0150564617314866E-2</v>
      </c>
      <c r="J415" s="13">
        <f>SUMIFS(data!E:E,data!A:A,TABLEAU!B415,data!C:C,TABLEAU!D415,data!F:F,YEAR(Feuil1!$D$1))</f>
        <v>222</v>
      </c>
      <c r="K415" s="13">
        <f>SUMIFS(data!E:E,data!A:A,TABLEAU!B415,data!C:C,TABLEAU!D415,data!F:F,YEAR(Feuil1!$D$2))</f>
        <v>236</v>
      </c>
      <c r="L415" s="13">
        <f t="shared" si="26"/>
        <v>-14</v>
      </c>
      <c r="M415" s="12">
        <f t="shared" si="27"/>
        <v>-5.9322033898305086E-2</v>
      </c>
    </row>
    <row r="416" spans="1:13" x14ac:dyDescent="0.25">
      <c r="A416" s="17" t="str">
        <f>data!H695</f>
        <v>VINICOM</v>
      </c>
      <c r="B416" s="15" t="str">
        <f>data!A695</f>
        <v>025</v>
      </c>
      <c r="C416" s="1" t="str">
        <f>data!B695</f>
        <v>COLLOVRAY &amp; TERRIER</v>
      </c>
      <c r="D416" s="1" t="str">
        <f>data!C695</f>
        <v>025010</v>
      </c>
      <c r="E416" s="1" t="str">
        <f>data!D416</f>
        <v>AOP PINOT GRIS DME GOCKER</v>
      </c>
      <c r="F416" s="14">
        <f>SUMIFS(data!G:G,data!A:A,TABLEAU!B416,data!C:C,TABLEAU!D416,data!F:F,YEAR(Feuil1!$D$1))</f>
        <v>6176.25</v>
      </c>
      <c r="G416" s="9">
        <f>SUMIFS(data!G:G,data!A:A,TABLEAU!B416,data!C:C,TABLEAU!D416,data!F:F,YEAR(Feuil1!$D$2))</f>
        <v>6403.8</v>
      </c>
      <c r="H416" s="9">
        <f t="shared" si="24"/>
        <v>-227.55000000000018</v>
      </c>
      <c r="I416" s="12">
        <f t="shared" si="25"/>
        <v>-3.5533589431275207E-2</v>
      </c>
      <c r="J416" s="13">
        <f>SUMIFS(data!E:E,data!A:A,TABLEAU!B416,data!C:C,TABLEAU!D416,data!F:F,YEAR(Feuil1!$D$1))</f>
        <v>1158</v>
      </c>
      <c r="K416" s="13">
        <f>SUMIFS(data!E:E,data!A:A,TABLEAU!B416,data!C:C,TABLEAU!D416,data!F:F,YEAR(Feuil1!$D$2))</f>
        <v>1200</v>
      </c>
      <c r="L416" s="13">
        <f t="shared" si="26"/>
        <v>-42</v>
      </c>
      <c r="M416" s="12">
        <f t="shared" si="27"/>
        <v>-3.5000000000000003E-2</v>
      </c>
    </row>
    <row r="417" spans="1:13" x14ac:dyDescent="0.25">
      <c r="A417" s="17" t="str">
        <f>data!H697</f>
        <v>VINICOM</v>
      </c>
      <c r="B417" s="15" t="str">
        <f>data!A697</f>
        <v>025</v>
      </c>
      <c r="C417" s="1" t="str">
        <f>data!B697</f>
        <v>COLLOVRAY &amp; TERRIER</v>
      </c>
      <c r="D417" s="1" t="str">
        <f>data!C697</f>
        <v>025011</v>
      </c>
      <c r="E417" s="1" t="str">
        <f>data!D417</f>
        <v>AOP GEWURZTRAMINER DME GOCKER</v>
      </c>
      <c r="F417" s="14">
        <f>SUMIFS(data!G:G,data!A:A,TABLEAU!B417,data!C:C,TABLEAU!D417,data!F:F,YEAR(Feuil1!$D$1))</f>
        <v>76.08</v>
      </c>
      <c r="G417" s="9">
        <f>SUMIFS(data!G:G,data!A:A,TABLEAU!B417,data!C:C,TABLEAU!D417,data!F:F,YEAR(Feuil1!$D$2))</f>
        <v>0</v>
      </c>
      <c r="H417" s="9">
        <f t="shared" si="24"/>
        <v>76.08</v>
      </c>
      <c r="I417" s="12" t="str">
        <f t="shared" si="25"/>
        <v/>
      </c>
      <c r="J417" s="13">
        <f>SUMIFS(data!E:E,data!A:A,TABLEAU!B417,data!C:C,TABLEAU!D417,data!F:F,YEAR(Feuil1!$D$1))</f>
        <v>12</v>
      </c>
      <c r="K417" s="13">
        <f>SUMIFS(data!E:E,data!A:A,TABLEAU!B417,data!C:C,TABLEAU!D417,data!F:F,YEAR(Feuil1!$D$2))</f>
        <v>0</v>
      </c>
      <c r="L417" s="13">
        <f t="shared" si="26"/>
        <v>12</v>
      </c>
      <c r="M417" s="12" t="str">
        <f t="shared" si="27"/>
        <v/>
      </c>
    </row>
    <row r="418" spans="1:13" x14ac:dyDescent="0.25">
      <c r="A418" s="17" t="str">
        <f>data!H698</f>
        <v>VINICOM</v>
      </c>
      <c r="B418" s="15" t="str">
        <f>data!A698</f>
        <v>025</v>
      </c>
      <c r="C418" s="1" t="str">
        <f>data!B698</f>
        <v>COLLOVRAY &amp; TERRIER</v>
      </c>
      <c r="D418" s="1" t="str">
        <f>data!C698</f>
        <v>025013</v>
      </c>
      <c r="E418" s="1" t="str">
        <f>data!D418</f>
        <v>CAVA BRUT METODO TRADICIONAL CAVA LA LAIA NURIA</v>
      </c>
      <c r="F418" s="14">
        <f>SUMIFS(data!G:G,data!A:A,TABLEAU!B418,data!C:C,TABLEAU!D418,data!F:F,YEAR(Feuil1!$D$1))</f>
        <v>3026.4</v>
      </c>
      <c r="G418" s="9">
        <f>SUMIFS(data!G:G,data!A:A,TABLEAU!B418,data!C:C,TABLEAU!D418,data!F:F,YEAR(Feuil1!$D$2))</f>
        <v>2595.96</v>
      </c>
      <c r="H418" s="9">
        <f t="shared" si="24"/>
        <v>430.44000000000005</v>
      </c>
      <c r="I418" s="12">
        <f t="shared" si="25"/>
        <v>0.16581149170249157</v>
      </c>
      <c r="J418" s="13">
        <f>SUMIFS(data!E:E,data!A:A,TABLEAU!B418,data!C:C,TABLEAU!D418,data!F:F,YEAR(Feuil1!$D$1))</f>
        <v>642</v>
      </c>
      <c r="K418" s="13">
        <f>SUMIFS(data!E:E,data!A:A,TABLEAU!B418,data!C:C,TABLEAU!D418,data!F:F,YEAR(Feuil1!$D$2))</f>
        <v>552</v>
      </c>
      <c r="L418" s="13">
        <f t="shared" si="26"/>
        <v>90</v>
      </c>
      <c r="M418" s="12">
        <f t="shared" si="27"/>
        <v>0.16304347826086957</v>
      </c>
    </row>
    <row r="419" spans="1:13" x14ac:dyDescent="0.25">
      <c r="A419" s="17" t="str">
        <f>data!H700</f>
        <v>VINICOM</v>
      </c>
      <c r="B419" s="15" t="str">
        <f>data!A700</f>
        <v>025</v>
      </c>
      <c r="C419" s="1" t="str">
        <f>data!B700</f>
        <v>COLLOVRAY &amp; TERRIER</v>
      </c>
      <c r="D419" s="1" t="str">
        <f>data!C700</f>
        <v>025015</v>
      </c>
      <c r="E419" s="1" t="str">
        <f>data!D419</f>
        <v>AC POMEROL BEAU SOLEIL</v>
      </c>
      <c r="F419" s="14">
        <f>SUMIFS(data!G:G,data!A:A,TABLEAU!B419,data!C:C,TABLEAU!D419,data!F:F,YEAR(Feuil1!$D$1))</f>
        <v>7079.06</v>
      </c>
      <c r="G419" s="9">
        <f>SUMIFS(data!G:G,data!A:A,TABLEAU!B419,data!C:C,TABLEAU!D419,data!F:F,YEAR(Feuil1!$D$2))</f>
        <v>4132.62</v>
      </c>
      <c r="H419" s="9">
        <f t="shared" si="24"/>
        <v>2946.4400000000005</v>
      </c>
      <c r="I419" s="12">
        <f t="shared" si="25"/>
        <v>0.71297143216651915</v>
      </c>
      <c r="J419" s="13">
        <f>SUMIFS(data!E:E,data!A:A,TABLEAU!B419,data!C:C,TABLEAU!D419,data!F:F,YEAR(Feuil1!$D$1))</f>
        <v>1962</v>
      </c>
      <c r="K419" s="13">
        <f>SUMIFS(data!E:E,data!A:A,TABLEAU!B419,data!C:C,TABLEAU!D419,data!F:F,YEAR(Feuil1!$D$2))</f>
        <v>1116</v>
      </c>
      <c r="L419" s="13">
        <f t="shared" si="26"/>
        <v>846</v>
      </c>
      <c r="M419" s="12">
        <f t="shared" si="27"/>
        <v>0.75806451612903225</v>
      </c>
    </row>
    <row r="420" spans="1:13" x14ac:dyDescent="0.25">
      <c r="A420" s="17" t="str">
        <f>data!H702</f>
        <v>VINICOM</v>
      </c>
      <c r="B420" s="15" t="str">
        <f>data!A702</f>
        <v>025</v>
      </c>
      <c r="C420" s="1" t="str">
        <f>data!B702</f>
        <v>COLLOVRAY &amp; TERRIER</v>
      </c>
      <c r="D420" s="1" t="str">
        <f>data!C702</f>
        <v>025016</v>
      </c>
      <c r="E420" s="1" t="str">
        <f>data!D420</f>
        <v>AC POMEROL BEAU SOLEIL</v>
      </c>
      <c r="F420" s="14">
        <f>SUMIFS(data!G:G,data!A:A,TABLEAU!B420,data!C:C,TABLEAU!D420,data!F:F,YEAR(Feuil1!$D$1))</f>
        <v>495.72</v>
      </c>
      <c r="G420" s="9">
        <f>SUMIFS(data!G:G,data!A:A,TABLEAU!B420,data!C:C,TABLEAU!D420,data!F:F,YEAR(Feuil1!$D$2))</f>
        <v>291.60000000000002</v>
      </c>
      <c r="H420" s="9">
        <f t="shared" si="24"/>
        <v>204.12</v>
      </c>
      <c r="I420" s="12">
        <f t="shared" si="25"/>
        <v>0.7</v>
      </c>
      <c r="J420" s="13">
        <f>SUMIFS(data!E:E,data!A:A,TABLEAU!B420,data!C:C,TABLEAU!D420,data!F:F,YEAR(Feuil1!$D$1))</f>
        <v>216</v>
      </c>
      <c r="K420" s="13">
        <f>SUMIFS(data!E:E,data!A:A,TABLEAU!B420,data!C:C,TABLEAU!D420,data!F:F,YEAR(Feuil1!$D$2))</f>
        <v>120</v>
      </c>
      <c r="L420" s="13">
        <f t="shared" si="26"/>
        <v>96</v>
      </c>
      <c r="M420" s="12">
        <f t="shared" si="27"/>
        <v>0.8</v>
      </c>
    </row>
    <row r="421" spans="1:13" x14ac:dyDescent="0.25">
      <c r="A421" s="17" t="str">
        <f>data!H704</f>
        <v>VINICOM</v>
      </c>
      <c r="B421" s="15" t="str">
        <f>data!A704</f>
        <v>025</v>
      </c>
      <c r="C421" s="1" t="str">
        <f>data!B704</f>
        <v>COLLOVRAY &amp; TERRIER</v>
      </c>
      <c r="D421" s="1" t="str">
        <f>data!C704</f>
        <v>025021</v>
      </c>
      <c r="E421" s="1" t="str">
        <f>data!D421</f>
        <v>AC POMEROL BEAU SOLEIL</v>
      </c>
      <c r="F421" s="14">
        <f>SUMIFS(data!G:G,data!A:A,TABLEAU!B421,data!C:C,TABLEAU!D421,data!F:F,YEAR(Feuil1!$D$1))</f>
        <v>9223.4</v>
      </c>
      <c r="G421" s="9">
        <f>SUMIFS(data!G:G,data!A:A,TABLEAU!B421,data!C:C,TABLEAU!D421,data!F:F,YEAR(Feuil1!$D$2))</f>
        <v>10841.04</v>
      </c>
      <c r="H421" s="9">
        <f t="shared" si="24"/>
        <v>-1617.6400000000012</v>
      </c>
      <c r="I421" s="12">
        <f t="shared" si="25"/>
        <v>-0.14921446650874834</v>
      </c>
      <c r="J421" s="13">
        <f>SUMIFS(data!E:E,data!A:A,TABLEAU!B421,data!C:C,TABLEAU!D421,data!F:F,YEAR(Feuil1!$D$1))</f>
        <v>882</v>
      </c>
      <c r="K421" s="13">
        <f>SUMIFS(data!E:E,data!A:A,TABLEAU!B421,data!C:C,TABLEAU!D421,data!F:F,YEAR(Feuil1!$D$2))</f>
        <v>1032</v>
      </c>
      <c r="L421" s="13">
        <f t="shared" si="26"/>
        <v>-150</v>
      </c>
      <c r="M421" s="12">
        <f t="shared" si="27"/>
        <v>-0.14534883720930233</v>
      </c>
    </row>
    <row r="422" spans="1:13" x14ac:dyDescent="0.25">
      <c r="A422" s="17" t="str">
        <f>data!H706</f>
        <v>VINICOM</v>
      </c>
      <c r="B422" s="15" t="str">
        <f>data!A706</f>
        <v>025</v>
      </c>
      <c r="C422" s="1" t="str">
        <f>data!B706</f>
        <v>COLLOVRAY &amp; TERRIER</v>
      </c>
      <c r="D422" s="1" t="str">
        <f>data!C706</f>
        <v>025026</v>
      </c>
      <c r="E422" s="1" t="str">
        <f>data!D422</f>
        <v>AC FAUGERES HAUT LIGNIERES</v>
      </c>
      <c r="F422" s="14">
        <f>SUMIFS(data!G:G,data!A:A,TABLEAU!B422,data!C:C,TABLEAU!D422,data!F:F,YEAR(Feuil1!$D$1))</f>
        <v>27270.32</v>
      </c>
      <c r="G422" s="9">
        <f>SUMIFS(data!G:G,data!A:A,TABLEAU!B422,data!C:C,TABLEAU!D422,data!F:F,YEAR(Feuil1!$D$2))</f>
        <v>27064.799999999999</v>
      </c>
      <c r="H422" s="9">
        <f t="shared" si="24"/>
        <v>205.52000000000044</v>
      </c>
      <c r="I422" s="12">
        <f t="shared" si="25"/>
        <v>7.593627146699789E-3</v>
      </c>
      <c r="J422" s="13">
        <f>SUMIFS(data!E:E,data!A:A,TABLEAU!B422,data!C:C,TABLEAU!D422,data!F:F,YEAR(Feuil1!$D$1))</f>
        <v>9552</v>
      </c>
      <c r="K422" s="13">
        <f>SUMIFS(data!E:E,data!A:A,TABLEAU!B422,data!C:C,TABLEAU!D422,data!F:F,YEAR(Feuil1!$D$2))</f>
        <v>9366</v>
      </c>
      <c r="L422" s="13">
        <f t="shared" si="26"/>
        <v>186</v>
      </c>
      <c r="M422" s="12">
        <f t="shared" si="27"/>
        <v>1.9859064702114029E-2</v>
      </c>
    </row>
    <row r="423" spans="1:13" x14ac:dyDescent="0.25">
      <c r="A423" s="17" t="str">
        <f>data!H708</f>
        <v>VINICOM</v>
      </c>
      <c r="B423" s="15" t="str">
        <f>data!A708</f>
        <v>025</v>
      </c>
      <c r="C423" s="1" t="str">
        <f>data!B708</f>
        <v>COLLOVRAY &amp; TERRIER</v>
      </c>
      <c r="D423" s="1" t="str">
        <f>data!C708</f>
        <v>025029</v>
      </c>
      <c r="E423" s="1" t="str">
        <f>data!D423</f>
        <v>AC FAUGERES HAUT LIGNIERES</v>
      </c>
      <c r="F423" s="14">
        <f>SUMIFS(data!G:G,data!A:A,TABLEAU!B423,data!C:C,TABLEAU!D423,data!F:F,YEAR(Feuil1!$D$1))</f>
        <v>0</v>
      </c>
      <c r="G423" s="9">
        <f>SUMIFS(data!G:G,data!A:A,TABLEAU!B423,data!C:C,TABLEAU!D423,data!F:F,YEAR(Feuil1!$D$2))</f>
        <v>3366</v>
      </c>
      <c r="H423" s="9">
        <f t="shared" si="24"/>
        <v>-3366</v>
      </c>
      <c r="I423" s="12">
        <f t="shared" si="25"/>
        <v>-1</v>
      </c>
      <c r="J423" s="13">
        <f>SUMIFS(data!E:E,data!A:A,TABLEAU!B423,data!C:C,TABLEAU!D423,data!F:F,YEAR(Feuil1!$D$1))</f>
        <v>0</v>
      </c>
      <c r="K423" s="13">
        <f>SUMIFS(data!E:E,data!A:A,TABLEAU!B423,data!C:C,TABLEAU!D423,data!F:F,YEAR(Feuil1!$D$2))</f>
        <v>660</v>
      </c>
      <c r="L423" s="13">
        <f t="shared" si="26"/>
        <v>-660</v>
      </c>
      <c r="M423" s="12">
        <f t="shared" si="27"/>
        <v>-1</v>
      </c>
    </row>
    <row r="424" spans="1:13" x14ac:dyDescent="0.25">
      <c r="A424" s="17" t="str">
        <f>data!H709</f>
        <v>VINICOM</v>
      </c>
      <c r="B424" s="15" t="str">
        <f>data!A709</f>
        <v>025</v>
      </c>
      <c r="C424" s="1" t="str">
        <f>data!B709</f>
        <v>COLLOVRAY &amp; TERRIER</v>
      </c>
      <c r="D424" s="1" t="str">
        <f>data!C709</f>
        <v>025031</v>
      </c>
      <c r="E424" s="1" t="str">
        <f>data!D424</f>
        <v>IGP COTES DE GASCOGNE COMTE DE GASCOGNE</v>
      </c>
      <c r="F424" s="14">
        <f>SUMIFS(data!G:G,data!A:A,TABLEAU!B424,data!C:C,TABLEAU!D424,data!F:F,YEAR(Feuil1!$D$1))</f>
        <v>5591.25</v>
      </c>
      <c r="G424" s="9">
        <f>SUMIFS(data!G:G,data!A:A,TABLEAU!B424,data!C:C,TABLEAU!D424,data!F:F,YEAR(Feuil1!$D$2))</f>
        <v>5596.92</v>
      </c>
      <c r="H424" s="9">
        <f t="shared" si="24"/>
        <v>-5.6700000000000728</v>
      </c>
      <c r="I424" s="12">
        <f t="shared" si="25"/>
        <v>-1.0130571814498104E-3</v>
      </c>
      <c r="J424" s="13">
        <f>SUMIFS(data!E:E,data!A:A,TABLEAU!B424,data!C:C,TABLEAU!D424,data!F:F,YEAR(Feuil1!$D$1))</f>
        <v>1038</v>
      </c>
      <c r="K424" s="13">
        <f>SUMIFS(data!E:E,data!A:A,TABLEAU!B424,data!C:C,TABLEAU!D424,data!F:F,YEAR(Feuil1!$D$2))</f>
        <v>1020</v>
      </c>
      <c r="L424" s="13">
        <f t="shared" si="26"/>
        <v>18</v>
      </c>
      <c r="M424" s="12">
        <f t="shared" si="27"/>
        <v>1.7647058823529412E-2</v>
      </c>
    </row>
    <row r="425" spans="1:13" x14ac:dyDescent="0.25">
      <c r="A425" s="17" t="str">
        <f>data!H711</f>
        <v>VINICOM</v>
      </c>
      <c r="B425" s="15" t="str">
        <f>data!A711</f>
        <v>025</v>
      </c>
      <c r="C425" s="1" t="str">
        <f>data!B711</f>
        <v>COLLOVRAY &amp; TERRIER</v>
      </c>
      <c r="D425" s="1" t="str">
        <f>data!C711</f>
        <v>025033</v>
      </c>
      <c r="E425" s="1" t="str">
        <f>data!D425</f>
        <v>IGP COTES DE GASCOGNE COMTE DE GASCOGNE</v>
      </c>
      <c r="F425" s="14">
        <f>SUMIFS(data!G:G,data!A:A,TABLEAU!B425,data!C:C,TABLEAU!D425,data!F:F,YEAR(Feuil1!$D$1))</f>
        <v>2492.2800000000002</v>
      </c>
      <c r="G425" s="9">
        <f>SUMIFS(data!G:G,data!A:A,TABLEAU!B425,data!C:C,TABLEAU!D425,data!F:F,YEAR(Feuil1!$D$2))</f>
        <v>3558</v>
      </c>
      <c r="H425" s="9">
        <f t="shared" si="24"/>
        <v>-1065.7199999999998</v>
      </c>
      <c r="I425" s="12">
        <f t="shared" si="25"/>
        <v>-0.29952782462057331</v>
      </c>
      <c r="J425" s="13">
        <f>SUMIFS(data!E:E,data!A:A,TABLEAU!B425,data!C:C,TABLEAU!D425,data!F:F,YEAR(Feuil1!$D$1))</f>
        <v>642</v>
      </c>
      <c r="K425" s="13">
        <f>SUMIFS(data!E:E,data!A:A,TABLEAU!B425,data!C:C,TABLEAU!D425,data!F:F,YEAR(Feuil1!$D$2))</f>
        <v>864</v>
      </c>
      <c r="L425" s="13">
        <f t="shared" si="26"/>
        <v>-222</v>
      </c>
      <c r="M425" s="12">
        <f t="shared" si="27"/>
        <v>-0.25694444444444442</v>
      </c>
    </row>
    <row r="426" spans="1:13" x14ac:dyDescent="0.25">
      <c r="A426" s="17" t="str">
        <f>data!H713</f>
        <v>VINICOM</v>
      </c>
      <c r="B426" s="15" t="str">
        <f>data!A713</f>
        <v>025</v>
      </c>
      <c r="C426" s="1" t="str">
        <f>data!B713</f>
        <v>COLLOVRAY &amp; TERRIER</v>
      </c>
      <c r="D426" s="1" t="str">
        <f>data!C713</f>
        <v>025037</v>
      </c>
      <c r="E426" s="1" t="str">
        <f>data!D426</f>
        <v>Colombard Sauvignon IGP COTES DE GASCOGNE COMTE DE</v>
      </c>
      <c r="F426" s="14">
        <f>SUMIFS(data!G:G,data!A:A,TABLEAU!B426,data!C:C,TABLEAU!D426,data!F:F,YEAR(Feuil1!$D$1))</f>
        <v>1680</v>
      </c>
      <c r="G426" s="9">
        <f>SUMIFS(data!G:G,data!A:A,TABLEAU!B426,data!C:C,TABLEAU!D426,data!F:F,YEAR(Feuil1!$D$2))</f>
        <v>2808</v>
      </c>
      <c r="H426" s="9">
        <f t="shared" si="24"/>
        <v>-1128</v>
      </c>
      <c r="I426" s="12">
        <f t="shared" si="25"/>
        <v>-0.40170940170940173</v>
      </c>
      <c r="J426" s="13">
        <f>SUMIFS(data!E:E,data!A:A,TABLEAU!B426,data!C:C,TABLEAU!D426,data!F:F,YEAR(Feuil1!$D$1))</f>
        <v>840</v>
      </c>
      <c r="K426" s="13">
        <f>SUMIFS(data!E:E,data!A:A,TABLEAU!B426,data!C:C,TABLEAU!D426,data!F:F,YEAR(Feuil1!$D$2))</f>
        <v>1404</v>
      </c>
      <c r="L426" s="13">
        <f t="shared" si="26"/>
        <v>-564</v>
      </c>
      <c r="M426" s="12">
        <f t="shared" si="27"/>
        <v>-0.40170940170940173</v>
      </c>
    </row>
    <row r="427" spans="1:13" x14ac:dyDescent="0.25">
      <c r="A427" s="17" t="str">
        <f>data!H715</f>
        <v>VINICOM</v>
      </c>
      <c r="B427" s="15" t="str">
        <f>data!A715</f>
        <v>025</v>
      </c>
      <c r="C427" s="1" t="str">
        <f>data!B715</f>
        <v>COLLOVRAY &amp; TERRIER</v>
      </c>
      <c r="D427" s="1" t="str">
        <f>data!C715</f>
        <v>025038</v>
      </c>
      <c r="E427" s="1" t="str">
        <f>data!D427</f>
        <v>Colombard Sauvignon IGP COTES DE GASCOGNE COMTE DE</v>
      </c>
      <c r="F427" s="14">
        <f>SUMIFS(data!G:G,data!A:A,TABLEAU!B427,data!C:C,TABLEAU!D427,data!F:F,YEAR(Feuil1!$D$1))</f>
        <v>0</v>
      </c>
      <c r="G427" s="9">
        <f>SUMIFS(data!G:G,data!A:A,TABLEAU!B427,data!C:C,TABLEAU!D427,data!F:F,YEAR(Feuil1!$D$2))</f>
        <v>1746.48</v>
      </c>
      <c r="H427" s="9">
        <f t="shared" si="24"/>
        <v>-1746.48</v>
      </c>
      <c r="I427" s="12">
        <f t="shared" si="25"/>
        <v>-1</v>
      </c>
      <c r="J427" s="13">
        <f>SUMIFS(data!E:E,data!A:A,TABLEAU!B427,data!C:C,TABLEAU!D427,data!F:F,YEAR(Feuil1!$D$1))</f>
        <v>0</v>
      </c>
      <c r="K427" s="13">
        <f>SUMIFS(data!E:E,data!A:A,TABLEAU!B427,data!C:C,TABLEAU!D427,data!F:F,YEAR(Feuil1!$D$2))</f>
        <v>462</v>
      </c>
      <c r="L427" s="13">
        <f t="shared" si="26"/>
        <v>-462</v>
      </c>
      <c r="M427" s="12">
        <f t="shared" si="27"/>
        <v>-1</v>
      </c>
    </row>
    <row r="428" spans="1:13" x14ac:dyDescent="0.25">
      <c r="A428" s="17" t="str">
        <f>data!H716</f>
        <v>VINICOM</v>
      </c>
      <c r="B428" s="15" t="str">
        <f>data!A716</f>
        <v>025</v>
      </c>
      <c r="C428" s="1" t="str">
        <f>data!B716</f>
        <v>COLLOVRAY &amp; TERRIER</v>
      </c>
      <c r="D428" s="1" t="str">
        <f>data!C716</f>
        <v>CDV025041</v>
      </c>
      <c r="E428" s="1" t="str">
        <f>data!D428</f>
        <v>Gros Manseng IGP COTES DE GASCOGNE COMTE DE GASCOG</v>
      </c>
      <c r="F428" s="14">
        <f>SUMIFS(data!G:G,data!A:A,TABLEAU!B428,data!C:C,TABLEAU!D428,data!F:F,YEAR(Feuil1!$D$1))</f>
        <v>0</v>
      </c>
      <c r="G428" s="9">
        <f>SUMIFS(data!G:G,data!A:A,TABLEAU!B428,data!C:C,TABLEAU!D428,data!F:F,YEAR(Feuil1!$D$2))</f>
        <v>105.6</v>
      </c>
      <c r="H428" s="9">
        <f t="shared" si="24"/>
        <v>-105.6</v>
      </c>
      <c r="I428" s="12">
        <f t="shared" si="25"/>
        <v>-1</v>
      </c>
      <c r="J428" s="13">
        <f>SUMIFS(data!E:E,data!A:A,TABLEAU!B428,data!C:C,TABLEAU!D428,data!F:F,YEAR(Feuil1!$D$1))</f>
        <v>0</v>
      </c>
      <c r="K428" s="13">
        <f>SUMIFS(data!E:E,data!A:A,TABLEAU!B428,data!C:C,TABLEAU!D428,data!F:F,YEAR(Feuil1!$D$2))</f>
        <v>12</v>
      </c>
      <c r="L428" s="13">
        <f t="shared" si="26"/>
        <v>-12</v>
      </c>
      <c r="M428" s="12">
        <f t="shared" si="27"/>
        <v>-1</v>
      </c>
    </row>
    <row r="429" spans="1:13" x14ac:dyDescent="0.25">
      <c r="A429" s="17" t="str">
        <f>data!H717</f>
        <v>VINICOM</v>
      </c>
      <c r="B429" s="15" t="str">
        <f>data!A717</f>
        <v>026</v>
      </c>
      <c r="C429" s="1" t="str">
        <f>data!B717</f>
        <v>UNION SIGNE VIGNERONS</v>
      </c>
      <c r="D429" s="1" t="str">
        <f>data!C717</f>
        <v>026009</v>
      </c>
      <c r="E429" s="1" t="str">
        <f>data!D429</f>
        <v>Gros Manseng IGP COTES DE GASCOGNE COMTE DE GASCOG</v>
      </c>
      <c r="F429" s="14">
        <f>SUMIFS(data!G:G,data!A:A,TABLEAU!B429,data!C:C,TABLEAU!D429,data!F:F,YEAR(Feuil1!$D$1))</f>
        <v>0</v>
      </c>
      <c r="G429" s="9">
        <f>SUMIFS(data!G:G,data!A:A,TABLEAU!B429,data!C:C,TABLEAU!D429,data!F:F,YEAR(Feuil1!$D$2))</f>
        <v>1734.6</v>
      </c>
      <c r="H429" s="9">
        <f t="shared" si="24"/>
        <v>-1734.6</v>
      </c>
      <c r="I429" s="12">
        <f t="shared" si="25"/>
        <v>-1</v>
      </c>
      <c r="J429" s="13">
        <f>SUMIFS(data!E:E,data!A:A,TABLEAU!B429,data!C:C,TABLEAU!D429,data!F:F,YEAR(Feuil1!$D$1))</f>
        <v>0</v>
      </c>
      <c r="K429" s="13">
        <f>SUMIFS(data!E:E,data!A:A,TABLEAU!B429,data!C:C,TABLEAU!D429,data!F:F,YEAR(Feuil1!$D$2))</f>
        <v>588</v>
      </c>
      <c r="L429" s="13">
        <f t="shared" si="26"/>
        <v>-588</v>
      </c>
      <c r="M429" s="12">
        <f t="shared" si="27"/>
        <v>-1</v>
      </c>
    </row>
    <row r="430" spans="1:13" x14ac:dyDescent="0.25">
      <c r="A430" s="17" t="str">
        <f>data!H718</f>
        <v>VINICOM</v>
      </c>
      <c r="B430" s="15" t="str">
        <f>data!A718</f>
        <v>026</v>
      </c>
      <c r="C430" s="1" t="str">
        <f>data!B718</f>
        <v>UNION SIGNE VIGNERONS</v>
      </c>
      <c r="D430" s="1" t="str">
        <f>data!C718</f>
        <v>026010</v>
      </c>
      <c r="E430" s="1" t="str">
        <f>data!D430</f>
        <v>Petit Manseng IGP COTES DE GASCOGNE COMTE DE GASCO</v>
      </c>
      <c r="F430" s="14">
        <f>SUMIFS(data!G:G,data!A:A,TABLEAU!B430,data!C:C,TABLEAU!D430,data!F:F,YEAR(Feuil1!$D$1))</f>
        <v>0</v>
      </c>
      <c r="G430" s="9">
        <f>SUMIFS(data!G:G,data!A:A,TABLEAU!B430,data!C:C,TABLEAU!D430,data!F:F,YEAR(Feuil1!$D$2))</f>
        <v>1426.8</v>
      </c>
      <c r="H430" s="9">
        <f t="shared" si="24"/>
        <v>-1426.8</v>
      </c>
      <c r="I430" s="12">
        <f t="shared" si="25"/>
        <v>-1</v>
      </c>
      <c r="J430" s="13">
        <f>SUMIFS(data!E:E,data!A:A,TABLEAU!B430,data!C:C,TABLEAU!D430,data!F:F,YEAR(Feuil1!$D$1))</f>
        <v>0</v>
      </c>
      <c r="K430" s="13">
        <f>SUMIFS(data!E:E,data!A:A,TABLEAU!B430,data!C:C,TABLEAU!D430,data!F:F,YEAR(Feuil1!$D$2))</f>
        <v>348</v>
      </c>
      <c r="L430" s="13">
        <f t="shared" si="26"/>
        <v>-348</v>
      </c>
      <c r="M430" s="12">
        <f t="shared" si="27"/>
        <v>-1</v>
      </c>
    </row>
    <row r="431" spans="1:13" x14ac:dyDescent="0.25">
      <c r="A431" s="17" t="str">
        <f>data!H719</f>
        <v>VINICOM</v>
      </c>
      <c r="B431" s="15" t="str">
        <f>data!A719</f>
        <v>026</v>
      </c>
      <c r="C431" s="1" t="str">
        <f>data!B719</f>
        <v>UNION SIGNE VIGNERONS</v>
      </c>
      <c r="D431" s="1" t="str">
        <f>data!C719</f>
        <v>026011</v>
      </c>
      <c r="E431" s="1" t="str">
        <f>data!D431</f>
        <v>Petit Manseng IGP COTES DE GASCOGNE COMTE DE GASCO</v>
      </c>
      <c r="F431" s="14">
        <f>SUMIFS(data!G:G,data!A:A,TABLEAU!B431,data!C:C,TABLEAU!D431,data!F:F,YEAR(Feuil1!$D$1))</f>
        <v>0</v>
      </c>
      <c r="G431" s="9">
        <f>SUMIFS(data!G:G,data!A:A,TABLEAU!B431,data!C:C,TABLEAU!D431,data!F:F,YEAR(Feuil1!$D$2))</f>
        <v>2219.4</v>
      </c>
      <c r="H431" s="9">
        <f t="shared" si="24"/>
        <v>-2219.4</v>
      </c>
      <c r="I431" s="12">
        <f t="shared" si="25"/>
        <v>-1</v>
      </c>
      <c r="J431" s="13">
        <f>SUMIFS(data!E:E,data!A:A,TABLEAU!B431,data!C:C,TABLEAU!D431,data!F:F,YEAR(Feuil1!$D$1))</f>
        <v>0</v>
      </c>
      <c r="K431" s="13">
        <f>SUMIFS(data!E:E,data!A:A,TABLEAU!B431,data!C:C,TABLEAU!D431,data!F:F,YEAR(Feuil1!$D$2))</f>
        <v>822</v>
      </c>
      <c r="L431" s="13">
        <f t="shared" si="26"/>
        <v>-822</v>
      </c>
      <c r="M431" s="12">
        <f t="shared" si="27"/>
        <v>-1</v>
      </c>
    </row>
    <row r="432" spans="1:13" x14ac:dyDescent="0.25">
      <c r="A432" s="17" t="str">
        <f>data!H720</f>
        <v>VINICOM</v>
      </c>
      <c r="B432" s="15" t="str">
        <f>data!A720</f>
        <v>026</v>
      </c>
      <c r="C432" s="1" t="str">
        <f>data!B720</f>
        <v>UNION SIGNE VIGNERONS</v>
      </c>
      <c r="D432" s="1" t="str">
        <f>data!C720</f>
        <v>026100</v>
      </c>
      <c r="E432" s="1" t="str">
        <f>data!D432</f>
        <v>IGP COTES DE GASCOGNE GROS MANSENG</v>
      </c>
      <c r="F432" s="14">
        <f>SUMIFS(data!G:G,data!A:A,TABLEAU!B432,data!C:C,TABLEAU!D432,data!F:F,YEAR(Feuil1!$D$1))</f>
        <v>0</v>
      </c>
      <c r="G432" s="9">
        <f>SUMIFS(data!G:G,data!A:A,TABLEAU!B432,data!C:C,TABLEAU!D432,data!F:F,YEAR(Feuil1!$D$2))</f>
        <v>669.3</v>
      </c>
      <c r="H432" s="9">
        <f t="shared" si="24"/>
        <v>-669.3</v>
      </c>
      <c r="I432" s="12">
        <f t="shared" si="25"/>
        <v>-1</v>
      </c>
      <c r="J432" s="13">
        <f>SUMIFS(data!E:E,data!A:A,TABLEAU!B432,data!C:C,TABLEAU!D432,data!F:F,YEAR(Feuil1!$D$1))</f>
        <v>0</v>
      </c>
      <c r="K432" s="13">
        <f>SUMIFS(data!E:E,data!A:A,TABLEAU!B432,data!C:C,TABLEAU!D432,data!F:F,YEAR(Feuil1!$D$2))</f>
        <v>138</v>
      </c>
      <c r="L432" s="13">
        <f t="shared" si="26"/>
        <v>-138</v>
      </c>
      <c r="M432" s="12">
        <f t="shared" si="27"/>
        <v>-1</v>
      </c>
    </row>
    <row r="433" spans="1:13" x14ac:dyDescent="0.25">
      <c r="A433" s="17" t="str">
        <f>data!H721</f>
        <v>VINICOM</v>
      </c>
      <c r="B433" s="15" t="str">
        <f>data!A721</f>
        <v>026</v>
      </c>
      <c r="C433" s="1" t="str">
        <f>data!B721</f>
        <v>UNION SIGNE VIGNERONS</v>
      </c>
      <c r="D433" s="1" t="str">
        <f>data!C721</f>
        <v>026101</v>
      </c>
      <c r="E433" s="1" t="str">
        <f>data!D433</f>
        <v>IGP COTES DE GASCOGNE GROS MANSENG</v>
      </c>
      <c r="F433" s="14">
        <f>SUMIFS(data!G:G,data!A:A,TABLEAU!B433,data!C:C,TABLEAU!D433,data!F:F,YEAR(Feuil1!$D$1))</f>
        <v>0</v>
      </c>
      <c r="G433" s="9">
        <f>SUMIFS(data!G:G,data!A:A,TABLEAU!B433,data!C:C,TABLEAU!D433,data!F:F,YEAR(Feuil1!$D$2))</f>
        <v>465.6</v>
      </c>
      <c r="H433" s="9">
        <f t="shared" si="24"/>
        <v>-465.6</v>
      </c>
      <c r="I433" s="12">
        <f t="shared" si="25"/>
        <v>-1</v>
      </c>
      <c r="J433" s="13">
        <f>SUMIFS(data!E:E,data!A:A,TABLEAU!B433,data!C:C,TABLEAU!D433,data!F:F,YEAR(Feuil1!$D$1))</f>
        <v>0</v>
      </c>
      <c r="K433" s="13">
        <f>SUMIFS(data!E:E,data!A:A,TABLEAU!B433,data!C:C,TABLEAU!D433,data!F:F,YEAR(Feuil1!$D$2))</f>
        <v>96</v>
      </c>
      <c r="L433" s="13">
        <f t="shared" si="26"/>
        <v>-96</v>
      </c>
      <c r="M433" s="12">
        <f t="shared" si="27"/>
        <v>-1</v>
      </c>
    </row>
    <row r="434" spans="1:13" x14ac:dyDescent="0.25">
      <c r="A434" s="17" t="str">
        <f>data!H722</f>
        <v>VINICOM</v>
      </c>
      <c r="B434" s="15" t="str">
        <f>data!A722</f>
        <v>026</v>
      </c>
      <c r="C434" s="1" t="str">
        <f>data!B722</f>
        <v>UNION SIGNE VIGNERONS</v>
      </c>
      <c r="D434" s="1" t="str">
        <f>data!C722</f>
        <v>026800</v>
      </c>
      <c r="E434" s="1" t="str">
        <f>data!D434</f>
        <v>IGP COTES DE GASCOGNE COMTE DE GASCOGNE</v>
      </c>
      <c r="F434" s="14">
        <f>SUMIFS(data!G:G,data!A:A,TABLEAU!B434,data!C:C,TABLEAU!D434,data!F:F,YEAR(Feuil1!$D$1))</f>
        <v>0</v>
      </c>
      <c r="G434" s="9">
        <f>SUMIFS(data!G:G,data!A:A,TABLEAU!B434,data!C:C,TABLEAU!D434,data!F:F,YEAR(Feuil1!$D$2))</f>
        <v>4607.5</v>
      </c>
      <c r="H434" s="9">
        <f t="shared" si="24"/>
        <v>-4607.5</v>
      </c>
      <c r="I434" s="12">
        <f t="shared" si="25"/>
        <v>-1</v>
      </c>
      <c r="J434" s="13">
        <f>SUMIFS(data!E:E,data!A:A,TABLEAU!B434,data!C:C,TABLEAU!D434,data!F:F,YEAR(Feuil1!$D$1))</f>
        <v>0</v>
      </c>
      <c r="K434" s="13">
        <f>SUMIFS(data!E:E,data!A:A,TABLEAU!B434,data!C:C,TABLEAU!D434,data!F:F,YEAR(Feuil1!$D$2))</f>
        <v>2586.0200000000004</v>
      </c>
      <c r="L434" s="13">
        <f t="shared" si="26"/>
        <v>-2586.0200000000004</v>
      </c>
      <c r="M434" s="12">
        <f t="shared" si="27"/>
        <v>-1</v>
      </c>
    </row>
    <row r="435" spans="1:13" x14ac:dyDescent="0.25">
      <c r="A435" s="17" t="str">
        <f>data!H723</f>
        <v>VINICOM</v>
      </c>
      <c r="B435" s="15" t="str">
        <f>data!A723</f>
        <v>026</v>
      </c>
      <c r="C435" s="1" t="str">
        <f>data!B723</f>
        <v>UNION SIGNE VIGNERONS</v>
      </c>
      <c r="D435" s="1" t="str">
        <f>data!C723</f>
        <v>026900</v>
      </c>
      <c r="E435" s="1" t="str">
        <f>data!D435</f>
        <v>IGP COTES DE GASCOGNE COMTE DE GASCOGNE</v>
      </c>
      <c r="F435" s="14">
        <f>SUMIFS(data!G:G,data!A:A,TABLEAU!B435,data!C:C,TABLEAU!D435,data!F:F,YEAR(Feuil1!$D$1))</f>
        <v>0</v>
      </c>
      <c r="G435" s="9">
        <f>SUMIFS(data!G:G,data!A:A,TABLEAU!B435,data!C:C,TABLEAU!D435,data!F:F,YEAR(Feuil1!$D$2))</f>
        <v>1663.2</v>
      </c>
      <c r="H435" s="9">
        <f t="shared" si="24"/>
        <v>-1663.2</v>
      </c>
      <c r="I435" s="12">
        <f t="shared" si="25"/>
        <v>-1</v>
      </c>
      <c r="J435" s="13">
        <f>SUMIFS(data!E:E,data!A:A,TABLEAU!B435,data!C:C,TABLEAU!D435,data!F:F,YEAR(Feuil1!$D$1))</f>
        <v>0</v>
      </c>
      <c r="K435" s="13">
        <f>SUMIFS(data!E:E,data!A:A,TABLEAU!B435,data!C:C,TABLEAU!D435,data!F:F,YEAR(Feuil1!$D$2))</f>
        <v>880.43999999999971</v>
      </c>
      <c r="L435" s="13">
        <f t="shared" si="26"/>
        <v>-880.43999999999971</v>
      </c>
      <c r="M435" s="12">
        <f t="shared" si="27"/>
        <v>-1</v>
      </c>
    </row>
    <row r="436" spans="1:13" x14ac:dyDescent="0.25">
      <c r="A436" s="17" t="str">
        <f>data!H724</f>
        <v>VINICOM</v>
      </c>
      <c r="B436" s="15" t="str">
        <f>data!A724</f>
        <v>026</v>
      </c>
      <c r="C436" s="1" t="str">
        <f>data!B724</f>
        <v>UNION SIGNE VIGNERONS</v>
      </c>
      <c r="D436" s="1" t="str">
        <f>data!C724</f>
        <v>026901</v>
      </c>
      <c r="E436" s="1" t="str">
        <f>data!D436</f>
        <v>IGP COTES DE GASCOGNE COMTE DE GASCOGNE</v>
      </c>
      <c r="F436" s="14">
        <f>SUMIFS(data!G:G,data!A:A,TABLEAU!B436,data!C:C,TABLEAU!D436,data!F:F,YEAR(Feuil1!$D$1))</f>
        <v>0</v>
      </c>
      <c r="G436" s="9">
        <f>SUMIFS(data!G:G,data!A:A,TABLEAU!B436,data!C:C,TABLEAU!D436,data!F:F,YEAR(Feuil1!$D$2))</f>
        <v>1710</v>
      </c>
      <c r="H436" s="9">
        <f t="shared" si="24"/>
        <v>-1710</v>
      </c>
      <c r="I436" s="12">
        <f t="shared" si="25"/>
        <v>-1</v>
      </c>
      <c r="J436" s="13">
        <f>SUMIFS(data!E:E,data!A:A,TABLEAU!B436,data!C:C,TABLEAU!D436,data!F:F,YEAR(Feuil1!$D$1))</f>
        <v>0</v>
      </c>
      <c r="K436" s="13">
        <f>SUMIFS(data!E:E,data!A:A,TABLEAU!B436,data!C:C,TABLEAU!D436,data!F:F,YEAR(Feuil1!$D$2))</f>
        <v>959.76</v>
      </c>
      <c r="L436" s="13">
        <f t="shared" si="26"/>
        <v>-959.76</v>
      </c>
      <c r="M436" s="12">
        <f t="shared" si="27"/>
        <v>-1</v>
      </c>
    </row>
    <row r="437" spans="1:13" x14ac:dyDescent="0.25">
      <c r="A437" s="17" t="str">
        <f>data!H725</f>
        <v>VINICOM</v>
      </c>
      <c r="B437" s="15" t="str">
        <f>data!A725</f>
        <v>026</v>
      </c>
      <c r="C437" s="1" t="str">
        <f>data!B725</f>
        <v>UNION SIGNE VIGNERONS</v>
      </c>
      <c r="D437" s="1" t="str">
        <f>data!C725</f>
        <v>026903</v>
      </c>
      <c r="E437" s="1" t="str">
        <f>data!D437</f>
        <v>IGP COTES DE GASCOGNE COMTE DE GASCOGNE</v>
      </c>
      <c r="F437" s="14">
        <f>SUMIFS(data!G:G,data!A:A,TABLEAU!B437,data!C:C,TABLEAU!D437,data!F:F,YEAR(Feuil1!$D$1))</f>
        <v>0</v>
      </c>
      <c r="G437" s="9">
        <f>SUMIFS(data!G:G,data!A:A,TABLEAU!B437,data!C:C,TABLEAU!D437,data!F:F,YEAR(Feuil1!$D$2))</f>
        <v>582</v>
      </c>
      <c r="H437" s="9">
        <f t="shared" si="24"/>
        <v>-582</v>
      </c>
      <c r="I437" s="12">
        <f t="shared" si="25"/>
        <v>-1</v>
      </c>
      <c r="J437" s="13">
        <f>SUMIFS(data!E:E,data!A:A,TABLEAU!B437,data!C:C,TABLEAU!D437,data!F:F,YEAR(Feuil1!$D$1))</f>
        <v>0</v>
      </c>
      <c r="K437" s="13">
        <f>SUMIFS(data!E:E,data!A:A,TABLEAU!B437,data!C:C,TABLEAU!D437,data!F:F,YEAR(Feuil1!$D$2))</f>
        <v>266.60000000000002</v>
      </c>
      <c r="L437" s="13">
        <f t="shared" si="26"/>
        <v>-266.60000000000002</v>
      </c>
      <c r="M437" s="12">
        <f t="shared" si="27"/>
        <v>-1</v>
      </c>
    </row>
    <row r="438" spans="1:13" x14ac:dyDescent="0.25">
      <c r="A438" s="17" t="str">
        <f>data!H726</f>
        <v>VINICOM</v>
      </c>
      <c r="B438" s="15" t="str">
        <f>data!A726</f>
        <v>028</v>
      </c>
      <c r="C438" s="1" t="str">
        <f>data!B726</f>
        <v>VIGNOBLES DUBOIS ET FILS</v>
      </c>
      <c r="D438" s="1" t="str">
        <f>data!C726</f>
        <v>028001</v>
      </c>
      <c r="E438" s="1" t="str">
        <f>data!D438</f>
        <v>AC ST CHINIAN LE COTEAU DES GRIOTTES</v>
      </c>
      <c r="F438" s="14">
        <f>SUMIFS(data!G:G,data!A:A,TABLEAU!B438,data!C:C,TABLEAU!D438,data!F:F,YEAR(Feuil1!$D$1))</f>
        <v>6591</v>
      </c>
      <c r="G438" s="9">
        <f>SUMIFS(data!G:G,data!A:A,TABLEAU!B438,data!C:C,TABLEAU!D438,data!F:F,YEAR(Feuil1!$D$2))</f>
        <v>10335</v>
      </c>
      <c r="H438" s="9">
        <f t="shared" si="24"/>
        <v>-3744</v>
      </c>
      <c r="I438" s="12">
        <f t="shared" si="25"/>
        <v>-0.3622641509433962</v>
      </c>
      <c r="J438" s="13">
        <f>SUMIFS(data!E:E,data!A:A,TABLEAU!B438,data!C:C,TABLEAU!D438,data!F:F,YEAR(Feuil1!$D$1))</f>
        <v>2076</v>
      </c>
      <c r="K438" s="13">
        <f>SUMIFS(data!E:E,data!A:A,TABLEAU!B438,data!C:C,TABLEAU!D438,data!F:F,YEAR(Feuil1!$D$2))</f>
        <v>3192</v>
      </c>
      <c r="L438" s="13">
        <f t="shared" si="26"/>
        <v>-1116</v>
      </c>
      <c r="M438" s="12">
        <f t="shared" si="27"/>
        <v>-0.34962406015037595</v>
      </c>
    </row>
    <row r="439" spans="1:13" x14ac:dyDescent="0.25">
      <c r="A439" s="17" t="str">
        <f>data!H728</f>
        <v>VINICOM</v>
      </c>
      <c r="B439" s="15" t="str">
        <f>data!A728</f>
        <v>028</v>
      </c>
      <c r="C439" s="1" t="str">
        <f>data!B728</f>
        <v>VIGNOBLES DUBOIS ET FILS</v>
      </c>
      <c r="D439" s="1" t="str">
        <f>data!C728</f>
        <v>028005</v>
      </c>
      <c r="E439" s="1" t="str">
        <f>data!D439</f>
        <v>AC ST CHINIAN LE COTEAU DES GRIOTTES</v>
      </c>
      <c r="F439" s="14">
        <f>SUMIFS(data!G:G,data!A:A,TABLEAU!B439,data!C:C,TABLEAU!D439,data!F:F,YEAR(Feuil1!$D$1))</f>
        <v>1092</v>
      </c>
      <c r="G439" s="9">
        <f>SUMIFS(data!G:G,data!A:A,TABLEAU!B439,data!C:C,TABLEAU!D439,data!F:F,YEAR(Feuil1!$D$2))</f>
        <v>1999.2</v>
      </c>
      <c r="H439" s="9">
        <f t="shared" si="24"/>
        <v>-907.2</v>
      </c>
      <c r="I439" s="12">
        <f t="shared" si="25"/>
        <v>-0.45378151260504201</v>
      </c>
      <c r="J439" s="13">
        <f>SUMIFS(data!E:E,data!A:A,TABLEAU!B439,data!C:C,TABLEAU!D439,data!F:F,YEAR(Feuil1!$D$1))</f>
        <v>396</v>
      </c>
      <c r="K439" s="13">
        <f>SUMIFS(data!E:E,data!A:A,TABLEAU!B439,data!C:C,TABLEAU!D439,data!F:F,YEAR(Feuil1!$D$2))</f>
        <v>720</v>
      </c>
      <c r="L439" s="13">
        <f t="shared" si="26"/>
        <v>-324</v>
      </c>
      <c r="M439" s="12">
        <f t="shared" si="27"/>
        <v>-0.45</v>
      </c>
    </row>
    <row r="440" spans="1:13" x14ac:dyDescent="0.25">
      <c r="A440" s="17" t="str">
        <f>data!H730</f>
        <v>VINICOM</v>
      </c>
      <c r="B440" s="15" t="str">
        <f>data!A730</f>
        <v>028</v>
      </c>
      <c r="C440" s="1" t="str">
        <f>data!B730</f>
        <v>VIGNOBLES DUBOIS ET FILS</v>
      </c>
      <c r="D440" s="1" t="str">
        <f>data!C730</f>
        <v>028006</v>
      </c>
      <c r="E440" s="1" t="str">
        <f>data!D440</f>
        <v>AC ST CHINIAN LE COTEAU DES GRIOTTES</v>
      </c>
      <c r="F440" s="14">
        <f>SUMIFS(data!G:G,data!A:A,TABLEAU!B440,data!C:C,TABLEAU!D440,data!F:F,YEAR(Feuil1!$D$1))</f>
        <v>437.4</v>
      </c>
      <c r="G440" s="9">
        <f>SUMIFS(data!G:G,data!A:A,TABLEAU!B440,data!C:C,TABLEAU!D440,data!F:F,YEAR(Feuil1!$D$2))</f>
        <v>486</v>
      </c>
      <c r="H440" s="9">
        <f t="shared" si="24"/>
        <v>-48.600000000000023</v>
      </c>
      <c r="I440" s="12">
        <f t="shared" si="25"/>
        <v>-0.10000000000000005</v>
      </c>
      <c r="J440" s="13">
        <f>SUMIFS(data!E:E,data!A:A,TABLEAU!B440,data!C:C,TABLEAU!D440,data!F:F,YEAR(Feuil1!$D$1))</f>
        <v>108</v>
      </c>
      <c r="K440" s="13">
        <f>SUMIFS(data!E:E,data!A:A,TABLEAU!B440,data!C:C,TABLEAU!D440,data!F:F,YEAR(Feuil1!$D$2))</f>
        <v>120</v>
      </c>
      <c r="L440" s="13">
        <f t="shared" si="26"/>
        <v>-12</v>
      </c>
      <c r="M440" s="12">
        <f t="shared" si="27"/>
        <v>-0.1</v>
      </c>
    </row>
    <row r="441" spans="1:13" x14ac:dyDescent="0.25">
      <c r="A441" s="17" t="str">
        <f>data!H732</f>
        <v>VINICOM</v>
      </c>
      <c r="B441" s="15" t="str">
        <f>data!A732</f>
        <v>028</v>
      </c>
      <c r="C441" s="1" t="str">
        <f>data!B732</f>
        <v>VIGNOBLES DUBOIS ET FILS</v>
      </c>
      <c r="D441" s="1" t="str">
        <f>data!C732</f>
        <v>028007</v>
      </c>
      <c r="E441" s="1" t="str">
        <f>data!D441</f>
        <v>AC ST CHINIAN LE COTEAU DES GRIOTTES</v>
      </c>
      <c r="F441" s="14">
        <f>SUMIFS(data!G:G,data!A:A,TABLEAU!B441,data!C:C,TABLEAU!D441,data!F:F,YEAR(Feuil1!$D$1))</f>
        <v>3574</v>
      </c>
      <c r="G441" s="9">
        <f>SUMIFS(data!G:G,data!A:A,TABLEAU!B441,data!C:C,TABLEAU!D441,data!F:F,YEAR(Feuil1!$D$2))</f>
        <v>2960.6</v>
      </c>
      <c r="H441" s="9">
        <f t="shared" si="24"/>
        <v>613.40000000000009</v>
      </c>
      <c r="I441" s="12">
        <f t="shared" si="25"/>
        <v>0.20718773221644265</v>
      </c>
      <c r="J441" s="13">
        <f>SUMIFS(data!E:E,data!A:A,TABLEAU!B441,data!C:C,TABLEAU!D441,data!F:F,YEAR(Feuil1!$D$1))</f>
        <v>2132.7999999999997</v>
      </c>
      <c r="K441" s="13">
        <f>SUMIFS(data!E:E,data!A:A,TABLEAU!B441,data!C:C,TABLEAU!D441,data!F:F,YEAR(Feuil1!$D$2))</f>
        <v>1746.2300000000002</v>
      </c>
      <c r="L441" s="13">
        <f t="shared" si="26"/>
        <v>386.56999999999948</v>
      </c>
      <c r="M441" s="12">
        <f t="shared" si="27"/>
        <v>0.22137404580152639</v>
      </c>
    </row>
    <row r="442" spans="1:13" x14ac:dyDescent="0.25">
      <c r="A442" s="17" t="str">
        <f>data!H734</f>
        <v>VINICOM</v>
      </c>
      <c r="B442" s="15" t="str">
        <f>data!A734</f>
        <v>028</v>
      </c>
      <c r="C442" s="1" t="str">
        <f>data!B734</f>
        <v>VIGNOBLES DUBOIS ET FILS</v>
      </c>
      <c r="D442" s="1" t="str">
        <f>data!C734</f>
        <v>028008</v>
      </c>
      <c r="E442" s="1" t="str">
        <f>data!D442</f>
        <v>AOP SAINT CHINIAN COTEAU DES GRIOTTES</v>
      </c>
      <c r="F442" s="14">
        <f>SUMIFS(data!G:G,data!A:A,TABLEAU!B442,data!C:C,TABLEAU!D442,data!F:F,YEAR(Feuil1!$D$1))</f>
        <v>4517.7</v>
      </c>
      <c r="G442" s="9">
        <f>SUMIFS(data!G:G,data!A:A,TABLEAU!B442,data!C:C,TABLEAU!D442,data!F:F,YEAR(Feuil1!$D$2))</f>
        <v>4561.8999999999996</v>
      </c>
      <c r="H442" s="9">
        <f t="shared" si="24"/>
        <v>-44.199999999999818</v>
      </c>
      <c r="I442" s="12">
        <f t="shared" si="25"/>
        <v>-9.6889453955588296E-3</v>
      </c>
      <c r="J442" s="13">
        <f>SUMIFS(data!E:E,data!A:A,TABLEAU!B442,data!C:C,TABLEAU!D442,data!F:F,YEAR(Feuil1!$D$1))</f>
        <v>2254.4599999999996</v>
      </c>
      <c r="K442" s="13">
        <f>SUMIFS(data!E:E,data!A:A,TABLEAU!B442,data!C:C,TABLEAU!D442,data!F:F,YEAR(Feuil1!$D$2))</f>
        <v>2321.1599999999994</v>
      </c>
      <c r="L442" s="13">
        <f t="shared" si="26"/>
        <v>-66.699999999999818</v>
      </c>
      <c r="M442" s="12">
        <f t="shared" si="27"/>
        <v>-2.8735632183907976E-2</v>
      </c>
    </row>
    <row r="443" spans="1:13" x14ac:dyDescent="0.25">
      <c r="A443" s="17" t="str">
        <f>data!H736</f>
        <v>VINICOM</v>
      </c>
      <c r="B443" s="15" t="str">
        <f>data!A736</f>
        <v>028</v>
      </c>
      <c r="C443" s="1" t="str">
        <f>data!B736</f>
        <v>VIGNOBLES DUBOIS ET FILS</v>
      </c>
      <c r="D443" s="1" t="str">
        <f>data!C736</f>
        <v>028011</v>
      </c>
      <c r="E443" s="1" t="str">
        <f>data!D443</f>
        <v>AOP SAINT CHINIAN COTEAU DES GRIOTTES</v>
      </c>
      <c r="F443" s="14">
        <f>SUMIFS(data!G:G,data!A:A,TABLEAU!B443,data!C:C,TABLEAU!D443,data!F:F,YEAR(Feuil1!$D$1))</f>
        <v>0</v>
      </c>
      <c r="G443" s="9">
        <f>SUMIFS(data!G:G,data!A:A,TABLEAU!B443,data!C:C,TABLEAU!D443,data!F:F,YEAR(Feuil1!$D$2))</f>
        <v>0</v>
      </c>
      <c r="H443" s="9">
        <f t="shared" si="24"/>
        <v>0</v>
      </c>
      <c r="I443" s="12" t="str">
        <f t="shared" si="25"/>
        <v/>
      </c>
      <c r="J443" s="13">
        <f>SUMIFS(data!E:E,data!A:A,TABLEAU!B443,data!C:C,TABLEAU!D443,data!F:F,YEAR(Feuil1!$D$1))</f>
        <v>0</v>
      </c>
      <c r="K443" s="13">
        <f>SUMIFS(data!E:E,data!A:A,TABLEAU!B443,data!C:C,TABLEAU!D443,data!F:F,YEAR(Feuil1!$D$2))</f>
        <v>6</v>
      </c>
      <c r="L443" s="13">
        <f t="shared" si="26"/>
        <v>-6</v>
      </c>
      <c r="M443" s="12">
        <f t="shared" si="27"/>
        <v>-1</v>
      </c>
    </row>
    <row r="444" spans="1:13" x14ac:dyDescent="0.25">
      <c r="A444" s="17" t="str">
        <f>data!H737</f>
        <v>VINICOM</v>
      </c>
      <c r="B444" s="15" t="str">
        <f>data!A737</f>
        <v>028</v>
      </c>
      <c r="C444" s="1" t="str">
        <f>data!B737</f>
        <v>VIGNOBLES DUBOIS ET FILS</v>
      </c>
      <c r="D444" s="1" t="str">
        <f>data!C737</f>
        <v>028013</v>
      </c>
      <c r="E444" s="1" t="str">
        <f>data!D444</f>
        <v>AOP SAINT CHINIAN CHATEAU DES ALBIERES</v>
      </c>
      <c r="F444" s="14">
        <f>SUMIFS(data!G:G,data!A:A,TABLEAU!B444,data!C:C,TABLEAU!D444,data!F:F,YEAR(Feuil1!$D$1))</f>
        <v>6274.92</v>
      </c>
      <c r="G444" s="9">
        <f>SUMIFS(data!G:G,data!A:A,TABLEAU!B444,data!C:C,TABLEAU!D444,data!F:F,YEAR(Feuil1!$D$2))</f>
        <v>6514.8</v>
      </c>
      <c r="H444" s="9">
        <f t="shared" si="24"/>
        <v>-239.88000000000011</v>
      </c>
      <c r="I444" s="12">
        <f t="shared" si="25"/>
        <v>-3.6820777307054721E-2</v>
      </c>
      <c r="J444" s="13">
        <f>SUMIFS(data!E:E,data!A:A,TABLEAU!B444,data!C:C,TABLEAU!D444,data!F:F,YEAR(Feuil1!$D$1))</f>
        <v>1404</v>
      </c>
      <c r="K444" s="13">
        <f>SUMIFS(data!E:E,data!A:A,TABLEAU!B444,data!C:C,TABLEAU!D444,data!F:F,YEAR(Feuil1!$D$2))</f>
        <v>1470</v>
      </c>
      <c r="L444" s="13">
        <f t="shared" si="26"/>
        <v>-66</v>
      </c>
      <c r="M444" s="12">
        <f t="shared" si="27"/>
        <v>-4.4897959183673466E-2</v>
      </c>
    </row>
    <row r="445" spans="1:13" x14ac:dyDescent="0.25">
      <c r="A445" s="17" t="str">
        <f>data!H739</f>
        <v>VINICOM</v>
      </c>
      <c r="B445" s="15" t="str">
        <f>data!A739</f>
        <v>028</v>
      </c>
      <c r="C445" s="1" t="str">
        <f>data!B739</f>
        <v>VIGNOBLES DUBOIS ET FILS</v>
      </c>
      <c r="D445" s="1" t="str">
        <f>data!C739</f>
        <v>028015CB</v>
      </c>
      <c r="E445" s="1" t="str">
        <f>data!D445</f>
        <v>AC HAUTES COTES DE BEAUNE BLANC</v>
      </c>
      <c r="F445" s="14">
        <f>SUMIFS(data!G:G,data!A:A,TABLEAU!B445,data!C:C,TABLEAU!D445,data!F:F,YEAR(Feuil1!$D$1))</f>
        <v>777.84</v>
      </c>
      <c r="G445" s="9">
        <f>SUMIFS(data!G:G,data!A:A,TABLEAU!B445,data!C:C,TABLEAU!D445,data!F:F,YEAR(Feuil1!$D$2))</f>
        <v>41.67</v>
      </c>
      <c r="H445" s="9">
        <f t="shared" si="24"/>
        <v>736.17000000000007</v>
      </c>
      <c r="I445" s="12">
        <f t="shared" si="25"/>
        <v>17.666666666666668</v>
      </c>
      <c r="J445" s="13">
        <f>SUMIFS(data!E:E,data!A:A,TABLEAU!B445,data!C:C,TABLEAU!D445,data!F:F,YEAR(Feuil1!$D$1))</f>
        <v>168</v>
      </c>
      <c r="K445" s="13">
        <f>SUMIFS(data!E:E,data!A:A,TABLEAU!B445,data!C:C,TABLEAU!D445,data!F:F,YEAR(Feuil1!$D$2))</f>
        <v>9</v>
      </c>
      <c r="L445" s="13">
        <f t="shared" si="26"/>
        <v>159</v>
      </c>
      <c r="M445" s="12">
        <f t="shared" si="27"/>
        <v>17.666666666666668</v>
      </c>
    </row>
    <row r="446" spans="1:13" x14ac:dyDescent="0.25">
      <c r="A446" s="17" t="str">
        <f>data!H741</f>
        <v>VINICOM</v>
      </c>
      <c r="B446" s="15" t="str">
        <f>data!A741</f>
        <v>029</v>
      </c>
      <c r="C446" s="1" t="str">
        <f>data!B741</f>
        <v>DOMAINE DE BELLE MARE</v>
      </c>
      <c r="D446" s="1" t="str">
        <f>data!C741</f>
        <v>029002</v>
      </c>
      <c r="E446" s="1" t="str">
        <f>data!D446</f>
        <v>AC HAUTES COTES DE BEAUNE BLANC</v>
      </c>
      <c r="F446" s="14">
        <f>SUMIFS(data!G:G,data!A:A,TABLEAU!B446,data!C:C,TABLEAU!D446,data!F:F,YEAR(Feuil1!$D$1))</f>
        <v>29.52</v>
      </c>
      <c r="G446" s="9">
        <f>SUMIFS(data!G:G,data!A:A,TABLEAU!B446,data!C:C,TABLEAU!D446,data!F:F,YEAR(Feuil1!$D$2))</f>
        <v>309.12</v>
      </c>
      <c r="H446" s="9">
        <f t="shared" si="24"/>
        <v>-279.60000000000002</v>
      </c>
      <c r="I446" s="12">
        <f t="shared" si="25"/>
        <v>-0.9045031055900622</v>
      </c>
      <c r="J446" s="13">
        <f>SUMIFS(data!E:E,data!A:A,TABLEAU!B446,data!C:C,TABLEAU!D446,data!F:F,YEAR(Feuil1!$D$1))</f>
        <v>12</v>
      </c>
      <c r="K446" s="13">
        <f>SUMIFS(data!E:E,data!A:A,TABLEAU!B446,data!C:C,TABLEAU!D446,data!F:F,YEAR(Feuil1!$D$2))</f>
        <v>126</v>
      </c>
      <c r="L446" s="13">
        <f t="shared" si="26"/>
        <v>-114</v>
      </c>
      <c r="M446" s="12">
        <f t="shared" si="27"/>
        <v>-0.90476190476190477</v>
      </c>
    </row>
    <row r="447" spans="1:13" x14ac:dyDescent="0.25">
      <c r="A447" s="17" t="str">
        <f>data!H743</f>
        <v>VINICOM</v>
      </c>
      <c r="B447" s="15" t="str">
        <f>data!A743</f>
        <v>029</v>
      </c>
      <c r="C447" s="1" t="str">
        <f>data!B743</f>
        <v>DOMAINE DE BELLE MARE</v>
      </c>
      <c r="D447" s="1" t="str">
        <f>data!C743</f>
        <v>029005</v>
      </c>
      <c r="E447" s="1" t="str">
        <f>data!D447</f>
        <v>AC HAUTES COTES DE BEAUNE ROUGE</v>
      </c>
      <c r="F447" s="14">
        <f>SUMIFS(data!G:G,data!A:A,TABLEAU!B447,data!C:C,TABLEAU!D447,data!F:F,YEAR(Feuil1!$D$1))</f>
        <v>903.06</v>
      </c>
      <c r="G447" s="9">
        <f>SUMIFS(data!G:G,data!A:A,TABLEAU!B447,data!C:C,TABLEAU!D447,data!F:F,YEAR(Feuil1!$D$2))</f>
        <v>392.64</v>
      </c>
      <c r="H447" s="9">
        <f t="shared" si="24"/>
        <v>510.41999999999996</v>
      </c>
      <c r="I447" s="12">
        <f t="shared" si="25"/>
        <v>1.2999694376528117</v>
      </c>
      <c r="J447" s="13">
        <f>SUMIFS(data!E:E,data!A:A,TABLEAU!B447,data!C:C,TABLEAU!D447,data!F:F,YEAR(Feuil1!$D$1))</f>
        <v>522</v>
      </c>
      <c r="K447" s="13">
        <f>SUMIFS(data!E:E,data!A:A,TABLEAU!B447,data!C:C,TABLEAU!D447,data!F:F,YEAR(Feuil1!$D$2))</f>
        <v>228</v>
      </c>
      <c r="L447" s="13">
        <f t="shared" si="26"/>
        <v>294</v>
      </c>
      <c r="M447" s="12">
        <f t="shared" si="27"/>
        <v>1.2894736842105263</v>
      </c>
    </row>
    <row r="448" spans="1:13" x14ac:dyDescent="0.25">
      <c r="A448" s="17" t="str">
        <f>data!H745</f>
        <v>VINICOM</v>
      </c>
      <c r="B448" s="15" t="str">
        <f>data!A745</f>
        <v>029</v>
      </c>
      <c r="C448" s="1" t="str">
        <f>data!B745</f>
        <v>DOMAINE DE BELLE MARE</v>
      </c>
      <c r="D448" s="1" t="str">
        <f>data!C745</f>
        <v>029006</v>
      </c>
      <c r="E448" s="1" t="str">
        <f>data!D448</f>
        <v>AC HAUTES COTES DE BEAUNE ROUGE</v>
      </c>
      <c r="F448" s="14">
        <f>SUMIFS(data!G:G,data!A:A,TABLEAU!B448,data!C:C,TABLEAU!D448,data!F:F,YEAR(Feuil1!$D$1))</f>
        <v>0</v>
      </c>
      <c r="G448" s="9">
        <f>SUMIFS(data!G:G,data!A:A,TABLEAU!B448,data!C:C,TABLEAU!D448,data!F:F,YEAR(Feuil1!$D$2))</f>
        <v>129.24</v>
      </c>
      <c r="H448" s="9">
        <f t="shared" si="24"/>
        <v>-129.24</v>
      </c>
      <c r="I448" s="12">
        <f t="shared" si="25"/>
        <v>-1</v>
      </c>
      <c r="J448" s="13">
        <f>SUMIFS(data!E:E,data!A:A,TABLEAU!B448,data!C:C,TABLEAU!D448,data!F:F,YEAR(Feuil1!$D$1))</f>
        <v>0</v>
      </c>
      <c r="K448" s="13">
        <f>SUMIFS(data!E:E,data!A:A,TABLEAU!B448,data!C:C,TABLEAU!D448,data!F:F,YEAR(Feuil1!$D$2))</f>
        <v>60</v>
      </c>
      <c r="L448" s="13">
        <f t="shared" si="26"/>
        <v>-60</v>
      </c>
      <c r="M448" s="12">
        <f t="shared" si="27"/>
        <v>-1</v>
      </c>
    </row>
    <row r="449" spans="1:13" x14ac:dyDescent="0.25">
      <c r="A449" s="17" t="str">
        <f>data!H746</f>
        <v>VINICOM</v>
      </c>
      <c r="B449" s="15" t="str">
        <f>data!A746</f>
        <v>029</v>
      </c>
      <c r="C449" s="1" t="str">
        <f>data!B746</f>
        <v>DOMAINE DE BELLE MARE</v>
      </c>
      <c r="D449" s="1" t="str">
        <f>data!C746</f>
        <v>029010</v>
      </c>
      <c r="E449" s="1" t="str">
        <f>data!D449</f>
        <v>AOP MARSANNAY DME HUGUENOT</v>
      </c>
      <c r="F449" s="14">
        <f>SUMIFS(data!G:G,data!A:A,TABLEAU!B449,data!C:C,TABLEAU!D449,data!F:F,YEAR(Feuil1!$D$1))</f>
        <v>180</v>
      </c>
      <c r="G449" s="9">
        <f>SUMIFS(data!G:G,data!A:A,TABLEAU!B449,data!C:C,TABLEAU!D449,data!F:F,YEAR(Feuil1!$D$2))</f>
        <v>64.319999999999993</v>
      </c>
      <c r="H449" s="9">
        <f t="shared" si="24"/>
        <v>115.68</v>
      </c>
      <c r="I449" s="12">
        <f t="shared" si="25"/>
        <v>1.7985074626865674</v>
      </c>
      <c r="J449" s="13">
        <f>SUMIFS(data!E:E,data!A:A,TABLEAU!B449,data!C:C,TABLEAU!D449,data!F:F,YEAR(Feuil1!$D$1))</f>
        <v>120</v>
      </c>
      <c r="K449" s="13">
        <f>SUMIFS(data!E:E,data!A:A,TABLEAU!B449,data!C:C,TABLEAU!D449,data!F:F,YEAR(Feuil1!$D$2))</f>
        <v>30</v>
      </c>
      <c r="L449" s="13">
        <f t="shared" si="26"/>
        <v>90</v>
      </c>
      <c r="M449" s="12">
        <f t="shared" si="27"/>
        <v>3</v>
      </c>
    </row>
    <row r="450" spans="1:13" x14ac:dyDescent="0.25">
      <c r="A450" s="17" t="str">
        <f>data!H748</f>
        <v>VINICOM</v>
      </c>
      <c r="B450" s="15" t="str">
        <f>data!A748</f>
        <v>029</v>
      </c>
      <c r="C450" s="1" t="str">
        <f>data!B748</f>
        <v>DOMAINE DE BELLE MARE</v>
      </c>
      <c r="D450" s="1" t="str">
        <f>data!C748</f>
        <v>029015</v>
      </c>
      <c r="E450" s="1" t="str">
        <f>data!D450</f>
        <v>AOP MARSANNAY DME HUGUENOT</v>
      </c>
      <c r="F450" s="14">
        <f>SUMIFS(data!G:G,data!A:A,TABLEAU!B450,data!C:C,TABLEAU!D450,data!F:F,YEAR(Feuil1!$D$1))</f>
        <v>115.2</v>
      </c>
      <c r="G450" s="9">
        <f>SUMIFS(data!G:G,data!A:A,TABLEAU!B450,data!C:C,TABLEAU!D450,data!F:F,YEAR(Feuil1!$D$2))</f>
        <v>373.44</v>
      </c>
      <c r="H450" s="9">
        <f t="shared" si="24"/>
        <v>-258.24</v>
      </c>
      <c r="I450" s="12">
        <f t="shared" si="25"/>
        <v>-0.69151670951156818</v>
      </c>
      <c r="J450" s="13">
        <f>SUMIFS(data!E:E,data!A:A,TABLEAU!B450,data!C:C,TABLEAU!D450,data!F:F,YEAR(Feuil1!$D$1))</f>
        <v>54</v>
      </c>
      <c r="K450" s="13">
        <f>SUMIFS(data!E:E,data!A:A,TABLEAU!B450,data!C:C,TABLEAU!D450,data!F:F,YEAR(Feuil1!$D$2))</f>
        <v>156</v>
      </c>
      <c r="L450" s="13">
        <f t="shared" si="26"/>
        <v>-102</v>
      </c>
      <c r="M450" s="12">
        <f t="shared" si="27"/>
        <v>-0.65384615384615385</v>
      </c>
    </row>
    <row r="451" spans="1:13" x14ac:dyDescent="0.25">
      <c r="A451" s="17" t="str">
        <f>data!H750</f>
        <v>VINICOM</v>
      </c>
      <c r="B451" s="15" t="str">
        <f>data!A750</f>
        <v>031</v>
      </c>
      <c r="C451" s="1" t="str">
        <f>data!B750</f>
        <v>MR GIORDANO</v>
      </c>
      <c r="D451" s="1" t="str">
        <f>data!C750</f>
        <v>031012</v>
      </c>
      <c r="E451" s="1" t="str">
        <f>data!D451</f>
        <v>AOP MARSANNAY DME HUGUENOT</v>
      </c>
      <c r="F451" s="14">
        <f>SUMIFS(data!G:G,data!A:A,TABLEAU!B451,data!C:C,TABLEAU!D451,data!F:F,YEAR(Feuil1!$D$1))</f>
        <v>874.8</v>
      </c>
      <c r="G451" s="9">
        <f>SUMIFS(data!G:G,data!A:A,TABLEAU!B451,data!C:C,TABLEAU!D451,data!F:F,YEAR(Feuil1!$D$2))</f>
        <v>0</v>
      </c>
      <c r="H451" s="9">
        <f t="shared" ref="H451:H514" si="28">F451-G451</f>
        <v>874.8</v>
      </c>
      <c r="I451" s="12" t="str">
        <f t="shared" ref="I451:I514" si="29">IF(ISERR(H451/G451),"",H451/G451)</f>
        <v/>
      </c>
      <c r="J451" s="13">
        <f>SUMIFS(data!E:E,data!A:A,TABLEAU!B451,data!C:C,TABLEAU!D451,data!F:F,YEAR(Feuil1!$D$1))</f>
        <v>180</v>
      </c>
      <c r="K451" s="13">
        <f>SUMIFS(data!E:E,data!A:A,TABLEAU!B451,data!C:C,TABLEAU!D451,data!F:F,YEAR(Feuil1!$D$2))</f>
        <v>0</v>
      </c>
      <c r="L451" s="13">
        <f t="shared" ref="L451:L514" si="30">J451-K451</f>
        <v>180</v>
      </c>
      <c r="M451" s="12" t="str">
        <f t="shared" ref="M451:M514" si="31">IF(ISERR(L451/K451),"",L451/K451)</f>
        <v/>
      </c>
    </row>
    <row r="452" spans="1:13" x14ac:dyDescent="0.25">
      <c r="A452" s="17" t="str">
        <f>data!H751</f>
        <v>VINICOM</v>
      </c>
      <c r="B452" s="15" t="str">
        <f>data!A751</f>
        <v>031</v>
      </c>
      <c r="C452" s="1" t="str">
        <f>data!B751</f>
        <v>MR GIORDANO</v>
      </c>
      <c r="D452" s="1" t="str">
        <f>data!C751</f>
        <v>031013</v>
      </c>
      <c r="E452" s="1" t="str">
        <f>data!D452</f>
        <v>AOP MARSANNAY DME HUGUENOT</v>
      </c>
      <c r="F452" s="14">
        <f>SUMIFS(data!G:G,data!A:A,TABLEAU!B452,data!C:C,TABLEAU!D452,data!F:F,YEAR(Feuil1!$D$1))</f>
        <v>204.48</v>
      </c>
      <c r="G452" s="9">
        <f>SUMIFS(data!G:G,data!A:A,TABLEAU!B452,data!C:C,TABLEAU!D452,data!F:F,YEAR(Feuil1!$D$2))</f>
        <v>0</v>
      </c>
      <c r="H452" s="9">
        <f t="shared" si="28"/>
        <v>204.48</v>
      </c>
      <c r="I452" s="12" t="str">
        <f t="shared" si="29"/>
        <v/>
      </c>
      <c r="J452" s="13">
        <f>SUMIFS(data!E:E,data!A:A,TABLEAU!B452,data!C:C,TABLEAU!D452,data!F:F,YEAR(Feuil1!$D$1))</f>
        <v>36</v>
      </c>
      <c r="K452" s="13">
        <f>SUMIFS(data!E:E,data!A:A,TABLEAU!B452,data!C:C,TABLEAU!D452,data!F:F,YEAR(Feuil1!$D$2))</f>
        <v>0</v>
      </c>
      <c r="L452" s="13">
        <f t="shared" si="30"/>
        <v>36</v>
      </c>
      <c r="M452" s="12" t="str">
        <f t="shared" si="31"/>
        <v/>
      </c>
    </row>
    <row r="453" spans="1:13" x14ac:dyDescent="0.25">
      <c r="A453" s="17" t="str">
        <f>data!H752</f>
        <v>VINICOM</v>
      </c>
      <c r="B453" s="15" t="str">
        <f>data!A752</f>
        <v>031</v>
      </c>
      <c r="C453" s="1" t="str">
        <f>data!B752</f>
        <v>MR GIORDANO</v>
      </c>
      <c r="D453" s="1" t="str">
        <f>data!C752</f>
        <v>031024</v>
      </c>
      <c r="E453" s="1" t="str">
        <f>data!D453</f>
        <v>POCHE 5L METALLISEE ROBINET VITOP 500 unités/cart</v>
      </c>
      <c r="F453" s="14">
        <f>SUMIFS(data!G:G,data!A:A,TABLEAU!B453,data!C:C,TABLEAU!D453,data!F:F,YEAR(Feuil1!$D$1))</f>
        <v>155.52000000000001</v>
      </c>
      <c r="G453" s="9">
        <f>SUMIFS(data!G:G,data!A:A,TABLEAU!B453,data!C:C,TABLEAU!D453,data!F:F,YEAR(Feuil1!$D$2))</f>
        <v>0</v>
      </c>
      <c r="H453" s="9">
        <f t="shared" si="28"/>
        <v>155.52000000000001</v>
      </c>
      <c r="I453" s="12" t="str">
        <f t="shared" si="29"/>
        <v/>
      </c>
      <c r="J453" s="13">
        <f>SUMIFS(data!E:E,data!A:A,TABLEAU!B453,data!C:C,TABLEAU!D453,data!F:F,YEAR(Feuil1!$D$1))</f>
        <v>36</v>
      </c>
      <c r="K453" s="13">
        <f>SUMIFS(data!E:E,data!A:A,TABLEAU!B453,data!C:C,TABLEAU!D453,data!F:F,YEAR(Feuil1!$D$2))</f>
        <v>0</v>
      </c>
      <c r="L453" s="13">
        <f t="shared" si="30"/>
        <v>36</v>
      </c>
      <c r="M453" s="12" t="str">
        <f t="shared" si="31"/>
        <v/>
      </c>
    </row>
    <row r="454" spans="1:13" x14ac:dyDescent="0.25">
      <c r="A454" s="17" t="str">
        <f>data!H753</f>
        <v>VINICOM</v>
      </c>
      <c r="B454" s="15" t="str">
        <f>data!A753</f>
        <v>031</v>
      </c>
      <c r="C454" s="1" t="str">
        <f>data!B753</f>
        <v>MR GIORDANO</v>
      </c>
      <c r="D454" s="1" t="str">
        <f>data!C753</f>
        <v>031025</v>
      </c>
      <c r="E454" s="1" t="str">
        <f>data!D454</f>
        <v>POCHE 10L METALISSEE ROB VITOP (300 unites/carton)</v>
      </c>
      <c r="F454" s="14">
        <f>SUMIFS(data!G:G,data!A:A,TABLEAU!B454,data!C:C,TABLEAU!D454,data!F:F,YEAR(Feuil1!$D$1))</f>
        <v>631.79999999999995</v>
      </c>
      <c r="G454" s="9">
        <f>SUMIFS(data!G:G,data!A:A,TABLEAU!B454,data!C:C,TABLEAU!D454,data!F:F,YEAR(Feuil1!$D$2))</f>
        <v>0</v>
      </c>
      <c r="H454" s="9">
        <f t="shared" si="28"/>
        <v>631.79999999999995</v>
      </c>
      <c r="I454" s="12" t="str">
        <f t="shared" si="29"/>
        <v/>
      </c>
      <c r="J454" s="13">
        <f>SUMIFS(data!E:E,data!A:A,TABLEAU!B454,data!C:C,TABLEAU!D454,data!F:F,YEAR(Feuil1!$D$1))</f>
        <v>180</v>
      </c>
      <c r="K454" s="13">
        <f>SUMIFS(data!E:E,data!A:A,TABLEAU!B454,data!C:C,TABLEAU!D454,data!F:F,YEAR(Feuil1!$D$2))</f>
        <v>0</v>
      </c>
      <c r="L454" s="13">
        <f t="shared" si="30"/>
        <v>180</v>
      </c>
      <c r="M454" s="12" t="str">
        <f t="shared" si="31"/>
        <v/>
      </c>
    </row>
    <row r="455" spans="1:13" x14ac:dyDescent="0.25">
      <c r="A455" s="17" t="str">
        <f>data!H754</f>
        <v>VINICOM</v>
      </c>
      <c r="B455" s="15" t="str">
        <f>data!A754</f>
        <v>031</v>
      </c>
      <c r="C455" s="1" t="str">
        <f>data!B754</f>
        <v>MR GIORDANO</v>
      </c>
      <c r="D455" s="1" t="str">
        <f>data!C754</f>
        <v>031037</v>
      </c>
      <c r="E455" s="1" t="str">
        <f>data!D455</f>
        <v>POCHE 10L METALISSEE ROB VITOP (300 unites/carton)</v>
      </c>
      <c r="F455" s="14">
        <f>SUMIFS(data!G:G,data!A:A,TABLEAU!B455,data!C:C,TABLEAU!D455,data!F:F,YEAR(Feuil1!$D$1))</f>
        <v>756</v>
      </c>
      <c r="G455" s="9">
        <f>SUMIFS(data!G:G,data!A:A,TABLEAU!B455,data!C:C,TABLEAU!D455,data!F:F,YEAR(Feuil1!$D$2))</f>
        <v>0</v>
      </c>
      <c r="H455" s="9">
        <f t="shared" si="28"/>
        <v>756</v>
      </c>
      <c r="I455" s="12" t="str">
        <f t="shared" si="29"/>
        <v/>
      </c>
      <c r="J455" s="13">
        <f>SUMIFS(data!E:E,data!A:A,TABLEAU!B455,data!C:C,TABLEAU!D455,data!F:F,YEAR(Feuil1!$D$1))</f>
        <v>90</v>
      </c>
      <c r="K455" s="13">
        <f>SUMIFS(data!E:E,data!A:A,TABLEAU!B455,data!C:C,TABLEAU!D455,data!F:F,YEAR(Feuil1!$D$2))</f>
        <v>0</v>
      </c>
      <c r="L455" s="13">
        <f t="shared" si="30"/>
        <v>90</v>
      </c>
      <c r="M455" s="12" t="str">
        <f t="shared" si="31"/>
        <v/>
      </c>
    </row>
    <row r="456" spans="1:13" x14ac:dyDescent="0.25">
      <c r="A456" s="17" t="str">
        <f>data!H755</f>
        <v>VINICOM</v>
      </c>
      <c r="B456" s="15" t="str">
        <f>data!A755</f>
        <v>031</v>
      </c>
      <c r="C456" s="1" t="str">
        <f>data!B755</f>
        <v>MR GIORDANO</v>
      </c>
      <c r="D456" s="1" t="str">
        <f>data!C755</f>
        <v>031038</v>
      </c>
      <c r="E456" s="1" t="str">
        <f>data!D456</f>
        <v>CAISSE BOIS 12 BOUTEILLES</v>
      </c>
      <c r="F456" s="14">
        <f>SUMIFS(data!G:G,data!A:A,TABLEAU!B456,data!C:C,TABLEAU!D456,data!F:F,YEAR(Feuil1!$D$1))</f>
        <v>221.28</v>
      </c>
      <c r="G456" s="9">
        <f>SUMIFS(data!G:G,data!A:A,TABLEAU!B456,data!C:C,TABLEAU!D456,data!F:F,YEAR(Feuil1!$D$2))</f>
        <v>0</v>
      </c>
      <c r="H456" s="9">
        <f t="shared" si="28"/>
        <v>221.28</v>
      </c>
      <c r="I456" s="12" t="str">
        <f t="shared" si="29"/>
        <v/>
      </c>
      <c r="J456" s="13">
        <f>SUMIFS(data!E:E,data!A:A,TABLEAU!B456,data!C:C,TABLEAU!D456,data!F:F,YEAR(Feuil1!$D$1))</f>
        <v>24</v>
      </c>
      <c r="K456" s="13">
        <f>SUMIFS(data!E:E,data!A:A,TABLEAU!B456,data!C:C,TABLEAU!D456,data!F:F,YEAR(Feuil1!$D$2))</f>
        <v>0</v>
      </c>
      <c r="L456" s="13">
        <f t="shared" si="30"/>
        <v>24</v>
      </c>
      <c r="M456" s="12" t="str">
        <f t="shared" si="31"/>
        <v/>
      </c>
    </row>
    <row r="457" spans="1:13" x14ac:dyDescent="0.25">
      <c r="A457" s="17" t="str">
        <f>data!H756</f>
        <v>VINICOM</v>
      </c>
      <c r="B457" s="15" t="str">
        <f>data!A756</f>
        <v>031</v>
      </c>
      <c r="C457" s="1" t="str">
        <f>data!B756</f>
        <v>MR GIORDANO</v>
      </c>
      <c r="D457" s="1" t="str">
        <f>data!C756</f>
        <v>031078</v>
      </c>
      <c r="E457" s="1" t="str">
        <f>data!D457</f>
        <v>CAISSE BOIS 12 BOUTEILLES</v>
      </c>
      <c r="F457" s="14">
        <f>SUMIFS(data!G:G,data!A:A,TABLEAU!B457,data!C:C,TABLEAU!D457,data!F:F,YEAR(Feuil1!$D$1))</f>
        <v>140.4</v>
      </c>
      <c r="G457" s="9">
        <f>SUMIFS(data!G:G,data!A:A,TABLEAU!B457,data!C:C,TABLEAU!D457,data!F:F,YEAR(Feuil1!$D$2))</f>
        <v>0</v>
      </c>
      <c r="H457" s="9">
        <f t="shared" si="28"/>
        <v>140.4</v>
      </c>
      <c r="I457" s="12" t="str">
        <f t="shared" si="29"/>
        <v/>
      </c>
      <c r="J457" s="13">
        <f>SUMIFS(data!E:E,data!A:A,TABLEAU!B457,data!C:C,TABLEAU!D457,data!F:F,YEAR(Feuil1!$D$1))</f>
        <v>30</v>
      </c>
      <c r="K457" s="13">
        <f>SUMIFS(data!E:E,data!A:A,TABLEAU!B457,data!C:C,TABLEAU!D457,data!F:F,YEAR(Feuil1!$D$2))</f>
        <v>0</v>
      </c>
      <c r="L457" s="13">
        <f t="shared" si="30"/>
        <v>30</v>
      </c>
      <c r="M457" s="12" t="str">
        <f t="shared" si="31"/>
        <v/>
      </c>
    </row>
    <row r="458" spans="1:13" x14ac:dyDescent="0.25">
      <c r="A458" s="17" t="str">
        <f>data!H757</f>
        <v>VINICOM</v>
      </c>
      <c r="B458" s="15" t="str">
        <f>data!A757</f>
        <v>031</v>
      </c>
      <c r="C458" s="1" t="str">
        <f>data!B757</f>
        <v>MR GIORDANO</v>
      </c>
      <c r="D458" s="1" t="str">
        <f>data!C757</f>
        <v>031079</v>
      </c>
      <c r="E458" s="1" t="str">
        <f>data!D458</f>
        <v>CAISSE BOIS 1 MAGNUM</v>
      </c>
      <c r="F458" s="14">
        <f>SUMIFS(data!G:G,data!A:A,TABLEAU!B458,data!C:C,TABLEAU!D458,data!F:F,YEAR(Feuil1!$D$1))</f>
        <v>66</v>
      </c>
      <c r="G458" s="9">
        <f>SUMIFS(data!G:G,data!A:A,TABLEAU!B458,data!C:C,TABLEAU!D458,data!F:F,YEAR(Feuil1!$D$2))</f>
        <v>0</v>
      </c>
      <c r="H458" s="9">
        <f t="shared" si="28"/>
        <v>66</v>
      </c>
      <c r="I458" s="12" t="str">
        <f t="shared" si="29"/>
        <v/>
      </c>
      <c r="J458" s="13">
        <f>SUMIFS(data!E:E,data!A:A,TABLEAU!B458,data!C:C,TABLEAU!D458,data!F:F,YEAR(Feuil1!$D$1))</f>
        <v>12</v>
      </c>
      <c r="K458" s="13">
        <f>SUMIFS(data!E:E,data!A:A,TABLEAU!B458,data!C:C,TABLEAU!D458,data!F:F,YEAR(Feuil1!$D$2))</f>
        <v>0</v>
      </c>
      <c r="L458" s="13">
        <f t="shared" si="30"/>
        <v>12</v>
      </c>
      <c r="M458" s="12" t="str">
        <f t="shared" si="31"/>
        <v/>
      </c>
    </row>
    <row r="459" spans="1:13" x14ac:dyDescent="0.25">
      <c r="A459" s="17" t="str">
        <f>data!H758</f>
        <v>VINICOM</v>
      </c>
      <c r="B459" s="15" t="str">
        <f>data!A758</f>
        <v>035</v>
      </c>
      <c r="C459" s="1" t="str">
        <f>data!B758</f>
        <v>DOMAINE OLIVIER</v>
      </c>
      <c r="D459" s="1" t="str">
        <f>data!C758</f>
        <v>035001</v>
      </c>
      <c r="E459" s="1" t="str">
        <f>data!D459</f>
        <v>CAISSE BOIS 1 MAGNUM</v>
      </c>
      <c r="F459" s="14">
        <f>SUMIFS(data!G:G,data!A:A,TABLEAU!B459,data!C:C,TABLEAU!D459,data!F:F,YEAR(Feuil1!$D$1))</f>
        <v>29660.58</v>
      </c>
      <c r="G459" s="9">
        <f>SUMIFS(data!G:G,data!A:A,TABLEAU!B459,data!C:C,TABLEAU!D459,data!F:F,YEAR(Feuil1!$D$2))</f>
        <v>34741.620000000003</v>
      </c>
      <c r="H459" s="9">
        <f t="shared" si="28"/>
        <v>-5081.0400000000009</v>
      </c>
      <c r="I459" s="12">
        <f t="shared" si="29"/>
        <v>-0.14625224730452985</v>
      </c>
      <c r="J459" s="13">
        <f>SUMIFS(data!E:E,data!A:A,TABLEAU!B459,data!C:C,TABLEAU!D459,data!F:F,YEAR(Feuil1!$D$1))</f>
        <v>7524</v>
      </c>
      <c r="K459" s="13">
        <f>SUMIFS(data!E:E,data!A:A,TABLEAU!B459,data!C:C,TABLEAU!D459,data!F:F,YEAR(Feuil1!$D$2))</f>
        <v>8862</v>
      </c>
      <c r="L459" s="13">
        <f t="shared" si="30"/>
        <v>-1338</v>
      </c>
      <c r="M459" s="12">
        <f t="shared" si="31"/>
        <v>-0.15098171970209884</v>
      </c>
    </row>
    <row r="460" spans="1:13" x14ac:dyDescent="0.25">
      <c r="A460" s="17" t="str">
        <f>data!H760</f>
        <v>VINICOM</v>
      </c>
      <c r="B460" s="15" t="str">
        <f>data!A760</f>
        <v>035</v>
      </c>
      <c r="C460" s="1" t="str">
        <f>data!B760</f>
        <v>DOMAINE OLIVIER</v>
      </c>
      <c r="D460" s="1" t="str">
        <f>data!C760</f>
        <v>035002</v>
      </c>
      <c r="E460" s="1" t="str">
        <f>data!D460</f>
        <v>CAISSE BOIS 2 BOUTEILLES</v>
      </c>
      <c r="F460" s="14">
        <f>SUMIFS(data!G:G,data!A:A,TABLEAU!B460,data!C:C,TABLEAU!D460,data!F:F,YEAR(Feuil1!$D$1))</f>
        <v>3046.44</v>
      </c>
      <c r="G460" s="9">
        <f>SUMIFS(data!G:G,data!A:A,TABLEAU!B460,data!C:C,TABLEAU!D460,data!F:F,YEAR(Feuil1!$D$2))</f>
        <v>4364.04</v>
      </c>
      <c r="H460" s="9">
        <f t="shared" si="28"/>
        <v>-1317.6</v>
      </c>
      <c r="I460" s="12">
        <f t="shared" si="29"/>
        <v>-0.30192207220832074</v>
      </c>
      <c r="J460" s="13">
        <f>SUMIFS(data!E:E,data!A:A,TABLEAU!B460,data!C:C,TABLEAU!D460,data!F:F,YEAR(Feuil1!$D$1))</f>
        <v>630</v>
      </c>
      <c r="K460" s="13">
        <f>SUMIFS(data!E:E,data!A:A,TABLEAU!B460,data!C:C,TABLEAU!D460,data!F:F,YEAR(Feuil1!$D$2))</f>
        <v>912</v>
      </c>
      <c r="L460" s="13">
        <f t="shared" si="30"/>
        <v>-282</v>
      </c>
      <c r="M460" s="12">
        <f t="shared" si="31"/>
        <v>-0.30921052631578949</v>
      </c>
    </row>
    <row r="461" spans="1:13" x14ac:dyDescent="0.25">
      <c r="A461" s="17" t="str">
        <f>data!H762</f>
        <v>VINICOM</v>
      </c>
      <c r="B461" s="15" t="str">
        <f>data!A762</f>
        <v>035</v>
      </c>
      <c r="C461" s="1" t="str">
        <f>data!B762</f>
        <v>DOMAINE OLIVIER</v>
      </c>
      <c r="D461" s="1" t="str">
        <f>data!C762</f>
        <v>035010</v>
      </c>
      <c r="E461" s="1" t="str">
        <f>data!D461</f>
        <v>CAISSE BOIS 2 BOUTEILLES</v>
      </c>
      <c r="F461" s="14">
        <f>SUMIFS(data!G:G,data!A:A,TABLEAU!B461,data!C:C,TABLEAU!D461,data!F:F,YEAR(Feuil1!$D$1))</f>
        <v>6730.5</v>
      </c>
      <c r="G461" s="9">
        <f>SUMIFS(data!G:G,data!A:A,TABLEAU!B461,data!C:C,TABLEAU!D461,data!F:F,YEAR(Feuil1!$D$2))</f>
        <v>5988.84</v>
      </c>
      <c r="H461" s="9">
        <f t="shared" si="28"/>
        <v>741.65999999999985</v>
      </c>
      <c r="I461" s="12">
        <f t="shared" si="29"/>
        <v>0.12384034303805075</v>
      </c>
      <c r="J461" s="13">
        <f>SUMIFS(data!E:E,data!A:A,TABLEAU!B461,data!C:C,TABLEAU!D461,data!F:F,YEAR(Feuil1!$D$1))</f>
        <v>1860</v>
      </c>
      <c r="K461" s="13">
        <f>SUMIFS(data!E:E,data!A:A,TABLEAU!B461,data!C:C,TABLEAU!D461,data!F:F,YEAR(Feuil1!$D$2))</f>
        <v>1716</v>
      </c>
      <c r="L461" s="13">
        <f t="shared" si="30"/>
        <v>144</v>
      </c>
      <c r="M461" s="12">
        <f t="shared" si="31"/>
        <v>8.3916083916083919E-2</v>
      </c>
    </row>
    <row r="462" spans="1:13" x14ac:dyDescent="0.25">
      <c r="A462" s="17" t="str">
        <f>data!H764</f>
        <v>VINICOM</v>
      </c>
      <c r="B462" s="15" t="str">
        <f>data!A764</f>
        <v>035</v>
      </c>
      <c r="C462" s="1" t="str">
        <f>data!B764</f>
        <v>DOMAINE OLIVIER</v>
      </c>
      <c r="D462" s="1" t="str">
        <f>data!C764</f>
        <v>035014</v>
      </c>
      <c r="E462" s="1" t="str">
        <f>data!D462</f>
        <v>CAISSE BOIS 6 BOUTEILLES (2x3)</v>
      </c>
      <c r="F462" s="14">
        <f>SUMIFS(data!G:G,data!A:A,TABLEAU!B462,data!C:C,TABLEAU!D462,data!F:F,YEAR(Feuil1!$D$1))</f>
        <v>0</v>
      </c>
      <c r="G462" s="9">
        <f>SUMIFS(data!G:G,data!A:A,TABLEAU!B462,data!C:C,TABLEAU!D462,data!F:F,YEAR(Feuil1!$D$2))</f>
        <v>39</v>
      </c>
      <c r="H462" s="9">
        <f t="shared" si="28"/>
        <v>-39</v>
      </c>
      <c r="I462" s="12">
        <f t="shared" si="29"/>
        <v>-1</v>
      </c>
      <c r="J462" s="13">
        <f>SUMIFS(data!E:E,data!A:A,TABLEAU!B462,data!C:C,TABLEAU!D462,data!F:F,YEAR(Feuil1!$D$1))</f>
        <v>0</v>
      </c>
      <c r="K462" s="13">
        <f>SUMIFS(data!E:E,data!A:A,TABLEAU!B462,data!C:C,TABLEAU!D462,data!F:F,YEAR(Feuil1!$D$2))</f>
        <v>46</v>
      </c>
      <c r="L462" s="13">
        <f t="shared" si="30"/>
        <v>-46</v>
      </c>
      <c r="M462" s="12">
        <f t="shared" si="31"/>
        <v>-1</v>
      </c>
    </row>
    <row r="463" spans="1:13" x14ac:dyDescent="0.25">
      <c r="A463" s="17" t="str">
        <f>data!H765</f>
        <v>VINICOM</v>
      </c>
      <c r="B463" s="15" t="str">
        <f>data!A765</f>
        <v>035</v>
      </c>
      <c r="C463" s="1" t="str">
        <f>data!B765</f>
        <v>DOMAINE OLIVIER</v>
      </c>
      <c r="D463" s="1" t="str">
        <f>data!C765</f>
        <v>035015</v>
      </c>
      <c r="E463" s="1" t="str">
        <f>data!D463</f>
        <v>CAISSE BOIS 6 BOUTEILLES (2x3)</v>
      </c>
      <c r="F463" s="14">
        <f>SUMIFS(data!G:G,data!A:A,TABLEAU!B463,data!C:C,TABLEAU!D463,data!F:F,YEAR(Feuil1!$D$1))</f>
        <v>39.9</v>
      </c>
      <c r="G463" s="9">
        <f>SUMIFS(data!G:G,data!A:A,TABLEAU!B463,data!C:C,TABLEAU!D463,data!F:F,YEAR(Feuil1!$D$2))</f>
        <v>39.9</v>
      </c>
      <c r="H463" s="9">
        <f t="shared" si="28"/>
        <v>0</v>
      </c>
      <c r="I463" s="12">
        <f t="shared" si="29"/>
        <v>0</v>
      </c>
      <c r="J463" s="13">
        <f>SUMIFS(data!E:E,data!A:A,TABLEAU!B463,data!C:C,TABLEAU!D463,data!F:F,YEAR(Feuil1!$D$1))</f>
        <v>12</v>
      </c>
      <c r="K463" s="13">
        <f>SUMIFS(data!E:E,data!A:A,TABLEAU!B463,data!C:C,TABLEAU!D463,data!F:F,YEAR(Feuil1!$D$2))</f>
        <v>12</v>
      </c>
      <c r="L463" s="13">
        <f t="shared" si="30"/>
        <v>0</v>
      </c>
      <c r="M463" s="12">
        <f t="shared" si="31"/>
        <v>0</v>
      </c>
    </row>
    <row r="464" spans="1:13" x14ac:dyDescent="0.25">
      <c r="A464" s="17" t="str">
        <f>data!H767</f>
        <v>VINICOM</v>
      </c>
      <c r="B464" s="15" t="str">
        <f>data!A767</f>
        <v>036</v>
      </c>
      <c r="C464" s="1" t="str">
        <f>data!B767</f>
        <v>CASTELBARRY</v>
      </c>
      <c r="D464" s="1" t="str">
        <f>data!C767</f>
        <v>036001</v>
      </c>
      <c r="E464" s="1" t="str">
        <f>data!D464</f>
        <v>CAISSE BOIS 3 BOUTEILLES</v>
      </c>
      <c r="F464" s="14">
        <f>SUMIFS(data!G:G,data!A:A,TABLEAU!B464,data!C:C,TABLEAU!D464,data!F:F,YEAR(Feuil1!$D$1))</f>
        <v>5399.3</v>
      </c>
      <c r="G464" s="9">
        <f>SUMIFS(data!G:G,data!A:A,TABLEAU!B464,data!C:C,TABLEAU!D464,data!F:F,YEAR(Feuil1!$D$2))</f>
        <v>4075.2</v>
      </c>
      <c r="H464" s="9">
        <f t="shared" si="28"/>
        <v>1324.1000000000004</v>
      </c>
      <c r="I464" s="12">
        <f t="shared" si="29"/>
        <v>0.32491656851197498</v>
      </c>
      <c r="J464" s="13">
        <f>SUMIFS(data!E:E,data!A:A,TABLEAU!B464,data!C:C,TABLEAU!D464,data!F:F,YEAR(Feuil1!$D$1))</f>
        <v>1956</v>
      </c>
      <c r="K464" s="13">
        <f>SUMIFS(data!E:E,data!A:A,TABLEAU!B464,data!C:C,TABLEAU!D464,data!F:F,YEAR(Feuil1!$D$2))</f>
        <v>1536</v>
      </c>
      <c r="L464" s="13">
        <f t="shared" si="30"/>
        <v>420</v>
      </c>
      <c r="M464" s="12">
        <f t="shared" si="31"/>
        <v>0.2734375</v>
      </c>
    </row>
    <row r="465" spans="1:13" x14ac:dyDescent="0.25">
      <c r="A465" s="17" t="str">
        <f>data!H769</f>
        <v>VINICOM</v>
      </c>
      <c r="B465" s="15" t="str">
        <f>data!A769</f>
        <v>036</v>
      </c>
      <c r="C465" s="1" t="str">
        <f>data!B769</f>
        <v>CASTELBARRY</v>
      </c>
      <c r="D465" s="1" t="str">
        <f>data!C769</f>
        <v>036002</v>
      </c>
      <c r="E465" s="1" t="str">
        <f>data!D465</f>
        <v>CAISSE BOIS 3 BOUTEILLES</v>
      </c>
      <c r="F465" s="14">
        <f>SUMIFS(data!G:G,data!A:A,TABLEAU!B465,data!C:C,TABLEAU!D465,data!F:F,YEAR(Feuil1!$D$1))</f>
        <v>336.3</v>
      </c>
      <c r="G465" s="9">
        <f>SUMIFS(data!G:G,data!A:A,TABLEAU!B465,data!C:C,TABLEAU!D465,data!F:F,YEAR(Feuil1!$D$2))</f>
        <v>782.4</v>
      </c>
      <c r="H465" s="9">
        <f t="shared" si="28"/>
        <v>-446.09999999999997</v>
      </c>
      <c r="I465" s="12">
        <f t="shared" si="29"/>
        <v>-0.57016871165644167</v>
      </c>
      <c r="J465" s="13">
        <f>SUMIFS(data!E:E,data!A:A,TABLEAU!B465,data!C:C,TABLEAU!D465,data!F:F,YEAR(Feuil1!$D$1))</f>
        <v>120</v>
      </c>
      <c r="K465" s="13">
        <f>SUMIFS(data!E:E,data!A:A,TABLEAU!B465,data!C:C,TABLEAU!D465,data!F:F,YEAR(Feuil1!$D$2))</f>
        <v>294</v>
      </c>
      <c r="L465" s="13">
        <f t="shared" si="30"/>
        <v>-174</v>
      </c>
      <c r="M465" s="12">
        <f t="shared" si="31"/>
        <v>-0.59183673469387754</v>
      </c>
    </row>
    <row r="466" spans="1:13" x14ac:dyDescent="0.25">
      <c r="A466" s="17" t="str">
        <f>data!H771</f>
        <v>VINICOM</v>
      </c>
      <c r="B466" s="15" t="str">
        <f>data!A771</f>
        <v>036</v>
      </c>
      <c r="C466" s="1" t="str">
        <f>data!B771</f>
        <v>CASTELBARRY</v>
      </c>
      <c r="D466" s="1" t="str">
        <f>data!C771</f>
        <v>036008</v>
      </c>
      <c r="E466" s="1" t="str">
        <f>data!D466</f>
        <v>CAISSE BOIS 1 BOUTEILLE</v>
      </c>
      <c r="F466" s="14">
        <f>SUMIFS(data!G:G,data!A:A,TABLEAU!B466,data!C:C,TABLEAU!D466,data!F:F,YEAR(Feuil1!$D$1))</f>
        <v>62</v>
      </c>
      <c r="G466" s="9">
        <f>SUMIFS(data!G:G,data!A:A,TABLEAU!B466,data!C:C,TABLEAU!D466,data!F:F,YEAR(Feuil1!$D$2))</f>
        <v>186</v>
      </c>
      <c r="H466" s="9">
        <f t="shared" si="28"/>
        <v>-124</v>
      </c>
      <c r="I466" s="12">
        <f t="shared" si="29"/>
        <v>-0.66666666666666663</v>
      </c>
      <c r="J466" s="13">
        <f>SUMIFS(data!E:E,data!A:A,TABLEAU!B466,data!C:C,TABLEAU!D466,data!F:F,YEAR(Feuil1!$D$1))</f>
        <v>66.650000000000006</v>
      </c>
      <c r="K466" s="13">
        <f>SUMIFS(data!E:E,data!A:A,TABLEAU!B466,data!C:C,TABLEAU!D466,data!F:F,YEAR(Feuil1!$D$2))</f>
        <v>213.28000000000003</v>
      </c>
      <c r="L466" s="13">
        <f t="shared" si="30"/>
        <v>-146.63000000000002</v>
      </c>
      <c r="M466" s="12">
        <f t="shared" si="31"/>
        <v>-0.6875</v>
      </c>
    </row>
    <row r="467" spans="1:13" x14ac:dyDescent="0.25">
      <c r="A467" s="17" t="str">
        <f>data!H773</f>
        <v>VINICOM</v>
      </c>
      <c r="B467" s="15" t="str">
        <f>data!A773</f>
        <v>036</v>
      </c>
      <c r="C467" s="1" t="str">
        <f>data!B773</f>
        <v>CASTELBARRY</v>
      </c>
      <c r="D467" s="1" t="str">
        <f>data!C773</f>
        <v>036010</v>
      </c>
      <c r="E467" s="1" t="str">
        <f>data!D467</f>
        <v>CAISSE BOIS 1 BOUTEILLE</v>
      </c>
      <c r="F467" s="14">
        <f>SUMIFS(data!G:G,data!A:A,TABLEAU!B467,data!C:C,TABLEAU!D467,data!F:F,YEAR(Feuil1!$D$1))</f>
        <v>768.15</v>
      </c>
      <c r="G467" s="9">
        <f>SUMIFS(data!G:G,data!A:A,TABLEAU!B467,data!C:C,TABLEAU!D467,data!F:F,YEAR(Feuil1!$D$2))</f>
        <v>1347.6</v>
      </c>
      <c r="H467" s="9">
        <f t="shared" si="28"/>
        <v>-579.44999999999993</v>
      </c>
      <c r="I467" s="12">
        <f t="shared" si="29"/>
        <v>-0.42998664292074795</v>
      </c>
      <c r="J467" s="13">
        <f>SUMIFS(data!E:E,data!A:A,TABLEAU!B467,data!C:C,TABLEAU!D467,data!F:F,YEAR(Feuil1!$D$1))</f>
        <v>813.13000000000011</v>
      </c>
      <c r="K467" s="13">
        <f>SUMIFS(data!E:E,data!A:A,TABLEAU!B467,data!C:C,TABLEAU!D467,data!F:F,YEAR(Feuil1!$D$2))</f>
        <v>1452.9700000000003</v>
      </c>
      <c r="L467" s="13">
        <f t="shared" si="30"/>
        <v>-639.84000000000015</v>
      </c>
      <c r="M467" s="12">
        <f t="shared" si="31"/>
        <v>-0.44036697247706424</v>
      </c>
    </row>
    <row r="468" spans="1:13" x14ac:dyDescent="0.25">
      <c r="A468" s="17" t="str">
        <f>data!H775</f>
        <v>VINICOM</v>
      </c>
      <c r="B468" s="15" t="str">
        <f>data!A775</f>
        <v>036</v>
      </c>
      <c r="C468" s="1" t="str">
        <f>data!B775</f>
        <v>CASTELBARRY</v>
      </c>
      <c r="D468" s="1" t="str">
        <f>data!C775</f>
        <v>036011</v>
      </c>
      <c r="E468" s="1" t="str">
        <f>data!D468</f>
        <v>CAISSE BOIS 6 BOUTEILLES COUCHEES (1x6)</v>
      </c>
      <c r="F468" s="14">
        <f>SUMIFS(data!G:G,data!A:A,TABLEAU!B468,data!C:C,TABLEAU!D468,data!F:F,YEAR(Feuil1!$D$1))</f>
        <v>546.75</v>
      </c>
      <c r="G468" s="9">
        <f>SUMIFS(data!G:G,data!A:A,TABLEAU!B468,data!C:C,TABLEAU!D468,data!F:F,YEAR(Feuil1!$D$2))</f>
        <v>1046.4000000000001</v>
      </c>
      <c r="H468" s="9">
        <f t="shared" si="28"/>
        <v>-499.65000000000009</v>
      </c>
      <c r="I468" s="12">
        <f t="shared" si="29"/>
        <v>-0.47749426605504591</v>
      </c>
      <c r="J468" s="13">
        <f>SUMIFS(data!E:E,data!A:A,TABLEAU!B468,data!C:C,TABLEAU!D468,data!F:F,YEAR(Feuil1!$D$1))</f>
        <v>540.26999999999987</v>
      </c>
      <c r="K468" s="13">
        <f>SUMIFS(data!E:E,data!A:A,TABLEAU!B468,data!C:C,TABLEAU!D468,data!F:F,YEAR(Feuil1!$D$2))</f>
        <v>1067.1999999999998</v>
      </c>
      <c r="L468" s="13">
        <f t="shared" si="30"/>
        <v>-526.92999999999995</v>
      </c>
      <c r="M468" s="12">
        <f t="shared" si="31"/>
        <v>-0.49375000000000002</v>
      </c>
    </row>
    <row r="469" spans="1:13" x14ac:dyDescent="0.25">
      <c r="A469" s="17" t="str">
        <f>data!H777</f>
        <v>VINICOM</v>
      </c>
      <c r="B469" s="15" t="str">
        <f>data!A777</f>
        <v>036</v>
      </c>
      <c r="C469" s="1" t="str">
        <f>data!B777</f>
        <v>CASTELBARRY</v>
      </c>
      <c r="D469" s="1" t="str">
        <f>data!C777</f>
        <v>036030</v>
      </c>
      <c r="E469" s="1" t="str">
        <f>data!D469</f>
        <v>CAISSE BOIS 6 BOUTEILLES COUCHEES (1x6)</v>
      </c>
      <c r="F469" s="14">
        <f>SUMIFS(data!G:G,data!A:A,TABLEAU!B469,data!C:C,TABLEAU!D469,data!F:F,YEAR(Feuil1!$D$1))</f>
        <v>0</v>
      </c>
      <c r="G469" s="9">
        <f>SUMIFS(data!G:G,data!A:A,TABLEAU!B469,data!C:C,TABLEAU!D469,data!F:F,YEAR(Feuil1!$D$2))</f>
        <v>126</v>
      </c>
      <c r="H469" s="9">
        <f t="shared" si="28"/>
        <v>-126</v>
      </c>
      <c r="I469" s="12">
        <f t="shared" si="29"/>
        <v>-1</v>
      </c>
      <c r="J469" s="13">
        <f>SUMIFS(data!E:E,data!A:A,TABLEAU!B469,data!C:C,TABLEAU!D469,data!F:F,YEAR(Feuil1!$D$1))</f>
        <v>0</v>
      </c>
      <c r="K469" s="13">
        <f>SUMIFS(data!E:E,data!A:A,TABLEAU!B469,data!C:C,TABLEAU!D469,data!F:F,YEAR(Feuil1!$D$2))</f>
        <v>60</v>
      </c>
      <c r="L469" s="13">
        <f t="shared" si="30"/>
        <v>-60</v>
      </c>
      <c r="M469" s="12">
        <f t="shared" si="31"/>
        <v>-1</v>
      </c>
    </row>
    <row r="470" spans="1:13" x14ac:dyDescent="0.25">
      <c r="A470" s="17" t="str">
        <f>data!H778</f>
        <v>VINICOM</v>
      </c>
      <c r="B470" s="15" t="str">
        <f>data!A778</f>
        <v>037</v>
      </c>
      <c r="C470" s="1" t="str">
        <f>data!B778</f>
        <v>SARL RAFFAULT</v>
      </c>
      <c r="D470" s="1" t="str">
        <f>data!C778</f>
        <v>037001</v>
      </c>
      <c r="E470" s="1" t="str">
        <f>data!D470</f>
        <v>CAISSES BOIS 4 BOUTEILLES</v>
      </c>
      <c r="F470" s="14">
        <f>SUMIFS(data!G:G,data!A:A,TABLEAU!B470,data!C:C,TABLEAU!D470,data!F:F,YEAR(Feuil1!$D$1))</f>
        <v>118.32</v>
      </c>
      <c r="G470" s="9">
        <f>SUMIFS(data!G:G,data!A:A,TABLEAU!B470,data!C:C,TABLEAU!D470,data!F:F,YEAR(Feuil1!$D$2))</f>
        <v>118.32</v>
      </c>
      <c r="H470" s="9">
        <f t="shared" si="28"/>
        <v>0</v>
      </c>
      <c r="I470" s="12">
        <f t="shared" si="29"/>
        <v>0</v>
      </c>
      <c r="J470" s="13">
        <f>SUMIFS(data!E:E,data!A:A,TABLEAU!B470,data!C:C,TABLEAU!D470,data!F:F,YEAR(Feuil1!$D$1))</f>
        <v>24</v>
      </c>
      <c r="K470" s="13">
        <f>SUMIFS(data!E:E,data!A:A,TABLEAU!B470,data!C:C,TABLEAU!D470,data!F:F,YEAR(Feuil1!$D$2))</f>
        <v>24</v>
      </c>
      <c r="L470" s="13">
        <f t="shared" si="30"/>
        <v>0</v>
      </c>
      <c r="M470" s="12">
        <f t="shared" si="31"/>
        <v>0</v>
      </c>
    </row>
    <row r="471" spans="1:13" x14ac:dyDescent="0.25">
      <c r="A471" s="17" t="str">
        <f>data!H780</f>
        <v>VINICOM</v>
      </c>
      <c r="B471" s="15" t="str">
        <f>data!A780</f>
        <v>037</v>
      </c>
      <c r="C471" s="1" t="str">
        <f>data!B780</f>
        <v>SARL RAFFAULT</v>
      </c>
      <c r="D471" s="1" t="str">
        <f>data!C780</f>
        <v>037002</v>
      </c>
      <c r="E471" s="1" t="str">
        <f>data!D471</f>
        <v>CAISSES BOIS 4 BOUTEILLES</v>
      </c>
      <c r="F471" s="14">
        <f>SUMIFS(data!G:G,data!A:A,TABLEAU!B471,data!C:C,TABLEAU!D471,data!F:F,YEAR(Feuil1!$D$1))</f>
        <v>103.68</v>
      </c>
      <c r="G471" s="9">
        <f>SUMIFS(data!G:G,data!A:A,TABLEAU!B471,data!C:C,TABLEAU!D471,data!F:F,YEAR(Feuil1!$D$2))</f>
        <v>126.72</v>
      </c>
      <c r="H471" s="9">
        <f t="shared" si="28"/>
        <v>-23.039999999999992</v>
      </c>
      <c r="I471" s="12">
        <f t="shared" si="29"/>
        <v>-0.18181818181818177</v>
      </c>
      <c r="J471" s="13">
        <f>SUMIFS(data!E:E,data!A:A,TABLEAU!B471,data!C:C,TABLEAU!D471,data!F:F,YEAR(Feuil1!$D$1))</f>
        <v>18</v>
      </c>
      <c r="K471" s="13">
        <f>SUMIFS(data!E:E,data!A:A,TABLEAU!B471,data!C:C,TABLEAU!D471,data!F:F,YEAR(Feuil1!$D$2))</f>
        <v>22</v>
      </c>
      <c r="L471" s="13">
        <f t="shared" si="30"/>
        <v>-4</v>
      </c>
      <c r="M471" s="12">
        <f t="shared" si="31"/>
        <v>-0.18181818181818182</v>
      </c>
    </row>
    <row r="472" spans="1:13" x14ac:dyDescent="0.25">
      <c r="A472" s="17" t="str">
        <f>data!H782</f>
        <v>VINICOM</v>
      </c>
      <c r="B472" s="15" t="str">
        <f>data!A782</f>
        <v>037</v>
      </c>
      <c r="C472" s="1" t="str">
        <f>data!B782</f>
        <v>SARL RAFFAULT</v>
      </c>
      <c r="D472" s="1" t="str">
        <f>data!C782</f>
        <v>037003</v>
      </c>
      <c r="E472" s="1" t="str">
        <f>data!D472</f>
        <v>75 cl COTES DU JURA - SAVAGNIN - DME GRAND BLANC</v>
      </c>
      <c r="F472" s="14">
        <f>SUMIFS(data!G:G,data!A:A,TABLEAU!B472,data!C:C,TABLEAU!D472,data!F:F,YEAR(Feuil1!$D$1))</f>
        <v>2317.1999999999998</v>
      </c>
      <c r="G472" s="9">
        <f>SUMIFS(data!G:G,data!A:A,TABLEAU!B472,data!C:C,TABLEAU!D472,data!F:F,YEAR(Feuil1!$D$2))</f>
        <v>2641.8</v>
      </c>
      <c r="H472" s="9">
        <f t="shared" si="28"/>
        <v>-324.60000000000036</v>
      </c>
      <c r="I472" s="12">
        <f t="shared" si="29"/>
        <v>-0.12287076992959359</v>
      </c>
      <c r="J472" s="13">
        <f>SUMIFS(data!E:E,data!A:A,TABLEAU!B472,data!C:C,TABLEAU!D472,data!F:F,YEAR(Feuil1!$D$1))</f>
        <v>624</v>
      </c>
      <c r="K472" s="13">
        <f>SUMIFS(data!E:E,data!A:A,TABLEAU!B472,data!C:C,TABLEAU!D472,data!F:F,YEAR(Feuil1!$D$2))</f>
        <v>732</v>
      </c>
      <c r="L472" s="13">
        <f t="shared" si="30"/>
        <v>-108</v>
      </c>
      <c r="M472" s="12">
        <f t="shared" si="31"/>
        <v>-0.14754098360655737</v>
      </c>
    </row>
    <row r="473" spans="1:13" x14ac:dyDescent="0.25">
      <c r="A473" s="17" t="str">
        <f>data!H784</f>
        <v>VINICOM</v>
      </c>
      <c r="B473" s="15" t="str">
        <f>data!A784</f>
        <v>037</v>
      </c>
      <c r="C473" s="1" t="str">
        <f>data!B784</f>
        <v>SARL RAFFAULT</v>
      </c>
      <c r="D473" s="1" t="str">
        <f>data!C784</f>
        <v>037005</v>
      </c>
      <c r="E473" s="1" t="str">
        <f>data!D473</f>
        <v>75 cl COTES DU JURA - SAVAGNIN - DME GRAND BLANC</v>
      </c>
      <c r="F473" s="14">
        <f>SUMIFS(data!G:G,data!A:A,TABLEAU!B473,data!C:C,TABLEAU!D473,data!F:F,YEAR(Feuil1!$D$1))</f>
        <v>115.5</v>
      </c>
      <c r="G473" s="9">
        <f>SUMIFS(data!G:G,data!A:A,TABLEAU!B473,data!C:C,TABLEAU!D473,data!F:F,YEAR(Feuil1!$D$2))</f>
        <v>310.8</v>
      </c>
      <c r="H473" s="9">
        <f t="shared" si="28"/>
        <v>-195.3</v>
      </c>
      <c r="I473" s="12">
        <f t="shared" si="29"/>
        <v>-0.6283783783783784</v>
      </c>
      <c r="J473" s="13">
        <f>SUMIFS(data!E:E,data!A:A,TABLEAU!B473,data!C:C,TABLEAU!D473,data!F:F,YEAR(Feuil1!$D$1))</f>
        <v>276</v>
      </c>
      <c r="K473" s="13">
        <f>SUMIFS(data!E:E,data!A:A,TABLEAU!B473,data!C:C,TABLEAU!D473,data!F:F,YEAR(Feuil1!$D$2))</f>
        <v>84</v>
      </c>
      <c r="L473" s="13">
        <f t="shared" si="30"/>
        <v>192</v>
      </c>
      <c r="M473" s="12">
        <f t="shared" si="31"/>
        <v>2.2857142857142856</v>
      </c>
    </row>
    <row r="474" spans="1:13" x14ac:dyDescent="0.25">
      <c r="A474" s="17" t="str">
        <f>data!H786</f>
        <v>VINICOM</v>
      </c>
      <c r="B474" s="15" t="str">
        <f>data!A786</f>
        <v>037</v>
      </c>
      <c r="C474" s="1" t="str">
        <f>data!B786</f>
        <v>SARL RAFFAULT</v>
      </c>
      <c r="D474" s="1" t="str">
        <f>data!C786</f>
        <v>037006</v>
      </c>
      <c r="E474" s="1" t="str">
        <f>data!D474</f>
        <v>AC CHAMPAGNE PANNIER BRUT SELECTION</v>
      </c>
      <c r="F474" s="14">
        <f>SUMIFS(data!G:G,data!A:A,TABLEAU!B474,data!C:C,TABLEAU!D474,data!F:F,YEAR(Feuil1!$D$1))</f>
        <v>56.64</v>
      </c>
      <c r="G474" s="9">
        <f>SUMIFS(data!G:G,data!A:A,TABLEAU!B474,data!C:C,TABLEAU!D474,data!F:F,YEAR(Feuil1!$D$2))</f>
        <v>103.84</v>
      </c>
      <c r="H474" s="9">
        <f t="shared" si="28"/>
        <v>-47.2</v>
      </c>
      <c r="I474" s="12">
        <f t="shared" si="29"/>
        <v>-0.45454545454545453</v>
      </c>
      <c r="J474" s="13">
        <f>SUMIFS(data!E:E,data!A:A,TABLEAU!B474,data!C:C,TABLEAU!D474,data!F:F,YEAR(Feuil1!$D$1))</f>
        <v>12</v>
      </c>
      <c r="K474" s="13">
        <f>SUMIFS(data!E:E,data!A:A,TABLEAU!B474,data!C:C,TABLEAU!D474,data!F:F,YEAR(Feuil1!$D$2))</f>
        <v>22</v>
      </c>
      <c r="L474" s="13">
        <f t="shared" si="30"/>
        <v>-10</v>
      </c>
      <c r="M474" s="12">
        <f t="shared" si="31"/>
        <v>-0.45454545454545453</v>
      </c>
    </row>
    <row r="475" spans="1:13" x14ac:dyDescent="0.25">
      <c r="A475" s="17" t="str">
        <f>data!H788</f>
        <v>VINICOM</v>
      </c>
      <c r="B475" s="15" t="str">
        <f>data!A788</f>
        <v>037</v>
      </c>
      <c r="C475" s="1" t="str">
        <f>data!B788</f>
        <v>SARL RAFFAULT</v>
      </c>
      <c r="D475" s="1" t="str">
        <f>data!C788</f>
        <v>037010</v>
      </c>
      <c r="E475" s="1" t="str">
        <f>data!D475</f>
        <v>AC CHAMPAGNE PANNIER BRUT SELECTION</v>
      </c>
      <c r="F475" s="14">
        <f>SUMIFS(data!G:G,data!A:A,TABLEAU!B475,data!C:C,TABLEAU!D475,data!F:F,YEAR(Feuil1!$D$1))</f>
        <v>3348.3</v>
      </c>
      <c r="G475" s="9">
        <f>SUMIFS(data!G:G,data!A:A,TABLEAU!B475,data!C:C,TABLEAU!D475,data!F:F,YEAR(Feuil1!$D$2))</f>
        <v>3385.2</v>
      </c>
      <c r="H475" s="9">
        <f t="shared" si="28"/>
        <v>-36.899999999999636</v>
      </c>
      <c r="I475" s="12">
        <f t="shared" si="29"/>
        <v>-1.0900389932647891E-2</v>
      </c>
      <c r="J475" s="13">
        <f>SUMIFS(data!E:E,data!A:A,TABLEAU!B475,data!C:C,TABLEAU!D475,data!F:F,YEAR(Feuil1!$D$1))</f>
        <v>726</v>
      </c>
      <c r="K475" s="13">
        <f>SUMIFS(data!E:E,data!A:A,TABLEAU!B475,data!C:C,TABLEAU!D475,data!F:F,YEAR(Feuil1!$D$2))</f>
        <v>756</v>
      </c>
      <c r="L475" s="13">
        <f t="shared" si="30"/>
        <v>-30</v>
      </c>
      <c r="M475" s="12">
        <f t="shared" si="31"/>
        <v>-3.968253968253968E-2</v>
      </c>
    </row>
    <row r="476" spans="1:13" x14ac:dyDescent="0.25">
      <c r="A476" s="17" t="str">
        <f>data!H790</f>
        <v>VINICOM</v>
      </c>
      <c r="B476" s="15" t="str">
        <f>data!A790</f>
        <v>037</v>
      </c>
      <c r="C476" s="1" t="str">
        <f>data!B790</f>
        <v>SARL RAFFAULT</v>
      </c>
      <c r="D476" s="1" t="str">
        <f>data!C790</f>
        <v>037011</v>
      </c>
      <c r="E476" s="1" t="str">
        <f>data!D476</f>
        <v>AC CHAMPAGNE PANNIER BRUT SELECTION</v>
      </c>
      <c r="F476" s="14">
        <f>SUMIFS(data!G:G,data!A:A,TABLEAU!B476,data!C:C,TABLEAU!D476,data!F:F,YEAR(Feuil1!$D$1))</f>
        <v>0</v>
      </c>
      <c r="G476" s="9">
        <f>SUMIFS(data!G:G,data!A:A,TABLEAU!B476,data!C:C,TABLEAU!D476,data!F:F,YEAR(Feuil1!$D$2))</f>
        <v>168.68</v>
      </c>
      <c r="H476" s="9">
        <f t="shared" si="28"/>
        <v>-168.68</v>
      </c>
      <c r="I476" s="12">
        <f t="shared" si="29"/>
        <v>-1</v>
      </c>
      <c r="J476" s="13">
        <f>SUMIFS(data!E:E,data!A:A,TABLEAU!B476,data!C:C,TABLEAU!D476,data!F:F,YEAR(Feuil1!$D$1))</f>
        <v>18</v>
      </c>
      <c r="K476" s="13">
        <f>SUMIFS(data!E:E,data!A:A,TABLEAU!B476,data!C:C,TABLEAU!D476,data!F:F,YEAR(Feuil1!$D$2))</f>
        <v>28</v>
      </c>
      <c r="L476" s="13">
        <f t="shared" si="30"/>
        <v>-10</v>
      </c>
      <c r="M476" s="12">
        <f t="shared" si="31"/>
        <v>-0.35714285714285715</v>
      </c>
    </row>
    <row r="477" spans="1:13" x14ac:dyDescent="0.25">
      <c r="A477" s="17" t="str">
        <f>data!H792</f>
        <v>VINICOM</v>
      </c>
      <c r="B477" s="15" t="str">
        <f>data!A792</f>
        <v>039</v>
      </c>
      <c r="C477" s="1" t="str">
        <f>data!B792</f>
        <v>LES VIGNERONS DES COTES D'AGLY</v>
      </c>
      <c r="D477" s="1" t="str">
        <f>data!C792</f>
        <v>039002</v>
      </c>
      <c r="E477" s="1" t="str">
        <f>data!D477</f>
        <v>AC CHAMPAGNE PANNIER BRUT SELECTION</v>
      </c>
      <c r="F477" s="14">
        <f>SUMIFS(data!G:G,data!A:A,TABLEAU!B477,data!C:C,TABLEAU!D477,data!F:F,YEAR(Feuil1!$D$1))</f>
        <v>270.26</v>
      </c>
      <c r="G477" s="9">
        <f>SUMIFS(data!G:G,data!A:A,TABLEAU!B477,data!C:C,TABLEAU!D477,data!F:F,YEAR(Feuil1!$D$2))</f>
        <v>228.6</v>
      </c>
      <c r="H477" s="9">
        <f t="shared" si="28"/>
        <v>41.66</v>
      </c>
      <c r="I477" s="12">
        <f t="shared" si="29"/>
        <v>0.18223972003499561</v>
      </c>
      <c r="J477" s="13">
        <f>SUMIFS(data!E:E,data!A:A,TABLEAU!B477,data!C:C,TABLEAU!D477,data!F:F,YEAR(Feuil1!$D$1))</f>
        <v>100.05000000000001</v>
      </c>
      <c r="K477" s="13">
        <f>SUMIFS(data!E:E,data!A:A,TABLEAU!B477,data!C:C,TABLEAU!D477,data!F:F,YEAR(Feuil1!$D$2))</f>
        <v>86.710000000000008</v>
      </c>
      <c r="L477" s="13">
        <f t="shared" si="30"/>
        <v>13.340000000000003</v>
      </c>
      <c r="M477" s="12">
        <f t="shared" si="31"/>
        <v>0.15384615384615388</v>
      </c>
    </row>
    <row r="478" spans="1:13" x14ac:dyDescent="0.25">
      <c r="A478" s="17" t="str">
        <f>data!H794</f>
        <v>VINICOM</v>
      </c>
      <c r="B478" s="15" t="str">
        <f>data!A794</f>
        <v>039</v>
      </c>
      <c r="C478" s="1" t="str">
        <f>data!B794</f>
        <v>LES VIGNERONS DES COTES D'AGLY</v>
      </c>
      <c r="D478" s="1" t="str">
        <f>data!C794</f>
        <v>039005</v>
      </c>
      <c r="E478" s="1" t="str">
        <f>data!D478</f>
        <v>AC CHAMPAGNE PANNIER BRUT SELECTION</v>
      </c>
      <c r="F478" s="14">
        <f>SUMIFS(data!G:G,data!A:A,TABLEAU!B478,data!C:C,TABLEAU!D478,data!F:F,YEAR(Feuil1!$D$1))</f>
        <v>0</v>
      </c>
      <c r="G478" s="9">
        <f>SUMIFS(data!G:G,data!A:A,TABLEAU!B478,data!C:C,TABLEAU!D478,data!F:F,YEAR(Feuil1!$D$2))</f>
        <v>0</v>
      </c>
      <c r="H478" s="9">
        <f t="shared" si="28"/>
        <v>0</v>
      </c>
      <c r="I478" s="12" t="str">
        <f t="shared" si="29"/>
        <v/>
      </c>
      <c r="J478" s="13">
        <f>SUMIFS(data!E:E,data!A:A,TABLEAU!B478,data!C:C,TABLEAU!D478,data!F:F,YEAR(Feuil1!$D$1))</f>
        <v>0</v>
      </c>
      <c r="K478" s="13">
        <f>SUMIFS(data!E:E,data!A:A,TABLEAU!B478,data!C:C,TABLEAU!D478,data!F:F,YEAR(Feuil1!$D$2))</f>
        <v>359.91</v>
      </c>
      <c r="L478" s="13">
        <f t="shared" si="30"/>
        <v>-359.91</v>
      </c>
      <c r="M478" s="12">
        <f t="shared" si="31"/>
        <v>-1</v>
      </c>
    </row>
    <row r="479" spans="1:13" x14ac:dyDescent="0.25">
      <c r="A479" s="17" t="str">
        <f>data!H795</f>
        <v>VINICOM</v>
      </c>
      <c r="B479" s="15" t="str">
        <f>data!A795</f>
        <v>039</v>
      </c>
      <c r="C479" s="1" t="str">
        <f>data!B795</f>
        <v>LES VIGNERONS DES COTES D'AGLY</v>
      </c>
      <c r="D479" s="1" t="str">
        <f>data!C795</f>
        <v>039006</v>
      </c>
      <c r="E479" s="1" t="str">
        <f>data!D479</f>
        <v>AC CHAMPAGNE PANNIER BRUT SELECTION</v>
      </c>
      <c r="F479" s="14">
        <f>SUMIFS(data!G:G,data!A:A,TABLEAU!B479,data!C:C,TABLEAU!D479,data!F:F,YEAR(Feuil1!$D$1))</f>
        <v>0</v>
      </c>
      <c r="G479" s="9">
        <f>SUMIFS(data!G:G,data!A:A,TABLEAU!B479,data!C:C,TABLEAU!D479,data!F:F,YEAR(Feuil1!$D$2))</f>
        <v>0</v>
      </c>
      <c r="H479" s="9">
        <f t="shared" si="28"/>
        <v>0</v>
      </c>
      <c r="I479" s="12" t="str">
        <f t="shared" si="29"/>
        <v/>
      </c>
      <c r="J479" s="13">
        <f>SUMIFS(data!E:E,data!A:A,TABLEAU!B479,data!C:C,TABLEAU!D479,data!F:F,YEAR(Feuil1!$D$1))</f>
        <v>0</v>
      </c>
      <c r="K479" s="13">
        <f>SUMIFS(data!E:E,data!A:A,TABLEAU!B479,data!C:C,TABLEAU!D479,data!F:F,YEAR(Feuil1!$D$2))</f>
        <v>166.75</v>
      </c>
      <c r="L479" s="13">
        <f t="shared" si="30"/>
        <v>-166.75</v>
      </c>
      <c r="M479" s="12">
        <f t="shared" si="31"/>
        <v>-1</v>
      </c>
    </row>
    <row r="480" spans="1:13" x14ac:dyDescent="0.25">
      <c r="A480" s="17" t="str">
        <f>data!H796</f>
        <v>VINICOM</v>
      </c>
      <c r="B480" s="15" t="str">
        <f>data!A796</f>
        <v>039</v>
      </c>
      <c r="C480" s="1" t="str">
        <f>data!B796</f>
        <v>LES VIGNERONS DES COTES D'AGLY</v>
      </c>
      <c r="D480" s="1" t="str">
        <f>data!C796</f>
        <v>039013</v>
      </c>
      <c r="E480" s="1" t="str">
        <f>data!D480</f>
        <v>AC CHAMPAGNE PANNIER BRUT SELECTION</v>
      </c>
      <c r="F480" s="14">
        <f>SUMIFS(data!G:G,data!A:A,TABLEAU!B480,data!C:C,TABLEAU!D480,data!F:F,YEAR(Feuil1!$D$1))</f>
        <v>559.67999999999995</v>
      </c>
      <c r="G480" s="9">
        <f>SUMIFS(data!G:G,data!A:A,TABLEAU!B480,data!C:C,TABLEAU!D480,data!F:F,YEAR(Feuil1!$D$2))</f>
        <v>852.48</v>
      </c>
      <c r="H480" s="9">
        <f t="shared" si="28"/>
        <v>-292.80000000000007</v>
      </c>
      <c r="I480" s="12">
        <f t="shared" si="29"/>
        <v>-0.34346846846846857</v>
      </c>
      <c r="J480" s="13">
        <f>SUMIFS(data!E:E,data!A:A,TABLEAU!B480,data!C:C,TABLEAU!D480,data!F:F,YEAR(Feuil1!$D$1))</f>
        <v>132</v>
      </c>
      <c r="K480" s="13">
        <f>SUMIFS(data!E:E,data!A:A,TABLEAU!B480,data!C:C,TABLEAU!D480,data!F:F,YEAR(Feuil1!$D$2))</f>
        <v>204</v>
      </c>
      <c r="L480" s="13">
        <f t="shared" si="30"/>
        <v>-72</v>
      </c>
      <c r="M480" s="12">
        <f t="shared" si="31"/>
        <v>-0.35294117647058826</v>
      </c>
    </row>
    <row r="481" spans="1:13" x14ac:dyDescent="0.25">
      <c r="A481" s="17" t="str">
        <f>data!H798</f>
        <v>VINICOM</v>
      </c>
      <c r="B481" s="15" t="str">
        <f>data!A798</f>
        <v>039</v>
      </c>
      <c r="C481" s="1" t="str">
        <f>data!B798</f>
        <v>LES VIGNERONS DES COTES D'AGLY</v>
      </c>
      <c r="D481" s="1" t="str">
        <f>data!C798</f>
        <v>039017</v>
      </c>
      <c r="E481" s="1" t="str">
        <f>data!D481</f>
        <v>AC CHAMPAGNE PANNIER BRUT SELECTION</v>
      </c>
      <c r="F481" s="14">
        <f>SUMIFS(data!G:G,data!A:A,TABLEAU!B481,data!C:C,TABLEAU!D481,data!F:F,YEAR(Feuil1!$D$1))</f>
        <v>1302</v>
      </c>
      <c r="G481" s="9">
        <f>SUMIFS(data!G:G,data!A:A,TABLEAU!B481,data!C:C,TABLEAU!D481,data!F:F,YEAR(Feuil1!$D$2))</f>
        <v>3066</v>
      </c>
      <c r="H481" s="9">
        <f t="shared" si="28"/>
        <v>-1764</v>
      </c>
      <c r="I481" s="12">
        <f t="shared" si="29"/>
        <v>-0.57534246575342463</v>
      </c>
      <c r="J481" s="13">
        <f>SUMIFS(data!E:E,data!A:A,TABLEAU!B481,data!C:C,TABLEAU!D481,data!F:F,YEAR(Feuil1!$D$1))</f>
        <v>378</v>
      </c>
      <c r="K481" s="13">
        <f>SUMIFS(data!E:E,data!A:A,TABLEAU!B481,data!C:C,TABLEAU!D481,data!F:F,YEAR(Feuil1!$D$2))</f>
        <v>876</v>
      </c>
      <c r="L481" s="13">
        <f t="shared" si="30"/>
        <v>-498</v>
      </c>
      <c r="M481" s="12">
        <f t="shared" si="31"/>
        <v>-0.56849315068493156</v>
      </c>
    </row>
    <row r="482" spans="1:13" x14ac:dyDescent="0.25">
      <c r="A482" s="17" t="str">
        <f>data!H800</f>
        <v>VINICOM</v>
      </c>
      <c r="B482" s="15" t="str">
        <f>data!A800</f>
        <v>039</v>
      </c>
      <c r="C482" s="1" t="str">
        <f>data!B800</f>
        <v>LES VIGNERONS DES COTES D'AGLY</v>
      </c>
      <c r="D482" s="1" t="str">
        <f>data!C800</f>
        <v>039018</v>
      </c>
      <c r="E482" s="1" t="str">
        <f>data!D482</f>
        <v>AC CHAMPAGNE PANNIER BRUT SELECTION</v>
      </c>
      <c r="F482" s="14">
        <f>SUMIFS(data!G:G,data!A:A,TABLEAU!B482,data!C:C,TABLEAU!D482,data!F:F,YEAR(Feuil1!$D$1))</f>
        <v>3119.76</v>
      </c>
      <c r="G482" s="9">
        <f>SUMIFS(data!G:G,data!A:A,TABLEAU!B482,data!C:C,TABLEAU!D482,data!F:F,YEAR(Feuil1!$D$2))</f>
        <v>3381.3</v>
      </c>
      <c r="H482" s="9">
        <f t="shared" si="28"/>
        <v>-261.53999999999996</v>
      </c>
      <c r="I482" s="12">
        <f t="shared" si="29"/>
        <v>-7.7348948629225436E-2</v>
      </c>
      <c r="J482" s="13">
        <f>SUMIFS(data!E:E,data!A:A,TABLEAU!B482,data!C:C,TABLEAU!D482,data!F:F,YEAR(Feuil1!$D$1))</f>
        <v>1314</v>
      </c>
      <c r="K482" s="13">
        <f>SUMIFS(data!E:E,data!A:A,TABLEAU!B482,data!C:C,TABLEAU!D482,data!F:F,YEAR(Feuil1!$D$2))</f>
        <v>1536</v>
      </c>
      <c r="L482" s="13">
        <f t="shared" si="30"/>
        <v>-222</v>
      </c>
      <c r="M482" s="12">
        <f t="shared" si="31"/>
        <v>-0.14453125</v>
      </c>
    </row>
    <row r="483" spans="1:13" x14ac:dyDescent="0.25">
      <c r="A483" s="17" t="str">
        <f>data!H802</f>
        <v>VINICOM</v>
      </c>
      <c r="B483" s="15" t="str">
        <f>data!A802</f>
        <v>039</v>
      </c>
      <c r="C483" s="1" t="str">
        <f>data!B802</f>
        <v>LES VIGNERONS DES COTES D'AGLY</v>
      </c>
      <c r="D483" s="1" t="str">
        <f>data!C802</f>
        <v>039028</v>
      </c>
      <c r="E483" s="1" t="str">
        <f>data!D483</f>
        <v>AC CHAMPAGNE PANNIER BRUT SELECTION</v>
      </c>
      <c r="F483" s="14">
        <f>SUMIFS(data!G:G,data!A:A,TABLEAU!B483,data!C:C,TABLEAU!D483,data!F:F,YEAR(Feuil1!$D$1))</f>
        <v>1908.24</v>
      </c>
      <c r="G483" s="9">
        <f>SUMIFS(data!G:G,data!A:A,TABLEAU!B483,data!C:C,TABLEAU!D483,data!F:F,YEAR(Feuil1!$D$2))</f>
        <v>5069.28</v>
      </c>
      <c r="H483" s="9">
        <f t="shared" si="28"/>
        <v>-3161.04</v>
      </c>
      <c r="I483" s="12">
        <f t="shared" si="29"/>
        <v>-0.62356784395417109</v>
      </c>
      <c r="J483" s="13">
        <f>SUMIFS(data!E:E,data!A:A,TABLEAU!B483,data!C:C,TABLEAU!D483,data!F:F,YEAR(Feuil1!$D$1))</f>
        <v>384</v>
      </c>
      <c r="K483" s="13">
        <f>SUMIFS(data!E:E,data!A:A,TABLEAU!B483,data!C:C,TABLEAU!D483,data!F:F,YEAR(Feuil1!$D$2))</f>
        <v>1086</v>
      </c>
      <c r="L483" s="13">
        <f t="shared" si="30"/>
        <v>-702</v>
      </c>
      <c r="M483" s="12">
        <f t="shared" si="31"/>
        <v>-0.64640883977900554</v>
      </c>
    </row>
    <row r="484" spans="1:13" x14ac:dyDescent="0.25">
      <c r="A484" s="17" t="str">
        <f>data!H804</f>
        <v>VINICOM</v>
      </c>
      <c r="B484" s="15" t="str">
        <f>data!A804</f>
        <v>039</v>
      </c>
      <c r="C484" s="1" t="str">
        <f>data!B804</f>
        <v>LES VIGNERONS DES COTES D'AGLY</v>
      </c>
      <c r="D484" s="1" t="str">
        <f>data!C804</f>
        <v>039030</v>
      </c>
      <c r="E484" s="1" t="str">
        <f>data!D484</f>
        <v>AC CHAMPAGNE BLANC DE BLANC VINTAGE</v>
      </c>
      <c r="F484" s="14">
        <f>SUMIFS(data!G:G,data!A:A,TABLEAU!B484,data!C:C,TABLEAU!D484,data!F:F,YEAR(Feuil1!$D$1))</f>
        <v>858.78</v>
      </c>
      <c r="G484" s="9">
        <f>SUMIFS(data!G:G,data!A:A,TABLEAU!B484,data!C:C,TABLEAU!D484,data!F:F,YEAR(Feuil1!$D$2))</f>
        <v>1299.5999999999999</v>
      </c>
      <c r="H484" s="9">
        <f t="shared" si="28"/>
        <v>-440.81999999999994</v>
      </c>
      <c r="I484" s="12">
        <f t="shared" si="29"/>
        <v>-0.33919667590027697</v>
      </c>
      <c r="J484" s="13">
        <f>SUMIFS(data!E:E,data!A:A,TABLEAU!B484,data!C:C,TABLEAU!D484,data!F:F,YEAR(Feuil1!$D$1))</f>
        <v>234</v>
      </c>
      <c r="K484" s="13">
        <f>SUMIFS(data!E:E,data!A:A,TABLEAU!B484,data!C:C,TABLEAU!D484,data!F:F,YEAR(Feuil1!$D$2))</f>
        <v>372</v>
      </c>
      <c r="L484" s="13">
        <f t="shared" si="30"/>
        <v>-138</v>
      </c>
      <c r="M484" s="12">
        <f t="shared" si="31"/>
        <v>-0.37096774193548387</v>
      </c>
    </row>
    <row r="485" spans="1:13" x14ac:dyDescent="0.25">
      <c r="A485" s="17" t="str">
        <f>data!H806</f>
        <v>VINICOM</v>
      </c>
      <c r="B485" s="15" t="str">
        <f>data!A806</f>
        <v>040</v>
      </c>
      <c r="C485" s="1" t="str">
        <f>data!B806</f>
        <v>CHÂTEAU DE LA GRAVE</v>
      </c>
      <c r="D485" s="1" t="str">
        <f>data!C806</f>
        <v>040004</v>
      </c>
      <c r="E485" s="1" t="str">
        <f>data!D485</f>
        <v>AC CHAMPAGNE EXTRA BRUT SELECTION - CHAMPAGNE PANN</v>
      </c>
      <c r="F485" s="14">
        <f>SUMIFS(data!G:G,data!A:A,TABLEAU!B485,data!C:C,TABLEAU!D485,data!F:F,YEAR(Feuil1!$D$1))</f>
        <v>889.2</v>
      </c>
      <c r="G485" s="9">
        <f>SUMIFS(data!G:G,data!A:A,TABLEAU!B485,data!C:C,TABLEAU!D485,data!F:F,YEAR(Feuil1!$D$2))</f>
        <v>1607.4</v>
      </c>
      <c r="H485" s="9">
        <f t="shared" si="28"/>
        <v>-718.2</v>
      </c>
      <c r="I485" s="12">
        <f t="shared" si="29"/>
        <v>-0.44680851063829785</v>
      </c>
      <c r="J485" s="13">
        <f>SUMIFS(data!E:E,data!A:A,TABLEAU!B485,data!C:C,TABLEAU!D485,data!F:F,YEAR(Feuil1!$D$1))</f>
        <v>162</v>
      </c>
      <c r="K485" s="13">
        <f>SUMIFS(data!E:E,data!A:A,TABLEAU!B485,data!C:C,TABLEAU!D485,data!F:F,YEAR(Feuil1!$D$2))</f>
        <v>288</v>
      </c>
      <c r="L485" s="13">
        <f t="shared" si="30"/>
        <v>-126</v>
      </c>
      <c r="M485" s="12">
        <f t="shared" si="31"/>
        <v>-0.4375</v>
      </c>
    </row>
    <row r="486" spans="1:13" x14ac:dyDescent="0.25">
      <c r="A486" s="17" t="str">
        <f>data!H808</f>
        <v>VINICOM</v>
      </c>
      <c r="B486" s="15" t="str">
        <f>data!A808</f>
        <v>040</v>
      </c>
      <c r="C486" s="1" t="str">
        <f>data!B808</f>
        <v>CHÂTEAU DE LA GRAVE</v>
      </c>
      <c r="D486" s="1" t="str">
        <f>data!C808</f>
        <v>040006</v>
      </c>
      <c r="E486" s="1" t="str">
        <f>data!D486</f>
        <v>RATAFIA PANNIER</v>
      </c>
      <c r="F486" s="14">
        <f>SUMIFS(data!G:G,data!A:A,TABLEAU!B486,data!C:C,TABLEAU!D486,data!F:F,YEAR(Feuil1!$D$1))</f>
        <v>21508.2</v>
      </c>
      <c r="G486" s="9">
        <f>SUMIFS(data!G:G,data!A:A,TABLEAU!B486,data!C:C,TABLEAU!D486,data!F:F,YEAR(Feuil1!$D$2))</f>
        <v>32673.599999999999</v>
      </c>
      <c r="H486" s="9">
        <f t="shared" si="28"/>
        <v>-11165.399999999998</v>
      </c>
      <c r="I486" s="12">
        <f t="shared" si="29"/>
        <v>-0.3417254297047157</v>
      </c>
      <c r="J486" s="13">
        <f>SUMIFS(data!E:E,data!A:A,TABLEAU!B486,data!C:C,TABLEAU!D486,data!F:F,YEAR(Feuil1!$D$1))</f>
        <v>5922</v>
      </c>
      <c r="K486" s="13">
        <f>SUMIFS(data!E:E,data!A:A,TABLEAU!B486,data!C:C,TABLEAU!D486,data!F:F,YEAR(Feuil1!$D$2))</f>
        <v>9120</v>
      </c>
      <c r="L486" s="13">
        <f t="shared" si="30"/>
        <v>-3198</v>
      </c>
      <c r="M486" s="12">
        <f t="shared" si="31"/>
        <v>-0.35065789473684211</v>
      </c>
    </row>
    <row r="487" spans="1:13" x14ac:dyDescent="0.25">
      <c r="A487" s="17" t="str">
        <f>data!H810</f>
        <v>VINICOM</v>
      </c>
      <c r="B487" s="15" t="str">
        <f>data!A810</f>
        <v>040</v>
      </c>
      <c r="C487" s="1" t="str">
        <f>data!B810</f>
        <v>CHÂTEAU DE LA GRAVE</v>
      </c>
      <c r="D487" s="1" t="str">
        <f>data!C810</f>
        <v>040007</v>
      </c>
      <c r="E487" s="1" t="str">
        <f>data!D487</f>
        <v>AC CHAMPAGNE BRUT SELECTION</v>
      </c>
      <c r="F487" s="14">
        <f>SUMIFS(data!G:G,data!A:A,TABLEAU!B487,data!C:C,TABLEAU!D487,data!F:F,YEAR(Feuil1!$D$1))</f>
        <v>4981.1000000000004</v>
      </c>
      <c r="G487" s="9">
        <f>SUMIFS(data!G:G,data!A:A,TABLEAU!B487,data!C:C,TABLEAU!D487,data!F:F,YEAR(Feuil1!$D$2))</f>
        <v>7573.75</v>
      </c>
      <c r="H487" s="9">
        <f t="shared" si="28"/>
        <v>-2592.6499999999996</v>
      </c>
      <c r="I487" s="12">
        <f t="shared" si="29"/>
        <v>-0.3423205149364581</v>
      </c>
      <c r="J487" s="13">
        <f>SUMIFS(data!E:E,data!A:A,TABLEAU!B487,data!C:C,TABLEAU!D487,data!F:F,YEAR(Feuil1!$D$1))</f>
        <v>2474.5700000000006</v>
      </c>
      <c r="K487" s="13">
        <f>SUMIFS(data!E:E,data!A:A,TABLEAU!B487,data!C:C,TABLEAU!D487,data!F:F,YEAR(Feuil1!$D$2))</f>
        <v>3881.9400000000005</v>
      </c>
      <c r="L487" s="13">
        <f t="shared" si="30"/>
        <v>-1407.37</v>
      </c>
      <c r="M487" s="12">
        <f t="shared" si="31"/>
        <v>-0.36254295532646041</v>
      </c>
    </row>
    <row r="488" spans="1:13" x14ac:dyDescent="0.25">
      <c r="A488" s="17" t="str">
        <f>data!H812</f>
        <v>VINICOM</v>
      </c>
      <c r="B488" s="15" t="str">
        <f>data!A812</f>
        <v>040</v>
      </c>
      <c r="C488" s="1" t="str">
        <f>data!B812</f>
        <v>CHÂTEAU DE LA GRAVE</v>
      </c>
      <c r="D488" s="1" t="str">
        <f>data!C812</f>
        <v>040008</v>
      </c>
      <c r="E488" s="1" t="str">
        <f>data!D488</f>
        <v>IGP DES CEVENNES PIERRES CHAUDES</v>
      </c>
      <c r="F488" s="14">
        <f>SUMIFS(data!G:G,data!A:A,TABLEAU!B488,data!C:C,TABLEAU!D488,data!F:F,YEAR(Feuil1!$D$1))</f>
        <v>2989.05</v>
      </c>
      <c r="G488" s="9">
        <f>SUMIFS(data!G:G,data!A:A,TABLEAU!B488,data!C:C,TABLEAU!D488,data!F:F,YEAR(Feuil1!$D$2))</f>
        <v>3847.2</v>
      </c>
      <c r="H488" s="9">
        <f t="shared" si="28"/>
        <v>-858.14999999999964</v>
      </c>
      <c r="I488" s="12">
        <f t="shared" si="29"/>
        <v>-0.22305832813474727</v>
      </c>
      <c r="J488" s="13">
        <f>SUMIFS(data!E:E,data!A:A,TABLEAU!B488,data!C:C,TABLEAU!D488,data!F:F,YEAR(Feuil1!$D$1))</f>
        <v>1546.2800000000002</v>
      </c>
      <c r="K488" s="13">
        <f>SUMIFS(data!E:E,data!A:A,TABLEAU!B488,data!C:C,TABLEAU!D488,data!F:F,YEAR(Feuil1!$D$2))</f>
        <v>2066.1500000000005</v>
      </c>
      <c r="L488" s="13">
        <f t="shared" si="30"/>
        <v>-519.87000000000035</v>
      </c>
      <c r="M488" s="12">
        <f t="shared" si="31"/>
        <v>-0.25161290322580654</v>
      </c>
    </row>
    <row r="489" spans="1:13" x14ac:dyDescent="0.25">
      <c r="A489" s="17" t="str">
        <f>data!H814</f>
        <v>VINICOM</v>
      </c>
      <c r="B489" s="15" t="str">
        <f>data!A814</f>
        <v>040</v>
      </c>
      <c r="C489" s="1" t="str">
        <f>data!B814</f>
        <v>CHÂTEAU DE LA GRAVE</v>
      </c>
      <c r="D489" s="1" t="str">
        <f>data!C814</f>
        <v>040009CB</v>
      </c>
      <c r="E489" s="1" t="str">
        <f>data!D489</f>
        <v>AC MEURSAULT CHARMES</v>
      </c>
      <c r="F489" s="14">
        <f>SUMIFS(data!G:G,data!A:A,TABLEAU!B489,data!C:C,TABLEAU!D489,data!F:F,YEAR(Feuil1!$D$1))</f>
        <v>186.99</v>
      </c>
      <c r="G489" s="9">
        <f>SUMIFS(data!G:G,data!A:A,TABLEAU!B489,data!C:C,TABLEAU!D489,data!F:F,YEAR(Feuil1!$D$2))</f>
        <v>415.53</v>
      </c>
      <c r="H489" s="9">
        <f t="shared" si="28"/>
        <v>-228.53999999999996</v>
      </c>
      <c r="I489" s="12">
        <f t="shared" si="29"/>
        <v>-0.54999639015233548</v>
      </c>
      <c r="J489" s="13">
        <f>SUMIFS(data!E:E,data!A:A,TABLEAU!B489,data!C:C,TABLEAU!D489,data!F:F,YEAR(Feuil1!$D$1))</f>
        <v>33</v>
      </c>
      <c r="K489" s="13">
        <f>SUMIFS(data!E:E,data!A:A,TABLEAU!B489,data!C:C,TABLEAU!D489,data!F:F,YEAR(Feuil1!$D$2))</f>
        <v>84</v>
      </c>
      <c r="L489" s="13">
        <f t="shared" si="30"/>
        <v>-51</v>
      </c>
      <c r="M489" s="12">
        <f t="shared" si="31"/>
        <v>-0.6071428571428571</v>
      </c>
    </row>
    <row r="490" spans="1:13" x14ac:dyDescent="0.25">
      <c r="A490" s="17" t="str">
        <f>data!H816</f>
        <v>VINICOM</v>
      </c>
      <c r="B490" s="15" t="str">
        <f>data!A816</f>
        <v>040</v>
      </c>
      <c r="C490" s="1" t="str">
        <f>data!B816</f>
        <v>CHÂTEAU DE LA GRAVE</v>
      </c>
      <c r="D490" s="1" t="str">
        <f>data!C816</f>
        <v>040011</v>
      </c>
      <c r="E490" s="1" t="str">
        <f>data!D490</f>
        <v>AC MEURSAULT BLC  CH. MAXIME</v>
      </c>
      <c r="F490" s="14">
        <f>SUMIFS(data!G:G,data!A:A,TABLEAU!B490,data!C:C,TABLEAU!D490,data!F:F,YEAR(Feuil1!$D$1))</f>
        <v>864</v>
      </c>
      <c r="G490" s="9">
        <f>SUMIFS(data!G:G,data!A:A,TABLEAU!B490,data!C:C,TABLEAU!D490,data!F:F,YEAR(Feuil1!$D$2))</f>
        <v>2835</v>
      </c>
      <c r="H490" s="9">
        <f t="shared" si="28"/>
        <v>-1971</v>
      </c>
      <c r="I490" s="12">
        <f t="shared" si="29"/>
        <v>-0.69523809523809521</v>
      </c>
      <c r="J490" s="13">
        <f>SUMIFS(data!E:E,data!A:A,TABLEAU!B490,data!C:C,TABLEAU!D490,data!F:F,YEAR(Feuil1!$D$1))</f>
        <v>192</v>
      </c>
      <c r="K490" s="13">
        <f>SUMIFS(data!E:E,data!A:A,TABLEAU!B490,data!C:C,TABLEAU!D490,data!F:F,YEAR(Feuil1!$D$2))</f>
        <v>630</v>
      </c>
      <c r="L490" s="13">
        <f t="shared" si="30"/>
        <v>-438</v>
      </c>
      <c r="M490" s="12">
        <f t="shared" si="31"/>
        <v>-0.69523809523809521</v>
      </c>
    </row>
    <row r="491" spans="1:13" x14ac:dyDescent="0.25">
      <c r="A491" s="17" t="str">
        <f>data!H818</f>
        <v>VINICOM</v>
      </c>
      <c r="B491" s="15" t="str">
        <f>data!A818</f>
        <v>040</v>
      </c>
      <c r="C491" s="1" t="str">
        <f>data!B818</f>
        <v>CHÂTEAU DE LA GRAVE</v>
      </c>
      <c r="D491" s="1" t="str">
        <f>data!C818</f>
        <v>040012</v>
      </c>
      <c r="E491" s="1" t="str">
        <f>data!D491</f>
        <v>AC MEURSAULT BLC  CH. MAXIME</v>
      </c>
      <c r="F491" s="14">
        <f>SUMIFS(data!G:G,data!A:A,TABLEAU!B491,data!C:C,TABLEAU!D491,data!F:F,YEAR(Feuil1!$D$1))</f>
        <v>731.1</v>
      </c>
      <c r="G491" s="9">
        <f>SUMIFS(data!G:G,data!A:A,TABLEAU!B491,data!C:C,TABLEAU!D491,data!F:F,YEAR(Feuil1!$D$2))</f>
        <v>1255.8</v>
      </c>
      <c r="H491" s="9">
        <f t="shared" si="28"/>
        <v>-524.69999999999993</v>
      </c>
      <c r="I491" s="12">
        <f t="shared" si="29"/>
        <v>-0.4178213091256569</v>
      </c>
      <c r="J491" s="13">
        <f>SUMIFS(data!E:E,data!A:A,TABLEAU!B491,data!C:C,TABLEAU!D491,data!F:F,YEAR(Feuil1!$D$1))</f>
        <v>180</v>
      </c>
      <c r="K491" s="13">
        <f>SUMIFS(data!E:E,data!A:A,TABLEAU!B491,data!C:C,TABLEAU!D491,data!F:F,YEAR(Feuil1!$D$2))</f>
        <v>312</v>
      </c>
      <c r="L491" s="13">
        <f t="shared" si="30"/>
        <v>-132</v>
      </c>
      <c r="M491" s="12">
        <f t="shared" si="31"/>
        <v>-0.42307692307692307</v>
      </c>
    </row>
    <row r="492" spans="1:13" x14ac:dyDescent="0.25">
      <c r="A492" s="17" t="str">
        <f>data!H820</f>
        <v>VINICOM</v>
      </c>
      <c r="B492" s="15" t="str">
        <f>data!A820</f>
        <v>040</v>
      </c>
      <c r="C492" s="1" t="str">
        <f>data!B820</f>
        <v>CHÂTEAU DE LA GRAVE</v>
      </c>
      <c r="D492" s="1" t="str">
        <f>data!C820</f>
        <v>040015</v>
      </c>
      <c r="E492" s="1" t="str">
        <f>data!D492</f>
        <v>AC MEURSAULT GENEVRIERES</v>
      </c>
      <c r="F492" s="14">
        <f>SUMIFS(data!G:G,data!A:A,TABLEAU!B492,data!C:C,TABLEAU!D492,data!F:F,YEAR(Feuil1!$D$1))</f>
        <v>2457.9</v>
      </c>
      <c r="G492" s="9">
        <f>SUMIFS(data!G:G,data!A:A,TABLEAU!B492,data!C:C,TABLEAU!D492,data!F:F,YEAR(Feuil1!$D$2))</f>
        <v>2574.3000000000002</v>
      </c>
      <c r="H492" s="9">
        <f t="shared" si="28"/>
        <v>-116.40000000000009</v>
      </c>
      <c r="I492" s="12">
        <f t="shared" si="29"/>
        <v>-4.5216175270947477E-2</v>
      </c>
      <c r="J492" s="13">
        <f>SUMIFS(data!E:E,data!A:A,TABLEAU!B492,data!C:C,TABLEAU!D492,data!F:F,YEAR(Feuil1!$D$1))</f>
        <v>486</v>
      </c>
      <c r="K492" s="13">
        <f>SUMIFS(data!E:E,data!A:A,TABLEAU!B492,data!C:C,TABLEAU!D492,data!F:F,YEAR(Feuil1!$D$2))</f>
        <v>528</v>
      </c>
      <c r="L492" s="13">
        <f t="shared" si="30"/>
        <v>-42</v>
      </c>
      <c r="M492" s="12">
        <f t="shared" si="31"/>
        <v>-7.9545454545454544E-2</v>
      </c>
    </row>
    <row r="493" spans="1:13" x14ac:dyDescent="0.25">
      <c r="A493" s="17" t="str">
        <f>data!H822</f>
        <v>VINICOM</v>
      </c>
      <c r="B493" s="15" t="str">
        <f>data!A822</f>
        <v>040</v>
      </c>
      <c r="C493" s="1" t="str">
        <f>data!B822</f>
        <v>CHÂTEAU DE LA GRAVE</v>
      </c>
      <c r="D493" s="1" t="str">
        <f>data!C822</f>
        <v>040017</v>
      </c>
      <c r="E493" s="1" t="str">
        <f>data!D493</f>
        <v>AC MEURSAULT GENEVRIERES</v>
      </c>
      <c r="F493" s="14">
        <f>SUMIFS(data!G:G,data!A:A,TABLEAU!B493,data!C:C,TABLEAU!D493,data!F:F,YEAR(Feuil1!$D$1))</f>
        <v>1033.2</v>
      </c>
      <c r="G493" s="9">
        <f>SUMIFS(data!G:G,data!A:A,TABLEAU!B493,data!C:C,TABLEAU!D493,data!F:F,YEAR(Feuil1!$D$2))</f>
        <v>738</v>
      </c>
      <c r="H493" s="9">
        <f t="shared" si="28"/>
        <v>295.20000000000005</v>
      </c>
      <c r="I493" s="12">
        <f t="shared" si="29"/>
        <v>0.40000000000000008</v>
      </c>
      <c r="J493" s="13">
        <f>SUMIFS(data!E:E,data!A:A,TABLEAU!B493,data!C:C,TABLEAU!D493,data!F:F,YEAR(Feuil1!$D$1))</f>
        <v>126</v>
      </c>
      <c r="K493" s="13">
        <f>SUMIFS(data!E:E,data!A:A,TABLEAU!B493,data!C:C,TABLEAU!D493,data!F:F,YEAR(Feuil1!$D$2))</f>
        <v>96</v>
      </c>
      <c r="L493" s="13">
        <f t="shared" si="30"/>
        <v>30</v>
      </c>
      <c r="M493" s="12">
        <f t="shared" si="31"/>
        <v>0.3125</v>
      </c>
    </row>
    <row r="494" spans="1:13" x14ac:dyDescent="0.25">
      <c r="A494" s="17" t="str">
        <f>data!H824</f>
        <v>VINICOM</v>
      </c>
      <c r="B494" s="15" t="str">
        <f>data!A824</f>
        <v>040</v>
      </c>
      <c r="C494" s="1" t="str">
        <f>data!B824</f>
        <v>CHÂTEAU DE LA GRAVE</v>
      </c>
      <c r="D494" s="1" t="str">
        <f>data!C824</f>
        <v>CDV040020</v>
      </c>
      <c r="E494" s="1" t="str">
        <f>data!D494</f>
        <v>AC PULIGNY MONTRACHET DME LATOUR GIRAUD</v>
      </c>
      <c r="F494" s="14">
        <f>SUMIFS(data!G:G,data!A:A,TABLEAU!B494,data!C:C,TABLEAU!D494,data!F:F,YEAR(Feuil1!$D$1))</f>
        <v>162</v>
      </c>
      <c r="G494" s="9">
        <f>SUMIFS(data!G:G,data!A:A,TABLEAU!B494,data!C:C,TABLEAU!D494,data!F:F,YEAR(Feuil1!$D$2))</f>
        <v>0</v>
      </c>
      <c r="H494" s="9">
        <f t="shared" si="28"/>
        <v>162</v>
      </c>
      <c r="I494" s="12" t="str">
        <f t="shared" si="29"/>
        <v/>
      </c>
      <c r="J494" s="13">
        <f>SUMIFS(data!E:E,data!A:A,TABLEAU!B494,data!C:C,TABLEAU!D494,data!F:F,YEAR(Feuil1!$D$1))</f>
        <v>60</v>
      </c>
      <c r="K494" s="13">
        <f>SUMIFS(data!E:E,data!A:A,TABLEAU!B494,data!C:C,TABLEAU!D494,data!F:F,YEAR(Feuil1!$D$2))</f>
        <v>0</v>
      </c>
      <c r="L494" s="13">
        <f t="shared" si="30"/>
        <v>60</v>
      </c>
      <c r="M494" s="12" t="str">
        <f t="shared" si="31"/>
        <v/>
      </c>
    </row>
    <row r="495" spans="1:13" x14ac:dyDescent="0.25">
      <c r="A495" s="17" t="str">
        <f>data!H825</f>
        <v>VINICOM</v>
      </c>
      <c r="B495" s="15" t="str">
        <f>data!A825</f>
        <v>041</v>
      </c>
      <c r="C495" s="1" t="str">
        <f>data!B825</f>
        <v>CHATEAU TOUR DE PEZ</v>
      </c>
      <c r="D495" s="1" t="str">
        <f>data!C825</f>
        <v>041001/09</v>
      </c>
      <c r="E495" s="1" t="str">
        <f>data!D495</f>
        <v>AC PULIGNY MONTRACHET DME LATOUR GIRAUD</v>
      </c>
      <c r="F495" s="14">
        <f>SUMIFS(data!G:G,data!A:A,TABLEAU!B495,data!C:C,TABLEAU!D495,data!F:F,YEAR(Feuil1!$D$1))</f>
        <v>0</v>
      </c>
      <c r="G495" s="9">
        <f>SUMIFS(data!G:G,data!A:A,TABLEAU!B495,data!C:C,TABLEAU!D495,data!F:F,YEAR(Feuil1!$D$2))</f>
        <v>2962.8</v>
      </c>
      <c r="H495" s="9">
        <f t="shared" si="28"/>
        <v>-2962.8</v>
      </c>
      <c r="I495" s="12">
        <f t="shared" si="29"/>
        <v>-1</v>
      </c>
      <c r="J495" s="13">
        <f>SUMIFS(data!E:E,data!A:A,TABLEAU!B495,data!C:C,TABLEAU!D495,data!F:F,YEAR(Feuil1!$D$1))</f>
        <v>0</v>
      </c>
      <c r="K495" s="13">
        <f>SUMIFS(data!E:E,data!A:A,TABLEAU!B495,data!C:C,TABLEAU!D495,data!F:F,YEAR(Feuil1!$D$2))</f>
        <v>216</v>
      </c>
      <c r="L495" s="13">
        <f t="shared" si="30"/>
        <v>-216</v>
      </c>
      <c r="M495" s="12">
        <f t="shared" si="31"/>
        <v>-1</v>
      </c>
    </row>
    <row r="496" spans="1:13" x14ac:dyDescent="0.25">
      <c r="A496" s="17" t="str">
        <f>data!H826</f>
        <v>VINICOM</v>
      </c>
      <c r="B496" s="15" t="str">
        <f>data!A826</f>
        <v>041</v>
      </c>
      <c r="C496" s="1" t="str">
        <f>data!B826</f>
        <v>CHATEAU TOUR DE PEZ</v>
      </c>
      <c r="D496" s="1" t="str">
        <f>data!C826</f>
        <v>041001/10</v>
      </c>
      <c r="E496" s="1" t="str">
        <f>data!D496</f>
        <v>AC VOLNAY 1ER CRU DME LATOUR GIRAUD</v>
      </c>
      <c r="F496" s="14">
        <f>SUMIFS(data!G:G,data!A:A,TABLEAU!B496,data!C:C,TABLEAU!D496,data!F:F,YEAR(Feuil1!$D$1))</f>
        <v>5901.9</v>
      </c>
      <c r="G496" s="9">
        <f>SUMIFS(data!G:G,data!A:A,TABLEAU!B496,data!C:C,TABLEAU!D496,data!F:F,YEAR(Feuil1!$D$2))</f>
        <v>6787.8</v>
      </c>
      <c r="H496" s="9">
        <f t="shared" si="28"/>
        <v>-885.90000000000055</v>
      </c>
      <c r="I496" s="12">
        <f t="shared" si="29"/>
        <v>-0.13051356846106257</v>
      </c>
      <c r="J496" s="13">
        <f>SUMIFS(data!E:E,data!A:A,TABLEAU!B496,data!C:C,TABLEAU!D496,data!F:F,YEAR(Feuil1!$D$1))</f>
        <v>420</v>
      </c>
      <c r="K496" s="13">
        <f>SUMIFS(data!E:E,data!A:A,TABLEAU!B496,data!C:C,TABLEAU!D496,data!F:F,YEAR(Feuil1!$D$2))</f>
        <v>498</v>
      </c>
      <c r="L496" s="13">
        <f t="shared" si="30"/>
        <v>-78</v>
      </c>
      <c r="M496" s="12">
        <f t="shared" si="31"/>
        <v>-0.15662650602409639</v>
      </c>
    </row>
    <row r="497" spans="1:13" x14ac:dyDescent="0.25">
      <c r="A497" s="17" t="str">
        <f>data!H828</f>
        <v>VINICOM</v>
      </c>
      <c r="B497" s="15" t="str">
        <f>data!A828</f>
        <v>041</v>
      </c>
      <c r="C497" s="1" t="str">
        <f>data!B828</f>
        <v>CHATEAU TOUR DE PEZ</v>
      </c>
      <c r="D497" s="1" t="str">
        <f>data!C828</f>
        <v>041001/12</v>
      </c>
      <c r="E497" s="1" t="str">
        <f>data!D497</f>
        <v>AOC BORDEAUX  CHATEAUX LAPEYRERE</v>
      </c>
      <c r="F497" s="14">
        <f>SUMIFS(data!G:G,data!A:A,TABLEAU!B497,data!C:C,TABLEAU!D497,data!F:F,YEAR(Feuil1!$D$1))</f>
        <v>636</v>
      </c>
      <c r="G497" s="9">
        <f>SUMIFS(data!G:G,data!A:A,TABLEAU!B497,data!C:C,TABLEAU!D497,data!F:F,YEAR(Feuil1!$D$2))</f>
        <v>0</v>
      </c>
      <c r="H497" s="9">
        <f t="shared" si="28"/>
        <v>636</v>
      </c>
      <c r="I497" s="12" t="str">
        <f t="shared" si="29"/>
        <v/>
      </c>
      <c r="J497" s="13">
        <f>SUMIFS(data!E:E,data!A:A,TABLEAU!B497,data!C:C,TABLEAU!D497,data!F:F,YEAR(Feuil1!$D$1))</f>
        <v>48</v>
      </c>
      <c r="K497" s="13">
        <f>SUMIFS(data!E:E,data!A:A,TABLEAU!B497,data!C:C,TABLEAU!D497,data!F:F,YEAR(Feuil1!$D$2))</f>
        <v>0</v>
      </c>
      <c r="L497" s="13">
        <f t="shared" si="30"/>
        <v>48</v>
      </c>
      <c r="M497" s="12" t="str">
        <f t="shared" si="31"/>
        <v/>
      </c>
    </row>
    <row r="498" spans="1:13" x14ac:dyDescent="0.25">
      <c r="A498" s="17" t="str">
        <f>data!H829</f>
        <v>VINICOM</v>
      </c>
      <c r="B498" s="15" t="str">
        <f>data!A829</f>
        <v>041</v>
      </c>
      <c r="C498" s="1" t="str">
        <f>data!B829</f>
        <v>CHATEAU TOUR DE PEZ</v>
      </c>
      <c r="D498" s="1" t="str">
        <f>data!C829</f>
        <v>041002</v>
      </c>
      <c r="E498" s="1" t="str">
        <f>data!D498</f>
        <v>AOP SAINT ESTEPHE TOUR DE PEZ</v>
      </c>
      <c r="F498" s="14">
        <f>SUMIFS(data!G:G,data!A:A,TABLEAU!B498,data!C:C,TABLEAU!D498,data!F:F,YEAR(Feuil1!$D$1))</f>
        <v>693</v>
      </c>
      <c r="G498" s="9">
        <f>SUMIFS(data!G:G,data!A:A,TABLEAU!B498,data!C:C,TABLEAU!D498,data!F:F,YEAR(Feuil1!$D$2))</f>
        <v>1743</v>
      </c>
      <c r="H498" s="9">
        <f t="shared" si="28"/>
        <v>-1050</v>
      </c>
      <c r="I498" s="12">
        <f t="shared" si="29"/>
        <v>-0.60240963855421692</v>
      </c>
      <c r="J498" s="13">
        <f>SUMIFS(data!E:E,data!A:A,TABLEAU!B498,data!C:C,TABLEAU!D498,data!F:F,YEAR(Feuil1!$D$1))</f>
        <v>60</v>
      </c>
      <c r="K498" s="13">
        <f>SUMIFS(data!E:E,data!A:A,TABLEAU!B498,data!C:C,TABLEAU!D498,data!F:F,YEAR(Feuil1!$D$2))</f>
        <v>156</v>
      </c>
      <c r="L498" s="13">
        <f t="shared" si="30"/>
        <v>-96</v>
      </c>
      <c r="M498" s="12">
        <f t="shared" si="31"/>
        <v>-0.61538461538461542</v>
      </c>
    </row>
    <row r="499" spans="1:13" x14ac:dyDescent="0.25">
      <c r="A499" s="17" t="str">
        <f>data!H831</f>
        <v>VINICOM</v>
      </c>
      <c r="B499" s="15" t="str">
        <f>data!A831</f>
        <v>041</v>
      </c>
      <c r="C499" s="1" t="str">
        <f>data!B831</f>
        <v>CHATEAU TOUR DE PEZ</v>
      </c>
      <c r="D499" s="1" t="str">
        <f>data!C831</f>
        <v>041006</v>
      </c>
      <c r="E499" s="1" t="str">
        <f>data!D499</f>
        <v>AOP BORDEAUX SUP CH LAUDUC</v>
      </c>
      <c r="F499" s="14">
        <f>SUMIFS(data!G:G,data!A:A,TABLEAU!B499,data!C:C,TABLEAU!D499,data!F:F,YEAR(Feuil1!$D$1))</f>
        <v>272.39999999999998</v>
      </c>
      <c r="G499" s="9">
        <f>SUMIFS(data!G:G,data!A:A,TABLEAU!B499,data!C:C,TABLEAU!D499,data!F:F,YEAR(Feuil1!$D$2))</f>
        <v>2106</v>
      </c>
      <c r="H499" s="9">
        <f t="shared" si="28"/>
        <v>-1833.6</v>
      </c>
      <c r="I499" s="12">
        <f t="shared" si="29"/>
        <v>-0.8706552706552706</v>
      </c>
      <c r="J499" s="13">
        <f>SUMIFS(data!E:E,data!A:A,TABLEAU!B499,data!C:C,TABLEAU!D499,data!F:F,YEAR(Feuil1!$D$1))</f>
        <v>30</v>
      </c>
      <c r="K499" s="13">
        <f>SUMIFS(data!E:E,data!A:A,TABLEAU!B499,data!C:C,TABLEAU!D499,data!F:F,YEAR(Feuil1!$D$2))</f>
        <v>234</v>
      </c>
      <c r="L499" s="13">
        <f t="shared" si="30"/>
        <v>-204</v>
      </c>
      <c r="M499" s="12">
        <f t="shared" si="31"/>
        <v>-0.87179487179487181</v>
      </c>
    </row>
    <row r="500" spans="1:13" x14ac:dyDescent="0.25">
      <c r="A500" s="17" t="str">
        <f>data!H833</f>
        <v>VINICOM</v>
      </c>
      <c r="B500" s="15" t="str">
        <f>data!A833</f>
        <v>041</v>
      </c>
      <c r="C500" s="1" t="str">
        <f>data!B833</f>
        <v>CHATEAU TOUR DE PEZ</v>
      </c>
      <c r="D500" s="1" t="str">
        <f>data!C833</f>
        <v>041011</v>
      </c>
      <c r="E500" s="1" t="str">
        <f>data!D500</f>
        <v>VDP MEDITERRANEE TERES</v>
      </c>
      <c r="F500" s="14">
        <f>SUMIFS(data!G:G,data!A:A,TABLEAU!B500,data!C:C,TABLEAU!D500,data!F:F,YEAR(Feuil1!$D$1))</f>
        <v>1140</v>
      </c>
      <c r="G500" s="9">
        <f>SUMIFS(data!G:G,data!A:A,TABLEAU!B500,data!C:C,TABLEAU!D500,data!F:F,YEAR(Feuil1!$D$2))</f>
        <v>2405.4</v>
      </c>
      <c r="H500" s="9">
        <f t="shared" si="28"/>
        <v>-1265.4000000000001</v>
      </c>
      <c r="I500" s="12">
        <f t="shared" si="29"/>
        <v>-0.52606635071090047</v>
      </c>
      <c r="J500" s="13">
        <f>SUMIFS(data!E:E,data!A:A,TABLEAU!B500,data!C:C,TABLEAU!D500,data!F:F,YEAR(Feuil1!$D$1))</f>
        <v>132</v>
      </c>
      <c r="K500" s="13">
        <f>SUMIFS(data!E:E,data!A:A,TABLEAU!B500,data!C:C,TABLEAU!D500,data!F:F,YEAR(Feuil1!$D$2))</f>
        <v>276</v>
      </c>
      <c r="L500" s="13">
        <f t="shared" si="30"/>
        <v>-144</v>
      </c>
      <c r="M500" s="12">
        <f t="shared" si="31"/>
        <v>-0.52173913043478259</v>
      </c>
    </row>
    <row r="501" spans="1:13" x14ac:dyDescent="0.25">
      <c r="A501" s="17" t="str">
        <f>data!H835</f>
        <v>VINICOM</v>
      </c>
      <c r="B501" s="15" t="str">
        <f>data!A835</f>
        <v>041</v>
      </c>
      <c r="C501" s="1" t="str">
        <f>data!B835</f>
        <v>CHATEAU TOUR DE PEZ</v>
      </c>
      <c r="D501" s="1" t="str">
        <f>data!C835</f>
        <v>041013</v>
      </c>
      <c r="E501" s="1" t="str">
        <f>data!D501</f>
        <v>AC ALOXE CORTON DME DUBREUIL FONTAINE</v>
      </c>
      <c r="F501" s="14">
        <f>SUMIFS(data!G:G,data!A:A,TABLEAU!B501,data!C:C,TABLEAU!D501,data!F:F,YEAR(Feuil1!$D$1))</f>
        <v>0</v>
      </c>
      <c r="G501" s="9">
        <f>SUMIFS(data!G:G,data!A:A,TABLEAU!B501,data!C:C,TABLEAU!D501,data!F:F,YEAR(Feuil1!$D$2))</f>
        <v>6018.9</v>
      </c>
      <c r="H501" s="9">
        <f t="shared" si="28"/>
        <v>-6018.9</v>
      </c>
      <c r="I501" s="12">
        <f t="shared" si="29"/>
        <v>-1</v>
      </c>
      <c r="J501" s="13">
        <f>SUMIFS(data!E:E,data!A:A,TABLEAU!B501,data!C:C,TABLEAU!D501,data!F:F,YEAR(Feuil1!$D$1))</f>
        <v>0</v>
      </c>
      <c r="K501" s="13">
        <f>SUMIFS(data!E:E,data!A:A,TABLEAU!B501,data!C:C,TABLEAU!D501,data!F:F,YEAR(Feuil1!$D$2))</f>
        <v>726</v>
      </c>
      <c r="L501" s="13">
        <f t="shared" si="30"/>
        <v>-726</v>
      </c>
      <c r="M501" s="12">
        <f t="shared" si="31"/>
        <v>-1</v>
      </c>
    </row>
    <row r="502" spans="1:13" x14ac:dyDescent="0.25">
      <c r="A502" s="17" t="str">
        <f>data!H836</f>
        <v>VINICOM</v>
      </c>
      <c r="B502" s="15" t="str">
        <f>data!A836</f>
        <v>041</v>
      </c>
      <c r="C502" s="1" t="str">
        <f>data!B836</f>
        <v>CHATEAU TOUR DE PEZ</v>
      </c>
      <c r="D502" s="1" t="str">
        <f>data!C836</f>
        <v>041016</v>
      </c>
      <c r="E502" s="1" t="str">
        <f>data!D502</f>
        <v>AC ALOXE CORTON DME DUBREUIL FONTAINE</v>
      </c>
      <c r="F502" s="14">
        <f>SUMIFS(data!G:G,data!A:A,TABLEAU!B502,data!C:C,TABLEAU!D502,data!F:F,YEAR(Feuil1!$D$1))</f>
        <v>11172.3</v>
      </c>
      <c r="G502" s="9">
        <f>SUMIFS(data!G:G,data!A:A,TABLEAU!B502,data!C:C,TABLEAU!D502,data!F:F,YEAR(Feuil1!$D$2))</f>
        <v>14223.6</v>
      </c>
      <c r="H502" s="9">
        <f t="shared" si="28"/>
        <v>-3051.3000000000011</v>
      </c>
      <c r="I502" s="12">
        <f t="shared" si="29"/>
        <v>-0.21452374926179033</v>
      </c>
      <c r="J502" s="13">
        <f>SUMIFS(data!E:E,data!A:A,TABLEAU!B502,data!C:C,TABLEAU!D502,data!F:F,YEAR(Feuil1!$D$1))</f>
        <v>1338</v>
      </c>
      <c r="K502" s="13">
        <f>SUMIFS(data!E:E,data!A:A,TABLEAU!B502,data!C:C,TABLEAU!D502,data!F:F,YEAR(Feuil1!$D$2))</f>
        <v>1788</v>
      </c>
      <c r="L502" s="13">
        <f t="shared" si="30"/>
        <v>-450</v>
      </c>
      <c r="M502" s="12">
        <f t="shared" si="31"/>
        <v>-0.25167785234899331</v>
      </c>
    </row>
    <row r="503" spans="1:13" x14ac:dyDescent="0.25">
      <c r="A503" s="17" t="str">
        <f>data!H838</f>
        <v>VINICOM</v>
      </c>
      <c r="B503" s="15" t="str">
        <f>data!A838</f>
        <v>041</v>
      </c>
      <c r="C503" s="1" t="str">
        <f>data!B838</f>
        <v>CHATEAU TOUR DE PEZ</v>
      </c>
      <c r="D503" s="1" t="str">
        <f>data!C838</f>
        <v>041020</v>
      </c>
      <c r="E503" s="1" t="str">
        <f>data!D503</f>
        <v>AC PERNAND VERGELESSE DME DUBREUIL FONTAINE</v>
      </c>
      <c r="F503" s="14">
        <f>SUMIFS(data!G:G,data!A:A,TABLEAU!B503,data!C:C,TABLEAU!D503,data!F:F,YEAR(Feuil1!$D$1))</f>
        <v>540</v>
      </c>
      <c r="G503" s="9">
        <f>SUMIFS(data!G:G,data!A:A,TABLEAU!B503,data!C:C,TABLEAU!D503,data!F:F,YEAR(Feuil1!$D$2))</f>
        <v>679.8</v>
      </c>
      <c r="H503" s="9">
        <f t="shared" si="28"/>
        <v>-139.79999999999995</v>
      </c>
      <c r="I503" s="12">
        <f t="shared" si="29"/>
        <v>-0.20564872021182695</v>
      </c>
      <c r="J503" s="13">
        <f>SUMIFS(data!E:E,data!A:A,TABLEAU!B503,data!C:C,TABLEAU!D503,data!F:F,YEAR(Feuil1!$D$1))</f>
        <v>36</v>
      </c>
      <c r="K503" s="13">
        <f>SUMIFS(data!E:E,data!A:A,TABLEAU!B503,data!C:C,TABLEAU!D503,data!F:F,YEAR(Feuil1!$D$2))</f>
        <v>48</v>
      </c>
      <c r="L503" s="13">
        <f t="shared" si="30"/>
        <v>-12</v>
      </c>
      <c r="M503" s="12">
        <f t="shared" si="31"/>
        <v>-0.25</v>
      </c>
    </row>
    <row r="504" spans="1:13" x14ac:dyDescent="0.25">
      <c r="A504" s="17" t="str">
        <f>data!H840</f>
        <v>VINICOM</v>
      </c>
      <c r="B504" s="15" t="str">
        <f>data!A840</f>
        <v>041</v>
      </c>
      <c r="C504" s="1" t="str">
        <f>data!B840</f>
        <v>CHATEAU TOUR DE PEZ</v>
      </c>
      <c r="D504" s="1" t="str">
        <f>data!C840</f>
        <v>CDV041001/09</v>
      </c>
      <c r="E504" s="1" t="str">
        <f>data!D504</f>
        <v>AC SAVIGNY LES BEAUNE DME DUBREUIL FONTAINE</v>
      </c>
      <c r="F504" s="14">
        <f>SUMIFS(data!G:G,data!A:A,TABLEAU!B504,data!C:C,TABLEAU!D504,data!F:F,YEAR(Feuil1!$D$1))</f>
        <v>0</v>
      </c>
      <c r="G504" s="9">
        <f>SUMIFS(data!G:G,data!A:A,TABLEAU!B504,data!C:C,TABLEAU!D504,data!F:F,YEAR(Feuil1!$D$2))</f>
        <v>421.5</v>
      </c>
      <c r="H504" s="9">
        <f t="shared" si="28"/>
        <v>-421.5</v>
      </c>
      <c r="I504" s="12">
        <f t="shared" si="29"/>
        <v>-1</v>
      </c>
      <c r="J504" s="13">
        <f>SUMIFS(data!E:E,data!A:A,TABLEAU!B504,data!C:C,TABLEAU!D504,data!F:F,YEAR(Feuil1!$D$1))</f>
        <v>0</v>
      </c>
      <c r="K504" s="13">
        <f>SUMIFS(data!E:E,data!A:A,TABLEAU!B504,data!C:C,TABLEAU!D504,data!F:F,YEAR(Feuil1!$D$2))</f>
        <v>30</v>
      </c>
      <c r="L504" s="13">
        <f t="shared" si="30"/>
        <v>-30</v>
      </c>
      <c r="M504" s="12">
        <f t="shared" si="31"/>
        <v>-1</v>
      </c>
    </row>
    <row r="505" spans="1:13" x14ac:dyDescent="0.25">
      <c r="A505" s="17" t="str">
        <f>data!H841</f>
        <v>VINICOM</v>
      </c>
      <c r="B505" s="15" t="str">
        <f>data!A841</f>
        <v>041</v>
      </c>
      <c r="C505" s="1" t="str">
        <f>data!B841</f>
        <v>CHATEAU TOUR DE PEZ</v>
      </c>
      <c r="D505" s="1" t="str">
        <f>data!C841</f>
        <v>CDV041004</v>
      </c>
      <c r="E505" s="1" t="str">
        <f>data!D505</f>
        <v>AC SAVIGNY LES BEAUNE DME DUBREUIL FONTAINE</v>
      </c>
      <c r="F505" s="14">
        <f>SUMIFS(data!G:G,data!A:A,TABLEAU!B505,data!C:C,TABLEAU!D505,data!F:F,YEAR(Feuil1!$D$1))</f>
        <v>0</v>
      </c>
      <c r="G505" s="9">
        <f>SUMIFS(data!G:G,data!A:A,TABLEAU!B505,data!C:C,TABLEAU!D505,data!F:F,YEAR(Feuil1!$D$2))</f>
        <v>85.8</v>
      </c>
      <c r="H505" s="9">
        <f t="shared" si="28"/>
        <v>-85.8</v>
      </c>
      <c r="I505" s="12">
        <f t="shared" si="29"/>
        <v>-1</v>
      </c>
      <c r="J505" s="13">
        <f>SUMIFS(data!E:E,data!A:A,TABLEAU!B505,data!C:C,TABLEAU!D505,data!F:F,YEAR(Feuil1!$D$1))</f>
        <v>0</v>
      </c>
      <c r="K505" s="13">
        <f>SUMIFS(data!E:E,data!A:A,TABLEAU!B505,data!C:C,TABLEAU!D505,data!F:F,YEAR(Feuil1!$D$2))</f>
        <v>6</v>
      </c>
      <c r="L505" s="13">
        <f t="shared" si="30"/>
        <v>-6</v>
      </c>
      <c r="M505" s="12">
        <f t="shared" si="31"/>
        <v>-1</v>
      </c>
    </row>
    <row r="506" spans="1:13" x14ac:dyDescent="0.25">
      <c r="A506" s="17" t="str">
        <f>data!H842</f>
        <v>VINICOM</v>
      </c>
      <c r="B506" s="15" t="str">
        <f>data!A842</f>
        <v>041</v>
      </c>
      <c r="C506" s="1" t="str">
        <f>data!B842</f>
        <v>CHATEAU TOUR DE PEZ</v>
      </c>
      <c r="D506" s="1" t="str">
        <f>data!C842</f>
        <v>CDV041016</v>
      </c>
      <c r="E506" s="1" t="str">
        <f>data!D506</f>
        <v>AOP POMEROL CHATEAU BEAU SOLEIL</v>
      </c>
      <c r="F506" s="14">
        <f>SUMIFS(data!G:G,data!A:A,TABLEAU!B506,data!C:C,TABLEAU!D506,data!F:F,YEAR(Feuil1!$D$1))</f>
        <v>0</v>
      </c>
      <c r="G506" s="9">
        <f>SUMIFS(data!G:G,data!A:A,TABLEAU!B506,data!C:C,TABLEAU!D506,data!F:F,YEAR(Feuil1!$D$2))</f>
        <v>25.8</v>
      </c>
      <c r="H506" s="9">
        <f t="shared" si="28"/>
        <v>-25.8</v>
      </c>
      <c r="I506" s="12">
        <f t="shared" si="29"/>
        <v>-1</v>
      </c>
      <c r="J506" s="13">
        <f>SUMIFS(data!E:E,data!A:A,TABLEAU!B506,data!C:C,TABLEAU!D506,data!F:F,YEAR(Feuil1!$D$1))</f>
        <v>0</v>
      </c>
      <c r="K506" s="13">
        <f>SUMIFS(data!E:E,data!A:A,TABLEAU!B506,data!C:C,TABLEAU!D506,data!F:F,YEAR(Feuil1!$D$2))</f>
        <v>6</v>
      </c>
      <c r="L506" s="13">
        <f t="shared" si="30"/>
        <v>-6</v>
      </c>
      <c r="M506" s="12">
        <f t="shared" si="31"/>
        <v>-1</v>
      </c>
    </row>
    <row r="507" spans="1:13" x14ac:dyDescent="0.25">
      <c r="A507" s="17" t="str">
        <f>data!H843</f>
        <v>VINICOM</v>
      </c>
      <c r="B507" s="15" t="str">
        <f>data!A843</f>
        <v>041</v>
      </c>
      <c r="C507" s="1" t="str">
        <f>data!B843</f>
        <v>CHATEAU TOUR DE PEZ</v>
      </c>
      <c r="D507" s="1" t="str">
        <f>data!C843</f>
        <v>CDV041017</v>
      </c>
      <c r="E507" s="1" t="str">
        <f>data!D507</f>
        <v>CHATEAU TALBOT ST JULIEN 4 CRU CLASSE</v>
      </c>
      <c r="F507" s="14">
        <f>SUMIFS(data!G:G,data!A:A,TABLEAU!B507,data!C:C,TABLEAU!D507,data!F:F,YEAR(Feuil1!$D$1))</f>
        <v>0</v>
      </c>
      <c r="G507" s="9">
        <f>SUMIFS(data!G:G,data!A:A,TABLEAU!B507,data!C:C,TABLEAU!D507,data!F:F,YEAR(Feuil1!$D$2))</f>
        <v>12.9</v>
      </c>
      <c r="H507" s="9">
        <f t="shared" si="28"/>
        <v>-12.9</v>
      </c>
      <c r="I507" s="12">
        <f t="shared" si="29"/>
        <v>-1</v>
      </c>
      <c r="J507" s="13">
        <f>SUMIFS(data!E:E,data!A:A,TABLEAU!B507,data!C:C,TABLEAU!D507,data!F:F,YEAR(Feuil1!$D$1))</f>
        <v>0</v>
      </c>
      <c r="K507" s="13">
        <f>SUMIFS(data!E:E,data!A:A,TABLEAU!B507,data!C:C,TABLEAU!D507,data!F:F,YEAR(Feuil1!$D$2))</f>
        <v>3</v>
      </c>
      <c r="L507" s="13">
        <f t="shared" si="30"/>
        <v>-3</v>
      </c>
      <c r="M507" s="12">
        <f t="shared" si="31"/>
        <v>-1</v>
      </c>
    </row>
    <row r="508" spans="1:13" x14ac:dyDescent="0.25">
      <c r="A508" s="17" t="str">
        <f>data!H844</f>
        <v>VINICOM</v>
      </c>
      <c r="B508" s="15" t="str">
        <f>data!A844</f>
        <v>041</v>
      </c>
      <c r="C508" s="1" t="str">
        <f>data!B844</f>
        <v>CHATEAU TOUR DE PEZ</v>
      </c>
      <c r="D508" s="1" t="str">
        <f>data!C844</f>
        <v>CDV041020</v>
      </c>
      <c r="E508" s="1" t="str">
        <f>data!D508</f>
        <v>AC POMEROL BEAU SOLEIL</v>
      </c>
      <c r="F508" s="14">
        <f>SUMIFS(data!G:G,data!A:A,TABLEAU!B508,data!C:C,TABLEAU!D508,data!F:F,YEAR(Feuil1!$D$1))</f>
        <v>0</v>
      </c>
      <c r="G508" s="9">
        <f>SUMIFS(data!G:G,data!A:A,TABLEAU!B508,data!C:C,TABLEAU!D508,data!F:F,YEAR(Feuil1!$D$2))</f>
        <v>300</v>
      </c>
      <c r="H508" s="9">
        <f t="shared" si="28"/>
        <v>-300</v>
      </c>
      <c r="I508" s="12">
        <f t="shared" si="29"/>
        <v>-1</v>
      </c>
      <c r="J508" s="13">
        <f>SUMIFS(data!E:E,data!A:A,TABLEAU!B508,data!C:C,TABLEAU!D508,data!F:F,YEAR(Feuil1!$D$1))</f>
        <v>0</v>
      </c>
      <c r="K508" s="13">
        <f>SUMIFS(data!E:E,data!A:A,TABLEAU!B508,data!C:C,TABLEAU!D508,data!F:F,YEAR(Feuil1!$D$2))</f>
        <v>24</v>
      </c>
      <c r="L508" s="13">
        <f t="shared" si="30"/>
        <v>-24</v>
      </c>
      <c r="M508" s="12">
        <f t="shared" si="31"/>
        <v>-1</v>
      </c>
    </row>
    <row r="509" spans="1:13" x14ac:dyDescent="0.25">
      <c r="A509" s="17" t="str">
        <f>data!H845</f>
        <v>VINICOM</v>
      </c>
      <c r="B509" s="15" t="str">
        <f>data!A845</f>
        <v>042</v>
      </c>
      <c r="C509" s="1" t="str">
        <f>data!B845</f>
        <v>LE CELLIER DES PRINCES</v>
      </c>
      <c r="D509" s="1" t="str">
        <f>data!C845</f>
        <v>042100</v>
      </c>
      <c r="E509" s="1" t="str">
        <f>data!D509</f>
        <v>AC GRAVES CHATEAU DE L'HOSPITAL</v>
      </c>
      <c r="F509" s="14">
        <f>SUMIFS(data!G:G,data!A:A,TABLEAU!B509,data!C:C,TABLEAU!D509,data!F:F,YEAR(Feuil1!$D$1))</f>
        <v>4114.8</v>
      </c>
      <c r="G509" s="9">
        <f>SUMIFS(data!G:G,data!A:A,TABLEAU!B509,data!C:C,TABLEAU!D509,data!F:F,YEAR(Feuil1!$D$2))</f>
        <v>5360.1</v>
      </c>
      <c r="H509" s="9">
        <f t="shared" si="28"/>
        <v>-1245.3000000000002</v>
      </c>
      <c r="I509" s="12">
        <f t="shared" si="29"/>
        <v>-0.23232775507919631</v>
      </c>
      <c r="J509" s="13">
        <f>SUMIFS(data!E:E,data!A:A,TABLEAU!B509,data!C:C,TABLEAU!D509,data!F:F,YEAR(Feuil1!$D$1))</f>
        <v>587985.30000000005</v>
      </c>
      <c r="K509" s="13">
        <f>SUMIFS(data!E:E,data!A:A,TABLEAU!B509,data!C:C,TABLEAU!D509,data!F:F,YEAR(Feuil1!$D$2))</f>
        <v>745314.7</v>
      </c>
      <c r="L509" s="13">
        <f t="shared" si="30"/>
        <v>-157329.39999999991</v>
      </c>
      <c r="M509" s="12">
        <f t="shared" si="31"/>
        <v>-0.21109123434704818</v>
      </c>
    </row>
    <row r="510" spans="1:13" x14ac:dyDescent="0.25">
      <c r="A510" s="17" t="str">
        <f>data!H847</f>
        <v>VINICOM</v>
      </c>
      <c r="B510" s="15" t="str">
        <f>data!A847</f>
        <v>046</v>
      </c>
      <c r="C510" s="1" t="str">
        <f>data!B847</f>
        <v>MR JEAN PIERRE CABANES</v>
      </c>
      <c r="D510" s="1" t="str">
        <f>data!C847</f>
        <v>046001</v>
      </c>
      <c r="E510" s="1" t="str">
        <f>data!D510</f>
        <v>AC COTES ROTIE CEDRIC PARPETTE</v>
      </c>
      <c r="F510" s="14">
        <f>SUMIFS(data!G:G,data!A:A,TABLEAU!B510,data!C:C,TABLEAU!D510,data!F:F,YEAR(Feuil1!$D$1))</f>
        <v>1736.4</v>
      </c>
      <c r="G510" s="9">
        <f>SUMIFS(data!G:G,data!A:A,TABLEAU!B510,data!C:C,TABLEAU!D510,data!F:F,YEAR(Feuil1!$D$2))</f>
        <v>4119</v>
      </c>
      <c r="H510" s="9">
        <f t="shared" si="28"/>
        <v>-2382.6</v>
      </c>
      <c r="I510" s="12">
        <f t="shared" si="29"/>
        <v>-0.5784413692643845</v>
      </c>
      <c r="J510" s="13">
        <f>SUMIFS(data!E:E,data!A:A,TABLEAU!B510,data!C:C,TABLEAU!D510,data!F:F,YEAR(Feuil1!$D$1))</f>
        <v>408</v>
      </c>
      <c r="K510" s="13">
        <f>SUMIFS(data!E:E,data!A:A,TABLEAU!B510,data!C:C,TABLEAU!D510,data!F:F,YEAR(Feuil1!$D$2))</f>
        <v>1068</v>
      </c>
      <c r="L510" s="13">
        <f t="shared" si="30"/>
        <v>-660</v>
      </c>
      <c r="M510" s="12">
        <f t="shared" si="31"/>
        <v>-0.6179775280898876</v>
      </c>
    </row>
    <row r="511" spans="1:13" x14ac:dyDescent="0.25">
      <c r="A511" s="17" t="str">
        <f>data!H849</f>
        <v>VINICOM</v>
      </c>
      <c r="B511" s="15" t="str">
        <f>data!A849</f>
        <v>046</v>
      </c>
      <c r="C511" s="1" t="str">
        <f>data!B849</f>
        <v>MR JEAN PIERRE CABANES</v>
      </c>
      <c r="D511" s="1" t="str">
        <f>data!C849</f>
        <v>046010</v>
      </c>
      <c r="E511" s="1" t="str">
        <f>data!D511</f>
        <v>AC BEAUJOLAIS VILLAGE DME J. P. DUBOST</v>
      </c>
      <c r="F511" s="14">
        <f>SUMIFS(data!G:G,data!A:A,TABLEAU!B511,data!C:C,TABLEAU!D511,data!F:F,YEAR(Feuil1!$D$1))</f>
        <v>2273.4</v>
      </c>
      <c r="G511" s="9">
        <f>SUMIFS(data!G:G,data!A:A,TABLEAU!B511,data!C:C,TABLEAU!D511,data!F:F,YEAR(Feuil1!$D$2))</f>
        <v>4017.6</v>
      </c>
      <c r="H511" s="9">
        <f t="shared" si="28"/>
        <v>-1744.1999999999998</v>
      </c>
      <c r="I511" s="12">
        <f t="shared" si="29"/>
        <v>-0.43413978494623651</v>
      </c>
      <c r="J511" s="13">
        <f>SUMIFS(data!E:E,data!A:A,TABLEAU!B511,data!C:C,TABLEAU!D511,data!F:F,YEAR(Feuil1!$D$1))</f>
        <v>342</v>
      </c>
      <c r="K511" s="13">
        <f>SUMIFS(data!E:E,data!A:A,TABLEAU!B511,data!C:C,TABLEAU!D511,data!F:F,YEAR(Feuil1!$D$2))</f>
        <v>666</v>
      </c>
      <c r="L511" s="13">
        <f t="shared" si="30"/>
        <v>-324</v>
      </c>
      <c r="M511" s="12">
        <f t="shared" si="31"/>
        <v>-0.48648648648648651</v>
      </c>
    </row>
    <row r="512" spans="1:13" x14ac:dyDescent="0.25">
      <c r="A512" s="17" t="str">
        <f>data!H851</f>
        <v>VINICOM</v>
      </c>
      <c r="B512" s="15" t="str">
        <f>data!A851</f>
        <v>046</v>
      </c>
      <c r="C512" s="1" t="str">
        <f>data!B851</f>
        <v>MR JEAN PIERRE CABANES</v>
      </c>
      <c r="D512" s="1" t="str">
        <f>data!C851</f>
        <v>046015</v>
      </c>
      <c r="E512" s="1" t="str">
        <f>data!D512</f>
        <v>AC MORGON DME J.P. DUBOST</v>
      </c>
      <c r="F512" s="14">
        <f>SUMIFS(data!G:G,data!A:A,TABLEAU!B512,data!C:C,TABLEAU!D512,data!F:F,YEAR(Feuil1!$D$1))</f>
        <v>1716</v>
      </c>
      <c r="G512" s="9">
        <f>SUMIFS(data!G:G,data!A:A,TABLEAU!B512,data!C:C,TABLEAU!D512,data!F:F,YEAR(Feuil1!$D$2))</f>
        <v>4410.6000000000004</v>
      </c>
      <c r="H512" s="9">
        <f t="shared" si="28"/>
        <v>-2694.6000000000004</v>
      </c>
      <c r="I512" s="12">
        <f t="shared" si="29"/>
        <v>-0.6109372874438852</v>
      </c>
      <c r="J512" s="13">
        <f>SUMIFS(data!E:E,data!A:A,TABLEAU!B512,data!C:C,TABLEAU!D512,data!F:F,YEAR(Feuil1!$D$1))</f>
        <v>456</v>
      </c>
      <c r="K512" s="13">
        <f>SUMIFS(data!E:E,data!A:A,TABLEAU!B512,data!C:C,TABLEAU!D512,data!F:F,YEAR(Feuil1!$D$2))</f>
        <v>1296</v>
      </c>
      <c r="L512" s="13">
        <f t="shared" si="30"/>
        <v>-840</v>
      </c>
      <c r="M512" s="12">
        <f t="shared" si="31"/>
        <v>-0.64814814814814814</v>
      </c>
    </row>
    <row r="513" spans="1:13" x14ac:dyDescent="0.25">
      <c r="A513" s="17" t="str">
        <f>data!H853</f>
        <v>VINICOM</v>
      </c>
      <c r="B513" s="15" t="str">
        <f>data!A853</f>
        <v>046</v>
      </c>
      <c r="C513" s="1" t="str">
        <f>data!B853</f>
        <v>MR JEAN PIERRE CABANES</v>
      </c>
      <c r="D513" s="1" t="str">
        <f>data!C853</f>
        <v>046020</v>
      </c>
      <c r="E513" s="1" t="str">
        <f>data!D513</f>
        <v>AC MORGON DME J.P. DUBOST</v>
      </c>
      <c r="F513" s="14">
        <f>SUMIFS(data!G:G,data!A:A,TABLEAU!B513,data!C:C,TABLEAU!D513,data!F:F,YEAR(Feuil1!$D$1))</f>
        <v>1512</v>
      </c>
      <c r="G513" s="9">
        <f>SUMIFS(data!G:G,data!A:A,TABLEAU!B513,data!C:C,TABLEAU!D513,data!F:F,YEAR(Feuil1!$D$2))</f>
        <v>2478</v>
      </c>
      <c r="H513" s="9">
        <f t="shared" si="28"/>
        <v>-966</v>
      </c>
      <c r="I513" s="12">
        <f t="shared" si="29"/>
        <v>-0.38983050847457629</v>
      </c>
      <c r="J513" s="13">
        <f>SUMIFS(data!E:E,data!A:A,TABLEAU!B513,data!C:C,TABLEAU!D513,data!F:F,YEAR(Feuil1!$D$1))</f>
        <v>210</v>
      </c>
      <c r="K513" s="13">
        <f>SUMIFS(data!E:E,data!A:A,TABLEAU!B513,data!C:C,TABLEAU!D513,data!F:F,YEAR(Feuil1!$D$2))</f>
        <v>366</v>
      </c>
      <c r="L513" s="13">
        <f t="shared" si="30"/>
        <v>-156</v>
      </c>
      <c r="M513" s="12">
        <f t="shared" si="31"/>
        <v>-0.42622950819672129</v>
      </c>
    </row>
    <row r="514" spans="1:13" x14ac:dyDescent="0.25">
      <c r="A514" s="17" t="str">
        <f>data!H855</f>
        <v>VINICOM</v>
      </c>
      <c r="B514" s="15" t="str">
        <f>data!A855</f>
        <v>046</v>
      </c>
      <c r="C514" s="1" t="str">
        <f>data!B855</f>
        <v>MR JEAN PIERRE CABANES</v>
      </c>
      <c r="D514" s="1" t="str">
        <f>data!C855</f>
        <v>046025</v>
      </c>
      <c r="E514" s="1" t="str">
        <f>data!D514</f>
        <v>AC BROUILLY DME J.P. DUBOST</v>
      </c>
      <c r="F514" s="14">
        <f>SUMIFS(data!G:G,data!A:A,TABLEAU!B514,data!C:C,TABLEAU!D514,data!F:F,YEAR(Feuil1!$D$1))</f>
        <v>321.60000000000002</v>
      </c>
      <c r="G514" s="9">
        <f>SUMIFS(data!G:G,data!A:A,TABLEAU!B514,data!C:C,TABLEAU!D514,data!F:F,YEAR(Feuil1!$D$2))</f>
        <v>522</v>
      </c>
      <c r="H514" s="9">
        <f t="shared" si="28"/>
        <v>-200.39999999999998</v>
      </c>
      <c r="I514" s="12">
        <f t="shared" si="29"/>
        <v>-0.38390804597701145</v>
      </c>
      <c r="J514" s="13">
        <f>SUMIFS(data!E:E,data!A:A,TABLEAU!B514,data!C:C,TABLEAU!D514,data!F:F,YEAR(Feuil1!$D$1))</f>
        <v>24</v>
      </c>
      <c r="K514" s="13">
        <f>SUMIFS(data!E:E,data!A:A,TABLEAU!B514,data!C:C,TABLEAU!D514,data!F:F,YEAR(Feuil1!$D$2))</f>
        <v>90</v>
      </c>
      <c r="L514" s="13">
        <f t="shared" si="30"/>
        <v>-66</v>
      </c>
      <c r="M514" s="12">
        <f t="shared" si="31"/>
        <v>-0.73333333333333328</v>
      </c>
    </row>
    <row r="515" spans="1:13" x14ac:dyDescent="0.25">
      <c r="A515" s="17" t="str">
        <f>data!H857</f>
        <v>VINICOM</v>
      </c>
      <c r="B515" s="15" t="str">
        <f>data!A857</f>
        <v>046</v>
      </c>
      <c r="C515" s="1" t="str">
        <f>data!B857</f>
        <v>MR JEAN PIERRE CABANES</v>
      </c>
      <c r="D515" s="1" t="str">
        <f>data!C857</f>
        <v>CDV046025</v>
      </c>
      <c r="E515" s="1" t="str">
        <f>data!D515</f>
        <v>AC BROUILLY DME J.P. DUBOST</v>
      </c>
      <c r="F515" s="14">
        <f>SUMIFS(data!G:G,data!A:A,TABLEAU!B515,data!C:C,TABLEAU!D515,data!F:F,YEAR(Feuil1!$D$1))</f>
        <v>0</v>
      </c>
      <c r="G515" s="9">
        <f>SUMIFS(data!G:G,data!A:A,TABLEAU!B515,data!C:C,TABLEAU!D515,data!F:F,YEAR(Feuil1!$D$2))</f>
        <v>231</v>
      </c>
      <c r="H515" s="9">
        <f t="shared" ref="H515:H578" si="32">F515-G515</f>
        <v>-231</v>
      </c>
      <c r="I515" s="12">
        <f t="shared" ref="I515:I578" si="33">IF(ISERR(H515/G515),"",H515/G515)</f>
        <v>-1</v>
      </c>
      <c r="J515" s="13">
        <f>SUMIFS(data!E:E,data!A:A,TABLEAU!B515,data!C:C,TABLEAU!D515,data!F:F,YEAR(Feuil1!$D$1))</f>
        <v>0</v>
      </c>
      <c r="K515" s="13">
        <f>SUMIFS(data!E:E,data!A:A,TABLEAU!B515,data!C:C,TABLEAU!D515,data!F:F,YEAR(Feuil1!$D$2))</f>
        <v>42</v>
      </c>
      <c r="L515" s="13">
        <f t="shared" ref="L515:L578" si="34">J515-K515</f>
        <v>-42</v>
      </c>
      <c r="M515" s="12">
        <f t="shared" ref="M515:M578" si="35">IF(ISERR(L515/K515),"",L515/K515)</f>
        <v>-1</v>
      </c>
    </row>
    <row r="516" spans="1:13" x14ac:dyDescent="0.25">
      <c r="A516" s="17" t="str">
        <f>data!H858</f>
        <v>VINICOM</v>
      </c>
      <c r="B516" s="15" t="str">
        <f>data!A858</f>
        <v>048</v>
      </c>
      <c r="C516" s="1" t="str">
        <f>data!B858</f>
        <v>CHATEAU GUIBEAU</v>
      </c>
      <c r="D516" s="1" t="str">
        <f>data!C858</f>
        <v>048003</v>
      </c>
      <c r="E516" s="1" t="str">
        <f>data!D516</f>
        <v>AC MOULIN A VENT DME J.P. DUBOST</v>
      </c>
      <c r="F516" s="14">
        <f>SUMIFS(data!G:G,data!A:A,TABLEAU!B516,data!C:C,TABLEAU!D516,data!F:F,YEAR(Feuil1!$D$1))</f>
        <v>0</v>
      </c>
      <c r="G516" s="9">
        <f>SUMIFS(data!G:G,data!A:A,TABLEAU!B516,data!C:C,TABLEAU!D516,data!F:F,YEAR(Feuil1!$D$2))</f>
        <v>0</v>
      </c>
      <c r="H516" s="9">
        <f t="shared" si="32"/>
        <v>0</v>
      </c>
      <c r="I516" s="12" t="str">
        <f t="shared" si="33"/>
        <v/>
      </c>
      <c r="J516" s="13">
        <f>SUMIFS(data!E:E,data!A:A,TABLEAU!B516,data!C:C,TABLEAU!D516,data!F:F,YEAR(Feuil1!$D$1))</f>
        <v>0</v>
      </c>
      <c r="K516" s="13">
        <f>SUMIFS(data!E:E,data!A:A,TABLEAU!B516,data!C:C,TABLEAU!D516,data!F:F,YEAR(Feuil1!$D$2))</f>
        <v>0</v>
      </c>
      <c r="L516" s="13">
        <f t="shared" si="34"/>
        <v>0</v>
      </c>
      <c r="M516" s="12" t="str">
        <f t="shared" si="35"/>
        <v/>
      </c>
    </row>
    <row r="517" spans="1:13" x14ac:dyDescent="0.25">
      <c r="A517" s="17" t="str">
        <f>data!H859</f>
        <v>VINICOM</v>
      </c>
      <c r="B517" s="15" t="str">
        <f>data!A859</f>
        <v>048</v>
      </c>
      <c r="C517" s="1" t="str">
        <f>data!B859</f>
        <v>CHATEAU GUIBEAU</v>
      </c>
      <c r="D517" s="1" t="str">
        <f>data!C859</f>
        <v>048005</v>
      </c>
      <c r="E517" s="1" t="str">
        <f>data!D517</f>
        <v>AC MOULIN A VENT DME J.P. DUBOST</v>
      </c>
      <c r="F517" s="14">
        <f>SUMIFS(data!G:G,data!A:A,TABLEAU!B517,data!C:C,TABLEAU!D517,data!F:F,YEAR(Feuil1!$D$1))</f>
        <v>33</v>
      </c>
      <c r="G517" s="9">
        <f>SUMIFS(data!G:G,data!A:A,TABLEAU!B517,data!C:C,TABLEAU!D517,data!F:F,YEAR(Feuil1!$D$2))</f>
        <v>330</v>
      </c>
      <c r="H517" s="9">
        <f t="shared" si="32"/>
        <v>-297</v>
      </c>
      <c r="I517" s="12">
        <f t="shared" si="33"/>
        <v>-0.9</v>
      </c>
      <c r="J517" s="13">
        <f>SUMIFS(data!E:E,data!A:A,TABLEAU!B517,data!C:C,TABLEAU!D517,data!F:F,YEAR(Feuil1!$D$1))</f>
        <v>6</v>
      </c>
      <c r="K517" s="13">
        <f>SUMIFS(data!E:E,data!A:A,TABLEAU!B517,data!C:C,TABLEAU!D517,data!F:F,YEAR(Feuil1!$D$2))</f>
        <v>60</v>
      </c>
      <c r="L517" s="13">
        <f t="shared" si="34"/>
        <v>-54</v>
      </c>
      <c r="M517" s="12">
        <f t="shared" si="35"/>
        <v>-0.9</v>
      </c>
    </row>
    <row r="518" spans="1:13" x14ac:dyDescent="0.25">
      <c r="A518" s="17" t="str">
        <f>data!H861</f>
        <v>VINICOM</v>
      </c>
      <c r="B518" s="15" t="str">
        <f>data!A861</f>
        <v>048</v>
      </c>
      <c r="C518" s="1" t="str">
        <f>data!B861</f>
        <v>CHATEAU GUIBEAU</v>
      </c>
      <c r="D518" s="1" t="str">
        <f>data!C861</f>
        <v>048006</v>
      </c>
      <c r="E518" s="1" t="str">
        <f>data!D518</f>
        <v>AOP SAINT JOSEPH DOMAINE MARTHOURET</v>
      </c>
      <c r="F518" s="14">
        <f>SUMIFS(data!G:G,data!A:A,TABLEAU!B518,data!C:C,TABLEAU!D518,data!F:F,YEAR(Feuil1!$D$1))</f>
        <v>0</v>
      </c>
      <c r="G518" s="9">
        <f>SUMIFS(data!G:G,data!A:A,TABLEAU!B518,data!C:C,TABLEAU!D518,data!F:F,YEAR(Feuil1!$D$2))</f>
        <v>747.5</v>
      </c>
      <c r="H518" s="9">
        <f t="shared" si="32"/>
        <v>-747.5</v>
      </c>
      <c r="I518" s="12">
        <f t="shared" si="33"/>
        <v>-1</v>
      </c>
      <c r="J518" s="13">
        <f>SUMIFS(data!E:E,data!A:A,TABLEAU!B518,data!C:C,TABLEAU!D518,data!F:F,YEAR(Feuil1!$D$1))</f>
        <v>0</v>
      </c>
      <c r="K518" s="13">
        <f>SUMIFS(data!E:E,data!A:A,TABLEAU!B518,data!C:C,TABLEAU!D518,data!F:F,YEAR(Feuil1!$D$2))</f>
        <v>130</v>
      </c>
      <c r="L518" s="13">
        <f t="shared" si="34"/>
        <v>-130</v>
      </c>
      <c r="M518" s="12">
        <f t="shared" si="35"/>
        <v>-1</v>
      </c>
    </row>
    <row r="519" spans="1:13" x14ac:dyDescent="0.25">
      <c r="A519" s="17" t="str">
        <f>data!H862</f>
        <v>VINICOM</v>
      </c>
      <c r="B519" s="15" t="str">
        <f>data!A862</f>
        <v>048</v>
      </c>
      <c r="C519" s="1" t="str">
        <f>data!B862</f>
        <v>CHATEAU GUIBEAU</v>
      </c>
      <c r="D519" s="1" t="str">
        <f>data!C862</f>
        <v>048020</v>
      </c>
      <c r="E519" s="1" t="str">
        <f>data!D519</f>
        <v>IGP MARSANNE V. LAURENT MARTHOURET</v>
      </c>
      <c r="F519" s="14">
        <f>SUMIFS(data!G:G,data!A:A,TABLEAU!B519,data!C:C,TABLEAU!D519,data!F:F,YEAR(Feuil1!$D$1))</f>
        <v>220.8</v>
      </c>
      <c r="G519" s="9">
        <f>SUMIFS(data!G:G,data!A:A,TABLEAU!B519,data!C:C,TABLEAU!D519,data!F:F,YEAR(Feuil1!$D$2))</f>
        <v>0</v>
      </c>
      <c r="H519" s="9">
        <f t="shared" si="32"/>
        <v>220.8</v>
      </c>
      <c r="I519" s="12" t="str">
        <f t="shared" si="33"/>
        <v/>
      </c>
      <c r="J519" s="13">
        <f>SUMIFS(data!E:E,data!A:A,TABLEAU!B519,data!C:C,TABLEAU!D519,data!F:F,YEAR(Feuil1!$D$1))</f>
        <v>30</v>
      </c>
      <c r="K519" s="13">
        <f>SUMIFS(data!E:E,data!A:A,TABLEAU!B519,data!C:C,TABLEAU!D519,data!F:F,YEAR(Feuil1!$D$2))</f>
        <v>6</v>
      </c>
      <c r="L519" s="13">
        <f t="shared" si="34"/>
        <v>24</v>
      </c>
      <c r="M519" s="12">
        <f t="shared" si="35"/>
        <v>4</v>
      </c>
    </row>
    <row r="520" spans="1:13" x14ac:dyDescent="0.25">
      <c r="A520" s="17" t="str">
        <f>data!H864</f>
        <v>VINICOM</v>
      </c>
      <c r="B520" s="15" t="str">
        <f>data!A864</f>
        <v>048B</v>
      </c>
      <c r="C520" s="1" t="str">
        <f>data!B864</f>
        <v>SCEA BOURLON DESTOUEST</v>
      </c>
      <c r="D520" s="1" t="str">
        <f>data!C864</f>
        <v>048003B</v>
      </c>
      <c r="E520" s="1" t="str">
        <f>data!D520</f>
        <v>AC CONDRIEU V. LAURENT MARTHOURET</v>
      </c>
      <c r="F520" s="14">
        <f>SUMIFS(data!G:G,data!A:A,TABLEAU!B520,data!C:C,TABLEAU!D520,data!F:F,YEAR(Feuil1!$D$1))</f>
        <v>6921.6</v>
      </c>
      <c r="G520" s="9">
        <f>SUMIFS(data!G:G,data!A:A,TABLEAU!B520,data!C:C,TABLEAU!D520,data!F:F,YEAR(Feuil1!$D$2))</f>
        <v>10883.4</v>
      </c>
      <c r="H520" s="9">
        <f t="shared" si="32"/>
        <v>-3961.7999999999993</v>
      </c>
      <c r="I520" s="12">
        <f t="shared" si="33"/>
        <v>-0.3640222724516235</v>
      </c>
      <c r="J520" s="13">
        <f>SUMIFS(data!E:E,data!A:A,TABLEAU!B520,data!C:C,TABLEAU!D520,data!F:F,YEAR(Feuil1!$D$1))</f>
        <v>1272</v>
      </c>
      <c r="K520" s="13">
        <f>SUMIFS(data!E:E,data!A:A,TABLEAU!B520,data!C:C,TABLEAU!D520,data!F:F,YEAR(Feuil1!$D$2))</f>
        <v>1968</v>
      </c>
      <c r="L520" s="13">
        <f t="shared" si="34"/>
        <v>-696</v>
      </c>
      <c r="M520" s="12">
        <f t="shared" si="35"/>
        <v>-0.35365853658536583</v>
      </c>
    </row>
    <row r="521" spans="1:13" x14ac:dyDescent="0.25">
      <c r="A521" s="17" t="str">
        <f>data!H866</f>
        <v>VINICOM</v>
      </c>
      <c r="B521" s="15" t="str">
        <f>data!A866</f>
        <v>048B</v>
      </c>
      <c r="C521" s="1" t="str">
        <f>data!B866</f>
        <v>SCEA BOURLON DESTOUEST</v>
      </c>
      <c r="D521" s="1" t="str">
        <f>data!C866</f>
        <v>048006B</v>
      </c>
      <c r="E521" s="1" t="str">
        <f>data!D521</f>
        <v>AC CONDRIEU V. LAURENT MARTHOURET</v>
      </c>
      <c r="F521" s="14">
        <f>SUMIFS(data!G:G,data!A:A,TABLEAU!B521,data!C:C,TABLEAU!D521,data!F:F,YEAR(Feuil1!$D$1))</f>
        <v>789.6</v>
      </c>
      <c r="G521" s="9">
        <f>SUMIFS(data!G:G,data!A:A,TABLEAU!B521,data!C:C,TABLEAU!D521,data!F:F,YEAR(Feuil1!$D$2))</f>
        <v>1203.5999999999999</v>
      </c>
      <c r="H521" s="9">
        <f t="shared" si="32"/>
        <v>-413.99999999999989</v>
      </c>
      <c r="I521" s="12">
        <f t="shared" si="33"/>
        <v>-0.34396809571286135</v>
      </c>
      <c r="J521" s="13">
        <f>SUMIFS(data!E:E,data!A:A,TABLEAU!B521,data!C:C,TABLEAU!D521,data!F:F,YEAR(Feuil1!$D$1))</f>
        <v>132</v>
      </c>
      <c r="K521" s="13">
        <f>SUMIFS(data!E:E,data!A:A,TABLEAU!B521,data!C:C,TABLEAU!D521,data!F:F,YEAR(Feuil1!$D$2))</f>
        <v>228</v>
      </c>
      <c r="L521" s="13">
        <f t="shared" si="34"/>
        <v>-96</v>
      </c>
      <c r="M521" s="12">
        <f t="shared" si="35"/>
        <v>-0.42105263157894735</v>
      </c>
    </row>
    <row r="522" spans="1:13" x14ac:dyDescent="0.25">
      <c r="A522" s="17" t="str">
        <f>data!H868</f>
        <v>VINICOM</v>
      </c>
      <c r="B522" s="15" t="str">
        <f>data!A868</f>
        <v>049</v>
      </c>
      <c r="C522" s="1" t="str">
        <f>data!B868</f>
        <v>MAISON GRANDEAU</v>
      </c>
      <c r="D522" s="1" t="str">
        <f>data!C868</f>
        <v>049007</v>
      </c>
      <c r="E522" s="1" t="str">
        <f>data!D522</f>
        <v>AC MERCUREY 1er CRU</v>
      </c>
      <c r="F522" s="14">
        <f>SUMIFS(data!G:G,data!A:A,TABLEAU!B522,data!C:C,TABLEAU!D522,data!F:F,YEAR(Feuil1!$D$1))</f>
        <v>2517.3000000000002</v>
      </c>
      <c r="G522" s="9">
        <f>SUMIFS(data!G:G,data!A:A,TABLEAU!B522,data!C:C,TABLEAU!D522,data!F:F,YEAR(Feuil1!$D$2))</f>
        <v>3861</v>
      </c>
      <c r="H522" s="9">
        <f t="shared" si="32"/>
        <v>-1343.6999999999998</v>
      </c>
      <c r="I522" s="12">
        <f t="shared" si="33"/>
        <v>-0.34801864801864796</v>
      </c>
      <c r="J522" s="13">
        <f>SUMIFS(data!E:E,data!A:A,TABLEAU!B522,data!C:C,TABLEAU!D522,data!F:F,YEAR(Feuil1!$D$1))</f>
        <v>774</v>
      </c>
      <c r="K522" s="13">
        <f>SUMIFS(data!E:E,data!A:A,TABLEAU!B522,data!C:C,TABLEAU!D522,data!F:F,YEAR(Feuil1!$D$2))</f>
        <v>1176</v>
      </c>
      <c r="L522" s="13">
        <f t="shared" si="34"/>
        <v>-402</v>
      </c>
      <c r="M522" s="12">
        <f t="shared" si="35"/>
        <v>-0.34183673469387754</v>
      </c>
    </row>
    <row r="523" spans="1:13" x14ac:dyDescent="0.25">
      <c r="A523" s="17" t="str">
        <f>data!H870</f>
        <v>VINICOM</v>
      </c>
      <c r="B523" s="15" t="str">
        <f>data!A870</f>
        <v>049</v>
      </c>
      <c r="C523" s="1" t="str">
        <f>data!B870</f>
        <v>MAISON GRANDEAU</v>
      </c>
      <c r="D523" s="1" t="str">
        <f>data!C870</f>
        <v>049008</v>
      </c>
      <c r="E523" s="1" t="str">
        <f>data!D523</f>
        <v>AC MERCUREY 1er CRU</v>
      </c>
      <c r="F523" s="14">
        <f>SUMIFS(data!G:G,data!A:A,TABLEAU!B523,data!C:C,TABLEAU!D523,data!F:F,YEAR(Feuil1!$D$1))</f>
        <v>554.4</v>
      </c>
      <c r="G523" s="9">
        <f>SUMIFS(data!G:G,data!A:A,TABLEAU!B523,data!C:C,TABLEAU!D523,data!F:F,YEAR(Feuil1!$D$2))</f>
        <v>680.4</v>
      </c>
      <c r="H523" s="9">
        <f t="shared" si="32"/>
        <v>-126</v>
      </c>
      <c r="I523" s="12">
        <f t="shared" si="33"/>
        <v>-0.1851851851851852</v>
      </c>
      <c r="J523" s="13">
        <f>SUMIFS(data!E:E,data!A:A,TABLEAU!B523,data!C:C,TABLEAU!D523,data!F:F,YEAR(Feuil1!$D$1))</f>
        <v>132</v>
      </c>
      <c r="K523" s="13">
        <f>SUMIFS(data!E:E,data!A:A,TABLEAU!B523,data!C:C,TABLEAU!D523,data!F:F,YEAR(Feuil1!$D$2))</f>
        <v>162</v>
      </c>
      <c r="L523" s="13">
        <f t="shared" si="34"/>
        <v>-30</v>
      </c>
      <c r="M523" s="12">
        <f t="shared" si="35"/>
        <v>-0.18518518518518517</v>
      </c>
    </row>
    <row r="524" spans="1:13" x14ac:dyDescent="0.25">
      <c r="A524" s="17" t="str">
        <f>data!H872</f>
        <v>VINICOM</v>
      </c>
      <c r="B524" s="15" t="str">
        <f>data!A872</f>
        <v>049</v>
      </c>
      <c r="C524" s="1" t="str">
        <f>data!B872</f>
        <v>MAISON GRANDEAU</v>
      </c>
      <c r="D524" s="1" t="str">
        <f>data!C872</f>
        <v>049009</v>
      </c>
      <c r="E524" s="1" t="str">
        <f>data!D524</f>
        <v>IGP VALLEE DE LA LOIRE SAUVIGNON DOMAINE DE LA FOL</v>
      </c>
      <c r="F524" s="14">
        <f>SUMIFS(data!G:G,data!A:A,TABLEAU!B524,data!C:C,TABLEAU!D524,data!F:F,YEAR(Feuil1!$D$1))</f>
        <v>52.2</v>
      </c>
      <c r="G524" s="9">
        <f>SUMIFS(data!G:G,data!A:A,TABLEAU!B524,data!C:C,TABLEAU!D524,data!F:F,YEAR(Feuil1!$D$2))</f>
        <v>0</v>
      </c>
      <c r="H524" s="9">
        <f t="shared" si="32"/>
        <v>52.2</v>
      </c>
      <c r="I524" s="12" t="str">
        <f t="shared" si="33"/>
        <v/>
      </c>
      <c r="J524" s="13">
        <f>SUMIFS(data!E:E,data!A:A,TABLEAU!B524,data!C:C,TABLEAU!D524,data!F:F,YEAR(Feuil1!$D$1))</f>
        <v>18</v>
      </c>
      <c r="K524" s="13">
        <f>SUMIFS(data!E:E,data!A:A,TABLEAU!B524,data!C:C,TABLEAU!D524,data!F:F,YEAR(Feuil1!$D$2))</f>
        <v>6</v>
      </c>
      <c r="L524" s="13">
        <f t="shared" si="34"/>
        <v>12</v>
      </c>
      <c r="M524" s="12">
        <f t="shared" si="35"/>
        <v>2</v>
      </c>
    </row>
    <row r="525" spans="1:13" x14ac:dyDescent="0.25">
      <c r="A525" s="17" t="str">
        <f>data!H874</f>
        <v>VINICOM</v>
      </c>
      <c r="B525" s="15" t="str">
        <f>data!A874</f>
        <v>049</v>
      </c>
      <c r="C525" s="1" t="str">
        <f>data!B874</f>
        <v>MAISON GRANDEAU</v>
      </c>
      <c r="D525" s="1" t="str">
        <f>data!C874</f>
        <v>049014</v>
      </c>
      <c r="E525" s="1" t="str">
        <f>data!D525</f>
        <v>CABOTTE CUVEE YVONNE</v>
      </c>
      <c r="F525" s="14">
        <f>SUMIFS(data!G:G,data!A:A,TABLEAU!B525,data!C:C,TABLEAU!D525,data!F:F,YEAR(Feuil1!$D$1))</f>
        <v>783</v>
      </c>
      <c r="G525" s="9">
        <f>SUMIFS(data!G:G,data!A:A,TABLEAU!B525,data!C:C,TABLEAU!D525,data!F:F,YEAR(Feuil1!$D$2))</f>
        <v>418.5</v>
      </c>
      <c r="H525" s="9">
        <f t="shared" si="32"/>
        <v>364.5</v>
      </c>
      <c r="I525" s="12">
        <f t="shared" si="33"/>
        <v>0.87096774193548387</v>
      </c>
      <c r="J525" s="13">
        <f>SUMIFS(data!E:E,data!A:A,TABLEAU!B525,data!C:C,TABLEAU!D525,data!F:F,YEAR(Feuil1!$D$1))</f>
        <v>360</v>
      </c>
      <c r="K525" s="13">
        <f>SUMIFS(data!E:E,data!A:A,TABLEAU!B525,data!C:C,TABLEAU!D525,data!F:F,YEAR(Feuil1!$D$2))</f>
        <v>204</v>
      </c>
      <c r="L525" s="13">
        <f t="shared" si="34"/>
        <v>156</v>
      </c>
      <c r="M525" s="12">
        <f t="shared" si="35"/>
        <v>0.76470588235294112</v>
      </c>
    </row>
    <row r="526" spans="1:13" x14ac:dyDescent="0.25">
      <c r="A526" s="17" t="str">
        <f>data!H876</f>
        <v>VINICOM</v>
      </c>
      <c r="B526" s="15" t="str">
        <f>data!A876</f>
        <v>049</v>
      </c>
      <c r="C526" s="1" t="str">
        <f>data!B876</f>
        <v>MAISON GRANDEAU</v>
      </c>
      <c r="D526" s="1" t="str">
        <f>data!C876</f>
        <v>049015</v>
      </c>
      <c r="E526" s="1" t="str">
        <f>data!D526</f>
        <v>AOP COTES DU RHONE DOMAINE CABOTTE</v>
      </c>
      <c r="F526" s="14">
        <f>SUMIFS(data!G:G,data!A:A,TABLEAU!B526,data!C:C,TABLEAU!D526,data!F:F,YEAR(Feuil1!$D$1))</f>
        <v>3729</v>
      </c>
      <c r="G526" s="9">
        <f>SUMIFS(data!G:G,data!A:A,TABLEAU!B526,data!C:C,TABLEAU!D526,data!F:F,YEAR(Feuil1!$D$2))</f>
        <v>8293.5</v>
      </c>
      <c r="H526" s="9">
        <f t="shared" si="32"/>
        <v>-4564.5</v>
      </c>
      <c r="I526" s="12">
        <f t="shared" si="33"/>
        <v>-0.55037077229155362</v>
      </c>
      <c r="J526" s="13">
        <f>SUMIFS(data!E:E,data!A:A,TABLEAU!B526,data!C:C,TABLEAU!D526,data!F:F,YEAR(Feuil1!$D$1))</f>
        <v>1302</v>
      </c>
      <c r="K526" s="13">
        <f>SUMIFS(data!E:E,data!A:A,TABLEAU!B526,data!C:C,TABLEAU!D526,data!F:F,YEAR(Feuil1!$D$2))</f>
        <v>2922</v>
      </c>
      <c r="L526" s="13">
        <f t="shared" si="34"/>
        <v>-1620</v>
      </c>
      <c r="M526" s="12">
        <f t="shared" si="35"/>
        <v>-0.55441478439425051</v>
      </c>
    </row>
    <row r="527" spans="1:13" x14ac:dyDescent="0.25">
      <c r="A527" s="17" t="str">
        <f>data!H878</f>
        <v>VINICOM</v>
      </c>
      <c r="B527" s="15" t="str">
        <f>data!A878</f>
        <v>049</v>
      </c>
      <c r="C527" s="1" t="str">
        <f>data!B878</f>
        <v>MAISON GRANDEAU</v>
      </c>
      <c r="D527" s="1" t="str">
        <f>data!C878</f>
        <v>049016</v>
      </c>
      <c r="E527" s="1" t="str">
        <f>data!D527</f>
        <v>VALENCIA  BLES CRIANZA</v>
      </c>
      <c r="F527" s="14">
        <f>SUMIFS(data!G:G,data!A:A,TABLEAU!B527,data!C:C,TABLEAU!D527,data!F:F,YEAR(Feuil1!$D$1))</f>
        <v>551.4</v>
      </c>
      <c r="G527" s="9">
        <f>SUMIFS(data!G:G,data!A:A,TABLEAU!B527,data!C:C,TABLEAU!D527,data!F:F,YEAR(Feuil1!$D$2))</f>
        <v>619.20000000000005</v>
      </c>
      <c r="H527" s="9">
        <f t="shared" si="32"/>
        <v>-67.800000000000068</v>
      </c>
      <c r="I527" s="12">
        <f t="shared" si="33"/>
        <v>-0.10949612403100785</v>
      </c>
      <c r="J527" s="13">
        <f>SUMIFS(data!E:E,data!A:A,TABLEAU!B527,data!C:C,TABLEAU!D527,data!F:F,YEAR(Feuil1!$D$1))</f>
        <v>150</v>
      </c>
      <c r="K527" s="13">
        <f>SUMIFS(data!E:E,data!A:A,TABLEAU!B527,data!C:C,TABLEAU!D527,data!F:F,YEAR(Feuil1!$D$2))</f>
        <v>180</v>
      </c>
      <c r="L527" s="13">
        <f t="shared" si="34"/>
        <v>-30</v>
      </c>
      <c r="M527" s="12">
        <f t="shared" si="35"/>
        <v>-0.16666666666666666</v>
      </c>
    </row>
    <row r="528" spans="1:13" x14ac:dyDescent="0.25">
      <c r="A528" s="17" t="str">
        <f>data!H880</f>
        <v>VINICOM</v>
      </c>
      <c r="B528" s="15" t="str">
        <f>data!A880</f>
        <v>049</v>
      </c>
      <c r="C528" s="1" t="str">
        <f>data!B880</f>
        <v>MAISON GRANDEAU</v>
      </c>
      <c r="D528" s="1" t="str">
        <f>data!C880</f>
        <v>049020</v>
      </c>
      <c r="E528" s="1" t="str">
        <f>data!D528</f>
        <v>UTIEL REQUENA ARANLEO SOLO</v>
      </c>
      <c r="F528" s="14">
        <f>SUMIFS(data!G:G,data!A:A,TABLEAU!B528,data!C:C,TABLEAU!D528,data!F:F,YEAR(Feuil1!$D$1))</f>
        <v>7371</v>
      </c>
      <c r="G528" s="9">
        <f>SUMIFS(data!G:G,data!A:A,TABLEAU!B528,data!C:C,TABLEAU!D528,data!F:F,YEAR(Feuil1!$D$2))</f>
        <v>10036.5</v>
      </c>
      <c r="H528" s="9">
        <f t="shared" si="32"/>
        <v>-2665.5</v>
      </c>
      <c r="I528" s="12">
        <f t="shared" si="33"/>
        <v>-0.26558063069795246</v>
      </c>
      <c r="J528" s="13">
        <f>SUMIFS(data!E:E,data!A:A,TABLEAU!B528,data!C:C,TABLEAU!D528,data!F:F,YEAR(Feuil1!$D$1))</f>
        <v>3306</v>
      </c>
      <c r="K528" s="13">
        <f>SUMIFS(data!E:E,data!A:A,TABLEAU!B528,data!C:C,TABLEAU!D528,data!F:F,YEAR(Feuil1!$D$2))</f>
        <v>4590</v>
      </c>
      <c r="L528" s="13">
        <f t="shared" si="34"/>
        <v>-1284</v>
      </c>
      <c r="M528" s="12">
        <f t="shared" si="35"/>
        <v>-0.27973856209150327</v>
      </c>
    </row>
    <row r="529" spans="1:13" x14ac:dyDescent="0.25">
      <c r="A529" s="17" t="str">
        <f>data!H882</f>
        <v>VINICOM</v>
      </c>
      <c r="B529" s="15" t="str">
        <f>data!A882</f>
        <v>049</v>
      </c>
      <c r="C529" s="1" t="str">
        <f>data!B882</f>
        <v>MAISON GRANDEAU</v>
      </c>
      <c r="D529" s="1" t="str">
        <f>data!C882</f>
        <v>049023</v>
      </c>
      <c r="E529" s="1" t="str">
        <f>data!D529</f>
        <v>UTIEL REQUENA ARANLEO SOLO</v>
      </c>
      <c r="F529" s="14">
        <f>SUMIFS(data!G:G,data!A:A,TABLEAU!B529,data!C:C,TABLEAU!D529,data!F:F,YEAR(Feuil1!$D$1))</f>
        <v>1394.4</v>
      </c>
      <c r="G529" s="9">
        <f>SUMIFS(data!G:G,data!A:A,TABLEAU!B529,data!C:C,TABLEAU!D529,data!F:F,YEAR(Feuil1!$D$2))</f>
        <v>217.8</v>
      </c>
      <c r="H529" s="9">
        <f t="shared" si="32"/>
        <v>1176.6000000000001</v>
      </c>
      <c r="I529" s="12">
        <f t="shared" si="33"/>
        <v>5.4022038567493116</v>
      </c>
      <c r="J529" s="13">
        <f>SUMIFS(data!E:E,data!A:A,TABLEAU!B529,data!C:C,TABLEAU!D529,data!F:F,YEAR(Feuil1!$D$1))</f>
        <v>426</v>
      </c>
      <c r="K529" s="13">
        <f>SUMIFS(data!E:E,data!A:A,TABLEAU!B529,data!C:C,TABLEAU!D529,data!F:F,YEAR(Feuil1!$D$2))</f>
        <v>72</v>
      </c>
      <c r="L529" s="13">
        <f t="shared" si="34"/>
        <v>354</v>
      </c>
      <c r="M529" s="12">
        <f t="shared" si="35"/>
        <v>4.916666666666667</v>
      </c>
    </row>
    <row r="530" spans="1:13" x14ac:dyDescent="0.25">
      <c r="A530" s="17" t="str">
        <f>data!H884</f>
        <v>VINICOM</v>
      </c>
      <c r="B530" s="15" t="str">
        <f>data!A884</f>
        <v>049</v>
      </c>
      <c r="C530" s="1" t="str">
        <f>data!B884</f>
        <v>MAISON GRANDEAU</v>
      </c>
      <c r="D530" s="1" t="str">
        <f>data!C884</f>
        <v>049027</v>
      </c>
      <c r="E530" s="1" t="str">
        <f>data!D530</f>
        <v>IGP D'OC CHARDONNAY</v>
      </c>
      <c r="F530" s="14">
        <f>SUMIFS(data!G:G,data!A:A,TABLEAU!B530,data!C:C,TABLEAU!D530,data!F:F,YEAR(Feuil1!$D$1))</f>
        <v>567</v>
      </c>
      <c r="G530" s="9">
        <f>SUMIFS(data!G:G,data!A:A,TABLEAU!B530,data!C:C,TABLEAU!D530,data!F:F,YEAR(Feuil1!$D$2))</f>
        <v>1417.5</v>
      </c>
      <c r="H530" s="9">
        <f t="shared" si="32"/>
        <v>-850.5</v>
      </c>
      <c r="I530" s="12">
        <f t="shared" si="33"/>
        <v>-0.6</v>
      </c>
      <c r="J530" s="13">
        <f>SUMIFS(data!E:E,data!A:A,TABLEAU!B530,data!C:C,TABLEAU!D530,data!F:F,YEAR(Feuil1!$D$1))</f>
        <v>168</v>
      </c>
      <c r="K530" s="13">
        <f>SUMIFS(data!E:E,data!A:A,TABLEAU!B530,data!C:C,TABLEAU!D530,data!F:F,YEAR(Feuil1!$D$2))</f>
        <v>420</v>
      </c>
      <c r="L530" s="13">
        <f t="shared" si="34"/>
        <v>-252</v>
      </c>
      <c r="M530" s="12">
        <f t="shared" si="35"/>
        <v>-0.6</v>
      </c>
    </row>
    <row r="531" spans="1:13" x14ac:dyDescent="0.25">
      <c r="A531" s="17" t="str">
        <f>data!H886</f>
        <v>VINICOM</v>
      </c>
      <c r="B531" s="15" t="str">
        <f>data!A886</f>
        <v>049</v>
      </c>
      <c r="C531" s="1" t="str">
        <f>data!B886</f>
        <v>MAISON GRANDEAU</v>
      </c>
      <c r="D531" s="1" t="str">
        <f>data!C886</f>
        <v>CDV049023</v>
      </c>
      <c r="E531" s="1" t="str">
        <f>data!D531</f>
        <v>IGP D'OC CHARDONNAY</v>
      </c>
      <c r="F531" s="14">
        <f>SUMIFS(data!G:G,data!A:A,TABLEAU!B531,data!C:C,TABLEAU!D531,data!F:F,YEAR(Feuil1!$D$1))</f>
        <v>0</v>
      </c>
      <c r="G531" s="9">
        <f>SUMIFS(data!G:G,data!A:A,TABLEAU!B531,data!C:C,TABLEAU!D531,data!F:F,YEAR(Feuil1!$D$2))</f>
        <v>138.6</v>
      </c>
      <c r="H531" s="9">
        <f t="shared" si="32"/>
        <v>-138.6</v>
      </c>
      <c r="I531" s="12">
        <f t="shared" si="33"/>
        <v>-1</v>
      </c>
      <c r="J531" s="13">
        <f>SUMIFS(data!E:E,data!A:A,TABLEAU!B531,data!C:C,TABLEAU!D531,data!F:F,YEAR(Feuil1!$D$1))</f>
        <v>0</v>
      </c>
      <c r="K531" s="13">
        <f>SUMIFS(data!E:E,data!A:A,TABLEAU!B531,data!C:C,TABLEAU!D531,data!F:F,YEAR(Feuil1!$D$2))</f>
        <v>42</v>
      </c>
      <c r="L531" s="13">
        <f t="shared" si="34"/>
        <v>-42</v>
      </c>
      <c r="M531" s="12">
        <f t="shared" si="35"/>
        <v>-1</v>
      </c>
    </row>
    <row r="532" spans="1:13" x14ac:dyDescent="0.25">
      <c r="A532" s="17" t="str">
        <f>data!H887</f>
        <v>VINICOM</v>
      </c>
      <c r="B532" s="15" t="str">
        <f>data!A887</f>
        <v>049</v>
      </c>
      <c r="C532" s="1" t="str">
        <f>data!B887</f>
        <v>MAISON GRANDEAU</v>
      </c>
      <c r="D532" s="1" t="str">
        <f>data!C887</f>
        <v>CDV049040</v>
      </c>
      <c r="E532" s="1" t="str">
        <f>data!D532</f>
        <v>IGP D OC VIOGNIER CASTELNAU</v>
      </c>
      <c r="F532" s="14">
        <f>SUMIFS(data!G:G,data!A:A,TABLEAU!B532,data!C:C,TABLEAU!D532,data!F:F,YEAR(Feuil1!$D$1))</f>
        <v>0</v>
      </c>
      <c r="G532" s="9">
        <f>SUMIFS(data!G:G,data!A:A,TABLEAU!B532,data!C:C,TABLEAU!D532,data!F:F,YEAR(Feuil1!$D$2))</f>
        <v>102.6</v>
      </c>
      <c r="H532" s="9">
        <f t="shared" si="32"/>
        <v>-102.6</v>
      </c>
      <c r="I532" s="12">
        <f t="shared" si="33"/>
        <v>-1</v>
      </c>
      <c r="J532" s="13">
        <f>SUMIFS(data!E:E,data!A:A,TABLEAU!B532,data!C:C,TABLEAU!D532,data!F:F,YEAR(Feuil1!$D$1))</f>
        <v>36</v>
      </c>
      <c r="K532" s="13">
        <f>SUMIFS(data!E:E,data!A:A,TABLEAU!B532,data!C:C,TABLEAU!D532,data!F:F,YEAR(Feuil1!$D$2))</f>
        <v>36</v>
      </c>
      <c r="L532" s="13">
        <f t="shared" si="34"/>
        <v>0</v>
      </c>
      <c r="M532" s="12">
        <f t="shared" si="35"/>
        <v>0</v>
      </c>
    </row>
    <row r="533" spans="1:13" x14ac:dyDescent="0.25">
      <c r="A533" s="17" t="str">
        <f>data!H889</f>
        <v>VINICOM</v>
      </c>
      <c r="B533" s="15" t="str">
        <f>data!A889</f>
        <v>050</v>
      </c>
      <c r="C533" s="1" t="str">
        <f>data!B889</f>
        <v>CHÂTEAU HAUT LIGNIERES</v>
      </c>
      <c r="D533" s="1" t="str">
        <f>data!C889</f>
        <v>050001</v>
      </c>
      <c r="E533" s="1" t="str">
        <f>data!D533</f>
        <v>IGP D OC VIOGNIER CASTELNAU</v>
      </c>
      <c r="F533" s="14">
        <f>SUMIFS(data!G:G,data!A:A,TABLEAU!B533,data!C:C,TABLEAU!D533,data!F:F,YEAR(Feuil1!$D$1))</f>
        <v>14946.9</v>
      </c>
      <c r="G533" s="9">
        <f>SUMIFS(data!G:G,data!A:A,TABLEAU!B533,data!C:C,TABLEAU!D533,data!F:F,YEAR(Feuil1!$D$2))</f>
        <v>22361.5</v>
      </c>
      <c r="H533" s="9">
        <f t="shared" si="32"/>
        <v>-7414.6</v>
      </c>
      <c r="I533" s="12">
        <f t="shared" si="33"/>
        <v>-0.33157882968494962</v>
      </c>
      <c r="J533" s="13">
        <f>SUMIFS(data!E:E,data!A:A,TABLEAU!B533,data!C:C,TABLEAU!D533,data!F:F,YEAR(Feuil1!$D$1))</f>
        <v>4626</v>
      </c>
      <c r="K533" s="13">
        <f>SUMIFS(data!E:E,data!A:A,TABLEAU!B533,data!C:C,TABLEAU!D533,data!F:F,YEAR(Feuil1!$D$2))</f>
        <v>7032</v>
      </c>
      <c r="L533" s="13">
        <f t="shared" si="34"/>
        <v>-2406</v>
      </c>
      <c r="M533" s="12">
        <f t="shared" si="35"/>
        <v>-0.34215017064846415</v>
      </c>
    </row>
    <row r="534" spans="1:13" x14ac:dyDescent="0.25">
      <c r="A534" s="17" t="str">
        <f>data!H891</f>
        <v>VINICOM</v>
      </c>
      <c r="B534" s="15" t="str">
        <f>data!A891</f>
        <v>050</v>
      </c>
      <c r="C534" s="1" t="str">
        <f>data!B891</f>
        <v>CHÂTEAU HAUT LIGNIERES</v>
      </c>
      <c r="D534" s="1" t="str">
        <f>data!C891</f>
        <v>050003</v>
      </c>
      <c r="E534" s="1" t="str">
        <f>data!D534</f>
        <v>IGP OC SYRAH CASTELNAU</v>
      </c>
      <c r="F534" s="14">
        <f>SUMIFS(data!G:G,data!A:A,TABLEAU!B534,data!C:C,TABLEAU!D534,data!F:F,YEAR(Feuil1!$D$1))</f>
        <v>1244.0999999999999</v>
      </c>
      <c r="G534" s="9">
        <f>SUMIFS(data!G:G,data!A:A,TABLEAU!B534,data!C:C,TABLEAU!D534,data!F:F,YEAR(Feuil1!$D$2))</f>
        <v>1266.5999999999999</v>
      </c>
      <c r="H534" s="9">
        <f t="shared" si="32"/>
        <v>-22.5</v>
      </c>
      <c r="I534" s="12">
        <f t="shared" si="33"/>
        <v>-1.7764092846991947E-2</v>
      </c>
      <c r="J534" s="13">
        <f>SUMIFS(data!E:E,data!A:A,TABLEAU!B534,data!C:C,TABLEAU!D534,data!F:F,YEAR(Feuil1!$D$1))</f>
        <v>390</v>
      </c>
      <c r="K534" s="13">
        <f>SUMIFS(data!E:E,data!A:A,TABLEAU!B534,data!C:C,TABLEAU!D534,data!F:F,YEAR(Feuil1!$D$2))</f>
        <v>414</v>
      </c>
      <c r="L534" s="13">
        <f t="shared" si="34"/>
        <v>-24</v>
      </c>
      <c r="M534" s="12">
        <f t="shared" si="35"/>
        <v>-5.7971014492753624E-2</v>
      </c>
    </row>
    <row r="535" spans="1:13" x14ac:dyDescent="0.25">
      <c r="A535" s="17" t="str">
        <f>data!H893</f>
        <v>VINICOM</v>
      </c>
      <c r="B535" s="15" t="str">
        <f>data!A893</f>
        <v>050</v>
      </c>
      <c r="C535" s="1" t="str">
        <f>data!B893</f>
        <v>CHÂTEAU HAUT LIGNIERES</v>
      </c>
      <c r="D535" s="1" t="str">
        <f>data!C893</f>
        <v>050005</v>
      </c>
      <c r="E535" s="1" t="str">
        <f>data!D535</f>
        <v>IGP GRENAT DME L'AIGUELIERE</v>
      </c>
      <c r="F535" s="14">
        <f>SUMIFS(data!G:G,data!A:A,TABLEAU!B535,data!C:C,TABLEAU!D535,data!F:F,YEAR(Feuil1!$D$1))</f>
        <v>1900.8</v>
      </c>
      <c r="G535" s="9">
        <f>SUMIFS(data!G:G,data!A:A,TABLEAU!B535,data!C:C,TABLEAU!D535,data!F:F,YEAR(Feuil1!$D$2))</f>
        <v>1293.3599999999999</v>
      </c>
      <c r="H535" s="9">
        <f t="shared" si="32"/>
        <v>607.44000000000005</v>
      </c>
      <c r="I535" s="12">
        <f t="shared" si="33"/>
        <v>0.46966041937279651</v>
      </c>
      <c r="J535" s="13">
        <f>SUMIFS(data!E:E,data!A:A,TABLEAU!B535,data!C:C,TABLEAU!D535,data!F:F,YEAR(Feuil1!$D$1))</f>
        <v>444</v>
      </c>
      <c r="K535" s="13">
        <f>SUMIFS(data!E:E,data!A:A,TABLEAU!B535,data!C:C,TABLEAU!D535,data!F:F,YEAR(Feuil1!$D$2))</f>
        <v>300</v>
      </c>
      <c r="L535" s="13">
        <f t="shared" si="34"/>
        <v>144</v>
      </c>
      <c r="M535" s="12">
        <f t="shared" si="35"/>
        <v>0.48</v>
      </c>
    </row>
    <row r="536" spans="1:13" x14ac:dyDescent="0.25">
      <c r="A536" s="17" t="str">
        <f>data!H895</f>
        <v>VINICOM</v>
      </c>
      <c r="B536" s="15" t="str">
        <f>data!A895</f>
        <v>050</v>
      </c>
      <c r="C536" s="1" t="str">
        <f>data!B895</f>
        <v>CHÂTEAU HAUT LIGNIERES</v>
      </c>
      <c r="D536" s="1" t="str">
        <f>data!C895</f>
        <v>050010</v>
      </c>
      <c r="E536" s="1" t="str">
        <f>data!D536</f>
        <v>IGP GRENAT DME L'AIGUELIERE</v>
      </c>
      <c r="F536" s="14">
        <f>SUMIFS(data!G:G,data!A:A,TABLEAU!B536,data!C:C,TABLEAU!D536,data!F:F,YEAR(Feuil1!$D$1))</f>
        <v>975</v>
      </c>
      <c r="G536" s="9">
        <f>SUMIFS(data!G:G,data!A:A,TABLEAU!B536,data!C:C,TABLEAU!D536,data!F:F,YEAR(Feuil1!$D$2))</f>
        <v>1644.5</v>
      </c>
      <c r="H536" s="9">
        <f t="shared" si="32"/>
        <v>-669.5</v>
      </c>
      <c r="I536" s="12">
        <f t="shared" si="33"/>
        <v>-0.40711462450592883</v>
      </c>
      <c r="J536" s="13">
        <f>SUMIFS(data!E:E,data!A:A,TABLEAU!B536,data!C:C,TABLEAU!D536,data!F:F,YEAR(Feuil1!$D$1))</f>
        <v>162</v>
      </c>
      <c r="K536" s="13">
        <f>SUMIFS(data!E:E,data!A:A,TABLEAU!B536,data!C:C,TABLEAU!D536,data!F:F,YEAR(Feuil1!$D$2))</f>
        <v>276</v>
      </c>
      <c r="L536" s="13">
        <f t="shared" si="34"/>
        <v>-114</v>
      </c>
      <c r="M536" s="12">
        <f t="shared" si="35"/>
        <v>-0.41304347826086957</v>
      </c>
    </row>
    <row r="537" spans="1:13" x14ac:dyDescent="0.25">
      <c r="A537" s="17" t="str">
        <f>data!H897</f>
        <v>VINICOM</v>
      </c>
      <c r="B537" s="15" t="str">
        <f>data!A897</f>
        <v>050</v>
      </c>
      <c r="C537" s="1" t="str">
        <f>data!B897</f>
        <v>CHÂTEAU HAUT LIGNIERES</v>
      </c>
      <c r="D537" s="1" t="str">
        <f>data!C897</f>
        <v>CDV050015</v>
      </c>
      <c r="E537" s="1" t="str">
        <f>data!D537</f>
        <v>AC SAINT JULIEN CHATEAU DU GLANA</v>
      </c>
      <c r="F537" s="14">
        <f>SUMIFS(data!G:G,data!A:A,TABLEAU!B537,data!C:C,TABLEAU!D537,data!F:F,YEAR(Feuil1!$D$1))</f>
        <v>307.2</v>
      </c>
      <c r="G537" s="9">
        <f>SUMIFS(data!G:G,data!A:A,TABLEAU!B537,data!C:C,TABLEAU!D537,data!F:F,YEAR(Feuil1!$D$2))</f>
        <v>0</v>
      </c>
      <c r="H537" s="9">
        <f t="shared" si="32"/>
        <v>307.2</v>
      </c>
      <c r="I537" s="12" t="str">
        <f t="shared" si="33"/>
        <v/>
      </c>
      <c r="J537" s="13">
        <f>SUMIFS(data!E:E,data!A:A,TABLEAU!B537,data!C:C,TABLEAU!D537,data!F:F,YEAR(Feuil1!$D$1))</f>
        <v>24</v>
      </c>
      <c r="K537" s="13">
        <f>SUMIFS(data!E:E,data!A:A,TABLEAU!B537,data!C:C,TABLEAU!D537,data!F:F,YEAR(Feuil1!$D$2))</f>
        <v>0</v>
      </c>
      <c r="L537" s="13">
        <f t="shared" si="34"/>
        <v>24</v>
      </c>
      <c r="M537" s="12" t="str">
        <f t="shared" si="35"/>
        <v/>
      </c>
    </row>
    <row r="538" spans="1:13" x14ac:dyDescent="0.25">
      <c r="A538" s="17" t="str">
        <f>data!H898</f>
        <v>VINICOM</v>
      </c>
      <c r="B538" s="15" t="str">
        <f>data!A898</f>
        <v>051</v>
      </c>
      <c r="C538" s="1" t="str">
        <f>data!B898</f>
        <v>CLOS TRIMOULET</v>
      </c>
      <c r="D538" s="1" t="str">
        <f>data!C898</f>
        <v>051000</v>
      </c>
      <c r="E538" s="1" t="str">
        <f>data!D538</f>
        <v>AC SAINT JULIEN CHATEAU DU GLANA</v>
      </c>
      <c r="F538" s="14">
        <f>SUMIFS(data!G:G,data!A:A,TABLEAU!B538,data!C:C,TABLEAU!D538,data!F:F,YEAR(Feuil1!$D$1))</f>
        <v>39299.4</v>
      </c>
      <c r="G538" s="9">
        <f>SUMIFS(data!G:G,data!A:A,TABLEAU!B538,data!C:C,TABLEAU!D538,data!F:F,YEAR(Feuil1!$D$2))</f>
        <v>55281.1</v>
      </c>
      <c r="H538" s="9">
        <f t="shared" si="32"/>
        <v>-15981.699999999997</v>
      </c>
      <c r="I538" s="12">
        <f t="shared" si="33"/>
        <v>-0.28909880592101095</v>
      </c>
      <c r="J538" s="13">
        <f>SUMIFS(data!E:E,data!A:A,TABLEAU!B538,data!C:C,TABLEAU!D538,data!F:F,YEAR(Feuil1!$D$1))</f>
        <v>7086</v>
      </c>
      <c r="K538" s="13">
        <f>SUMIFS(data!E:E,data!A:A,TABLEAU!B538,data!C:C,TABLEAU!D538,data!F:F,YEAR(Feuil1!$D$2))</f>
        <v>9966</v>
      </c>
      <c r="L538" s="13">
        <f t="shared" si="34"/>
        <v>-2880</v>
      </c>
      <c r="M538" s="12">
        <f t="shared" si="35"/>
        <v>-0.2889825406381698</v>
      </c>
    </row>
    <row r="539" spans="1:13" x14ac:dyDescent="0.25">
      <c r="A539" s="17" t="str">
        <f>data!H900</f>
        <v>VINICOM</v>
      </c>
      <c r="B539" s="15" t="str">
        <f>data!A900</f>
        <v>051</v>
      </c>
      <c r="C539" s="1" t="str">
        <f>data!B900</f>
        <v>CLOS TRIMOULET</v>
      </c>
      <c r="D539" s="1" t="str">
        <f>data!C900</f>
        <v>051002CB</v>
      </c>
      <c r="E539" s="1" t="str">
        <f>data!D539</f>
        <v>IGP CEVENNES ROSE</v>
      </c>
      <c r="F539" s="14">
        <f>SUMIFS(data!G:G,data!A:A,TABLEAU!B539,data!C:C,TABLEAU!D539,data!F:F,YEAR(Feuil1!$D$1))</f>
        <v>1474.2</v>
      </c>
      <c r="G539" s="9">
        <f>SUMIFS(data!G:G,data!A:A,TABLEAU!B539,data!C:C,TABLEAU!D539,data!F:F,YEAR(Feuil1!$D$2))</f>
        <v>1903.32</v>
      </c>
      <c r="H539" s="9">
        <f t="shared" si="32"/>
        <v>-429.11999999999989</v>
      </c>
      <c r="I539" s="12">
        <f t="shared" si="33"/>
        <v>-0.2254586722148666</v>
      </c>
      <c r="J539" s="13">
        <f>SUMIFS(data!E:E,data!A:A,TABLEAU!B539,data!C:C,TABLEAU!D539,data!F:F,YEAR(Feuil1!$D$1))</f>
        <v>144</v>
      </c>
      <c r="K539" s="13">
        <f>SUMIFS(data!E:E,data!A:A,TABLEAU!B539,data!C:C,TABLEAU!D539,data!F:F,YEAR(Feuil1!$D$2))</f>
        <v>204</v>
      </c>
      <c r="L539" s="13">
        <f t="shared" si="34"/>
        <v>-60</v>
      </c>
      <c r="M539" s="12">
        <f t="shared" si="35"/>
        <v>-0.29411764705882354</v>
      </c>
    </row>
    <row r="540" spans="1:13" x14ac:dyDescent="0.25">
      <c r="A540" s="17" t="str">
        <f>data!H902</f>
        <v>VINICOM</v>
      </c>
      <c r="B540" s="15" t="str">
        <f>data!A902</f>
        <v>051</v>
      </c>
      <c r="C540" s="1" t="str">
        <f>data!B902</f>
        <v>CLOS TRIMOULET</v>
      </c>
      <c r="D540" s="1" t="str">
        <f>data!C902</f>
        <v>051006</v>
      </c>
      <c r="E540" s="1" t="str">
        <f>data!D540</f>
        <v>IGP CEVENNES BLANC</v>
      </c>
      <c r="F540" s="14">
        <f>SUMIFS(data!G:G,data!A:A,TABLEAU!B540,data!C:C,TABLEAU!D540,data!F:F,YEAR(Feuil1!$D$1))</f>
        <v>0</v>
      </c>
      <c r="G540" s="9">
        <f>SUMIFS(data!G:G,data!A:A,TABLEAU!B540,data!C:C,TABLEAU!D540,data!F:F,YEAR(Feuil1!$D$2))</f>
        <v>381</v>
      </c>
      <c r="H540" s="9">
        <f t="shared" si="32"/>
        <v>-381</v>
      </c>
      <c r="I540" s="12">
        <f t="shared" si="33"/>
        <v>-1</v>
      </c>
      <c r="J540" s="13">
        <f>SUMIFS(data!E:E,data!A:A,TABLEAU!B540,data!C:C,TABLEAU!D540,data!F:F,YEAR(Feuil1!$D$1))</f>
        <v>0</v>
      </c>
      <c r="K540" s="13">
        <f>SUMIFS(data!E:E,data!A:A,TABLEAU!B540,data!C:C,TABLEAU!D540,data!F:F,YEAR(Feuil1!$D$2))</f>
        <v>60</v>
      </c>
      <c r="L540" s="13">
        <f t="shared" si="34"/>
        <v>-60</v>
      </c>
      <c r="M540" s="12">
        <f t="shared" si="35"/>
        <v>-1</v>
      </c>
    </row>
    <row r="541" spans="1:13" x14ac:dyDescent="0.25">
      <c r="A541" s="17" t="str">
        <f>data!H903</f>
        <v>VINICOM</v>
      </c>
      <c r="B541" s="15" t="str">
        <f>data!A903</f>
        <v>051</v>
      </c>
      <c r="C541" s="1" t="str">
        <f>data!B903</f>
        <v>CLOS TRIMOULET</v>
      </c>
      <c r="D541" s="1" t="str">
        <f>data!C903</f>
        <v>051010</v>
      </c>
      <c r="E541" s="1" t="str">
        <f>data!D541</f>
        <v>IGP CEVENNES RGE</v>
      </c>
      <c r="F541" s="14">
        <f>SUMIFS(data!G:G,data!A:A,TABLEAU!B541,data!C:C,TABLEAU!D541,data!F:F,YEAR(Feuil1!$D$1))</f>
        <v>0</v>
      </c>
      <c r="G541" s="9">
        <f>SUMIFS(data!G:G,data!A:A,TABLEAU!B541,data!C:C,TABLEAU!D541,data!F:F,YEAR(Feuil1!$D$2))</f>
        <v>58981.55</v>
      </c>
      <c r="H541" s="9">
        <f t="shared" si="32"/>
        <v>-58981.55</v>
      </c>
      <c r="I541" s="12">
        <f t="shared" si="33"/>
        <v>-1</v>
      </c>
      <c r="J541" s="13">
        <f>SUMIFS(data!E:E,data!A:A,TABLEAU!B541,data!C:C,TABLEAU!D541,data!F:F,YEAR(Feuil1!$D$1))</f>
        <v>0</v>
      </c>
      <c r="K541" s="13">
        <f>SUMIFS(data!E:E,data!A:A,TABLEAU!B541,data!C:C,TABLEAU!D541,data!F:F,YEAR(Feuil1!$D$2))</f>
        <v>7374</v>
      </c>
      <c r="L541" s="13">
        <f t="shared" si="34"/>
        <v>-7374</v>
      </c>
      <c r="M541" s="12">
        <f t="shared" si="35"/>
        <v>-1</v>
      </c>
    </row>
    <row r="542" spans="1:13" x14ac:dyDescent="0.25">
      <c r="A542" s="17" t="str">
        <f>data!H904</f>
        <v>VINICOM</v>
      </c>
      <c r="B542" s="15" t="str">
        <f>data!A904</f>
        <v>051</v>
      </c>
      <c r="C542" s="1" t="str">
        <f>data!B904</f>
        <v>CLOS TRIMOULET</v>
      </c>
      <c r="D542" s="1" t="str">
        <f>data!C904</f>
        <v>051010/11</v>
      </c>
      <c r="E542" s="1" t="str">
        <f>data!D542</f>
        <v>IGP CEVENNES RGE</v>
      </c>
      <c r="F542" s="14">
        <f>SUMIFS(data!G:G,data!A:A,TABLEAU!B542,data!C:C,TABLEAU!D542,data!F:F,YEAR(Feuil1!$D$1))</f>
        <v>60509.7</v>
      </c>
      <c r="G542" s="9">
        <f>SUMIFS(data!G:G,data!A:A,TABLEAU!B542,data!C:C,TABLEAU!D542,data!F:F,YEAR(Feuil1!$D$2))</f>
        <v>44137.5</v>
      </c>
      <c r="H542" s="9">
        <f t="shared" si="32"/>
        <v>16372.199999999997</v>
      </c>
      <c r="I542" s="12">
        <f t="shared" si="33"/>
        <v>0.37093627867459639</v>
      </c>
      <c r="J542" s="13">
        <f>SUMIFS(data!E:E,data!A:A,TABLEAU!B542,data!C:C,TABLEAU!D542,data!F:F,YEAR(Feuil1!$D$1))</f>
        <v>7554</v>
      </c>
      <c r="K542" s="13">
        <f>SUMIFS(data!E:E,data!A:A,TABLEAU!B542,data!C:C,TABLEAU!D542,data!F:F,YEAR(Feuil1!$D$2))</f>
        <v>5508</v>
      </c>
      <c r="L542" s="13">
        <f t="shared" si="34"/>
        <v>2046</v>
      </c>
      <c r="M542" s="12">
        <f t="shared" si="35"/>
        <v>0.37145969498910675</v>
      </c>
    </row>
    <row r="543" spans="1:13" x14ac:dyDescent="0.25">
      <c r="A543" s="17" t="str">
        <f>data!H906</f>
        <v>VINICOM</v>
      </c>
      <c r="B543" s="15" t="str">
        <f>data!A906</f>
        <v>051</v>
      </c>
      <c r="C543" s="1" t="str">
        <f>data!B906</f>
        <v>CLOS TRIMOULET</v>
      </c>
      <c r="D543" s="1" t="str">
        <f>data!C906</f>
        <v>051016</v>
      </c>
      <c r="E543" s="1" t="str">
        <f>data!D543</f>
        <v>IGP CEVENNES RSE</v>
      </c>
      <c r="F543" s="14">
        <f>SUMIFS(data!G:G,data!A:A,TABLEAU!B543,data!C:C,TABLEAU!D543,data!F:F,YEAR(Feuil1!$D$1))</f>
        <v>792</v>
      </c>
      <c r="G543" s="9">
        <f>SUMIFS(data!G:G,data!A:A,TABLEAU!B543,data!C:C,TABLEAU!D543,data!F:F,YEAR(Feuil1!$D$2))</f>
        <v>0</v>
      </c>
      <c r="H543" s="9">
        <f t="shared" si="32"/>
        <v>792</v>
      </c>
      <c r="I543" s="12" t="str">
        <f t="shared" si="33"/>
        <v/>
      </c>
      <c r="J543" s="13">
        <f>SUMIFS(data!E:E,data!A:A,TABLEAU!B543,data!C:C,TABLEAU!D543,data!F:F,YEAR(Feuil1!$D$1))</f>
        <v>120</v>
      </c>
      <c r="K543" s="13">
        <f>SUMIFS(data!E:E,data!A:A,TABLEAU!B543,data!C:C,TABLEAU!D543,data!F:F,YEAR(Feuil1!$D$2))</f>
        <v>0</v>
      </c>
      <c r="L543" s="13">
        <f t="shared" si="34"/>
        <v>120</v>
      </c>
      <c r="M543" s="12" t="str">
        <f t="shared" si="35"/>
        <v/>
      </c>
    </row>
    <row r="544" spans="1:13" x14ac:dyDescent="0.25">
      <c r="A544" s="17" t="str">
        <f>data!H907</f>
        <v>VINICOM</v>
      </c>
      <c r="B544" s="15" t="str">
        <f>data!A907</f>
        <v>051</v>
      </c>
      <c r="C544" s="1" t="str">
        <f>data!B907</f>
        <v>CLOS TRIMOULET</v>
      </c>
      <c r="D544" s="1" t="str">
        <f>data!C907</f>
        <v>051017</v>
      </c>
      <c r="E544" s="1" t="str">
        <f>data!D544</f>
        <v>IGP CEVENNES RSE</v>
      </c>
      <c r="F544" s="14">
        <f>SUMIFS(data!G:G,data!A:A,TABLEAU!B544,data!C:C,TABLEAU!D544,data!F:F,YEAR(Feuil1!$D$1))</f>
        <v>4953</v>
      </c>
      <c r="G544" s="9">
        <f>SUMIFS(data!G:G,data!A:A,TABLEAU!B544,data!C:C,TABLEAU!D544,data!F:F,YEAR(Feuil1!$D$2))</f>
        <v>8814</v>
      </c>
      <c r="H544" s="9">
        <f t="shared" si="32"/>
        <v>-3861</v>
      </c>
      <c r="I544" s="12">
        <f t="shared" si="33"/>
        <v>-0.43805309734513276</v>
      </c>
      <c r="J544" s="13">
        <f>SUMIFS(data!E:E,data!A:A,TABLEAU!B544,data!C:C,TABLEAU!D544,data!F:F,YEAR(Feuil1!$D$1))</f>
        <v>780</v>
      </c>
      <c r="K544" s="13">
        <f>SUMIFS(data!E:E,data!A:A,TABLEAU!B544,data!C:C,TABLEAU!D544,data!F:F,YEAR(Feuil1!$D$2))</f>
        <v>1392</v>
      </c>
      <c r="L544" s="13">
        <f t="shared" si="34"/>
        <v>-612</v>
      </c>
      <c r="M544" s="12">
        <f t="shared" si="35"/>
        <v>-0.43965517241379309</v>
      </c>
    </row>
    <row r="545" spans="1:13" x14ac:dyDescent="0.25">
      <c r="A545" s="17" t="str">
        <f>data!H909</f>
        <v>VINICOM</v>
      </c>
      <c r="B545" s="15" t="str">
        <f>data!A909</f>
        <v>051</v>
      </c>
      <c r="C545" s="1" t="str">
        <f>data!B909</f>
        <v>CLOS TRIMOULET</v>
      </c>
      <c r="D545" s="1" t="str">
        <f>data!C909</f>
        <v>051132</v>
      </c>
      <c r="E545" s="1" t="str">
        <f>data!D545</f>
        <v>IGP CEVENNES BLC</v>
      </c>
      <c r="F545" s="14">
        <f>SUMIFS(data!G:G,data!A:A,TABLEAU!B545,data!C:C,TABLEAU!D545,data!F:F,YEAR(Feuil1!$D$1))</f>
        <v>0</v>
      </c>
      <c r="G545" s="9">
        <f>SUMIFS(data!G:G,data!A:A,TABLEAU!B545,data!C:C,TABLEAU!D545,data!F:F,YEAR(Feuil1!$D$2))</f>
        <v>4752</v>
      </c>
      <c r="H545" s="9">
        <f t="shared" si="32"/>
        <v>-4752</v>
      </c>
      <c r="I545" s="12">
        <f t="shared" si="33"/>
        <v>-1</v>
      </c>
      <c r="J545" s="13">
        <f>SUMIFS(data!E:E,data!A:A,TABLEAU!B545,data!C:C,TABLEAU!D545,data!F:F,YEAR(Feuil1!$D$1))</f>
        <v>0</v>
      </c>
      <c r="K545" s="13">
        <f>SUMIFS(data!E:E,data!A:A,TABLEAU!B545,data!C:C,TABLEAU!D545,data!F:F,YEAR(Feuil1!$D$2))</f>
        <v>540</v>
      </c>
      <c r="L545" s="13">
        <f t="shared" si="34"/>
        <v>-540</v>
      </c>
      <c r="M545" s="12">
        <f t="shared" si="35"/>
        <v>-1</v>
      </c>
    </row>
    <row r="546" spans="1:13" x14ac:dyDescent="0.25">
      <c r="A546" s="17" t="str">
        <f>data!H910</f>
        <v>VINICOM</v>
      </c>
      <c r="B546" s="15" t="str">
        <f>data!A910</f>
        <v>051</v>
      </c>
      <c r="C546" s="1" t="str">
        <f>data!B910</f>
        <v>CLOS TRIMOULET</v>
      </c>
      <c r="D546" s="1" t="str">
        <f>data!C910</f>
        <v>051133</v>
      </c>
      <c r="E546" s="1" t="str">
        <f>data!D546</f>
        <v>IGP CEVENNES BLC</v>
      </c>
      <c r="F546" s="14">
        <f>SUMIFS(data!G:G,data!A:A,TABLEAU!B546,data!C:C,TABLEAU!D546,data!F:F,YEAR(Feuil1!$D$1))</f>
        <v>12497.1</v>
      </c>
      <c r="G546" s="9">
        <f>SUMIFS(data!G:G,data!A:A,TABLEAU!B546,data!C:C,TABLEAU!D546,data!F:F,YEAR(Feuil1!$D$2))</f>
        <v>18204</v>
      </c>
      <c r="H546" s="9">
        <f t="shared" si="32"/>
        <v>-5706.9</v>
      </c>
      <c r="I546" s="12">
        <f t="shared" si="33"/>
        <v>-0.31349703361898484</v>
      </c>
      <c r="J546" s="13">
        <f>SUMIFS(data!E:E,data!A:A,TABLEAU!B546,data!C:C,TABLEAU!D546,data!F:F,YEAR(Feuil1!$D$1))</f>
        <v>1414</v>
      </c>
      <c r="K546" s="13">
        <f>SUMIFS(data!E:E,data!A:A,TABLEAU!B546,data!C:C,TABLEAU!D546,data!F:F,YEAR(Feuil1!$D$2))</f>
        <v>2076</v>
      </c>
      <c r="L546" s="13">
        <f t="shared" si="34"/>
        <v>-662</v>
      </c>
      <c r="M546" s="12">
        <f t="shared" si="35"/>
        <v>-0.31888246628131023</v>
      </c>
    </row>
    <row r="547" spans="1:13" x14ac:dyDescent="0.25">
      <c r="A547" s="17" t="str">
        <f>data!H912</f>
        <v>VINICOM</v>
      </c>
      <c r="B547" s="15" t="str">
        <f>data!A912</f>
        <v>051</v>
      </c>
      <c r="C547" s="1" t="str">
        <f>data!B912</f>
        <v>CLOS TRIMOULET</v>
      </c>
      <c r="D547" s="1" t="str">
        <f>data!C912</f>
        <v>CDV051000</v>
      </c>
      <c r="E547" s="1" t="str">
        <f>data!D547</f>
        <v>IGP CEVENNES CAVE DE TORNAC</v>
      </c>
      <c r="F547" s="14">
        <f>SUMIFS(data!G:G,data!A:A,TABLEAU!B547,data!C:C,TABLEAU!D547,data!F:F,YEAR(Feuil1!$D$1))</f>
        <v>100.8</v>
      </c>
      <c r="G547" s="9">
        <f>SUMIFS(data!G:G,data!A:A,TABLEAU!B547,data!C:C,TABLEAU!D547,data!F:F,YEAR(Feuil1!$D$2))</f>
        <v>0</v>
      </c>
      <c r="H547" s="9">
        <f t="shared" si="32"/>
        <v>100.8</v>
      </c>
      <c r="I547" s="12" t="str">
        <f t="shared" si="33"/>
        <v/>
      </c>
      <c r="J547" s="13">
        <f>SUMIFS(data!E:E,data!A:A,TABLEAU!B547,data!C:C,TABLEAU!D547,data!F:F,YEAR(Feuil1!$D$1))</f>
        <v>18</v>
      </c>
      <c r="K547" s="13">
        <f>SUMIFS(data!E:E,data!A:A,TABLEAU!B547,data!C:C,TABLEAU!D547,data!F:F,YEAR(Feuil1!$D$2))</f>
        <v>0</v>
      </c>
      <c r="L547" s="13">
        <f t="shared" si="34"/>
        <v>18</v>
      </c>
      <c r="M547" s="12" t="str">
        <f t="shared" si="35"/>
        <v/>
      </c>
    </row>
    <row r="548" spans="1:13" x14ac:dyDescent="0.25">
      <c r="A548" s="17" t="str">
        <f>data!H913</f>
        <v>VINICOM</v>
      </c>
      <c r="B548" s="15" t="str">
        <f>data!A913</f>
        <v>051</v>
      </c>
      <c r="C548" s="1" t="str">
        <f>data!B913</f>
        <v>CLOS TRIMOULET</v>
      </c>
      <c r="D548" s="1" t="str">
        <f>data!C913</f>
        <v>CDV051010</v>
      </c>
      <c r="E548" s="1" t="str">
        <f>data!D548</f>
        <v>AOP VIN DE SAVOIE APREMONT</v>
      </c>
      <c r="F548" s="14">
        <f>SUMIFS(data!G:G,data!A:A,TABLEAU!B548,data!C:C,TABLEAU!D548,data!F:F,YEAR(Feuil1!$D$1))</f>
        <v>0</v>
      </c>
      <c r="G548" s="9">
        <f>SUMIFS(data!G:G,data!A:A,TABLEAU!B548,data!C:C,TABLEAU!D548,data!F:F,YEAR(Feuil1!$D$2))</f>
        <v>909.3</v>
      </c>
      <c r="H548" s="9">
        <f t="shared" si="32"/>
        <v>-909.3</v>
      </c>
      <c r="I548" s="12">
        <f t="shared" si="33"/>
        <v>-1</v>
      </c>
      <c r="J548" s="13">
        <f>SUMIFS(data!E:E,data!A:A,TABLEAU!B548,data!C:C,TABLEAU!D548,data!F:F,YEAR(Feuil1!$D$1))</f>
        <v>0</v>
      </c>
      <c r="K548" s="13">
        <f>SUMIFS(data!E:E,data!A:A,TABLEAU!B548,data!C:C,TABLEAU!D548,data!F:F,YEAR(Feuil1!$D$2))</f>
        <v>114</v>
      </c>
      <c r="L548" s="13">
        <f t="shared" si="34"/>
        <v>-114</v>
      </c>
      <c r="M548" s="12">
        <f t="shared" si="35"/>
        <v>-1</v>
      </c>
    </row>
    <row r="549" spans="1:13" x14ac:dyDescent="0.25">
      <c r="A549" s="17" t="str">
        <f>data!H914</f>
        <v>VINICOM</v>
      </c>
      <c r="B549" s="15" t="str">
        <f>data!A914</f>
        <v>051</v>
      </c>
      <c r="C549" s="1" t="str">
        <f>data!B914</f>
        <v>CLOS TRIMOULET</v>
      </c>
      <c r="D549" s="1" t="str">
        <f>data!C914</f>
        <v>CDV051016</v>
      </c>
      <c r="E549" s="1" t="str">
        <f>data!D549</f>
        <v>AOP VINS DE SAVOIE SOUS LES CEDRES CHIGNIN BERGERO</v>
      </c>
      <c r="F549" s="14">
        <f>SUMIFS(data!G:G,data!A:A,TABLEAU!B549,data!C:C,TABLEAU!D549,data!F:F,YEAR(Feuil1!$D$1))</f>
        <v>554.4</v>
      </c>
      <c r="G549" s="9">
        <f>SUMIFS(data!G:G,data!A:A,TABLEAU!B549,data!C:C,TABLEAU!D549,data!F:F,YEAR(Feuil1!$D$2))</f>
        <v>764.9</v>
      </c>
      <c r="H549" s="9">
        <f t="shared" si="32"/>
        <v>-210.5</v>
      </c>
      <c r="I549" s="12">
        <f t="shared" si="33"/>
        <v>-0.27519937246698917</v>
      </c>
      <c r="J549" s="13">
        <f>SUMIFS(data!E:E,data!A:A,TABLEAU!B549,data!C:C,TABLEAU!D549,data!F:F,YEAR(Feuil1!$D$1))</f>
        <v>84</v>
      </c>
      <c r="K549" s="13">
        <f>SUMIFS(data!E:E,data!A:A,TABLEAU!B549,data!C:C,TABLEAU!D549,data!F:F,YEAR(Feuil1!$D$2))</f>
        <v>120</v>
      </c>
      <c r="L549" s="13">
        <f t="shared" si="34"/>
        <v>-36</v>
      </c>
      <c r="M549" s="12">
        <f t="shared" si="35"/>
        <v>-0.3</v>
      </c>
    </row>
    <row r="550" spans="1:13" x14ac:dyDescent="0.25">
      <c r="A550" s="17" t="str">
        <f>data!H916</f>
        <v>VINICOM</v>
      </c>
      <c r="B550" s="15" t="str">
        <f>data!A916</f>
        <v>051</v>
      </c>
      <c r="C550" s="1" t="str">
        <f>data!B916</f>
        <v>CLOS TRIMOULET</v>
      </c>
      <c r="D550" s="1" t="str">
        <f>data!C916</f>
        <v>CDV051131</v>
      </c>
      <c r="E550" s="1" t="str">
        <f>data!D550</f>
        <v>AOP VINS DE SAVOIE SOUS LES CEDRES CHIGNIN BERGERO</v>
      </c>
      <c r="F550" s="14">
        <f>SUMIFS(data!G:G,data!A:A,TABLEAU!B550,data!C:C,TABLEAU!D550,data!F:F,YEAR(Feuil1!$D$1))</f>
        <v>216.96</v>
      </c>
      <c r="G550" s="9">
        <f>SUMIFS(data!G:G,data!A:A,TABLEAU!B550,data!C:C,TABLEAU!D550,data!F:F,YEAR(Feuil1!$D$2))</f>
        <v>725.76</v>
      </c>
      <c r="H550" s="9">
        <f t="shared" si="32"/>
        <v>-508.79999999999995</v>
      </c>
      <c r="I550" s="12">
        <f t="shared" si="33"/>
        <v>-0.70105820105820105</v>
      </c>
      <c r="J550" s="13">
        <f>SUMIFS(data!E:E,data!A:A,TABLEAU!B550,data!C:C,TABLEAU!D550,data!F:F,YEAR(Feuil1!$D$1))</f>
        <v>24</v>
      </c>
      <c r="K550" s="13">
        <f>SUMIFS(data!E:E,data!A:A,TABLEAU!B550,data!C:C,TABLEAU!D550,data!F:F,YEAR(Feuil1!$D$2))</f>
        <v>84</v>
      </c>
      <c r="L550" s="13">
        <f t="shared" si="34"/>
        <v>-60</v>
      </c>
      <c r="M550" s="12">
        <f t="shared" si="35"/>
        <v>-0.7142857142857143</v>
      </c>
    </row>
    <row r="551" spans="1:13" x14ac:dyDescent="0.25">
      <c r="A551" s="17" t="str">
        <f>data!H918</f>
        <v>VINICOM</v>
      </c>
      <c r="B551" s="15" t="str">
        <f>data!A918</f>
        <v>052</v>
      </c>
      <c r="C551" s="1" t="str">
        <f>data!B918</f>
        <v>GIRONDE ET GASCOGNE SARL</v>
      </c>
      <c r="D551" s="1" t="str">
        <f>data!C918</f>
        <v>052015</v>
      </c>
      <c r="E551" s="1" t="str">
        <f>data!D551</f>
        <v>AOP VINS DE SAVOIE GAMAY</v>
      </c>
      <c r="F551" s="14">
        <f>SUMIFS(data!G:G,data!A:A,TABLEAU!B551,data!C:C,TABLEAU!D551,data!F:F,YEAR(Feuil1!$D$1))</f>
        <v>0</v>
      </c>
      <c r="G551" s="9">
        <f>SUMIFS(data!G:G,data!A:A,TABLEAU!B551,data!C:C,TABLEAU!D551,data!F:F,YEAR(Feuil1!$D$2))</f>
        <v>141.6</v>
      </c>
      <c r="H551" s="9">
        <f t="shared" si="32"/>
        <v>-141.6</v>
      </c>
      <c r="I551" s="12">
        <f t="shared" si="33"/>
        <v>-1</v>
      </c>
      <c r="J551" s="13">
        <f>SUMIFS(data!E:E,data!A:A,TABLEAU!B551,data!C:C,TABLEAU!D551,data!F:F,YEAR(Feuil1!$D$1))</f>
        <v>0</v>
      </c>
      <c r="K551" s="13">
        <f>SUMIFS(data!E:E,data!A:A,TABLEAU!B551,data!C:C,TABLEAU!D551,data!F:F,YEAR(Feuil1!$D$2))</f>
        <v>12</v>
      </c>
      <c r="L551" s="13">
        <f t="shared" si="34"/>
        <v>-12</v>
      </c>
      <c r="M551" s="12">
        <f t="shared" si="35"/>
        <v>-1</v>
      </c>
    </row>
    <row r="552" spans="1:13" x14ac:dyDescent="0.25">
      <c r="A552" s="17" t="str">
        <f>data!H919</f>
        <v>VINICOM</v>
      </c>
      <c r="B552" s="15" t="str">
        <f>data!A919</f>
        <v>052</v>
      </c>
      <c r="C552" s="1" t="str">
        <f>data!B919</f>
        <v>GIRONDE ET GASCOGNE SARL</v>
      </c>
      <c r="D552" s="1" t="str">
        <f>data!C919</f>
        <v>052016</v>
      </c>
      <c r="E552" s="1" t="str">
        <f>data!D552</f>
        <v>AOP VINS DE SAVOIE MONDEUSE</v>
      </c>
      <c r="F552" s="14">
        <f>SUMIFS(data!G:G,data!A:A,TABLEAU!B552,data!C:C,TABLEAU!D552,data!F:F,YEAR(Feuil1!$D$1))</f>
        <v>422.1</v>
      </c>
      <c r="G552" s="9">
        <f>SUMIFS(data!G:G,data!A:A,TABLEAU!B552,data!C:C,TABLEAU!D552,data!F:F,YEAR(Feuil1!$D$2))</f>
        <v>0</v>
      </c>
      <c r="H552" s="9">
        <f t="shared" si="32"/>
        <v>422.1</v>
      </c>
      <c r="I552" s="12" t="str">
        <f t="shared" si="33"/>
        <v/>
      </c>
      <c r="J552" s="13">
        <f>SUMIFS(data!E:E,data!A:A,TABLEAU!B552,data!C:C,TABLEAU!D552,data!F:F,YEAR(Feuil1!$D$1))</f>
        <v>60</v>
      </c>
      <c r="K552" s="13">
        <f>SUMIFS(data!E:E,data!A:A,TABLEAU!B552,data!C:C,TABLEAU!D552,data!F:F,YEAR(Feuil1!$D$2))</f>
        <v>0</v>
      </c>
      <c r="L552" s="13">
        <f t="shared" si="34"/>
        <v>60</v>
      </c>
      <c r="M552" s="12" t="str">
        <f t="shared" si="35"/>
        <v/>
      </c>
    </row>
    <row r="553" spans="1:13" x14ac:dyDescent="0.25">
      <c r="A553" s="17" t="str">
        <f>data!H920</f>
        <v>VINICOM</v>
      </c>
      <c r="B553" s="15" t="str">
        <f>data!A920</f>
        <v>052</v>
      </c>
      <c r="C553" s="1" t="str">
        <f>data!B920</f>
        <v>GIRONDE ET GASCOGNE SARL</v>
      </c>
      <c r="D553" s="1" t="str">
        <f>data!C920</f>
        <v>052017</v>
      </c>
      <c r="E553" s="1" t="str">
        <f>data!D553</f>
        <v>AC VIN DE SAVOIE ABYMES</v>
      </c>
      <c r="F553" s="14">
        <f>SUMIFS(data!G:G,data!A:A,TABLEAU!B553,data!C:C,TABLEAU!D553,data!F:F,YEAR(Feuil1!$D$1))</f>
        <v>2240.1</v>
      </c>
      <c r="G553" s="9">
        <f>SUMIFS(data!G:G,data!A:A,TABLEAU!B553,data!C:C,TABLEAU!D553,data!F:F,YEAR(Feuil1!$D$2))</f>
        <v>11223.6</v>
      </c>
      <c r="H553" s="9">
        <f t="shared" si="32"/>
        <v>-8983.5</v>
      </c>
      <c r="I553" s="12">
        <f t="shared" si="33"/>
        <v>-0.80041163263124127</v>
      </c>
      <c r="J553" s="13">
        <f>SUMIFS(data!E:E,data!A:A,TABLEAU!B553,data!C:C,TABLEAU!D553,data!F:F,YEAR(Feuil1!$D$1))</f>
        <v>228</v>
      </c>
      <c r="K553" s="13">
        <f>SUMIFS(data!E:E,data!A:A,TABLEAU!B553,data!C:C,TABLEAU!D553,data!F:F,YEAR(Feuil1!$D$2))</f>
        <v>1008</v>
      </c>
      <c r="L553" s="13">
        <f t="shared" si="34"/>
        <v>-780</v>
      </c>
      <c r="M553" s="12">
        <f t="shared" si="35"/>
        <v>-0.77380952380952384</v>
      </c>
    </row>
    <row r="554" spans="1:13" x14ac:dyDescent="0.25">
      <c r="A554" s="17" t="str">
        <f>data!H922</f>
        <v>VINICOM</v>
      </c>
      <c r="B554" s="15" t="str">
        <f>data!A922</f>
        <v>052</v>
      </c>
      <c r="C554" s="1" t="str">
        <f>data!B922</f>
        <v>GIRONDE ET GASCOGNE SARL</v>
      </c>
      <c r="D554" s="1" t="str">
        <f>data!C922</f>
        <v>052020</v>
      </c>
      <c r="E554" s="1" t="str">
        <f>data!D554</f>
        <v>AC VIN DE SAVOIE ABYMES</v>
      </c>
      <c r="F554" s="14">
        <f>SUMIFS(data!G:G,data!A:A,TABLEAU!B554,data!C:C,TABLEAU!D554,data!F:F,YEAR(Feuil1!$D$1))</f>
        <v>0</v>
      </c>
      <c r="G554" s="9">
        <f>SUMIFS(data!G:G,data!A:A,TABLEAU!B554,data!C:C,TABLEAU!D554,data!F:F,YEAR(Feuil1!$D$2))</f>
        <v>7780.85</v>
      </c>
      <c r="H554" s="9">
        <f t="shared" si="32"/>
        <v>-7780.85</v>
      </c>
      <c r="I554" s="12">
        <f t="shared" si="33"/>
        <v>-1</v>
      </c>
      <c r="J554" s="13">
        <f>SUMIFS(data!E:E,data!A:A,TABLEAU!B554,data!C:C,TABLEAU!D554,data!F:F,YEAR(Feuil1!$D$1))</f>
        <v>0</v>
      </c>
      <c r="K554" s="13">
        <f>SUMIFS(data!E:E,data!A:A,TABLEAU!B554,data!C:C,TABLEAU!D554,data!F:F,YEAR(Feuil1!$D$2))</f>
        <v>660</v>
      </c>
      <c r="L554" s="13">
        <f t="shared" si="34"/>
        <v>-660</v>
      </c>
      <c r="M554" s="12">
        <f t="shared" si="35"/>
        <v>-1</v>
      </c>
    </row>
    <row r="555" spans="1:13" x14ac:dyDescent="0.25">
      <c r="A555" s="17" t="str">
        <f>data!H923</f>
        <v>VINICOM</v>
      </c>
      <c r="B555" s="15" t="str">
        <f>data!A923</f>
        <v>052</v>
      </c>
      <c r="C555" s="1" t="str">
        <f>data!B923</f>
        <v>GIRONDE ET GASCOGNE SARL</v>
      </c>
      <c r="D555" s="1" t="str">
        <f>data!C923</f>
        <v>052021</v>
      </c>
      <c r="E555" s="1" t="str">
        <f>data!D555</f>
        <v>AOP GAILLAC DME DES TERRISSES</v>
      </c>
      <c r="F555" s="14">
        <f>SUMIFS(data!G:G,data!A:A,TABLEAU!B555,data!C:C,TABLEAU!D555,data!F:F,YEAR(Feuil1!$D$1))</f>
        <v>8064</v>
      </c>
      <c r="G555" s="9">
        <f>SUMIFS(data!G:G,data!A:A,TABLEAU!B555,data!C:C,TABLEAU!D555,data!F:F,YEAR(Feuil1!$D$2))</f>
        <v>14227.2</v>
      </c>
      <c r="H555" s="9">
        <f t="shared" si="32"/>
        <v>-6163.2000000000007</v>
      </c>
      <c r="I555" s="12">
        <f t="shared" si="33"/>
        <v>-0.43319838056680166</v>
      </c>
      <c r="J555" s="13">
        <f>SUMIFS(data!E:E,data!A:A,TABLEAU!B555,data!C:C,TABLEAU!D555,data!F:F,YEAR(Feuil1!$D$1))</f>
        <v>846</v>
      </c>
      <c r="K555" s="13">
        <f>SUMIFS(data!E:E,data!A:A,TABLEAU!B555,data!C:C,TABLEAU!D555,data!F:F,YEAR(Feuil1!$D$2))</f>
        <v>1500</v>
      </c>
      <c r="L555" s="13">
        <f t="shared" si="34"/>
        <v>-654</v>
      </c>
      <c r="M555" s="12">
        <f t="shared" si="35"/>
        <v>-0.436</v>
      </c>
    </row>
    <row r="556" spans="1:13" x14ac:dyDescent="0.25">
      <c r="A556" s="17" t="str">
        <f>data!H925</f>
        <v>VINICOM</v>
      </c>
      <c r="B556" s="15" t="str">
        <f>data!A925</f>
        <v>052</v>
      </c>
      <c r="C556" s="1" t="str">
        <f>data!B925</f>
        <v>GIRONDE ET GASCOGNE SARL</v>
      </c>
      <c r="D556" s="1" t="str">
        <f>data!C925</f>
        <v>052022</v>
      </c>
      <c r="E556" s="1" t="str">
        <f>data!D556</f>
        <v>BARRIOBERO JOVEN RIOJA</v>
      </c>
      <c r="F556" s="14">
        <f>SUMIFS(data!G:G,data!A:A,TABLEAU!B556,data!C:C,TABLEAU!D556,data!F:F,YEAR(Feuil1!$D$1))</f>
        <v>567</v>
      </c>
      <c r="G556" s="9">
        <f>SUMIFS(data!G:G,data!A:A,TABLEAU!B556,data!C:C,TABLEAU!D556,data!F:F,YEAR(Feuil1!$D$2))</f>
        <v>215.4</v>
      </c>
      <c r="H556" s="9">
        <f t="shared" si="32"/>
        <v>351.6</v>
      </c>
      <c r="I556" s="12">
        <f t="shared" si="33"/>
        <v>1.6323119777158774</v>
      </c>
      <c r="J556" s="13">
        <f>SUMIFS(data!E:E,data!A:A,TABLEAU!B556,data!C:C,TABLEAU!D556,data!F:F,YEAR(Feuil1!$D$1))</f>
        <v>54</v>
      </c>
      <c r="K556" s="13">
        <f>SUMIFS(data!E:E,data!A:A,TABLEAU!B556,data!C:C,TABLEAU!D556,data!F:F,YEAR(Feuil1!$D$2))</f>
        <v>24</v>
      </c>
      <c r="L556" s="13">
        <f t="shared" si="34"/>
        <v>30</v>
      </c>
      <c r="M556" s="12">
        <f t="shared" si="35"/>
        <v>1.25</v>
      </c>
    </row>
    <row r="557" spans="1:13" x14ac:dyDescent="0.25">
      <c r="A557" s="17" t="str">
        <f>data!H927</f>
        <v>VINICOM</v>
      </c>
      <c r="B557" s="15" t="str">
        <f>data!A927</f>
        <v>052</v>
      </c>
      <c r="C557" s="1" t="str">
        <f>data!B927</f>
        <v>GIRONDE ET GASCOGNE SARL</v>
      </c>
      <c r="D557" s="1" t="str">
        <f>data!C927</f>
        <v>052028</v>
      </c>
      <c r="E557" s="1" t="str">
        <f>data!D557</f>
        <v>AC COTEAUX DU LANGUEDOC PRIEURE ST JEAN DE BEBIAN</v>
      </c>
      <c r="F557" s="14">
        <f>SUMIFS(data!G:G,data!A:A,TABLEAU!B557,data!C:C,TABLEAU!D557,data!F:F,YEAR(Feuil1!$D$1))</f>
        <v>2262.66</v>
      </c>
      <c r="G557" s="9">
        <f>SUMIFS(data!G:G,data!A:A,TABLEAU!B557,data!C:C,TABLEAU!D557,data!F:F,YEAR(Feuil1!$D$2))</f>
        <v>3879.6</v>
      </c>
      <c r="H557" s="9">
        <f t="shared" si="32"/>
        <v>-1616.94</v>
      </c>
      <c r="I557" s="12">
        <f t="shared" si="33"/>
        <v>-0.41678008042066195</v>
      </c>
      <c r="J557" s="13">
        <f>SUMIFS(data!E:E,data!A:A,TABLEAU!B557,data!C:C,TABLEAU!D557,data!F:F,YEAR(Feuil1!$D$1))</f>
        <v>912</v>
      </c>
      <c r="K557" s="13">
        <f>SUMIFS(data!E:E,data!A:A,TABLEAU!B557,data!C:C,TABLEAU!D557,data!F:F,YEAR(Feuil1!$D$2))</f>
        <v>1470</v>
      </c>
      <c r="L557" s="13">
        <f t="shared" si="34"/>
        <v>-558</v>
      </c>
      <c r="M557" s="12">
        <f t="shared" si="35"/>
        <v>-0.37959183673469388</v>
      </c>
    </row>
    <row r="558" spans="1:13" x14ac:dyDescent="0.25">
      <c r="A558" s="17" t="str">
        <f>data!H929</f>
        <v>VINICOM</v>
      </c>
      <c r="B558" s="15" t="str">
        <f>data!A929</f>
        <v>052</v>
      </c>
      <c r="C558" s="1" t="str">
        <f>data!B929</f>
        <v>GIRONDE ET GASCOGNE SARL</v>
      </c>
      <c r="D558" s="1" t="str">
        <f>data!C929</f>
        <v>052039</v>
      </c>
      <c r="E558" s="1" t="str">
        <f>data!D558</f>
        <v>VENTOUX</v>
      </c>
      <c r="F558" s="14">
        <f>SUMIFS(data!G:G,data!A:A,TABLEAU!B558,data!C:C,TABLEAU!D558,data!F:F,YEAR(Feuil1!$D$1))</f>
        <v>8343.2999999999993</v>
      </c>
      <c r="G558" s="9">
        <f>SUMIFS(data!G:G,data!A:A,TABLEAU!B558,data!C:C,TABLEAU!D558,data!F:F,YEAR(Feuil1!$D$2))</f>
        <v>9838.9500000000007</v>
      </c>
      <c r="H558" s="9">
        <f t="shared" si="32"/>
        <v>-1495.6500000000015</v>
      </c>
      <c r="I558" s="12">
        <f t="shared" si="33"/>
        <v>-0.15201317213727089</v>
      </c>
      <c r="J558" s="13">
        <f>SUMIFS(data!E:E,data!A:A,TABLEAU!B558,data!C:C,TABLEAU!D558,data!F:F,YEAR(Feuil1!$D$1))</f>
        <v>1224</v>
      </c>
      <c r="K558" s="13">
        <f>SUMIFS(data!E:E,data!A:A,TABLEAU!B558,data!C:C,TABLEAU!D558,data!F:F,YEAR(Feuil1!$D$2))</f>
        <v>1425</v>
      </c>
      <c r="L558" s="13">
        <f t="shared" si="34"/>
        <v>-201</v>
      </c>
      <c r="M558" s="12">
        <f t="shared" si="35"/>
        <v>-0.14105263157894737</v>
      </c>
    </row>
    <row r="559" spans="1:13" x14ac:dyDescent="0.25">
      <c r="A559" s="17" t="str">
        <f>data!H931</f>
        <v>VINICOM</v>
      </c>
      <c r="B559" s="15" t="str">
        <f>data!A931</f>
        <v>052</v>
      </c>
      <c r="C559" s="1" t="str">
        <f>data!B931</f>
        <v>GIRONDE ET GASCOGNE SARL</v>
      </c>
      <c r="D559" s="1" t="str">
        <f>data!C931</f>
        <v>052039/09</v>
      </c>
      <c r="E559" s="1" t="str">
        <f>data!D559</f>
        <v>VENTOUX</v>
      </c>
      <c r="F559" s="14">
        <f>SUMIFS(data!G:G,data!A:A,TABLEAU!B559,data!C:C,TABLEAU!D559,data!F:F,YEAR(Feuil1!$D$1))</f>
        <v>0</v>
      </c>
      <c r="G559" s="9">
        <f>SUMIFS(data!G:G,data!A:A,TABLEAU!B559,data!C:C,TABLEAU!D559,data!F:F,YEAR(Feuil1!$D$2))</f>
        <v>82.2</v>
      </c>
      <c r="H559" s="9">
        <f t="shared" si="32"/>
        <v>-82.2</v>
      </c>
      <c r="I559" s="12">
        <f t="shared" si="33"/>
        <v>-1</v>
      </c>
      <c r="J559" s="13">
        <f>SUMIFS(data!E:E,data!A:A,TABLEAU!B559,data!C:C,TABLEAU!D559,data!F:F,YEAR(Feuil1!$D$1))</f>
        <v>0</v>
      </c>
      <c r="K559" s="13">
        <f>SUMIFS(data!E:E,data!A:A,TABLEAU!B559,data!C:C,TABLEAU!D559,data!F:F,YEAR(Feuil1!$D$2))</f>
        <v>12</v>
      </c>
      <c r="L559" s="13">
        <f t="shared" si="34"/>
        <v>-12</v>
      </c>
      <c r="M559" s="12">
        <f t="shared" si="35"/>
        <v>-1</v>
      </c>
    </row>
    <row r="560" spans="1:13" x14ac:dyDescent="0.25">
      <c r="A560" s="17" t="str">
        <f>data!H932</f>
        <v>VINICOM</v>
      </c>
      <c r="B560" s="15" t="str">
        <f>data!A932</f>
        <v>052</v>
      </c>
      <c r="C560" s="1" t="str">
        <f>data!B932</f>
        <v>GIRONDE ET GASCOGNE SARL</v>
      </c>
      <c r="D560" s="1" t="str">
        <f>data!C932</f>
        <v>052040</v>
      </c>
      <c r="E560" s="1" t="str">
        <f>data!D560</f>
        <v>VENTOUX</v>
      </c>
      <c r="F560" s="14">
        <f>SUMIFS(data!G:G,data!A:A,TABLEAU!B560,data!C:C,TABLEAU!D560,data!F:F,YEAR(Feuil1!$D$1))</f>
        <v>0</v>
      </c>
      <c r="G560" s="9">
        <f>SUMIFS(data!G:G,data!A:A,TABLEAU!B560,data!C:C,TABLEAU!D560,data!F:F,YEAR(Feuil1!$D$2))</f>
        <v>169.8</v>
      </c>
      <c r="H560" s="9">
        <f t="shared" si="32"/>
        <v>-169.8</v>
      </c>
      <c r="I560" s="12">
        <f t="shared" si="33"/>
        <v>-1</v>
      </c>
      <c r="J560" s="13">
        <f>SUMIFS(data!E:E,data!A:A,TABLEAU!B560,data!C:C,TABLEAU!D560,data!F:F,YEAR(Feuil1!$D$1))</f>
        <v>0</v>
      </c>
      <c r="K560" s="13">
        <f>SUMIFS(data!E:E,data!A:A,TABLEAU!B560,data!C:C,TABLEAU!D560,data!F:F,YEAR(Feuil1!$D$2))</f>
        <v>24</v>
      </c>
      <c r="L560" s="13">
        <f t="shared" si="34"/>
        <v>-24</v>
      </c>
      <c r="M560" s="12">
        <f t="shared" si="35"/>
        <v>-1</v>
      </c>
    </row>
    <row r="561" spans="1:13" x14ac:dyDescent="0.25">
      <c r="A561" s="17" t="str">
        <f>data!H933</f>
        <v>VINICOM</v>
      </c>
      <c r="B561" s="15" t="str">
        <f>data!A933</f>
        <v>052</v>
      </c>
      <c r="C561" s="1" t="str">
        <f>data!B933</f>
        <v>GIRONDE ET GASCOGNE SARL</v>
      </c>
      <c r="D561" s="1" t="str">
        <f>data!C933</f>
        <v>052046</v>
      </c>
      <c r="E561" s="1" t="str">
        <f>data!D561</f>
        <v>IGP D'OC DOMAINE DE MUS</v>
      </c>
      <c r="F561" s="14">
        <f>SUMIFS(data!G:G,data!A:A,TABLEAU!B561,data!C:C,TABLEAU!D561,data!F:F,YEAR(Feuil1!$D$1))</f>
        <v>1867.8</v>
      </c>
      <c r="G561" s="9">
        <f>SUMIFS(data!G:G,data!A:A,TABLEAU!B561,data!C:C,TABLEAU!D561,data!F:F,YEAR(Feuil1!$D$2))</f>
        <v>2292.3000000000002</v>
      </c>
      <c r="H561" s="9">
        <f t="shared" si="32"/>
        <v>-424.50000000000023</v>
      </c>
      <c r="I561" s="12">
        <f t="shared" si="33"/>
        <v>-0.18518518518518526</v>
      </c>
      <c r="J561" s="13">
        <f>SUMIFS(data!E:E,data!A:A,TABLEAU!B561,data!C:C,TABLEAU!D561,data!F:F,YEAR(Feuil1!$D$1))</f>
        <v>264</v>
      </c>
      <c r="K561" s="13">
        <f>SUMIFS(data!E:E,data!A:A,TABLEAU!B561,data!C:C,TABLEAU!D561,data!F:F,YEAR(Feuil1!$D$2))</f>
        <v>324</v>
      </c>
      <c r="L561" s="13">
        <f t="shared" si="34"/>
        <v>-60</v>
      </c>
      <c r="M561" s="12">
        <f t="shared" si="35"/>
        <v>-0.18518518518518517</v>
      </c>
    </row>
    <row r="562" spans="1:13" x14ac:dyDescent="0.25">
      <c r="A562" s="17" t="str">
        <f>data!H935</f>
        <v>VINICOM</v>
      </c>
      <c r="B562" s="15" t="str">
        <f>data!A935</f>
        <v>052</v>
      </c>
      <c r="C562" s="1" t="str">
        <f>data!B935</f>
        <v>GIRONDE ET GASCOGNE SARL</v>
      </c>
      <c r="D562" s="1" t="str">
        <f>data!C935</f>
        <v>052054</v>
      </c>
      <c r="E562" s="1" t="str">
        <f>data!D562</f>
        <v>IGP D'OC DOMAINE DE MUS</v>
      </c>
      <c r="F562" s="14">
        <f>SUMIFS(data!G:G,data!A:A,TABLEAU!B562,data!C:C,TABLEAU!D562,data!F:F,YEAR(Feuil1!$D$1))</f>
        <v>357</v>
      </c>
      <c r="G562" s="9">
        <f>SUMIFS(data!G:G,data!A:A,TABLEAU!B562,data!C:C,TABLEAU!D562,data!F:F,YEAR(Feuil1!$D$2))</f>
        <v>71.400000000000006</v>
      </c>
      <c r="H562" s="9">
        <f t="shared" si="32"/>
        <v>285.60000000000002</v>
      </c>
      <c r="I562" s="12">
        <f t="shared" si="33"/>
        <v>4</v>
      </c>
      <c r="J562" s="13">
        <f>SUMIFS(data!E:E,data!A:A,TABLEAU!B562,data!C:C,TABLEAU!D562,data!F:F,YEAR(Feuil1!$D$1))</f>
        <v>72</v>
      </c>
      <c r="K562" s="13">
        <f>SUMIFS(data!E:E,data!A:A,TABLEAU!B562,data!C:C,TABLEAU!D562,data!F:F,YEAR(Feuil1!$D$2))</f>
        <v>24</v>
      </c>
      <c r="L562" s="13">
        <f t="shared" si="34"/>
        <v>48</v>
      </c>
      <c r="M562" s="12">
        <f t="shared" si="35"/>
        <v>2</v>
      </c>
    </row>
    <row r="563" spans="1:13" x14ac:dyDescent="0.25">
      <c r="A563" s="17" t="str">
        <f>data!H937</f>
        <v>VINICOM</v>
      </c>
      <c r="B563" s="15" t="str">
        <f>data!A937</f>
        <v>052</v>
      </c>
      <c r="C563" s="1" t="str">
        <f>data!B937</f>
        <v>GIRONDE ET GASCOGNE SARL</v>
      </c>
      <c r="D563" s="1" t="str">
        <f>data!C937</f>
        <v>052055</v>
      </c>
      <c r="E563" s="1" t="str">
        <f>data!D563</f>
        <v>AOP COTES DU JURA PINOT NOIR DME GRAND</v>
      </c>
      <c r="F563" s="14">
        <f>SUMIFS(data!G:G,data!A:A,TABLEAU!B563,data!C:C,TABLEAU!D563,data!F:F,YEAR(Feuil1!$D$1))</f>
        <v>1315.2</v>
      </c>
      <c r="G563" s="9">
        <f>SUMIFS(data!G:G,data!A:A,TABLEAU!B563,data!C:C,TABLEAU!D563,data!F:F,YEAR(Feuil1!$D$2))</f>
        <v>2055</v>
      </c>
      <c r="H563" s="9">
        <f t="shared" si="32"/>
        <v>-739.8</v>
      </c>
      <c r="I563" s="12">
        <f t="shared" si="33"/>
        <v>-0.36</v>
      </c>
      <c r="J563" s="13">
        <f>SUMIFS(data!E:E,data!A:A,TABLEAU!B563,data!C:C,TABLEAU!D563,data!F:F,YEAR(Feuil1!$D$1))</f>
        <v>198</v>
      </c>
      <c r="K563" s="13">
        <f>SUMIFS(data!E:E,data!A:A,TABLEAU!B563,data!C:C,TABLEAU!D563,data!F:F,YEAR(Feuil1!$D$2))</f>
        <v>318</v>
      </c>
      <c r="L563" s="13">
        <f t="shared" si="34"/>
        <v>-120</v>
      </c>
      <c r="M563" s="12">
        <f t="shared" si="35"/>
        <v>-0.37735849056603776</v>
      </c>
    </row>
    <row r="564" spans="1:13" x14ac:dyDescent="0.25">
      <c r="A564" s="17" t="str">
        <f>data!H939</f>
        <v>VINICOM</v>
      </c>
      <c r="B564" s="15" t="str">
        <f>data!A939</f>
        <v>052</v>
      </c>
      <c r="C564" s="1" t="str">
        <f>data!B939</f>
        <v>GIRONDE ET GASCOGNE SARL</v>
      </c>
      <c r="D564" s="1" t="str">
        <f>data!C939</f>
        <v>052061</v>
      </c>
      <c r="E564" s="1" t="str">
        <f>data!D564</f>
        <v>AOP COTES DU JURA TROUSSEAU DME GRAND</v>
      </c>
      <c r="F564" s="14">
        <f>SUMIFS(data!G:G,data!A:A,TABLEAU!B564,data!C:C,TABLEAU!D564,data!F:F,YEAR(Feuil1!$D$1))</f>
        <v>0</v>
      </c>
      <c r="G564" s="9">
        <f>SUMIFS(data!G:G,data!A:A,TABLEAU!B564,data!C:C,TABLEAU!D564,data!F:F,YEAR(Feuil1!$D$2))</f>
        <v>822</v>
      </c>
      <c r="H564" s="9">
        <f t="shared" si="32"/>
        <v>-822</v>
      </c>
      <c r="I564" s="12">
        <f t="shared" si="33"/>
        <v>-1</v>
      </c>
      <c r="J564" s="13">
        <f>SUMIFS(data!E:E,data!A:A,TABLEAU!B564,data!C:C,TABLEAU!D564,data!F:F,YEAR(Feuil1!$D$1))</f>
        <v>0</v>
      </c>
      <c r="K564" s="13">
        <f>SUMIFS(data!E:E,data!A:A,TABLEAU!B564,data!C:C,TABLEAU!D564,data!F:F,YEAR(Feuil1!$D$2))</f>
        <v>120</v>
      </c>
      <c r="L564" s="13">
        <f t="shared" si="34"/>
        <v>-120</v>
      </c>
      <c r="M564" s="12">
        <f t="shared" si="35"/>
        <v>-1</v>
      </c>
    </row>
    <row r="565" spans="1:13" x14ac:dyDescent="0.25">
      <c r="A565" s="17" t="str">
        <f>data!H940</f>
        <v>VINICOM</v>
      </c>
      <c r="B565" s="15" t="str">
        <f>data!A940</f>
        <v>052</v>
      </c>
      <c r="C565" s="1" t="str">
        <f>data!B940</f>
        <v>GIRONDE ET GASCOGNE SARL</v>
      </c>
      <c r="D565" s="1" t="str">
        <f>data!C940</f>
        <v>052062</v>
      </c>
      <c r="E565" s="1" t="str">
        <f>data!D565</f>
        <v>AOP COTES DU JURA TROUSSEAU DME GRAND</v>
      </c>
      <c r="F565" s="14">
        <f>SUMIFS(data!G:G,data!A:A,TABLEAU!B565,data!C:C,TABLEAU!D565,data!F:F,YEAR(Feuil1!$D$1))</f>
        <v>339.6</v>
      </c>
      <c r="G565" s="9">
        <f>SUMIFS(data!G:G,data!A:A,TABLEAU!B565,data!C:C,TABLEAU!D565,data!F:F,YEAR(Feuil1!$D$2))</f>
        <v>1103.7</v>
      </c>
      <c r="H565" s="9">
        <f t="shared" si="32"/>
        <v>-764.1</v>
      </c>
      <c r="I565" s="12">
        <f t="shared" si="33"/>
        <v>-0.69230769230769229</v>
      </c>
      <c r="J565" s="13">
        <f>SUMIFS(data!E:E,data!A:A,TABLEAU!B565,data!C:C,TABLEAU!D565,data!F:F,YEAR(Feuil1!$D$1))</f>
        <v>48</v>
      </c>
      <c r="K565" s="13">
        <f>SUMIFS(data!E:E,data!A:A,TABLEAU!B565,data!C:C,TABLEAU!D565,data!F:F,YEAR(Feuil1!$D$2))</f>
        <v>156</v>
      </c>
      <c r="L565" s="13">
        <f t="shared" si="34"/>
        <v>-108</v>
      </c>
      <c r="M565" s="12">
        <f t="shared" si="35"/>
        <v>-0.69230769230769229</v>
      </c>
    </row>
    <row r="566" spans="1:13" x14ac:dyDescent="0.25">
      <c r="A566" s="17" t="str">
        <f>data!H942</f>
        <v>VINICOM</v>
      </c>
      <c r="B566" s="15" t="str">
        <f>data!A942</f>
        <v>052</v>
      </c>
      <c r="C566" s="1" t="str">
        <f>data!B942</f>
        <v>GIRONDE ET GASCOGNE SARL</v>
      </c>
      <c r="D566" s="1" t="str">
        <f>data!C942</f>
        <v>052063</v>
      </c>
      <c r="E566" s="1" t="str">
        <f>data!D566</f>
        <v>AOP COTES DU JURA CHARDONNAY DME GRAND</v>
      </c>
      <c r="F566" s="14">
        <f>SUMIFS(data!G:G,data!A:A,TABLEAU!B566,data!C:C,TABLEAU!D566,data!F:F,YEAR(Feuil1!$D$1))</f>
        <v>1237.5</v>
      </c>
      <c r="G566" s="9">
        <f>SUMIFS(data!G:G,data!A:A,TABLEAU!B566,data!C:C,TABLEAU!D566,data!F:F,YEAR(Feuil1!$D$2))</f>
        <v>2857.2</v>
      </c>
      <c r="H566" s="9">
        <f t="shared" si="32"/>
        <v>-1619.6999999999998</v>
      </c>
      <c r="I566" s="12">
        <f t="shared" si="33"/>
        <v>-0.56688366232675347</v>
      </c>
      <c r="J566" s="13">
        <f>SUMIFS(data!E:E,data!A:A,TABLEAU!B566,data!C:C,TABLEAU!D566,data!F:F,YEAR(Feuil1!$D$1))</f>
        <v>300</v>
      </c>
      <c r="K566" s="13">
        <f>SUMIFS(data!E:E,data!A:A,TABLEAU!B566,data!C:C,TABLEAU!D566,data!F:F,YEAR(Feuil1!$D$2))</f>
        <v>900</v>
      </c>
      <c r="L566" s="13">
        <f t="shared" si="34"/>
        <v>-600</v>
      </c>
      <c r="M566" s="12">
        <f t="shared" si="35"/>
        <v>-0.66666666666666663</v>
      </c>
    </row>
    <row r="567" spans="1:13" x14ac:dyDescent="0.25">
      <c r="A567" s="17" t="str">
        <f>data!H944</f>
        <v>VINICOM</v>
      </c>
      <c r="B567" s="15" t="str">
        <f>data!A944</f>
        <v>052</v>
      </c>
      <c r="C567" s="1" t="str">
        <f>data!B944</f>
        <v>GIRONDE ET GASCOGNE SARL</v>
      </c>
      <c r="D567" s="1" t="str">
        <f>data!C944</f>
        <v>052065</v>
      </c>
      <c r="E567" s="1" t="str">
        <f>data!D567</f>
        <v>AOP COTES DU JURA CHARDONNAY DME GRAND</v>
      </c>
      <c r="F567" s="14">
        <f>SUMIFS(data!G:G,data!A:A,TABLEAU!B567,data!C:C,TABLEAU!D567,data!F:F,YEAR(Feuil1!$D$1))</f>
        <v>0</v>
      </c>
      <c r="G567" s="9">
        <f>SUMIFS(data!G:G,data!A:A,TABLEAU!B567,data!C:C,TABLEAU!D567,data!F:F,YEAR(Feuil1!$D$2))</f>
        <v>374.4</v>
      </c>
      <c r="H567" s="9">
        <f t="shared" si="32"/>
        <v>-374.4</v>
      </c>
      <c r="I567" s="12">
        <f t="shared" si="33"/>
        <v>-1</v>
      </c>
      <c r="J567" s="13">
        <f>SUMIFS(data!E:E,data!A:A,TABLEAU!B567,data!C:C,TABLEAU!D567,data!F:F,YEAR(Feuil1!$D$1))</f>
        <v>0</v>
      </c>
      <c r="K567" s="13">
        <f>SUMIFS(data!E:E,data!A:A,TABLEAU!B567,data!C:C,TABLEAU!D567,data!F:F,YEAR(Feuil1!$D$2))</f>
        <v>48</v>
      </c>
      <c r="L567" s="13">
        <f t="shared" si="34"/>
        <v>-48</v>
      </c>
      <c r="M567" s="12">
        <f t="shared" si="35"/>
        <v>-1</v>
      </c>
    </row>
    <row r="568" spans="1:13" x14ac:dyDescent="0.25">
      <c r="A568" s="17" t="str">
        <f>data!H945</f>
        <v>VINICOM</v>
      </c>
      <c r="B568" s="15" t="str">
        <f>data!A945</f>
        <v>052</v>
      </c>
      <c r="C568" s="1" t="str">
        <f>data!B945</f>
        <v>GIRONDE ET GASCOGNE SARL</v>
      </c>
      <c r="D568" s="1" t="str">
        <f>data!C945</f>
        <v>052066</v>
      </c>
      <c r="E568" s="1" t="str">
        <f>data!D568</f>
        <v>AOP COTES DU JURA SAVAGNIN DME GRAND</v>
      </c>
      <c r="F568" s="14">
        <f>SUMIFS(data!G:G,data!A:A,TABLEAU!B568,data!C:C,TABLEAU!D568,data!F:F,YEAR(Feuil1!$D$1))</f>
        <v>41.1</v>
      </c>
      <c r="G568" s="9">
        <f>SUMIFS(data!G:G,data!A:A,TABLEAU!B568,data!C:C,TABLEAU!D568,data!F:F,YEAR(Feuil1!$D$2))</f>
        <v>1479.6</v>
      </c>
      <c r="H568" s="9">
        <f t="shared" si="32"/>
        <v>-1438.5</v>
      </c>
      <c r="I568" s="12">
        <f t="shared" si="33"/>
        <v>-0.97222222222222232</v>
      </c>
      <c r="J568" s="13">
        <f>SUMIFS(data!E:E,data!A:A,TABLEAU!B568,data!C:C,TABLEAU!D568,data!F:F,YEAR(Feuil1!$D$1))</f>
        <v>12</v>
      </c>
      <c r="K568" s="13">
        <f>SUMIFS(data!E:E,data!A:A,TABLEAU!B568,data!C:C,TABLEAU!D568,data!F:F,YEAR(Feuil1!$D$2))</f>
        <v>216</v>
      </c>
      <c r="L568" s="13">
        <f t="shared" si="34"/>
        <v>-204</v>
      </c>
      <c r="M568" s="12">
        <f t="shared" si="35"/>
        <v>-0.94444444444444442</v>
      </c>
    </row>
    <row r="569" spans="1:13" x14ac:dyDescent="0.25">
      <c r="A569" s="17" t="str">
        <f>data!H947</f>
        <v>VINICOM</v>
      </c>
      <c r="B569" s="15" t="str">
        <f>data!A947</f>
        <v>052</v>
      </c>
      <c r="C569" s="1" t="str">
        <f>data!B947</f>
        <v>GIRONDE ET GASCOGNE SARL</v>
      </c>
      <c r="D569" s="1" t="str">
        <f>data!C947</f>
        <v>052067</v>
      </c>
      <c r="E569" s="1" t="str">
        <f>data!D569</f>
        <v>AOP COTES DU JURA SAVAGNIN DME GRAND</v>
      </c>
      <c r="F569" s="14">
        <f>SUMIFS(data!G:G,data!A:A,TABLEAU!B569,data!C:C,TABLEAU!D569,data!F:F,YEAR(Feuil1!$D$1))</f>
        <v>1319.04</v>
      </c>
      <c r="G569" s="9">
        <f>SUMIFS(data!G:G,data!A:A,TABLEAU!B569,data!C:C,TABLEAU!D569,data!F:F,YEAR(Feuil1!$D$2))</f>
        <v>593.37</v>
      </c>
      <c r="H569" s="9">
        <f t="shared" si="32"/>
        <v>725.67</v>
      </c>
      <c r="I569" s="12">
        <f t="shared" si="33"/>
        <v>1.2229637494312149</v>
      </c>
      <c r="J569" s="13">
        <f>SUMIFS(data!E:E,data!A:A,TABLEAU!B569,data!C:C,TABLEAU!D569,data!F:F,YEAR(Feuil1!$D$1))</f>
        <v>192</v>
      </c>
      <c r="K569" s="13">
        <f>SUMIFS(data!E:E,data!A:A,TABLEAU!B569,data!C:C,TABLEAU!D569,data!F:F,YEAR(Feuil1!$D$2))</f>
        <v>90</v>
      </c>
      <c r="L569" s="13">
        <f t="shared" si="34"/>
        <v>102</v>
      </c>
      <c r="M569" s="12">
        <f t="shared" si="35"/>
        <v>1.1333333333333333</v>
      </c>
    </row>
    <row r="570" spans="1:13" x14ac:dyDescent="0.25">
      <c r="A570" s="17" t="str">
        <f>data!H949</f>
        <v>VINICOM</v>
      </c>
      <c r="B570" s="15" t="str">
        <f>data!A949</f>
        <v>052</v>
      </c>
      <c r="C570" s="1" t="str">
        <f>data!B949</f>
        <v>GIRONDE ET GASCOGNE SARL</v>
      </c>
      <c r="D570" s="1" t="str">
        <f>data!C949</f>
        <v>052119</v>
      </c>
      <c r="E570" s="1" t="str">
        <f>data!D570</f>
        <v>AOP CHATEAU CHALON - VIN JAUNE - DME GRAND BLANC</v>
      </c>
      <c r="F570" s="14">
        <f>SUMIFS(data!G:G,data!A:A,TABLEAU!B570,data!C:C,TABLEAU!D570,data!F:F,YEAR(Feuil1!$D$1))</f>
        <v>0</v>
      </c>
      <c r="G570" s="9">
        <f>SUMIFS(data!G:G,data!A:A,TABLEAU!B570,data!C:C,TABLEAU!D570,data!F:F,YEAR(Feuil1!$D$2))</f>
        <v>266.39999999999998</v>
      </c>
      <c r="H570" s="9">
        <f t="shared" si="32"/>
        <v>-266.39999999999998</v>
      </c>
      <c r="I570" s="12">
        <f t="shared" si="33"/>
        <v>-1</v>
      </c>
      <c r="J570" s="13">
        <f>SUMIFS(data!E:E,data!A:A,TABLEAU!B570,data!C:C,TABLEAU!D570,data!F:F,YEAR(Feuil1!$D$1))</f>
        <v>0</v>
      </c>
      <c r="K570" s="13">
        <f>SUMIFS(data!E:E,data!A:A,TABLEAU!B570,data!C:C,TABLEAU!D570,data!F:F,YEAR(Feuil1!$D$2))</f>
        <v>96</v>
      </c>
      <c r="L570" s="13">
        <f t="shared" si="34"/>
        <v>-96</v>
      </c>
      <c r="M570" s="12">
        <f t="shared" si="35"/>
        <v>-1</v>
      </c>
    </row>
    <row r="571" spans="1:13" x14ac:dyDescent="0.25">
      <c r="A571" s="17" t="str">
        <f>data!H950</f>
        <v>VINICOM</v>
      </c>
      <c r="B571" s="15" t="str">
        <f>data!A950</f>
        <v>052</v>
      </c>
      <c r="C571" s="1" t="str">
        <f>data!B950</f>
        <v>GIRONDE ET GASCOGNE SARL</v>
      </c>
      <c r="D571" s="1" t="str">
        <f>data!C950</f>
        <v>052320</v>
      </c>
      <c r="E571" s="1" t="str">
        <f>data!D571</f>
        <v>AOP CHATEAU CHALON - VIN JAUNE - DME GRAND BLANC</v>
      </c>
      <c r="F571" s="14">
        <f>SUMIFS(data!G:G,data!A:A,TABLEAU!B571,data!C:C,TABLEAU!D571,data!F:F,YEAR(Feuil1!$D$1))</f>
        <v>507.6</v>
      </c>
      <c r="G571" s="9">
        <f>SUMIFS(data!G:G,data!A:A,TABLEAU!B571,data!C:C,TABLEAU!D571,data!F:F,YEAR(Feuil1!$D$2))</f>
        <v>0</v>
      </c>
      <c r="H571" s="9">
        <f t="shared" si="32"/>
        <v>507.6</v>
      </c>
      <c r="I571" s="12" t="str">
        <f t="shared" si="33"/>
        <v/>
      </c>
      <c r="J571" s="13">
        <f>SUMIFS(data!E:E,data!A:A,TABLEAU!B571,data!C:C,TABLEAU!D571,data!F:F,YEAR(Feuil1!$D$1))</f>
        <v>36</v>
      </c>
      <c r="K571" s="13">
        <f>SUMIFS(data!E:E,data!A:A,TABLEAU!B571,data!C:C,TABLEAU!D571,data!F:F,YEAR(Feuil1!$D$2))</f>
        <v>0</v>
      </c>
      <c r="L571" s="13">
        <f t="shared" si="34"/>
        <v>36</v>
      </c>
      <c r="M571" s="12" t="str">
        <f t="shared" si="35"/>
        <v/>
      </c>
    </row>
    <row r="572" spans="1:13" x14ac:dyDescent="0.25">
      <c r="A572" s="17" t="str">
        <f>data!H951</f>
        <v>VINICOM</v>
      </c>
      <c r="B572" s="15" t="str">
        <f>data!A951</f>
        <v>052</v>
      </c>
      <c r="C572" s="1" t="str">
        <f>data!B951</f>
        <v>GIRONDE ET GASCOGNE SARL</v>
      </c>
      <c r="D572" s="1" t="str">
        <f>data!C951</f>
        <v>052322</v>
      </c>
      <c r="E572" s="1" t="str">
        <f>data!D572</f>
        <v>AOP COTES DU JURA CHARDONNAY</v>
      </c>
      <c r="F572" s="14">
        <f>SUMIFS(data!G:G,data!A:A,TABLEAU!B572,data!C:C,TABLEAU!D572,data!F:F,YEAR(Feuil1!$D$1))</f>
        <v>94.8</v>
      </c>
      <c r="G572" s="9">
        <f>SUMIFS(data!G:G,data!A:A,TABLEAU!B572,data!C:C,TABLEAU!D572,data!F:F,YEAR(Feuil1!$D$2))</f>
        <v>177.6</v>
      </c>
      <c r="H572" s="9">
        <f t="shared" si="32"/>
        <v>-82.8</v>
      </c>
      <c r="I572" s="12">
        <f t="shared" si="33"/>
        <v>-0.46621621621621623</v>
      </c>
      <c r="J572" s="13">
        <f>SUMIFS(data!E:E,data!A:A,TABLEAU!B572,data!C:C,TABLEAU!D572,data!F:F,YEAR(Feuil1!$D$1))</f>
        <v>6</v>
      </c>
      <c r="K572" s="13">
        <f>SUMIFS(data!E:E,data!A:A,TABLEAU!B572,data!C:C,TABLEAU!D572,data!F:F,YEAR(Feuil1!$D$2))</f>
        <v>12</v>
      </c>
      <c r="L572" s="13">
        <f t="shared" si="34"/>
        <v>-6</v>
      </c>
      <c r="M572" s="12">
        <f t="shared" si="35"/>
        <v>-0.5</v>
      </c>
    </row>
    <row r="573" spans="1:13" x14ac:dyDescent="0.25">
      <c r="A573" s="17" t="str">
        <f>data!H953</f>
        <v>VINICOM</v>
      </c>
      <c r="B573" s="15" t="str">
        <f>data!A953</f>
        <v>052</v>
      </c>
      <c r="C573" s="1" t="str">
        <f>data!B953</f>
        <v>GIRONDE ET GASCOGNE SARL</v>
      </c>
      <c r="D573" s="1" t="str">
        <f>data!C953</f>
        <v>052323</v>
      </c>
      <c r="E573" s="1" t="str">
        <f>data!D573</f>
        <v>AOP COTES DU JURA CHARDONNAY</v>
      </c>
      <c r="F573" s="14">
        <f>SUMIFS(data!G:G,data!A:A,TABLEAU!B573,data!C:C,TABLEAU!D573,data!F:F,YEAR(Feuil1!$D$1))</f>
        <v>0</v>
      </c>
      <c r="G573" s="9">
        <f>SUMIFS(data!G:G,data!A:A,TABLEAU!B573,data!C:C,TABLEAU!D573,data!F:F,YEAR(Feuil1!$D$2))</f>
        <v>667.2</v>
      </c>
      <c r="H573" s="9">
        <f t="shared" si="32"/>
        <v>-667.2</v>
      </c>
      <c r="I573" s="12">
        <f t="shared" si="33"/>
        <v>-1</v>
      </c>
      <c r="J573" s="13">
        <f>SUMIFS(data!E:E,data!A:A,TABLEAU!B573,data!C:C,TABLEAU!D573,data!F:F,YEAR(Feuil1!$D$1))</f>
        <v>0</v>
      </c>
      <c r="K573" s="13">
        <f>SUMIFS(data!E:E,data!A:A,TABLEAU!B573,data!C:C,TABLEAU!D573,data!F:F,YEAR(Feuil1!$D$2))</f>
        <v>48</v>
      </c>
      <c r="L573" s="13">
        <f t="shared" si="34"/>
        <v>-48</v>
      </c>
      <c r="M573" s="12">
        <f t="shared" si="35"/>
        <v>-1</v>
      </c>
    </row>
    <row r="574" spans="1:13" x14ac:dyDescent="0.25">
      <c r="A574" s="17" t="str">
        <f>data!H954</f>
        <v>VINICOM</v>
      </c>
      <c r="B574" s="15" t="str">
        <f>data!A954</f>
        <v>052</v>
      </c>
      <c r="C574" s="1" t="str">
        <f>data!B954</f>
        <v>GIRONDE ET GASCOGNE SARL</v>
      </c>
      <c r="D574" s="1" t="str">
        <f>data!C954</f>
        <v>052600</v>
      </c>
      <c r="E574" s="1" t="str">
        <f>data!D574</f>
        <v>AOP SAVENNIERES CROIX PICOT DOMAINE FL</v>
      </c>
      <c r="F574" s="14">
        <f>SUMIFS(data!G:G,data!A:A,TABLEAU!B574,data!C:C,TABLEAU!D574,data!F:F,YEAR(Feuil1!$D$1))</f>
        <v>0</v>
      </c>
      <c r="G574" s="9">
        <f>SUMIFS(data!G:G,data!A:A,TABLEAU!B574,data!C:C,TABLEAU!D574,data!F:F,YEAR(Feuil1!$D$2))</f>
        <v>126.9</v>
      </c>
      <c r="H574" s="9">
        <f t="shared" si="32"/>
        <v>-126.9</v>
      </c>
      <c r="I574" s="12">
        <f t="shared" si="33"/>
        <v>-1</v>
      </c>
      <c r="J574" s="13">
        <f>SUMIFS(data!E:E,data!A:A,TABLEAU!B574,data!C:C,TABLEAU!D574,data!F:F,YEAR(Feuil1!$D$1))</f>
        <v>0</v>
      </c>
      <c r="K574" s="13">
        <f>SUMIFS(data!E:E,data!A:A,TABLEAU!B574,data!C:C,TABLEAU!D574,data!F:F,YEAR(Feuil1!$D$2))</f>
        <v>18</v>
      </c>
      <c r="L574" s="13">
        <f t="shared" si="34"/>
        <v>-18</v>
      </c>
      <c r="M574" s="12">
        <f t="shared" si="35"/>
        <v>-1</v>
      </c>
    </row>
    <row r="575" spans="1:13" x14ac:dyDescent="0.25">
      <c r="A575" s="17" t="str">
        <f>data!H955</f>
        <v>VINICOM</v>
      </c>
      <c r="B575" s="15" t="str">
        <f>data!A955</f>
        <v>052</v>
      </c>
      <c r="C575" s="1" t="str">
        <f>data!B955</f>
        <v>GIRONDE ET GASCOGNE SARL</v>
      </c>
      <c r="D575" s="1" t="str">
        <f>data!C955</f>
        <v>CDV052023</v>
      </c>
      <c r="E575" s="1" t="str">
        <f>data!D575</f>
        <v>AOP ST ROMAIN BLC DME BOUT MONDE</v>
      </c>
      <c r="F575" s="14">
        <f>SUMIFS(data!G:G,data!A:A,TABLEAU!B575,data!C:C,TABLEAU!D575,data!F:F,YEAR(Feuil1!$D$1))</f>
        <v>0</v>
      </c>
      <c r="G575" s="9">
        <f>SUMIFS(data!G:G,data!A:A,TABLEAU!B575,data!C:C,TABLEAU!D575,data!F:F,YEAR(Feuil1!$D$2))</f>
        <v>180</v>
      </c>
      <c r="H575" s="9">
        <f t="shared" si="32"/>
        <v>-180</v>
      </c>
      <c r="I575" s="12">
        <f t="shared" si="33"/>
        <v>-1</v>
      </c>
      <c r="J575" s="13">
        <f>SUMIFS(data!E:E,data!A:A,TABLEAU!B575,data!C:C,TABLEAU!D575,data!F:F,YEAR(Feuil1!$D$1))</f>
        <v>0</v>
      </c>
      <c r="K575" s="13">
        <f>SUMIFS(data!E:E,data!A:A,TABLEAU!B575,data!C:C,TABLEAU!D575,data!F:F,YEAR(Feuil1!$D$2))</f>
        <v>18</v>
      </c>
      <c r="L575" s="13">
        <f t="shared" si="34"/>
        <v>-18</v>
      </c>
      <c r="M575" s="12">
        <f t="shared" si="35"/>
        <v>-1</v>
      </c>
    </row>
    <row r="576" spans="1:13" x14ac:dyDescent="0.25">
      <c r="A576" s="17" t="str">
        <f>data!H956</f>
        <v>VINICOM</v>
      </c>
      <c r="B576" s="15" t="str">
        <f>data!A956</f>
        <v>052</v>
      </c>
      <c r="C576" s="1" t="str">
        <f>data!B956</f>
        <v>GIRONDE ET GASCOGNE SARL</v>
      </c>
      <c r="D576" s="1" t="str">
        <f>data!C956</f>
        <v>CDV052046</v>
      </c>
      <c r="E576" s="1" t="str">
        <f>data!D576</f>
        <v>AOP ST AUBIN BLC 1ER CRU DME MEIX</v>
      </c>
      <c r="F576" s="14">
        <f>SUMIFS(data!G:G,data!A:A,TABLEAU!B576,data!C:C,TABLEAU!D576,data!F:F,YEAR(Feuil1!$D$1))</f>
        <v>0</v>
      </c>
      <c r="G576" s="9">
        <f>SUMIFS(data!G:G,data!A:A,TABLEAU!B576,data!C:C,TABLEAU!D576,data!F:F,YEAR(Feuil1!$D$2))</f>
        <v>84.9</v>
      </c>
      <c r="H576" s="9">
        <f t="shared" si="32"/>
        <v>-84.9</v>
      </c>
      <c r="I576" s="12">
        <f t="shared" si="33"/>
        <v>-1</v>
      </c>
      <c r="J576" s="13">
        <f>SUMIFS(data!E:E,data!A:A,TABLEAU!B576,data!C:C,TABLEAU!D576,data!F:F,YEAR(Feuil1!$D$1))</f>
        <v>0</v>
      </c>
      <c r="K576" s="13">
        <f>SUMIFS(data!E:E,data!A:A,TABLEAU!B576,data!C:C,TABLEAU!D576,data!F:F,YEAR(Feuil1!$D$2))</f>
        <v>12</v>
      </c>
      <c r="L576" s="13">
        <f t="shared" si="34"/>
        <v>-12</v>
      </c>
      <c r="M576" s="12">
        <f t="shared" si="35"/>
        <v>-1</v>
      </c>
    </row>
    <row r="577" spans="1:13" x14ac:dyDescent="0.25">
      <c r="A577" s="17" t="str">
        <f>data!H957</f>
        <v>VINICOM</v>
      </c>
      <c r="B577" s="15" t="str">
        <f>data!A957</f>
        <v>054</v>
      </c>
      <c r="C577" s="1" t="str">
        <f>data!B957</f>
        <v>CHÂTEAU JEANDEMAN</v>
      </c>
      <c r="D577" s="1" t="str">
        <f>data!C957</f>
        <v>054002</v>
      </c>
      <c r="E577" s="1" t="str">
        <f>data!D577</f>
        <v>AOP ST AUBIN BLC 1ER CRU DME MEIX</v>
      </c>
      <c r="F577" s="14">
        <f>SUMIFS(data!G:G,data!A:A,TABLEAU!B577,data!C:C,TABLEAU!D577,data!F:F,YEAR(Feuil1!$D$1))</f>
        <v>2661.6</v>
      </c>
      <c r="G577" s="9">
        <f>SUMIFS(data!G:G,data!A:A,TABLEAU!B577,data!C:C,TABLEAU!D577,data!F:F,YEAR(Feuil1!$D$2))</f>
        <v>6883.2</v>
      </c>
      <c r="H577" s="9">
        <f t="shared" si="32"/>
        <v>-4221.6000000000004</v>
      </c>
      <c r="I577" s="12">
        <f t="shared" si="33"/>
        <v>-0.61331938633193872</v>
      </c>
      <c r="J577" s="13">
        <f>SUMIFS(data!E:E,data!A:A,TABLEAU!B577,data!C:C,TABLEAU!D577,data!F:F,YEAR(Feuil1!$D$1))</f>
        <v>540</v>
      </c>
      <c r="K577" s="13">
        <f>SUMIFS(data!E:E,data!A:A,TABLEAU!B577,data!C:C,TABLEAU!D577,data!F:F,YEAR(Feuil1!$D$2))</f>
        <v>1446</v>
      </c>
      <c r="L577" s="13">
        <f t="shared" si="34"/>
        <v>-906</v>
      </c>
      <c r="M577" s="12">
        <f t="shared" si="35"/>
        <v>-0.62655601659751037</v>
      </c>
    </row>
    <row r="578" spans="1:13" x14ac:dyDescent="0.25">
      <c r="A578" s="17" t="str">
        <f>data!H959</f>
        <v>VINICOM</v>
      </c>
      <c r="B578" s="15" t="str">
        <f>data!A959</f>
        <v>054</v>
      </c>
      <c r="C578" s="1" t="str">
        <f>data!B959</f>
        <v>CHÂTEAU JEANDEMAN</v>
      </c>
      <c r="D578" s="1" t="str">
        <f>data!C959</f>
        <v>054005</v>
      </c>
      <c r="E578" s="1" t="str">
        <f>data!D578</f>
        <v>AOP ST AUBIN RGE 1ER CRU DME MEIX</v>
      </c>
      <c r="F578" s="14">
        <f>SUMIFS(data!G:G,data!A:A,TABLEAU!B578,data!C:C,TABLEAU!D578,data!F:F,YEAR(Feuil1!$D$1))</f>
        <v>4560.3</v>
      </c>
      <c r="G578" s="9">
        <f>SUMIFS(data!G:G,data!A:A,TABLEAU!B578,data!C:C,TABLEAU!D578,data!F:F,YEAR(Feuil1!$D$2))</f>
        <v>8334.9</v>
      </c>
      <c r="H578" s="9">
        <f t="shared" si="32"/>
        <v>-3774.5999999999995</v>
      </c>
      <c r="I578" s="12">
        <f t="shared" si="33"/>
        <v>-0.4528668610301263</v>
      </c>
      <c r="J578" s="13">
        <f>SUMIFS(data!E:E,data!A:A,TABLEAU!B578,data!C:C,TABLEAU!D578,data!F:F,YEAR(Feuil1!$D$1))</f>
        <v>606</v>
      </c>
      <c r="K578" s="13">
        <f>SUMIFS(data!E:E,data!A:A,TABLEAU!B578,data!C:C,TABLEAU!D578,data!F:F,YEAR(Feuil1!$D$2))</f>
        <v>1140</v>
      </c>
      <c r="L578" s="13">
        <f t="shared" si="34"/>
        <v>-534</v>
      </c>
      <c r="M578" s="12">
        <f t="shared" si="35"/>
        <v>-0.46842105263157896</v>
      </c>
    </row>
    <row r="579" spans="1:13" x14ac:dyDescent="0.25">
      <c r="A579" s="17" t="str">
        <f>data!H961</f>
        <v>VINICOM</v>
      </c>
      <c r="B579" s="15" t="str">
        <f>data!A961</f>
        <v>054</v>
      </c>
      <c r="C579" s="1" t="str">
        <f>data!B961</f>
        <v>CHÂTEAU JEANDEMAN</v>
      </c>
      <c r="D579" s="1" t="str">
        <f>data!C961</f>
        <v>054011</v>
      </c>
      <c r="E579" s="1" t="str">
        <f>data!D579</f>
        <v>AOP ST AUBIN RGE 1ER CRU DME MEIX</v>
      </c>
      <c r="F579" s="14">
        <f>SUMIFS(data!G:G,data!A:A,TABLEAU!B579,data!C:C,TABLEAU!D579,data!F:F,YEAR(Feuil1!$D$1))</f>
        <v>6150</v>
      </c>
      <c r="G579" s="9">
        <f>SUMIFS(data!G:G,data!A:A,TABLEAU!B579,data!C:C,TABLEAU!D579,data!F:F,YEAR(Feuil1!$D$2))</f>
        <v>5497.8</v>
      </c>
      <c r="H579" s="9">
        <f t="shared" ref="H579:H642" si="36">F579-G579</f>
        <v>652.19999999999982</v>
      </c>
      <c r="I579" s="12">
        <f t="shared" ref="I579:I642" si="37">IF(ISERR(H579/G579),"",H579/G579)</f>
        <v>0.11862926988977406</v>
      </c>
      <c r="J579" s="13">
        <f>SUMIFS(data!E:E,data!A:A,TABLEAU!B579,data!C:C,TABLEAU!D579,data!F:F,YEAR(Feuil1!$D$1))</f>
        <v>720</v>
      </c>
      <c r="K579" s="13">
        <f>SUMIFS(data!E:E,data!A:A,TABLEAU!B579,data!C:C,TABLEAU!D579,data!F:F,YEAR(Feuil1!$D$2))</f>
        <v>720</v>
      </c>
      <c r="L579" s="13">
        <f t="shared" ref="L579:L642" si="38">J579-K579</f>
        <v>0</v>
      </c>
      <c r="M579" s="12">
        <f t="shared" ref="M579:M642" si="39">IF(ISERR(L579/K579),"",L579/K579)</f>
        <v>0</v>
      </c>
    </row>
    <row r="580" spans="1:13" x14ac:dyDescent="0.25">
      <c r="A580" s="17" t="str">
        <f>data!H963</f>
        <v>VINICOM</v>
      </c>
      <c r="B580" s="15" t="str">
        <f>data!A963</f>
        <v>059</v>
      </c>
      <c r="C580" s="1" t="str">
        <f>data!B963</f>
        <v>CH DU ROUET</v>
      </c>
      <c r="D580" s="1" t="str">
        <f>data!C963</f>
        <v>059002</v>
      </c>
      <c r="E580" s="1" t="str">
        <f>data!D580</f>
        <v>IGP MARSANNE CAVE SAINT DESIRAT</v>
      </c>
      <c r="F580" s="14">
        <f>SUMIFS(data!G:G,data!A:A,TABLEAU!B580,data!C:C,TABLEAU!D580,data!F:F,YEAR(Feuil1!$D$1))</f>
        <v>1890</v>
      </c>
      <c r="G580" s="9">
        <f>SUMIFS(data!G:G,data!A:A,TABLEAU!B580,data!C:C,TABLEAU!D580,data!F:F,YEAR(Feuil1!$D$2))</f>
        <v>2744.4</v>
      </c>
      <c r="H580" s="9">
        <f t="shared" si="36"/>
        <v>-854.40000000000009</v>
      </c>
      <c r="I580" s="12">
        <f t="shared" si="37"/>
        <v>-0.31132487975513778</v>
      </c>
      <c r="J580" s="13">
        <f>SUMIFS(data!E:E,data!A:A,TABLEAU!B580,data!C:C,TABLEAU!D580,data!F:F,YEAR(Feuil1!$D$1))</f>
        <v>450</v>
      </c>
      <c r="K580" s="13">
        <f>SUMIFS(data!E:E,data!A:A,TABLEAU!B580,data!C:C,TABLEAU!D580,data!F:F,YEAR(Feuil1!$D$2))</f>
        <v>654</v>
      </c>
      <c r="L580" s="13">
        <f t="shared" si="38"/>
        <v>-204</v>
      </c>
      <c r="M580" s="12">
        <f t="shared" si="39"/>
        <v>-0.31192660550458717</v>
      </c>
    </row>
    <row r="581" spans="1:13" x14ac:dyDescent="0.25">
      <c r="A581" s="17" t="str">
        <f>data!H965</f>
        <v>VINICOM</v>
      </c>
      <c r="B581" s="15" t="str">
        <f>data!A965</f>
        <v>059</v>
      </c>
      <c r="C581" s="1" t="str">
        <f>data!B965</f>
        <v>CH DU ROUET</v>
      </c>
      <c r="D581" s="1" t="str">
        <f>data!C965</f>
        <v>059004</v>
      </c>
      <c r="E581" s="1" t="str">
        <f>data!D581</f>
        <v>IGP BLC RESERVE DE GARDIAN</v>
      </c>
      <c r="F581" s="14">
        <f>SUMIFS(data!G:G,data!A:A,TABLEAU!B581,data!C:C,TABLEAU!D581,data!F:F,YEAR(Feuil1!$D$1))</f>
        <v>452.7</v>
      </c>
      <c r="G581" s="9">
        <f>SUMIFS(data!G:G,data!A:A,TABLEAU!B581,data!C:C,TABLEAU!D581,data!F:F,YEAR(Feuil1!$D$2))</f>
        <v>699</v>
      </c>
      <c r="H581" s="9">
        <f t="shared" si="36"/>
        <v>-246.3</v>
      </c>
      <c r="I581" s="12">
        <f t="shared" si="37"/>
        <v>-0.35236051502145926</v>
      </c>
      <c r="J581" s="13">
        <f>SUMIFS(data!E:E,data!A:A,TABLEAU!B581,data!C:C,TABLEAU!D581,data!F:F,YEAR(Feuil1!$D$1))</f>
        <v>138</v>
      </c>
      <c r="K581" s="13">
        <f>SUMIFS(data!E:E,data!A:A,TABLEAU!B581,data!C:C,TABLEAU!D581,data!F:F,YEAR(Feuil1!$D$2))</f>
        <v>204</v>
      </c>
      <c r="L581" s="13">
        <f t="shared" si="38"/>
        <v>-66</v>
      </c>
      <c r="M581" s="12">
        <f t="shared" si="39"/>
        <v>-0.3235294117647059</v>
      </c>
    </row>
    <row r="582" spans="1:13" x14ac:dyDescent="0.25">
      <c r="A582" s="17" t="str">
        <f>data!H967</f>
        <v>VINICOM</v>
      </c>
      <c r="B582" s="15" t="str">
        <f>data!A967</f>
        <v>059</v>
      </c>
      <c r="C582" s="1" t="str">
        <f>data!B967</f>
        <v>CH DU ROUET</v>
      </c>
      <c r="D582" s="1" t="str">
        <f>data!C967</f>
        <v>059005</v>
      </c>
      <c r="E582" s="1" t="str">
        <f>data!D582</f>
        <v>PORTO TAWNY 19° QUINTA SANTA EUFEMIA</v>
      </c>
      <c r="F582" s="14">
        <f>SUMIFS(data!G:G,data!A:A,TABLEAU!B582,data!C:C,TABLEAU!D582,data!F:F,YEAR(Feuil1!$D$1))</f>
        <v>582.29999999999995</v>
      </c>
      <c r="G582" s="9">
        <f>SUMIFS(data!G:G,data!A:A,TABLEAU!B582,data!C:C,TABLEAU!D582,data!F:F,YEAR(Feuil1!$D$2))</f>
        <v>0</v>
      </c>
      <c r="H582" s="9">
        <f t="shared" si="36"/>
        <v>582.29999999999995</v>
      </c>
      <c r="I582" s="12" t="str">
        <f t="shared" si="37"/>
        <v/>
      </c>
      <c r="J582" s="13">
        <f>SUMIFS(data!E:E,data!A:A,TABLEAU!B582,data!C:C,TABLEAU!D582,data!F:F,YEAR(Feuil1!$D$1))</f>
        <v>168</v>
      </c>
      <c r="K582" s="13">
        <f>SUMIFS(data!E:E,data!A:A,TABLEAU!B582,data!C:C,TABLEAU!D582,data!F:F,YEAR(Feuil1!$D$2))</f>
        <v>0</v>
      </c>
      <c r="L582" s="13">
        <f t="shared" si="38"/>
        <v>168</v>
      </c>
      <c r="M582" s="12" t="str">
        <f t="shared" si="39"/>
        <v/>
      </c>
    </row>
    <row r="583" spans="1:13" x14ac:dyDescent="0.25">
      <c r="A583" s="17" t="str">
        <f>data!H968</f>
        <v>VINICOM</v>
      </c>
      <c r="B583" s="15" t="str">
        <f>data!A968</f>
        <v>059</v>
      </c>
      <c r="C583" s="1" t="str">
        <f>data!B968</f>
        <v>CH DU ROUET</v>
      </c>
      <c r="D583" s="1" t="str">
        <f>data!C968</f>
        <v>059006</v>
      </c>
      <c r="E583" s="1" t="str">
        <f>data!D583</f>
        <v>PORTO TAWNY 19° QUINTA SANTA EUFEMIA</v>
      </c>
      <c r="F583" s="14">
        <f>SUMIFS(data!G:G,data!A:A,TABLEAU!B583,data!C:C,TABLEAU!D583,data!F:F,YEAR(Feuil1!$D$1))</f>
        <v>330</v>
      </c>
      <c r="G583" s="9">
        <f>SUMIFS(data!G:G,data!A:A,TABLEAU!B583,data!C:C,TABLEAU!D583,data!F:F,YEAR(Feuil1!$D$2))</f>
        <v>801</v>
      </c>
      <c r="H583" s="9">
        <f t="shared" si="36"/>
        <v>-471</v>
      </c>
      <c r="I583" s="12">
        <f t="shared" si="37"/>
        <v>-0.58801498127340823</v>
      </c>
      <c r="J583" s="13">
        <f>SUMIFS(data!E:E,data!A:A,TABLEAU!B583,data!C:C,TABLEAU!D583,data!F:F,YEAR(Feuil1!$D$1))</f>
        <v>78</v>
      </c>
      <c r="K583" s="13">
        <f>SUMIFS(data!E:E,data!A:A,TABLEAU!B583,data!C:C,TABLEAU!D583,data!F:F,YEAR(Feuil1!$D$2))</f>
        <v>156</v>
      </c>
      <c r="L583" s="13">
        <f t="shared" si="38"/>
        <v>-78</v>
      </c>
      <c r="M583" s="12">
        <f t="shared" si="39"/>
        <v>-0.5</v>
      </c>
    </row>
    <row r="584" spans="1:13" x14ac:dyDescent="0.25">
      <c r="A584" s="17" t="str">
        <f>data!H970</f>
        <v>VINICOM</v>
      </c>
      <c r="B584" s="15" t="str">
        <f>data!A970</f>
        <v>059</v>
      </c>
      <c r="C584" s="1" t="str">
        <f>data!B970</f>
        <v>CH DU ROUET</v>
      </c>
      <c r="D584" s="1" t="str">
        <f>data!C970</f>
        <v>059008</v>
      </c>
      <c r="E584" s="1" t="str">
        <f>data!D584</f>
        <v>PORTO FINE RUBY QUINTA SANTA EUFEMIA</v>
      </c>
      <c r="F584" s="14">
        <f>SUMIFS(data!G:G,data!A:A,TABLEAU!B584,data!C:C,TABLEAU!D584,data!F:F,YEAR(Feuil1!$D$1))</f>
        <v>891</v>
      </c>
      <c r="G584" s="9">
        <f>SUMIFS(data!G:G,data!A:A,TABLEAU!B584,data!C:C,TABLEAU!D584,data!F:F,YEAR(Feuil1!$D$2))</f>
        <v>1155</v>
      </c>
      <c r="H584" s="9">
        <f t="shared" si="36"/>
        <v>-264</v>
      </c>
      <c r="I584" s="12">
        <f t="shared" si="37"/>
        <v>-0.22857142857142856</v>
      </c>
      <c r="J584" s="13">
        <f>SUMIFS(data!E:E,data!A:A,TABLEAU!B584,data!C:C,TABLEAU!D584,data!F:F,YEAR(Feuil1!$D$1))</f>
        <v>174</v>
      </c>
      <c r="K584" s="13">
        <f>SUMIFS(data!E:E,data!A:A,TABLEAU!B584,data!C:C,TABLEAU!D584,data!F:F,YEAR(Feuil1!$D$2))</f>
        <v>216</v>
      </c>
      <c r="L584" s="13">
        <f t="shared" si="38"/>
        <v>-42</v>
      </c>
      <c r="M584" s="12">
        <f t="shared" si="39"/>
        <v>-0.19444444444444445</v>
      </c>
    </row>
    <row r="585" spans="1:13" x14ac:dyDescent="0.25">
      <c r="A585" s="17" t="str">
        <f>data!H972</f>
        <v>VINICOM</v>
      </c>
      <c r="B585" s="15" t="str">
        <f>data!A972</f>
        <v>059</v>
      </c>
      <c r="C585" s="1" t="str">
        <f>data!B972</f>
        <v>CH DU ROUET</v>
      </c>
      <c r="D585" s="1" t="str">
        <f>data!C972</f>
        <v>059010</v>
      </c>
      <c r="E585" s="1" t="str">
        <f>data!D585</f>
        <v>PORTO FINE RUBY QUINTA SANTA EUFEMIA</v>
      </c>
      <c r="F585" s="14">
        <f>SUMIFS(data!G:G,data!A:A,TABLEAU!B585,data!C:C,TABLEAU!D585,data!F:F,YEAR(Feuil1!$D$1))</f>
        <v>1485</v>
      </c>
      <c r="G585" s="9">
        <f>SUMIFS(data!G:G,data!A:A,TABLEAU!B585,data!C:C,TABLEAU!D585,data!F:F,YEAR(Feuil1!$D$2))</f>
        <v>1583.4</v>
      </c>
      <c r="H585" s="9">
        <f t="shared" si="36"/>
        <v>-98.400000000000091</v>
      </c>
      <c r="I585" s="12">
        <f t="shared" si="37"/>
        <v>-6.2144751799924271E-2</v>
      </c>
      <c r="J585" s="13">
        <f>SUMIFS(data!E:E,data!A:A,TABLEAU!B585,data!C:C,TABLEAU!D585,data!F:F,YEAR(Feuil1!$D$1))</f>
        <v>276</v>
      </c>
      <c r="K585" s="13">
        <f>SUMIFS(data!E:E,data!A:A,TABLEAU!B585,data!C:C,TABLEAU!D585,data!F:F,YEAR(Feuil1!$D$2))</f>
        <v>456</v>
      </c>
      <c r="L585" s="13">
        <f t="shared" si="38"/>
        <v>-180</v>
      </c>
      <c r="M585" s="12">
        <f t="shared" si="39"/>
        <v>-0.39473684210526316</v>
      </c>
    </row>
    <row r="586" spans="1:13" x14ac:dyDescent="0.25">
      <c r="A586" s="17" t="str">
        <f>data!H974</f>
        <v>VINICOM</v>
      </c>
      <c r="B586" s="15" t="str">
        <f>data!A974</f>
        <v>059</v>
      </c>
      <c r="C586" s="1" t="str">
        <f>data!B974</f>
        <v>CH DU ROUET</v>
      </c>
      <c r="D586" s="1" t="str">
        <f>data!C974</f>
        <v>059014</v>
      </c>
      <c r="E586" s="1" t="str">
        <f>data!D586</f>
        <v>PORTO FINEST RESERVE QUINTA SANTA EUFEMIA</v>
      </c>
      <c r="F586" s="14">
        <f>SUMIFS(data!G:G,data!A:A,TABLEAU!B586,data!C:C,TABLEAU!D586,data!F:F,YEAR(Feuil1!$D$1))</f>
        <v>66</v>
      </c>
      <c r="G586" s="9">
        <f>SUMIFS(data!G:G,data!A:A,TABLEAU!B586,data!C:C,TABLEAU!D586,data!F:F,YEAR(Feuil1!$D$2))</f>
        <v>132</v>
      </c>
      <c r="H586" s="9">
        <f t="shared" si="36"/>
        <v>-66</v>
      </c>
      <c r="I586" s="12">
        <f t="shared" si="37"/>
        <v>-0.5</v>
      </c>
      <c r="J586" s="13">
        <f>SUMIFS(data!E:E,data!A:A,TABLEAU!B586,data!C:C,TABLEAU!D586,data!F:F,YEAR(Feuil1!$D$1))</f>
        <v>12</v>
      </c>
      <c r="K586" s="13">
        <f>SUMIFS(data!E:E,data!A:A,TABLEAU!B586,data!C:C,TABLEAU!D586,data!F:F,YEAR(Feuil1!$D$2))</f>
        <v>18</v>
      </c>
      <c r="L586" s="13">
        <f t="shared" si="38"/>
        <v>-6</v>
      </c>
      <c r="M586" s="12">
        <f t="shared" si="39"/>
        <v>-0.33333333333333331</v>
      </c>
    </row>
    <row r="587" spans="1:13" x14ac:dyDescent="0.25">
      <c r="A587" s="17" t="str">
        <f>data!H976</f>
        <v>VINICOM</v>
      </c>
      <c r="B587" s="15" t="str">
        <f>data!A976</f>
        <v>059</v>
      </c>
      <c r="C587" s="1" t="str">
        <f>data!B976</f>
        <v>CH DU ROUET</v>
      </c>
      <c r="D587" s="1" t="str">
        <f>data!C976</f>
        <v>059019</v>
      </c>
      <c r="E587" s="1" t="str">
        <f>data!D587</f>
        <v>PORTO FINEST RESERVE QUINTA SANTA EUFEMIA</v>
      </c>
      <c r="F587" s="14">
        <f>SUMIFS(data!G:G,data!A:A,TABLEAU!B587,data!C:C,TABLEAU!D587,data!F:F,YEAR(Feuil1!$D$1))</f>
        <v>1086.3</v>
      </c>
      <c r="G587" s="9">
        <f>SUMIFS(data!G:G,data!A:A,TABLEAU!B587,data!C:C,TABLEAU!D587,data!F:F,YEAR(Feuil1!$D$2))</f>
        <v>1128.9000000000001</v>
      </c>
      <c r="H587" s="9">
        <f t="shared" si="36"/>
        <v>-42.600000000000136</v>
      </c>
      <c r="I587" s="12">
        <f t="shared" si="37"/>
        <v>-3.773584905660389E-2</v>
      </c>
      <c r="J587" s="13">
        <f>SUMIFS(data!E:E,data!A:A,TABLEAU!B587,data!C:C,TABLEAU!D587,data!F:F,YEAR(Feuil1!$D$1))</f>
        <v>306</v>
      </c>
      <c r="K587" s="13">
        <f>SUMIFS(data!E:E,data!A:A,TABLEAU!B587,data!C:C,TABLEAU!D587,data!F:F,YEAR(Feuil1!$D$2))</f>
        <v>318</v>
      </c>
      <c r="L587" s="13">
        <f t="shared" si="38"/>
        <v>-12</v>
      </c>
      <c r="M587" s="12">
        <f t="shared" si="39"/>
        <v>-3.7735849056603772E-2</v>
      </c>
    </row>
    <row r="588" spans="1:13" x14ac:dyDescent="0.25">
      <c r="A588" s="17" t="str">
        <f>data!H978</f>
        <v>VINICOM</v>
      </c>
      <c r="B588" s="15" t="str">
        <f>data!A978</f>
        <v>059</v>
      </c>
      <c r="C588" s="1" t="str">
        <f>data!B978</f>
        <v>CH DU ROUET</v>
      </c>
      <c r="D588" s="1" t="str">
        <f>data!C978</f>
        <v>059020</v>
      </c>
      <c r="E588" s="1" t="str">
        <f>data!D588</f>
        <v>PORTO TWANY 10 ANS D'AGE QUINTA SANTA EUFEMIA</v>
      </c>
      <c r="F588" s="14">
        <f>SUMIFS(data!G:G,data!A:A,TABLEAU!B588,data!C:C,TABLEAU!D588,data!F:F,YEAR(Feuil1!$D$1))</f>
        <v>33911.4</v>
      </c>
      <c r="G588" s="9">
        <f>SUMIFS(data!G:G,data!A:A,TABLEAU!B588,data!C:C,TABLEAU!D588,data!F:F,YEAR(Feuil1!$D$2))</f>
        <v>38467.199999999997</v>
      </c>
      <c r="H588" s="9">
        <f t="shared" si="36"/>
        <v>-4555.7999999999956</v>
      </c>
      <c r="I588" s="12">
        <f t="shared" si="37"/>
        <v>-0.11843336660843513</v>
      </c>
      <c r="J588" s="13">
        <f>SUMIFS(data!E:E,data!A:A,TABLEAU!B588,data!C:C,TABLEAU!D588,data!F:F,YEAR(Feuil1!$D$1))</f>
        <v>9480</v>
      </c>
      <c r="K588" s="13">
        <f>SUMIFS(data!E:E,data!A:A,TABLEAU!B588,data!C:C,TABLEAU!D588,data!F:F,YEAR(Feuil1!$D$2))</f>
        <v>11016</v>
      </c>
      <c r="L588" s="13">
        <f t="shared" si="38"/>
        <v>-1536</v>
      </c>
      <c r="M588" s="12">
        <f t="shared" si="39"/>
        <v>-0.13943355119825709</v>
      </c>
    </row>
    <row r="589" spans="1:13" x14ac:dyDescent="0.25">
      <c r="A589" s="17" t="str">
        <f>data!H980</f>
        <v>VINICOM</v>
      </c>
      <c r="B589" s="15" t="str">
        <f>data!A980</f>
        <v>059</v>
      </c>
      <c r="C589" s="1" t="str">
        <f>data!B980</f>
        <v>CH DU ROUET</v>
      </c>
      <c r="D589" s="1" t="str">
        <f>data!C980</f>
        <v>059021</v>
      </c>
      <c r="E589" s="1" t="str">
        <f>data!D589</f>
        <v>PORTO TAWNY 20 ANS D'AGE QUINTA SANTA EUFEMIA</v>
      </c>
      <c r="F589" s="14">
        <f>SUMIFS(data!G:G,data!A:A,TABLEAU!B589,data!C:C,TABLEAU!D589,data!F:F,YEAR(Feuil1!$D$1))</f>
        <v>10787.6</v>
      </c>
      <c r="G589" s="9">
        <f>SUMIFS(data!G:G,data!A:A,TABLEAU!B589,data!C:C,TABLEAU!D589,data!F:F,YEAR(Feuil1!$D$2))</f>
        <v>11592.2</v>
      </c>
      <c r="H589" s="9">
        <f t="shared" si="36"/>
        <v>-804.60000000000036</v>
      </c>
      <c r="I589" s="12">
        <f t="shared" si="37"/>
        <v>-6.9408740359897206E-2</v>
      </c>
      <c r="J589" s="13">
        <f>SUMIFS(data!E:E,data!A:A,TABLEAU!B589,data!C:C,TABLEAU!D589,data!F:F,YEAR(Feuil1!$D$1))</f>
        <v>4895.7800000000016</v>
      </c>
      <c r="K589" s="13">
        <f>SUMIFS(data!E:E,data!A:A,TABLEAU!B589,data!C:C,TABLEAU!D589,data!F:F,YEAR(Feuil1!$D$2))</f>
        <v>5229.2800000000034</v>
      </c>
      <c r="L589" s="13">
        <f t="shared" si="38"/>
        <v>-333.50000000000182</v>
      </c>
      <c r="M589" s="12">
        <f t="shared" si="39"/>
        <v>-6.3775510204081939E-2</v>
      </c>
    </row>
    <row r="590" spans="1:13" x14ac:dyDescent="0.25">
      <c r="A590" s="17" t="str">
        <f>data!H982</f>
        <v>VINICOM</v>
      </c>
      <c r="B590" s="15" t="str">
        <f>data!A982</f>
        <v>059</v>
      </c>
      <c r="C590" s="1" t="str">
        <f>data!B982</f>
        <v>CH DU ROUET</v>
      </c>
      <c r="D590" s="1" t="str">
        <f>data!C982</f>
        <v>059024</v>
      </c>
      <c r="E590" s="1" t="str">
        <f>data!D590</f>
        <v>PORTO FINE WHITE 19° QUINTA SANTA EUFEMIA</v>
      </c>
      <c r="F590" s="14">
        <f>SUMIFS(data!G:G,data!A:A,TABLEAU!B590,data!C:C,TABLEAU!D590,data!F:F,YEAR(Feuil1!$D$1))</f>
        <v>450</v>
      </c>
      <c r="G590" s="9">
        <f>SUMIFS(data!G:G,data!A:A,TABLEAU!B590,data!C:C,TABLEAU!D590,data!F:F,YEAR(Feuil1!$D$2))</f>
        <v>1583.4</v>
      </c>
      <c r="H590" s="9">
        <f t="shared" si="36"/>
        <v>-1133.4000000000001</v>
      </c>
      <c r="I590" s="12">
        <f t="shared" si="37"/>
        <v>-0.71580143993937095</v>
      </c>
      <c r="J590" s="13">
        <f>SUMIFS(data!E:E,data!A:A,TABLEAU!B590,data!C:C,TABLEAU!D590,data!F:F,YEAR(Feuil1!$D$1))</f>
        <v>150</v>
      </c>
      <c r="K590" s="13">
        <f>SUMIFS(data!E:E,data!A:A,TABLEAU!B590,data!C:C,TABLEAU!D590,data!F:F,YEAR(Feuil1!$D$2))</f>
        <v>540</v>
      </c>
      <c r="L590" s="13">
        <f t="shared" si="38"/>
        <v>-390</v>
      </c>
      <c r="M590" s="12">
        <f t="shared" si="39"/>
        <v>-0.72222222222222221</v>
      </c>
    </row>
    <row r="591" spans="1:13" x14ac:dyDescent="0.25">
      <c r="A591" s="17" t="str">
        <f>data!H984</f>
        <v>VINICOM</v>
      </c>
      <c r="B591" s="15" t="str">
        <f>data!A984</f>
        <v>059</v>
      </c>
      <c r="C591" s="1" t="str">
        <f>data!B984</f>
        <v>CH DU ROUET</v>
      </c>
      <c r="D591" s="1" t="str">
        <f>data!C984</f>
        <v>059025</v>
      </c>
      <c r="E591" s="1" t="str">
        <f>data!D591</f>
        <v>PORTO FINE WHITE 19° QUINTA SANTA EUFEMIA</v>
      </c>
      <c r="F591" s="14">
        <f>SUMIFS(data!G:G,data!A:A,TABLEAU!B591,data!C:C,TABLEAU!D591,data!F:F,YEAR(Feuil1!$D$1))</f>
        <v>42430.5</v>
      </c>
      <c r="G591" s="9">
        <f>SUMIFS(data!G:G,data!A:A,TABLEAU!B591,data!C:C,TABLEAU!D591,data!F:F,YEAR(Feuil1!$D$2))</f>
        <v>50674.8</v>
      </c>
      <c r="H591" s="9">
        <f t="shared" si="36"/>
        <v>-8244.3000000000029</v>
      </c>
      <c r="I591" s="12">
        <f t="shared" si="37"/>
        <v>-0.16269033128892471</v>
      </c>
      <c r="J591" s="13">
        <f>SUMIFS(data!E:E,data!A:A,TABLEAU!B591,data!C:C,TABLEAU!D591,data!F:F,YEAR(Feuil1!$D$1))</f>
        <v>18996</v>
      </c>
      <c r="K591" s="13">
        <f>SUMIFS(data!E:E,data!A:A,TABLEAU!B591,data!C:C,TABLEAU!D591,data!F:F,YEAR(Feuil1!$D$2))</f>
        <v>22932</v>
      </c>
      <c r="L591" s="13">
        <f t="shared" si="38"/>
        <v>-3936</v>
      </c>
      <c r="M591" s="12">
        <f t="shared" si="39"/>
        <v>-0.17163788592360021</v>
      </c>
    </row>
    <row r="592" spans="1:13" x14ac:dyDescent="0.25">
      <c r="A592" s="17" t="str">
        <f>data!H986</f>
        <v>VINICOM</v>
      </c>
      <c r="B592" s="15" t="str">
        <f>data!A986</f>
        <v>059</v>
      </c>
      <c r="C592" s="1" t="str">
        <f>data!B986</f>
        <v>CH DU ROUET</v>
      </c>
      <c r="D592" s="1" t="str">
        <f>data!C986</f>
        <v>059026</v>
      </c>
      <c r="E592" s="1" t="str">
        <f>data!D592</f>
        <v>VIN DE PORTO</v>
      </c>
      <c r="F592" s="14">
        <f>SUMIFS(data!G:G,data!A:A,TABLEAU!B592,data!C:C,TABLEAU!D592,data!F:F,YEAR(Feuil1!$D$1))</f>
        <v>24979.200000000001</v>
      </c>
      <c r="G592" s="9">
        <f>SUMIFS(data!G:G,data!A:A,TABLEAU!B592,data!C:C,TABLEAU!D592,data!F:F,YEAR(Feuil1!$D$2))</f>
        <v>27234.9</v>
      </c>
      <c r="H592" s="9">
        <f t="shared" si="36"/>
        <v>-2255.7000000000007</v>
      </c>
      <c r="I592" s="12">
        <f t="shared" si="37"/>
        <v>-8.2823876717006514E-2</v>
      </c>
      <c r="J592" s="13">
        <f>SUMIFS(data!E:E,data!A:A,TABLEAU!B592,data!C:C,TABLEAU!D592,data!F:F,YEAR(Feuil1!$D$1))</f>
        <v>17061.860000000041</v>
      </c>
      <c r="K592" s="13">
        <f>SUMIFS(data!E:E,data!A:A,TABLEAU!B592,data!C:C,TABLEAU!D592,data!F:F,YEAR(Feuil1!$D$2))</f>
        <v>18469.23000000005</v>
      </c>
      <c r="L592" s="13">
        <f t="shared" si="38"/>
        <v>-1407.3700000000099</v>
      </c>
      <c r="M592" s="12">
        <f t="shared" si="39"/>
        <v>-7.6200794510653994E-2</v>
      </c>
    </row>
    <row r="593" spans="1:13" x14ac:dyDescent="0.25">
      <c r="A593" s="17" t="str">
        <f>data!H988</f>
        <v>VINICOM</v>
      </c>
      <c r="B593" s="15" t="str">
        <f>data!A988</f>
        <v>059</v>
      </c>
      <c r="C593" s="1" t="str">
        <f>data!B988</f>
        <v>CH DU ROUET</v>
      </c>
      <c r="D593" s="1" t="str">
        <f>data!C988</f>
        <v>059027</v>
      </c>
      <c r="E593" s="1" t="str">
        <f>data!D593</f>
        <v>AC MARGAUX CH RAUZAN GASSIE</v>
      </c>
      <c r="F593" s="14">
        <f>SUMIFS(data!G:G,data!A:A,TABLEAU!B593,data!C:C,TABLEAU!D593,data!F:F,YEAR(Feuil1!$D$1))</f>
        <v>1166.0999999999999</v>
      </c>
      <c r="G593" s="9">
        <f>SUMIFS(data!G:G,data!A:A,TABLEAU!B593,data!C:C,TABLEAU!D593,data!F:F,YEAR(Feuil1!$D$2))</f>
        <v>845</v>
      </c>
      <c r="H593" s="9">
        <f t="shared" si="36"/>
        <v>321.09999999999991</v>
      </c>
      <c r="I593" s="12">
        <f t="shared" si="37"/>
        <v>0.37999999999999989</v>
      </c>
      <c r="J593" s="13">
        <f>SUMIFS(data!E:E,data!A:A,TABLEAU!B593,data!C:C,TABLEAU!D593,data!F:F,YEAR(Feuil1!$D$1))</f>
        <v>933.10000000000014</v>
      </c>
      <c r="K593" s="13">
        <f>SUMIFS(data!E:E,data!A:A,TABLEAU!B593,data!C:C,TABLEAU!D593,data!F:F,YEAR(Feuil1!$D$2))</f>
        <v>693.16000000000008</v>
      </c>
      <c r="L593" s="13">
        <f t="shared" si="38"/>
        <v>239.94000000000005</v>
      </c>
      <c r="M593" s="12">
        <f t="shared" si="39"/>
        <v>0.3461538461538462</v>
      </c>
    </row>
    <row r="594" spans="1:13" x14ac:dyDescent="0.25">
      <c r="A594" s="17" t="str">
        <f>data!H990</f>
        <v>VINICOM</v>
      </c>
      <c r="B594" s="15" t="str">
        <f>data!A990</f>
        <v>059</v>
      </c>
      <c r="C594" s="1" t="str">
        <f>data!B990</f>
        <v>CH DU ROUET</v>
      </c>
      <c r="D594" s="1" t="str">
        <f>data!C990</f>
        <v>059028</v>
      </c>
      <c r="E594" s="1" t="str">
        <f>data!D594</f>
        <v>AC AUXEY DURESSES ROUGE</v>
      </c>
      <c r="F594" s="14">
        <f>SUMIFS(data!G:G,data!A:A,TABLEAU!B594,data!C:C,TABLEAU!D594,data!F:F,YEAR(Feuil1!$D$1))</f>
        <v>15.5</v>
      </c>
      <c r="G594" s="9">
        <f>SUMIFS(data!G:G,data!A:A,TABLEAU!B594,data!C:C,TABLEAU!D594,data!F:F,YEAR(Feuil1!$D$2))</f>
        <v>0</v>
      </c>
      <c r="H594" s="9">
        <f t="shared" si="36"/>
        <v>15.5</v>
      </c>
      <c r="I594" s="12" t="str">
        <f t="shared" si="37"/>
        <v/>
      </c>
      <c r="J594" s="13">
        <f>SUMIFS(data!E:E,data!A:A,TABLEAU!B594,data!C:C,TABLEAU!D594,data!F:F,YEAR(Feuil1!$D$1))</f>
        <v>4</v>
      </c>
      <c r="K594" s="13">
        <f>SUMIFS(data!E:E,data!A:A,TABLEAU!B594,data!C:C,TABLEAU!D594,data!F:F,YEAR(Feuil1!$D$2))</f>
        <v>0</v>
      </c>
      <c r="L594" s="13">
        <f t="shared" si="38"/>
        <v>4</v>
      </c>
      <c r="M594" s="12" t="str">
        <f t="shared" si="39"/>
        <v/>
      </c>
    </row>
    <row r="595" spans="1:13" x14ac:dyDescent="0.25">
      <c r="A595" s="17" t="str">
        <f>data!H991</f>
        <v>VINICOM</v>
      </c>
      <c r="B595" s="15" t="str">
        <f>data!A991</f>
        <v>059</v>
      </c>
      <c r="C595" s="1" t="str">
        <f>data!B991</f>
        <v>CH DU ROUET</v>
      </c>
      <c r="D595" s="1" t="str">
        <f>data!C991</f>
        <v>059101</v>
      </c>
      <c r="E595" s="1" t="str">
        <f>data!D595</f>
        <v>AC AUXEY DURESSES ROUGE</v>
      </c>
      <c r="F595" s="14">
        <f>SUMIFS(data!G:G,data!A:A,TABLEAU!B595,data!C:C,TABLEAU!D595,data!F:F,YEAR(Feuil1!$D$1))</f>
        <v>669.6</v>
      </c>
      <c r="G595" s="9">
        <f>SUMIFS(data!G:G,data!A:A,TABLEAU!B595,data!C:C,TABLEAU!D595,data!F:F,YEAR(Feuil1!$D$2))</f>
        <v>540</v>
      </c>
      <c r="H595" s="9">
        <f t="shared" si="36"/>
        <v>129.60000000000002</v>
      </c>
      <c r="I595" s="12">
        <f t="shared" si="37"/>
        <v>0.24000000000000005</v>
      </c>
      <c r="J595" s="13">
        <f>SUMIFS(data!E:E,data!A:A,TABLEAU!B595,data!C:C,TABLEAU!D595,data!F:F,YEAR(Feuil1!$D$1))</f>
        <v>660</v>
      </c>
      <c r="K595" s="13">
        <f>SUMIFS(data!E:E,data!A:A,TABLEAU!B595,data!C:C,TABLEAU!D595,data!F:F,YEAR(Feuil1!$D$2))</f>
        <v>312</v>
      </c>
      <c r="L595" s="13">
        <f t="shared" si="38"/>
        <v>348</v>
      </c>
      <c r="M595" s="12">
        <f t="shared" si="39"/>
        <v>1.1153846153846154</v>
      </c>
    </row>
    <row r="596" spans="1:13" x14ac:dyDescent="0.25">
      <c r="A596" s="17" t="str">
        <f>data!H993</f>
        <v>VINICOM</v>
      </c>
      <c r="B596" s="15" t="str">
        <f>data!A993</f>
        <v>059</v>
      </c>
      <c r="C596" s="1" t="str">
        <f>data!B993</f>
        <v>CH DU ROUET</v>
      </c>
      <c r="D596" s="1" t="str">
        <f>data!C993</f>
        <v>059102</v>
      </c>
      <c r="E596" s="1" t="str">
        <f>data!D596</f>
        <v>AC HAUTES COTES DE BEAUNE</v>
      </c>
      <c r="F596" s="14">
        <f>SUMIFS(data!G:G,data!A:A,TABLEAU!B596,data!C:C,TABLEAU!D596,data!F:F,YEAR(Feuil1!$D$1))</f>
        <v>10.8</v>
      </c>
      <c r="G596" s="9">
        <f>SUMIFS(data!G:G,data!A:A,TABLEAU!B596,data!C:C,TABLEAU!D596,data!F:F,YEAR(Feuil1!$D$2))</f>
        <v>259.2</v>
      </c>
      <c r="H596" s="9">
        <f t="shared" si="36"/>
        <v>-248.39999999999998</v>
      </c>
      <c r="I596" s="12">
        <f t="shared" si="37"/>
        <v>-0.95833333333333326</v>
      </c>
      <c r="J596" s="13">
        <f>SUMIFS(data!E:E,data!A:A,TABLEAU!B596,data!C:C,TABLEAU!D596,data!F:F,YEAR(Feuil1!$D$1))</f>
        <v>6</v>
      </c>
      <c r="K596" s="13">
        <f>SUMIFS(data!E:E,data!A:A,TABLEAU!B596,data!C:C,TABLEAU!D596,data!F:F,YEAR(Feuil1!$D$2))</f>
        <v>156</v>
      </c>
      <c r="L596" s="13">
        <f t="shared" si="38"/>
        <v>-150</v>
      </c>
      <c r="M596" s="12">
        <f t="shared" si="39"/>
        <v>-0.96153846153846156</v>
      </c>
    </row>
    <row r="597" spans="1:13" x14ac:dyDescent="0.25">
      <c r="A597" s="17" t="str">
        <f>data!H995</f>
        <v>VINICOM</v>
      </c>
      <c r="B597" s="15" t="str">
        <f>data!A995</f>
        <v>059</v>
      </c>
      <c r="C597" s="1" t="str">
        <f>data!B995</f>
        <v>CH DU ROUET</v>
      </c>
      <c r="D597" s="1" t="str">
        <f>data!C995</f>
        <v>059103</v>
      </c>
      <c r="E597" s="1" t="str">
        <f>data!D597</f>
        <v>AC HAUTES COTES DE BEAUNE VIEILLES VIGNES</v>
      </c>
      <c r="F597" s="14">
        <f>SUMIFS(data!G:G,data!A:A,TABLEAU!B597,data!C:C,TABLEAU!D597,data!F:F,YEAR(Feuil1!$D$1))</f>
        <v>64.8</v>
      </c>
      <c r="G597" s="9">
        <f>SUMIFS(data!G:G,data!A:A,TABLEAU!B597,data!C:C,TABLEAU!D597,data!F:F,YEAR(Feuil1!$D$2))</f>
        <v>259.2</v>
      </c>
      <c r="H597" s="9">
        <f t="shared" si="36"/>
        <v>-194.39999999999998</v>
      </c>
      <c r="I597" s="12">
        <f t="shared" si="37"/>
        <v>-0.75</v>
      </c>
      <c r="J597" s="13">
        <f>SUMIFS(data!E:E,data!A:A,TABLEAU!B597,data!C:C,TABLEAU!D597,data!F:F,YEAR(Feuil1!$D$1))</f>
        <v>36</v>
      </c>
      <c r="K597" s="13">
        <f>SUMIFS(data!E:E,data!A:A,TABLEAU!B597,data!C:C,TABLEAU!D597,data!F:F,YEAR(Feuil1!$D$2))</f>
        <v>144</v>
      </c>
      <c r="L597" s="13">
        <f t="shared" si="38"/>
        <v>-108</v>
      </c>
      <c r="M597" s="12">
        <f t="shared" si="39"/>
        <v>-0.75</v>
      </c>
    </row>
    <row r="598" spans="1:13" x14ac:dyDescent="0.25">
      <c r="A598" s="17" t="str">
        <f>data!H997</f>
        <v>VINICOM</v>
      </c>
      <c r="B598" s="15" t="str">
        <f>data!A997</f>
        <v>059</v>
      </c>
      <c r="C598" s="1" t="str">
        <f>data!B997</f>
        <v>CH DU ROUET</v>
      </c>
      <c r="D598" s="1" t="str">
        <f>data!C997</f>
        <v>059104</v>
      </c>
      <c r="E598" s="1" t="str">
        <f>data!D598</f>
        <v>AC HAUTES COTES DE BEAUNE VIEILLES VIGNES</v>
      </c>
      <c r="F598" s="14">
        <f>SUMIFS(data!G:G,data!A:A,TABLEAU!B598,data!C:C,TABLEAU!D598,data!F:F,YEAR(Feuil1!$D$1))</f>
        <v>1087.8</v>
      </c>
      <c r="G598" s="9">
        <f>SUMIFS(data!G:G,data!A:A,TABLEAU!B598,data!C:C,TABLEAU!D598,data!F:F,YEAR(Feuil1!$D$2))</f>
        <v>1509.6</v>
      </c>
      <c r="H598" s="9">
        <f t="shared" si="36"/>
        <v>-421.79999999999995</v>
      </c>
      <c r="I598" s="12">
        <f t="shared" si="37"/>
        <v>-0.27941176470588236</v>
      </c>
      <c r="J598" s="13">
        <f>SUMIFS(data!E:E,data!A:A,TABLEAU!B598,data!C:C,TABLEAU!D598,data!F:F,YEAR(Feuil1!$D$1))</f>
        <v>294</v>
      </c>
      <c r="K598" s="13">
        <f>SUMIFS(data!E:E,data!A:A,TABLEAU!B598,data!C:C,TABLEAU!D598,data!F:F,YEAR(Feuil1!$D$2))</f>
        <v>420</v>
      </c>
      <c r="L598" s="13">
        <f t="shared" si="38"/>
        <v>-126</v>
      </c>
      <c r="M598" s="12">
        <f t="shared" si="39"/>
        <v>-0.3</v>
      </c>
    </row>
    <row r="599" spans="1:13" x14ac:dyDescent="0.25">
      <c r="A599" s="17" t="str">
        <f>data!H999</f>
        <v>VINICOM</v>
      </c>
      <c r="B599" s="15" t="str">
        <f>data!A999</f>
        <v>059</v>
      </c>
      <c r="C599" s="1" t="str">
        <f>data!B999</f>
        <v>CH DU ROUET</v>
      </c>
      <c r="D599" s="1" t="str">
        <f>data!C999</f>
        <v>CDV059005</v>
      </c>
      <c r="E599" s="1" t="str">
        <f>data!D599</f>
        <v>VOLNAY 1ER CRU "FREMIETS"</v>
      </c>
      <c r="F599" s="14">
        <f>SUMIFS(data!G:G,data!A:A,TABLEAU!B599,data!C:C,TABLEAU!D599,data!F:F,YEAR(Feuil1!$D$1))</f>
        <v>0</v>
      </c>
      <c r="G599" s="9">
        <f>SUMIFS(data!G:G,data!A:A,TABLEAU!B599,data!C:C,TABLEAU!D599,data!F:F,YEAR(Feuil1!$D$2))</f>
        <v>367.2</v>
      </c>
      <c r="H599" s="9">
        <f t="shared" si="36"/>
        <v>-367.2</v>
      </c>
      <c r="I599" s="12">
        <f t="shared" si="37"/>
        <v>-1</v>
      </c>
      <c r="J599" s="13">
        <f>SUMIFS(data!E:E,data!A:A,TABLEAU!B599,data!C:C,TABLEAU!D599,data!F:F,YEAR(Feuil1!$D$1))</f>
        <v>0</v>
      </c>
      <c r="K599" s="13">
        <f>SUMIFS(data!E:E,data!A:A,TABLEAU!B599,data!C:C,TABLEAU!D599,data!F:F,YEAR(Feuil1!$D$2))</f>
        <v>108</v>
      </c>
      <c r="L599" s="13">
        <f t="shared" si="38"/>
        <v>-108</v>
      </c>
      <c r="M599" s="12">
        <f t="shared" si="39"/>
        <v>-1</v>
      </c>
    </row>
    <row r="600" spans="1:13" x14ac:dyDescent="0.25">
      <c r="A600" s="17" t="str">
        <f>data!H1000</f>
        <v>VINICOM</v>
      </c>
      <c r="B600" s="15" t="str">
        <f>data!A1000</f>
        <v>059</v>
      </c>
      <c r="C600" s="1" t="str">
        <f>data!B1000</f>
        <v>CH DU ROUET</v>
      </c>
      <c r="D600" s="1" t="str">
        <f>data!C1000</f>
        <v>CDV059012</v>
      </c>
      <c r="E600" s="1" t="str">
        <f>data!D600</f>
        <v>AOP¨BEAUNE 1ER CRU LES BOUCHEROTTES</v>
      </c>
      <c r="F600" s="14">
        <f>SUMIFS(data!G:G,data!A:A,TABLEAU!B600,data!C:C,TABLEAU!D600,data!F:F,YEAR(Feuil1!$D$1))</f>
        <v>0</v>
      </c>
      <c r="G600" s="9">
        <f>SUMIFS(data!G:G,data!A:A,TABLEAU!B600,data!C:C,TABLEAU!D600,data!F:F,YEAR(Feuil1!$D$2))</f>
        <v>0</v>
      </c>
      <c r="H600" s="9">
        <f t="shared" si="36"/>
        <v>0</v>
      </c>
      <c r="I600" s="12" t="str">
        <f t="shared" si="37"/>
        <v/>
      </c>
      <c r="J600" s="13">
        <f>SUMIFS(data!E:E,data!A:A,TABLEAU!B600,data!C:C,TABLEAU!D600,data!F:F,YEAR(Feuil1!$D$1))</f>
        <v>60</v>
      </c>
      <c r="K600" s="13">
        <f>SUMIFS(data!E:E,data!A:A,TABLEAU!B600,data!C:C,TABLEAU!D600,data!F:F,YEAR(Feuil1!$D$2))</f>
        <v>0</v>
      </c>
      <c r="L600" s="13">
        <f t="shared" si="38"/>
        <v>60</v>
      </c>
      <c r="M600" s="12" t="str">
        <f t="shared" si="39"/>
        <v/>
      </c>
    </row>
    <row r="601" spans="1:13" x14ac:dyDescent="0.25">
      <c r="A601" s="17" t="str">
        <f>data!H1001</f>
        <v>VINICOM</v>
      </c>
      <c r="B601" s="15" t="str">
        <f>data!A1001</f>
        <v>059</v>
      </c>
      <c r="C601" s="1" t="str">
        <f>data!B1001</f>
        <v>CH DU ROUET</v>
      </c>
      <c r="D601" s="1" t="str">
        <f>data!C1001</f>
        <v>CDV059024</v>
      </c>
      <c r="E601" s="1" t="str">
        <f>data!D601</f>
        <v>AOP¨BEAUNE 1ER CRU LES BOUCHEROTTES</v>
      </c>
      <c r="F601" s="14">
        <f>SUMIFS(data!G:G,data!A:A,TABLEAU!B601,data!C:C,TABLEAU!D601,data!F:F,YEAR(Feuil1!$D$1))</f>
        <v>0</v>
      </c>
      <c r="G601" s="9">
        <f>SUMIFS(data!G:G,data!A:A,TABLEAU!B601,data!C:C,TABLEAU!D601,data!F:F,YEAR(Feuil1!$D$2))</f>
        <v>0</v>
      </c>
      <c r="H601" s="9">
        <f t="shared" si="36"/>
        <v>0</v>
      </c>
      <c r="I601" s="12" t="str">
        <f t="shared" si="37"/>
        <v/>
      </c>
      <c r="J601" s="13">
        <f>SUMIFS(data!E:E,data!A:A,TABLEAU!B601,data!C:C,TABLEAU!D601,data!F:F,YEAR(Feuil1!$D$1))</f>
        <v>0</v>
      </c>
      <c r="K601" s="13">
        <f>SUMIFS(data!E:E,data!A:A,TABLEAU!B601,data!C:C,TABLEAU!D601,data!F:F,YEAR(Feuil1!$D$2))</f>
        <v>12</v>
      </c>
      <c r="L601" s="13">
        <f t="shared" si="38"/>
        <v>-12</v>
      </c>
      <c r="M601" s="12">
        <f t="shared" si="39"/>
        <v>-1</v>
      </c>
    </row>
    <row r="602" spans="1:13" x14ac:dyDescent="0.25">
      <c r="A602" s="17" t="str">
        <f>data!H1002</f>
        <v>VINICOM</v>
      </c>
      <c r="B602" s="15" t="str">
        <f>data!A1002</f>
        <v>059</v>
      </c>
      <c r="C602" s="1" t="str">
        <f>data!B1002</f>
        <v>CH DU ROUET</v>
      </c>
      <c r="D602" s="1" t="str">
        <f>data!C1002</f>
        <v>CDV059025</v>
      </c>
      <c r="E602" s="1" t="str">
        <f>data!D602</f>
        <v>AOP HAUTES COTES DE BEAUNE DME FRANCOIS CHARLES</v>
      </c>
      <c r="F602" s="14">
        <f>SUMIFS(data!G:G,data!A:A,TABLEAU!B602,data!C:C,TABLEAU!D602,data!F:F,YEAR(Feuil1!$D$1))</f>
        <v>0</v>
      </c>
      <c r="G602" s="9">
        <f>SUMIFS(data!G:G,data!A:A,TABLEAU!B602,data!C:C,TABLEAU!D602,data!F:F,YEAR(Feuil1!$D$2))</f>
        <v>121.5</v>
      </c>
      <c r="H602" s="9">
        <f t="shared" si="36"/>
        <v>-121.5</v>
      </c>
      <c r="I602" s="12">
        <f t="shared" si="37"/>
        <v>-1</v>
      </c>
      <c r="J602" s="13">
        <f>SUMIFS(data!E:E,data!A:A,TABLEAU!B602,data!C:C,TABLEAU!D602,data!F:F,YEAR(Feuil1!$D$1))</f>
        <v>0</v>
      </c>
      <c r="K602" s="13">
        <f>SUMIFS(data!E:E,data!A:A,TABLEAU!B602,data!C:C,TABLEAU!D602,data!F:F,YEAR(Feuil1!$D$2))</f>
        <v>54</v>
      </c>
      <c r="L602" s="13">
        <f t="shared" si="38"/>
        <v>-54</v>
      </c>
      <c r="M602" s="12">
        <f t="shared" si="39"/>
        <v>-1</v>
      </c>
    </row>
    <row r="603" spans="1:13" x14ac:dyDescent="0.25">
      <c r="A603" s="17" t="str">
        <f>data!H1003</f>
        <v>VINICOM</v>
      </c>
      <c r="B603" s="15" t="str">
        <f>data!A1003</f>
        <v>060</v>
      </c>
      <c r="C603" s="1" t="str">
        <f>data!B1003</f>
        <v>GIRARD JM ET NOEL</v>
      </c>
      <c r="D603" s="1" t="str">
        <f>data!C1003</f>
        <v>060015</v>
      </c>
      <c r="E603" s="1" t="str">
        <f>data!D603</f>
        <v>AOP HAUTES COTES DE BEAUNE DME FRANCOIS CHARLES</v>
      </c>
      <c r="F603" s="14">
        <f>SUMIFS(data!G:G,data!A:A,TABLEAU!B603,data!C:C,TABLEAU!D603,data!F:F,YEAR(Feuil1!$D$1))</f>
        <v>10913.52</v>
      </c>
      <c r="G603" s="9">
        <f>SUMIFS(data!G:G,data!A:A,TABLEAU!B603,data!C:C,TABLEAU!D603,data!F:F,YEAR(Feuil1!$D$2))</f>
        <v>12056.4</v>
      </c>
      <c r="H603" s="9">
        <f t="shared" si="36"/>
        <v>-1142.8799999999992</v>
      </c>
      <c r="I603" s="12">
        <f t="shared" si="37"/>
        <v>-9.4794466009754094E-2</v>
      </c>
      <c r="J603" s="13">
        <f>SUMIFS(data!E:E,data!A:A,TABLEAU!B603,data!C:C,TABLEAU!D603,data!F:F,YEAR(Feuil1!$D$1))</f>
        <v>2952</v>
      </c>
      <c r="K603" s="13">
        <f>SUMIFS(data!E:E,data!A:A,TABLEAU!B603,data!C:C,TABLEAU!D603,data!F:F,YEAR(Feuil1!$D$2))</f>
        <v>3372</v>
      </c>
      <c r="L603" s="13">
        <f t="shared" si="38"/>
        <v>-420</v>
      </c>
      <c r="M603" s="12">
        <f t="shared" si="39"/>
        <v>-0.12455516014234876</v>
      </c>
    </row>
    <row r="604" spans="1:13" x14ac:dyDescent="0.25">
      <c r="A604" s="17" t="str">
        <f>data!H1005</f>
        <v>VINICOM</v>
      </c>
      <c r="B604" s="15" t="str">
        <f>data!A1005</f>
        <v>060</v>
      </c>
      <c r="C604" s="1" t="str">
        <f>data!B1005</f>
        <v>GIRARD JM ET NOEL</v>
      </c>
      <c r="D604" s="1" t="str">
        <f>data!C1005</f>
        <v>060016</v>
      </c>
      <c r="E604" s="1" t="str">
        <f>data!D604</f>
        <v>AOP MEURSAULT DME FRANCOIS CHARLES</v>
      </c>
      <c r="F604" s="14">
        <f>SUMIFS(data!G:G,data!A:A,TABLEAU!B604,data!C:C,TABLEAU!D604,data!F:F,YEAR(Feuil1!$D$1))</f>
        <v>876.24</v>
      </c>
      <c r="G604" s="9">
        <f>SUMIFS(data!G:G,data!A:A,TABLEAU!B604,data!C:C,TABLEAU!D604,data!F:F,YEAR(Feuil1!$D$2))</f>
        <v>905.76</v>
      </c>
      <c r="H604" s="9">
        <f t="shared" si="36"/>
        <v>-29.519999999999982</v>
      </c>
      <c r="I604" s="12">
        <f t="shared" si="37"/>
        <v>-3.2591414944356099E-2</v>
      </c>
      <c r="J604" s="13">
        <f>SUMIFS(data!E:E,data!A:A,TABLEAU!B604,data!C:C,TABLEAU!D604,data!F:F,YEAR(Feuil1!$D$1))</f>
        <v>186</v>
      </c>
      <c r="K604" s="13">
        <f>SUMIFS(data!E:E,data!A:A,TABLEAU!B604,data!C:C,TABLEAU!D604,data!F:F,YEAR(Feuil1!$D$2))</f>
        <v>204</v>
      </c>
      <c r="L604" s="13">
        <f t="shared" si="38"/>
        <v>-18</v>
      </c>
      <c r="M604" s="12">
        <f t="shared" si="39"/>
        <v>-8.8235294117647065E-2</v>
      </c>
    </row>
    <row r="605" spans="1:13" x14ac:dyDescent="0.25">
      <c r="A605" s="17" t="str">
        <f>data!H1007</f>
        <v>VINICOM</v>
      </c>
      <c r="B605" s="15" t="str">
        <f>data!A1007</f>
        <v>062</v>
      </c>
      <c r="C605" s="1" t="str">
        <f>data!B1007</f>
        <v>CHATEAU CARBON D'ARTIGUES</v>
      </c>
      <c r="D605" s="1" t="str">
        <f>data!C1007</f>
        <v>062000</v>
      </c>
      <c r="E605" s="1" t="str">
        <f>data!D605</f>
        <v>AOP MEURSAULT DME FRANCOIS CHARLES</v>
      </c>
      <c r="F605" s="14">
        <f>SUMIFS(data!G:G,data!A:A,TABLEAU!B605,data!C:C,TABLEAU!D605,data!F:F,YEAR(Feuil1!$D$1))</f>
        <v>0</v>
      </c>
      <c r="G605" s="9">
        <f>SUMIFS(data!G:G,data!A:A,TABLEAU!B605,data!C:C,TABLEAU!D605,data!F:F,YEAR(Feuil1!$D$2))</f>
        <v>94.8</v>
      </c>
      <c r="H605" s="9">
        <f t="shared" si="36"/>
        <v>-94.8</v>
      </c>
      <c r="I605" s="12">
        <f t="shared" si="37"/>
        <v>-1</v>
      </c>
      <c r="J605" s="13">
        <f>SUMIFS(data!E:E,data!A:A,TABLEAU!B605,data!C:C,TABLEAU!D605,data!F:F,YEAR(Feuil1!$D$1))</f>
        <v>0</v>
      </c>
      <c r="K605" s="13">
        <f>SUMIFS(data!E:E,data!A:A,TABLEAU!B605,data!C:C,TABLEAU!D605,data!F:F,YEAR(Feuil1!$D$2))</f>
        <v>24</v>
      </c>
      <c r="L605" s="13">
        <f t="shared" si="38"/>
        <v>-24</v>
      </c>
      <c r="M605" s="12">
        <f t="shared" si="39"/>
        <v>-1</v>
      </c>
    </row>
    <row r="606" spans="1:13" x14ac:dyDescent="0.25">
      <c r="A606" s="17" t="str">
        <f>data!H1008</f>
        <v>VINICOM</v>
      </c>
      <c r="B606" s="15" t="str">
        <f>data!A1008</f>
        <v>062</v>
      </c>
      <c r="C606" s="1" t="str">
        <f>data!B1008</f>
        <v>CHATEAU CARBON D'ARTIGUES</v>
      </c>
      <c r="D606" s="1" t="str">
        <f>data!C1008</f>
        <v>062001</v>
      </c>
      <c r="E606" s="1" t="str">
        <f>data!D606</f>
        <v>AC FIXIN DOMAINE HUGUENOT</v>
      </c>
      <c r="F606" s="14">
        <f>SUMIFS(data!G:G,data!A:A,TABLEAU!B606,data!C:C,TABLEAU!D606,data!F:F,YEAR(Feuil1!$D$1))</f>
        <v>840</v>
      </c>
      <c r="G606" s="9">
        <f>SUMIFS(data!G:G,data!A:A,TABLEAU!B606,data!C:C,TABLEAU!D606,data!F:F,YEAR(Feuil1!$D$2))</f>
        <v>2203.1999999999998</v>
      </c>
      <c r="H606" s="9">
        <f t="shared" si="36"/>
        <v>-1363.1999999999998</v>
      </c>
      <c r="I606" s="12">
        <f t="shared" si="37"/>
        <v>-0.61873638344226578</v>
      </c>
      <c r="J606" s="13">
        <f>SUMIFS(data!E:E,data!A:A,TABLEAU!B606,data!C:C,TABLEAU!D606,data!F:F,YEAR(Feuil1!$D$1))</f>
        <v>168</v>
      </c>
      <c r="K606" s="13">
        <f>SUMIFS(data!E:E,data!A:A,TABLEAU!B606,data!C:C,TABLEAU!D606,data!F:F,YEAR(Feuil1!$D$2))</f>
        <v>432</v>
      </c>
      <c r="L606" s="13">
        <f t="shared" si="38"/>
        <v>-264</v>
      </c>
      <c r="M606" s="12">
        <f t="shared" si="39"/>
        <v>-0.61111111111111116</v>
      </c>
    </row>
    <row r="607" spans="1:13" x14ac:dyDescent="0.25">
      <c r="A607" s="17" t="str">
        <f>data!H1010</f>
        <v>VINICOM</v>
      </c>
      <c r="B607" s="15" t="str">
        <f>data!A1010</f>
        <v>062</v>
      </c>
      <c r="C607" s="1" t="str">
        <f>data!B1010</f>
        <v>CHATEAU CARBON D'ARTIGUES</v>
      </c>
      <c r="D607" s="1" t="str">
        <f>data!C1010</f>
        <v>062002</v>
      </c>
      <c r="E607" s="1" t="str">
        <f>data!D607</f>
        <v>AC FIXIN DOMAINE HUGUENOT</v>
      </c>
      <c r="F607" s="14">
        <f>SUMIFS(data!G:G,data!A:A,TABLEAU!B607,data!C:C,TABLEAU!D607,data!F:F,YEAR(Feuil1!$D$1))</f>
        <v>1046.4000000000001</v>
      </c>
      <c r="G607" s="9">
        <f>SUMIFS(data!G:G,data!A:A,TABLEAU!B607,data!C:C,TABLEAU!D607,data!F:F,YEAR(Feuil1!$D$2))</f>
        <v>1944</v>
      </c>
      <c r="H607" s="9">
        <f t="shared" si="36"/>
        <v>-897.59999999999991</v>
      </c>
      <c r="I607" s="12">
        <f t="shared" si="37"/>
        <v>-0.46172839506172836</v>
      </c>
      <c r="J607" s="13">
        <f>SUMIFS(data!E:E,data!A:A,TABLEAU!B607,data!C:C,TABLEAU!D607,data!F:F,YEAR(Feuil1!$D$1))</f>
        <v>228</v>
      </c>
      <c r="K607" s="13">
        <f>SUMIFS(data!E:E,data!A:A,TABLEAU!B607,data!C:C,TABLEAU!D607,data!F:F,YEAR(Feuil1!$D$2))</f>
        <v>432</v>
      </c>
      <c r="L607" s="13">
        <f t="shared" si="38"/>
        <v>-204</v>
      </c>
      <c r="M607" s="12">
        <f t="shared" si="39"/>
        <v>-0.47222222222222221</v>
      </c>
    </row>
    <row r="608" spans="1:13" x14ac:dyDescent="0.25">
      <c r="A608" s="17" t="str">
        <f>data!H1012</f>
        <v>VINICOM</v>
      </c>
      <c r="B608" s="15" t="str">
        <f>data!A1012</f>
        <v>062</v>
      </c>
      <c r="C608" s="1" t="str">
        <f>data!B1012</f>
        <v>CHATEAU CARBON D'ARTIGUES</v>
      </c>
      <c r="D608" s="1" t="str">
        <f>data!C1012</f>
        <v>062003</v>
      </c>
      <c r="E608" s="1" t="str">
        <f>data!D608</f>
        <v>AC GEVREY CHAMBERTIN LES CRAIS</v>
      </c>
      <c r="F608" s="14">
        <f>SUMIFS(data!G:G,data!A:A,TABLEAU!B608,data!C:C,TABLEAU!D608,data!F:F,YEAR(Feuil1!$D$1))</f>
        <v>15580.8</v>
      </c>
      <c r="G608" s="9">
        <f>SUMIFS(data!G:G,data!A:A,TABLEAU!B608,data!C:C,TABLEAU!D608,data!F:F,YEAR(Feuil1!$D$2))</f>
        <v>25432.2</v>
      </c>
      <c r="H608" s="9">
        <f t="shared" si="36"/>
        <v>-9851.4000000000015</v>
      </c>
      <c r="I608" s="12">
        <f t="shared" si="37"/>
        <v>-0.38735933187062077</v>
      </c>
      <c r="J608" s="13">
        <f>SUMIFS(data!E:E,data!A:A,TABLEAU!B608,data!C:C,TABLEAU!D608,data!F:F,YEAR(Feuil1!$D$1))</f>
        <v>3582</v>
      </c>
      <c r="K608" s="13">
        <f>SUMIFS(data!E:E,data!A:A,TABLEAU!B608,data!C:C,TABLEAU!D608,data!F:F,YEAR(Feuil1!$D$2))</f>
        <v>6006</v>
      </c>
      <c r="L608" s="13">
        <f t="shared" si="38"/>
        <v>-2424</v>
      </c>
      <c r="M608" s="12">
        <f t="shared" si="39"/>
        <v>-0.40359640359640359</v>
      </c>
    </row>
    <row r="609" spans="1:13" x14ac:dyDescent="0.25">
      <c r="A609" s="17" t="str">
        <f>data!H1014</f>
        <v>VINICOM</v>
      </c>
      <c r="B609" s="15" t="str">
        <f>data!A1014</f>
        <v>062</v>
      </c>
      <c r="C609" s="1" t="str">
        <f>data!B1014</f>
        <v>CHATEAU CARBON D'ARTIGUES</v>
      </c>
      <c r="D609" s="1" t="str">
        <f>data!C1014</f>
        <v>062021</v>
      </c>
      <c r="E609" s="1" t="str">
        <f>data!D609</f>
        <v>AC GEVREY CHAMBERTIN LES CRAIS</v>
      </c>
      <c r="F609" s="14">
        <f>SUMIFS(data!G:G,data!A:A,TABLEAU!B609,data!C:C,TABLEAU!D609,data!F:F,YEAR(Feuil1!$D$1))</f>
        <v>5026.5</v>
      </c>
      <c r="G609" s="9">
        <f>SUMIFS(data!G:G,data!A:A,TABLEAU!B609,data!C:C,TABLEAU!D609,data!F:F,YEAR(Feuil1!$D$2))</f>
        <v>5727.9</v>
      </c>
      <c r="H609" s="9">
        <f t="shared" si="36"/>
        <v>-701.39999999999964</v>
      </c>
      <c r="I609" s="12">
        <f t="shared" si="37"/>
        <v>-0.12245325511967731</v>
      </c>
      <c r="J609" s="13">
        <f>SUMIFS(data!E:E,data!A:A,TABLEAU!B609,data!C:C,TABLEAU!D609,data!F:F,YEAR(Feuil1!$D$1))</f>
        <v>1596</v>
      </c>
      <c r="K609" s="13">
        <f>SUMIFS(data!E:E,data!A:A,TABLEAU!B609,data!C:C,TABLEAU!D609,data!F:F,YEAR(Feuil1!$D$2))</f>
        <v>1896</v>
      </c>
      <c r="L609" s="13">
        <f t="shared" si="38"/>
        <v>-300</v>
      </c>
      <c r="M609" s="12">
        <f t="shared" si="39"/>
        <v>-0.15822784810126583</v>
      </c>
    </row>
    <row r="610" spans="1:13" x14ac:dyDescent="0.25">
      <c r="A610" s="17" t="str">
        <f>data!H1016</f>
        <v>VINICOM</v>
      </c>
      <c r="B610" s="15" t="str">
        <f>data!A1016</f>
        <v>062</v>
      </c>
      <c r="C610" s="1" t="str">
        <f>data!B1016</f>
        <v>CHATEAU CARBON D'ARTIGUES</v>
      </c>
      <c r="D610" s="1" t="str">
        <f>data!C1016</f>
        <v>062022</v>
      </c>
      <c r="E610" s="1" t="str">
        <f>data!D610</f>
        <v>GEVREY CHAMBERTIN 1ER CRU LES FONTENYS</v>
      </c>
      <c r="F610" s="14">
        <f>SUMIFS(data!G:G,data!A:A,TABLEAU!B610,data!C:C,TABLEAU!D610,data!F:F,YEAR(Feuil1!$D$1))</f>
        <v>159.6</v>
      </c>
      <c r="G610" s="9">
        <f>SUMIFS(data!G:G,data!A:A,TABLEAU!B610,data!C:C,TABLEAU!D610,data!F:F,YEAR(Feuil1!$D$2))</f>
        <v>544.79999999999995</v>
      </c>
      <c r="H610" s="9">
        <f t="shared" si="36"/>
        <v>-385.19999999999993</v>
      </c>
      <c r="I610" s="12">
        <f t="shared" si="37"/>
        <v>-0.70704845814977968</v>
      </c>
      <c r="J610" s="13">
        <f>SUMIFS(data!E:E,data!A:A,TABLEAU!B610,data!C:C,TABLEAU!D610,data!F:F,YEAR(Feuil1!$D$1))</f>
        <v>42</v>
      </c>
      <c r="K610" s="13">
        <f>SUMIFS(data!E:E,data!A:A,TABLEAU!B610,data!C:C,TABLEAU!D610,data!F:F,YEAR(Feuil1!$D$2))</f>
        <v>144</v>
      </c>
      <c r="L610" s="13">
        <f t="shared" si="38"/>
        <v>-102</v>
      </c>
      <c r="M610" s="12">
        <f t="shared" si="39"/>
        <v>-0.70833333333333337</v>
      </c>
    </row>
    <row r="611" spans="1:13" x14ac:dyDescent="0.25">
      <c r="A611" s="17" t="str">
        <f>data!H1018</f>
        <v>VINICOM</v>
      </c>
      <c r="B611" s="15" t="str">
        <f>data!A1018</f>
        <v>062</v>
      </c>
      <c r="C611" s="1" t="str">
        <f>data!B1018</f>
        <v>CHATEAU CARBON D'ARTIGUES</v>
      </c>
      <c r="D611" s="1" t="str">
        <f>data!C1018</f>
        <v>062030</v>
      </c>
      <c r="E611" s="1" t="str">
        <f>data!D611</f>
        <v>GEVREY CHAMBERTIN 1ER CRU LES FONTENYS</v>
      </c>
      <c r="F611" s="14">
        <f>SUMIFS(data!G:G,data!A:A,TABLEAU!B611,data!C:C,TABLEAU!D611,data!F:F,YEAR(Feuil1!$D$1))</f>
        <v>432</v>
      </c>
      <c r="G611" s="9">
        <f>SUMIFS(data!G:G,data!A:A,TABLEAU!B611,data!C:C,TABLEAU!D611,data!F:F,YEAR(Feuil1!$D$2))</f>
        <v>1147.2</v>
      </c>
      <c r="H611" s="9">
        <f t="shared" si="36"/>
        <v>-715.2</v>
      </c>
      <c r="I611" s="12">
        <f t="shared" si="37"/>
        <v>-0.62343096234309625</v>
      </c>
      <c r="J611" s="13">
        <f>SUMIFS(data!E:E,data!A:A,TABLEAU!B611,data!C:C,TABLEAU!D611,data!F:F,YEAR(Feuil1!$D$1))</f>
        <v>264</v>
      </c>
      <c r="K611" s="13">
        <f>SUMIFS(data!E:E,data!A:A,TABLEAU!B611,data!C:C,TABLEAU!D611,data!F:F,YEAR(Feuil1!$D$2))</f>
        <v>252</v>
      </c>
      <c r="L611" s="13">
        <f t="shared" si="38"/>
        <v>12</v>
      </c>
      <c r="M611" s="12">
        <f t="shared" si="39"/>
        <v>4.7619047619047616E-2</v>
      </c>
    </row>
    <row r="612" spans="1:13" x14ac:dyDescent="0.25">
      <c r="A612" s="17" t="str">
        <f>data!H1020</f>
        <v>VINICOM</v>
      </c>
      <c r="B612" s="15" t="str">
        <f>data!A1020</f>
        <v>062</v>
      </c>
      <c r="C612" s="1" t="str">
        <f>data!B1020</f>
        <v>CHATEAU CARBON D'ARTIGUES</v>
      </c>
      <c r="D612" s="1" t="str">
        <f>data!C1020</f>
        <v>062031</v>
      </c>
      <c r="E612" s="1" t="str">
        <f>data!D612</f>
        <v>AC MARSANNAY DME HUGUENOT</v>
      </c>
      <c r="F612" s="14">
        <f>SUMIFS(data!G:G,data!A:A,TABLEAU!B612,data!C:C,TABLEAU!D612,data!F:F,YEAR(Feuil1!$D$1))</f>
        <v>414</v>
      </c>
      <c r="G612" s="9">
        <f>SUMIFS(data!G:G,data!A:A,TABLEAU!B612,data!C:C,TABLEAU!D612,data!F:F,YEAR(Feuil1!$D$2))</f>
        <v>455.4</v>
      </c>
      <c r="H612" s="9">
        <f t="shared" si="36"/>
        <v>-41.399999999999977</v>
      </c>
      <c r="I612" s="12">
        <f t="shared" si="37"/>
        <v>-9.090909090909087E-2</v>
      </c>
      <c r="J612" s="13">
        <f>SUMIFS(data!E:E,data!A:A,TABLEAU!B612,data!C:C,TABLEAU!D612,data!F:F,YEAR(Feuil1!$D$1))</f>
        <v>54</v>
      </c>
      <c r="K612" s="13">
        <f>SUMIFS(data!E:E,data!A:A,TABLEAU!B612,data!C:C,TABLEAU!D612,data!F:F,YEAR(Feuil1!$D$2))</f>
        <v>72</v>
      </c>
      <c r="L612" s="13">
        <f t="shared" si="38"/>
        <v>-18</v>
      </c>
      <c r="M612" s="12">
        <f t="shared" si="39"/>
        <v>-0.25</v>
      </c>
    </row>
    <row r="613" spans="1:13" x14ac:dyDescent="0.25">
      <c r="A613" s="17" t="str">
        <f>data!H1022</f>
        <v>VINICOM</v>
      </c>
      <c r="B613" s="15" t="str">
        <f>data!A1022</f>
        <v>062</v>
      </c>
      <c r="C613" s="1" t="str">
        <f>data!B1022</f>
        <v>CHATEAU CARBON D'ARTIGUES</v>
      </c>
      <c r="D613" s="1" t="str">
        <f>data!C1022</f>
        <v>062032</v>
      </c>
      <c r="E613" s="1" t="str">
        <f>data!D613</f>
        <v>AC MARSANNAY DME HUGUENOT</v>
      </c>
      <c r="F613" s="14">
        <f>SUMIFS(data!G:G,data!A:A,TABLEAU!B613,data!C:C,TABLEAU!D613,data!F:F,YEAR(Feuil1!$D$1))</f>
        <v>10949.5</v>
      </c>
      <c r="G613" s="9">
        <f>SUMIFS(data!G:G,data!A:A,TABLEAU!B613,data!C:C,TABLEAU!D613,data!F:F,YEAR(Feuil1!$D$2))</f>
        <v>13557.5</v>
      </c>
      <c r="H613" s="9">
        <f t="shared" si="36"/>
        <v>-2608</v>
      </c>
      <c r="I613" s="12">
        <f t="shared" si="37"/>
        <v>-0.19236584916098101</v>
      </c>
      <c r="J613" s="13">
        <f>SUMIFS(data!E:E,data!A:A,TABLEAU!B613,data!C:C,TABLEAU!D613,data!F:F,YEAR(Feuil1!$D$1))</f>
        <v>4929.1300000000019</v>
      </c>
      <c r="K613" s="13">
        <f>SUMIFS(data!E:E,data!A:A,TABLEAU!B613,data!C:C,TABLEAU!D613,data!F:F,YEAR(Feuil1!$D$2))</f>
        <v>6349.8400000000056</v>
      </c>
      <c r="L613" s="13">
        <f t="shared" si="38"/>
        <v>-1420.7100000000037</v>
      </c>
      <c r="M613" s="12">
        <f t="shared" si="39"/>
        <v>-0.2237394957983197</v>
      </c>
    </row>
    <row r="614" spans="1:13" x14ac:dyDescent="0.25">
      <c r="A614" s="17" t="str">
        <f>data!H1024</f>
        <v>VINICOM</v>
      </c>
      <c r="B614" s="15" t="str">
        <f>data!A1024</f>
        <v>062</v>
      </c>
      <c r="C614" s="1" t="str">
        <f>data!B1024</f>
        <v>CHATEAU CARBON D'ARTIGUES</v>
      </c>
      <c r="D614" s="1" t="str">
        <f>data!C1024</f>
        <v>CDV062030</v>
      </c>
      <c r="E614" s="1" t="str">
        <f>data!D614</f>
        <v>ETUI 1 MAGNUM KRAFT NATUREL</v>
      </c>
      <c r="F614" s="14">
        <f>SUMIFS(data!G:G,data!A:A,TABLEAU!B614,data!C:C,TABLEAU!D614,data!F:F,YEAR(Feuil1!$D$1))</f>
        <v>0</v>
      </c>
      <c r="G614" s="9">
        <f>SUMIFS(data!G:G,data!A:A,TABLEAU!B614,data!C:C,TABLEAU!D614,data!F:F,YEAR(Feuil1!$D$2))</f>
        <v>0</v>
      </c>
      <c r="H614" s="9">
        <f t="shared" si="36"/>
        <v>0</v>
      </c>
      <c r="I614" s="12" t="str">
        <f t="shared" si="37"/>
        <v/>
      </c>
      <c r="J614" s="13">
        <f>SUMIFS(data!E:E,data!A:A,TABLEAU!B614,data!C:C,TABLEAU!D614,data!F:F,YEAR(Feuil1!$D$1))</f>
        <v>72</v>
      </c>
      <c r="K614" s="13">
        <f>SUMIFS(data!E:E,data!A:A,TABLEAU!B614,data!C:C,TABLEAU!D614,data!F:F,YEAR(Feuil1!$D$2))</f>
        <v>0</v>
      </c>
      <c r="L614" s="13">
        <f t="shared" si="38"/>
        <v>72</v>
      </c>
      <c r="M614" s="12" t="str">
        <f t="shared" si="39"/>
        <v/>
      </c>
    </row>
    <row r="615" spans="1:13" x14ac:dyDescent="0.25">
      <c r="A615" s="17" t="str">
        <f>data!H1025</f>
        <v>VINICOM</v>
      </c>
      <c r="B615" s="15" t="str">
        <f>data!A1025</f>
        <v>062</v>
      </c>
      <c r="C615" s="1" t="str">
        <f>data!B1025</f>
        <v>CHATEAU CARBON D'ARTIGUES</v>
      </c>
      <c r="D615" s="1" t="str">
        <f>data!C1025</f>
        <v>CDV062032</v>
      </c>
      <c r="E615" s="1" t="str">
        <f>data!D615</f>
        <v>FUT BOIS</v>
      </c>
      <c r="F615" s="14">
        <f>SUMIFS(data!G:G,data!A:A,TABLEAU!B615,data!C:C,TABLEAU!D615,data!F:F,YEAR(Feuil1!$D$1))</f>
        <v>0</v>
      </c>
      <c r="G615" s="9">
        <f>SUMIFS(data!G:G,data!A:A,TABLEAU!B615,data!C:C,TABLEAU!D615,data!F:F,YEAR(Feuil1!$D$2))</f>
        <v>174</v>
      </c>
      <c r="H615" s="9">
        <f t="shared" si="36"/>
        <v>-174</v>
      </c>
      <c r="I615" s="12">
        <f t="shared" si="37"/>
        <v>-1</v>
      </c>
      <c r="J615" s="13">
        <f>SUMIFS(data!E:E,data!A:A,TABLEAU!B615,data!C:C,TABLEAU!D615,data!F:F,YEAR(Feuil1!$D$1))</f>
        <v>0</v>
      </c>
      <c r="K615" s="13">
        <f>SUMIFS(data!E:E,data!A:A,TABLEAU!B615,data!C:C,TABLEAU!D615,data!F:F,YEAR(Feuil1!$D$2))</f>
        <v>80.040000000000006</v>
      </c>
      <c r="L615" s="13">
        <f t="shared" si="38"/>
        <v>-80.040000000000006</v>
      </c>
      <c r="M615" s="12">
        <f t="shared" si="39"/>
        <v>-1</v>
      </c>
    </row>
    <row r="616" spans="1:13" x14ac:dyDescent="0.25">
      <c r="A616" s="17" t="str">
        <f>data!H1026</f>
        <v>VINICOM</v>
      </c>
      <c r="B616" s="15" t="str">
        <f>data!A1026</f>
        <v>067</v>
      </c>
      <c r="C616" s="1" t="str">
        <f>data!B1026</f>
        <v>DOMAINE DE LA CAMARETTE</v>
      </c>
      <c r="D616" s="1" t="str">
        <f>data!C1026</f>
        <v>067015</v>
      </c>
      <c r="E616" s="1" t="str">
        <f>data!D616</f>
        <v>FUT BOIS</v>
      </c>
      <c r="F616" s="14">
        <f>SUMIFS(data!G:G,data!A:A,TABLEAU!B616,data!C:C,TABLEAU!D616,data!F:F,YEAR(Feuil1!$D$1))</f>
        <v>0</v>
      </c>
      <c r="G616" s="9">
        <f>SUMIFS(data!G:G,data!A:A,TABLEAU!B616,data!C:C,TABLEAU!D616,data!F:F,YEAR(Feuil1!$D$2))</f>
        <v>718.2</v>
      </c>
      <c r="H616" s="9">
        <f t="shared" si="36"/>
        <v>-718.2</v>
      </c>
      <c r="I616" s="12">
        <f t="shared" si="37"/>
        <v>-1</v>
      </c>
      <c r="J616" s="13">
        <f>SUMIFS(data!E:E,data!A:A,TABLEAU!B616,data!C:C,TABLEAU!D616,data!F:F,YEAR(Feuil1!$D$1))</f>
        <v>60</v>
      </c>
      <c r="K616" s="13">
        <f>SUMIFS(data!E:E,data!A:A,TABLEAU!B616,data!C:C,TABLEAU!D616,data!F:F,YEAR(Feuil1!$D$2))</f>
        <v>384</v>
      </c>
      <c r="L616" s="13">
        <f t="shared" si="38"/>
        <v>-324</v>
      </c>
      <c r="M616" s="12">
        <f t="shared" si="39"/>
        <v>-0.84375</v>
      </c>
    </row>
    <row r="617" spans="1:13" x14ac:dyDescent="0.25">
      <c r="A617" s="17" t="str">
        <f>data!H1028</f>
        <v>VINICOM</v>
      </c>
      <c r="B617" s="15" t="str">
        <f>data!A1028</f>
        <v>067</v>
      </c>
      <c r="C617" s="1" t="str">
        <f>data!B1028</f>
        <v>DOMAINE DE LA CAMARETTE</v>
      </c>
      <c r="D617" s="1" t="str">
        <f>data!C1028</f>
        <v>067016</v>
      </c>
      <c r="E617" s="1" t="str">
        <f>data!D617</f>
        <v>HOBIBAG ROUGE 10L</v>
      </c>
      <c r="F617" s="14">
        <f>SUMIFS(data!G:G,data!A:A,TABLEAU!B617,data!C:C,TABLEAU!D617,data!F:F,YEAR(Feuil1!$D$1))</f>
        <v>0</v>
      </c>
      <c r="G617" s="9">
        <f>SUMIFS(data!G:G,data!A:A,TABLEAU!B617,data!C:C,TABLEAU!D617,data!F:F,YEAR(Feuil1!$D$2))</f>
        <v>159.6</v>
      </c>
      <c r="H617" s="9">
        <f t="shared" si="36"/>
        <v>-159.6</v>
      </c>
      <c r="I617" s="12">
        <f t="shared" si="37"/>
        <v>-1</v>
      </c>
      <c r="J617" s="13">
        <f>SUMIFS(data!E:E,data!A:A,TABLEAU!B617,data!C:C,TABLEAU!D617,data!F:F,YEAR(Feuil1!$D$1))</f>
        <v>132</v>
      </c>
      <c r="K617" s="13">
        <f>SUMIFS(data!E:E,data!A:A,TABLEAU!B617,data!C:C,TABLEAU!D617,data!F:F,YEAR(Feuil1!$D$2))</f>
        <v>84</v>
      </c>
      <c r="L617" s="13">
        <f t="shared" si="38"/>
        <v>48</v>
      </c>
      <c r="M617" s="12">
        <f t="shared" si="39"/>
        <v>0.5714285714285714</v>
      </c>
    </row>
    <row r="618" spans="1:13" x14ac:dyDescent="0.25">
      <c r="A618" s="17" t="str">
        <f>data!H1030</f>
        <v>VINICOM</v>
      </c>
      <c r="B618" s="15" t="str">
        <f>data!A1030</f>
        <v>067</v>
      </c>
      <c r="C618" s="1" t="str">
        <f>data!B1030</f>
        <v>DOMAINE DE LA CAMARETTE</v>
      </c>
      <c r="D618" s="1" t="str">
        <f>data!C1030</f>
        <v>CDV067016</v>
      </c>
      <c r="E618" s="1" t="str">
        <f>data!D618</f>
        <v>HOBIBAG ROUGE 10L</v>
      </c>
      <c r="F618" s="14">
        <f>SUMIFS(data!G:G,data!A:A,TABLEAU!B618,data!C:C,TABLEAU!D618,data!F:F,YEAR(Feuil1!$D$1))</f>
        <v>0</v>
      </c>
      <c r="G618" s="9">
        <f>SUMIFS(data!G:G,data!A:A,TABLEAU!B618,data!C:C,TABLEAU!D618,data!F:F,YEAR(Feuil1!$D$2))</f>
        <v>12.6</v>
      </c>
      <c r="H618" s="9">
        <f t="shared" si="36"/>
        <v>-12.6</v>
      </c>
      <c r="I618" s="12">
        <f t="shared" si="37"/>
        <v>-1</v>
      </c>
      <c r="J618" s="13">
        <f>SUMIFS(data!E:E,data!A:A,TABLEAU!B618,data!C:C,TABLEAU!D618,data!F:F,YEAR(Feuil1!$D$1))</f>
        <v>24</v>
      </c>
      <c r="K618" s="13">
        <f>SUMIFS(data!E:E,data!A:A,TABLEAU!B618,data!C:C,TABLEAU!D618,data!F:F,YEAR(Feuil1!$D$2))</f>
        <v>6</v>
      </c>
      <c r="L618" s="13">
        <f t="shared" si="38"/>
        <v>18</v>
      </c>
      <c r="M618" s="12">
        <f t="shared" si="39"/>
        <v>3</v>
      </c>
    </row>
    <row r="619" spans="1:13" x14ac:dyDescent="0.25">
      <c r="A619" s="17" t="str">
        <f>data!H1032</f>
        <v>VINICOM</v>
      </c>
      <c r="B619" s="15" t="str">
        <f>data!A1032</f>
        <v>070</v>
      </c>
      <c r="C619" s="1" t="str">
        <f>data!B1032</f>
        <v>VALADE ET TRANSANDINE</v>
      </c>
      <c r="D619" s="1" t="str">
        <f>data!C1032</f>
        <v>070002</v>
      </c>
      <c r="E619" s="1" t="str">
        <f>data!D619</f>
        <v>HOBIBAG ROSE 10L (x100)</v>
      </c>
      <c r="F619" s="14">
        <f>SUMIFS(data!G:G,data!A:A,TABLEAU!B619,data!C:C,TABLEAU!D619,data!F:F,YEAR(Feuil1!$D$1))</f>
        <v>0</v>
      </c>
      <c r="G619" s="9">
        <f>SUMIFS(data!G:G,data!A:A,TABLEAU!B619,data!C:C,TABLEAU!D619,data!F:F,YEAR(Feuil1!$D$2))</f>
        <v>21545.16</v>
      </c>
      <c r="H619" s="9">
        <f t="shared" si="36"/>
        <v>-21545.16</v>
      </c>
      <c r="I619" s="12">
        <f t="shared" si="37"/>
        <v>-1</v>
      </c>
      <c r="J619" s="13">
        <f>SUMIFS(data!E:E,data!A:A,TABLEAU!B619,data!C:C,TABLEAU!D619,data!F:F,YEAR(Feuil1!$D$1))</f>
        <v>0</v>
      </c>
      <c r="K619" s="13">
        <f>SUMIFS(data!E:E,data!A:A,TABLEAU!B619,data!C:C,TABLEAU!D619,data!F:F,YEAR(Feuil1!$D$2))</f>
        <v>7728</v>
      </c>
      <c r="L619" s="13">
        <f t="shared" si="38"/>
        <v>-7728</v>
      </c>
      <c r="M619" s="12">
        <f t="shared" si="39"/>
        <v>-1</v>
      </c>
    </row>
    <row r="620" spans="1:13" x14ac:dyDescent="0.25">
      <c r="A620" s="17" t="str">
        <f>data!H1033</f>
        <v>VINICOM</v>
      </c>
      <c r="B620" s="15" t="str">
        <f>data!A1033</f>
        <v>070</v>
      </c>
      <c r="C620" s="1" t="str">
        <f>data!B1033</f>
        <v>VALADE ET TRANSANDINE</v>
      </c>
      <c r="D620" s="1" t="str">
        <f>data!C1033</f>
        <v>070015</v>
      </c>
      <c r="E620" s="1" t="str">
        <f>data!D620</f>
        <v>HOBIBAG ROSE 10L (x100)</v>
      </c>
      <c r="F620" s="14">
        <f>SUMIFS(data!G:G,data!A:A,TABLEAU!B620,data!C:C,TABLEAU!D620,data!F:F,YEAR(Feuil1!$D$1))</f>
        <v>0</v>
      </c>
      <c r="G620" s="9">
        <f>SUMIFS(data!G:G,data!A:A,TABLEAU!B620,data!C:C,TABLEAU!D620,data!F:F,YEAR(Feuil1!$D$2))</f>
        <v>933.9</v>
      </c>
      <c r="H620" s="9">
        <f t="shared" si="36"/>
        <v>-933.9</v>
      </c>
      <c r="I620" s="12">
        <f t="shared" si="37"/>
        <v>-1</v>
      </c>
      <c r="J620" s="13">
        <f>SUMIFS(data!E:E,data!A:A,TABLEAU!B620,data!C:C,TABLEAU!D620,data!F:F,YEAR(Feuil1!$D$1))</f>
        <v>0</v>
      </c>
      <c r="K620" s="13">
        <f>SUMIFS(data!E:E,data!A:A,TABLEAU!B620,data!C:C,TABLEAU!D620,data!F:F,YEAR(Feuil1!$D$2))</f>
        <v>252</v>
      </c>
      <c r="L620" s="13">
        <f t="shared" si="38"/>
        <v>-252</v>
      </c>
      <c r="M620" s="12">
        <f t="shared" si="39"/>
        <v>-1</v>
      </c>
    </row>
    <row r="621" spans="1:13" x14ac:dyDescent="0.25">
      <c r="A621" s="17" t="str">
        <f>data!H1034</f>
        <v>VINICOM</v>
      </c>
      <c r="B621" s="15" t="str">
        <f>data!A1034</f>
        <v>074</v>
      </c>
      <c r="C621" s="1" t="str">
        <f>data!B1034</f>
        <v>CAVE DE GIGONDAS</v>
      </c>
      <c r="D621" s="1" t="str">
        <f>data!C1034</f>
        <v>074012</v>
      </c>
      <c r="E621" s="1" t="str">
        <f>data!D621</f>
        <v>HOBIBAG ROUGE 5L (conditionnement x80)</v>
      </c>
      <c r="F621" s="14">
        <f>SUMIFS(data!G:G,data!A:A,TABLEAU!B621,data!C:C,TABLEAU!D621,data!F:F,YEAR(Feuil1!$D$1))</f>
        <v>5700</v>
      </c>
      <c r="G621" s="9">
        <f>SUMIFS(data!G:G,data!A:A,TABLEAU!B621,data!C:C,TABLEAU!D621,data!F:F,YEAR(Feuil1!$D$2))</f>
        <v>9834.4</v>
      </c>
      <c r="H621" s="9">
        <f t="shared" si="36"/>
        <v>-4134.3999999999996</v>
      </c>
      <c r="I621" s="12">
        <f t="shared" si="37"/>
        <v>-0.42040185471406488</v>
      </c>
      <c r="J621" s="13">
        <f>SUMIFS(data!E:E,data!A:A,TABLEAU!B621,data!C:C,TABLEAU!D621,data!F:F,YEAR(Feuil1!$D$1))</f>
        <v>756</v>
      </c>
      <c r="K621" s="13">
        <f>SUMIFS(data!E:E,data!A:A,TABLEAU!B621,data!C:C,TABLEAU!D621,data!F:F,YEAR(Feuil1!$D$2))</f>
        <v>1302</v>
      </c>
      <c r="L621" s="13">
        <f t="shared" si="38"/>
        <v>-546</v>
      </c>
      <c r="M621" s="12">
        <f t="shared" si="39"/>
        <v>-0.41935483870967744</v>
      </c>
    </row>
    <row r="622" spans="1:13" x14ac:dyDescent="0.25">
      <c r="A622" s="17" t="str">
        <f>data!H1036</f>
        <v>VINICOM</v>
      </c>
      <c r="B622" s="15" t="str">
        <f>data!A1036</f>
        <v>074</v>
      </c>
      <c r="C622" s="1" t="str">
        <f>data!B1036</f>
        <v>CAVE DE GIGONDAS</v>
      </c>
      <c r="D622" s="1" t="str">
        <f>data!C1036</f>
        <v>074013</v>
      </c>
      <c r="E622" s="1" t="str">
        <f>data!D622</f>
        <v>HOBIBAG ROUGE 5L (conditionnement x80)</v>
      </c>
      <c r="F622" s="14">
        <f>SUMIFS(data!G:G,data!A:A,TABLEAU!B622,data!C:C,TABLEAU!D622,data!F:F,YEAR(Feuil1!$D$1))</f>
        <v>8507.25</v>
      </c>
      <c r="G622" s="9">
        <f>SUMIFS(data!G:G,data!A:A,TABLEAU!B622,data!C:C,TABLEAU!D622,data!F:F,YEAR(Feuil1!$D$2))</f>
        <v>11957.7</v>
      </c>
      <c r="H622" s="9">
        <f t="shared" si="36"/>
        <v>-3450.4500000000007</v>
      </c>
      <c r="I622" s="12">
        <f t="shared" si="37"/>
        <v>-0.28855465515943707</v>
      </c>
      <c r="J622" s="13">
        <f>SUMIFS(data!E:E,data!A:A,TABLEAU!B622,data!C:C,TABLEAU!D622,data!F:F,YEAR(Feuil1!$D$1))</f>
        <v>1836</v>
      </c>
      <c r="K622" s="13">
        <f>SUMIFS(data!E:E,data!A:A,TABLEAU!B622,data!C:C,TABLEAU!D622,data!F:F,YEAR(Feuil1!$D$2))</f>
        <v>2622</v>
      </c>
      <c r="L622" s="13">
        <f t="shared" si="38"/>
        <v>-786</v>
      </c>
      <c r="M622" s="12">
        <f t="shared" si="39"/>
        <v>-0.2997711670480549</v>
      </c>
    </row>
    <row r="623" spans="1:13" x14ac:dyDescent="0.25">
      <c r="A623" s="17" t="str">
        <f>data!H1038</f>
        <v>VINICOM</v>
      </c>
      <c r="B623" s="15" t="str">
        <f>data!A1038</f>
        <v>074</v>
      </c>
      <c r="C623" s="1" t="str">
        <f>data!B1038</f>
        <v>CAVE DE GIGONDAS</v>
      </c>
      <c r="D623" s="1" t="str">
        <f>data!C1038</f>
        <v>074029</v>
      </c>
      <c r="E623" s="1" t="str">
        <f>data!D623</f>
        <v>HOBIBAG ROSE 5L  (conditionnement x70)</v>
      </c>
      <c r="F623" s="14">
        <f>SUMIFS(data!G:G,data!A:A,TABLEAU!B623,data!C:C,TABLEAU!D623,data!F:F,YEAR(Feuil1!$D$1))</f>
        <v>415.8</v>
      </c>
      <c r="G623" s="9">
        <f>SUMIFS(data!G:G,data!A:A,TABLEAU!B623,data!C:C,TABLEAU!D623,data!F:F,YEAR(Feuil1!$D$2))</f>
        <v>685.3</v>
      </c>
      <c r="H623" s="9">
        <f t="shared" si="36"/>
        <v>-269.49999999999994</v>
      </c>
      <c r="I623" s="12">
        <f t="shared" si="37"/>
        <v>-0.3932584269662921</v>
      </c>
      <c r="J623" s="13">
        <f>SUMIFS(data!E:E,data!A:A,TABLEAU!B623,data!C:C,TABLEAU!D623,data!F:F,YEAR(Feuil1!$D$1))</f>
        <v>54</v>
      </c>
      <c r="K623" s="13">
        <f>SUMIFS(data!E:E,data!A:A,TABLEAU!B623,data!C:C,TABLEAU!D623,data!F:F,YEAR(Feuil1!$D$2))</f>
        <v>102</v>
      </c>
      <c r="L623" s="13">
        <f t="shared" si="38"/>
        <v>-48</v>
      </c>
      <c r="M623" s="12">
        <f t="shared" si="39"/>
        <v>-0.47058823529411764</v>
      </c>
    </row>
    <row r="624" spans="1:13" x14ac:dyDescent="0.25">
      <c r="A624" s="17" t="str">
        <f>data!H1040</f>
        <v>VINICOM</v>
      </c>
      <c r="B624" s="15" t="str">
        <f>data!A1040</f>
        <v>074</v>
      </c>
      <c r="C624" s="1" t="str">
        <f>data!B1040</f>
        <v>CAVE DE GIGONDAS</v>
      </c>
      <c r="D624" s="1" t="str">
        <f>data!C1040</f>
        <v>074200</v>
      </c>
      <c r="E624" s="1" t="str">
        <f>data!D624</f>
        <v>HOBIBAG ROSE 5L  (conditionnement x70)</v>
      </c>
      <c r="F624" s="14">
        <f>SUMIFS(data!G:G,data!A:A,TABLEAU!B624,data!C:C,TABLEAU!D624,data!F:F,YEAR(Feuil1!$D$1))</f>
        <v>0</v>
      </c>
      <c r="G624" s="9">
        <f>SUMIFS(data!G:G,data!A:A,TABLEAU!B624,data!C:C,TABLEAU!D624,data!F:F,YEAR(Feuil1!$D$2))</f>
        <v>78.8</v>
      </c>
      <c r="H624" s="9">
        <f t="shared" si="36"/>
        <v>-78.8</v>
      </c>
      <c r="I624" s="12">
        <f t="shared" si="37"/>
        <v>-1</v>
      </c>
      <c r="J624" s="13">
        <f>SUMIFS(data!E:E,data!A:A,TABLEAU!B624,data!C:C,TABLEAU!D624,data!F:F,YEAR(Feuil1!$D$1))</f>
        <v>0</v>
      </c>
      <c r="K624" s="13">
        <f>SUMIFS(data!E:E,data!A:A,TABLEAU!B624,data!C:C,TABLEAU!D624,data!F:F,YEAR(Feuil1!$D$2))</f>
        <v>8</v>
      </c>
      <c r="L624" s="13">
        <f t="shared" si="38"/>
        <v>-8</v>
      </c>
      <c r="M624" s="12">
        <f t="shared" si="39"/>
        <v>-1</v>
      </c>
    </row>
    <row r="625" spans="1:13" x14ac:dyDescent="0.25">
      <c r="A625" s="17" t="str">
        <f>data!H1041</f>
        <v>VINICOM</v>
      </c>
      <c r="B625" s="15" t="str">
        <f>data!A1041</f>
        <v>074</v>
      </c>
      <c r="C625" s="1" t="str">
        <f>data!B1041</f>
        <v>CAVE DE GIGONDAS</v>
      </c>
      <c r="D625" s="1" t="str">
        <f>data!C1041</f>
        <v>074201</v>
      </c>
      <c r="E625" s="1" t="str">
        <f>data!D625</f>
        <v>DME DUSSOURT AC SYLVANER</v>
      </c>
      <c r="F625" s="14">
        <f>SUMIFS(data!G:G,data!A:A,TABLEAU!B625,data!C:C,TABLEAU!D625,data!F:F,YEAR(Feuil1!$D$1))</f>
        <v>0</v>
      </c>
      <c r="G625" s="9">
        <f>SUMIFS(data!G:G,data!A:A,TABLEAU!B625,data!C:C,TABLEAU!D625,data!F:F,YEAR(Feuil1!$D$2))</f>
        <v>63.6</v>
      </c>
      <c r="H625" s="9">
        <f t="shared" si="36"/>
        <v>-63.6</v>
      </c>
      <c r="I625" s="12">
        <f t="shared" si="37"/>
        <v>-1</v>
      </c>
      <c r="J625" s="13">
        <f>SUMIFS(data!E:E,data!A:A,TABLEAU!B625,data!C:C,TABLEAU!D625,data!F:F,YEAR(Feuil1!$D$1))</f>
        <v>0</v>
      </c>
      <c r="K625" s="13">
        <f>SUMIFS(data!E:E,data!A:A,TABLEAU!B625,data!C:C,TABLEAU!D625,data!F:F,YEAR(Feuil1!$D$2))</f>
        <v>8</v>
      </c>
      <c r="L625" s="13">
        <f t="shared" si="38"/>
        <v>-8</v>
      </c>
      <c r="M625" s="12">
        <f t="shared" si="39"/>
        <v>-1</v>
      </c>
    </row>
    <row r="626" spans="1:13" x14ac:dyDescent="0.25">
      <c r="A626" s="17" t="str">
        <f>data!H1042</f>
        <v>VINICOM</v>
      </c>
      <c r="B626" s="15" t="str">
        <f>data!A1042</f>
        <v>074</v>
      </c>
      <c r="C626" s="1" t="str">
        <f>data!B1042</f>
        <v>CAVE DE GIGONDAS</v>
      </c>
      <c r="D626" s="1" t="str">
        <f>data!C1042</f>
        <v>074202</v>
      </c>
      <c r="E626" s="1" t="str">
        <f>data!D626</f>
        <v>DME DUSSOURT AC SYLVANER</v>
      </c>
      <c r="F626" s="14">
        <f>SUMIFS(data!G:G,data!A:A,TABLEAU!B626,data!C:C,TABLEAU!D626,data!F:F,YEAR(Feuil1!$D$1))</f>
        <v>0</v>
      </c>
      <c r="G626" s="9">
        <f>SUMIFS(data!G:G,data!A:A,TABLEAU!B626,data!C:C,TABLEAU!D626,data!F:F,YEAR(Feuil1!$D$2))</f>
        <v>107.2</v>
      </c>
      <c r="H626" s="9">
        <f t="shared" si="36"/>
        <v>-107.2</v>
      </c>
      <c r="I626" s="12">
        <f t="shared" si="37"/>
        <v>-1</v>
      </c>
      <c r="J626" s="13">
        <f>SUMIFS(data!E:E,data!A:A,TABLEAU!B626,data!C:C,TABLEAU!D626,data!F:F,YEAR(Feuil1!$D$1))</f>
        <v>0</v>
      </c>
      <c r="K626" s="13">
        <f>SUMIFS(data!E:E,data!A:A,TABLEAU!B626,data!C:C,TABLEAU!D626,data!F:F,YEAR(Feuil1!$D$2))</f>
        <v>16</v>
      </c>
      <c r="L626" s="13">
        <f t="shared" si="38"/>
        <v>-16</v>
      </c>
      <c r="M626" s="12">
        <f t="shared" si="39"/>
        <v>-1</v>
      </c>
    </row>
    <row r="627" spans="1:13" x14ac:dyDescent="0.25">
      <c r="A627" s="17" t="str">
        <f>data!H1043</f>
        <v>VINICOM</v>
      </c>
      <c r="B627" s="15" t="str">
        <f>data!A1043</f>
        <v>074</v>
      </c>
      <c r="C627" s="1" t="str">
        <f>data!B1043</f>
        <v>CAVE DE GIGONDAS</v>
      </c>
      <c r="D627" s="1" t="str">
        <f>data!C1043</f>
        <v>074203</v>
      </c>
      <c r="E627" s="1" t="str">
        <f>data!D627</f>
        <v>AC RIESLING D. DUSSOURT</v>
      </c>
      <c r="F627" s="14">
        <f>SUMIFS(data!G:G,data!A:A,TABLEAU!B627,data!C:C,TABLEAU!D627,data!F:F,YEAR(Feuil1!$D$1))</f>
        <v>0</v>
      </c>
      <c r="G627" s="9">
        <f>SUMIFS(data!G:G,data!A:A,TABLEAU!B627,data!C:C,TABLEAU!D627,data!F:F,YEAR(Feuil1!$D$2))</f>
        <v>222.75</v>
      </c>
      <c r="H627" s="9">
        <f t="shared" si="36"/>
        <v>-222.75</v>
      </c>
      <c r="I627" s="12">
        <f t="shared" si="37"/>
        <v>-1</v>
      </c>
      <c r="J627" s="13">
        <f>SUMIFS(data!E:E,data!A:A,TABLEAU!B627,data!C:C,TABLEAU!D627,data!F:F,YEAR(Feuil1!$D$1))</f>
        <v>0</v>
      </c>
      <c r="K627" s="13">
        <f>SUMIFS(data!E:E,data!A:A,TABLEAU!B627,data!C:C,TABLEAU!D627,data!F:F,YEAR(Feuil1!$D$2))</f>
        <v>36</v>
      </c>
      <c r="L627" s="13">
        <f t="shared" si="38"/>
        <v>-36</v>
      </c>
      <c r="M627" s="12">
        <f t="shared" si="39"/>
        <v>-1</v>
      </c>
    </row>
    <row r="628" spans="1:13" x14ac:dyDescent="0.25">
      <c r="A628" s="17" t="str">
        <f>data!H1044</f>
        <v>VINICOM</v>
      </c>
      <c r="B628" s="15" t="str">
        <f>data!A1044</f>
        <v>074</v>
      </c>
      <c r="C628" s="1" t="str">
        <f>data!B1044</f>
        <v>CAVE DE GIGONDAS</v>
      </c>
      <c r="D628" s="1" t="str">
        <f>data!C1044</f>
        <v>074204</v>
      </c>
      <c r="E628" s="1" t="str">
        <f>data!D628</f>
        <v>AC RIESLING D. DUSSOURT</v>
      </c>
      <c r="F628" s="14">
        <f>SUMIFS(data!G:G,data!A:A,TABLEAU!B628,data!C:C,TABLEAU!D628,data!F:F,YEAR(Feuil1!$D$1))</f>
        <v>0</v>
      </c>
      <c r="G628" s="9">
        <f>SUMIFS(data!G:G,data!A:A,TABLEAU!B628,data!C:C,TABLEAU!D628,data!F:F,YEAR(Feuil1!$D$2))</f>
        <v>136.80000000000001</v>
      </c>
      <c r="H628" s="9">
        <f t="shared" si="36"/>
        <v>-136.80000000000001</v>
      </c>
      <c r="I628" s="12">
        <f t="shared" si="37"/>
        <v>-1</v>
      </c>
      <c r="J628" s="13">
        <f>SUMIFS(data!E:E,data!A:A,TABLEAU!B628,data!C:C,TABLEAU!D628,data!F:F,YEAR(Feuil1!$D$1))</f>
        <v>0</v>
      </c>
      <c r="K628" s="13">
        <f>SUMIFS(data!E:E,data!A:A,TABLEAU!B628,data!C:C,TABLEAU!D628,data!F:F,YEAR(Feuil1!$D$2))</f>
        <v>18</v>
      </c>
      <c r="L628" s="13">
        <f t="shared" si="38"/>
        <v>-18</v>
      </c>
      <c r="M628" s="12">
        <f t="shared" si="39"/>
        <v>-1</v>
      </c>
    </row>
    <row r="629" spans="1:13" x14ac:dyDescent="0.25">
      <c r="A629" s="17" t="str">
        <f>data!H1045</f>
        <v>VINICOM</v>
      </c>
      <c r="B629" s="15" t="str">
        <f>data!A1045</f>
        <v>075</v>
      </c>
      <c r="C629" s="1" t="str">
        <f>data!B1045</f>
        <v>CHATEAU LE BREUIL RENAISSANCE</v>
      </c>
      <c r="D629" s="1" t="str">
        <f>data!C1045</f>
        <v>075002</v>
      </c>
      <c r="E629" s="1" t="str">
        <f>data!D629</f>
        <v>AC PINOT GRIS D. DUSSOURT</v>
      </c>
      <c r="F629" s="14">
        <f>SUMIFS(data!G:G,data!A:A,TABLEAU!B629,data!C:C,TABLEAU!D629,data!F:F,YEAR(Feuil1!$D$1))</f>
        <v>10716.18</v>
      </c>
      <c r="G629" s="9">
        <f>SUMIFS(data!G:G,data!A:A,TABLEAU!B629,data!C:C,TABLEAU!D629,data!F:F,YEAR(Feuil1!$D$2))</f>
        <v>16808.88</v>
      </c>
      <c r="H629" s="9">
        <f t="shared" si="36"/>
        <v>-6092.7000000000007</v>
      </c>
      <c r="I629" s="12">
        <f t="shared" si="37"/>
        <v>-0.36246912346331228</v>
      </c>
      <c r="J629" s="13">
        <f>SUMIFS(data!E:E,data!A:A,TABLEAU!B629,data!C:C,TABLEAU!D629,data!F:F,YEAR(Feuil1!$D$1))</f>
        <v>2622</v>
      </c>
      <c r="K629" s="13">
        <f>SUMIFS(data!E:E,data!A:A,TABLEAU!B629,data!C:C,TABLEAU!D629,data!F:F,YEAR(Feuil1!$D$2))</f>
        <v>4194</v>
      </c>
      <c r="L629" s="13">
        <f t="shared" si="38"/>
        <v>-1572</v>
      </c>
      <c r="M629" s="12">
        <f t="shared" si="39"/>
        <v>-0.37482117310443491</v>
      </c>
    </row>
    <row r="630" spans="1:13" x14ac:dyDescent="0.25">
      <c r="A630" s="17" t="str">
        <f>data!H1047</f>
        <v>VINICOM</v>
      </c>
      <c r="B630" s="15" t="str">
        <f>data!A1047</f>
        <v>075</v>
      </c>
      <c r="C630" s="1" t="str">
        <f>data!B1047</f>
        <v>CHATEAU LE BREUIL RENAISSANCE</v>
      </c>
      <c r="D630" s="1" t="str">
        <f>data!C1047</f>
        <v>075004</v>
      </c>
      <c r="E630" s="1" t="str">
        <f>data!D630</f>
        <v>AC PINOT GRIS D. DUSSOURT</v>
      </c>
      <c r="F630" s="14">
        <f>SUMIFS(data!G:G,data!A:A,TABLEAU!B630,data!C:C,TABLEAU!D630,data!F:F,YEAR(Feuil1!$D$1))</f>
        <v>741.36</v>
      </c>
      <c r="G630" s="9">
        <f>SUMIFS(data!G:G,data!A:A,TABLEAU!B630,data!C:C,TABLEAU!D630,data!F:F,YEAR(Feuil1!$D$2))</f>
        <v>2146.8000000000002</v>
      </c>
      <c r="H630" s="9">
        <f t="shared" si="36"/>
        <v>-1405.44</v>
      </c>
      <c r="I630" s="12">
        <f t="shared" si="37"/>
        <v>-0.65466741196198985</v>
      </c>
      <c r="J630" s="13">
        <f>SUMIFS(data!E:E,data!A:A,TABLEAU!B630,data!C:C,TABLEAU!D630,data!F:F,YEAR(Feuil1!$D$1))</f>
        <v>156</v>
      </c>
      <c r="K630" s="13">
        <f>SUMIFS(data!E:E,data!A:A,TABLEAU!B630,data!C:C,TABLEAU!D630,data!F:F,YEAR(Feuil1!$D$2))</f>
        <v>468</v>
      </c>
      <c r="L630" s="13">
        <f t="shared" si="38"/>
        <v>-312</v>
      </c>
      <c r="M630" s="12">
        <f t="shared" si="39"/>
        <v>-0.66666666666666663</v>
      </c>
    </row>
    <row r="631" spans="1:13" x14ac:dyDescent="0.25">
      <c r="A631" s="17" t="str">
        <f>data!H1049</f>
        <v>VINICOM</v>
      </c>
      <c r="B631" s="15" t="str">
        <f>data!A1049</f>
        <v>075</v>
      </c>
      <c r="C631" s="1" t="str">
        <f>data!B1049</f>
        <v>CHATEAU LE BREUIL RENAISSANCE</v>
      </c>
      <c r="D631" s="1" t="str">
        <f>data!C1049</f>
        <v>075011</v>
      </c>
      <c r="E631" s="1" t="str">
        <f>data!D631</f>
        <v>AC GEWURZTRAMINER D. DUSSOURT</v>
      </c>
      <c r="F631" s="14">
        <f>SUMIFS(data!G:G,data!A:A,TABLEAU!B631,data!C:C,TABLEAU!D631,data!F:F,YEAR(Feuil1!$D$1))</f>
        <v>502.2</v>
      </c>
      <c r="G631" s="9">
        <f>SUMIFS(data!G:G,data!A:A,TABLEAU!B631,data!C:C,TABLEAU!D631,data!F:F,YEAR(Feuil1!$D$2))</f>
        <v>243</v>
      </c>
      <c r="H631" s="9">
        <f t="shared" si="36"/>
        <v>259.2</v>
      </c>
      <c r="I631" s="12">
        <f t="shared" si="37"/>
        <v>1.0666666666666667</v>
      </c>
      <c r="J631" s="13">
        <f>SUMIFS(data!E:E,data!A:A,TABLEAU!B631,data!C:C,TABLEAU!D631,data!F:F,YEAR(Feuil1!$D$1))</f>
        <v>72</v>
      </c>
      <c r="K631" s="13">
        <f>SUMIFS(data!E:E,data!A:A,TABLEAU!B631,data!C:C,TABLEAU!D631,data!F:F,YEAR(Feuil1!$D$2))</f>
        <v>36</v>
      </c>
      <c r="L631" s="13">
        <f t="shared" si="38"/>
        <v>36</v>
      </c>
      <c r="M631" s="12">
        <f t="shared" si="39"/>
        <v>1</v>
      </c>
    </row>
    <row r="632" spans="1:13" x14ac:dyDescent="0.25">
      <c r="A632" s="17" t="str">
        <f>data!H1051</f>
        <v>VINICOM</v>
      </c>
      <c r="B632" s="15" t="str">
        <f>data!A1051</f>
        <v>075</v>
      </c>
      <c r="C632" s="1" t="str">
        <f>data!B1051</f>
        <v>CHATEAU LE BREUIL RENAISSANCE</v>
      </c>
      <c r="D632" s="1" t="str">
        <f>data!C1051</f>
        <v>075013</v>
      </c>
      <c r="E632" s="1" t="str">
        <f>data!D632</f>
        <v>AC GEWURZTRAMINER D. DUSSOURT</v>
      </c>
      <c r="F632" s="14">
        <f>SUMIFS(data!G:G,data!A:A,TABLEAU!B632,data!C:C,TABLEAU!D632,data!F:F,YEAR(Feuil1!$D$1))</f>
        <v>3342</v>
      </c>
      <c r="G632" s="9">
        <f>SUMIFS(data!G:G,data!A:A,TABLEAU!B632,data!C:C,TABLEAU!D632,data!F:F,YEAR(Feuil1!$D$2))</f>
        <v>4274.3999999999996</v>
      </c>
      <c r="H632" s="9">
        <f t="shared" si="36"/>
        <v>-932.39999999999964</v>
      </c>
      <c r="I632" s="12">
        <f t="shared" si="37"/>
        <v>-0.21813587871982026</v>
      </c>
      <c r="J632" s="13">
        <f>SUMIFS(data!E:E,data!A:A,TABLEAU!B632,data!C:C,TABLEAU!D632,data!F:F,YEAR(Feuil1!$D$1))</f>
        <v>618</v>
      </c>
      <c r="K632" s="13">
        <f>SUMIFS(data!E:E,data!A:A,TABLEAU!B632,data!C:C,TABLEAU!D632,data!F:F,YEAR(Feuil1!$D$2))</f>
        <v>834</v>
      </c>
      <c r="L632" s="13">
        <f t="shared" si="38"/>
        <v>-216</v>
      </c>
      <c r="M632" s="12">
        <f t="shared" si="39"/>
        <v>-0.25899280575539568</v>
      </c>
    </row>
    <row r="633" spans="1:13" x14ac:dyDescent="0.25">
      <c r="A633" s="17" t="str">
        <f>data!H1053</f>
        <v>VINICOM</v>
      </c>
      <c r="B633" s="15" t="str">
        <f>data!A1053</f>
        <v>075</v>
      </c>
      <c r="C633" s="1" t="str">
        <f>data!B1053</f>
        <v>CHATEAU LE BREUIL RENAISSANCE</v>
      </c>
      <c r="D633" s="1" t="str">
        <f>data!C1053</f>
        <v>CDV075003</v>
      </c>
      <c r="E633" s="1" t="str">
        <f>data!D633</f>
        <v>AC CREMANT D'ALSACE RIESLING M.TRAD</v>
      </c>
      <c r="F633" s="14">
        <f>SUMIFS(data!G:G,data!A:A,TABLEAU!B633,data!C:C,TABLEAU!D633,data!F:F,YEAR(Feuil1!$D$1))</f>
        <v>0</v>
      </c>
      <c r="G633" s="9">
        <f>SUMIFS(data!G:G,data!A:A,TABLEAU!B633,data!C:C,TABLEAU!D633,data!F:F,YEAR(Feuil1!$D$2))</f>
        <v>98.4</v>
      </c>
      <c r="H633" s="9">
        <f t="shared" si="36"/>
        <v>-98.4</v>
      </c>
      <c r="I633" s="12">
        <f t="shared" si="37"/>
        <v>-1</v>
      </c>
      <c r="J633" s="13">
        <f>SUMIFS(data!E:E,data!A:A,TABLEAU!B633,data!C:C,TABLEAU!D633,data!F:F,YEAR(Feuil1!$D$1))</f>
        <v>0</v>
      </c>
      <c r="K633" s="13">
        <f>SUMIFS(data!E:E,data!A:A,TABLEAU!B633,data!C:C,TABLEAU!D633,data!F:F,YEAR(Feuil1!$D$2))</f>
        <v>24</v>
      </c>
      <c r="L633" s="13">
        <f t="shared" si="38"/>
        <v>-24</v>
      </c>
      <c r="M633" s="12">
        <f t="shared" si="39"/>
        <v>-1</v>
      </c>
    </row>
    <row r="634" spans="1:13" x14ac:dyDescent="0.25">
      <c r="A634" s="17" t="str">
        <f>data!H1055</f>
        <v>VINICOM</v>
      </c>
      <c r="B634" s="15" t="str">
        <f>data!A1055</f>
        <v>075</v>
      </c>
      <c r="C634" s="1" t="str">
        <f>data!B1055</f>
        <v>CHATEAU LE BREUIL RENAISSANCE</v>
      </c>
      <c r="D634" s="1" t="str">
        <f>data!C1055</f>
        <v>CDV075005</v>
      </c>
      <c r="E634" s="1" t="str">
        <f>data!D634</f>
        <v>AC CREMANT D'ALSACE RIESLING M.TRAD</v>
      </c>
      <c r="F634" s="14">
        <f>SUMIFS(data!G:G,data!A:A,TABLEAU!B634,data!C:C,TABLEAU!D634,data!F:F,YEAR(Feuil1!$D$1))</f>
        <v>450</v>
      </c>
      <c r="G634" s="9">
        <f>SUMIFS(data!G:G,data!A:A,TABLEAU!B634,data!C:C,TABLEAU!D634,data!F:F,YEAR(Feuil1!$D$2))</f>
        <v>300</v>
      </c>
      <c r="H634" s="9">
        <f t="shared" si="36"/>
        <v>150</v>
      </c>
      <c r="I634" s="12">
        <f t="shared" si="37"/>
        <v>0.5</v>
      </c>
      <c r="J634" s="13">
        <f>SUMIFS(data!E:E,data!A:A,TABLEAU!B634,data!C:C,TABLEAU!D634,data!F:F,YEAR(Feuil1!$D$1))</f>
        <v>60</v>
      </c>
      <c r="K634" s="13">
        <f>SUMIFS(data!E:E,data!A:A,TABLEAU!B634,data!C:C,TABLEAU!D634,data!F:F,YEAR(Feuil1!$D$2))</f>
        <v>40</v>
      </c>
      <c r="L634" s="13">
        <f t="shared" si="38"/>
        <v>20</v>
      </c>
      <c r="M634" s="12">
        <f t="shared" si="39"/>
        <v>0.5</v>
      </c>
    </row>
    <row r="635" spans="1:13" x14ac:dyDescent="0.25">
      <c r="A635" s="17" t="str">
        <f>data!H1057</f>
        <v>VINICOM</v>
      </c>
      <c r="B635" s="15" t="str">
        <f>data!A1057</f>
        <v>078</v>
      </c>
      <c r="C635" s="1" t="str">
        <f>data!B1057</f>
        <v>CAVE DE CHANTECOTES</v>
      </c>
      <c r="D635" s="1" t="str">
        <f>data!C1057</f>
        <v>078021</v>
      </c>
      <c r="E635" s="1" t="str">
        <f>data!D635</f>
        <v>AC PINOT NOIR D. DUSSOURT</v>
      </c>
      <c r="F635" s="14">
        <f>SUMIFS(data!G:G,data!A:A,TABLEAU!B635,data!C:C,TABLEAU!D635,data!F:F,YEAR(Feuil1!$D$1))</f>
        <v>0</v>
      </c>
      <c r="G635" s="9">
        <f>SUMIFS(data!G:G,data!A:A,TABLEAU!B635,data!C:C,TABLEAU!D635,data!F:F,YEAR(Feuil1!$D$2))</f>
        <v>950.88</v>
      </c>
      <c r="H635" s="9">
        <f t="shared" si="36"/>
        <v>-950.88</v>
      </c>
      <c r="I635" s="12">
        <f t="shared" si="37"/>
        <v>-1</v>
      </c>
      <c r="J635" s="13">
        <f>SUMIFS(data!E:E,data!A:A,TABLEAU!B635,data!C:C,TABLEAU!D635,data!F:F,YEAR(Feuil1!$D$1))</f>
        <v>0</v>
      </c>
      <c r="K635" s="13">
        <f>SUMIFS(data!E:E,data!A:A,TABLEAU!B635,data!C:C,TABLEAU!D635,data!F:F,YEAR(Feuil1!$D$2))</f>
        <v>336</v>
      </c>
      <c r="L635" s="13">
        <f t="shared" si="38"/>
        <v>-336</v>
      </c>
      <c r="M635" s="12">
        <f t="shared" si="39"/>
        <v>-1</v>
      </c>
    </row>
    <row r="636" spans="1:13" x14ac:dyDescent="0.25">
      <c r="A636" s="17" t="str">
        <f>data!H1058</f>
        <v>VINICOM</v>
      </c>
      <c r="B636" s="15" t="str">
        <f>data!A1058</f>
        <v>080</v>
      </c>
      <c r="C636" s="1" t="str">
        <f>data!B1058</f>
        <v>DOMAINE DE ST PIERRE</v>
      </c>
      <c r="D636" s="1" t="str">
        <f>data!C1058</f>
        <v>080010</v>
      </c>
      <c r="E636" s="1" t="str">
        <f>data!D636</f>
        <v>AC PINOT NOIR D. DUSSOURT</v>
      </c>
      <c r="F636" s="14">
        <f>SUMIFS(data!G:G,data!A:A,TABLEAU!B636,data!C:C,TABLEAU!D636,data!F:F,YEAR(Feuil1!$D$1))</f>
        <v>8098.2</v>
      </c>
      <c r="G636" s="9">
        <f>SUMIFS(data!G:G,data!A:A,TABLEAU!B636,data!C:C,TABLEAU!D636,data!F:F,YEAR(Feuil1!$D$2))</f>
        <v>11604.6</v>
      </c>
      <c r="H636" s="9">
        <f t="shared" si="36"/>
        <v>-3506.4000000000005</v>
      </c>
      <c r="I636" s="12">
        <f t="shared" si="37"/>
        <v>-0.30215604156972237</v>
      </c>
      <c r="J636" s="13">
        <f>SUMIFS(data!E:E,data!A:A,TABLEAU!B636,data!C:C,TABLEAU!D636,data!F:F,YEAR(Feuil1!$D$1))</f>
        <v>1272</v>
      </c>
      <c r="K636" s="13">
        <f>SUMIFS(data!E:E,data!A:A,TABLEAU!B636,data!C:C,TABLEAU!D636,data!F:F,YEAR(Feuil1!$D$2))</f>
        <v>1860</v>
      </c>
      <c r="L636" s="13">
        <f t="shared" si="38"/>
        <v>-588</v>
      </c>
      <c r="M636" s="12">
        <f t="shared" si="39"/>
        <v>-0.31612903225806449</v>
      </c>
    </row>
    <row r="637" spans="1:13" x14ac:dyDescent="0.25">
      <c r="A637" s="17" t="str">
        <f>data!H1060</f>
        <v>VINICOM</v>
      </c>
      <c r="B637" s="15" t="str">
        <f>data!A1060</f>
        <v>080</v>
      </c>
      <c r="C637" s="1" t="str">
        <f>data!B1060</f>
        <v>DOMAINE DE ST PIERRE</v>
      </c>
      <c r="D637" s="1" t="str">
        <f>data!C1060</f>
        <v>080011</v>
      </c>
      <c r="E637" s="1" t="str">
        <f>data!D637</f>
        <v>AC RIESLING D. DUSSOURT</v>
      </c>
      <c r="F637" s="14">
        <f>SUMIFS(data!G:G,data!A:A,TABLEAU!B637,data!C:C,TABLEAU!D637,data!F:F,YEAR(Feuil1!$D$1))</f>
        <v>2149.8000000000002</v>
      </c>
      <c r="G637" s="9">
        <f>SUMIFS(data!G:G,data!A:A,TABLEAU!B637,data!C:C,TABLEAU!D637,data!F:F,YEAR(Feuil1!$D$2))</f>
        <v>2818.2</v>
      </c>
      <c r="H637" s="9">
        <f t="shared" si="36"/>
        <v>-668.39999999999964</v>
      </c>
      <c r="I637" s="12">
        <f t="shared" si="37"/>
        <v>-0.2371726634021715</v>
      </c>
      <c r="J637" s="13">
        <f>SUMIFS(data!E:E,data!A:A,TABLEAU!B637,data!C:C,TABLEAU!D637,data!F:F,YEAR(Feuil1!$D$1))</f>
        <v>276</v>
      </c>
      <c r="K637" s="13">
        <f>SUMIFS(data!E:E,data!A:A,TABLEAU!B637,data!C:C,TABLEAU!D637,data!F:F,YEAR(Feuil1!$D$2))</f>
        <v>366</v>
      </c>
      <c r="L637" s="13">
        <f t="shared" si="38"/>
        <v>-90</v>
      </c>
      <c r="M637" s="12">
        <f t="shared" si="39"/>
        <v>-0.24590163934426229</v>
      </c>
    </row>
    <row r="638" spans="1:13" x14ac:dyDescent="0.25">
      <c r="A638" s="17" t="str">
        <f>data!H1062</f>
        <v>VINICOM</v>
      </c>
      <c r="B638" s="15" t="str">
        <f>data!A1062</f>
        <v>080</v>
      </c>
      <c r="C638" s="1" t="str">
        <f>data!B1062</f>
        <v>DOMAINE DE ST PIERRE</v>
      </c>
      <c r="D638" s="1" t="str">
        <f>data!C1062</f>
        <v>080013</v>
      </c>
      <c r="E638" s="1" t="str">
        <f>data!D638</f>
        <v>AC RIESLING D. DUSSOURT</v>
      </c>
      <c r="F638" s="14">
        <f>SUMIFS(data!G:G,data!A:A,TABLEAU!B638,data!C:C,TABLEAU!D638,data!F:F,YEAR(Feuil1!$D$1))</f>
        <v>226.8</v>
      </c>
      <c r="G638" s="9">
        <f>SUMIFS(data!G:G,data!A:A,TABLEAU!B638,data!C:C,TABLEAU!D638,data!F:F,YEAR(Feuil1!$D$2))</f>
        <v>329.4</v>
      </c>
      <c r="H638" s="9">
        <f t="shared" si="36"/>
        <v>-102.59999999999997</v>
      </c>
      <c r="I638" s="12">
        <f t="shared" si="37"/>
        <v>-0.31147540983606548</v>
      </c>
      <c r="J638" s="13">
        <f>SUMIFS(data!E:E,data!A:A,TABLEAU!B638,data!C:C,TABLEAU!D638,data!F:F,YEAR(Feuil1!$D$1))</f>
        <v>36</v>
      </c>
      <c r="K638" s="13">
        <f>SUMIFS(data!E:E,data!A:A,TABLEAU!B638,data!C:C,TABLEAU!D638,data!F:F,YEAR(Feuil1!$D$2))</f>
        <v>60</v>
      </c>
      <c r="L638" s="13">
        <f t="shared" si="38"/>
        <v>-24</v>
      </c>
      <c r="M638" s="12">
        <f t="shared" si="39"/>
        <v>-0.4</v>
      </c>
    </row>
    <row r="639" spans="1:13" x14ac:dyDescent="0.25">
      <c r="A639" s="17" t="str">
        <f>data!H1064</f>
        <v>VINICOM</v>
      </c>
      <c r="B639" s="15" t="str">
        <f>data!A1064</f>
        <v>080</v>
      </c>
      <c r="C639" s="1" t="str">
        <f>data!B1064</f>
        <v>DOMAINE DE ST PIERRE</v>
      </c>
      <c r="D639" s="1" t="str">
        <f>data!C1064</f>
        <v>080014</v>
      </c>
      <c r="E639" s="1" t="str">
        <f>data!D639</f>
        <v>AC ALSACE PINOT NOIR</v>
      </c>
      <c r="F639" s="14">
        <f>SUMIFS(data!G:G,data!A:A,TABLEAU!B639,data!C:C,TABLEAU!D639,data!F:F,YEAR(Feuil1!$D$1))</f>
        <v>134.4</v>
      </c>
      <c r="G639" s="9">
        <f>SUMIFS(data!G:G,data!A:A,TABLEAU!B639,data!C:C,TABLEAU!D639,data!F:F,YEAR(Feuil1!$D$2))</f>
        <v>177.6</v>
      </c>
      <c r="H639" s="9">
        <f t="shared" si="36"/>
        <v>-43.199999999999989</v>
      </c>
      <c r="I639" s="12">
        <f t="shared" si="37"/>
        <v>-0.24324324324324317</v>
      </c>
      <c r="J639" s="13">
        <f>SUMIFS(data!E:E,data!A:A,TABLEAU!B639,data!C:C,TABLEAU!D639,data!F:F,YEAR(Feuil1!$D$1))</f>
        <v>18</v>
      </c>
      <c r="K639" s="13">
        <f>SUMIFS(data!E:E,data!A:A,TABLEAU!B639,data!C:C,TABLEAU!D639,data!F:F,YEAR(Feuil1!$D$2))</f>
        <v>24</v>
      </c>
      <c r="L639" s="13">
        <f t="shared" si="38"/>
        <v>-6</v>
      </c>
      <c r="M639" s="12">
        <f t="shared" si="39"/>
        <v>-0.25</v>
      </c>
    </row>
    <row r="640" spans="1:13" x14ac:dyDescent="0.25">
      <c r="A640" s="17" t="str">
        <f>data!H1066</f>
        <v>VINICOM</v>
      </c>
      <c r="B640" s="15" t="str">
        <f>data!A1066</f>
        <v>080</v>
      </c>
      <c r="C640" s="1" t="str">
        <f>data!B1066</f>
        <v>DOMAINE DE ST PIERRE</v>
      </c>
      <c r="D640" s="1" t="str">
        <f>data!C1066</f>
        <v>080015</v>
      </c>
      <c r="E640" s="1" t="str">
        <f>data!D640</f>
        <v>AC ALSACE PINOT NOIR</v>
      </c>
      <c r="F640" s="14">
        <f>SUMIFS(data!G:G,data!A:A,TABLEAU!B640,data!C:C,TABLEAU!D640,data!F:F,YEAR(Feuil1!$D$1))</f>
        <v>3249</v>
      </c>
      <c r="G640" s="9">
        <f>SUMIFS(data!G:G,data!A:A,TABLEAU!B640,data!C:C,TABLEAU!D640,data!F:F,YEAR(Feuil1!$D$2))</f>
        <v>6652.8</v>
      </c>
      <c r="H640" s="9">
        <f t="shared" si="36"/>
        <v>-3403.8</v>
      </c>
      <c r="I640" s="12">
        <f t="shared" si="37"/>
        <v>-0.51163419913419916</v>
      </c>
      <c r="J640" s="13">
        <f>SUMIFS(data!E:E,data!A:A,TABLEAU!B640,data!C:C,TABLEAU!D640,data!F:F,YEAR(Feuil1!$D$1))</f>
        <v>492</v>
      </c>
      <c r="K640" s="13">
        <f>SUMIFS(data!E:E,data!A:A,TABLEAU!B640,data!C:C,TABLEAU!D640,data!F:F,YEAR(Feuil1!$D$2))</f>
        <v>1032</v>
      </c>
      <c r="L640" s="13">
        <f t="shared" si="38"/>
        <v>-540</v>
      </c>
      <c r="M640" s="12">
        <f t="shared" si="39"/>
        <v>-0.52325581395348841</v>
      </c>
    </row>
    <row r="641" spans="1:13" x14ac:dyDescent="0.25">
      <c r="A641" s="17" t="str">
        <f>data!H1068</f>
        <v>VINICOM</v>
      </c>
      <c r="B641" s="15" t="str">
        <f>data!A1068</f>
        <v>080</v>
      </c>
      <c r="C641" s="1" t="str">
        <f>data!B1068</f>
        <v>DOMAINE DE ST PIERRE</v>
      </c>
      <c r="D641" s="1" t="str">
        <f>data!C1068</f>
        <v>080016</v>
      </c>
      <c r="E641" s="1" t="str">
        <f>data!D641</f>
        <v>DOMAINE DUSSOURT AC GEWURZTRAMINER</v>
      </c>
      <c r="F641" s="14">
        <f>SUMIFS(data!G:G,data!A:A,TABLEAU!B641,data!C:C,TABLEAU!D641,data!F:F,YEAR(Feuil1!$D$1))</f>
        <v>558.6</v>
      </c>
      <c r="G641" s="9">
        <f>SUMIFS(data!G:G,data!A:A,TABLEAU!B641,data!C:C,TABLEAU!D641,data!F:F,YEAR(Feuil1!$D$2))</f>
        <v>850.85</v>
      </c>
      <c r="H641" s="9">
        <f t="shared" si="36"/>
        <v>-292.25</v>
      </c>
      <c r="I641" s="12">
        <f t="shared" si="37"/>
        <v>-0.34348004936240228</v>
      </c>
      <c r="J641" s="13">
        <f>SUMIFS(data!E:E,data!A:A,TABLEAU!B641,data!C:C,TABLEAU!D641,data!F:F,YEAR(Feuil1!$D$1))</f>
        <v>72</v>
      </c>
      <c r="K641" s="13">
        <f>SUMIFS(data!E:E,data!A:A,TABLEAU!B641,data!C:C,TABLEAU!D641,data!F:F,YEAR(Feuil1!$D$2))</f>
        <v>110.5</v>
      </c>
      <c r="L641" s="13">
        <f t="shared" si="38"/>
        <v>-38.5</v>
      </c>
      <c r="M641" s="12">
        <f t="shared" si="39"/>
        <v>-0.34841628959276016</v>
      </c>
    </row>
    <row r="642" spans="1:13" x14ac:dyDescent="0.25">
      <c r="A642" s="17" t="str">
        <f>data!H1070</f>
        <v>VINICOM</v>
      </c>
      <c r="B642" s="15" t="str">
        <f>data!A1070</f>
        <v>083</v>
      </c>
      <c r="C642" s="1" t="str">
        <f>data!B1070</f>
        <v>LES TERROIRS D'OCCITANIE</v>
      </c>
      <c r="D642" s="1" t="str">
        <f>data!C1070</f>
        <v>083003</v>
      </c>
      <c r="E642" s="1" t="str">
        <f>data!D642</f>
        <v>DOMAINE DUSSOURT AC GEWURZTRAMINER</v>
      </c>
      <c r="F642" s="14">
        <f>SUMIFS(data!G:G,data!A:A,TABLEAU!B642,data!C:C,TABLEAU!D642,data!F:F,YEAR(Feuil1!$D$1))</f>
        <v>4149.1499999999996</v>
      </c>
      <c r="G642" s="9">
        <f>SUMIFS(data!G:G,data!A:A,TABLEAU!B642,data!C:C,TABLEAU!D642,data!F:F,YEAR(Feuil1!$D$2))</f>
        <v>4244.1000000000004</v>
      </c>
      <c r="H642" s="9">
        <f t="shared" si="36"/>
        <v>-94.950000000000728</v>
      </c>
      <c r="I642" s="12">
        <f t="shared" si="37"/>
        <v>-2.2372234395985183E-2</v>
      </c>
      <c r="J642" s="13">
        <f>SUMIFS(data!E:E,data!A:A,TABLEAU!B642,data!C:C,TABLEAU!D642,data!F:F,YEAR(Feuil1!$D$1))</f>
        <v>1968</v>
      </c>
      <c r="K642" s="13">
        <f>SUMIFS(data!E:E,data!A:A,TABLEAU!B642,data!C:C,TABLEAU!D642,data!F:F,YEAR(Feuil1!$D$2))</f>
        <v>2040</v>
      </c>
      <c r="L642" s="13">
        <f t="shared" si="38"/>
        <v>-72</v>
      </c>
      <c r="M642" s="12">
        <f t="shared" si="39"/>
        <v>-3.5294117647058823E-2</v>
      </c>
    </row>
    <row r="643" spans="1:13" x14ac:dyDescent="0.25">
      <c r="A643" s="17" t="str">
        <f>data!H1072</f>
        <v>VINICOM</v>
      </c>
      <c r="B643" s="15" t="str">
        <f>data!A1072</f>
        <v>084</v>
      </c>
      <c r="C643" s="1" t="str">
        <f>data!B1072</f>
        <v>VIGNOBLE CASTELMAURE</v>
      </c>
      <c r="D643" s="1" t="str">
        <f>data!C1072</f>
        <v>084001</v>
      </c>
      <c r="E643" s="1" t="str">
        <f>data!D643</f>
        <v>AC GEWURZTRAMINER VENDANGES TARDIVES</v>
      </c>
      <c r="F643" s="14">
        <f>SUMIFS(data!G:G,data!A:A,TABLEAU!B643,data!C:C,TABLEAU!D643,data!F:F,YEAR(Feuil1!$D$1))</f>
        <v>13006.75</v>
      </c>
      <c r="G643" s="9">
        <f>SUMIFS(data!G:G,data!A:A,TABLEAU!B643,data!C:C,TABLEAU!D643,data!F:F,YEAR(Feuil1!$D$2))</f>
        <v>12977</v>
      </c>
      <c r="H643" s="9">
        <f t="shared" ref="H643:H706" si="40">F643-G643</f>
        <v>29.75</v>
      </c>
      <c r="I643" s="12">
        <f t="shared" ref="I643:I706" si="41">IF(ISERR(H643/G643),"",H643/G643)</f>
        <v>2.2925175310164136E-3</v>
      </c>
      <c r="J643" s="13">
        <f>SUMIFS(data!E:E,data!A:A,TABLEAU!B643,data!C:C,TABLEAU!D643,data!F:F,YEAR(Feuil1!$D$1))</f>
        <v>9037.7399999999889</v>
      </c>
      <c r="K643" s="13">
        <f>SUMIFS(data!E:E,data!A:A,TABLEAU!B643,data!C:C,TABLEAU!D643,data!F:F,YEAR(Feuil1!$D$2))</f>
        <v>9211.0299999999897</v>
      </c>
      <c r="L643" s="13">
        <f t="shared" ref="L643:L706" si="42">J643-K643</f>
        <v>-173.29000000000087</v>
      </c>
      <c r="M643" s="12">
        <f t="shared" ref="M643:M706" si="43">IF(ISERR(L643/K643),"",L643/K643)</f>
        <v>-1.8813314037626743E-2</v>
      </c>
    </row>
    <row r="644" spans="1:13" x14ac:dyDescent="0.25">
      <c r="A644" s="17" t="str">
        <f>data!H1074</f>
        <v>VINICOM</v>
      </c>
      <c r="B644" s="15" t="str">
        <f>data!A1074</f>
        <v>084</v>
      </c>
      <c r="C644" s="1" t="str">
        <f>data!B1074</f>
        <v>VIGNOBLE CASTELMAURE</v>
      </c>
      <c r="D644" s="1" t="str">
        <f>data!C1074</f>
        <v>084002</v>
      </c>
      <c r="E644" s="1" t="str">
        <f>data!D644</f>
        <v>AC GEWURZTRAMINER VENDANGES TARDIVES</v>
      </c>
      <c r="F644" s="14">
        <f>SUMIFS(data!G:G,data!A:A,TABLEAU!B644,data!C:C,TABLEAU!D644,data!F:F,YEAR(Feuil1!$D$1))</f>
        <v>18197.8</v>
      </c>
      <c r="G644" s="9">
        <f>SUMIFS(data!G:G,data!A:A,TABLEAU!B644,data!C:C,TABLEAU!D644,data!F:F,YEAR(Feuil1!$D$2))</f>
        <v>17853.55</v>
      </c>
      <c r="H644" s="9">
        <f t="shared" si="40"/>
        <v>344.25</v>
      </c>
      <c r="I644" s="12">
        <f t="shared" si="41"/>
        <v>1.9281879514158249E-2</v>
      </c>
      <c r="J644" s="13">
        <f>SUMIFS(data!E:E,data!A:A,TABLEAU!B644,data!C:C,TABLEAU!D644,data!F:F,YEAR(Feuil1!$D$1))</f>
        <v>11038.850000000031</v>
      </c>
      <c r="K644" s="13">
        <f>SUMIFS(data!E:E,data!A:A,TABLEAU!B644,data!C:C,TABLEAU!D644,data!F:F,YEAR(Feuil1!$D$2))</f>
        <v>11018.840000000027</v>
      </c>
      <c r="L644" s="13">
        <f t="shared" si="42"/>
        <v>20.010000000003856</v>
      </c>
      <c r="M644" s="12">
        <f t="shared" si="43"/>
        <v>1.8159806295402971E-3</v>
      </c>
    </row>
    <row r="645" spans="1:13" x14ac:dyDescent="0.25">
      <c r="A645" s="17" t="str">
        <f>data!H1076</f>
        <v>VINICOM</v>
      </c>
      <c r="B645" s="15" t="str">
        <f>data!A1076</f>
        <v>084</v>
      </c>
      <c r="C645" s="1" t="str">
        <f>data!B1076</f>
        <v>VIGNOBLE CASTELMAURE</v>
      </c>
      <c r="D645" s="1" t="str">
        <f>data!C1076</f>
        <v>084004</v>
      </c>
      <c r="E645" s="1" t="str">
        <f>data!D645</f>
        <v>AC RIESLING SCHERWILLER PRESTIGE</v>
      </c>
      <c r="F645" s="14">
        <f>SUMIFS(data!G:G,data!A:A,TABLEAU!B645,data!C:C,TABLEAU!D645,data!F:F,YEAR(Feuil1!$D$1))</f>
        <v>3341.1</v>
      </c>
      <c r="G645" s="9">
        <f>SUMIFS(data!G:G,data!A:A,TABLEAU!B645,data!C:C,TABLEAU!D645,data!F:F,YEAR(Feuil1!$D$2))</f>
        <v>2595.3000000000002</v>
      </c>
      <c r="H645" s="9">
        <f t="shared" si="40"/>
        <v>745.79999999999973</v>
      </c>
      <c r="I645" s="12">
        <f t="shared" si="41"/>
        <v>0.28736562247139047</v>
      </c>
      <c r="J645" s="13">
        <f>SUMIFS(data!E:E,data!A:A,TABLEAU!B645,data!C:C,TABLEAU!D645,data!F:F,YEAR(Feuil1!$D$1))</f>
        <v>1626</v>
      </c>
      <c r="K645" s="13">
        <f>SUMIFS(data!E:E,data!A:A,TABLEAU!B645,data!C:C,TABLEAU!D645,data!F:F,YEAR(Feuil1!$D$2))</f>
        <v>1272</v>
      </c>
      <c r="L645" s="13">
        <f t="shared" si="42"/>
        <v>354</v>
      </c>
      <c r="M645" s="12">
        <f t="shared" si="43"/>
        <v>0.27830188679245282</v>
      </c>
    </row>
    <row r="646" spans="1:13" x14ac:dyDescent="0.25">
      <c r="A646" s="17" t="str">
        <f>data!H1078</f>
        <v>VINICOM</v>
      </c>
      <c r="B646" s="15" t="str">
        <f>data!A1078</f>
        <v>084</v>
      </c>
      <c r="C646" s="1" t="str">
        <f>data!B1078</f>
        <v>VIGNOBLE CASTELMAURE</v>
      </c>
      <c r="D646" s="1" t="str">
        <f>data!C1078</f>
        <v>084005</v>
      </c>
      <c r="E646" s="1" t="str">
        <f>data!D646</f>
        <v>AC GEWURZTRAMINER</v>
      </c>
      <c r="F646" s="14">
        <f>SUMIFS(data!G:G,data!A:A,TABLEAU!B646,data!C:C,TABLEAU!D646,data!F:F,YEAR(Feuil1!$D$1))</f>
        <v>0</v>
      </c>
      <c r="G646" s="9">
        <f>SUMIFS(data!G:G,data!A:A,TABLEAU!B646,data!C:C,TABLEAU!D646,data!F:F,YEAR(Feuil1!$D$2))</f>
        <v>2730.6</v>
      </c>
      <c r="H646" s="9">
        <f t="shared" si="40"/>
        <v>-2730.6</v>
      </c>
      <c r="I646" s="12">
        <f t="shared" si="41"/>
        <v>-1</v>
      </c>
      <c r="J646" s="13">
        <f>SUMIFS(data!E:E,data!A:A,TABLEAU!B646,data!C:C,TABLEAU!D646,data!F:F,YEAR(Feuil1!$D$1))</f>
        <v>0</v>
      </c>
      <c r="K646" s="13">
        <f>SUMIFS(data!E:E,data!A:A,TABLEAU!B646,data!C:C,TABLEAU!D646,data!F:F,YEAR(Feuil1!$D$2))</f>
        <v>1344</v>
      </c>
      <c r="L646" s="13">
        <f t="shared" si="42"/>
        <v>-1344</v>
      </c>
      <c r="M646" s="12">
        <f t="shared" si="43"/>
        <v>-1</v>
      </c>
    </row>
    <row r="647" spans="1:13" x14ac:dyDescent="0.25">
      <c r="A647" s="17" t="str">
        <f>data!H1079</f>
        <v>VINICOM</v>
      </c>
      <c r="B647" s="15" t="str">
        <f>data!A1079</f>
        <v>084</v>
      </c>
      <c r="C647" s="1" t="str">
        <f>data!B1079</f>
        <v>VIGNOBLE CASTELMAURE</v>
      </c>
      <c r="D647" s="1" t="str">
        <f>data!C1079</f>
        <v>084006</v>
      </c>
      <c r="E647" s="1" t="str">
        <f>data!D647</f>
        <v>DOM CHATELAIN AC POUILLY FUME</v>
      </c>
      <c r="F647" s="14">
        <f>SUMIFS(data!G:G,data!A:A,TABLEAU!B647,data!C:C,TABLEAU!D647,data!F:F,YEAR(Feuil1!$D$1))</f>
        <v>29718.35</v>
      </c>
      <c r="G647" s="9">
        <f>SUMIFS(data!G:G,data!A:A,TABLEAU!B647,data!C:C,TABLEAU!D647,data!F:F,YEAR(Feuil1!$D$2))</f>
        <v>25158.6</v>
      </c>
      <c r="H647" s="9">
        <f t="shared" si="40"/>
        <v>4559.75</v>
      </c>
      <c r="I647" s="12">
        <f t="shared" si="41"/>
        <v>0.18124021209447266</v>
      </c>
      <c r="J647" s="13">
        <f>SUMIFS(data!E:E,data!A:A,TABLEAU!B647,data!C:C,TABLEAU!D647,data!F:F,YEAR(Feuil1!$D$1))</f>
        <v>11034</v>
      </c>
      <c r="K647" s="13">
        <f>SUMIFS(data!E:E,data!A:A,TABLEAU!B647,data!C:C,TABLEAU!D647,data!F:F,YEAR(Feuil1!$D$2))</f>
        <v>9354</v>
      </c>
      <c r="L647" s="13">
        <f t="shared" si="42"/>
        <v>1680</v>
      </c>
      <c r="M647" s="12">
        <f t="shared" si="43"/>
        <v>0.17960230917254649</v>
      </c>
    </row>
    <row r="648" spans="1:13" x14ac:dyDescent="0.25">
      <c r="A648" s="17" t="str">
        <f>data!H1081</f>
        <v>VINICOM</v>
      </c>
      <c r="B648" s="15" t="str">
        <f>data!A1081</f>
        <v>084</v>
      </c>
      <c r="C648" s="1" t="str">
        <f>data!B1081</f>
        <v>VIGNOBLE CASTELMAURE</v>
      </c>
      <c r="D648" s="1" t="str">
        <f>data!C1081</f>
        <v>084007</v>
      </c>
      <c r="E648" s="1" t="str">
        <f>data!D648</f>
        <v>DOM CHATELAIN AC POUILLY FUME</v>
      </c>
      <c r="F648" s="14">
        <f>SUMIFS(data!G:G,data!A:A,TABLEAU!B648,data!C:C,TABLEAU!D648,data!F:F,YEAR(Feuil1!$D$1))</f>
        <v>9947.4</v>
      </c>
      <c r="G648" s="9">
        <f>SUMIFS(data!G:G,data!A:A,TABLEAU!B648,data!C:C,TABLEAU!D648,data!F:F,YEAR(Feuil1!$D$2))</f>
        <v>10952.7</v>
      </c>
      <c r="H648" s="9">
        <f t="shared" si="40"/>
        <v>-1005.3000000000011</v>
      </c>
      <c r="I648" s="12">
        <f t="shared" si="41"/>
        <v>-9.1785587115505857E-2</v>
      </c>
      <c r="J648" s="13">
        <f>SUMIFS(data!E:E,data!A:A,TABLEAU!B648,data!C:C,TABLEAU!D648,data!F:F,YEAR(Feuil1!$D$1))</f>
        <v>2202</v>
      </c>
      <c r="K648" s="13">
        <f>SUMIFS(data!E:E,data!A:A,TABLEAU!B648,data!C:C,TABLEAU!D648,data!F:F,YEAR(Feuil1!$D$2))</f>
        <v>2466</v>
      </c>
      <c r="L648" s="13">
        <f t="shared" si="42"/>
        <v>-264</v>
      </c>
      <c r="M648" s="12">
        <f t="shared" si="43"/>
        <v>-0.1070559610705596</v>
      </c>
    </row>
    <row r="649" spans="1:13" x14ac:dyDescent="0.25">
      <c r="A649" s="17" t="str">
        <f>data!H1083</f>
        <v>VINICOM</v>
      </c>
      <c r="B649" s="15" t="str">
        <f>data!A1083</f>
        <v>084</v>
      </c>
      <c r="C649" s="1" t="str">
        <f>data!B1083</f>
        <v>VIGNOBLE CASTELMAURE</v>
      </c>
      <c r="D649" s="1" t="str">
        <f>data!C1083</f>
        <v>084008</v>
      </c>
      <c r="E649" s="1" t="str">
        <f>data!D649</f>
        <v>DOM CHATELAIN AC POUILLY FUME</v>
      </c>
      <c r="F649" s="14">
        <f>SUMIFS(data!G:G,data!A:A,TABLEAU!B649,data!C:C,TABLEAU!D649,data!F:F,YEAR(Feuil1!$D$1))</f>
        <v>2216.7600000000002</v>
      </c>
      <c r="G649" s="9">
        <f>SUMIFS(data!G:G,data!A:A,TABLEAU!B649,data!C:C,TABLEAU!D649,data!F:F,YEAR(Feuil1!$D$2))</f>
        <v>2175.12</v>
      </c>
      <c r="H649" s="9">
        <f t="shared" si="40"/>
        <v>41.640000000000327</v>
      </c>
      <c r="I649" s="12">
        <f t="shared" si="41"/>
        <v>1.9143771378131013E-2</v>
      </c>
      <c r="J649" s="13">
        <f>SUMIFS(data!E:E,data!A:A,TABLEAU!B649,data!C:C,TABLEAU!D649,data!F:F,YEAR(Feuil1!$D$1))</f>
        <v>390</v>
      </c>
      <c r="K649" s="13">
        <f>SUMIFS(data!E:E,data!A:A,TABLEAU!B649,data!C:C,TABLEAU!D649,data!F:F,YEAR(Feuil1!$D$2))</f>
        <v>378</v>
      </c>
      <c r="L649" s="13">
        <f t="shared" si="42"/>
        <v>12</v>
      </c>
      <c r="M649" s="12">
        <f t="shared" si="43"/>
        <v>3.1746031746031744E-2</v>
      </c>
    </row>
    <row r="650" spans="1:13" x14ac:dyDescent="0.25">
      <c r="A650" s="17" t="str">
        <f>data!H1085</f>
        <v>VINICOM</v>
      </c>
      <c r="B650" s="15" t="str">
        <f>data!A1085</f>
        <v>084</v>
      </c>
      <c r="C650" s="1" t="str">
        <f>data!B1085</f>
        <v>VIGNOBLE CASTELMAURE</v>
      </c>
      <c r="D650" s="1" t="str">
        <f>data!C1085</f>
        <v>084010</v>
      </c>
      <c r="E650" s="1" t="str">
        <f>data!D650</f>
        <v>DOM CHATELAIN AC POUILLY FUME</v>
      </c>
      <c r="F650" s="14">
        <f>SUMIFS(data!G:G,data!A:A,TABLEAU!B650,data!C:C,TABLEAU!D650,data!F:F,YEAR(Feuil1!$D$1))</f>
        <v>223.2</v>
      </c>
      <c r="G650" s="9">
        <f>SUMIFS(data!G:G,data!A:A,TABLEAU!B650,data!C:C,TABLEAU!D650,data!F:F,YEAR(Feuil1!$D$2))</f>
        <v>297.60000000000002</v>
      </c>
      <c r="H650" s="9">
        <f t="shared" si="40"/>
        <v>-74.400000000000034</v>
      </c>
      <c r="I650" s="12">
        <f t="shared" si="41"/>
        <v>-0.25000000000000011</v>
      </c>
      <c r="J650" s="13">
        <f>SUMIFS(data!E:E,data!A:A,TABLEAU!B650,data!C:C,TABLEAU!D650,data!F:F,YEAR(Feuil1!$D$1))</f>
        <v>36</v>
      </c>
      <c r="K650" s="13">
        <f>SUMIFS(data!E:E,data!A:A,TABLEAU!B650,data!C:C,TABLEAU!D650,data!F:F,YEAR(Feuil1!$D$2))</f>
        <v>48</v>
      </c>
      <c r="L650" s="13">
        <f t="shared" si="42"/>
        <v>-12</v>
      </c>
      <c r="M650" s="12">
        <f t="shared" si="43"/>
        <v>-0.25</v>
      </c>
    </row>
    <row r="651" spans="1:13" x14ac:dyDescent="0.25">
      <c r="A651" s="17" t="str">
        <f>data!H1087</f>
        <v>VINICOM</v>
      </c>
      <c r="B651" s="15" t="str">
        <f>data!A1087</f>
        <v>084</v>
      </c>
      <c r="C651" s="1" t="str">
        <f>data!B1087</f>
        <v>VIGNOBLE CASTELMAURE</v>
      </c>
      <c r="D651" s="1" t="str">
        <f>data!C1087</f>
        <v>084015</v>
      </c>
      <c r="E651" s="1" t="str">
        <f>data!D651</f>
        <v>AC VOUVRAY SEC.C.SILEX  V.CHEV</v>
      </c>
      <c r="F651" s="14">
        <f>SUMIFS(data!G:G,data!A:A,TABLEAU!B651,data!C:C,TABLEAU!D651,data!F:F,YEAR(Feuil1!$D$1))</f>
        <v>3600</v>
      </c>
      <c r="G651" s="9">
        <f>SUMIFS(data!G:G,data!A:A,TABLEAU!B651,data!C:C,TABLEAU!D651,data!F:F,YEAR(Feuil1!$D$2))</f>
        <v>3777.6</v>
      </c>
      <c r="H651" s="9">
        <f t="shared" si="40"/>
        <v>-177.59999999999991</v>
      </c>
      <c r="I651" s="12">
        <f t="shared" si="41"/>
        <v>-4.7013977128335431E-2</v>
      </c>
      <c r="J651" s="13">
        <f>SUMIFS(data!E:E,data!A:A,TABLEAU!B651,data!C:C,TABLEAU!D651,data!F:F,YEAR(Feuil1!$D$1))</f>
        <v>348</v>
      </c>
      <c r="K651" s="13">
        <f>SUMIFS(data!E:E,data!A:A,TABLEAU!B651,data!C:C,TABLEAU!D651,data!F:F,YEAR(Feuil1!$D$2))</f>
        <v>366</v>
      </c>
      <c r="L651" s="13">
        <f t="shared" si="42"/>
        <v>-18</v>
      </c>
      <c r="M651" s="12">
        <f t="shared" si="43"/>
        <v>-4.9180327868852458E-2</v>
      </c>
    </row>
    <row r="652" spans="1:13" x14ac:dyDescent="0.25">
      <c r="A652" s="17" t="str">
        <f>data!H1089</f>
        <v>VINICOM</v>
      </c>
      <c r="B652" s="15" t="str">
        <f>data!A1089</f>
        <v>084</v>
      </c>
      <c r="C652" s="1" t="str">
        <f>data!B1089</f>
        <v>VIGNOBLE CASTELMAURE</v>
      </c>
      <c r="D652" s="1" t="str">
        <f>data!C1089</f>
        <v>084016</v>
      </c>
      <c r="E652" s="1" t="str">
        <f>data!D652</f>
        <v>AC VOUVRAY SEC.C.SILEX  V.CHEV</v>
      </c>
      <c r="F652" s="14">
        <f>SUMIFS(data!G:G,data!A:A,TABLEAU!B652,data!C:C,TABLEAU!D652,data!F:F,YEAR(Feuil1!$D$1))</f>
        <v>0</v>
      </c>
      <c r="G652" s="9">
        <f>SUMIFS(data!G:G,data!A:A,TABLEAU!B652,data!C:C,TABLEAU!D652,data!F:F,YEAR(Feuil1!$D$2))</f>
        <v>2400</v>
      </c>
      <c r="H652" s="9">
        <f t="shared" si="40"/>
        <v>-2400</v>
      </c>
      <c r="I652" s="12">
        <f t="shared" si="41"/>
        <v>-1</v>
      </c>
      <c r="J652" s="13">
        <f>SUMIFS(data!E:E,data!A:A,TABLEAU!B652,data!C:C,TABLEAU!D652,data!F:F,YEAR(Feuil1!$D$1))</f>
        <v>0</v>
      </c>
      <c r="K652" s="13">
        <f>SUMIFS(data!E:E,data!A:A,TABLEAU!B652,data!C:C,TABLEAU!D652,data!F:F,YEAR(Feuil1!$D$2))</f>
        <v>600</v>
      </c>
      <c r="L652" s="13">
        <f t="shared" si="42"/>
        <v>-600</v>
      </c>
      <c r="M652" s="12">
        <f t="shared" si="43"/>
        <v>-1</v>
      </c>
    </row>
    <row r="653" spans="1:13" x14ac:dyDescent="0.25">
      <c r="A653" s="17" t="str">
        <f>data!H1090</f>
        <v>VINICOM</v>
      </c>
      <c r="B653" s="15" t="str">
        <f>data!A1090</f>
        <v>084</v>
      </c>
      <c r="C653" s="1" t="str">
        <f>data!B1090</f>
        <v>VIGNOBLE CASTELMAURE</v>
      </c>
      <c r="D653" s="1" t="str">
        <f>data!C1090</f>
        <v>084017</v>
      </c>
      <c r="E653" s="1" t="str">
        <f>data!D653</f>
        <v>AC VOUVRAY METH TRAD BRUT. V. CHEV BIO</v>
      </c>
      <c r="F653" s="14">
        <f>SUMIFS(data!G:G,data!A:A,TABLEAU!B653,data!C:C,TABLEAU!D653,data!F:F,YEAR(Feuil1!$D$1))</f>
        <v>0</v>
      </c>
      <c r="G653" s="9">
        <f>SUMIFS(data!G:G,data!A:A,TABLEAU!B653,data!C:C,TABLEAU!D653,data!F:F,YEAR(Feuil1!$D$2))</f>
        <v>576</v>
      </c>
      <c r="H653" s="9">
        <f t="shared" si="40"/>
        <v>-576</v>
      </c>
      <c r="I653" s="12">
        <f t="shared" si="41"/>
        <v>-1</v>
      </c>
      <c r="J653" s="13">
        <f>SUMIFS(data!E:E,data!A:A,TABLEAU!B653,data!C:C,TABLEAU!D653,data!F:F,YEAR(Feuil1!$D$1))</f>
        <v>0</v>
      </c>
      <c r="K653" s="13">
        <f>SUMIFS(data!E:E,data!A:A,TABLEAU!B653,data!C:C,TABLEAU!D653,data!F:F,YEAR(Feuil1!$D$2))</f>
        <v>144</v>
      </c>
      <c r="L653" s="13">
        <f t="shared" si="42"/>
        <v>-144</v>
      </c>
      <c r="M653" s="12">
        <f t="shared" si="43"/>
        <v>-1</v>
      </c>
    </row>
    <row r="654" spans="1:13" x14ac:dyDescent="0.25">
      <c r="A654" s="17" t="str">
        <f>data!H1091</f>
        <v>VINICOM</v>
      </c>
      <c r="B654" s="15" t="str">
        <f>data!A1091</f>
        <v>084</v>
      </c>
      <c r="C654" s="1" t="str">
        <f>data!B1091</f>
        <v>VIGNOBLE CASTELMAURE</v>
      </c>
      <c r="D654" s="1" t="str">
        <f>data!C1091</f>
        <v>084018</v>
      </c>
      <c r="E654" s="1" t="str">
        <f>data!D654</f>
        <v>AC VOUVRAY CLOS DE ROUGEMONT VIGNEAU CHEVREAU</v>
      </c>
      <c r="F654" s="14">
        <f>SUMIFS(data!G:G,data!A:A,TABLEAU!B654,data!C:C,TABLEAU!D654,data!F:F,YEAR(Feuil1!$D$1))</f>
        <v>0</v>
      </c>
      <c r="G654" s="9">
        <f>SUMIFS(data!G:G,data!A:A,TABLEAU!B654,data!C:C,TABLEAU!D654,data!F:F,YEAR(Feuil1!$D$2))</f>
        <v>1635.6</v>
      </c>
      <c r="H654" s="9">
        <f t="shared" si="40"/>
        <v>-1635.6</v>
      </c>
      <c r="I654" s="12">
        <f t="shared" si="41"/>
        <v>-1</v>
      </c>
      <c r="J654" s="13">
        <f>SUMIFS(data!E:E,data!A:A,TABLEAU!B654,data!C:C,TABLEAU!D654,data!F:F,YEAR(Feuil1!$D$1))</f>
        <v>0</v>
      </c>
      <c r="K654" s="13">
        <f>SUMIFS(data!E:E,data!A:A,TABLEAU!B654,data!C:C,TABLEAU!D654,data!F:F,YEAR(Feuil1!$D$2))</f>
        <v>564</v>
      </c>
      <c r="L654" s="13">
        <f t="shared" si="42"/>
        <v>-564</v>
      </c>
      <c r="M654" s="12">
        <f t="shared" si="43"/>
        <v>-1</v>
      </c>
    </row>
    <row r="655" spans="1:13" x14ac:dyDescent="0.25">
      <c r="A655" s="17" t="str">
        <f>data!H1092</f>
        <v>VINICOM</v>
      </c>
      <c r="B655" s="15" t="str">
        <f>data!A1092</f>
        <v>084</v>
      </c>
      <c r="C655" s="1" t="str">
        <f>data!B1092</f>
        <v>VIGNOBLE CASTELMAURE</v>
      </c>
      <c r="D655" s="1" t="str">
        <f>data!C1092</f>
        <v>084019</v>
      </c>
      <c r="E655" s="1" t="str">
        <f>data!D655</f>
        <v>AC VOUVRAY CLOS DE ROUGEMONT VIGNEAU CHEVREAU</v>
      </c>
      <c r="F655" s="14">
        <f>SUMIFS(data!G:G,data!A:A,TABLEAU!B655,data!C:C,TABLEAU!D655,data!F:F,YEAR(Feuil1!$D$1))</f>
        <v>0</v>
      </c>
      <c r="G655" s="9">
        <f>SUMIFS(data!G:G,data!A:A,TABLEAU!B655,data!C:C,TABLEAU!D655,data!F:F,YEAR(Feuil1!$D$2))</f>
        <v>417.6</v>
      </c>
      <c r="H655" s="9">
        <f t="shared" si="40"/>
        <v>-417.6</v>
      </c>
      <c r="I655" s="12">
        <f t="shared" si="41"/>
        <v>-1</v>
      </c>
      <c r="J655" s="13">
        <f>SUMIFS(data!E:E,data!A:A,TABLEAU!B655,data!C:C,TABLEAU!D655,data!F:F,YEAR(Feuil1!$D$1))</f>
        <v>0</v>
      </c>
      <c r="K655" s="13">
        <f>SUMIFS(data!E:E,data!A:A,TABLEAU!B655,data!C:C,TABLEAU!D655,data!F:F,YEAR(Feuil1!$D$2))</f>
        <v>144</v>
      </c>
      <c r="L655" s="13">
        <f t="shared" si="42"/>
        <v>-144</v>
      </c>
      <c r="M655" s="12">
        <f t="shared" si="43"/>
        <v>-1</v>
      </c>
    </row>
    <row r="656" spans="1:13" x14ac:dyDescent="0.25">
      <c r="A656" s="17" t="str">
        <f>data!H1093</f>
        <v>VINICOM</v>
      </c>
      <c r="B656" s="15" t="str">
        <f>data!A1093</f>
        <v>084</v>
      </c>
      <c r="C656" s="1" t="str">
        <f>data!B1093</f>
        <v>VIGNOBLE CASTELMAURE</v>
      </c>
      <c r="D656" s="1" t="str">
        <f>data!C1093</f>
        <v>084032</v>
      </c>
      <c r="E656" s="1" t="str">
        <f>data!D656</f>
        <v>AOP VOUVRAY MOELLEUX GAILLARD</v>
      </c>
      <c r="F656" s="14">
        <f>SUMIFS(data!G:G,data!A:A,TABLEAU!B656,data!C:C,TABLEAU!D656,data!F:F,YEAR(Feuil1!$D$1))</f>
        <v>1218.5999999999999</v>
      </c>
      <c r="G656" s="9">
        <f>SUMIFS(data!G:G,data!A:A,TABLEAU!B656,data!C:C,TABLEAU!D656,data!F:F,YEAR(Feuil1!$D$2))</f>
        <v>648</v>
      </c>
      <c r="H656" s="9">
        <f t="shared" si="40"/>
        <v>570.59999999999991</v>
      </c>
      <c r="I656" s="12">
        <f t="shared" si="41"/>
        <v>0.88055555555555542</v>
      </c>
      <c r="J656" s="13">
        <f>SUMIFS(data!E:E,data!A:A,TABLEAU!B656,data!C:C,TABLEAU!D656,data!F:F,YEAR(Feuil1!$D$1))</f>
        <v>444</v>
      </c>
      <c r="K656" s="13">
        <f>SUMIFS(data!E:E,data!A:A,TABLEAU!B656,data!C:C,TABLEAU!D656,data!F:F,YEAR(Feuil1!$D$2))</f>
        <v>252</v>
      </c>
      <c r="L656" s="13">
        <f t="shared" si="42"/>
        <v>192</v>
      </c>
      <c r="M656" s="12">
        <f t="shared" si="43"/>
        <v>0.76190476190476186</v>
      </c>
    </row>
    <row r="657" spans="1:13" x14ac:dyDescent="0.25">
      <c r="A657" s="17" t="str">
        <f>data!H1095</f>
        <v>VINICOM</v>
      </c>
      <c r="B657" s="15" t="str">
        <f>data!A1095</f>
        <v>084</v>
      </c>
      <c r="C657" s="1" t="str">
        <f>data!B1095</f>
        <v>VIGNOBLE CASTELMAURE</v>
      </c>
      <c r="D657" s="1" t="str">
        <f>data!C1095</f>
        <v>084035</v>
      </c>
      <c r="E657" s="1" t="str">
        <f>data!D657</f>
        <v>AC VOUVRAY METH TRAD BRUT  D.CHATAIGNERAIE</v>
      </c>
      <c r="F657" s="14">
        <f>SUMIFS(data!G:G,data!A:A,TABLEAU!B657,data!C:C,TABLEAU!D657,data!F:F,YEAR(Feuil1!$D$1))</f>
        <v>0</v>
      </c>
      <c r="G657" s="9">
        <f>SUMIFS(data!G:G,data!A:A,TABLEAU!B657,data!C:C,TABLEAU!D657,data!F:F,YEAR(Feuil1!$D$2))</f>
        <v>0</v>
      </c>
      <c r="H657" s="9">
        <f t="shared" si="40"/>
        <v>0</v>
      </c>
      <c r="I657" s="12" t="str">
        <f t="shared" si="41"/>
        <v/>
      </c>
      <c r="J657" s="13">
        <f>SUMIFS(data!E:E,data!A:A,TABLEAU!B657,data!C:C,TABLEAU!D657,data!F:F,YEAR(Feuil1!$D$1))</f>
        <v>0</v>
      </c>
      <c r="K657" s="13">
        <f>SUMIFS(data!E:E,data!A:A,TABLEAU!B657,data!C:C,TABLEAU!D657,data!F:F,YEAR(Feuil1!$D$2))</f>
        <v>6</v>
      </c>
      <c r="L657" s="13">
        <f t="shared" si="42"/>
        <v>-6</v>
      </c>
      <c r="M657" s="12">
        <f t="shared" si="43"/>
        <v>-1</v>
      </c>
    </row>
    <row r="658" spans="1:13" x14ac:dyDescent="0.25">
      <c r="A658" s="17" t="str">
        <f>data!H1096</f>
        <v>VINICOM</v>
      </c>
      <c r="B658" s="15" t="str">
        <f>data!A1096</f>
        <v>084</v>
      </c>
      <c r="C658" s="1" t="str">
        <f>data!B1096</f>
        <v>VIGNOBLE CASTELMAURE</v>
      </c>
      <c r="D658" s="1" t="str">
        <f>data!C1096</f>
        <v>084037</v>
      </c>
      <c r="E658" s="1" t="str">
        <f>data!D658</f>
        <v>AC VOUVRAY METH TRAD BRUT  D.CHATAIGNERAIE</v>
      </c>
      <c r="F658" s="14">
        <f>SUMIFS(data!G:G,data!A:A,TABLEAU!B658,data!C:C,TABLEAU!D658,data!F:F,YEAR(Feuil1!$D$1))</f>
        <v>85.5</v>
      </c>
      <c r="G658" s="9">
        <f>SUMIFS(data!G:G,data!A:A,TABLEAU!B658,data!C:C,TABLEAU!D658,data!F:F,YEAR(Feuil1!$D$2))</f>
        <v>102.6</v>
      </c>
      <c r="H658" s="9">
        <f t="shared" si="40"/>
        <v>-17.099999999999994</v>
      </c>
      <c r="I658" s="12">
        <f t="shared" si="41"/>
        <v>-0.16666666666666663</v>
      </c>
      <c r="J658" s="13">
        <f>SUMIFS(data!E:E,data!A:A,TABLEAU!B658,data!C:C,TABLEAU!D658,data!F:F,YEAR(Feuil1!$D$1))</f>
        <v>30</v>
      </c>
      <c r="K658" s="13">
        <f>SUMIFS(data!E:E,data!A:A,TABLEAU!B658,data!C:C,TABLEAU!D658,data!F:F,YEAR(Feuil1!$D$2))</f>
        <v>42</v>
      </c>
      <c r="L658" s="13">
        <f t="shared" si="42"/>
        <v>-12</v>
      </c>
      <c r="M658" s="12">
        <f t="shared" si="43"/>
        <v>-0.2857142857142857</v>
      </c>
    </row>
    <row r="659" spans="1:13" x14ac:dyDescent="0.25">
      <c r="A659" s="17" t="str">
        <f>data!H1098</f>
        <v>VINICOM</v>
      </c>
      <c r="B659" s="15" t="str">
        <f>data!A1098</f>
        <v>084</v>
      </c>
      <c r="C659" s="1" t="str">
        <f>data!B1098</f>
        <v>VIGNOBLE CASTELMAURE</v>
      </c>
      <c r="D659" s="1" t="str">
        <f>data!C1098</f>
        <v>084039</v>
      </c>
      <c r="E659" s="1" t="str">
        <f>data!D659</f>
        <v>AC VOUVRAY METH TRAD D.SEC  D.CHATAIGNERAIE</v>
      </c>
      <c r="F659" s="14">
        <f>SUMIFS(data!G:G,data!A:A,TABLEAU!B659,data!C:C,TABLEAU!D659,data!F:F,YEAR(Feuil1!$D$1))</f>
        <v>191.04</v>
      </c>
      <c r="G659" s="9">
        <f>SUMIFS(data!G:G,data!A:A,TABLEAU!B659,data!C:C,TABLEAU!D659,data!F:F,YEAR(Feuil1!$D$2))</f>
        <v>310.44</v>
      </c>
      <c r="H659" s="9">
        <f t="shared" si="40"/>
        <v>-119.4</v>
      </c>
      <c r="I659" s="12">
        <f t="shared" si="41"/>
        <v>-0.38461538461538464</v>
      </c>
      <c r="J659" s="13">
        <f>SUMIFS(data!E:E,data!A:A,TABLEAU!B659,data!C:C,TABLEAU!D659,data!F:F,YEAR(Feuil1!$D$1))</f>
        <v>48</v>
      </c>
      <c r="K659" s="13">
        <f>SUMIFS(data!E:E,data!A:A,TABLEAU!B659,data!C:C,TABLEAU!D659,data!F:F,YEAR(Feuil1!$D$2))</f>
        <v>84</v>
      </c>
      <c r="L659" s="13">
        <f t="shared" si="42"/>
        <v>-36</v>
      </c>
      <c r="M659" s="12">
        <f t="shared" si="43"/>
        <v>-0.42857142857142855</v>
      </c>
    </row>
    <row r="660" spans="1:13" x14ac:dyDescent="0.25">
      <c r="A660" s="17" t="str">
        <f>data!H1100</f>
        <v>VINICOM</v>
      </c>
      <c r="B660" s="15" t="str">
        <f>data!A1100</f>
        <v>084</v>
      </c>
      <c r="C660" s="1" t="str">
        <f>data!B1100</f>
        <v>VIGNOBLE CASTELMAURE</v>
      </c>
      <c r="D660" s="1" t="str">
        <f>data!C1100</f>
        <v>084041</v>
      </c>
      <c r="E660" s="1" t="str">
        <f>data!D660</f>
        <v>AC VOUVRAY METH TRAD D.SEC  D.CHATAIGNERAIE</v>
      </c>
      <c r="F660" s="14">
        <f>SUMIFS(data!G:G,data!A:A,TABLEAU!B660,data!C:C,TABLEAU!D660,data!F:F,YEAR(Feuil1!$D$1))</f>
        <v>885.5</v>
      </c>
      <c r="G660" s="9">
        <f>SUMIFS(data!G:G,data!A:A,TABLEAU!B660,data!C:C,TABLEAU!D660,data!F:F,YEAR(Feuil1!$D$2))</f>
        <v>0</v>
      </c>
      <c r="H660" s="9">
        <f t="shared" si="40"/>
        <v>885.5</v>
      </c>
      <c r="I660" s="12" t="str">
        <f t="shared" si="41"/>
        <v/>
      </c>
      <c r="J660" s="13">
        <f>SUMIFS(data!E:E,data!A:A,TABLEAU!B660,data!C:C,TABLEAU!D660,data!F:F,YEAR(Feuil1!$D$1))</f>
        <v>396</v>
      </c>
      <c r="K660" s="13">
        <f>SUMIFS(data!E:E,data!A:A,TABLEAU!B660,data!C:C,TABLEAU!D660,data!F:F,YEAR(Feuil1!$D$2))</f>
        <v>0</v>
      </c>
      <c r="L660" s="13">
        <f t="shared" si="42"/>
        <v>396</v>
      </c>
      <c r="M660" s="12" t="str">
        <f t="shared" si="43"/>
        <v/>
      </c>
    </row>
    <row r="661" spans="1:13" x14ac:dyDescent="0.25">
      <c r="A661" s="17" t="str">
        <f>data!H1101</f>
        <v>VINICOM</v>
      </c>
      <c r="B661" s="15" t="str">
        <f>data!A1101</f>
        <v>084</v>
      </c>
      <c r="C661" s="1" t="str">
        <f>data!B1101</f>
        <v>VIGNOBLE CASTELMAURE</v>
      </c>
      <c r="D661" s="1" t="str">
        <f>data!C1101</f>
        <v>084050</v>
      </c>
      <c r="E661" s="1" t="str">
        <f>data!D661</f>
        <v>AC VOUVRAY METHODE TRAD BUT CUVEE ZERO</v>
      </c>
      <c r="F661" s="14">
        <f>SUMIFS(data!G:G,data!A:A,TABLEAU!B661,data!C:C,TABLEAU!D661,data!F:F,YEAR(Feuil1!$D$1))</f>
        <v>567</v>
      </c>
      <c r="G661" s="9">
        <f>SUMIFS(data!G:G,data!A:A,TABLEAU!B661,data!C:C,TABLEAU!D661,data!F:F,YEAR(Feuil1!$D$2))</f>
        <v>0</v>
      </c>
      <c r="H661" s="9">
        <f t="shared" si="40"/>
        <v>567</v>
      </c>
      <c r="I661" s="12" t="str">
        <f t="shared" si="41"/>
        <v/>
      </c>
      <c r="J661" s="13">
        <f>SUMIFS(data!E:E,data!A:A,TABLEAU!B661,data!C:C,TABLEAU!D661,data!F:F,YEAR(Feuil1!$D$1))</f>
        <v>66</v>
      </c>
      <c r="K661" s="13">
        <f>SUMIFS(data!E:E,data!A:A,TABLEAU!B661,data!C:C,TABLEAU!D661,data!F:F,YEAR(Feuil1!$D$2))</f>
        <v>0</v>
      </c>
      <c r="L661" s="13">
        <f t="shared" si="42"/>
        <v>66</v>
      </c>
      <c r="M661" s="12" t="str">
        <f t="shared" si="43"/>
        <v/>
      </c>
    </row>
    <row r="662" spans="1:13" x14ac:dyDescent="0.25">
      <c r="A662" s="17" t="str">
        <f>data!H1102</f>
        <v>VINICOM</v>
      </c>
      <c r="B662" s="15" t="str">
        <f>data!A1102</f>
        <v>084</v>
      </c>
      <c r="C662" s="1" t="str">
        <f>data!B1102</f>
        <v>VIGNOBLE CASTELMAURE</v>
      </c>
      <c r="D662" s="1" t="str">
        <f>data!C1102</f>
        <v>CDV084010</v>
      </c>
      <c r="E662" s="1" t="str">
        <f>data!D662</f>
        <v>AC VOUVRAY C. ANTIQUE D.CHATAIGNERAIE</v>
      </c>
      <c r="F662" s="14">
        <f>SUMIFS(data!G:G,data!A:A,TABLEAU!B662,data!C:C,TABLEAU!D662,data!F:F,YEAR(Feuil1!$D$1))</f>
        <v>0</v>
      </c>
      <c r="G662" s="9">
        <f>SUMIFS(data!G:G,data!A:A,TABLEAU!B662,data!C:C,TABLEAU!D662,data!F:F,YEAR(Feuil1!$D$2))</f>
        <v>148.80000000000001</v>
      </c>
      <c r="H662" s="9">
        <f t="shared" si="40"/>
        <v>-148.80000000000001</v>
      </c>
      <c r="I662" s="12">
        <f t="shared" si="41"/>
        <v>-1</v>
      </c>
      <c r="J662" s="13">
        <f>SUMIFS(data!E:E,data!A:A,TABLEAU!B662,data!C:C,TABLEAU!D662,data!F:F,YEAR(Feuil1!$D$1))</f>
        <v>0</v>
      </c>
      <c r="K662" s="13">
        <f>SUMIFS(data!E:E,data!A:A,TABLEAU!B662,data!C:C,TABLEAU!D662,data!F:F,YEAR(Feuil1!$D$2))</f>
        <v>24</v>
      </c>
      <c r="L662" s="13">
        <f t="shared" si="42"/>
        <v>-24</v>
      </c>
      <c r="M662" s="12">
        <f t="shared" si="43"/>
        <v>-1</v>
      </c>
    </row>
    <row r="663" spans="1:13" x14ac:dyDescent="0.25">
      <c r="A663" s="17" t="str">
        <f>data!H1103</f>
        <v>VINICOM</v>
      </c>
      <c r="B663" s="15" t="str">
        <f>data!A1103</f>
        <v>086B</v>
      </c>
      <c r="C663" s="1" t="str">
        <f>data!B1103</f>
        <v>PRODIFFU - TERRE DE VIGNERONS</v>
      </c>
      <c r="D663" s="1" t="str">
        <f>data!C1103</f>
        <v>086001P</v>
      </c>
      <c r="E663" s="1" t="str">
        <f>data!D663</f>
        <v>AC VOUVRAY C. ANTIQUE D.CHATAIGNERAIE</v>
      </c>
      <c r="F663" s="14">
        <f>SUMIFS(data!G:G,data!A:A,TABLEAU!B663,data!C:C,TABLEAU!D663,data!F:F,YEAR(Feuil1!$D$1))</f>
        <v>291.33</v>
      </c>
      <c r="G663" s="9">
        <f>SUMIFS(data!G:G,data!A:A,TABLEAU!B663,data!C:C,TABLEAU!D663,data!F:F,YEAR(Feuil1!$D$2))</f>
        <v>2464.12</v>
      </c>
      <c r="H663" s="9">
        <f t="shared" si="40"/>
        <v>-2172.79</v>
      </c>
      <c r="I663" s="12">
        <f t="shared" si="41"/>
        <v>-0.88177117997500121</v>
      </c>
      <c r="J663" s="13">
        <f>SUMIFS(data!E:E,data!A:A,TABLEAU!B663,data!C:C,TABLEAU!D663,data!F:F,YEAR(Feuil1!$D$1))</f>
        <v>359.90999999999997</v>
      </c>
      <c r="K663" s="13">
        <f>SUMIFS(data!E:E,data!A:A,TABLEAU!B663,data!C:C,TABLEAU!D663,data!F:F,YEAR(Feuil1!$D$2))</f>
        <v>1972.8400000000001</v>
      </c>
      <c r="L663" s="13">
        <f t="shared" si="42"/>
        <v>-1612.9300000000003</v>
      </c>
      <c r="M663" s="12">
        <f t="shared" si="43"/>
        <v>-0.81756756756756765</v>
      </c>
    </row>
    <row r="664" spans="1:13" x14ac:dyDescent="0.25">
      <c r="A664" s="17" t="str">
        <f>data!H1105</f>
        <v>VINICOM</v>
      </c>
      <c r="B664" s="15" t="str">
        <f>data!A1105</f>
        <v>086B</v>
      </c>
      <c r="C664" s="1" t="str">
        <f>data!B1105</f>
        <v>PRODIFFU - TERRE DE VIGNERONS</v>
      </c>
      <c r="D664" s="1" t="str">
        <f>data!C1105</f>
        <v>086002P</v>
      </c>
      <c r="E664" s="1" t="str">
        <f>data!D664</f>
        <v>AC VOUVRAY ARGILEX</v>
      </c>
      <c r="F664" s="14">
        <f>SUMIFS(data!G:G,data!A:A,TABLEAU!B664,data!C:C,TABLEAU!D664,data!F:F,YEAR(Feuil1!$D$1))</f>
        <v>261.07</v>
      </c>
      <c r="G664" s="9">
        <f>SUMIFS(data!G:G,data!A:A,TABLEAU!B664,data!C:C,TABLEAU!D664,data!F:F,YEAR(Feuil1!$D$2))</f>
        <v>1342.72</v>
      </c>
      <c r="H664" s="9">
        <f t="shared" si="40"/>
        <v>-1081.6500000000001</v>
      </c>
      <c r="I664" s="12">
        <f t="shared" si="41"/>
        <v>-0.80556631315538618</v>
      </c>
      <c r="J664" s="13">
        <f>SUMIFS(data!E:E,data!A:A,TABLEAU!B664,data!C:C,TABLEAU!D664,data!F:F,YEAR(Feuil1!$D$1))</f>
        <v>640.31999999999971</v>
      </c>
      <c r="K664" s="13">
        <f>SUMIFS(data!E:E,data!A:A,TABLEAU!B664,data!C:C,TABLEAU!D664,data!F:F,YEAR(Feuil1!$D$2))</f>
        <v>1000.4999999999999</v>
      </c>
      <c r="L664" s="13">
        <f t="shared" si="42"/>
        <v>-360.18000000000018</v>
      </c>
      <c r="M664" s="12">
        <f t="shared" si="43"/>
        <v>-0.36000000000000021</v>
      </c>
    </row>
    <row r="665" spans="1:13" x14ac:dyDescent="0.25">
      <c r="A665" s="17" t="str">
        <f>data!H1107</f>
        <v>VINICOM</v>
      </c>
      <c r="B665" s="15" t="str">
        <f>data!A1107</f>
        <v>086B</v>
      </c>
      <c r="C665" s="1" t="str">
        <f>data!B1107</f>
        <v>PRODIFFU - TERRE DE VIGNERONS</v>
      </c>
      <c r="D665" s="1" t="str">
        <f>data!C1107</f>
        <v>086011P</v>
      </c>
      <c r="E665" s="1" t="str">
        <f>data!D665</f>
        <v>AC VOUVRAY ARGILEX</v>
      </c>
      <c r="F665" s="14">
        <f>SUMIFS(data!G:G,data!A:A,TABLEAU!B665,data!C:C,TABLEAU!D665,data!F:F,YEAR(Feuil1!$D$1))</f>
        <v>2512.8000000000002</v>
      </c>
      <c r="G665" s="9">
        <f>SUMIFS(data!G:G,data!A:A,TABLEAU!B665,data!C:C,TABLEAU!D665,data!F:F,YEAR(Feuil1!$D$2))</f>
        <v>3996.17</v>
      </c>
      <c r="H665" s="9">
        <f t="shared" si="40"/>
        <v>-1483.37</v>
      </c>
      <c r="I665" s="12">
        <f t="shared" si="41"/>
        <v>-0.37119792201032487</v>
      </c>
      <c r="J665" s="13">
        <f>SUMIFS(data!E:E,data!A:A,TABLEAU!B665,data!C:C,TABLEAU!D665,data!F:F,YEAR(Feuil1!$D$1))</f>
        <v>1892.8600000000006</v>
      </c>
      <c r="K665" s="13">
        <f>SUMIFS(data!E:E,data!A:A,TABLEAU!B665,data!C:C,TABLEAU!D665,data!F:F,YEAR(Feuil1!$D$2))</f>
        <v>3199.199999999998</v>
      </c>
      <c r="L665" s="13">
        <f t="shared" si="42"/>
        <v>-1306.3399999999974</v>
      </c>
      <c r="M665" s="12">
        <f t="shared" si="43"/>
        <v>-0.40833333333333277</v>
      </c>
    </row>
    <row r="666" spans="1:13" x14ac:dyDescent="0.25">
      <c r="A666" s="17" t="str">
        <f>data!H1109</f>
        <v>VINICOM</v>
      </c>
      <c r="B666" s="15" t="str">
        <f>data!A1109</f>
        <v>086B</v>
      </c>
      <c r="C666" s="1" t="str">
        <f>data!B1109</f>
        <v>PRODIFFU - TERRE DE VIGNERONS</v>
      </c>
      <c r="D666" s="1" t="str">
        <f>data!C1109</f>
        <v>086012P</v>
      </c>
      <c r="E666" s="1" t="str">
        <f>data!D666</f>
        <v>IGP CEVENNES PIERRES CHAUDES</v>
      </c>
      <c r="F666" s="14">
        <f>SUMIFS(data!G:G,data!A:A,TABLEAU!B666,data!C:C,TABLEAU!D666,data!F:F,YEAR(Feuil1!$D$1))</f>
        <v>1882.57</v>
      </c>
      <c r="G666" s="9">
        <f>SUMIFS(data!G:G,data!A:A,TABLEAU!B666,data!C:C,TABLEAU!D666,data!F:F,YEAR(Feuil1!$D$2))</f>
        <v>3008.12</v>
      </c>
      <c r="H666" s="9">
        <f t="shared" si="40"/>
        <v>-1125.55</v>
      </c>
      <c r="I666" s="12">
        <f t="shared" si="41"/>
        <v>-0.37417057830139755</v>
      </c>
      <c r="J666" s="13">
        <f>SUMIFS(data!E:E,data!A:A,TABLEAU!B666,data!C:C,TABLEAU!D666,data!F:F,YEAR(Feuil1!$D$1))</f>
        <v>1300.6499999999999</v>
      </c>
      <c r="K666" s="13">
        <f>SUMIFS(data!E:E,data!A:A,TABLEAU!B666,data!C:C,TABLEAU!D666,data!F:F,YEAR(Feuil1!$D$2))</f>
        <v>2221.1099999999997</v>
      </c>
      <c r="L666" s="13">
        <f t="shared" si="42"/>
        <v>-920.45999999999981</v>
      </c>
      <c r="M666" s="12">
        <f t="shared" si="43"/>
        <v>-0.4144144144144144</v>
      </c>
    </row>
    <row r="667" spans="1:13" x14ac:dyDescent="0.25">
      <c r="A667" s="17" t="str">
        <f>data!H1111</f>
        <v>VINICOM</v>
      </c>
      <c r="B667" s="15" t="str">
        <f>data!A1111</f>
        <v>086B</v>
      </c>
      <c r="C667" s="1" t="str">
        <f>data!B1111</f>
        <v>PRODIFFU - TERRE DE VIGNERONS</v>
      </c>
      <c r="D667" s="1" t="str">
        <f>data!C1111</f>
        <v>086017P</v>
      </c>
      <c r="E667" s="1" t="str">
        <f>data!D667</f>
        <v>DME CP-GALHAN VDP DUCHE D'UZES AMANLIE</v>
      </c>
      <c r="F667" s="14">
        <f>SUMIFS(data!G:G,data!A:A,TABLEAU!B667,data!C:C,TABLEAU!D667,data!F:F,YEAR(Feuil1!$D$1))</f>
        <v>0</v>
      </c>
      <c r="G667" s="9">
        <f>SUMIFS(data!G:G,data!A:A,TABLEAU!B667,data!C:C,TABLEAU!D667,data!F:F,YEAR(Feuil1!$D$2))</f>
        <v>45.84</v>
      </c>
      <c r="H667" s="9">
        <f t="shared" si="40"/>
        <v>-45.84</v>
      </c>
      <c r="I667" s="12">
        <f t="shared" si="41"/>
        <v>-1</v>
      </c>
      <c r="J667" s="13">
        <f>SUMIFS(data!E:E,data!A:A,TABLEAU!B667,data!C:C,TABLEAU!D667,data!F:F,YEAR(Feuil1!$D$1))</f>
        <v>0</v>
      </c>
      <c r="K667" s="13">
        <f>SUMIFS(data!E:E,data!A:A,TABLEAU!B667,data!C:C,TABLEAU!D667,data!F:F,YEAR(Feuil1!$D$2))</f>
        <v>24</v>
      </c>
      <c r="L667" s="13">
        <f t="shared" si="42"/>
        <v>-24</v>
      </c>
      <c r="M667" s="12">
        <f t="shared" si="43"/>
        <v>-1</v>
      </c>
    </row>
    <row r="668" spans="1:13" x14ac:dyDescent="0.25">
      <c r="A668" s="17" t="str">
        <f>data!H1112</f>
        <v>VINICOM</v>
      </c>
      <c r="B668" s="15" t="str">
        <f>data!A1112</f>
        <v>088</v>
      </c>
      <c r="C668" s="1" t="str">
        <f>data!B1112</f>
        <v>MR PORTIER</v>
      </c>
      <c r="D668" s="1" t="str">
        <f>data!C1112</f>
        <v>088001</v>
      </c>
      <c r="E668" s="1" t="str">
        <f>data!D668</f>
        <v>AOP BEAUJOLAIS NOUVEAU DME PAIRE BIO</v>
      </c>
      <c r="F668" s="14">
        <f>SUMIFS(data!G:G,data!A:A,TABLEAU!B668,data!C:C,TABLEAU!D668,data!F:F,YEAR(Feuil1!$D$1))</f>
        <v>501.12</v>
      </c>
      <c r="G668" s="9">
        <f>SUMIFS(data!G:G,data!A:A,TABLEAU!B668,data!C:C,TABLEAU!D668,data!F:F,YEAR(Feuil1!$D$2))</f>
        <v>246.96</v>
      </c>
      <c r="H668" s="9">
        <f t="shared" si="40"/>
        <v>254.16</v>
      </c>
      <c r="I668" s="12">
        <f t="shared" si="41"/>
        <v>1.0291545189504372</v>
      </c>
      <c r="J668" s="13">
        <f>SUMIFS(data!E:E,data!A:A,TABLEAU!B668,data!C:C,TABLEAU!D668,data!F:F,YEAR(Feuil1!$D$1))</f>
        <v>72</v>
      </c>
      <c r="K668" s="13">
        <f>SUMIFS(data!E:E,data!A:A,TABLEAU!B668,data!C:C,TABLEAU!D668,data!F:F,YEAR(Feuil1!$D$2))</f>
        <v>36</v>
      </c>
      <c r="L668" s="13">
        <f t="shared" si="42"/>
        <v>36</v>
      </c>
      <c r="M668" s="12">
        <f t="shared" si="43"/>
        <v>1</v>
      </c>
    </row>
    <row r="669" spans="1:13" x14ac:dyDescent="0.25">
      <c r="A669" s="17" t="str">
        <f>data!H1114</f>
        <v>VINICOM</v>
      </c>
      <c r="B669" s="15" t="str">
        <f>data!A1114</f>
        <v>089</v>
      </c>
      <c r="C669" s="1" t="str">
        <f>data!B1114</f>
        <v>DOMAINE DE LA PALEINE</v>
      </c>
      <c r="D669" s="1" t="str">
        <f>data!C1114</f>
        <v>089002</v>
      </c>
      <c r="E669" s="1" t="str">
        <f>data!D669</f>
        <v>AOP BEAUJOLAIS VIEILLES VIGNES NOUVEAU DME PAIRE B</v>
      </c>
      <c r="F669" s="14">
        <f>SUMIFS(data!G:G,data!A:A,TABLEAU!B669,data!C:C,TABLEAU!D669,data!F:F,YEAR(Feuil1!$D$1))</f>
        <v>3705.6</v>
      </c>
      <c r="G669" s="9">
        <f>SUMIFS(data!G:G,data!A:A,TABLEAU!B669,data!C:C,TABLEAU!D669,data!F:F,YEAR(Feuil1!$D$2))</f>
        <v>1893.6</v>
      </c>
      <c r="H669" s="9">
        <f t="shared" si="40"/>
        <v>1812</v>
      </c>
      <c r="I669" s="12">
        <f t="shared" si="41"/>
        <v>0.95690747782002539</v>
      </c>
      <c r="J669" s="13">
        <f>SUMIFS(data!E:E,data!A:A,TABLEAU!B669,data!C:C,TABLEAU!D669,data!F:F,YEAR(Feuil1!$D$1))</f>
        <v>1038</v>
      </c>
      <c r="K669" s="13">
        <f>SUMIFS(data!E:E,data!A:A,TABLEAU!B669,data!C:C,TABLEAU!D669,data!F:F,YEAR(Feuil1!$D$2))</f>
        <v>540</v>
      </c>
      <c r="L669" s="13">
        <f t="shared" si="42"/>
        <v>498</v>
      </c>
      <c r="M669" s="12">
        <f t="shared" si="43"/>
        <v>0.92222222222222228</v>
      </c>
    </row>
    <row r="670" spans="1:13" x14ac:dyDescent="0.25">
      <c r="A670" s="17" t="str">
        <f>data!H1116</f>
        <v>VINICOM</v>
      </c>
      <c r="B670" s="15" t="str">
        <f>data!A1116</f>
        <v>089</v>
      </c>
      <c r="C670" s="1" t="str">
        <f>data!B1116</f>
        <v>DOMAINE DE LA PALEINE</v>
      </c>
      <c r="D670" s="1" t="str">
        <f>data!C1116</f>
        <v>089010</v>
      </c>
      <c r="E670" s="1" t="str">
        <f>data!D670</f>
        <v>AOP BEAUJOLAIS VIEILLES VIGNES NOUVEAU DME PAIRE B</v>
      </c>
      <c r="F670" s="14">
        <f>SUMIFS(data!G:G,data!A:A,TABLEAU!B670,data!C:C,TABLEAU!D670,data!F:F,YEAR(Feuil1!$D$1))</f>
        <v>1172.4000000000001</v>
      </c>
      <c r="G670" s="9">
        <f>SUMIFS(data!G:G,data!A:A,TABLEAU!B670,data!C:C,TABLEAU!D670,data!F:F,YEAR(Feuil1!$D$2))</f>
        <v>453.3</v>
      </c>
      <c r="H670" s="9">
        <f t="shared" si="40"/>
        <v>719.10000000000014</v>
      </c>
      <c r="I670" s="12">
        <f t="shared" si="41"/>
        <v>1.5863666446062212</v>
      </c>
      <c r="J670" s="13">
        <f>SUMIFS(data!E:E,data!A:A,TABLEAU!B670,data!C:C,TABLEAU!D670,data!F:F,YEAR(Feuil1!$D$1))</f>
        <v>324</v>
      </c>
      <c r="K670" s="13">
        <f>SUMIFS(data!E:E,data!A:A,TABLEAU!B670,data!C:C,TABLEAU!D670,data!F:F,YEAR(Feuil1!$D$2))</f>
        <v>150</v>
      </c>
      <c r="L670" s="13">
        <f t="shared" si="42"/>
        <v>174</v>
      </c>
      <c r="M670" s="12">
        <f t="shared" si="43"/>
        <v>1.1599999999999999</v>
      </c>
    </row>
    <row r="671" spans="1:13" x14ac:dyDescent="0.25">
      <c r="A671" s="17" t="str">
        <f>data!H1118</f>
        <v>VINICOM</v>
      </c>
      <c r="B671" s="15" t="str">
        <f>data!A1118</f>
        <v>089</v>
      </c>
      <c r="C671" s="1" t="str">
        <f>data!B1118</f>
        <v>DOMAINE DE LA PALEINE</v>
      </c>
      <c r="D671" s="1" t="str">
        <f>data!C1118</f>
        <v>089799</v>
      </c>
      <c r="E671" s="1" t="str">
        <f>data!D671</f>
        <v>AC BDX SUP. CH LES HAUTS DE PEREY</v>
      </c>
      <c r="F671" s="14">
        <f>SUMIFS(data!G:G,data!A:A,TABLEAU!B671,data!C:C,TABLEAU!D671,data!F:F,YEAR(Feuil1!$D$1))</f>
        <v>711</v>
      </c>
      <c r="G671" s="9">
        <f>SUMIFS(data!G:G,data!A:A,TABLEAU!B671,data!C:C,TABLEAU!D671,data!F:F,YEAR(Feuil1!$D$2))</f>
        <v>2227.8000000000002</v>
      </c>
      <c r="H671" s="9">
        <f t="shared" si="40"/>
        <v>-1516.8000000000002</v>
      </c>
      <c r="I671" s="12">
        <f t="shared" si="41"/>
        <v>-0.68085106382978722</v>
      </c>
      <c r="J671" s="13">
        <f>SUMIFS(data!E:E,data!A:A,TABLEAU!B671,data!C:C,TABLEAU!D671,data!F:F,YEAR(Feuil1!$D$1))</f>
        <v>180</v>
      </c>
      <c r="K671" s="13">
        <f>SUMIFS(data!E:E,data!A:A,TABLEAU!B671,data!C:C,TABLEAU!D671,data!F:F,YEAR(Feuil1!$D$2))</f>
        <v>564</v>
      </c>
      <c r="L671" s="13">
        <f t="shared" si="42"/>
        <v>-384</v>
      </c>
      <c r="M671" s="12">
        <f t="shared" si="43"/>
        <v>-0.68085106382978722</v>
      </c>
    </row>
    <row r="672" spans="1:13" x14ac:dyDescent="0.25">
      <c r="A672" s="17" t="str">
        <f>data!H1120</f>
        <v>VINICOM</v>
      </c>
      <c r="B672" s="15" t="str">
        <f>data!A1120</f>
        <v>089</v>
      </c>
      <c r="C672" s="1" t="str">
        <f>data!B1120</f>
        <v>DOMAINE DE LA PALEINE</v>
      </c>
      <c r="D672" s="1" t="str">
        <f>data!C1120</f>
        <v>089800</v>
      </c>
      <c r="E672" s="1" t="str">
        <f>data!D672</f>
        <v>AC BDX SUP. CH LES HAUTS DE PEREY</v>
      </c>
      <c r="F672" s="14">
        <f>SUMIFS(data!G:G,data!A:A,TABLEAU!B672,data!C:C,TABLEAU!D672,data!F:F,YEAR(Feuil1!$D$1))</f>
        <v>4055.1</v>
      </c>
      <c r="G672" s="9">
        <f>SUMIFS(data!G:G,data!A:A,TABLEAU!B672,data!C:C,TABLEAU!D672,data!F:F,YEAR(Feuil1!$D$2))</f>
        <v>5234.3999999999996</v>
      </c>
      <c r="H672" s="9">
        <f t="shared" si="40"/>
        <v>-1179.2999999999997</v>
      </c>
      <c r="I672" s="12">
        <f t="shared" si="41"/>
        <v>-0.22529802842732688</v>
      </c>
      <c r="J672" s="13">
        <f>SUMIFS(data!E:E,data!A:A,TABLEAU!B672,data!C:C,TABLEAU!D672,data!F:F,YEAR(Feuil1!$D$1))</f>
        <v>978</v>
      </c>
      <c r="K672" s="13">
        <f>SUMIFS(data!E:E,data!A:A,TABLEAU!B672,data!C:C,TABLEAU!D672,data!F:F,YEAR(Feuil1!$D$2))</f>
        <v>1278</v>
      </c>
      <c r="L672" s="13">
        <f t="shared" si="42"/>
        <v>-300</v>
      </c>
      <c r="M672" s="12">
        <f t="shared" si="43"/>
        <v>-0.23474178403755869</v>
      </c>
    </row>
    <row r="673" spans="1:13" x14ac:dyDescent="0.25">
      <c r="A673" s="17" t="str">
        <f>data!H1122</f>
        <v>VINICOM</v>
      </c>
      <c r="B673" s="15" t="str">
        <f>data!A1122</f>
        <v>089</v>
      </c>
      <c r="C673" s="1" t="str">
        <f>data!B1122</f>
        <v>DOMAINE DE LA PALEINE</v>
      </c>
      <c r="D673" s="1" t="str">
        <f>data!C1122</f>
        <v>089900</v>
      </c>
      <c r="E673" s="1" t="str">
        <f>data!D673</f>
        <v>AC BDX SUP. CH LES HAUTS DE PEREY</v>
      </c>
      <c r="F673" s="14">
        <f>SUMIFS(data!G:G,data!A:A,TABLEAU!B673,data!C:C,TABLEAU!D673,data!F:F,YEAR(Feuil1!$D$1))</f>
        <v>6844.25</v>
      </c>
      <c r="G673" s="9">
        <f>SUMIFS(data!G:G,data!A:A,TABLEAU!B673,data!C:C,TABLEAU!D673,data!F:F,YEAR(Feuil1!$D$2))</f>
        <v>5244.75</v>
      </c>
      <c r="H673" s="9">
        <f t="shared" si="40"/>
        <v>1599.5</v>
      </c>
      <c r="I673" s="12">
        <f t="shared" si="41"/>
        <v>0.30497163830497165</v>
      </c>
      <c r="J673" s="13">
        <f>SUMIFS(data!E:E,data!A:A,TABLEAU!B673,data!C:C,TABLEAU!D673,data!F:F,YEAR(Feuil1!$D$1))</f>
        <v>4332.2500000000009</v>
      </c>
      <c r="K673" s="13">
        <f>SUMIFS(data!E:E,data!A:A,TABLEAU!B673,data!C:C,TABLEAU!D673,data!F:F,YEAR(Feuil1!$D$2))</f>
        <v>3465.8000000000006</v>
      </c>
      <c r="L673" s="13">
        <f t="shared" si="42"/>
        <v>866.45000000000027</v>
      </c>
      <c r="M673" s="12">
        <f t="shared" si="43"/>
        <v>0.25000000000000006</v>
      </c>
    </row>
    <row r="674" spans="1:13" x14ac:dyDescent="0.25">
      <c r="A674" s="17" t="str">
        <f>data!H1124</f>
        <v>VINICOM</v>
      </c>
      <c r="B674" s="15" t="str">
        <f>data!A1124</f>
        <v>089</v>
      </c>
      <c r="C674" s="1" t="str">
        <f>data!B1124</f>
        <v>DOMAINE DE LA PALEINE</v>
      </c>
      <c r="D674" s="1" t="str">
        <f>data!C1124</f>
        <v>089901</v>
      </c>
      <c r="E674" s="1" t="str">
        <f>data!D674</f>
        <v>AC BDX SUP. CH LES HAUTS DE PEREY</v>
      </c>
      <c r="F674" s="14">
        <f>SUMIFS(data!G:G,data!A:A,TABLEAU!B674,data!C:C,TABLEAU!D674,data!F:F,YEAR(Feuil1!$D$1))</f>
        <v>8290.4</v>
      </c>
      <c r="G674" s="9">
        <f>SUMIFS(data!G:G,data!A:A,TABLEAU!B674,data!C:C,TABLEAU!D674,data!F:F,YEAR(Feuil1!$D$2))</f>
        <v>7808</v>
      </c>
      <c r="H674" s="9">
        <f t="shared" si="40"/>
        <v>482.39999999999964</v>
      </c>
      <c r="I674" s="12">
        <f t="shared" si="41"/>
        <v>6.1782786885245855E-2</v>
      </c>
      <c r="J674" s="13">
        <f>SUMIFS(data!E:E,data!A:A,TABLEAU!B674,data!C:C,TABLEAU!D674,data!F:F,YEAR(Feuil1!$D$1))</f>
        <v>4282.1400000000003</v>
      </c>
      <c r="K674" s="13">
        <f>SUMIFS(data!E:E,data!A:A,TABLEAU!B674,data!C:C,TABLEAU!D674,data!F:F,YEAR(Feuil1!$D$2))</f>
        <v>4328.8300000000008</v>
      </c>
      <c r="L674" s="13">
        <f t="shared" si="42"/>
        <v>-46.690000000000509</v>
      </c>
      <c r="M674" s="12">
        <f t="shared" si="43"/>
        <v>-1.0785824345146494E-2</v>
      </c>
    </row>
    <row r="675" spans="1:13" x14ac:dyDescent="0.25">
      <c r="A675" s="17" t="str">
        <f>data!H1126</f>
        <v>VINICOM</v>
      </c>
      <c r="B675" s="15" t="str">
        <f>data!A1126</f>
        <v>089</v>
      </c>
      <c r="C675" s="1" t="str">
        <f>data!B1126</f>
        <v>DOMAINE DE LA PALEINE</v>
      </c>
      <c r="D675" s="1" t="str">
        <f>data!C1126</f>
        <v>089903</v>
      </c>
      <c r="E675" s="1" t="str">
        <f>data!D675</f>
        <v>AC BDX. CH LES HAUTS DE PEREY</v>
      </c>
      <c r="F675" s="14">
        <f>SUMIFS(data!G:G,data!A:A,TABLEAU!B675,data!C:C,TABLEAU!D675,data!F:F,YEAR(Feuil1!$D$1))</f>
        <v>14649.6</v>
      </c>
      <c r="G675" s="9">
        <f>SUMIFS(data!G:G,data!A:A,TABLEAU!B675,data!C:C,TABLEAU!D675,data!F:F,YEAR(Feuil1!$D$2))</f>
        <v>15006.6</v>
      </c>
      <c r="H675" s="9">
        <f t="shared" si="40"/>
        <v>-357</v>
      </c>
      <c r="I675" s="12">
        <f t="shared" si="41"/>
        <v>-2.3789532605653512E-2</v>
      </c>
      <c r="J675" s="13">
        <f>SUMIFS(data!E:E,data!A:A,TABLEAU!B675,data!C:C,TABLEAU!D675,data!F:F,YEAR(Feuil1!$D$1))</f>
        <v>3582</v>
      </c>
      <c r="K675" s="13">
        <f>SUMIFS(data!E:E,data!A:A,TABLEAU!B675,data!C:C,TABLEAU!D675,data!F:F,YEAR(Feuil1!$D$2))</f>
        <v>3726</v>
      </c>
      <c r="L675" s="13">
        <f t="shared" si="42"/>
        <v>-144</v>
      </c>
      <c r="M675" s="12">
        <f t="shared" si="43"/>
        <v>-3.864734299516908E-2</v>
      </c>
    </row>
    <row r="676" spans="1:13" x14ac:dyDescent="0.25">
      <c r="A676" s="17" t="str">
        <f>data!H1128</f>
        <v>VINICOM</v>
      </c>
      <c r="B676" s="15" t="str">
        <f>data!A1128</f>
        <v>092</v>
      </c>
      <c r="C676" s="1" t="str">
        <f>data!B1128</f>
        <v/>
      </c>
      <c r="D676" s="1" t="str">
        <f>data!C1128</f>
        <v>092002</v>
      </c>
      <c r="E676" s="1" t="str">
        <f>data!D676</f>
        <v>AC BDX. CH LES HAUTS DE PEREY</v>
      </c>
      <c r="F676" s="14">
        <f>SUMIFS(data!G:G,data!A:A,TABLEAU!B676,data!C:C,TABLEAU!D676,data!F:F,YEAR(Feuil1!$D$1))</f>
        <v>72.599999999999994</v>
      </c>
      <c r="G676" s="9">
        <f>SUMIFS(data!G:G,data!A:A,TABLEAU!B676,data!C:C,TABLEAU!D676,data!F:F,YEAR(Feuil1!$D$2))</f>
        <v>834.9</v>
      </c>
      <c r="H676" s="9">
        <f t="shared" si="40"/>
        <v>-762.3</v>
      </c>
      <c r="I676" s="12">
        <f t="shared" si="41"/>
        <v>-0.91304347826086951</v>
      </c>
      <c r="J676" s="13">
        <f>SUMIFS(data!E:E,data!A:A,TABLEAU!B676,data!C:C,TABLEAU!D676,data!F:F,YEAR(Feuil1!$D$1))</f>
        <v>12</v>
      </c>
      <c r="K676" s="13">
        <f>SUMIFS(data!E:E,data!A:A,TABLEAU!B676,data!C:C,TABLEAU!D676,data!F:F,YEAR(Feuil1!$D$2))</f>
        <v>144</v>
      </c>
      <c r="L676" s="13">
        <f t="shared" si="42"/>
        <v>-132</v>
      </c>
      <c r="M676" s="12">
        <f t="shared" si="43"/>
        <v>-0.91666666666666663</v>
      </c>
    </row>
    <row r="677" spans="1:13" x14ac:dyDescent="0.25">
      <c r="A677" s="17" t="str">
        <f>data!H1130</f>
        <v>VINICOM</v>
      </c>
      <c r="B677" s="15" t="str">
        <f>data!A1130</f>
        <v>092</v>
      </c>
      <c r="C677" s="1" t="str">
        <f>data!B1130</f>
        <v/>
      </c>
      <c r="D677" s="1" t="str">
        <f>data!C1130</f>
        <v>092005</v>
      </c>
      <c r="E677" s="1" t="str">
        <f>data!D677</f>
        <v>AC BDX. CH LES HAUTS DE PEREY</v>
      </c>
      <c r="F677" s="14">
        <f>SUMIFS(data!G:G,data!A:A,TABLEAU!B677,data!C:C,TABLEAU!D677,data!F:F,YEAR(Feuil1!$D$1))</f>
        <v>72</v>
      </c>
      <c r="G677" s="9">
        <f>SUMIFS(data!G:G,data!A:A,TABLEAU!B677,data!C:C,TABLEAU!D677,data!F:F,YEAR(Feuil1!$D$2))</f>
        <v>0</v>
      </c>
      <c r="H677" s="9">
        <f t="shared" si="40"/>
        <v>72</v>
      </c>
      <c r="I677" s="12" t="str">
        <f t="shared" si="41"/>
        <v/>
      </c>
      <c r="J677" s="13">
        <f>SUMIFS(data!E:E,data!A:A,TABLEAU!B677,data!C:C,TABLEAU!D677,data!F:F,YEAR(Feuil1!$D$1))</f>
        <v>6</v>
      </c>
      <c r="K677" s="13">
        <f>SUMIFS(data!E:E,data!A:A,TABLEAU!B677,data!C:C,TABLEAU!D677,data!F:F,YEAR(Feuil1!$D$2))</f>
        <v>0</v>
      </c>
      <c r="L677" s="13">
        <f t="shared" si="42"/>
        <v>6</v>
      </c>
      <c r="M677" s="12" t="str">
        <f t="shared" si="43"/>
        <v/>
      </c>
    </row>
    <row r="678" spans="1:13" x14ac:dyDescent="0.25">
      <c r="A678" s="17" t="str">
        <f>data!H1131</f>
        <v>VINICOM</v>
      </c>
      <c r="B678" s="15" t="str">
        <f>data!A1131</f>
        <v>094</v>
      </c>
      <c r="C678" s="1" t="str">
        <f>data!B1131</f>
        <v>CHATEAU TOUR GRANINS-GRAND POUJEAUX</v>
      </c>
      <c r="D678" s="1" t="str">
        <f>data!C1131</f>
        <v>094001</v>
      </c>
      <c r="E678" s="1" t="str">
        <f>data!D678</f>
        <v>AC BDX. CH LES HAUTS DE PEREY</v>
      </c>
      <c r="F678" s="14">
        <f>SUMIFS(data!G:G,data!A:A,TABLEAU!B678,data!C:C,TABLEAU!D678,data!F:F,YEAR(Feuil1!$D$1))</f>
        <v>8296.7999999999993</v>
      </c>
      <c r="G678" s="9">
        <f>SUMIFS(data!G:G,data!A:A,TABLEAU!B678,data!C:C,TABLEAU!D678,data!F:F,YEAR(Feuil1!$D$2))</f>
        <v>16125.6</v>
      </c>
      <c r="H678" s="9">
        <f t="shared" si="40"/>
        <v>-7828.8000000000011</v>
      </c>
      <c r="I678" s="12">
        <f t="shared" si="41"/>
        <v>-0.48548891204048228</v>
      </c>
      <c r="J678" s="13">
        <f>SUMIFS(data!E:E,data!A:A,TABLEAU!B678,data!C:C,TABLEAU!D678,data!F:F,YEAR(Feuil1!$D$1))</f>
        <v>1590</v>
      </c>
      <c r="K678" s="13">
        <f>SUMIFS(data!E:E,data!A:A,TABLEAU!B678,data!C:C,TABLEAU!D678,data!F:F,YEAR(Feuil1!$D$2))</f>
        <v>3120</v>
      </c>
      <c r="L678" s="13">
        <f t="shared" si="42"/>
        <v>-1530</v>
      </c>
      <c r="M678" s="12">
        <f t="shared" si="43"/>
        <v>-0.49038461538461536</v>
      </c>
    </row>
    <row r="679" spans="1:13" x14ac:dyDescent="0.25">
      <c r="A679" s="17" t="str">
        <f>data!H1133</f>
        <v>VINICOM</v>
      </c>
      <c r="B679" s="15" t="str">
        <f>data!A1133</f>
        <v>094</v>
      </c>
      <c r="C679" s="1" t="str">
        <f>data!B1133</f>
        <v>CHATEAU TOUR GRANINS-GRAND POUJEAUX</v>
      </c>
      <c r="D679" s="1" t="str">
        <f>data!C1133</f>
        <v>094003</v>
      </c>
      <c r="E679" s="1" t="str">
        <f>data!D679</f>
        <v>AC BX SUP. CH GAURY-BALETTE</v>
      </c>
      <c r="F679" s="14">
        <f>SUMIFS(data!G:G,data!A:A,TABLEAU!B679,data!C:C,TABLEAU!D679,data!F:F,YEAR(Feuil1!$D$1))</f>
        <v>1285.8</v>
      </c>
      <c r="G679" s="9">
        <f>SUMIFS(data!G:G,data!A:A,TABLEAU!B679,data!C:C,TABLEAU!D679,data!F:F,YEAR(Feuil1!$D$2))</f>
        <v>2794.8</v>
      </c>
      <c r="H679" s="9">
        <f t="shared" si="40"/>
        <v>-1509.0000000000002</v>
      </c>
      <c r="I679" s="12">
        <f t="shared" si="41"/>
        <v>-0.53993130098754838</v>
      </c>
      <c r="J679" s="13">
        <f>SUMIFS(data!E:E,data!A:A,TABLEAU!B679,data!C:C,TABLEAU!D679,data!F:F,YEAR(Feuil1!$D$1))</f>
        <v>228</v>
      </c>
      <c r="K679" s="13">
        <f>SUMIFS(data!E:E,data!A:A,TABLEAU!B679,data!C:C,TABLEAU!D679,data!F:F,YEAR(Feuil1!$D$2))</f>
        <v>504</v>
      </c>
      <c r="L679" s="13">
        <f t="shared" si="42"/>
        <v>-276</v>
      </c>
      <c r="M679" s="12">
        <f t="shared" si="43"/>
        <v>-0.54761904761904767</v>
      </c>
    </row>
    <row r="680" spans="1:13" x14ac:dyDescent="0.25">
      <c r="A680" s="17" t="str">
        <f>data!H1135</f>
        <v>VINICOM</v>
      </c>
      <c r="B680" s="15" t="str">
        <f>data!A1135</f>
        <v>094</v>
      </c>
      <c r="C680" s="1" t="str">
        <f>data!B1135</f>
        <v>CHATEAU TOUR GRANINS-GRAND POUJEAUX</v>
      </c>
      <c r="D680" s="1" t="str">
        <f>data!C1135</f>
        <v>094004</v>
      </c>
      <c r="E680" s="1" t="str">
        <f>data!D680</f>
        <v>AC BX SUP. CH GAURY-BALETTE</v>
      </c>
      <c r="F680" s="14">
        <f>SUMIFS(data!G:G,data!A:A,TABLEAU!B680,data!C:C,TABLEAU!D680,data!F:F,YEAR(Feuil1!$D$1))</f>
        <v>1335.6</v>
      </c>
      <c r="G680" s="9">
        <f>SUMIFS(data!G:G,data!A:A,TABLEAU!B680,data!C:C,TABLEAU!D680,data!F:F,YEAR(Feuil1!$D$2))</f>
        <v>583.20000000000005</v>
      </c>
      <c r="H680" s="9">
        <f t="shared" si="40"/>
        <v>752.39999999999986</v>
      </c>
      <c r="I680" s="12">
        <f t="shared" si="41"/>
        <v>1.2901234567901232</v>
      </c>
      <c r="J680" s="13">
        <f>SUMIFS(data!E:E,data!A:A,TABLEAU!B680,data!C:C,TABLEAU!D680,data!F:F,YEAR(Feuil1!$D$1))</f>
        <v>186</v>
      </c>
      <c r="K680" s="13">
        <f>SUMIFS(data!E:E,data!A:A,TABLEAU!B680,data!C:C,TABLEAU!D680,data!F:F,YEAR(Feuil1!$D$2))</f>
        <v>78</v>
      </c>
      <c r="L680" s="13">
        <f t="shared" si="42"/>
        <v>108</v>
      </c>
      <c r="M680" s="12">
        <f t="shared" si="43"/>
        <v>1.3846153846153846</v>
      </c>
    </row>
    <row r="681" spans="1:13" x14ac:dyDescent="0.25">
      <c r="A681" s="17" t="str">
        <f>data!H1137</f>
        <v>VINICOM</v>
      </c>
      <c r="B681" s="15" t="str">
        <f>data!A1137</f>
        <v>095</v>
      </c>
      <c r="C681" s="1" t="str">
        <f>data!B1137</f>
        <v>MR FILLON</v>
      </c>
      <c r="D681" s="1" t="str">
        <f>data!C1137</f>
        <v>095001</v>
      </c>
      <c r="E681" s="1" t="str">
        <f>data!D681</f>
        <v>AC BDX SUP. CH GAURY BALETTE</v>
      </c>
      <c r="F681" s="14">
        <f>SUMIFS(data!G:G,data!A:A,TABLEAU!B681,data!C:C,TABLEAU!D681,data!F:F,YEAR(Feuil1!$D$1))</f>
        <v>14208</v>
      </c>
      <c r="G681" s="9">
        <f>SUMIFS(data!G:G,data!A:A,TABLEAU!B681,data!C:C,TABLEAU!D681,data!F:F,YEAR(Feuil1!$D$2))</f>
        <v>19633.8</v>
      </c>
      <c r="H681" s="9">
        <f t="shared" si="40"/>
        <v>-5425.7999999999993</v>
      </c>
      <c r="I681" s="12">
        <f t="shared" si="41"/>
        <v>-0.27634996791247746</v>
      </c>
      <c r="J681" s="13">
        <f>SUMIFS(data!E:E,data!A:A,TABLEAU!B681,data!C:C,TABLEAU!D681,data!F:F,YEAR(Feuil1!$D$1))</f>
        <v>3858</v>
      </c>
      <c r="K681" s="13">
        <f>SUMIFS(data!E:E,data!A:A,TABLEAU!B681,data!C:C,TABLEAU!D681,data!F:F,YEAR(Feuil1!$D$2))</f>
        <v>5364</v>
      </c>
      <c r="L681" s="13">
        <f t="shared" si="42"/>
        <v>-1506</v>
      </c>
      <c r="M681" s="12">
        <f t="shared" si="43"/>
        <v>-0.28076062639821031</v>
      </c>
    </row>
    <row r="682" spans="1:13" x14ac:dyDescent="0.25">
      <c r="A682" s="17" t="str">
        <f>data!H1139</f>
        <v>VINICOM</v>
      </c>
      <c r="B682" s="15" t="str">
        <f>data!A1139</f>
        <v>095</v>
      </c>
      <c r="C682" s="1" t="str">
        <f>data!B1139</f>
        <v>MR FILLON</v>
      </c>
      <c r="D682" s="1" t="str">
        <f>data!C1139</f>
        <v>095002</v>
      </c>
      <c r="E682" s="1" t="str">
        <f>data!D682</f>
        <v>AC BDX SUP. CH GAURY BALETTE</v>
      </c>
      <c r="F682" s="14">
        <f>SUMIFS(data!G:G,data!A:A,TABLEAU!B682,data!C:C,TABLEAU!D682,data!F:F,YEAR(Feuil1!$D$1))</f>
        <v>264</v>
      </c>
      <c r="G682" s="9">
        <f>SUMIFS(data!G:G,data!A:A,TABLEAU!B682,data!C:C,TABLEAU!D682,data!F:F,YEAR(Feuil1!$D$2))</f>
        <v>712.8</v>
      </c>
      <c r="H682" s="9">
        <f t="shared" si="40"/>
        <v>-448.79999999999995</v>
      </c>
      <c r="I682" s="12">
        <f t="shared" si="41"/>
        <v>-0.62962962962962965</v>
      </c>
      <c r="J682" s="13">
        <f>SUMIFS(data!E:E,data!A:A,TABLEAU!B682,data!C:C,TABLEAU!D682,data!F:F,YEAR(Feuil1!$D$1))</f>
        <v>60</v>
      </c>
      <c r="K682" s="13">
        <f>SUMIFS(data!E:E,data!A:A,TABLEAU!B682,data!C:C,TABLEAU!D682,data!F:F,YEAR(Feuil1!$D$2))</f>
        <v>168</v>
      </c>
      <c r="L682" s="13">
        <f t="shared" si="42"/>
        <v>-108</v>
      </c>
      <c r="M682" s="12">
        <f t="shared" si="43"/>
        <v>-0.6428571428571429</v>
      </c>
    </row>
    <row r="683" spans="1:13" x14ac:dyDescent="0.25">
      <c r="A683" s="17" t="str">
        <f>data!H1141</f>
        <v>VINICOM</v>
      </c>
      <c r="B683" s="15" t="str">
        <f>data!A1141</f>
        <v>095</v>
      </c>
      <c r="C683" s="1" t="str">
        <f>data!B1141</f>
        <v>MR FILLON</v>
      </c>
      <c r="D683" s="1" t="str">
        <f>data!C1141</f>
        <v>095003</v>
      </c>
      <c r="E683" s="1" t="str">
        <f>data!D683</f>
        <v>AC BX SUP. CH GAURY-BALETTE</v>
      </c>
      <c r="F683" s="14">
        <f>SUMIFS(data!G:G,data!A:A,TABLEAU!B683,data!C:C,TABLEAU!D683,data!F:F,YEAR(Feuil1!$D$1))</f>
        <v>26.4</v>
      </c>
      <c r="G683" s="9">
        <f>SUMIFS(data!G:G,data!A:A,TABLEAU!B683,data!C:C,TABLEAU!D683,data!F:F,YEAR(Feuil1!$D$2))</f>
        <v>738</v>
      </c>
      <c r="H683" s="9">
        <f t="shared" si="40"/>
        <v>-711.6</v>
      </c>
      <c r="I683" s="12">
        <f t="shared" si="41"/>
        <v>-0.96422764227642277</v>
      </c>
      <c r="J683" s="13">
        <f>SUMIFS(data!E:E,data!A:A,TABLEAU!B683,data!C:C,TABLEAU!D683,data!F:F,YEAR(Feuil1!$D$1))</f>
        <v>6</v>
      </c>
      <c r="K683" s="13">
        <f>SUMIFS(data!E:E,data!A:A,TABLEAU!B683,data!C:C,TABLEAU!D683,data!F:F,YEAR(Feuil1!$D$2))</f>
        <v>306</v>
      </c>
      <c r="L683" s="13">
        <f t="shared" si="42"/>
        <v>-300</v>
      </c>
      <c r="M683" s="12">
        <f t="shared" si="43"/>
        <v>-0.98039215686274506</v>
      </c>
    </row>
    <row r="684" spans="1:13" x14ac:dyDescent="0.25">
      <c r="A684" s="17" t="str">
        <f>data!H1143</f>
        <v>VINICOM</v>
      </c>
      <c r="B684" s="15" t="str">
        <f>data!A1143</f>
        <v>095</v>
      </c>
      <c r="C684" s="1" t="str">
        <f>data!B1143</f>
        <v>MR FILLON</v>
      </c>
      <c r="D684" s="1" t="str">
        <f>data!C1143</f>
        <v>095004</v>
      </c>
      <c r="E684" s="1" t="str">
        <f>data!D684</f>
        <v>AC BX SUP. CH GAURY-BALETTE</v>
      </c>
      <c r="F684" s="14">
        <f>SUMIFS(data!G:G,data!A:A,TABLEAU!B684,data!C:C,TABLEAU!D684,data!F:F,YEAR(Feuil1!$D$1))</f>
        <v>105.6</v>
      </c>
      <c r="G684" s="9">
        <f>SUMIFS(data!G:G,data!A:A,TABLEAU!B684,data!C:C,TABLEAU!D684,data!F:F,YEAR(Feuil1!$D$2))</f>
        <v>0</v>
      </c>
      <c r="H684" s="9">
        <f t="shared" si="40"/>
        <v>105.6</v>
      </c>
      <c r="I684" s="12" t="str">
        <f t="shared" si="41"/>
        <v/>
      </c>
      <c r="J684" s="13">
        <f>SUMIFS(data!E:E,data!A:A,TABLEAU!B684,data!C:C,TABLEAU!D684,data!F:F,YEAR(Feuil1!$D$1))</f>
        <v>78</v>
      </c>
      <c r="K684" s="13">
        <f>SUMIFS(data!E:E,data!A:A,TABLEAU!B684,data!C:C,TABLEAU!D684,data!F:F,YEAR(Feuil1!$D$2))</f>
        <v>0</v>
      </c>
      <c r="L684" s="13">
        <f t="shared" si="42"/>
        <v>78</v>
      </c>
      <c r="M684" s="12" t="str">
        <f t="shared" si="43"/>
        <v/>
      </c>
    </row>
    <row r="685" spans="1:13" x14ac:dyDescent="0.25">
      <c r="A685" s="17" t="str">
        <f>data!H1144</f>
        <v>VINICOM</v>
      </c>
      <c r="B685" s="15" t="str">
        <f>data!A1144</f>
        <v>095</v>
      </c>
      <c r="C685" s="1" t="str">
        <f>data!B1144</f>
        <v>MR FILLON</v>
      </c>
      <c r="D685" s="1" t="str">
        <f>data!C1144</f>
        <v>095005</v>
      </c>
      <c r="E685" s="1" t="str">
        <f>data!D685</f>
        <v>AC E2MERS. CH GAURY-BALETTE</v>
      </c>
      <c r="F685" s="14">
        <f>SUMIFS(data!G:G,data!A:A,TABLEAU!B685,data!C:C,TABLEAU!D685,data!F:F,YEAR(Feuil1!$D$1))</f>
        <v>1427.4</v>
      </c>
      <c r="G685" s="9">
        <f>SUMIFS(data!G:G,data!A:A,TABLEAU!B685,data!C:C,TABLEAU!D685,data!F:F,YEAR(Feuil1!$D$2))</f>
        <v>1521</v>
      </c>
      <c r="H685" s="9">
        <f t="shared" si="40"/>
        <v>-93.599999999999909</v>
      </c>
      <c r="I685" s="12">
        <f t="shared" si="41"/>
        <v>-6.1538461538461479E-2</v>
      </c>
      <c r="J685" s="13">
        <f>SUMIFS(data!E:E,data!A:A,TABLEAU!B685,data!C:C,TABLEAU!D685,data!F:F,YEAR(Feuil1!$D$1))</f>
        <v>378</v>
      </c>
      <c r="K685" s="13">
        <f>SUMIFS(data!E:E,data!A:A,TABLEAU!B685,data!C:C,TABLEAU!D685,data!F:F,YEAR(Feuil1!$D$2))</f>
        <v>408</v>
      </c>
      <c r="L685" s="13">
        <f t="shared" si="42"/>
        <v>-30</v>
      </c>
      <c r="M685" s="12">
        <f t="shared" si="43"/>
        <v>-7.3529411764705885E-2</v>
      </c>
    </row>
    <row r="686" spans="1:13" x14ac:dyDescent="0.25">
      <c r="A686" s="17" t="str">
        <f>data!H1146</f>
        <v>VINICOM</v>
      </c>
      <c r="B686" s="15" t="str">
        <f>data!A1146</f>
        <v>095</v>
      </c>
      <c r="C686" s="1" t="str">
        <f>data!B1146</f>
        <v>MR FILLON</v>
      </c>
      <c r="D686" s="1" t="str">
        <f>data!C1146</f>
        <v>095008</v>
      </c>
      <c r="E686" s="1" t="str">
        <f>data!D686</f>
        <v>AC E2MERS. CH GAURY-BALETTE</v>
      </c>
      <c r="F686" s="14">
        <f>SUMIFS(data!G:G,data!A:A,TABLEAU!B686,data!C:C,TABLEAU!D686,data!F:F,YEAR(Feuil1!$D$1))</f>
        <v>291.60000000000002</v>
      </c>
      <c r="G686" s="9">
        <f>SUMIFS(data!G:G,data!A:A,TABLEAU!B686,data!C:C,TABLEAU!D686,data!F:F,YEAR(Feuil1!$D$2))</f>
        <v>162</v>
      </c>
      <c r="H686" s="9">
        <f t="shared" si="40"/>
        <v>129.60000000000002</v>
      </c>
      <c r="I686" s="12">
        <f t="shared" si="41"/>
        <v>0.80000000000000016</v>
      </c>
      <c r="J686" s="13">
        <f>SUMIFS(data!E:E,data!A:A,TABLEAU!B686,data!C:C,TABLEAU!D686,data!F:F,YEAR(Feuil1!$D$1))</f>
        <v>54</v>
      </c>
      <c r="K686" s="13">
        <f>SUMIFS(data!E:E,data!A:A,TABLEAU!B686,data!C:C,TABLEAU!D686,data!F:F,YEAR(Feuil1!$D$2))</f>
        <v>30</v>
      </c>
      <c r="L686" s="13">
        <f t="shared" si="42"/>
        <v>24</v>
      </c>
      <c r="M686" s="12">
        <f t="shared" si="43"/>
        <v>0.8</v>
      </c>
    </row>
    <row r="687" spans="1:13" x14ac:dyDescent="0.25">
      <c r="A687" s="17" t="str">
        <f>data!H1148</f>
        <v>VINICOM</v>
      </c>
      <c r="B687" s="15" t="str">
        <f>data!A1148</f>
        <v>095</v>
      </c>
      <c r="C687" s="1" t="str">
        <f>data!B1148</f>
        <v>MR FILLON</v>
      </c>
      <c r="D687" s="1" t="str">
        <f>data!C1148</f>
        <v>095010</v>
      </c>
      <c r="E687" s="1" t="str">
        <f>data!D687</f>
        <v>TONNEAU DOMAINE YON</v>
      </c>
      <c r="F687" s="14">
        <f>SUMIFS(data!G:G,data!A:A,TABLEAU!B687,data!C:C,TABLEAU!D687,data!F:F,YEAR(Feuil1!$D$1))</f>
        <v>19712.7</v>
      </c>
      <c r="G687" s="9">
        <f>SUMIFS(data!G:G,data!A:A,TABLEAU!B687,data!C:C,TABLEAU!D687,data!F:F,YEAR(Feuil1!$D$2))</f>
        <v>12372</v>
      </c>
      <c r="H687" s="9">
        <f t="shared" si="40"/>
        <v>7340.7000000000007</v>
      </c>
      <c r="I687" s="12">
        <f t="shared" si="41"/>
        <v>0.59333171677982544</v>
      </c>
      <c r="J687" s="13">
        <f>SUMIFS(data!E:E,data!A:A,TABLEAU!B687,data!C:C,TABLEAU!D687,data!F:F,YEAR(Feuil1!$D$1))</f>
        <v>4318</v>
      </c>
      <c r="K687" s="13">
        <f>SUMIFS(data!E:E,data!A:A,TABLEAU!B687,data!C:C,TABLEAU!D687,data!F:F,YEAR(Feuil1!$D$2))</f>
        <v>2724</v>
      </c>
      <c r="L687" s="13">
        <f t="shared" si="42"/>
        <v>1594</v>
      </c>
      <c r="M687" s="12">
        <f t="shared" si="43"/>
        <v>0.58516886930983847</v>
      </c>
    </row>
    <row r="688" spans="1:13" x14ac:dyDescent="0.25">
      <c r="A688" s="17" t="str">
        <f>data!H1150</f>
        <v>VINICOM</v>
      </c>
      <c r="B688" s="15" t="str">
        <f>data!A1150</f>
        <v>095</v>
      </c>
      <c r="C688" s="1" t="str">
        <f>data!B1150</f>
        <v>MR FILLON</v>
      </c>
      <c r="D688" s="1" t="str">
        <f>data!C1150</f>
        <v>095011</v>
      </c>
      <c r="E688" s="1" t="str">
        <f>data!D688</f>
        <v>AC BDX SUP. CH LES HAUTS DE PEREY</v>
      </c>
      <c r="F688" s="14">
        <f>SUMIFS(data!G:G,data!A:A,TABLEAU!B688,data!C:C,TABLEAU!D688,data!F:F,YEAR(Feuil1!$D$1))</f>
        <v>0</v>
      </c>
      <c r="G688" s="9">
        <f>SUMIFS(data!G:G,data!A:A,TABLEAU!B688,data!C:C,TABLEAU!D688,data!F:F,YEAR(Feuil1!$D$2))</f>
        <v>0</v>
      </c>
      <c r="H688" s="9">
        <f t="shared" si="40"/>
        <v>0</v>
      </c>
      <c r="I688" s="12" t="str">
        <f t="shared" si="41"/>
        <v/>
      </c>
      <c r="J688" s="13">
        <f>SUMIFS(data!E:E,data!A:A,TABLEAU!B688,data!C:C,TABLEAU!D688,data!F:F,YEAR(Feuil1!$D$1))</f>
        <v>0</v>
      </c>
      <c r="K688" s="13">
        <f>SUMIFS(data!E:E,data!A:A,TABLEAU!B688,data!C:C,TABLEAU!D688,data!F:F,YEAR(Feuil1!$D$2))</f>
        <v>6</v>
      </c>
      <c r="L688" s="13">
        <f t="shared" si="42"/>
        <v>-6</v>
      </c>
      <c r="M688" s="12">
        <f t="shared" si="43"/>
        <v>-1</v>
      </c>
    </row>
    <row r="689" spans="1:13" x14ac:dyDescent="0.25">
      <c r="A689" s="17" t="str">
        <f>data!H1151</f>
        <v>VINICOM</v>
      </c>
      <c r="B689" s="15" t="str">
        <f>data!A1151</f>
        <v>095</v>
      </c>
      <c r="C689" s="1" t="str">
        <f>data!B1151</f>
        <v>MR FILLON</v>
      </c>
      <c r="D689" s="1" t="str">
        <f>data!C1151</f>
        <v>095012</v>
      </c>
      <c r="E689" s="1" t="str">
        <f>data!D689</f>
        <v>AC SAINT VERAN TRAD. COLLOVRAY&amp;TERRIER</v>
      </c>
      <c r="F689" s="14">
        <f>SUMIFS(data!G:G,data!A:A,TABLEAU!B689,data!C:C,TABLEAU!D689,data!F:F,YEAR(Feuil1!$D$1))</f>
        <v>4141.6000000000004</v>
      </c>
      <c r="G689" s="9">
        <f>SUMIFS(data!G:G,data!A:A,TABLEAU!B689,data!C:C,TABLEAU!D689,data!F:F,YEAR(Feuil1!$D$2))</f>
        <v>4674.8</v>
      </c>
      <c r="H689" s="9">
        <f t="shared" si="40"/>
        <v>-533.19999999999982</v>
      </c>
      <c r="I689" s="12">
        <f t="shared" si="41"/>
        <v>-0.11405835543766574</v>
      </c>
      <c r="J689" s="13">
        <f>SUMIFS(data!E:E,data!A:A,TABLEAU!B689,data!C:C,TABLEAU!D689,data!F:F,YEAR(Feuil1!$D$1))</f>
        <v>690</v>
      </c>
      <c r="K689" s="13">
        <f>SUMIFS(data!E:E,data!A:A,TABLEAU!B689,data!C:C,TABLEAU!D689,data!F:F,YEAR(Feuil1!$D$2))</f>
        <v>792</v>
      </c>
      <c r="L689" s="13">
        <f t="shared" si="42"/>
        <v>-102</v>
      </c>
      <c r="M689" s="12">
        <f t="shared" si="43"/>
        <v>-0.12878787878787878</v>
      </c>
    </row>
    <row r="690" spans="1:13" x14ac:dyDescent="0.25">
      <c r="A690" s="17" t="str">
        <f>data!H1153</f>
        <v>VINICOM</v>
      </c>
      <c r="B690" s="15" t="str">
        <f>data!A1153</f>
        <v>095</v>
      </c>
      <c r="C690" s="1" t="str">
        <f>data!B1153</f>
        <v>MR FILLON</v>
      </c>
      <c r="D690" s="1" t="str">
        <f>data!C1153</f>
        <v>095014</v>
      </c>
      <c r="E690" s="1" t="str">
        <f>data!D690</f>
        <v>AC SAINT VERAN TRAD. COLLOVRAY&amp;TERRIER</v>
      </c>
      <c r="F690" s="14">
        <f>SUMIFS(data!G:G,data!A:A,TABLEAU!B690,data!C:C,TABLEAU!D690,data!F:F,YEAR(Feuil1!$D$1))</f>
        <v>2448</v>
      </c>
      <c r="G690" s="9">
        <f>SUMIFS(data!G:G,data!A:A,TABLEAU!B690,data!C:C,TABLEAU!D690,data!F:F,YEAR(Feuil1!$D$2))</f>
        <v>2080.8000000000002</v>
      </c>
      <c r="H690" s="9">
        <f t="shared" si="40"/>
        <v>367.19999999999982</v>
      </c>
      <c r="I690" s="12">
        <f t="shared" si="41"/>
        <v>0.17647058823529402</v>
      </c>
      <c r="J690" s="13">
        <f>SUMIFS(data!E:E,data!A:A,TABLEAU!B690,data!C:C,TABLEAU!D690,data!F:F,YEAR(Feuil1!$D$1))</f>
        <v>504</v>
      </c>
      <c r="K690" s="13">
        <f>SUMIFS(data!E:E,data!A:A,TABLEAU!B690,data!C:C,TABLEAU!D690,data!F:F,YEAR(Feuil1!$D$2))</f>
        <v>318</v>
      </c>
      <c r="L690" s="13">
        <f t="shared" si="42"/>
        <v>186</v>
      </c>
      <c r="M690" s="12">
        <f t="shared" si="43"/>
        <v>0.58490566037735847</v>
      </c>
    </row>
    <row r="691" spans="1:13" x14ac:dyDescent="0.25">
      <c r="A691" s="17" t="str">
        <f>data!H1155</f>
        <v>VINICOM</v>
      </c>
      <c r="B691" s="15" t="str">
        <f>data!A1155</f>
        <v>095</v>
      </c>
      <c r="C691" s="1" t="str">
        <f>data!B1155</f>
        <v>MR FILLON</v>
      </c>
      <c r="D691" s="1" t="str">
        <f>data!C1155</f>
        <v>095015</v>
      </c>
      <c r="E691" s="1" t="str">
        <f>data!D691</f>
        <v>AC SAINT VERAN</v>
      </c>
      <c r="F691" s="14">
        <f>SUMIFS(data!G:G,data!A:A,TABLEAU!B691,data!C:C,TABLEAU!D691,data!F:F,YEAR(Feuil1!$D$1))</f>
        <v>420</v>
      </c>
      <c r="G691" s="9">
        <f>SUMIFS(data!G:G,data!A:A,TABLEAU!B691,data!C:C,TABLEAU!D691,data!F:F,YEAR(Feuil1!$D$2))</f>
        <v>588</v>
      </c>
      <c r="H691" s="9">
        <f t="shared" si="40"/>
        <v>-168</v>
      </c>
      <c r="I691" s="12">
        <f t="shared" si="41"/>
        <v>-0.2857142857142857</v>
      </c>
      <c r="J691" s="13">
        <f>SUMIFS(data!E:E,data!A:A,TABLEAU!B691,data!C:C,TABLEAU!D691,data!F:F,YEAR(Feuil1!$D$1))</f>
        <v>60</v>
      </c>
      <c r="K691" s="13">
        <f>SUMIFS(data!E:E,data!A:A,TABLEAU!B691,data!C:C,TABLEAU!D691,data!F:F,YEAR(Feuil1!$D$2))</f>
        <v>84</v>
      </c>
      <c r="L691" s="13">
        <f t="shared" si="42"/>
        <v>-24</v>
      </c>
      <c r="M691" s="12">
        <f t="shared" si="43"/>
        <v>-0.2857142857142857</v>
      </c>
    </row>
    <row r="692" spans="1:13" x14ac:dyDescent="0.25">
      <c r="A692" s="17" t="str">
        <f>data!H1157</f>
        <v>VINICOM</v>
      </c>
      <c r="B692" s="15" t="str">
        <f>data!A1157</f>
        <v>095</v>
      </c>
      <c r="C692" s="1" t="str">
        <f>data!B1157</f>
        <v>MR FILLON</v>
      </c>
      <c r="D692" s="1" t="str">
        <f>data!C1157</f>
        <v>095016</v>
      </c>
      <c r="E692" s="1" t="str">
        <f>data!D692</f>
        <v>AC SAINT VERAN</v>
      </c>
      <c r="F692" s="14">
        <f>SUMIFS(data!G:G,data!A:A,TABLEAU!B692,data!C:C,TABLEAU!D692,data!F:F,YEAR(Feuil1!$D$1))</f>
        <v>730.8</v>
      </c>
      <c r="G692" s="9">
        <f>SUMIFS(data!G:G,data!A:A,TABLEAU!B692,data!C:C,TABLEAU!D692,data!F:F,YEAR(Feuil1!$D$2))</f>
        <v>2505.6</v>
      </c>
      <c r="H692" s="9">
        <f t="shared" si="40"/>
        <v>-1774.8</v>
      </c>
      <c r="I692" s="12">
        <f t="shared" si="41"/>
        <v>-0.70833333333333337</v>
      </c>
      <c r="J692" s="13">
        <f>SUMIFS(data!E:E,data!A:A,TABLEAU!B692,data!C:C,TABLEAU!D692,data!F:F,YEAR(Feuil1!$D$1))</f>
        <v>90</v>
      </c>
      <c r="K692" s="13">
        <f>SUMIFS(data!E:E,data!A:A,TABLEAU!B692,data!C:C,TABLEAU!D692,data!F:F,YEAR(Feuil1!$D$2))</f>
        <v>306</v>
      </c>
      <c r="L692" s="13">
        <f t="shared" si="42"/>
        <v>-216</v>
      </c>
      <c r="M692" s="12">
        <f t="shared" si="43"/>
        <v>-0.70588235294117652</v>
      </c>
    </row>
    <row r="693" spans="1:13" x14ac:dyDescent="0.25">
      <c r="A693" s="17" t="str">
        <f>data!H1159</f>
        <v>VINICOM</v>
      </c>
      <c r="B693" s="15" t="str">
        <f>data!A1159</f>
        <v>095</v>
      </c>
      <c r="C693" s="1" t="str">
        <f>data!B1159</f>
        <v>MR FILLON</v>
      </c>
      <c r="D693" s="1" t="str">
        <f>data!C1159</f>
        <v>095017</v>
      </c>
      <c r="E693" s="1" t="str">
        <f>data!D693</f>
        <v>DME DEUX ROCHES AC ST VERAN RIVES DE LONGSAULT</v>
      </c>
      <c r="F693" s="14">
        <f>SUMIFS(data!G:G,data!A:A,TABLEAU!B693,data!C:C,TABLEAU!D693,data!F:F,YEAR(Feuil1!$D$1))</f>
        <v>1755</v>
      </c>
      <c r="G693" s="9">
        <f>SUMIFS(data!G:G,data!A:A,TABLEAU!B693,data!C:C,TABLEAU!D693,data!F:F,YEAR(Feuil1!$D$2))</f>
        <v>0</v>
      </c>
      <c r="H693" s="9">
        <f t="shared" si="40"/>
        <v>1755</v>
      </c>
      <c r="I693" s="12" t="str">
        <f t="shared" si="41"/>
        <v/>
      </c>
      <c r="J693" s="13">
        <f>SUMIFS(data!E:E,data!A:A,TABLEAU!B693,data!C:C,TABLEAU!D693,data!F:F,YEAR(Feuil1!$D$1))</f>
        <v>359.90999999999997</v>
      </c>
      <c r="K693" s="13">
        <f>SUMIFS(data!E:E,data!A:A,TABLEAU!B693,data!C:C,TABLEAU!D693,data!F:F,YEAR(Feuil1!$D$2))</f>
        <v>0</v>
      </c>
      <c r="L693" s="13">
        <f t="shared" si="42"/>
        <v>359.90999999999997</v>
      </c>
      <c r="M693" s="12" t="str">
        <f t="shared" si="43"/>
        <v/>
      </c>
    </row>
    <row r="694" spans="1:13" x14ac:dyDescent="0.25">
      <c r="A694" s="17" t="str">
        <f>data!H1160</f>
        <v>VINICOM</v>
      </c>
      <c r="B694" s="15" t="str">
        <f>data!A1160</f>
        <v>095</v>
      </c>
      <c r="C694" s="1" t="str">
        <f>data!B1160</f>
        <v>MR FILLON</v>
      </c>
      <c r="D694" s="1" t="str">
        <f>data!C1160</f>
        <v>CDV095005</v>
      </c>
      <c r="E694" s="1" t="str">
        <f>data!D694</f>
        <v>DME DEUX ROCHES AC ST VERAN RIVES DE LONGSAULT</v>
      </c>
      <c r="F694" s="14">
        <f>SUMIFS(data!G:G,data!A:A,TABLEAU!B694,data!C:C,TABLEAU!D694,data!F:F,YEAR(Feuil1!$D$1))</f>
        <v>0</v>
      </c>
      <c r="G694" s="9">
        <f>SUMIFS(data!G:G,data!A:A,TABLEAU!B694,data!C:C,TABLEAU!D694,data!F:F,YEAR(Feuil1!$D$2))</f>
        <v>304.2</v>
      </c>
      <c r="H694" s="9">
        <f t="shared" si="40"/>
        <v>-304.2</v>
      </c>
      <c r="I694" s="12">
        <f t="shared" si="41"/>
        <v>-1</v>
      </c>
      <c r="J694" s="13">
        <f>SUMIFS(data!E:E,data!A:A,TABLEAU!B694,data!C:C,TABLEAU!D694,data!F:F,YEAR(Feuil1!$D$1))</f>
        <v>0</v>
      </c>
      <c r="K694" s="13">
        <f>SUMIFS(data!E:E,data!A:A,TABLEAU!B694,data!C:C,TABLEAU!D694,data!F:F,YEAR(Feuil1!$D$2))</f>
        <v>78</v>
      </c>
      <c r="L694" s="13">
        <f t="shared" si="42"/>
        <v>-78</v>
      </c>
      <c r="M694" s="12">
        <f t="shared" si="43"/>
        <v>-1</v>
      </c>
    </row>
    <row r="695" spans="1:13" x14ac:dyDescent="0.25">
      <c r="A695" s="17" t="str">
        <f>data!H1161</f>
        <v>VINICOM</v>
      </c>
      <c r="B695" s="15" t="str">
        <f>data!A1161</f>
        <v>095</v>
      </c>
      <c r="C695" s="1" t="str">
        <f>data!B1161</f>
        <v>MR FILLON</v>
      </c>
      <c r="D695" s="1" t="str">
        <f>data!C1161</f>
        <v>CDV095007</v>
      </c>
      <c r="E695" s="1" t="str">
        <f>data!D695</f>
        <v>AC MACON VILL TRAD. COLLOVRAY &amp;</v>
      </c>
      <c r="F695" s="14">
        <f>SUMIFS(data!G:G,data!A:A,TABLEAU!B695,data!C:C,TABLEAU!D695,data!F:F,YEAR(Feuil1!$D$1))</f>
        <v>192</v>
      </c>
      <c r="G695" s="9">
        <f>SUMIFS(data!G:G,data!A:A,TABLEAU!B695,data!C:C,TABLEAU!D695,data!F:F,YEAR(Feuil1!$D$2))</f>
        <v>0</v>
      </c>
      <c r="H695" s="9">
        <f t="shared" si="40"/>
        <v>192</v>
      </c>
      <c r="I695" s="12" t="str">
        <f t="shared" si="41"/>
        <v/>
      </c>
      <c r="J695" s="13">
        <f>SUMIFS(data!E:E,data!A:A,TABLEAU!B695,data!C:C,TABLEAU!D695,data!F:F,YEAR(Feuil1!$D$1))</f>
        <v>48</v>
      </c>
      <c r="K695" s="13">
        <f>SUMIFS(data!E:E,data!A:A,TABLEAU!B695,data!C:C,TABLEAU!D695,data!F:F,YEAR(Feuil1!$D$2))</f>
        <v>0</v>
      </c>
      <c r="L695" s="13">
        <f t="shared" si="42"/>
        <v>48</v>
      </c>
      <c r="M695" s="12" t="str">
        <f t="shared" si="43"/>
        <v/>
      </c>
    </row>
    <row r="696" spans="1:13" x14ac:dyDescent="0.25">
      <c r="A696" s="17" t="str">
        <f>data!H1162</f>
        <v>VINICOM</v>
      </c>
      <c r="B696" s="15" t="str">
        <f>data!A1162</f>
        <v>095</v>
      </c>
      <c r="C696" s="1" t="str">
        <f>data!B1162</f>
        <v>MR FILLON</v>
      </c>
      <c r="D696" s="1" t="str">
        <f>data!C1162</f>
        <v>CDV095016</v>
      </c>
      <c r="E696" s="1" t="str">
        <f>data!D696</f>
        <v>AC MACON VILL TRAD. COLLOVRAY &amp;</v>
      </c>
      <c r="F696" s="14">
        <f>SUMIFS(data!G:G,data!A:A,TABLEAU!B696,data!C:C,TABLEAU!D696,data!F:F,YEAR(Feuil1!$D$1))</f>
        <v>0</v>
      </c>
      <c r="G696" s="9">
        <f>SUMIFS(data!G:G,data!A:A,TABLEAU!B696,data!C:C,TABLEAU!D696,data!F:F,YEAR(Feuil1!$D$2))</f>
        <v>0</v>
      </c>
      <c r="H696" s="9">
        <f t="shared" si="40"/>
        <v>0</v>
      </c>
      <c r="I696" s="12" t="str">
        <f t="shared" si="41"/>
        <v/>
      </c>
      <c r="J696" s="13">
        <f>SUMIFS(data!E:E,data!A:A,TABLEAU!B696,data!C:C,TABLEAU!D696,data!F:F,YEAR(Feuil1!$D$1))</f>
        <v>24</v>
      </c>
      <c r="K696" s="13">
        <f>SUMIFS(data!E:E,data!A:A,TABLEAU!B696,data!C:C,TABLEAU!D696,data!F:F,YEAR(Feuil1!$D$2))</f>
        <v>0</v>
      </c>
      <c r="L696" s="13">
        <f t="shared" si="42"/>
        <v>24</v>
      </c>
      <c r="M696" s="12" t="str">
        <f t="shared" si="43"/>
        <v/>
      </c>
    </row>
    <row r="697" spans="1:13" x14ac:dyDescent="0.25">
      <c r="A697" s="17" t="str">
        <f>data!H1163</f>
        <v>VINICOM</v>
      </c>
      <c r="B697" s="15" t="str">
        <f>data!A1163</f>
        <v>095</v>
      </c>
      <c r="C697" s="1" t="str">
        <f>data!B1163</f>
        <v>MR FILLON</v>
      </c>
      <c r="D697" s="1" t="str">
        <f>data!C1163</f>
        <v>CDV095017</v>
      </c>
      <c r="E697" s="1" t="str">
        <f>data!D697</f>
        <v>DOM 2 ROCHES MACON VILLAGES</v>
      </c>
      <c r="F697" s="14">
        <f>SUMIFS(data!G:G,data!A:A,TABLEAU!B697,data!C:C,TABLEAU!D697,data!F:F,YEAR(Feuil1!$D$1))</f>
        <v>585</v>
      </c>
      <c r="G697" s="9">
        <f>SUMIFS(data!G:G,data!A:A,TABLEAU!B697,data!C:C,TABLEAU!D697,data!F:F,YEAR(Feuil1!$D$2))</f>
        <v>1049</v>
      </c>
      <c r="H697" s="9">
        <f t="shared" si="40"/>
        <v>-464</v>
      </c>
      <c r="I697" s="12">
        <f t="shared" si="41"/>
        <v>-0.44232602478551003</v>
      </c>
      <c r="J697" s="13">
        <f>SUMIFS(data!E:E,data!A:A,TABLEAU!B697,data!C:C,TABLEAU!D697,data!F:F,YEAR(Feuil1!$D$1))</f>
        <v>119.97</v>
      </c>
      <c r="K697" s="13">
        <f>SUMIFS(data!E:E,data!A:A,TABLEAU!B697,data!C:C,TABLEAU!D697,data!F:F,YEAR(Feuil1!$D$2))</f>
        <v>213.28000000000003</v>
      </c>
      <c r="L697" s="13">
        <f t="shared" si="42"/>
        <v>-93.310000000000031</v>
      </c>
      <c r="M697" s="12">
        <f t="shared" si="43"/>
        <v>-0.43750000000000011</v>
      </c>
    </row>
    <row r="698" spans="1:13" x14ac:dyDescent="0.25">
      <c r="A698" s="17" t="str">
        <f>data!H1165</f>
        <v>VINICOM</v>
      </c>
      <c r="B698" s="15" t="str">
        <f>data!A1165</f>
        <v>096</v>
      </c>
      <c r="C698" s="1" t="str">
        <f>data!B1165</f>
        <v>L DE L</v>
      </c>
      <c r="D698" s="1" t="str">
        <f>data!C1165</f>
        <v>096003</v>
      </c>
      <c r="E698" s="1" t="str">
        <f>data!D698</f>
        <v>AC MACON. VERGER DES FEUILLANTS</v>
      </c>
      <c r="F698" s="14">
        <f>SUMIFS(data!G:G,data!A:A,TABLEAU!B698,data!C:C,TABLEAU!D698,data!F:F,YEAR(Feuil1!$D$1))</f>
        <v>135</v>
      </c>
      <c r="G698" s="9">
        <f>SUMIFS(data!G:G,data!A:A,TABLEAU!B698,data!C:C,TABLEAU!D698,data!F:F,YEAR(Feuil1!$D$2))</f>
        <v>405</v>
      </c>
      <c r="H698" s="9">
        <f t="shared" si="40"/>
        <v>-270</v>
      </c>
      <c r="I698" s="12">
        <f t="shared" si="41"/>
        <v>-0.66666666666666663</v>
      </c>
      <c r="J698" s="13">
        <f>SUMIFS(data!E:E,data!A:A,TABLEAU!B698,data!C:C,TABLEAU!D698,data!F:F,YEAR(Feuil1!$D$1))</f>
        <v>18</v>
      </c>
      <c r="K698" s="13">
        <f>SUMIFS(data!E:E,data!A:A,TABLEAU!B698,data!C:C,TABLEAU!D698,data!F:F,YEAR(Feuil1!$D$2))</f>
        <v>54</v>
      </c>
      <c r="L698" s="13">
        <f t="shared" si="42"/>
        <v>-36</v>
      </c>
      <c r="M698" s="12">
        <f t="shared" si="43"/>
        <v>-0.66666666666666663</v>
      </c>
    </row>
    <row r="699" spans="1:13" x14ac:dyDescent="0.25">
      <c r="A699" s="17" t="str">
        <f>data!H1167</f>
        <v>VINICOM</v>
      </c>
      <c r="B699" s="15" t="str">
        <f>data!A1167</f>
        <v>096</v>
      </c>
      <c r="C699" s="1" t="str">
        <f>data!B1167</f>
        <v>L DE L</v>
      </c>
      <c r="D699" s="1" t="str">
        <f>data!C1167</f>
        <v>096007</v>
      </c>
      <c r="E699" s="1" t="str">
        <f>data!D699</f>
        <v>AC MACON. VERGER DES FEUILLANTS</v>
      </c>
      <c r="F699" s="14">
        <f>SUMIFS(data!G:G,data!A:A,TABLEAU!B699,data!C:C,TABLEAU!D699,data!F:F,YEAR(Feuil1!$D$1))</f>
        <v>0</v>
      </c>
      <c r="G699" s="9">
        <f>SUMIFS(data!G:G,data!A:A,TABLEAU!B699,data!C:C,TABLEAU!D699,data!F:F,YEAR(Feuil1!$D$2))</f>
        <v>1116</v>
      </c>
      <c r="H699" s="9">
        <f t="shared" si="40"/>
        <v>-1116</v>
      </c>
      <c r="I699" s="12">
        <f t="shared" si="41"/>
        <v>-1</v>
      </c>
      <c r="J699" s="13">
        <f>SUMIFS(data!E:E,data!A:A,TABLEAU!B699,data!C:C,TABLEAU!D699,data!F:F,YEAR(Feuil1!$D$1))</f>
        <v>0</v>
      </c>
      <c r="K699" s="13">
        <f>SUMIFS(data!E:E,data!A:A,TABLEAU!B699,data!C:C,TABLEAU!D699,data!F:F,YEAR(Feuil1!$D$2))</f>
        <v>144</v>
      </c>
      <c r="L699" s="13">
        <f t="shared" si="42"/>
        <v>-144</v>
      </c>
      <c r="M699" s="12">
        <f t="shared" si="43"/>
        <v>-1</v>
      </c>
    </row>
    <row r="700" spans="1:13" x14ac:dyDescent="0.25">
      <c r="A700" s="17" t="str">
        <f>data!H1168</f>
        <v>VINICOM</v>
      </c>
      <c r="B700" s="15" t="str">
        <f>data!A1168</f>
        <v>096</v>
      </c>
      <c r="C700" s="1" t="str">
        <f>data!B1168</f>
        <v>L DE L</v>
      </c>
      <c r="D700" s="1" t="str">
        <f>data!C1168</f>
        <v>096008</v>
      </c>
      <c r="E700" s="1" t="str">
        <f>data!D700</f>
        <v>VDP PINOT NOIR . D.D'ANTUGNIAC</v>
      </c>
      <c r="F700" s="14">
        <f>SUMIFS(data!G:G,data!A:A,TABLEAU!B700,data!C:C,TABLEAU!D700,data!F:F,YEAR(Feuil1!$D$1))</f>
        <v>252</v>
      </c>
      <c r="G700" s="9">
        <f>SUMIFS(data!G:G,data!A:A,TABLEAU!B700,data!C:C,TABLEAU!D700,data!F:F,YEAR(Feuil1!$D$2))</f>
        <v>168</v>
      </c>
      <c r="H700" s="9">
        <f t="shared" si="40"/>
        <v>84</v>
      </c>
      <c r="I700" s="12">
        <f t="shared" si="41"/>
        <v>0.5</v>
      </c>
      <c r="J700" s="13">
        <f>SUMIFS(data!E:E,data!A:A,TABLEAU!B700,data!C:C,TABLEAU!D700,data!F:F,YEAR(Feuil1!$D$1))</f>
        <v>36</v>
      </c>
      <c r="K700" s="13">
        <f>SUMIFS(data!E:E,data!A:A,TABLEAU!B700,data!C:C,TABLEAU!D700,data!F:F,YEAR(Feuil1!$D$2))</f>
        <v>30</v>
      </c>
      <c r="L700" s="13">
        <f t="shared" si="42"/>
        <v>6</v>
      </c>
      <c r="M700" s="12">
        <f t="shared" si="43"/>
        <v>0.2</v>
      </c>
    </row>
    <row r="701" spans="1:13" x14ac:dyDescent="0.25">
      <c r="A701" s="17" t="str">
        <f>data!H1170</f>
        <v>VINICOM</v>
      </c>
      <c r="B701" s="15" t="str">
        <f>data!A1170</f>
        <v>096</v>
      </c>
      <c r="C701" s="1" t="str">
        <f>data!B1170</f>
        <v>L DE L</v>
      </c>
      <c r="D701" s="1" t="str">
        <f>data!C1170</f>
        <v>CDH-096008</v>
      </c>
      <c r="E701" s="1" t="str">
        <f>data!D701</f>
        <v>VDP PINOT NOIR . D.D'ANTUGNIAC</v>
      </c>
      <c r="F701" s="14">
        <f>SUMIFS(data!G:G,data!A:A,TABLEAU!B701,data!C:C,TABLEAU!D701,data!F:F,YEAR(Feuil1!$D$1))</f>
        <v>84</v>
      </c>
      <c r="G701" s="9">
        <f>SUMIFS(data!G:G,data!A:A,TABLEAU!B701,data!C:C,TABLEAU!D701,data!F:F,YEAR(Feuil1!$D$2))</f>
        <v>0</v>
      </c>
      <c r="H701" s="9">
        <f t="shared" si="40"/>
        <v>84</v>
      </c>
      <c r="I701" s="12" t="str">
        <f t="shared" si="41"/>
        <v/>
      </c>
      <c r="J701" s="13">
        <f>SUMIFS(data!E:E,data!A:A,TABLEAU!B701,data!C:C,TABLEAU!D701,data!F:F,YEAR(Feuil1!$D$1))</f>
        <v>12</v>
      </c>
      <c r="K701" s="13">
        <f>SUMIFS(data!E:E,data!A:A,TABLEAU!B701,data!C:C,TABLEAU!D701,data!F:F,YEAR(Feuil1!$D$2))</f>
        <v>0</v>
      </c>
      <c r="L701" s="13">
        <f t="shared" si="42"/>
        <v>12</v>
      </c>
      <c r="M701" s="12" t="str">
        <f t="shared" si="43"/>
        <v/>
      </c>
    </row>
    <row r="702" spans="1:13" x14ac:dyDescent="0.25">
      <c r="A702" s="17" t="str">
        <f>data!H1171</f>
        <v>VINICOM</v>
      </c>
      <c r="B702" s="15" t="str">
        <f>data!A1171</f>
        <v>096</v>
      </c>
      <c r="C702" s="1" t="str">
        <f>data!B1171</f>
        <v>L DE L</v>
      </c>
      <c r="D702" s="1" t="str">
        <f>data!C1171</f>
        <v>CDV096007</v>
      </c>
      <c r="E702" s="1" t="str">
        <f>data!D702</f>
        <v>VDP MERLOT. D.D'ANTUGNIAC</v>
      </c>
      <c r="F702" s="14">
        <f>SUMIFS(data!G:G,data!A:A,TABLEAU!B702,data!C:C,TABLEAU!D702,data!F:F,YEAR(Feuil1!$D$1))</f>
        <v>0</v>
      </c>
      <c r="G702" s="9">
        <f>SUMIFS(data!G:G,data!A:A,TABLEAU!B702,data!C:C,TABLEAU!D702,data!F:F,YEAR(Feuil1!$D$2))</f>
        <v>93</v>
      </c>
      <c r="H702" s="9">
        <f t="shared" si="40"/>
        <v>-93</v>
      </c>
      <c r="I702" s="12">
        <f t="shared" si="41"/>
        <v>-1</v>
      </c>
      <c r="J702" s="13">
        <f>SUMIFS(data!E:E,data!A:A,TABLEAU!B702,data!C:C,TABLEAU!D702,data!F:F,YEAR(Feuil1!$D$1))</f>
        <v>0</v>
      </c>
      <c r="K702" s="13">
        <f>SUMIFS(data!E:E,data!A:A,TABLEAU!B702,data!C:C,TABLEAU!D702,data!F:F,YEAR(Feuil1!$D$2))</f>
        <v>12</v>
      </c>
      <c r="L702" s="13">
        <f t="shared" si="42"/>
        <v>-12</v>
      </c>
      <c r="M702" s="12">
        <f t="shared" si="43"/>
        <v>-1</v>
      </c>
    </row>
    <row r="703" spans="1:13" x14ac:dyDescent="0.25">
      <c r="A703" s="17" t="str">
        <f>data!H1172</f>
        <v>VINICOM</v>
      </c>
      <c r="B703" s="15" t="str">
        <f>data!A1172</f>
        <v>097</v>
      </c>
      <c r="C703" s="1" t="str">
        <f>data!B1172</f>
        <v>CHATEAU DE COINTES</v>
      </c>
      <c r="D703" s="1" t="str">
        <f>data!C1172</f>
        <v>097003</v>
      </c>
      <c r="E703" s="1" t="str">
        <f>data!D703</f>
        <v>VDP MERLOT. D.D'ANTUGNIAC</v>
      </c>
      <c r="F703" s="14">
        <f>SUMIFS(data!G:G,data!A:A,TABLEAU!B703,data!C:C,TABLEAU!D703,data!F:F,YEAR(Feuil1!$D$1))</f>
        <v>1259.0999999999999</v>
      </c>
      <c r="G703" s="9">
        <f>SUMIFS(data!G:G,data!A:A,TABLEAU!B703,data!C:C,TABLEAU!D703,data!F:F,YEAR(Feuil1!$D$2))</f>
        <v>2586.1999999999998</v>
      </c>
      <c r="H703" s="9">
        <f t="shared" si="40"/>
        <v>-1327.1</v>
      </c>
      <c r="I703" s="12">
        <f t="shared" si="41"/>
        <v>-0.51314670172453791</v>
      </c>
      <c r="J703" s="13">
        <f>SUMIFS(data!E:E,data!A:A,TABLEAU!B703,data!C:C,TABLEAU!D703,data!F:F,YEAR(Feuil1!$D$1))</f>
        <v>474</v>
      </c>
      <c r="K703" s="13">
        <f>SUMIFS(data!E:E,data!A:A,TABLEAU!B703,data!C:C,TABLEAU!D703,data!F:F,YEAR(Feuil1!$D$2))</f>
        <v>1020</v>
      </c>
      <c r="L703" s="13">
        <f t="shared" si="42"/>
        <v>-546</v>
      </c>
      <c r="M703" s="12">
        <f t="shared" si="43"/>
        <v>-0.53529411764705881</v>
      </c>
    </row>
    <row r="704" spans="1:13" x14ac:dyDescent="0.25">
      <c r="A704" s="17" t="str">
        <f>data!H1174</f>
        <v>VINICOM</v>
      </c>
      <c r="B704" s="15" t="str">
        <f>data!A1174</f>
        <v>097</v>
      </c>
      <c r="C704" s="1" t="str">
        <f>data!B1174</f>
        <v>CHATEAU DE COINTES</v>
      </c>
      <c r="D704" s="1" t="str">
        <f>data!C1174</f>
        <v>097004</v>
      </c>
      <c r="E704" s="1" t="str">
        <f>data!D704</f>
        <v>AC POUILLY-FUISSE. V.VIGNES</v>
      </c>
      <c r="F704" s="14">
        <f>SUMIFS(data!G:G,data!A:A,TABLEAU!B704,data!C:C,TABLEAU!D704,data!F:F,YEAR(Feuil1!$D$1))</f>
        <v>10991.5</v>
      </c>
      <c r="G704" s="9">
        <f>SUMIFS(data!G:G,data!A:A,TABLEAU!B704,data!C:C,TABLEAU!D704,data!F:F,YEAR(Feuil1!$D$2))</f>
        <v>12575.9</v>
      </c>
      <c r="H704" s="9">
        <f t="shared" si="40"/>
        <v>-1584.3999999999996</v>
      </c>
      <c r="I704" s="12">
        <f t="shared" si="41"/>
        <v>-0.12598700689413878</v>
      </c>
      <c r="J704" s="13">
        <f>SUMIFS(data!E:E,data!A:A,TABLEAU!B704,data!C:C,TABLEAU!D704,data!F:F,YEAR(Feuil1!$D$1))</f>
        <v>5328</v>
      </c>
      <c r="K704" s="13">
        <f>SUMIFS(data!E:E,data!A:A,TABLEAU!B704,data!C:C,TABLEAU!D704,data!F:F,YEAR(Feuil1!$D$2))</f>
        <v>6168</v>
      </c>
      <c r="L704" s="13">
        <f t="shared" si="42"/>
        <v>-840</v>
      </c>
      <c r="M704" s="12">
        <f t="shared" si="43"/>
        <v>-0.13618677042801555</v>
      </c>
    </row>
    <row r="705" spans="1:13" x14ac:dyDescent="0.25">
      <c r="A705" s="17" t="str">
        <f>data!H1176</f>
        <v>VINICOM</v>
      </c>
      <c r="B705" s="15" t="str">
        <f>data!A1176</f>
        <v>099</v>
      </c>
      <c r="C705" s="1" t="str">
        <f>data!B1176</f>
        <v>CAVE DE L'ORMARINE</v>
      </c>
      <c r="D705" s="1" t="str">
        <f>data!C1176</f>
        <v>099001</v>
      </c>
      <c r="E705" s="1" t="str">
        <f>data!D705</f>
        <v>AC POUILLY-FUISSE. V.VIGNES</v>
      </c>
      <c r="F705" s="14">
        <f>SUMIFS(data!G:G,data!A:A,TABLEAU!B705,data!C:C,TABLEAU!D705,data!F:F,YEAR(Feuil1!$D$1))</f>
        <v>20872.919999999998</v>
      </c>
      <c r="G705" s="9">
        <f>SUMIFS(data!G:G,data!A:A,TABLEAU!B705,data!C:C,TABLEAU!D705,data!F:F,YEAR(Feuil1!$D$2))</f>
        <v>18626.03</v>
      </c>
      <c r="H705" s="9">
        <f t="shared" si="40"/>
        <v>2246.8899999999994</v>
      </c>
      <c r="I705" s="12">
        <f t="shared" si="41"/>
        <v>0.12063171808485219</v>
      </c>
      <c r="J705" s="13">
        <f>SUMIFS(data!E:E,data!A:A,TABLEAU!B705,data!C:C,TABLEAU!D705,data!F:F,YEAR(Feuil1!$D$1))</f>
        <v>13482</v>
      </c>
      <c r="K705" s="13">
        <f>SUMIFS(data!E:E,data!A:A,TABLEAU!B705,data!C:C,TABLEAU!D705,data!F:F,YEAR(Feuil1!$D$2))</f>
        <v>12192</v>
      </c>
      <c r="L705" s="13">
        <f t="shared" si="42"/>
        <v>1290</v>
      </c>
      <c r="M705" s="12">
        <f t="shared" si="43"/>
        <v>0.10580708661417323</v>
      </c>
    </row>
    <row r="706" spans="1:13" x14ac:dyDescent="0.25">
      <c r="A706" s="17" t="str">
        <f>data!H1178</f>
        <v>VINICOM</v>
      </c>
      <c r="B706" s="15" t="str">
        <f>data!A1178</f>
        <v>099</v>
      </c>
      <c r="C706" s="1" t="str">
        <f>data!B1178</f>
        <v>CAVE DE L'ORMARINE</v>
      </c>
      <c r="D706" s="1" t="str">
        <f>data!C1178</f>
        <v>099002</v>
      </c>
      <c r="E706" s="1" t="str">
        <f>data!D706</f>
        <v>VDP CHARDONNAY. D.D'ANTUGNAC</v>
      </c>
      <c r="F706" s="14">
        <f>SUMIFS(data!G:G,data!A:A,TABLEAU!B706,data!C:C,TABLEAU!D706,data!F:F,YEAR(Feuil1!$D$1))</f>
        <v>110945.7</v>
      </c>
      <c r="G706" s="9">
        <f>SUMIFS(data!G:G,data!A:A,TABLEAU!B706,data!C:C,TABLEAU!D706,data!F:F,YEAR(Feuil1!$D$2))</f>
        <v>91219.69</v>
      </c>
      <c r="H706" s="9">
        <f t="shared" si="40"/>
        <v>19726.009999999995</v>
      </c>
      <c r="I706" s="12">
        <f t="shared" si="41"/>
        <v>0.21624728169981716</v>
      </c>
      <c r="J706" s="13">
        <f>SUMIFS(data!E:E,data!A:A,TABLEAU!B706,data!C:C,TABLEAU!D706,data!F:F,YEAR(Feuil1!$D$1))</f>
        <v>77248</v>
      </c>
      <c r="K706" s="13">
        <f>SUMIFS(data!E:E,data!A:A,TABLEAU!B706,data!C:C,TABLEAU!D706,data!F:F,YEAR(Feuil1!$D$2))</f>
        <v>64692</v>
      </c>
      <c r="L706" s="13">
        <f t="shared" si="42"/>
        <v>12556</v>
      </c>
      <c r="M706" s="12">
        <f t="shared" si="43"/>
        <v>0.19408891362146788</v>
      </c>
    </row>
    <row r="707" spans="1:13" x14ac:dyDescent="0.25">
      <c r="A707" s="17" t="str">
        <f>data!H1180</f>
        <v>VINICOM</v>
      </c>
      <c r="B707" s="15" t="str">
        <f>data!A1180</f>
        <v>099</v>
      </c>
      <c r="C707" s="1" t="str">
        <f>data!B1180</f>
        <v>CAVE DE L'ORMARINE</v>
      </c>
      <c r="D707" s="1" t="str">
        <f>data!C1180</f>
        <v>099003</v>
      </c>
      <c r="E707" s="1" t="str">
        <f>data!D707</f>
        <v>VDP CHARDONNAY. D.D'ANTUGNAC</v>
      </c>
      <c r="F707" s="14">
        <f>SUMIFS(data!G:G,data!A:A,TABLEAU!B707,data!C:C,TABLEAU!D707,data!F:F,YEAR(Feuil1!$D$1))</f>
        <v>3551.28</v>
      </c>
      <c r="G707" s="9">
        <f>SUMIFS(data!G:G,data!A:A,TABLEAU!B707,data!C:C,TABLEAU!D707,data!F:F,YEAR(Feuil1!$D$2))</f>
        <v>4786.5600000000004</v>
      </c>
      <c r="H707" s="9">
        <f t="shared" ref="H707:H770" si="44">F707-G707</f>
        <v>-1235.2800000000002</v>
      </c>
      <c r="I707" s="12">
        <f t="shared" ref="I707:I770" si="45">IF(ISERR(H707/G707),"",H707/G707)</f>
        <v>-0.25807260328920983</v>
      </c>
      <c r="J707" s="13">
        <f>SUMIFS(data!E:E,data!A:A,TABLEAU!B707,data!C:C,TABLEAU!D707,data!F:F,YEAR(Feuil1!$D$1))</f>
        <v>2076</v>
      </c>
      <c r="K707" s="13">
        <f>SUMIFS(data!E:E,data!A:A,TABLEAU!B707,data!C:C,TABLEAU!D707,data!F:F,YEAR(Feuil1!$D$2))</f>
        <v>2844</v>
      </c>
      <c r="L707" s="13">
        <f t="shared" ref="L707:L770" si="46">J707-K707</f>
        <v>-768</v>
      </c>
      <c r="M707" s="12">
        <f t="shared" ref="M707:M770" si="47">IF(ISERR(L707/K707),"",L707/K707)</f>
        <v>-0.27004219409282698</v>
      </c>
    </row>
    <row r="708" spans="1:13" x14ac:dyDescent="0.25">
      <c r="A708" s="17" t="str">
        <f>data!H1182</f>
        <v>VINICOM</v>
      </c>
      <c r="B708" s="15" t="str">
        <f>data!A1182</f>
        <v>099</v>
      </c>
      <c r="C708" s="1" t="str">
        <f>data!B1182</f>
        <v>CAVE DE L'ORMARINE</v>
      </c>
      <c r="D708" s="1" t="str">
        <f>data!C1182</f>
        <v>099009</v>
      </c>
      <c r="E708" s="1" t="str">
        <f>data!D708</f>
        <v>AC VIRE CLESSE VINS DES PERSONNETS</v>
      </c>
      <c r="F708" s="14">
        <f>SUMIFS(data!G:G,data!A:A,TABLEAU!B708,data!C:C,TABLEAU!D708,data!F:F,YEAR(Feuil1!$D$1))</f>
        <v>0</v>
      </c>
      <c r="G708" s="9">
        <f>SUMIFS(data!G:G,data!A:A,TABLEAU!B708,data!C:C,TABLEAU!D708,data!F:F,YEAR(Feuil1!$D$2))</f>
        <v>2321.8000000000002</v>
      </c>
      <c r="H708" s="9">
        <f t="shared" si="44"/>
        <v>-2321.8000000000002</v>
      </c>
      <c r="I708" s="12">
        <f t="shared" si="45"/>
        <v>-1</v>
      </c>
      <c r="J708" s="13">
        <f>SUMIFS(data!E:E,data!A:A,TABLEAU!B708,data!C:C,TABLEAU!D708,data!F:F,YEAR(Feuil1!$D$1))</f>
        <v>0</v>
      </c>
      <c r="K708" s="13">
        <f>SUMIFS(data!E:E,data!A:A,TABLEAU!B708,data!C:C,TABLEAU!D708,data!F:F,YEAR(Feuil1!$D$2))</f>
        <v>2146.1300000000006</v>
      </c>
      <c r="L708" s="13">
        <f t="shared" si="46"/>
        <v>-2146.1300000000006</v>
      </c>
      <c r="M708" s="12">
        <f t="shared" si="47"/>
        <v>-1</v>
      </c>
    </row>
    <row r="709" spans="1:13" x14ac:dyDescent="0.25">
      <c r="A709" s="17" t="str">
        <f>data!H1183</f>
        <v>VINICOM</v>
      </c>
      <c r="B709" s="15" t="str">
        <f>data!A1183</f>
        <v>099</v>
      </c>
      <c r="C709" s="1" t="str">
        <f>data!B1183</f>
        <v>CAVE DE L'ORMARINE</v>
      </c>
      <c r="D709" s="1" t="str">
        <f>data!C1183</f>
        <v>099010</v>
      </c>
      <c r="E709" s="1" t="str">
        <f>data!D709</f>
        <v>AC LIMOUX. Terres Amoureuses D.D'ANTUGNAC</v>
      </c>
      <c r="F709" s="14">
        <f>SUMIFS(data!G:G,data!A:A,TABLEAU!B709,data!C:C,TABLEAU!D709,data!F:F,YEAR(Feuil1!$D$1))</f>
        <v>0</v>
      </c>
      <c r="G709" s="9">
        <f>SUMIFS(data!G:G,data!A:A,TABLEAU!B709,data!C:C,TABLEAU!D709,data!F:F,YEAR(Feuil1!$D$2))</f>
        <v>856.42</v>
      </c>
      <c r="H709" s="9">
        <f t="shared" si="44"/>
        <v>-856.42</v>
      </c>
      <c r="I709" s="12">
        <f t="shared" si="45"/>
        <v>-1</v>
      </c>
      <c r="J709" s="13">
        <f>SUMIFS(data!E:E,data!A:A,TABLEAU!B709,data!C:C,TABLEAU!D709,data!F:F,YEAR(Feuil1!$D$1))</f>
        <v>0</v>
      </c>
      <c r="K709" s="13">
        <f>SUMIFS(data!E:E,data!A:A,TABLEAU!B709,data!C:C,TABLEAU!D709,data!F:F,YEAR(Feuil1!$D$2))</f>
        <v>786.47</v>
      </c>
      <c r="L709" s="13">
        <f t="shared" si="46"/>
        <v>-786.47</v>
      </c>
      <c r="M709" s="12">
        <f t="shared" si="47"/>
        <v>-1</v>
      </c>
    </row>
    <row r="710" spans="1:13" x14ac:dyDescent="0.25">
      <c r="A710" s="17" t="str">
        <f>data!H1184</f>
        <v>VINICOM</v>
      </c>
      <c r="B710" s="15" t="str">
        <f>data!A1184</f>
        <v>099</v>
      </c>
      <c r="C710" s="1" t="str">
        <f>data!B1184</f>
        <v>CAVE DE L'ORMARINE</v>
      </c>
      <c r="D710" s="1" t="str">
        <f>data!C1184</f>
        <v>099011</v>
      </c>
      <c r="E710" s="1" t="str">
        <f>data!D710</f>
        <v>AC LIMOUX. Terres Amoureuses D.D'ANTUGNAC</v>
      </c>
      <c r="F710" s="14">
        <f>SUMIFS(data!G:G,data!A:A,TABLEAU!B710,data!C:C,TABLEAU!D710,data!F:F,YEAR(Feuil1!$D$1))</f>
        <v>0</v>
      </c>
      <c r="G710" s="9">
        <f>SUMIFS(data!G:G,data!A:A,TABLEAU!B710,data!C:C,TABLEAU!D710,data!F:F,YEAR(Feuil1!$D$2))</f>
        <v>1188.55</v>
      </c>
      <c r="H710" s="9">
        <f t="shared" si="44"/>
        <v>-1188.55</v>
      </c>
      <c r="I710" s="12">
        <f t="shared" si="45"/>
        <v>-1</v>
      </c>
      <c r="J710" s="13">
        <f>SUMIFS(data!E:E,data!A:A,TABLEAU!B710,data!C:C,TABLEAU!D710,data!F:F,YEAR(Feuil1!$D$1))</f>
        <v>0</v>
      </c>
      <c r="K710" s="13">
        <f>SUMIFS(data!E:E,data!A:A,TABLEAU!B710,data!C:C,TABLEAU!D710,data!F:F,YEAR(Feuil1!$D$2))</f>
        <v>1093.0600000000002</v>
      </c>
      <c r="L710" s="13">
        <f t="shared" si="46"/>
        <v>-1093.0600000000002</v>
      </c>
      <c r="M710" s="12">
        <f t="shared" si="47"/>
        <v>-1</v>
      </c>
    </row>
    <row r="711" spans="1:13" x14ac:dyDescent="0.25">
      <c r="A711" s="17" t="str">
        <f>data!H1185</f>
        <v>VINICOM</v>
      </c>
      <c r="B711" s="15" t="str">
        <f>data!A1185</f>
        <v>099</v>
      </c>
      <c r="C711" s="1" t="str">
        <f>data!B1185</f>
        <v>CAVE DE L'ORMARINE</v>
      </c>
      <c r="D711" s="1" t="str">
        <f>data!C1185</f>
        <v>099012</v>
      </c>
      <c r="E711" s="1" t="str">
        <f>data!D711</f>
        <v>AC LIMOUX Aux Bons Hommes D.D'ANTUGNAC</v>
      </c>
      <c r="F711" s="14">
        <f>SUMIFS(data!G:G,data!A:A,TABLEAU!B711,data!C:C,TABLEAU!D711,data!F:F,YEAR(Feuil1!$D$1))</f>
        <v>0</v>
      </c>
      <c r="G711" s="9">
        <f>SUMIFS(data!G:G,data!A:A,TABLEAU!B711,data!C:C,TABLEAU!D711,data!F:F,YEAR(Feuil1!$D$2))</f>
        <v>0</v>
      </c>
      <c r="H711" s="9">
        <f t="shared" si="44"/>
        <v>0</v>
      </c>
      <c r="I711" s="12" t="str">
        <f t="shared" si="45"/>
        <v/>
      </c>
      <c r="J711" s="13">
        <f>SUMIFS(data!E:E,data!A:A,TABLEAU!B711,data!C:C,TABLEAU!D711,data!F:F,YEAR(Feuil1!$D$1))</f>
        <v>0</v>
      </c>
      <c r="K711" s="13">
        <f>SUMIFS(data!E:E,data!A:A,TABLEAU!B711,data!C:C,TABLEAU!D711,data!F:F,YEAR(Feuil1!$D$2))</f>
        <v>80.040000000000006</v>
      </c>
      <c r="L711" s="13">
        <f t="shared" si="46"/>
        <v>-80.040000000000006</v>
      </c>
      <c r="M711" s="12">
        <f t="shared" si="47"/>
        <v>-1</v>
      </c>
    </row>
    <row r="712" spans="1:13" x14ac:dyDescent="0.25">
      <c r="A712" s="17" t="str">
        <f>data!H1186</f>
        <v>VINICOM</v>
      </c>
      <c r="B712" s="15" t="str">
        <f>data!A1186</f>
        <v>099</v>
      </c>
      <c r="C712" s="1" t="str">
        <f>data!B1186</f>
        <v>CAVE DE L'ORMARINE</v>
      </c>
      <c r="D712" s="1" t="str">
        <f>data!C1186</f>
        <v>099013</v>
      </c>
      <c r="E712" s="1" t="str">
        <f>data!D712</f>
        <v>AC LIMOUX Aux Bons Hommes D.D'ANTUGNAC</v>
      </c>
      <c r="F712" s="14">
        <f>SUMIFS(data!G:G,data!A:A,TABLEAU!B712,data!C:C,TABLEAU!D712,data!F:F,YEAR(Feuil1!$D$1))</f>
        <v>1719.72</v>
      </c>
      <c r="G712" s="9">
        <f>SUMIFS(data!G:G,data!A:A,TABLEAU!B712,data!C:C,TABLEAU!D712,data!F:F,YEAR(Feuil1!$D$2))</f>
        <v>2174.94</v>
      </c>
      <c r="H712" s="9">
        <f t="shared" si="44"/>
        <v>-455.22</v>
      </c>
      <c r="I712" s="12">
        <f t="shared" si="45"/>
        <v>-0.20930232558139536</v>
      </c>
      <c r="J712" s="13">
        <f>SUMIFS(data!E:E,data!A:A,TABLEAU!B712,data!C:C,TABLEAU!D712,data!F:F,YEAR(Feuil1!$D$1))</f>
        <v>624</v>
      </c>
      <c r="K712" s="13">
        <f>SUMIFS(data!E:E,data!A:A,TABLEAU!B712,data!C:C,TABLEAU!D712,data!F:F,YEAR(Feuil1!$D$2))</f>
        <v>804</v>
      </c>
      <c r="L712" s="13">
        <f t="shared" si="46"/>
        <v>-180</v>
      </c>
      <c r="M712" s="12">
        <f t="shared" si="47"/>
        <v>-0.22388059701492538</v>
      </c>
    </row>
    <row r="713" spans="1:13" x14ac:dyDescent="0.25">
      <c r="A713" s="17" t="str">
        <f>data!H1188</f>
        <v>VINICOM</v>
      </c>
      <c r="B713" s="15" t="str">
        <f>data!A1188</f>
        <v>099</v>
      </c>
      <c r="C713" s="1" t="str">
        <f>data!B1188</f>
        <v>CAVE DE L'ORMARINE</v>
      </c>
      <c r="D713" s="1" t="str">
        <f>data!C1188</f>
        <v>099014</v>
      </c>
      <c r="E713" s="1" t="str">
        <f>data!D713</f>
        <v>VDP D'OC ROUGE TURITELLES</v>
      </c>
      <c r="F713" s="14">
        <f>SUMIFS(data!G:G,data!A:A,TABLEAU!B713,data!C:C,TABLEAU!D713,data!F:F,YEAR(Feuil1!$D$1))</f>
        <v>7865</v>
      </c>
      <c r="G713" s="9">
        <f>SUMIFS(data!G:G,data!A:A,TABLEAU!B713,data!C:C,TABLEAU!D713,data!F:F,YEAR(Feuil1!$D$2))</f>
        <v>0</v>
      </c>
      <c r="H713" s="9">
        <f t="shared" si="44"/>
        <v>7865</v>
      </c>
      <c r="I713" s="12" t="str">
        <f t="shared" si="45"/>
        <v/>
      </c>
      <c r="J713" s="13">
        <f>SUMIFS(data!E:E,data!A:A,TABLEAU!B713,data!C:C,TABLEAU!D713,data!F:F,YEAR(Feuil1!$D$1))</f>
        <v>6000</v>
      </c>
      <c r="K713" s="13">
        <f>SUMIFS(data!E:E,data!A:A,TABLEAU!B713,data!C:C,TABLEAU!D713,data!F:F,YEAR(Feuil1!$D$2))</f>
        <v>0</v>
      </c>
      <c r="L713" s="13">
        <f t="shared" si="46"/>
        <v>6000</v>
      </c>
      <c r="M713" s="12" t="str">
        <f t="shared" si="47"/>
        <v/>
      </c>
    </row>
    <row r="714" spans="1:13" x14ac:dyDescent="0.25">
      <c r="A714" s="17" t="str">
        <f>data!H1189</f>
        <v>VINICOM</v>
      </c>
      <c r="B714" s="15" t="str">
        <f>data!A1189</f>
        <v>099</v>
      </c>
      <c r="C714" s="1" t="str">
        <f>data!B1189</f>
        <v>CAVE DE L'ORMARINE</v>
      </c>
      <c r="D714" s="1" t="str">
        <f>data!C1189</f>
        <v>099015</v>
      </c>
      <c r="E714" s="1" t="str">
        <f>data!D714</f>
        <v>VDP D'OC ROUGE TURITELLES</v>
      </c>
      <c r="F714" s="14">
        <f>SUMIFS(data!G:G,data!A:A,TABLEAU!B714,data!C:C,TABLEAU!D714,data!F:F,YEAR(Feuil1!$D$1))</f>
        <v>17.100000000000001</v>
      </c>
      <c r="G714" s="9">
        <f>SUMIFS(data!G:G,data!A:A,TABLEAU!B714,data!C:C,TABLEAU!D714,data!F:F,YEAR(Feuil1!$D$2))</f>
        <v>505.2</v>
      </c>
      <c r="H714" s="9">
        <f t="shared" si="44"/>
        <v>-488.09999999999997</v>
      </c>
      <c r="I714" s="12">
        <f t="shared" si="45"/>
        <v>-0.96615201900237524</v>
      </c>
      <c r="J714" s="13">
        <f>SUMIFS(data!E:E,data!A:A,TABLEAU!B714,data!C:C,TABLEAU!D714,data!F:F,YEAR(Feuil1!$D$1))</f>
        <v>6</v>
      </c>
      <c r="K714" s="13">
        <f>SUMIFS(data!E:E,data!A:A,TABLEAU!B714,data!C:C,TABLEAU!D714,data!F:F,YEAR(Feuil1!$D$2))</f>
        <v>180</v>
      </c>
      <c r="L714" s="13">
        <f t="shared" si="46"/>
        <v>-174</v>
      </c>
      <c r="M714" s="12">
        <f t="shared" si="47"/>
        <v>-0.96666666666666667</v>
      </c>
    </row>
    <row r="715" spans="1:13" x14ac:dyDescent="0.25">
      <c r="A715" s="17" t="str">
        <f>data!H1191</f>
        <v>VINICOM</v>
      </c>
      <c r="B715" s="15" t="str">
        <f>data!A1191</f>
        <v>099</v>
      </c>
      <c r="C715" s="1" t="str">
        <f>data!B1191</f>
        <v>CAVE DE L'ORMARINE</v>
      </c>
      <c r="D715" s="1" t="str">
        <f>data!C1191</f>
        <v>099016</v>
      </c>
      <c r="E715" s="1" t="str">
        <f>data!D715</f>
        <v>IGP D'OC PINOT CLOSERIE DES LYS</v>
      </c>
      <c r="F715" s="14">
        <f>SUMIFS(data!G:G,data!A:A,TABLEAU!B715,data!C:C,TABLEAU!D715,data!F:F,YEAR(Feuil1!$D$1))</f>
        <v>2261.3000000000002</v>
      </c>
      <c r="G715" s="9">
        <f>SUMIFS(data!G:G,data!A:A,TABLEAU!B715,data!C:C,TABLEAU!D715,data!F:F,YEAR(Feuil1!$D$2))</f>
        <v>1419.3</v>
      </c>
      <c r="H715" s="9">
        <f t="shared" si="44"/>
        <v>842.00000000000023</v>
      </c>
      <c r="I715" s="12">
        <f t="shared" si="45"/>
        <v>0.59325019375748622</v>
      </c>
      <c r="J715" s="13">
        <f>SUMIFS(data!E:E,data!A:A,TABLEAU!B715,data!C:C,TABLEAU!D715,data!F:F,YEAR(Feuil1!$D$1))</f>
        <v>798</v>
      </c>
      <c r="K715" s="13">
        <f>SUMIFS(data!E:E,data!A:A,TABLEAU!B715,data!C:C,TABLEAU!D715,data!F:F,YEAR(Feuil1!$D$2))</f>
        <v>510</v>
      </c>
      <c r="L715" s="13">
        <f t="shared" si="46"/>
        <v>288</v>
      </c>
      <c r="M715" s="12">
        <f t="shared" si="47"/>
        <v>0.56470588235294117</v>
      </c>
    </row>
    <row r="716" spans="1:13" x14ac:dyDescent="0.25">
      <c r="A716" s="17" t="str">
        <f>data!H1193</f>
        <v>VINICOM</v>
      </c>
      <c r="B716" s="15" t="str">
        <f>data!A1193</f>
        <v>099</v>
      </c>
      <c r="C716" s="1" t="str">
        <f>data!B1193</f>
        <v>CAVE DE L'ORMARINE</v>
      </c>
      <c r="D716" s="1" t="str">
        <f>data!C1193</f>
        <v>099022</v>
      </c>
      <c r="E716" s="1" t="str">
        <f>data!D716</f>
        <v>AOP LIMOUX LAS GRAVAS</v>
      </c>
      <c r="F716" s="14">
        <f>SUMIFS(data!G:G,data!A:A,TABLEAU!B716,data!C:C,TABLEAU!D716,data!F:F,YEAR(Feuil1!$D$1))</f>
        <v>309.12</v>
      </c>
      <c r="G716" s="9">
        <f>SUMIFS(data!G:G,data!A:A,TABLEAU!B716,data!C:C,TABLEAU!D716,data!F:F,YEAR(Feuil1!$D$2))</f>
        <v>0</v>
      </c>
      <c r="H716" s="9">
        <f t="shared" si="44"/>
        <v>309.12</v>
      </c>
      <c r="I716" s="12" t="str">
        <f t="shared" si="45"/>
        <v/>
      </c>
      <c r="J716" s="13">
        <f>SUMIFS(data!E:E,data!A:A,TABLEAU!B716,data!C:C,TABLEAU!D716,data!F:F,YEAR(Feuil1!$D$1))</f>
        <v>144</v>
      </c>
      <c r="K716" s="13">
        <f>SUMIFS(data!E:E,data!A:A,TABLEAU!B716,data!C:C,TABLEAU!D716,data!F:F,YEAR(Feuil1!$D$2))</f>
        <v>0</v>
      </c>
      <c r="L716" s="13">
        <f t="shared" si="46"/>
        <v>144</v>
      </c>
      <c r="M716" s="12" t="str">
        <f t="shared" si="47"/>
        <v/>
      </c>
    </row>
    <row r="717" spans="1:13" x14ac:dyDescent="0.25">
      <c r="A717" s="17" t="str">
        <f>data!H1194</f>
        <v>VINICOM</v>
      </c>
      <c r="B717" s="15" t="str">
        <f>data!A1194</f>
        <v>099</v>
      </c>
      <c r="C717" s="1" t="str">
        <f>data!B1194</f>
        <v>CAVE DE L'ORMARINE</v>
      </c>
      <c r="D717" s="1" t="str">
        <f>data!C1194</f>
        <v>099023</v>
      </c>
      <c r="E717" s="1" t="str">
        <f>data!D717</f>
        <v>AC COTEAUX DU LYONNAIS L'HOMME</v>
      </c>
      <c r="F717" s="14">
        <f>SUMIFS(data!G:G,data!A:A,TABLEAU!B717,data!C:C,TABLEAU!D717,data!F:F,YEAR(Feuil1!$D$1))</f>
        <v>53.76</v>
      </c>
      <c r="G717" s="9">
        <f>SUMIFS(data!G:G,data!A:A,TABLEAU!B717,data!C:C,TABLEAU!D717,data!F:F,YEAR(Feuil1!$D$2))</f>
        <v>0</v>
      </c>
      <c r="H717" s="9">
        <f t="shared" si="44"/>
        <v>53.76</v>
      </c>
      <c r="I717" s="12" t="str">
        <f t="shared" si="45"/>
        <v/>
      </c>
      <c r="J717" s="13">
        <f>SUMIFS(data!E:E,data!A:A,TABLEAU!B717,data!C:C,TABLEAU!D717,data!F:F,YEAR(Feuil1!$D$1))</f>
        <v>30</v>
      </c>
      <c r="K717" s="13">
        <f>SUMIFS(data!E:E,data!A:A,TABLEAU!B717,data!C:C,TABLEAU!D717,data!F:F,YEAR(Feuil1!$D$2))</f>
        <v>0</v>
      </c>
      <c r="L717" s="13">
        <f t="shared" si="46"/>
        <v>30</v>
      </c>
      <c r="M717" s="12" t="str">
        <f t="shared" si="47"/>
        <v/>
      </c>
    </row>
    <row r="718" spans="1:13" x14ac:dyDescent="0.25">
      <c r="A718" s="17" t="str">
        <f>data!H1195</f>
        <v>VINICOM</v>
      </c>
      <c r="B718" s="15" t="str">
        <f>data!A1195</f>
        <v>099</v>
      </c>
      <c r="C718" s="1" t="str">
        <f>data!B1195</f>
        <v>CAVE DE L'ORMARINE</v>
      </c>
      <c r="D718" s="1" t="str">
        <f>data!C1195</f>
        <v>CDV099020</v>
      </c>
      <c r="E718" s="1" t="str">
        <f>data!D718</f>
        <v>AC CTX DU LYONNAIS. D.CHP GUICHARD</v>
      </c>
      <c r="F718" s="14">
        <f>SUMIFS(data!G:G,data!A:A,TABLEAU!B718,data!C:C,TABLEAU!D718,data!F:F,YEAR(Feuil1!$D$1))</f>
        <v>0</v>
      </c>
      <c r="G718" s="9">
        <f>SUMIFS(data!G:G,data!A:A,TABLEAU!B718,data!C:C,TABLEAU!D718,data!F:F,YEAR(Feuil1!$D$2))</f>
        <v>14.46</v>
      </c>
      <c r="H718" s="9">
        <f t="shared" si="44"/>
        <v>-14.46</v>
      </c>
      <c r="I718" s="12">
        <f t="shared" si="45"/>
        <v>-1</v>
      </c>
      <c r="J718" s="13">
        <f>SUMIFS(data!E:E,data!A:A,TABLEAU!B718,data!C:C,TABLEAU!D718,data!F:F,YEAR(Feuil1!$D$1))</f>
        <v>0</v>
      </c>
      <c r="K718" s="13">
        <f>SUMIFS(data!E:E,data!A:A,TABLEAU!B718,data!C:C,TABLEAU!D718,data!F:F,YEAR(Feuil1!$D$2))</f>
        <v>12</v>
      </c>
      <c r="L718" s="13">
        <f t="shared" si="46"/>
        <v>-12</v>
      </c>
      <c r="M718" s="12">
        <f t="shared" si="47"/>
        <v>-1</v>
      </c>
    </row>
    <row r="719" spans="1:13" x14ac:dyDescent="0.25">
      <c r="A719" s="17" t="str">
        <f>data!H1196</f>
        <v>VINICOM</v>
      </c>
      <c r="B719" s="15" t="str">
        <f>data!A1196</f>
        <v>099</v>
      </c>
      <c r="C719" s="1" t="str">
        <f>data!B1196</f>
        <v>CAVE DE L'ORMARINE</v>
      </c>
      <c r="D719" s="1" t="str">
        <f>data!C1196</f>
        <v>CDV099021</v>
      </c>
      <c r="E719" s="1" t="str">
        <f>data!D719</f>
        <v>(bloqué ne pas livrer) AC COTES DU FOREZ</v>
      </c>
      <c r="F719" s="14">
        <f>SUMIFS(data!G:G,data!A:A,TABLEAU!B719,data!C:C,TABLEAU!D719,data!F:F,YEAR(Feuil1!$D$1))</f>
        <v>0</v>
      </c>
      <c r="G719" s="9">
        <f>SUMIFS(data!G:G,data!A:A,TABLEAU!B719,data!C:C,TABLEAU!D719,data!F:F,YEAR(Feuil1!$D$2))</f>
        <v>159</v>
      </c>
      <c r="H719" s="9">
        <f t="shared" si="44"/>
        <v>-159</v>
      </c>
      <c r="I719" s="12">
        <f t="shared" si="45"/>
        <v>-1</v>
      </c>
      <c r="J719" s="13">
        <f>SUMIFS(data!E:E,data!A:A,TABLEAU!B719,data!C:C,TABLEAU!D719,data!F:F,YEAR(Feuil1!$D$1))</f>
        <v>0</v>
      </c>
      <c r="K719" s="13">
        <f>SUMIFS(data!E:E,data!A:A,TABLEAU!B719,data!C:C,TABLEAU!D719,data!F:F,YEAR(Feuil1!$D$2))</f>
        <v>60</v>
      </c>
      <c r="L719" s="13">
        <f t="shared" si="46"/>
        <v>-60</v>
      </c>
      <c r="M719" s="12">
        <f t="shared" si="47"/>
        <v>-1</v>
      </c>
    </row>
    <row r="720" spans="1:13" x14ac:dyDescent="0.25">
      <c r="A720" s="17" t="str">
        <f>data!H1197</f>
        <v>VINICOM</v>
      </c>
      <c r="B720" s="15" t="str">
        <f>data!A1197</f>
        <v>100</v>
      </c>
      <c r="C720" s="1" t="str">
        <f>data!B1197</f>
        <v>CEDRIC PARPETTE (hobivin)</v>
      </c>
      <c r="D720" s="1" t="str">
        <f>data!C1197</f>
        <v>100002H</v>
      </c>
      <c r="E720" s="1" t="str">
        <f>data!D720</f>
        <v>GAMAY PETILLANT RED DE TOI</v>
      </c>
      <c r="F720" s="14">
        <f>SUMIFS(data!G:G,data!A:A,TABLEAU!B720,data!C:C,TABLEAU!D720,data!F:F,YEAR(Feuil1!$D$1))</f>
        <v>562.5</v>
      </c>
      <c r="G720" s="9">
        <f>SUMIFS(data!G:G,data!A:A,TABLEAU!B720,data!C:C,TABLEAU!D720,data!F:F,YEAR(Feuil1!$D$2))</f>
        <v>0</v>
      </c>
      <c r="H720" s="9">
        <f t="shared" si="44"/>
        <v>562.5</v>
      </c>
      <c r="I720" s="12" t="str">
        <f t="shared" si="45"/>
        <v/>
      </c>
      <c r="J720" s="13">
        <f>SUMIFS(data!E:E,data!A:A,TABLEAU!B720,data!C:C,TABLEAU!D720,data!F:F,YEAR(Feuil1!$D$1))</f>
        <v>30</v>
      </c>
      <c r="K720" s="13">
        <f>SUMIFS(data!E:E,data!A:A,TABLEAU!B720,data!C:C,TABLEAU!D720,data!F:F,YEAR(Feuil1!$D$2))</f>
        <v>18</v>
      </c>
      <c r="L720" s="13">
        <f t="shared" si="46"/>
        <v>12</v>
      </c>
      <c r="M720" s="12">
        <f t="shared" si="47"/>
        <v>0.66666666666666663</v>
      </c>
    </row>
    <row r="721" spans="1:13" x14ac:dyDescent="0.25">
      <c r="A721" s="17" t="str">
        <f>data!H1199</f>
        <v>VINICOM</v>
      </c>
      <c r="B721" s="15" t="str">
        <f>data!A1199</f>
        <v>110</v>
      </c>
      <c r="C721" s="1" t="str">
        <f>data!B1199</f>
        <v>CHATEAU LES MARNIERES</v>
      </c>
      <c r="D721" s="1" t="str">
        <f>data!C1199</f>
        <v>110500</v>
      </c>
      <c r="E721" s="1" t="str">
        <f>data!D721</f>
        <v>GAMAY PETILLANT ROZ EMOI</v>
      </c>
      <c r="F721" s="14">
        <f>SUMIFS(data!G:G,data!A:A,TABLEAU!B721,data!C:C,TABLEAU!D721,data!F:F,YEAR(Feuil1!$D$1))</f>
        <v>4224.8999999999996</v>
      </c>
      <c r="G721" s="9">
        <f>SUMIFS(data!G:G,data!A:A,TABLEAU!B721,data!C:C,TABLEAU!D721,data!F:F,YEAR(Feuil1!$D$2))</f>
        <v>5444.55</v>
      </c>
      <c r="H721" s="9">
        <f t="shared" si="44"/>
        <v>-1219.6500000000005</v>
      </c>
      <c r="I721" s="12">
        <f t="shared" si="45"/>
        <v>-0.22401300382951769</v>
      </c>
      <c r="J721" s="13">
        <f>SUMIFS(data!E:E,data!A:A,TABLEAU!B721,data!C:C,TABLEAU!D721,data!F:F,YEAR(Feuil1!$D$1))</f>
        <v>3039.24</v>
      </c>
      <c r="K721" s="13">
        <f>SUMIFS(data!E:E,data!A:A,TABLEAU!B721,data!C:C,TABLEAU!D721,data!F:F,YEAR(Feuil1!$D$2))</f>
        <v>4025.6600000000003</v>
      </c>
      <c r="L721" s="13">
        <f t="shared" si="46"/>
        <v>-986.42000000000053</v>
      </c>
      <c r="M721" s="12">
        <f t="shared" si="47"/>
        <v>-0.24503311258278157</v>
      </c>
    </row>
    <row r="722" spans="1:13" x14ac:dyDescent="0.25">
      <c r="A722" s="17" t="str">
        <f>data!H1201</f>
        <v>VINICOM</v>
      </c>
      <c r="B722" s="15" t="str">
        <f>data!A1201</f>
        <v>110</v>
      </c>
      <c r="C722" s="1" t="str">
        <f>data!B1201</f>
        <v>CHATEAU LES MARNIERES</v>
      </c>
      <c r="D722" s="1" t="str">
        <f>data!C1201</f>
        <v>110501</v>
      </c>
      <c r="E722" s="1" t="str">
        <f>data!D722</f>
        <v>AC COTEAUX DU LYONNAIS</v>
      </c>
      <c r="F722" s="14">
        <f>SUMIFS(data!G:G,data!A:A,TABLEAU!B722,data!C:C,TABLEAU!D722,data!F:F,YEAR(Feuil1!$D$1))</f>
        <v>4274.3</v>
      </c>
      <c r="G722" s="9">
        <f>SUMIFS(data!G:G,data!A:A,TABLEAU!B722,data!C:C,TABLEAU!D722,data!F:F,YEAR(Feuil1!$D$2))</f>
        <v>4787.7</v>
      </c>
      <c r="H722" s="9">
        <f t="shared" si="44"/>
        <v>-513.39999999999964</v>
      </c>
      <c r="I722" s="12">
        <f t="shared" si="45"/>
        <v>-0.10723311819871748</v>
      </c>
      <c r="J722" s="13">
        <f>SUMIFS(data!E:E,data!A:A,TABLEAU!B722,data!C:C,TABLEAU!D722,data!F:F,YEAR(Feuil1!$D$1))</f>
        <v>2581.2899999999991</v>
      </c>
      <c r="K722" s="13">
        <f>SUMIFS(data!E:E,data!A:A,TABLEAU!B722,data!C:C,TABLEAU!D722,data!F:F,YEAR(Feuil1!$D$2))</f>
        <v>3021.5099999999993</v>
      </c>
      <c r="L722" s="13">
        <f t="shared" si="46"/>
        <v>-440.22000000000025</v>
      </c>
      <c r="M722" s="12">
        <f t="shared" si="47"/>
        <v>-0.1456953642384107</v>
      </c>
    </row>
    <row r="723" spans="1:13" x14ac:dyDescent="0.25">
      <c r="A723" s="17" t="str">
        <f>data!H1203</f>
        <v>VINICOM</v>
      </c>
      <c r="B723" s="15" t="str">
        <f>data!A1203</f>
        <v>110</v>
      </c>
      <c r="C723" s="1" t="str">
        <f>data!B1203</f>
        <v>CHATEAU LES MARNIERES</v>
      </c>
      <c r="D723" s="1" t="str">
        <f>data!C1203</f>
        <v>110505</v>
      </c>
      <c r="E723" s="1" t="str">
        <f>data!D723</f>
        <v>AC C. DU LYONN.VIGN S-BEL</v>
      </c>
      <c r="F723" s="14">
        <f>SUMIFS(data!G:G,data!A:A,TABLEAU!B723,data!C:C,TABLEAU!D723,data!F:F,YEAR(Feuil1!$D$1))</f>
        <v>144</v>
      </c>
      <c r="G723" s="9">
        <f>SUMIFS(data!G:G,data!A:A,TABLEAU!B723,data!C:C,TABLEAU!D723,data!F:F,YEAR(Feuil1!$D$2))</f>
        <v>835.2</v>
      </c>
      <c r="H723" s="9">
        <f t="shared" si="44"/>
        <v>-691.2</v>
      </c>
      <c r="I723" s="12">
        <f t="shared" si="45"/>
        <v>-0.82758620689655171</v>
      </c>
      <c r="J723" s="13">
        <f>SUMIFS(data!E:E,data!A:A,TABLEAU!B723,data!C:C,TABLEAU!D723,data!F:F,YEAR(Feuil1!$D$1))</f>
        <v>60</v>
      </c>
      <c r="K723" s="13">
        <f>SUMIFS(data!E:E,data!A:A,TABLEAU!B723,data!C:C,TABLEAU!D723,data!F:F,YEAR(Feuil1!$D$2))</f>
        <v>354</v>
      </c>
      <c r="L723" s="13">
        <f t="shared" si="46"/>
        <v>-294</v>
      </c>
      <c r="M723" s="12">
        <f t="shared" si="47"/>
        <v>-0.83050847457627119</v>
      </c>
    </row>
    <row r="724" spans="1:13" x14ac:dyDescent="0.25">
      <c r="A724" s="17" t="str">
        <f>data!H1205</f>
        <v>VINICOM</v>
      </c>
      <c r="B724" s="15" t="str">
        <f>data!A1205</f>
        <v>110</v>
      </c>
      <c r="C724" s="1" t="str">
        <f>data!B1205</f>
        <v>CHATEAU LES MARNIERES</v>
      </c>
      <c r="D724" s="1" t="str">
        <f>data!C1205</f>
        <v>110600</v>
      </c>
      <c r="E724" s="1" t="str">
        <f>data!D724</f>
        <v>AC COTEAUX DU LYONNAIS</v>
      </c>
      <c r="F724" s="14">
        <f>SUMIFS(data!G:G,data!A:A,TABLEAU!B724,data!C:C,TABLEAU!D724,data!F:F,YEAR(Feuil1!$D$1))</f>
        <v>3009.9</v>
      </c>
      <c r="G724" s="9">
        <f>SUMIFS(data!G:G,data!A:A,TABLEAU!B724,data!C:C,TABLEAU!D724,data!F:F,YEAR(Feuil1!$D$2))</f>
        <v>3119.7</v>
      </c>
      <c r="H724" s="9">
        <f t="shared" si="44"/>
        <v>-109.79999999999973</v>
      </c>
      <c r="I724" s="12">
        <f t="shared" si="45"/>
        <v>-3.519569189345121E-2</v>
      </c>
      <c r="J724" s="13">
        <f>SUMIFS(data!E:E,data!A:A,TABLEAU!B724,data!C:C,TABLEAU!D724,data!F:F,YEAR(Feuil1!$D$1))</f>
        <v>1008</v>
      </c>
      <c r="K724" s="13">
        <f>SUMIFS(data!E:E,data!A:A,TABLEAU!B724,data!C:C,TABLEAU!D724,data!F:F,YEAR(Feuil1!$D$2))</f>
        <v>1050</v>
      </c>
      <c r="L724" s="13">
        <f t="shared" si="46"/>
        <v>-42</v>
      </c>
      <c r="M724" s="12">
        <f t="shared" si="47"/>
        <v>-0.04</v>
      </c>
    </row>
    <row r="725" spans="1:13" x14ac:dyDescent="0.25">
      <c r="A725" s="17" t="str">
        <f>data!H1207</f>
        <v>VINICOM</v>
      </c>
      <c r="B725" s="15" t="str">
        <f>data!A1207</f>
        <v>110</v>
      </c>
      <c r="C725" s="1" t="str">
        <f>data!B1207</f>
        <v>CHATEAU LES MARNIERES</v>
      </c>
      <c r="D725" s="1" t="str">
        <f>data!C1207</f>
        <v>110601</v>
      </c>
      <c r="E725" s="1" t="str">
        <f>data!D725</f>
        <v>AC COTEAUX DU LYONNAIS</v>
      </c>
      <c r="F725" s="14">
        <f>SUMIFS(data!G:G,data!A:A,TABLEAU!B725,data!C:C,TABLEAU!D725,data!F:F,YEAR(Feuil1!$D$1))</f>
        <v>93.6</v>
      </c>
      <c r="G725" s="9">
        <f>SUMIFS(data!G:G,data!A:A,TABLEAU!B725,data!C:C,TABLEAU!D725,data!F:F,YEAR(Feuil1!$D$2))</f>
        <v>397.8</v>
      </c>
      <c r="H725" s="9">
        <f t="shared" si="44"/>
        <v>-304.20000000000005</v>
      </c>
      <c r="I725" s="12">
        <f t="shared" si="45"/>
        <v>-0.76470588235294124</v>
      </c>
      <c r="J725" s="13">
        <f>SUMIFS(data!E:E,data!A:A,TABLEAU!B725,data!C:C,TABLEAU!D725,data!F:F,YEAR(Feuil1!$D$1))</f>
        <v>24</v>
      </c>
      <c r="K725" s="13">
        <f>SUMIFS(data!E:E,data!A:A,TABLEAU!B725,data!C:C,TABLEAU!D725,data!F:F,YEAR(Feuil1!$D$2))</f>
        <v>102</v>
      </c>
      <c r="L725" s="13">
        <f t="shared" si="46"/>
        <v>-78</v>
      </c>
      <c r="M725" s="12">
        <f t="shared" si="47"/>
        <v>-0.76470588235294112</v>
      </c>
    </row>
    <row r="726" spans="1:13" x14ac:dyDescent="0.25">
      <c r="A726" s="17" t="str">
        <f>data!H1209</f>
        <v>VINICOM</v>
      </c>
      <c r="B726" s="15" t="str">
        <f>data!A1209</f>
        <v>113</v>
      </c>
      <c r="C726" s="1" t="str">
        <f>data!B1209</f>
        <v>DOMAINE DU PRIEURE</v>
      </c>
      <c r="D726" s="1" t="str">
        <f>data!C1209</f>
        <v>113001</v>
      </c>
      <c r="E726" s="1" t="str">
        <f>data!D726</f>
        <v>AC 1ERES C.DE BLAYE. TRADITION  CH L.BERTRANDS</v>
      </c>
      <c r="F726" s="14">
        <f>SUMIFS(data!G:G,data!A:A,TABLEAU!B726,data!C:C,TABLEAU!D726,data!F:F,YEAR(Feuil1!$D$1))</f>
        <v>13188.6</v>
      </c>
      <c r="G726" s="9">
        <f>SUMIFS(data!G:G,data!A:A,TABLEAU!B726,data!C:C,TABLEAU!D726,data!F:F,YEAR(Feuil1!$D$2))</f>
        <v>15016.8</v>
      </c>
      <c r="H726" s="9">
        <f t="shared" si="44"/>
        <v>-1828.1999999999989</v>
      </c>
      <c r="I726" s="12">
        <f t="shared" si="45"/>
        <v>-0.12174364711523088</v>
      </c>
      <c r="J726" s="13">
        <f>SUMIFS(data!E:E,data!A:A,TABLEAU!B726,data!C:C,TABLEAU!D726,data!F:F,YEAR(Feuil1!$D$1))</f>
        <v>2328</v>
      </c>
      <c r="K726" s="13">
        <f>SUMIFS(data!E:E,data!A:A,TABLEAU!B726,data!C:C,TABLEAU!D726,data!F:F,YEAR(Feuil1!$D$2))</f>
        <v>2754</v>
      </c>
      <c r="L726" s="13">
        <f t="shared" si="46"/>
        <v>-426</v>
      </c>
      <c r="M726" s="12">
        <f t="shared" si="47"/>
        <v>-0.15468409586056645</v>
      </c>
    </row>
    <row r="727" spans="1:13" x14ac:dyDescent="0.25">
      <c r="A727" s="17" t="str">
        <f>data!H1211</f>
        <v>VINICOM</v>
      </c>
      <c r="B727" s="15" t="str">
        <f>data!A1211</f>
        <v>113</v>
      </c>
      <c r="C727" s="1" t="str">
        <f>data!B1211</f>
        <v>DOMAINE DU PRIEURE</v>
      </c>
      <c r="D727" s="1" t="str">
        <f>data!C1211</f>
        <v>113002</v>
      </c>
      <c r="E727" s="1" t="str">
        <f>data!D727</f>
        <v>AC 1ERES C.DE BLAYE. TRADITION  CH L.BERTRANDS</v>
      </c>
      <c r="F727" s="14">
        <f>SUMIFS(data!G:G,data!A:A,TABLEAU!B727,data!C:C,TABLEAU!D727,data!F:F,YEAR(Feuil1!$D$1))</f>
        <v>1578</v>
      </c>
      <c r="G727" s="9">
        <f>SUMIFS(data!G:G,data!A:A,TABLEAU!B727,data!C:C,TABLEAU!D727,data!F:F,YEAR(Feuil1!$D$2))</f>
        <v>936</v>
      </c>
      <c r="H727" s="9">
        <f t="shared" si="44"/>
        <v>642</v>
      </c>
      <c r="I727" s="12">
        <f t="shared" si="45"/>
        <v>0.6858974358974359</v>
      </c>
      <c r="J727" s="13">
        <f>SUMIFS(data!E:E,data!A:A,TABLEAU!B727,data!C:C,TABLEAU!D727,data!F:F,YEAR(Feuil1!$D$1))</f>
        <v>252</v>
      </c>
      <c r="K727" s="13">
        <f>SUMIFS(data!E:E,data!A:A,TABLEAU!B727,data!C:C,TABLEAU!D727,data!F:F,YEAR(Feuil1!$D$2))</f>
        <v>156</v>
      </c>
      <c r="L727" s="13">
        <f t="shared" si="46"/>
        <v>96</v>
      </c>
      <c r="M727" s="12">
        <f t="shared" si="47"/>
        <v>0.61538461538461542</v>
      </c>
    </row>
    <row r="728" spans="1:13" x14ac:dyDescent="0.25">
      <c r="A728" s="17" t="str">
        <f>data!H1213</f>
        <v>VINICOM</v>
      </c>
      <c r="B728" s="15" t="str">
        <f>data!A1213</f>
        <v>113</v>
      </c>
      <c r="C728" s="1" t="str">
        <f>data!B1213</f>
        <v>DOMAINE DU PRIEURE</v>
      </c>
      <c r="D728" s="1" t="str">
        <f>data!C1213</f>
        <v>113005</v>
      </c>
      <c r="E728" s="1" t="str">
        <f>data!D728</f>
        <v>AC 1ERES C.BLAYE TRAD. CH L.BERTRANDS</v>
      </c>
      <c r="F728" s="14">
        <f>SUMIFS(data!G:G,data!A:A,TABLEAU!B728,data!C:C,TABLEAU!D728,data!F:F,YEAR(Feuil1!$D$1))</f>
        <v>8739</v>
      </c>
      <c r="G728" s="9">
        <f>SUMIFS(data!G:G,data!A:A,TABLEAU!B728,data!C:C,TABLEAU!D728,data!F:F,YEAR(Feuil1!$D$2))</f>
        <v>10311.6</v>
      </c>
      <c r="H728" s="9">
        <f t="shared" si="44"/>
        <v>-1572.6000000000004</v>
      </c>
      <c r="I728" s="12">
        <f t="shared" si="45"/>
        <v>-0.15250785523100202</v>
      </c>
      <c r="J728" s="13">
        <f>SUMIFS(data!E:E,data!A:A,TABLEAU!B728,data!C:C,TABLEAU!D728,data!F:F,YEAR(Feuil1!$D$1))</f>
        <v>1482</v>
      </c>
      <c r="K728" s="13">
        <f>SUMIFS(data!E:E,data!A:A,TABLEAU!B728,data!C:C,TABLEAU!D728,data!F:F,YEAR(Feuil1!$D$2))</f>
        <v>1806</v>
      </c>
      <c r="L728" s="13">
        <f t="shared" si="46"/>
        <v>-324</v>
      </c>
      <c r="M728" s="12">
        <f t="shared" si="47"/>
        <v>-0.17940199335548174</v>
      </c>
    </row>
    <row r="729" spans="1:13" x14ac:dyDescent="0.25">
      <c r="A729" s="17" t="str">
        <f>data!H1215</f>
        <v>VINICOM</v>
      </c>
      <c r="B729" s="15" t="str">
        <f>data!A1215</f>
        <v>113</v>
      </c>
      <c r="C729" s="1" t="str">
        <f>data!B1215</f>
        <v>DOMAINE DU PRIEURE</v>
      </c>
      <c r="D729" s="1" t="str">
        <f>data!C1215</f>
        <v>113006</v>
      </c>
      <c r="E729" s="1" t="str">
        <f>data!D729</f>
        <v>AC 1ERES C.BLAYE TRAD. CH L.BERTRANDS</v>
      </c>
      <c r="F729" s="14">
        <f>SUMIFS(data!G:G,data!A:A,TABLEAU!B729,data!C:C,TABLEAU!D729,data!F:F,YEAR(Feuil1!$D$1))</f>
        <v>1296</v>
      </c>
      <c r="G729" s="9">
        <f>SUMIFS(data!G:G,data!A:A,TABLEAU!B729,data!C:C,TABLEAU!D729,data!F:F,YEAR(Feuil1!$D$2))</f>
        <v>1261.2</v>
      </c>
      <c r="H729" s="9">
        <f t="shared" si="44"/>
        <v>34.799999999999955</v>
      </c>
      <c r="I729" s="12">
        <f t="shared" si="45"/>
        <v>2.7592768791626986E-2</v>
      </c>
      <c r="J729" s="13">
        <f>SUMIFS(data!E:E,data!A:A,TABLEAU!B729,data!C:C,TABLEAU!D729,data!F:F,YEAR(Feuil1!$D$1))</f>
        <v>198</v>
      </c>
      <c r="K729" s="13">
        <f>SUMIFS(data!E:E,data!A:A,TABLEAU!B729,data!C:C,TABLEAU!D729,data!F:F,YEAR(Feuil1!$D$2))</f>
        <v>198</v>
      </c>
      <c r="L729" s="13">
        <f t="shared" si="46"/>
        <v>0</v>
      </c>
      <c r="M729" s="12">
        <f t="shared" si="47"/>
        <v>0</v>
      </c>
    </row>
    <row r="730" spans="1:13" x14ac:dyDescent="0.25">
      <c r="A730" s="17" t="str">
        <f>data!H1217</f>
        <v>VINICOM</v>
      </c>
      <c r="B730" s="15" t="str">
        <f>data!A1217</f>
        <v>114</v>
      </c>
      <c r="C730" s="1" t="str">
        <f>data!B1217</f>
        <v>DAVAULT VIGNERONS</v>
      </c>
      <c r="D730" s="1" t="str">
        <f>data!C1217</f>
        <v>114001</v>
      </c>
      <c r="E730" s="1" t="str">
        <f>data!D730</f>
        <v>AC 1ERES C. BLAYE TRAD CH L.BERTRANDS</v>
      </c>
      <c r="F730" s="14">
        <f>SUMIFS(data!G:G,data!A:A,TABLEAU!B730,data!C:C,TABLEAU!D730,data!F:F,YEAR(Feuil1!$D$1))</f>
        <v>8780.1</v>
      </c>
      <c r="G730" s="9">
        <f>SUMIFS(data!G:G,data!A:A,TABLEAU!B730,data!C:C,TABLEAU!D730,data!F:F,YEAR(Feuil1!$D$2))</f>
        <v>11085.6</v>
      </c>
      <c r="H730" s="9">
        <f t="shared" si="44"/>
        <v>-2305.5</v>
      </c>
      <c r="I730" s="12">
        <f t="shared" si="45"/>
        <v>-0.20797250487118424</v>
      </c>
      <c r="J730" s="13">
        <f>SUMIFS(data!E:E,data!A:A,TABLEAU!B730,data!C:C,TABLEAU!D730,data!F:F,YEAR(Feuil1!$D$1))</f>
        <v>3216</v>
      </c>
      <c r="K730" s="13">
        <f>SUMIFS(data!E:E,data!A:A,TABLEAU!B730,data!C:C,TABLEAU!D730,data!F:F,YEAR(Feuil1!$D$2))</f>
        <v>4146</v>
      </c>
      <c r="L730" s="13">
        <f t="shared" si="46"/>
        <v>-930</v>
      </c>
      <c r="M730" s="12">
        <f t="shared" si="47"/>
        <v>-0.22431259044862517</v>
      </c>
    </row>
    <row r="731" spans="1:13" x14ac:dyDescent="0.25">
      <c r="A731" s="17" t="str">
        <f>data!H1219</f>
        <v>VINICOM</v>
      </c>
      <c r="B731" s="15" t="str">
        <f>data!A1219</f>
        <v>114</v>
      </c>
      <c r="C731" s="1" t="str">
        <f>data!B1219</f>
        <v>DAVAULT VIGNERONS</v>
      </c>
      <c r="D731" s="1" t="str">
        <f>data!C1219</f>
        <v>114002</v>
      </c>
      <c r="E731" s="1" t="str">
        <f>data!D731</f>
        <v>AC 1ERES C. BLAYE TRAD CH L.BERTRANDS</v>
      </c>
      <c r="F731" s="14">
        <f>SUMIFS(data!G:G,data!A:A,TABLEAU!B731,data!C:C,TABLEAU!D731,data!F:F,YEAR(Feuil1!$D$1))</f>
        <v>566.4</v>
      </c>
      <c r="G731" s="9">
        <f>SUMIFS(data!G:G,data!A:A,TABLEAU!B731,data!C:C,TABLEAU!D731,data!F:F,YEAR(Feuil1!$D$2))</f>
        <v>985.2</v>
      </c>
      <c r="H731" s="9">
        <f t="shared" si="44"/>
        <v>-418.80000000000007</v>
      </c>
      <c r="I731" s="12">
        <f t="shared" si="45"/>
        <v>-0.42509135200974424</v>
      </c>
      <c r="J731" s="13">
        <f>SUMIFS(data!E:E,data!A:A,TABLEAU!B731,data!C:C,TABLEAU!D731,data!F:F,YEAR(Feuil1!$D$1))</f>
        <v>168</v>
      </c>
      <c r="K731" s="13">
        <f>SUMIFS(data!E:E,data!A:A,TABLEAU!B731,data!C:C,TABLEAU!D731,data!F:F,YEAR(Feuil1!$D$2))</f>
        <v>306</v>
      </c>
      <c r="L731" s="13">
        <f t="shared" si="46"/>
        <v>-138</v>
      </c>
      <c r="M731" s="12">
        <f t="shared" si="47"/>
        <v>-0.45098039215686275</v>
      </c>
    </row>
    <row r="732" spans="1:13" x14ac:dyDescent="0.25">
      <c r="A732" s="17" t="str">
        <f>data!H1221</f>
        <v>VINICOM</v>
      </c>
      <c r="B732" s="15" t="str">
        <f>data!A1221</f>
        <v>114</v>
      </c>
      <c r="C732" s="1" t="str">
        <f>data!B1221</f>
        <v>DAVAULT VIGNERONS</v>
      </c>
      <c r="D732" s="1" t="str">
        <f>data!C1221</f>
        <v>114005</v>
      </c>
      <c r="E732" s="1" t="str">
        <f>data!D732</f>
        <v>AC 1ERES C BLAYE TRAD. CH L.BERTRANDS</v>
      </c>
      <c r="F732" s="14">
        <f>SUMIFS(data!G:G,data!A:A,TABLEAU!B732,data!C:C,TABLEAU!D732,data!F:F,YEAR(Feuil1!$D$1))</f>
        <v>1593.3</v>
      </c>
      <c r="G732" s="9">
        <f>SUMIFS(data!G:G,data!A:A,TABLEAU!B732,data!C:C,TABLEAU!D732,data!F:F,YEAR(Feuil1!$D$2))</f>
        <v>1662.96</v>
      </c>
      <c r="H732" s="9">
        <f t="shared" si="44"/>
        <v>-69.660000000000082</v>
      </c>
      <c r="I732" s="12">
        <f t="shared" si="45"/>
        <v>-4.1889161495165299E-2</v>
      </c>
      <c r="J732" s="13">
        <f>SUMIFS(data!E:E,data!A:A,TABLEAU!B732,data!C:C,TABLEAU!D732,data!F:F,YEAR(Feuil1!$D$1))</f>
        <v>684</v>
      </c>
      <c r="K732" s="13">
        <f>SUMIFS(data!E:E,data!A:A,TABLEAU!B732,data!C:C,TABLEAU!D732,data!F:F,YEAR(Feuil1!$D$2))</f>
        <v>726</v>
      </c>
      <c r="L732" s="13">
        <f t="shared" si="46"/>
        <v>-42</v>
      </c>
      <c r="M732" s="12">
        <f t="shared" si="47"/>
        <v>-5.7851239669421489E-2</v>
      </c>
    </row>
    <row r="733" spans="1:13" x14ac:dyDescent="0.25">
      <c r="A733" s="17" t="str">
        <f>data!H1223</f>
        <v>VINICOM</v>
      </c>
      <c r="B733" s="15" t="str">
        <f>data!A1223</f>
        <v>114</v>
      </c>
      <c r="C733" s="1" t="str">
        <f>data!B1223</f>
        <v>DAVAULT VIGNERONS</v>
      </c>
      <c r="D733" s="1" t="str">
        <f>data!C1223</f>
        <v>114006</v>
      </c>
      <c r="E733" s="1" t="str">
        <f>data!D733</f>
        <v>AC 1ERES C BLAYE TRAD. CH L.BERTRANDS</v>
      </c>
      <c r="F733" s="14">
        <f>SUMIFS(data!G:G,data!A:A,TABLEAU!B733,data!C:C,TABLEAU!D733,data!F:F,YEAR(Feuil1!$D$1))</f>
        <v>344.28</v>
      </c>
      <c r="G733" s="9">
        <f>SUMIFS(data!G:G,data!A:A,TABLEAU!B733,data!C:C,TABLEAU!D733,data!F:F,YEAR(Feuil1!$D$2))</f>
        <v>126.84</v>
      </c>
      <c r="H733" s="9">
        <f t="shared" si="44"/>
        <v>217.43999999999997</v>
      </c>
      <c r="I733" s="12">
        <f t="shared" si="45"/>
        <v>1.714285714285714</v>
      </c>
      <c r="J733" s="13">
        <f>SUMIFS(data!E:E,data!A:A,TABLEAU!B733,data!C:C,TABLEAU!D733,data!F:F,YEAR(Feuil1!$D$1))</f>
        <v>114</v>
      </c>
      <c r="K733" s="13">
        <f>SUMIFS(data!E:E,data!A:A,TABLEAU!B733,data!C:C,TABLEAU!D733,data!F:F,YEAR(Feuil1!$D$2))</f>
        <v>42</v>
      </c>
      <c r="L733" s="13">
        <f t="shared" si="46"/>
        <v>72</v>
      </c>
      <c r="M733" s="12">
        <f t="shared" si="47"/>
        <v>1.7142857142857142</v>
      </c>
    </row>
    <row r="734" spans="1:13" x14ac:dyDescent="0.25">
      <c r="A734" s="17" t="str">
        <f>data!H1225</f>
        <v>VINICOM</v>
      </c>
      <c r="B734" s="15" t="str">
        <f>data!A1225</f>
        <v>114</v>
      </c>
      <c r="C734" s="1" t="str">
        <f>data!B1225</f>
        <v>DAVAULT VIGNERONS</v>
      </c>
      <c r="D734" s="1" t="str">
        <f>data!C1225</f>
        <v>114010</v>
      </c>
      <c r="E734" s="1" t="str">
        <f>data!D734</f>
        <v>AC C. DE BLAYE CH L.BERTRANDS</v>
      </c>
      <c r="F734" s="14">
        <f>SUMIFS(data!G:G,data!A:A,TABLEAU!B734,data!C:C,TABLEAU!D734,data!F:F,YEAR(Feuil1!$D$1))</f>
        <v>4230.3999999999996</v>
      </c>
      <c r="G734" s="9">
        <f>SUMIFS(data!G:G,data!A:A,TABLEAU!B734,data!C:C,TABLEAU!D734,data!F:F,YEAR(Feuil1!$D$2))</f>
        <v>7048.38</v>
      </c>
      <c r="H734" s="9">
        <f t="shared" si="44"/>
        <v>-2817.9800000000005</v>
      </c>
      <c r="I734" s="12">
        <f t="shared" si="45"/>
        <v>-0.39980534534176654</v>
      </c>
      <c r="J734" s="13">
        <f>SUMIFS(data!E:E,data!A:A,TABLEAU!B734,data!C:C,TABLEAU!D734,data!F:F,YEAR(Feuil1!$D$1))</f>
        <v>2452.7199999999998</v>
      </c>
      <c r="K734" s="13">
        <f>SUMIFS(data!E:E,data!A:A,TABLEAU!B734,data!C:C,TABLEAU!D734,data!F:F,YEAR(Feuil1!$D$2))</f>
        <v>4278.9299999999985</v>
      </c>
      <c r="L734" s="13">
        <f t="shared" si="46"/>
        <v>-1826.2099999999987</v>
      </c>
      <c r="M734" s="12">
        <f t="shared" si="47"/>
        <v>-0.4267912772585668</v>
      </c>
    </row>
    <row r="735" spans="1:13" x14ac:dyDescent="0.25">
      <c r="A735" s="17" t="str">
        <f>data!H1227</f>
        <v>VINICOM</v>
      </c>
      <c r="B735" s="15" t="str">
        <f>data!A1227</f>
        <v>114</v>
      </c>
      <c r="C735" s="1" t="str">
        <f>data!B1227</f>
        <v>DAVAULT VIGNERONS</v>
      </c>
      <c r="D735" s="1" t="str">
        <f>data!C1227</f>
        <v>114011</v>
      </c>
      <c r="E735" s="1" t="str">
        <f>data!D735</f>
        <v>AC C. DE BLAYE CH L.BERTRANDS</v>
      </c>
      <c r="F735" s="14">
        <f>SUMIFS(data!G:G,data!A:A,TABLEAU!B735,data!C:C,TABLEAU!D735,data!F:F,YEAR(Feuil1!$D$1))</f>
        <v>7522.74</v>
      </c>
      <c r="G735" s="9">
        <f>SUMIFS(data!G:G,data!A:A,TABLEAU!B735,data!C:C,TABLEAU!D735,data!F:F,YEAR(Feuil1!$D$2))</f>
        <v>10928.6</v>
      </c>
      <c r="H735" s="9">
        <f t="shared" si="44"/>
        <v>-3405.8600000000006</v>
      </c>
      <c r="I735" s="12">
        <f t="shared" si="45"/>
        <v>-0.31164650549933209</v>
      </c>
      <c r="J735" s="13">
        <f>SUMIFS(data!E:E,data!A:A,TABLEAU!B735,data!C:C,TABLEAU!D735,data!F:F,YEAR(Feuil1!$D$1))</f>
        <v>3795.2300000000032</v>
      </c>
      <c r="K735" s="13">
        <f>SUMIFS(data!E:E,data!A:A,TABLEAU!B735,data!C:C,TABLEAU!D735,data!F:F,YEAR(Feuil1!$D$2))</f>
        <v>5842.9200000000046</v>
      </c>
      <c r="L735" s="13">
        <f t="shared" si="46"/>
        <v>-2047.6900000000014</v>
      </c>
      <c r="M735" s="12">
        <f t="shared" si="47"/>
        <v>-0.35045662100456615</v>
      </c>
    </row>
    <row r="736" spans="1:13" x14ac:dyDescent="0.25">
      <c r="A736" s="17" t="str">
        <f>data!H1229</f>
        <v>VINICOM</v>
      </c>
      <c r="B736" s="15" t="str">
        <f>data!A1229</f>
        <v>114</v>
      </c>
      <c r="C736" s="1" t="str">
        <f>data!B1229</f>
        <v>DAVAULT VIGNERONS</v>
      </c>
      <c r="D736" s="1" t="str">
        <f>data!C1229</f>
        <v>114012</v>
      </c>
      <c r="E736" s="1" t="str">
        <f>data!D736</f>
        <v>AC 1ERES C.BLAYE FUT CHENE (SC)</v>
      </c>
      <c r="F736" s="14">
        <f>SUMIFS(data!G:G,data!A:A,TABLEAU!B736,data!C:C,TABLEAU!D736,data!F:F,YEAR(Feuil1!$D$1))</f>
        <v>840.96</v>
      </c>
      <c r="G736" s="9">
        <f>SUMIFS(data!G:G,data!A:A,TABLEAU!B736,data!C:C,TABLEAU!D736,data!F:F,YEAR(Feuil1!$D$2))</f>
        <v>902.74</v>
      </c>
      <c r="H736" s="9">
        <f t="shared" si="44"/>
        <v>-61.779999999999973</v>
      </c>
      <c r="I736" s="12">
        <f t="shared" si="45"/>
        <v>-6.843609455657218E-2</v>
      </c>
      <c r="J736" s="13">
        <f>SUMIFS(data!E:E,data!A:A,TABLEAU!B736,data!C:C,TABLEAU!D736,data!F:F,YEAR(Feuil1!$D$1))</f>
        <v>639.84</v>
      </c>
      <c r="K736" s="13">
        <f>SUMIFS(data!E:E,data!A:A,TABLEAU!B736,data!C:C,TABLEAU!D736,data!F:F,YEAR(Feuil1!$D$2))</f>
        <v>706.49000000000012</v>
      </c>
      <c r="L736" s="13">
        <f t="shared" si="46"/>
        <v>-66.650000000000091</v>
      </c>
      <c r="M736" s="12">
        <f t="shared" si="47"/>
        <v>-9.4339622641509552E-2</v>
      </c>
    </row>
    <row r="737" spans="1:13" x14ac:dyDescent="0.25">
      <c r="A737" s="17" t="str">
        <f>data!H1231</f>
        <v>VINICOM</v>
      </c>
      <c r="B737" s="15" t="str">
        <f>data!A1231</f>
        <v>114</v>
      </c>
      <c r="C737" s="1" t="str">
        <f>data!B1231</f>
        <v>DAVAULT VIGNERONS</v>
      </c>
      <c r="D737" s="1" t="str">
        <f>data!C1231</f>
        <v>114013</v>
      </c>
      <c r="E737" s="1" t="str">
        <f>data!D737</f>
        <v>AC 1ERES COTES DE BLAYE PRESTIGE</v>
      </c>
      <c r="F737" s="14">
        <f>SUMIFS(data!G:G,data!A:A,TABLEAU!B737,data!C:C,TABLEAU!D737,data!F:F,YEAR(Feuil1!$D$1))</f>
        <v>319.36</v>
      </c>
      <c r="G737" s="9">
        <f>SUMIFS(data!G:G,data!A:A,TABLEAU!B737,data!C:C,TABLEAU!D737,data!F:F,YEAR(Feuil1!$D$2))</f>
        <v>356.83</v>
      </c>
      <c r="H737" s="9">
        <f t="shared" si="44"/>
        <v>-37.46999999999997</v>
      </c>
      <c r="I737" s="12">
        <f t="shared" si="45"/>
        <v>-0.10500798699660895</v>
      </c>
      <c r="J737" s="13">
        <f>SUMIFS(data!E:E,data!A:A,TABLEAU!B737,data!C:C,TABLEAU!D737,data!F:F,YEAR(Feuil1!$D$1))</f>
        <v>220.11</v>
      </c>
      <c r="K737" s="13">
        <f>SUMIFS(data!E:E,data!A:A,TABLEAU!B737,data!C:C,TABLEAU!D737,data!F:F,YEAR(Feuil1!$D$2))</f>
        <v>246.79000000000002</v>
      </c>
      <c r="L737" s="13">
        <f t="shared" si="46"/>
        <v>-26.680000000000007</v>
      </c>
      <c r="M737" s="12">
        <f t="shared" si="47"/>
        <v>-0.10810810810810813</v>
      </c>
    </row>
    <row r="738" spans="1:13" x14ac:dyDescent="0.25">
      <c r="A738" s="17" t="str">
        <f>data!H1233</f>
        <v>VINICOM</v>
      </c>
      <c r="B738" s="15" t="str">
        <f>data!A1233</f>
        <v>114</v>
      </c>
      <c r="C738" s="1" t="str">
        <f>data!B1233</f>
        <v>DAVAULT VIGNERONS</v>
      </c>
      <c r="D738" s="1" t="str">
        <f>data!C1233</f>
        <v>CDV114006</v>
      </c>
      <c r="E738" s="1" t="str">
        <f>data!D738</f>
        <v>AC 1ERES COTES DE BLAYE PRESTIGE</v>
      </c>
      <c r="F738" s="14">
        <f>SUMIFS(data!G:G,data!A:A,TABLEAU!B738,data!C:C,TABLEAU!D738,data!F:F,YEAR(Feuil1!$D$1))</f>
        <v>0</v>
      </c>
      <c r="G738" s="9">
        <f>SUMIFS(data!G:G,data!A:A,TABLEAU!B738,data!C:C,TABLEAU!D738,data!F:F,YEAR(Feuil1!$D$2))</f>
        <v>54.36</v>
      </c>
      <c r="H738" s="9">
        <f t="shared" si="44"/>
        <v>-54.36</v>
      </c>
      <c r="I738" s="12">
        <f t="shared" si="45"/>
        <v>-1</v>
      </c>
      <c r="J738" s="13">
        <f>SUMIFS(data!E:E,data!A:A,TABLEAU!B738,data!C:C,TABLEAU!D738,data!F:F,YEAR(Feuil1!$D$1))</f>
        <v>0</v>
      </c>
      <c r="K738" s="13">
        <f>SUMIFS(data!E:E,data!A:A,TABLEAU!B738,data!C:C,TABLEAU!D738,data!F:F,YEAR(Feuil1!$D$2))</f>
        <v>30</v>
      </c>
      <c r="L738" s="13">
        <f t="shared" si="46"/>
        <v>-30</v>
      </c>
      <c r="M738" s="12">
        <f t="shared" si="47"/>
        <v>-1</v>
      </c>
    </row>
    <row r="739" spans="1:13" x14ac:dyDescent="0.25">
      <c r="A739" s="17" t="str">
        <f>data!H1234</f>
        <v>VINICOM</v>
      </c>
      <c r="B739" s="15" t="str">
        <f>data!A1234</f>
        <v>115</v>
      </c>
      <c r="C739" s="1" t="str">
        <f>data!B1234</f>
        <v>SCEA CHATEAU DES ROQUES</v>
      </c>
      <c r="D739" s="1" t="str">
        <f>data!C1234</f>
        <v>115005</v>
      </c>
      <c r="E739" s="1" t="str">
        <f>data!D739</f>
        <v>AC 1ERES C.DE BLAYE LES BERTRANDS</v>
      </c>
      <c r="F739" s="14">
        <f>SUMIFS(data!G:G,data!A:A,TABLEAU!B739,data!C:C,TABLEAU!D739,data!F:F,YEAR(Feuil1!$D$1))</f>
        <v>7188</v>
      </c>
      <c r="G739" s="9">
        <f>SUMIFS(data!G:G,data!A:A,TABLEAU!B739,data!C:C,TABLEAU!D739,data!F:F,YEAR(Feuil1!$D$2))</f>
        <v>11738.4</v>
      </c>
      <c r="H739" s="9">
        <f t="shared" si="44"/>
        <v>-4550.3999999999996</v>
      </c>
      <c r="I739" s="12">
        <f t="shared" si="45"/>
        <v>-0.38765078716008994</v>
      </c>
      <c r="J739" s="13">
        <f>SUMIFS(data!E:E,data!A:A,TABLEAU!B739,data!C:C,TABLEAU!D739,data!F:F,YEAR(Feuil1!$D$1))</f>
        <v>1098</v>
      </c>
      <c r="K739" s="13">
        <f>SUMIFS(data!E:E,data!A:A,TABLEAU!B739,data!C:C,TABLEAU!D739,data!F:F,YEAR(Feuil1!$D$2))</f>
        <v>1872</v>
      </c>
      <c r="L739" s="13">
        <f t="shared" si="46"/>
        <v>-774</v>
      </c>
      <c r="M739" s="12">
        <f t="shared" si="47"/>
        <v>-0.41346153846153844</v>
      </c>
    </row>
    <row r="740" spans="1:13" x14ac:dyDescent="0.25">
      <c r="A740" s="17" t="str">
        <f>data!H1236</f>
        <v>VINICOM</v>
      </c>
      <c r="B740" s="15" t="str">
        <f>data!A1236</f>
        <v>115</v>
      </c>
      <c r="C740" s="1" t="str">
        <f>data!B1236</f>
        <v>SCEA CHATEAU DES ROQUES</v>
      </c>
      <c r="D740" s="1" t="str">
        <f>data!C1236</f>
        <v>115007</v>
      </c>
      <c r="E740" s="1" t="str">
        <f>data!D740</f>
        <v>AC 1ERES C.DE BLAYE LES BERTRANDS</v>
      </c>
      <c r="F740" s="14">
        <f>SUMIFS(data!G:G,data!A:A,TABLEAU!B740,data!C:C,TABLEAU!D740,data!F:F,YEAR(Feuil1!$D$1))</f>
        <v>575.4</v>
      </c>
      <c r="G740" s="9">
        <f>SUMIFS(data!G:G,data!A:A,TABLEAU!B740,data!C:C,TABLEAU!D740,data!F:F,YEAR(Feuil1!$D$2))</f>
        <v>1366.8</v>
      </c>
      <c r="H740" s="9">
        <f t="shared" si="44"/>
        <v>-791.4</v>
      </c>
      <c r="I740" s="12">
        <f t="shared" si="45"/>
        <v>-0.57901668129938544</v>
      </c>
      <c r="J740" s="13">
        <f>SUMIFS(data!E:E,data!A:A,TABLEAU!B740,data!C:C,TABLEAU!D740,data!F:F,YEAR(Feuil1!$D$1))</f>
        <v>90</v>
      </c>
      <c r="K740" s="13">
        <f>SUMIFS(data!E:E,data!A:A,TABLEAU!B740,data!C:C,TABLEAU!D740,data!F:F,YEAR(Feuil1!$D$2))</f>
        <v>210</v>
      </c>
      <c r="L740" s="13">
        <f t="shared" si="46"/>
        <v>-120</v>
      </c>
      <c r="M740" s="12">
        <f t="shared" si="47"/>
        <v>-0.5714285714285714</v>
      </c>
    </row>
    <row r="741" spans="1:13" x14ac:dyDescent="0.25">
      <c r="A741" s="17" t="str">
        <f>data!H1238</f>
        <v>VINICOM</v>
      </c>
      <c r="B741" s="15" t="str">
        <f>data!A1238</f>
        <v>115</v>
      </c>
      <c r="C741" s="1" t="str">
        <f>data!B1238</f>
        <v>SCEA CHATEAU DES ROQUES</v>
      </c>
      <c r="D741" s="1" t="str">
        <f>data!C1238</f>
        <v>115010</v>
      </c>
      <c r="E741" s="1" t="str">
        <f>data!D741</f>
        <v>IGP OC  VIOGNIER DME DE BELLE-MARE</v>
      </c>
      <c r="F741" s="14">
        <f>SUMIFS(data!G:G,data!A:A,TABLEAU!B741,data!C:C,TABLEAU!D741,data!F:F,YEAR(Feuil1!$D$1))</f>
        <v>599.20000000000005</v>
      </c>
      <c r="G741" s="9">
        <f>SUMIFS(data!G:G,data!A:A,TABLEAU!B741,data!C:C,TABLEAU!D741,data!F:F,YEAR(Feuil1!$D$2))</f>
        <v>2117.4</v>
      </c>
      <c r="H741" s="9">
        <f t="shared" si="44"/>
        <v>-1518.2</v>
      </c>
      <c r="I741" s="12">
        <f t="shared" si="45"/>
        <v>-0.7170114291111741</v>
      </c>
      <c r="J741" s="13">
        <f>SUMIFS(data!E:E,data!A:A,TABLEAU!B741,data!C:C,TABLEAU!D741,data!F:F,YEAR(Feuil1!$D$1))</f>
        <v>586.5200000000001</v>
      </c>
      <c r="K741" s="13">
        <f>SUMIFS(data!E:E,data!A:A,TABLEAU!B741,data!C:C,TABLEAU!D741,data!F:F,YEAR(Feuil1!$D$2))</f>
        <v>2132.7999999999997</v>
      </c>
      <c r="L741" s="13">
        <f t="shared" si="46"/>
        <v>-1546.2799999999997</v>
      </c>
      <c r="M741" s="12">
        <f t="shared" si="47"/>
        <v>-0.72499999999999998</v>
      </c>
    </row>
    <row r="742" spans="1:13" x14ac:dyDescent="0.25">
      <c r="A742" s="17" t="str">
        <f>data!H1240</f>
        <v>VINICOM</v>
      </c>
      <c r="B742" s="15" t="str">
        <f>data!A1240</f>
        <v>115</v>
      </c>
      <c r="C742" s="1" t="str">
        <f>data!B1240</f>
        <v>SCEA CHATEAU DES ROQUES</v>
      </c>
      <c r="D742" s="1" t="str">
        <f>data!C1240</f>
        <v>115011</v>
      </c>
      <c r="E742" s="1" t="str">
        <f>data!D742</f>
        <v>IGP OC  VIOGNIER DME DE BELLE-MARE</v>
      </c>
      <c r="F742" s="14">
        <f>SUMIFS(data!G:G,data!A:A,TABLEAU!B742,data!C:C,TABLEAU!D742,data!F:F,YEAR(Feuil1!$D$1))</f>
        <v>321.5</v>
      </c>
      <c r="G742" s="9">
        <f>SUMIFS(data!G:G,data!A:A,TABLEAU!B742,data!C:C,TABLEAU!D742,data!F:F,YEAR(Feuil1!$D$2))</f>
        <v>1551.49</v>
      </c>
      <c r="H742" s="9">
        <f t="shared" si="44"/>
        <v>-1229.99</v>
      </c>
      <c r="I742" s="12">
        <f t="shared" si="45"/>
        <v>-0.79277984389200062</v>
      </c>
      <c r="J742" s="13">
        <f>SUMIFS(data!E:E,data!A:A,TABLEAU!B742,data!C:C,TABLEAU!D742,data!F:F,YEAR(Feuil1!$D$1))</f>
        <v>260.13</v>
      </c>
      <c r="K742" s="13">
        <f>SUMIFS(data!E:E,data!A:A,TABLEAU!B742,data!C:C,TABLEAU!D742,data!F:F,YEAR(Feuil1!$D$2))</f>
        <v>1340.6699999999996</v>
      </c>
      <c r="L742" s="13">
        <f t="shared" si="46"/>
        <v>-1080.5399999999995</v>
      </c>
      <c r="M742" s="12">
        <f t="shared" si="47"/>
        <v>-0.80597014925373123</v>
      </c>
    </row>
    <row r="743" spans="1:13" x14ac:dyDescent="0.25">
      <c r="A743" s="17" t="str">
        <f>data!H1242</f>
        <v>VINICOM</v>
      </c>
      <c r="B743" s="15" t="str">
        <f>data!A1242</f>
        <v>116</v>
      </c>
      <c r="C743" s="1" t="str">
        <f>data!B1242</f>
        <v>VIGNOBLE GASNIER</v>
      </c>
      <c r="D743" s="1" t="str">
        <f>data!C1242</f>
        <v>116001</v>
      </c>
      <c r="E743" s="1" t="str">
        <f>data!D743</f>
        <v>VDP DE L'HERAULT. GRANGES FELINES</v>
      </c>
      <c r="F743" s="14">
        <f>SUMIFS(data!G:G,data!A:A,TABLEAU!B743,data!C:C,TABLEAU!D743,data!F:F,YEAR(Feuil1!$D$1))</f>
        <v>10280.1</v>
      </c>
      <c r="G743" s="9">
        <f>SUMIFS(data!G:G,data!A:A,TABLEAU!B743,data!C:C,TABLEAU!D743,data!F:F,YEAR(Feuil1!$D$2))</f>
        <v>14280.85</v>
      </c>
      <c r="H743" s="9">
        <f t="shared" si="44"/>
        <v>-4000.75</v>
      </c>
      <c r="I743" s="12">
        <f t="shared" si="45"/>
        <v>-0.28014789035666643</v>
      </c>
      <c r="J743" s="13">
        <f>SUMIFS(data!E:E,data!A:A,TABLEAU!B743,data!C:C,TABLEAU!D743,data!F:F,YEAR(Feuil1!$D$1))</f>
        <v>2244</v>
      </c>
      <c r="K743" s="13">
        <f>SUMIFS(data!E:E,data!A:A,TABLEAU!B743,data!C:C,TABLEAU!D743,data!F:F,YEAR(Feuil1!$D$2))</f>
        <v>3174</v>
      </c>
      <c r="L743" s="13">
        <f t="shared" si="46"/>
        <v>-930</v>
      </c>
      <c r="M743" s="12">
        <f t="shared" si="47"/>
        <v>-0.29300567107750475</v>
      </c>
    </row>
    <row r="744" spans="1:13" x14ac:dyDescent="0.25">
      <c r="A744" s="17" t="str">
        <f>data!H1244</f>
        <v>VINICOM</v>
      </c>
      <c r="B744" s="15" t="str">
        <f>data!A1244</f>
        <v>116</v>
      </c>
      <c r="C744" s="1" t="str">
        <f>data!B1244</f>
        <v>VIGNOBLE GASNIER</v>
      </c>
      <c r="D744" s="1" t="str">
        <f>data!C1244</f>
        <v>116005</v>
      </c>
      <c r="E744" s="1" t="str">
        <f>data!D744</f>
        <v>VDP DE L'HERAULT. GRANGES FELINES</v>
      </c>
      <c r="F744" s="14">
        <f>SUMIFS(data!G:G,data!A:A,TABLEAU!B744,data!C:C,TABLEAU!D744,data!F:F,YEAR(Feuil1!$D$1))</f>
        <v>78</v>
      </c>
      <c r="G744" s="9">
        <f>SUMIFS(data!G:G,data!A:A,TABLEAU!B744,data!C:C,TABLEAU!D744,data!F:F,YEAR(Feuil1!$D$2))</f>
        <v>923.4</v>
      </c>
      <c r="H744" s="9">
        <f t="shared" si="44"/>
        <v>-845.4</v>
      </c>
      <c r="I744" s="12">
        <f t="shared" si="45"/>
        <v>-0.91552956465237167</v>
      </c>
      <c r="J744" s="13">
        <f>SUMIFS(data!E:E,data!A:A,TABLEAU!B744,data!C:C,TABLEAU!D744,data!F:F,YEAR(Feuil1!$D$1))</f>
        <v>30</v>
      </c>
      <c r="K744" s="13">
        <f>SUMIFS(data!E:E,data!A:A,TABLEAU!B744,data!C:C,TABLEAU!D744,data!F:F,YEAR(Feuil1!$D$2))</f>
        <v>240</v>
      </c>
      <c r="L744" s="13">
        <f t="shared" si="46"/>
        <v>-210</v>
      </c>
      <c r="M744" s="12">
        <f t="shared" si="47"/>
        <v>-0.875</v>
      </c>
    </row>
    <row r="745" spans="1:13" x14ac:dyDescent="0.25">
      <c r="A745" s="17" t="str">
        <f>data!H1246</f>
        <v>VINICOM</v>
      </c>
      <c r="B745" s="15" t="str">
        <f>data!A1246</f>
        <v>116</v>
      </c>
      <c r="C745" s="1" t="str">
        <f>data!B1246</f>
        <v>VIGNOBLE GASNIER</v>
      </c>
      <c r="D745" s="1" t="str">
        <f>data!C1246</f>
        <v>CDV116006</v>
      </c>
      <c r="E745" s="1" t="str">
        <f>data!D745</f>
        <v>VDP COLLINES DE LA MOURE</v>
      </c>
      <c r="F745" s="14">
        <f>SUMIFS(data!G:G,data!A:A,TABLEAU!B745,data!C:C,TABLEAU!D745,data!F:F,YEAR(Feuil1!$D$1))</f>
        <v>165</v>
      </c>
      <c r="G745" s="9">
        <f>SUMIFS(data!G:G,data!A:A,TABLEAU!B745,data!C:C,TABLEAU!D745,data!F:F,YEAR(Feuil1!$D$2))</f>
        <v>557.4</v>
      </c>
      <c r="H745" s="9">
        <f t="shared" si="44"/>
        <v>-392.4</v>
      </c>
      <c r="I745" s="12">
        <f t="shared" si="45"/>
        <v>-0.70398277717976321</v>
      </c>
      <c r="J745" s="13">
        <f>SUMIFS(data!E:E,data!A:A,TABLEAU!B745,data!C:C,TABLEAU!D745,data!F:F,YEAR(Feuil1!$D$1))</f>
        <v>30</v>
      </c>
      <c r="K745" s="13">
        <f>SUMIFS(data!E:E,data!A:A,TABLEAU!B745,data!C:C,TABLEAU!D745,data!F:F,YEAR(Feuil1!$D$2))</f>
        <v>102</v>
      </c>
      <c r="L745" s="13">
        <f t="shared" si="46"/>
        <v>-72</v>
      </c>
      <c r="M745" s="12">
        <f t="shared" si="47"/>
        <v>-0.70588235294117652</v>
      </c>
    </row>
    <row r="746" spans="1:13" x14ac:dyDescent="0.25">
      <c r="A746" s="17" t="str">
        <f>data!H1248</f>
        <v>VINICOM</v>
      </c>
      <c r="B746" s="15" t="str">
        <f>data!A1248</f>
        <v>118</v>
      </c>
      <c r="C746" s="1" t="str">
        <f>data!B1248</f>
        <v>ARMAGNAC DELORD</v>
      </c>
      <c r="D746" s="1" t="str">
        <f>data!C1248</f>
        <v>118001</v>
      </c>
      <c r="E746" s="1" t="str">
        <f>data!D746</f>
        <v>VDP COLLINES DE LA MOURE. D.BEL MARE</v>
      </c>
      <c r="F746" s="14">
        <f>SUMIFS(data!G:G,data!A:A,TABLEAU!B746,data!C:C,TABLEAU!D746,data!F:F,YEAR(Feuil1!$D$1))</f>
        <v>0</v>
      </c>
      <c r="G746" s="9">
        <f>SUMIFS(data!G:G,data!A:A,TABLEAU!B746,data!C:C,TABLEAU!D746,data!F:F,YEAR(Feuil1!$D$2))</f>
        <v>173.29</v>
      </c>
      <c r="H746" s="9">
        <f t="shared" si="44"/>
        <v>-173.29</v>
      </c>
      <c r="I746" s="12">
        <f t="shared" si="45"/>
        <v>-1</v>
      </c>
      <c r="J746" s="13">
        <f>SUMIFS(data!E:E,data!A:A,TABLEAU!B746,data!C:C,TABLEAU!D746,data!F:F,YEAR(Feuil1!$D$1))</f>
        <v>0</v>
      </c>
      <c r="K746" s="13">
        <f>SUMIFS(data!E:E,data!A:A,TABLEAU!B746,data!C:C,TABLEAU!D746,data!F:F,YEAR(Feuil1!$D$2))</f>
        <v>13</v>
      </c>
      <c r="L746" s="13">
        <f t="shared" si="46"/>
        <v>-13</v>
      </c>
      <c r="M746" s="12">
        <f t="shared" si="47"/>
        <v>-1</v>
      </c>
    </row>
    <row r="747" spans="1:13" x14ac:dyDescent="0.25">
      <c r="A747" s="17" t="str">
        <f>data!H1249</f>
        <v>VINICOM</v>
      </c>
      <c r="B747" s="15" t="str">
        <f>data!A1249</f>
        <v>118</v>
      </c>
      <c r="C747" s="1" t="str">
        <f>data!B1249</f>
        <v>ARMAGNAC DELORD</v>
      </c>
      <c r="D747" s="1" t="str">
        <f>data!C1249</f>
        <v>118003</v>
      </c>
      <c r="E747" s="1" t="str">
        <f>data!D747</f>
        <v>VDP COLLINES DE LA MOURE. D.BEL MARE</v>
      </c>
      <c r="F747" s="14">
        <f>SUMIFS(data!G:G,data!A:A,TABLEAU!B747,data!C:C,TABLEAU!D747,data!F:F,YEAR(Feuil1!$D$1))</f>
        <v>0</v>
      </c>
      <c r="G747" s="9">
        <f>SUMIFS(data!G:G,data!A:A,TABLEAU!B747,data!C:C,TABLEAU!D747,data!F:F,YEAR(Feuil1!$D$2))</f>
        <v>258.77999999999997</v>
      </c>
      <c r="H747" s="9">
        <f t="shared" si="44"/>
        <v>-258.77999999999997</v>
      </c>
      <c r="I747" s="12">
        <f t="shared" si="45"/>
        <v>-1</v>
      </c>
      <c r="J747" s="13">
        <f>SUMIFS(data!E:E,data!A:A,TABLEAU!B747,data!C:C,TABLEAU!D747,data!F:F,YEAR(Feuil1!$D$1))</f>
        <v>0</v>
      </c>
      <c r="K747" s="13">
        <f>SUMIFS(data!E:E,data!A:A,TABLEAU!B747,data!C:C,TABLEAU!D747,data!F:F,YEAR(Feuil1!$D$2))</f>
        <v>14</v>
      </c>
      <c r="L747" s="13">
        <f t="shared" si="46"/>
        <v>-14</v>
      </c>
      <c r="M747" s="12">
        <f t="shared" si="47"/>
        <v>-1</v>
      </c>
    </row>
    <row r="748" spans="1:13" x14ac:dyDescent="0.25">
      <c r="A748" s="17" t="str">
        <f>data!H1250</f>
        <v>VINICOM</v>
      </c>
      <c r="B748" s="15" t="str">
        <f>data!A1250</f>
        <v>118</v>
      </c>
      <c r="C748" s="1" t="str">
        <f>data!B1250</f>
        <v>ARMAGNAC DELORD</v>
      </c>
      <c r="D748" s="1" t="str">
        <f>data!C1250</f>
        <v>118004</v>
      </c>
      <c r="E748" s="1" t="str">
        <f>data!D748</f>
        <v>DME BELLE MARE VDPOC CHARDONNAY</v>
      </c>
      <c r="F748" s="14">
        <f>SUMIFS(data!G:G,data!A:A,TABLEAU!B748,data!C:C,TABLEAU!D748,data!F:F,YEAR(Feuil1!$D$1))</f>
        <v>154.80000000000001</v>
      </c>
      <c r="G748" s="9">
        <f>SUMIFS(data!G:G,data!A:A,TABLEAU!B748,data!C:C,TABLEAU!D748,data!F:F,YEAR(Feuil1!$D$2))</f>
        <v>1639.44</v>
      </c>
      <c r="H748" s="9">
        <f t="shared" si="44"/>
        <v>-1484.64</v>
      </c>
      <c r="I748" s="12">
        <f t="shared" si="45"/>
        <v>-0.90557751427316646</v>
      </c>
      <c r="J748" s="13">
        <f>SUMIFS(data!E:E,data!A:A,TABLEAU!B748,data!C:C,TABLEAU!D748,data!F:F,YEAR(Feuil1!$D$1))</f>
        <v>9</v>
      </c>
      <c r="K748" s="13">
        <f>SUMIFS(data!E:E,data!A:A,TABLEAU!B748,data!C:C,TABLEAU!D748,data!F:F,YEAR(Feuil1!$D$2))</f>
        <v>96</v>
      </c>
      <c r="L748" s="13">
        <f t="shared" si="46"/>
        <v>-87</v>
      </c>
      <c r="M748" s="12">
        <f t="shared" si="47"/>
        <v>-0.90625</v>
      </c>
    </row>
    <row r="749" spans="1:13" x14ac:dyDescent="0.25">
      <c r="A749" s="17" t="str">
        <f>data!H1252</f>
        <v>VINICOM</v>
      </c>
      <c r="B749" s="15" t="str">
        <f>data!A1252</f>
        <v>118</v>
      </c>
      <c r="C749" s="1" t="str">
        <f>data!B1252</f>
        <v>ARMAGNAC DELORD</v>
      </c>
      <c r="D749" s="1" t="str">
        <f>data!C1252</f>
        <v>118005</v>
      </c>
      <c r="E749" s="1" t="str">
        <f>data!D749</f>
        <v>DME BELLE MARE VDPOC CHARDONNAY</v>
      </c>
      <c r="F749" s="14">
        <f>SUMIFS(data!G:G,data!A:A,TABLEAU!B749,data!C:C,TABLEAU!D749,data!F:F,YEAR(Feuil1!$D$1))</f>
        <v>148.5</v>
      </c>
      <c r="G749" s="9">
        <f>SUMIFS(data!G:G,data!A:A,TABLEAU!B749,data!C:C,TABLEAU!D749,data!F:F,YEAR(Feuil1!$D$2))</f>
        <v>346.8</v>
      </c>
      <c r="H749" s="9">
        <f t="shared" si="44"/>
        <v>-198.3</v>
      </c>
      <c r="I749" s="12">
        <f t="shared" si="45"/>
        <v>-0.57179930795847755</v>
      </c>
      <c r="J749" s="13">
        <f>SUMIFS(data!E:E,data!A:A,TABLEAU!B749,data!C:C,TABLEAU!D749,data!F:F,YEAR(Feuil1!$D$1))</f>
        <v>6</v>
      </c>
      <c r="K749" s="13">
        <f>SUMIFS(data!E:E,data!A:A,TABLEAU!B749,data!C:C,TABLEAU!D749,data!F:F,YEAR(Feuil1!$D$2))</f>
        <v>12</v>
      </c>
      <c r="L749" s="13">
        <f t="shared" si="46"/>
        <v>-6</v>
      </c>
      <c r="M749" s="12">
        <f t="shared" si="47"/>
        <v>-0.5</v>
      </c>
    </row>
    <row r="750" spans="1:13" x14ac:dyDescent="0.25">
      <c r="A750" s="17" t="str">
        <f>data!H1254</f>
        <v>VINICOM</v>
      </c>
      <c r="B750" s="15" t="str">
        <f>data!A1254</f>
        <v>118</v>
      </c>
      <c r="C750" s="1" t="str">
        <f>data!B1254</f>
        <v>ARMAGNAC DELORD</v>
      </c>
      <c r="D750" s="1" t="str">
        <f>data!C1254</f>
        <v>118006</v>
      </c>
      <c r="E750" s="1" t="str">
        <f>data!D750</f>
        <v>AC ST NICO DE BOURGUEIL  DOM DES COT DE LA GARDIER</v>
      </c>
      <c r="F750" s="14">
        <f>SUMIFS(data!G:G,data!A:A,TABLEAU!B750,data!C:C,TABLEAU!D750,data!F:F,YEAR(Feuil1!$D$1))</f>
        <v>333.24</v>
      </c>
      <c r="G750" s="9">
        <f>SUMIFS(data!G:G,data!A:A,TABLEAU!B750,data!C:C,TABLEAU!D750,data!F:F,YEAR(Feuil1!$D$2))</f>
        <v>27.67</v>
      </c>
      <c r="H750" s="9">
        <f t="shared" si="44"/>
        <v>305.57</v>
      </c>
      <c r="I750" s="12">
        <f t="shared" si="45"/>
        <v>11.043368268883267</v>
      </c>
      <c r="J750" s="13">
        <f>SUMIFS(data!E:E,data!A:A,TABLEAU!B750,data!C:C,TABLEAU!D750,data!F:F,YEAR(Feuil1!$D$1))</f>
        <v>12</v>
      </c>
      <c r="K750" s="13">
        <f>SUMIFS(data!E:E,data!A:A,TABLEAU!B750,data!C:C,TABLEAU!D750,data!F:F,YEAR(Feuil1!$D$2))</f>
        <v>1</v>
      </c>
      <c r="L750" s="13">
        <f t="shared" si="46"/>
        <v>11</v>
      </c>
      <c r="M750" s="12">
        <f t="shared" si="47"/>
        <v>11</v>
      </c>
    </row>
    <row r="751" spans="1:13" x14ac:dyDescent="0.25">
      <c r="A751" s="17" t="str">
        <f>data!H1256</f>
        <v>VINICOM</v>
      </c>
      <c r="B751" s="15" t="str">
        <f>data!A1256</f>
        <v>118</v>
      </c>
      <c r="C751" s="1" t="str">
        <f>data!B1256</f>
        <v>ARMAGNAC DELORD</v>
      </c>
      <c r="D751" s="1" t="str">
        <f>data!C1256</f>
        <v>118007</v>
      </c>
      <c r="E751" s="1" t="str">
        <f>data!D751</f>
        <v>AC ST NICO DE BOURGUEIL  DOM DES COT DE LA GARDIER</v>
      </c>
      <c r="F751" s="14">
        <f>SUMIFS(data!G:G,data!A:A,TABLEAU!B751,data!C:C,TABLEAU!D751,data!F:F,YEAR(Feuil1!$D$1))</f>
        <v>368.16</v>
      </c>
      <c r="G751" s="9">
        <f>SUMIFS(data!G:G,data!A:A,TABLEAU!B751,data!C:C,TABLEAU!D751,data!F:F,YEAR(Feuil1!$D$2))</f>
        <v>385.98</v>
      </c>
      <c r="H751" s="9">
        <f t="shared" si="44"/>
        <v>-17.819999999999993</v>
      </c>
      <c r="I751" s="12">
        <f t="shared" si="45"/>
        <v>-4.6168195243276831E-2</v>
      </c>
      <c r="J751" s="13">
        <f>SUMIFS(data!E:E,data!A:A,TABLEAU!B751,data!C:C,TABLEAU!D751,data!F:F,YEAR(Feuil1!$D$1))</f>
        <v>12</v>
      </c>
      <c r="K751" s="13">
        <f>SUMIFS(data!E:E,data!A:A,TABLEAU!B751,data!C:C,TABLEAU!D751,data!F:F,YEAR(Feuil1!$D$2))</f>
        <v>12</v>
      </c>
      <c r="L751" s="13">
        <f t="shared" si="46"/>
        <v>0</v>
      </c>
      <c r="M751" s="12">
        <f t="shared" si="47"/>
        <v>0</v>
      </c>
    </row>
    <row r="752" spans="1:13" x14ac:dyDescent="0.25">
      <c r="A752" s="17" t="str">
        <f>data!H1258</f>
        <v>VINICOM</v>
      </c>
      <c r="B752" s="15" t="str">
        <f>data!A1258</f>
        <v>118</v>
      </c>
      <c r="C752" s="1" t="str">
        <f>data!B1258</f>
        <v>ARMAGNAC DELORD</v>
      </c>
      <c r="D752" s="1" t="str">
        <f>data!C1258</f>
        <v>118013</v>
      </c>
      <c r="E752" s="1" t="str">
        <f>data!D752</f>
        <v>AOP TOURAINE - LA PERCLAIRE - LACHETEAU</v>
      </c>
      <c r="F752" s="14">
        <f>SUMIFS(data!G:G,data!A:A,TABLEAU!B752,data!C:C,TABLEAU!D752,data!F:F,YEAR(Feuil1!$D$1))</f>
        <v>58.78</v>
      </c>
      <c r="G752" s="9">
        <f>SUMIFS(data!G:G,data!A:A,TABLEAU!B752,data!C:C,TABLEAU!D752,data!F:F,YEAR(Feuil1!$D$2))</f>
        <v>0</v>
      </c>
      <c r="H752" s="9">
        <f t="shared" si="44"/>
        <v>58.78</v>
      </c>
      <c r="I752" s="12" t="str">
        <f t="shared" si="45"/>
        <v/>
      </c>
      <c r="J752" s="13">
        <f>SUMIFS(data!E:E,data!A:A,TABLEAU!B752,data!C:C,TABLEAU!D752,data!F:F,YEAR(Feuil1!$D$1))</f>
        <v>2</v>
      </c>
      <c r="K752" s="13">
        <f>SUMIFS(data!E:E,data!A:A,TABLEAU!B752,data!C:C,TABLEAU!D752,data!F:F,YEAR(Feuil1!$D$2))</f>
        <v>0</v>
      </c>
      <c r="L752" s="13">
        <f t="shared" si="46"/>
        <v>2</v>
      </c>
      <c r="M752" s="12" t="str">
        <f t="shared" si="47"/>
        <v/>
      </c>
    </row>
    <row r="753" spans="1:13" x14ac:dyDescent="0.25">
      <c r="A753" s="17" t="str">
        <f>data!H1259</f>
        <v>VINICOM</v>
      </c>
      <c r="B753" s="15" t="str">
        <f>data!A1259</f>
        <v>118</v>
      </c>
      <c r="C753" s="1" t="str">
        <f>data!B1259</f>
        <v>ARMAGNAC DELORD</v>
      </c>
      <c r="D753" s="1" t="str">
        <f>data!C1259</f>
        <v>118014</v>
      </c>
      <c r="E753" s="1" t="str">
        <f>data!D753</f>
        <v>LA PERCLAIRE AC TOURAINE SAUVIGNON</v>
      </c>
      <c r="F753" s="14">
        <f>SUMIFS(data!G:G,data!A:A,TABLEAU!B753,data!C:C,TABLEAU!D753,data!F:F,YEAR(Feuil1!$D$1))</f>
        <v>90.78</v>
      </c>
      <c r="G753" s="9">
        <f>SUMIFS(data!G:G,data!A:A,TABLEAU!B753,data!C:C,TABLEAU!D753,data!F:F,YEAR(Feuil1!$D$2))</f>
        <v>0</v>
      </c>
      <c r="H753" s="9">
        <f t="shared" si="44"/>
        <v>90.78</v>
      </c>
      <c r="I753" s="12" t="str">
        <f t="shared" si="45"/>
        <v/>
      </c>
      <c r="J753" s="13">
        <f>SUMIFS(data!E:E,data!A:A,TABLEAU!B753,data!C:C,TABLEAU!D753,data!F:F,YEAR(Feuil1!$D$1))</f>
        <v>3</v>
      </c>
      <c r="K753" s="13">
        <f>SUMIFS(data!E:E,data!A:A,TABLEAU!B753,data!C:C,TABLEAU!D753,data!F:F,YEAR(Feuil1!$D$2))</f>
        <v>0</v>
      </c>
      <c r="L753" s="13">
        <f t="shared" si="46"/>
        <v>3</v>
      </c>
      <c r="M753" s="12" t="str">
        <f t="shared" si="47"/>
        <v/>
      </c>
    </row>
    <row r="754" spans="1:13" x14ac:dyDescent="0.25">
      <c r="A754" s="17" t="str">
        <f>data!H1260</f>
        <v>VINICOM</v>
      </c>
      <c r="B754" s="15" t="str">
        <f>data!A1260</f>
        <v>118</v>
      </c>
      <c r="C754" s="1" t="str">
        <f>data!B1260</f>
        <v>ARMAGNAC DELORD</v>
      </c>
      <c r="D754" s="1" t="str">
        <f>data!C1260</f>
        <v>118016</v>
      </c>
      <c r="E754" s="1" t="str">
        <f>data!D754</f>
        <v>AOP SANCERRE - LA GEMIERE - LACHETEAU</v>
      </c>
      <c r="F754" s="14">
        <f>SUMIFS(data!G:G,data!A:A,TABLEAU!B754,data!C:C,TABLEAU!D754,data!F:F,YEAR(Feuil1!$D$1))</f>
        <v>149.87</v>
      </c>
      <c r="G754" s="9">
        <f>SUMIFS(data!G:G,data!A:A,TABLEAU!B754,data!C:C,TABLEAU!D754,data!F:F,YEAR(Feuil1!$D$2))</f>
        <v>0</v>
      </c>
      <c r="H754" s="9">
        <f t="shared" si="44"/>
        <v>149.87</v>
      </c>
      <c r="I754" s="12" t="str">
        <f t="shared" si="45"/>
        <v/>
      </c>
      <c r="J754" s="13">
        <f>SUMIFS(data!E:E,data!A:A,TABLEAU!B754,data!C:C,TABLEAU!D754,data!F:F,YEAR(Feuil1!$D$1))</f>
        <v>4</v>
      </c>
      <c r="K754" s="13">
        <f>SUMIFS(data!E:E,data!A:A,TABLEAU!B754,data!C:C,TABLEAU!D754,data!F:F,YEAR(Feuil1!$D$2))</f>
        <v>0</v>
      </c>
      <c r="L754" s="13">
        <f t="shared" si="46"/>
        <v>4</v>
      </c>
      <c r="M754" s="12" t="str">
        <f t="shared" si="47"/>
        <v/>
      </c>
    </row>
    <row r="755" spans="1:13" x14ac:dyDescent="0.25">
      <c r="A755" s="17" t="str">
        <f>data!H1261</f>
        <v>VINICOM</v>
      </c>
      <c r="B755" s="15" t="str">
        <f>data!A1261</f>
        <v>118</v>
      </c>
      <c r="C755" s="1" t="str">
        <f>data!B1261</f>
        <v>ARMAGNAC DELORD</v>
      </c>
      <c r="D755" s="1" t="str">
        <f>data!C1261</f>
        <v>118018</v>
      </c>
      <c r="E755" s="1" t="str">
        <f>data!D755</f>
        <v>AOP SANCERRE - LA GEMIERE - LACHETEAU</v>
      </c>
      <c r="F755" s="14">
        <f>SUMIFS(data!G:G,data!A:A,TABLEAU!B755,data!C:C,TABLEAU!D755,data!F:F,YEAR(Feuil1!$D$1))</f>
        <v>58.02</v>
      </c>
      <c r="G755" s="9">
        <f>SUMIFS(data!G:G,data!A:A,TABLEAU!B755,data!C:C,TABLEAU!D755,data!F:F,YEAR(Feuil1!$D$2))</f>
        <v>0</v>
      </c>
      <c r="H755" s="9">
        <f t="shared" si="44"/>
        <v>58.02</v>
      </c>
      <c r="I755" s="12" t="str">
        <f t="shared" si="45"/>
        <v/>
      </c>
      <c r="J755" s="13">
        <f>SUMIFS(data!E:E,data!A:A,TABLEAU!B755,data!C:C,TABLEAU!D755,data!F:F,YEAR(Feuil1!$D$1))</f>
        <v>2</v>
      </c>
      <c r="K755" s="13">
        <f>SUMIFS(data!E:E,data!A:A,TABLEAU!B755,data!C:C,TABLEAU!D755,data!F:F,YEAR(Feuil1!$D$2))</f>
        <v>0</v>
      </c>
      <c r="L755" s="13">
        <f t="shared" si="46"/>
        <v>2</v>
      </c>
      <c r="M755" s="12" t="str">
        <f t="shared" si="47"/>
        <v/>
      </c>
    </row>
    <row r="756" spans="1:13" x14ac:dyDescent="0.25">
      <c r="A756" s="17" t="str">
        <f>data!H1262</f>
        <v>VINICOM</v>
      </c>
      <c r="B756" s="15" t="str">
        <f>data!A1262</f>
        <v>118</v>
      </c>
      <c r="C756" s="1" t="str">
        <f>data!B1262</f>
        <v>ARMAGNAC DELORD</v>
      </c>
      <c r="D756" s="1" t="str">
        <f>data!C1262</f>
        <v>118020</v>
      </c>
      <c r="E756" s="1" t="str">
        <f>data!D756</f>
        <v>SAUMUR CHAMPIGNY CUV BAUNELLES DME BOIS JOLI</v>
      </c>
      <c r="F756" s="14">
        <f>SUMIFS(data!G:G,data!A:A,TABLEAU!B756,data!C:C,TABLEAU!D756,data!F:F,YEAR(Feuil1!$D$1))</f>
        <v>154.31</v>
      </c>
      <c r="G756" s="9">
        <f>SUMIFS(data!G:G,data!A:A,TABLEAU!B756,data!C:C,TABLEAU!D756,data!F:F,YEAR(Feuil1!$D$2))</f>
        <v>0</v>
      </c>
      <c r="H756" s="9">
        <f t="shared" si="44"/>
        <v>154.31</v>
      </c>
      <c r="I756" s="12" t="str">
        <f t="shared" si="45"/>
        <v/>
      </c>
      <c r="J756" s="13">
        <f>SUMIFS(data!E:E,data!A:A,TABLEAU!B756,data!C:C,TABLEAU!D756,data!F:F,YEAR(Feuil1!$D$1))</f>
        <v>5</v>
      </c>
      <c r="K756" s="13">
        <f>SUMIFS(data!E:E,data!A:A,TABLEAU!B756,data!C:C,TABLEAU!D756,data!F:F,YEAR(Feuil1!$D$2))</f>
        <v>0</v>
      </c>
      <c r="L756" s="13">
        <f t="shared" si="46"/>
        <v>5</v>
      </c>
      <c r="M756" s="12" t="str">
        <f t="shared" si="47"/>
        <v/>
      </c>
    </row>
    <row r="757" spans="1:13" x14ac:dyDescent="0.25">
      <c r="A757" s="17" t="str">
        <f>data!H1263</f>
        <v>VINICOM</v>
      </c>
      <c r="B757" s="15" t="str">
        <f>data!A1263</f>
        <v>118</v>
      </c>
      <c r="C757" s="1" t="str">
        <f>data!B1263</f>
        <v>ARMAGNAC DELORD</v>
      </c>
      <c r="D757" s="1" t="str">
        <f>data!C1263</f>
        <v>118021</v>
      </c>
      <c r="E757" s="1" t="str">
        <f>data!D757</f>
        <v>SAUMUR CHAMPIGNY CUV BAUNELLES DME BOIS JOLI</v>
      </c>
      <c r="F757" s="14">
        <f>SUMIFS(data!G:G,data!A:A,TABLEAU!B757,data!C:C,TABLEAU!D757,data!F:F,YEAR(Feuil1!$D$1))</f>
        <v>62.05</v>
      </c>
      <c r="G757" s="9">
        <f>SUMIFS(data!G:G,data!A:A,TABLEAU!B757,data!C:C,TABLEAU!D757,data!F:F,YEAR(Feuil1!$D$2))</f>
        <v>157.83000000000001</v>
      </c>
      <c r="H757" s="9">
        <f t="shared" si="44"/>
        <v>-95.780000000000015</v>
      </c>
      <c r="I757" s="12">
        <f t="shared" si="45"/>
        <v>-0.60685547741240575</v>
      </c>
      <c r="J757" s="13">
        <f>SUMIFS(data!E:E,data!A:A,TABLEAU!B757,data!C:C,TABLEAU!D757,data!F:F,YEAR(Feuil1!$D$1))</f>
        <v>2</v>
      </c>
      <c r="K757" s="13">
        <f>SUMIFS(data!E:E,data!A:A,TABLEAU!B757,data!C:C,TABLEAU!D757,data!F:F,YEAR(Feuil1!$D$2))</f>
        <v>5</v>
      </c>
      <c r="L757" s="13">
        <f t="shared" si="46"/>
        <v>-3</v>
      </c>
      <c r="M757" s="12">
        <f t="shared" si="47"/>
        <v>-0.6</v>
      </c>
    </row>
    <row r="758" spans="1:13" x14ac:dyDescent="0.25">
      <c r="A758" s="17" t="str">
        <f>data!H1265</f>
        <v>VINICOM</v>
      </c>
      <c r="B758" s="15" t="str">
        <f>data!A1265</f>
        <v>118</v>
      </c>
      <c r="C758" s="1" t="str">
        <f>data!B1265</f>
        <v>ARMAGNAC DELORD</v>
      </c>
      <c r="D758" s="1" t="str">
        <f>data!C1265</f>
        <v>118024</v>
      </c>
      <c r="E758" s="1" t="str">
        <f>data!D758</f>
        <v>AC ST NICOLAS DE BOURG D.OLIVIER</v>
      </c>
      <c r="F758" s="14">
        <f>SUMIFS(data!G:G,data!A:A,TABLEAU!B758,data!C:C,TABLEAU!D758,data!F:F,YEAR(Feuil1!$D$1))</f>
        <v>100.83</v>
      </c>
      <c r="G758" s="9">
        <f>SUMIFS(data!G:G,data!A:A,TABLEAU!B758,data!C:C,TABLEAU!D758,data!F:F,YEAR(Feuil1!$D$2))</f>
        <v>0</v>
      </c>
      <c r="H758" s="9">
        <f t="shared" si="44"/>
        <v>100.83</v>
      </c>
      <c r="I758" s="12" t="str">
        <f t="shared" si="45"/>
        <v/>
      </c>
      <c r="J758" s="13">
        <f>SUMIFS(data!E:E,data!A:A,TABLEAU!B758,data!C:C,TABLEAU!D758,data!F:F,YEAR(Feuil1!$D$1))</f>
        <v>3</v>
      </c>
      <c r="K758" s="13">
        <f>SUMIFS(data!E:E,data!A:A,TABLEAU!B758,data!C:C,TABLEAU!D758,data!F:F,YEAR(Feuil1!$D$2))</f>
        <v>0</v>
      </c>
      <c r="L758" s="13">
        <f t="shared" si="46"/>
        <v>3</v>
      </c>
      <c r="M758" s="12" t="str">
        <f t="shared" si="47"/>
        <v/>
      </c>
    </row>
    <row r="759" spans="1:13" x14ac:dyDescent="0.25">
      <c r="A759" s="17" t="str">
        <f>data!H1266</f>
        <v>VINICOM</v>
      </c>
      <c r="B759" s="15" t="str">
        <f>data!A1266</f>
        <v>118</v>
      </c>
      <c r="C759" s="1" t="str">
        <f>data!B1266</f>
        <v>ARMAGNAC DELORD</v>
      </c>
      <c r="D759" s="1" t="str">
        <f>data!C1266</f>
        <v>118026</v>
      </c>
      <c r="E759" s="1" t="str">
        <f>data!D759</f>
        <v>AC ST NICOLAS DE BOURG D.OLIVIER</v>
      </c>
      <c r="F759" s="14">
        <f>SUMIFS(data!G:G,data!A:A,TABLEAU!B759,data!C:C,TABLEAU!D759,data!F:F,YEAR(Feuil1!$D$1))</f>
        <v>33.44</v>
      </c>
      <c r="G759" s="9">
        <f>SUMIFS(data!G:G,data!A:A,TABLEAU!B759,data!C:C,TABLEAU!D759,data!F:F,YEAR(Feuil1!$D$2))</f>
        <v>0</v>
      </c>
      <c r="H759" s="9">
        <f t="shared" si="44"/>
        <v>33.44</v>
      </c>
      <c r="I759" s="12" t="str">
        <f t="shared" si="45"/>
        <v/>
      </c>
      <c r="J759" s="13">
        <f>SUMIFS(data!E:E,data!A:A,TABLEAU!B759,data!C:C,TABLEAU!D759,data!F:F,YEAR(Feuil1!$D$1))</f>
        <v>1</v>
      </c>
      <c r="K759" s="13">
        <f>SUMIFS(data!E:E,data!A:A,TABLEAU!B759,data!C:C,TABLEAU!D759,data!F:F,YEAR(Feuil1!$D$2))</f>
        <v>0</v>
      </c>
      <c r="L759" s="13">
        <f t="shared" si="46"/>
        <v>1</v>
      </c>
      <c r="M759" s="12" t="str">
        <f t="shared" si="47"/>
        <v/>
      </c>
    </row>
    <row r="760" spans="1:13" x14ac:dyDescent="0.25">
      <c r="A760" s="17" t="str">
        <f>data!H1267</f>
        <v>VINICOM</v>
      </c>
      <c r="B760" s="15" t="str">
        <f>data!A1267</f>
        <v>118</v>
      </c>
      <c r="C760" s="1" t="str">
        <f>data!B1267</f>
        <v>ARMAGNAC DELORD</v>
      </c>
      <c r="D760" s="1" t="str">
        <f>data!C1267</f>
        <v>118027</v>
      </c>
      <c r="E760" s="1" t="str">
        <f>data!D760</f>
        <v>AC ST NICOLAS DE BOURG D.OLIVIER</v>
      </c>
      <c r="F760" s="14">
        <f>SUMIFS(data!G:G,data!A:A,TABLEAU!B760,data!C:C,TABLEAU!D760,data!F:F,YEAR(Feuil1!$D$1))</f>
        <v>34.65</v>
      </c>
      <c r="G760" s="9">
        <f>SUMIFS(data!G:G,data!A:A,TABLEAU!B760,data!C:C,TABLEAU!D760,data!F:F,YEAR(Feuil1!$D$2))</f>
        <v>0</v>
      </c>
      <c r="H760" s="9">
        <f t="shared" si="44"/>
        <v>34.65</v>
      </c>
      <c r="I760" s="12" t="str">
        <f t="shared" si="45"/>
        <v/>
      </c>
      <c r="J760" s="13">
        <f>SUMIFS(data!E:E,data!A:A,TABLEAU!B760,data!C:C,TABLEAU!D760,data!F:F,YEAR(Feuil1!$D$1))</f>
        <v>1</v>
      </c>
      <c r="K760" s="13">
        <f>SUMIFS(data!E:E,data!A:A,TABLEAU!B760,data!C:C,TABLEAU!D760,data!F:F,YEAR(Feuil1!$D$2))</f>
        <v>0</v>
      </c>
      <c r="L760" s="13">
        <f t="shared" si="46"/>
        <v>1</v>
      </c>
      <c r="M760" s="12" t="str">
        <f t="shared" si="47"/>
        <v/>
      </c>
    </row>
    <row r="761" spans="1:13" x14ac:dyDescent="0.25">
      <c r="A761" s="17" t="str">
        <f>data!H1268</f>
        <v>VINICOM</v>
      </c>
      <c r="B761" s="15" t="str">
        <f>data!A1268</f>
        <v>118</v>
      </c>
      <c r="C761" s="1" t="str">
        <f>data!B1268</f>
        <v>ARMAGNAC DELORD</v>
      </c>
      <c r="D761" s="1" t="str">
        <f>data!C1268</f>
        <v>118028</v>
      </c>
      <c r="E761" s="1" t="str">
        <f>data!D761</f>
        <v>AC ST NICOLAS DE BOURG D.OLIVIER</v>
      </c>
      <c r="F761" s="14">
        <f>SUMIFS(data!G:G,data!A:A,TABLEAU!B761,data!C:C,TABLEAU!D761,data!F:F,YEAR(Feuil1!$D$1))</f>
        <v>220.12</v>
      </c>
      <c r="G761" s="9">
        <f>SUMIFS(data!G:G,data!A:A,TABLEAU!B761,data!C:C,TABLEAU!D761,data!F:F,YEAR(Feuil1!$D$2))</f>
        <v>0</v>
      </c>
      <c r="H761" s="9">
        <f t="shared" si="44"/>
        <v>220.12</v>
      </c>
      <c r="I761" s="12" t="str">
        <f t="shared" si="45"/>
        <v/>
      </c>
      <c r="J761" s="13">
        <f>SUMIFS(data!E:E,data!A:A,TABLEAU!B761,data!C:C,TABLEAU!D761,data!F:F,YEAR(Feuil1!$D$1))</f>
        <v>6</v>
      </c>
      <c r="K761" s="13">
        <f>SUMIFS(data!E:E,data!A:A,TABLEAU!B761,data!C:C,TABLEAU!D761,data!F:F,YEAR(Feuil1!$D$2))</f>
        <v>0</v>
      </c>
      <c r="L761" s="13">
        <f t="shared" si="46"/>
        <v>6</v>
      </c>
      <c r="M761" s="12" t="str">
        <f t="shared" si="47"/>
        <v/>
      </c>
    </row>
    <row r="762" spans="1:13" x14ac:dyDescent="0.25">
      <c r="A762" s="17" t="str">
        <f>data!H1269</f>
        <v>VINICOM</v>
      </c>
      <c r="B762" s="15" t="str">
        <f>data!A1269</f>
        <v>118</v>
      </c>
      <c r="C762" s="1" t="str">
        <f>data!B1269</f>
        <v>ARMAGNAC DELORD</v>
      </c>
      <c r="D762" s="1" t="str">
        <f>data!C1269</f>
        <v>118029</v>
      </c>
      <c r="E762" s="1" t="str">
        <f>data!D762</f>
        <v>AC BOURGUEIL V.VIGNES D.OLIVIER</v>
      </c>
      <c r="F762" s="14">
        <f>SUMIFS(data!G:G,data!A:A,TABLEAU!B762,data!C:C,TABLEAU!D762,data!F:F,YEAR(Feuil1!$D$1))</f>
        <v>37.69</v>
      </c>
      <c r="G762" s="9">
        <f>SUMIFS(data!G:G,data!A:A,TABLEAU!B762,data!C:C,TABLEAU!D762,data!F:F,YEAR(Feuil1!$D$2))</f>
        <v>122.94</v>
      </c>
      <c r="H762" s="9">
        <f t="shared" si="44"/>
        <v>-85.25</v>
      </c>
      <c r="I762" s="12">
        <f t="shared" si="45"/>
        <v>-0.69342768830323731</v>
      </c>
      <c r="J762" s="13">
        <f>SUMIFS(data!E:E,data!A:A,TABLEAU!B762,data!C:C,TABLEAU!D762,data!F:F,YEAR(Feuil1!$D$1))</f>
        <v>1</v>
      </c>
      <c r="K762" s="13">
        <f>SUMIFS(data!E:E,data!A:A,TABLEAU!B762,data!C:C,TABLEAU!D762,data!F:F,YEAR(Feuil1!$D$2))</f>
        <v>3</v>
      </c>
      <c r="L762" s="13">
        <f t="shared" si="46"/>
        <v>-2</v>
      </c>
      <c r="M762" s="12">
        <f t="shared" si="47"/>
        <v>-0.66666666666666663</v>
      </c>
    </row>
    <row r="763" spans="1:13" x14ac:dyDescent="0.25">
      <c r="A763" s="17" t="str">
        <f>data!H1271</f>
        <v>VINICOM</v>
      </c>
      <c r="B763" s="15" t="str">
        <f>data!A1271</f>
        <v>118</v>
      </c>
      <c r="C763" s="1" t="str">
        <f>data!B1271</f>
        <v>ARMAGNAC DELORD</v>
      </c>
      <c r="D763" s="1" t="str">
        <f>data!C1271</f>
        <v>118030</v>
      </c>
      <c r="E763" s="1" t="str">
        <f>data!D763</f>
        <v>AC BOURGUEIL V.VIGNES D.OLIVIER</v>
      </c>
      <c r="F763" s="14">
        <f>SUMIFS(data!G:G,data!A:A,TABLEAU!B763,data!C:C,TABLEAU!D763,data!F:F,YEAR(Feuil1!$D$1))</f>
        <v>84.22</v>
      </c>
      <c r="G763" s="9">
        <f>SUMIFS(data!G:G,data!A:A,TABLEAU!B763,data!C:C,TABLEAU!D763,data!F:F,YEAR(Feuil1!$D$2))</f>
        <v>0</v>
      </c>
      <c r="H763" s="9">
        <f t="shared" si="44"/>
        <v>84.22</v>
      </c>
      <c r="I763" s="12" t="str">
        <f t="shared" si="45"/>
        <v/>
      </c>
      <c r="J763" s="13">
        <f>SUMIFS(data!E:E,data!A:A,TABLEAU!B763,data!C:C,TABLEAU!D763,data!F:F,YEAR(Feuil1!$D$1))</f>
        <v>2</v>
      </c>
      <c r="K763" s="13">
        <f>SUMIFS(data!E:E,data!A:A,TABLEAU!B763,data!C:C,TABLEAU!D763,data!F:F,YEAR(Feuil1!$D$2))</f>
        <v>0</v>
      </c>
      <c r="L763" s="13">
        <f t="shared" si="46"/>
        <v>2</v>
      </c>
      <c r="M763" s="12" t="str">
        <f t="shared" si="47"/>
        <v/>
      </c>
    </row>
    <row r="764" spans="1:13" x14ac:dyDescent="0.25">
      <c r="A764" s="17" t="str">
        <f>data!H1272</f>
        <v>VINICOM</v>
      </c>
      <c r="B764" s="15" t="str">
        <f>data!A1272</f>
        <v>118</v>
      </c>
      <c r="C764" s="1" t="str">
        <f>data!B1272</f>
        <v>ARMAGNAC DELORD</v>
      </c>
      <c r="D764" s="1" t="str">
        <f>data!C1272</f>
        <v>118031</v>
      </c>
      <c r="E764" s="1" t="str">
        <f>data!D764</f>
        <v>AC SAINT NICOLAS DE BOURGUEIL</v>
      </c>
      <c r="F764" s="14">
        <f>SUMIFS(data!G:G,data!A:A,TABLEAU!B764,data!C:C,TABLEAU!D764,data!F:F,YEAR(Feuil1!$D$1))</f>
        <v>0</v>
      </c>
      <c r="G764" s="9">
        <f>SUMIFS(data!G:G,data!A:A,TABLEAU!B764,data!C:C,TABLEAU!D764,data!F:F,YEAR(Feuil1!$D$2))</f>
        <v>42.45</v>
      </c>
      <c r="H764" s="9">
        <f t="shared" si="44"/>
        <v>-42.45</v>
      </c>
      <c r="I764" s="12">
        <f t="shared" si="45"/>
        <v>-1</v>
      </c>
      <c r="J764" s="13">
        <f>SUMIFS(data!E:E,data!A:A,TABLEAU!B764,data!C:C,TABLEAU!D764,data!F:F,YEAR(Feuil1!$D$1))</f>
        <v>0</v>
      </c>
      <c r="K764" s="13">
        <f>SUMIFS(data!E:E,data!A:A,TABLEAU!B764,data!C:C,TABLEAU!D764,data!F:F,YEAR(Feuil1!$D$2))</f>
        <v>0</v>
      </c>
      <c r="L764" s="13">
        <f t="shared" si="46"/>
        <v>0</v>
      </c>
      <c r="M764" s="12" t="str">
        <f t="shared" si="47"/>
        <v/>
      </c>
    </row>
    <row r="765" spans="1:13" x14ac:dyDescent="0.25">
      <c r="A765" s="17" t="str">
        <f>data!H1273</f>
        <v>VINICOM</v>
      </c>
      <c r="B765" s="15" t="str">
        <f>data!A1273</f>
        <v>118</v>
      </c>
      <c r="C765" s="1" t="str">
        <f>data!B1273</f>
        <v>ARMAGNAC DELORD</v>
      </c>
      <c r="D765" s="1" t="str">
        <f>data!C1273</f>
        <v>118032</v>
      </c>
      <c r="E765" s="1" t="str">
        <f>data!D765</f>
        <v>AC ST NICOLAS DE BOURG D.OLIVIER</v>
      </c>
      <c r="F765" s="14">
        <f>SUMIFS(data!G:G,data!A:A,TABLEAU!B765,data!C:C,TABLEAU!D765,data!F:F,YEAR(Feuil1!$D$1))</f>
        <v>49.07</v>
      </c>
      <c r="G765" s="9">
        <f>SUMIFS(data!G:G,data!A:A,TABLEAU!B765,data!C:C,TABLEAU!D765,data!F:F,YEAR(Feuil1!$D$2))</f>
        <v>107.14</v>
      </c>
      <c r="H765" s="9">
        <f t="shared" si="44"/>
        <v>-58.07</v>
      </c>
      <c r="I765" s="12">
        <f t="shared" si="45"/>
        <v>-0.54200112002986744</v>
      </c>
      <c r="J765" s="13">
        <f>SUMIFS(data!E:E,data!A:A,TABLEAU!B765,data!C:C,TABLEAU!D765,data!F:F,YEAR(Feuil1!$D$1))</f>
        <v>1</v>
      </c>
      <c r="K765" s="13">
        <f>SUMIFS(data!E:E,data!A:A,TABLEAU!B765,data!C:C,TABLEAU!D765,data!F:F,YEAR(Feuil1!$D$2))</f>
        <v>2</v>
      </c>
      <c r="L765" s="13">
        <f t="shared" si="46"/>
        <v>-1</v>
      </c>
      <c r="M765" s="12">
        <f t="shared" si="47"/>
        <v>-0.5</v>
      </c>
    </row>
    <row r="766" spans="1:13" x14ac:dyDescent="0.25">
      <c r="A766" s="17" t="str">
        <f>data!H1275</f>
        <v>VINICOM</v>
      </c>
      <c r="B766" s="15" t="str">
        <f>data!A1275</f>
        <v>118</v>
      </c>
      <c r="C766" s="1" t="str">
        <f>data!B1275</f>
        <v>ARMAGNAC DELORD</v>
      </c>
      <c r="D766" s="1" t="str">
        <f>data!C1275</f>
        <v>118035</v>
      </c>
      <c r="E766" s="1" t="str">
        <f>data!D766</f>
        <v>AC ST NICOLAS DE BOURG D.OLIVIER</v>
      </c>
      <c r="F766" s="14">
        <f>SUMIFS(data!G:G,data!A:A,TABLEAU!B766,data!C:C,TABLEAU!D766,data!F:F,YEAR(Feuil1!$D$1))</f>
        <v>62.21</v>
      </c>
      <c r="G766" s="9">
        <f>SUMIFS(data!G:G,data!A:A,TABLEAU!B766,data!C:C,TABLEAU!D766,data!F:F,YEAR(Feuil1!$D$2))</f>
        <v>66.709999999999994</v>
      </c>
      <c r="H766" s="9">
        <f t="shared" si="44"/>
        <v>-4.4999999999999929</v>
      </c>
      <c r="I766" s="12">
        <f t="shared" si="45"/>
        <v>-6.7456153500224755E-2</v>
      </c>
      <c r="J766" s="13">
        <f>SUMIFS(data!E:E,data!A:A,TABLEAU!B766,data!C:C,TABLEAU!D766,data!F:F,YEAR(Feuil1!$D$1))</f>
        <v>1</v>
      </c>
      <c r="K766" s="13">
        <f>SUMIFS(data!E:E,data!A:A,TABLEAU!B766,data!C:C,TABLEAU!D766,data!F:F,YEAR(Feuil1!$D$2))</f>
        <v>1</v>
      </c>
      <c r="L766" s="13">
        <f t="shared" si="46"/>
        <v>0</v>
      </c>
      <c r="M766" s="12">
        <f t="shared" si="47"/>
        <v>0</v>
      </c>
    </row>
    <row r="767" spans="1:13" x14ac:dyDescent="0.25">
      <c r="A767" s="17" t="str">
        <f>data!H1277</f>
        <v>VINICOM</v>
      </c>
      <c r="B767" s="15" t="str">
        <f>data!A1277</f>
        <v>118</v>
      </c>
      <c r="C767" s="1" t="str">
        <f>data!B1277</f>
        <v>ARMAGNAC DELORD</v>
      </c>
      <c r="D767" s="1" t="str">
        <f>data!C1277</f>
        <v>118036</v>
      </c>
      <c r="E767" s="1" t="str">
        <f>data!D767</f>
        <v>AC CTX DU LANG .COL DU VENT</v>
      </c>
      <c r="F767" s="14">
        <f>SUMIFS(data!G:G,data!A:A,TABLEAU!B767,data!C:C,TABLEAU!D767,data!F:F,YEAR(Feuil1!$D$1))</f>
        <v>140.28</v>
      </c>
      <c r="G767" s="9">
        <f>SUMIFS(data!G:G,data!A:A,TABLEAU!B767,data!C:C,TABLEAU!D767,data!F:F,YEAR(Feuil1!$D$2))</f>
        <v>0</v>
      </c>
      <c r="H767" s="9">
        <f t="shared" si="44"/>
        <v>140.28</v>
      </c>
      <c r="I767" s="12" t="str">
        <f t="shared" si="45"/>
        <v/>
      </c>
      <c r="J767" s="13">
        <f>SUMIFS(data!E:E,data!A:A,TABLEAU!B767,data!C:C,TABLEAU!D767,data!F:F,YEAR(Feuil1!$D$1))</f>
        <v>1</v>
      </c>
      <c r="K767" s="13">
        <f>SUMIFS(data!E:E,data!A:A,TABLEAU!B767,data!C:C,TABLEAU!D767,data!F:F,YEAR(Feuil1!$D$2))</f>
        <v>0</v>
      </c>
      <c r="L767" s="13">
        <f t="shared" si="46"/>
        <v>1</v>
      </c>
      <c r="M767" s="12" t="str">
        <f t="shared" si="47"/>
        <v/>
      </c>
    </row>
    <row r="768" spans="1:13" x14ac:dyDescent="0.25">
      <c r="A768" s="17" t="str">
        <f>data!H1278</f>
        <v>VINICOM</v>
      </c>
      <c r="B768" s="15" t="str">
        <f>data!A1278</f>
        <v>118</v>
      </c>
      <c r="C768" s="1" t="str">
        <f>data!B1278</f>
        <v>ARMAGNAC DELORD</v>
      </c>
      <c r="D768" s="1" t="str">
        <f>data!C1278</f>
        <v>118037</v>
      </c>
      <c r="E768" s="1" t="str">
        <f>data!D768</f>
        <v>AC CTX DU LANG .COL DU VENT</v>
      </c>
      <c r="F768" s="14">
        <f>SUMIFS(data!G:G,data!A:A,TABLEAU!B768,data!C:C,TABLEAU!D768,data!F:F,YEAR(Feuil1!$D$1))</f>
        <v>144.69999999999999</v>
      </c>
      <c r="G768" s="9">
        <f>SUMIFS(data!G:G,data!A:A,TABLEAU!B768,data!C:C,TABLEAU!D768,data!F:F,YEAR(Feuil1!$D$2))</f>
        <v>0</v>
      </c>
      <c r="H768" s="9">
        <f t="shared" si="44"/>
        <v>144.69999999999999</v>
      </c>
      <c r="I768" s="12" t="str">
        <f t="shared" si="45"/>
        <v/>
      </c>
      <c r="J768" s="13">
        <f>SUMIFS(data!E:E,data!A:A,TABLEAU!B768,data!C:C,TABLEAU!D768,data!F:F,YEAR(Feuil1!$D$1))</f>
        <v>2</v>
      </c>
      <c r="K768" s="13">
        <f>SUMIFS(data!E:E,data!A:A,TABLEAU!B768,data!C:C,TABLEAU!D768,data!F:F,YEAR(Feuil1!$D$2))</f>
        <v>0</v>
      </c>
      <c r="L768" s="13">
        <f t="shared" si="46"/>
        <v>2</v>
      </c>
      <c r="M768" s="12" t="str">
        <f t="shared" si="47"/>
        <v/>
      </c>
    </row>
    <row r="769" spans="1:13" x14ac:dyDescent="0.25">
      <c r="A769" s="17" t="str">
        <f>data!H1279</f>
        <v>VINICOM</v>
      </c>
      <c r="B769" s="15" t="str">
        <f>data!A1279</f>
        <v>118</v>
      </c>
      <c r="C769" s="1" t="str">
        <f>data!B1279</f>
        <v>ARMAGNAC DELORD</v>
      </c>
      <c r="D769" s="1" t="str">
        <f>data!C1279</f>
        <v>118038</v>
      </c>
      <c r="E769" s="1" t="str">
        <f>data!D769</f>
        <v>AC CTX DU LANG. COL DU VENT</v>
      </c>
      <c r="F769" s="14">
        <f>SUMIFS(data!G:G,data!A:A,TABLEAU!B769,data!C:C,TABLEAU!D769,data!F:F,YEAR(Feuil1!$D$1))</f>
        <v>72.53</v>
      </c>
      <c r="G769" s="9">
        <f>SUMIFS(data!G:G,data!A:A,TABLEAU!B769,data!C:C,TABLEAU!D769,data!F:F,YEAR(Feuil1!$D$2))</f>
        <v>0</v>
      </c>
      <c r="H769" s="9">
        <f t="shared" si="44"/>
        <v>72.53</v>
      </c>
      <c r="I769" s="12" t="str">
        <f t="shared" si="45"/>
        <v/>
      </c>
      <c r="J769" s="13">
        <f>SUMIFS(data!E:E,data!A:A,TABLEAU!B769,data!C:C,TABLEAU!D769,data!F:F,YEAR(Feuil1!$D$1))</f>
        <v>1</v>
      </c>
      <c r="K769" s="13">
        <f>SUMIFS(data!E:E,data!A:A,TABLEAU!B769,data!C:C,TABLEAU!D769,data!F:F,YEAR(Feuil1!$D$2))</f>
        <v>0</v>
      </c>
      <c r="L769" s="13">
        <f t="shared" si="46"/>
        <v>1</v>
      </c>
      <c r="M769" s="12" t="str">
        <f t="shared" si="47"/>
        <v/>
      </c>
    </row>
    <row r="770" spans="1:13" x14ac:dyDescent="0.25">
      <c r="A770" s="17" t="str">
        <f>data!H1280</f>
        <v>VINICOM</v>
      </c>
      <c r="B770" s="15" t="str">
        <f>data!A1280</f>
        <v>118</v>
      </c>
      <c r="C770" s="1" t="str">
        <f>data!B1280</f>
        <v>ARMAGNAC DELORD</v>
      </c>
      <c r="D770" s="1" t="str">
        <f>data!C1280</f>
        <v>118039</v>
      </c>
      <c r="E770" s="1" t="str">
        <f>data!D770</f>
        <v>AC CTX DU LANG. COL DU VENT</v>
      </c>
      <c r="F770" s="14">
        <f>SUMIFS(data!G:G,data!A:A,TABLEAU!B770,data!C:C,TABLEAU!D770,data!F:F,YEAR(Feuil1!$D$1))</f>
        <v>75.13</v>
      </c>
      <c r="G770" s="9">
        <f>SUMIFS(data!G:G,data!A:A,TABLEAU!B770,data!C:C,TABLEAU!D770,data!F:F,YEAR(Feuil1!$D$2))</f>
        <v>0</v>
      </c>
      <c r="H770" s="9">
        <f t="shared" si="44"/>
        <v>75.13</v>
      </c>
      <c r="I770" s="12" t="str">
        <f t="shared" si="45"/>
        <v/>
      </c>
      <c r="J770" s="13">
        <f>SUMIFS(data!E:E,data!A:A,TABLEAU!B770,data!C:C,TABLEAU!D770,data!F:F,YEAR(Feuil1!$D$1))</f>
        <v>1</v>
      </c>
      <c r="K770" s="13">
        <f>SUMIFS(data!E:E,data!A:A,TABLEAU!B770,data!C:C,TABLEAU!D770,data!F:F,YEAR(Feuil1!$D$2))</f>
        <v>0</v>
      </c>
      <c r="L770" s="13">
        <f t="shared" si="46"/>
        <v>1</v>
      </c>
      <c r="M770" s="12" t="str">
        <f t="shared" si="47"/>
        <v/>
      </c>
    </row>
    <row r="771" spans="1:13" x14ac:dyDescent="0.25">
      <c r="A771" s="17" t="str">
        <f>data!H1281</f>
        <v>VINICOM</v>
      </c>
      <c r="B771" s="15" t="str">
        <f>data!A1281</f>
        <v>118</v>
      </c>
      <c r="C771" s="1" t="str">
        <f>data!B1281</f>
        <v>ARMAGNAC DELORD</v>
      </c>
      <c r="D771" s="1" t="str">
        <f>data!C1281</f>
        <v>118040</v>
      </c>
      <c r="E771" s="1" t="str">
        <f>data!D771</f>
        <v>IGP SAINT GUILHEM LE DESERT GRENACHE</v>
      </c>
      <c r="F771" s="14">
        <f>SUMIFS(data!G:G,data!A:A,TABLEAU!B771,data!C:C,TABLEAU!D771,data!F:F,YEAR(Feuil1!$D$1))</f>
        <v>0</v>
      </c>
      <c r="G771" s="9">
        <f>SUMIFS(data!G:G,data!A:A,TABLEAU!B771,data!C:C,TABLEAU!D771,data!F:F,YEAR(Feuil1!$D$2))</f>
        <v>224.43</v>
      </c>
      <c r="H771" s="9">
        <f t="shared" ref="H771:H834" si="48">F771-G771</f>
        <v>-224.43</v>
      </c>
      <c r="I771" s="12">
        <f t="shared" ref="I771:I834" si="49">IF(ISERR(H771/G771),"",H771/G771)</f>
        <v>-1</v>
      </c>
      <c r="J771" s="13">
        <f>SUMIFS(data!E:E,data!A:A,TABLEAU!B771,data!C:C,TABLEAU!D771,data!F:F,YEAR(Feuil1!$D$1))</f>
        <v>0</v>
      </c>
      <c r="K771" s="13">
        <f>SUMIFS(data!E:E,data!A:A,TABLEAU!B771,data!C:C,TABLEAU!D771,data!F:F,YEAR(Feuil1!$D$2))</f>
        <v>3</v>
      </c>
      <c r="L771" s="13">
        <f t="shared" ref="L771:L834" si="50">J771-K771</f>
        <v>-3</v>
      </c>
      <c r="M771" s="12">
        <f t="shared" ref="M771:M834" si="51">IF(ISERR(L771/K771),"",L771/K771)</f>
        <v>-1</v>
      </c>
    </row>
    <row r="772" spans="1:13" x14ac:dyDescent="0.25">
      <c r="A772" s="17" t="str">
        <f>data!H1282</f>
        <v>VINICOM</v>
      </c>
      <c r="B772" s="15" t="str">
        <f>data!A1282</f>
        <v>118</v>
      </c>
      <c r="C772" s="1" t="str">
        <f>data!B1282</f>
        <v>ARMAGNAC DELORD</v>
      </c>
      <c r="D772" s="1" t="str">
        <f>data!C1282</f>
        <v>118041</v>
      </c>
      <c r="E772" s="1" t="str">
        <f>data!D772</f>
        <v>IGP SAINT GUILHEM LE DESERT GRENACHE</v>
      </c>
      <c r="F772" s="14">
        <f>SUMIFS(data!G:G,data!A:A,TABLEAU!B772,data!C:C,TABLEAU!D772,data!F:F,YEAR(Feuil1!$D$1))</f>
        <v>79.790000000000006</v>
      </c>
      <c r="G772" s="9">
        <f>SUMIFS(data!G:G,data!A:A,TABLEAU!B772,data!C:C,TABLEAU!D772,data!F:F,YEAR(Feuil1!$D$2))</f>
        <v>0</v>
      </c>
      <c r="H772" s="9">
        <f t="shared" si="48"/>
        <v>79.790000000000006</v>
      </c>
      <c r="I772" s="12" t="str">
        <f t="shared" si="49"/>
        <v/>
      </c>
      <c r="J772" s="13">
        <f>SUMIFS(data!E:E,data!A:A,TABLEAU!B772,data!C:C,TABLEAU!D772,data!F:F,YEAR(Feuil1!$D$1))</f>
        <v>1</v>
      </c>
      <c r="K772" s="13">
        <f>SUMIFS(data!E:E,data!A:A,TABLEAU!B772,data!C:C,TABLEAU!D772,data!F:F,YEAR(Feuil1!$D$2))</f>
        <v>0</v>
      </c>
      <c r="L772" s="13">
        <f t="shared" si="50"/>
        <v>1</v>
      </c>
      <c r="M772" s="12" t="str">
        <f t="shared" si="51"/>
        <v/>
      </c>
    </row>
    <row r="773" spans="1:13" x14ac:dyDescent="0.25">
      <c r="A773" s="17" t="str">
        <f>data!H1283</f>
        <v>VINICOM</v>
      </c>
      <c r="B773" s="15" t="str">
        <f>data!A1283</f>
        <v>118</v>
      </c>
      <c r="C773" s="1" t="str">
        <f>data!B1283</f>
        <v>ARMAGNAC DELORD</v>
      </c>
      <c r="D773" s="1" t="str">
        <f>data!C1283</f>
        <v>118044</v>
      </c>
      <c r="E773" s="1" t="str">
        <f>data!D773</f>
        <v>IGP SAINT GUILHEM LE DESERT GRENACHE</v>
      </c>
      <c r="F773" s="14">
        <f>SUMIFS(data!G:G,data!A:A,TABLEAU!B773,data!C:C,TABLEAU!D773,data!F:F,YEAR(Feuil1!$D$1))</f>
        <v>169.02</v>
      </c>
      <c r="G773" s="9">
        <f>SUMIFS(data!G:G,data!A:A,TABLEAU!B773,data!C:C,TABLEAU!D773,data!F:F,YEAR(Feuil1!$D$2))</f>
        <v>0</v>
      </c>
      <c r="H773" s="9">
        <f t="shared" si="48"/>
        <v>169.02</v>
      </c>
      <c r="I773" s="12" t="str">
        <f t="shared" si="49"/>
        <v/>
      </c>
      <c r="J773" s="13">
        <f>SUMIFS(data!E:E,data!A:A,TABLEAU!B773,data!C:C,TABLEAU!D773,data!F:F,YEAR(Feuil1!$D$1))</f>
        <v>1</v>
      </c>
      <c r="K773" s="13">
        <f>SUMIFS(data!E:E,data!A:A,TABLEAU!B773,data!C:C,TABLEAU!D773,data!F:F,YEAR(Feuil1!$D$2))</f>
        <v>0</v>
      </c>
      <c r="L773" s="13">
        <f t="shared" si="50"/>
        <v>1</v>
      </c>
      <c r="M773" s="12" t="str">
        <f t="shared" si="51"/>
        <v/>
      </c>
    </row>
    <row r="774" spans="1:13" x14ac:dyDescent="0.25">
      <c r="A774" s="17" t="str">
        <f>data!H1284</f>
        <v>VINICOM</v>
      </c>
      <c r="B774" s="15" t="str">
        <f>data!A1284</f>
        <v>118</v>
      </c>
      <c r="C774" s="1" t="str">
        <f>data!B1284</f>
        <v>ARMAGNAC DELORD</v>
      </c>
      <c r="D774" s="1" t="str">
        <f>data!C1284</f>
        <v>118045</v>
      </c>
      <c r="E774" s="1" t="str">
        <f>data!D774</f>
        <v>IGP SAINT GUILHEM LE DESERT GRENACHE</v>
      </c>
      <c r="F774" s="14">
        <f>SUMIFS(data!G:G,data!A:A,TABLEAU!B774,data!C:C,TABLEAU!D774,data!F:F,YEAR(Feuil1!$D$1))</f>
        <v>189.71</v>
      </c>
      <c r="G774" s="9">
        <f>SUMIFS(data!G:G,data!A:A,TABLEAU!B774,data!C:C,TABLEAU!D774,data!F:F,YEAR(Feuil1!$D$2))</f>
        <v>0</v>
      </c>
      <c r="H774" s="9">
        <f t="shared" si="48"/>
        <v>189.71</v>
      </c>
      <c r="I774" s="12" t="str">
        <f t="shared" si="49"/>
        <v/>
      </c>
      <c r="J774" s="13">
        <f>SUMIFS(data!E:E,data!A:A,TABLEAU!B774,data!C:C,TABLEAU!D774,data!F:F,YEAR(Feuil1!$D$1))</f>
        <v>1</v>
      </c>
      <c r="K774" s="13">
        <f>SUMIFS(data!E:E,data!A:A,TABLEAU!B774,data!C:C,TABLEAU!D774,data!F:F,YEAR(Feuil1!$D$2))</f>
        <v>0</v>
      </c>
      <c r="L774" s="13">
        <f t="shared" si="50"/>
        <v>1</v>
      </c>
      <c r="M774" s="12" t="str">
        <f t="shared" si="51"/>
        <v/>
      </c>
    </row>
    <row r="775" spans="1:13" x14ac:dyDescent="0.25">
      <c r="A775" s="17" t="str">
        <f>data!H1285</f>
        <v>VINICOM</v>
      </c>
      <c r="B775" s="15" t="str">
        <f>data!A1285</f>
        <v>118</v>
      </c>
      <c r="C775" s="1" t="str">
        <f>data!B1285</f>
        <v>ARMAGNAC DELORD</v>
      </c>
      <c r="D775" s="1" t="str">
        <f>data!C1285</f>
        <v>118055</v>
      </c>
      <c r="E775" s="1" t="str">
        <f>data!D775</f>
        <v>IGP ST GUILHEM LE DESERT</v>
      </c>
      <c r="F775" s="14">
        <f>SUMIFS(data!G:G,data!A:A,TABLEAU!B775,data!C:C,TABLEAU!D775,data!F:F,YEAR(Feuil1!$D$1))</f>
        <v>0</v>
      </c>
      <c r="G775" s="9">
        <f>SUMIFS(data!G:G,data!A:A,TABLEAU!B775,data!C:C,TABLEAU!D775,data!F:F,YEAR(Feuil1!$D$2))</f>
        <v>368.92</v>
      </c>
      <c r="H775" s="9">
        <f t="shared" si="48"/>
        <v>-368.92</v>
      </c>
      <c r="I775" s="12">
        <f t="shared" si="49"/>
        <v>-1</v>
      </c>
      <c r="J775" s="13">
        <f>SUMIFS(data!E:E,data!A:A,TABLEAU!B775,data!C:C,TABLEAU!D775,data!F:F,YEAR(Feuil1!$D$1))</f>
        <v>0</v>
      </c>
      <c r="K775" s="13">
        <f>SUMIFS(data!E:E,data!A:A,TABLEAU!B775,data!C:C,TABLEAU!D775,data!F:F,YEAR(Feuil1!$D$2))</f>
        <v>1</v>
      </c>
      <c r="L775" s="13">
        <f t="shared" si="50"/>
        <v>-1</v>
      </c>
      <c r="M775" s="12">
        <f t="shared" si="51"/>
        <v>-1</v>
      </c>
    </row>
    <row r="776" spans="1:13" x14ac:dyDescent="0.25">
      <c r="A776" s="17" t="str">
        <f>data!H1286</f>
        <v>VINICOM</v>
      </c>
      <c r="B776" s="15" t="str">
        <f>data!A1286</f>
        <v>118</v>
      </c>
      <c r="C776" s="1" t="str">
        <f>data!B1286</f>
        <v>ARMAGNAC DELORD</v>
      </c>
      <c r="D776" s="1" t="str">
        <f>data!C1286</f>
        <v>118073</v>
      </c>
      <c r="E776" s="1" t="str">
        <f>data!D776</f>
        <v>IGP ST GUILHEM LE DESERT</v>
      </c>
      <c r="F776" s="14">
        <f>SUMIFS(data!G:G,data!A:A,TABLEAU!B776,data!C:C,TABLEAU!D776,data!F:F,YEAR(Feuil1!$D$1))</f>
        <v>0</v>
      </c>
      <c r="G776" s="9">
        <f>SUMIFS(data!G:G,data!A:A,TABLEAU!B776,data!C:C,TABLEAU!D776,data!F:F,YEAR(Feuil1!$D$2))</f>
        <v>300.95</v>
      </c>
      <c r="H776" s="9">
        <f t="shared" si="48"/>
        <v>-300.95</v>
      </c>
      <c r="I776" s="12">
        <f t="shared" si="49"/>
        <v>-1</v>
      </c>
      <c r="J776" s="13">
        <f>SUMIFS(data!E:E,data!A:A,TABLEAU!B776,data!C:C,TABLEAU!D776,data!F:F,YEAR(Feuil1!$D$1))</f>
        <v>0</v>
      </c>
      <c r="K776" s="13">
        <f>SUMIFS(data!E:E,data!A:A,TABLEAU!B776,data!C:C,TABLEAU!D776,data!F:F,YEAR(Feuil1!$D$2))</f>
        <v>0</v>
      </c>
      <c r="L776" s="13">
        <f t="shared" si="50"/>
        <v>0</v>
      </c>
      <c r="M776" s="12" t="str">
        <f t="shared" si="51"/>
        <v/>
      </c>
    </row>
    <row r="777" spans="1:13" x14ac:dyDescent="0.25">
      <c r="A777" s="17" t="str">
        <f>data!H1287</f>
        <v>VINICOM</v>
      </c>
      <c r="B777" s="15" t="str">
        <f>data!A1287</f>
        <v>118</v>
      </c>
      <c r="C777" s="1" t="str">
        <f>data!B1287</f>
        <v>ARMAGNAC DELORD</v>
      </c>
      <c r="D777" s="1" t="str">
        <f>data!C1287</f>
        <v>118074</v>
      </c>
      <c r="E777" s="1" t="str">
        <f>data!D777</f>
        <v>IGP SAINT GUILHEM LE DESERT GRENACHE</v>
      </c>
      <c r="F777" s="14">
        <f>SUMIFS(data!G:G,data!A:A,TABLEAU!B777,data!C:C,TABLEAU!D777,data!F:F,YEAR(Feuil1!$D$1))</f>
        <v>0</v>
      </c>
      <c r="G777" s="9">
        <f>SUMIFS(data!G:G,data!A:A,TABLEAU!B777,data!C:C,TABLEAU!D777,data!F:F,YEAR(Feuil1!$D$2))</f>
        <v>412.1</v>
      </c>
      <c r="H777" s="9">
        <f t="shared" si="48"/>
        <v>-412.1</v>
      </c>
      <c r="I777" s="12">
        <f t="shared" si="49"/>
        <v>-1</v>
      </c>
      <c r="J777" s="13">
        <f>SUMIFS(data!E:E,data!A:A,TABLEAU!B777,data!C:C,TABLEAU!D777,data!F:F,YEAR(Feuil1!$D$1))</f>
        <v>0</v>
      </c>
      <c r="K777" s="13">
        <f>SUMIFS(data!E:E,data!A:A,TABLEAU!B777,data!C:C,TABLEAU!D777,data!F:F,YEAR(Feuil1!$D$2))</f>
        <v>0</v>
      </c>
      <c r="L777" s="13">
        <f t="shared" si="50"/>
        <v>0</v>
      </c>
      <c r="M777" s="12" t="str">
        <f t="shared" si="51"/>
        <v/>
      </c>
    </row>
    <row r="778" spans="1:13" x14ac:dyDescent="0.25">
      <c r="A778" s="17" t="str">
        <f>data!H1288</f>
        <v>VINICOM</v>
      </c>
      <c r="B778" s="15" t="str">
        <f>data!A1288</f>
        <v>118</v>
      </c>
      <c r="C778" s="1" t="str">
        <f>data!B1288</f>
        <v>ARMAGNAC DELORD</v>
      </c>
      <c r="D778" s="1" t="str">
        <f>data!C1288</f>
        <v>118075</v>
      </c>
      <c r="E778" s="1" t="str">
        <f>data!D778</f>
        <v>JM. RAFFAULT AC CHINON LES PICASSES</v>
      </c>
      <c r="F778" s="14">
        <f>SUMIFS(data!G:G,data!A:A,TABLEAU!B778,data!C:C,TABLEAU!D778,data!F:F,YEAR(Feuil1!$D$1))</f>
        <v>0</v>
      </c>
      <c r="G778" s="9">
        <f>SUMIFS(data!G:G,data!A:A,TABLEAU!B778,data!C:C,TABLEAU!D778,data!F:F,YEAR(Feuil1!$D$2))</f>
        <v>225.54</v>
      </c>
      <c r="H778" s="9">
        <f t="shared" si="48"/>
        <v>-225.54</v>
      </c>
      <c r="I778" s="12">
        <f t="shared" si="49"/>
        <v>-1</v>
      </c>
      <c r="J778" s="13">
        <f>SUMIFS(data!E:E,data!A:A,TABLEAU!B778,data!C:C,TABLEAU!D778,data!F:F,YEAR(Feuil1!$D$1))</f>
        <v>0</v>
      </c>
      <c r="K778" s="13">
        <f>SUMIFS(data!E:E,data!A:A,TABLEAU!B778,data!C:C,TABLEAU!D778,data!F:F,YEAR(Feuil1!$D$2))</f>
        <v>0</v>
      </c>
      <c r="L778" s="13">
        <f t="shared" si="50"/>
        <v>0</v>
      </c>
      <c r="M778" s="12" t="str">
        <f t="shared" si="51"/>
        <v/>
      </c>
    </row>
    <row r="779" spans="1:13" x14ac:dyDescent="0.25">
      <c r="A779" s="17" t="str">
        <f>data!H1289</f>
        <v>VINICOM</v>
      </c>
      <c r="B779" s="15" t="str">
        <f>data!A1289</f>
        <v>118</v>
      </c>
      <c r="C779" s="1" t="str">
        <f>data!B1289</f>
        <v>ARMAGNAC DELORD</v>
      </c>
      <c r="D779" s="1" t="str">
        <f>data!C1289</f>
        <v>118100</v>
      </c>
      <c r="E779" s="1" t="str">
        <f>data!D779</f>
        <v>JM. RAFFAULT AC CHINON LES PICASSES</v>
      </c>
      <c r="F779" s="14">
        <f>SUMIFS(data!G:G,data!A:A,TABLEAU!B779,data!C:C,TABLEAU!D779,data!F:F,YEAR(Feuil1!$D$1))</f>
        <v>0</v>
      </c>
      <c r="G779" s="9">
        <f>SUMIFS(data!G:G,data!A:A,TABLEAU!B779,data!C:C,TABLEAU!D779,data!F:F,YEAR(Feuil1!$D$2))</f>
        <v>118</v>
      </c>
      <c r="H779" s="9">
        <f t="shared" si="48"/>
        <v>-118</v>
      </c>
      <c r="I779" s="12">
        <f t="shared" si="49"/>
        <v>-1</v>
      </c>
      <c r="J779" s="13">
        <f>SUMIFS(data!E:E,data!A:A,TABLEAU!B779,data!C:C,TABLEAU!D779,data!F:F,YEAR(Feuil1!$D$1))</f>
        <v>0</v>
      </c>
      <c r="K779" s="13">
        <f>SUMIFS(data!E:E,data!A:A,TABLEAU!B779,data!C:C,TABLEAU!D779,data!F:F,YEAR(Feuil1!$D$2))</f>
        <v>0</v>
      </c>
      <c r="L779" s="13">
        <f t="shared" si="50"/>
        <v>0</v>
      </c>
      <c r="M779" s="12" t="str">
        <f t="shared" si="51"/>
        <v/>
      </c>
    </row>
    <row r="780" spans="1:13" x14ac:dyDescent="0.25">
      <c r="A780" s="17" t="str">
        <f>data!H1290</f>
        <v>VINICOM</v>
      </c>
      <c r="B780" s="15" t="str">
        <f>data!A1290</f>
        <v>118</v>
      </c>
      <c r="C780" s="1" t="str">
        <f>data!B1290</f>
        <v>ARMAGNAC DELORD</v>
      </c>
      <c r="D780" s="1" t="str">
        <f>data!C1290</f>
        <v>118101</v>
      </c>
      <c r="E780" s="1" t="str">
        <f>data!D780</f>
        <v>JM. RAFFAULT AC CHINON LES PICASSES</v>
      </c>
      <c r="F780" s="14">
        <f>SUMIFS(data!G:G,data!A:A,TABLEAU!B780,data!C:C,TABLEAU!D780,data!F:F,YEAR(Feuil1!$D$1))</f>
        <v>0</v>
      </c>
      <c r="G780" s="9">
        <f>SUMIFS(data!G:G,data!A:A,TABLEAU!B780,data!C:C,TABLEAU!D780,data!F:F,YEAR(Feuil1!$D$2))</f>
        <v>25.9</v>
      </c>
      <c r="H780" s="9">
        <f t="shared" si="48"/>
        <v>-25.9</v>
      </c>
      <c r="I780" s="12">
        <f t="shared" si="49"/>
        <v>-1</v>
      </c>
      <c r="J780" s="13">
        <f>SUMIFS(data!E:E,data!A:A,TABLEAU!B780,data!C:C,TABLEAU!D780,data!F:F,YEAR(Feuil1!$D$1))</f>
        <v>0</v>
      </c>
      <c r="K780" s="13">
        <f>SUMIFS(data!E:E,data!A:A,TABLEAU!B780,data!C:C,TABLEAU!D780,data!F:F,YEAR(Feuil1!$D$2))</f>
        <v>0</v>
      </c>
      <c r="L780" s="13">
        <f t="shared" si="50"/>
        <v>0</v>
      </c>
      <c r="M780" s="12" t="str">
        <f t="shared" si="51"/>
        <v/>
      </c>
    </row>
    <row r="781" spans="1:13" x14ac:dyDescent="0.25">
      <c r="A781" s="17" t="str">
        <f>data!H1291</f>
        <v>VINICOM</v>
      </c>
      <c r="B781" s="15" t="str">
        <f>data!A1291</f>
        <v>118</v>
      </c>
      <c r="C781" s="1" t="str">
        <f>data!B1291</f>
        <v>ARMAGNAC DELORD</v>
      </c>
      <c r="D781" s="1" t="str">
        <f>data!C1291</f>
        <v>118103</v>
      </c>
      <c r="E781" s="1" t="str">
        <f>data!D781</f>
        <v>JM. RAFFAULT AC CHINON LES PICASSES</v>
      </c>
      <c r="F781" s="14">
        <f>SUMIFS(data!G:G,data!A:A,TABLEAU!B781,data!C:C,TABLEAU!D781,data!F:F,YEAR(Feuil1!$D$1))</f>
        <v>0</v>
      </c>
      <c r="G781" s="9">
        <f>SUMIFS(data!G:G,data!A:A,TABLEAU!B781,data!C:C,TABLEAU!D781,data!F:F,YEAR(Feuil1!$D$2))</f>
        <v>78.75</v>
      </c>
      <c r="H781" s="9">
        <f t="shared" si="48"/>
        <v>-78.75</v>
      </c>
      <c r="I781" s="12">
        <f t="shared" si="49"/>
        <v>-1</v>
      </c>
      <c r="J781" s="13">
        <f>SUMIFS(data!E:E,data!A:A,TABLEAU!B781,data!C:C,TABLEAU!D781,data!F:F,YEAR(Feuil1!$D$1))</f>
        <v>0</v>
      </c>
      <c r="K781" s="13">
        <f>SUMIFS(data!E:E,data!A:A,TABLEAU!B781,data!C:C,TABLEAU!D781,data!F:F,YEAR(Feuil1!$D$2))</f>
        <v>0</v>
      </c>
      <c r="L781" s="13">
        <f t="shared" si="50"/>
        <v>0</v>
      </c>
      <c r="M781" s="12" t="str">
        <f t="shared" si="51"/>
        <v/>
      </c>
    </row>
    <row r="782" spans="1:13" x14ac:dyDescent="0.25">
      <c r="A782" s="17" t="str">
        <f>data!H1292</f>
        <v>VINICOM</v>
      </c>
      <c r="B782" s="15" t="str">
        <f>data!A1292</f>
        <v>118</v>
      </c>
      <c r="C782" s="1" t="str">
        <f>data!B1292</f>
        <v>ARMAGNAC DELORD</v>
      </c>
      <c r="D782" s="1" t="str">
        <f>data!C1292</f>
        <v>118200</v>
      </c>
      <c r="E782" s="1" t="str">
        <f>data!D782</f>
        <v>AC CHINON</v>
      </c>
      <c r="F782" s="14">
        <f>SUMIFS(data!G:G,data!A:A,TABLEAU!B782,data!C:C,TABLEAU!D782,data!F:F,YEAR(Feuil1!$D$1))</f>
        <v>35.28</v>
      </c>
      <c r="G782" s="9">
        <f>SUMIFS(data!G:G,data!A:A,TABLEAU!B782,data!C:C,TABLEAU!D782,data!F:F,YEAR(Feuil1!$D$2))</f>
        <v>0</v>
      </c>
      <c r="H782" s="9">
        <f t="shared" si="48"/>
        <v>35.28</v>
      </c>
      <c r="I782" s="12" t="str">
        <f t="shared" si="49"/>
        <v/>
      </c>
      <c r="J782" s="13">
        <f>SUMIFS(data!E:E,data!A:A,TABLEAU!B782,data!C:C,TABLEAU!D782,data!F:F,YEAR(Feuil1!$D$1))</f>
        <v>1</v>
      </c>
      <c r="K782" s="13">
        <f>SUMIFS(data!E:E,data!A:A,TABLEAU!B782,data!C:C,TABLEAU!D782,data!F:F,YEAR(Feuil1!$D$2))</f>
        <v>0</v>
      </c>
      <c r="L782" s="13">
        <f t="shared" si="50"/>
        <v>1</v>
      </c>
      <c r="M782" s="12" t="str">
        <f t="shared" si="51"/>
        <v/>
      </c>
    </row>
    <row r="783" spans="1:13" x14ac:dyDescent="0.25">
      <c r="A783" s="17" t="str">
        <f>data!H1293</f>
        <v>VINICOM</v>
      </c>
      <c r="B783" s="15" t="str">
        <f>data!A1293</f>
        <v>118</v>
      </c>
      <c r="C783" s="1" t="str">
        <f>data!B1293</f>
        <v>ARMAGNAC DELORD</v>
      </c>
      <c r="D783" s="1" t="str">
        <f>data!C1293</f>
        <v>118302</v>
      </c>
      <c r="E783" s="1" t="str">
        <f>data!D783</f>
        <v>AC CHINON</v>
      </c>
      <c r="F783" s="14">
        <f>SUMIFS(data!G:G,data!A:A,TABLEAU!B783,data!C:C,TABLEAU!D783,data!F:F,YEAR(Feuil1!$D$1))</f>
        <v>56.13</v>
      </c>
      <c r="G783" s="9">
        <f>SUMIFS(data!G:G,data!A:A,TABLEAU!B783,data!C:C,TABLEAU!D783,data!F:F,YEAR(Feuil1!$D$2))</f>
        <v>444.24</v>
      </c>
      <c r="H783" s="9">
        <f t="shared" si="48"/>
        <v>-388.11</v>
      </c>
      <c r="I783" s="12">
        <f t="shared" si="49"/>
        <v>-0.87364937871420856</v>
      </c>
      <c r="J783" s="13">
        <f>SUMIFS(data!E:E,data!A:A,TABLEAU!B783,data!C:C,TABLEAU!D783,data!F:F,YEAR(Feuil1!$D$1))</f>
        <v>3</v>
      </c>
      <c r="K783" s="13">
        <f>SUMIFS(data!E:E,data!A:A,TABLEAU!B783,data!C:C,TABLEAU!D783,data!F:F,YEAR(Feuil1!$D$2))</f>
        <v>24</v>
      </c>
      <c r="L783" s="13">
        <f t="shared" si="50"/>
        <v>-21</v>
      </c>
      <c r="M783" s="12">
        <f t="shared" si="51"/>
        <v>-0.875</v>
      </c>
    </row>
    <row r="784" spans="1:13" x14ac:dyDescent="0.25">
      <c r="A784" s="17" t="str">
        <f>data!H1295</f>
        <v>VINICOM</v>
      </c>
      <c r="B784" s="15" t="str">
        <f>data!A1295</f>
        <v>119</v>
      </c>
      <c r="C784" s="1" t="str">
        <f>data!B1295</f>
        <v>DOMAINE DES HOMS</v>
      </c>
      <c r="D784" s="1" t="str">
        <f>data!C1295</f>
        <v>119001</v>
      </c>
      <c r="E784" s="1" t="str">
        <f>data!D784</f>
        <v>JM. RAFFAULT AC CHINON</v>
      </c>
      <c r="F784" s="14">
        <f>SUMIFS(data!G:G,data!A:A,TABLEAU!B784,data!C:C,TABLEAU!D784,data!F:F,YEAR(Feuil1!$D$1))</f>
        <v>4282.2</v>
      </c>
      <c r="G784" s="9">
        <f>SUMIFS(data!G:G,data!A:A,TABLEAU!B784,data!C:C,TABLEAU!D784,data!F:F,YEAR(Feuil1!$D$2))</f>
        <v>8492.4</v>
      </c>
      <c r="H784" s="9">
        <f t="shared" si="48"/>
        <v>-4210.2</v>
      </c>
      <c r="I784" s="12">
        <f t="shared" si="49"/>
        <v>-0.4957609156422213</v>
      </c>
      <c r="J784" s="13">
        <f>SUMIFS(data!E:E,data!A:A,TABLEAU!B784,data!C:C,TABLEAU!D784,data!F:F,YEAR(Feuil1!$D$1))</f>
        <v>960</v>
      </c>
      <c r="K784" s="13">
        <f>SUMIFS(data!E:E,data!A:A,TABLEAU!B784,data!C:C,TABLEAU!D784,data!F:F,YEAR(Feuil1!$D$2))</f>
        <v>1998</v>
      </c>
      <c r="L784" s="13">
        <f t="shared" si="50"/>
        <v>-1038</v>
      </c>
      <c r="M784" s="12">
        <f t="shared" si="51"/>
        <v>-0.51951951951951947</v>
      </c>
    </row>
    <row r="785" spans="1:13" x14ac:dyDescent="0.25">
      <c r="A785" s="17" t="str">
        <f>data!H1297</f>
        <v>VINICOM</v>
      </c>
      <c r="B785" s="15" t="str">
        <f>data!A1297</f>
        <v>119</v>
      </c>
      <c r="C785" s="1" t="str">
        <f>data!B1297</f>
        <v>DOMAINE DES HOMS</v>
      </c>
      <c r="D785" s="1" t="str">
        <f>data!C1297</f>
        <v>119002</v>
      </c>
      <c r="E785" s="1" t="str">
        <f>data!D785</f>
        <v>JM. RAFFAULT AC CHINON</v>
      </c>
      <c r="F785" s="14">
        <f>SUMIFS(data!G:G,data!A:A,TABLEAU!B785,data!C:C,TABLEAU!D785,data!F:F,YEAR(Feuil1!$D$1))</f>
        <v>2686.8</v>
      </c>
      <c r="G785" s="9">
        <f>SUMIFS(data!G:G,data!A:A,TABLEAU!B785,data!C:C,TABLEAU!D785,data!F:F,YEAR(Feuil1!$D$2))</f>
        <v>2060.4</v>
      </c>
      <c r="H785" s="9">
        <f t="shared" si="48"/>
        <v>626.40000000000009</v>
      </c>
      <c r="I785" s="12">
        <f t="shared" si="49"/>
        <v>0.30401863715783345</v>
      </c>
      <c r="J785" s="13">
        <f>SUMIFS(data!E:E,data!A:A,TABLEAU!B785,data!C:C,TABLEAU!D785,data!F:F,YEAR(Feuil1!$D$1))</f>
        <v>762</v>
      </c>
      <c r="K785" s="13">
        <f>SUMIFS(data!E:E,data!A:A,TABLEAU!B785,data!C:C,TABLEAU!D785,data!F:F,YEAR(Feuil1!$D$2))</f>
        <v>618</v>
      </c>
      <c r="L785" s="13">
        <f t="shared" si="50"/>
        <v>144</v>
      </c>
      <c r="M785" s="12">
        <f t="shared" si="51"/>
        <v>0.23300970873786409</v>
      </c>
    </row>
    <row r="786" spans="1:13" x14ac:dyDescent="0.25">
      <c r="A786" s="17" t="str">
        <f>data!H1299</f>
        <v>VINICOM</v>
      </c>
      <c r="B786" s="15" t="str">
        <f>data!A1299</f>
        <v>119</v>
      </c>
      <c r="C786" s="1" t="str">
        <f>data!B1299</f>
        <v>DOMAINE DES HOMS</v>
      </c>
      <c r="D786" s="1" t="str">
        <f>data!C1299</f>
        <v>119003</v>
      </c>
      <c r="E786" s="1" t="str">
        <f>data!D786</f>
        <v>JM. RAFFAULT AC CHINON</v>
      </c>
      <c r="F786" s="14">
        <f>SUMIFS(data!G:G,data!A:A,TABLEAU!B786,data!C:C,TABLEAU!D786,data!F:F,YEAR(Feuil1!$D$1))</f>
        <v>717.6</v>
      </c>
      <c r="G786" s="9">
        <f>SUMIFS(data!G:G,data!A:A,TABLEAU!B786,data!C:C,TABLEAU!D786,data!F:F,YEAR(Feuil1!$D$2))</f>
        <v>1842.6</v>
      </c>
      <c r="H786" s="9">
        <f t="shared" si="48"/>
        <v>-1125</v>
      </c>
      <c r="I786" s="12">
        <f t="shared" si="49"/>
        <v>-0.61055030934549015</v>
      </c>
      <c r="J786" s="13">
        <f>SUMIFS(data!E:E,data!A:A,TABLEAU!B786,data!C:C,TABLEAU!D786,data!F:F,YEAR(Feuil1!$D$1))</f>
        <v>144</v>
      </c>
      <c r="K786" s="13">
        <f>SUMIFS(data!E:E,data!A:A,TABLEAU!B786,data!C:C,TABLEAU!D786,data!F:F,YEAR(Feuil1!$D$2))</f>
        <v>378</v>
      </c>
      <c r="L786" s="13">
        <f t="shared" si="50"/>
        <v>-234</v>
      </c>
      <c r="M786" s="12">
        <f t="shared" si="51"/>
        <v>-0.61904761904761907</v>
      </c>
    </row>
    <row r="787" spans="1:13" x14ac:dyDescent="0.25">
      <c r="A787" s="17" t="str">
        <f>data!H1301</f>
        <v>VINICOM</v>
      </c>
      <c r="B787" s="15" t="str">
        <f>data!A1301</f>
        <v>119</v>
      </c>
      <c r="C787" s="1" t="str">
        <f>data!B1301</f>
        <v>DOMAINE DES HOMS</v>
      </c>
      <c r="D787" s="1" t="str">
        <f>data!C1301</f>
        <v>119005</v>
      </c>
      <c r="E787" s="1" t="str">
        <f>data!D787</f>
        <v>JM. RAFFAULT AC CHINON</v>
      </c>
      <c r="F787" s="14">
        <f>SUMIFS(data!G:G,data!A:A,TABLEAU!B787,data!C:C,TABLEAU!D787,data!F:F,YEAR(Feuil1!$D$1))</f>
        <v>0</v>
      </c>
      <c r="G787" s="9">
        <f>SUMIFS(data!G:G,data!A:A,TABLEAU!B787,data!C:C,TABLEAU!D787,data!F:F,YEAR(Feuil1!$D$2))</f>
        <v>264</v>
      </c>
      <c r="H787" s="9">
        <f t="shared" si="48"/>
        <v>-264</v>
      </c>
      <c r="I787" s="12">
        <f t="shared" si="49"/>
        <v>-1</v>
      </c>
      <c r="J787" s="13">
        <f>SUMIFS(data!E:E,data!A:A,TABLEAU!B787,data!C:C,TABLEAU!D787,data!F:F,YEAR(Feuil1!$D$1))</f>
        <v>0</v>
      </c>
      <c r="K787" s="13">
        <f>SUMIFS(data!E:E,data!A:A,TABLEAU!B787,data!C:C,TABLEAU!D787,data!F:F,YEAR(Feuil1!$D$2))</f>
        <v>48</v>
      </c>
      <c r="L787" s="13">
        <f t="shared" si="50"/>
        <v>-48</v>
      </c>
      <c r="M787" s="12">
        <f t="shared" si="51"/>
        <v>-1</v>
      </c>
    </row>
    <row r="788" spans="1:13" x14ac:dyDescent="0.25">
      <c r="A788" s="17" t="str">
        <f>data!H1302</f>
        <v>VINICOM</v>
      </c>
      <c r="B788" s="15" t="str">
        <f>data!A1302</f>
        <v>124</v>
      </c>
      <c r="C788" s="1" t="str">
        <f>data!B1302</f>
        <v>CHATEAU BECHEREAU</v>
      </c>
      <c r="D788" s="1" t="str">
        <f>data!C1302</f>
        <v>124001</v>
      </c>
      <c r="E788" s="1" t="str">
        <f>data!D788</f>
        <v>AC CHINON SEC</v>
      </c>
      <c r="F788" s="14">
        <f>SUMIFS(data!G:G,data!A:A,TABLEAU!B788,data!C:C,TABLEAU!D788,data!F:F,YEAR(Feuil1!$D$1))</f>
        <v>12581.4</v>
      </c>
      <c r="G788" s="9">
        <f>SUMIFS(data!G:G,data!A:A,TABLEAU!B788,data!C:C,TABLEAU!D788,data!F:F,YEAR(Feuil1!$D$2))</f>
        <v>14066.8</v>
      </c>
      <c r="H788" s="9">
        <f t="shared" si="48"/>
        <v>-1485.3999999999996</v>
      </c>
      <c r="I788" s="12">
        <f t="shared" si="49"/>
        <v>-0.10559615548667783</v>
      </c>
      <c r="J788" s="13">
        <f>SUMIFS(data!E:E,data!A:A,TABLEAU!B788,data!C:C,TABLEAU!D788,data!F:F,YEAR(Feuil1!$D$1))</f>
        <v>2844</v>
      </c>
      <c r="K788" s="13">
        <f>SUMIFS(data!E:E,data!A:A,TABLEAU!B788,data!C:C,TABLEAU!D788,data!F:F,YEAR(Feuil1!$D$2))</f>
        <v>3204</v>
      </c>
      <c r="L788" s="13">
        <f t="shared" si="50"/>
        <v>-360</v>
      </c>
      <c r="M788" s="12">
        <f t="shared" si="51"/>
        <v>-0.11235955056179775</v>
      </c>
    </row>
    <row r="789" spans="1:13" x14ac:dyDescent="0.25">
      <c r="A789" s="17" t="str">
        <f>data!H1304</f>
        <v>VINICOM</v>
      </c>
      <c r="B789" s="15" t="str">
        <f>data!A1304</f>
        <v>124</v>
      </c>
      <c r="C789" s="1" t="str">
        <f>data!B1304</f>
        <v>CHATEAU BECHEREAU</v>
      </c>
      <c r="D789" s="1" t="str">
        <f>data!C1304</f>
        <v>124002</v>
      </c>
      <c r="E789" s="1" t="str">
        <f>data!D789</f>
        <v>AC CHINON SEC</v>
      </c>
      <c r="F789" s="14">
        <f>SUMIFS(data!G:G,data!A:A,TABLEAU!B789,data!C:C,TABLEAU!D789,data!F:F,YEAR(Feuil1!$D$1))</f>
        <v>4116</v>
      </c>
      <c r="G789" s="9">
        <f>SUMIFS(data!G:G,data!A:A,TABLEAU!B789,data!C:C,TABLEAU!D789,data!F:F,YEAR(Feuil1!$D$2))</f>
        <v>6240</v>
      </c>
      <c r="H789" s="9">
        <f t="shared" si="48"/>
        <v>-2124</v>
      </c>
      <c r="I789" s="12">
        <f t="shared" si="49"/>
        <v>-0.3403846153846154</v>
      </c>
      <c r="J789" s="13">
        <f>SUMIFS(data!E:E,data!A:A,TABLEAU!B789,data!C:C,TABLEAU!D789,data!F:F,YEAR(Feuil1!$D$1))</f>
        <v>1254</v>
      </c>
      <c r="K789" s="13">
        <f>SUMIFS(data!E:E,data!A:A,TABLEAU!B789,data!C:C,TABLEAU!D789,data!F:F,YEAR(Feuil1!$D$2))</f>
        <v>1962</v>
      </c>
      <c r="L789" s="13">
        <f t="shared" si="50"/>
        <v>-708</v>
      </c>
      <c r="M789" s="12">
        <f t="shared" si="51"/>
        <v>-0.36085626911314983</v>
      </c>
    </row>
    <row r="790" spans="1:13" x14ac:dyDescent="0.25">
      <c r="A790" s="17" t="str">
        <f>data!H1306</f>
        <v>VINICOM</v>
      </c>
      <c r="B790" s="15" t="str">
        <f>data!A1306</f>
        <v>124</v>
      </c>
      <c r="C790" s="1" t="str">
        <f>data!B1306</f>
        <v>CHATEAU BECHEREAU</v>
      </c>
      <c r="D790" s="1" t="str">
        <f>data!C1306</f>
        <v>124005CB</v>
      </c>
      <c r="E790" s="1" t="str">
        <f>data!D790</f>
        <v>JM. RAFFAULT AC CHINON SEC</v>
      </c>
      <c r="F790" s="14">
        <f>SUMIFS(data!G:G,data!A:A,TABLEAU!B790,data!C:C,TABLEAU!D790,data!F:F,YEAR(Feuil1!$D$1))</f>
        <v>1022.4</v>
      </c>
      <c r="G790" s="9">
        <f>SUMIFS(data!G:G,data!A:A,TABLEAU!B790,data!C:C,TABLEAU!D790,data!F:F,YEAR(Feuil1!$D$2))</f>
        <v>667.8</v>
      </c>
      <c r="H790" s="9">
        <f t="shared" si="48"/>
        <v>354.6</v>
      </c>
      <c r="I790" s="12">
        <f t="shared" si="49"/>
        <v>0.53099730458221028</v>
      </c>
      <c r="J790" s="13">
        <f>SUMIFS(data!E:E,data!A:A,TABLEAU!B790,data!C:C,TABLEAU!D790,data!F:F,YEAR(Feuil1!$D$1))</f>
        <v>168</v>
      </c>
      <c r="K790" s="13">
        <f>SUMIFS(data!E:E,data!A:A,TABLEAU!B790,data!C:C,TABLEAU!D790,data!F:F,YEAR(Feuil1!$D$2))</f>
        <v>108</v>
      </c>
      <c r="L790" s="13">
        <f t="shared" si="50"/>
        <v>60</v>
      </c>
      <c r="M790" s="12">
        <f t="shared" si="51"/>
        <v>0.55555555555555558</v>
      </c>
    </row>
    <row r="791" spans="1:13" x14ac:dyDescent="0.25">
      <c r="A791" s="17" t="str">
        <f>data!H1308</f>
        <v>VINICOM</v>
      </c>
      <c r="B791" s="15" t="str">
        <f>data!A1308</f>
        <v>124</v>
      </c>
      <c r="C791" s="1" t="str">
        <f>data!B1308</f>
        <v>CHATEAU BECHEREAU</v>
      </c>
      <c r="D791" s="1" t="str">
        <f>data!C1308</f>
        <v>124010</v>
      </c>
      <c r="E791" s="1" t="str">
        <f>data!D791</f>
        <v>JM. RAFFAULT AC CHINON SEC</v>
      </c>
      <c r="F791" s="14">
        <f>SUMIFS(data!G:G,data!A:A,TABLEAU!B791,data!C:C,TABLEAU!D791,data!F:F,YEAR(Feuil1!$D$1))</f>
        <v>7011.4</v>
      </c>
      <c r="G791" s="9">
        <f>SUMIFS(data!G:G,data!A:A,TABLEAU!B791,data!C:C,TABLEAU!D791,data!F:F,YEAR(Feuil1!$D$2))</f>
        <v>9597.6</v>
      </c>
      <c r="H791" s="9">
        <f t="shared" si="48"/>
        <v>-2586.2000000000007</v>
      </c>
      <c r="I791" s="12">
        <f t="shared" si="49"/>
        <v>-0.26946319913311667</v>
      </c>
      <c r="J791" s="13">
        <f>SUMIFS(data!E:E,data!A:A,TABLEAU!B791,data!C:C,TABLEAU!D791,data!F:F,YEAR(Feuil1!$D$1))</f>
        <v>1140</v>
      </c>
      <c r="K791" s="13">
        <f>SUMIFS(data!E:E,data!A:A,TABLEAU!B791,data!C:C,TABLEAU!D791,data!F:F,YEAR(Feuil1!$D$2))</f>
        <v>1554</v>
      </c>
      <c r="L791" s="13">
        <f t="shared" si="50"/>
        <v>-414</v>
      </c>
      <c r="M791" s="12">
        <f t="shared" si="51"/>
        <v>-0.26640926640926643</v>
      </c>
    </row>
    <row r="792" spans="1:13" x14ac:dyDescent="0.25">
      <c r="A792" s="17" t="str">
        <f>data!H1310</f>
        <v>VINICOM</v>
      </c>
      <c r="B792" s="15" t="str">
        <f>data!A1310</f>
        <v>124</v>
      </c>
      <c r="C792" s="1" t="str">
        <f>data!B1310</f>
        <v>CHATEAU BECHEREAU</v>
      </c>
      <c r="D792" s="1" t="str">
        <f>data!C1310</f>
        <v>CDV124011</v>
      </c>
      <c r="E792" s="1" t="str">
        <f>data!D792</f>
        <v>VIGNERONS ALGLY AC MUSCAT DE RIVESALTES</v>
      </c>
      <c r="F792" s="14">
        <f>SUMIFS(data!G:G,data!A:A,TABLEAU!B792,data!C:C,TABLEAU!D792,data!F:F,YEAR(Feuil1!$D$1))</f>
        <v>0</v>
      </c>
      <c r="G792" s="9">
        <f>SUMIFS(data!G:G,data!A:A,TABLEAU!B792,data!C:C,TABLEAU!D792,data!F:F,YEAR(Feuil1!$D$2))</f>
        <v>31</v>
      </c>
      <c r="H792" s="9">
        <f t="shared" si="48"/>
        <v>-31</v>
      </c>
      <c r="I792" s="12">
        <f t="shared" si="49"/>
        <v>-1</v>
      </c>
      <c r="J792" s="13">
        <f>SUMIFS(data!E:E,data!A:A,TABLEAU!B792,data!C:C,TABLEAU!D792,data!F:F,YEAR(Feuil1!$D$1))</f>
        <v>0</v>
      </c>
      <c r="K792" s="13">
        <f>SUMIFS(data!E:E,data!A:A,TABLEAU!B792,data!C:C,TABLEAU!D792,data!F:F,YEAR(Feuil1!$D$2))</f>
        <v>5</v>
      </c>
      <c r="L792" s="13">
        <f t="shared" si="50"/>
        <v>-5</v>
      </c>
      <c r="M792" s="12">
        <f t="shared" si="51"/>
        <v>-1</v>
      </c>
    </row>
    <row r="793" spans="1:13" x14ac:dyDescent="0.25">
      <c r="A793" s="17" t="str">
        <f>data!H1311</f>
        <v>VINICOM</v>
      </c>
      <c r="B793" s="15" t="str">
        <f>data!A1311</f>
        <v>134</v>
      </c>
      <c r="C793" s="1" t="str">
        <f>data!B1311</f>
        <v>DOMAINE GALEVAN</v>
      </c>
      <c r="D793" s="1" t="str">
        <f>data!C1311</f>
        <v>134001</v>
      </c>
      <c r="E793" s="1" t="str">
        <f>data!D793</f>
        <v>VIGNERONS ALGLY AC MUSCAT DE RIVESALTES</v>
      </c>
      <c r="F793" s="14">
        <f>SUMIFS(data!G:G,data!A:A,TABLEAU!B793,data!C:C,TABLEAU!D793,data!F:F,YEAR(Feuil1!$D$1))</f>
        <v>0</v>
      </c>
      <c r="G793" s="9">
        <f>SUMIFS(data!G:G,data!A:A,TABLEAU!B793,data!C:C,TABLEAU!D793,data!F:F,YEAR(Feuil1!$D$2))</f>
        <v>7752.54</v>
      </c>
      <c r="H793" s="9">
        <f t="shared" si="48"/>
        <v>-7752.54</v>
      </c>
      <c r="I793" s="12">
        <f t="shared" si="49"/>
        <v>-1</v>
      </c>
      <c r="J793" s="13">
        <f>SUMIFS(data!E:E,data!A:A,TABLEAU!B793,data!C:C,TABLEAU!D793,data!F:F,YEAR(Feuil1!$D$1))</f>
        <v>0</v>
      </c>
      <c r="K793" s="13">
        <f>SUMIFS(data!E:E,data!A:A,TABLEAU!B793,data!C:C,TABLEAU!D793,data!F:F,YEAR(Feuil1!$D$2))</f>
        <v>4998.75</v>
      </c>
      <c r="L793" s="13">
        <f t="shared" si="50"/>
        <v>-4998.75</v>
      </c>
      <c r="M793" s="12">
        <f t="shared" si="51"/>
        <v>-1</v>
      </c>
    </row>
    <row r="794" spans="1:13" x14ac:dyDescent="0.25">
      <c r="A794" s="17" t="str">
        <f>data!H1312</f>
        <v>VINICOM</v>
      </c>
      <c r="B794" s="15" t="str">
        <f>data!A1312</f>
        <v>134</v>
      </c>
      <c r="C794" s="1" t="str">
        <f>data!B1312</f>
        <v>DOMAINE GALEVAN</v>
      </c>
      <c r="D794" s="1" t="str">
        <f>data!C1312</f>
        <v>134002</v>
      </c>
      <c r="E794" s="1" t="str">
        <f>data!D794</f>
        <v>VDP C.CATALANES SYRAH</v>
      </c>
      <c r="F794" s="14">
        <f>SUMIFS(data!G:G,data!A:A,TABLEAU!B794,data!C:C,TABLEAU!D794,data!F:F,YEAR(Feuil1!$D$1))</f>
        <v>0</v>
      </c>
      <c r="G794" s="9">
        <f>SUMIFS(data!G:G,data!A:A,TABLEAU!B794,data!C:C,TABLEAU!D794,data!F:F,YEAR(Feuil1!$D$2))</f>
        <v>7292.25</v>
      </c>
      <c r="H794" s="9">
        <f t="shared" si="48"/>
        <v>-7292.25</v>
      </c>
      <c r="I794" s="12">
        <f t="shared" si="49"/>
        <v>-1</v>
      </c>
      <c r="J794" s="13">
        <f>SUMIFS(data!E:E,data!A:A,TABLEAU!B794,data!C:C,TABLEAU!D794,data!F:F,YEAR(Feuil1!$D$1))</f>
        <v>0</v>
      </c>
      <c r="K794" s="13">
        <f>SUMIFS(data!E:E,data!A:A,TABLEAU!B794,data!C:C,TABLEAU!D794,data!F:F,YEAR(Feuil1!$D$2))</f>
        <v>4155.4100000000008</v>
      </c>
      <c r="L794" s="13">
        <f t="shared" si="50"/>
        <v>-4155.4100000000008</v>
      </c>
      <c r="M794" s="12">
        <f t="shared" si="51"/>
        <v>-1</v>
      </c>
    </row>
    <row r="795" spans="1:13" x14ac:dyDescent="0.25">
      <c r="A795" s="17" t="str">
        <f>data!H1313</f>
        <v>VINICOM</v>
      </c>
      <c r="B795" s="15" t="str">
        <f>data!A1313</f>
        <v>134</v>
      </c>
      <c r="C795" s="1" t="str">
        <f>data!B1313</f>
        <v>DOMAINE GALEVAN</v>
      </c>
      <c r="D795" s="1" t="str">
        <f>data!C1313</f>
        <v>134003</v>
      </c>
      <c r="E795" s="1" t="str">
        <f>data!D795</f>
        <v>VDP C. CATALANES SYRAH</v>
      </c>
      <c r="F795" s="14">
        <f>SUMIFS(data!G:G,data!A:A,TABLEAU!B795,data!C:C,TABLEAU!D795,data!F:F,YEAR(Feuil1!$D$1))</f>
        <v>68.040000000000006</v>
      </c>
      <c r="G795" s="9">
        <f>SUMIFS(data!G:G,data!A:A,TABLEAU!B795,data!C:C,TABLEAU!D795,data!F:F,YEAR(Feuil1!$D$2))</f>
        <v>0</v>
      </c>
      <c r="H795" s="9">
        <f t="shared" si="48"/>
        <v>68.040000000000006</v>
      </c>
      <c r="I795" s="12" t="str">
        <f t="shared" si="49"/>
        <v/>
      </c>
      <c r="J795" s="13">
        <f>SUMIFS(data!E:E,data!A:A,TABLEAU!B795,data!C:C,TABLEAU!D795,data!F:F,YEAR(Feuil1!$D$1))</f>
        <v>30</v>
      </c>
      <c r="K795" s="13">
        <f>SUMIFS(data!E:E,data!A:A,TABLEAU!B795,data!C:C,TABLEAU!D795,data!F:F,YEAR(Feuil1!$D$2))</f>
        <v>0</v>
      </c>
      <c r="L795" s="13">
        <f t="shared" si="50"/>
        <v>30</v>
      </c>
      <c r="M795" s="12" t="str">
        <f t="shared" si="51"/>
        <v/>
      </c>
    </row>
    <row r="796" spans="1:13" x14ac:dyDescent="0.25">
      <c r="A796" s="17" t="str">
        <f>data!H1314</f>
        <v>VINICOM</v>
      </c>
      <c r="B796" s="15" t="str">
        <f>data!A1314</f>
        <v>134</v>
      </c>
      <c r="C796" s="1" t="str">
        <f>data!B1314</f>
        <v>DOMAINE GALEVAN</v>
      </c>
      <c r="D796" s="1" t="str">
        <f>data!C1314</f>
        <v>134004</v>
      </c>
      <c r="E796" s="1" t="str">
        <f>data!D796</f>
        <v>AC C.DU ROUSSILLON .MONTNER PREM</v>
      </c>
      <c r="F796" s="14">
        <f>SUMIFS(data!G:G,data!A:A,TABLEAU!B796,data!C:C,TABLEAU!D796,data!F:F,YEAR(Feuil1!$D$1))</f>
        <v>1790.64</v>
      </c>
      <c r="G796" s="9">
        <f>SUMIFS(data!G:G,data!A:A,TABLEAU!B796,data!C:C,TABLEAU!D796,data!F:F,YEAR(Feuil1!$D$2))</f>
        <v>1732.8</v>
      </c>
      <c r="H796" s="9">
        <f t="shared" si="48"/>
        <v>57.840000000000146</v>
      </c>
      <c r="I796" s="12">
        <f t="shared" si="49"/>
        <v>3.3379501385041636E-2</v>
      </c>
      <c r="J796" s="13">
        <f>SUMIFS(data!E:E,data!A:A,TABLEAU!B796,data!C:C,TABLEAU!D796,data!F:F,YEAR(Feuil1!$D$1))</f>
        <v>384</v>
      </c>
      <c r="K796" s="13">
        <f>SUMIFS(data!E:E,data!A:A,TABLEAU!B796,data!C:C,TABLEAU!D796,data!F:F,YEAR(Feuil1!$D$2))</f>
        <v>396</v>
      </c>
      <c r="L796" s="13">
        <f t="shared" si="50"/>
        <v>-12</v>
      </c>
      <c r="M796" s="12">
        <f t="shared" si="51"/>
        <v>-3.0303030303030304E-2</v>
      </c>
    </row>
    <row r="797" spans="1:13" x14ac:dyDescent="0.25">
      <c r="A797" s="17" t="str">
        <f>data!H1316</f>
        <v>VINICOM</v>
      </c>
      <c r="B797" s="15" t="str">
        <f>data!A1316</f>
        <v>134</v>
      </c>
      <c r="C797" s="1" t="str">
        <f>data!B1316</f>
        <v>DOMAINE GALEVAN</v>
      </c>
      <c r="D797" s="1" t="str">
        <f>data!C1316</f>
        <v>134005</v>
      </c>
      <c r="E797" s="1" t="str">
        <f>data!D797</f>
        <v>AC C.DU ROUSSILLON .MONTNER PREM</v>
      </c>
      <c r="F797" s="14">
        <f>SUMIFS(data!G:G,data!A:A,TABLEAU!B797,data!C:C,TABLEAU!D797,data!F:F,YEAR(Feuil1!$D$1))</f>
        <v>10259.34</v>
      </c>
      <c r="G797" s="9">
        <f>SUMIFS(data!G:G,data!A:A,TABLEAU!B797,data!C:C,TABLEAU!D797,data!F:F,YEAR(Feuil1!$D$2))</f>
        <v>12633.46</v>
      </c>
      <c r="H797" s="9">
        <f t="shared" si="48"/>
        <v>-2374.119999999999</v>
      </c>
      <c r="I797" s="12">
        <f t="shared" si="49"/>
        <v>-0.18792318177284759</v>
      </c>
      <c r="J797" s="13">
        <f>SUMIFS(data!E:E,data!A:A,TABLEAU!B797,data!C:C,TABLEAU!D797,data!F:F,YEAR(Feuil1!$D$1))</f>
        <v>2268</v>
      </c>
      <c r="K797" s="13">
        <f>SUMIFS(data!E:E,data!A:A,TABLEAU!B797,data!C:C,TABLEAU!D797,data!F:F,YEAR(Feuil1!$D$2))</f>
        <v>2934</v>
      </c>
      <c r="L797" s="13">
        <f t="shared" si="50"/>
        <v>-666</v>
      </c>
      <c r="M797" s="12">
        <f t="shared" si="51"/>
        <v>-0.22699386503067484</v>
      </c>
    </row>
    <row r="798" spans="1:13" x14ac:dyDescent="0.25">
      <c r="A798" s="17" t="str">
        <f>data!H1318</f>
        <v>VINICOM</v>
      </c>
      <c r="B798" s="15" t="str">
        <f>data!A1318</f>
        <v>134</v>
      </c>
      <c r="C798" s="1" t="str">
        <f>data!B1318</f>
        <v>DOMAINE GALEVAN</v>
      </c>
      <c r="D798" s="1" t="str">
        <f>data!C1318</f>
        <v>134007</v>
      </c>
      <c r="E798" s="1" t="str">
        <f>data!D798</f>
        <v>AC C.ROUSSILLON VILL ARAGO</v>
      </c>
      <c r="F798" s="14">
        <f>SUMIFS(data!G:G,data!A:A,TABLEAU!B798,data!C:C,TABLEAU!D798,data!F:F,YEAR(Feuil1!$D$1))</f>
        <v>1235.4000000000001</v>
      </c>
      <c r="G798" s="9">
        <f>SUMIFS(data!G:G,data!A:A,TABLEAU!B798,data!C:C,TABLEAU!D798,data!F:F,YEAR(Feuil1!$D$2))</f>
        <v>2096.4</v>
      </c>
      <c r="H798" s="9">
        <f t="shared" si="48"/>
        <v>-861</v>
      </c>
      <c r="I798" s="12">
        <f t="shared" si="49"/>
        <v>-0.41070406410990268</v>
      </c>
      <c r="J798" s="13">
        <f>SUMIFS(data!E:E,data!A:A,TABLEAU!B798,data!C:C,TABLEAU!D798,data!F:F,YEAR(Feuil1!$D$1))</f>
        <v>84</v>
      </c>
      <c r="K798" s="13">
        <f>SUMIFS(data!E:E,data!A:A,TABLEAU!B798,data!C:C,TABLEAU!D798,data!F:F,YEAR(Feuil1!$D$2))</f>
        <v>150</v>
      </c>
      <c r="L798" s="13">
        <f t="shared" si="50"/>
        <v>-66</v>
      </c>
      <c r="M798" s="12">
        <f t="shared" si="51"/>
        <v>-0.44</v>
      </c>
    </row>
    <row r="799" spans="1:13" x14ac:dyDescent="0.25">
      <c r="A799" s="17" t="str">
        <f>data!H1320</f>
        <v>VINICOM</v>
      </c>
      <c r="B799" s="15" t="str">
        <f>data!A1320</f>
        <v>134</v>
      </c>
      <c r="C799" s="1" t="str">
        <f>data!B1320</f>
        <v>DOMAINE GALEVAN</v>
      </c>
      <c r="D799" s="1" t="str">
        <f>data!C1320</f>
        <v>134008</v>
      </c>
      <c r="E799" s="1" t="str">
        <f>data!D799</f>
        <v>AC C.ROUSSILLON VILL ARAGO</v>
      </c>
      <c r="F799" s="14">
        <f>SUMIFS(data!G:G,data!A:A,TABLEAU!B799,data!C:C,TABLEAU!D799,data!F:F,YEAR(Feuil1!$D$1))</f>
        <v>415.68</v>
      </c>
      <c r="G799" s="9">
        <f>SUMIFS(data!G:G,data!A:A,TABLEAU!B799,data!C:C,TABLEAU!D799,data!F:F,YEAR(Feuil1!$D$2))</f>
        <v>602.64</v>
      </c>
      <c r="H799" s="9">
        <f t="shared" si="48"/>
        <v>-186.95999999999998</v>
      </c>
      <c r="I799" s="12">
        <f t="shared" si="49"/>
        <v>-0.31023496614894464</v>
      </c>
      <c r="J799" s="13">
        <f>SUMIFS(data!E:E,data!A:A,TABLEAU!B799,data!C:C,TABLEAU!D799,data!F:F,YEAR(Feuil1!$D$1))</f>
        <v>30</v>
      </c>
      <c r="K799" s="13">
        <f>SUMIFS(data!E:E,data!A:A,TABLEAU!B799,data!C:C,TABLEAU!D799,data!F:F,YEAR(Feuil1!$D$2))</f>
        <v>36</v>
      </c>
      <c r="L799" s="13">
        <f t="shared" si="50"/>
        <v>-6</v>
      </c>
      <c r="M799" s="12">
        <f t="shared" si="51"/>
        <v>-0.16666666666666666</v>
      </c>
    </row>
    <row r="800" spans="1:13" x14ac:dyDescent="0.25">
      <c r="A800" s="17" t="str">
        <f>data!H1322</f>
        <v>VINICOM</v>
      </c>
      <c r="B800" s="15" t="str">
        <f>data!A1322</f>
        <v>134</v>
      </c>
      <c r="C800" s="1" t="str">
        <f>data!B1322</f>
        <v>DOMAINE GALEVAN</v>
      </c>
      <c r="D800" s="1" t="str">
        <f>data!C1322</f>
        <v>CDV134002</v>
      </c>
      <c r="E800" s="1" t="str">
        <f>data!D800</f>
        <v>AC C. ROUSSILLON N D LAVAL</v>
      </c>
      <c r="F800" s="14">
        <f>SUMIFS(data!G:G,data!A:A,TABLEAU!B800,data!C:C,TABLEAU!D800,data!F:F,YEAR(Feuil1!$D$1))</f>
        <v>0</v>
      </c>
      <c r="G800" s="9">
        <f>SUMIFS(data!G:G,data!A:A,TABLEAU!B800,data!C:C,TABLEAU!D800,data!F:F,YEAR(Feuil1!$D$2))</f>
        <v>0</v>
      </c>
      <c r="H800" s="9">
        <f t="shared" si="48"/>
        <v>0</v>
      </c>
      <c r="I800" s="12" t="str">
        <f t="shared" si="49"/>
        <v/>
      </c>
      <c r="J800" s="13">
        <f>SUMIFS(data!E:E,data!A:A,TABLEAU!B800,data!C:C,TABLEAU!D800,data!F:F,YEAR(Feuil1!$D$1))</f>
        <v>0</v>
      </c>
      <c r="K800" s="13">
        <f>SUMIFS(data!E:E,data!A:A,TABLEAU!B800,data!C:C,TABLEAU!D800,data!F:F,YEAR(Feuil1!$D$2))</f>
        <v>33.35</v>
      </c>
      <c r="L800" s="13">
        <f t="shared" si="50"/>
        <v>-33.35</v>
      </c>
      <c r="M800" s="12">
        <f t="shared" si="51"/>
        <v>-1</v>
      </c>
    </row>
    <row r="801" spans="1:13" x14ac:dyDescent="0.25">
      <c r="A801" s="17" t="str">
        <f>data!H1323</f>
        <v>VINICOM</v>
      </c>
      <c r="B801" s="15" t="str">
        <f>data!A1323</f>
        <v>134</v>
      </c>
      <c r="C801" s="1" t="str">
        <f>data!B1323</f>
        <v>DOMAINE GALEVAN</v>
      </c>
      <c r="D801" s="1" t="str">
        <f>data!C1323</f>
        <v>CDV134007</v>
      </c>
      <c r="E801" s="1" t="str">
        <f>data!D801</f>
        <v>AC C. ROUSSILLON N D LAVAL</v>
      </c>
      <c r="F801" s="14">
        <f>SUMIFS(data!G:G,data!A:A,TABLEAU!B801,data!C:C,TABLEAU!D801,data!F:F,YEAR(Feuil1!$D$1))</f>
        <v>0</v>
      </c>
      <c r="G801" s="9">
        <f>SUMIFS(data!G:G,data!A:A,TABLEAU!B801,data!C:C,TABLEAU!D801,data!F:F,YEAR(Feuil1!$D$2))</f>
        <v>702</v>
      </c>
      <c r="H801" s="9">
        <f t="shared" si="48"/>
        <v>-702</v>
      </c>
      <c r="I801" s="12">
        <f t="shared" si="49"/>
        <v>-1</v>
      </c>
      <c r="J801" s="13">
        <f>SUMIFS(data!E:E,data!A:A,TABLEAU!B801,data!C:C,TABLEAU!D801,data!F:F,YEAR(Feuil1!$D$1))</f>
        <v>0</v>
      </c>
      <c r="K801" s="13">
        <f>SUMIFS(data!E:E,data!A:A,TABLEAU!B801,data!C:C,TABLEAU!D801,data!F:F,YEAR(Feuil1!$D$2))</f>
        <v>36</v>
      </c>
      <c r="L801" s="13">
        <f t="shared" si="50"/>
        <v>-36</v>
      </c>
      <c r="M801" s="12">
        <f t="shared" si="51"/>
        <v>-1</v>
      </c>
    </row>
    <row r="802" spans="1:13" x14ac:dyDescent="0.25">
      <c r="A802" s="17" t="str">
        <f>data!H1324</f>
        <v>VINICOM</v>
      </c>
      <c r="B802" s="15" t="str">
        <f>data!A1324</f>
        <v>134</v>
      </c>
      <c r="C802" s="1" t="str">
        <f>data!B1324</f>
        <v>DOMAINE GALEVAN</v>
      </c>
      <c r="D802" s="1" t="str">
        <f>data!C1324</f>
        <v>CDV134500</v>
      </c>
      <c r="E802" s="1" t="str">
        <f>data!D802</f>
        <v>VDN MAURY</v>
      </c>
      <c r="F802" s="14">
        <f>SUMIFS(data!G:G,data!A:A,TABLEAU!B802,data!C:C,TABLEAU!D802,data!F:F,YEAR(Feuil1!$D$1))</f>
        <v>0</v>
      </c>
      <c r="G802" s="9">
        <f>SUMIFS(data!G:G,data!A:A,TABLEAU!B802,data!C:C,TABLEAU!D802,data!F:F,YEAR(Feuil1!$D$2))</f>
        <v>119.7</v>
      </c>
      <c r="H802" s="9">
        <f t="shared" si="48"/>
        <v>-119.7</v>
      </c>
      <c r="I802" s="12">
        <f t="shared" si="49"/>
        <v>-1</v>
      </c>
      <c r="J802" s="13">
        <f>SUMIFS(data!E:E,data!A:A,TABLEAU!B802,data!C:C,TABLEAU!D802,data!F:F,YEAR(Feuil1!$D$1))</f>
        <v>0</v>
      </c>
      <c r="K802" s="13">
        <f>SUMIFS(data!E:E,data!A:A,TABLEAU!B802,data!C:C,TABLEAU!D802,data!F:F,YEAR(Feuil1!$D$2))</f>
        <v>18</v>
      </c>
      <c r="L802" s="13">
        <f t="shared" si="50"/>
        <v>-18</v>
      </c>
      <c r="M802" s="12">
        <f t="shared" si="51"/>
        <v>-1</v>
      </c>
    </row>
    <row r="803" spans="1:13" x14ac:dyDescent="0.25">
      <c r="A803" s="17" t="str">
        <f>data!H1325</f>
        <v>VINICOM</v>
      </c>
      <c r="B803" s="15" t="str">
        <f>data!A1325</f>
        <v>137</v>
      </c>
      <c r="C803" s="1" t="str">
        <f>data!B1325</f>
        <v>CHATEAU MAS DES CABRES</v>
      </c>
      <c r="D803" s="1" t="str">
        <f>data!C1325</f>
        <v>137001</v>
      </c>
      <c r="E803" s="1" t="str">
        <f>data!D803</f>
        <v>VDN MAURY</v>
      </c>
      <c r="F803" s="14">
        <f>SUMIFS(data!G:G,data!A:A,TABLEAU!B803,data!C:C,TABLEAU!D803,data!F:F,YEAR(Feuil1!$D$1))</f>
        <v>13641.8</v>
      </c>
      <c r="G803" s="9">
        <f>SUMIFS(data!G:G,data!A:A,TABLEAU!B803,data!C:C,TABLEAU!D803,data!F:F,YEAR(Feuil1!$D$2))</f>
        <v>10581.3</v>
      </c>
      <c r="H803" s="9">
        <f t="shared" si="48"/>
        <v>3060.5</v>
      </c>
      <c r="I803" s="12">
        <f t="shared" si="49"/>
        <v>0.28923667224254113</v>
      </c>
      <c r="J803" s="13">
        <f>SUMIFS(data!E:E,data!A:A,TABLEAU!B803,data!C:C,TABLEAU!D803,data!F:F,YEAR(Feuil1!$D$1))</f>
        <v>4950</v>
      </c>
      <c r="K803" s="13">
        <f>SUMIFS(data!E:E,data!A:A,TABLEAU!B803,data!C:C,TABLEAU!D803,data!F:F,YEAR(Feuil1!$D$2))</f>
        <v>4080</v>
      </c>
      <c r="L803" s="13">
        <f t="shared" si="50"/>
        <v>870</v>
      </c>
      <c r="M803" s="12">
        <f t="shared" si="51"/>
        <v>0.21323529411764705</v>
      </c>
    </row>
    <row r="804" spans="1:13" x14ac:dyDescent="0.25">
      <c r="A804" s="17" t="str">
        <f>data!H1327</f>
        <v>VINICOM</v>
      </c>
      <c r="B804" s="15" t="str">
        <f>data!A1327</f>
        <v>137</v>
      </c>
      <c r="C804" s="1" t="str">
        <f>data!B1327</f>
        <v>CHATEAU MAS DES CABRES</v>
      </c>
      <c r="D804" s="1" t="str">
        <f>data!C1327</f>
        <v>137003</v>
      </c>
      <c r="E804" s="1" t="str">
        <f>data!D804</f>
        <v>VDN MUSCAT DE RIVESALTES</v>
      </c>
      <c r="F804" s="14">
        <f>SUMIFS(data!G:G,data!A:A,TABLEAU!B804,data!C:C,TABLEAU!D804,data!F:F,YEAR(Feuil1!$D$1))</f>
        <v>1748.7</v>
      </c>
      <c r="G804" s="9">
        <f>SUMIFS(data!G:G,data!A:A,TABLEAU!B804,data!C:C,TABLEAU!D804,data!F:F,YEAR(Feuil1!$D$2))</f>
        <v>1954.2</v>
      </c>
      <c r="H804" s="9">
        <f t="shared" si="48"/>
        <v>-205.5</v>
      </c>
      <c r="I804" s="12">
        <f t="shared" si="49"/>
        <v>-0.10515812097021798</v>
      </c>
      <c r="J804" s="13">
        <f>SUMIFS(data!E:E,data!A:A,TABLEAU!B804,data!C:C,TABLEAU!D804,data!F:F,YEAR(Feuil1!$D$1))</f>
        <v>612</v>
      </c>
      <c r="K804" s="13">
        <f>SUMIFS(data!E:E,data!A:A,TABLEAU!B804,data!C:C,TABLEAU!D804,data!F:F,YEAR(Feuil1!$D$2))</f>
        <v>420</v>
      </c>
      <c r="L804" s="13">
        <f t="shared" si="50"/>
        <v>192</v>
      </c>
      <c r="M804" s="12">
        <f t="shared" si="51"/>
        <v>0.45714285714285713</v>
      </c>
    </row>
    <row r="805" spans="1:13" x14ac:dyDescent="0.25">
      <c r="A805" s="17" t="str">
        <f>data!H1329</f>
        <v>VINICOM</v>
      </c>
      <c r="B805" s="15" t="str">
        <f>data!A1329</f>
        <v>137</v>
      </c>
      <c r="C805" s="1" t="str">
        <f>data!B1329</f>
        <v>CHATEAU MAS DES CABRES</v>
      </c>
      <c r="D805" s="1" t="str">
        <f>data!C1329</f>
        <v>137004</v>
      </c>
      <c r="E805" s="1" t="str">
        <f>data!D805</f>
        <v>VDN MUSCAT DE RIVESALTES</v>
      </c>
      <c r="F805" s="14">
        <f>SUMIFS(data!G:G,data!A:A,TABLEAU!B805,data!C:C,TABLEAU!D805,data!F:F,YEAR(Feuil1!$D$1))</f>
        <v>0</v>
      </c>
      <c r="G805" s="9">
        <f>SUMIFS(data!G:G,data!A:A,TABLEAU!B805,data!C:C,TABLEAU!D805,data!F:F,YEAR(Feuil1!$D$2))</f>
        <v>0</v>
      </c>
      <c r="H805" s="9">
        <f t="shared" si="48"/>
        <v>0</v>
      </c>
      <c r="I805" s="12" t="str">
        <f t="shared" si="49"/>
        <v/>
      </c>
      <c r="J805" s="13">
        <f>SUMIFS(data!E:E,data!A:A,TABLEAU!B805,data!C:C,TABLEAU!D805,data!F:F,YEAR(Feuil1!$D$1))</f>
        <v>96</v>
      </c>
      <c r="K805" s="13">
        <f>SUMIFS(data!E:E,data!A:A,TABLEAU!B805,data!C:C,TABLEAU!D805,data!F:F,YEAR(Feuil1!$D$2))</f>
        <v>186</v>
      </c>
      <c r="L805" s="13">
        <f t="shared" si="50"/>
        <v>-90</v>
      </c>
      <c r="M805" s="12">
        <f t="shared" si="51"/>
        <v>-0.4838709677419355</v>
      </c>
    </row>
    <row r="806" spans="1:13" x14ac:dyDescent="0.25">
      <c r="A806" s="17" t="str">
        <f>data!H1331</f>
        <v>VINICOM</v>
      </c>
      <c r="B806" s="15" t="str">
        <f>data!A1331</f>
        <v>137</v>
      </c>
      <c r="C806" s="1" t="str">
        <f>data!B1331</f>
        <v>CHATEAU MAS DES CABRES</v>
      </c>
      <c r="D806" s="1" t="str">
        <f>data!C1331</f>
        <v>CDV137001</v>
      </c>
      <c r="E806" s="1" t="str">
        <f>data!D806</f>
        <v>AOP COTES DE BOURG CH DE LA GRAVE GRAINS FINS</v>
      </c>
      <c r="F806" s="14">
        <f>SUMIFS(data!G:G,data!A:A,TABLEAU!B806,data!C:C,TABLEAU!D806,data!F:F,YEAR(Feuil1!$D$1))</f>
        <v>0</v>
      </c>
      <c r="G806" s="9">
        <f>SUMIFS(data!G:G,data!A:A,TABLEAU!B806,data!C:C,TABLEAU!D806,data!F:F,YEAR(Feuil1!$D$2))</f>
        <v>86.4</v>
      </c>
      <c r="H806" s="9">
        <f t="shared" si="48"/>
        <v>-86.4</v>
      </c>
      <c r="I806" s="12">
        <f t="shared" si="49"/>
        <v>-1</v>
      </c>
      <c r="J806" s="13">
        <f>SUMIFS(data!E:E,data!A:A,TABLEAU!B806,data!C:C,TABLEAU!D806,data!F:F,YEAR(Feuil1!$D$1))</f>
        <v>0</v>
      </c>
      <c r="K806" s="13">
        <f>SUMIFS(data!E:E,data!A:A,TABLEAU!B806,data!C:C,TABLEAU!D806,data!F:F,YEAR(Feuil1!$D$2))</f>
        <v>36</v>
      </c>
      <c r="L806" s="13">
        <f t="shared" si="50"/>
        <v>-36</v>
      </c>
      <c r="M806" s="12">
        <f t="shared" si="51"/>
        <v>-1</v>
      </c>
    </row>
    <row r="807" spans="1:13" x14ac:dyDescent="0.25">
      <c r="A807" s="17" t="str">
        <f>data!H1332</f>
        <v>VINICOM</v>
      </c>
      <c r="B807" s="15" t="str">
        <f>data!A1332</f>
        <v>140</v>
      </c>
      <c r="C807" s="1" t="str">
        <f>data!B1332</f>
        <v>PHILIPPE GAULTIER</v>
      </c>
      <c r="D807" s="1" t="str">
        <f>data!C1332</f>
        <v>140001</v>
      </c>
      <c r="E807" s="1" t="str">
        <f>data!D807</f>
        <v>AOP COTES DE BOURG CH DE LA GRAVE GRAINS FINS</v>
      </c>
      <c r="F807" s="14">
        <f>SUMIFS(data!G:G,data!A:A,TABLEAU!B807,data!C:C,TABLEAU!D807,data!F:F,YEAR(Feuil1!$D$1))</f>
        <v>8100</v>
      </c>
      <c r="G807" s="9">
        <f>SUMIFS(data!G:G,data!A:A,TABLEAU!B807,data!C:C,TABLEAU!D807,data!F:F,YEAR(Feuil1!$D$2))</f>
        <v>9990</v>
      </c>
      <c r="H807" s="9">
        <f t="shared" si="48"/>
        <v>-1890</v>
      </c>
      <c r="I807" s="12">
        <f t="shared" si="49"/>
        <v>-0.1891891891891892</v>
      </c>
      <c r="J807" s="13">
        <f>SUMIFS(data!E:E,data!A:A,TABLEAU!B807,data!C:C,TABLEAU!D807,data!F:F,YEAR(Feuil1!$D$1))</f>
        <v>1902</v>
      </c>
      <c r="K807" s="13">
        <f>SUMIFS(data!E:E,data!A:A,TABLEAU!B807,data!C:C,TABLEAU!D807,data!F:F,YEAR(Feuil1!$D$2))</f>
        <v>2400</v>
      </c>
      <c r="L807" s="13">
        <f t="shared" si="50"/>
        <v>-498</v>
      </c>
      <c r="M807" s="12">
        <f t="shared" si="51"/>
        <v>-0.20749999999999999</v>
      </c>
    </row>
    <row r="808" spans="1:13" x14ac:dyDescent="0.25">
      <c r="A808" s="17" t="str">
        <f>data!H1334</f>
        <v>VINICOM</v>
      </c>
      <c r="B808" s="15" t="str">
        <f>data!A1334</f>
        <v>143</v>
      </c>
      <c r="C808" s="1" t="str">
        <f>data!B1334</f>
        <v>DOMAINE DE VILLARGEAU</v>
      </c>
      <c r="D808" s="1" t="str">
        <f>data!C1334</f>
        <v>143001</v>
      </c>
      <c r="E808" s="1" t="str">
        <f>data!D808</f>
        <v>AC COTES DE BOURG CHATEAU DE LA GRAVE</v>
      </c>
      <c r="F808" s="14">
        <f>SUMIFS(data!G:G,data!A:A,TABLEAU!B808,data!C:C,TABLEAU!D808,data!F:F,YEAR(Feuil1!$D$1))</f>
        <v>1331</v>
      </c>
      <c r="G808" s="9">
        <f>SUMIFS(data!G:G,data!A:A,TABLEAU!B808,data!C:C,TABLEAU!D808,data!F:F,YEAR(Feuil1!$D$2))</f>
        <v>3288</v>
      </c>
      <c r="H808" s="9">
        <f t="shared" si="48"/>
        <v>-1957</v>
      </c>
      <c r="I808" s="12">
        <f t="shared" si="49"/>
        <v>-0.59519464720194648</v>
      </c>
      <c r="J808" s="13">
        <f>SUMIFS(data!E:E,data!A:A,TABLEAU!B808,data!C:C,TABLEAU!D808,data!F:F,YEAR(Feuil1!$D$1))</f>
        <v>342</v>
      </c>
      <c r="K808" s="13">
        <f>SUMIFS(data!E:E,data!A:A,TABLEAU!B808,data!C:C,TABLEAU!D808,data!F:F,YEAR(Feuil1!$D$2))</f>
        <v>852</v>
      </c>
      <c r="L808" s="13">
        <f t="shared" si="50"/>
        <v>-510</v>
      </c>
      <c r="M808" s="12">
        <f t="shared" si="51"/>
        <v>-0.59859154929577463</v>
      </c>
    </row>
    <row r="809" spans="1:13" x14ac:dyDescent="0.25">
      <c r="A809" s="17" t="str">
        <f>data!H1336</f>
        <v>VINICOM</v>
      </c>
      <c r="B809" s="15" t="str">
        <f>data!A1336</f>
        <v>143</v>
      </c>
      <c r="C809" s="1" t="str">
        <f>data!B1336</f>
        <v>DOMAINE DE VILLARGEAU</v>
      </c>
      <c r="D809" s="1" t="str">
        <f>data!C1336</f>
        <v>143002</v>
      </c>
      <c r="E809" s="1" t="str">
        <f>data!D809</f>
        <v>AC COTES DE BOURG CHATEAU DE LA GRAVE</v>
      </c>
      <c r="F809" s="14">
        <f>SUMIFS(data!G:G,data!A:A,TABLEAU!B809,data!C:C,TABLEAU!D809,data!F:F,YEAR(Feuil1!$D$1))</f>
        <v>3624.6</v>
      </c>
      <c r="G809" s="9">
        <f>SUMIFS(data!G:G,data!A:A,TABLEAU!B809,data!C:C,TABLEAU!D809,data!F:F,YEAR(Feuil1!$D$2))</f>
        <v>6710.4</v>
      </c>
      <c r="H809" s="9">
        <f t="shared" si="48"/>
        <v>-3085.7999999999997</v>
      </c>
      <c r="I809" s="12">
        <f t="shared" si="49"/>
        <v>-0.45985336194563659</v>
      </c>
      <c r="J809" s="13">
        <f>SUMIFS(data!E:E,data!A:A,TABLEAU!B809,data!C:C,TABLEAU!D809,data!F:F,YEAR(Feuil1!$D$1))</f>
        <v>918</v>
      </c>
      <c r="K809" s="13">
        <f>SUMIFS(data!E:E,data!A:A,TABLEAU!B809,data!C:C,TABLEAU!D809,data!F:F,YEAR(Feuil1!$D$2))</f>
        <v>1746</v>
      </c>
      <c r="L809" s="13">
        <f t="shared" si="50"/>
        <v>-828</v>
      </c>
      <c r="M809" s="12">
        <f t="shared" si="51"/>
        <v>-0.47422680412371132</v>
      </c>
    </row>
    <row r="810" spans="1:13" x14ac:dyDescent="0.25">
      <c r="A810" s="17" t="str">
        <f>data!H1338</f>
        <v>VINICOM</v>
      </c>
      <c r="B810" s="15" t="str">
        <f>data!A1338</f>
        <v>143</v>
      </c>
      <c r="C810" s="1" t="str">
        <f>data!B1338</f>
        <v>DOMAINE DE VILLARGEAU</v>
      </c>
      <c r="D810" s="1" t="str">
        <f>data!C1338</f>
        <v>143003</v>
      </c>
      <c r="E810" s="1" t="str">
        <f>data!D810</f>
        <v>AC COTES DE BOURG G DE LA GRAVE</v>
      </c>
      <c r="F810" s="14">
        <f>SUMIFS(data!G:G,data!A:A,TABLEAU!B810,data!C:C,TABLEAU!D810,data!F:F,YEAR(Feuil1!$D$1))</f>
        <v>277.2</v>
      </c>
      <c r="G810" s="9">
        <f>SUMIFS(data!G:G,data!A:A,TABLEAU!B810,data!C:C,TABLEAU!D810,data!F:F,YEAR(Feuil1!$D$2))</f>
        <v>1184.4000000000001</v>
      </c>
      <c r="H810" s="9">
        <f t="shared" si="48"/>
        <v>-907.2</v>
      </c>
      <c r="I810" s="12">
        <f t="shared" si="49"/>
        <v>-0.76595744680851063</v>
      </c>
      <c r="J810" s="13">
        <f>SUMIFS(data!E:E,data!A:A,TABLEAU!B810,data!C:C,TABLEAU!D810,data!F:F,YEAR(Feuil1!$D$1))</f>
        <v>72</v>
      </c>
      <c r="K810" s="13">
        <f>SUMIFS(data!E:E,data!A:A,TABLEAU!B810,data!C:C,TABLEAU!D810,data!F:F,YEAR(Feuil1!$D$2))</f>
        <v>300</v>
      </c>
      <c r="L810" s="13">
        <f t="shared" si="50"/>
        <v>-228</v>
      </c>
      <c r="M810" s="12">
        <f t="shared" si="51"/>
        <v>-0.76</v>
      </c>
    </row>
    <row r="811" spans="1:13" x14ac:dyDescent="0.25">
      <c r="A811" s="17" t="str">
        <f>data!H1340</f>
        <v>VINICOM</v>
      </c>
      <c r="B811" s="15" t="str">
        <f>data!A1340</f>
        <v>143</v>
      </c>
      <c r="C811" s="1" t="str">
        <f>data!B1340</f>
        <v>DOMAINE DE VILLARGEAU</v>
      </c>
      <c r="D811" s="1" t="str">
        <f>data!C1340</f>
        <v>CDV143003</v>
      </c>
      <c r="E811" s="1" t="str">
        <f>data!D811</f>
        <v>AC COTES DE BOURG G DE LA GRAVE</v>
      </c>
      <c r="F811" s="14">
        <f>SUMIFS(data!G:G,data!A:A,TABLEAU!B811,data!C:C,TABLEAU!D811,data!F:F,YEAR(Feuil1!$D$1))</f>
        <v>205.8</v>
      </c>
      <c r="G811" s="9">
        <f>SUMIFS(data!G:G,data!A:A,TABLEAU!B811,data!C:C,TABLEAU!D811,data!F:F,YEAR(Feuil1!$D$2))</f>
        <v>0</v>
      </c>
      <c r="H811" s="9">
        <f t="shared" si="48"/>
        <v>205.8</v>
      </c>
      <c r="I811" s="12" t="str">
        <f t="shared" si="49"/>
        <v/>
      </c>
      <c r="J811" s="13">
        <f>SUMIFS(data!E:E,data!A:A,TABLEAU!B811,data!C:C,TABLEAU!D811,data!F:F,YEAR(Feuil1!$D$1))</f>
        <v>60</v>
      </c>
      <c r="K811" s="13">
        <f>SUMIFS(data!E:E,data!A:A,TABLEAU!B811,data!C:C,TABLEAU!D811,data!F:F,YEAR(Feuil1!$D$2))</f>
        <v>8</v>
      </c>
      <c r="L811" s="13">
        <f t="shared" si="50"/>
        <v>52</v>
      </c>
      <c r="M811" s="12">
        <f t="shared" si="51"/>
        <v>6.5</v>
      </c>
    </row>
    <row r="812" spans="1:13" x14ac:dyDescent="0.25">
      <c r="A812" s="17" t="str">
        <f>data!H1342</f>
        <v>VINICOM</v>
      </c>
      <c r="B812" s="15" t="str">
        <f>data!A1342</f>
        <v>145</v>
      </c>
      <c r="C812" s="1" t="str">
        <f>data!B1342</f>
        <v>SC CHATEAU SIPIAN</v>
      </c>
      <c r="D812" s="1" t="str">
        <f>data!C1342</f>
        <v>145001</v>
      </c>
      <c r="E812" s="1" t="str">
        <f>data!D812</f>
        <v>AC COTES DE BOURG G DE LA GRAVE</v>
      </c>
      <c r="F812" s="14">
        <f>SUMIFS(data!G:G,data!A:A,TABLEAU!B812,data!C:C,TABLEAU!D812,data!F:F,YEAR(Feuil1!$D$1))</f>
        <v>0</v>
      </c>
      <c r="G812" s="9">
        <f>SUMIFS(data!G:G,data!A:A,TABLEAU!B812,data!C:C,TABLEAU!D812,data!F:F,YEAR(Feuil1!$D$2))</f>
        <v>521.4</v>
      </c>
      <c r="H812" s="9">
        <f t="shared" si="48"/>
        <v>-521.4</v>
      </c>
      <c r="I812" s="12">
        <f t="shared" si="49"/>
        <v>-1</v>
      </c>
      <c r="J812" s="13">
        <f>SUMIFS(data!E:E,data!A:A,TABLEAU!B812,data!C:C,TABLEAU!D812,data!F:F,YEAR(Feuil1!$D$1))</f>
        <v>0</v>
      </c>
      <c r="K812" s="13">
        <f>SUMIFS(data!E:E,data!A:A,TABLEAU!B812,data!C:C,TABLEAU!D812,data!F:F,YEAR(Feuil1!$D$2))</f>
        <v>132</v>
      </c>
      <c r="L812" s="13">
        <f t="shared" si="50"/>
        <v>-132</v>
      </c>
      <c r="M812" s="12">
        <f t="shared" si="51"/>
        <v>-1</v>
      </c>
    </row>
    <row r="813" spans="1:13" x14ac:dyDescent="0.25">
      <c r="A813" s="17" t="str">
        <f>data!H1343</f>
        <v>VINICOM</v>
      </c>
      <c r="B813" s="15" t="str">
        <f>data!A1343</f>
        <v>145</v>
      </c>
      <c r="C813" s="1" t="str">
        <f>data!B1343</f>
        <v>SC CHATEAU SIPIAN</v>
      </c>
      <c r="D813" s="1" t="str">
        <f>data!C1343</f>
        <v>145003</v>
      </c>
      <c r="E813" s="1" t="str">
        <f>data!D813</f>
        <v>AC COTES DE BOURG G DE LA GRAVE</v>
      </c>
      <c r="F813" s="14">
        <f>SUMIFS(data!G:G,data!A:A,TABLEAU!B813,data!C:C,TABLEAU!D813,data!F:F,YEAR(Feuil1!$D$1))</f>
        <v>0</v>
      </c>
      <c r="G813" s="9">
        <f>SUMIFS(data!G:G,data!A:A,TABLEAU!B813,data!C:C,TABLEAU!D813,data!F:F,YEAR(Feuil1!$D$2))</f>
        <v>398.4</v>
      </c>
      <c r="H813" s="9">
        <f t="shared" si="48"/>
        <v>-398.4</v>
      </c>
      <c r="I813" s="12">
        <f t="shared" si="49"/>
        <v>-1</v>
      </c>
      <c r="J813" s="13">
        <f>SUMIFS(data!E:E,data!A:A,TABLEAU!B813,data!C:C,TABLEAU!D813,data!F:F,YEAR(Feuil1!$D$1))</f>
        <v>0</v>
      </c>
      <c r="K813" s="13">
        <f>SUMIFS(data!E:E,data!A:A,TABLEAU!B813,data!C:C,TABLEAU!D813,data!F:F,YEAR(Feuil1!$D$2))</f>
        <v>96</v>
      </c>
      <c r="L813" s="13">
        <f t="shared" si="50"/>
        <v>-96</v>
      </c>
      <c r="M813" s="12">
        <f t="shared" si="51"/>
        <v>-1</v>
      </c>
    </row>
    <row r="814" spans="1:13" x14ac:dyDescent="0.25">
      <c r="A814" s="17" t="str">
        <f>data!H1344</f>
        <v>VINICOM</v>
      </c>
      <c r="B814" s="15" t="str">
        <f>data!A1344</f>
        <v>145</v>
      </c>
      <c r="C814" s="1" t="str">
        <f>data!B1344</f>
        <v>SC CHATEAU SIPIAN</v>
      </c>
      <c r="D814" s="1" t="str">
        <f>data!C1344</f>
        <v>145007</v>
      </c>
      <c r="E814" s="1" t="str">
        <f>data!D814</f>
        <v>AC C.DE BOURG. BEL AIR</v>
      </c>
      <c r="F814" s="14">
        <f>SUMIFS(data!G:G,data!A:A,TABLEAU!B814,data!C:C,TABLEAU!D814,data!F:F,YEAR(Feuil1!$D$1))</f>
        <v>0</v>
      </c>
      <c r="G814" s="9">
        <f>SUMIFS(data!G:G,data!A:A,TABLEAU!B814,data!C:C,TABLEAU!D814,data!F:F,YEAR(Feuil1!$D$2))</f>
        <v>504</v>
      </c>
      <c r="H814" s="9">
        <f t="shared" si="48"/>
        <v>-504</v>
      </c>
      <c r="I814" s="12">
        <f t="shared" si="49"/>
        <v>-1</v>
      </c>
      <c r="J814" s="13">
        <f>SUMIFS(data!E:E,data!A:A,TABLEAU!B814,data!C:C,TABLEAU!D814,data!F:F,YEAR(Feuil1!$D$1))</f>
        <v>0</v>
      </c>
      <c r="K814" s="13">
        <f>SUMIFS(data!E:E,data!A:A,TABLEAU!B814,data!C:C,TABLEAU!D814,data!F:F,YEAR(Feuil1!$D$2))</f>
        <v>84</v>
      </c>
      <c r="L814" s="13">
        <f t="shared" si="50"/>
        <v>-84</v>
      </c>
      <c r="M814" s="12">
        <f t="shared" si="51"/>
        <v>-1</v>
      </c>
    </row>
    <row r="815" spans="1:13" x14ac:dyDescent="0.25">
      <c r="A815" s="17" t="str">
        <f>data!H1345</f>
        <v>VINICOM</v>
      </c>
      <c r="B815" s="15" t="str">
        <f>data!A1345</f>
        <v>145</v>
      </c>
      <c r="C815" s="1" t="str">
        <f>data!B1345</f>
        <v>SC CHATEAU SIPIAN</v>
      </c>
      <c r="D815" s="1" t="str">
        <f>data!C1345</f>
        <v>145030</v>
      </c>
      <c r="E815" s="1" t="str">
        <f>data!D815</f>
        <v>AC C.DE BOURG. BEL AIR</v>
      </c>
      <c r="F815" s="14">
        <f>SUMIFS(data!G:G,data!A:A,TABLEAU!B815,data!C:C,TABLEAU!D815,data!F:F,YEAR(Feuil1!$D$1))</f>
        <v>0</v>
      </c>
      <c r="G815" s="9">
        <f>SUMIFS(data!G:G,data!A:A,TABLEAU!B815,data!C:C,TABLEAU!D815,data!F:F,YEAR(Feuil1!$D$2))</f>
        <v>2227.5</v>
      </c>
      <c r="H815" s="9">
        <f t="shared" si="48"/>
        <v>-2227.5</v>
      </c>
      <c r="I815" s="12">
        <f t="shared" si="49"/>
        <v>-1</v>
      </c>
      <c r="J815" s="13">
        <f>SUMIFS(data!E:E,data!A:A,TABLEAU!B815,data!C:C,TABLEAU!D815,data!F:F,YEAR(Feuil1!$D$1))</f>
        <v>0</v>
      </c>
      <c r="K815" s="13">
        <f>SUMIFS(data!E:E,data!A:A,TABLEAU!B815,data!C:C,TABLEAU!D815,data!F:F,YEAR(Feuil1!$D$2))</f>
        <v>336</v>
      </c>
      <c r="L815" s="13">
        <f t="shared" si="50"/>
        <v>-336</v>
      </c>
      <c r="M815" s="12">
        <f t="shared" si="51"/>
        <v>-1</v>
      </c>
    </row>
    <row r="816" spans="1:13" x14ac:dyDescent="0.25">
      <c r="A816" s="17" t="str">
        <f>data!H1346</f>
        <v>VINICOM</v>
      </c>
      <c r="B816" s="15" t="str">
        <f>data!A1346</f>
        <v>145</v>
      </c>
      <c r="C816" s="1" t="str">
        <f>data!B1346</f>
        <v>SC CHATEAU SIPIAN</v>
      </c>
      <c r="D816" s="1" t="str">
        <f>data!C1346</f>
        <v>CDV145027</v>
      </c>
      <c r="E816" s="1" t="str">
        <f>data!D816</f>
        <v>AC C DE BOURG BEL AIR</v>
      </c>
      <c r="F816" s="14">
        <f>SUMIFS(data!G:G,data!A:A,TABLEAU!B816,data!C:C,TABLEAU!D816,data!F:F,YEAR(Feuil1!$D$1))</f>
        <v>78</v>
      </c>
      <c r="G816" s="9">
        <f>SUMIFS(data!G:G,data!A:A,TABLEAU!B816,data!C:C,TABLEAU!D816,data!F:F,YEAR(Feuil1!$D$2))</f>
        <v>0</v>
      </c>
      <c r="H816" s="9">
        <f t="shared" si="48"/>
        <v>78</v>
      </c>
      <c r="I816" s="12" t="str">
        <f t="shared" si="49"/>
        <v/>
      </c>
      <c r="J816" s="13">
        <f>SUMIFS(data!E:E,data!A:A,TABLEAU!B816,data!C:C,TABLEAU!D816,data!F:F,YEAR(Feuil1!$D$1))</f>
        <v>7.98</v>
      </c>
      <c r="K816" s="13">
        <f>SUMIFS(data!E:E,data!A:A,TABLEAU!B816,data!C:C,TABLEAU!D816,data!F:F,YEAR(Feuil1!$D$2))</f>
        <v>0</v>
      </c>
      <c r="L816" s="13">
        <f t="shared" si="50"/>
        <v>7.98</v>
      </c>
      <c r="M816" s="12" t="str">
        <f t="shared" si="51"/>
        <v/>
      </c>
    </row>
    <row r="817" spans="1:13" x14ac:dyDescent="0.25">
      <c r="A817" s="17" t="str">
        <f>data!H1347</f>
        <v>VINICOM</v>
      </c>
      <c r="B817" s="15" t="str">
        <f>data!A1347</f>
        <v>145</v>
      </c>
      <c r="C817" s="1" t="str">
        <f>data!B1347</f>
        <v>SC CHATEAU SIPIAN</v>
      </c>
      <c r="D817" s="1" t="str">
        <f>data!C1347</f>
        <v>CDV145027-09</v>
      </c>
      <c r="E817" s="1" t="str">
        <f>data!D817</f>
        <v>AC C DE BOURG BEL AIR</v>
      </c>
      <c r="F817" s="14">
        <f>SUMIFS(data!G:G,data!A:A,TABLEAU!B817,data!C:C,TABLEAU!D817,data!F:F,YEAR(Feuil1!$D$1))</f>
        <v>0</v>
      </c>
      <c r="G817" s="9">
        <f>SUMIFS(data!G:G,data!A:A,TABLEAU!B817,data!C:C,TABLEAU!D817,data!F:F,YEAR(Feuil1!$D$2))</f>
        <v>156</v>
      </c>
      <c r="H817" s="9">
        <f t="shared" si="48"/>
        <v>-156</v>
      </c>
      <c r="I817" s="12">
        <f t="shared" si="49"/>
        <v>-1</v>
      </c>
      <c r="J817" s="13">
        <f>SUMIFS(data!E:E,data!A:A,TABLEAU!B817,data!C:C,TABLEAU!D817,data!F:F,YEAR(Feuil1!$D$1))</f>
        <v>0</v>
      </c>
      <c r="K817" s="13">
        <f>SUMIFS(data!E:E,data!A:A,TABLEAU!B817,data!C:C,TABLEAU!D817,data!F:F,YEAR(Feuil1!$D$2))</f>
        <v>15.96</v>
      </c>
      <c r="L817" s="13">
        <f t="shared" si="50"/>
        <v>-15.96</v>
      </c>
      <c r="M817" s="12">
        <f t="shared" si="51"/>
        <v>-1</v>
      </c>
    </row>
    <row r="818" spans="1:13" x14ac:dyDescent="0.25">
      <c r="A818" s="17" t="str">
        <f>data!H1348</f>
        <v>VINICOM</v>
      </c>
      <c r="B818" s="15" t="str">
        <f>data!A1348</f>
        <v>145B</v>
      </c>
      <c r="C818" s="1" t="str">
        <f>data!B1348</f>
        <v>SARL QUERENISSE</v>
      </c>
      <c r="D818" s="1" t="str">
        <f>data!C1348</f>
        <v>145011B</v>
      </c>
      <c r="E818" s="1" t="str">
        <f>data!D818</f>
        <v>AC C DE BOURG BEL AIR</v>
      </c>
      <c r="F818" s="14">
        <f>SUMIFS(data!G:G,data!A:A,TABLEAU!B818,data!C:C,TABLEAU!D818,data!F:F,YEAR(Feuil1!$D$1))</f>
        <v>0</v>
      </c>
      <c r="G818" s="9">
        <f>SUMIFS(data!G:G,data!A:A,TABLEAU!B818,data!C:C,TABLEAU!D818,data!F:F,YEAR(Feuil1!$D$2))</f>
        <v>117.6</v>
      </c>
      <c r="H818" s="9">
        <f t="shared" si="48"/>
        <v>-117.6</v>
      </c>
      <c r="I818" s="12">
        <f t="shared" si="49"/>
        <v>-1</v>
      </c>
      <c r="J818" s="13">
        <f>SUMIFS(data!E:E,data!A:A,TABLEAU!B818,data!C:C,TABLEAU!D818,data!F:F,YEAR(Feuil1!$D$1))</f>
        <v>0</v>
      </c>
      <c r="K818" s="13">
        <f>SUMIFS(data!E:E,data!A:A,TABLEAU!B818,data!C:C,TABLEAU!D818,data!F:F,YEAR(Feuil1!$D$2))</f>
        <v>48</v>
      </c>
      <c r="L818" s="13">
        <f t="shared" si="50"/>
        <v>-48</v>
      </c>
      <c r="M818" s="12">
        <f t="shared" si="51"/>
        <v>-1</v>
      </c>
    </row>
    <row r="819" spans="1:13" x14ac:dyDescent="0.25">
      <c r="A819" s="17" t="str">
        <f>data!H1349</f>
        <v>VINICOM</v>
      </c>
      <c r="B819" s="15" t="str">
        <f>data!A1349</f>
        <v>145B</v>
      </c>
      <c r="C819" s="1" t="str">
        <f>data!B1349</f>
        <v>SARL QUERENISSE</v>
      </c>
      <c r="D819" s="1" t="str">
        <f>data!C1349</f>
        <v>145020B</v>
      </c>
      <c r="E819" s="1" t="str">
        <f>data!D819</f>
        <v>AC C DE BOURG BEL AIR</v>
      </c>
      <c r="F819" s="14">
        <f>SUMIFS(data!G:G,data!A:A,TABLEAU!B819,data!C:C,TABLEAU!D819,data!F:F,YEAR(Feuil1!$D$1))</f>
        <v>0</v>
      </c>
      <c r="G819" s="9">
        <f>SUMIFS(data!G:G,data!A:A,TABLEAU!B819,data!C:C,TABLEAU!D819,data!F:F,YEAR(Feuil1!$D$2))</f>
        <v>662.4</v>
      </c>
      <c r="H819" s="9">
        <f t="shared" si="48"/>
        <v>-662.4</v>
      </c>
      <c r="I819" s="12">
        <f t="shared" si="49"/>
        <v>-1</v>
      </c>
      <c r="J819" s="13">
        <f>SUMIFS(data!E:E,data!A:A,TABLEAU!B819,data!C:C,TABLEAU!D819,data!F:F,YEAR(Feuil1!$D$1))</f>
        <v>0</v>
      </c>
      <c r="K819" s="13">
        <f>SUMIFS(data!E:E,data!A:A,TABLEAU!B819,data!C:C,TABLEAU!D819,data!F:F,YEAR(Feuil1!$D$2))</f>
        <v>192</v>
      </c>
      <c r="L819" s="13">
        <f t="shared" si="50"/>
        <v>-192</v>
      </c>
      <c r="M819" s="12">
        <f t="shared" si="51"/>
        <v>-1</v>
      </c>
    </row>
    <row r="820" spans="1:13" x14ac:dyDescent="0.25">
      <c r="A820" s="17" t="str">
        <f>data!H1350</f>
        <v>VINICOM</v>
      </c>
      <c r="B820" s="15" t="str">
        <f>data!A1350</f>
        <v>152</v>
      </c>
      <c r="C820" s="1" t="str">
        <f>data!B1350</f>
        <v>VINCENT SIRET COURTAUD</v>
      </c>
      <c r="D820" s="1" t="str">
        <f>data!C1350</f>
        <v>152001</v>
      </c>
      <c r="E820" s="1" t="str">
        <f>data!D820</f>
        <v>AC C DE BOURG. CARACTERE</v>
      </c>
      <c r="F820" s="14">
        <f>SUMIFS(data!G:G,data!A:A,TABLEAU!B820,data!C:C,TABLEAU!D820,data!F:F,YEAR(Feuil1!$D$1))</f>
        <v>10107.299999999999</v>
      </c>
      <c r="G820" s="9">
        <f>SUMIFS(data!G:G,data!A:A,TABLEAU!B820,data!C:C,TABLEAU!D820,data!F:F,YEAR(Feuil1!$D$2))</f>
        <v>8796.2999999999993</v>
      </c>
      <c r="H820" s="9">
        <f t="shared" si="48"/>
        <v>1311</v>
      </c>
      <c r="I820" s="12">
        <f t="shared" si="49"/>
        <v>0.14903993724634224</v>
      </c>
      <c r="J820" s="13">
        <f>SUMIFS(data!E:E,data!A:A,TABLEAU!B820,data!C:C,TABLEAU!D820,data!F:F,YEAR(Feuil1!$D$1))</f>
        <v>1824</v>
      </c>
      <c r="K820" s="13">
        <f>SUMIFS(data!E:E,data!A:A,TABLEAU!B820,data!C:C,TABLEAU!D820,data!F:F,YEAR(Feuil1!$D$2))</f>
        <v>1608</v>
      </c>
      <c r="L820" s="13">
        <f t="shared" si="50"/>
        <v>216</v>
      </c>
      <c r="M820" s="12">
        <f t="shared" si="51"/>
        <v>0.13432835820895522</v>
      </c>
    </row>
    <row r="821" spans="1:13" x14ac:dyDescent="0.25">
      <c r="A821" s="17" t="str">
        <f>data!H1352</f>
        <v>VINICOM</v>
      </c>
      <c r="B821" s="15" t="str">
        <f>data!A1352</f>
        <v>153</v>
      </c>
      <c r="C821" s="1" t="str">
        <f>data!B1352</f>
        <v>SARL GARNIER ET FILS</v>
      </c>
      <c r="D821" s="1" t="str">
        <f>data!C1352</f>
        <v>153001</v>
      </c>
      <c r="E821" s="1" t="str">
        <f>data!D821</f>
        <v>AC C DE BOURG. CARACTERE</v>
      </c>
      <c r="F821" s="14">
        <f>SUMIFS(data!G:G,data!A:A,TABLEAU!B821,data!C:C,TABLEAU!D821,data!F:F,YEAR(Feuil1!$D$1))</f>
        <v>4872</v>
      </c>
      <c r="G821" s="9">
        <f>SUMIFS(data!G:G,data!A:A,TABLEAU!B821,data!C:C,TABLEAU!D821,data!F:F,YEAR(Feuil1!$D$2))</f>
        <v>6956.7</v>
      </c>
      <c r="H821" s="9">
        <f t="shared" si="48"/>
        <v>-2084.6999999999998</v>
      </c>
      <c r="I821" s="12">
        <f t="shared" si="49"/>
        <v>-0.29966794600888352</v>
      </c>
      <c r="J821" s="13">
        <f>SUMIFS(data!E:E,data!A:A,TABLEAU!B821,data!C:C,TABLEAU!D821,data!F:F,YEAR(Feuil1!$D$1))</f>
        <v>846</v>
      </c>
      <c r="K821" s="13">
        <f>SUMIFS(data!E:E,data!A:A,TABLEAU!B821,data!C:C,TABLEAU!D821,data!F:F,YEAR(Feuil1!$D$2))</f>
        <v>1254</v>
      </c>
      <c r="L821" s="13">
        <f t="shared" si="50"/>
        <v>-408</v>
      </c>
      <c r="M821" s="12">
        <f t="shared" si="51"/>
        <v>-0.32535885167464113</v>
      </c>
    </row>
    <row r="822" spans="1:13" x14ac:dyDescent="0.25">
      <c r="A822" s="17" t="str">
        <f>data!H1354</f>
        <v>VINICOM</v>
      </c>
      <c r="B822" s="15" t="str">
        <f>data!A1354</f>
        <v>153</v>
      </c>
      <c r="C822" s="1" t="str">
        <f>data!B1354</f>
        <v>SARL GARNIER ET FILS</v>
      </c>
      <c r="D822" s="1" t="str">
        <f>data!C1354</f>
        <v>153003</v>
      </c>
      <c r="E822" s="1" t="str">
        <f>data!D822</f>
        <v>AC C DE BOURG F.CHENE NECTAR</v>
      </c>
      <c r="F822" s="14">
        <f>SUMIFS(data!G:G,data!A:A,TABLEAU!B822,data!C:C,TABLEAU!D822,data!F:F,YEAR(Feuil1!$D$1))</f>
        <v>8196.6</v>
      </c>
      <c r="G822" s="9">
        <f>SUMIFS(data!G:G,data!A:A,TABLEAU!B822,data!C:C,TABLEAU!D822,data!F:F,YEAR(Feuil1!$D$2))</f>
        <v>12422.7</v>
      </c>
      <c r="H822" s="9">
        <f t="shared" si="48"/>
        <v>-4226.1000000000004</v>
      </c>
      <c r="I822" s="12">
        <f t="shared" si="49"/>
        <v>-0.34019174575575362</v>
      </c>
      <c r="J822" s="13">
        <f>SUMIFS(data!E:E,data!A:A,TABLEAU!B822,data!C:C,TABLEAU!D822,data!F:F,YEAR(Feuil1!$D$1))</f>
        <v>1200</v>
      </c>
      <c r="K822" s="13">
        <f>SUMIFS(data!E:E,data!A:A,TABLEAU!B822,data!C:C,TABLEAU!D822,data!F:F,YEAR(Feuil1!$D$2))</f>
        <v>1902</v>
      </c>
      <c r="L822" s="13">
        <f t="shared" si="50"/>
        <v>-702</v>
      </c>
      <c r="M822" s="12">
        <f t="shared" si="51"/>
        <v>-0.36908517350157727</v>
      </c>
    </row>
    <row r="823" spans="1:13" x14ac:dyDescent="0.25">
      <c r="A823" s="17" t="str">
        <f>data!H1356</f>
        <v>VINICOM</v>
      </c>
      <c r="B823" s="15" t="str">
        <f>data!A1356</f>
        <v>153</v>
      </c>
      <c r="C823" s="1" t="str">
        <f>data!B1356</f>
        <v>SARL GARNIER ET FILS</v>
      </c>
      <c r="D823" s="1" t="str">
        <f>data!C1356</f>
        <v>153004</v>
      </c>
      <c r="E823" s="1" t="str">
        <f>data!D823</f>
        <v>AC C DE BOURG F.CHENE NECTAR</v>
      </c>
      <c r="F823" s="14">
        <f>SUMIFS(data!G:G,data!A:A,TABLEAU!B823,data!C:C,TABLEAU!D823,data!F:F,YEAR(Feuil1!$D$1))</f>
        <v>565.20000000000005</v>
      </c>
      <c r="G823" s="9">
        <f>SUMIFS(data!G:G,data!A:A,TABLEAU!B823,data!C:C,TABLEAU!D823,data!F:F,YEAR(Feuil1!$D$2))</f>
        <v>1979.04</v>
      </c>
      <c r="H823" s="9">
        <f t="shared" si="48"/>
        <v>-1413.84</v>
      </c>
      <c r="I823" s="12">
        <f t="shared" si="49"/>
        <v>-0.71440698520494783</v>
      </c>
      <c r="J823" s="13">
        <f>SUMIFS(data!E:E,data!A:A,TABLEAU!B823,data!C:C,TABLEAU!D823,data!F:F,YEAR(Feuil1!$D$1))</f>
        <v>72</v>
      </c>
      <c r="K823" s="13">
        <f>SUMIFS(data!E:E,data!A:A,TABLEAU!B823,data!C:C,TABLEAU!D823,data!F:F,YEAR(Feuil1!$D$2))</f>
        <v>264</v>
      </c>
      <c r="L823" s="13">
        <f t="shared" si="50"/>
        <v>-192</v>
      </c>
      <c r="M823" s="12">
        <f t="shared" si="51"/>
        <v>-0.72727272727272729</v>
      </c>
    </row>
    <row r="824" spans="1:13" x14ac:dyDescent="0.25">
      <c r="A824" s="17" t="str">
        <f>data!H1358</f>
        <v>VINICOM</v>
      </c>
      <c r="B824" s="15" t="str">
        <f>data!A1358</f>
        <v>153</v>
      </c>
      <c r="C824" s="1" t="str">
        <f>data!B1358</f>
        <v>SARL GARNIER ET FILS</v>
      </c>
      <c r="D824" s="1" t="str">
        <f>data!C1358</f>
        <v>153005</v>
      </c>
      <c r="E824" s="1" t="str">
        <f>data!D824</f>
        <v>COFFRET 3 BOUTEILLES CH DE LA GRAVE</v>
      </c>
      <c r="F824" s="14">
        <f>SUMIFS(data!G:G,data!A:A,TABLEAU!B824,data!C:C,TABLEAU!D824,data!F:F,YEAR(Feuil1!$D$1))</f>
        <v>1287.9000000000001</v>
      </c>
      <c r="G824" s="9">
        <f>SUMIFS(data!G:G,data!A:A,TABLEAU!B824,data!C:C,TABLEAU!D824,data!F:F,YEAR(Feuil1!$D$2))</f>
        <v>978.3</v>
      </c>
      <c r="H824" s="9">
        <f t="shared" si="48"/>
        <v>309.60000000000014</v>
      </c>
      <c r="I824" s="12">
        <f t="shared" si="49"/>
        <v>0.3164673413063479</v>
      </c>
      <c r="J824" s="13">
        <f>SUMIFS(data!E:E,data!A:A,TABLEAU!B824,data!C:C,TABLEAU!D824,data!F:F,YEAR(Feuil1!$D$1))</f>
        <v>126</v>
      </c>
      <c r="K824" s="13">
        <f>SUMIFS(data!E:E,data!A:A,TABLEAU!B824,data!C:C,TABLEAU!D824,data!F:F,YEAR(Feuil1!$D$2))</f>
        <v>96</v>
      </c>
      <c r="L824" s="13">
        <f t="shared" si="50"/>
        <v>30</v>
      </c>
      <c r="M824" s="12">
        <f t="shared" si="51"/>
        <v>0.3125</v>
      </c>
    </row>
    <row r="825" spans="1:13" x14ac:dyDescent="0.25">
      <c r="A825" s="17" t="str">
        <f>data!H1360</f>
        <v>VINICOM</v>
      </c>
      <c r="B825" s="15" t="str">
        <f>data!A1360</f>
        <v>153</v>
      </c>
      <c r="C825" s="1" t="str">
        <f>data!B1360</f>
        <v>SARL GARNIER ET FILS</v>
      </c>
      <c r="D825" s="1" t="str">
        <f>data!C1360</f>
        <v>153012</v>
      </c>
      <c r="E825" s="1" t="str">
        <f>data!D825</f>
        <v>AC ST ESTEPHE C.TOUR DE PEZ CARTON</v>
      </c>
      <c r="F825" s="14">
        <f>SUMIFS(data!G:G,data!A:A,TABLEAU!B825,data!C:C,TABLEAU!D825,data!F:F,YEAR(Feuil1!$D$1))</f>
        <v>1504.8</v>
      </c>
      <c r="G825" s="9">
        <f>SUMIFS(data!G:G,data!A:A,TABLEAU!B825,data!C:C,TABLEAU!D825,data!F:F,YEAR(Feuil1!$D$2))</f>
        <v>0</v>
      </c>
      <c r="H825" s="9">
        <f t="shared" si="48"/>
        <v>1504.8</v>
      </c>
      <c r="I825" s="12" t="str">
        <f t="shared" si="49"/>
        <v/>
      </c>
      <c r="J825" s="13">
        <f>SUMIFS(data!E:E,data!A:A,TABLEAU!B825,data!C:C,TABLEAU!D825,data!F:F,YEAR(Feuil1!$D$1))</f>
        <v>258</v>
      </c>
      <c r="K825" s="13">
        <f>SUMIFS(data!E:E,data!A:A,TABLEAU!B825,data!C:C,TABLEAU!D825,data!F:F,YEAR(Feuil1!$D$2))</f>
        <v>66</v>
      </c>
      <c r="L825" s="13">
        <f t="shared" si="50"/>
        <v>192</v>
      </c>
      <c r="M825" s="12">
        <f t="shared" si="51"/>
        <v>2.9090909090909092</v>
      </c>
    </row>
    <row r="826" spans="1:13" x14ac:dyDescent="0.25">
      <c r="A826" s="17" t="str">
        <f>data!H1362</f>
        <v>VINICOM</v>
      </c>
      <c r="B826" s="15" t="str">
        <f>data!A1362</f>
        <v>153</v>
      </c>
      <c r="C826" s="1" t="str">
        <f>data!B1362</f>
        <v>SARL GARNIER ET FILS</v>
      </c>
      <c r="D826" s="1" t="str">
        <f>data!C1362</f>
        <v>CDV153001</v>
      </c>
      <c r="E826" s="1" t="str">
        <f>data!D826</f>
        <v>AC ST ESTEPHE CH TOUR DE PEZ</v>
      </c>
      <c r="F826" s="14">
        <f>SUMIFS(data!G:G,data!A:A,TABLEAU!B826,data!C:C,TABLEAU!D826,data!F:F,YEAR(Feuil1!$D$1))</f>
        <v>0</v>
      </c>
      <c r="G826" s="9">
        <f>SUMIFS(data!G:G,data!A:A,TABLEAU!B826,data!C:C,TABLEAU!D826,data!F:F,YEAR(Feuil1!$D$2))</f>
        <v>56.4</v>
      </c>
      <c r="H826" s="9">
        <f t="shared" si="48"/>
        <v>-56.4</v>
      </c>
      <c r="I826" s="12">
        <f t="shared" si="49"/>
        <v>-1</v>
      </c>
      <c r="J826" s="13">
        <f>SUMIFS(data!E:E,data!A:A,TABLEAU!B826,data!C:C,TABLEAU!D826,data!F:F,YEAR(Feuil1!$D$1))</f>
        <v>0</v>
      </c>
      <c r="K826" s="13">
        <f>SUMIFS(data!E:E,data!A:A,TABLEAU!B826,data!C:C,TABLEAU!D826,data!F:F,YEAR(Feuil1!$D$2))</f>
        <v>12</v>
      </c>
      <c r="L826" s="13">
        <f t="shared" si="50"/>
        <v>-12</v>
      </c>
      <c r="M826" s="12">
        <f t="shared" si="51"/>
        <v>-1</v>
      </c>
    </row>
    <row r="827" spans="1:13" x14ac:dyDescent="0.25">
      <c r="A827" s="17" t="str">
        <f>data!H1363</f>
        <v>VINICOM</v>
      </c>
      <c r="B827" s="15" t="str">
        <f>data!A1363</f>
        <v>153</v>
      </c>
      <c r="C827" s="1" t="str">
        <f>data!B1363</f>
        <v>SARL GARNIER ET FILS</v>
      </c>
      <c r="D827" s="1" t="str">
        <f>data!C1363</f>
        <v>CDV153003</v>
      </c>
      <c r="E827" s="1" t="str">
        <f>data!D827</f>
        <v>AC ST ESTEPHE CH TOUR DE PEZ</v>
      </c>
      <c r="F827" s="14">
        <f>SUMIFS(data!G:G,data!A:A,TABLEAU!B827,data!C:C,TABLEAU!D827,data!F:F,YEAR(Feuil1!$D$1))</f>
        <v>120.6</v>
      </c>
      <c r="G827" s="9">
        <f>SUMIFS(data!G:G,data!A:A,TABLEAU!B827,data!C:C,TABLEAU!D827,data!F:F,YEAR(Feuil1!$D$2))</f>
        <v>2211</v>
      </c>
      <c r="H827" s="9">
        <f t="shared" si="48"/>
        <v>-2090.4</v>
      </c>
      <c r="I827" s="12">
        <f t="shared" si="49"/>
        <v>-0.94545454545454555</v>
      </c>
      <c r="J827" s="13">
        <f>SUMIFS(data!E:E,data!A:A,TABLEAU!B827,data!C:C,TABLEAU!D827,data!F:F,YEAR(Feuil1!$D$1))</f>
        <v>18</v>
      </c>
      <c r="K827" s="13">
        <f>SUMIFS(data!E:E,data!A:A,TABLEAU!B827,data!C:C,TABLEAU!D827,data!F:F,YEAR(Feuil1!$D$2))</f>
        <v>330</v>
      </c>
      <c r="L827" s="13">
        <f t="shared" si="50"/>
        <v>-312</v>
      </c>
      <c r="M827" s="12">
        <f t="shared" si="51"/>
        <v>-0.94545454545454544</v>
      </c>
    </row>
    <row r="828" spans="1:13" x14ac:dyDescent="0.25">
      <c r="A828" s="17" t="str">
        <f>data!H1365</f>
        <v>VINICOM</v>
      </c>
      <c r="B828" s="15" t="str">
        <f>data!A1365</f>
        <v>153</v>
      </c>
      <c r="C828" s="1" t="str">
        <f>data!B1365</f>
        <v>SARL GARNIER ET FILS</v>
      </c>
      <c r="D828" s="1" t="str">
        <f>data!C1365</f>
        <v>CDV153005</v>
      </c>
      <c r="E828" s="1" t="str">
        <f>data!D828</f>
        <v>AC ST ESTEPHE CH TOUR DE PEZ</v>
      </c>
      <c r="F828" s="14">
        <f>SUMIFS(data!G:G,data!A:A,TABLEAU!B828,data!C:C,TABLEAU!D828,data!F:F,YEAR(Feuil1!$D$1))</f>
        <v>0</v>
      </c>
      <c r="G828" s="9">
        <f>SUMIFS(data!G:G,data!A:A,TABLEAU!B828,data!C:C,TABLEAU!D828,data!F:F,YEAR(Feuil1!$D$2))</f>
        <v>72</v>
      </c>
      <c r="H828" s="9">
        <f t="shared" si="48"/>
        <v>-72</v>
      </c>
      <c r="I828" s="12">
        <f t="shared" si="49"/>
        <v>-1</v>
      </c>
      <c r="J828" s="13">
        <f>SUMIFS(data!E:E,data!A:A,TABLEAU!B828,data!C:C,TABLEAU!D828,data!F:F,YEAR(Feuil1!$D$1))</f>
        <v>0</v>
      </c>
      <c r="K828" s="13">
        <f>SUMIFS(data!E:E,data!A:A,TABLEAU!B828,data!C:C,TABLEAU!D828,data!F:F,YEAR(Feuil1!$D$2))</f>
        <v>8</v>
      </c>
      <c r="L828" s="13">
        <f t="shared" si="50"/>
        <v>-8</v>
      </c>
      <c r="M828" s="12">
        <f t="shared" si="51"/>
        <v>-1</v>
      </c>
    </row>
    <row r="829" spans="1:13" x14ac:dyDescent="0.25">
      <c r="A829" s="17" t="str">
        <f>data!H1366</f>
        <v>VINICOM</v>
      </c>
      <c r="B829" s="15" t="str">
        <f>data!A1366</f>
        <v>153</v>
      </c>
      <c r="C829" s="1" t="str">
        <f>data!B1366</f>
        <v>SARL GARNIER ET FILS</v>
      </c>
      <c r="D829" s="1" t="str">
        <f>data!C1366</f>
        <v>CDV153011</v>
      </c>
      <c r="E829" s="1" t="str">
        <f>data!D829</f>
        <v>AC ST ESTEPHE C.TOUR DE PEZ</v>
      </c>
      <c r="F829" s="14">
        <f>SUMIFS(data!G:G,data!A:A,TABLEAU!B829,data!C:C,TABLEAU!D829,data!F:F,YEAR(Feuil1!$D$1))</f>
        <v>0</v>
      </c>
      <c r="G829" s="9">
        <f>SUMIFS(data!G:G,data!A:A,TABLEAU!B829,data!C:C,TABLEAU!D829,data!F:F,YEAR(Feuil1!$D$2))</f>
        <v>444</v>
      </c>
      <c r="H829" s="9">
        <f t="shared" si="48"/>
        <v>-444</v>
      </c>
      <c r="I829" s="12">
        <f t="shared" si="49"/>
        <v>-1</v>
      </c>
      <c r="J829" s="13">
        <f>SUMIFS(data!E:E,data!A:A,TABLEAU!B829,data!C:C,TABLEAU!D829,data!F:F,YEAR(Feuil1!$D$1))</f>
        <v>0</v>
      </c>
      <c r="K829" s="13">
        <f>SUMIFS(data!E:E,data!A:A,TABLEAU!B829,data!C:C,TABLEAU!D829,data!F:F,YEAR(Feuil1!$D$2))</f>
        <v>72</v>
      </c>
      <c r="L829" s="13">
        <f t="shared" si="50"/>
        <v>-72</v>
      </c>
      <c r="M829" s="12">
        <f t="shared" si="51"/>
        <v>-1</v>
      </c>
    </row>
    <row r="830" spans="1:13" x14ac:dyDescent="0.25">
      <c r="A830" s="17" t="str">
        <f>data!H1367</f>
        <v>VINICOM</v>
      </c>
      <c r="B830" s="15" t="str">
        <f>data!A1367</f>
        <v>157</v>
      </c>
      <c r="C830" s="1" t="str">
        <f>data!B1367</f>
        <v>DOMAINE DE LA FOLIETTE</v>
      </c>
      <c r="D830" s="1" t="str">
        <f>data!C1367</f>
        <v>157001</v>
      </c>
      <c r="E830" s="1" t="str">
        <f>data!D830</f>
        <v>AC ST ESTEPHE C.TOUR DE PEZ</v>
      </c>
      <c r="F830" s="14">
        <f>SUMIFS(data!G:G,data!A:A,TABLEAU!B830,data!C:C,TABLEAU!D830,data!F:F,YEAR(Feuil1!$D$1))</f>
        <v>1822.8</v>
      </c>
      <c r="G830" s="9">
        <f>SUMIFS(data!G:G,data!A:A,TABLEAU!B830,data!C:C,TABLEAU!D830,data!F:F,YEAR(Feuil1!$D$2))</f>
        <v>3210.3</v>
      </c>
      <c r="H830" s="9">
        <f t="shared" si="48"/>
        <v>-1387.5000000000002</v>
      </c>
      <c r="I830" s="12">
        <f t="shared" si="49"/>
        <v>-0.43220259788804788</v>
      </c>
      <c r="J830" s="13">
        <f>SUMIFS(data!E:E,data!A:A,TABLEAU!B830,data!C:C,TABLEAU!D830,data!F:F,YEAR(Feuil1!$D$1))</f>
        <v>606</v>
      </c>
      <c r="K830" s="13">
        <f>SUMIFS(data!E:E,data!A:A,TABLEAU!B830,data!C:C,TABLEAU!D830,data!F:F,YEAR(Feuil1!$D$2))</f>
        <v>1098</v>
      </c>
      <c r="L830" s="13">
        <f t="shared" si="50"/>
        <v>-492</v>
      </c>
      <c r="M830" s="12">
        <f t="shared" si="51"/>
        <v>-0.44808743169398907</v>
      </c>
    </row>
    <row r="831" spans="1:13" x14ac:dyDescent="0.25">
      <c r="A831" s="17" t="str">
        <f>data!H1369</f>
        <v>VINICOM</v>
      </c>
      <c r="B831" s="15" t="str">
        <f>data!A1369</f>
        <v>157</v>
      </c>
      <c r="C831" s="1" t="str">
        <f>data!B1369</f>
        <v>DOMAINE DE LA FOLIETTE</v>
      </c>
      <c r="D831" s="1" t="str">
        <f>data!C1369</f>
        <v>157003</v>
      </c>
      <c r="E831" s="1" t="str">
        <f>data!D831</f>
        <v>AC ST ESTEPHE. C.LES HAUTS  DE PEZ</v>
      </c>
      <c r="F831" s="14">
        <f>SUMIFS(data!G:G,data!A:A,TABLEAU!B831,data!C:C,TABLEAU!D831,data!F:F,YEAR(Feuil1!$D$1))</f>
        <v>0</v>
      </c>
      <c r="G831" s="9">
        <f>SUMIFS(data!G:G,data!A:A,TABLEAU!B831,data!C:C,TABLEAU!D831,data!F:F,YEAR(Feuil1!$D$2))</f>
        <v>63.2</v>
      </c>
      <c r="H831" s="9">
        <f t="shared" si="48"/>
        <v>-63.2</v>
      </c>
      <c r="I831" s="12">
        <f t="shared" si="49"/>
        <v>-1</v>
      </c>
      <c r="J831" s="13">
        <f>SUMIFS(data!E:E,data!A:A,TABLEAU!B831,data!C:C,TABLEAU!D831,data!F:F,YEAR(Feuil1!$D$1))</f>
        <v>0</v>
      </c>
      <c r="K831" s="13">
        <f>SUMIFS(data!E:E,data!A:A,TABLEAU!B831,data!C:C,TABLEAU!D831,data!F:F,YEAR(Feuil1!$D$2))</f>
        <v>93.31</v>
      </c>
      <c r="L831" s="13">
        <f t="shared" si="50"/>
        <v>-93.31</v>
      </c>
      <c r="M831" s="12">
        <f t="shared" si="51"/>
        <v>-1</v>
      </c>
    </row>
    <row r="832" spans="1:13" x14ac:dyDescent="0.25">
      <c r="A832" s="17" t="str">
        <f>data!H1370</f>
        <v>VINICOM</v>
      </c>
      <c r="B832" s="15" t="str">
        <f>data!A1370</f>
        <v>157</v>
      </c>
      <c r="C832" s="1" t="str">
        <f>data!B1370</f>
        <v>DOMAINE DE LA FOLIETTE</v>
      </c>
      <c r="D832" s="1" t="str">
        <f>data!C1370</f>
        <v>157004</v>
      </c>
      <c r="E832" s="1" t="str">
        <f>data!D832</f>
        <v>AC ST ESTEPHE. C.LES HAUTS  DE PEZ</v>
      </c>
      <c r="F832" s="14">
        <f>SUMIFS(data!G:G,data!A:A,TABLEAU!B832,data!C:C,TABLEAU!D832,data!F:F,YEAR(Feuil1!$D$1))</f>
        <v>0</v>
      </c>
      <c r="G832" s="9">
        <f>SUMIFS(data!G:G,data!A:A,TABLEAU!B832,data!C:C,TABLEAU!D832,data!F:F,YEAR(Feuil1!$D$2))</f>
        <v>-17.100000000000001</v>
      </c>
      <c r="H832" s="9">
        <f t="shared" si="48"/>
        <v>17.100000000000001</v>
      </c>
      <c r="I832" s="12">
        <f t="shared" si="49"/>
        <v>-1</v>
      </c>
      <c r="J832" s="13">
        <f>SUMIFS(data!E:E,data!A:A,TABLEAU!B832,data!C:C,TABLEAU!D832,data!F:F,YEAR(Feuil1!$D$1))</f>
        <v>0</v>
      </c>
      <c r="K832" s="13">
        <f>SUMIFS(data!E:E,data!A:A,TABLEAU!B832,data!C:C,TABLEAU!D832,data!F:F,YEAR(Feuil1!$D$2))</f>
        <v>146.73999999999998</v>
      </c>
      <c r="L832" s="13">
        <f t="shared" si="50"/>
        <v>-146.73999999999998</v>
      </c>
      <c r="M832" s="12">
        <f t="shared" si="51"/>
        <v>-1</v>
      </c>
    </row>
    <row r="833" spans="1:13" x14ac:dyDescent="0.25">
      <c r="A833" s="17" t="str">
        <f>data!H1371</f>
        <v>VINICOM</v>
      </c>
      <c r="B833" s="15" t="str">
        <f>data!A1371</f>
        <v>157</v>
      </c>
      <c r="C833" s="1" t="str">
        <f>data!B1371</f>
        <v>DOMAINE DE LA FOLIETTE</v>
      </c>
      <c r="D833" s="1" t="str">
        <f>data!C1371</f>
        <v>157005</v>
      </c>
      <c r="E833" s="1" t="str">
        <f>data!D833</f>
        <v>AC ST ESTEPHE CRU BOURGEOIS C.HTS PEZ</v>
      </c>
      <c r="F833" s="14">
        <f>SUMIFS(data!G:G,data!A:A,TABLEAU!B833,data!C:C,TABLEAU!D833,data!F:F,YEAR(Feuil1!$D$1))</f>
        <v>0</v>
      </c>
      <c r="G833" s="9">
        <f>SUMIFS(data!G:G,data!A:A,TABLEAU!B833,data!C:C,TABLEAU!D833,data!F:F,YEAR(Feuil1!$D$2))</f>
        <v>0</v>
      </c>
      <c r="H833" s="9">
        <f t="shared" si="48"/>
        <v>0</v>
      </c>
      <c r="I833" s="12" t="str">
        <f t="shared" si="49"/>
        <v/>
      </c>
      <c r="J833" s="13">
        <f>SUMIFS(data!E:E,data!A:A,TABLEAU!B833,data!C:C,TABLEAU!D833,data!F:F,YEAR(Feuil1!$D$1))</f>
        <v>0</v>
      </c>
      <c r="K833" s="13">
        <f>SUMIFS(data!E:E,data!A:A,TABLEAU!B833,data!C:C,TABLEAU!D833,data!F:F,YEAR(Feuil1!$D$2))</f>
        <v>228</v>
      </c>
      <c r="L833" s="13">
        <f t="shared" si="50"/>
        <v>-228</v>
      </c>
      <c r="M833" s="12">
        <f t="shared" si="51"/>
        <v>-1</v>
      </c>
    </row>
    <row r="834" spans="1:13" x14ac:dyDescent="0.25">
      <c r="A834" s="17" t="str">
        <f>data!H1372</f>
        <v>VINICOM</v>
      </c>
      <c r="B834" s="15" t="str">
        <f>data!A1372</f>
        <v>162</v>
      </c>
      <c r="C834" s="1" t="str">
        <f>data!B1372</f>
        <v>CHATEAU JOUCLARY</v>
      </c>
      <c r="D834" s="1" t="str">
        <f>data!C1372</f>
        <v>162001</v>
      </c>
      <c r="E834" s="1" t="str">
        <f>data!D834</f>
        <v>AC ST ESTEPHE CRU BOURGEOIS C.HTS PEZ</v>
      </c>
      <c r="F834" s="14">
        <f>SUMIFS(data!G:G,data!A:A,TABLEAU!B834,data!C:C,TABLEAU!D834,data!F:F,YEAR(Feuil1!$D$1))</f>
        <v>16741.2</v>
      </c>
      <c r="G834" s="9">
        <f>SUMIFS(data!G:G,data!A:A,TABLEAU!B834,data!C:C,TABLEAU!D834,data!F:F,YEAR(Feuil1!$D$2))</f>
        <v>25687.599999999999</v>
      </c>
      <c r="H834" s="9">
        <f t="shared" si="48"/>
        <v>-8946.3999999999978</v>
      </c>
      <c r="I834" s="12">
        <f t="shared" si="49"/>
        <v>-0.34827698967595255</v>
      </c>
      <c r="J834" s="13">
        <f>SUMIFS(data!E:E,data!A:A,TABLEAU!B834,data!C:C,TABLEAU!D834,data!F:F,YEAR(Feuil1!$D$1))</f>
        <v>5808</v>
      </c>
      <c r="K834" s="13">
        <f>SUMIFS(data!E:E,data!A:A,TABLEAU!B834,data!C:C,TABLEAU!D834,data!F:F,YEAR(Feuil1!$D$2))</f>
        <v>9222</v>
      </c>
      <c r="L834" s="13">
        <f t="shared" si="50"/>
        <v>-3414</v>
      </c>
      <c r="M834" s="12">
        <f t="shared" si="51"/>
        <v>-0.37020169160702665</v>
      </c>
    </row>
    <row r="835" spans="1:13" x14ac:dyDescent="0.25">
      <c r="A835" s="17" t="str">
        <f>data!H1374</f>
        <v>VINICOM</v>
      </c>
      <c r="B835" s="15" t="str">
        <f>data!A1374</f>
        <v>162</v>
      </c>
      <c r="C835" s="1" t="str">
        <f>data!B1374</f>
        <v>CHATEAU JOUCLARY</v>
      </c>
      <c r="D835" s="1" t="str">
        <f>data!C1374</f>
        <v>162002</v>
      </c>
      <c r="E835" s="1" t="str">
        <f>data!D835</f>
        <v>AC SAINT ESTEPHE HAUTS DE PEZ</v>
      </c>
      <c r="F835" s="14">
        <f>SUMIFS(data!G:G,data!A:A,TABLEAU!B835,data!C:C,TABLEAU!D835,data!F:F,YEAR(Feuil1!$D$1))</f>
        <v>2776.2</v>
      </c>
      <c r="G835" s="9">
        <f>SUMIFS(data!G:G,data!A:A,TABLEAU!B835,data!C:C,TABLEAU!D835,data!F:F,YEAR(Feuil1!$D$2))</f>
        <v>3053</v>
      </c>
      <c r="H835" s="9">
        <f t="shared" ref="H835:H898" si="52">F835-G835</f>
        <v>-276.80000000000018</v>
      </c>
      <c r="I835" s="12">
        <f t="shared" ref="I835:I898" si="53">IF(ISERR(H835/G835),"",H835/G835)</f>
        <v>-9.0664919751064582E-2</v>
      </c>
      <c r="J835" s="13">
        <f>SUMIFS(data!E:E,data!A:A,TABLEAU!B835,data!C:C,TABLEAU!D835,data!F:F,YEAR(Feuil1!$D$1))</f>
        <v>654</v>
      </c>
      <c r="K835" s="13">
        <f>SUMIFS(data!E:E,data!A:A,TABLEAU!B835,data!C:C,TABLEAU!D835,data!F:F,YEAR(Feuil1!$D$2))</f>
        <v>792</v>
      </c>
      <c r="L835" s="13">
        <f t="shared" ref="L835:L898" si="54">J835-K835</f>
        <v>-138</v>
      </c>
      <c r="M835" s="12">
        <f t="shared" ref="M835:M898" si="55">IF(ISERR(L835/K835),"",L835/K835)</f>
        <v>-0.17424242424242425</v>
      </c>
    </row>
    <row r="836" spans="1:13" x14ac:dyDescent="0.25">
      <c r="A836" s="17" t="str">
        <f>data!H1376</f>
        <v>VINICOM</v>
      </c>
      <c r="B836" s="15" t="str">
        <f>data!A1376</f>
        <v>162</v>
      </c>
      <c r="C836" s="1" t="str">
        <f>data!B1376</f>
        <v>CHATEAU JOUCLARY</v>
      </c>
      <c r="D836" s="1" t="str">
        <f>data!C1376</f>
        <v>162003</v>
      </c>
      <c r="E836" s="1" t="str">
        <f>data!D836</f>
        <v>AOP SAINT- ESTEPHE CH LES HAUTS DE PEZ</v>
      </c>
      <c r="F836" s="14">
        <f>SUMIFS(data!G:G,data!A:A,TABLEAU!B836,data!C:C,TABLEAU!D836,data!F:F,YEAR(Feuil1!$D$1))</f>
        <v>800.4</v>
      </c>
      <c r="G836" s="9">
        <f>SUMIFS(data!G:G,data!A:A,TABLEAU!B836,data!C:C,TABLEAU!D836,data!F:F,YEAR(Feuil1!$D$2))</f>
        <v>1142.4000000000001</v>
      </c>
      <c r="H836" s="9">
        <f t="shared" si="52"/>
        <v>-342.00000000000011</v>
      </c>
      <c r="I836" s="12">
        <f t="shared" si="53"/>
        <v>-0.29936974789915977</v>
      </c>
      <c r="J836" s="13">
        <f>SUMIFS(data!E:E,data!A:A,TABLEAU!B836,data!C:C,TABLEAU!D836,data!F:F,YEAR(Feuil1!$D$1))</f>
        <v>462</v>
      </c>
      <c r="K836" s="13">
        <f>SUMIFS(data!E:E,data!A:A,TABLEAU!B836,data!C:C,TABLEAU!D836,data!F:F,YEAR(Feuil1!$D$2))</f>
        <v>414</v>
      </c>
      <c r="L836" s="13">
        <f t="shared" si="54"/>
        <v>48</v>
      </c>
      <c r="M836" s="12">
        <f t="shared" si="55"/>
        <v>0.11594202898550725</v>
      </c>
    </row>
    <row r="837" spans="1:13" x14ac:dyDescent="0.25">
      <c r="A837" s="17" t="str">
        <f>data!H1378</f>
        <v>VINICOM</v>
      </c>
      <c r="B837" s="15" t="str">
        <f>data!A1378</f>
        <v>162</v>
      </c>
      <c r="C837" s="1" t="str">
        <f>data!B1378</f>
        <v>CHATEAU JOUCLARY</v>
      </c>
      <c r="D837" s="1" t="str">
        <f>data!C1378</f>
        <v>162004</v>
      </c>
      <c r="E837" s="1" t="str">
        <f>data!D837</f>
        <v>AOP SAINT- ESTEPHE CH LES HAUTS DE PEZ</v>
      </c>
      <c r="F837" s="14">
        <f>SUMIFS(data!G:G,data!A:A,TABLEAU!B837,data!C:C,TABLEAU!D837,data!F:F,YEAR(Feuil1!$D$1))</f>
        <v>298.8</v>
      </c>
      <c r="G837" s="9">
        <f>SUMIFS(data!G:G,data!A:A,TABLEAU!B837,data!C:C,TABLEAU!D837,data!F:F,YEAR(Feuil1!$D$2))</f>
        <v>0</v>
      </c>
      <c r="H837" s="9">
        <f t="shared" si="52"/>
        <v>298.8</v>
      </c>
      <c r="I837" s="12" t="str">
        <f t="shared" si="53"/>
        <v/>
      </c>
      <c r="J837" s="13">
        <f>SUMIFS(data!E:E,data!A:A,TABLEAU!B837,data!C:C,TABLEAU!D837,data!F:F,YEAR(Feuil1!$D$1))</f>
        <v>48</v>
      </c>
      <c r="K837" s="13">
        <f>SUMIFS(data!E:E,data!A:A,TABLEAU!B837,data!C:C,TABLEAU!D837,data!F:F,YEAR(Feuil1!$D$2))</f>
        <v>0</v>
      </c>
      <c r="L837" s="13">
        <f t="shared" si="54"/>
        <v>48</v>
      </c>
      <c r="M837" s="12" t="str">
        <f t="shared" si="55"/>
        <v/>
      </c>
    </row>
    <row r="838" spans="1:13" x14ac:dyDescent="0.25">
      <c r="A838" s="17" t="str">
        <f>data!H1379</f>
        <v>VINICOM</v>
      </c>
      <c r="B838" s="15" t="str">
        <f>data!A1379</f>
        <v>162</v>
      </c>
      <c r="C838" s="1" t="str">
        <f>data!B1379</f>
        <v>CHATEAU JOUCLARY</v>
      </c>
      <c r="D838" s="1" t="str">
        <f>data!C1379</f>
        <v>CDV162003</v>
      </c>
      <c r="E838" s="1" t="str">
        <f>data!D838</f>
        <v>AC ST ESTEPHE C.TOUR DE PEZ</v>
      </c>
      <c r="F838" s="14">
        <f>SUMIFS(data!G:G,data!A:A,TABLEAU!B838,data!C:C,TABLEAU!D838,data!F:F,YEAR(Feuil1!$D$1))</f>
        <v>0</v>
      </c>
      <c r="G838" s="9">
        <f>SUMIFS(data!G:G,data!A:A,TABLEAU!B838,data!C:C,TABLEAU!D838,data!F:F,YEAR(Feuil1!$D$2))</f>
        <v>33</v>
      </c>
      <c r="H838" s="9">
        <f t="shared" si="52"/>
        <v>-33</v>
      </c>
      <c r="I838" s="12">
        <f t="shared" si="53"/>
        <v>-1</v>
      </c>
      <c r="J838" s="13">
        <f>SUMIFS(data!E:E,data!A:A,TABLEAU!B838,data!C:C,TABLEAU!D838,data!F:F,YEAR(Feuil1!$D$1))</f>
        <v>0</v>
      </c>
      <c r="K838" s="13">
        <f>SUMIFS(data!E:E,data!A:A,TABLEAU!B838,data!C:C,TABLEAU!D838,data!F:F,YEAR(Feuil1!$D$2))</f>
        <v>12</v>
      </c>
      <c r="L838" s="13">
        <f t="shared" si="54"/>
        <v>-12</v>
      </c>
      <c r="M838" s="12">
        <f t="shared" si="55"/>
        <v>-1</v>
      </c>
    </row>
    <row r="839" spans="1:13" x14ac:dyDescent="0.25">
      <c r="A839" s="17" t="str">
        <f>data!H1380</f>
        <v>VINICOM</v>
      </c>
      <c r="B839" s="15" t="str">
        <f>data!A1380</f>
        <v>162</v>
      </c>
      <c r="C839" s="1" t="str">
        <f>data!B1380</f>
        <v>CHATEAU JOUCLARY</v>
      </c>
      <c r="D839" s="1" t="str">
        <f>data!C1380</f>
        <v>CDV162004</v>
      </c>
      <c r="E839" s="1" t="str">
        <f>data!D839</f>
        <v>AC ST ESTEPHE C.TOUR DE PEZ</v>
      </c>
      <c r="F839" s="14">
        <f>SUMIFS(data!G:G,data!A:A,TABLEAU!B839,data!C:C,TABLEAU!D839,data!F:F,YEAR(Feuil1!$D$1))</f>
        <v>405</v>
      </c>
      <c r="G839" s="9">
        <f>SUMIFS(data!G:G,data!A:A,TABLEAU!B839,data!C:C,TABLEAU!D839,data!F:F,YEAR(Feuil1!$D$2))</f>
        <v>358.2</v>
      </c>
      <c r="H839" s="9">
        <f t="shared" si="52"/>
        <v>46.800000000000011</v>
      </c>
      <c r="I839" s="12">
        <f t="shared" si="53"/>
        <v>0.13065326633165833</v>
      </c>
      <c r="J839" s="13">
        <f>SUMIFS(data!E:E,data!A:A,TABLEAU!B839,data!C:C,TABLEAU!D839,data!F:F,YEAR(Feuil1!$D$1))</f>
        <v>162</v>
      </c>
      <c r="K839" s="13">
        <f>SUMIFS(data!E:E,data!A:A,TABLEAU!B839,data!C:C,TABLEAU!D839,data!F:F,YEAR(Feuil1!$D$2))</f>
        <v>144</v>
      </c>
      <c r="L839" s="13">
        <f t="shared" si="54"/>
        <v>18</v>
      </c>
      <c r="M839" s="12">
        <f t="shared" si="55"/>
        <v>0.125</v>
      </c>
    </row>
    <row r="840" spans="1:13" x14ac:dyDescent="0.25">
      <c r="A840" s="17" t="str">
        <f>data!H1382</f>
        <v>VINICOM</v>
      </c>
      <c r="B840" s="15" t="str">
        <f>data!A1382</f>
        <v>162</v>
      </c>
      <c r="C840" s="1" t="str">
        <f>data!B1382</f>
        <v>CHATEAU JOUCLARY</v>
      </c>
      <c r="D840" s="1" t="str">
        <f>data!C1382</f>
        <v>CDV162005</v>
      </c>
      <c r="E840" s="1" t="str">
        <f>data!D840</f>
        <v>AC SAINT-ESTEPHE CH TOUR DE PEZ CAISSE BOIS</v>
      </c>
      <c r="F840" s="14">
        <f>SUMIFS(data!G:G,data!A:A,TABLEAU!B840,data!C:C,TABLEAU!D840,data!F:F,YEAR(Feuil1!$D$1))</f>
        <v>0</v>
      </c>
      <c r="G840" s="9">
        <f>SUMIFS(data!G:G,data!A:A,TABLEAU!B840,data!C:C,TABLEAU!D840,data!F:F,YEAR(Feuil1!$D$2))</f>
        <v>0</v>
      </c>
      <c r="H840" s="9">
        <f t="shared" si="52"/>
        <v>0</v>
      </c>
      <c r="I840" s="12" t="str">
        <f t="shared" si="53"/>
        <v/>
      </c>
      <c r="J840" s="13">
        <f>SUMIFS(data!E:E,data!A:A,TABLEAU!B840,data!C:C,TABLEAU!D840,data!F:F,YEAR(Feuil1!$D$1))</f>
        <v>36</v>
      </c>
      <c r="K840" s="13">
        <f>SUMIFS(data!E:E,data!A:A,TABLEAU!B840,data!C:C,TABLEAU!D840,data!F:F,YEAR(Feuil1!$D$2))</f>
        <v>36</v>
      </c>
      <c r="L840" s="13">
        <f t="shared" si="54"/>
        <v>0</v>
      </c>
      <c r="M840" s="12">
        <f t="shared" si="55"/>
        <v>0</v>
      </c>
    </row>
    <row r="841" spans="1:13" x14ac:dyDescent="0.25">
      <c r="A841" s="17" t="str">
        <f>data!H1384</f>
        <v>VINICOM</v>
      </c>
      <c r="B841" s="15" t="str">
        <f>data!A1384</f>
        <v>162</v>
      </c>
      <c r="C841" s="1" t="str">
        <f>data!B1384</f>
        <v>CHATEAU JOUCLARY</v>
      </c>
      <c r="D841" s="1" t="str">
        <f>data!C1384</f>
        <v>CDV162006</v>
      </c>
      <c r="E841" s="1" t="str">
        <f>data!D841</f>
        <v>AC SAINT-ESTEPHE CH TOUR DE PEZ</v>
      </c>
      <c r="F841" s="14">
        <f>SUMIFS(data!G:G,data!A:A,TABLEAU!B841,data!C:C,TABLEAU!D841,data!F:F,YEAR(Feuil1!$D$1))</f>
        <v>0</v>
      </c>
      <c r="G841" s="9">
        <f>SUMIFS(data!G:G,data!A:A,TABLEAU!B841,data!C:C,TABLEAU!D841,data!F:F,YEAR(Feuil1!$D$2))</f>
        <v>0</v>
      </c>
      <c r="H841" s="9">
        <f t="shared" si="52"/>
        <v>0</v>
      </c>
      <c r="I841" s="12" t="str">
        <f t="shared" si="53"/>
        <v/>
      </c>
      <c r="J841" s="13">
        <f>SUMIFS(data!E:E,data!A:A,TABLEAU!B841,data!C:C,TABLEAU!D841,data!F:F,YEAR(Feuil1!$D$1))</f>
        <v>0</v>
      </c>
      <c r="K841" s="13">
        <f>SUMIFS(data!E:E,data!A:A,TABLEAU!B841,data!C:C,TABLEAU!D841,data!F:F,YEAR(Feuil1!$D$2))</f>
        <v>12</v>
      </c>
      <c r="L841" s="13">
        <f t="shared" si="54"/>
        <v>-12</v>
      </c>
      <c r="M841" s="12">
        <f t="shared" si="55"/>
        <v>-1</v>
      </c>
    </row>
    <row r="842" spans="1:13" x14ac:dyDescent="0.25">
      <c r="A842" s="17" t="str">
        <f>data!H1385</f>
        <v>VINICOM</v>
      </c>
      <c r="B842" s="15" t="str">
        <f>data!A1385</f>
        <v>163</v>
      </c>
      <c r="C842" s="1" t="str">
        <f>data!B1385</f>
        <v>DOMAINE FAYOLLE</v>
      </c>
      <c r="D842" s="1" t="str">
        <f>data!C1385</f>
        <v>163001</v>
      </c>
      <c r="E842" s="1" t="str">
        <f>data!D842</f>
        <v>CAISSE BOIS 2 BTLLES HAUTS DE PEZ</v>
      </c>
      <c r="F842" s="14">
        <f>SUMIFS(data!G:G,data!A:A,TABLEAU!B842,data!C:C,TABLEAU!D842,data!F:F,YEAR(Feuil1!$D$1))</f>
        <v>776.52</v>
      </c>
      <c r="G842" s="9">
        <f>SUMIFS(data!G:G,data!A:A,TABLEAU!B842,data!C:C,TABLEAU!D842,data!F:F,YEAR(Feuil1!$D$2))</f>
        <v>2223</v>
      </c>
      <c r="H842" s="9">
        <f t="shared" si="52"/>
        <v>-1446.48</v>
      </c>
      <c r="I842" s="12">
        <f t="shared" si="53"/>
        <v>-0.65068825910931172</v>
      </c>
      <c r="J842" s="13">
        <f>SUMIFS(data!E:E,data!A:A,TABLEAU!B842,data!C:C,TABLEAU!D842,data!F:F,YEAR(Feuil1!$D$1))</f>
        <v>126</v>
      </c>
      <c r="K842" s="13">
        <f>SUMIFS(data!E:E,data!A:A,TABLEAU!B842,data!C:C,TABLEAU!D842,data!F:F,YEAR(Feuil1!$D$2))</f>
        <v>354</v>
      </c>
      <c r="L842" s="13">
        <f t="shared" si="54"/>
        <v>-228</v>
      </c>
      <c r="M842" s="12">
        <f t="shared" si="55"/>
        <v>-0.64406779661016944</v>
      </c>
    </row>
    <row r="843" spans="1:13" x14ac:dyDescent="0.25">
      <c r="A843" s="17" t="str">
        <f>data!H1387</f>
        <v>VINICOM</v>
      </c>
      <c r="B843" s="15" t="str">
        <f>data!A1387</f>
        <v>163</v>
      </c>
      <c r="C843" s="1" t="str">
        <f>data!B1387</f>
        <v>DOMAINE FAYOLLE</v>
      </c>
      <c r="D843" s="1" t="str">
        <f>data!C1387</f>
        <v>163002</v>
      </c>
      <c r="E843" s="1" t="str">
        <f>data!D843</f>
        <v>CAISSE BOIS 2 BTLLES TOUR DE PEZ</v>
      </c>
      <c r="F843" s="14">
        <f>SUMIFS(data!G:G,data!A:A,TABLEAU!B843,data!C:C,TABLEAU!D843,data!F:F,YEAR(Feuil1!$D$1))</f>
        <v>585</v>
      </c>
      <c r="G843" s="9">
        <f>SUMIFS(data!G:G,data!A:A,TABLEAU!B843,data!C:C,TABLEAU!D843,data!F:F,YEAR(Feuil1!$D$2))</f>
        <v>4889.7</v>
      </c>
      <c r="H843" s="9">
        <f t="shared" si="52"/>
        <v>-4304.7</v>
      </c>
      <c r="I843" s="12">
        <f t="shared" si="53"/>
        <v>-0.88036075832873184</v>
      </c>
      <c r="J843" s="13">
        <f>SUMIFS(data!E:E,data!A:A,TABLEAU!B843,data!C:C,TABLEAU!D843,data!F:F,YEAR(Feuil1!$D$1))</f>
        <v>90</v>
      </c>
      <c r="K843" s="13">
        <f>SUMIFS(data!E:E,data!A:A,TABLEAU!B843,data!C:C,TABLEAU!D843,data!F:F,YEAR(Feuil1!$D$2))</f>
        <v>762</v>
      </c>
      <c r="L843" s="13">
        <f t="shared" si="54"/>
        <v>-672</v>
      </c>
      <c r="M843" s="12">
        <f t="shared" si="55"/>
        <v>-0.88188976377952755</v>
      </c>
    </row>
    <row r="844" spans="1:13" x14ac:dyDescent="0.25">
      <c r="A844" s="17" t="str">
        <f>data!H1389</f>
        <v>VINICOM</v>
      </c>
      <c r="B844" s="15" t="str">
        <f>data!A1389</f>
        <v>163</v>
      </c>
      <c r="C844" s="1" t="str">
        <f>data!B1389</f>
        <v>DOMAINE FAYOLLE</v>
      </c>
      <c r="D844" s="1" t="str">
        <f>data!C1389</f>
        <v>163003</v>
      </c>
      <c r="E844" s="1" t="str">
        <f>data!D844</f>
        <v>MAGNUM TOUR DE PEZ</v>
      </c>
      <c r="F844" s="14">
        <f>SUMIFS(data!G:G,data!A:A,TABLEAU!B844,data!C:C,TABLEAU!D844,data!F:F,YEAR(Feuil1!$D$1))</f>
        <v>0</v>
      </c>
      <c r="G844" s="9">
        <f>SUMIFS(data!G:G,data!A:A,TABLEAU!B844,data!C:C,TABLEAU!D844,data!F:F,YEAR(Feuil1!$D$2))</f>
        <v>145.80000000000001</v>
      </c>
      <c r="H844" s="9">
        <f t="shared" si="52"/>
        <v>-145.80000000000001</v>
      </c>
      <c r="I844" s="12">
        <f t="shared" si="53"/>
        <v>-1</v>
      </c>
      <c r="J844" s="13">
        <f>SUMIFS(data!E:E,data!A:A,TABLEAU!B844,data!C:C,TABLEAU!D844,data!F:F,YEAR(Feuil1!$D$1))</f>
        <v>0</v>
      </c>
      <c r="K844" s="13">
        <f>SUMIFS(data!E:E,data!A:A,TABLEAU!B844,data!C:C,TABLEAU!D844,data!F:F,YEAR(Feuil1!$D$2))</f>
        <v>18</v>
      </c>
      <c r="L844" s="13">
        <f t="shared" si="54"/>
        <v>-18</v>
      </c>
      <c r="M844" s="12">
        <f t="shared" si="55"/>
        <v>-1</v>
      </c>
    </row>
    <row r="845" spans="1:13" x14ac:dyDescent="0.25">
      <c r="A845" s="17" t="str">
        <f>data!H1390</f>
        <v>VINICOM</v>
      </c>
      <c r="B845" s="15" t="str">
        <f>data!A1390</f>
        <v>163</v>
      </c>
      <c r="C845" s="1" t="str">
        <f>data!B1390</f>
        <v>DOMAINE FAYOLLE</v>
      </c>
      <c r="D845" s="1" t="str">
        <f>data!C1390</f>
        <v>163005</v>
      </c>
      <c r="E845" s="1" t="str">
        <f>data!D845</f>
        <v>IGP VAUCLUSE</v>
      </c>
      <c r="F845" s="14">
        <f>SUMIFS(data!G:G,data!A:A,TABLEAU!B845,data!C:C,TABLEAU!D845,data!F:F,YEAR(Feuil1!$D$1))</f>
        <v>0</v>
      </c>
      <c r="G845" s="9">
        <f>SUMIFS(data!G:G,data!A:A,TABLEAU!B845,data!C:C,TABLEAU!D845,data!F:F,YEAR(Feuil1!$D$2))</f>
        <v>123.6</v>
      </c>
      <c r="H845" s="9">
        <f t="shared" si="52"/>
        <v>-123.6</v>
      </c>
      <c r="I845" s="12">
        <f t="shared" si="53"/>
        <v>-1</v>
      </c>
      <c r="J845" s="13">
        <f>SUMIFS(data!E:E,data!A:A,TABLEAU!B845,data!C:C,TABLEAU!D845,data!F:F,YEAR(Feuil1!$D$1))</f>
        <v>6</v>
      </c>
      <c r="K845" s="13">
        <f>SUMIFS(data!E:E,data!A:A,TABLEAU!B845,data!C:C,TABLEAU!D845,data!F:F,YEAR(Feuil1!$D$2))</f>
        <v>6</v>
      </c>
      <c r="L845" s="13">
        <f t="shared" si="54"/>
        <v>0</v>
      </c>
      <c r="M845" s="12">
        <f t="shared" si="55"/>
        <v>0</v>
      </c>
    </row>
    <row r="846" spans="1:13" x14ac:dyDescent="0.25">
      <c r="A846" s="17" t="str">
        <f>data!H1392</f>
        <v>VINICOM</v>
      </c>
      <c r="B846" s="15" t="str">
        <f>data!A1392</f>
        <v>163</v>
      </c>
      <c r="C846" s="1" t="str">
        <f>data!B1392</f>
        <v>DOMAINE FAYOLLE</v>
      </c>
      <c r="D846" s="1" t="str">
        <f>data!C1392</f>
        <v>163006</v>
      </c>
      <c r="E846" s="1" t="str">
        <f>data!D846</f>
        <v>IGP VAUCLUSE</v>
      </c>
      <c r="F846" s="14">
        <f>SUMIFS(data!G:G,data!A:A,TABLEAU!B846,data!C:C,TABLEAU!D846,data!F:F,YEAR(Feuil1!$D$1))</f>
        <v>876.6</v>
      </c>
      <c r="G846" s="9">
        <f>SUMIFS(data!G:G,data!A:A,TABLEAU!B846,data!C:C,TABLEAU!D846,data!F:F,YEAR(Feuil1!$D$2))</f>
        <v>0</v>
      </c>
      <c r="H846" s="9">
        <f t="shared" si="52"/>
        <v>876.6</v>
      </c>
      <c r="I846" s="12" t="str">
        <f t="shared" si="53"/>
        <v/>
      </c>
      <c r="J846" s="13">
        <f>SUMIFS(data!E:E,data!A:A,TABLEAU!B846,data!C:C,TABLEAU!D846,data!F:F,YEAR(Feuil1!$D$1))</f>
        <v>42</v>
      </c>
      <c r="K846" s="13">
        <f>SUMIFS(data!E:E,data!A:A,TABLEAU!B846,data!C:C,TABLEAU!D846,data!F:F,YEAR(Feuil1!$D$2))</f>
        <v>0</v>
      </c>
      <c r="L846" s="13">
        <f t="shared" si="54"/>
        <v>42</v>
      </c>
      <c r="M846" s="12" t="str">
        <f t="shared" si="55"/>
        <v/>
      </c>
    </row>
    <row r="847" spans="1:13" x14ac:dyDescent="0.25">
      <c r="A847" s="17" t="str">
        <f>data!H1393</f>
        <v>VINICOM</v>
      </c>
      <c r="B847" s="15" t="str">
        <f>data!A1393</f>
        <v>163</v>
      </c>
      <c r="C847" s="1" t="str">
        <f>data!B1393</f>
        <v>DOMAINE FAYOLLE</v>
      </c>
      <c r="D847" s="1" t="str">
        <f>data!C1393</f>
        <v>163007</v>
      </c>
      <c r="E847" s="1" t="str">
        <f>data!D847</f>
        <v>AC CTX DU LANGU TRAD D.ARCHIMBAUD</v>
      </c>
      <c r="F847" s="14">
        <f>SUMIFS(data!G:G,data!A:A,TABLEAU!B847,data!C:C,TABLEAU!D847,data!F:F,YEAR(Feuil1!$D$1))</f>
        <v>0</v>
      </c>
      <c r="G847" s="9">
        <f>SUMIFS(data!G:G,data!A:A,TABLEAU!B847,data!C:C,TABLEAU!D847,data!F:F,YEAR(Feuil1!$D$2))</f>
        <v>417.6</v>
      </c>
      <c r="H847" s="9">
        <f t="shared" si="52"/>
        <v>-417.6</v>
      </c>
      <c r="I847" s="12">
        <f t="shared" si="53"/>
        <v>-1</v>
      </c>
      <c r="J847" s="13">
        <f>SUMIFS(data!E:E,data!A:A,TABLEAU!B847,data!C:C,TABLEAU!D847,data!F:F,YEAR(Feuil1!$D$1))</f>
        <v>0</v>
      </c>
      <c r="K847" s="13">
        <f>SUMIFS(data!E:E,data!A:A,TABLEAU!B847,data!C:C,TABLEAU!D847,data!F:F,YEAR(Feuil1!$D$2))</f>
        <v>48</v>
      </c>
      <c r="L847" s="13">
        <f t="shared" si="54"/>
        <v>-48</v>
      </c>
      <c r="M847" s="12">
        <f t="shared" si="55"/>
        <v>-1</v>
      </c>
    </row>
    <row r="848" spans="1:13" x14ac:dyDescent="0.25">
      <c r="A848" s="17" t="str">
        <f>data!H1394</f>
        <v>VINICOM</v>
      </c>
      <c r="B848" s="15" t="str">
        <f>data!A1394</f>
        <v>163</v>
      </c>
      <c r="C848" s="1" t="str">
        <f>data!B1394</f>
        <v>DOMAINE FAYOLLE</v>
      </c>
      <c r="D848" s="1" t="str">
        <f>data!C1394</f>
        <v>163008</v>
      </c>
      <c r="E848" s="1" t="str">
        <f>data!D848</f>
        <v>AC CTX DU LANGU TRAD D.ARCHIMBAUD</v>
      </c>
      <c r="F848" s="14">
        <f>SUMIFS(data!G:G,data!A:A,TABLEAU!B848,data!C:C,TABLEAU!D848,data!F:F,YEAR(Feuil1!$D$1))</f>
        <v>102</v>
      </c>
      <c r="G848" s="9">
        <f>SUMIFS(data!G:G,data!A:A,TABLEAU!B848,data!C:C,TABLEAU!D848,data!F:F,YEAR(Feuil1!$D$2))</f>
        <v>110.4</v>
      </c>
      <c r="H848" s="9">
        <f t="shared" si="52"/>
        <v>-8.4000000000000057</v>
      </c>
      <c r="I848" s="12">
        <f t="shared" si="53"/>
        <v>-7.6086956521739177E-2</v>
      </c>
      <c r="J848" s="13">
        <f>SUMIFS(data!E:E,data!A:A,TABLEAU!B848,data!C:C,TABLEAU!D848,data!F:F,YEAR(Feuil1!$D$1))</f>
        <v>12</v>
      </c>
      <c r="K848" s="13">
        <f>SUMIFS(data!E:E,data!A:A,TABLEAU!B848,data!C:C,TABLEAU!D848,data!F:F,YEAR(Feuil1!$D$2))</f>
        <v>12</v>
      </c>
      <c r="L848" s="13">
        <f t="shared" si="54"/>
        <v>0</v>
      </c>
      <c r="M848" s="12">
        <f t="shared" si="55"/>
        <v>0</v>
      </c>
    </row>
    <row r="849" spans="1:13" x14ac:dyDescent="0.25">
      <c r="A849" s="17" t="str">
        <f>data!H1396</f>
        <v>VINICOM</v>
      </c>
      <c r="B849" s="15" t="str">
        <f>data!A1396</f>
        <v>163</v>
      </c>
      <c r="C849" s="1" t="str">
        <f>data!B1396</f>
        <v>DOMAINE FAYOLLE</v>
      </c>
      <c r="D849" s="1" t="str">
        <f>data!C1396</f>
        <v>CDV163003</v>
      </c>
      <c r="E849" s="1" t="str">
        <f>data!D849</f>
        <v>AC COT DU LANG ROBE POURPRE</v>
      </c>
      <c r="F849" s="14">
        <f>SUMIFS(data!G:G,data!A:A,TABLEAU!B849,data!C:C,TABLEAU!D849,data!F:F,YEAR(Feuil1!$D$1))</f>
        <v>0</v>
      </c>
      <c r="G849" s="9">
        <f>SUMIFS(data!G:G,data!A:A,TABLEAU!B849,data!C:C,TABLEAU!D849,data!F:F,YEAR(Feuil1!$D$2))</f>
        <v>40.5</v>
      </c>
      <c r="H849" s="9">
        <f t="shared" si="52"/>
        <v>-40.5</v>
      </c>
      <c r="I849" s="12">
        <f t="shared" si="53"/>
        <v>-1</v>
      </c>
      <c r="J849" s="13">
        <f>SUMIFS(data!E:E,data!A:A,TABLEAU!B849,data!C:C,TABLEAU!D849,data!F:F,YEAR(Feuil1!$D$1))</f>
        <v>0</v>
      </c>
      <c r="K849" s="13">
        <f>SUMIFS(data!E:E,data!A:A,TABLEAU!B849,data!C:C,TABLEAU!D849,data!F:F,YEAR(Feuil1!$D$2))</f>
        <v>5</v>
      </c>
      <c r="L849" s="13">
        <f t="shared" si="54"/>
        <v>-5</v>
      </c>
      <c r="M849" s="12">
        <f t="shared" si="55"/>
        <v>-1</v>
      </c>
    </row>
    <row r="850" spans="1:13" x14ac:dyDescent="0.25">
      <c r="A850" s="17" t="str">
        <f>data!H1397</f>
        <v>VINICOM</v>
      </c>
      <c r="B850" s="15" t="str">
        <f>data!A1397</f>
        <v>163</v>
      </c>
      <c r="C850" s="1" t="str">
        <f>data!B1397</f>
        <v>DOMAINE FAYOLLE</v>
      </c>
      <c r="D850" s="1" t="str">
        <f>data!C1397</f>
        <v>CDV163004</v>
      </c>
      <c r="E850" s="1" t="str">
        <f>data!D850</f>
        <v>AC COT DU LANG ROBE POURPRE</v>
      </c>
      <c r="F850" s="14">
        <f>SUMIFS(data!G:G,data!A:A,TABLEAU!B850,data!C:C,TABLEAU!D850,data!F:F,YEAR(Feuil1!$D$1))</f>
        <v>0</v>
      </c>
      <c r="G850" s="9">
        <f>SUMIFS(data!G:G,data!A:A,TABLEAU!B850,data!C:C,TABLEAU!D850,data!F:F,YEAR(Feuil1!$D$2))</f>
        <v>42</v>
      </c>
      <c r="H850" s="9">
        <f t="shared" si="52"/>
        <v>-42</v>
      </c>
      <c r="I850" s="12">
        <f t="shared" si="53"/>
        <v>-1</v>
      </c>
      <c r="J850" s="13">
        <f>SUMIFS(data!E:E,data!A:A,TABLEAU!B850,data!C:C,TABLEAU!D850,data!F:F,YEAR(Feuil1!$D$1))</f>
        <v>0</v>
      </c>
      <c r="K850" s="13">
        <f>SUMIFS(data!E:E,data!A:A,TABLEAU!B850,data!C:C,TABLEAU!D850,data!F:F,YEAR(Feuil1!$D$2))</f>
        <v>1</v>
      </c>
      <c r="L850" s="13">
        <f t="shared" si="54"/>
        <v>-1</v>
      </c>
      <c r="M850" s="12">
        <f t="shared" si="55"/>
        <v>-1</v>
      </c>
    </row>
    <row r="851" spans="1:13" x14ac:dyDescent="0.25">
      <c r="A851" s="17" t="str">
        <f>data!H1398</f>
        <v>VINICOM</v>
      </c>
      <c r="B851" s="15" t="str">
        <f>data!A1398</f>
        <v>164</v>
      </c>
      <c r="C851" s="1" t="str">
        <f>data!B1398</f>
        <v>CHATEAU JUPILLE</v>
      </c>
      <c r="D851" s="1" t="str">
        <f>data!C1398</f>
        <v>164001</v>
      </c>
      <c r="E851" s="1" t="str">
        <f>data!D851</f>
        <v>AC COT DU LANGU D.ARCHIMBAUD</v>
      </c>
      <c r="F851" s="14">
        <f>SUMIFS(data!G:G,data!A:A,TABLEAU!B851,data!C:C,TABLEAU!D851,data!F:F,YEAR(Feuil1!$D$1))</f>
        <v>74.400000000000006</v>
      </c>
      <c r="G851" s="9">
        <f>SUMIFS(data!G:G,data!A:A,TABLEAU!B851,data!C:C,TABLEAU!D851,data!F:F,YEAR(Feuil1!$D$2))</f>
        <v>17676.2</v>
      </c>
      <c r="H851" s="9">
        <f t="shared" si="52"/>
        <v>-17601.8</v>
      </c>
      <c r="I851" s="12">
        <f t="shared" si="53"/>
        <v>-0.99579095054366884</v>
      </c>
      <c r="J851" s="13">
        <f>SUMIFS(data!E:E,data!A:A,TABLEAU!B851,data!C:C,TABLEAU!D851,data!F:F,YEAR(Feuil1!$D$1))</f>
        <v>12</v>
      </c>
      <c r="K851" s="13">
        <f>SUMIFS(data!E:E,data!A:A,TABLEAU!B851,data!C:C,TABLEAU!D851,data!F:F,YEAR(Feuil1!$D$2))</f>
        <v>2886</v>
      </c>
      <c r="L851" s="13">
        <f t="shared" si="54"/>
        <v>-2874</v>
      </c>
      <c r="M851" s="12">
        <f t="shared" si="55"/>
        <v>-0.99584199584199584</v>
      </c>
    </row>
    <row r="852" spans="1:13" x14ac:dyDescent="0.25">
      <c r="A852" s="17" t="str">
        <f>data!H1400</f>
        <v>VINICOM</v>
      </c>
      <c r="B852" s="15" t="str">
        <f>data!A1400</f>
        <v>164</v>
      </c>
      <c r="C852" s="1" t="str">
        <f>data!B1400</f>
        <v>CHATEAU JUPILLE</v>
      </c>
      <c r="D852" s="1" t="str">
        <f>data!C1400</f>
        <v>164002</v>
      </c>
      <c r="E852" s="1" t="str">
        <f>data!D852</f>
        <v>AC COT DU LANGU D.ARCHIMBAUD</v>
      </c>
      <c r="F852" s="14">
        <f>SUMIFS(data!G:G,data!A:A,TABLEAU!B852,data!C:C,TABLEAU!D852,data!F:F,YEAR(Feuil1!$D$1))</f>
        <v>10137.6</v>
      </c>
      <c r="G852" s="9">
        <f>SUMIFS(data!G:G,data!A:A,TABLEAU!B852,data!C:C,TABLEAU!D852,data!F:F,YEAR(Feuil1!$D$2))</f>
        <v>3009.6</v>
      </c>
      <c r="H852" s="9">
        <f t="shared" si="52"/>
        <v>7128</v>
      </c>
      <c r="I852" s="12">
        <f t="shared" si="53"/>
        <v>2.3684210526315792</v>
      </c>
      <c r="J852" s="13">
        <f>SUMIFS(data!E:E,data!A:A,TABLEAU!B852,data!C:C,TABLEAU!D852,data!F:F,YEAR(Feuil1!$D$1))</f>
        <v>1542</v>
      </c>
      <c r="K852" s="13">
        <f>SUMIFS(data!E:E,data!A:A,TABLEAU!B852,data!C:C,TABLEAU!D852,data!F:F,YEAR(Feuil1!$D$2))</f>
        <v>462</v>
      </c>
      <c r="L852" s="13">
        <f t="shared" si="54"/>
        <v>1080</v>
      </c>
      <c r="M852" s="12">
        <f t="shared" si="55"/>
        <v>2.3376623376623376</v>
      </c>
    </row>
    <row r="853" spans="1:13" x14ac:dyDescent="0.25">
      <c r="A853" s="17" t="str">
        <f>data!H1402</f>
        <v>VINICOM</v>
      </c>
      <c r="B853" s="15" t="str">
        <f>data!A1402</f>
        <v>164</v>
      </c>
      <c r="C853" s="1" t="str">
        <f>data!B1402</f>
        <v>CHATEAU JUPILLE</v>
      </c>
      <c r="D853" s="1" t="str">
        <f>data!C1402</f>
        <v>164005/10</v>
      </c>
      <c r="E853" s="1" t="str">
        <f>data!D853</f>
        <v>AC COTEAUX DU LANGUEDOC ENFANT TERRIBLE</v>
      </c>
      <c r="F853" s="14">
        <f>SUMIFS(data!G:G,data!A:A,TABLEAU!B853,data!C:C,TABLEAU!D853,data!F:F,YEAR(Feuil1!$D$1))</f>
        <v>54</v>
      </c>
      <c r="G853" s="9">
        <f>SUMIFS(data!G:G,data!A:A,TABLEAU!B853,data!C:C,TABLEAU!D853,data!F:F,YEAR(Feuil1!$D$2))</f>
        <v>9180</v>
      </c>
      <c r="H853" s="9">
        <f t="shared" si="52"/>
        <v>-9126</v>
      </c>
      <c r="I853" s="12">
        <f t="shared" si="53"/>
        <v>-0.99411764705882355</v>
      </c>
      <c r="J853" s="13">
        <f>SUMIFS(data!E:E,data!A:A,TABLEAU!B853,data!C:C,TABLEAU!D853,data!F:F,YEAR(Feuil1!$D$1))</f>
        <v>6</v>
      </c>
      <c r="K853" s="13">
        <f>SUMIFS(data!E:E,data!A:A,TABLEAU!B853,data!C:C,TABLEAU!D853,data!F:F,YEAR(Feuil1!$D$2))</f>
        <v>1026</v>
      </c>
      <c r="L853" s="13">
        <f t="shared" si="54"/>
        <v>-1020</v>
      </c>
      <c r="M853" s="12">
        <f t="shared" si="55"/>
        <v>-0.99415204678362568</v>
      </c>
    </row>
    <row r="854" spans="1:13" x14ac:dyDescent="0.25">
      <c r="A854" s="17" t="str">
        <f>data!H1404</f>
        <v>VINICOM</v>
      </c>
      <c r="B854" s="15" t="str">
        <f>data!A1404</f>
        <v>164</v>
      </c>
      <c r="C854" s="1" t="str">
        <f>data!B1404</f>
        <v>CHATEAU JUPILLE</v>
      </c>
      <c r="D854" s="1" t="str">
        <f>data!C1404</f>
        <v>164005/12</v>
      </c>
      <c r="E854" s="1" t="str">
        <f>data!D854</f>
        <v>AC COTEAUX DU LANGUEDOC ENFANT TERRIBLE</v>
      </c>
      <c r="F854" s="14">
        <f>SUMIFS(data!G:G,data!A:A,TABLEAU!B854,data!C:C,TABLEAU!D854,data!F:F,YEAR(Feuil1!$D$1))</f>
        <v>3402</v>
      </c>
      <c r="G854" s="9">
        <f>SUMIFS(data!G:G,data!A:A,TABLEAU!B854,data!C:C,TABLEAU!D854,data!F:F,YEAR(Feuil1!$D$2))</f>
        <v>0</v>
      </c>
      <c r="H854" s="9">
        <f t="shared" si="52"/>
        <v>3402</v>
      </c>
      <c r="I854" s="12" t="str">
        <f t="shared" si="53"/>
        <v/>
      </c>
      <c r="J854" s="13">
        <f>SUMIFS(data!E:E,data!A:A,TABLEAU!B854,data!C:C,TABLEAU!D854,data!F:F,YEAR(Feuil1!$D$1))</f>
        <v>384</v>
      </c>
      <c r="K854" s="13">
        <f>SUMIFS(data!E:E,data!A:A,TABLEAU!B854,data!C:C,TABLEAU!D854,data!F:F,YEAR(Feuil1!$D$2))</f>
        <v>42</v>
      </c>
      <c r="L854" s="13">
        <f t="shared" si="54"/>
        <v>342</v>
      </c>
      <c r="M854" s="12">
        <f t="shared" si="55"/>
        <v>8.1428571428571423</v>
      </c>
    </row>
    <row r="855" spans="1:13" x14ac:dyDescent="0.25">
      <c r="A855" s="17" t="str">
        <f>data!H1406</f>
        <v>VINICOM</v>
      </c>
      <c r="B855" s="15" t="str">
        <f>data!A1406</f>
        <v>164</v>
      </c>
      <c r="C855" s="1" t="str">
        <f>data!B1406</f>
        <v>CHATEAU JUPILLE</v>
      </c>
      <c r="D855" s="1" t="str">
        <f>data!C1406</f>
        <v>164010</v>
      </c>
      <c r="E855" s="1" t="str">
        <f>data!D855</f>
        <v>IGP MONTBAUDILE</v>
      </c>
      <c r="F855" s="14">
        <f>SUMIFS(data!G:G,data!A:A,TABLEAU!B855,data!C:C,TABLEAU!D855,data!F:F,YEAR(Feuil1!$D$1))</f>
        <v>1729</v>
      </c>
      <c r="G855" s="9">
        <f>SUMIFS(data!G:G,data!A:A,TABLEAU!B855,data!C:C,TABLEAU!D855,data!F:F,YEAR(Feuil1!$D$2))</f>
        <v>893</v>
      </c>
      <c r="H855" s="9">
        <f t="shared" si="52"/>
        <v>836</v>
      </c>
      <c r="I855" s="12">
        <f t="shared" si="53"/>
        <v>0.93617021276595747</v>
      </c>
      <c r="J855" s="13">
        <f>SUMIFS(data!E:E,data!A:A,TABLEAU!B855,data!C:C,TABLEAU!D855,data!F:F,YEAR(Feuil1!$D$1))</f>
        <v>620.30999999999995</v>
      </c>
      <c r="K855" s="13">
        <f>SUMIFS(data!E:E,data!A:A,TABLEAU!B855,data!C:C,TABLEAU!D855,data!F:F,YEAR(Feuil1!$D$2))</f>
        <v>353.50999999999993</v>
      </c>
      <c r="L855" s="13">
        <f t="shared" si="54"/>
        <v>266.8</v>
      </c>
      <c r="M855" s="12">
        <f t="shared" si="55"/>
        <v>0.75471698113207564</v>
      </c>
    </row>
    <row r="856" spans="1:13" x14ac:dyDescent="0.25">
      <c r="A856" s="17" t="str">
        <f>data!H1408</f>
        <v>VINICOM</v>
      </c>
      <c r="B856" s="15" t="str">
        <f>data!A1408</f>
        <v>164</v>
      </c>
      <c r="C856" s="1" t="str">
        <f>data!B1408</f>
        <v>CHATEAU JUPILLE</v>
      </c>
      <c r="D856" s="1" t="str">
        <f>data!C1408</f>
        <v>CDV164011</v>
      </c>
      <c r="E856" s="1" t="str">
        <f>data!D856</f>
        <v>IGP MONTBAUDILE</v>
      </c>
      <c r="F856" s="14">
        <f>SUMIFS(data!G:G,data!A:A,TABLEAU!B856,data!C:C,TABLEAU!D856,data!F:F,YEAR(Feuil1!$D$1))</f>
        <v>531</v>
      </c>
      <c r="G856" s="9">
        <f>SUMIFS(data!G:G,data!A:A,TABLEAU!B856,data!C:C,TABLEAU!D856,data!F:F,YEAR(Feuil1!$D$2))</f>
        <v>407.1</v>
      </c>
      <c r="H856" s="9">
        <f t="shared" si="52"/>
        <v>123.89999999999998</v>
      </c>
      <c r="I856" s="12">
        <f t="shared" si="53"/>
        <v>0.30434782608695643</v>
      </c>
      <c r="J856" s="13">
        <f>SUMIFS(data!E:E,data!A:A,TABLEAU!B856,data!C:C,TABLEAU!D856,data!F:F,YEAR(Feuil1!$D$1))</f>
        <v>60</v>
      </c>
      <c r="K856" s="13">
        <f>SUMIFS(data!E:E,data!A:A,TABLEAU!B856,data!C:C,TABLEAU!D856,data!F:F,YEAR(Feuil1!$D$2))</f>
        <v>46</v>
      </c>
      <c r="L856" s="13">
        <f t="shared" si="54"/>
        <v>14</v>
      </c>
      <c r="M856" s="12">
        <f t="shared" si="55"/>
        <v>0.30434782608695654</v>
      </c>
    </row>
    <row r="857" spans="1:13" x14ac:dyDescent="0.25">
      <c r="A857" s="17" t="str">
        <f>data!H1410</f>
        <v>VINICOM</v>
      </c>
      <c r="B857" s="15" t="str">
        <f>data!A1410</f>
        <v>168</v>
      </c>
      <c r="C857" s="1" t="str">
        <f>data!B1410</f>
        <v>CHATEAU LA ROSE SARRON</v>
      </c>
      <c r="D857" s="1" t="str">
        <f>data!C1410</f>
        <v>168001</v>
      </c>
      <c r="E857" s="1" t="str">
        <f>data!D857</f>
        <v>IGP MONTBAUDILE</v>
      </c>
      <c r="F857" s="14">
        <f>SUMIFS(data!G:G,data!A:A,TABLEAU!B857,data!C:C,TABLEAU!D857,data!F:F,YEAR(Feuil1!$D$1))</f>
        <v>10680.8</v>
      </c>
      <c r="G857" s="9">
        <f>SUMIFS(data!G:G,data!A:A,TABLEAU!B857,data!C:C,TABLEAU!D857,data!F:F,YEAR(Feuil1!$D$2))</f>
        <v>14408</v>
      </c>
      <c r="H857" s="9">
        <f t="shared" si="52"/>
        <v>-3727.2000000000007</v>
      </c>
      <c r="I857" s="12">
        <f t="shared" si="53"/>
        <v>-0.25868961687951142</v>
      </c>
      <c r="J857" s="13">
        <f>SUMIFS(data!E:E,data!A:A,TABLEAU!B857,data!C:C,TABLEAU!D857,data!F:F,YEAR(Feuil1!$D$1))</f>
        <v>2634</v>
      </c>
      <c r="K857" s="13">
        <f>SUMIFS(data!E:E,data!A:A,TABLEAU!B857,data!C:C,TABLEAU!D857,data!F:F,YEAR(Feuil1!$D$2))</f>
        <v>3636</v>
      </c>
      <c r="L857" s="13">
        <f t="shared" si="54"/>
        <v>-1002</v>
      </c>
      <c r="M857" s="12">
        <f t="shared" si="55"/>
        <v>-0.27557755775577558</v>
      </c>
    </row>
    <row r="858" spans="1:13" x14ac:dyDescent="0.25">
      <c r="A858" s="17" t="str">
        <f>data!H1412</f>
        <v>VINICOM</v>
      </c>
      <c r="B858" s="15" t="str">
        <f>data!A1412</f>
        <v>168</v>
      </c>
      <c r="C858" s="1" t="str">
        <f>data!B1412</f>
        <v>CHATEAU LA ROSE SARRON</v>
      </c>
      <c r="D858" s="1" t="str">
        <f>data!C1412</f>
        <v>168002</v>
      </c>
      <c r="E858" s="1" t="str">
        <f>data!D858</f>
        <v>AC PUISSEGUIIN ST EMILION</v>
      </c>
      <c r="F858" s="14">
        <f>SUMIFS(data!G:G,data!A:A,TABLEAU!B858,data!C:C,TABLEAU!D858,data!F:F,YEAR(Feuil1!$D$1))</f>
        <v>1153.3499999999999</v>
      </c>
      <c r="G858" s="9">
        <f>SUMIFS(data!G:G,data!A:A,TABLEAU!B858,data!C:C,TABLEAU!D858,data!F:F,YEAR(Feuil1!$D$2))</f>
        <v>1085.4000000000001</v>
      </c>
      <c r="H858" s="9">
        <f t="shared" si="52"/>
        <v>67.949999999999818</v>
      </c>
      <c r="I858" s="12">
        <f t="shared" si="53"/>
        <v>6.2603648424543773E-2</v>
      </c>
      <c r="J858" s="13">
        <f>SUMIFS(data!E:E,data!A:A,TABLEAU!B858,data!C:C,TABLEAU!D858,data!F:F,YEAR(Feuil1!$D$1))</f>
        <v>342</v>
      </c>
      <c r="K858" s="13">
        <f>SUMIFS(data!E:E,data!A:A,TABLEAU!B858,data!C:C,TABLEAU!D858,data!F:F,YEAR(Feuil1!$D$2))</f>
        <v>336</v>
      </c>
      <c r="L858" s="13">
        <f t="shared" si="54"/>
        <v>6</v>
      </c>
      <c r="M858" s="12">
        <f t="shared" si="55"/>
        <v>1.7857142857142856E-2</v>
      </c>
    </row>
    <row r="859" spans="1:13" x14ac:dyDescent="0.25">
      <c r="A859" s="17" t="str">
        <f>data!H1414</f>
        <v>VINICOM</v>
      </c>
      <c r="B859" s="15" t="str">
        <f>data!A1414</f>
        <v>168</v>
      </c>
      <c r="C859" s="1" t="str">
        <f>data!B1414</f>
        <v>CHATEAU LA ROSE SARRON</v>
      </c>
      <c r="D859" s="1" t="str">
        <f>data!C1414</f>
        <v>168003</v>
      </c>
      <c r="E859" s="1" t="str">
        <f>data!D859</f>
        <v>AC PUISSEGUIN ST EMILION C.GUIBEAU</v>
      </c>
      <c r="F859" s="14">
        <f>SUMIFS(data!G:G,data!A:A,TABLEAU!B859,data!C:C,TABLEAU!D859,data!F:F,YEAR(Feuil1!$D$1))</f>
        <v>351.12</v>
      </c>
      <c r="G859" s="9">
        <f>SUMIFS(data!G:G,data!A:A,TABLEAU!B859,data!C:C,TABLEAU!D859,data!F:F,YEAR(Feuil1!$D$2))</f>
        <v>0</v>
      </c>
      <c r="H859" s="9">
        <f t="shared" si="52"/>
        <v>351.12</v>
      </c>
      <c r="I859" s="12" t="str">
        <f t="shared" si="53"/>
        <v/>
      </c>
      <c r="J859" s="13">
        <f>SUMIFS(data!E:E,data!A:A,TABLEAU!B859,data!C:C,TABLEAU!D859,data!F:F,YEAR(Feuil1!$D$1))</f>
        <v>66</v>
      </c>
      <c r="K859" s="13">
        <f>SUMIFS(data!E:E,data!A:A,TABLEAU!B859,data!C:C,TABLEAU!D859,data!F:F,YEAR(Feuil1!$D$2))</f>
        <v>0</v>
      </c>
      <c r="L859" s="13">
        <f t="shared" si="54"/>
        <v>66</v>
      </c>
      <c r="M859" s="12" t="str">
        <f t="shared" si="55"/>
        <v/>
      </c>
    </row>
    <row r="860" spans="1:13" x14ac:dyDescent="0.25">
      <c r="A860" s="17" t="str">
        <f>data!H1415</f>
        <v>VINICOM</v>
      </c>
      <c r="B860" s="15" t="str">
        <f>data!A1415</f>
        <v>168</v>
      </c>
      <c r="C860" s="1" t="str">
        <f>data!B1415</f>
        <v>CHATEAU LA ROSE SARRON</v>
      </c>
      <c r="D860" s="1" t="str">
        <f>data!C1415</f>
        <v>168005</v>
      </c>
      <c r="E860" s="1" t="str">
        <f>data!D860</f>
        <v>AC PUISSEGUIN ST EMILION C.GUIBEAU</v>
      </c>
      <c r="F860" s="14">
        <f>SUMIFS(data!G:G,data!A:A,TABLEAU!B860,data!C:C,TABLEAU!D860,data!F:F,YEAR(Feuil1!$D$1))</f>
        <v>165.6</v>
      </c>
      <c r="G860" s="9">
        <f>SUMIFS(data!G:G,data!A:A,TABLEAU!B860,data!C:C,TABLEAU!D860,data!F:F,YEAR(Feuil1!$D$2))</f>
        <v>406.2</v>
      </c>
      <c r="H860" s="9">
        <f t="shared" si="52"/>
        <v>-240.6</v>
      </c>
      <c r="I860" s="12">
        <f t="shared" si="53"/>
        <v>-0.59231905465288037</v>
      </c>
      <c r="J860" s="13">
        <f>SUMIFS(data!E:E,data!A:A,TABLEAU!B860,data!C:C,TABLEAU!D860,data!F:F,YEAR(Feuil1!$D$1))</f>
        <v>24</v>
      </c>
      <c r="K860" s="13">
        <f>SUMIFS(data!E:E,data!A:A,TABLEAU!B860,data!C:C,TABLEAU!D860,data!F:F,YEAR(Feuil1!$D$2))</f>
        <v>60</v>
      </c>
      <c r="L860" s="13">
        <f t="shared" si="54"/>
        <v>-36</v>
      </c>
      <c r="M860" s="12">
        <f t="shared" si="55"/>
        <v>-0.6</v>
      </c>
    </row>
    <row r="861" spans="1:13" x14ac:dyDescent="0.25">
      <c r="A861" s="17" t="str">
        <f>data!H1417</f>
        <v>VINICOM</v>
      </c>
      <c r="B861" s="15" t="str">
        <f>data!A1417</f>
        <v>168</v>
      </c>
      <c r="C861" s="1" t="str">
        <f>data!B1417</f>
        <v>CHATEAU LA ROSE SARRON</v>
      </c>
      <c r="D861" s="1" t="str">
        <f>data!C1417</f>
        <v>168010</v>
      </c>
      <c r="E861" s="1" t="str">
        <f>data!D861</f>
        <v>AC PUISSEGUIN ST EMILION C.GUIBEAU</v>
      </c>
      <c r="F861" s="14">
        <f>SUMIFS(data!G:G,data!A:A,TABLEAU!B861,data!C:C,TABLEAU!D861,data!F:F,YEAR(Feuil1!$D$1))</f>
        <v>0</v>
      </c>
      <c r="G861" s="9">
        <f>SUMIFS(data!G:G,data!A:A,TABLEAU!B861,data!C:C,TABLEAU!D861,data!F:F,YEAR(Feuil1!$D$2))</f>
        <v>351.12</v>
      </c>
      <c r="H861" s="9">
        <f t="shared" si="52"/>
        <v>-351.12</v>
      </c>
      <c r="I861" s="12">
        <f t="shared" si="53"/>
        <v>-1</v>
      </c>
      <c r="J861" s="13">
        <f>SUMIFS(data!E:E,data!A:A,TABLEAU!B861,data!C:C,TABLEAU!D861,data!F:F,YEAR(Feuil1!$D$1))</f>
        <v>0</v>
      </c>
      <c r="K861" s="13">
        <f>SUMIFS(data!E:E,data!A:A,TABLEAU!B861,data!C:C,TABLEAU!D861,data!F:F,YEAR(Feuil1!$D$2))</f>
        <v>90</v>
      </c>
      <c r="L861" s="13">
        <f t="shared" si="54"/>
        <v>-90</v>
      </c>
      <c r="M861" s="12">
        <f t="shared" si="55"/>
        <v>-1</v>
      </c>
    </row>
    <row r="862" spans="1:13" x14ac:dyDescent="0.25">
      <c r="A862" s="17" t="str">
        <f>data!H1418</f>
        <v>VINICOM</v>
      </c>
      <c r="B862" s="15" t="str">
        <f>data!A1418</f>
        <v>168</v>
      </c>
      <c r="C862" s="1" t="str">
        <f>data!B1418</f>
        <v>CHATEAU LA ROSE SARRON</v>
      </c>
      <c r="D862" s="1" t="str">
        <f>data!C1418</f>
        <v>168020CB</v>
      </c>
      <c r="E862" s="1" t="str">
        <f>data!D862</f>
        <v>AC PUISSEGUIN ST EMILION.LA FOURVIEILLE</v>
      </c>
      <c r="F862" s="14">
        <f>SUMIFS(data!G:G,data!A:A,TABLEAU!B862,data!C:C,TABLEAU!D862,data!F:F,YEAR(Feuil1!$D$1))</f>
        <v>371.52</v>
      </c>
      <c r="G862" s="9">
        <f>SUMIFS(data!G:G,data!A:A,TABLEAU!B862,data!C:C,TABLEAU!D862,data!F:F,YEAR(Feuil1!$D$2))</f>
        <v>774.12</v>
      </c>
      <c r="H862" s="9">
        <f t="shared" si="52"/>
        <v>-402.6</v>
      </c>
      <c r="I862" s="12">
        <f t="shared" si="53"/>
        <v>-0.52007440706867158</v>
      </c>
      <c r="J862" s="13">
        <f>SUMIFS(data!E:E,data!A:A,TABLEAU!B862,data!C:C,TABLEAU!D862,data!F:F,YEAR(Feuil1!$D$1))</f>
        <v>72</v>
      </c>
      <c r="K862" s="13">
        <f>SUMIFS(data!E:E,data!A:A,TABLEAU!B862,data!C:C,TABLEAU!D862,data!F:F,YEAR(Feuil1!$D$2))</f>
        <v>150</v>
      </c>
      <c r="L862" s="13">
        <f t="shared" si="54"/>
        <v>-78</v>
      </c>
      <c r="M862" s="12">
        <f t="shared" si="55"/>
        <v>-0.52</v>
      </c>
    </row>
    <row r="863" spans="1:13" x14ac:dyDescent="0.25">
      <c r="A863" s="17" t="str">
        <f>data!H1420</f>
        <v>VINICOM</v>
      </c>
      <c r="B863" s="15" t="str">
        <f>data!A1420</f>
        <v>168</v>
      </c>
      <c r="C863" s="1" t="str">
        <f>data!B1420</f>
        <v>CHATEAU LA ROSE SARRON</v>
      </c>
      <c r="D863" s="1" t="str">
        <f>data!C1420</f>
        <v>CDV168010</v>
      </c>
      <c r="E863" s="1" t="str">
        <f>data!D863</f>
        <v>AC PUISSEGUIN ST EMILION.LA FOURVIEILLE</v>
      </c>
      <c r="F863" s="14">
        <f>SUMIFS(data!G:G,data!A:A,TABLEAU!B863,data!C:C,TABLEAU!D863,data!F:F,YEAR(Feuil1!$D$1))</f>
        <v>0</v>
      </c>
      <c r="G863" s="9">
        <f>SUMIFS(data!G:G,data!A:A,TABLEAU!B863,data!C:C,TABLEAU!D863,data!F:F,YEAR(Feuil1!$D$2))</f>
        <v>64.8</v>
      </c>
      <c r="H863" s="9">
        <f t="shared" si="52"/>
        <v>-64.8</v>
      </c>
      <c r="I863" s="12">
        <f t="shared" si="53"/>
        <v>-1</v>
      </c>
      <c r="J863" s="13">
        <f>SUMIFS(data!E:E,data!A:A,TABLEAU!B863,data!C:C,TABLEAU!D863,data!F:F,YEAR(Feuil1!$D$1))</f>
        <v>0</v>
      </c>
      <c r="K863" s="13">
        <f>SUMIFS(data!E:E,data!A:A,TABLEAU!B863,data!C:C,TABLEAU!D863,data!F:F,YEAR(Feuil1!$D$2))</f>
        <v>12</v>
      </c>
      <c r="L863" s="13">
        <f t="shared" si="54"/>
        <v>-12</v>
      </c>
      <c r="M863" s="12">
        <f t="shared" si="55"/>
        <v>-1</v>
      </c>
    </row>
    <row r="864" spans="1:13" x14ac:dyDescent="0.25">
      <c r="A864" s="17" t="str">
        <f>data!H1421</f>
        <v>VINICOM</v>
      </c>
      <c r="B864" s="15" t="str">
        <f>data!A1421</f>
        <v>169</v>
      </c>
      <c r="C864" s="1" t="str">
        <f>data!B1421</f>
        <v>CHATEAU PERREAU BEL AIR</v>
      </c>
      <c r="D864" s="1" t="str">
        <f>data!C1421</f>
        <v>169001</v>
      </c>
      <c r="E864" s="1" t="str">
        <f>data!D864</f>
        <v>AC PUISSEGUIN ST EMILION</v>
      </c>
      <c r="F864" s="14">
        <f>SUMIFS(data!G:G,data!A:A,TABLEAU!B864,data!C:C,TABLEAU!D864,data!F:F,YEAR(Feuil1!$D$1))</f>
        <v>13566.1</v>
      </c>
      <c r="G864" s="9">
        <f>SUMIFS(data!G:G,data!A:A,TABLEAU!B864,data!C:C,TABLEAU!D864,data!F:F,YEAR(Feuil1!$D$2))</f>
        <v>16969.5</v>
      </c>
      <c r="H864" s="9">
        <f t="shared" si="52"/>
        <v>-3403.3999999999996</v>
      </c>
      <c r="I864" s="12">
        <f t="shared" si="53"/>
        <v>-0.20055982792657412</v>
      </c>
      <c r="J864" s="13">
        <f>SUMIFS(data!E:E,data!A:A,TABLEAU!B864,data!C:C,TABLEAU!D864,data!F:F,YEAR(Feuil1!$D$1))</f>
        <v>4668</v>
      </c>
      <c r="K864" s="13">
        <f>SUMIFS(data!E:E,data!A:A,TABLEAU!B864,data!C:C,TABLEAU!D864,data!F:F,YEAR(Feuil1!$D$2))</f>
        <v>5906</v>
      </c>
      <c r="L864" s="13">
        <f t="shared" si="54"/>
        <v>-1238</v>
      </c>
      <c r="M864" s="12">
        <f t="shared" si="55"/>
        <v>-0.20961733830003387</v>
      </c>
    </row>
    <row r="865" spans="1:13" x14ac:dyDescent="0.25">
      <c r="A865" s="17" t="str">
        <f>data!H1423</f>
        <v>VINICOM</v>
      </c>
      <c r="B865" s="15" t="str">
        <f>data!A1423</f>
        <v>169</v>
      </c>
      <c r="C865" s="1" t="str">
        <f>data!B1423</f>
        <v>CHATEAU PERREAU BEL AIR</v>
      </c>
      <c r="D865" s="1" t="str">
        <f>data!C1423</f>
        <v>169002</v>
      </c>
      <c r="E865" s="1" t="str">
        <f>data!D865</f>
        <v>AC PUISSEGUIN ST EMILION</v>
      </c>
      <c r="F865" s="14">
        <f>SUMIFS(data!G:G,data!A:A,TABLEAU!B865,data!C:C,TABLEAU!D865,data!F:F,YEAR(Feuil1!$D$1))</f>
        <v>11015.4</v>
      </c>
      <c r="G865" s="9">
        <f>SUMIFS(data!G:G,data!A:A,TABLEAU!B865,data!C:C,TABLEAU!D865,data!F:F,YEAR(Feuil1!$D$2))</f>
        <v>22429.96</v>
      </c>
      <c r="H865" s="9">
        <f t="shared" si="52"/>
        <v>-11414.56</v>
      </c>
      <c r="I865" s="12">
        <f t="shared" si="53"/>
        <v>-0.50889792045995619</v>
      </c>
      <c r="J865" s="13">
        <f>SUMIFS(data!E:E,data!A:A,TABLEAU!B865,data!C:C,TABLEAU!D865,data!F:F,YEAR(Feuil1!$D$1))</f>
        <v>4494</v>
      </c>
      <c r="K865" s="13">
        <f>SUMIFS(data!E:E,data!A:A,TABLEAU!B865,data!C:C,TABLEAU!D865,data!F:F,YEAR(Feuil1!$D$2))</f>
        <v>9366</v>
      </c>
      <c r="L865" s="13">
        <f t="shared" si="54"/>
        <v>-4872</v>
      </c>
      <c r="M865" s="12">
        <f t="shared" si="55"/>
        <v>-0.52017937219730936</v>
      </c>
    </row>
    <row r="866" spans="1:13" x14ac:dyDescent="0.25">
      <c r="A866" s="17" t="str">
        <f>data!H1425</f>
        <v>VINICOM</v>
      </c>
      <c r="B866" s="15" t="str">
        <f>data!A1425</f>
        <v>169</v>
      </c>
      <c r="C866" s="1" t="str">
        <f>data!B1425</f>
        <v>CHATEAU PERREAU BEL AIR</v>
      </c>
      <c r="D866" s="1" t="str">
        <f>data!C1425</f>
        <v>169003CB</v>
      </c>
      <c r="E866" s="1" t="str">
        <f>data!D866</f>
        <v>AOP PUISSEGUIN ST EMILION CH GUIBEAU</v>
      </c>
      <c r="F866" s="14">
        <f>SUMIFS(data!G:G,data!A:A,TABLEAU!B866,data!C:C,TABLEAU!D866,data!F:F,YEAR(Feuil1!$D$1))</f>
        <v>418.8</v>
      </c>
      <c r="G866" s="9">
        <f>SUMIFS(data!G:G,data!A:A,TABLEAU!B866,data!C:C,TABLEAU!D866,data!F:F,YEAR(Feuil1!$D$2))</f>
        <v>280.8</v>
      </c>
      <c r="H866" s="9">
        <f t="shared" si="52"/>
        <v>138</v>
      </c>
      <c r="I866" s="12">
        <f t="shared" si="53"/>
        <v>0.49145299145299143</v>
      </c>
      <c r="J866" s="13">
        <f>SUMIFS(data!E:E,data!A:A,TABLEAU!B866,data!C:C,TABLEAU!D866,data!F:F,YEAR(Feuil1!$D$1))</f>
        <v>66</v>
      </c>
      <c r="K866" s="13">
        <f>SUMIFS(data!E:E,data!A:A,TABLEAU!B866,data!C:C,TABLEAU!D866,data!F:F,YEAR(Feuil1!$D$2))</f>
        <v>42</v>
      </c>
      <c r="L866" s="13">
        <f t="shared" si="54"/>
        <v>24</v>
      </c>
      <c r="M866" s="12">
        <f t="shared" si="55"/>
        <v>0.5714285714285714</v>
      </c>
    </row>
    <row r="867" spans="1:13" x14ac:dyDescent="0.25">
      <c r="A867" s="17" t="str">
        <f>data!H1427</f>
        <v>VINICOM</v>
      </c>
      <c r="B867" s="15" t="str">
        <f>data!A1427</f>
        <v>169</v>
      </c>
      <c r="C867" s="1" t="str">
        <f>data!B1427</f>
        <v>CHATEAU PERREAU BEL AIR</v>
      </c>
      <c r="D867" s="1" t="str">
        <f>data!C1427</f>
        <v>169005CB</v>
      </c>
      <c r="E867" s="1" t="str">
        <f>data!D867</f>
        <v>AOP PUISSEGUIN ST EMILION CH GUIBEAU</v>
      </c>
      <c r="F867" s="14">
        <f>SUMIFS(data!G:G,data!A:A,TABLEAU!B867,data!C:C,TABLEAU!D867,data!F:F,YEAR(Feuil1!$D$1))</f>
        <v>206.4</v>
      </c>
      <c r="G867" s="9">
        <f>SUMIFS(data!G:G,data!A:A,TABLEAU!B867,data!C:C,TABLEAU!D867,data!F:F,YEAR(Feuil1!$D$2))</f>
        <v>619.20000000000005</v>
      </c>
      <c r="H867" s="9">
        <f t="shared" si="52"/>
        <v>-412.80000000000007</v>
      </c>
      <c r="I867" s="12">
        <f t="shared" si="53"/>
        <v>-0.66666666666666674</v>
      </c>
      <c r="J867" s="13">
        <f>SUMIFS(data!E:E,data!A:A,TABLEAU!B867,data!C:C,TABLEAU!D867,data!F:F,YEAR(Feuil1!$D$1))</f>
        <v>48</v>
      </c>
      <c r="K867" s="13">
        <f>SUMIFS(data!E:E,data!A:A,TABLEAU!B867,data!C:C,TABLEAU!D867,data!F:F,YEAR(Feuil1!$D$2))</f>
        <v>183</v>
      </c>
      <c r="L867" s="13">
        <f t="shared" si="54"/>
        <v>-135</v>
      </c>
      <c r="M867" s="12">
        <f t="shared" si="55"/>
        <v>-0.73770491803278693</v>
      </c>
    </row>
    <row r="868" spans="1:13" x14ac:dyDescent="0.25">
      <c r="A868" s="17" t="str">
        <f>data!H1429</f>
        <v>VINICOM</v>
      </c>
      <c r="B868" s="15" t="str">
        <f>data!A1429</f>
        <v>169</v>
      </c>
      <c r="C868" s="1" t="str">
        <f>data!B1429</f>
        <v>CHATEAU PERREAU BEL AIR</v>
      </c>
      <c r="D868" s="1" t="str">
        <f>data!C1429</f>
        <v>169009</v>
      </c>
      <c r="E868" s="1" t="str">
        <f>data!D868</f>
        <v>AC BX SUP Tradi  CH LAUDUC</v>
      </c>
      <c r="F868" s="14">
        <f>SUMIFS(data!G:G,data!A:A,TABLEAU!B868,data!C:C,TABLEAU!D868,data!F:F,YEAR(Feuil1!$D$1))</f>
        <v>6142</v>
      </c>
      <c r="G868" s="9">
        <f>SUMIFS(data!G:G,data!A:A,TABLEAU!B868,data!C:C,TABLEAU!D868,data!F:F,YEAR(Feuil1!$D$2))</f>
        <v>13176.7</v>
      </c>
      <c r="H868" s="9">
        <f t="shared" si="52"/>
        <v>-7034.7000000000007</v>
      </c>
      <c r="I868" s="12">
        <f t="shared" si="53"/>
        <v>-0.53387418701192257</v>
      </c>
      <c r="J868" s="13">
        <f>SUMIFS(data!E:E,data!A:A,TABLEAU!B868,data!C:C,TABLEAU!D868,data!F:F,YEAR(Feuil1!$D$1))</f>
        <v>4425.5599999999977</v>
      </c>
      <c r="K868" s="13">
        <f>SUMIFS(data!E:E,data!A:A,TABLEAU!B868,data!C:C,TABLEAU!D868,data!F:F,YEAR(Feuil1!$D$2))</f>
        <v>9557.6099999999915</v>
      </c>
      <c r="L868" s="13">
        <f t="shared" si="54"/>
        <v>-5132.0499999999938</v>
      </c>
      <c r="M868" s="12">
        <f t="shared" si="55"/>
        <v>-0.53695955369595516</v>
      </c>
    </row>
    <row r="869" spans="1:13" x14ac:dyDescent="0.25">
      <c r="A869" s="17" t="str">
        <f>data!H1431</f>
        <v>VINICOM</v>
      </c>
      <c r="B869" s="15" t="str">
        <f>data!A1431</f>
        <v>169</v>
      </c>
      <c r="C869" s="1" t="str">
        <f>data!B1431</f>
        <v>CHATEAU PERREAU BEL AIR</v>
      </c>
      <c r="D869" s="1" t="str">
        <f>data!C1431</f>
        <v>169010</v>
      </c>
      <c r="E869" s="1" t="str">
        <f>data!D869</f>
        <v>AC BX SUP Tradi  CH LAUDUC</v>
      </c>
      <c r="F869" s="14">
        <f>SUMIFS(data!G:G,data!A:A,TABLEAU!B869,data!C:C,TABLEAU!D869,data!F:F,YEAR(Feuil1!$D$1))</f>
        <v>4683</v>
      </c>
      <c r="G869" s="9">
        <f>SUMIFS(data!G:G,data!A:A,TABLEAU!B869,data!C:C,TABLEAU!D869,data!F:F,YEAR(Feuil1!$D$2))</f>
        <v>8805.2999999999993</v>
      </c>
      <c r="H869" s="9">
        <f t="shared" si="52"/>
        <v>-4122.2999999999993</v>
      </c>
      <c r="I869" s="12">
        <f t="shared" si="53"/>
        <v>-0.46816122108275693</v>
      </c>
      <c r="J869" s="13">
        <f>SUMIFS(data!E:E,data!A:A,TABLEAU!B869,data!C:C,TABLEAU!D869,data!F:F,YEAR(Feuil1!$D$1))</f>
        <v>3008.17</v>
      </c>
      <c r="K869" s="13">
        <f>SUMIFS(data!E:E,data!A:A,TABLEAU!B869,data!C:C,TABLEAU!D869,data!F:F,YEAR(Feuil1!$D$2))</f>
        <v>5769.5500000000084</v>
      </c>
      <c r="L869" s="13">
        <f t="shared" si="54"/>
        <v>-2761.3800000000083</v>
      </c>
      <c r="M869" s="12">
        <f t="shared" si="55"/>
        <v>-0.47861271676300654</v>
      </c>
    </row>
    <row r="870" spans="1:13" x14ac:dyDescent="0.25">
      <c r="A870" s="17" t="str">
        <f>data!H1433</f>
        <v>VINICOM</v>
      </c>
      <c r="B870" s="15" t="str">
        <f>data!A1433</f>
        <v>169</v>
      </c>
      <c r="C870" s="1" t="str">
        <f>data!B1433</f>
        <v>CHATEAU PERREAU BEL AIR</v>
      </c>
      <c r="D870" s="1" t="str">
        <f>data!C1433</f>
        <v>169011</v>
      </c>
      <c r="E870" s="1" t="str">
        <f>data!D870</f>
        <v>AC BX SUP Tradi  CH LAUDUC</v>
      </c>
      <c r="F870" s="14">
        <f>SUMIFS(data!G:G,data!A:A,TABLEAU!B870,data!C:C,TABLEAU!D870,data!F:F,YEAR(Feuil1!$D$1))</f>
        <v>485</v>
      </c>
      <c r="G870" s="9">
        <f>SUMIFS(data!G:G,data!A:A,TABLEAU!B870,data!C:C,TABLEAU!D870,data!F:F,YEAR(Feuil1!$D$2))</f>
        <v>0</v>
      </c>
      <c r="H870" s="9">
        <f t="shared" si="52"/>
        <v>485</v>
      </c>
      <c r="I870" s="12" t="str">
        <f t="shared" si="53"/>
        <v/>
      </c>
      <c r="J870" s="13">
        <f>SUMIFS(data!E:E,data!A:A,TABLEAU!B870,data!C:C,TABLEAU!D870,data!F:F,YEAR(Feuil1!$D$1))</f>
        <v>222</v>
      </c>
      <c r="K870" s="13">
        <f>SUMIFS(data!E:E,data!A:A,TABLEAU!B870,data!C:C,TABLEAU!D870,data!F:F,YEAR(Feuil1!$D$2))</f>
        <v>0</v>
      </c>
      <c r="L870" s="13">
        <f t="shared" si="54"/>
        <v>222</v>
      </c>
      <c r="M870" s="12" t="str">
        <f t="shared" si="55"/>
        <v/>
      </c>
    </row>
    <row r="871" spans="1:13" x14ac:dyDescent="0.25">
      <c r="A871" s="17" t="str">
        <f>data!H1434</f>
        <v>VINICOM</v>
      </c>
      <c r="B871" s="15" t="str">
        <f>data!A1434</f>
        <v>169</v>
      </c>
      <c r="C871" s="1" t="str">
        <f>data!B1434</f>
        <v>CHATEAU PERREAU BEL AIR</v>
      </c>
      <c r="D871" s="1" t="str">
        <f>data!C1434</f>
        <v>169012</v>
      </c>
      <c r="E871" s="1" t="str">
        <f>data!D871</f>
        <v>AC BX SUP Tradi  CH LAUDUC</v>
      </c>
      <c r="F871" s="14">
        <f>SUMIFS(data!G:G,data!A:A,TABLEAU!B871,data!C:C,TABLEAU!D871,data!F:F,YEAR(Feuil1!$D$1))</f>
        <v>0</v>
      </c>
      <c r="G871" s="9">
        <f>SUMIFS(data!G:G,data!A:A,TABLEAU!B871,data!C:C,TABLEAU!D871,data!F:F,YEAR(Feuil1!$D$2))</f>
        <v>0</v>
      </c>
      <c r="H871" s="9">
        <f t="shared" si="52"/>
        <v>0</v>
      </c>
      <c r="I871" s="12" t="str">
        <f t="shared" si="53"/>
        <v/>
      </c>
      <c r="J871" s="13">
        <f>SUMIFS(data!E:E,data!A:A,TABLEAU!B871,data!C:C,TABLEAU!D871,data!F:F,YEAR(Feuil1!$D$1))</f>
        <v>18</v>
      </c>
      <c r="K871" s="13">
        <f>SUMIFS(data!E:E,data!A:A,TABLEAU!B871,data!C:C,TABLEAU!D871,data!F:F,YEAR(Feuil1!$D$2))</f>
        <v>0</v>
      </c>
      <c r="L871" s="13">
        <f t="shared" si="54"/>
        <v>18</v>
      </c>
      <c r="M871" s="12" t="str">
        <f t="shared" si="55"/>
        <v/>
      </c>
    </row>
    <row r="872" spans="1:13" x14ac:dyDescent="0.25">
      <c r="A872" s="17" t="str">
        <f>data!H1435</f>
        <v>VINICOM</v>
      </c>
      <c r="B872" s="15" t="str">
        <f>data!A1435</f>
        <v>169</v>
      </c>
      <c r="C872" s="1" t="str">
        <f>data!B1435</f>
        <v>CHATEAU PERREAU BEL AIR</v>
      </c>
      <c r="D872" s="1" t="str">
        <f>data!C1435</f>
        <v>CDV169012</v>
      </c>
      <c r="E872" s="1" t="str">
        <f>data!D872</f>
        <v>AC BORDEAUX CHATEAU LAUDUC</v>
      </c>
      <c r="F872" s="14">
        <f>SUMIFS(data!G:G,data!A:A,TABLEAU!B872,data!C:C,TABLEAU!D872,data!F:F,YEAR(Feuil1!$D$1))</f>
        <v>0</v>
      </c>
      <c r="G872" s="9">
        <f>SUMIFS(data!G:G,data!A:A,TABLEAU!B872,data!C:C,TABLEAU!D872,data!F:F,YEAR(Feuil1!$D$2))</f>
        <v>0</v>
      </c>
      <c r="H872" s="9">
        <f t="shared" si="52"/>
        <v>0</v>
      </c>
      <c r="I872" s="12" t="str">
        <f t="shared" si="53"/>
        <v/>
      </c>
      <c r="J872" s="13">
        <f>SUMIFS(data!E:E,data!A:A,TABLEAU!B872,data!C:C,TABLEAU!D872,data!F:F,YEAR(Feuil1!$D$1))</f>
        <v>0</v>
      </c>
      <c r="K872" s="13">
        <f>SUMIFS(data!E:E,data!A:A,TABLEAU!B872,data!C:C,TABLEAU!D872,data!F:F,YEAR(Feuil1!$D$2))</f>
        <v>18</v>
      </c>
      <c r="L872" s="13">
        <f t="shared" si="54"/>
        <v>-18</v>
      </c>
      <c r="M872" s="12">
        <f t="shared" si="55"/>
        <v>-1</v>
      </c>
    </row>
    <row r="873" spans="1:13" x14ac:dyDescent="0.25">
      <c r="A873" s="17" t="str">
        <f>data!H1437</f>
        <v>VINICOM</v>
      </c>
      <c r="B873" s="15" t="str">
        <f>data!A1437</f>
        <v>170</v>
      </c>
      <c r="C873" s="1" t="str">
        <f>data!B1437</f>
        <v>DOMAINE DE POULVAREL</v>
      </c>
      <c r="D873" s="1" t="str">
        <f>data!C1437</f>
        <v>170001</v>
      </c>
      <c r="E873" s="1" t="str">
        <f>data!D873</f>
        <v>AC BORDEAUX CHATEAU LAUDUC</v>
      </c>
      <c r="F873" s="14">
        <f>SUMIFS(data!G:G,data!A:A,TABLEAU!B873,data!C:C,TABLEAU!D873,data!F:F,YEAR(Feuil1!$D$1))</f>
        <v>97.5</v>
      </c>
      <c r="G873" s="9">
        <f>SUMIFS(data!G:G,data!A:A,TABLEAU!B873,data!C:C,TABLEAU!D873,data!F:F,YEAR(Feuil1!$D$2))</f>
        <v>582</v>
      </c>
      <c r="H873" s="9">
        <f t="shared" si="52"/>
        <v>-484.5</v>
      </c>
      <c r="I873" s="12">
        <f t="shared" si="53"/>
        <v>-0.83247422680412375</v>
      </c>
      <c r="J873" s="13">
        <f>SUMIFS(data!E:E,data!A:A,TABLEAU!B873,data!C:C,TABLEAU!D873,data!F:F,YEAR(Feuil1!$D$1))</f>
        <v>30</v>
      </c>
      <c r="K873" s="13">
        <f>SUMIFS(data!E:E,data!A:A,TABLEAU!B873,data!C:C,TABLEAU!D873,data!F:F,YEAR(Feuil1!$D$2))</f>
        <v>180</v>
      </c>
      <c r="L873" s="13">
        <f t="shared" si="54"/>
        <v>-150</v>
      </c>
      <c r="M873" s="12">
        <f t="shared" si="55"/>
        <v>-0.83333333333333337</v>
      </c>
    </row>
    <row r="874" spans="1:13" x14ac:dyDescent="0.25">
      <c r="A874" s="17" t="str">
        <f>data!H1439</f>
        <v>VINICOM</v>
      </c>
      <c r="B874" s="15" t="str">
        <f>data!A1439</f>
        <v>173</v>
      </c>
      <c r="C874" s="1" t="str">
        <f>data!B1439</f>
        <v>DOMAINE FREYBURGER</v>
      </c>
      <c r="D874" s="1" t="str">
        <f>data!C1439</f>
        <v>173001</v>
      </c>
      <c r="E874" s="1" t="str">
        <f>data!D874</f>
        <v>AC ENTRE DEUX MER CH FLAMAND BELLEVUE</v>
      </c>
      <c r="F874" s="14">
        <f>SUMIFS(data!G:G,data!A:A,TABLEAU!B874,data!C:C,TABLEAU!D874,data!F:F,YEAR(Feuil1!$D$1))</f>
        <v>0</v>
      </c>
      <c r="G874" s="9">
        <f>SUMIFS(data!G:G,data!A:A,TABLEAU!B874,data!C:C,TABLEAU!D874,data!F:F,YEAR(Feuil1!$D$2))</f>
        <v>298.8</v>
      </c>
      <c r="H874" s="9">
        <f t="shared" si="52"/>
        <v>-298.8</v>
      </c>
      <c r="I874" s="12">
        <f t="shared" si="53"/>
        <v>-1</v>
      </c>
      <c r="J874" s="13">
        <f>SUMIFS(data!E:E,data!A:A,TABLEAU!B874,data!C:C,TABLEAU!D874,data!F:F,YEAR(Feuil1!$D$1))</f>
        <v>0</v>
      </c>
      <c r="K874" s="13">
        <f>SUMIFS(data!E:E,data!A:A,TABLEAU!B874,data!C:C,TABLEAU!D874,data!F:F,YEAR(Feuil1!$D$2))</f>
        <v>78</v>
      </c>
      <c r="L874" s="13">
        <f t="shared" si="54"/>
        <v>-78</v>
      </c>
      <c r="M874" s="12">
        <f t="shared" si="55"/>
        <v>-1</v>
      </c>
    </row>
    <row r="875" spans="1:13" x14ac:dyDescent="0.25">
      <c r="A875" s="17" t="str">
        <f>data!H1440</f>
        <v>VINICOM</v>
      </c>
      <c r="B875" s="15" t="str">
        <f>data!A1440</f>
        <v>173</v>
      </c>
      <c r="C875" s="1" t="str">
        <f>data!B1440</f>
        <v>DOMAINE FREYBURGER</v>
      </c>
      <c r="D875" s="1" t="str">
        <f>data!C1440</f>
        <v>173002</v>
      </c>
      <c r="E875" s="1" t="str">
        <f>data!D875</f>
        <v>AC ENTRE DEUX MER CH FLAMAND BELLEVUE</v>
      </c>
      <c r="F875" s="14">
        <f>SUMIFS(data!G:G,data!A:A,TABLEAU!B875,data!C:C,TABLEAU!D875,data!F:F,YEAR(Feuil1!$D$1))</f>
        <v>0</v>
      </c>
      <c r="G875" s="9">
        <f>SUMIFS(data!G:G,data!A:A,TABLEAU!B875,data!C:C,TABLEAU!D875,data!F:F,YEAR(Feuil1!$D$2))</f>
        <v>817.2</v>
      </c>
      <c r="H875" s="9">
        <f t="shared" si="52"/>
        <v>-817.2</v>
      </c>
      <c r="I875" s="12">
        <f t="shared" si="53"/>
        <v>-1</v>
      </c>
      <c r="J875" s="13">
        <f>SUMIFS(data!E:E,data!A:A,TABLEAU!B875,data!C:C,TABLEAU!D875,data!F:F,YEAR(Feuil1!$D$1))</f>
        <v>0</v>
      </c>
      <c r="K875" s="13">
        <f>SUMIFS(data!E:E,data!A:A,TABLEAU!B875,data!C:C,TABLEAU!D875,data!F:F,YEAR(Feuil1!$D$2))</f>
        <v>198</v>
      </c>
      <c r="L875" s="13">
        <f t="shared" si="54"/>
        <v>-198</v>
      </c>
      <c r="M875" s="12">
        <f t="shared" si="55"/>
        <v>-1</v>
      </c>
    </row>
    <row r="876" spans="1:13" x14ac:dyDescent="0.25">
      <c r="A876" s="17" t="str">
        <f>data!H1441</f>
        <v>VINICOM</v>
      </c>
      <c r="B876" s="15" t="str">
        <f>data!A1441</f>
        <v>173</v>
      </c>
      <c r="C876" s="1" t="str">
        <f>data!B1441</f>
        <v>DOMAINE FREYBURGER</v>
      </c>
      <c r="D876" s="1" t="str">
        <f>data!C1441</f>
        <v>173003</v>
      </c>
      <c r="E876" s="1" t="str">
        <f>data!D876</f>
        <v>AC BDX Classic CH LAUDUC</v>
      </c>
      <c r="F876" s="14">
        <f>SUMIFS(data!G:G,data!A:A,TABLEAU!B876,data!C:C,TABLEAU!D876,data!F:F,YEAR(Feuil1!$D$1))</f>
        <v>0</v>
      </c>
      <c r="G876" s="9">
        <f>SUMIFS(data!G:G,data!A:A,TABLEAU!B876,data!C:C,TABLEAU!D876,data!F:F,YEAR(Feuil1!$D$2))</f>
        <v>1599</v>
      </c>
      <c r="H876" s="9">
        <f t="shared" si="52"/>
        <v>-1599</v>
      </c>
      <c r="I876" s="12">
        <f t="shared" si="53"/>
        <v>-1</v>
      </c>
      <c r="J876" s="13">
        <f>SUMIFS(data!E:E,data!A:A,TABLEAU!B876,data!C:C,TABLEAU!D876,data!F:F,YEAR(Feuil1!$D$1))</f>
        <v>0</v>
      </c>
      <c r="K876" s="13">
        <f>SUMIFS(data!E:E,data!A:A,TABLEAU!B876,data!C:C,TABLEAU!D876,data!F:F,YEAR(Feuil1!$D$2))</f>
        <v>330</v>
      </c>
      <c r="L876" s="13">
        <f t="shared" si="54"/>
        <v>-330</v>
      </c>
      <c r="M876" s="12">
        <f t="shared" si="55"/>
        <v>-1</v>
      </c>
    </row>
    <row r="877" spans="1:13" x14ac:dyDescent="0.25">
      <c r="A877" s="17" t="str">
        <f>data!H1442</f>
        <v>VINICOM</v>
      </c>
      <c r="B877" s="15" t="str">
        <f>data!A1442</f>
        <v>173</v>
      </c>
      <c r="C877" s="1" t="str">
        <f>data!B1442</f>
        <v>DOMAINE FREYBURGER</v>
      </c>
      <c r="D877" s="1" t="str">
        <f>data!C1442</f>
        <v>173004</v>
      </c>
      <c r="E877" s="1" t="str">
        <f>data!D877</f>
        <v>AC BDX Classic CH LAUDUC</v>
      </c>
      <c r="F877" s="14">
        <f>SUMIFS(data!G:G,data!A:A,TABLEAU!B877,data!C:C,TABLEAU!D877,data!F:F,YEAR(Feuil1!$D$1))</f>
        <v>0</v>
      </c>
      <c r="G877" s="9">
        <f>SUMIFS(data!G:G,data!A:A,TABLEAU!B877,data!C:C,TABLEAU!D877,data!F:F,YEAR(Feuil1!$D$2))</f>
        <v>1987.8</v>
      </c>
      <c r="H877" s="9">
        <f t="shared" si="52"/>
        <v>-1987.8</v>
      </c>
      <c r="I877" s="12">
        <f t="shared" si="53"/>
        <v>-1</v>
      </c>
      <c r="J877" s="13">
        <f>SUMIFS(data!E:E,data!A:A,TABLEAU!B877,data!C:C,TABLEAU!D877,data!F:F,YEAR(Feuil1!$D$1))</f>
        <v>0</v>
      </c>
      <c r="K877" s="13">
        <f>SUMIFS(data!E:E,data!A:A,TABLEAU!B877,data!C:C,TABLEAU!D877,data!F:F,YEAR(Feuil1!$D$2))</f>
        <v>450</v>
      </c>
      <c r="L877" s="13">
        <f t="shared" si="54"/>
        <v>-450</v>
      </c>
      <c r="M877" s="12">
        <f t="shared" si="55"/>
        <v>-1</v>
      </c>
    </row>
    <row r="878" spans="1:13" x14ac:dyDescent="0.25">
      <c r="A878" s="17" t="str">
        <f>data!H1443</f>
        <v>VINICOM</v>
      </c>
      <c r="B878" s="15" t="str">
        <f>data!A1443</f>
        <v>173</v>
      </c>
      <c r="C878" s="1" t="str">
        <f>data!B1443</f>
        <v>DOMAINE FREYBURGER</v>
      </c>
      <c r="D878" s="1" t="str">
        <f>data!C1443</f>
        <v>CDV173005</v>
      </c>
      <c r="E878" s="1" t="str">
        <f>data!D878</f>
        <v>AC BDX Classic CH LAUDUC</v>
      </c>
      <c r="F878" s="14">
        <f>SUMIFS(data!G:G,data!A:A,TABLEAU!B878,data!C:C,TABLEAU!D878,data!F:F,YEAR(Feuil1!$D$1))</f>
        <v>0</v>
      </c>
      <c r="G878" s="9">
        <f>SUMIFS(data!G:G,data!A:A,TABLEAU!B878,data!C:C,TABLEAU!D878,data!F:F,YEAR(Feuil1!$D$2))</f>
        <v>313.2</v>
      </c>
      <c r="H878" s="9">
        <f t="shared" si="52"/>
        <v>-313.2</v>
      </c>
      <c r="I878" s="12">
        <f t="shared" si="53"/>
        <v>-1</v>
      </c>
      <c r="J878" s="13">
        <f>SUMIFS(data!E:E,data!A:A,TABLEAU!B878,data!C:C,TABLEAU!D878,data!F:F,YEAR(Feuil1!$D$1))</f>
        <v>0</v>
      </c>
      <c r="K878" s="13">
        <f>SUMIFS(data!E:E,data!A:A,TABLEAU!B878,data!C:C,TABLEAU!D878,data!F:F,YEAR(Feuil1!$D$2))</f>
        <v>90</v>
      </c>
      <c r="L878" s="13">
        <f t="shared" si="54"/>
        <v>-90</v>
      </c>
      <c r="M878" s="12">
        <f t="shared" si="55"/>
        <v>-1</v>
      </c>
    </row>
    <row r="879" spans="1:13" x14ac:dyDescent="0.25">
      <c r="A879" s="17" t="str">
        <f>data!H1444</f>
        <v>VINICOM</v>
      </c>
      <c r="B879" s="15" t="str">
        <f>data!A1444</f>
        <v>173</v>
      </c>
      <c r="C879" s="1" t="str">
        <f>data!B1444</f>
        <v>DOMAINE FREYBURGER</v>
      </c>
      <c r="D879" s="1" t="str">
        <f>data!C1444</f>
        <v>CDV173006</v>
      </c>
      <c r="E879" s="1" t="str">
        <f>data!D879</f>
        <v>AC BDX Classic CH LAUDUC</v>
      </c>
      <c r="F879" s="14">
        <f>SUMIFS(data!G:G,data!A:A,TABLEAU!B879,data!C:C,TABLEAU!D879,data!F:F,YEAR(Feuil1!$D$1))</f>
        <v>0</v>
      </c>
      <c r="G879" s="9">
        <f>SUMIFS(data!G:G,data!A:A,TABLEAU!B879,data!C:C,TABLEAU!D879,data!F:F,YEAR(Feuil1!$D$2))</f>
        <v>504</v>
      </c>
      <c r="H879" s="9">
        <f t="shared" si="52"/>
        <v>-504</v>
      </c>
      <c r="I879" s="12">
        <f t="shared" si="53"/>
        <v>-1</v>
      </c>
      <c r="J879" s="13">
        <f>SUMIFS(data!E:E,data!A:A,TABLEAU!B879,data!C:C,TABLEAU!D879,data!F:F,YEAR(Feuil1!$D$1))</f>
        <v>0</v>
      </c>
      <c r="K879" s="13">
        <f>SUMIFS(data!E:E,data!A:A,TABLEAU!B879,data!C:C,TABLEAU!D879,data!F:F,YEAR(Feuil1!$D$2))</f>
        <v>0</v>
      </c>
      <c r="L879" s="13">
        <f t="shared" si="54"/>
        <v>0</v>
      </c>
      <c r="M879" s="12" t="str">
        <f t="shared" si="55"/>
        <v/>
      </c>
    </row>
    <row r="880" spans="1:13" x14ac:dyDescent="0.25">
      <c r="A880" s="17" t="str">
        <f>data!H1445</f>
        <v>VINICOM</v>
      </c>
      <c r="B880" s="15" t="str">
        <f>data!A1445</f>
        <v>173</v>
      </c>
      <c r="C880" s="1" t="str">
        <f>data!B1445</f>
        <v>DOMAINE FREYBURGER</v>
      </c>
      <c r="D880" s="1" t="str">
        <f>data!C1445</f>
        <v>CDV173007</v>
      </c>
      <c r="E880" s="1" t="str">
        <f>data!D880</f>
        <v>AC BDX CH.FLAMAND BELLEVUE</v>
      </c>
      <c r="F880" s="14">
        <f>SUMIFS(data!G:G,data!A:A,TABLEAU!B880,data!C:C,TABLEAU!D880,data!F:F,YEAR(Feuil1!$D$1))</f>
        <v>0</v>
      </c>
      <c r="G880" s="9">
        <f>SUMIFS(data!G:G,data!A:A,TABLEAU!B880,data!C:C,TABLEAU!D880,data!F:F,YEAR(Feuil1!$D$2))</f>
        <v>108</v>
      </c>
      <c r="H880" s="9">
        <f t="shared" si="52"/>
        <v>-108</v>
      </c>
      <c r="I880" s="12">
        <f t="shared" si="53"/>
        <v>-1</v>
      </c>
      <c r="J880" s="13">
        <f>SUMIFS(data!E:E,data!A:A,TABLEAU!B880,data!C:C,TABLEAU!D880,data!F:F,YEAR(Feuil1!$D$1))</f>
        <v>0</v>
      </c>
      <c r="K880" s="13">
        <f>SUMIFS(data!E:E,data!A:A,TABLEAU!B880,data!C:C,TABLEAU!D880,data!F:F,YEAR(Feuil1!$D$2))</f>
        <v>30</v>
      </c>
      <c r="L880" s="13">
        <f t="shared" si="54"/>
        <v>-30</v>
      </c>
      <c r="M880" s="12">
        <f t="shared" si="55"/>
        <v>-1</v>
      </c>
    </row>
    <row r="881" spans="1:13" x14ac:dyDescent="0.25">
      <c r="A881" s="17" t="str">
        <f>data!H1446</f>
        <v>VINICOM</v>
      </c>
      <c r="B881" s="15" t="str">
        <f>data!A1446</f>
        <v>174</v>
      </c>
      <c r="C881" s="1" t="str">
        <f>data!B1446</f>
        <v>SAS VIGNOBLES DES 3 CHATEAUX</v>
      </c>
      <c r="D881" s="1" t="str">
        <f>data!C1446</f>
        <v>174001</v>
      </c>
      <c r="E881" s="1" t="str">
        <f>data!D881</f>
        <v>AC BDX CH.FLAMAND BELLEVUE</v>
      </c>
      <c r="F881" s="14">
        <f>SUMIFS(data!G:G,data!A:A,TABLEAU!B881,data!C:C,TABLEAU!D881,data!F:F,YEAR(Feuil1!$D$1))</f>
        <v>24302.76</v>
      </c>
      <c r="G881" s="9">
        <f>SUMIFS(data!G:G,data!A:A,TABLEAU!B881,data!C:C,TABLEAU!D881,data!F:F,YEAR(Feuil1!$D$2))</f>
        <v>17833.68</v>
      </c>
      <c r="H881" s="9">
        <f t="shared" si="52"/>
        <v>6469.0799999999981</v>
      </c>
      <c r="I881" s="12">
        <f t="shared" si="53"/>
        <v>0.36274509803921556</v>
      </c>
      <c r="J881" s="13">
        <f>SUMIFS(data!E:E,data!A:A,TABLEAU!B881,data!C:C,TABLEAU!D881,data!F:F,YEAR(Feuil1!$D$1))</f>
        <v>6600</v>
      </c>
      <c r="K881" s="13">
        <f>SUMIFS(data!E:E,data!A:A,TABLEAU!B881,data!C:C,TABLEAU!D881,data!F:F,YEAR(Feuil1!$D$2))</f>
        <v>4818</v>
      </c>
      <c r="L881" s="13">
        <f t="shared" si="54"/>
        <v>1782</v>
      </c>
      <c r="M881" s="12">
        <f t="shared" si="55"/>
        <v>0.36986301369863012</v>
      </c>
    </row>
    <row r="882" spans="1:13" x14ac:dyDescent="0.25">
      <c r="A882" s="17" t="str">
        <f>data!H1448</f>
        <v>VINICOM</v>
      </c>
      <c r="B882" s="15" t="str">
        <f>data!A1448</f>
        <v>174</v>
      </c>
      <c r="C882" s="1" t="str">
        <f>data!B1448</f>
        <v>SAS VIGNOBLES DES 3 CHATEAUX</v>
      </c>
      <c r="D882" s="1" t="str">
        <f>data!C1448</f>
        <v>174002</v>
      </c>
      <c r="E882" s="1" t="str">
        <f>data!D882</f>
        <v>AC BDX CH.FLAMAND BELLEVUE</v>
      </c>
      <c r="F882" s="14">
        <f>SUMIFS(data!G:G,data!A:A,TABLEAU!B882,data!C:C,TABLEAU!D882,data!F:F,YEAR(Feuil1!$D$1))</f>
        <v>3078.48</v>
      </c>
      <c r="G882" s="9">
        <f>SUMIFS(data!G:G,data!A:A,TABLEAU!B882,data!C:C,TABLEAU!D882,data!F:F,YEAR(Feuil1!$D$2))</f>
        <v>2092.56</v>
      </c>
      <c r="H882" s="9">
        <f t="shared" si="52"/>
        <v>985.92000000000007</v>
      </c>
      <c r="I882" s="12">
        <f t="shared" si="53"/>
        <v>0.47115494896203697</v>
      </c>
      <c r="J882" s="13">
        <f>SUMIFS(data!E:E,data!A:A,TABLEAU!B882,data!C:C,TABLEAU!D882,data!F:F,YEAR(Feuil1!$D$1))</f>
        <v>522</v>
      </c>
      <c r="K882" s="13">
        <f>SUMIFS(data!E:E,data!A:A,TABLEAU!B882,data!C:C,TABLEAU!D882,data!F:F,YEAR(Feuil1!$D$2))</f>
        <v>354</v>
      </c>
      <c r="L882" s="13">
        <f t="shared" si="54"/>
        <v>168</v>
      </c>
      <c r="M882" s="12">
        <f t="shared" si="55"/>
        <v>0.47457627118644069</v>
      </c>
    </row>
    <row r="883" spans="1:13" x14ac:dyDescent="0.25">
      <c r="A883" s="17" t="str">
        <f>data!H1450</f>
        <v>VINICOM</v>
      </c>
      <c r="B883" s="15" t="str">
        <f>data!A1450</f>
        <v>174</v>
      </c>
      <c r="C883" s="1" t="str">
        <f>data!B1450</f>
        <v>SAS VIGNOBLES DES 3 CHATEAUX</v>
      </c>
      <c r="D883" s="1" t="str">
        <f>data!C1450</f>
        <v>174003</v>
      </c>
      <c r="E883" s="1" t="str">
        <f>data!D883</f>
        <v>AC BDX CH.FLAMAND BELLEVUE</v>
      </c>
      <c r="F883" s="14">
        <f>SUMIFS(data!G:G,data!A:A,TABLEAU!B883,data!C:C,TABLEAU!D883,data!F:F,YEAR(Feuil1!$D$1))</f>
        <v>18162.04</v>
      </c>
      <c r="G883" s="9">
        <f>SUMIFS(data!G:G,data!A:A,TABLEAU!B883,data!C:C,TABLEAU!D883,data!F:F,YEAR(Feuil1!$D$2))</f>
        <v>7320.36</v>
      </c>
      <c r="H883" s="9">
        <f t="shared" si="52"/>
        <v>10841.68</v>
      </c>
      <c r="I883" s="12">
        <f t="shared" si="53"/>
        <v>1.4810309875470606</v>
      </c>
      <c r="J883" s="13">
        <f>SUMIFS(data!E:E,data!A:A,TABLEAU!B883,data!C:C,TABLEAU!D883,data!F:F,YEAR(Feuil1!$D$1))</f>
        <v>8754</v>
      </c>
      <c r="K883" s="13">
        <f>SUMIFS(data!E:E,data!A:A,TABLEAU!B883,data!C:C,TABLEAU!D883,data!F:F,YEAR(Feuil1!$D$2))</f>
        <v>3564</v>
      </c>
      <c r="L883" s="13">
        <f t="shared" si="54"/>
        <v>5190</v>
      </c>
      <c r="M883" s="12">
        <f t="shared" si="55"/>
        <v>1.4562289562289563</v>
      </c>
    </row>
    <row r="884" spans="1:13" x14ac:dyDescent="0.25">
      <c r="A884" s="17" t="str">
        <f>data!H1452</f>
        <v>VINICOM</v>
      </c>
      <c r="B884" s="15" t="str">
        <f>data!A1452</f>
        <v>174</v>
      </c>
      <c r="C884" s="1" t="str">
        <f>data!B1452</f>
        <v>SAS VIGNOBLES DES 3 CHATEAUX</v>
      </c>
      <c r="D884" s="1" t="str">
        <f>data!C1452</f>
        <v>174005</v>
      </c>
      <c r="E884" s="1" t="str">
        <f>data!D884</f>
        <v>AC BX SUP Tradi  CH LAUDUC</v>
      </c>
      <c r="F884" s="14">
        <f>SUMIFS(data!G:G,data!A:A,TABLEAU!B884,data!C:C,TABLEAU!D884,data!F:F,YEAR(Feuil1!$D$1))</f>
        <v>11041.6</v>
      </c>
      <c r="G884" s="9">
        <f>SUMIFS(data!G:G,data!A:A,TABLEAU!B884,data!C:C,TABLEAU!D884,data!F:F,YEAR(Feuil1!$D$2))</f>
        <v>0</v>
      </c>
      <c r="H884" s="9">
        <f t="shared" si="52"/>
        <v>11041.6</v>
      </c>
      <c r="I884" s="12" t="str">
        <f t="shared" si="53"/>
        <v/>
      </c>
      <c r="J884" s="13">
        <f>SUMIFS(data!E:E,data!A:A,TABLEAU!B884,data!C:C,TABLEAU!D884,data!F:F,YEAR(Feuil1!$D$1))</f>
        <v>5208</v>
      </c>
      <c r="K884" s="13">
        <f>SUMIFS(data!E:E,data!A:A,TABLEAU!B884,data!C:C,TABLEAU!D884,data!F:F,YEAR(Feuil1!$D$2))</f>
        <v>0</v>
      </c>
      <c r="L884" s="13">
        <f t="shared" si="54"/>
        <v>5208</v>
      </c>
      <c r="M884" s="12" t="str">
        <f t="shared" si="55"/>
        <v/>
      </c>
    </row>
    <row r="885" spans="1:13" x14ac:dyDescent="0.25">
      <c r="A885" s="17" t="str">
        <f>data!H1453</f>
        <v>VINICOM</v>
      </c>
      <c r="B885" s="15" t="str">
        <f>data!A1453</f>
        <v>174</v>
      </c>
      <c r="C885" s="1" t="str">
        <f>data!B1453</f>
        <v>SAS VIGNOBLES DES 3 CHATEAUX</v>
      </c>
      <c r="D885" s="1" t="str">
        <f>data!C1453</f>
        <v>174006</v>
      </c>
      <c r="E885" s="1" t="str">
        <f>data!D885</f>
        <v>AC BX SUP Tradi  CH LAUDUC</v>
      </c>
      <c r="F885" s="14">
        <f>SUMIFS(data!G:G,data!A:A,TABLEAU!B885,data!C:C,TABLEAU!D885,data!F:F,YEAR(Feuil1!$D$1))</f>
        <v>12666.6</v>
      </c>
      <c r="G885" s="9">
        <f>SUMIFS(data!G:G,data!A:A,TABLEAU!B885,data!C:C,TABLEAU!D885,data!F:F,YEAR(Feuil1!$D$2))</f>
        <v>0</v>
      </c>
      <c r="H885" s="9">
        <f t="shared" si="52"/>
        <v>12666.6</v>
      </c>
      <c r="I885" s="12" t="str">
        <f t="shared" si="53"/>
        <v/>
      </c>
      <c r="J885" s="13">
        <f>SUMIFS(data!E:E,data!A:A,TABLEAU!B885,data!C:C,TABLEAU!D885,data!F:F,YEAR(Feuil1!$D$1))</f>
        <v>5190</v>
      </c>
      <c r="K885" s="13">
        <f>SUMIFS(data!E:E,data!A:A,TABLEAU!B885,data!C:C,TABLEAU!D885,data!F:F,YEAR(Feuil1!$D$2))</f>
        <v>0</v>
      </c>
      <c r="L885" s="13">
        <f t="shared" si="54"/>
        <v>5190</v>
      </c>
      <c r="M885" s="12" t="str">
        <f t="shared" si="55"/>
        <v/>
      </c>
    </row>
    <row r="886" spans="1:13" x14ac:dyDescent="0.25">
      <c r="A886" s="17" t="str">
        <f>data!H1454</f>
        <v>VINICOM</v>
      </c>
      <c r="B886" s="15" t="str">
        <f>data!A1454</f>
        <v>174</v>
      </c>
      <c r="C886" s="1" t="str">
        <f>data!B1454</f>
        <v>SAS VIGNOBLES DES 3 CHATEAUX</v>
      </c>
      <c r="D886" s="1" t="str">
        <f>data!C1454</f>
        <v>174007</v>
      </c>
      <c r="E886" s="1" t="str">
        <f>data!D886</f>
        <v>AC BORDEAUX FLAMAND BELLEVUE</v>
      </c>
      <c r="F886" s="14">
        <f>SUMIFS(data!G:G,data!A:A,TABLEAU!B886,data!C:C,TABLEAU!D886,data!F:F,YEAR(Feuil1!$D$1))</f>
        <v>6679.2</v>
      </c>
      <c r="G886" s="9">
        <f>SUMIFS(data!G:G,data!A:A,TABLEAU!B886,data!C:C,TABLEAU!D886,data!F:F,YEAR(Feuil1!$D$2))</f>
        <v>0</v>
      </c>
      <c r="H886" s="9">
        <f t="shared" si="52"/>
        <v>6679.2</v>
      </c>
      <c r="I886" s="12" t="str">
        <f t="shared" si="53"/>
        <v/>
      </c>
      <c r="J886" s="13">
        <f>SUMIFS(data!E:E,data!A:A,TABLEAU!B886,data!C:C,TABLEAU!D886,data!F:F,YEAR(Feuil1!$D$1))</f>
        <v>3042</v>
      </c>
      <c r="K886" s="13">
        <f>SUMIFS(data!E:E,data!A:A,TABLEAU!B886,data!C:C,TABLEAU!D886,data!F:F,YEAR(Feuil1!$D$2))</f>
        <v>0</v>
      </c>
      <c r="L886" s="13">
        <f t="shared" si="54"/>
        <v>3042</v>
      </c>
      <c r="M886" s="12" t="str">
        <f t="shared" si="55"/>
        <v/>
      </c>
    </row>
    <row r="887" spans="1:13" x14ac:dyDescent="0.25">
      <c r="A887" s="17" t="str">
        <f>data!H1455</f>
        <v>VINICOM</v>
      </c>
      <c r="B887" s="15" t="str">
        <f>data!A1455</f>
        <v>174</v>
      </c>
      <c r="C887" s="1" t="str">
        <f>data!B1455</f>
        <v>SAS VIGNOBLES DES 3 CHATEAUX</v>
      </c>
      <c r="D887" s="1" t="str">
        <f>data!C1455</f>
        <v>174009</v>
      </c>
      <c r="E887" s="1" t="str">
        <f>data!D887</f>
        <v>AC BORDEAUX CLAIRET ROSE</v>
      </c>
      <c r="F887" s="14">
        <f>SUMIFS(data!G:G,data!A:A,TABLEAU!B887,data!C:C,TABLEAU!D887,data!F:F,YEAR(Feuil1!$D$1))</f>
        <v>531</v>
      </c>
      <c r="G887" s="9">
        <f>SUMIFS(data!G:G,data!A:A,TABLEAU!B887,data!C:C,TABLEAU!D887,data!F:F,YEAR(Feuil1!$D$2))</f>
        <v>0</v>
      </c>
      <c r="H887" s="9">
        <f t="shared" si="52"/>
        <v>531</v>
      </c>
      <c r="I887" s="12" t="str">
        <f t="shared" si="53"/>
        <v/>
      </c>
      <c r="J887" s="13">
        <f>SUMIFS(data!E:E,data!A:A,TABLEAU!B887,data!C:C,TABLEAU!D887,data!F:F,YEAR(Feuil1!$D$1))</f>
        <v>108</v>
      </c>
      <c r="K887" s="13">
        <f>SUMIFS(data!E:E,data!A:A,TABLEAU!B887,data!C:C,TABLEAU!D887,data!F:F,YEAR(Feuil1!$D$2))</f>
        <v>0</v>
      </c>
      <c r="L887" s="13">
        <f t="shared" si="54"/>
        <v>108</v>
      </c>
      <c r="M887" s="12" t="str">
        <f t="shared" si="55"/>
        <v/>
      </c>
    </row>
    <row r="888" spans="1:13" x14ac:dyDescent="0.25">
      <c r="A888" s="17" t="str">
        <f>data!H1456</f>
        <v>VINICOM</v>
      </c>
      <c r="B888" s="15" t="str">
        <f>data!A1456</f>
        <v>174</v>
      </c>
      <c r="C888" s="1" t="str">
        <f>data!B1456</f>
        <v>SAS VIGNOBLES DES 3 CHATEAUX</v>
      </c>
      <c r="D888" s="1" t="str">
        <f>data!C1456</f>
        <v>174010</v>
      </c>
      <c r="E888" s="1" t="str">
        <f>data!D888</f>
        <v>AC BORDEAUX CLAIRET ROSE</v>
      </c>
      <c r="F888" s="14">
        <f>SUMIFS(data!G:G,data!A:A,TABLEAU!B888,data!C:C,TABLEAU!D888,data!F:F,YEAR(Feuil1!$D$1))</f>
        <v>9091.1</v>
      </c>
      <c r="G888" s="9">
        <f>SUMIFS(data!G:G,data!A:A,TABLEAU!B888,data!C:C,TABLEAU!D888,data!F:F,YEAR(Feuil1!$D$2))</f>
        <v>10267.6</v>
      </c>
      <c r="H888" s="9">
        <f t="shared" si="52"/>
        <v>-1176.5</v>
      </c>
      <c r="I888" s="12">
        <f t="shared" si="53"/>
        <v>-0.11458373914059761</v>
      </c>
      <c r="J888" s="13">
        <f>SUMIFS(data!E:E,data!A:A,TABLEAU!B888,data!C:C,TABLEAU!D888,data!F:F,YEAR(Feuil1!$D$1))</f>
        <v>9051.0699999999943</v>
      </c>
      <c r="K888" s="13">
        <f>SUMIFS(data!E:E,data!A:A,TABLEAU!B888,data!C:C,TABLEAU!D888,data!F:F,YEAR(Feuil1!$D$2))</f>
        <v>10290.759999999991</v>
      </c>
      <c r="L888" s="13">
        <f t="shared" si="54"/>
        <v>-1239.6899999999969</v>
      </c>
      <c r="M888" s="12">
        <f t="shared" si="55"/>
        <v>-0.12046632124352312</v>
      </c>
    </row>
    <row r="889" spans="1:13" x14ac:dyDescent="0.25">
      <c r="A889" s="17" t="str">
        <f>data!H1458</f>
        <v>VINICOM</v>
      </c>
      <c r="B889" s="15" t="str">
        <f>data!A1458</f>
        <v>174</v>
      </c>
      <c r="C889" s="1" t="str">
        <f>data!B1458</f>
        <v>SAS VIGNOBLES DES 3 CHATEAUX</v>
      </c>
      <c r="D889" s="1" t="str">
        <f>data!C1458</f>
        <v>174011</v>
      </c>
      <c r="E889" s="1" t="str">
        <f>data!D889</f>
        <v>AC FAUGERES LE 1ER CH HAUT LIGNIERES</v>
      </c>
      <c r="F889" s="14">
        <f>SUMIFS(data!G:G,data!A:A,TABLEAU!B889,data!C:C,TABLEAU!D889,data!F:F,YEAR(Feuil1!$D$1))</f>
        <v>5881.24</v>
      </c>
      <c r="G889" s="9">
        <f>SUMIFS(data!G:G,data!A:A,TABLEAU!B889,data!C:C,TABLEAU!D889,data!F:F,YEAR(Feuil1!$D$2))</f>
        <v>8724.7999999999993</v>
      </c>
      <c r="H889" s="9">
        <f t="shared" si="52"/>
        <v>-2843.5599999999995</v>
      </c>
      <c r="I889" s="12">
        <f t="shared" si="53"/>
        <v>-0.3259169264624977</v>
      </c>
      <c r="J889" s="13">
        <f>SUMIFS(data!E:E,data!A:A,TABLEAU!B889,data!C:C,TABLEAU!D889,data!F:F,YEAR(Feuil1!$D$1))</f>
        <v>5115.8900000000076</v>
      </c>
      <c r="K889" s="13">
        <f>SUMIFS(data!E:E,data!A:A,TABLEAU!B889,data!C:C,TABLEAU!D889,data!F:F,YEAR(Feuil1!$D$2))</f>
        <v>7617.1400000000067</v>
      </c>
      <c r="L889" s="13">
        <f t="shared" si="54"/>
        <v>-2501.2499999999991</v>
      </c>
      <c r="M889" s="12">
        <f t="shared" si="55"/>
        <v>-0.32837127845884373</v>
      </c>
    </row>
    <row r="890" spans="1:13" x14ac:dyDescent="0.25">
      <c r="A890" s="17" t="str">
        <f>data!H1460</f>
        <v>VINICOM</v>
      </c>
      <c r="B890" s="15" t="str">
        <f>data!A1460</f>
        <v>174</v>
      </c>
      <c r="C890" s="1" t="str">
        <f>data!B1460</f>
        <v>SAS VIGNOBLES DES 3 CHATEAUX</v>
      </c>
      <c r="D890" s="1" t="str">
        <f>data!C1460</f>
        <v>174015</v>
      </c>
      <c r="E890" s="1" t="str">
        <f>data!D890</f>
        <v>AC FAUGERES LE 1ER CH HAUT LIGNIERES</v>
      </c>
      <c r="F890" s="14">
        <f>SUMIFS(data!G:G,data!A:A,TABLEAU!B890,data!C:C,TABLEAU!D890,data!F:F,YEAR(Feuil1!$D$1))</f>
        <v>4773.6000000000004</v>
      </c>
      <c r="G890" s="9">
        <f>SUMIFS(data!G:G,data!A:A,TABLEAU!B890,data!C:C,TABLEAU!D890,data!F:F,YEAR(Feuil1!$D$2))</f>
        <v>4282.1000000000004</v>
      </c>
      <c r="H890" s="9">
        <f t="shared" si="52"/>
        <v>491.5</v>
      </c>
      <c r="I890" s="12">
        <f t="shared" si="53"/>
        <v>0.11478013124401577</v>
      </c>
      <c r="J890" s="13">
        <f>SUMIFS(data!E:E,data!A:A,TABLEAU!B890,data!C:C,TABLEAU!D890,data!F:F,YEAR(Feuil1!$D$1))</f>
        <v>3639.0899999999992</v>
      </c>
      <c r="K890" s="13">
        <f>SUMIFS(data!E:E,data!A:A,TABLEAU!B890,data!C:C,TABLEAU!D890,data!F:F,YEAR(Feuil1!$D$2))</f>
        <v>3292.5099999999998</v>
      </c>
      <c r="L890" s="13">
        <f t="shared" si="54"/>
        <v>346.57999999999947</v>
      </c>
      <c r="M890" s="12">
        <f t="shared" si="55"/>
        <v>0.10526315789473668</v>
      </c>
    </row>
    <row r="891" spans="1:13" x14ac:dyDescent="0.25">
      <c r="A891" s="17" t="str">
        <f>data!H1462</f>
        <v>VINICOM</v>
      </c>
      <c r="B891" s="15" t="str">
        <f>data!A1462</f>
        <v>174</v>
      </c>
      <c r="C891" s="1" t="str">
        <f>data!B1462</f>
        <v>SAS VIGNOBLES DES 3 CHATEAUX</v>
      </c>
      <c r="D891" s="1" t="str">
        <f>data!C1462</f>
        <v>174016</v>
      </c>
      <c r="E891" s="1" t="str">
        <f>data!D891</f>
        <v>AC FAUGERES HT LIGNIERES</v>
      </c>
      <c r="F891" s="14">
        <f>SUMIFS(data!G:G,data!A:A,TABLEAU!B891,data!C:C,TABLEAU!D891,data!F:F,YEAR(Feuil1!$D$1))</f>
        <v>6304.68</v>
      </c>
      <c r="G891" s="9">
        <f>SUMIFS(data!G:G,data!A:A,TABLEAU!B891,data!C:C,TABLEAU!D891,data!F:F,YEAR(Feuil1!$D$2))</f>
        <v>8242.08</v>
      </c>
      <c r="H891" s="9">
        <f t="shared" si="52"/>
        <v>-1937.3999999999996</v>
      </c>
      <c r="I891" s="12">
        <f t="shared" si="53"/>
        <v>-0.23506202317861508</v>
      </c>
      <c r="J891" s="13">
        <f>SUMIFS(data!E:E,data!A:A,TABLEAU!B891,data!C:C,TABLEAU!D891,data!F:F,YEAR(Feuil1!$D$1))</f>
        <v>4288.8100000000004</v>
      </c>
      <c r="K891" s="13">
        <f>SUMIFS(data!E:E,data!A:A,TABLEAU!B891,data!C:C,TABLEAU!D891,data!F:F,YEAR(Feuil1!$D$2))</f>
        <v>5729.530000000007</v>
      </c>
      <c r="L891" s="13">
        <f t="shared" si="54"/>
        <v>-1440.7200000000066</v>
      </c>
      <c r="M891" s="12">
        <f t="shared" si="55"/>
        <v>-0.25145518044237569</v>
      </c>
    </row>
    <row r="892" spans="1:13" x14ac:dyDescent="0.25">
      <c r="A892" s="17" t="str">
        <f>data!H1464</f>
        <v>VINICOM</v>
      </c>
      <c r="B892" s="15" t="str">
        <f>data!A1464</f>
        <v>174</v>
      </c>
      <c r="C892" s="1" t="str">
        <f>data!B1464</f>
        <v>SAS VIGNOBLES DES 3 CHATEAUX</v>
      </c>
      <c r="D892" s="1" t="str">
        <f>data!C1464</f>
        <v>174020</v>
      </c>
      <c r="E892" s="1" t="str">
        <f>data!D892</f>
        <v>AC FAUGERES HT LIGNIERES</v>
      </c>
      <c r="F892" s="14">
        <f>SUMIFS(data!G:G,data!A:A,TABLEAU!B892,data!C:C,TABLEAU!D892,data!F:F,YEAR(Feuil1!$D$1))</f>
        <v>477.6</v>
      </c>
      <c r="G892" s="9">
        <f>SUMIFS(data!G:G,data!A:A,TABLEAU!B892,data!C:C,TABLEAU!D892,data!F:F,YEAR(Feuil1!$D$2))</f>
        <v>676.8</v>
      </c>
      <c r="H892" s="9">
        <f t="shared" si="52"/>
        <v>-199.19999999999993</v>
      </c>
      <c r="I892" s="12">
        <f t="shared" si="53"/>
        <v>-0.2943262411347517</v>
      </c>
      <c r="J892" s="13">
        <f>SUMIFS(data!E:E,data!A:A,TABLEAU!B892,data!C:C,TABLEAU!D892,data!F:F,YEAR(Feuil1!$D$1))</f>
        <v>326.83</v>
      </c>
      <c r="K892" s="13">
        <f>SUMIFS(data!E:E,data!A:A,TABLEAU!B892,data!C:C,TABLEAU!D892,data!F:F,YEAR(Feuil1!$D$2))</f>
        <v>533.6</v>
      </c>
      <c r="L892" s="13">
        <f t="shared" si="54"/>
        <v>-206.77000000000004</v>
      </c>
      <c r="M892" s="12">
        <f t="shared" si="55"/>
        <v>-0.38750000000000007</v>
      </c>
    </row>
    <row r="893" spans="1:13" x14ac:dyDescent="0.25">
      <c r="A893" s="17" t="str">
        <f>data!H1466</f>
        <v>VINICOM</v>
      </c>
      <c r="B893" s="15" t="str">
        <f>data!A1466</f>
        <v>175</v>
      </c>
      <c r="C893" s="1" t="str">
        <f>data!B1466</f>
        <v>SARL MAISON PERE &amp; FILS</v>
      </c>
      <c r="D893" s="1" t="str">
        <f>data!C1466</f>
        <v>175001</v>
      </c>
      <c r="E893" s="1" t="str">
        <f>data!D893</f>
        <v>AC FAUGERES ROMY CH HAUT LIGNIERES</v>
      </c>
      <c r="F893" s="14">
        <f>SUMIFS(data!G:G,data!A:A,TABLEAU!B893,data!C:C,TABLEAU!D893,data!F:F,YEAR(Feuil1!$D$1))</f>
        <v>6375.9</v>
      </c>
      <c r="G893" s="9">
        <f>SUMIFS(data!G:G,data!A:A,TABLEAU!B893,data!C:C,TABLEAU!D893,data!F:F,YEAR(Feuil1!$D$2))</f>
        <v>6019.2</v>
      </c>
      <c r="H893" s="9">
        <f t="shared" si="52"/>
        <v>356.69999999999982</v>
      </c>
      <c r="I893" s="12">
        <f t="shared" si="53"/>
        <v>5.926036682615627E-2</v>
      </c>
      <c r="J893" s="13">
        <f>SUMIFS(data!E:E,data!A:A,TABLEAU!B893,data!C:C,TABLEAU!D893,data!F:F,YEAR(Feuil1!$D$1))</f>
        <v>1716</v>
      </c>
      <c r="K893" s="13">
        <f>SUMIFS(data!E:E,data!A:A,TABLEAU!B893,data!C:C,TABLEAU!D893,data!F:F,YEAR(Feuil1!$D$2))</f>
        <v>1638</v>
      </c>
      <c r="L893" s="13">
        <f t="shared" si="54"/>
        <v>78</v>
      </c>
      <c r="M893" s="12">
        <f t="shared" si="55"/>
        <v>4.7619047619047616E-2</v>
      </c>
    </row>
    <row r="894" spans="1:13" x14ac:dyDescent="0.25">
      <c r="A894" s="17" t="str">
        <f>data!H1468</f>
        <v>VINICOM</v>
      </c>
      <c r="B894" s="15" t="str">
        <f>data!A1468</f>
        <v>175</v>
      </c>
      <c r="C894" s="1" t="str">
        <f>data!B1468</f>
        <v>SARL MAISON PERE &amp; FILS</v>
      </c>
      <c r="D894" s="1" t="str">
        <f>data!C1468</f>
        <v>175002</v>
      </c>
      <c r="E894" s="1" t="str">
        <f>data!D894</f>
        <v>AC FAUGERES ROMY CH HAUT LIGNIERES</v>
      </c>
      <c r="F894" s="14">
        <f>SUMIFS(data!G:G,data!A:A,TABLEAU!B894,data!C:C,TABLEAU!D894,data!F:F,YEAR(Feuil1!$D$1))</f>
        <v>3207.9</v>
      </c>
      <c r="G894" s="9">
        <f>SUMIFS(data!G:G,data!A:A,TABLEAU!B894,data!C:C,TABLEAU!D894,data!F:F,YEAR(Feuil1!$D$2))</f>
        <v>4041.6</v>
      </c>
      <c r="H894" s="9">
        <f t="shared" si="52"/>
        <v>-833.69999999999982</v>
      </c>
      <c r="I894" s="12">
        <f t="shared" si="53"/>
        <v>-0.20627969121140138</v>
      </c>
      <c r="J894" s="13">
        <f>SUMIFS(data!E:E,data!A:A,TABLEAU!B894,data!C:C,TABLEAU!D894,data!F:F,YEAR(Feuil1!$D$1))</f>
        <v>864</v>
      </c>
      <c r="K894" s="13">
        <f>SUMIFS(data!E:E,data!A:A,TABLEAU!B894,data!C:C,TABLEAU!D894,data!F:F,YEAR(Feuil1!$D$2))</f>
        <v>1110</v>
      </c>
      <c r="L894" s="13">
        <f t="shared" si="54"/>
        <v>-246</v>
      </c>
      <c r="M894" s="12">
        <f t="shared" si="55"/>
        <v>-0.22162162162162163</v>
      </c>
    </row>
    <row r="895" spans="1:13" x14ac:dyDescent="0.25">
      <c r="A895" s="17" t="str">
        <f>data!H1470</f>
        <v>VINICOM</v>
      </c>
      <c r="B895" s="15" t="str">
        <f>data!A1470</f>
        <v>175</v>
      </c>
      <c r="C895" s="1" t="str">
        <f>data!B1470</f>
        <v>SARL MAISON PERE &amp; FILS</v>
      </c>
      <c r="D895" s="1" t="str">
        <f>data!C1470</f>
        <v>175003</v>
      </c>
      <c r="E895" s="1" t="str">
        <f>data!D895</f>
        <v>AC FAUGERES CARMINA BUT</v>
      </c>
      <c r="F895" s="14">
        <f>SUMIFS(data!G:G,data!A:A,TABLEAU!B895,data!C:C,TABLEAU!D895,data!F:F,YEAR(Feuil1!$D$1))</f>
        <v>90</v>
      </c>
      <c r="G895" s="9">
        <f>SUMIFS(data!G:G,data!A:A,TABLEAU!B895,data!C:C,TABLEAU!D895,data!F:F,YEAR(Feuil1!$D$2))</f>
        <v>264.60000000000002</v>
      </c>
      <c r="H895" s="9">
        <f t="shared" si="52"/>
        <v>-174.60000000000002</v>
      </c>
      <c r="I895" s="12">
        <f t="shared" si="53"/>
        <v>-0.65986394557823136</v>
      </c>
      <c r="J895" s="13">
        <f>SUMIFS(data!E:E,data!A:A,TABLEAU!B895,data!C:C,TABLEAU!D895,data!F:F,YEAR(Feuil1!$D$1))</f>
        <v>30</v>
      </c>
      <c r="K895" s="13">
        <f>SUMIFS(data!E:E,data!A:A,TABLEAU!B895,data!C:C,TABLEAU!D895,data!F:F,YEAR(Feuil1!$D$2))</f>
        <v>84</v>
      </c>
      <c r="L895" s="13">
        <f t="shared" si="54"/>
        <v>-54</v>
      </c>
      <c r="M895" s="12">
        <f t="shared" si="55"/>
        <v>-0.6428571428571429</v>
      </c>
    </row>
    <row r="896" spans="1:13" x14ac:dyDescent="0.25">
      <c r="A896" s="17" t="str">
        <f>data!H1472</f>
        <v>VINICOM</v>
      </c>
      <c r="B896" s="15" t="str">
        <f>data!A1472</f>
        <v>175</v>
      </c>
      <c r="C896" s="1" t="str">
        <f>data!B1472</f>
        <v>SARL MAISON PERE &amp; FILS</v>
      </c>
      <c r="D896" s="1" t="str">
        <f>data!C1472</f>
        <v>CDV175002</v>
      </c>
      <c r="E896" s="1" t="str">
        <f>data!D896</f>
        <v>AC FAUGERES CARMINA BUT</v>
      </c>
      <c r="F896" s="14">
        <f>SUMIFS(data!G:G,data!A:A,TABLEAU!B896,data!C:C,TABLEAU!D896,data!F:F,YEAR(Feuil1!$D$1))</f>
        <v>0</v>
      </c>
      <c r="G896" s="9">
        <f>SUMIFS(data!G:G,data!A:A,TABLEAU!B896,data!C:C,TABLEAU!D896,data!F:F,YEAR(Feuil1!$D$2))</f>
        <v>-44.4</v>
      </c>
      <c r="H896" s="9">
        <f t="shared" si="52"/>
        <v>44.4</v>
      </c>
      <c r="I896" s="12">
        <f t="shared" si="53"/>
        <v>-1</v>
      </c>
      <c r="J896" s="13">
        <f>SUMIFS(data!E:E,data!A:A,TABLEAU!B896,data!C:C,TABLEAU!D896,data!F:F,YEAR(Feuil1!$D$1))</f>
        <v>0</v>
      </c>
      <c r="K896" s="13">
        <f>SUMIFS(data!E:E,data!A:A,TABLEAU!B896,data!C:C,TABLEAU!D896,data!F:F,YEAR(Feuil1!$D$2))</f>
        <v>-12</v>
      </c>
      <c r="L896" s="13">
        <f t="shared" si="54"/>
        <v>12</v>
      </c>
      <c r="M896" s="12">
        <f t="shared" si="55"/>
        <v>-1</v>
      </c>
    </row>
    <row r="897" spans="1:13" x14ac:dyDescent="0.25">
      <c r="A897" s="17" t="str">
        <f>data!H1473</f>
        <v>VINICOM</v>
      </c>
      <c r="B897" s="15" t="str">
        <f>data!A1473</f>
        <v>178</v>
      </c>
      <c r="C897" s="1" t="str">
        <f>data!B1473</f>
        <v>DOMAINE DE CASTELNAU (hobivin)</v>
      </c>
      <c r="D897" s="1" t="str">
        <f>data!C1473</f>
        <v>178005H</v>
      </c>
      <c r="E897" s="1" t="str">
        <f>data!D897</f>
        <v>EMPREINTES CARBONES AOP FAUGERES</v>
      </c>
      <c r="F897" s="14">
        <f>SUMIFS(data!G:G,data!A:A,TABLEAU!B897,data!C:C,TABLEAU!D897,data!F:F,YEAR(Feuil1!$D$1))</f>
        <v>3381.3</v>
      </c>
      <c r="G897" s="9">
        <f>SUMIFS(data!G:G,data!A:A,TABLEAU!B897,data!C:C,TABLEAU!D897,data!F:F,YEAR(Feuil1!$D$2))</f>
        <v>9139.44</v>
      </c>
      <c r="H897" s="9">
        <f t="shared" si="52"/>
        <v>-5758.14</v>
      </c>
      <c r="I897" s="12">
        <f t="shared" si="53"/>
        <v>-0.63003203697381893</v>
      </c>
      <c r="J897" s="13">
        <f>SUMIFS(data!E:E,data!A:A,TABLEAU!B897,data!C:C,TABLEAU!D897,data!F:F,YEAR(Feuil1!$D$1))</f>
        <v>1578</v>
      </c>
      <c r="K897" s="13">
        <f>SUMIFS(data!E:E,data!A:A,TABLEAU!B897,data!C:C,TABLEAU!D897,data!F:F,YEAR(Feuil1!$D$2))</f>
        <v>4422</v>
      </c>
      <c r="L897" s="13">
        <f t="shared" si="54"/>
        <v>-2844</v>
      </c>
      <c r="M897" s="12">
        <f t="shared" si="55"/>
        <v>-0.64314789687924012</v>
      </c>
    </row>
    <row r="898" spans="1:13" x14ac:dyDescent="0.25">
      <c r="A898" s="17" t="str">
        <f>data!H1475</f>
        <v>VINICOM</v>
      </c>
      <c r="B898" s="15" t="str">
        <f>data!A1475</f>
        <v>187</v>
      </c>
      <c r="C898" s="1" t="str">
        <f>data!B1475</f>
        <v>VIGNERONS DE TORNAC</v>
      </c>
      <c r="D898" s="1" t="str">
        <f>data!C1475</f>
        <v>187007H</v>
      </c>
      <c r="E898" s="1" t="str">
        <f>data!D898</f>
        <v>AC MONTAGNE ST EMILION .CH ST GEORGES</v>
      </c>
      <c r="F898" s="14">
        <f>SUMIFS(data!G:G,data!A:A,TABLEAU!B898,data!C:C,TABLEAU!D898,data!F:F,YEAR(Feuil1!$D$1))</f>
        <v>1713.6</v>
      </c>
      <c r="G898" s="9">
        <f>SUMIFS(data!G:G,data!A:A,TABLEAU!B898,data!C:C,TABLEAU!D898,data!F:F,YEAR(Feuil1!$D$2))</f>
        <v>0</v>
      </c>
      <c r="H898" s="9">
        <f t="shared" si="52"/>
        <v>1713.6</v>
      </c>
      <c r="I898" s="12" t="str">
        <f t="shared" si="53"/>
        <v/>
      </c>
      <c r="J898" s="13">
        <f>SUMIFS(data!E:E,data!A:A,TABLEAU!B898,data!C:C,TABLEAU!D898,data!F:F,YEAR(Feuil1!$D$1))</f>
        <v>1076</v>
      </c>
      <c r="K898" s="13">
        <f>SUMIFS(data!E:E,data!A:A,TABLEAU!B898,data!C:C,TABLEAU!D898,data!F:F,YEAR(Feuil1!$D$2))</f>
        <v>0</v>
      </c>
      <c r="L898" s="13">
        <f t="shared" si="54"/>
        <v>1076</v>
      </c>
      <c r="M898" s="12" t="str">
        <f t="shared" si="55"/>
        <v/>
      </c>
    </row>
    <row r="899" spans="1:13" x14ac:dyDescent="0.25">
      <c r="A899" s="17" t="str">
        <f>data!H1476</f>
        <v>VINICOM</v>
      </c>
      <c r="B899" s="15" t="str">
        <f>data!A1476</f>
        <v>187</v>
      </c>
      <c r="C899" s="1" t="str">
        <f>data!B1476</f>
        <v>VIGNERONS DE TORNAC</v>
      </c>
      <c r="D899" s="1" t="str">
        <f>data!C1476</f>
        <v>187008H</v>
      </c>
      <c r="E899" s="1" t="str">
        <f>data!D899</f>
        <v>AC MONTAGNE ST EMILION .CH ST GEORGES</v>
      </c>
      <c r="F899" s="14">
        <f>SUMIFS(data!G:G,data!A:A,TABLEAU!B899,data!C:C,TABLEAU!D899,data!F:F,YEAR(Feuil1!$D$1))</f>
        <v>1370.04</v>
      </c>
      <c r="G899" s="9">
        <f>SUMIFS(data!G:G,data!A:A,TABLEAU!B899,data!C:C,TABLEAU!D899,data!F:F,YEAR(Feuil1!$D$2))</f>
        <v>0</v>
      </c>
      <c r="H899" s="9">
        <f t="shared" ref="H899:H962" si="56">F899-G899</f>
        <v>1370.04</v>
      </c>
      <c r="I899" s="12" t="str">
        <f t="shared" ref="I899:I962" si="57">IF(ISERR(H899/G899),"",H899/G899)</f>
        <v/>
      </c>
      <c r="J899" s="13">
        <f>SUMIFS(data!E:E,data!A:A,TABLEAU!B899,data!C:C,TABLEAU!D899,data!F:F,YEAR(Feuil1!$D$1))</f>
        <v>800</v>
      </c>
      <c r="K899" s="13">
        <f>SUMIFS(data!E:E,data!A:A,TABLEAU!B899,data!C:C,TABLEAU!D899,data!F:F,YEAR(Feuil1!$D$2))</f>
        <v>0</v>
      </c>
      <c r="L899" s="13">
        <f t="shared" ref="L899:L962" si="58">J899-K899</f>
        <v>800</v>
      </c>
      <c r="M899" s="12" t="str">
        <f t="shared" ref="M899:M962" si="59">IF(ISERR(L899/K899),"",L899/K899)</f>
        <v/>
      </c>
    </row>
    <row r="900" spans="1:13" x14ac:dyDescent="0.25">
      <c r="A900" s="17" t="str">
        <f>data!H1477</f>
        <v>VINICOM</v>
      </c>
      <c r="B900" s="15" t="str">
        <f>data!A1477</f>
        <v>187</v>
      </c>
      <c r="C900" s="1" t="str">
        <f>data!B1477</f>
        <v>VIGNERONS DE TORNAC</v>
      </c>
      <c r="D900" s="1" t="str">
        <f>data!C1477</f>
        <v>187009H</v>
      </c>
      <c r="E900" s="1" t="str">
        <f>data!D900</f>
        <v>AC ST EMILION GRAND CRU CLOS TRIMOULET CAISSE BOIS</v>
      </c>
      <c r="F900" s="14">
        <f>SUMIFS(data!G:G,data!A:A,TABLEAU!B900,data!C:C,TABLEAU!D900,data!F:F,YEAR(Feuil1!$D$1))</f>
        <v>598.82000000000005</v>
      </c>
      <c r="G900" s="9">
        <f>SUMIFS(data!G:G,data!A:A,TABLEAU!B900,data!C:C,TABLEAU!D900,data!F:F,YEAR(Feuil1!$D$2))</f>
        <v>0</v>
      </c>
      <c r="H900" s="9">
        <f t="shared" si="56"/>
        <v>598.82000000000005</v>
      </c>
      <c r="I900" s="12" t="str">
        <f t="shared" si="57"/>
        <v/>
      </c>
      <c r="J900" s="13">
        <f>SUMIFS(data!E:E,data!A:A,TABLEAU!B900,data!C:C,TABLEAU!D900,data!F:F,YEAR(Feuil1!$D$1))</f>
        <v>320</v>
      </c>
      <c r="K900" s="13">
        <f>SUMIFS(data!E:E,data!A:A,TABLEAU!B900,data!C:C,TABLEAU!D900,data!F:F,YEAR(Feuil1!$D$2))</f>
        <v>0</v>
      </c>
      <c r="L900" s="13">
        <f t="shared" si="58"/>
        <v>320</v>
      </c>
      <c r="M900" s="12" t="str">
        <f t="shared" si="59"/>
        <v/>
      </c>
    </row>
    <row r="901" spans="1:13" x14ac:dyDescent="0.25">
      <c r="A901" s="17" t="str">
        <f>data!H1478</f>
        <v>VINICOM</v>
      </c>
      <c r="B901" s="15" t="str">
        <f>data!A1478</f>
        <v>189</v>
      </c>
      <c r="C901" s="1" t="str">
        <f>data!B1478</f>
        <v>DOMAINE DU PETIT ROUBIER</v>
      </c>
      <c r="D901" s="1" t="str">
        <f>data!C1478</f>
        <v>CDV189001H</v>
      </c>
      <c r="E901" s="1" t="str">
        <f>data!D901</f>
        <v>AC ST EMILION GRAND CRU CLOS TRIMOULET CAISSE BOIS</v>
      </c>
      <c r="F901" s="14">
        <f>SUMIFS(data!G:G,data!A:A,TABLEAU!B901,data!C:C,TABLEAU!D901,data!F:F,YEAR(Feuil1!$D$1))</f>
        <v>0</v>
      </c>
      <c r="G901" s="9">
        <f>SUMIFS(data!G:G,data!A:A,TABLEAU!B901,data!C:C,TABLEAU!D901,data!F:F,YEAR(Feuil1!$D$2))</f>
        <v>53.28</v>
      </c>
      <c r="H901" s="9">
        <f t="shared" si="56"/>
        <v>-53.28</v>
      </c>
      <c r="I901" s="12">
        <f t="shared" si="57"/>
        <v>-1</v>
      </c>
      <c r="J901" s="13">
        <f>SUMIFS(data!E:E,data!A:A,TABLEAU!B901,data!C:C,TABLEAU!D901,data!F:F,YEAR(Feuil1!$D$1))</f>
        <v>0</v>
      </c>
      <c r="K901" s="13">
        <f>SUMIFS(data!E:E,data!A:A,TABLEAU!B901,data!C:C,TABLEAU!D901,data!F:F,YEAR(Feuil1!$D$2))</f>
        <v>18</v>
      </c>
      <c r="L901" s="13">
        <f t="shared" si="58"/>
        <v>-18</v>
      </c>
      <c r="M901" s="12">
        <f t="shared" si="59"/>
        <v>-1</v>
      </c>
    </row>
    <row r="902" spans="1:13" x14ac:dyDescent="0.25">
      <c r="A902" s="17" t="str">
        <f>data!H1479</f>
        <v>VINICOM</v>
      </c>
      <c r="B902" s="15" t="str">
        <f>data!A1479</f>
        <v>190</v>
      </c>
      <c r="C902" s="1" t="str">
        <f>data!B1479</f>
        <v>CHATEAU PIQUE PERLOU</v>
      </c>
      <c r="D902" s="1" t="str">
        <f>data!C1479</f>
        <v>190001</v>
      </c>
      <c r="E902" s="1" t="str">
        <f>data!D902</f>
        <v>CH CHEVALIER ST GEORGES AC MONTAGNE ST EMILION</v>
      </c>
      <c r="F902" s="14">
        <f>SUMIFS(data!G:G,data!A:A,TABLEAU!B902,data!C:C,TABLEAU!D902,data!F:F,YEAR(Feuil1!$D$1))</f>
        <v>367.08</v>
      </c>
      <c r="G902" s="9">
        <f>SUMIFS(data!G:G,data!A:A,TABLEAU!B902,data!C:C,TABLEAU!D902,data!F:F,YEAR(Feuil1!$D$2))</f>
        <v>1128</v>
      </c>
      <c r="H902" s="9">
        <f t="shared" si="56"/>
        <v>-760.92000000000007</v>
      </c>
      <c r="I902" s="12">
        <f t="shared" si="57"/>
        <v>-0.67457446808510646</v>
      </c>
      <c r="J902" s="13">
        <f>SUMIFS(data!E:E,data!A:A,TABLEAU!B902,data!C:C,TABLEAU!D902,data!F:F,YEAR(Feuil1!$D$1))</f>
        <v>114</v>
      </c>
      <c r="K902" s="13">
        <f>SUMIFS(data!E:E,data!A:A,TABLEAU!B902,data!C:C,TABLEAU!D902,data!F:F,YEAR(Feuil1!$D$2))</f>
        <v>366</v>
      </c>
      <c r="L902" s="13">
        <f t="shared" si="58"/>
        <v>-252</v>
      </c>
      <c r="M902" s="12">
        <f t="shared" si="59"/>
        <v>-0.68852459016393441</v>
      </c>
    </row>
    <row r="903" spans="1:13" x14ac:dyDescent="0.25">
      <c r="A903" s="17" t="str">
        <f>data!H1481</f>
        <v>VINICOM</v>
      </c>
      <c r="B903" s="15" t="str">
        <f>data!A1481</f>
        <v>199</v>
      </c>
      <c r="C903" s="1" t="str">
        <f>data!B1481</f>
        <v>PRIEURE SAINT JEAN DE BEBIAN</v>
      </c>
      <c r="D903" s="1" t="str">
        <f>data!C1481</f>
        <v>199001</v>
      </c>
      <c r="E903" s="1" t="str">
        <f>data!D903</f>
        <v>CLOS TRIMOULET AC ST EMILION GD CRU</v>
      </c>
      <c r="F903" s="14">
        <f>SUMIFS(data!G:G,data!A:A,TABLEAU!B903,data!C:C,TABLEAU!D903,data!F:F,YEAR(Feuil1!$D$1))</f>
        <v>6477.6</v>
      </c>
      <c r="G903" s="9">
        <f>SUMIFS(data!G:G,data!A:A,TABLEAU!B903,data!C:C,TABLEAU!D903,data!F:F,YEAR(Feuil1!$D$2))</f>
        <v>6548.8</v>
      </c>
      <c r="H903" s="9">
        <f t="shared" si="56"/>
        <v>-71.199999999999818</v>
      </c>
      <c r="I903" s="12">
        <f t="shared" si="57"/>
        <v>-1.0872220864891249E-2</v>
      </c>
      <c r="J903" s="13">
        <f>SUMIFS(data!E:E,data!A:A,TABLEAU!B903,data!C:C,TABLEAU!D903,data!F:F,YEAR(Feuil1!$D$1))</f>
        <v>990</v>
      </c>
      <c r="K903" s="13">
        <f>SUMIFS(data!E:E,data!A:A,TABLEAU!B903,data!C:C,TABLEAU!D903,data!F:F,YEAR(Feuil1!$D$2))</f>
        <v>1074</v>
      </c>
      <c r="L903" s="13">
        <f t="shared" si="58"/>
        <v>-84</v>
      </c>
      <c r="M903" s="12">
        <f t="shared" si="59"/>
        <v>-7.8212290502793297E-2</v>
      </c>
    </row>
    <row r="904" spans="1:13" x14ac:dyDescent="0.25">
      <c r="A904" s="17" t="str">
        <f>data!H1483</f>
        <v>VINICOM</v>
      </c>
      <c r="B904" s="15" t="str">
        <f>data!A1483</f>
        <v>199</v>
      </c>
      <c r="C904" s="1" t="str">
        <f>data!B1483</f>
        <v>PRIEURE SAINT JEAN DE BEBIAN</v>
      </c>
      <c r="D904" s="1" t="str">
        <f>data!C1483</f>
        <v>199002</v>
      </c>
      <c r="E904" s="1" t="str">
        <f>data!D904</f>
        <v>CLOS TRIMOULET AC ST EMILION GD CRU</v>
      </c>
      <c r="F904" s="14">
        <f>SUMIFS(data!G:G,data!A:A,TABLEAU!B904,data!C:C,TABLEAU!D904,data!F:F,YEAR(Feuil1!$D$1))</f>
        <v>2433.6</v>
      </c>
      <c r="G904" s="9">
        <f>SUMIFS(data!G:G,data!A:A,TABLEAU!B904,data!C:C,TABLEAU!D904,data!F:F,YEAR(Feuil1!$D$2))</f>
        <v>1521</v>
      </c>
      <c r="H904" s="9">
        <f t="shared" si="56"/>
        <v>912.59999999999991</v>
      </c>
      <c r="I904" s="12">
        <f t="shared" si="57"/>
        <v>0.6</v>
      </c>
      <c r="J904" s="13">
        <f>SUMIFS(data!E:E,data!A:A,TABLEAU!B904,data!C:C,TABLEAU!D904,data!F:F,YEAR(Feuil1!$D$1))</f>
        <v>186</v>
      </c>
      <c r="K904" s="13">
        <f>SUMIFS(data!E:E,data!A:A,TABLEAU!B904,data!C:C,TABLEAU!D904,data!F:F,YEAR(Feuil1!$D$2))</f>
        <v>126</v>
      </c>
      <c r="L904" s="13">
        <f t="shared" si="58"/>
        <v>60</v>
      </c>
      <c r="M904" s="12">
        <f t="shared" si="59"/>
        <v>0.47619047619047616</v>
      </c>
    </row>
    <row r="905" spans="1:13" x14ac:dyDescent="0.25">
      <c r="A905" s="17" t="str">
        <f>data!H1485</f>
        <v>VINICOM</v>
      </c>
      <c r="B905" s="15" t="str">
        <f>data!A1485</f>
        <v>199</v>
      </c>
      <c r="C905" s="1" t="str">
        <f>data!B1485</f>
        <v>PRIEURE SAINT JEAN DE BEBIAN</v>
      </c>
      <c r="D905" s="1" t="str">
        <f>data!C1485</f>
        <v>199003</v>
      </c>
      <c r="E905" s="1" t="str">
        <f>data!D905</f>
        <v>CLOS TRIMOULET AC ST EMILION GD CRU</v>
      </c>
      <c r="F905" s="14">
        <f>SUMIFS(data!G:G,data!A:A,TABLEAU!B905,data!C:C,TABLEAU!D905,data!F:F,YEAR(Feuil1!$D$1))</f>
        <v>4242</v>
      </c>
      <c r="G905" s="9">
        <f>SUMIFS(data!G:G,data!A:A,TABLEAU!B905,data!C:C,TABLEAU!D905,data!F:F,YEAR(Feuil1!$D$2))</f>
        <v>5557.8</v>
      </c>
      <c r="H905" s="9">
        <f t="shared" si="56"/>
        <v>-1315.8000000000002</v>
      </c>
      <c r="I905" s="12">
        <f t="shared" si="57"/>
        <v>-0.23674835366511932</v>
      </c>
      <c r="J905" s="13">
        <f>SUMIFS(data!E:E,data!A:A,TABLEAU!B905,data!C:C,TABLEAU!D905,data!F:F,YEAR(Feuil1!$D$1))</f>
        <v>1080</v>
      </c>
      <c r="K905" s="13">
        <f>SUMIFS(data!E:E,data!A:A,TABLEAU!B905,data!C:C,TABLEAU!D905,data!F:F,YEAR(Feuil1!$D$2))</f>
        <v>1356</v>
      </c>
      <c r="L905" s="13">
        <f t="shared" si="58"/>
        <v>-276</v>
      </c>
      <c r="M905" s="12">
        <f t="shared" si="59"/>
        <v>-0.20353982300884957</v>
      </c>
    </row>
    <row r="906" spans="1:13" x14ac:dyDescent="0.25">
      <c r="A906" s="17" t="str">
        <f>data!H1487</f>
        <v>VINICOM</v>
      </c>
      <c r="B906" s="15" t="str">
        <f>data!A1487</f>
        <v>199</v>
      </c>
      <c r="C906" s="1" t="str">
        <f>data!B1487</f>
        <v>PRIEURE SAINT JEAN DE BEBIAN</v>
      </c>
      <c r="D906" s="1" t="str">
        <f>data!C1487</f>
        <v>199004</v>
      </c>
      <c r="E906" s="1" t="str">
        <f>data!D906</f>
        <v>AC MONTAGNE ST EMILION CH ST GEORGES</v>
      </c>
      <c r="F906" s="14">
        <f>SUMIFS(data!G:G,data!A:A,TABLEAU!B906,data!C:C,TABLEAU!D906,data!F:F,YEAR(Feuil1!$D$1))</f>
        <v>1328.4</v>
      </c>
      <c r="G906" s="9">
        <f>SUMIFS(data!G:G,data!A:A,TABLEAU!B906,data!C:C,TABLEAU!D906,data!F:F,YEAR(Feuil1!$D$2))</f>
        <v>2678.8</v>
      </c>
      <c r="H906" s="9">
        <f t="shared" si="56"/>
        <v>-1350.4</v>
      </c>
      <c r="I906" s="12">
        <f t="shared" si="57"/>
        <v>-0.50410631626101243</v>
      </c>
      <c r="J906" s="13">
        <f>SUMIFS(data!E:E,data!A:A,TABLEAU!B906,data!C:C,TABLEAU!D906,data!F:F,YEAR(Feuil1!$D$1))</f>
        <v>348</v>
      </c>
      <c r="K906" s="13">
        <f>SUMIFS(data!E:E,data!A:A,TABLEAU!B906,data!C:C,TABLEAU!D906,data!F:F,YEAR(Feuil1!$D$2))</f>
        <v>678</v>
      </c>
      <c r="L906" s="13">
        <f t="shared" si="58"/>
        <v>-330</v>
      </c>
      <c r="M906" s="12">
        <f t="shared" si="59"/>
        <v>-0.48672566371681414</v>
      </c>
    </row>
    <row r="907" spans="1:13" x14ac:dyDescent="0.25">
      <c r="A907" s="17" t="str">
        <f>data!H1489</f>
        <v>VINICOM</v>
      </c>
      <c r="B907" s="15" t="str">
        <f>data!A1489</f>
        <v>199</v>
      </c>
      <c r="C907" s="1" t="str">
        <f>data!B1489</f>
        <v>PRIEURE SAINT JEAN DE BEBIAN</v>
      </c>
      <c r="D907" s="1" t="str">
        <f>data!C1489</f>
        <v>199005</v>
      </c>
      <c r="E907" s="1" t="str">
        <f>data!D907</f>
        <v>AC MONTAGNE ST EMILION CH ST GEORGES</v>
      </c>
      <c r="F907" s="14">
        <f>SUMIFS(data!G:G,data!A:A,TABLEAU!B907,data!C:C,TABLEAU!D907,data!F:F,YEAR(Feuil1!$D$1))</f>
        <v>85.2</v>
      </c>
      <c r="G907" s="9">
        <f>SUMIFS(data!G:G,data!A:A,TABLEAU!B907,data!C:C,TABLEAU!D907,data!F:F,YEAR(Feuil1!$D$2))</f>
        <v>405</v>
      </c>
      <c r="H907" s="9">
        <f t="shared" si="56"/>
        <v>-319.8</v>
      </c>
      <c r="I907" s="12">
        <f t="shared" si="57"/>
        <v>-0.78962962962962968</v>
      </c>
      <c r="J907" s="13">
        <f>SUMIFS(data!E:E,data!A:A,TABLEAU!B907,data!C:C,TABLEAU!D907,data!F:F,YEAR(Feuil1!$D$1))</f>
        <v>6</v>
      </c>
      <c r="K907" s="13">
        <f>SUMIFS(data!E:E,data!A:A,TABLEAU!B907,data!C:C,TABLEAU!D907,data!F:F,YEAR(Feuil1!$D$2))</f>
        <v>42</v>
      </c>
      <c r="L907" s="13">
        <f t="shared" si="58"/>
        <v>-36</v>
      </c>
      <c r="M907" s="12">
        <f t="shared" si="59"/>
        <v>-0.8571428571428571</v>
      </c>
    </row>
    <row r="908" spans="1:13" x14ac:dyDescent="0.25">
      <c r="A908" s="17" t="str">
        <f>data!H1491</f>
        <v>VINICOM</v>
      </c>
      <c r="B908" s="15" t="str">
        <f>data!A1491</f>
        <v>201</v>
      </c>
      <c r="C908" s="1" t="str">
        <f>data!B1491</f>
        <v>CAVE LES COTEAUX DU RHONE</v>
      </c>
      <c r="D908" s="1" t="str">
        <f>data!C1491</f>
        <v>201001</v>
      </c>
      <c r="E908" s="1" t="str">
        <f>data!D908</f>
        <v>AC MONTAGNE ST EMILION CH ST GEORGES</v>
      </c>
      <c r="F908" s="14">
        <f>SUMIFS(data!G:G,data!A:A,TABLEAU!B908,data!C:C,TABLEAU!D908,data!F:F,YEAR(Feuil1!$D$1))</f>
        <v>9414.5499999999993</v>
      </c>
      <c r="G908" s="9">
        <f>SUMIFS(data!G:G,data!A:A,TABLEAU!B908,data!C:C,TABLEAU!D908,data!F:F,YEAR(Feuil1!$D$2))</f>
        <v>6103.04</v>
      </c>
      <c r="H908" s="9">
        <f t="shared" si="56"/>
        <v>3311.5099999999993</v>
      </c>
      <c r="I908" s="12">
        <f t="shared" si="57"/>
        <v>0.54260008127097303</v>
      </c>
      <c r="J908" s="13">
        <f>SUMIFS(data!E:E,data!A:A,TABLEAU!B908,data!C:C,TABLEAU!D908,data!F:F,YEAR(Feuil1!$D$1))</f>
        <v>8410.8700000000026</v>
      </c>
      <c r="K908" s="13">
        <f>SUMIFS(data!E:E,data!A:A,TABLEAU!B908,data!C:C,TABLEAU!D908,data!F:F,YEAR(Feuil1!$D$2))</f>
        <v>5736.2000000000016</v>
      </c>
      <c r="L908" s="13">
        <f t="shared" si="58"/>
        <v>2674.670000000001</v>
      </c>
      <c r="M908" s="12">
        <f t="shared" si="59"/>
        <v>0.46627906976744188</v>
      </c>
    </row>
    <row r="909" spans="1:13" x14ac:dyDescent="0.25">
      <c r="A909" s="17" t="str">
        <f>data!H1493</f>
        <v>VINICOM</v>
      </c>
      <c r="B909" s="15" t="str">
        <f>data!A1493</f>
        <v>201</v>
      </c>
      <c r="C909" s="1" t="str">
        <f>data!B1493</f>
        <v>CAVE LES COTEAUX DU RHONE</v>
      </c>
      <c r="D909" s="1" t="str">
        <f>data!C1493</f>
        <v>201002</v>
      </c>
      <c r="E909" s="1" t="str">
        <f>data!D909</f>
        <v>AC ST EMILION GD CRU CLOS TRIMOULET</v>
      </c>
      <c r="F909" s="14">
        <f>SUMIFS(data!G:G,data!A:A,TABLEAU!B909,data!C:C,TABLEAU!D909,data!F:F,YEAR(Feuil1!$D$1))</f>
        <v>11461.25</v>
      </c>
      <c r="G909" s="9">
        <f>SUMIFS(data!G:G,data!A:A,TABLEAU!B909,data!C:C,TABLEAU!D909,data!F:F,YEAR(Feuil1!$D$2))</f>
        <v>21986.57</v>
      </c>
      <c r="H909" s="9">
        <f t="shared" si="56"/>
        <v>-10525.32</v>
      </c>
      <c r="I909" s="12">
        <f t="shared" si="57"/>
        <v>-0.47871587064285154</v>
      </c>
      <c r="J909" s="13">
        <f>SUMIFS(data!E:E,data!A:A,TABLEAU!B909,data!C:C,TABLEAU!D909,data!F:F,YEAR(Feuil1!$D$1))</f>
        <v>11623.759999999989</v>
      </c>
      <c r="K909" s="13">
        <f>SUMIFS(data!E:E,data!A:A,TABLEAU!B909,data!C:C,TABLEAU!D909,data!F:F,YEAR(Feuil1!$D$2))</f>
        <v>23340.82999999998</v>
      </c>
      <c r="L909" s="13">
        <f t="shared" si="58"/>
        <v>-11717.069999999991</v>
      </c>
      <c r="M909" s="12">
        <f t="shared" si="59"/>
        <v>-0.50199885779554543</v>
      </c>
    </row>
    <row r="910" spans="1:13" x14ac:dyDescent="0.25">
      <c r="A910" s="17" t="str">
        <f>data!H1495</f>
        <v>VINICOM</v>
      </c>
      <c r="B910" s="15" t="str">
        <f>data!A1495</f>
        <v>201</v>
      </c>
      <c r="C910" s="1" t="str">
        <f>data!B1495</f>
        <v>CAVE LES COTEAUX DU RHONE</v>
      </c>
      <c r="D910" s="1" t="str">
        <f>data!C1495</f>
        <v>201003</v>
      </c>
      <c r="E910" s="1" t="str">
        <f>data!D910</f>
        <v>CLOS TRIMOULET AC ST EMILION GRAND CRU</v>
      </c>
      <c r="F910" s="14">
        <f>SUMIFS(data!G:G,data!A:A,TABLEAU!B910,data!C:C,TABLEAU!D910,data!F:F,YEAR(Feuil1!$D$1))</f>
        <v>12555</v>
      </c>
      <c r="G910" s="9">
        <f>SUMIFS(data!G:G,data!A:A,TABLEAU!B910,data!C:C,TABLEAU!D910,data!F:F,YEAR(Feuil1!$D$2))</f>
        <v>14057.58</v>
      </c>
      <c r="H910" s="9">
        <f t="shared" si="56"/>
        <v>-1502.58</v>
      </c>
      <c r="I910" s="12">
        <f t="shared" si="57"/>
        <v>-0.10688752971706367</v>
      </c>
      <c r="J910" s="13">
        <f>SUMIFS(data!E:E,data!A:A,TABLEAU!B910,data!C:C,TABLEAU!D910,data!F:F,YEAR(Feuil1!$D$1))</f>
        <v>12352.840000000024</v>
      </c>
      <c r="K910" s="13">
        <f>SUMIFS(data!E:E,data!A:A,TABLEAU!B910,data!C:C,TABLEAU!D910,data!F:F,YEAR(Feuil1!$D$2))</f>
        <v>12532.930000000028</v>
      </c>
      <c r="L910" s="13">
        <f t="shared" si="58"/>
        <v>-180.09000000000378</v>
      </c>
      <c r="M910" s="12">
        <f t="shared" si="59"/>
        <v>-1.4369345396487763E-2</v>
      </c>
    </row>
    <row r="911" spans="1:13" x14ac:dyDescent="0.25">
      <c r="A911" s="17" t="str">
        <f>data!H1497</f>
        <v>VINICOM</v>
      </c>
      <c r="B911" s="15" t="str">
        <f>data!A1497</f>
        <v>201</v>
      </c>
      <c r="C911" s="1" t="str">
        <f>data!B1497</f>
        <v>CAVE LES COTEAUX DU RHONE</v>
      </c>
      <c r="D911" s="1" t="str">
        <f>data!C1497</f>
        <v>201004</v>
      </c>
      <c r="E911" s="1" t="str">
        <f>data!D911</f>
        <v>CLOS TRIMOULET AC ST EMILION GRAND CRU</v>
      </c>
      <c r="F911" s="14">
        <f>SUMIFS(data!G:G,data!A:A,TABLEAU!B911,data!C:C,TABLEAU!D911,data!F:F,YEAR(Feuil1!$D$1))</f>
        <v>23003.1</v>
      </c>
      <c r="G911" s="9">
        <f>SUMIFS(data!G:G,data!A:A,TABLEAU!B911,data!C:C,TABLEAU!D911,data!F:F,YEAR(Feuil1!$D$2))</f>
        <v>32640.26</v>
      </c>
      <c r="H911" s="9">
        <f t="shared" si="56"/>
        <v>-9637.16</v>
      </c>
      <c r="I911" s="12">
        <f t="shared" si="57"/>
        <v>-0.29525377555203297</v>
      </c>
      <c r="J911" s="13">
        <f>SUMIFS(data!E:E,data!A:A,TABLEAU!B911,data!C:C,TABLEAU!D911,data!F:F,YEAR(Feuil1!$D$1))</f>
        <v>24167.289999999979</v>
      </c>
      <c r="K911" s="13">
        <f>SUMIFS(data!E:E,data!A:A,TABLEAU!B911,data!C:C,TABLEAU!D911,data!F:F,YEAR(Feuil1!$D$2))</f>
        <v>33125.049999999959</v>
      </c>
      <c r="L911" s="13">
        <f t="shared" si="58"/>
        <v>-8957.7599999999802</v>
      </c>
      <c r="M911" s="12">
        <f t="shared" si="59"/>
        <v>-0.27042253521126736</v>
      </c>
    </row>
    <row r="912" spans="1:13" x14ac:dyDescent="0.25">
      <c r="A912" s="17" t="str">
        <f>data!H1499</f>
        <v>VINICOM</v>
      </c>
      <c r="B912" s="15" t="str">
        <f>data!A1499</f>
        <v>201</v>
      </c>
      <c r="C912" s="1" t="str">
        <f>data!B1499</f>
        <v>CAVE LES COTEAUX DU RHONE</v>
      </c>
      <c r="D912" s="1" t="str">
        <f>data!C1499</f>
        <v>201005</v>
      </c>
      <c r="E912" s="1" t="str">
        <f>data!D912</f>
        <v>AC MONTAGNE ST EMILION. CH ST GEORGES</v>
      </c>
      <c r="F912" s="14">
        <f>SUMIFS(data!G:G,data!A:A,TABLEAU!B912,data!C:C,TABLEAU!D912,data!F:F,YEAR(Feuil1!$D$1))</f>
        <v>0</v>
      </c>
      <c r="G912" s="9">
        <f>SUMIFS(data!G:G,data!A:A,TABLEAU!B912,data!C:C,TABLEAU!D912,data!F:F,YEAR(Feuil1!$D$2))</f>
        <v>461.4</v>
      </c>
      <c r="H912" s="9">
        <f t="shared" si="56"/>
        <v>-461.4</v>
      </c>
      <c r="I912" s="12">
        <f t="shared" si="57"/>
        <v>-1</v>
      </c>
      <c r="J912" s="13">
        <f>SUMIFS(data!E:E,data!A:A,TABLEAU!B912,data!C:C,TABLEAU!D912,data!F:F,YEAR(Feuil1!$D$1))</f>
        <v>0</v>
      </c>
      <c r="K912" s="13">
        <f>SUMIFS(data!E:E,data!A:A,TABLEAU!B912,data!C:C,TABLEAU!D912,data!F:F,YEAR(Feuil1!$D$2))</f>
        <v>282</v>
      </c>
      <c r="L912" s="13">
        <f t="shared" si="58"/>
        <v>-282</v>
      </c>
      <c r="M912" s="12">
        <f t="shared" si="59"/>
        <v>-1</v>
      </c>
    </row>
    <row r="913" spans="1:13" x14ac:dyDescent="0.25">
      <c r="A913" s="17" t="str">
        <f>data!H1500</f>
        <v>VINICOM</v>
      </c>
      <c r="B913" s="15" t="str">
        <f>data!A1500</f>
        <v>201</v>
      </c>
      <c r="C913" s="1" t="str">
        <f>data!B1500</f>
        <v>CAVE LES COTEAUX DU RHONE</v>
      </c>
      <c r="D913" s="1" t="str">
        <f>data!C1500</f>
        <v>201006</v>
      </c>
      <c r="E913" s="1" t="str">
        <f>data!D913</f>
        <v>AOP SAINT EMILION GD CRU CLOS TRIMOULET</v>
      </c>
      <c r="F913" s="14">
        <f>SUMIFS(data!G:G,data!A:A,TABLEAU!B913,data!C:C,TABLEAU!D913,data!F:F,YEAR(Feuil1!$D$1))</f>
        <v>14424</v>
      </c>
      <c r="G913" s="9">
        <f>SUMIFS(data!G:G,data!A:A,TABLEAU!B913,data!C:C,TABLEAU!D913,data!F:F,YEAR(Feuil1!$D$2))</f>
        <v>12667.08</v>
      </c>
      <c r="H913" s="9">
        <f t="shared" si="56"/>
        <v>1756.92</v>
      </c>
      <c r="I913" s="12">
        <f t="shared" si="57"/>
        <v>0.13869968453660986</v>
      </c>
      <c r="J913" s="13">
        <f>SUMIFS(data!E:E,data!A:A,TABLEAU!B913,data!C:C,TABLEAU!D913,data!F:F,YEAR(Feuil1!$D$1))</f>
        <v>6126</v>
      </c>
      <c r="K913" s="13">
        <f>SUMIFS(data!E:E,data!A:A,TABLEAU!B913,data!C:C,TABLEAU!D913,data!F:F,YEAR(Feuil1!$D$2))</f>
        <v>5418</v>
      </c>
      <c r="L913" s="13">
        <f t="shared" si="58"/>
        <v>708</v>
      </c>
      <c r="M913" s="12">
        <f t="shared" si="59"/>
        <v>0.13067552602436322</v>
      </c>
    </row>
    <row r="914" spans="1:13" x14ac:dyDescent="0.25">
      <c r="A914" s="17" t="str">
        <f>data!H1502</f>
        <v>VINICOM</v>
      </c>
      <c r="B914" s="15" t="str">
        <f>data!A1502</f>
        <v>201</v>
      </c>
      <c r="C914" s="1" t="str">
        <f>data!B1502</f>
        <v>CAVE LES COTEAUX DU RHONE</v>
      </c>
      <c r="D914" s="1" t="str">
        <f>data!C1502</f>
        <v>201007</v>
      </c>
      <c r="E914" s="1" t="str">
        <f>data!D914</f>
        <v>AC MONTAGNE ST EMILION CHEVALIER ST GEORGES</v>
      </c>
      <c r="F914" s="14">
        <f>SUMIFS(data!G:G,data!A:A,TABLEAU!B914,data!C:C,TABLEAU!D914,data!F:F,YEAR(Feuil1!$D$1))</f>
        <v>938.1</v>
      </c>
      <c r="G914" s="9">
        <f>SUMIFS(data!G:G,data!A:A,TABLEAU!B914,data!C:C,TABLEAU!D914,data!F:F,YEAR(Feuil1!$D$2))</f>
        <v>1425.3</v>
      </c>
      <c r="H914" s="9">
        <f t="shared" si="56"/>
        <v>-487.19999999999993</v>
      </c>
      <c r="I914" s="12">
        <f t="shared" si="57"/>
        <v>-0.34182277415280987</v>
      </c>
      <c r="J914" s="13">
        <f>SUMIFS(data!E:E,data!A:A,TABLEAU!B914,data!C:C,TABLEAU!D914,data!F:F,YEAR(Feuil1!$D$1))</f>
        <v>174</v>
      </c>
      <c r="K914" s="13">
        <f>SUMIFS(data!E:E,data!A:A,TABLEAU!B914,data!C:C,TABLEAU!D914,data!F:F,YEAR(Feuil1!$D$2))</f>
        <v>288</v>
      </c>
      <c r="L914" s="13">
        <f t="shared" si="58"/>
        <v>-114</v>
      </c>
      <c r="M914" s="12">
        <f t="shared" si="59"/>
        <v>-0.39583333333333331</v>
      </c>
    </row>
    <row r="915" spans="1:13" x14ac:dyDescent="0.25">
      <c r="A915" s="17" t="str">
        <f>data!H1504</f>
        <v>VINICOM</v>
      </c>
      <c r="B915" s="15" t="str">
        <f>data!A1504</f>
        <v>201</v>
      </c>
      <c r="C915" s="1" t="str">
        <f>data!B1504</f>
        <v>CAVE LES COTEAUX DU RHONE</v>
      </c>
      <c r="D915" s="1" t="str">
        <f>data!C1504</f>
        <v>201008</v>
      </c>
      <c r="E915" s="1" t="str">
        <f>data!D915</f>
        <v>AC MONTAGNE ST EMILION CHEVALIER ST GEORGES</v>
      </c>
      <c r="F915" s="14">
        <f>SUMIFS(data!G:G,data!A:A,TABLEAU!B915,data!C:C,TABLEAU!D915,data!F:F,YEAR(Feuil1!$D$1))</f>
        <v>4407.8999999999996</v>
      </c>
      <c r="G915" s="9">
        <f>SUMIFS(data!G:G,data!A:A,TABLEAU!B915,data!C:C,TABLEAU!D915,data!F:F,YEAR(Feuil1!$D$2))</f>
        <v>2531.04</v>
      </c>
      <c r="H915" s="9">
        <f t="shared" si="56"/>
        <v>1876.8599999999997</v>
      </c>
      <c r="I915" s="12">
        <f t="shared" si="57"/>
        <v>0.7415370756684998</v>
      </c>
      <c r="J915" s="13">
        <f>SUMIFS(data!E:E,data!A:A,TABLEAU!B915,data!C:C,TABLEAU!D915,data!F:F,YEAR(Feuil1!$D$1))</f>
        <v>1446</v>
      </c>
      <c r="K915" s="13">
        <f>SUMIFS(data!E:E,data!A:A,TABLEAU!B915,data!C:C,TABLEAU!D915,data!F:F,YEAR(Feuil1!$D$2))</f>
        <v>804</v>
      </c>
      <c r="L915" s="13">
        <f t="shared" si="58"/>
        <v>642</v>
      </c>
      <c r="M915" s="12">
        <f t="shared" si="59"/>
        <v>0.79850746268656714</v>
      </c>
    </row>
    <row r="916" spans="1:13" x14ac:dyDescent="0.25">
      <c r="A916" s="17" t="str">
        <f>data!H1506</f>
        <v>VINICOM</v>
      </c>
      <c r="B916" s="15" t="str">
        <f>data!A1506</f>
        <v>201</v>
      </c>
      <c r="C916" s="1" t="str">
        <f>data!B1506</f>
        <v>CAVE LES COTEAUX DU RHONE</v>
      </c>
      <c r="D916" s="1" t="str">
        <f>data!C1506</f>
        <v>201010</v>
      </c>
      <c r="E916" s="1" t="str">
        <f>data!D916</f>
        <v>AC SAINT EMILION GRAND CRU CLOS TRIMOULET</v>
      </c>
      <c r="F916" s="14">
        <f>SUMIFS(data!G:G,data!A:A,TABLEAU!B916,data!C:C,TABLEAU!D916,data!F:F,YEAR(Feuil1!$D$1))</f>
        <v>6565.8</v>
      </c>
      <c r="G916" s="9">
        <f>SUMIFS(data!G:G,data!A:A,TABLEAU!B916,data!C:C,TABLEAU!D916,data!F:F,YEAR(Feuil1!$D$2))</f>
        <v>7418.92</v>
      </c>
      <c r="H916" s="9">
        <f t="shared" si="56"/>
        <v>-853.11999999999989</v>
      </c>
      <c r="I916" s="12">
        <f t="shared" si="57"/>
        <v>-0.11499247868962058</v>
      </c>
      <c r="J916" s="13">
        <f>SUMIFS(data!E:E,data!A:A,TABLEAU!B916,data!C:C,TABLEAU!D916,data!F:F,YEAR(Feuil1!$D$1))</f>
        <v>4705.4900000000007</v>
      </c>
      <c r="K916" s="13">
        <f>SUMIFS(data!E:E,data!A:A,TABLEAU!B916,data!C:C,TABLEAU!D916,data!F:F,YEAR(Feuil1!$D$2))</f>
        <v>5345.3300000000008</v>
      </c>
      <c r="L916" s="13">
        <f t="shared" si="58"/>
        <v>-639.84000000000015</v>
      </c>
      <c r="M916" s="12">
        <f t="shared" si="59"/>
        <v>-0.11970074812967582</v>
      </c>
    </row>
    <row r="917" spans="1:13" x14ac:dyDescent="0.25">
      <c r="A917" s="17" t="str">
        <f>data!H1508</f>
        <v>VINICOM</v>
      </c>
      <c r="B917" s="15" t="str">
        <f>data!A1508</f>
        <v>201</v>
      </c>
      <c r="C917" s="1" t="str">
        <f>data!B1508</f>
        <v>CAVE LES COTEAUX DU RHONE</v>
      </c>
      <c r="D917" s="1" t="str">
        <f>data!C1508</f>
        <v>201011</v>
      </c>
      <c r="E917" s="1" t="str">
        <f>data!D917</f>
        <v>AC SAINT EMILION GRAND CRU CLOS TRIMOULET</v>
      </c>
      <c r="F917" s="14">
        <f>SUMIFS(data!G:G,data!A:A,TABLEAU!B917,data!C:C,TABLEAU!D917,data!F:F,YEAR(Feuil1!$D$1))</f>
        <v>3787.5</v>
      </c>
      <c r="G917" s="9">
        <f>SUMIFS(data!G:G,data!A:A,TABLEAU!B917,data!C:C,TABLEAU!D917,data!F:F,YEAR(Feuil1!$D$2))</f>
        <v>2512.0500000000002</v>
      </c>
      <c r="H917" s="9">
        <f t="shared" si="56"/>
        <v>1275.4499999999998</v>
      </c>
      <c r="I917" s="12">
        <f t="shared" si="57"/>
        <v>0.50773272824983573</v>
      </c>
      <c r="J917" s="13">
        <f>SUMIFS(data!E:E,data!A:A,TABLEAU!B917,data!C:C,TABLEAU!D917,data!F:F,YEAR(Feuil1!$D$1))</f>
        <v>2614.6400000000003</v>
      </c>
      <c r="K917" s="13">
        <f>SUMIFS(data!E:E,data!A:A,TABLEAU!B917,data!C:C,TABLEAU!D917,data!F:F,YEAR(Feuil1!$D$2))</f>
        <v>1747.5399999999997</v>
      </c>
      <c r="L917" s="13">
        <f t="shared" si="58"/>
        <v>867.10000000000059</v>
      </c>
      <c r="M917" s="12">
        <f t="shared" si="59"/>
        <v>0.49618320610687067</v>
      </c>
    </row>
    <row r="918" spans="1:13" x14ac:dyDescent="0.25">
      <c r="A918" s="17" t="str">
        <f>data!H1510</f>
        <v>VINICOM</v>
      </c>
      <c r="B918" s="15" t="str">
        <f>data!A1510</f>
        <v>201</v>
      </c>
      <c r="C918" s="1" t="str">
        <f>data!B1510</f>
        <v>CAVE LES COTEAUX DU RHONE</v>
      </c>
      <c r="D918" s="1" t="str">
        <f>data!C1510</f>
        <v>201012</v>
      </c>
      <c r="E918" s="1" t="str">
        <f>data!D918</f>
        <v>R LA BATISSE AC HT MEDOC CRU BOURGEOIS CAISSE BOIS</v>
      </c>
      <c r="F918" s="14">
        <f>SUMIFS(data!G:G,data!A:A,TABLEAU!B918,data!C:C,TABLEAU!D918,data!F:F,YEAR(Feuil1!$D$1))</f>
        <v>2709</v>
      </c>
      <c r="G918" s="9">
        <f>SUMIFS(data!G:G,data!A:A,TABLEAU!B918,data!C:C,TABLEAU!D918,data!F:F,YEAR(Feuil1!$D$2))</f>
        <v>4949.08</v>
      </c>
      <c r="H918" s="9">
        <f t="shared" si="56"/>
        <v>-2240.08</v>
      </c>
      <c r="I918" s="12">
        <f t="shared" si="57"/>
        <v>-0.45262553848392023</v>
      </c>
      <c r="J918" s="13">
        <f>SUMIFS(data!E:E,data!A:A,TABLEAU!B918,data!C:C,TABLEAU!D918,data!F:F,YEAR(Feuil1!$D$1))</f>
        <v>756</v>
      </c>
      <c r="K918" s="13">
        <f>SUMIFS(data!E:E,data!A:A,TABLEAU!B918,data!C:C,TABLEAU!D918,data!F:F,YEAR(Feuil1!$D$2))</f>
        <v>1398</v>
      </c>
      <c r="L918" s="13">
        <f t="shared" si="58"/>
        <v>-642</v>
      </c>
      <c r="M918" s="12">
        <f t="shared" si="59"/>
        <v>-0.45922746781115881</v>
      </c>
    </row>
    <row r="919" spans="1:13" x14ac:dyDescent="0.25">
      <c r="A919" s="17" t="str">
        <f>data!H1512</f>
        <v>VINICOM</v>
      </c>
      <c r="B919" s="15" t="str">
        <f>data!A1512</f>
        <v>201</v>
      </c>
      <c r="C919" s="1" t="str">
        <f>data!B1512</f>
        <v>CAVE LES COTEAUX DU RHONE</v>
      </c>
      <c r="D919" s="1" t="str">
        <f>data!C1512</f>
        <v>201013</v>
      </c>
      <c r="E919" s="1" t="str">
        <f>data!D919</f>
        <v>CH RAMAGE LA BATISSE AC HAUT MEDOC CRU BOURGEOIS</v>
      </c>
      <c r="F919" s="14">
        <f>SUMIFS(data!G:G,data!A:A,TABLEAU!B919,data!C:C,TABLEAU!D919,data!F:F,YEAR(Feuil1!$D$1))</f>
        <v>325.8</v>
      </c>
      <c r="G919" s="9">
        <f>SUMIFS(data!G:G,data!A:A,TABLEAU!B919,data!C:C,TABLEAU!D919,data!F:F,YEAR(Feuil1!$D$2))</f>
        <v>691.68</v>
      </c>
      <c r="H919" s="9">
        <f t="shared" si="56"/>
        <v>-365.87999999999994</v>
      </c>
      <c r="I919" s="12">
        <f t="shared" si="57"/>
        <v>-0.52897293546148505</v>
      </c>
      <c r="J919" s="13">
        <f>SUMIFS(data!E:E,data!A:A,TABLEAU!B919,data!C:C,TABLEAU!D919,data!F:F,YEAR(Feuil1!$D$1))</f>
        <v>90</v>
      </c>
      <c r="K919" s="13">
        <f>SUMIFS(data!E:E,data!A:A,TABLEAU!B919,data!C:C,TABLEAU!D919,data!F:F,YEAR(Feuil1!$D$2))</f>
        <v>192</v>
      </c>
      <c r="L919" s="13">
        <f t="shared" si="58"/>
        <v>-102</v>
      </c>
      <c r="M919" s="12">
        <f t="shared" si="59"/>
        <v>-0.53125</v>
      </c>
    </row>
    <row r="920" spans="1:13" x14ac:dyDescent="0.25">
      <c r="A920" s="17" t="str">
        <f>data!H1514</f>
        <v>VINICOM</v>
      </c>
      <c r="B920" s="15" t="str">
        <f>data!A1514</f>
        <v>201</v>
      </c>
      <c r="C920" s="1" t="str">
        <f>data!B1514</f>
        <v>CAVE LES COTEAUX DU RHONE</v>
      </c>
      <c r="D920" s="1" t="str">
        <f>data!C1514</f>
        <v>201014</v>
      </c>
      <c r="E920" s="1" t="str">
        <f>data!D920</f>
        <v>AC HT MEDOC CRU B CH RAMAGE LA BATISSE</v>
      </c>
      <c r="F920" s="14">
        <f>SUMIFS(data!G:G,data!A:A,TABLEAU!B920,data!C:C,TABLEAU!D920,data!F:F,YEAR(Feuil1!$D$1))</f>
        <v>5760</v>
      </c>
      <c r="G920" s="9">
        <f>SUMIFS(data!G:G,data!A:A,TABLEAU!B920,data!C:C,TABLEAU!D920,data!F:F,YEAR(Feuil1!$D$2))</f>
        <v>7439.76</v>
      </c>
      <c r="H920" s="9">
        <f t="shared" si="56"/>
        <v>-1679.7600000000002</v>
      </c>
      <c r="I920" s="12">
        <f t="shared" si="57"/>
        <v>-0.22578147682183297</v>
      </c>
      <c r="J920" s="13">
        <f>SUMIFS(data!E:E,data!A:A,TABLEAU!B920,data!C:C,TABLEAU!D920,data!F:F,YEAR(Feuil1!$D$1))</f>
        <v>1938</v>
      </c>
      <c r="K920" s="13">
        <f>SUMIFS(data!E:E,data!A:A,TABLEAU!B920,data!C:C,TABLEAU!D920,data!F:F,YEAR(Feuil1!$D$2))</f>
        <v>2508</v>
      </c>
      <c r="L920" s="13">
        <f t="shared" si="58"/>
        <v>-570</v>
      </c>
      <c r="M920" s="12">
        <f t="shared" si="59"/>
        <v>-0.22727272727272727</v>
      </c>
    </row>
    <row r="921" spans="1:13" x14ac:dyDescent="0.25">
      <c r="A921" s="17" t="str">
        <f>data!H1516</f>
        <v>VINICOM</v>
      </c>
      <c r="B921" s="15" t="str">
        <f>data!A1516</f>
        <v>201</v>
      </c>
      <c r="C921" s="1" t="str">
        <f>data!B1516</f>
        <v>CAVE LES COTEAUX DU RHONE</v>
      </c>
      <c r="D921" s="1" t="str">
        <f>data!C1516</f>
        <v>201015</v>
      </c>
      <c r="E921" s="1" t="str">
        <f>data!D921</f>
        <v>AC HT MEDOC CRU B CH RAMAGE LA BATISSE</v>
      </c>
      <c r="F921" s="14">
        <f>SUMIFS(data!G:G,data!A:A,TABLEAU!B921,data!C:C,TABLEAU!D921,data!F:F,YEAR(Feuil1!$D$1))</f>
        <v>447.6</v>
      </c>
      <c r="G921" s="9">
        <f>SUMIFS(data!G:G,data!A:A,TABLEAU!B921,data!C:C,TABLEAU!D921,data!F:F,YEAR(Feuil1!$D$2))</f>
        <v>994.8</v>
      </c>
      <c r="H921" s="9">
        <f t="shared" si="56"/>
        <v>-547.19999999999993</v>
      </c>
      <c r="I921" s="12">
        <f t="shared" si="57"/>
        <v>-0.55006031363088048</v>
      </c>
      <c r="J921" s="13">
        <f>SUMIFS(data!E:E,data!A:A,TABLEAU!B921,data!C:C,TABLEAU!D921,data!F:F,YEAR(Feuil1!$D$1))</f>
        <v>144</v>
      </c>
      <c r="K921" s="13">
        <f>SUMIFS(data!E:E,data!A:A,TABLEAU!B921,data!C:C,TABLEAU!D921,data!F:F,YEAR(Feuil1!$D$2))</f>
        <v>324</v>
      </c>
      <c r="L921" s="13">
        <f t="shared" si="58"/>
        <v>-180</v>
      </c>
      <c r="M921" s="12">
        <f t="shared" si="59"/>
        <v>-0.55555555555555558</v>
      </c>
    </row>
    <row r="922" spans="1:13" x14ac:dyDescent="0.25">
      <c r="A922" s="17" t="str">
        <f>data!H1518</f>
        <v>VINICOM</v>
      </c>
      <c r="B922" s="15" t="str">
        <f>data!A1518</f>
        <v>201</v>
      </c>
      <c r="C922" s="1" t="str">
        <f>data!B1518</f>
        <v>CAVE LES COTEAUX DU RHONE</v>
      </c>
      <c r="D922" s="1" t="str">
        <f>data!C1518</f>
        <v>201016</v>
      </c>
      <c r="E922" s="1" t="str">
        <f>data!D922</f>
        <v>AC HT MEDOC CRU B. CHATEAU RAMAGE LA BATISSE CB 1</v>
      </c>
      <c r="F922" s="14">
        <f>SUMIFS(data!G:G,data!A:A,TABLEAU!B922,data!C:C,TABLEAU!D922,data!F:F,YEAR(Feuil1!$D$1))</f>
        <v>970.08</v>
      </c>
      <c r="G922" s="9">
        <f>SUMIFS(data!G:G,data!A:A,TABLEAU!B922,data!C:C,TABLEAU!D922,data!F:F,YEAR(Feuil1!$D$2))</f>
        <v>639.84</v>
      </c>
      <c r="H922" s="9">
        <f t="shared" si="56"/>
        <v>330.24</v>
      </c>
      <c r="I922" s="12">
        <f t="shared" si="57"/>
        <v>0.5161290322580645</v>
      </c>
      <c r="J922" s="13">
        <f>SUMIFS(data!E:E,data!A:A,TABLEAU!B922,data!C:C,TABLEAU!D922,data!F:F,YEAR(Feuil1!$D$1))</f>
        <v>282</v>
      </c>
      <c r="K922" s="13">
        <f>SUMIFS(data!E:E,data!A:A,TABLEAU!B922,data!C:C,TABLEAU!D922,data!F:F,YEAR(Feuil1!$D$2))</f>
        <v>186</v>
      </c>
      <c r="L922" s="13">
        <f t="shared" si="58"/>
        <v>96</v>
      </c>
      <c r="M922" s="12">
        <f t="shared" si="59"/>
        <v>0.5161290322580645</v>
      </c>
    </row>
    <row r="923" spans="1:13" x14ac:dyDescent="0.25">
      <c r="A923" s="17" t="str">
        <f>data!H1520</f>
        <v>VINICOM</v>
      </c>
      <c r="B923" s="15" t="str">
        <f>data!A1520</f>
        <v>201</v>
      </c>
      <c r="C923" s="1" t="str">
        <f>data!B1520</f>
        <v>CAVE LES COTEAUX DU RHONE</v>
      </c>
      <c r="D923" s="1" t="str">
        <f>data!C1520</f>
        <v>201017</v>
      </c>
      <c r="E923" s="1" t="str">
        <f>data!D923</f>
        <v>CH RAMAGE LA BATISSE AC HAUT MEDOC CRU BOURGEOIS C</v>
      </c>
      <c r="F923" s="14">
        <f>SUMIFS(data!G:G,data!A:A,TABLEAU!B923,data!C:C,TABLEAU!D923,data!F:F,YEAR(Feuil1!$D$1))</f>
        <v>354.75</v>
      </c>
      <c r="G923" s="9">
        <f>SUMIFS(data!G:G,data!A:A,TABLEAU!B923,data!C:C,TABLEAU!D923,data!F:F,YEAR(Feuil1!$D$2))</f>
        <v>0</v>
      </c>
      <c r="H923" s="9">
        <f t="shared" si="56"/>
        <v>354.75</v>
      </c>
      <c r="I923" s="12" t="str">
        <f t="shared" si="57"/>
        <v/>
      </c>
      <c r="J923" s="13">
        <f>SUMIFS(data!E:E,data!A:A,TABLEAU!B923,data!C:C,TABLEAU!D923,data!F:F,YEAR(Feuil1!$D$1))</f>
        <v>326.83</v>
      </c>
      <c r="K923" s="13">
        <f>SUMIFS(data!E:E,data!A:A,TABLEAU!B923,data!C:C,TABLEAU!D923,data!F:F,YEAR(Feuil1!$D$2))</f>
        <v>0</v>
      </c>
      <c r="L923" s="13">
        <f t="shared" si="58"/>
        <v>326.83</v>
      </c>
      <c r="M923" s="12" t="str">
        <f t="shared" si="59"/>
        <v/>
      </c>
    </row>
    <row r="924" spans="1:13" x14ac:dyDescent="0.25">
      <c r="A924" s="17" t="str">
        <f>data!H1521</f>
        <v>VINICOM</v>
      </c>
      <c r="B924" s="15" t="str">
        <f>data!A1521</f>
        <v>201</v>
      </c>
      <c r="C924" s="1" t="str">
        <f>data!B1521</f>
        <v>CAVE LES COTEAUX DU RHONE</v>
      </c>
      <c r="D924" s="1" t="str">
        <f>data!C1521</f>
        <v>201018</v>
      </c>
      <c r="E924" s="1" t="str">
        <f>data!D924</f>
        <v>CH RAMAGE LA BATISSE AC HAUT MEDOC CRU BOURGEOIS C</v>
      </c>
      <c r="F924" s="14">
        <f>SUMIFS(data!G:G,data!A:A,TABLEAU!B924,data!C:C,TABLEAU!D924,data!F:F,YEAR(Feuil1!$D$1))</f>
        <v>406.25</v>
      </c>
      <c r="G924" s="9">
        <f>SUMIFS(data!G:G,data!A:A,TABLEAU!B924,data!C:C,TABLEAU!D924,data!F:F,YEAR(Feuil1!$D$2))</f>
        <v>0</v>
      </c>
      <c r="H924" s="9">
        <f t="shared" si="56"/>
        <v>406.25</v>
      </c>
      <c r="I924" s="12" t="str">
        <f t="shared" si="57"/>
        <v/>
      </c>
      <c r="J924" s="13">
        <f>SUMIFS(data!E:E,data!A:A,TABLEAU!B924,data!C:C,TABLEAU!D924,data!F:F,YEAR(Feuil1!$D$1))</f>
        <v>284</v>
      </c>
      <c r="K924" s="13">
        <f>SUMIFS(data!E:E,data!A:A,TABLEAU!B924,data!C:C,TABLEAU!D924,data!F:F,YEAR(Feuil1!$D$2))</f>
        <v>0</v>
      </c>
      <c r="L924" s="13">
        <f t="shared" si="58"/>
        <v>284</v>
      </c>
      <c r="M924" s="12" t="str">
        <f t="shared" si="59"/>
        <v/>
      </c>
    </row>
    <row r="925" spans="1:13" x14ac:dyDescent="0.25">
      <c r="A925" s="17" t="str">
        <f>data!H1522</f>
        <v>VINICOM</v>
      </c>
      <c r="B925" s="15" t="str">
        <f>data!A1522</f>
        <v>201</v>
      </c>
      <c r="C925" s="1" t="str">
        <f>data!B1522</f>
        <v>CAVE LES COTEAUX DU RHONE</v>
      </c>
      <c r="D925" s="1" t="str">
        <f>data!C1522</f>
        <v>201020</v>
      </c>
      <c r="E925" s="1" t="str">
        <f>data!D925</f>
        <v>CH RAMAGE LA BATISSE AC HAUT MEDOC CRU BOURGEOIS</v>
      </c>
      <c r="F925" s="14">
        <f>SUMIFS(data!G:G,data!A:A,TABLEAU!B925,data!C:C,TABLEAU!D925,data!F:F,YEAR(Feuil1!$D$1))</f>
        <v>0</v>
      </c>
      <c r="G925" s="9">
        <f>SUMIFS(data!G:G,data!A:A,TABLEAU!B925,data!C:C,TABLEAU!D925,data!F:F,YEAR(Feuil1!$D$2))</f>
        <v>97.2</v>
      </c>
      <c r="H925" s="9">
        <f t="shared" si="56"/>
        <v>-97.2</v>
      </c>
      <c r="I925" s="12">
        <f t="shared" si="57"/>
        <v>-1</v>
      </c>
      <c r="J925" s="13">
        <f>SUMIFS(data!E:E,data!A:A,TABLEAU!B925,data!C:C,TABLEAU!D925,data!F:F,YEAR(Feuil1!$D$1))</f>
        <v>0</v>
      </c>
      <c r="K925" s="13">
        <f>SUMIFS(data!E:E,data!A:A,TABLEAU!B925,data!C:C,TABLEAU!D925,data!F:F,YEAR(Feuil1!$D$2))</f>
        <v>48</v>
      </c>
      <c r="L925" s="13">
        <f t="shared" si="58"/>
        <v>-48</v>
      </c>
      <c r="M925" s="12">
        <f t="shared" si="59"/>
        <v>-1</v>
      </c>
    </row>
    <row r="926" spans="1:13" x14ac:dyDescent="0.25">
      <c r="A926" s="17" t="str">
        <f>data!H1523</f>
        <v>VINICOM</v>
      </c>
      <c r="B926" s="15" t="str">
        <f>data!A1523</f>
        <v>201</v>
      </c>
      <c r="C926" s="1" t="str">
        <f>data!B1523</f>
        <v>CAVE LES COTEAUX DU RHONE</v>
      </c>
      <c r="D926" s="1" t="str">
        <f>data!C1523</f>
        <v>201022</v>
      </c>
      <c r="E926" s="1" t="str">
        <f>data!D926</f>
        <v>CH RAMAGE LA BATISSE AC HAUT MEDOC CRU BOURGEOIS</v>
      </c>
      <c r="F926" s="14">
        <f>SUMIFS(data!G:G,data!A:A,TABLEAU!B926,data!C:C,TABLEAU!D926,data!F:F,YEAR(Feuil1!$D$1))</f>
        <v>609.75</v>
      </c>
      <c r="G926" s="9">
        <f>SUMIFS(data!G:G,data!A:A,TABLEAU!B926,data!C:C,TABLEAU!D926,data!F:F,YEAR(Feuil1!$D$2))</f>
        <v>431.58</v>
      </c>
      <c r="H926" s="9">
        <f t="shared" si="56"/>
        <v>178.17000000000002</v>
      </c>
      <c r="I926" s="12">
        <f t="shared" si="57"/>
        <v>0.41283191992214657</v>
      </c>
      <c r="J926" s="13">
        <f>SUMIFS(data!E:E,data!A:A,TABLEAU!B926,data!C:C,TABLEAU!D926,data!F:F,YEAR(Feuil1!$D$1))</f>
        <v>484</v>
      </c>
      <c r="K926" s="13">
        <f>SUMIFS(data!E:E,data!A:A,TABLEAU!B926,data!C:C,TABLEAU!D926,data!F:F,YEAR(Feuil1!$D$2))</f>
        <v>344</v>
      </c>
      <c r="L926" s="13">
        <f t="shared" si="58"/>
        <v>140</v>
      </c>
      <c r="M926" s="12">
        <f t="shared" si="59"/>
        <v>0.40697674418604651</v>
      </c>
    </row>
    <row r="927" spans="1:13" x14ac:dyDescent="0.25">
      <c r="A927" s="17" t="str">
        <f>data!H1525</f>
        <v>VINICOM</v>
      </c>
      <c r="B927" s="15" t="str">
        <f>data!A1525</f>
        <v>201</v>
      </c>
      <c r="C927" s="1" t="str">
        <f>data!B1525</f>
        <v>CAVE LES COTEAUX DU RHONE</v>
      </c>
      <c r="D927" s="1" t="str">
        <f>data!C1525</f>
        <v>201023</v>
      </c>
      <c r="E927" s="1" t="str">
        <f>data!D927</f>
        <v>AC BX LA ROSEE DE RAMAGE</v>
      </c>
      <c r="F927" s="14">
        <f>SUMIFS(data!G:G,data!A:A,TABLEAU!B927,data!C:C,TABLEAU!D927,data!F:F,YEAR(Feuil1!$D$1))</f>
        <v>99</v>
      </c>
      <c r="G927" s="9">
        <f>SUMIFS(data!G:G,data!A:A,TABLEAU!B927,data!C:C,TABLEAU!D927,data!F:F,YEAR(Feuil1!$D$2))</f>
        <v>189.36</v>
      </c>
      <c r="H927" s="9">
        <f t="shared" si="56"/>
        <v>-90.360000000000014</v>
      </c>
      <c r="I927" s="12">
        <f t="shared" si="57"/>
        <v>-0.47718631178707227</v>
      </c>
      <c r="J927" s="13">
        <f>SUMIFS(data!E:E,data!A:A,TABLEAU!B927,data!C:C,TABLEAU!D927,data!F:F,YEAR(Feuil1!$D$1))</f>
        <v>256</v>
      </c>
      <c r="K927" s="13">
        <f>SUMIFS(data!E:E,data!A:A,TABLEAU!B927,data!C:C,TABLEAU!D927,data!F:F,YEAR(Feuil1!$D$2))</f>
        <v>116</v>
      </c>
      <c r="L927" s="13">
        <f t="shared" si="58"/>
        <v>140</v>
      </c>
      <c r="M927" s="12">
        <f t="shared" si="59"/>
        <v>1.2068965517241379</v>
      </c>
    </row>
    <row r="928" spans="1:13" x14ac:dyDescent="0.25">
      <c r="A928" s="17" t="str">
        <f>data!H1527</f>
        <v>VINICOM</v>
      </c>
      <c r="B928" s="15" t="str">
        <f>data!A1527</f>
        <v>201</v>
      </c>
      <c r="C928" s="1" t="str">
        <f>data!B1527</f>
        <v>CAVE LES COTEAUX DU RHONE</v>
      </c>
      <c r="D928" s="1" t="str">
        <f>data!C1527</f>
        <v>201026</v>
      </c>
      <c r="E928" s="1" t="str">
        <f>data!D928</f>
        <v>AC BX LA ROSEE DE RAMAGE</v>
      </c>
      <c r="F928" s="14">
        <f>SUMIFS(data!G:G,data!A:A,TABLEAU!B928,data!C:C,TABLEAU!D928,data!F:F,YEAR(Feuil1!$D$1))</f>
        <v>2338.56</v>
      </c>
      <c r="G928" s="9">
        <f>SUMIFS(data!G:G,data!A:A,TABLEAU!B928,data!C:C,TABLEAU!D928,data!F:F,YEAR(Feuil1!$D$2))</f>
        <v>2772.1</v>
      </c>
      <c r="H928" s="9">
        <f t="shared" si="56"/>
        <v>-433.53999999999996</v>
      </c>
      <c r="I928" s="12">
        <f t="shared" si="57"/>
        <v>-0.15639406947801304</v>
      </c>
      <c r="J928" s="13">
        <f>SUMIFS(data!E:E,data!A:A,TABLEAU!B928,data!C:C,TABLEAU!D928,data!F:F,YEAR(Feuil1!$D$1))</f>
        <v>1242</v>
      </c>
      <c r="K928" s="13">
        <f>SUMIFS(data!E:E,data!A:A,TABLEAU!B928,data!C:C,TABLEAU!D928,data!F:F,YEAR(Feuil1!$D$2))</f>
        <v>1576</v>
      </c>
      <c r="L928" s="13">
        <f t="shared" si="58"/>
        <v>-334</v>
      </c>
      <c r="M928" s="12">
        <f t="shared" si="59"/>
        <v>-0.21192893401015228</v>
      </c>
    </row>
    <row r="929" spans="1:13" x14ac:dyDescent="0.25">
      <c r="A929" s="17" t="str">
        <f>data!H1529</f>
        <v>VINICOM</v>
      </c>
      <c r="B929" s="15" t="str">
        <f>data!A1529</f>
        <v>201</v>
      </c>
      <c r="C929" s="1" t="str">
        <f>data!B1529</f>
        <v>CAVE LES COTEAUX DU RHONE</v>
      </c>
      <c r="D929" s="1" t="str">
        <f>data!C1529</f>
        <v>201027</v>
      </c>
      <c r="E929" s="1" t="str">
        <f>data!D929</f>
        <v>AC HT-MEDOC CLOS DE RAMAGE</v>
      </c>
      <c r="F929" s="14">
        <f>SUMIFS(data!G:G,data!A:A,TABLEAU!B929,data!C:C,TABLEAU!D929,data!F:F,YEAR(Feuil1!$D$1))</f>
        <v>2413.08</v>
      </c>
      <c r="G929" s="9">
        <f>SUMIFS(data!G:G,data!A:A,TABLEAU!B929,data!C:C,TABLEAU!D929,data!F:F,YEAR(Feuil1!$D$2))</f>
        <v>3583.4</v>
      </c>
      <c r="H929" s="9">
        <f t="shared" si="56"/>
        <v>-1170.3200000000002</v>
      </c>
      <c r="I929" s="12">
        <f t="shared" si="57"/>
        <v>-0.326594854049227</v>
      </c>
      <c r="J929" s="13">
        <f>SUMIFS(data!E:E,data!A:A,TABLEAU!B929,data!C:C,TABLEAU!D929,data!F:F,YEAR(Feuil1!$D$1))</f>
        <v>1290</v>
      </c>
      <c r="K929" s="13">
        <f>SUMIFS(data!E:E,data!A:A,TABLEAU!B929,data!C:C,TABLEAU!D929,data!F:F,YEAR(Feuil1!$D$2))</f>
        <v>2021</v>
      </c>
      <c r="L929" s="13">
        <f t="shared" si="58"/>
        <v>-731</v>
      </c>
      <c r="M929" s="12">
        <f t="shared" si="59"/>
        <v>-0.36170212765957449</v>
      </c>
    </row>
    <row r="930" spans="1:13" x14ac:dyDescent="0.25">
      <c r="A930" s="17" t="str">
        <f>data!H1531</f>
        <v>VINICOM</v>
      </c>
      <c r="B930" s="15" t="str">
        <f>data!A1531</f>
        <v>201</v>
      </c>
      <c r="C930" s="1" t="str">
        <f>data!B1531</f>
        <v>CAVE LES COTEAUX DU RHONE</v>
      </c>
      <c r="D930" s="1" t="str">
        <f>data!C1531</f>
        <v>201028</v>
      </c>
      <c r="E930" s="1" t="str">
        <f>data!D930</f>
        <v>AC HT-MEDOC CLOS DE RAMAGE</v>
      </c>
      <c r="F930" s="14">
        <f>SUMIFS(data!G:G,data!A:A,TABLEAU!B930,data!C:C,TABLEAU!D930,data!F:F,YEAR(Feuil1!$D$1))</f>
        <v>0</v>
      </c>
      <c r="G930" s="9">
        <f>SUMIFS(data!G:G,data!A:A,TABLEAU!B930,data!C:C,TABLEAU!D930,data!F:F,YEAR(Feuil1!$D$2))</f>
        <v>648.6</v>
      </c>
      <c r="H930" s="9">
        <f t="shared" si="56"/>
        <v>-648.6</v>
      </c>
      <c r="I930" s="12">
        <f t="shared" si="57"/>
        <v>-1</v>
      </c>
      <c r="J930" s="13">
        <f>SUMIFS(data!E:E,data!A:A,TABLEAU!B930,data!C:C,TABLEAU!D930,data!F:F,YEAR(Feuil1!$D$1))</f>
        <v>-6</v>
      </c>
      <c r="K930" s="13">
        <f>SUMIFS(data!E:E,data!A:A,TABLEAU!B930,data!C:C,TABLEAU!D930,data!F:F,YEAR(Feuil1!$D$2))</f>
        <v>288</v>
      </c>
      <c r="L930" s="13">
        <f t="shared" si="58"/>
        <v>-294</v>
      </c>
      <c r="M930" s="12">
        <f t="shared" si="59"/>
        <v>-1.0208333333333333</v>
      </c>
    </row>
    <row r="931" spans="1:13" x14ac:dyDescent="0.25">
      <c r="A931" s="17" t="str">
        <f>data!H1533</f>
        <v>VINICOM</v>
      </c>
      <c r="B931" s="15" t="str">
        <f>data!A1533</f>
        <v>201</v>
      </c>
      <c r="C931" s="1" t="str">
        <f>data!B1533</f>
        <v>CAVE LES COTEAUX DU RHONE</v>
      </c>
      <c r="D931" s="1" t="str">
        <f>data!C1533</f>
        <v>201030</v>
      </c>
      <c r="E931" s="1" t="str">
        <f>data!D931</f>
        <v>AC HT MEDOC CLOS DE RAMAGE</v>
      </c>
      <c r="F931" s="14">
        <f>SUMIFS(data!G:G,data!A:A,TABLEAU!B931,data!C:C,TABLEAU!D931,data!F:F,YEAR(Feuil1!$D$1))</f>
        <v>0</v>
      </c>
      <c r="G931" s="9">
        <f>SUMIFS(data!G:G,data!A:A,TABLEAU!B931,data!C:C,TABLEAU!D931,data!F:F,YEAR(Feuil1!$D$2))</f>
        <v>86.4</v>
      </c>
      <c r="H931" s="9">
        <f t="shared" si="56"/>
        <v>-86.4</v>
      </c>
      <c r="I931" s="12">
        <f t="shared" si="57"/>
        <v>-1</v>
      </c>
      <c r="J931" s="13">
        <f>SUMIFS(data!E:E,data!A:A,TABLEAU!B931,data!C:C,TABLEAU!D931,data!F:F,YEAR(Feuil1!$D$1))</f>
        <v>0</v>
      </c>
      <c r="K931" s="13">
        <f>SUMIFS(data!E:E,data!A:A,TABLEAU!B931,data!C:C,TABLEAU!D931,data!F:F,YEAR(Feuil1!$D$2))</f>
        <v>36</v>
      </c>
      <c r="L931" s="13">
        <f t="shared" si="58"/>
        <v>-36</v>
      </c>
      <c r="M931" s="12">
        <f t="shared" si="59"/>
        <v>-1</v>
      </c>
    </row>
    <row r="932" spans="1:13" x14ac:dyDescent="0.25">
      <c r="A932" s="17" t="str">
        <f>data!H1534</f>
        <v>VINICOM</v>
      </c>
      <c r="B932" s="15" t="str">
        <f>data!A1534</f>
        <v>201</v>
      </c>
      <c r="C932" s="1" t="str">
        <f>data!B1534</f>
        <v>CAVE LES COTEAUX DU RHONE</v>
      </c>
      <c r="D932" s="1" t="str">
        <f>data!C1534</f>
        <v>201031</v>
      </c>
      <c r="E932" s="1" t="str">
        <f>data!D932</f>
        <v>CLOS DE RAMAGE  AC HAUT MEDOC</v>
      </c>
      <c r="F932" s="14">
        <f>SUMIFS(data!G:G,data!A:A,TABLEAU!B932,data!C:C,TABLEAU!D932,data!F:F,YEAR(Feuil1!$D$1))</f>
        <v>483.84</v>
      </c>
      <c r="G932" s="9">
        <f>SUMIFS(data!G:G,data!A:A,TABLEAU!B932,data!C:C,TABLEAU!D932,data!F:F,YEAR(Feuil1!$D$2))</f>
        <v>0</v>
      </c>
      <c r="H932" s="9">
        <f t="shared" si="56"/>
        <v>483.84</v>
      </c>
      <c r="I932" s="12" t="str">
        <f t="shared" si="57"/>
        <v/>
      </c>
      <c r="J932" s="13">
        <f>SUMIFS(data!E:E,data!A:A,TABLEAU!B932,data!C:C,TABLEAU!D932,data!F:F,YEAR(Feuil1!$D$1))</f>
        <v>324</v>
      </c>
      <c r="K932" s="13">
        <f>SUMIFS(data!E:E,data!A:A,TABLEAU!B932,data!C:C,TABLEAU!D932,data!F:F,YEAR(Feuil1!$D$2))</f>
        <v>0</v>
      </c>
      <c r="L932" s="13">
        <f t="shared" si="58"/>
        <v>324</v>
      </c>
      <c r="M932" s="12" t="str">
        <f t="shared" si="59"/>
        <v/>
      </c>
    </row>
    <row r="933" spans="1:13" x14ac:dyDescent="0.25">
      <c r="A933" s="17" t="str">
        <f>data!H1535</f>
        <v>VINICOM</v>
      </c>
      <c r="B933" s="15" t="str">
        <f>data!A1535</f>
        <v>201</v>
      </c>
      <c r="C933" s="1" t="str">
        <f>data!B1535</f>
        <v>CAVE LES COTEAUX DU RHONE</v>
      </c>
      <c r="D933" s="1" t="str">
        <f>data!C1535</f>
        <v>201900</v>
      </c>
      <c r="E933" s="1" t="str">
        <f>data!D933</f>
        <v>CLOS DE RAMAGE AC HAUT-MEDOC</v>
      </c>
      <c r="F933" s="14">
        <f>SUMIFS(data!G:G,data!A:A,TABLEAU!B933,data!C:C,TABLEAU!D933,data!F:F,YEAR(Feuil1!$D$1))</f>
        <v>86.4</v>
      </c>
      <c r="G933" s="9">
        <f>SUMIFS(data!G:G,data!A:A,TABLEAU!B933,data!C:C,TABLEAU!D933,data!F:F,YEAR(Feuil1!$D$2))</f>
        <v>0</v>
      </c>
      <c r="H933" s="9">
        <f t="shared" si="56"/>
        <v>86.4</v>
      </c>
      <c r="I933" s="12" t="str">
        <f t="shared" si="57"/>
        <v/>
      </c>
      <c r="J933" s="13">
        <f>SUMIFS(data!E:E,data!A:A,TABLEAU!B933,data!C:C,TABLEAU!D933,data!F:F,YEAR(Feuil1!$D$1))</f>
        <v>36</v>
      </c>
      <c r="K933" s="13">
        <f>SUMIFS(data!E:E,data!A:A,TABLEAU!B933,data!C:C,TABLEAU!D933,data!F:F,YEAR(Feuil1!$D$2))</f>
        <v>0</v>
      </c>
      <c r="L933" s="13">
        <f t="shared" si="58"/>
        <v>36</v>
      </c>
      <c r="M933" s="12" t="str">
        <f t="shared" si="59"/>
        <v/>
      </c>
    </row>
    <row r="934" spans="1:13" x14ac:dyDescent="0.25">
      <c r="A934" s="17" t="str">
        <f>data!H1536</f>
        <v>VINICOM</v>
      </c>
      <c r="B934" s="15" t="str">
        <f>data!A1536</f>
        <v>201</v>
      </c>
      <c r="C934" s="1" t="str">
        <f>data!B1536</f>
        <v>CAVE LES COTEAUX DU RHONE</v>
      </c>
      <c r="D934" s="1" t="str">
        <f>data!C1536</f>
        <v>CDV201009</v>
      </c>
      <c r="E934" s="1" t="str">
        <f>data!D934</f>
        <v>CLOS DE RAMAGE AC HAUT-MEDOC</v>
      </c>
      <c r="F934" s="14">
        <f>SUMIFS(data!G:G,data!A:A,TABLEAU!B934,data!C:C,TABLEAU!D934,data!F:F,YEAR(Feuil1!$D$1))</f>
        <v>0</v>
      </c>
      <c r="G934" s="9">
        <f>SUMIFS(data!G:G,data!A:A,TABLEAU!B934,data!C:C,TABLEAU!D934,data!F:F,YEAR(Feuil1!$D$2))</f>
        <v>18.78</v>
      </c>
      <c r="H934" s="9">
        <f t="shared" si="56"/>
        <v>-18.78</v>
      </c>
      <c r="I934" s="12">
        <f t="shared" si="57"/>
        <v>-1</v>
      </c>
      <c r="J934" s="13">
        <f>SUMIFS(data!E:E,data!A:A,TABLEAU!B934,data!C:C,TABLEAU!D934,data!F:F,YEAR(Feuil1!$D$1))</f>
        <v>0</v>
      </c>
      <c r="K934" s="13">
        <f>SUMIFS(data!E:E,data!A:A,TABLEAU!B934,data!C:C,TABLEAU!D934,data!F:F,YEAR(Feuil1!$D$2))</f>
        <v>6</v>
      </c>
      <c r="L934" s="13">
        <f t="shared" si="58"/>
        <v>-6</v>
      </c>
      <c r="M934" s="12">
        <f t="shared" si="59"/>
        <v>-1</v>
      </c>
    </row>
    <row r="935" spans="1:13" x14ac:dyDescent="0.25">
      <c r="A935" s="17" t="str">
        <f>data!H1537</f>
        <v>VINICOM</v>
      </c>
      <c r="B935" s="15" t="str">
        <f>data!A1537</f>
        <v>201</v>
      </c>
      <c r="C935" s="1" t="str">
        <f>data!B1537</f>
        <v>CAVE LES COTEAUX DU RHONE</v>
      </c>
      <c r="D935" s="1" t="str">
        <f>data!C1537</f>
        <v>CDV201025</v>
      </c>
      <c r="E935" s="1" t="str">
        <f>data!D935</f>
        <v>CH DE BELCIER AC COTES DE CASTILLON</v>
      </c>
      <c r="F935" s="14">
        <f>SUMIFS(data!G:G,data!A:A,TABLEAU!B935,data!C:C,TABLEAU!D935,data!F:F,YEAR(Feuil1!$D$1))</f>
        <v>0</v>
      </c>
      <c r="G935" s="9">
        <f>SUMIFS(data!G:G,data!A:A,TABLEAU!B935,data!C:C,TABLEAU!D935,data!F:F,YEAR(Feuil1!$D$2))</f>
        <v>242.4</v>
      </c>
      <c r="H935" s="9">
        <f t="shared" si="56"/>
        <v>-242.4</v>
      </c>
      <c r="I935" s="12">
        <f t="shared" si="57"/>
        <v>-1</v>
      </c>
      <c r="J935" s="13">
        <f>SUMIFS(data!E:E,data!A:A,TABLEAU!B935,data!C:C,TABLEAU!D935,data!F:F,YEAR(Feuil1!$D$1))</f>
        <v>0</v>
      </c>
      <c r="K935" s="13">
        <f>SUMIFS(data!E:E,data!A:A,TABLEAU!B935,data!C:C,TABLEAU!D935,data!F:F,YEAR(Feuil1!$D$2))</f>
        <v>192</v>
      </c>
      <c r="L935" s="13">
        <f t="shared" si="58"/>
        <v>-192</v>
      </c>
      <c r="M935" s="12">
        <f t="shared" si="59"/>
        <v>-1</v>
      </c>
    </row>
    <row r="936" spans="1:13" x14ac:dyDescent="0.25">
      <c r="A936" s="17" t="str">
        <f>data!H1538</f>
        <v>VINICOM</v>
      </c>
      <c r="B936" s="15" t="str">
        <f>data!A1538</f>
        <v>202</v>
      </c>
      <c r="C936" s="1" t="str">
        <f>data!B1538</f>
        <v>TERRES D'ALLIANCE</v>
      </c>
      <c r="D936" s="1" t="str">
        <f>data!C1538</f>
        <v>202001</v>
      </c>
      <c r="E936" s="1" t="str">
        <f>data!D936</f>
        <v>CH DE BELCIER AC COTES DE CASTILLON</v>
      </c>
      <c r="F936" s="14">
        <f>SUMIFS(data!G:G,data!A:A,TABLEAU!B936,data!C:C,TABLEAU!D936,data!F:F,YEAR(Feuil1!$D$1))</f>
        <v>1924.2</v>
      </c>
      <c r="G936" s="9">
        <f>SUMIFS(data!G:G,data!A:A,TABLEAU!B936,data!C:C,TABLEAU!D936,data!F:F,YEAR(Feuil1!$D$2))</f>
        <v>2052.48</v>
      </c>
      <c r="H936" s="9">
        <f t="shared" si="56"/>
        <v>-128.27999999999997</v>
      </c>
      <c r="I936" s="12">
        <f t="shared" si="57"/>
        <v>-6.2499999999999986E-2</v>
      </c>
      <c r="J936" s="13">
        <f>SUMIFS(data!E:E,data!A:A,TABLEAU!B936,data!C:C,TABLEAU!D936,data!F:F,YEAR(Feuil1!$D$1))</f>
        <v>948</v>
      </c>
      <c r="K936" s="13">
        <f>SUMIFS(data!E:E,data!A:A,TABLEAU!B936,data!C:C,TABLEAU!D936,data!F:F,YEAR(Feuil1!$D$2))</f>
        <v>1062</v>
      </c>
      <c r="L936" s="13">
        <f t="shared" si="58"/>
        <v>-114</v>
      </c>
      <c r="M936" s="12">
        <f t="shared" si="59"/>
        <v>-0.10734463276836158</v>
      </c>
    </row>
    <row r="937" spans="1:13" x14ac:dyDescent="0.25">
      <c r="A937" s="17" t="str">
        <f>data!H1540</f>
        <v>VINICOM</v>
      </c>
      <c r="B937" s="15" t="str">
        <f>data!A1540</f>
        <v>202</v>
      </c>
      <c r="C937" s="1" t="str">
        <f>data!B1540</f>
        <v>TERRES D'ALLIANCE</v>
      </c>
      <c r="D937" s="1" t="str">
        <f>data!C1540</f>
        <v>202002</v>
      </c>
      <c r="E937" s="1" t="str">
        <f>data!D937</f>
        <v>AC C CASTILLON. CH BELCIER</v>
      </c>
      <c r="F937" s="14">
        <f>SUMIFS(data!G:G,data!A:A,TABLEAU!B937,data!C:C,TABLEAU!D937,data!F:F,YEAR(Feuil1!$D$1))</f>
        <v>3559.92</v>
      </c>
      <c r="G937" s="9">
        <f>SUMIFS(data!G:G,data!A:A,TABLEAU!B937,data!C:C,TABLEAU!D937,data!F:F,YEAR(Feuil1!$D$2))</f>
        <v>5483.16</v>
      </c>
      <c r="H937" s="9">
        <f t="shared" si="56"/>
        <v>-1923.2399999999998</v>
      </c>
      <c r="I937" s="12">
        <f t="shared" si="57"/>
        <v>-0.35075394480555006</v>
      </c>
      <c r="J937" s="13">
        <f>SUMIFS(data!E:E,data!A:A,TABLEAU!B937,data!C:C,TABLEAU!D937,data!F:F,YEAR(Feuil1!$D$1))</f>
        <v>1836</v>
      </c>
      <c r="K937" s="13">
        <f>SUMIFS(data!E:E,data!A:A,TABLEAU!B937,data!C:C,TABLEAU!D937,data!F:F,YEAR(Feuil1!$D$2))</f>
        <v>2760</v>
      </c>
      <c r="L937" s="13">
        <f t="shared" si="58"/>
        <v>-924</v>
      </c>
      <c r="M937" s="12">
        <f t="shared" si="59"/>
        <v>-0.33478260869565218</v>
      </c>
    </row>
    <row r="938" spans="1:13" x14ac:dyDescent="0.25">
      <c r="A938" s="17" t="str">
        <f>data!H1542</f>
        <v>VINICOM</v>
      </c>
      <c r="B938" s="15" t="str">
        <f>data!A1542</f>
        <v>202</v>
      </c>
      <c r="C938" s="1" t="str">
        <f>data!B1542</f>
        <v>TERRES D'ALLIANCE</v>
      </c>
      <c r="D938" s="1" t="str">
        <f>data!C1542</f>
        <v>202003</v>
      </c>
      <c r="E938" s="1" t="str">
        <f>data!D938</f>
        <v>AC C CASTILLON. CH BELCIER</v>
      </c>
      <c r="F938" s="14">
        <f>SUMIFS(data!G:G,data!A:A,TABLEAU!B938,data!C:C,TABLEAU!D938,data!F:F,YEAR(Feuil1!$D$1))</f>
        <v>1411.38</v>
      </c>
      <c r="G938" s="9">
        <f>SUMIFS(data!G:G,data!A:A,TABLEAU!B938,data!C:C,TABLEAU!D938,data!F:F,YEAR(Feuil1!$D$2))</f>
        <v>2171.7600000000002</v>
      </c>
      <c r="H938" s="9">
        <f t="shared" si="56"/>
        <v>-760.38000000000011</v>
      </c>
      <c r="I938" s="12">
        <f t="shared" si="57"/>
        <v>-0.35012156039341363</v>
      </c>
      <c r="J938" s="13">
        <f>SUMIFS(data!E:E,data!A:A,TABLEAU!B938,data!C:C,TABLEAU!D938,data!F:F,YEAR(Feuil1!$D$1))</f>
        <v>696</v>
      </c>
      <c r="K938" s="13">
        <f>SUMIFS(data!E:E,data!A:A,TABLEAU!B938,data!C:C,TABLEAU!D938,data!F:F,YEAR(Feuil1!$D$2))</f>
        <v>1104</v>
      </c>
      <c r="L938" s="13">
        <f t="shared" si="58"/>
        <v>-408</v>
      </c>
      <c r="M938" s="12">
        <f t="shared" si="59"/>
        <v>-0.36956521739130432</v>
      </c>
    </row>
    <row r="939" spans="1:13" x14ac:dyDescent="0.25">
      <c r="A939" s="17" t="str">
        <f>data!H1544</f>
        <v>VINICOM</v>
      </c>
      <c r="B939" s="15" t="str">
        <f>data!A1544</f>
        <v>202</v>
      </c>
      <c r="C939" s="1" t="str">
        <f>data!B1544</f>
        <v>TERRES D'ALLIANCE</v>
      </c>
      <c r="D939" s="1" t="str">
        <f>data!C1544</f>
        <v>202004</v>
      </c>
      <c r="E939" s="1" t="str">
        <f>data!D939</f>
        <v>CH BELCIER AC COTE CASTILLON</v>
      </c>
      <c r="F939" s="14">
        <f>SUMIFS(data!G:G,data!A:A,TABLEAU!B939,data!C:C,TABLEAU!D939,data!F:F,YEAR(Feuil1!$D$1))</f>
        <v>33.24</v>
      </c>
      <c r="G939" s="9">
        <f>SUMIFS(data!G:G,data!A:A,TABLEAU!B939,data!C:C,TABLEAU!D939,data!F:F,YEAR(Feuil1!$D$2))</f>
        <v>232.68</v>
      </c>
      <c r="H939" s="9">
        <f t="shared" si="56"/>
        <v>-199.44</v>
      </c>
      <c r="I939" s="12">
        <f t="shared" si="57"/>
        <v>-0.8571428571428571</v>
      </c>
      <c r="J939" s="13">
        <f>SUMIFS(data!E:E,data!A:A,TABLEAU!B939,data!C:C,TABLEAU!D939,data!F:F,YEAR(Feuil1!$D$1))</f>
        <v>24</v>
      </c>
      <c r="K939" s="13">
        <f>SUMIFS(data!E:E,data!A:A,TABLEAU!B939,data!C:C,TABLEAU!D939,data!F:F,YEAR(Feuil1!$D$2))</f>
        <v>102</v>
      </c>
      <c r="L939" s="13">
        <f t="shared" si="58"/>
        <v>-78</v>
      </c>
      <c r="M939" s="12">
        <f t="shared" si="59"/>
        <v>-0.76470588235294112</v>
      </c>
    </row>
    <row r="940" spans="1:13" x14ac:dyDescent="0.25">
      <c r="A940" s="17" t="str">
        <f>data!H1546</f>
        <v>VINICOM</v>
      </c>
      <c r="B940" s="15" t="str">
        <f>data!A1546</f>
        <v>202</v>
      </c>
      <c r="C940" s="1" t="str">
        <f>data!B1546</f>
        <v>TERRES D'ALLIANCE</v>
      </c>
      <c r="D940" s="1" t="str">
        <f>data!C1546</f>
        <v>202005</v>
      </c>
      <c r="E940" s="1" t="str">
        <f>data!D940</f>
        <v>AC C CASTILLON. CH BELCIER</v>
      </c>
      <c r="F940" s="14">
        <f>SUMIFS(data!G:G,data!A:A,TABLEAU!B940,data!C:C,TABLEAU!D940,data!F:F,YEAR(Feuil1!$D$1))</f>
        <v>33.6</v>
      </c>
      <c r="G940" s="9">
        <f>SUMIFS(data!G:G,data!A:A,TABLEAU!B940,data!C:C,TABLEAU!D940,data!F:F,YEAR(Feuil1!$D$2))</f>
        <v>780.66</v>
      </c>
      <c r="H940" s="9">
        <f t="shared" si="56"/>
        <v>-747.06</v>
      </c>
      <c r="I940" s="12">
        <f t="shared" si="57"/>
        <v>-0.95695949581123663</v>
      </c>
      <c r="J940" s="13">
        <f>SUMIFS(data!E:E,data!A:A,TABLEAU!B940,data!C:C,TABLEAU!D940,data!F:F,YEAR(Feuil1!$D$1))</f>
        <v>12</v>
      </c>
      <c r="K940" s="13">
        <f>SUMIFS(data!E:E,data!A:A,TABLEAU!B940,data!C:C,TABLEAU!D940,data!F:F,YEAR(Feuil1!$D$2))</f>
        <v>300</v>
      </c>
      <c r="L940" s="13">
        <f t="shared" si="58"/>
        <v>-288</v>
      </c>
      <c r="M940" s="12">
        <f t="shared" si="59"/>
        <v>-0.96</v>
      </c>
    </row>
    <row r="941" spans="1:13" x14ac:dyDescent="0.25">
      <c r="A941" s="17" t="str">
        <f>data!H1548</f>
        <v>VINICOM</v>
      </c>
      <c r="B941" s="15" t="str">
        <f>data!A1548</f>
        <v>202</v>
      </c>
      <c r="C941" s="1" t="str">
        <f>data!B1548</f>
        <v>TERRES D'ALLIANCE</v>
      </c>
      <c r="D941" s="1" t="str">
        <f>data!C1548</f>
        <v>202006</v>
      </c>
      <c r="E941" s="1" t="str">
        <f>data!D941</f>
        <v>AC C CASTILLON. CH BELCIER</v>
      </c>
      <c r="F941" s="14">
        <f>SUMIFS(data!G:G,data!A:A,TABLEAU!B941,data!C:C,TABLEAU!D941,data!F:F,YEAR(Feuil1!$D$1))</f>
        <v>50.4</v>
      </c>
      <c r="G941" s="9">
        <f>SUMIFS(data!G:G,data!A:A,TABLEAU!B941,data!C:C,TABLEAU!D941,data!F:F,YEAR(Feuil1!$D$2))</f>
        <v>464.88</v>
      </c>
      <c r="H941" s="9">
        <f t="shared" si="56"/>
        <v>-414.48</v>
      </c>
      <c r="I941" s="12">
        <f t="shared" si="57"/>
        <v>-0.89158492514197218</v>
      </c>
      <c r="J941" s="13">
        <f>SUMIFS(data!E:E,data!A:A,TABLEAU!B941,data!C:C,TABLEAU!D941,data!F:F,YEAR(Feuil1!$D$1))</f>
        <v>18</v>
      </c>
      <c r="K941" s="13">
        <f>SUMIFS(data!E:E,data!A:A,TABLEAU!B941,data!C:C,TABLEAU!D941,data!F:F,YEAR(Feuil1!$D$2))</f>
        <v>192</v>
      </c>
      <c r="L941" s="13">
        <f t="shared" si="58"/>
        <v>-174</v>
      </c>
      <c r="M941" s="12">
        <f t="shared" si="59"/>
        <v>-0.90625</v>
      </c>
    </row>
    <row r="942" spans="1:13" x14ac:dyDescent="0.25">
      <c r="A942" s="17" t="str">
        <f>data!H1550</f>
        <v>VINICOM</v>
      </c>
      <c r="B942" s="15" t="str">
        <f>data!A1550</f>
        <v>202</v>
      </c>
      <c r="C942" s="1" t="str">
        <f>data!B1550</f>
        <v>TERRES D'ALLIANCE</v>
      </c>
      <c r="D942" s="1" t="str">
        <f>data!C1550</f>
        <v>202007</v>
      </c>
      <c r="E942" s="1" t="str">
        <f>data!D942</f>
        <v>AC C CASTILLON. CH DE BELCIER</v>
      </c>
      <c r="F942" s="14">
        <f>SUMIFS(data!G:G,data!A:A,TABLEAU!B942,data!C:C,TABLEAU!D942,data!F:F,YEAR(Feuil1!$D$1))</f>
        <v>237.48</v>
      </c>
      <c r="G942" s="9">
        <f>SUMIFS(data!G:G,data!A:A,TABLEAU!B942,data!C:C,TABLEAU!D942,data!F:F,YEAR(Feuil1!$D$2))</f>
        <v>771.72</v>
      </c>
      <c r="H942" s="9">
        <f t="shared" si="56"/>
        <v>-534.24</v>
      </c>
      <c r="I942" s="12">
        <f t="shared" si="57"/>
        <v>-0.69227180842792724</v>
      </c>
      <c r="J942" s="13">
        <f>SUMIFS(data!E:E,data!A:A,TABLEAU!B942,data!C:C,TABLEAU!D942,data!F:F,YEAR(Feuil1!$D$1))</f>
        <v>186</v>
      </c>
      <c r="K942" s="13">
        <f>SUMIFS(data!E:E,data!A:A,TABLEAU!B942,data!C:C,TABLEAU!D942,data!F:F,YEAR(Feuil1!$D$2))</f>
        <v>378</v>
      </c>
      <c r="L942" s="13">
        <f t="shared" si="58"/>
        <v>-192</v>
      </c>
      <c r="M942" s="12">
        <f t="shared" si="59"/>
        <v>-0.50793650793650791</v>
      </c>
    </row>
    <row r="943" spans="1:13" x14ac:dyDescent="0.25">
      <c r="A943" s="17" t="str">
        <f>data!H1552</f>
        <v>VINICOM</v>
      </c>
      <c r="B943" s="15" t="str">
        <f>data!A1552</f>
        <v>202</v>
      </c>
      <c r="C943" s="1" t="str">
        <f>data!B1552</f>
        <v>TERRES D'ALLIANCE</v>
      </c>
      <c r="D943" s="1" t="str">
        <f>data!C1552</f>
        <v>202008</v>
      </c>
      <c r="E943" s="1" t="str">
        <f>data!D943</f>
        <v>AC C CASTILLON. CH DE BELCIER</v>
      </c>
      <c r="F943" s="14">
        <f>SUMIFS(data!G:G,data!A:A,TABLEAU!B943,data!C:C,TABLEAU!D943,data!F:F,YEAR(Feuil1!$D$1))</f>
        <v>37.799999999999997</v>
      </c>
      <c r="G943" s="9">
        <f>SUMIFS(data!G:G,data!A:A,TABLEAU!B943,data!C:C,TABLEAU!D943,data!F:F,YEAR(Feuil1!$D$2))</f>
        <v>56.7</v>
      </c>
      <c r="H943" s="9">
        <f t="shared" si="56"/>
        <v>-18.900000000000006</v>
      </c>
      <c r="I943" s="12">
        <f t="shared" si="57"/>
        <v>-0.33333333333333343</v>
      </c>
      <c r="J943" s="13">
        <f>SUMIFS(data!E:E,data!A:A,TABLEAU!B943,data!C:C,TABLEAU!D943,data!F:F,YEAR(Feuil1!$D$1))</f>
        <v>264</v>
      </c>
      <c r="K943" s="13">
        <f>SUMIFS(data!E:E,data!A:A,TABLEAU!B943,data!C:C,TABLEAU!D943,data!F:F,YEAR(Feuil1!$D$2))</f>
        <v>36</v>
      </c>
      <c r="L943" s="13">
        <f t="shared" si="58"/>
        <v>228</v>
      </c>
      <c r="M943" s="12">
        <f t="shared" si="59"/>
        <v>6.333333333333333</v>
      </c>
    </row>
    <row r="944" spans="1:13" x14ac:dyDescent="0.25">
      <c r="A944" s="17" t="str">
        <f>data!H1554</f>
        <v>VINICOM</v>
      </c>
      <c r="B944" s="15" t="str">
        <f>data!A1554</f>
        <v>202</v>
      </c>
      <c r="C944" s="1" t="str">
        <f>data!B1554</f>
        <v>TERRES D'ALLIANCE</v>
      </c>
      <c r="D944" s="1" t="str">
        <f>data!C1554</f>
        <v>202010</v>
      </c>
      <c r="E944" s="1" t="str">
        <f>data!D944</f>
        <v>CH BELCIER AC COTE CASTILLON</v>
      </c>
      <c r="F944" s="14">
        <f>SUMIFS(data!G:G,data!A:A,TABLEAU!B944,data!C:C,TABLEAU!D944,data!F:F,YEAR(Feuil1!$D$1))</f>
        <v>694.2</v>
      </c>
      <c r="G944" s="9">
        <f>SUMIFS(data!G:G,data!A:A,TABLEAU!B944,data!C:C,TABLEAU!D944,data!F:F,YEAR(Feuil1!$D$2))</f>
        <v>1228.2</v>
      </c>
      <c r="H944" s="9">
        <f t="shared" si="56"/>
        <v>-534</v>
      </c>
      <c r="I944" s="12">
        <f t="shared" si="57"/>
        <v>-0.43478260869565216</v>
      </c>
      <c r="J944" s="13">
        <f>SUMIFS(data!E:E,data!A:A,TABLEAU!B944,data!C:C,TABLEAU!D944,data!F:F,YEAR(Feuil1!$D$1))</f>
        <v>573.61999999999989</v>
      </c>
      <c r="K944" s="13">
        <f>SUMIFS(data!E:E,data!A:A,TABLEAU!B944,data!C:C,TABLEAU!D944,data!F:F,YEAR(Feuil1!$D$2))</f>
        <v>987.15999999999963</v>
      </c>
      <c r="L944" s="13">
        <f t="shared" si="58"/>
        <v>-413.53999999999974</v>
      </c>
      <c r="M944" s="12">
        <f t="shared" si="59"/>
        <v>-0.4189189189189188</v>
      </c>
    </row>
    <row r="945" spans="1:13" x14ac:dyDescent="0.25">
      <c r="A945" s="17" t="str">
        <f>data!H1556</f>
        <v>VINICOM</v>
      </c>
      <c r="B945" s="15" t="str">
        <f>data!A1556</f>
        <v>202</v>
      </c>
      <c r="C945" s="1" t="str">
        <f>data!B1556</f>
        <v>TERRES D'ALLIANCE</v>
      </c>
      <c r="D945" s="1" t="str">
        <f>data!C1556</f>
        <v>202012</v>
      </c>
      <c r="E945" s="1" t="str">
        <f>data!D945</f>
        <v>AC BORDEAUX CHATEAU DE BELCIER</v>
      </c>
      <c r="F945" s="14">
        <f>SUMIFS(data!G:G,data!A:A,TABLEAU!B945,data!C:C,TABLEAU!D945,data!F:F,YEAR(Feuil1!$D$1))</f>
        <v>84</v>
      </c>
      <c r="G945" s="9">
        <f>SUMIFS(data!G:G,data!A:A,TABLEAU!B945,data!C:C,TABLEAU!D945,data!F:F,YEAR(Feuil1!$D$2))</f>
        <v>0</v>
      </c>
      <c r="H945" s="9">
        <f t="shared" si="56"/>
        <v>84</v>
      </c>
      <c r="I945" s="12" t="str">
        <f t="shared" si="57"/>
        <v/>
      </c>
      <c r="J945" s="13">
        <f>SUMIFS(data!E:E,data!A:A,TABLEAU!B945,data!C:C,TABLEAU!D945,data!F:F,YEAR(Feuil1!$D$1))</f>
        <v>66</v>
      </c>
      <c r="K945" s="13">
        <f>SUMIFS(data!E:E,data!A:A,TABLEAU!B945,data!C:C,TABLEAU!D945,data!F:F,YEAR(Feuil1!$D$2))</f>
        <v>0</v>
      </c>
      <c r="L945" s="13">
        <f t="shared" si="58"/>
        <v>66</v>
      </c>
      <c r="M945" s="12" t="str">
        <f t="shared" si="59"/>
        <v/>
      </c>
    </row>
    <row r="946" spans="1:13" x14ac:dyDescent="0.25">
      <c r="A946" s="17" t="str">
        <f>data!H1557</f>
        <v>VINICOM</v>
      </c>
      <c r="B946" s="15" t="str">
        <f>data!A1557</f>
        <v>202</v>
      </c>
      <c r="C946" s="1" t="str">
        <f>data!B1557</f>
        <v>TERRES D'ALLIANCE</v>
      </c>
      <c r="D946" s="1" t="str">
        <f>data!C1557</f>
        <v>202013</v>
      </c>
      <c r="E946" s="1" t="str">
        <f>data!D946</f>
        <v>AC BORDEAUX CHATEAU DE BELCIER</v>
      </c>
      <c r="F946" s="14">
        <f>SUMIFS(data!G:G,data!A:A,TABLEAU!B946,data!C:C,TABLEAU!D946,data!F:F,YEAR(Feuil1!$D$1))</f>
        <v>42</v>
      </c>
      <c r="G946" s="9">
        <f>SUMIFS(data!G:G,data!A:A,TABLEAU!B946,data!C:C,TABLEAU!D946,data!F:F,YEAR(Feuil1!$D$2))</f>
        <v>0</v>
      </c>
      <c r="H946" s="9">
        <f t="shared" si="56"/>
        <v>42</v>
      </c>
      <c r="I946" s="12" t="str">
        <f t="shared" si="57"/>
        <v/>
      </c>
      <c r="J946" s="13">
        <f>SUMIFS(data!E:E,data!A:A,TABLEAU!B946,data!C:C,TABLEAU!D946,data!F:F,YEAR(Feuil1!$D$1))</f>
        <v>66</v>
      </c>
      <c r="K946" s="13">
        <f>SUMIFS(data!E:E,data!A:A,TABLEAU!B946,data!C:C,TABLEAU!D946,data!F:F,YEAR(Feuil1!$D$2))</f>
        <v>0</v>
      </c>
      <c r="L946" s="13">
        <f t="shared" si="58"/>
        <v>66</v>
      </c>
      <c r="M946" s="12" t="str">
        <f t="shared" si="59"/>
        <v/>
      </c>
    </row>
    <row r="947" spans="1:13" x14ac:dyDescent="0.25">
      <c r="A947" s="17" t="str">
        <f>data!H1558</f>
        <v>VINICOM</v>
      </c>
      <c r="B947" s="15" t="str">
        <f>data!A1558</f>
        <v>202</v>
      </c>
      <c r="C947" s="1" t="str">
        <f>data!B1558</f>
        <v>TERRES D'ALLIANCE</v>
      </c>
      <c r="D947" s="1" t="str">
        <f>data!C1558</f>
        <v>202015</v>
      </c>
      <c r="E947" s="1" t="str">
        <f>data!D947</f>
        <v>CH RAMAGE LA BATISSEAC HAUT MEDOC CRU BOURGEOIS</v>
      </c>
      <c r="F947" s="14">
        <f>SUMIFS(data!G:G,data!A:A,TABLEAU!B947,data!C:C,TABLEAU!D947,data!F:F,YEAR(Feuil1!$D$1))</f>
        <v>666.25</v>
      </c>
      <c r="G947" s="9">
        <f>SUMIFS(data!G:G,data!A:A,TABLEAU!B947,data!C:C,TABLEAU!D947,data!F:F,YEAR(Feuil1!$D$2))</f>
        <v>356.4</v>
      </c>
      <c r="H947" s="9">
        <f t="shared" si="56"/>
        <v>309.85000000000002</v>
      </c>
      <c r="I947" s="12">
        <f t="shared" si="57"/>
        <v>0.86938832772166119</v>
      </c>
      <c r="J947" s="13">
        <f>SUMIFS(data!E:E,data!A:A,TABLEAU!B947,data!C:C,TABLEAU!D947,data!F:F,YEAR(Feuil1!$D$1))</f>
        <v>466.9</v>
      </c>
      <c r="K947" s="13">
        <f>SUMIFS(data!E:E,data!A:A,TABLEAU!B947,data!C:C,TABLEAU!D947,data!F:F,YEAR(Feuil1!$D$2))</f>
        <v>280.14</v>
      </c>
      <c r="L947" s="13">
        <f t="shared" si="58"/>
        <v>186.76</v>
      </c>
      <c r="M947" s="12">
        <f t="shared" si="59"/>
        <v>0.66666666666666663</v>
      </c>
    </row>
    <row r="948" spans="1:13" x14ac:dyDescent="0.25">
      <c r="A948" s="17" t="str">
        <f>data!H1560</f>
        <v>VINICOM</v>
      </c>
      <c r="B948" s="15" t="str">
        <f>data!A1560</f>
        <v>204</v>
      </c>
      <c r="C948" s="1" t="str">
        <f>data!B1560</f>
        <v>HOBIVIN</v>
      </c>
      <c r="D948" s="1" t="str">
        <f>data!C1560</f>
        <v>204001H</v>
      </c>
      <c r="E948" s="1" t="str">
        <f>data!D948</f>
        <v>CH RAMAGE LA BATISSEAC HAUT MEDOC CRU BOURGEOIS</v>
      </c>
      <c r="F948" s="14">
        <f>SUMIFS(data!G:G,data!A:A,TABLEAU!B948,data!C:C,TABLEAU!D948,data!F:F,YEAR(Feuil1!$D$1))</f>
        <v>5476.6</v>
      </c>
      <c r="G948" s="9">
        <f>SUMIFS(data!G:G,data!A:A,TABLEAU!B948,data!C:C,TABLEAU!D948,data!F:F,YEAR(Feuil1!$D$2))</f>
        <v>8464.49</v>
      </c>
      <c r="H948" s="9">
        <f t="shared" si="56"/>
        <v>-2987.8899999999994</v>
      </c>
      <c r="I948" s="12">
        <f t="shared" si="57"/>
        <v>-0.35299114299857398</v>
      </c>
      <c r="J948" s="13">
        <f>SUMIFS(data!E:E,data!A:A,TABLEAU!B948,data!C:C,TABLEAU!D948,data!F:F,YEAR(Feuil1!$D$1))</f>
        <v>4292.2599999999984</v>
      </c>
      <c r="K948" s="13">
        <f>SUMIFS(data!E:E,data!A:A,TABLEAU!B948,data!C:C,TABLEAU!D948,data!F:F,YEAR(Feuil1!$D$2))</f>
        <v>6811.6299999999974</v>
      </c>
      <c r="L948" s="13">
        <f t="shared" si="58"/>
        <v>-2519.369999999999</v>
      </c>
      <c r="M948" s="12">
        <f t="shared" si="59"/>
        <v>-0.36986301369863012</v>
      </c>
    </row>
    <row r="949" spans="1:13" x14ac:dyDescent="0.25">
      <c r="A949" s="17" t="str">
        <f>data!H1562</f>
        <v>VINICOM</v>
      </c>
      <c r="B949" s="15" t="str">
        <f>data!A1562</f>
        <v>204</v>
      </c>
      <c r="C949" s="1" t="str">
        <f>data!B1562</f>
        <v>HOBIVIN</v>
      </c>
      <c r="D949" s="1" t="str">
        <f>data!C1562</f>
        <v>204002H</v>
      </c>
      <c r="E949" s="1" t="str">
        <f>data!D949</f>
        <v>CH MONRECUEIL AC COTES DE CASTILLON</v>
      </c>
      <c r="F949" s="14">
        <f>SUMIFS(data!G:G,data!A:A,TABLEAU!B949,data!C:C,TABLEAU!D949,data!F:F,YEAR(Feuil1!$D$1))</f>
        <v>5300.68</v>
      </c>
      <c r="G949" s="9">
        <f>SUMIFS(data!G:G,data!A:A,TABLEAU!B949,data!C:C,TABLEAU!D949,data!F:F,YEAR(Feuil1!$D$2))</f>
        <v>5818.54</v>
      </c>
      <c r="H949" s="9">
        <f t="shared" si="56"/>
        <v>-517.85999999999967</v>
      </c>
      <c r="I949" s="12">
        <f t="shared" si="57"/>
        <v>-8.9001708332330731E-2</v>
      </c>
      <c r="J949" s="13">
        <f>SUMIFS(data!E:E,data!A:A,TABLEAU!B949,data!C:C,TABLEAU!D949,data!F:F,YEAR(Feuil1!$D$1))</f>
        <v>3895.2799999999997</v>
      </c>
      <c r="K949" s="13">
        <f>SUMIFS(data!E:E,data!A:A,TABLEAU!B949,data!C:C,TABLEAU!D949,data!F:F,YEAR(Feuil1!$D$2))</f>
        <v>4248.7900000000027</v>
      </c>
      <c r="L949" s="13">
        <f t="shared" si="58"/>
        <v>-353.51000000000295</v>
      </c>
      <c r="M949" s="12">
        <f t="shared" si="59"/>
        <v>-8.3202511773940988E-2</v>
      </c>
    </row>
    <row r="950" spans="1:13" x14ac:dyDescent="0.25">
      <c r="A950" s="17" t="str">
        <f>data!H1564</f>
        <v>VINICOM</v>
      </c>
      <c r="B950" s="15" t="str">
        <f>data!A1564</f>
        <v>204</v>
      </c>
      <c r="C950" s="1" t="str">
        <f>data!B1564</f>
        <v>HOBIVIN</v>
      </c>
      <c r="D950" s="1" t="str">
        <f>data!C1564</f>
        <v>204003H</v>
      </c>
      <c r="E950" s="1" t="str">
        <f>data!D950</f>
        <v>CH GUILLEMIN GAFFELIERE AC ST EMILION GRAND CRU</v>
      </c>
      <c r="F950" s="14">
        <f>SUMIFS(data!G:G,data!A:A,TABLEAU!B950,data!C:C,TABLEAU!D950,data!F:F,YEAR(Feuil1!$D$1))</f>
        <v>280.64999999999998</v>
      </c>
      <c r="G950" s="9">
        <f>SUMIFS(data!G:G,data!A:A,TABLEAU!B950,data!C:C,TABLEAU!D950,data!F:F,YEAR(Feuil1!$D$2))</f>
        <v>2168.5</v>
      </c>
      <c r="H950" s="9">
        <f t="shared" si="56"/>
        <v>-1887.85</v>
      </c>
      <c r="I950" s="12">
        <f t="shared" si="57"/>
        <v>-0.87057874106525246</v>
      </c>
      <c r="J950" s="13">
        <f>SUMIFS(data!E:E,data!A:A,TABLEAU!B950,data!C:C,TABLEAU!D950,data!F:F,YEAR(Feuil1!$D$1))</f>
        <v>199.95</v>
      </c>
      <c r="K950" s="13">
        <f>SUMIFS(data!E:E,data!A:A,TABLEAU!B950,data!C:C,TABLEAU!D950,data!F:F,YEAR(Feuil1!$D$2))</f>
        <v>1626.2600000000002</v>
      </c>
      <c r="L950" s="13">
        <f t="shared" si="58"/>
        <v>-1426.3100000000002</v>
      </c>
      <c r="M950" s="12">
        <f t="shared" si="59"/>
        <v>-0.87704918032786883</v>
      </c>
    </row>
    <row r="951" spans="1:13" x14ac:dyDescent="0.25">
      <c r="A951" s="17" t="str">
        <f>data!H1566</f>
        <v>VINICOM</v>
      </c>
      <c r="B951" s="15" t="str">
        <f>data!A1566</f>
        <v>204</v>
      </c>
      <c r="C951" s="1" t="str">
        <f>data!B1566</f>
        <v>HOBIVIN</v>
      </c>
      <c r="D951" s="1" t="str">
        <f>data!C1566</f>
        <v>204004H</v>
      </c>
      <c r="E951" s="1" t="str">
        <f>data!D951</f>
        <v>CH GUILLEMIN GAFFELIERE AC ST EMILION GRAND CRU</v>
      </c>
      <c r="F951" s="14">
        <f>SUMIFS(data!G:G,data!A:A,TABLEAU!B951,data!C:C,TABLEAU!D951,data!F:F,YEAR(Feuil1!$D$1))</f>
        <v>1724.7</v>
      </c>
      <c r="G951" s="9">
        <f>SUMIFS(data!G:G,data!A:A,TABLEAU!B951,data!C:C,TABLEAU!D951,data!F:F,YEAR(Feuil1!$D$2))</f>
        <v>2213.48</v>
      </c>
      <c r="H951" s="9">
        <f t="shared" si="56"/>
        <v>-488.78</v>
      </c>
      <c r="I951" s="12">
        <f t="shared" si="57"/>
        <v>-0.22081970471836201</v>
      </c>
      <c r="J951" s="13">
        <f>SUMIFS(data!E:E,data!A:A,TABLEAU!B951,data!C:C,TABLEAU!D951,data!F:F,YEAR(Feuil1!$D$1))</f>
        <v>1180.5899999999999</v>
      </c>
      <c r="K951" s="13">
        <f>SUMIFS(data!E:E,data!A:A,TABLEAU!B951,data!C:C,TABLEAU!D951,data!F:F,YEAR(Feuil1!$D$2))</f>
        <v>1540.7700000000002</v>
      </c>
      <c r="L951" s="13">
        <f t="shared" si="58"/>
        <v>-360.18000000000029</v>
      </c>
      <c r="M951" s="12">
        <f t="shared" si="59"/>
        <v>-0.23376623376623393</v>
      </c>
    </row>
    <row r="952" spans="1:13" x14ac:dyDescent="0.25">
      <c r="A952" s="17" t="str">
        <f>data!H1568</f>
        <v>VINICOM</v>
      </c>
      <c r="B952" s="15" t="str">
        <f>data!A1568</f>
        <v>204</v>
      </c>
      <c r="C952" s="1" t="str">
        <f>data!B1568</f>
        <v>HOBIVIN</v>
      </c>
      <c r="D952" s="1" t="str">
        <f>data!C1568</f>
        <v>204005H</v>
      </c>
      <c r="E952" s="1" t="str">
        <f>data!D952</f>
        <v>CH GUILLEMIN GAFFELIERE AC ST EMILION GRAND CRU</v>
      </c>
      <c r="F952" s="14">
        <f>SUMIFS(data!G:G,data!A:A,TABLEAU!B952,data!C:C,TABLEAU!D952,data!F:F,YEAR(Feuil1!$D$1))</f>
        <v>6839.46</v>
      </c>
      <c r="G952" s="9">
        <f>SUMIFS(data!G:G,data!A:A,TABLEAU!B952,data!C:C,TABLEAU!D952,data!F:F,YEAR(Feuil1!$D$2))</f>
        <v>10833.48</v>
      </c>
      <c r="H952" s="9">
        <f t="shared" si="56"/>
        <v>-3994.0199999999995</v>
      </c>
      <c r="I952" s="12">
        <f t="shared" si="57"/>
        <v>-0.36867377795500611</v>
      </c>
      <c r="J952" s="13">
        <f>SUMIFS(data!E:E,data!A:A,TABLEAU!B952,data!C:C,TABLEAU!D952,data!F:F,YEAR(Feuil1!$D$1))</f>
        <v>2766</v>
      </c>
      <c r="K952" s="13">
        <f>SUMIFS(data!E:E,data!A:A,TABLEAU!B952,data!C:C,TABLEAU!D952,data!F:F,YEAR(Feuil1!$D$2))</f>
        <v>4428</v>
      </c>
      <c r="L952" s="13">
        <f t="shared" si="58"/>
        <v>-1662</v>
      </c>
      <c r="M952" s="12">
        <f t="shared" si="59"/>
        <v>-0.37533875338753386</v>
      </c>
    </row>
    <row r="953" spans="1:13" x14ac:dyDescent="0.25">
      <c r="A953" s="17" t="str">
        <f>data!H1570</f>
        <v>VINICOM</v>
      </c>
      <c r="B953" s="15" t="str">
        <f>data!A1570</f>
        <v>204</v>
      </c>
      <c r="C953" s="1" t="str">
        <f>data!B1570</f>
        <v>HOBIVIN</v>
      </c>
      <c r="D953" s="1" t="str">
        <f>data!C1570</f>
        <v>204006H</v>
      </c>
      <c r="E953" s="1" t="str">
        <f>data!D953</f>
        <v>CH GUILLEMIN GAFFELIERE AC ST EMILION GRAND CRU</v>
      </c>
      <c r="F953" s="14">
        <f>SUMIFS(data!G:G,data!A:A,TABLEAU!B953,data!C:C,TABLEAU!D953,data!F:F,YEAR(Feuil1!$D$1))</f>
        <v>2706.9</v>
      </c>
      <c r="G953" s="9">
        <f>SUMIFS(data!G:G,data!A:A,TABLEAU!B953,data!C:C,TABLEAU!D953,data!F:F,YEAR(Feuil1!$D$2))</f>
        <v>2299.7399999999998</v>
      </c>
      <c r="H953" s="9">
        <f t="shared" si="56"/>
        <v>407.16000000000031</v>
      </c>
      <c r="I953" s="12">
        <f t="shared" si="57"/>
        <v>0.17704610086357603</v>
      </c>
      <c r="J953" s="13">
        <f>SUMIFS(data!E:E,data!A:A,TABLEAU!B953,data!C:C,TABLEAU!D953,data!F:F,YEAR(Feuil1!$D$1))</f>
        <v>1044</v>
      </c>
      <c r="K953" s="13">
        <f>SUMIFS(data!E:E,data!A:A,TABLEAU!B953,data!C:C,TABLEAU!D953,data!F:F,YEAR(Feuil1!$D$2))</f>
        <v>918</v>
      </c>
      <c r="L953" s="13">
        <f t="shared" si="58"/>
        <v>126</v>
      </c>
      <c r="M953" s="12">
        <f t="shared" si="59"/>
        <v>0.13725490196078433</v>
      </c>
    </row>
    <row r="954" spans="1:13" x14ac:dyDescent="0.25">
      <c r="A954" s="17" t="str">
        <f>data!H1572</f>
        <v>VINICOM</v>
      </c>
      <c r="B954" s="15" t="str">
        <f>data!A1572</f>
        <v>204</v>
      </c>
      <c r="C954" s="1" t="str">
        <f>data!B1572</f>
        <v>HOBIVIN</v>
      </c>
      <c r="D954" s="1" t="str">
        <f>data!C1572</f>
        <v>204007H</v>
      </c>
      <c r="E954" s="1" t="str">
        <f>data!D954</f>
        <v>CH LA NERE AOP LOUPIAC</v>
      </c>
      <c r="F954" s="14">
        <f>SUMIFS(data!G:G,data!A:A,TABLEAU!B954,data!C:C,TABLEAU!D954,data!F:F,YEAR(Feuil1!$D$1))</f>
        <v>3532.38</v>
      </c>
      <c r="G954" s="9">
        <f>SUMIFS(data!G:G,data!A:A,TABLEAU!B954,data!C:C,TABLEAU!D954,data!F:F,YEAR(Feuil1!$D$2))</f>
        <v>3600.48</v>
      </c>
      <c r="H954" s="9">
        <f t="shared" si="56"/>
        <v>-68.099999999999909</v>
      </c>
      <c r="I954" s="12">
        <f t="shared" si="57"/>
        <v>-1.891414478069588E-2</v>
      </c>
      <c r="J954" s="13">
        <f>SUMIFS(data!E:E,data!A:A,TABLEAU!B954,data!C:C,TABLEAU!D954,data!F:F,YEAR(Feuil1!$D$1))</f>
        <v>942</v>
      </c>
      <c r="K954" s="13">
        <f>SUMIFS(data!E:E,data!A:A,TABLEAU!B954,data!C:C,TABLEAU!D954,data!F:F,YEAR(Feuil1!$D$2))</f>
        <v>972</v>
      </c>
      <c r="L954" s="13">
        <f t="shared" si="58"/>
        <v>-30</v>
      </c>
      <c r="M954" s="12">
        <f t="shared" si="59"/>
        <v>-3.0864197530864196E-2</v>
      </c>
    </row>
    <row r="955" spans="1:13" x14ac:dyDescent="0.25">
      <c r="A955" s="17" t="str">
        <f>data!H1574</f>
        <v>VINICOM</v>
      </c>
      <c r="B955" s="15" t="str">
        <f>data!A1574</f>
        <v>205</v>
      </c>
      <c r="C955" s="1" t="str">
        <f>data!B1574</f>
        <v>DOMAINE DE MISELLE</v>
      </c>
      <c r="D955" s="1" t="str">
        <f>data!C1574</f>
        <v>205001</v>
      </c>
      <c r="E955" s="1" t="str">
        <f>data!D955</f>
        <v>AC MEDOC CRU BOURGEOIS RAMAGE LA BATISSE</v>
      </c>
      <c r="F955" s="14">
        <f>SUMIFS(data!G:G,data!A:A,TABLEAU!B955,data!C:C,TABLEAU!D955,data!F:F,YEAR(Feuil1!$D$1))</f>
        <v>4041.9</v>
      </c>
      <c r="G955" s="9">
        <f>SUMIFS(data!G:G,data!A:A,TABLEAU!B955,data!C:C,TABLEAU!D955,data!F:F,YEAR(Feuil1!$D$2))</f>
        <v>5708.9</v>
      </c>
      <c r="H955" s="9">
        <f t="shared" si="56"/>
        <v>-1666.9999999999995</v>
      </c>
      <c r="I955" s="12">
        <f t="shared" si="57"/>
        <v>-0.29200021019811168</v>
      </c>
      <c r="J955" s="13">
        <f>SUMIFS(data!E:E,data!A:A,TABLEAU!B955,data!C:C,TABLEAU!D955,data!F:F,YEAR(Feuil1!$D$1))</f>
        <v>1818</v>
      </c>
      <c r="K955" s="13">
        <f>SUMIFS(data!E:E,data!A:A,TABLEAU!B955,data!C:C,TABLEAU!D955,data!F:F,YEAR(Feuil1!$D$2))</f>
        <v>2664</v>
      </c>
      <c r="L955" s="13">
        <f t="shared" si="58"/>
        <v>-846</v>
      </c>
      <c r="M955" s="12">
        <f t="shared" si="59"/>
        <v>-0.31756756756756754</v>
      </c>
    </row>
    <row r="956" spans="1:13" x14ac:dyDescent="0.25">
      <c r="A956" s="17" t="str">
        <f>data!H1576</f>
        <v>VINICOM</v>
      </c>
      <c r="B956" s="15" t="str">
        <f>data!A1576</f>
        <v>205</v>
      </c>
      <c r="C956" s="1" t="str">
        <f>data!B1576</f>
        <v>DOMAINE DE MISELLE</v>
      </c>
      <c r="D956" s="1" t="str">
        <f>data!C1576</f>
        <v>205002</v>
      </c>
      <c r="E956" s="1" t="str">
        <f>data!D956</f>
        <v>CLOS DE RAMAGE AC HAUT MEDOC</v>
      </c>
      <c r="F956" s="14">
        <f>SUMIFS(data!G:G,data!A:A,TABLEAU!B956,data!C:C,TABLEAU!D956,data!F:F,YEAR(Feuil1!$D$1))</f>
        <v>660.9</v>
      </c>
      <c r="G956" s="9">
        <f>SUMIFS(data!G:G,data!A:A,TABLEAU!B956,data!C:C,TABLEAU!D956,data!F:F,YEAR(Feuil1!$D$2))</f>
        <v>1706.1</v>
      </c>
      <c r="H956" s="9">
        <f t="shared" si="56"/>
        <v>-1045.1999999999998</v>
      </c>
      <c r="I956" s="12">
        <f t="shared" si="57"/>
        <v>-0.61262528573940556</v>
      </c>
      <c r="J956" s="13">
        <f>SUMIFS(data!E:E,data!A:A,TABLEAU!B956,data!C:C,TABLEAU!D956,data!F:F,YEAR(Feuil1!$D$1))</f>
        <v>282</v>
      </c>
      <c r="K956" s="13">
        <f>SUMIFS(data!E:E,data!A:A,TABLEAU!B956,data!C:C,TABLEAU!D956,data!F:F,YEAR(Feuil1!$D$2))</f>
        <v>744</v>
      </c>
      <c r="L956" s="13">
        <f t="shared" si="58"/>
        <v>-462</v>
      </c>
      <c r="M956" s="12">
        <f t="shared" si="59"/>
        <v>-0.62096774193548387</v>
      </c>
    </row>
    <row r="957" spans="1:13" x14ac:dyDescent="0.25">
      <c r="A957" s="17" t="str">
        <f>data!H1578</f>
        <v>VINICOM</v>
      </c>
      <c r="B957" s="15" t="str">
        <f>data!A1578</f>
        <v>205</v>
      </c>
      <c r="C957" s="1" t="str">
        <f>data!B1578</f>
        <v>DOMAINE DE MISELLE</v>
      </c>
      <c r="D957" s="1" t="str">
        <f>data!C1578</f>
        <v>205003</v>
      </c>
      <c r="E957" s="1" t="str">
        <f>data!D957</f>
        <v>AC FRONSAC CH JEANDEMAN</v>
      </c>
      <c r="F957" s="14">
        <f>SUMIFS(data!G:G,data!A:A,TABLEAU!B957,data!C:C,TABLEAU!D957,data!F:F,YEAR(Feuil1!$D$1))</f>
        <v>2393.6999999999998</v>
      </c>
      <c r="G957" s="9">
        <f>SUMIFS(data!G:G,data!A:A,TABLEAU!B957,data!C:C,TABLEAU!D957,data!F:F,YEAR(Feuil1!$D$2))</f>
        <v>3153.6</v>
      </c>
      <c r="H957" s="9">
        <f t="shared" si="56"/>
        <v>-759.90000000000009</v>
      </c>
      <c r="I957" s="12">
        <f t="shared" si="57"/>
        <v>-0.24096270928462712</v>
      </c>
      <c r="J957" s="13">
        <f>SUMIFS(data!E:E,data!A:A,TABLEAU!B957,data!C:C,TABLEAU!D957,data!F:F,YEAR(Feuil1!$D$1))</f>
        <v>666</v>
      </c>
      <c r="K957" s="13">
        <f>SUMIFS(data!E:E,data!A:A,TABLEAU!B957,data!C:C,TABLEAU!D957,data!F:F,YEAR(Feuil1!$D$2))</f>
        <v>900</v>
      </c>
      <c r="L957" s="13">
        <f t="shared" si="58"/>
        <v>-234</v>
      </c>
      <c r="M957" s="12">
        <f t="shared" si="59"/>
        <v>-0.26</v>
      </c>
    </row>
    <row r="958" spans="1:13" x14ac:dyDescent="0.25">
      <c r="A958" s="17" t="str">
        <f>data!H1580</f>
        <v>VINICOM</v>
      </c>
      <c r="B958" s="15" t="str">
        <f>data!A1580</f>
        <v>205</v>
      </c>
      <c r="C958" s="1" t="str">
        <f>data!B1580</f>
        <v>DOMAINE DE MISELLE</v>
      </c>
      <c r="D958" s="1" t="str">
        <f>data!C1580</f>
        <v>205004</v>
      </c>
      <c r="E958" s="1" t="str">
        <f>data!D958</f>
        <v>AC FRONSAC CH JEANDEMAN</v>
      </c>
      <c r="F958" s="14">
        <f>SUMIFS(data!G:G,data!A:A,TABLEAU!B958,data!C:C,TABLEAU!D958,data!F:F,YEAR(Feuil1!$D$1))</f>
        <v>897</v>
      </c>
      <c r="G958" s="9">
        <f>SUMIFS(data!G:G,data!A:A,TABLEAU!B958,data!C:C,TABLEAU!D958,data!F:F,YEAR(Feuil1!$D$2))</f>
        <v>1156.2</v>
      </c>
      <c r="H958" s="9">
        <f t="shared" si="56"/>
        <v>-259.20000000000005</v>
      </c>
      <c r="I958" s="12">
        <f t="shared" si="57"/>
        <v>-0.22418266735858852</v>
      </c>
      <c r="J958" s="13">
        <f>SUMIFS(data!E:E,data!A:A,TABLEAU!B958,data!C:C,TABLEAU!D958,data!F:F,YEAR(Feuil1!$D$1))</f>
        <v>396</v>
      </c>
      <c r="K958" s="13">
        <f>SUMIFS(data!E:E,data!A:A,TABLEAU!B958,data!C:C,TABLEAU!D958,data!F:F,YEAR(Feuil1!$D$2))</f>
        <v>510</v>
      </c>
      <c r="L958" s="13">
        <f t="shared" si="58"/>
        <v>-114</v>
      </c>
      <c r="M958" s="12">
        <f t="shared" si="59"/>
        <v>-0.22352941176470589</v>
      </c>
    </row>
    <row r="959" spans="1:13" x14ac:dyDescent="0.25">
      <c r="A959" s="17" t="str">
        <f>data!H1582</f>
        <v>VINICOM</v>
      </c>
      <c r="B959" s="15" t="str">
        <f>data!A1582</f>
        <v>208</v>
      </c>
      <c r="C959" s="1" t="str">
        <f>data!B1582</f>
        <v>MAS DES DAMES</v>
      </c>
      <c r="D959" s="1" t="str">
        <f>data!C1582</f>
        <v>CDV208002</v>
      </c>
      <c r="E959" s="1" t="str">
        <f>data!D959</f>
        <v>AC LALANDE DE POMEROL. CH LABORDE</v>
      </c>
      <c r="F959" s="14">
        <f>SUMIFS(data!G:G,data!A:A,TABLEAU!B959,data!C:C,TABLEAU!D959,data!F:F,YEAR(Feuil1!$D$1))</f>
        <v>0</v>
      </c>
      <c r="G959" s="9">
        <f>SUMIFS(data!G:G,data!A:A,TABLEAU!B959,data!C:C,TABLEAU!D959,data!F:F,YEAR(Feuil1!$D$2))</f>
        <v>0</v>
      </c>
      <c r="H959" s="9">
        <f t="shared" si="56"/>
        <v>0</v>
      </c>
      <c r="I959" s="12" t="str">
        <f t="shared" si="57"/>
        <v/>
      </c>
      <c r="J959" s="13">
        <f>SUMIFS(data!E:E,data!A:A,TABLEAU!B959,data!C:C,TABLEAU!D959,data!F:F,YEAR(Feuil1!$D$1))</f>
        <v>0</v>
      </c>
      <c r="K959" s="13">
        <f>SUMIFS(data!E:E,data!A:A,TABLEAU!B959,data!C:C,TABLEAU!D959,data!F:F,YEAR(Feuil1!$D$2))</f>
        <v>6</v>
      </c>
      <c r="L959" s="13">
        <f t="shared" si="58"/>
        <v>-6</v>
      </c>
      <c r="M959" s="12">
        <f t="shared" si="59"/>
        <v>-1</v>
      </c>
    </row>
    <row r="960" spans="1:13" x14ac:dyDescent="0.25">
      <c r="A960" s="17" t="str">
        <f>data!H1583</f>
        <v>VINICOM</v>
      </c>
      <c r="B960" s="15" t="str">
        <f>data!A1583</f>
        <v>211</v>
      </c>
      <c r="C960" s="1" t="str">
        <f>data!B1583</f>
        <v>VIGNOBLES GILLES LOUVET</v>
      </c>
      <c r="D960" s="1" t="str">
        <f>data!C1583</f>
        <v>211004</v>
      </c>
      <c r="E960" s="1" t="str">
        <f>data!D960</f>
        <v>AC LALANDE DE POMEROL. CH LABORDE</v>
      </c>
      <c r="F960" s="14">
        <f>SUMIFS(data!G:G,data!A:A,TABLEAU!B960,data!C:C,TABLEAU!D960,data!F:F,YEAR(Feuil1!$D$1))</f>
        <v>538.20000000000005</v>
      </c>
      <c r="G960" s="9">
        <f>SUMIFS(data!G:G,data!A:A,TABLEAU!B960,data!C:C,TABLEAU!D960,data!F:F,YEAR(Feuil1!$D$2))</f>
        <v>1179.9000000000001</v>
      </c>
      <c r="H960" s="9">
        <f t="shared" si="56"/>
        <v>-641.70000000000005</v>
      </c>
      <c r="I960" s="12">
        <f t="shared" si="57"/>
        <v>-0.54385964912280704</v>
      </c>
      <c r="J960" s="13">
        <f>SUMIFS(data!E:E,data!A:A,TABLEAU!B960,data!C:C,TABLEAU!D960,data!F:F,YEAR(Feuil1!$D$1))</f>
        <v>162</v>
      </c>
      <c r="K960" s="13">
        <f>SUMIFS(data!E:E,data!A:A,TABLEAU!B960,data!C:C,TABLEAU!D960,data!F:F,YEAR(Feuil1!$D$2))</f>
        <v>366</v>
      </c>
      <c r="L960" s="13">
        <f t="shared" si="58"/>
        <v>-204</v>
      </c>
      <c r="M960" s="12">
        <f t="shared" si="59"/>
        <v>-0.55737704918032782</v>
      </c>
    </row>
    <row r="961" spans="1:13" x14ac:dyDescent="0.25">
      <c r="A961" s="17" t="str">
        <f>data!H1585</f>
        <v>VINICOM</v>
      </c>
      <c r="B961" s="15" t="str">
        <f>data!A1585</f>
        <v>226</v>
      </c>
      <c r="C961" s="1" t="str">
        <f>data!B1585</f>
        <v>SIEUR D'ARQUES</v>
      </c>
      <c r="D961" s="1" t="str">
        <f>data!C1585</f>
        <v>226001</v>
      </c>
      <c r="E961" s="1" t="str">
        <f>data!D961</f>
        <v>AC PESSAC LEOGNAN. CH MANCEDRE</v>
      </c>
      <c r="F961" s="14">
        <f>SUMIFS(data!G:G,data!A:A,TABLEAU!B961,data!C:C,TABLEAU!D961,data!F:F,YEAR(Feuil1!$D$1))</f>
        <v>4439.7</v>
      </c>
      <c r="G961" s="9">
        <f>SUMIFS(data!G:G,data!A:A,TABLEAU!B961,data!C:C,TABLEAU!D961,data!F:F,YEAR(Feuil1!$D$2))</f>
        <v>2242.1999999999998</v>
      </c>
      <c r="H961" s="9">
        <f t="shared" si="56"/>
        <v>2197.5</v>
      </c>
      <c r="I961" s="12">
        <f t="shared" si="57"/>
        <v>0.98006422263848014</v>
      </c>
      <c r="J961" s="13">
        <f>SUMIFS(data!E:E,data!A:A,TABLEAU!B961,data!C:C,TABLEAU!D961,data!F:F,YEAR(Feuil1!$D$1))</f>
        <v>906</v>
      </c>
      <c r="K961" s="13">
        <f>SUMIFS(data!E:E,data!A:A,TABLEAU!B961,data!C:C,TABLEAU!D961,data!F:F,YEAR(Feuil1!$D$2))</f>
        <v>450</v>
      </c>
      <c r="L961" s="13">
        <f t="shared" si="58"/>
        <v>456</v>
      </c>
      <c r="M961" s="12">
        <f t="shared" si="59"/>
        <v>1.0133333333333334</v>
      </c>
    </row>
    <row r="962" spans="1:13" x14ac:dyDescent="0.25">
      <c r="A962" s="17" t="str">
        <f>data!H1587</f>
        <v>VINICOM</v>
      </c>
      <c r="B962" s="15" t="str">
        <f>data!A1587</f>
        <v>226</v>
      </c>
      <c r="C962" s="1" t="str">
        <f>data!B1587</f>
        <v>SIEUR D'ARQUES</v>
      </c>
      <c r="D962" s="1" t="str">
        <f>data!C1587</f>
        <v>226003</v>
      </c>
      <c r="E962" s="1" t="str">
        <f>data!D962</f>
        <v>AC PESSAC LEOGNAN. CH MANCEDRE</v>
      </c>
      <c r="F962" s="14">
        <f>SUMIFS(data!G:G,data!A:A,TABLEAU!B962,data!C:C,TABLEAU!D962,data!F:F,YEAR(Feuil1!$D$1))</f>
        <v>101.34</v>
      </c>
      <c r="G962" s="9">
        <f>SUMIFS(data!G:G,data!A:A,TABLEAU!B962,data!C:C,TABLEAU!D962,data!F:F,YEAR(Feuil1!$D$2))</f>
        <v>0</v>
      </c>
      <c r="H962" s="9">
        <f t="shared" si="56"/>
        <v>101.34</v>
      </c>
      <c r="I962" s="12" t="str">
        <f t="shared" si="57"/>
        <v/>
      </c>
      <c r="J962" s="13">
        <f>SUMIFS(data!E:E,data!A:A,TABLEAU!B962,data!C:C,TABLEAU!D962,data!F:F,YEAR(Feuil1!$D$1))</f>
        <v>24</v>
      </c>
      <c r="K962" s="13">
        <f>SUMIFS(data!E:E,data!A:A,TABLEAU!B962,data!C:C,TABLEAU!D962,data!F:F,YEAR(Feuil1!$D$2))</f>
        <v>0</v>
      </c>
      <c r="L962" s="13">
        <f t="shared" si="58"/>
        <v>24</v>
      </c>
      <c r="M962" s="12" t="str">
        <f t="shared" si="59"/>
        <v/>
      </c>
    </row>
    <row r="963" spans="1:13" x14ac:dyDescent="0.25">
      <c r="A963" s="17" t="str">
        <f>data!H1588</f>
        <v>VINICOM</v>
      </c>
      <c r="B963" s="15" t="str">
        <f>data!A1588</f>
        <v>226</v>
      </c>
      <c r="C963" s="1" t="str">
        <f>data!B1588</f>
        <v>SIEUR D'ARQUES</v>
      </c>
      <c r="D963" s="1" t="str">
        <f>data!C1588</f>
        <v>CDV226002</v>
      </c>
      <c r="E963" s="1" t="str">
        <f>data!D963</f>
        <v>AC C.PROVENCE. ESTERELLE .ROUET</v>
      </c>
      <c r="F963" s="14">
        <f>SUMIFS(data!G:G,data!A:A,TABLEAU!B963,data!C:C,TABLEAU!D963,data!F:F,YEAR(Feuil1!$D$1))</f>
        <v>161.28</v>
      </c>
      <c r="G963" s="9">
        <f>SUMIFS(data!G:G,data!A:A,TABLEAU!B963,data!C:C,TABLEAU!D963,data!F:F,YEAR(Feuil1!$D$2))</f>
        <v>80.64</v>
      </c>
      <c r="H963" s="9">
        <f t="shared" ref="H963:H983" si="60">F963-G963</f>
        <v>80.64</v>
      </c>
      <c r="I963" s="12">
        <f t="shared" ref="I963:I983" si="61">IF(ISERR(H963/G963),"",H963/G963)</f>
        <v>1</v>
      </c>
      <c r="J963" s="13">
        <f>SUMIFS(data!E:E,data!A:A,TABLEAU!B963,data!C:C,TABLEAU!D963,data!F:F,YEAR(Feuil1!$D$1))</f>
        <v>24</v>
      </c>
      <c r="K963" s="13">
        <f>SUMIFS(data!E:E,data!A:A,TABLEAU!B963,data!C:C,TABLEAU!D963,data!F:F,YEAR(Feuil1!$D$2))</f>
        <v>12</v>
      </c>
      <c r="L963" s="13">
        <f t="shared" ref="L963:L983" si="62">J963-K963</f>
        <v>12</v>
      </c>
      <c r="M963" s="12">
        <f t="shared" ref="M963:M1026" si="63">IF(ISERR(L963/K963),"",L963/K963)</f>
        <v>1</v>
      </c>
    </row>
    <row r="964" spans="1:13" x14ac:dyDescent="0.25">
      <c r="A964" s="17" t="str">
        <f>data!H1590</f>
        <v>VINICOM</v>
      </c>
      <c r="B964" s="15" t="str">
        <f>data!A1590</f>
        <v>229</v>
      </c>
      <c r="C964" s="1" t="str">
        <f>data!B1590</f>
        <v>DOMAINE DU BOIS DU JOUR</v>
      </c>
      <c r="D964" s="1" t="str">
        <f>data!C1590</f>
        <v>229001</v>
      </c>
      <c r="E964" s="1" t="str">
        <f>data!D964</f>
        <v>AC C.PROVENCE. ESTERELLE .ROUET</v>
      </c>
      <c r="F964" s="14">
        <f>SUMIFS(data!G:G,data!A:A,TABLEAU!B964,data!C:C,TABLEAU!D964,data!F:F,YEAR(Feuil1!$D$1))</f>
        <v>0</v>
      </c>
      <c r="G964" s="9">
        <f>SUMIFS(data!G:G,data!A:A,TABLEAU!B964,data!C:C,TABLEAU!D964,data!F:F,YEAR(Feuil1!$D$2))</f>
        <v>10333.5</v>
      </c>
      <c r="H964" s="9">
        <f t="shared" si="60"/>
        <v>-10333.5</v>
      </c>
      <c r="I964" s="12">
        <f t="shared" si="61"/>
        <v>-1</v>
      </c>
      <c r="J964" s="13">
        <f>SUMIFS(data!E:E,data!A:A,TABLEAU!B964,data!C:C,TABLEAU!D964,data!F:F,YEAR(Feuil1!$D$1))</f>
        <v>48</v>
      </c>
      <c r="K964" s="13">
        <f>SUMIFS(data!E:E,data!A:A,TABLEAU!B964,data!C:C,TABLEAU!D964,data!F:F,YEAR(Feuil1!$D$2))</f>
        <v>3540</v>
      </c>
      <c r="L964" s="13">
        <f t="shared" si="62"/>
        <v>-3492</v>
      </c>
      <c r="M964" s="12">
        <f t="shared" si="63"/>
        <v>-0.98644067796610169</v>
      </c>
    </row>
    <row r="965" spans="1:13" x14ac:dyDescent="0.25">
      <c r="A965" s="17" t="str">
        <f>data!H1592</f>
        <v>VINICOM</v>
      </c>
      <c r="B965" s="15" t="str">
        <f>data!A1592</f>
        <v>229</v>
      </c>
      <c r="C965" s="1" t="str">
        <f>data!B1592</f>
        <v>DOMAINE DU BOIS DU JOUR</v>
      </c>
      <c r="D965" s="1" t="str">
        <f>data!C1592</f>
        <v>229002</v>
      </c>
      <c r="E965" s="1" t="str">
        <f>data!D965</f>
        <v>AP COTES DE PROVENCE ESTERELLE</v>
      </c>
      <c r="F965" s="14">
        <f>SUMIFS(data!G:G,data!A:A,TABLEAU!B965,data!C:C,TABLEAU!D965,data!F:F,YEAR(Feuil1!$D$1))</f>
        <v>0</v>
      </c>
      <c r="G965" s="9">
        <f>SUMIFS(data!G:G,data!A:A,TABLEAU!B965,data!C:C,TABLEAU!D965,data!F:F,YEAR(Feuil1!$D$2))</f>
        <v>230</v>
      </c>
      <c r="H965" s="9">
        <f t="shared" si="60"/>
        <v>-230</v>
      </c>
      <c r="I965" s="12">
        <f t="shared" si="61"/>
        <v>-1</v>
      </c>
      <c r="J965" s="13">
        <f>SUMIFS(data!E:E,data!A:A,TABLEAU!B965,data!C:C,TABLEAU!D965,data!F:F,YEAR(Feuil1!$D$1))</f>
        <v>0</v>
      </c>
      <c r="K965" s="13">
        <f>SUMIFS(data!E:E,data!A:A,TABLEAU!B965,data!C:C,TABLEAU!D965,data!F:F,YEAR(Feuil1!$D$2))</f>
        <v>133.30000000000001</v>
      </c>
      <c r="L965" s="13">
        <f t="shared" si="62"/>
        <v>-133.30000000000001</v>
      </c>
      <c r="M965" s="12">
        <f t="shared" si="63"/>
        <v>-1</v>
      </c>
    </row>
    <row r="966" spans="1:13" x14ac:dyDescent="0.25">
      <c r="A966" s="17" t="str">
        <f>data!H1593</f>
        <v>VINICOM</v>
      </c>
      <c r="B966" s="15" t="str">
        <f>data!A1593</f>
        <v>229</v>
      </c>
      <c r="C966" s="1" t="str">
        <f>data!B1593</f>
        <v>DOMAINE DU BOIS DU JOUR</v>
      </c>
      <c r="D966" s="1" t="str">
        <f>data!C1593</f>
        <v>229003</v>
      </c>
      <c r="E966" s="1" t="str">
        <f>data!D966</f>
        <v>AP COTES DE PROVENCE ESTERELLE</v>
      </c>
      <c r="F966" s="14">
        <f>SUMIFS(data!G:G,data!A:A,TABLEAU!B966,data!C:C,TABLEAU!D966,data!F:F,YEAR(Feuil1!$D$1))</f>
        <v>0</v>
      </c>
      <c r="G966" s="9">
        <f>SUMIFS(data!G:G,data!A:A,TABLEAU!B966,data!C:C,TABLEAU!D966,data!F:F,YEAR(Feuil1!$D$2))</f>
        <v>364.8</v>
      </c>
      <c r="H966" s="9">
        <f t="shared" si="60"/>
        <v>-364.8</v>
      </c>
      <c r="I966" s="12">
        <f t="shared" si="61"/>
        <v>-1</v>
      </c>
      <c r="J966" s="13">
        <f>SUMIFS(data!E:E,data!A:A,TABLEAU!B966,data!C:C,TABLEAU!D966,data!F:F,YEAR(Feuil1!$D$1))</f>
        <v>0</v>
      </c>
      <c r="K966" s="13">
        <f>SUMIFS(data!E:E,data!A:A,TABLEAU!B966,data!C:C,TABLEAU!D966,data!F:F,YEAR(Feuil1!$D$2))</f>
        <v>220.10999999999999</v>
      </c>
      <c r="L966" s="13">
        <f t="shared" si="62"/>
        <v>-220.10999999999999</v>
      </c>
      <c r="M966" s="12">
        <f t="shared" si="63"/>
        <v>-1</v>
      </c>
    </row>
    <row r="967" spans="1:13" x14ac:dyDescent="0.25">
      <c r="A967" s="17" t="str">
        <f>data!H1594</f>
        <v>VINICOM</v>
      </c>
      <c r="B967" s="15" t="str">
        <f>data!A1594</f>
        <v>229</v>
      </c>
      <c r="C967" s="1" t="str">
        <f>data!B1594</f>
        <v>DOMAINE DU BOIS DU JOUR</v>
      </c>
      <c r="D967" s="1" t="str">
        <f>data!C1594</f>
        <v>229004</v>
      </c>
      <c r="E967" s="1" t="str">
        <f>data!D967</f>
        <v>AP COTES DE PROVENCE ESTERELLE</v>
      </c>
      <c r="F967" s="14">
        <f>SUMIFS(data!G:G,data!A:A,TABLEAU!B967,data!C:C,TABLEAU!D967,data!F:F,YEAR(Feuil1!$D$1))</f>
        <v>0</v>
      </c>
      <c r="G967" s="9">
        <f>SUMIFS(data!G:G,data!A:A,TABLEAU!B967,data!C:C,TABLEAU!D967,data!F:F,YEAR(Feuil1!$D$2))</f>
        <v>418.2</v>
      </c>
      <c r="H967" s="9">
        <f t="shared" si="60"/>
        <v>-418.2</v>
      </c>
      <c r="I967" s="12">
        <f t="shared" si="61"/>
        <v>-1</v>
      </c>
      <c r="J967" s="13">
        <f>SUMIFS(data!E:E,data!A:A,TABLEAU!B967,data!C:C,TABLEAU!D967,data!F:F,YEAR(Feuil1!$D$1))</f>
        <v>6</v>
      </c>
      <c r="K967" s="13">
        <f>SUMIFS(data!E:E,data!A:A,TABLEAU!B967,data!C:C,TABLEAU!D967,data!F:F,YEAR(Feuil1!$D$2))</f>
        <v>138</v>
      </c>
      <c r="L967" s="13">
        <f t="shared" si="62"/>
        <v>-132</v>
      </c>
      <c r="M967" s="12">
        <f t="shared" si="63"/>
        <v>-0.95652173913043481</v>
      </c>
    </row>
    <row r="968" spans="1:13" x14ac:dyDescent="0.25">
      <c r="A968" s="17" t="str">
        <f>data!H1596</f>
        <v>VINICOM</v>
      </c>
      <c r="B968" s="15" t="str">
        <f>data!A1596</f>
        <v>229</v>
      </c>
      <c r="C968" s="1" t="str">
        <f>data!B1596</f>
        <v>DOMAINE DU BOIS DU JOUR</v>
      </c>
      <c r="D968" s="1" t="str">
        <f>data!C1596</f>
        <v>229005</v>
      </c>
      <c r="E968" s="1" t="str">
        <f>data!D968</f>
        <v>AC C.PROVENCE. BELLE POULE</v>
      </c>
      <c r="F968" s="14">
        <f>SUMIFS(data!G:G,data!A:A,TABLEAU!B968,data!C:C,TABLEAU!D968,data!F:F,YEAR(Feuil1!$D$1))</f>
        <v>854.4</v>
      </c>
      <c r="G968" s="9">
        <f>SUMIFS(data!G:G,data!A:A,TABLEAU!B968,data!C:C,TABLEAU!D968,data!F:F,YEAR(Feuil1!$D$2))</f>
        <v>1426.2</v>
      </c>
      <c r="H968" s="9">
        <f t="shared" si="60"/>
        <v>-571.80000000000007</v>
      </c>
      <c r="I968" s="12">
        <f t="shared" si="61"/>
        <v>-0.40092553639040812</v>
      </c>
      <c r="J968" s="13">
        <f>SUMIFS(data!E:E,data!A:A,TABLEAU!B968,data!C:C,TABLEAU!D968,data!F:F,YEAR(Feuil1!$D$1))</f>
        <v>204</v>
      </c>
      <c r="K968" s="13">
        <f>SUMIFS(data!E:E,data!A:A,TABLEAU!B968,data!C:C,TABLEAU!D968,data!F:F,YEAR(Feuil1!$D$2))</f>
        <v>336</v>
      </c>
      <c r="L968" s="13">
        <f t="shared" si="62"/>
        <v>-132</v>
      </c>
      <c r="M968" s="12">
        <f t="shared" si="63"/>
        <v>-0.39285714285714285</v>
      </c>
    </row>
    <row r="969" spans="1:13" x14ac:dyDescent="0.25">
      <c r="A969" s="17" t="str">
        <f>data!H1598</f>
        <v>VINICOM</v>
      </c>
      <c r="B969" s="15" t="str">
        <f>data!A1598</f>
        <v>229</v>
      </c>
      <c r="C969" s="1" t="str">
        <f>data!B1598</f>
        <v>DOMAINE DU BOIS DU JOUR</v>
      </c>
      <c r="D969" s="1" t="str">
        <f>data!C1598</f>
        <v>229006</v>
      </c>
      <c r="E969" s="1" t="str">
        <f>data!D969</f>
        <v>AC C.PROVENCE. BELLE POULE</v>
      </c>
      <c r="F969" s="14">
        <f>SUMIFS(data!G:G,data!A:A,TABLEAU!B969,data!C:C,TABLEAU!D969,data!F:F,YEAR(Feuil1!$D$1))</f>
        <v>107.4</v>
      </c>
      <c r="G969" s="9">
        <f>SUMIFS(data!G:G,data!A:A,TABLEAU!B969,data!C:C,TABLEAU!D969,data!F:F,YEAR(Feuil1!$D$2))</f>
        <v>237.6</v>
      </c>
      <c r="H969" s="9">
        <f t="shared" si="60"/>
        <v>-130.19999999999999</v>
      </c>
      <c r="I969" s="12">
        <f t="shared" si="61"/>
        <v>-0.5479797979797979</v>
      </c>
      <c r="J969" s="13">
        <f>SUMIFS(data!E:E,data!A:A,TABLEAU!B969,data!C:C,TABLEAU!D969,data!F:F,YEAR(Feuil1!$D$1))</f>
        <v>60</v>
      </c>
      <c r="K969" s="13">
        <f>SUMIFS(data!E:E,data!A:A,TABLEAU!B969,data!C:C,TABLEAU!D969,data!F:F,YEAR(Feuil1!$D$2))</f>
        <v>60</v>
      </c>
      <c r="L969" s="13">
        <f t="shared" si="62"/>
        <v>0</v>
      </c>
      <c r="M969" s="12">
        <f t="shared" si="63"/>
        <v>0</v>
      </c>
    </row>
    <row r="970" spans="1:13" x14ac:dyDescent="0.25">
      <c r="A970" s="17" t="str">
        <f>data!H1600</f>
        <v>VINICOM</v>
      </c>
      <c r="B970" s="15" t="str">
        <f>data!A1600</f>
        <v>229</v>
      </c>
      <c r="C970" s="1" t="str">
        <f>data!B1600</f>
        <v>DOMAINE DU BOIS DU JOUR</v>
      </c>
      <c r="D970" s="1" t="str">
        <f>data!C1600</f>
        <v>229007</v>
      </c>
      <c r="E970" s="1" t="str">
        <f>data!D970</f>
        <v>AC C.PROVENCE. BELLE POULE</v>
      </c>
      <c r="F970" s="14">
        <f>SUMIFS(data!G:G,data!A:A,TABLEAU!B970,data!C:C,TABLEAU!D970,data!F:F,YEAR(Feuil1!$D$1))</f>
        <v>257.39999999999998</v>
      </c>
      <c r="G970" s="9">
        <f>SUMIFS(data!G:G,data!A:A,TABLEAU!B970,data!C:C,TABLEAU!D970,data!F:F,YEAR(Feuil1!$D$2))</f>
        <v>438</v>
      </c>
      <c r="H970" s="9">
        <f t="shared" si="60"/>
        <v>-180.60000000000002</v>
      </c>
      <c r="I970" s="12">
        <f t="shared" si="61"/>
        <v>-0.4123287671232877</v>
      </c>
      <c r="J970" s="13">
        <f>SUMIFS(data!E:E,data!A:A,TABLEAU!B970,data!C:C,TABLEAU!D970,data!F:F,YEAR(Feuil1!$D$1))</f>
        <v>72</v>
      </c>
      <c r="K970" s="13">
        <f>SUMIFS(data!E:E,data!A:A,TABLEAU!B970,data!C:C,TABLEAU!D970,data!F:F,YEAR(Feuil1!$D$2))</f>
        <v>114</v>
      </c>
      <c r="L970" s="13">
        <f t="shared" si="62"/>
        <v>-42</v>
      </c>
      <c r="M970" s="12">
        <f t="shared" si="63"/>
        <v>-0.36842105263157893</v>
      </c>
    </row>
    <row r="971" spans="1:13" x14ac:dyDescent="0.25">
      <c r="A971" s="17" t="str">
        <f>data!H1602</f>
        <v>VINICOM</v>
      </c>
      <c r="B971" s="15" t="str">
        <f>data!A1602</f>
        <v>229</v>
      </c>
      <c r="C971" s="1" t="str">
        <f>data!B1602</f>
        <v>DOMAINE DU BOIS DU JOUR</v>
      </c>
      <c r="D971" s="1" t="str">
        <f>data!C1602</f>
        <v>229008</v>
      </c>
      <c r="E971" s="1" t="str">
        <f>data!D971</f>
        <v>AC C.PROVENCE. BELLE POULE</v>
      </c>
      <c r="F971" s="14">
        <f>SUMIFS(data!G:G,data!A:A,TABLEAU!B971,data!C:C,TABLEAU!D971,data!F:F,YEAR(Feuil1!$D$1))</f>
        <v>2949.6</v>
      </c>
      <c r="G971" s="9">
        <f>SUMIFS(data!G:G,data!A:A,TABLEAU!B971,data!C:C,TABLEAU!D971,data!F:F,YEAR(Feuil1!$D$2))</f>
        <v>2833.8</v>
      </c>
      <c r="H971" s="9">
        <f t="shared" si="60"/>
        <v>115.79999999999973</v>
      </c>
      <c r="I971" s="12">
        <f t="shared" si="61"/>
        <v>4.0863857717552306E-2</v>
      </c>
      <c r="J971" s="13">
        <f>SUMIFS(data!E:E,data!A:A,TABLEAU!B971,data!C:C,TABLEAU!D971,data!F:F,YEAR(Feuil1!$D$1))</f>
        <v>786</v>
      </c>
      <c r="K971" s="13">
        <f>SUMIFS(data!E:E,data!A:A,TABLEAU!B971,data!C:C,TABLEAU!D971,data!F:F,YEAR(Feuil1!$D$2))</f>
        <v>780</v>
      </c>
      <c r="L971" s="13">
        <f t="shared" si="62"/>
        <v>6</v>
      </c>
      <c r="M971" s="12">
        <f t="shared" si="63"/>
        <v>7.6923076923076927E-3</v>
      </c>
    </row>
    <row r="972" spans="1:13" x14ac:dyDescent="0.25">
      <c r="A972" s="17" t="str">
        <f>data!H1604</f>
        <v>VINICOM</v>
      </c>
      <c r="B972" s="15" t="str">
        <f>data!A1604</f>
        <v>229</v>
      </c>
      <c r="C972" s="1" t="str">
        <f>data!B1604</f>
        <v>DOMAINE DU BOIS DU JOUR</v>
      </c>
      <c r="D972" s="1" t="str">
        <f>data!C1604</f>
        <v>229009</v>
      </c>
      <c r="E972" s="1" t="str">
        <f>data!D972</f>
        <v>AC C.PROVENCE. BELLE POULE</v>
      </c>
      <c r="F972" s="14">
        <f>SUMIFS(data!G:G,data!A:A,TABLEAU!B972,data!C:C,TABLEAU!D972,data!F:F,YEAR(Feuil1!$D$1))</f>
        <v>104.4</v>
      </c>
      <c r="G972" s="9">
        <f>SUMIFS(data!G:G,data!A:A,TABLEAU!B972,data!C:C,TABLEAU!D972,data!F:F,YEAR(Feuil1!$D$2))</f>
        <v>154.80000000000001</v>
      </c>
      <c r="H972" s="9">
        <f t="shared" si="60"/>
        <v>-50.400000000000006</v>
      </c>
      <c r="I972" s="12">
        <f t="shared" si="61"/>
        <v>-0.32558139534883723</v>
      </c>
      <c r="J972" s="13">
        <f>SUMIFS(data!E:E,data!A:A,TABLEAU!B972,data!C:C,TABLEAU!D972,data!F:F,YEAR(Feuil1!$D$1))</f>
        <v>36</v>
      </c>
      <c r="K972" s="13">
        <f>SUMIFS(data!E:E,data!A:A,TABLEAU!B972,data!C:C,TABLEAU!D972,data!F:F,YEAR(Feuil1!$D$2))</f>
        <v>36</v>
      </c>
      <c r="L972" s="13">
        <f t="shared" si="62"/>
        <v>0</v>
      </c>
      <c r="M972" s="12">
        <f t="shared" si="63"/>
        <v>0</v>
      </c>
    </row>
    <row r="973" spans="1:13" x14ac:dyDescent="0.25">
      <c r="A973" s="17" t="str">
        <f>data!H1606</f>
        <v>VINICOM</v>
      </c>
      <c r="B973" s="15" t="str">
        <f>data!A1606</f>
        <v>229</v>
      </c>
      <c r="C973" s="1" t="str">
        <f>data!B1606</f>
        <v>DOMAINE DU BOIS DU JOUR</v>
      </c>
      <c r="D973" s="1" t="str">
        <f>data!C1606</f>
        <v>229020</v>
      </c>
      <c r="E973" s="1" t="str">
        <f>data!D973</f>
        <v>AC C.PROVENCE. BELLE POULE</v>
      </c>
      <c r="F973" s="14">
        <f>SUMIFS(data!G:G,data!A:A,TABLEAU!B973,data!C:C,TABLEAU!D973,data!F:F,YEAR(Feuil1!$D$1))</f>
        <v>1492.8</v>
      </c>
      <c r="G973" s="9">
        <f>SUMIFS(data!G:G,data!A:A,TABLEAU!B973,data!C:C,TABLEAU!D973,data!F:F,YEAR(Feuil1!$D$2))</f>
        <v>1494.6</v>
      </c>
      <c r="H973" s="9">
        <f t="shared" si="60"/>
        <v>-1.7999999999999545</v>
      </c>
      <c r="I973" s="12">
        <f t="shared" si="61"/>
        <v>-1.2043356081894519E-3</v>
      </c>
      <c r="J973" s="13">
        <f>SUMIFS(data!E:E,data!A:A,TABLEAU!B973,data!C:C,TABLEAU!D973,data!F:F,YEAR(Feuil1!$D$1))</f>
        <v>294</v>
      </c>
      <c r="K973" s="13">
        <f>SUMIFS(data!E:E,data!A:A,TABLEAU!B973,data!C:C,TABLEAU!D973,data!F:F,YEAR(Feuil1!$D$2))</f>
        <v>342</v>
      </c>
      <c r="L973" s="13">
        <f t="shared" si="62"/>
        <v>-48</v>
      </c>
      <c r="M973" s="12">
        <f t="shared" si="63"/>
        <v>-0.14035087719298245</v>
      </c>
    </row>
    <row r="974" spans="1:13" x14ac:dyDescent="0.25">
      <c r="A974" s="17" t="str">
        <f>data!H1608</f>
        <v>VINICOM</v>
      </c>
      <c r="B974" s="15" t="str">
        <f>data!A1608</f>
        <v>229</v>
      </c>
      <c r="C974" s="1" t="str">
        <f>data!B1608</f>
        <v>DOMAINE DU BOIS DU JOUR</v>
      </c>
      <c r="D974" s="1" t="str">
        <f>data!C1608</f>
        <v>229021</v>
      </c>
      <c r="E974" s="1" t="str">
        <f>data!D974</f>
        <v>AC COTES DE PROVENCE BELLE POULE</v>
      </c>
      <c r="F974" s="14">
        <f>SUMIFS(data!G:G,data!A:A,TABLEAU!B974,data!C:C,TABLEAU!D974,data!F:F,YEAR(Feuil1!$D$1))</f>
        <v>303.60000000000002</v>
      </c>
      <c r="G974" s="9">
        <f>SUMIFS(data!G:G,data!A:A,TABLEAU!B974,data!C:C,TABLEAU!D974,data!F:F,YEAR(Feuil1!$D$2))</f>
        <v>422.4</v>
      </c>
      <c r="H974" s="9">
        <f t="shared" si="60"/>
        <v>-118.79999999999995</v>
      </c>
      <c r="I974" s="12">
        <f t="shared" si="61"/>
        <v>-0.28124999999999989</v>
      </c>
      <c r="J974" s="13">
        <f>SUMIFS(data!E:E,data!A:A,TABLEAU!B974,data!C:C,TABLEAU!D974,data!F:F,YEAR(Feuil1!$D$1))</f>
        <v>66</v>
      </c>
      <c r="K974" s="13">
        <f>SUMIFS(data!E:E,data!A:A,TABLEAU!B974,data!C:C,TABLEAU!D974,data!F:F,YEAR(Feuil1!$D$2))</f>
        <v>96</v>
      </c>
      <c r="L974" s="13">
        <f t="shared" si="62"/>
        <v>-30</v>
      </c>
      <c r="M974" s="12">
        <f t="shared" si="63"/>
        <v>-0.3125</v>
      </c>
    </row>
    <row r="975" spans="1:13" x14ac:dyDescent="0.25">
      <c r="A975" s="17" t="str">
        <f>data!H1610</f>
        <v>VINICOM</v>
      </c>
      <c r="B975" s="15" t="str">
        <f>data!A1610</f>
        <v>556</v>
      </c>
      <c r="C975" s="1" t="str">
        <f>data!B1610</f>
        <v>PORTO QUINTA SANTA EUFEMIA</v>
      </c>
      <c r="D975" s="1" t="str">
        <f>data!C1610</f>
        <v>CDH556001</v>
      </c>
      <c r="E975" s="1" t="str">
        <f>data!D975</f>
        <v>AC COTES DE PROVENCE BELLE POULE</v>
      </c>
      <c r="F975" s="14">
        <f>SUMIFS(data!G:G,data!A:A,TABLEAU!B975,data!C:C,TABLEAU!D975,data!F:F,YEAR(Feuil1!$D$1))</f>
        <v>0</v>
      </c>
      <c r="G975" s="9">
        <f>SUMIFS(data!G:G,data!A:A,TABLEAU!B975,data!C:C,TABLEAU!D975,data!F:F,YEAR(Feuil1!$D$2))</f>
        <v>0</v>
      </c>
      <c r="H975" s="9">
        <f t="shared" si="60"/>
        <v>0</v>
      </c>
      <c r="I975" s="12" t="str">
        <f t="shared" si="61"/>
        <v/>
      </c>
      <c r="J975" s="13">
        <f>SUMIFS(data!E:E,data!A:A,TABLEAU!B975,data!C:C,TABLEAU!D975,data!F:F,YEAR(Feuil1!$D$1))</f>
        <v>6</v>
      </c>
      <c r="K975" s="13">
        <f>SUMIFS(data!E:E,data!A:A,TABLEAU!B975,data!C:C,TABLEAU!D975,data!F:F,YEAR(Feuil1!$D$2))</f>
        <v>0</v>
      </c>
      <c r="L975" s="13">
        <f t="shared" si="62"/>
        <v>6</v>
      </c>
      <c r="M975" s="12" t="str">
        <f t="shared" si="63"/>
        <v/>
      </c>
    </row>
    <row r="976" spans="1:13" x14ac:dyDescent="0.25">
      <c r="A976" s="17" t="str">
        <f>data!H1611</f>
        <v>VINICOM</v>
      </c>
      <c r="B976" s="15" t="str">
        <f>data!A1611</f>
        <v>564</v>
      </c>
      <c r="C976" s="1" t="str">
        <f>data!B1611</f>
        <v>BARRIERE FRERES</v>
      </c>
      <c r="D976" s="1" t="str">
        <f>data!C1611</f>
        <v>CDH-564001</v>
      </c>
      <c r="E976" s="1" t="str">
        <f>data!D976</f>
        <v>AC COTES DE PROVENCE ESTERELLE</v>
      </c>
      <c r="F976" s="14">
        <f>SUMIFS(data!G:G,data!A:A,TABLEAU!B976,data!C:C,TABLEAU!D976,data!F:F,YEAR(Feuil1!$D$1))</f>
        <v>108.78</v>
      </c>
      <c r="G976" s="9">
        <f>SUMIFS(data!G:G,data!A:A,TABLEAU!B976,data!C:C,TABLEAU!D976,data!F:F,YEAR(Feuil1!$D$2))</f>
        <v>0</v>
      </c>
      <c r="H976" s="9">
        <f t="shared" si="60"/>
        <v>108.78</v>
      </c>
      <c r="I976" s="12" t="str">
        <f t="shared" si="61"/>
        <v/>
      </c>
      <c r="J976" s="13">
        <f>SUMIFS(data!E:E,data!A:A,TABLEAU!B976,data!C:C,TABLEAU!D976,data!F:F,YEAR(Feuil1!$D$1))</f>
        <v>6</v>
      </c>
      <c r="K976" s="13">
        <f>SUMIFS(data!E:E,data!A:A,TABLEAU!B976,data!C:C,TABLEAU!D976,data!F:F,YEAR(Feuil1!$D$2))</f>
        <v>0</v>
      </c>
      <c r="L976" s="13">
        <f t="shared" si="62"/>
        <v>6</v>
      </c>
      <c r="M976" s="12" t="str">
        <f t="shared" si="63"/>
        <v/>
      </c>
    </row>
    <row r="977" spans="1:13" x14ac:dyDescent="0.25">
      <c r="A977" s="17" t="str">
        <f>data!H1612</f>
        <v>VINICOM</v>
      </c>
      <c r="B977" s="15" t="str">
        <f>data!A1612</f>
        <v>564</v>
      </c>
      <c r="C977" s="1" t="str">
        <f>data!B1612</f>
        <v>BARRIERE FRERES</v>
      </c>
      <c r="D977" s="1" t="str">
        <f>data!C1612</f>
        <v>CDH-564002</v>
      </c>
      <c r="E977" s="1" t="str">
        <f>data!D977</f>
        <v>AC COTES DE PROVENCE ESTERELLE</v>
      </c>
      <c r="F977" s="14">
        <f>SUMIFS(data!G:G,data!A:A,TABLEAU!B977,data!C:C,TABLEAU!D977,data!F:F,YEAR(Feuil1!$D$1))</f>
        <v>0</v>
      </c>
      <c r="G977" s="9">
        <f>SUMIFS(data!G:G,data!A:A,TABLEAU!B977,data!C:C,TABLEAU!D977,data!F:F,YEAR(Feuil1!$D$2))</f>
        <v>0</v>
      </c>
      <c r="H977" s="9">
        <f t="shared" si="60"/>
        <v>0</v>
      </c>
      <c r="I977" s="12" t="str">
        <f t="shared" si="61"/>
        <v/>
      </c>
      <c r="J977" s="13">
        <f>SUMIFS(data!E:E,data!A:A,TABLEAU!B977,data!C:C,TABLEAU!D977,data!F:F,YEAR(Feuil1!$D$1))</f>
        <v>0</v>
      </c>
      <c r="K977" s="13">
        <f>SUMIFS(data!E:E,data!A:A,TABLEAU!B977,data!C:C,TABLEAU!D977,data!F:F,YEAR(Feuil1!$D$2))</f>
        <v>24</v>
      </c>
      <c r="L977" s="13">
        <f t="shared" si="62"/>
        <v>-24</v>
      </c>
      <c r="M977" s="12">
        <f t="shared" si="63"/>
        <v>-1</v>
      </c>
    </row>
    <row r="978" spans="1:13" x14ac:dyDescent="0.25">
      <c r="A978" s="17" t="str">
        <f>data!H1613</f>
        <v>VINICOM</v>
      </c>
      <c r="B978" s="15" t="str">
        <f>data!A1613</f>
        <v>564</v>
      </c>
      <c r="C978" s="1" t="str">
        <f>data!B1613</f>
        <v>BARRIERE FRERES</v>
      </c>
      <c r="D978" s="1" t="str">
        <f>data!C1613</f>
        <v>CDH-564003</v>
      </c>
      <c r="E978" s="1" t="str">
        <f>data!D978</f>
        <v>AC C.PROVENCE ESTERELLE</v>
      </c>
      <c r="F978" s="14">
        <f>SUMIFS(data!G:G,data!A:A,TABLEAU!B978,data!C:C,TABLEAU!D978,data!F:F,YEAR(Feuil1!$D$1))</f>
        <v>468</v>
      </c>
      <c r="G978" s="9">
        <f>SUMIFS(data!G:G,data!A:A,TABLEAU!B978,data!C:C,TABLEAU!D978,data!F:F,YEAR(Feuil1!$D$2))</f>
        <v>0</v>
      </c>
      <c r="H978" s="9">
        <f t="shared" si="60"/>
        <v>468</v>
      </c>
      <c r="I978" s="12" t="str">
        <f t="shared" si="61"/>
        <v/>
      </c>
      <c r="J978" s="13">
        <f>SUMIFS(data!E:E,data!A:A,TABLEAU!B978,data!C:C,TABLEAU!D978,data!F:F,YEAR(Feuil1!$D$1))</f>
        <v>36</v>
      </c>
      <c r="K978" s="13">
        <f>SUMIFS(data!E:E,data!A:A,TABLEAU!B978,data!C:C,TABLEAU!D978,data!F:F,YEAR(Feuil1!$D$2))</f>
        <v>0</v>
      </c>
      <c r="L978" s="13">
        <f t="shared" si="62"/>
        <v>36</v>
      </c>
      <c r="M978" s="12" t="str">
        <f t="shared" si="63"/>
        <v/>
      </c>
    </row>
    <row r="979" spans="1:13" x14ac:dyDescent="0.25">
      <c r="A979" s="17" t="str">
        <f>data!H1614</f>
        <v>VINICOM</v>
      </c>
      <c r="B979" s="15" t="str">
        <f>data!A1614</f>
        <v>564</v>
      </c>
      <c r="C979" s="1" t="str">
        <f>data!B1614</f>
        <v>BARRIERE FRERES</v>
      </c>
      <c r="D979" s="1" t="str">
        <f>data!C1614</f>
        <v>CDH-564004</v>
      </c>
      <c r="E979" s="1" t="str">
        <f>data!D979</f>
        <v>AC C.PROVENCE ESTERELLE</v>
      </c>
      <c r="F979" s="14">
        <f>SUMIFS(data!G:G,data!A:A,TABLEAU!B979,data!C:C,TABLEAU!D979,data!F:F,YEAR(Feuil1!$D$1))</f>
        <v>555.12</v>
      </c>
      <c r="G979" s="9">
        <f>SUMIFS(data!G:G,data!A:A,TABLEAU!B979,data!C:C,TABLEAU!D979,data!F:F,YEAR(Feuil1!$D$2))</f>
        <v>0</v>
      </c>
      <c r="H979" s="9">
        <f t="shared" si="60"/>
        <v>555.12</v>
      </c>
      <c r="I979" s="12" t="str">
        <f t="shared" si="61"/>
        <v/>
      </c>
      <c r="J979" s="13">
        <f>SUMIFS(data!E:E,data!A:A,TABLEAU!B979,data!C:C,TABLEAU!D979,data!F:F,YEAR(Feuil1!$D$1))</f>
        <v>24</v>
      </c>
      <c r="K979" s="13">
        <f>SUMIFS(data!E:E,data!A:A,TABLEAU!B979,data!C:C,TABLEAU!D979,data!F:F,YEAR(Feuil1!$D$2))</f>
        <v>0</v>
      </c>
      <c r="L979" s="13">
        <f t="shared" si="62"/>
        <v>24</v>
      </c>
      <c r="M979" s="12" t="str">
        <f t="shared" si="63"/>
        <v/>
      </c>
    </row>
    <row r="980" spans="1:13" x14ac:dyDescent="0.25">
      <c r="A980" s="17" t="str">
        <f>data!H1615</f>
        <v>VINICOM</v>
      </c>
      <c r="B980" s="15" t="str">
        <f>data!A1615</f>
        <v>564</v>
      </c>
      <c r="C980" s="1" t="str">
        <f>data!B1615</f>
        <v>BARRIERE FRERES</v>
      </c>
      <c r="D980" s="1" t="str">
        <f>data!C1615</f>
        <v>CDH-564005</v>
      </c>
      <c r="E980" s="1" t="str">
        <f>data!D980</f>
        <v>AC COTES DE PROVENCE</v>
      </c>
      <c r="F980" s="14">
        <f>SUMIFS(data!G:G,data!A:A,TABLEAU!B980,data!C:C,TABLEAU!D980,data!F:F,YEAR(Feuil1!$D$1))</f>
        <v>765</v>
      </c>
      <c r="G980" s="9">
        <f>SUMIFS(data!G:G,data!A:A,TABLEAU!B980,data!C:C,TABLEAU!D980,data!F:F,YEAR(Feuil1!$D$2))</f>
        <v>0</v>
      </c>
      <c r="H980" s="9">
        <f t="shared" si="60"/>
        <v>765</v>
      </c>
      <c r="I980" s="12" t="str">
        <f t="shared" si="61"/>
        <v/>
      </c>
      <c r="J980" s="13">
        <f>SUMIFS(data!E:E,data!A:A,TABLEAU!B980,data!C:C,TABLEAU!D980,data!F:F,YEAR(Feuil1!$D$1))</f>
        <v>36</v>
      </c>
      <c r="K980" s="13">
        <f>SUMIFS(data!E:E,data!A:A,TABLEAU!B980,data!C:C,TABLEAU!D980,data!F:F,YEAR(Feuil1!$D$2))</f>
        <v>0</v>
      </c>
      <c r="L980" s="13">
        <f t="shared" si="62"/>
        <v>36</v>
      </c>
      <c r="M980" s="12" t="str">
        <f t="shared" si="63"/>
        <v/>
      </c>
    </row>
    <row r="981" spans="1:13" x14ac:dyDescent="0.25">
      <c r="A981" s="17" t="str">
        <f>data!H1616</f>
        <v>VINICOM</v>
      </c>
      <c r="B981" s="15" t="str">
        <f>data!A1616</f>
        <v>601</v>
      </c>
      <c r="C981" s="1" t="str">
        <f>data!B1616</f>
        <v>CPR LES HAUTS DE MONTROUGE (Hobivin)</v>
      </c>
      <c r="D981" s="1" t="str">
        <f>data!C1616</f>
        <v>CDH-601011H</v>
      </c>
      <c r="E981" s="1" t="str">
        <f>data!D981</f>
        <v>AC COTES DE PROVENCE</v>
      </c>
      <c r="F981" s="14">
        <f>SUMIFS(data!G:G,data!A:A,TABLEAU!B981,data!C:C,TABLEAU!D981,data!F:F,YEAR(Feuil1!$D$1))</f>
        <v>16.760000000000002</v>
      </c>
      <c r="G981" s="9">
        <f>SUMIFS(data!G:G,data!A:A,TABLEAU!B981,data!C:C,TABLEAU!D981,data!F:F,YEAR(Feuil1!$D$2))</f>
        <v>0</v>
      </c>
      <c r="H981" s="9">
        <f t="shared" si="60"/>
        <v>16.760000000000002</v>
      </c>
      <c r="I981" s="12" t="str">
        <f t="shared" si="61"/>
        <v/>
      </c>
      <c r="J981" s="13">
        <f>SUMIFS(data!E:E,data!A:A,TABLEAU!B981,data!C:C,TABLEAU!D981,data!F:F,YEAR(Feuil1!$D$1))</f>
        <v>13.34</v>
      </c>
      <c r="K981" s="13">
        <f>SUMIFS(data!E:E,data!A:A,TABLEAU!B981,data!C:C,TABLEAU!D981,data!F:F,YEAR(Feuil1!$D$2))</f>
        <v>0</v>
      </c>
      <c r="L981" s="13">
        <f t="shared" si="62"/>
        <v>13.34</v>
      </c>
      <c r="M981" s="12" t="str">
        <f t="shared" si="63"/>
        <v/>
      </c>
    </row>
    <row r="982" spans="1:13" x14ac:dyDescent="0.25">
      <c r="A982" s="17" t="str">
        <f>data!H1617</f>
        <v>VINICOM</v>
      </c>
      <c r="B982" s="15" t="str">
        <f>data!A1617</f>
        <v>999</v>
      </c>
      <c r="C982" s="1" t="str">
        <f>data!B1617</f>
        <v>ZZZZZZZZZZZ</v>
      </c>
      <c r="D982" s="1" t="str">
        <f>data!C1617</f>
        <v>CDVAPPRO</v>
      </c>
      <c r="E982" s="1" t="str">
        <f>data!D982</f>
        <v>VDP MEDITERRANEE. TERES</v>
      </c>
      <c r="F982" s="14">
        <f>SUMIFS(data!G:G,data!A:A,TABLEAU!B982,data!C:C,TABLEAU!D982,data!F:F,YEAR(Feuil1!$D$1))</f>
        <v>0</v>
      </c>
      <c r="G982" s="9">
        <f>SUMIFS(data!G:G,data!A:A,TABLEAU!B982,data!C:C,TABLEAU!D982,data!F:F,YEAR(Feuil1!$D$2))</f>
        <v>0</v>
      </c>
      <c r="H982" s="9">
        <f t="shared" si="60"/>
        <v>0</v>
      </c>
      <c r="I982" s="12" t="str">
        <f t="shared" si="61"/>
        <v/>
      </c>
      <c r="J982" s="13">
        <f>SUMIFS(data!E:E,data!A:A,TABLEAU!B982,data!C:C,TABLEAU!D982,data!F:F,YEAR(Feuil1!$D$1))</f>
        <v>1</v>
      </c>
      <c r="K982" s="13">
        <f>SUMIFS(data!E:E,data!A:A,TABLEAU!B982,data!C:C,TABLEAU!D982,data!F:F,YEAR(Feuil1!$D$2))</f>
        <v>1</v>
      </c>
      <c r="L982" s="13">
        <f t="shared" si="62"/>
        <v>0</v>
      </c>
      <c r="M982" s="12">
        <f t="shared" si="63"/>
        <v>0</v>
      </c>
    </row>
    <row r="983" spans="1:13" x14ac:dyDescent="0.25">
      <c r="A983" s="17" t="str">
        <f>data!H1619</f>
        <v>VINICOM</v>
      </c>
      <c r="B983" s="15" t="str">
        <f>data!A1619</f>
        <v>999</v>
      </c>
      <c r="C983" s="1" t="str">
        <f>data!B1619</f>
        <v>ZZZZZZZZZZZ</v>
      </c>
      <c r="D983" s="1" t="str">
        <f>data!C1619</f>
        <v>CDVECH</v>
      </c>
      <c r="E983" s="1" t="str">
        <f>data!D983</f>
        <v>VDP MEDITERRANEE. TERES</v>
      </c>
      <c r="F983" s="14">
        <f>SUMIFS(data!G:G,data!A:A,TABLEAU!B983,data!C:C,TABLEAU!D983,data!F:F,YEAR(Feuil1!$D$1))</f>
        <v>0</v>
      </c>
      <c r="G983" s="9">
        <f>SUMIFS(data!G:G,data!A:A,TABLEAU!B983,data!C:C,TABLEAU!D983,data!F:F,YEAR(Feuil1!$D$2))</f>
        <v>0</v>
      </c>
      <c r="H983" s="9">
        <f t="shared" si="60"/>
        <v>0</v>
      </c>
      <c r="I983" s="12" t="str">
        <f t="shared" si="61"/>
        <v/>
      </c>
      <c r="J983" s="13">
        <f>SUMIFS(data!E:E,data!A:A,TABLEAU!B983,data!C:C,TABLEAU!D983,data!F:F,YEAR(Feuil1!$D$1))</f>
        <v>394</v>
      </c>
      <c r="K983" s="13">
        <f>SUMIFS(data!E:E,data!A:A,TABLEAU!B983,data!C:C,TABLEAU!D983,data!F:F,YEAR(Feuil1!$D$2))</f>
        <v>496</v>
      </c>
      <c r="L983" s="13">
        <f t="shared" si="62"/>
        <v>-102</v>
      </c>
      <c r="M983" s="12">
        <f t="shared" si="63"/>
        <v>-0.20564516129032259</v>
      </c>
    </row>
    <row r="984" spans="1:13" x14ac:dyDescent="0.25">
      <c r="F984"/>
      <c r="G984"/>
      <c r="H984"/>
      <c r="I984"/>
      <c r="J984"/>
      <c r="K984"/>
      <c r="L984"/>
      <c r="M984" s="12" t="str">
        <f t="shared" si="63"/>
        <v/>
      </c>
    </row>
    <row r="985" spans="1:13" x14ac:dyDescent="0.25">
      <c r="E985" s="3">
        <f>SUBTOTAL(9,E2:E984)</f>
        <v>0</v>
      </c>
      <c r="F985" s="3">
        <f>SUBTOTAL(9,F2:F984)</f>
        <v>2790814.01</v>
      </c>
      <c r="G985" s="3">
        <f>SUBTOTAL(9,G2:G984)</f>
        <v>3441367.0700000022</v>
      </c>
      <c r="H985" s="6">
        <f>G985/F985</f>
        <v>1.233105129065911</v>
      </c>
      <c r="I985" s="3">
        <f>SUBTOTAL(9,I2:I984)</f>
        <v>-213.33389149539047</v>
      </c>
      <c r="J985" s="3">
        <f>SUBTOTAL(9,J2:J984)</f>
        <v>1965028.7400000019</v>
      </c>
      <c r="K985" s="3">
        <f>SUBTOTAL(9,K2:K984)</f>
        <v>2370499.7400000002</v>
      </c>
      <c r="L985" s="6">
        <f>K985/J985</f>
        <v>1.2063435469142287</v>
      </c>
      <c r="M985" s="12">
        <f t="shared" si="63"/>
        <v>5.088984092924763E-7</v>
      </c>
    </row>
    <row r="986" spans="1:13" x14ac:dyDescent="0.25">
      <c r="F986"/>
      <c r="G986"/>
      <c r="H986"/>
      <c r="I986"/>
      <c r="J986"/>
      <c r="K986"/>
      <c r="L986"/>
      <c r="M986" s="12" t="str">
        <f t="shared" si="63"/>
        <v/>
      </c>
    </row>
    <row r="987" spans="1:13" x14ac:dyDescent="0.25">
      <c r="F987"/>
      <c r="G987"/>
      <c r="H987"/>
      <c r="I987"/>
      <c r="J987"/>
      <c r="K987"/>
      <c r="L987"/>
      <c r="M987" s="12" t="str">
        <f t="shared" si="63"/>
        <v/>
      </c>
    </row>
    <row r="988" spans="1:13" x14ac:dyDescent="0.25">
      <c r="F988"/>
      <c r="G988"/>
      <c r="H988"/>
      <c r="I988"/>
      <c r="J988"/>
      <c r="K988"/>
      <c r="L988"/>
      <c r="M988" s="12" t="str">
        <f t="shared" si="63"/>
        <v/>
      </c>
    </row>
    <row r="989" spans="1:13" x14ac:dyDescent="0.25">
      <c r="F989"/>
      <c r="G989"/>
      <c r="H989"/>
      <c r="I989"/>
      <c r="J989"/>
      <c r="K989"/>
      <c r="L989"/>
      <c r="M989" s="12" t="str">
        <f t="shared" si="63"/>
        <v/>
      </c>
    </row>
    <row r="990" spans="1:13" x14ac:dyDescent="0.25">
      <c r="F990"/>
      <c r="G990"/>
      <c r="H990"/>
      <c r="I990"/>
      <c r="J990"/>
      <c r="K990"/>
      <c r="L990"/>
      <c r="M990" s="12" t="str">
        <f t="shared" si="63"/>
        <v/>
      </c>
    </row>
    <row r="991" spans="1:13" x14ac:dyDescent="0.25">
      <c r="F991"/>
      <c r="G991"/>
      <c r="H991"/>
      <c r="I991"/>
      <c r="J991"/>
      <c r="K991"/>
      <c r="L991"/>
      <c r="M991" s="12" t="str">
        <f t="shared" si="63"/>
        <v/>
      </c>
    </row>
    <row r="992" spans="1:13" x14ac:dyDescent="0.25">
      <c r="F992"/>
      <c r="G992"/>
      <c r="H992"/>
      <c r="I992"/>
      <c r="J992"/>
      <c r="K992"/>
      <c r="L992"/>
      <c r="M992" s="12" t="str">
        <f t="shared" si="63"/>
        <v/>
      </c>
    </row>
    <row r="993" spans="6:13" x14ac:dyDescent="0.25">
      <c r="F993"/>
      <c r="G993"/>
      <c r="H993"/>
      <c r="I993"/>
      <c r="J993"/>
      <c r="K993"/>
      <c r="L993"/>
      <c r="M993" s="12" t="str">
        <f t="shared" si="63"/>
        <v/>
      </c>
    </row>
    <row r="994" spans="6:13" x14ac:dyDescent="0.25">
      <c r="F994"/>
      <c r="G994"/>
      <c r="H994"/>
      <c r="I994"/>
      <c r="J994"/>
      <c r="K994"/>
      <c r="L994"/>
      <c r="M994" s="12" t="str">
        <f t="shared" si="63"/>
        <v/>
      </c>
    </row>
    <row r="995" spans="6:13" x14ac:dyDescent="0.25">
      <c r="F995"/>
      <c r="G995"/>
      <c r="H995"/>
      <c r="I995"/>
      <c r="J995"/>
      <c r="K995"/>
      <c r="L995"/>
      <c r="M995" s="12" t="str">
        <f t="shared" si="63"/>
        <v/>
      </c>
    </row>
    <row r="996" spans="6:13" x14ac:dyDescent="0.25">
      <c r="F996"/>
      <c r="G996"/>
      <c r="H996"/>
      <c r="I996"/>
      <c r="J996"/>
      <c r="K996"/>
      <c r="L996"/>
      <c r="M996" s="12" t="str">
        <f t="shared" si="63"/>
        <v/>
      </c>
    </row>
    <row r="997" spans="6:13" x14ac:dyDescent="0.25">
      <c r="F997"/>
      <c r="G997"/>
      <c r="H997"/>
      <c r="I997"/>
      <c r="J997"/>
      <c r="K997"/>
      <c r="L997"/>
      <c r="M997" s="12" t="str">
        <f t="shared" si="63"/>
        <v/>
      </c>
    </row>
    <row r="998" spans="6:13" x14ac:dyDescent="0.25">
      <c r="F998"/>
      <c r="G998"/>
      <c r="H998"/>
      <c r="I998"/>
      <c r="J998"/>
      <c r="K998"/>
      <c r="L998"/>
      <c r="M998" s="12" t="str">
        <f t="shared" si="63"/>
        <v/>
      </c>
    </row>
    <row r="999" spans="6:13" x14ac:dyDescent="0.25">
      <c r="F999"/>
      <c r="G999"/>
      <c r="H999"/>
      <c r="I999"/>
      <c r="J999"/>
      <c r="K999"/>
      <c r="L999"/>
      <c r="M999" s="12" t="str">
        <f t="shared" si="63"/>
        <v/>
      </c>
    </row>
    <row r="1000" spans="6:13" x14ac:dyDescent="0.25">
      <c r="F1000"/>
      <c r="G1000"/>
      <c r="H1000"/>
      <c r="I1000"/>
      <c r="J1000"/>
      <c r="K1000"/>
      <c r="L1000"/>
      <c r="M1000" s="12" t="str">
        <f t="shared" si="63"/>
        <v/>
      </c>
    </row>
    <row r="1001" spans="6:13" x14ac:dyDescent="0.25">
      <c r="F1001"/>
      <c r="G1001"/>
      <c r="H1001"/>
      <c r="I1001"/>
      <c r="J1001"/>
      <c r="K1001"/>
      <c r="L1001"/>
      <c r="M1001" s="12" t="str">
        <f t="shared" si="63"/>
        <v/>
      </c>
    </row>
    <row r="1002" spans="6:13" x14ac:dyDescent="0.25">
      <c r="F1002"/>
      <c r="G1002"/>
      <c r="H1002"/>
      <c r="I1002"/>
      <c r="J1002"/>
      <c r="K1002"/>
      <c r="L1002"/>
      <c r="M1002" s="12" t="str">
        <f t="shared" si="63"/>
        <v/>
      </c>
    </row>
    <row r="1003" spans="6:13" x14ac:dyDescent="0.25">
      <c r="F1003"/>
      <c r="G1003"/>
      <c r="H1003"/>
      <c r="I1003"/>
      <c r="J1003"/>
      <c r="K1003"/>
      <c r="L1003"/>
      <c r="M1003" s="12" t="str">
        <f t="shared" si="63"/>
        <v/>
      </c>
    </row>
    <row r="1004" spans="6:13" x14ac:dyDescent="0.25">
      <c r="F1004"/>
      <c r="G1004"/>
      <c r="H1004"/>
      <c r="I1004"/>
      <c r="J1004"/>
      <c r="K1004"/>
      <c r="L1004"/>
      <c r="M1004" s="12" t="str">
        <f t="shared" si="63"/>
        <v/>
      </c>
    </row>
    <row r="1005" spans="6:13" x14ac:dyDescent="0.25">
      <c r="F1005"/>
      <c r="G1005"/>
      <c r="H1005"/>
      <c r="I1005"/>
      <c r="J1005"/>
      <c r="K1005"/>
      <c r="L1005"/>
      <c r="M1005" s="12" t="str">
        <f t="shared" si="63"/>
        <v/>
      </c>
    </row>
    <row r="1006" spans="6:13" x14ac:dyDescent="0.25">
      <c r="F1006"/>
      <c r="G1006"/>
      <c r="H1006"/>
      <c r="I1006"/>
      <c r="J1006"/>
      <c r="K1006"/>
      <c r="L1006"/>
      <c r="M1006" s="12" t="str">
        <f t="shared" si="63"/>
        <v/>
      </c>
    </row>
    <row r="1007" spans="6:13" x14ac:dyDescent="0.25">
      <c r="F1007"/>
      <c r="G1007"/>
      <c r="H1007"/>
      <c r="I1007"/>
      <c r="J1007"/>
      <c r="K1007"/>
      <c r="L1007"/>
      <c r="M1007" s="12" t="str">
        <f t="shared" si="63"/>
        <v/>
      </c>
    </row>
    <row r="1008" spans="6:13" x14ac:dyDescent="0.25">
      <c r="F1008"/>
      <c r="G1008"/>
      <c r="H1008"/>
      <c r="I1008"/>
      <c r="J1008"/>
      <c r="K1008"/>
      <c r="L1008"/>
      <c r="M1008" s="12" t="str">
        <f t="shared" si="63"/>
        <v/>
      </c>
    </row>
    <row r="1009" spans="6:13" x14ac:dyDescent="0.25">
      <c r="F1009"/>
      <c r="G1009"/>
      <c r="H1009"/>
      <c r="I1009"/>
      <c r="J1009"/>
      <c r="K1009"/>
      <c r="L1009"/>
      <c r="M1009" s="12" t="str">
        <f t="shared" si="63"/>
        <v/>
      </c>
    </row>
    <row r="1010" spans="6:13" x14ac:dyDescent="0.25">
      <c r="F1010"/>
      <c r="G1010"/>
      <c r="H1010"/>
      <c r="I1010"/>
      <c r="J1010"/>
      <c r="K1010"/>
      <c r="L1010"/>
      <c r="M1010" s="12" t="str">
        <f t="shared" si="63"/>
        <v/>
      </c>
    </row>
    <row r="1011" spans="6:13" x14ac:dyDescent="0.25">
      <c r="F1011"/>
      <c r="G1011"/>
      <c r="H1011"/>
      <c r="I1011"/>
      <c r="J1011"/>
      <c r="K1011"/>
      <c r="L1011"/>
      <c r="M1011" s="12" t="str">
        <f t="shared" si="63"/>
        <v/>
      </c>
    </row>
    <row r="1012" spans="6:13" x14ac:dyDescent="0.25">
      <c r="F1012"/>
      <c r="G1012"/>
      <c r="H1012"/>
      <c r="I1012"/>
      <c r="J1012"/>
      <c r="K1012"/>
      <c r="L1012"/>
      <c r="M1012" s="12" t="str">
        <f t="shared" si="63"/>
        <v/>
      </c>
    </row>
    <row r="1013" spans="6:13" x14ac:dyDescent="0.25">
      <c r="F1013"/>
      <c r="G1013"/>
      <c r="H1013"/>
      <c r="I1013"/>
      <c r="J1013"/>
      <c r="K1013"/>
      <c r="L1013"/>
      <c r="M1013" s="12" t="str">
        <f t="shared" si="63"/>
        <v/>
      </c>
    </row>
    <row r="1014" spans="6:13" x14ac:dyDescent="0.25">
      <c r="F1014"/>
      <c r="G1014"/>
      <c r="H1014"/>
      <c r="I1014"/>
      <c r="J1014"/>
      <c r="K1014"/>
      <c r="L1014"/>
      <c r="M1014" s="12" t="str">
        <f t="shared" si="63"/>
        <v/>
      </c>
    </row>
    <row r="1015" spans="6:13" x14ac:dyDescent="0.25">
      <c r="F1015"/>
      <c r="G1015"/>
      <c r="H1015"/>
      <c r="I1015"/>
      <c r="J1015"/>
      <c r="K1015"/>
      <c r="L1015"/>
      <c r="M1015" s="12" t="str">
        <f t="shared" si="63"/>
        <v/>
      </c>
    </row>
    <row r="1016" spans="6:13" x14ac:dyDescent="0.25">
      <c r="F1016"/>
      <c r="G1016"/>
      <c r="H1016"/>
      <c r="I1016"/>
      <c r="J1016"/>
      <c r="K1016"/>
      <c r="L1016"/>
      <c r="M1016" s="12" t="str">
        <f t="shared" si="63"/>
        <v/>
      </c>
    </row>
    <row r="1017" spans="6:13" x14ac:dyDescent="0.25">
      <c r="F1017"/>
      <c r="G1017"/>
      <c r="H1017"/>
      <c r="I1017"/>
      <c r="J1017"/>
      <c r="K1017"/>
      <c r="L1017"/>
      <c r="M1017" s="12" t="str">
        <f t="shared" si="63"/>
        <v/>
      </c>
    </row>
    <row r="1018" spans="6:13" x14ac:dyDescent="0.25">
      <c r="F1018"/>
      <c r="G1018"/>
      <c r="H1018"/>
      <c r="I1018"/>
      <c r="J1018"/>
      <c r="K1018"/>
      <c r="L1018"/>
      <c r="M1018" s="12" t="str">
        <f t="shared" si="63"/>
        <v/>
      </c>
    </row>
    <row r="1019" spans="6:13" x14ac:dyDescent="0.25">
      <c r="F1019"/>
      <c r="G1019"/>
      <c r="H1019"/>
      <c r="I1019"/>
      <c r="J1019"/>
      <c r="K1019"/>
      <c r="L1019"/>
      <c r="M1019" s="12" t="str">
        <f t="shared" si="63"/>
        <v/>
      </c>
    </row>
    <row r="1020" spans="6:13" x14ac:dyDescent="0.25">
      <c r="F1020"/>
      <c r="G1020"/>
      <c r="H1020"/>
      <c r="I1020"/>
      <c r="J1020"/>
      <c r="K1020"/>
      <c r="L1020"/>
      <c r="M1020" s="12" t="str">
        <f t="shared" si="63"/>
        <v/>
      </c>
    </row>
    <row r="1021" spans="6:13" x14ac:dyDescent="0.25">
      <c r="F1021"/>
      <c r="G1021"/>
      <c r="H1021"/>
      <c r="I1021"/>
      <c r="J1021"/>
      <c r="K1021"/>
      <c r="L1021"/>
      <c r="M1021" s="12" t="str">
        <f t="shared" si="63"/>
        <v/>
      </c>
    </row>
    <row r="1022" spans="6:13" x14ac:dyDescent="0.25">
      <c r="F1022"/>
      <c r="G1022"/>
      <c r="H1022"/>
      <c r="I1022"/>
      <c r="J1022"/>
      <c r="K1022"/>
      <c r="L1022"/>
      <c r="M1022" s="12" t="str">
        <f t="shared" si="63"/>
        <v/>
      </c>
    </row>
    <row r="1023" spans="6:13" x14ac:dyDescent="0.25">
      <c r="F1023"/>
      <c r="G1023"/>
      <c r="H1023"/>
      <c r="I1023"/>
      <c r="J1023"/>
      <c r="K1023"/>
      <c r="L1023"/>
      <c r="M1023" s="12" t="str">
        <f t="shared" si="63"/>
        <v/>
      </c>
    </row>
    <row r="1024" spans="6:13" x14ac:dyDescent="0.25">
      <c r="F1024"/>
      <c r="G1024"/>
      <c r="H1024"/>
      <c r="I1024"/>
      <c r="J1024"/>
      <c r="K1024"/>
      <c r="L1024"/>
      <c r="M1024" s="12" t="str">
        <f t="shared" si="63"/>
        <v/>
      </c>
    </row>
    <row r="1025" spans="6:13" x14ac:dyDescent="0.25">
      <c r="F1025"/>
      <c r="G1025"/>
      <c r="H1025"/>
      <c r="I1025"/>
      <c r="J1025"/>
      <c r="K1025"/>
      <c r="L1025"/>
      <c r="M1025" s="12" t="str">
        <f t="shared" si="63"/>
        <v/>
      </c>
    </row>
    <row r="1026" spans="6:13" x14ac:dyDescent="0.25">
      <c r="F1026"/>
      <c r="G1026"/>
      <c r="H1026"/>
      <c r="I1026"/>
      <c r="J1026"/>
      <c r="K1026"/>
      <c r="L1026"/>
      <c r="M1026" s="12" t="str">
        <f t="shared" si="63"/>
        <v/>
      </c>
    </row>
    <row r="1027" spans="6:13" x14ac:dyDescent="0.25">
      <c r="F1027"/>
      <c r="G1027"/>
      <c r="H1027"/>
      <c r="I1027"/>
      <c r="J1027"/>
      <c r="K1027"/>
      <c r="L1027"/>
      <c r="M1027" s="12" t="str">
        <f t="shared" ref="M1027:M1090" si="64">IF(ISERR(L1027/K1027),"",L1027/K1027)</f>
        <v/>
      </c>
    </row>
    <row r="1028" spans="6:13" x14ac:dyDescent="0.25">
      <c r="F1028"/>
      <c r="G1028"/>
      <c r="H1028"/>
      <c r="I1028"/>
      <c r="J1028"/>
      <c r="K1028"/>
      <c r="L1028"/>
      <c r="M1028" s="12" t="str">
        <f t="shared" si="64"/>
        <v/>
      </c>
    </row>
    <row r="1029" spans="6:13" x14ac:dyDescent="0.25">
      <c r="F1029"/>
      <c r="G1029"/>
      <c r="H1029"/>
      <c r="I1029"/>
      <c r="J1029"/>
      <c r="K1029"/>
      <c r="L1029"/>
      <c r="M1029" s="12" t="str">
        <f t="shared" si="64"/>
        <v/>
      </c>
    </row>
    <row r="1030" spans="6:13" x14ac:dyDescent="0.25">
      <c r="F1030"/>
      <c r="G1030"/>
      <c r="H1030"/>
      <c r="I1030"/>
      <c r="J1030"/>
      <c r="K1030"/>
      <c r="L1030"/>
      <c r="M1030" s="12" t="str">
        <f t="shared" si="64"/>
        <v/>
      </c>
    </row>
    <row r="1031" spans="6:13" x14ac:dyDescent="0.25">
      <c r="F1031"/>
      <c r="G1031"/>
      <c r="H1031"/>
      <c r="I1031"/>
      <c r="J1031"/>
      <c r="K1031"/>
      <c r="L1031"/>
      <c r="M1031" s="12" t="str">
        <f t="shared" si="64"/>
        <v/>
      </c>
    </row>
    <row r="1032" spans="6:13" x14ac:dyDescent="0.25">
      <c r="F1032"/>
      <c r="G1032"/>
      <c r="H1032"/>
      <c r="I1032"/>
      <c r="J1032"/>
      <c r="K1032"/>
      <c r="L1032"/>
      <c r="M1032" s="12" t="str">
        <f t="shared" si="64"/>
        <v/>
      </c>
    </row>
    <row r="1033" spans="6:13" x14ac:dyDescent="0.25">
      <c r="F1033"/>
      <c r="G1033"/>
      <c r="H1033"/>
      <c r="I1033"/>
      <c r="J1033"/>
      <c r="K1033"/>
      <c r="L1033"/>
      <c r="M1033" s="12" t="str">
        <f t="shared" si="64"/>
        <v/>
      </c>
    </row>
    <row r="1034" spans="6:13" x14ac:dyDescent="0.25">
      <c r="F1034"/>
      <c r="G1034"/>
      <c r="H1034"/>
      <c r="I1034"/>
      <c r="J1034"/>
      <c r="K1034"/>
      <c r="L1034"/>
      <c r="M1034" s="12" t="str">
        <f t="shared" si="64"/>
        <v/>
      </c>
    </row>
    <row r="1035" spans="6:13" x14ac:dyDescent="0.25">
      <c r="F1035"/>
      <c r="G1035"/>
      <c r="H1035"/>
      <c r="I1035"/>
      <c r="J1035"/>
      <c r="K1035"/>
      <c r="L1035"/>
      <c r="M1035" s="12" t="str">
        <f t="shared" si="64"/>
        <v/>
      </c>
    </row>
    <row r="1036" spans="6:13" x14ac:dyDescent="0.25">
      <c r="F1036"/>
      <c r="G1036"/>
      <c r="H1036"/>
      <c r="I1036"/>
      <c r="J1036"/>
      <c r="K1036"/>
      <c r="L1036"/>
      <c r="M1036" s="12" t="str">
        <f t="shared" si="64"/>
        <v/>
      </c>
    </row>
    <row r="1037" spans="6:13" x14ac:dyDescent="0.25">
      <c r="F1037"/>
      <c r="G1037"/>
      <c r="H1037"/>
      <c r="I1037"/>
      <c r="J1037"/>
      <c r="K1037"/>
      <c r="L1037"/>
      <c r="M1037" s="12" t="str">
        <f t="shared" si="64"/>
        <v/>
      </c>
    </row>
    <row r="1038" spans="6:13" x14ac:dyDescent="0.25">
      <c r="F1038"/>
      <c r="G1038"/>
      <c r="H1038"/>
      <c r="I1038"/>
      <c r="J1038"/>
      <c r="K1038"/>
      <c r="L1038"/>
      <c r="M1038" s="12" t="str">
        <f t="shared" si="64"/>
        <v/>
      </c>
    </row>
    <row r="1039" spans="6:13" x14ac:dyDescent="0.25">
      <c r="F1039"/>
      <c r="G1039"/>
      <c r="H1039"/>
      <c r="I1039"/>
      <c r="J1039"/>
      <c r="K1039"/>
      <c r="L1039"/>
      <c r="M1039" s="12" t="str">
        <f t="shared" si="64"/>
        <v/>
      </c>
    </row>
    <row r="1040" spans="6:13" x14ac:dyDescent="0.25">
      <c r="F1040"/>
      <c r="G1040"/>
      <c r="H1040"/>
      <c r="I1040"/>
      <c r="J1040"/>
      <c r="K1040"/>
      <c r="L1040"/>
      <c r="M1040" s="12" t="str">
        <f t="shared" si="64"/>
        <v/>
      </c>
    </row>
    <row r="1041" spans="6:13" x14ac:dyDescent="0.25">
      <c r="F1041"/>
      <c r="G1041"/>
      <c r="H1041"/>
      <c r="I1041"/>
      <c r="J1041"/>
      <c r="K1041"/>
      <c r="L1041"/>
      <c r="M1041" s="12" t="str">
        <f t="shared" si="64"/>
        <v/>
      </c>
    </row>
    <row r="1042" spans="6:13" x14ac:dyDescent="0.25">
      <c r="F1042"/>
      <c r="G1042"/>
      <c r="H1042"/>
      <c r="I1042"/>
      <c r="J1042"/>
      <c r="K1042"/>
      <c r="L1042"/>
      <c r="M1042" s="12" t="str">
        <f t="shared" si="64"/>
        <v/>
      </c>
    </row>
    <row r="1043" spans="6:13" x14ac:dyDescent="0.25">
      <c r="F1043"/>
      <c r="G1043"/>
      <c r="H1043"/>
      <c r="I1043"/>
      <c r="J1043"/>
      <c r="K1043"/>
      <c r="L1043"/>
      <c r="M1043" s="12" t="str">
        <f t="shared" si="64"/>
        <v/>
      </c>
    </row>
    <row r="1044" spans="6:13" x14ac:dyDescent="0.25">
      <c r="F1044"/>
      <c r="G1044"/>
      <c r="H1044"/>
      <c r="I1044"/>
      <c r="J1044"/>
      <c r="K1044"/>
      <c r="L1044"/>
      <c r="M1044" s="12" t="str">
        <f t="shared" si="64"/>
        <v/>
      </c>
    </row>
    <row r="1045" spans="6:13" x14ac:dyDescent="0.25">
      <c r="F1045"/>
      <c r="G1045"/>
      <c r="H1045"/>
      <c r="I1045"/>
      <c r="J1045"/>
      <c r="K1045"/>
      <c r="L1045"/>
      <c r="M1045" s="12" t="str">
        <f t="shared" si="64"/>
        <v/>
      </c>
    </row>
    <row r="1046" spans="6:13" x14ac:dyDescent="0.25">
      <c r="F1046"/>
      <c r="G1046"/>
      <c r="H1046"/>
      <c r="I1046"/>
      <c r="J1046"/>
      <c r="K1046"/>
      <c r="L1046"/>
      <c r="M1046" s="12" t="str">
        <f t="shared" si="64"/>
        <v/>
      </c>
    </row>
    <row r="1047" spans="6:13" x14ac:dyDescent="0.25">
      <c r="F1047"/>
      <c r="G1047"/>
      <c r="H1047"/>
      <c r="I1047"/>
      <c r="J1047"/>
      <c r="K1047"/>
      <c r="L1047"/>
      <c r="M1047" s="12" t="str">
        <f t="shared" si="64"/>
        <v/>
      </c>
    </row>
    <row r="1048" spans="6:13" x14ac:dyDescent="0.25">
      <c r="F1048"/>
      <c r="G1048"/>
      <c r="H1048"/>
      <c r="I1048"/>
      <c r="J1048"/>
      <c r="K1048"/>
      <c r="L1048"/>
      <c r="M1048" s="12" t="str">
        <f t="shared" si="64"/>
        <v/>
      </c>
    </row>
    <row r="1049" spans="6:13" x14ac:dyDescent="0.25">
      <c r="F1049"/>
      <c r="G1049"/>
      <c r="H1049"/>
      <c r="I1049"/>
      <c r="J1049"/>
      <c r="K1049"/>
      <c r="L1049"/>
      <c r="M1049" s="12" t="str">
        <f t="shared" si="64"/>
        <v/>
      </c>
    </row>
    <row r="1050" spans="6:13" x14ac:dyDescent="0.25">
      <c r="F1050"/>
      <c r="G1050"/>
      <c r="H1050"/>
      <c r="I1050"/>
      <c r="J1050"/>
      <c r="K1050"/>
      <c r="L1050"/>
      <c r="M1050" s="12" t="str">
        <f t="shared" si="64"/>
        <v/>
      </c>
    </row>
    <row r="1051" spans="6:13" x14ac:dyDescent="0.25">
      <c r="F1051"/>
      <c r="G1051"/>
      <c r="H1051"/>
      <c r="I1051"/>
      <c r="J1051"/>
      <c r="K1051"/>
      <c r="L1051"/>
      <c r="M1051" s="12" t="str">
        <f t="shared" si="64"/>
        <v/>
      </c>
    </row>
    <row r="1052" spans="6:13" x14ac:dyDescent="0.25">
      <c r="F1052"/>
      <c r="G1052"/>
      <c r="H1052"/>
      <c r="I1052"/>
      <c r="J1052"/>
      <c r="K1052"/>
      <c r="L1052"/>
      <c r="M1052" s="12" t="str">
        <f t="shared" si="64"/>
        <v/>
      </c>
    </row>
    <row r="1053" spans="6:13" x14ac:dyDescent="0.25">
      <c r="F1053"/>
      <c r="G1053"/>
      <c r="H1053"/>
      <c r="I1053"/>
      <c r="J1053"/>
      <c r="K1053"/>
      <c r="L1053"/>
      <c r="M1053" s="12" t="str">
        <f t="shared" si="64"/>
        <v/>
      </c>
    </row>
    <row r="1054" spans="6:13" x14ac:dyDescent="0.25">
      <c r="F1054"/>
      <c r="G1054"/>
      <c r="H1054"/>
      <c r="I1054"/>
      <c r="J1054"/>
      <c r="K1054"/>
      <c r="L1054"/>
      <c r="M1054" s="12" t="str">
        <f t="shared" si="64"/>
        <v/>
      </c>
    </row>
    <row r="1055" spans="6:13" x14ac:dyDescent="0.25">
      <c r="F1055"/>
      <c r="G1055"/>
      <c r="H1055"/>
      <c r="I1055"/>
      <c r="J1055"/>
      <c r="K1055"/>
      <c r="L1055"/>
      <c r="M1055" s="12" t="str">
        <f t="shared" si="64"/>
        <v/>
      </c>
    </row>
    <row r="1056" spans="6:13" x14ac:dyDescent="0.25">
      <c r="F1056"/>
      <c r="G1056"/>
      <c r="H1056"/>
      <c r="I1056"/>
      <c r="J1056"/>
      <c r="K1056"/>
      <c r="L1056"/>
      <c r="M1056" s="12" t="str">
        <f t="shared" si="64"/>
        <v/>
      </c>
    </row>
    <row r="1057" spans="6:13" x14ac:dyDescent="0.25">
      <c r="F1057"/>
      <c r="G1057"/>
      <c r="H1057"/>
      <c r="I1057"/>
      <c r="J1057"/>
      <c r="K1057"/>
      <c r="L1057"/>
      <c r="M1057" s="12" t="str">
        <f t="shared" si="64"/>
        <v/>
      </c>
    </row>
    <row r="1058" spans="6:13" x14ac:dyDescent="0.25">
      <c r="F1058"/>
      <c r="G1058"/>
      <c r="H1058"/>
      <c r="I1058"/>
      <c r="J1058"/>
      <c r="K1058"/>
      <c r="L1058"/>
      <c r="M1058" s="12" t="str">
        <f t="shared" si="64"/>
        <v/>
      </c>
    </row>
    <row r="1059" spans="6:13" x14ac:dyDescent="0.25">
      <c r="F1059"/>
      <c r="G1059"/>
      <c r="H1059"/>
      <c r="I1059"/>
      <c r="J1059"/>
      <c r="K1059"/>
      <c r="L1059"/>
      <c r="M1059" s="12" t="str">
        <f t="shared" si="64"/>
        <v/>
      </c>
    </row>
    <row r="1060" spans="6:13" x14ac:dyDescent="0.25">
      <c r="F1060"/>
      <c r="G1060"/>
      <c r="H1060"/>
      <c r="I1060"/>
      <c r="J1060"/>
      <c r="K1060"/>
      <c r="L1060"/>
      <c r="M1060" s="12" t="str">
        <f t="shared" si="64"/>
        <v/>
      </c>
    </row>
    <row r="1061" spans="6:13" x14ac:dyDescent="0.25">
      <c r="F1061"/>
      <c r="G1061"/>
      <c r="H1061"/>
      <c r="I1061"/>
      <c r="J1061"/>
      <c r="K1061"/>
      <c r="L1061"/>
      <c r="M1061" s="12" t="str">
        <f t="shared" si="64"/>
        <v/>
      </c>
    </row>
    <row r="1062" spans="6:13" x14ac:dyDescent="0.25">
      <c r="F1062"/>
      <c r="G1062"/>
      <c r="H1062"/>
      <c r="I1062"/>
      <c r="J1062"/>
      <c r="K1062"/>
      <c r="L1062"/>
      <c r="M1062" s="12" t="str">
        <f t="shared" si="64"/>
        <v/>
      </c>
    </row>
    <row r="1063" spans="6:13" x14ac:dyDescent="0.25">
      <c r="F1063"/>
      <c r="G1063"/>
      <c r="H1063"/>
      <c r="I1063"/>
      <c r="J1063"/>
      <c r="K1063"/>
      <c r="L1063"/>
      <c r="M1063" s="12" t="str">
        <f t="shared" si="64"/>
        <v/>
      </c>
    </row>
    <row r="1064" spans="6:13" x14ac:dyDescent="0.25">
      <c r="F1064"/>
      <c r="G1064"/>
      <c r="H1064"/>
      <c r="I1064"/>
      <c r="J1064"/>
      <c r="K1064"/>
      <c r="L1064"/>
      <c r="M1064" s="12" t="str">
        <f t="shared" si="64"/>
        <v/>
      </c>
    </row>
    <row r="1065" spans="6:13" x14ac:dyDescent="0.25">
      <c r="F1065"/>
      <c r="G1065"/>
      <c r="H1065"/>
      <c r="I1065"/>
      <c r="J1065"/>
      <c r="K1065"/>
      <c r="L1065"/>
      <c r="M1065" s="12" t="str">
        <f t="shared" si="64"/>
        <v/>
      </c>
    </row>
    <row r="1066" spans="6:13" x14ac:dyDescent="0.25">
      <c r="F1066"/>
      <c r="G1066"/>
      <c r="H1066"/>
      <c r="I1066"/>
      <c r="J1066"/>
      <c r="K1066"/>
      <c r="L1066"/>
      <c r="M1066" s="12" t="str">
        <f t="shared" si="64"/>
        <v/>
      </c>
    </row>
    <row r="1067" spans="6:13" x14ac:dyDescent="0.25">
      <c r="F1067"/>
      <c r="G1067"/>
      <c r="H1067"/>
      <c r="I1067"/>
      <c r="J1067"/>
      <c r="K1067"/>
      <c r="L1067"/>
      <c r="M1067" s="12" t="str">
        <f t="shared" si="64"/>
        <v/>
      </c>
    </row>
    <row r="1068" spans="6:13" x14ac:dyDescent="0.25">
      <c r="F1068"/>
      <c r="G1068"/>
      <c r="H1068"/>
      <c r="I1068"/>
      <c r="J1068"/>
      <c r="K1068"/>
      <c r="L1068"/>
      <c r="M1068" s="12" t="str">
        <f t="shared" si="64"/>
        <v/>
      </c>
    </row>
    <row r="1069" spans="6:13" x14ac:dyDescent="0.25">
      <c r="F1069"/>
      <c r="G1069"/>
      <c r="H1069"/>
      <c r="I1069"/>
      <c r="J1069"/>
      <c r="K1069"/>
      <c r="L1069"/>
      <c r="M1069" s="12" t="str">
        <f t="shared" si="64"/>
        <v/>
      </c>
    </row>
    <row r="1070" spans="6:13" x14ac:dyDescent="0.25">
      <c r="F1070"/>
      <c r="G1070"/>
      <c r="H1070"/>
      <c r="I1070"/>
      <c r="J1070"/>
      <c r="K1070"/>
      <c r="L1070"/>
      <c r="M1070" s="12" t="str">
        <f t="shared" si="64"/>
        <v/>
      </c>
    </row>
    <row r="1071" spans="6:13" x14ac:dyDescent="0.25">
      <c r="F1071"/>
      <c r="G1071"/>
      <c r="H1071"/>
      <c r="I1071"/>
      <c r="J1071"/>
      <c r="K1071"/>
      <c r="L1071"/>
      <c r="M1071" s="12" t="str">
        <f t="shared" si="64"/>
        <v/>
      </c>
    </row>
    <row r="1072" spans="6:13" x14ac:dyDescent="0.25">
      <c r="F1072"/>
      <c r="G1072"/>
      <c r="H1072"/>
      <c r="I1072"/>
      <c r="J1072"/>
      <c r="K1072"/>
      <c r="L1072"/>
      <c r="M1072" s="12" t="str">
        <f t="shared" si="64"/>
        <v/>
      </c>
    </row>
    <row r="1073" spans="6:13" x14ac:dyDescent="0.25">
      <c r="F1073"/>
      <c r="G1073"/>
      <c r="H1073"/>
      <c r="I1073"/>
      <c r="J1073"/>
      <c r="K1073"/>
      <c r="L1073"/>
      <c r="M1073" s="12" t="str">
        <f t="shared" si="64"/>
        <v/>
      </c>
    </row>
    <row r="1074" spans="6:13" x14ac:dyDescent="0.25">
      <c r="F1074"/>
      <c r="G1074"/>
      <c r="H1074"/>
      <c r="I1074"/>
      <c r="J1074"/>
      <c r="K1074"/>
      <c r="L1074"/>
      <c r="M1074" s="12" t="str">
        <f t="shared" si="64"/>
        <v/>
      </c>
    </row>
    <row r="1075" spans="6:13" x14ac:dyDescent="0.25">
      <c r="F1075"/>
      <c r="G1075"/>
      <c r="H1075"/>
      <c r="I1075"/>
      <c r="J1075"/>
      <c r="K1075"/>
      <c r="L1075"/>
      <c r="M1075" s="12" t="str">
        <f t="shared" si="64"/>
        <v/>
      </c>
    </row>
    <row r="1076" spans="6:13" x14ac:dyDescent="0.25">
      <c r="F1076"/>
      <c r="G1076"/>
      <c r="H1076"/>
      <c r="I1076"/>
      <c r="J1076"/>
      <c r="K1076"/>
      <c r="L1076"/>
      <c r="M1076" s="12" t="str">
        <f t="shared" si="64"/>
        <v/>
      </c>
    </row>
    <row r="1077" spans="6:13" x14ac:dyDescent="0.25">
      <c r="F1077"/>
      <c r="G1077"/>
      <c r="H1077"/>
      <c r="I1077"/>
      <c r="J1077"/>
      <c r="K1077"/>
      <c r="L1077"/>
      <c r="M1077" s="12" t="str">
        <f t="shared" si="64"/>
        <v/>
      </c>
    </row>
    <row r="1078" spans="6:13" x14ac:dyDescent="0.25">
      <c r="F1078"/>
      <c r="G1078"/>
      <c r="H1078"/>
      <c r="I1078"/>
      <c r="J1078"/>
      <c r="K1078"/>
      <c r="L1078"/>
      <c r="M1078" s="12" t="str">
        <f t="shared" si="64"/>
        <v/>
      </c>
    </row>
    <row r="1079" spans="6:13" x14ac:dyDescent="0.25">
      <c r="F1079"/>
      <c r="G1079"/>
      <c r="H1079"/>
      <c r="I1079"/>
      <c r="J1079"/>
      <c r="K1079"/>
      <c r="L1079"/>
      <c r="M1079" s="12" t="str">
        <f t="shared" si="64"/>
        <v/>
      </c>
    </row>
    <row r="1080" spans="6:13" x14ac:dyDescent="0.25">
      <c r="F1080"/>
      <c r="G1080"/>
      <c r="H1080"/>
      <c r="I1080"/>
      <c r="J1080"/>
      <c r="K1080"/>
      <c r="L1080"/>
      <c r="M1080" s="12" t="str">
        <f t="shared" si="64"/>
        <v/>
      </c>
    </row>
    <row r="1081" spans="6:13" x14ac:dyDescent="0.25">
      <c r="F1081"/>
      <c r="G1081"/>
      <c r="H1081"/>
      <c r="I1081"/>
      <c r="J1081"/>
      <c r="K1081"/>
      <c r="L1081"/>
      <c r="M1081" s="12" t="str">
        <f t="shared" si="64"/>
        <v/>
      </c>
    </row>
    <row r="1082" spans="6:13" x14ac:dyDescent="0.25">
      <c r="F1082"/>
      <c r="G1082"/>
      <c r="H1082"/>
      <c r="I1082"/>
      <c r="J1082"/>
      <c r="K1082"/>
      <c r="L1082"/>
      <c r="M1082" s="12" t="str">
        <f t="shared" si="64"/>
        <v/>
      </c>
    </row>
    <row r="1083" spans="6:13" x14ac:dyDescent="0.25">
      <c r="F1083"/>
      <c r="G1083"/>
      <c r="H1083"/>
      <c r="I1083"/>
      <c r="J1083"/>
      <c r="K1083"/>
      <c r="L1083"/>
      <c r="M1083" s="12" t="str">
        <f t="shared" si="64"/>
        <v/>
      </c>
    </row>
    <row r="1084" spans="6:13" x14ac:dyDescent="0.25">
      <c r="F1084"/>
      <c r="G1084"/>
      <c r="H1084"/>
      <c r="I1084"/>
      <c r="J1084"/>
      <c r="K1084"/>
      <c r="L1084"/>
      <c r="M1084" s="12" t="str">
        <f t="shared" si="64"/>
        <v/>
      </c>
    </row>
    <row r="1085" spans="6:13" x14ac:dyDescent="0.25">
      <c r="F1085"/>
      <c r="G1085"/>
      <c r="H1085"/>
      <c r="I1085"/>
      <c r="J1085"/>
      <c r="K1085"/>
      <c r="L1085"/>
      <c r="M1085" s="12" t="str">
        <f t="shared" si="64"/>
        <v/>
      </c>
    </row>
    <row r="1086" spans="6:13" x14ac:dyDescent="0.25">
      <c r="F1086"/>
      <c r="G1086"/>
      <c r="H1086"/>
      <c r="I1086"/>
      <c r="J1086"/>
      <c r="K1086"/>
      <c r="L1086"/>
      <c r="M1086" s="12" t="str">
        <f t="shared" si="64"/>
        <v/>
      </c>
    </row>
    <row r="1087" spans="6:13" x14ac:dyDescent="0.25">
      <c r="F1087"/>
      <c r="G1087"/>
      <c r="H1087"/>
      <c r="I1087"/>
      <c r="J1087"/>
      <c r="K1087"/>
      <c r="L1087"/>
      <c r="M1087" s="12" t="str">
        <f t="shared" si="64"/>
        <v/>
      </c>
    </row>
    <row r="1088" spans="6:13" x14ac:dyDescent="0.25">
      <c r="F1088"/>
      <c r="G1088"/>
      <c r="H1088"/>
      <c r="I1088"/>
      <c r="J1088"/>
      <c r="K1088"/>
      <c r="L1088"/>
      <c r="M1088" s="12" t="str">
        <f t="shared" si="64"/>
        <v/>
      </c>
    </row>
    <row r="1089" spans="6:13" x14ac:dyDescent="0.25">
      <c r="F1089"/>
      <c r="G1089"/>
      <c r="H1089"/>
      <c r="I1089"/>
      <c r="J1089"/>
      <c r="K1089"/>
      <c r="L1089"/>
      <c r="M1089" s="12" t="str">
        <f t="shared" si="64"/>
        <v/>
      </c>
    </row>
    <row r="1090" spans="6:13" x14ac:dyDescent="0.25">
      <c r="F1090"/>
      <c r="G1090"/>
      <c r="H1090"/>
      <c r="I1090"/>
      <c r="J1090"/>
      <c r="K1090"/>
      <c r="L1090"/>
      <c r="M1090" s="12" t="str">
        <f t="shared" si="64"/>
        <v/>
      </c>
    </row>
    <row r="1091" spans="6:13" x14ac:dyDescent="0.25">
      <c r="F1091"/>
      <c r="G1091"/>
      <c r="H1091"/>
      <c r="I1091"/>
      <c r="J1091"/>
      <c r="K1091"/>
      <c r="L1091"/>
      <c r="M1091" s="12" t="str">
        <f t="shared" ref="M1091:M1154" si="65">IF(ISERR(L1091/K1091),"",L1091/K1091)</f>
        <v/>
      </c>
    </row>
    <row r="1092" spans="6:13" x14ac:dyDescent="0.25">
      <c r="F1092"/>
      <c r="G1092"/>
      <c r="H1092"/>
      <c r="I1092"/>
      <c r="J1092"/>
      <c r="K1092"/>
      <c r="L1092"/>
      <c r="M1092" s="12" t="str">
        <f t="shared" si="65"/>
        <v/>
      </c>
    </row>
    <row r="1093" spans="6:13" x14ac:dyDescent="0.25">
      <c r="F1093"/>
      <c r="G1093"/>
      <c r="H1093"/>
      <c r="I1093"/>
      <c r="J1093"/>
      <c r="K1093"/>
      <c r="L1093"/>
      <c r="M1093" s="12" t="str">
        <f t="shared" si="65"/>
        <v/>
      </c>
    </row>
    <row r="1094" spans="6:13" x14ac:dyDescent="0.25">
      <c r="F1094"/>
      <c r="G1094"/>
      <c r="H1094"/>
      <c r="I1094"/>
      <c r="J1094"/>
      <c r="K1094"/>
      <c r="L1094"/>
      <c r="M1094" s="12" t="str">
        <f t="shared" si="65"/>
        <v/>
      </c>
    </row>
    <row r="1095" spans="6:13" x14ac:dyDescent="0.25">
      <c r="F1095"/>
      <c r="G1095"/>
      <c r="H1095"/>
      <c r="I1095"/>
      <c r="J1095"/>
      <c r="K1095"/>
      <c r="L1095"/>
      <c r="M1095" s="12" t="str">
        <f t="shared" si="65"/>
        <v/>
      </c>
    </row>
    <row r="1096" spans="6:13" x14ac:dyDescent="0.25">
      <c r="F1096"/>
      <c r="G1096"/>
      <c r="H1096"/>
      <c r="I1096"/>
      <c r="J1096"/>
      <c r="K1096"/>
      <c r="L1096"/>
      <c r="M1096" s="12" t="str">
        <f t="shared" si="65"/>
        <v/>
      </c>
    </row>
    <row r="1097" spans="6:13" x14ac:dyDescent="0.25">
      <c r="F1097"/>
      <c r="G1097"/>
      <c r="H1097"/>
      <c r="I1097"/>
      <c r="J1097"/>
      <c r="K1097"/>
      <c r="L1097"/>
      <c r="M1097" s="12" t="str">
        <f t="shared" si="65"/>
        <v/>
      </c>
    </row>
    <row r="1098" spans="6:13" x14ac:dyDescent="0.25">
      <c r="F1098"/>
      <c r="G1098"/>
      <c r="H1098"/>
      <c r="I1098"/>
      <c r="J1098"/>
      <c r="K1098"/>
      <c r="L1098"/>
      <c r="M1098" s="12" t="str">
        <f t="shared" si="65"/>
        <v/>
      </c>
    </row>
    <row r="1099" spans="6:13" x14ac:dyDescent="0.25">
      <c r="F1099"/>
      <c r="G1099"/>
      <c r="H1099"/>
      <c r="I1099"/>
      <c r="J1099"/>
      <c r="K1099"/>
      <c r="L1099"/>
      <c r="M1099" s="12" t="str">
        <f t="shared" si="65"/>
        <v/>
      </c>
    </row>
    <row r="1100" spans="6:13" x14ac:dyDescent="0.25">
      <c r="F1100"/>
      <c r="G1100"/>
      <c r="H1100"/>
      <c r="I1100"/>
      <c r="J1100"/>
      <c r="K1100"/>
      <c r="L1100"/>
      <c r="M1100" s="12" t="str">
        <f t="shared" si="65"/>
        <v/>
      </c>
    </row>
    <row r="1101" spans="6:13" x14ac:dyDescent="0.25">
      <c r="F1101"/>
      <c r="G1101"/>
      <c r="H1101"/>
      <c r="I1101"/>
      <c r="J1101"/>
      <c r="K1101"/>
      <c r="L1101"/>
      <c r="M1101" s="12" t="str">
        <f t="shared" si="65"/>
        <v/>
      </c>
    </row>
    <row r="1102" spans="6:13" x14ac:dyDescent="0.25">
      <c r="F1102"/>
      <c r="G1102"/>
      <c r="H1102"/>
      <c r="I1102"/>
      <c r="J1102"/>
      <c r="K1102"/>
      <c r="L1102"/>
      <c r="M1102" s="12" t="str">
        <f t="shared" si="65"/>
        <v/>
      </c>
    </row>
    <row r="1103" spans="6:13" x14ac:dyDescent="0.25">
      <c r="F1103"/>
      <c r="G1103"/>
      <c r="H1103"/>
      <c r="I1103"/>
      <c r="J1103"/>
      <c r="K1103"/>
      <c r="L1103"/>
      <c r="M1103" s="12" t="str">
        <f t="shared" si="65"/>
        <v/>
      </c>
    </row>
    <row r="1104" spans="6:13" x14ac:dyDescent="0.25">
      <c r="F1104"/>
      <c r="G1104"/>
      <c r="H1104"/>
      <c r="I1104"/>
      <c r="J1104"/>
      <c r="K1104"/>
      <c r="L1104"/>
      <c r="M1104" s="12" t="str">
        <f t="shared" si="65"/>
        <v/>
      </c>
    </row>
    <row r="1105" spans="6:13" x14ac:dyDescent="0.25">
      <c r="F1105"/>
      <c r="G1105"/>
      <c r="H1105"/>
      <c r="I1105"/>
      <c r="J1105"/>
      <c r="K1105"/>
      <c r="L1105"/>
      <c r="M1105" s="12" t="str">
        <f t="shared" si="65"/>
        <v/>
      </c>
    </row>
    <row r="1106" spans="6:13" x14ac:dyDescent="0.25">
      <c r="F1106"/>
      <c r="G1106"/>
      <c r="H1106"/>
      <c r="I1106"/>
      <c r="J1106"/>
      <c r="K1106"/>
      <c r="L1106"/>
      <c r="M1106" s="12" t="str">
        <f t="shared" si="65"/>
        <v/>
      </c>
    </row>
    <row r="1107" spans="6:13" x14ac:dyDescent="0.25">
      <c r="F1107"/>
      <c r="G1107"/>
      <c r="H1107"/>
      <c r="I1107"/>
      <c r="J1107"/>
      <c r="K1107"/>
      <c r="L1107"/>
      <c r="M1107" s="12" t="str">
        <f t="shared" si="65"/>
        <v/>
      </c>
    </row>
    <row r="1108" spans="6:13" x14ac:dyDescent="0.25">
      <c r="F1108"/>
      <c r="G1108"/>
      <c r="H1108"/>
      <c r="I1108"/>
      <c r="J1108"/>
      <c r="K1108"/>
      <c r="L1108"/>
      <c r="M1108" s="12" t="str">
        <f t="shared" si="65"/>
        <v/>
      </c>
    </row>
    <row r="1109" spans="6:13" x14ac:dyDescent="0.25">
      <c r="F1109"/>
      <c r="G1109"/>
      <c r="H1109"/>
      <c r="I1109"/>
      <c r="J1109"/>
      <c r="K1109"/>
      <c r="L1109"/>
      <c r="M1109" s="12" t="str">
        <f t="shared" si="65"/>
        <v/>
      </c>
    </row>
    <row r="1110" spans="6:13" x14ac:dyDescent="0.25">
      <c r="F1110"/>
      <c r="G1110"/>
      <c r="H1110"/>
      <c r="I1110"/>
      <c r="J1110"/>
      <c r="K1110"/>
      <c r="L1110"/>
      <c r="M1110" s="12" t="str">
        <f t="shared" si="65"/>
        <v/>
      </c>
    </row>
    <row r="1111" spans="6:13" x14ac:dyDescent="0.25">
      <c r="F1111"/>
      <c r="G1111"/>
      <c r="H1111"/>
      <c r="I1111"/>
      <c r="J1111"/>
      <c r="K1111"/>
      <c r="L1111"/>
      <c r="M1111" s="12" t="str">
        <f t="shared" si="65"/>
        <v/>
      </c>
    </row>
    <row r="1112" spans="6:13" x14ac:dyDescent="0.25">
      <c r="F1112"/>
      <c r="G1112"/>
      <c r="H1112"/>
      <c r="I1112"/>
      <c r="J1112"/>
      <c r="K1112"/>
      <c r="L1112"/>
      <c r="M1112" s="12" t="str">
        <f t="shared" si="65"/>
        <v/>
      </c>
    </row>
    <row r="1113" spans="6:13" x14ac:dyDescent="0.25">
      <c r="F1113"/>
      <c r="G1113"/>
      <c r="H1113"/>
      <c r="I1113"/>
      <c r="J1113"/>
      <c r="K1113"/>
      <c r="L1113"/>
      <c r="M1113" s="12" t="str">
        <f t="shared" si="65"/>
        <v/>
      </c>
    </row>
    <row r="1114" spans="6:13" x14ac:dyDescent="0.25">
      <c r="F1114"/>
      <c r="G1114"/>
      <c r="H1114"/>
      <c r="I1114"/>
      <c r="J1114"/>
      <c r="K1114"/>
      <c r="L1114"/>
      <c r="M1114" s="12" t="str">
        <f t="shared" si="65"/>
        <v/>
      </c>
    </row>
    <row r="1115" spans="6:13" x14ac:dyDescent="0.25">
      <c r="F1115"/>
      <c r="G1115"/>
      <c r="H1115"/>
      <c r="I1115"/>
      <c r="J1115"/>
      <c r="K1115"/>
      <c r="L1115"/>
      <c r="M1115" s="12" t="str">
        <f t="shared" si="65"/>
        <v/>
      </c>
    </row>
    <row r="1116" spans="6:13" x14ac:dyDescent="0.25">
      <c r="F1116"/>
      <c r="G1116"/>
      <c r="H1116"/>
      <c r="I1116"/>
      <c r="J1116"/>
      <c r="K1116"/>
      <c r="L1116"/>
      <c r="M1116" s="12" t="str">
        <f t="shared" si="65"/>
        <v/>
      </c>
    </row>
    <row r="1117" spans="6:13" x14ac:dyDescent="0.25">
      <c r="F1117"/>
      <c r="G1117"/>
      <c r="H1117"/>
      <c r="I1117"/>
      <c r="J1117"/>
      <c r="K1117"/>
      <c r="L1117"/>
      <c r="M1117" s="12" t="str">
        <f t="shared" si="65"/>
        <v/>
      </c>
    </row>
    <row r="1118" spans="6:13" x14ac:dyDescent="0.25">
      <c r="F1118"/>
      <c r="G1118"/>
      <c r="H1118"/>
      <c r="I1118"/>
      <c r="J1118"/>
      <c r="K1118"/>
      <c r="L1118"/>
      <c r="M1118" s="12" t="str">
        <f t="shared" si="65"/>
        <v/>
      </c>
    </row>
    <row r="1119" spans="6:13" x14ac:dyDescent="0.25">
      <c r="F1119"/>
      <c r="G1119"/>
      <c r="H1119"/>
      <c r="I1119"/>
      <c r="J1119"/>
      <c r="K1119"/>
      <c r="L1119"/>
      <c r="M1119" s="12" t="str">
        <f t="shared" si="65"/>
        <v/>
      </c>
    </row>
    <row r="1120" spans="6:13" x14ac:dyDescent="0.25">
      <c r="F1120"/>
      <c r="G1120"/>
      <c r="H1120"/>
      <c r="I1120"/>
      <c r="J1120"/>
      <c r="K1120"/>
      <c r="L1120"/>
      <c r="M1120" s="12" t="str">
        <f t="shared" si="65"/>
        <v/>
      </c>
    </row>
    <row r="1121" spans="6:13" x14ac:dyDescent="0.25">
      <c r="F1121"/>
      <c r="G1121"/>
      <c r="H1121"/>
      <c r="I1121"/>
      <c r="J1121"/>
      <c r="K1121"/>
      <c r="L1121"/>
      <c r="M1121" s="12" t="str">
        <f t="shared" si="65"/>
        <v/>
      </c>
    </row>
    <row r="1122" spans="6:13" x14ac:dyDescent="0.25">
      <c r="F1122"/>
      <c r="G1122"/>
      <c r="H1122"/>
      <c r="I1122"/>
      <c r="J1122"/>
      <c r="K1122"/>
      <c r="L1122"/>
      <c r="M1122" s="12" t="str">
        <f t="shared" si="65"/>
        <v/>
      </c>
    </row>
    <row r="1123" spans="6:13" x14ac:dyDescent="0.25">
      <c r="F1123"/>
      <c r="G1123"/>
      <c r="H1123"/>
      <c r="I1123"/>
      <c r="J1123"/>
      <c r="K1123"/>
      <c r="L1123"/>
      <c r="M1123" s="12" t="str">
        <f t="shared" si="65"/>
        <v/>
      </c>
    </row>
    <row r="1124" spans="6:13" x14ac:dyDescent="0.25">
      <c r="F1124"/>
      <c r="G1124"/>
      <c r="H1124"/>
      <c r="I1124"/>
      <c r="J1124"/>
      <c r="K1124"/>
      <c r="L1124"/>
      <c r="M1124" s="12" t="str">
        <f t="shared" si="65"/>
        <v/>
      </c>
    </row>
    <row r="1125" spans="6:13" x14ac:dyDescent="0.25">
      <c r="F1125"/>
      <c r="G1125"/>
      <c r="H1125"/>
      <c r="I1125"/>
      <c r="J1125"/>
      <c r="K1125"/>
      <c r="L1125"/>
      <c r="M1125" s="12" t="str">
        <f t="shared" si="65"/>
        <v/>
      </c>
    </row>
    <row r="1126" spans="6:13" x14ac:dyDescent="0.25">
      <c r="F1126"/>
      <c r="G1126"/>
      <c r="H1126"/>
      <c r="I1126"/>
      <c r="J1126"/>
      <c r="K1126"/>
      <c r="L1126"/>
      <c r="M1126" s="12" t="str">
        <f t="shared" si="65"/>
        <v/>
      </c>
    </row>
    <row r="1127" spans="6:13" x14ac:dyDescent="0.25">
      <c r="F1127"/>
      <c r="G1127"/>
      <c r="H1127"/>
      <c r="I1127"/>
      <c r="J1127"/>
      <c r="K1127"/>
      <c r="L1127"/>
      <c r="M1127" s="12" t="str">
        <f t="shared" si="65"/>
        <v/>
      </c>
    </row>
    <row r="1128" spans="6:13" x14ac:dyDescent="0.25">
      <c r="F1128"/>
      <c r="G1128"/>
      <c r="H1128"/>
      <c r="I1128"/>
      <c r="J1128"/>
      <c r="K1128"/>
      <c r="L1128"/>
      <c r="M1128" s="12" t="str">
        <f t="shared" si="65"/>
        <v/>
      </c>
    </row>
    <row r="1129" spans="6:13" x14ac:dyDescent="0.25">
      <c r="F1129"/>
      <c r="G1129"/>
      <c r="H1129"/>
      <c r="I1129"/>
      <c r="J1129"/>
      <c r="K1129"/>
      <c r="L1129"/>
      <c r="M1129" s="12" t="str">
        <f t="shared" si="65"/>
        <v/>
      </c>
    </row>
    <row r="1130" spans="6:13" x14ac:dyDescent="0.25">
      <c r="F1130"/>
      <c r="G1130"/>
      <c r="H1130"/>
      <c r="I1130"/>
      <c r="J1130"/>
      <c r="K1130"/>
      <c r="L1130"/>
      <c r="M1130" s="12" t="str">
        <f t="shared" si="65"/>
        <v/>
      </c>
    </row>
    <row r="1131" spans="6:13" x14ac:dyDescent="0.25">
      <c r="F1131"/>
      <c r="G1131"/>
      <c r="H1131"/>
      <c r="I1131"/>
      <c r="J1131"/>
      <c r="K1131"/>
      <c r="L1131"/>
      <c r="M1131" s="12" t="str">
        <f t="shared" si="65"/>
        <v/>
      </c>
    </row>
    <row r="1132" spans="6:13" x14ac:dyDescent="0.25">
      <c r="F1132"/>
      <c r="G1132"/>
      <c r="H1132"/>
      <c r="I1132"/>
      <c r="J1132"/>
      <c r="K1132"/>
      <c r="L1132"/>
      <c r="M1132" s="12" t="str">
        <f t="shared" si="65"/>
        <v/>
      </c>
    </row>
    <row r="1133" spans="6:13" x14ac:dyDescent="0.25">
      <c r="F1133"/>
      <c r="G1133"/>
      <c r="H1133"/>
      <c r="I1133"/>
      <c r="J1133"/>
      <c r="K1133"/>
      <c r="L1133"/>
      <c r="M1133" s="12" t="str">
        <f t="shared" si="65"/>
        <v/>
      </c>
    </row>
    <row r="1134" spans="6:13" x14ac:dyDescent="0.25">
      <c r="F1134"/>
      <c r="G1134"/>
      <c r="H1134"/>
      <c r="I1134"/>
      <c r="J1134"/>
      <c r="K1134"/>
      <c r="L1134"/>
      <c r="M1134" s="12" t="str">
        <f t="shared" si="65"/>
        <v/>
      </c>
    </row>
    <row r="1135" spans="6:13" x14ac:dyDescent="0.25">
      <c r="F1135"/>
      <c r="G1135"/>
      <c r="H1135"/>
      <c r="I1135"/>
      <c r="J1135"/>
      <c r="K1135"/>
      <c r="L1135"/>
      <c r="M1135" s="12" t="str">
        <f t="shared" si="65"/>
        <v/>
      </c>
    </row>
    <row r="1136" spans="6:13" x14ac:dyDescent="0.25">
      <c r="F1136"/>
      <c r="G1136"/>
      <c r="H1136"/>
      <c r="I1136"/>
      <c r="J1136"/>
      <c r="K1136"/>
      <c r="L1136"/>
      <c r="M1136" s="12" t="str">
        <f t="shared" si="65"/>
        <v/>
      </c>
    </row>
    <row r="1137" spans="6:13" x14ac:dyDescent="0.25">
      <c r="F1137"/>
      <c r="G1137"/>
      <c r="H1137"/>
      <c r="I1137"/>
      <c r="J1137"/>
      <c r="K1137"/>
      <c r="L1137"/>
      <c r="M1137" s="12" t="str">
        <f t="shared" si="65"/>
        <v/>
      </c>
    </row>
    <row r="1138" spans="6:13" x14ac:dyDescent="0.25">
      <c r="F1138"/>
      <c r="G1138"/>
      <c r="H1138"/>
      <c r="I1138"/>
      <c r="J1138"/>
      <c r="K1138"/>
      <c r="L1138"/>
      <c r="M1138" s="12" t="str">
        <f t="shared" si="65"/>
        <v/>
      </c>
    </row>
    <row r="1139" spans="6:13" x14ac:dyDescent="0.25">
      <c r="F1139"/>
      <c r="G1139"/>
      <c r="H1139"/>
      <c r="I1139"/>
      <c r="J1139"/>
      <c r="K1139"/>
      <c r="L1139"/>
      <c r="M1139" s="12" t="str">
        <f t="shared" si="65"/>
        <v/>
      </c>
    </row>
    <row r="1140" spans="6:13" x14ac:dyDescent="0.25">
      <c r="F1140"/>
      <c r="G1140"/>
      <c r="H1140"/>
      <c r="I1140"/>
      <c r="J1140"/>
      <c r="K1140"/>
      <c r="L1140"/>
      <c r="M1140" s="12" t="str">
        <f t="shared" si="65"/>
        <v/>
      </c>
    </row>
    <row r="1141" spans="6:13" x14ac:dyDescent="0.25">
      <c r="F1141"/>
      <c r="G1141"/>
      <c r="H1141"/>
      <c r="I1141"/>
      <c r="J1141"/>
      <c r="K1141"/>
      <c r="L1141"/>
      <c r="M1141" s="12" t="str">
        <f t="shared" si="65"/>
        <v/>
      </c>
    </row>
    <row r="1142" spans="6:13" x14ac:dyDescent="0.25">
      <c r="F1142"/>
      <c r="G1142"/>
      <c r="H1142"/>
      <c r="I1142"/>
      <c r="J1142"/>
      <c r="K1142"/>
      <c r="L1142"/>
      <c r="M1142" s="12" t="str">
        <f t="shared" si="65"/>
        <v/>
      </c>
    </row>
    <row r="1143" spans="6:13" x14ac:dyDescent="0.25">
      <c r="F1143"/>
      <c r="G1143"/>
      <c r="H1143"/>
      <c r="I1143"/>
      <c r="J1143"/>
      <c r="K1143"/>
      <c r="L1143"/>
      <c r="M1143" s="12" t="str">
        <f t="shared" si="65"/>
        <v/>
      </c>
    </row>
    <row r="1144" spans="6:13" x14ac:dyDescent="0.25">
      <c r="F1144"/>
      <c r="G1144"/>
      <c r="H1144"/>
      <c r="I1144"/>
      <c r="J1144"/>
      <c r="K1144"/>
      <c r="L1144"/>
      <c r="M1144" s="12" t="str">
        <f t="shared" si="65"/>
        <v/>
      </c>
    </row>
    <row r="1145" spans="6:13" x14ac:dyDescent="0.25">
      <c r="F1145"/>
      <c r="G1145"/>
      <c r="H1145"/>
      <c r="I1145"/>
      <c r="J1145"/>
      <c r="K1145"/>
      <c r="L1145"/>
      <c r="M1145" s="12" t="str">
        <f t="shared" si="65"/>
        <v/>
      </c>
    </row>
    <row r="1146" spans="6:13" x14ac:dyDescent="0.25">
      <c r="F1146"/>
      <c r="G1146"/>
      <c r="H1146"/>
      <c r="I1146"/>
      <c r="J1146"/>
      <c r="K1146"/>
      <c r="L1146"/>
      <c r="M1146" s="12" t="str">
        <f t="shared" si="65"/>
        <v/>
      </c>
    </row>
    <row r="1147" spans="6:13" x14ac:dyDescent="0.25">
      <c r="F1147"/>
      <c r="G1147"/>
      <c r="H1147"/>
      <c r="I1147"/>
      <c r="J1147"/>
      <c r="K1147"/>
      <c r="L1147"/>
      <c r="M1147" s="12" t="str">
        <f t="shared" si="65"/>
        <v/>
      </c>
    </row>
    <row r="1148" spans="6:13" x14ac:dyDescent="0.25">
      <c r="F1148"/>
      <c r="G1148"/>
      <c r="H1148"/>
      <c r="I1148"/>
      <c r="J1148"/>
      <c r="K1148"/>
      <c r="L1148"/>
      <c r="M1148" s="12" t="str">
        <f t="shared" si="65"/>
        <v/>
      </c>
    </row>
    <row r="1149" spans="6:13" x14ac:dyDescent="0.25">
      <c r="F1149"/>
      <c r="G1149"/>
      <c r="H1149"/>
      <c r="I1149"/>
      <c r="J1149"/>
      <c r="K1149"/>
      <c r="L1149"/>
      <c r="M1149" s="12" t="str">
        <f t="shared" si="65"/>
        <v/>
      </c>
    </row>
    <row r="1150" spans="6:13" x14ac:dyDescent="0.25">
      <c r="F1150"/>
      <c r="G1150"/>
      <c r="H1150"/>
      <c r="I1150"/>
      <c r="J1150"/>
      <c r="K1150"/>
      <c r="L1150"/>
      <c r="M1150" s="12" t="str">
        <f t="shared" si="65"/>
        <v/>
      </c>
    </row>
    <row r="1151" spans="6:13" x14ac:dyDescent="0.25">
      <c r="F1151"/>
      <c r="G1151"/>
      <c r="H1151"/>
      <c r="I1151"/>
      <c r="J1151"/>
      <c r="K1151"/>
      <c r="L1151"/>
      <c r="M1151" s="12" t="str">
        <f t="shared" si="65"/>
        <v/>
      </c>
    </row>
    <row r="1152" spans="6:13" x14ac:dyDescent="0.25">
      <c r="F1152"/>
      <c r="G1152"/>
      <c r="H1152"/>
      <c r="I1152"/>
      <c r="J1152"/>
      <c r="K1152"/>
      <c r="L1152"/>
      <c r="M1152" s="12" t="str">
        <f t="shared" si="65"/>
        <v/>
      </c>
    </row>
    <row r="1153" spans="6:13" x14ac:dyDescent="0.25">
      <c r="F1153"/>
      <c r="G1153"/>
      <c r="H1153"/>
      <c r="I1153"/>
      <c r="J1153"/>
      <c r="K1153"/>
      <c r="L1153"/>
      <c r="M1153" s="12" t="str">
        <f t="shared" si="65"/>
        <v/>
      </c>
    </row>
    <row r="1154" spans="6:13" x14ac:dyDescent="0.25">
      <c r="F1154"/>
      <c r="G1154"/>
      <c r="H1154"/>
      <c r="I1154"/>
      <c r="J1154"/>
      <c r="K1154"/>
      <c r="L1154"/>
      <c r="M1154" s="12" t="str">
        <f t="shared" si="65"/>
        <v/>
      </c>
    </row>
    <row r="1155" spans="6:13" x14ac:dyDescent="0.25">
      <c r="F1155"/>
      <c r="G1155"/>
      <c r="H1155"/>
      <c r="I1155"/>
      <c r="J1155"/>
      <c r="K1155"/>
      <c r="L1155"/>
      <c r="M1155" s="12" t="str">
        <f t="shared" ref="M1155:M1218" si="66">IF(ISERR(L1155/K1155),"",L1155/K1155)</f>
        <v/>
      </c>
    </row>
    <row r="1156" spans="6:13" x14ac:dyDescent="0.25">
      <c r="F1156"/>
      <c r="G1156"/>
      <c r="H1156"/>
      <c r="I1156"/>
      <c r="J1156"/>
      <c r="K1156"/>
      <c r="L1156"/>
      <c r="M1156" s="12" t="str">
        <f t="shared" si="66"/>
        <v/>
      </c>
    </row>
    <row r="1157" spans="6:13" x14ac:dyDescent="0.25">
      <c r="F1157"/>
      <c r="G1157"/>
      <c r="H1157"/>
      <c r="I1157"/>
      <c r="J1157"/>
      <c r="K1157"/>
      <c r="L1157"/>
      <c r="M1157" s="12" t="str">
        <f t="shared" si="66"/>
        <v/>
      </c>
    </row>
    <row r="1158" spans="6:13" x14ac:dyDescent="0.25">
      <c r="F1158"/>
      <c r="G1158"/>
      <c r="H1158"/>
      <c r="I1158"/>
      <c r="J1158"/>
      <c r="K1158"/>
      <c r="L1158"/>
      <c r="M1158" s="12" t="str">
        <f t="shared" si="66"/>
        <v/>
      </c>
    </row>
    <row r="1159" spans="6:13" x14ac:dyDescent="0.25">
      <c r="F1159"/>
      <c r="G1159"/>
      <c r="H1159"/>
      <c r="I1159"/>
      <c r="J1159"/>
      <c r="K1159"/>
      <c r="L1159"/>
      <c r="M1159" s="12" t="str">
        <f t="shared" si="66"/>
        <v/>
      </c>
    </row>
    <row r="1160" spans="6:13" x14ac:dyDescent="0.25">
      <c r="F1160"/>
      <c r="G1160"/>
      <c r="H1160"/>
      <c r="I1160"/>
      <c r="J1160"/>
      <c r="K1160"/>
      <c r="L1160"/>
      <c r="M1160" s="12" t="str">
        <f t="shared" si="66"/>
        <v/>
      </c>
    </row>
    <row r="1161" spans="6:13" x14ac:dyDescent="0.25">
      <c r="F1161"/>
      <c r="G1161"/>
      <c r="H1161"/>
      <c r="I1161"/>
      <c r="J1161"/>
      <c r="K1161"/>
      <c r="L1161"/>
      <c r="M1161" s="12" t="str">
        <f t="shared" si="66"/>
        <v/>
      </c>
    </row>
    <row r="1162" spans="6:13" x14ac:dyDescent="0.25">
      <c r="F1162"/>
      <c r="G1162"/>
      <c r="H1162"/>
      <c r="I1162"/>
      <c r="J1162"/>
      <c r="K1162"/>
      <c r="L1162"/>
      <c r="M1162" s="12" t="str">
        <f t="shared" si="66"/>
        <v/>
      </c>
    </row>
    <row r="1163" spans="6:13" x14ac:dyDescent="0.25">
      <c r="F1163"/>
      <c r="G1163"/>
      <c r="H1163"/>
      <c r="I1163"/>
      <c r="J1163"/>
      <c r="K1163"/>
      <c r="L1163"/>
      <c r="M1163" s="12" t="str">
        <f t="shared" si="66"/>
        <v/>
      </c>
    </row>
    <row r="1164" spans="6:13" x14ac:dyDescent="0.25">
      <c r="F1164"/>
      <c r="G1164"/>
      <c r="H1164"/>
      <c r="I1164"/>
      <c r="J1164"/>
      <c r="K1164"/>
      <c r="L1164"/>
      <c r="M1164" s="12" t="str">
        <f t="shared" si="66"/>
        <v/>
      </c>
    </row>
    <row r="1165" spans="6:13" x14ac:dyDescent="0.25">
      <c r="F1165"/>
      <c r="G1165"/>
      <c r="H1165"/>
      <c r="I1165"/>
      <c r="J1165"/>
      <c r="K1165"/>
      <c r="L1165"/>
      <c r="M1165" s="12" t="str">
        <f t="shared" si="66"/>
        <v/>
      </c>
    </row>
    <row r="1166" spans="6:13" x14ac:dyDescent="0.25">
      <c r="F1166"/>
      <c r="G1166"/>
      <c r="H1166"/>
      <c r="I1166"/>
      <c r="J1166"/>
      <c r="K1166"/>
      <c r="L1166"/>
      <c r="M1166" s="12" t="str">
        <f t="shared" si="66"/>
        <v/>
      </c>
    </row>
    <row r="1167" spans="6:13" x14ac:dyDescent="0.25">
      <c r="F1167"/>
      <c r="G1167"/>
      <c r="H1167"/>
      <c r="I1167"/>
      <c r="J1167"/>
      <c r="K1167"/>
      <c r="L1167"/>
      <c r="M1167" s="12" t="str">
        <f t="shared" si="66"/>
        <v/>
      </c>
    </row>
    <row r="1168" spans="6:13" x14ac:dyDescent="0.25">
      <c r="F1168"/>
      <c r="G1168"/>
      <c r="H1168"/>
      <c r="I1168"/>
      <c r="J1168"/>
      <c r="K1168"/>
      <c r="L1168"/>
      <c r="M1168" s="12" t="str">
        <f t="shared" si="66"/>
        <v/>
      </c>
    </row>
    <row r="1169" spans="6:13" x14ac:dyDescent="0.25">
      <c r="F1169"/>
      <c r="G1169"/>
      <c r="H1169"/>
      <c r="I1169"/>
      <c r="J1169"/>
      <c r="K1169"/>
      <c r="L1169"/>
      <c r="M1169" s="12" t="str">
        <f t="shared" si="66"/>
        <v/>
      </c>
    </row>
    <row r="1170" spans="6:13" x14ac:dyDescent="0.25">
      <c r="F1170"/>
      <c r="G1170"/>
      <c r="H1170"/>
      <c r="I1170"/>
      <c r="J1170"/>
      <c r="K1170"/>
      <c r="L1170"/>
      <c r="M1170" s="12" t="str">
        <f t="shared" si="66"/>
        <v/>
      </c>
    </row>
    <row r="1171" spans="6:13" x14ac:dyDescent="0.25">
      <c r="F1171"/>
      <c r="G1171"/>
      <c r="H1171"/>
      <c r="I1171"/>
      <c r="J1171"/>
      <c r="K1171"/>
      <c r="L1171"/>
      <c r="M1171" s="12" t="str">
        <f t="shared" si="66"/>
        <v/>
      </c>
    </row>
    <row r="1172" spans="6:13" x14ac:dyDescent="0.25">
      <c r="F1172"/>
      <c r="G1172"/>
      <c r="H1172"/>
      <c r="I1172"/>
      <c r="J1172"/>
      <c r="K1172"/>
      <c r="L1172"/>
      <c r="M1172" s="12" t="str">
        <f t="shared" si="66"/>
        <v/>
      </c>
    </row>
    <row r="1173" spans="6:13" x14ac:dyDescent="0.25">
      <c r="F1173"/>
      <c r="G1173"/>
      <c r="H1173"/>
      <c r="I1173"/>
      <c r="J1173"/>
      <c r="K1173"/>
      <c r="L1173"/>
      <c r="M1173" s="12" t="str">
        <f t="shared" si="66"/>
        <v/>
      </c>
    </row>
    <row r="1174" spans="6:13" x14ac:dyDescent="0.25">
      <c r="F1174"/>
      <c r="G1174"/>
      <c r="H1174"/>
      <c r="I1174"/>
      <c r="J1174"/>
      <c r="K1174"/>
      <c r="L1174"/>
      <c r="M1174" s="12" t="str">
        <f t="shared" si="66"/>
        <v/>
      </c>
    </row>
    <row r="1175" spans="6:13" x14ac:dyDescent="0.25">
      <c r="F1175"/>
      <c r="G1175"/>
      <c r="H1175"/>
      <c r="I1175"/>
      <c r="J1175"/>
      <c r="K1175"/>
      <c r="L1175"/>
      <c r="M1175" s="12" t="str">
        <f t="shared" si="66"/>
        <v/>
      </c>
    </row>
    <row r="1176" spans="6:13" x14ac:dyDescent="0.25">
      <c r="F1176"/>
      <c r="G1176"/>
      <c r="H1176"/>
      <c r="I1176"/>
      <c r="J1176"/>
      <c r="K1176"/>
      <c r="L1176"/>
      <c r="M1176" s="12" t="str">
        <f t="shared" si="66"/>
        <v/>
      </c>
    </row>
    <row r="1177" spans="6:13" x14ac:dyDescent="0.25">
      <c r="F1177"/>
      <c r="G1177"/>
      <c r="H1177"/>
      <c r="I1177"/>
      <c r="J1177"/>
      <c r="K1177"/>
      <c r="L1177"/>
      <c r="M1177" s="12" t="str">
        <f t="shared" si="66"/>
        <v/>
      </c>
    </row>
    <row r="1178" spans="6:13" x14ac:dyDescent="0.25">
      <c r="F1178"/>
      <c r="G1178"/>
      <c r="H1178"/>
      <c r="I1178"/>
      <c r="J1178"/>
      <c r="K1178"/>
      <c r="L1178"/>
      <c r="M1178" s="12" t="str">
        <f t="shared" si="66"/>
        <v/>
      </c>
    </row>
    <row r="1179" spans="6:13" x14ac:dyDescent="0.25">
      <c r="F1179"/>
      <c r="G1179"/>
      <c r="H1179"/>
      <c r="I1179"/>
      <c r="J1179"/>
      <c r="K1179"/>
      <c r="L1179"/>
      <c r="M1179" s="12" t="str">
        <f t="shared" si="66"/>
        <v/>
      </c>
    </row>
    <row r="1180" spans="6:13" x14ac:dyDescent="0.25">
      <c r="F1180"/>
      <c r="G1180"/>
      <c r="H1180"/>
      <c r="I1180"/>
      <c r="J1180"/>
      <c r="K1180"/>
      <c r="L1180"/>
      <c r="M1180" s="12" t="str">
        <f t="shared" si="66"/>
        <v/>
      </c>
    </row>
    <row r="1181" spans="6:13" x14ac:dyDescent="0.25">
      <c r="F1181"/>
      <c r="G1181"/>
      <c r="H1181"/>
      <c r="I1181"/>
      <c r="J1181"/>
      <c r="K1181"/>
      <c r="L1181"/>
      <c r="M1181" s="12" t="str">
        <f t="shared" si="66"/>
        <v/>
      </c>
    </row>
    <row r="1182" spans="6:13" x14ac:dyDescent="0.25">
      <c r="F1182"/>
      <c r="G1182"/>
      <c r="H1182"/>
      <c r="I1182"/>
      <c r="J1182"/>
      <c r="K1182"/>
      <c r="L1182"/>
      <c r="M1182" s="12" t="str">
        <f t="shared" si="66"/>
        <v/>
      </c>
    </row>
    <row r="1183" spans="6:13" x14ac:dyDescent="0.25">
      <c r="F1183"/>
      <c r="G1183"/>
      <c r="H1183"/>
      <c r="I1183"/>
      <c r="J1183"/>
      <c r="K1183"/>
      <c r="L1183"/>
      <c r="M1183" s="12" t="str">
        <f t="shared" si="66"/>
        <v/>
      </c>
    </row>
    <row r="1184" spans="6:13" x14ac:dyDescent="0.25">
      <c r="F1184"/>
      <c r="G1184"/>
      <c r="H1184"/>
      <c r="I1184"/>
      <c r="J1184"/>
      <c r="K1184"/>
      <c r="L1184"/>
      <c r="M1184" s="12" t="str">
        <f t="shared" si="66"/>
        <v/>
      </c>
    </row>
    <row r="1185" spans="6:13" x14ac:dyDescent="0.25">
      <c r="F1185"/>
      <c r="G1185"/>
      <c r="H1185"/>
      <c r="I1185"/>
      <c r="J1185"/>
      <c r="K1185"/>
      <c r="L1185"/>
      <c r="M1185" s="12" t="str">
        <f t="shared" si="66"/>
        <v/>
      </c>
    </row>
    <row r="1186" spans="6:13" x14ac:dyDescent="0.25">
      <c r="F1186"/>
      <c r="G1186"/>
      <c r="H1186"/>
      <c r="I1186"/>
      <c r="J1186"/>
      <c r="K1186"/>
      <c r="L1186"/>
      <c r="M1186" s="12" t="str">
        <f t="shared" si="66"/>
        <v/>
      </c>
    </row>
    <row r="1187" spans="6:13" x14ac:dyDescent="0.25">
      <c r="F1187"/>
      <c r="G1187"/>
      <c r="H1187"/>
      <c r="I1187"/>
      <c r="J1187"/>
      <c r="K1187"/>
      <c r="L1187"/>
      <c r="M1187" s="12" t="str">
        <f t="shared" si="66"/>
        <v/>
      </c>
    </row>
    <row r="1188" spans="6:13" x14ac:dyDescent="0.25">
      <c r="F1188"/>
      <c r="G1188"/>
      <c r="H1188"/>
      <c r="I1188"/>
      <c r="J1188"/>
      <c r="K1188"/>
      <c r="L1188"/>
      <c r="M1188" s="12" t="str">
        <f t="shared" si="66"/>
        <v/>
      </c>
    </row>
    <row r="1189" spans="6:13" x14ac:dyDescent="0.25">
      <c r="F1189"/>
      <c r="G1189"/>
      <c r="H1189"/>
      <c r="I1189"/>
      <c r="J1189"/>
      <c r="K1189"/>
      <c r="L1189"/>
      <c r="M1189" s="12" t="str">
        <f t="shared" si="66"/>
        <v/>
      </c>
    </row>
    <row r="1190" spans="6:13" x14ac:dyDescent="0.25">
      <c r="F1190"/>
      <c r="G1190"/>
      <c r="H1190"/>
      <c r="I1190"/>
      <c r="J1190"/>
      <c r="K1190"/>
      <c r="L1190"/>
      <c r="M1190" s="12" t="str">
        <f t="shared" si="66"/>
        <v/>
      </c>
    </row>
    <row r="1191" spans="6:13" x14ac:dyDescent="0.25">
      <c r="F1191"/>
      <c r="G1191"/>
      <c r="H1191"/>
      <c r="I1191"/>
      <c r="J1191"/>
      <c r="K1191"/>
      <c r="L1191"/>
      <c r="M1191" s="12" t="str">
        <f t="shared" si="66"/>
        <v/>
      </c>
    </row>
    <row r="1192" spans="6:13" x14ac:dyDescent="0.25">
      <c r="F1192"/>
      <c r="G1192"/>
      <c r="H1192"/>
      <c r="I1192"/>
      <c r="J1192"/>
      <c r="K1192"/>
      <c r="L1192"/>
      <c r="M1192" s="12" t="str">
        <f t="shared" si="66"/>
        <v/>
      </c>
    </row>
    <row r="1193" spans="6:13" x14ac:dyDescent="0.25">
      <c r="F1193"/>
      <c r="G1193"/>
      <c r="H1193"/>
      <c r="I1193"/>
      <c r="J1193"/>
      <c r="K1193"/>
      <c r="L1193"/>
      <c r="M1193" s="12" t="str">
        <f t="shared" si="66"/>
        <v/>
      </c>
    </row>
    <row r="1194" spans="6:13" x14ac:dyDescent="0.25">
      <c r="F1194"/>
      <c r="G1194"/>
      <c r="H1194"/>
      <c r="I1194"/>
      <c r="J1194"/>
      <c r="K1194"/>
      <c r="L1194"/>
      <c r="M1194" s="12" t="str">
        <f t="shared" si="66"/>
        <v/>
      </c>
    </row>
    <row r="1195" spans="6:13" x14ac:dyDescent="0.25">
      <c r="F1195"/>
      <c r="G1195"/>
      <c r="H1195"/>
      <c r="I1195"/>
      <c r="J1195"/>
      <c r="K1195"/>
      <c r="L1195"/>
      <c r="M1195" s="12" t="str">
        <f t="shared" si="66"/>
        <v/>
      </c>
    </row>
    <row r="1196" spans="6:13" x14ac:dyDescent="0.25">
      <c r="F1196"/>
      <c r="G1196"/>
      <c r="H1196"/>
      <c r="I1196"/>
      <c r="J1196"/>
      <c r="K1196"/>
      <c r="L1196"/>
      <c r="M1196" s="12" t="str">
        <f t="shared" si="66"/>
        <v/>
      </c>
    </row>
    <row r="1197" spans="6:13" x14ac:dyDescent="0.25">
      <c r="F1197"/>
      <c r="G1197"/>
      <c r="H1197"/>
      <c r="I1197"/>
      <c r="J1197"/>
      <c r="K1197"/>
      <c r="L1197"/>
      <c r="M1197" s="12" t="str">
        <f t="shared" si="66"/>
        <v/>
      </c>
    </row>
    <row r="1198" spans="6:13" x14ac:dyDescent="0.25">
      <c r="F1198"/>
      <c r="G1198"/>
      <c r="H1198"/>
      <c r="I1198"/>
      <c r="J1198"/>
      <c r="K1198"/>
      <c r="L1198"/>
      <c r="M1198" s="12" t="str">
        <f t="shared" si="66"/>
        <v/>
      </c>
    </row>
    <row r="1199" spans="6:13" x14ac:dyDescent="0.25">
      <c r="F1199"/>
      <c r="G1199"/>
      <c r="H1199"/>
      <c r="I1199"/>
      <c r="J1199"/>
      <c r="K1199"/>
      <c r="L1199"/>
      <c r="M1199" s="12" t="str">
        <f t="shared" si="66"/>
        <v/>
      </c>
    </row>
    <row r="1200" spans="6:13" x14ac:dyDescent="0.25">
      <c r="F1200"/>
      <c r="G1200"/>
      <c r="H1200"/>
      <c r="I1200"/>
      <c r="J1200"/>
      <c r="K1200"/>
      <c r="L1200"/>
      <c r="M1200" s="12" t="str">
        <f t="shared" si="66"/>
        <v/>
      </c>
    </row>
    <row r="1201" spans="6:13" x14ac:dyDescent="0.25">
      <c r="F1201"/>
      <c r="G1201"/>
      <c r="H1201"/>
      <c r="I1201"/>
      <c r="J1201"/>
      <c r="K1201"/>
      <c r="L1201"/>
      <c r="M1201" s="12" t="str">
        <f t="shared" si="66"/>
        <v/>
      </c>
    </row>
    <row r="1202" spans="6:13" x14ac:dyDescent="0.25">
      <c r="F1202"/>
      <c r="G1202"/>
      <c r="H1202"/>
      <c r="I1202"/>
      <c r="J1202"/>
      <c r="K1202"/>
      <c r="L1202"/>
      <c r="M1202" s="12" t="str">
        <f t="shared" si="66"/>
        <v/>
      </c>
    </row>
    <row r="1203" spans="6:13" x14ac:dyDescent="0.25">
      <c r="F1203"/>
      <c r="G1203"/>
      <c r="H1203"/>
      <c r="I1203"/>
      <c r="J1203"/>
      <c r="K1203"/>
      <c r="L1203"/>
      <c r="M1203" s="12" t="str">
        <f t="shared" si="66"/>
        <v/>
      </c>
    </row>
    <row r="1204" spans="6:13" x14ac:dyDescent="0.25">
      <c r="F1204"/>
      <c r="G1204"/>
      <c r="H1204"/>
      <c r="I1204"/>
      <c r="J1204"/>
      <c r="K1204"/>
      <c r="L1204"/>
      <c r="M1204" s="12" t="str">
        <f t="shared" si="66"/>
        <v/>
      </c>
    </row>
    <row r="1205" spans="6:13" x14ac:dyDescent="0.25">
      <c r="F1205"/>
      <c r="G1205"/>
      <c r="H1205"/>
      <c r="I1205"/>
      <c r="J1205"/>
      <c r="K1205"/>
      <c r="L1205"/>
      <c r="M1205" s="12" t="str">
        <f t="shared" si="66"/>
        <v/>
      </c>
    </row>
    <row r="1206" spans="6:13" x14ac:dyDescent="0.25">
      <c r="F1206"/>
      <c r="G1206"/>
      <c r="H1206"/>
      <c r="I1206"/>
      <c r="J1206"/>
      <c r="K1206"/>
      <c r="L1206"/>
      <c r="M1206" s="12" t="str">
        <f t="shared" si="66"/>
        <v/>
      </c>
    </row>
    <row r="1207" spans="6:13" x14ac:dyDescent="0.25">
      <c r="F1207"/>
      <c r="G1207"/>
      <c r="H1207"/>
      <c r="I1207"/>
      <c r="J1207"/>
      <c r="K1207"/>
      <c r="L1207"/>
      <c r="M1207" s="12" t="str">
        <f t="shared" si="66"/>
        <v/>
      </c>
    </row>
    <row r="1208" spans="6:13" x14ac:dyDescent="0.25">
      <c r="F1208"/>
      <c r="G1208"/>
      <c r="H1208"/>
      <c r="I1208"/>
      <c r="J1208"/>
      <c r="K1208"/>
      <c r="L1208"/>
      <c r="M1208" s="12" t="str">
        <f t="shared" si="66"/>
        <v/>
      </c>
    </row>
    <row r="1209" spans="6:13" x14ac:dyDescent="0.25">
      <c r="F1209"/>
      <c r="G1209"/>
      <c r="H1209"/>
      <c r="I1209"/>
      <c r="J1209"/>
      <c r="K1209"/>
      <c r="L1209"/>
      <c r="M1209" s="12" t="str">
        <f t="shared" si="66"/>
        <v/>
      </c>
    </row>
    <row r="1210" spans="6:13" x14ac:dyDescent="0.25">
      <c r="F1210"/>
      <c r="G1210"/>
      <c r="H1210"/>
      <c r="I1210"/>
      <c r="J1210"/>
      <c r="K1210"/>
      <c r="L1210"/>
      <c r="M1210" s="12" t="str">
        <f t="shared" si="66"/>
        <v/>
      </c>
    </row>
    <row r="1211" spans="6:13" x14ac:dyDescent="0.25">
      <c r="F1211"/>
      <c r="G1211"/>
      <c r="H1211"/>
      <c r="I1211"/>
      <c r="J1211"/>
      <c r="K1211"/>
      <c r="L1211"/>
      <c r="M1211" s="12" t="str">
        <f t="shared" si="66"/>
        <v/>
      </c>
    </row>
    <row r="1212" spans="6:13" x14ac:dyDescent="0.25">
      <c r="F1212"/>
      <c r="G1212"/>
      <c r="H1212"/>
      <c r="I1212"/>
      <c r="J1212"/>
      <c r="K1212"/>
      <c r="L1212"/>
      <c r="M1212" s="12" t="str">
        <f t="shared" si="66"/>
        <v/>
      </c>
    </row>
    <row r="1213" spans="6:13" x14ac:dyDescent="0.25">
      <c r="F1213"/>
      <c r="G1213"/>
      <c r="H1213"/>
      <c r="I1213"/>
      <c r="J1213"/>
      <c r="K1213"/>
      <c r="L1213"/>
      <c r="M1213" s="12" t="str">
        <f t="shared" si="66"/>
        <v/>
      </c>
    </row>
    <row r="1214" spans="6:13" x14ac:dyDescent="0.25">
      <c r="F1214"/>
      <c r="G1214"/>
      <c r="H1214"/>
      <c r="I1214"/>
      <c r="J1214"/>
      <c r="K1214"/>
      <c r="L1214"/>
      <c r="M1214" s="12" t="str">
        <f t="shared" si="66"/>
        <v/>
      </c>
    </row>
    <row r="1215" spans="6:13" x14ac:dyDescent="0.25">
      <c r="F1215"/>
      <c r="G1215"/>
      <c r="H1215"/>
      <c r="I1215"/>
      <c r="J1215"/>
      <c r="K1215"/>
      <c r="L1215"/>
      <c r="M1215" s="12" t="str">
        <f t="shared" si="66"/>
        <v/>
      </c>
    </row>
    <row r="1216" spans="6:13" x14ac:dyDescent="0.25">
      <c r="F1216"/>
      <c r="G1216"/>
      <c r="H1216"/>
      <c r="I1216"/>
      <c r="J1216"/>
      <c r="K1216"/>
      <c r="L1216"/>
      <c r="M1216" s="12" t="str">
        <f t="shared" si="66"/>
        <v/>
      </c>
    </row>
    <row r="1217" spans="6:13" x14ac:dyDescent="0.25">
      <c r="F1217"/>
      <c r="G1217"/>
      <c r="H1217"/>
      <c r="I1217"/>
      <c r="J1217"/>
      <c r="K1217"/>
      <c r="L1217"/>
      <c r="M1217" s="12" t="str">
        <f t="shared" si="66"/>
        <v/>
      </c>
    </row>
    <row r="1218" spans="6:13" x14ac:dyDescent="0.25">
      <c r="F1218"/>
      <c r="G1218"/>
      <c r="H1218"/>
      <c r="I1218"/>
      <c r="J1218"/>
      <c r="K1218"/>
      <c r="L1218"/>
      <c r="M1218" s="12" t="str">
        <f t="shared" si="66"/>
        <v/>
      </c>
    </row>
    <row r="1219" spans="6:13" x14ac:dyDescent="0.25">
      <c r="F1219"/>
      <c r="G1219"/>
      <c r="H1219"/>
      <c r="I1219"/>
      <c r="J1219"/>
      <c r="K1219"/>
      <c r="L1219"/>
      <c r="M1219" s="12" t="str">
        <f t="shared" ref="M1219:M1282" si="67">IF(ISERR(L1219/K1219),"",L1219/K1219)</f>
        <v/>
      </c>
    </row>
    <row r="1220" spans="6:13" x14ac:dyDescent="0.25">
      <c r="F1220"/>
      <c r="G1220"/>
      <c r="H1220"/>
      <c r="I1220"/>
      <c r="J1220"/>
      <c r="K1220"/>
      <c r="L1220"/>
      <c r="M1220" s="12" t="str">
        <f t="shared" si="67"/>
        <v/>
      </c>
    </row>
    <row r="1221" spans="6:13" x14ac:dyDescent="0.25">
      <c r="F1221"/>
      <c r="G1221"/>
      <c r="H1221"/>
      <c r="I1221"/>
      <c r="J1221"/>
      <c r="K1221"/>
      <c r="L1221"/>
      <c r="M1221" s="12" t="str">
        <f t="shared" si="67"/>
        <v/>
      </c>
    </row>
    <row r="1222" spans="6:13" x14ac:dyDescent="0.25">
      <c r="F1222"/>
      <c r="G1222"/>
      <c r="H1222"/>
      <c r="I1222"/>
      <c r="J1222"/>
      <c r="K1222"/>
      <c r="L1222"/>
      <c r="M1222" s="12" t="str">
        <f t="shared" si="67"/>
        <v/>
      </c>
    </row>
    <row r="1223" spans="6:13" x14ac:dyDescent="0.25">
      <c r="F1223"/>
      <c r="G1223"/>
      <c r="H1223"/>
      <c r="I1223"/>
      <c r="J1223"/>
      <c r="K1223"/>
      <c r="L1223"/>
      <c r="M1223" s="12" t="str">
        <f t="shared" si="67"/>
        <v/>
      </c>
    </row>
    <row r="1224" spans="6:13" x14ac:dyDescent="0.25">
      <c r="F1224"/>
      <c r="G1224"/>
      <c r="H1224"/>
      <c r="I1224"/>
      <c r="J1224"/>
      <c r="K1224"/>
      <c r="L1224"/>
      <c r="M1224" s="12" t="str">
        <f t="shared" si="67"/>
        <v/>
      </c>
    </row>
    <row r="1225" spans="6:13" x14ac:dyDescent="0.25">
      <c r="F1225"/>
      <c r="G1225"/>
      <c r="H1225"/>
      <c r="I1225"/>
      <c r="J1225"/>
      <c r="K1225"/>
      <c r="L1225"/>
      <c r="M1225" s="12" t="str">
        <f t="shared" si="67"/>
        <v/>
      </c>
    </row>
    <row r="1226" spans="6:13" x14ac:dyDescent="0.25">
      <c r="F1226"/>
      <c r="G1226"/>
      <c r="H1226"/>
      <c r="I1226"/>
      <c r="J1226"/>
      <c r="K1226"/>
      <c r="L1226"/>
      <c r="M1226" s="12" t="str">
        <f t="shared" si="67"/>
        <v/>
      </c>
    </row>
    <row r="1227" spans="6:13" x14ac:dyDescent="0.25">
      <c r="F1227"/>
      <c r="G1227"/>
      <c r="H1227"/>
      <c r="I1227"/>
      <c r="J1227"/>
      <c r="K1227"/>
      <c r="L1227"/>
      <c r="M1227" s="12" t="str">
        <f t="shared" si="67"/>
        <v/>
      </c>
    </row>
    <row r="1228" spans="6:13" x14ac:dyDescent="0.25">
      <c r="F1228"/>
      <c r="G1228"/>
      <c r="H1228"/>
      <c r="I1228"/>
      <c r="J1228"/>
      <c r="K1228"/>
      <c r="L1228"/>
      <c r="M1228" s="12" t="str">
        <f t="shared" si="67"/>
        <v/>
      </c>
    </row>
    <row r="1229" spans="6:13" x14ac:dyDescent="0.25">
      <c r="F1229"/>
      <c r="G1229"/>
      <c r="H1229"/>
      <c r="I1229"/>
      <c r="J1229"/>
      <c r="K1229"/>
      <c r="L1229"/>
      <c r="M1229" s="12" t="str">
        <f t="shared" si="67"/>
        <v/>
      </c>
    </row>
    <row r="1230" spans="6:13" x14ac:dyDescent="0.25">
      <c r="F1230"/>
      <c r="G1230"/>
      <c r="H1230"/>
      <c r="I1230"/>
      <c r="J1230"/>
      <c r="K1230"/>
      <c r="L1230"/>
      <c r="M1230" s="12" t="str">
        <f t="shared" si="67"/>
        <v/>
      </c>
    </row>
    <row r="1231" spans="6:13" x14ac:dyDescent="0.25">
      <c r="F1231"/>
      <c r="G1231"/>
      <c r="H1231"/>
      <c r="I1231"/>
      <c r="J1231"/>
      <c r="K1231"/>
      <c r="L1231"/>
      <c r="M1231" s="12" t="str">
        <f t="shared" si="67"/>
        <v/>
      </c>
    </row>
    <row r="1232" spans="6:13" x14ac:dyDescent="0.25">
      <c r="F1232"/>
      <c r="G1232"/>
      <c r="H1232"/>
      <c r="I1232"/>
      <c r="J1232"/>
      <c r="K1232"/>
      <c r="L1232"/>
      <c r="M1232" s="12" t="str">
        <f t="shared" si="67"/>
        <v/>
      </c>
    </row>
    <row r="1233" spans="6:13" x14ac:dyDescent="0.25">
      <c r="F1233"/>
      <c r="G1233"/>
      <c r="H1233"/>
      <c r="I1233"/>
      <c r="J1233"/>
      <c r="K1233"/>
      <c r="L1233"/>
      <c r="M1233" s="12" t="str">
        <f t="shared" si="67"/>
        <v/>
      </c>
    </row>
    <row r="1234" spans="6:13" x14ac:dyDescent="0.25">
      <c r="F1234"/>
      <c r="G1234"/>
      <c r="H1234"/>
      <c r="I1234"/>
      <c r="J1234"/>
      <c r="K1234"/>
      <c r="L1234"/>
      <c r="M1234" s="12" t="str">
        <f t="shared" si="67"/>
        <v/>
      </c>
    </row>
    <row r="1235" spans="6:13" x14ac:dyDescent="0.25">
      <c r="F1235"/>
      <c r="G1235"/>
      <c r="H1235"/>
      <c r="I1235"/>
      <c r="J1235"/>
      <c r="K1235"/>
      <c r="L1235"/>
      <c r="M1235" s="12" t="str">
        <f t="shared" si="67"/>
        <v/>
      </c>
    </row>
    <row r="1236" spans="6:13" x14ac:dyDescent="0.25">
      <c r="F1236"/>
      <c r="G1236"/>
      <c r="H1236"/>
      <c r="I1236"/>
      <c r="J1236"/>
      <c r="K1236"/>
      <c r="L1236"/>
      <c r="M1236" s="12" t="str">
        <f t="shared" si="67"/>
        <v/>
      </c>
    </row>
    <row r="1237" spans="6:13" x14ac:dyDescent="0.25">
      <c r="F1237"/>
      <c r="G1237"/>
      <c r="H1237"/>
      <c r="I1237"/>
      <c r="J1237"/>
      <c r="K1237"/>
      <c r="L1237"/>
      <c r="M1237" s="12" t="str">
        <f t="shared" si="67"/>
        <v/>
      </c>
    </row>
    <row r="1238" spans="6:13" x14ac:dyDescent="0.25">
      <c r="F1238"/>
      <c r="G1238"/>
      <c r="H1238"/>
      <c r="I1238"/>
      <c r="J1238"/>
      <c r="K1238"/>
      <c r="L1238"/>
      <c r="M1238" s="12" t="str">
        <f t="shared" si="67"/>
        <v/>
      </c>
    </row>
    <row r="1239" spans="6:13" x14ac:dyDescent="0.25">
      <c r="F1239"/>
      <c r="G1239"/>
      <c r="H1239"/>
      <c r="I1239"/>
      <c r="J1239"/>
      <c r="K1239"/>
      <c r="L1239"/>
      <c r="M1239" s="12" t="str">
        <f t="shared" si="67"/>
        <v/>
      </c>
    </row>
    <row r="1240" spans="6:13" x14ac:dyDescent="0.25">
      <c r="F1240"/>
      <c r="G1240"/>
      <c r="H1240"/>
      <c r="I1240"/>
      <c r="J1240"/>
      <c r="K1240"/>
      <c r="L1240"/>
      <c r="M1240" s="12" t="str">
        <f t="shared" si="67"/>
        <v/>
      </c>
    </row>
    <row r="1241" spans="6:13" x14ac:dyDescent="0.25">
      <c r="F1241"/>
      <c r="G1241"/>
      <c r="H1241"/>
      <c r="I1241"/>
      <c r="J1241"/>
      <c r="K1241"/>
      <c r="L1241"/>
      <c r="M1241" s="12" t="str">
        <f t="shared" si="67"/>
        <v/>
      </c>
    </row>
    <row r="1242" spans="6:13" x14ac:dyDescent="0.25">
      <c r="F1242"/>
      <c r="G1242"/>
      <c r="H1242"/>
      <c r="I1242"/>
      <c r="J1242"/>
      <c r="K1242"/>
      <c r="L1242"/>
      <c r="M1242" s="12" t="str">
        <f t="shared" si="67"/>
        <v/>
      </c>
    </row>
    <row r="1243" spans="6:13" x14ac:dyDescent="0.25">
      <c r="F1243"/>
      <c r="G1243"/>
      <c r="H1243"/>
      <c r="I1243"/>
      <c r="J1243"/>
      <c r="K1243"/>
      <c r="L1243"/>
      <c r="M1243" s="12" t="str">
        <f t="shared" si="67"/>
        <v/>
      </c>
    </row>
    <row r="1244" spans="6:13" x14ac:dyDescent="0.25">
      <c r="F1244"/>
      <c r="G1244"/>
      <c r="H1244"/>
      <c r="I1244"/>
      <c r="J1244"/>
      <c r="K1244"/>
      <c r="L1244"/>
      <c r="M1244" s="12" t="str">
        <f t="shared" si="67"/>
        <v/>
      </c>
    </row>
    <row r="1245" spans="6:13" x14ac:dyDescent="0.25">
      <c r="F1245"/>
      <c r="G1245"/>
      <c r="H1245"/>
      <c r="I1245"/>
      <c r="J1245"/>
      <c r="K1245"/>
      <c r="L1245"/>
      <c r="M1245" s="12" t="str">
        <f t="shared" si="67"/>
        <v/>
      </c>
    </row>
    <row r="1246" spans="6:13" x14ac:dyDescent="0.25">
      <c r="F1246"/>
      <c r="G1246"/>
      <c r="H1246"/>
      <c r="I1246"/>
      <c r="J1246"/>
      <c r="K1246"/>
      <c r="L1246"/>
      <c r="M1246" s="12" t="str">
        <f t="shared" si="67"/>
        <v/>
      </c>
    </row>
    <row r="1247" spans="6:13" x14ac:dyDescent="0.25">
      <c r="F1247"/>
      <c r="G1247"/>
      <c r="H1247"/>
      <c r="I1247"/>
      <c r="J1247"/>
      <c r="K1247"/>
      <c r="L1247"/>
      <c r="M1247" s="12" t="str">
        <f t="shared" si="67"/>
        <v/>
      </c>
    </row>
    <row r="1248" spans="6:13" x14ac:dyDescent="0.25">
      <c r="F1248"/>
      <c r="G1248"/>
      <c r="H1248"/>
      <c r="I1248"/>
      <c r="J1248"/>
      <c r="K1248"/>
      <c r="L1248"/>
      <c r="M1248" s="12" t="str">
        <f t="shared" si="67"/>
        <v/>
      </c>
    </row>
    <row r="1249" spans="6:13" x14ac:dyDescent="0.25">
      <c r="F1249"/>
      <c r="G1249"/>
      <c r="H1249"/>
      <c r="I1249"/>
      <c r="J1249"/>
      <c r="K1249"/>
      <c r="L1249"/>
      <c r="M1249" s="12" t="str">
        <f t="shared" si="67"/>
        <v/>
      </c>
    </row>
    <row r="1250" spans="6:13" x14ac:dyDescent="0.25">
      <c r="F1250"/>
      <c r="G1250"/>
      <c r="H1250"/>
      <c r="I1250"/>
      <c r="J1250"/>
      <c r="K1250"/>
      <c r="L1250"/>
      <c r="M1250" s="12" t="str">
        <f t="shared" si="67"/>
        <v/>
      </c>
    </row>
    <row r="1251" spans="6:13" x14ac:dyDescent="0.25">
      <c r="F1251"/>
      <c r="G1251"/>
      <c r="H1251"/>
      <c r="I1251"/>
      <c r="J1251"/>
      <c r="K1251"/>
      <c r="L1251"/>
      <c r="M1251" s="12" t="str">
        <f t="shared" si="67"/>
        <v/>
      </c>
    </row>
    <row r="1252" spans="6:13" x14ac:dyDescent="0.25">
      <c r="F1252"/>
      <c r="G1252"/>
      <c r="H1252"/>
      <c r="I1252"/>
      <c r="J1252"/>
      <c r="K1252"/>
      <c r="L1252"/>
      <c r="M1252" s="12" t="str">
        <f t="shared" si="67"/>
        <v/>
      </c>
    </row>
    <row r="1253" spans="6:13" x14ac:dyDescent="0.25">
      <c r="F1253"/>
      <c r="G1253"/>
      <c r="H1253"/>
      <c r="I1253"/>
      <c r="J1253"/>
      <c r="K1253"/>
      <c r="L1253"/>
      <c r="M1253" s="12" t="str">
        <f t="shared" si="67"/>
        <v/>
      </c>
    </row>
    <row r="1254" spans="6:13" x14ac:dyDescent="0.25">
      <c r="F1254"/>
      <c r="G1254"/>
      <c r="H1254"/>
      <c r="I1254"/>
      <c r="J1254"/>
      <c r="K1254"/>
      <c r="L1254"/>
      <c r="M1254" s="12" t="str">
        <f t="shared" si="67"/>
        <v/>
      </c>
    </row>
    <row r="1255" spans="6:13" x14ac:dyDescent="0.25">
      <c r="F1255"/>
      <c r="G1255"/>
      <c r="H1255"/>
      <c r="I1255"/>
      <c r="J1255"/>
      <c r="K1255"/>
      <c r="L1255"/>
      <c r="M1255" s="12" t="str">
        <f t="shared" si="67"/>
        <v/>
      </c>
    </row>
    <row r="1256" spans="6:13" x14ac:dyDescent="0.25">
      <c r="F1256"/>
      <c r="G1256"/>
      <c r="H1256"/>
      <c r="I1256"/>
      <c r="J1256"/>
      <c r="K1256"/>
      <c r="L1256"/>
      <c r="M1256" s="12" t="str">
        <f t="shared" si="67"/>
        <v/>
      </c>
    </row>
    <row r="1257" spans="6:13" x14ac:dyDescent="0.25">
      <c r="F1257"/>
      <c r="G1257"/>
      <c r="H1257"/>
      <c r="I1257"/>
      <c r="J1257"/>
      <c r="K1257"/>
      <c r="L1257"/>
      <c r="M1257" s="12" t="str">
        <f t="shared" si="67"/>
        <v/>
      </c>
    </row>
    <row r="1258" spans="6:13" x14ac:dyDescent="0.25">
      <c r="F1258"/>
      <c r="G1258"/>
      <c r="H1258"/>
      <c r="I1258"/>
      <c r="J1258"/>
      <c r="K1258"/>
      <c r="L1258"/>
      <c r="M1258" s="12" t="str">
        <f t="shared" si="67"/>
        <v/>
      </c>
    </row>
    <row r="1259" spans="6:13" x14ac:dyDescent="0.25">
      <c r="F1259"/>
      <c r="G1259"/>
      <c r="H1259"/>
      <c r="I1259"/>
      <c r="J1259"/>
      <c r="K1259"/>
      <c r="L1259"/>
      <c r="M1259" s="12" t="str">
        <f t="shared" si="67"/>
        <v/>
      </c>
    </row>
    <row r="1260" spans="6:13" x14ac:dyDescent="0.25">
      <c r="F1260"/>
      <c r="G1260"/>
      <c r="H1260"/>
      <c r="I1260"/>
      <c r="J1260"/>
      <c r="K1260"/>
      <c r="L1260"/>
      <c r="M1260" s="12" t="str">
        <f t="shared" si="67"/>
        <v/>
      </c>
    </row>
    <row r="1261" spans="6:13" x14ac:dyDescent="0.25">
      <c r="F1261"/>
      <c r="G1261"/>
      <c r="H1261"/>
      <c r="I1261"/>
      <c r="J1261"/>
      <c r="K1261"/>
      <c r="L1261"/>
      <c r="M1261" s="12" t="str">
        <f t="shared" si="67"/>
        <v/>
      </c>
    </row>
    <row r="1262" spans="6:13" x14ac:dyDescent="0.25">
      <c r="F1262"/>
      <c r="G1262"/>
      <c r="H1262"/>
      <c r="I1262"/>
      <c r="J1262"/>
      <c r="K1262"/>
      <c r="L1262"/>
      <c r="M1262" s="12" t="str">
        <f t="shared" si="67"/>
        <v/>
      </c>
    </row>
    <row r="1263" spans="6:13" x14ac:dyDescent="0.25">
      <c r="F1263"/>
      <c r="G1263"/>
      <c r="H1263"/>
      <c r="I1263"/>
      <c r="J1263"/>
      <c r="K1263"/>
      <c r="L1263"/>
      <c r="M1263" s="12" t="str">
        <f t="shared" si="67"/>
        <v/>
      </c>
    </row>
    <row r="1264" spans="6:13" x14ac:dyDescent="0.25">
      <c r="F1264"/>
      <c r="G1264"/>
      <c r="H1264"/>
      <c r="I1264"/>
      <c r="J1264"/>
      <c r="K1264"/>
      <c r="L1264"/>
      <c r="M1264" s="12" t="str">
        <f t="shared" si="67"/>
        <v/>
      </c>
    </row>
    <row r="1265" spans="6:13" x14ac:dyDescent="0.25">
      <c r="F1265"/>
      <c r="G1265"/>
      <c r="H1265"/>
      <c r="I1265"/>
      <c r="J1265"/>
      <c r="K1265"/>
      <c r="L1265"/>
      <c r="M1265" s="12" t="str">
        <f t="shared" si="67"/>
        <v/>
      </c>
    </row>
    <row r="1266" spans="6:13" x14ac:dyDescent="0.25">
      <c r="F1266"/>
      <c r="G1266"/>
      <c r="H1266"/>
      <c r="I1266"/>
      <c r="J1266"/>
      <c r="K1266"/>
      <c r="L1266"/>
      <c r="M1266" s="12" t="str">
        <f t="shared" si="67"/>
        <v/>
      </c>
    </row>
    <row r="1267" spans="6:13" x14ac:dyDescent="0.25">
      <c r="F1267"/>
      <c r="G1267"/>
      <c r="H1267"/>
      <c r="I1267"/>
      <c r="J1267"/>
      <c r="K1267"/>
      <c r="L1267"/>
      <c r="M1267" s="12" t="str">
        <f t="shared" si="67"/>
        <v/>
      </c>
    </row>
    <row r="1268" spans="6:13" x14ac:dyDescent="0.25">
      <c r="F1268"/>
      <c r="G1268"/>
      <c r="H1268"/>
      <c r="I1268"/>
      <c r="J1268"/>
      <c r="K1268"/>
      <c r="L1268"/>
      <c r="M1268" s="12" t="str">
        <f t="shared" si="67"/>
        <v/>
      </c>
    </row>
    <row r="1269" spans="6:13" x14ac:dyDescent="0.25">
      <c r="F1269"/>
      <c r="G1269"/>
      <c r="H1269"/>
      <c r="I1269"/>
      <c r="J1269"/>
      <c r="K1269"/>
      <c r="L1269"/>
      <c r="M1269" s="12" t="str">
        <f t="shared" si="67"/>
        <v/>
      </c>
    </row>
    <row r="1270" spans="6:13" x14ac:dyDescent="0.25">
      <c r="F1270"/>
      <c r="G1270"/>
      <c r="H1270"/>
      <c r="I1270"/>
      <c r="J1270"/>
      <c r="K1270"/>
      <c r="L1270"/>
      <c r="M1270" s="12" t="str">
        <f t="shared" si="67"/>
        <v/>
      </c>
    </row>
    <row r="1271" spans="6:13" x14ac:dyDescent="0.25">
      <c r="F1271"/>
      <c r="G1271"/>
      <c r="H1271"/>
      <c r="I1271"/>
      <c r="J1271"/>
      <c r="K1271"/>
      <c r="L1271"/>
      <c r="M1271" s="12" t="str">
        <f t="shared" si="67"/>
        <v/>
      </c>
    </row>
    <row r="1272" spans="6:13" x14ac:dyDescent="0.25">
      <c r="F1272"/>
      <c r="G1272"/>
      <c r="H1272"/>
      <c r="I1272"/>
      <c r="J1272"/>
      <c r="K1272"/>
      <c r="L1272"/>
      <c r="M1272" s="12" t="str">
        <f t="shared" si="67"/>
        <v/>
      </c>
    </row>
    <row r="1273" spans="6:13" x14ac:dyDescent="0.25">
      <c r="F1273"/>
      <c r="G1273"/>
      <c r="H1273"/>
      <c r="I1273"/>
      <c r="J1273"/>
      <c r="K1273"/>
      <c r="L1273"/>
      <c r="M1273" s="12" t="str">
        <f t="shared" si="67"/>
        <v/>
      </c>
    </row>
    <row r="1274" spans="6:13" x14ac:dyDescent="0.25">
      <c r="F1274"/>
      <c r="G1274"/>
      <c r="H1274"/>
      <c r="I1274"/>
      <c r="J1274"/>
      <c r="K1274"/>
      <c r="L1274"/>
      <c r="M1274" s="12" t="str">
        <f t="shared" si="67"/>
        <v/>
      </c>
    </row>
    <row r="1275" spans="6:13" x14ac:dyDescent="0.25">
      <c r="F1275"/>
      <c r="G1275"/>
      <c r="H1275"/>
      <c r="I1275"/>
      <c r="J1275"/>
      <c r="K1275"/>
      <c r="L1275"/>
      <c r="M1275" s="12" t="str">
        <f t="shared" si="67"/>
        <v/>
      </c>
    </row>
    <row r="1276" spans="6:13" x14ac:dyDescent="0.25">
      <c r="F1276"/>
      <c r="G1276"/>
      <c r="H1276"/>
      <c r="I1276"/>
      <c r="J1276"/>
      <c r="K1276"/>
      <c r="L1276"/>
      <c r="M1276" s="12" t="str">
        <f t="shared" si="67"/>
        <v/>
      </c>
    </row>
    <row r="1277" spans="6:13" x14ac:dyDescent="0.25">
      <c r="F1277"/>
      <c r="G1277"/>
      <c r="H1277"/>
      <c r="I1277"/>
      <c r="J1277"/>
      <c r="K1277"/>
      <c r="L1277"/>
      <c r="M1277" s="12" t="str">
        <f t="shared" si="67"/>
        <v/>
      </c>
    </row>
    <row r="1278" spans="6:13" x14ac:dyDescent="0.25">
      <c r="F1278"/>
      <c r="G1278"/>
      <c r="H1278"/>
      <c r="I1278"/>
      <c r="J1278"/>
      <c r="K1278"/>
      <c r="L1278"/>
      <c r="M1278" s="12" t="str">
        <f t="shared" si="67"/>
        <v/>
      </c>
    </row>
    <row r="1279" spans="6:13" x14ac:dyDescent="0.25">
      <c r="F1279"/>
      <c r="G1279"/>
      <c r="H1279"/>
      <c r="I1279"/>
      <c r="J1279"/>
      <c r="K1279"/>
      <c r="L1279"/>
      <c r="M1279" s="12" t="str">
        <f t="shared" si="67"/>
        <v/>
      </c>
    </row>
    <row r="1280" spans="6:13" x14ac:dyDescent="0.25">
      <c r="F1280"/>
      <c r="G1280"/>
      <c r="H1280"/>
      <c r="I1280"/>
      <c r="J1280"/>
      <c r="K1280"/>
      <c r="L1280"/>
      <c r="M1280" s="12" t="str">
        <f t="shared" si="67"/>
        <v/>
      </c>
    </row>
    <row r="1281" spans="6:13" x14ac:dyDescent="0.25">
      <c r="F1281"/>
      <c r="G1281"/>
      <c r="H1281"/>
      <c r="I1281"/>
      <c r="J1281"/>
      <c r="K1281"/>
      <c r="L1281"/>
      <c r="M1281" s="12" t="str">
        <f t="shared" si="67"/>
        <v/>
      </c>
    </row>
    <row r="1282" spans="6:13" x14ac:dyDescent="0.25">
      <c r="F1282"/>
      <c r="G1282"/>
      <c r="H1282"/>
      <c r="I1282"/>
      <c r="J1282"/>
      <c r="K1282"/>
      <c r="L1282"/>
      <c r="M1282" s="12" t="str">
        <f t="shared" si="67"/>
        <v/>
      </c>
    </row>
    <row r="1283" spans="6:13" x14ac:dyDescent="0.25">
      <c r="F1283"/>
      <c r="G1283"/>
      <c r="H1283"/>
      <c r="I1283"/>
      <c r="J1283"/>
      <c r="K1283"/>
      <c r="L1283"/>
      <c r="M1283" s="12" t="str">
        <f t="shared" ref="M1283:M1346" si="68">IF(ISERR(L1283/K1283),"",L1283/K1283)</f>
        <v/>
      </c>
    </row>
    <row r="1284" spans="6:13" x14ac:dyDescent="0.25">
      <c r="F1284"/>
      <c r="G1284"/>
      <c r="H1284"/>
      <c r="I1284"/>
      <c r="J1284"/>
      <c r="K1284"/>
      <c r="L1284"/>
      <c r="M1284" s="12" t="str">
        <f t="shared" si="68"/>
        <v/>
      </c>
    </row>
    <row r="1285" spans="6:13" x14ac:dyDescent="0.25">
      <c r="F1285"/>
      <c r="G1285"/>
      <c r="H1285"/>
      <c r="I1285"/>
      <c r="J1285"/>
      <c r="K1285"/>
      <c r="L1285"/>
      <c r="M1285" s="12" t="str">
        <f t="shared" si="68"/>
        <v/>
      </c>
    </row>
    <row r="1286" spans="6:13" x14ac:dyDescent="0.25">
      <c r="F1286"/>
      <c r="G1286"/>
      <c r="H1286"/>
      <c r="I1286"/>
      <c r="J1286"/>
      <c r="K1286"/>
      <c r="L1286"/>
      <c r="M1286" s="12" t="str">
        <f t="shared" si="68"/>
        <v/>
      </c>
    </row>
    <row r="1287" spans="6:13" x14ac:dyDescent="0.25">
      <c r="F1287"/>
      <c r="G1287"/>
      <c r="H1287"/>
      <c r="I1287"/>
      <c r="J1287"/>
      <c r="K1287"/>
      <c r="L1287"/>
      <c r="M1287" s="12" t="str">
        <f t="shared" si="68"/>
        <v/>
      </c>
    </row>
    <row r="1288" spans="6:13" x14ac:dyDescent="0.25">
      <c r="F1288"/>
      <c r="G1288"/>
      <c r="H1288"/>
      <c r="I1288"/>
      <c r="J1288"/>
      <c r="K1288"/>
      <c r="L1288"/>
      <c r="M1288" s="12" t="str">
        <f t="shared" si="68"/>
        <v/>
      </c>
    </row>
    <row r="1289" spans="6:13" x14ac:dyDescent="0.25">
      <c r="F1289"/>
      <c r="G1289"/>
      <c r="H1289"/>
      <c r="I1289"/>
      <c r="J1289"/>
      <c r="K1289"/>
      <c r="L1289"/>
      <c r="M1289" s="12" t="str">
        <f t="shared" si="68"/>
        <v/>
      </c>
    </row>
    <row r="1290" spans="6:13" x14ac:dyDescent="0.25">
      <c r="F1290"/>
      <c r="G1290"/>
      <c r="H1290"/>
      <c r="I1290"/>
      <c r="J1290"/>
      <c r="K1290"/>
      <c r="L1290"/>
      <c r="M1290" s="12" t="str">
        <f t="shared" si="68"/>
        <v/>
      </c>
    </row>
    <row r="1291" spans="6:13" x14ac:dyDescent="0.25">
      <c r="F1291"/>
      <c r="G1291"/>
      <c r="H1291"/>
      <c r="I1291"/>
      <c r="J1291"/>
      <c r="K1291"/>
      <c r="L1291"/>
      <c r="M1291" s="12" t="str">
        <f t="shared" si="68"/>
        <v/>
      </c>
    </row>
    <row r="1292" spans="6:13" x14ac:dyDescent="0.25">
      <c r="F1292"/>
      <c r="G1292"/>
      <c r="H1292"/>
      <c r="I1292"/>
      <c r="J1292"/>
      <c r="K1292"/>
      <c r="L1292"/>
      <c r="M1292" s="12" t="str">
        <f t="shared" si="68"/>
        <v/>
      </c>
    </row>
    <row r="1293" spans="6:13" x14ac:dyDescent="0.25">
      <c r="F1293"/>
      <c r="G1293"/>
      <c r="H1293"/>
      <c r="I1293"/>
      <c r="J1293"/>
      <c r="K1293"/>
      <c r="L1293"/>
      <c r="M1293" s="12" t="str">
        <f t="shared" si="68"/>
        <v/>
      </c>
    </row>
    <row r="1294" spans="6:13" x14ac:dyDescent="0.25">
      <c r="F1294"/>
      <c r="G1294"/>
      <c r="H1294"/>
      <c r="I1294"/>
      <c r="J1294"/>
      <c r="K1294"/>
      <c r="L1294"/>
      <c r="M1294" s="12" t="str">
        <f t="shared" si="68"/>
        <v/>
      </c>
    </row>
    <row r="1295" spans="6:13" x14ac:dyDescent="0.25">
      <c r="F1295"/>
      <c r="G1295"/>
      <c r="H1295"/>
      <c r="I1295"/>
      <c r="J1295"/>
      <c r="K1295"/>
      <c r="L1295"/>
      <c r="M1295" s="12" t="str">
        <f t="shared" si="68"/>
        <v/>
      </c>
    </row>
    <row r="1296" spans="6:13" x14ac:dyDescent="0.25">
      <c r="F1296"/>
      <c r="G1296"/>
      <c r="H1296"/>
      <c r="I1296"/>
      <c r="J1296"/>
      <c r="K1296"/>
      <c r="L1296"/>
      <c r="M1296" s="12" t="str">
        <f t="shared" si="68"/>
        <v/>
      </c>
    </row>
    <row r="1297" spans="6:13" x14ac:dyDescent="0.25">
      <c r="F1297"/>
      <c r="G1297"/>
      <c r="H1297"/>
      <c r="I1297"/>
      <c r="J1297"/>
      <c r="K1297"/>
      <c r="L1297"/>
      <c r="M1297" s="12" t="str">
        <f t="shared" si="68"/>
        <v/>
      </c>
    </row>
    <row r="1298" spans="6:13" x14ac:dyDescent="0.25">
      <c r="F1298"/>
      <c r="G1298"/>
      <c r="H1298"/>
      <c r="I1298"/>
      <c r="J1298"/>
      <c r="K1298"/>
      <c r="L1298"/>
      <c r="M1298" s="12" t="str">
        <f t="shared" si="68"/>
        <v/>
      </c>
    </row>
    <row r="1299" spans="6:13" x14ac:dyDescent="0.25">
      <c r="F1299"/>
      <c r="G1299"/>
      <c r="H1299"/>
      <c r="I1299"/>
      <c r="J1299"/>
      <c r="K1299"/>
      <c r="L1299"/>
      <c r="M1299" s="12" t="str">
        <f t="shared" si="68"/>
        <v/>
      </c>
    </row>
    <row r="1300" spans="6:13" x14ac:dyDescent="0.25">
      <c r="F1300"/>
      <c r="G1300"/>
      <c r="H1300"/>
      <c r="I1300"/>
      <c r="J1300"/>
      <c r="K1300"/>
      <c r="L1300"/>
      <c r="M1300" s="12" t="str">
        <f t="shared" si="68"/>
        <v/>
      </c>
    </row>
    <row r="1301" spans="6:13" x14ac:dyDescent="0.25">
      <c r="F1301"/>
      <c r="G1301"/>
      <c r="H1301"/>
      <c r="I1301"/>
      <c r="J1301"/>
      <c r="K1301"/>
      <c r="L1301"/>
      <c r="M1301" s="12" t="str">
        <f t="shared" si="68"/>
        <v/>
      </c>
    </row>
    <row r="1302" spans="6:13" x14ac:dyDescent="0.25">
      <c r="F1302"/>
      <c r="G1302"/>
      <c r="H1302"/>
      <c r="I1302"/>
      <c r="J1302"/>
      <c r="K1302"/>
      <c r="L1302"/>
      <c r="M1302" s="12" t="str">
        <f t="shared" si="68"/>
        <v/>
      </c>
    </row>
    <row r="1303" spans="6:13" x14ac:dyDescent="0.25">
      <c r="F1303"/>
      <c r="G1303"/>
      <c r="H1303"/>
      <c r="I1303"/>
      <c r="J1303"/>
      <c r="K1303"/>
      <c r="L1303"/>
      <c r="M1303" s="12" t="str">
        <f t="shared" si="68"/>
        <v/>
      </c>
    </row>
    <row r="1304" spans="6:13" x14ac:dyDescent="0.25">
      <c r="F1304"/>
      <c r="G1304"/>
      <c r="H1304"/>
      <c r="I1304"/>
      <c r="J1304"/>
      <c r="K1304"/>
      <c r="L1304"/>
      <c r="M1304" s="12" t="str">
        <f t="shared" si="68"/>
        <v/>
      </c>
    </row>
    <row r="1305" spans="6:13" x14ac:dyDescent="0.25">
      <c r="F1305"/>
      <c r="G1305"/>
      <c r="H1305"/>
      <c r="I1305"/>
      <c r="J1305"/>
      <c r="K1305"/>
      <c r="L1305"/>
      <c r="M1305" s="12" t="str">
        <f t="shared" si="68"/>
        <v/>
      </c>
    </row>
    <row r="1306" spans="6:13" x14ac:dyDescent="0.25">
      <c r="F1306"/>
      <c r="G1306"/>
      <c r="H1306"/>
      <c r="I1306"/>
      <c r="J1306"/>
      <c r="K1306"/>
      <c r="L1306"/>
      <c r="M1306" s="12" t="str">
        <f t="shared" si="68"/>
        <v/>
      </c>
    </row>
    <row r="1307" spans="6:13" x14ac:dyDescent="0.25">
      <c r="F1307"/>
      <c r="G1307"/>
      <c r="H1307"/>
      <c r="I1307"/>
      <c r="J1307"/>
      <c r="K1307"/>
      <c r="L1307"/>
      <c r="M1307" s="12" t="str">
        <f t="shared" si="68"/>
        <v/>
      </c>
    </row>
    <row r="1308" spans="6:13" x14ac:dyDescent="0.25">
      <c r="F1308"/>
      <c r="G1308"/>
      <c r="H1308"/>
      <c r="I1308"/>
      <c r="J1308"/>
      <c r="K1308"/>
      <c r="L1308"/>
      <c r="M1308" s="12" t="str">
        <f t="shared" si="68"/>
        <v/>
      </c>
    </row>
    <row r="1309" spans="6:13" x14ac:dyDescent="0.25">
      <c r="F1309"/>
      <c r="G1309"/>
      <c r="H1309"/>
      <c r="I1309"/>
      <c r="J1309"/>
      <c r="K1309"/>
      <c r="L1309"/>
      <c r="M1309" s="12" t="str">
        <f t="shared" si="68"/>
        <v/>
      </c>
    </row>
    <row r="1310" spans="6:13" x14ac:dyDescent="0.25">
      <c r="F1310"/>
      <c r="G1310"/>
      <c r="H1310"/>
      <c r="I1310"/>
      <c r="J1310"/>
      <c r="K1310"/>
      <c r="L1310"/>
      <c r="M1310" s="12" t="str">
        <f t="shared" si="68"/>
        <v/>
      </c>
    </row>
    <row r="1311" spans="6:13" x14ac:dyDescent="0.25">
      <c r="F1311"/>
      <c r="G1311"/>
      <c r="H1311"/>
      <c r="I1311"/>
      <c r="J1311"/>
      <c r="K1311"/>
      <c r="L1311"/>
      <c r="M1311" s="12" t="str">
        <f t="shared" si="68"/>
        <v/>
      </c>
    </row>
    <row r="1312" spans="6:13" x14ac:dyDescent="0.25">
      <c r="F1312"/>
      <c r="G1312"/>
      <c r="H1312"/>
      <c r="I1312"/>
      <c r="J1312"/>
      <c r="K1312"/>
      <c r="L1312"/>
      <c r="M1312" s="12" t="str">
        <f t="shared" si="68"/>
        <v/>
      </c>
    </row>
    <row r="1313" spans="6:13" x14ac:dyDescent="0.25">
      <c r="F1313"/>
      <c r="G1313"/>
      <c r="H1313"/>
      <c r="I1313"/>
      <c r="J1313"/>
      <c r="K1313"/>
      <c r="L1313"/>
      <c r="M1313" s="12" t="str">
        <f t="shared" si="68"/>
        <v/>
      </c>
    </row>
    <row r="1314" spans="6:13" x14ac:dyDescent="0.25">
      <c r="F1314"/>
      <c r="G1314"/>
      <c r="H1314"/>
      <c r="I1314"/>
      <c r="J1314"/>
      <c r="K1314"/>
      <c r="L1314"/>
      <c r="M1314" s="12" t="str">
        <f t="shared" si="68"/>
        <v/>
      </c>
    </row>
    <row r="1315" spans="6:13" x14ac:dyDescent="0.25">
      <c r="F1315"/>
      <c r="G1315"/>
      <c r="H1315"/>
      <c r="I1315"/>
      <c r="J1315"/>
      <c r="K1315"/>
      <c r="L1315"/>
      <c r="M1315" s="12" t="str">
        <f t="shared" si="68"/>
        <v/>
      </c>
    </row>
    <row r="1316" spans="6:13" x14ac:dyDescent="0.25">
      <c r="F1316"/>
      <c r="G1316"/>
      <c r="H1316"/>
      <c r="I1316"/>
      <c r="J1316"/>
      <c r="K1316"/>
      <c r="L1316"/>
      <c r="M1316" s="12" t="str">
        <f t="shared" si="68"/>
        <v/>
      </c>
    </row>
    <row r="1317" spans="6:13" x14ac:dyDescent="0.25">
      <c r="F1317"/>
      <c r="G1317"/>
      <c r="H1317"/>
      <c r="I1317"/>
      <c r="J1317"/>
      <c r="K1317"/>
      <c r="L1317"/>
      <c r="M1317" s="12" t="str">
        <f t="shared" si="68"/>
        <v/>
      </c>
    </row>
    <row r="1318" spans="6:13" x14ac:dyDescent="0.25">
      <c r="F1318"/>
      <c r="G1318"/>
      <c r="H1318"/>
      <c r="I1318"/>
      <c r="J1318"/>
      <c r="K1318"/>
      <c r="L1318"/>
      <c r="M1318" s="12" t="str">
        <f t="shared" si="68"/>
        <v/>
      </c>
    </row>
    <row r="1319" spans="6:13" x14ac:dyDescent="0.25">
      <c r="F1319"/>
      <c r="G1319"/>
      <c r="H1319"/>
      <c r="I1319"/>
      <c r="J1319"/>
      <c r="K1319"/>
      <c r="L1319"/>
      <c r="M1319" s="12" t="str">
        <f t="shared" si="68"/>
        <v/>
      </c>
    </row>
    <row r="1320" spans="6:13" x14ac:dyDescent="0.25">
      <c r="F1320"/>
      <c r="G1320"/>
      <c r="H1320"/>
      <c r="I1320"/>
      <c r="J1320"/>
      <c r="K1320"/>
      <c r="L1320"/>
      <c r="M1320" s="12" t="str">
        <f t="shared" si="68"/>
        <v/>
      </c>
    </row>
    <row r="1321" spans="6:13" x14ac:dyDescent="0.25">
      <c r="F1321"/>
      <c r="G1321"/>
      <c r="H1321"/>
      <c r="I1321"/>
      <c r="J1321"/>
      <c r="K1321"/>
      <c r="L1321"/>
      <c r="M1321" s="12" t="str">
        <f t="shared" si="68"/>
        <v/>
      </c>
    </row>
    <row r="1322" spans="6:13" x14ac:dyDescent="0.25">
      <c r="F1322"/>
      <c r="G1322"/>
      <c r="H1322"/>
      <c r="I1322"/>
      <c r="J1322"/>
      <c r="K1322"/>
      <c r="L1322"/>
      <c r="M1322" s="12" t="str">
        <f t="shared" si="68"/>
        <v/>
      </c>
    </row>
    <row r="1323" spans="6:13" x14ac:dyDescent="0.25">
      <c r="F1323"/>
      <c r="G1323"/>
      <c r="H1323"/>
      <c r="I1323"/>
      <c r="J1323"/>
      <c r="K1323"/>
      <c r="L1323"/>
      <c r="M1323" s="12" t="str">
        <f t="shared" si="68"/>
        <v/>
      </c>
    </row>
    <row r="1324" spans="6:13" x14ac:dyDescent="0.25">
      <c r="F1324"/>
      <c r="G1324"/>
      <c r="H1324"/>
      <c r="I1324"/>
      <c r="J1324"/>
      <c r="K1324"/>
      <c r="L1324"/>
      <c r="M1324" s="12" t="str">
        <f t="shared" si="68"/>
        <v/>
      </c>
    </row>
    <row r="1325" spans="6:13" x14ac:dyDescent="0.25">
      <c r="F1325"/>
      <c r="G1325"/>
      <c r="H1325"/>
      <c r="I1325"/>
      <c r="J1325"/>
      <c r="K1325"/>
      <c r="L1325"/>
      <c r="M1325" s="12" t="str">
        <f t="shared" si="68"/>
        <v/>
      </c>
    </row>
    <row r="1326" spans="6:13" x14ac:dyDescent="0.25">
      <c r="F1326"/>
      <c r="G1326"/>
      <c r="H1326"/>
      <c r="I1326"/>
      <c r="J1326"/>
      <c r="K1326"/>
      <c r="L1326"/>
      <c r="M1326" s="12" t="str">
        <f t="shared" si="68"/>
        <v/>
      </c>
    </row>
    <row r="1327" spans="6:13" x14ac:dyDescent="0.25">
      <c r="F1327"/>
      <c r="G1327"/>
      <c r="H1327"/>
      <c r="I1327"/>
      <c r="J1327"/>
      <c r="K1327"/>
      <c r="L1327"/>
      <c r="M1327" s="12" t="str">
        <f t="shared" si="68"/>
        <v/>
      </c>
    </row>
    <row r="1328" spans="6:13" x14ac:dyDescent="0.25">
      <c r="F1328"/>
      <c r="G1328"/>
      <c r="H1328"/>
      <c r="I1328"/>
      <c r="J1328"/>
      <c r="K1328"/>
      <c r="L1328"/>
      <c r="M1328" s="12" t="str">
        <f t="shared" si="68"/>
        <v/>
      </c>
    </row>
    <row r="1329" spans="6:13" x14ac:dyDescent="0.25">
      <c r="F1329"/>
      <c r="G1329"/>
      <c r="H1329"/>
      <c r="I1329"/>
      <c r="J1329"/>
      <c r="K1329"/>
      <c r="L1329"/>
      <c r="M1329" s="12" t="str">
        <f t="shared" si="68"/>
        <v/>
      </c>
    </row>
    <row r="1330" spans="6:13" x14ac:dyDescent="0.25">
      <c r="F1330"/>
      <c r="G1330"/>
      <c r="H1330"/>
      <c r="I1330"/>
      <c r="J1330"/>
      <c r="K1330"/>
      <c r="L1330"/>
      <c r="M1330" s="12" t="str">
        <f t="shared" si="68"/>
        <v/>
      </c>
    </row>
    <row r="1331" spans="6:13" x14ac:dyDescent="0.25">
      <c r="F1331"/>
      <c r="G1331"/>
      <c r="H1331"/>
      <c r="I1331"/>
      <c r="J1331"/>
      <c r="K1331"/>
      <c r="L1331"/>
      <c r="M1331" s="12" t="str">
        <f t="shared" si="68"/>
        <v/>
      </c>
    </row>
    <row r="1332" spans="6:13" x14ac:dyDescent="0.25">
      <c r="F1332"/>
      <c r="G1332"/>
      <c r="H1332"/>
      <c r="I1332"/>
      <c r="J1332"/>
      <c r="K1332"/>
      <c r="L1332"/>
      <c r="M1332" s="12" t="str">
        <f t="shared" si="68"/>
        <v/>
      </c>
    </row>
    <row r="1333" spans="6:13" x14ac:dyDescent="0.25">
      <c r="F1333"/>
      <c r="G1333"/>
      <c r="H1333"/>
      <c r="I1333"/>
      <c r="J1333"/>
      <c r="K1333"/>
      <c r="L1333"/>
      <c r="M1333" s="12" t="str">
        <f t="shared" si="68"/>
        <v/>
      </c>
    </row>
    <row r="1334" spans="6:13" x14ac:dyDescent="0.25">
      <c r="F1334"/>
      <c r="G1334"/>
      <c r="H1334"/>
      <c r="I1334"/>
      <c r="J1334"/>
      <c r="K1334"/>
      <c r="L1334"/>
      <c r="M1334" s="12" t="str">
        <f t="shared" si="68"/>
        <v/>
      </c>
    </row>
    <row r="1335" spans="6:13" x14ac:dyDescent="0.25">
      <c r="F1335"/>
      <c r="G1335"/>
      <c r="H1335"/>
      <c r="I1335"/>
      <c r="J1335"/>
      <c r="K1335"/>
      <c r="L1335"/>
      <c r="M1335" s="12" t="str">
        <f t="shared" si="68"/>
        <v/>
      </c>
    </row>
    <row r="1336" spans="6:13" x14ac:dyDescent="0.25">
      <c r="F1336"/>
      <c r="G1336"/>
      <c r="H1336"/>
      <c r="I1336"/>
      <c r="J1336"/>
      <c r="K1336"/>
      <c r="L1336"/>
      <c r="M1336" s="12" t="str">
        <f t="shared" si="68"/>
        <v/>
      </c>
    </row>
    <row r="1337" spans="6:13" x14ac:dyDescent="0.25">
      <c r="F1337"/>
      <c r="G1337"/>
      <c r="H1337"/>
      <c r="I1337"/>
      <c r="J1337"/>
      <c r="K1337"/>
      <c r="L1337"/>
      <c r="M1337" s="12" t="str">
        <f t="shared" si="68"/>
        <v/>
      </c>
    </row>
    <row r="1338" spans="6:13" x14ac:dyDescent="0.25">
      <c r="F1338"/>
      <c r="G1338"/>
      <c r="H1338"/>
      <c r="I1338"/>
      <c r="J1338"/>
      <c r="K1338"/>
      <c r="L1338"/>
      <c r="M1338" s="12" t="str">
        <f t="shared" si="68"/>
        <v/>
      </c>
    </row>
    <row r="1339" spans="6:13" x14ac:dyDescent="0.25">
      <c r="F1339"/>
      <c r="G1339"/>
      <c r="H1339"/>
      <c r="I1339"/>
      <c r="J1339"/>
      <c r="K1339"/>
      <c r="L1339"/>
      <c r="M1339" s="12" t="str">
        <f t="shared" si="68"/>
        <v/>
      </c>
    </row>
    <row r="1340" spans="6:13" x14ac:dyDescent="0.25">
      <c r="F1340"/>
      <c r="G1340"/>
      <c r="H1340"/>
      <c r="I1340"/>
      <c r="J1340"/>
      <c r="K1340"/>
      <c r="L1340"/>
      <c r="M1340" s="12" t="str">
        <f t="shared" si="68"/>
        <v/>
      </c>
    </row>
    <row r="1341" spans="6:13" x14ac:dyDescent="0.25">
      <c r="F1341"/>
      <c r="G1341"/>
      <c r="H1341"/>
      <c r="I1341"/>
      <c r="J1341"/>
      <c r="K1341"/>
      <c r="L1341"/>
      <c r="M1341" s="12" t="str">
        <f t="shared" si="68"/>
        <v/>
      </c>
    </row>
    <row r="1342" spans="6:13" x14ac:dyDescent="0.25">
      <c r="F1342"/>
      <c r="G1342"/>
      <c r="H1342"/>
      <c r="I1342"/>
      <c r="J1342"/>
      <c r="K1342"/>
      <c r="L1342"/>
      <c r="M1342" s="12" t="str">
        <f t="shared" si="68"/>
        <v/>
      </c>
    </row>
    <row r="1343" spans="6:13" x14ac:dyDescent="0.25">
      <c r="F1343"/>
      <c r="G1343"/>
      <c r="H1343"/>
      <c r="I1343"/>
      <c r="J1343"/>
      <c r="K1343"/>
      <c r="L1343"/>
      <c r="M1343" s="12" t="str">
        <f t="shared" si="68"/>
        <v/>
      </c>
    </row>
    <row r="1344" spans="6:13" x14ac:dyDescent="0.25">
      <c r="F1344"/>
      <c r="G1344"/>
      <c r="H1344"/>
      <c r="I1344"/>
      <c r="J1344"/>
      <c r="K1344"/>
      <c r="L1344"/>
      <c r="M1344" s="12" t="str">
        <f t="shared" si="68"/>
        <v/>
      </c>
    </row>
    <row r="1345" spans="6:13" x14ac:dyDescent="0.25">
      <c r="F1345"/>
      <c r="G1345"/>
      <c r="H1345"/>
      <c r="I1345"/>
      <c r="J1345"/>
      <c r="K1345"/>
      <c r="L1345"/>
      <c r="M1345" s="12" t="str">
        <f t="shared" si="68"/>
        <v/>
      </c>
    </row>
    <row r="1346" spans="6:13" x14ac:dyDescent="0.25">
      <c r="F1346"/>
      <c r="G1346"/>
      <c r="H1346"/>
      <c r="I1346"/>
      <c r="J1346"/>
      <c r="K1346"/>
      <c r="L1346"/>
      <c r="M1346" s="12" t="str">
        <f t="shared" si="68"/>
        <v/>
      </c>
    </row>
    <row r="1347" spans="6:13" x14ac:dyDescent="0.25">
      <c r="F1347"/>
      <c r="G1347"/>
      <c r="H1347"/>
      <c r="I1347"/>
      <c r="J1347"/>
      <c r="K1347"/>
      <c r="L1347"/>
      <c r="M1347" s="12" t="str">
        <f t="shared" ref="M1347:M1410" si="69">IF(ISERR(L1347/K1347),"",L1347/K1347)</f>
        <v/>
      </c>
    </row>
    <row r="1348" spans="6:13" x14ac:dyDescent="0.25">
      <c r="F1348"/>
      <c r="G1348"/>
      <c r="H1348"/>
      <c r="I1348"/>
      <c r="J1348"/>
      <c r="K1348"/>
      <c r="L1348"/>
      <c r="M1348" s="12" t="str">
        <f t="shared" si="69"/>
        <v/>
      </c>
    </row>
    <row r="1349" spans="6:13" x14ac:dyDescent="0.25">
      <c r="F1349"/>
      <c r="G1349"/>
      <c r="H1349"/>
      <c r="I1349"/>
      <c r="J1349"/>
      <c r="K1349"/>
      <c r="L1349"/>
      <c r="M1349" s="12" t="str">
        <f t="shared" si="69"/>
        <v/>
      </c>
    </row>
    <row r="1350" spans="6:13" x14ac:dyDescent="0.25">
      <c r="F1350"/>
      <c r="G1350"/>
      <c r="H1350"/>
      <c r="I1350"/>
      <c r="J1350"/>
      <c r="K1350"/>
      <c r="L1350"/>
      <c r="M1350" s="12" t="str">
        <f t="shared" si="69"/>
        <v/>
      </c>
    </row>
    <row r="1351" spans="6:13" x14ac:dyDescent="0.25">
      <c r="F1351"/>
      <c r="G1351"/>
      <c r="H1351"/>
      <c r="I1351"/>
      <c r="J1351"/>
      <c r="K1351"/>
      <c r="L1351"/>
      <c r="M1351" s="12" t="str">
        <f t="shared" si="69"/>
        <v/>
      </c>
    </row>
    <row r="1352" spans="6:13" x14ac:dyDescent="0.25">
      <c r="F1352"/>
      <c r="G1352"/>
      <c r="H1352"/>
      <c r="I1352"/>
      <c r="J1352"/>
      <c r="K1352"/>
      <c r="L1352"/>
      <c r="M1352" s="12" t="str">
        <f t="shared" si="69"/>
        <v/>
      </c>
    </row>
    <row r="1353" spans="6:13" x14ac:dyDescent="0.25">
      <c r="F1353"/>
      <c r="G1353"/>
      <c r="H1353"/>
      <c r="I1353"/>
      <c r="J1353"/>
      <c r="K1353"/>
      <c r="L1353"/>
      <c r="M1353" s="12" t="str">
        <f t="shared" si="69"/>
        <v/>
      </c>
    </row>
    <row r="1354" spans="6:13" x14ac:dyDescent="0.25">
      <c r="F1354"/>
      <c r="G1354"/>
      <c r="H1354"/>
      <c r="I1354"/>
      <c r="J1354"/>
      <c r="K1354"/>
      <c r="L1354"/>
      <c r="M1354" s="12" t="str">
        <f t="shared" si="69"/>
        <v/>
      </c>
    </row>
    <row r="1355" spans="6:13" x14ac:dyDescent="0.25">
      <c r="F1355"/>
      <c r="G1355"/>
      <c r="H1355"/>
      <c r="I1355"/>
      <c r="J1355"/>
      <c r="K1355"/>
      <c r="L1355"/>
      <c r="M1355" s="12" t="str">
        <f t="shared" si="69"/>
        <v/>
      </c>
    </row>
    <row r="1356" spans="6:13" x14ac:dyDescent="0.25">
      <c r="F1356"/>
      <c r="G1356"/>
      <c r="H1356"/>
      <c r="I1356"/>
      <c r="J1356"/>
      <c r="K1356"/>
      <c r="L1356"/>
      <c r="M1356" s="12" t="str">
        <f t="shared" si="69"/>
        <v/>
      </c>
    </row>
    <row r="1357" spans="6:13" x14ac:dyDescent="0.25">
      <c r="F1357"/>
      <c r="G1357"/>
      <c r="H1357"/>
      <c r="I1357"/>
      <c r="J1357"/>
      <c r="K1357"/>
      <c r="L1357"/>
      <c r="M1357" s="12" t="str">
        <f t="shared" si="69"/>
        <v/>
      </c>
    </row>
    <row r="1358" spans="6:13" x14ac:dyDescent="0.25">
      <c r="F1358"/>
      <c r="G1358"/>
      <c r="H1358"/>
      <c r="I1358"/>
      <c r="J1358"/>
      <c r="K1358"/>
      <c r="L1358"/>
      <c r="M1358" s="12" t="str">
        <f t="shared" si="69"/>
        <v/>
      </c>
    </row>
    <row r="1359" spans="6:13" x14ac:dyDescent="0.25">
      <c r="F1359"/>
      <c r="G1359"/>
      <c r="H1359"/>
      <c r="I1359"/>
      <c r="J1359"/>
      <c r="K1359"/>
      <c r="L1359"/>
      <c r="M1359" s="12" t="str">
        <f t="shared" si="69"/>
        <v/>
      </c>
    </row>
    <row r="1360" spans="6:13" x14ac:dyDescent="0.25">
      <c r="F1360"/>
      <c r="G1360"/>
      <c r="H1360"/>
      <c r="I1360"/>
      <c r="J1360"/>
      <c r="K1360"/>
      <c r="L1360"/>
      <c r="M1360" s="12" t="str">
        <f t="shared" si="69"/>
        <v/>
      </c>
    </row>
    <row r="1361" spans="6:13" x14ac:dyDescent="0.25">
      <c r="F1361"/>
      <c r="G1361"/>
      <c r="H1361"/>
      <c r="I1361"/>
      <c r="J1361"/>
      <c r="K1361"/>
      <c r="L1361"/>
      <c r="M1361" s="12" t="str">
        <f t="shared" si="69"/>
        <v/>
      </c>
    </row>
    <row r="1362" spans="6:13" x14ac:dyDescent="0.25">
      <c r="F1362"/>
      <c r="G1362"/>
      <c r="H1362"/>
      <c r="I1362"/>
      <c r="J1362"/>
      <c r="K1362"/>
      <c r="L1362"/>
      <c r="M1362" s="12" t="str">
        <f t="shared" si="69"/>
        <v/>
      </c>
    </row>
    <row r="1363" spans="6:13" x14ac:dyDescent="0.25">
      <c r="F1363"/>
      <c r="G1363"/>
      <c r="H1363"/>
      <c r="I1363"/>
      <c r="J1363"/>
      <c r="K1363"/>
      <c r="L1363"/>
      <c r="M1363" s="12" t="str">
        <f t="shared" si="69"/>
        <v/>
      </c>
    </row>
    <row r="1364" spans="6:13" x14ac:dyDescent="0.25">
      <c r="F1364"/>
      <c r="G1364"/>
      <c r="H1364"/>
      <c r="I1364"/>
      <c r="J1364"/>
      <c r="K1364"/>
      <c r="L1364"/>
      <c r="M1364" s="12" t="str">
        <f t="shared" si="69"/>
        <v/>
      </c>
    </row>
    <row r="1365" spans="6:13" x14ac:dyDescent="0.25">
      <c r="F1365"/>
      <c r="G1365"/>
      <c r="H1365"/>
      <c r="I1365"/>
      <c r="J1365"/>
      <c r="K1365"/>
      <c r="L1365"/>
      <c r="M1365" s="12" t="str">
        <f t="shared" si="69"/>
        <v/>
      </c>
    </row>
    <row r="1366" spans="6:13" x14ac:dyDescent="0.25">
      <c r="F1366"/>
      <c r="G1366"/>
      <c r="H1366"/>
      <c r="I1366"/>
      <c r="J1366"/>
      <c r="K1366"/>
      <c r="L1366"/>
      <c r="M1366" s="12" t="str">
        <f t="shared" si="69"/>
        <v/>
      </c>
    </row>
    <row r="1367" spans="6:13" x14ac:dyDescent="0.25">
      <c r="F1367"/>
      <c r="G1367"/>
      <c r="H1367"/>
      <c r="I1367"/>
      <c r="J1367"/>
      <c r="K1367"/>
      <c r="L1367"/>
      <c r="M1367" s="12" t="str">
        <f t="shared" si="69"/>
        <v/>
      </c>
    </row>
    <row r="1368" spans="6:13" x14ac:dyDescent="0.25">
      <c r="F1368"/>
      <c r="G1368"/>
      <c r="H1368"/>
      <c r="I1368"/>
      <c r="J1368"/>
      <c r="K1368"/>
      <c r="L1368"/>
      <c r="M1368" s="12" t="str">
        <f t="shared" si="69"/>
        <v/>
      </c>
    </row>
    <row r="1369" spans="6:13" x14ac:dyDescent="0.25">
      <c r="F1369"/>
      <c r="G1369"/>
      <c r="H1369"/>
      <c r="I1369"/>
      <c r="J1369"/>
      <c r="K1369"/>
      <c r="L1369"/>
      <c r="M1369" s="12" t="str">
        <f t="shared" si="69"/>
        <v/>
      </c>
    </row>
    <row r="1370" spans="6:13" x14ac:dyDescent="0.25">
      <c r="F1370"/>
      <c r="G1370"/>
      <c r="H1370"/>
      <c r="I1370"/>
      <c r="J1370"/>
      <c r="K1370"/>
      <c r="L1370"/>
      <c r="M1370" s="12" t="str">
        <f t="shared" si="69"/>
        <v/>
      </c>
    </row>
    <row r="1371" spans="6:13" x14ac:dyDescent="0.25">
      <c r="F1371"/>
      <c r="G1371"/>
      <c r="H1371"/>
      <c r="I1371"/>
      <c r="J1371"/>
      <c r="K1371"/>
      <c r="L1371"/>
      <c r="M1371" s="12" t="str">
        <f t="shared" si="69"/>
        <v/>
      </c>
    </row>
    <row r="1372" spans="6:13" x14ac:dyDescent="0.25">
      <c r="F1372"/>
      <c r="G1372"/>
      <c r="H1372"/>
      <c r="I1372"/>
      <c r="J1372"/>
      <c r="K1372"/>
      <c r="L1372"/>
      <c r="M1372" s="12" t="str">
        <f t="shared" si="69"/>
        <v/>
      </c>
    </row>
    <row r="1373" spans="6:13" x14ac:dyDescent="0.25">
      <c r="F1373"/>
      <c r="G1373"/>
      <c r="H1373"/>
      <c r="I1373"/>
      <c r="J1373"/>
      <c r="K1373"/>
      <c r="L1373"/>
      <c r="M1373" s="12" t="str">
        <f t="shared" si="69"/>
        <v/>
      </c>
    </row>
    <row r="1374" spans="6:13" x14ac:dyDescent="0.25">
      <c r="F1374"/>
      <c r="G1374"/>
      <c r="H1374"/>
      <c r="I1374"/>
      <c r="J1374"/>
      <c r="K1374"/>
      <c r="L1374"/>
      <c r="M1374" s="12" t="str">
        <f t="shared" si="69"/>
        <v/>
      </c>
    </row>
    <row r="1375" spans="6:13" x14ac:dyDescent="0.25">
      <c r="F1375"/>
      <c r="G1375"/>
      <c r="H1375"/>
      <c r="I1375"/>
      <c r="J1375"/>
      <c r="K1375"/>
      <c r="L1375"/>
      <c r="M1375" s="12" t="str">
        <f t="shared" si="69"/>
        <v/>
      </c>
    </row>
    <row r="1376" spans="6:13" x14ac:dyDescent="0.25">
      <c r="F1376"/>
      <c r="G1376"/>
      <c r="H1376"/>
      <c r="I1376"/>
      <c r="J1376"/>
      <c r="K1376"/>
      <c r="L1376"/>
      <c r="M1376" s="12" t="str">
        <f t="shared" si="69"/>
        <v/>
      </c>
    </row>
    <row r="1377" spans="6:13" x14ac:dyDescent="0.25">
      <c r="F1377"/>
      <c r="G1377"/>
      <c r="H1377"/>
      <c r="I1377"/>
      <c r="J1377"/>
      <c r="K1377"/>
      <c r="L1377"/>
      <c r="M1377" s="12" t="str">
        <f t="shared" si="69"/>
        <v/>
      </c>
    </row>
    <row r="1378" spans="6:13" x14ac:dyDescent="0.25">
      <c r="F1378"/>
      <c r="G1378"/>
      <c r="H1378"/>
      <c r="I1378"/>
      <c r="J1378"/>
      <c r="K1378"/>
      <c r="L1378"/>
      <c r="M1378" s="12" t="str">
        <f t="shared" si="69"/>
        <v/>
      </c>
    </row>
    <row r="1379" spans="6:13" x14ac:dyDescent="0.25">
      <c r="F1379"/>
      <c r="G1379"/>
      <c r="H1379"/>
      <c r="I1379"/>
      <c r="J1379"/>
      <c r="K1379"/>
      <c r="L1379"/>
      <c r="M1379" s="12" t="str">
        <f t="shared" si="69"/>
        <v/>
      </c>
    </row>
    <row r="1380" spans="6:13" x14ac:dyDescent="0.25">
      <c r="F1380"/>
      <c r="G1380"/>
      <c r="H1380"/>
      <c r="I1380"/>
      <c r="J1380"/>
      <c r="K1380"/>
      <c r="L1380"/>
      <c r="M1380" s="12" t="str">
        <f t="shared" si="69"/>
        <v/>
      </c>
    </row>
    <row r="1381" spans="6:13" x14ac:dyDescent="0.25">
      <c r="F1381"/>
      <c r="G1381"/>
      <c r="H1381"/>
      <c r="I1381"/>
      <c r="J1381"/>
      <c r="K1381"/>
      <c r="L1381"/>
      <c r="M1381" s="12" t="str">
        <f t="shared" si="69"/>
        <v/>
      </c>
    </row>
    <row r="1382" spans="6:13" x14ac:dyDescent="0.25">
      <c r="F1382"/>
      <c r="G1382"/>
      <c r="H1382"/>
      <c r="I1382"/>
      <c r="J1382"/>
      <c r="K1382"/>
      <c r="L1382"/>
      <c r="M1382" s="12" t="str">
        <f t="shared" si="69"/>
        <v/>
      </c>
    </row>
    <row r="1383" spans="6:13" x14ac:dyDescent="0.25">
      <c r="F1383"/>
      <c r="G1383"/>
      <c r="H1383"/>
      <c r="I1383"/>
      <c r="J1383"/>
      <c r="K1383"/>
      <c r="L1383"/>
      <c r="M1383" s="12" t="str">
        <f t="shared" si="69"/>
        <v/>
      </c>
    </row>
    <row r="1384" spans="6:13" x14ac:dyDescent="0.25">
      <c r="F1384"/>
      <c r="G1384"/>
      <c r="H1384"/>
      <c r="I1384"/>
      <c r="J1384"/>
      <c r="K1384"/>
      <c r="L1384"/>
      <c r="M1384" s="12" t="str">
        <f t="shared" si="69"/>
        <v/>
      </c>
    </row>
    <row r="1385" spans="6:13" x14ac:dyDescent="0.25">
      <c r="F1385"/>
      <c r="G1385"/>
      <c r="H1385"/>
      <c r="I1385"/>
      <c r="J1385"/>
      <c r="K1385"/>
      <c r="L1385"/>
      <c r="M1385" s="12" t="str">
        <f t="shared" si="69"/>
        <v/>
      </c>
    </row>
    <row r="1386" spans="6:13" x14ac:dyDescent="0.25">
      <c r="F1386"/>
      <c r="G1386"/>
      <c r="H1386"/>
      <c r="I1386"/>
      <c r="J1386"/>
      <c r="K1386"/>
      <c r="L1386"/>
      <c r="M1386" s="12" t="str">
        <f t="shared" si="69"/>
        <v/>
      </c>
    </row>
    <row r="1387" spans="6:13" x14ac:dyDescent="0.25">
      <c r="F1387"/>
      <c r="G1387"/>
      <c r="H1387"/>
      <c r="I1387"/>
      <c r="J1387"/>
      <c r="K1387"/>
      <c r="L1387"/>
      <c r="M1387" s="12" t="str">
        <f t="shared" si="69"/>
        <v/>
      </c>
    </row>
    <row r="1388" spans="6:13" x14ac:dyDescent="0.25">
      <c r="F1388"/>
      <c r="G1388"/>
      <c r="H1388"/>
      <c r="I1388"/>
      <c r="J1388"/>
      <c r="K1388"/>
      <c r="L1388"/>
      <c r="M1388" s="12" t="str">
        <f t="shared" si="69"/>
        <v/>
      </c>
    </row>
    <row r="1389" spans="6:13" x14ac:dyDescent="0.25">
      <c r="F1389"/>
      <c r="G1389"/>
      <c r="H1389"/>
      <c r="I1389"/>
      <c r="J1389"/>
      <c r="K1389"/>
      <c r="L1389"/>
      <c r="M1389" s="12" t="str">
        <f t="shared" si="69"/>
        <v/>
      </c>
    </row>
    <row r="1390" spans="6:13" x14ac:dyDescent="0.25">
      <c r="F1390"/>
      <c r="G1390"/>
      <c r="H1390"/>
      <c r="I1390"/>
      <c r="J1390"/>
      <c r="K1390"/>
      <c r="L1390"/>
      <c r="M1390" s="12" t="str">
        <f t="shared" si="69"/>
        <v/>
      </c>
    </row>
    <row r="1391" spans="6:13" x14ac:dyDescent="0.25">
      <c r="F1391"/>
      <c r="G1391"/>
      <c r="H1391"/>
      <c r="I1391"/>
      <c r="J1391"/>
      <c r="K1391"/>
      <c r="L1391"/>
      <c r="M1391" s="12" t="str">
        <f t="shared" si="69"/>
        <v/>
      </c>
    </row>
    <row r="1392" spans="6:13" x14ac:dyDescent="0.25">
      <c r="F1392"/>
      <c r="G1392"/>
      <c r="H1392"/>
      <c r="I1392"/>
      <c r="J1392"/>
      <c r="K1392"/>
      <c r="L1392"/>
      <c r="M1392" s="12" t="str">
        <f t="shared" si="69"/>
        <v/>
      </c>
    </row>
    <row r="1393" spans="6:13" x14ac:dyDescent="0.25">
      <c r="F1393"/>
      <c r="G1393"/>
      <c r="H1393"/>
      <c r="I1393"/>
      <c r="J1393"/>
      <c r="K1393"/>
      <c r="L1393"/>
      <c r="M1393" s="12" t="str">
        <f t="shared" si="69"/>
        <v/>
      </c>
    </row>
    <row r="1394" spans="6:13" x14ac:dyDescent="0.25">
      <c r="F1394"/>
      <c r="G1394"/>
      <c r="H1394"/>
      <c r="I1394"/>
      <c r="J1394"/>
      <c r="K1394"/>
      <c r="L1394"/>
      <c r="M1394" s="12" t="str">
        <f t="shared" si="69"/>
        <v/>
      </c>
    </row>
    <row r="1395" spans="6:13" x14ac:dyDescent="0.25">
      <c r="F1395"/>
      <c r="G1395"/>
      <c r="H1395"/>
      <c r="I1395"/>
      <c r="J1395"/>
      <c r="K1395"/>
      <c r="L1395"/>
      <c r="M1395" s="12" t="str">
        <f t="shared" si="69"/>
        <v/>
      </c>
    </row>
    <row r="1396" spans="6:13" x14ac:dyDescent="0.25">
      <c r="F1396"/>
      <c r="G1396"/>
      <c r="H1396"/>
      <c r="I1396"/>
      <c r="J1396"/>
      <c r="K1396"/>
      <c r="L1396"/>
      <c r="M1396" s="12" t="str">
        <f t="shared" si="69"/>
        <v/>
      </c>
    </row>
    <row r="1397" spans="6:13" x14ac:dyDescent="0.25">
      <c r="F1397"/>
      <c r="G1397"/>
      <c r="H1397"/>
      <c r="I1397"/>
      <c r="J1397"/>
      <c r="K1397"/>
      <c r="L1397"/>
      <c r="M1397" s="12" t="str">
        <f t="shared" si="69"/>
        <v/>
      </c>
    </row>
    <row r="1398" spans="6:13" x14ac:dyDescent="0.25">
      <c r="F1398"/>
      <c r="G1398"/>
      <c r="H1398"/>
      <c r="I1398"/>
      <c r="J1398"/>
      <c r="K1398"/>
      <c r="L1398"/>
      <c r="M1398" s="12" t="str">
        <f t="shared" si="69"/>
        <v/>
      </c>
    </row>
    <row r="1399" spans="6:13" x14ac:dyDescent="0.25">
      <c r="F1399"/>
      <c r="G1399"/>
      <c r="H1399"/>
      <c r="I1399"/>
      <c r="J1399"/>
      <c r="K1399"/>
      <c r="L1399"/>
      <c r="M1399" s="12" t="str">
        <f t="shared" si="69"/>
        <v/>
      </c>
    </row>
    <row r="1400" spans="6:13" x14ac:dyDescent="0.25">
      <c r="F1400"/>
      <c r="G1400"/>
      <c r="H1400"/>
      <c r="I1400"/>
      <c r="J1400"/>
      <c r="K1400"/>
      <c r="L1400"/>
      <c r="M1400" s="12" t="str">
        <f t="shared" si="69"/>
        <v/>
      </c>
    </row>
    <row r="1401" spans="6:13" x14ac:dyDescent="0.25">
      <c r="F1401"/>
      <c r="G1401"/>
      <c r="H1401"/>
      <c r="I1401"/>
      <c r="J1401"/>
      <c r="K1401"/>
      <c r="L1401"/>
      <c r="M1401" s="12" t="str">
        <f t="shared" si="69"/>
        <v/>
      </c>
    </row>
    <row r="1402" spans="6:13" x14ac:dyDescent="0.25">
      <c r="F1402"/>
      <c r="G1402"/>
      <c r="H1402"/>
      <c r="I1402"/>
      <c r="J1402"/>
      <c r="K1402"/>
      <c r="L1402"/>
      <c r="M1402" s="12" t="str">
        <f t="shared" si="69"/>
        <v/>
      </c>
    </row>
    <row r="1403" spans="6:13" x14ac:dyDescent="0.25">
      <c r="F1403"/>
      <c r="G1403"/>
      <c r="H1403"/>
      <c r="I1403"/>
      <c r="J1403"/>
      <c r="K1403"/>
      <c r="L1403"/>
      <c r="M1403" s="12" t="str">
        <f t="shared" si="69"/>
        <v/>
      </c>
    </row>
    <row r="1404" spans="6:13" x14ac:dyDescent="0.25">
      <c r="F1404"/>
      <c r="G1404"/>
      <c r="H1404"/>
      <c r="I1404"/>
      <c r="J1404"/>
      <c r="K1404"/>
      <c r="L1404"/>
      <c r="M1404" s="12" t="str">
        <f t="shared" si="69"/>
        <v/>
      </c>
    </row>
    <row r="1405" spans="6:13" x14ac:dyDescent="0.25">
      <c r="F1405"/>
      <c r="G1405"/>
      <c r="H1405"/>
      <c r="I1405"/>
      <c r="J1405"/>
      <c r="K1405"/>
      <c r="L1405"/>
      <c r="M1405" s="12" t="str">
        <f t="shared" si="69"/>
        <v/>
      </c>
    </row>
    <row r="1406" spans="6:13" x14ac:dyDescent="0.25">
      <c r="F1406"/>
      <c r="G1406"/>
      <c r="H1406"/>
      <c r="I1406"/>
      <c r="J1406"/>
      <c r="K1406"/>
      <c r="L1406"/>
      <c r="M1406" s="12" t="str">
        <f t="shared" si="69"/>
        <v/>
      </c>
    </row>
    <row r="1407" spans="6:13" x14ac:dyDescent="0.25">
      <c r="F1407"/>
      <c r="G1407"/>
      <c r="H1407"/>
      <c r="I1407"/>
      <c r="J1407"/>
      <c r="K1407"/>
      <c r="L1407"/>
      <c r="M1407" s="12" t="str">
        <f t="shared" si="69"/>
        <v/>
      </c>
    </row>
    <row r="1408" spans="6:13" x14ac:dyDescent="0.25">
      <c r="F1408"/>
      <c r="G1408"/>
      <c r="H1408"/>
      <c r="I1408"/>
      <c r="J1408"/>
      <c r="K1408"/>
      <c r="L1408"/>
      <c r="M1408" s="12" t="str">
        <f t="shared" si="69"/>
        <v/>
      </c>
    </row>
    <row r="1409" spans="6:13" x14ac:dyDescent="0.25">
      <c r="F1409"/>
      <c r="G1409"/>
      <c r="H1409"/>
      <c r="I1409"/>
      <c r="J1409"/>
      <c r="K1409"/>
      <c r="L1409"/>
      <c r="M1409" s="12" t="str">
        <f t="shared" si="69"/>
        <v/>
      </c>
    </row>
    <row r="1410" spans="6:13" x14ac:dyDescent="0.25">
      <c r="F1410"/>
      <c r="G1410"/>
      <c r="H1410"/>
      <c r="I1410"/>
      <c r="J1410"/>
      <c r="K1410"/>
      <c r="L1410"/>
      <c r="M1410" s="12" t="str">
        <f t="shared" si="69"/>
        <v/>
      </c>
    </row>
    <row r="1411" spans="6:13" x14ac:dyDescent="0.25">
      <c r="F1411"/>
      <c r="G1411"/>
      <c r="H1411"/>
      <c r="I1411"/>
      <c r="J1411"/>
      <c r="K1411"/>
      <c r="L1411"/>
      <c r="M1411" s="12" t="str">
        <f t="shared" ref="M1411:M1474" si="70">IF(ISERR(L1411/K1411),"",L1411/K1411)</f>
        <v/>
      </c>
    </row>
    <row r="1412" spans="6:13" x14ac:dyDescent="0.25">
      <c r="F1412"/>
      <c r="G1412"/>
      <c r="H1412"/>
      <c r="I1412"/>
      <c r="J1412"/>
      <c r="K1412"/>
      <c r="L1412"/>
      <c r="M1412" s="12" t="str">
        <f t="shared" si="70"/>
        <v/>
      </c>
    </row>
    <row r="1413" spans="6:13" x14ac:dyDescent="0.25">
      <c r="F1413"/>
      <c r="G1413"/>
      <c r="H1413"/>
      <c r="I1413"/>
      <c r="J1413"/>
      <c r="K1413"/>
      <c r="L1413"/>
      <c r="M1413" s="12" t="str">
        <f t="shared" si="70"/>
        <v/>
      </c>
    </row>
    <row r="1414" spans="6:13" x14ac:dyDescent="0.25">
      <c r="F1414"/>
      <c r="G1414"/>
      <c r="H1414"/>
      <c r="I1414"/>
      <c r="J1414"/>
      <c r="K1414"/>
      <c r="L1414"/>
      <c r="M1414" s="12" t="str">
        <f t="shared" si="70"/>
        <v/>
      </c>
    </row>
    <row r="1415" spans="6:13" x14ac:dyDescent="0.25">
      <c r="F1415"/>
      <c r="G1415"/>
      <c r="H1415"/>
      <c r="I1415"/>
      <c r="J1415"/>
      <c r="K1415"/>
      <c r="L1415"/>
      <c r="M1415" s="12" t="str">
        <f t="shared" si="70"/>
        <v/>
      </c>
    </row>
    <row r="1416" spans="6:13" x14ac:dyDescent="0.25">
      <c r="F1416"/>
      <c r="G1416"/>
      <c r="H1416"/>
      <c r="I1416"/>
      <c r="J1416"/>
      <c r="K1416"/>
      <c r="L1416"/>
      <c r="M1416" s="12" t="str">
        <f t="shared" si="70"/>
        <v/>
      </c>
    </row>
    <row r="1417" spans="6:13" x14ac:dyDescent="0.25">
      <c r="F1417"/>
      <c r="G1417"/>
      <c r="H1417"/>
      <c r="I1417"/>
      <c r="J1417"/>
      <c r="K1417"/>
      <c r="L1417"/>
      <c r="M1417" s="12" t="str">
        <f t="shared" si="70"/>
        <v/>
      </c>
    </row>
    <row r="1418" spans="6:13" x14ac:dyDescent="0.25">
      <c r="F1418"/>
      <c r="G1418"/>
      <c r="H1418"/>
      <c r="I1418"/>
      <c r="J1418"/>
      <c r="K1418"/>
      <c r="L1418"/>
      <c r="M1418" s="12" t="str">
        <f t="shared" si="70"/>
        <v/>
      </c>
    </row>
    <row r="1419" spans="6:13" x14ac:dyDescent="0.25">
      <c r="F1419"/>
      <c r="G1419"/>
      <c r="H1419"/>
      <c r="I1419"/>
      <c r="J1419"/>
      <c r="K1419"/>
      <c r="L1419"/>
      <c r="M1419" s="12" t="str">
        <f t="shared" si="70"/>
        <v/>
      </c>
    </row>
    <row r="1420" spans="6:13" x14ac:dyDescent="0.25">
      <c r="F1420"/>
      <c r="G1420"/>
      <c r="H1420"/>
      <c r="I1420"/>
      <c r="J1420"/>
      <c r="K1420"/>
      <c r="L1420"/>
      <c r="M1420" s="12" t="str">
        <f t="shared" si="70"/>
        <v/>
      </c>
    </row>
    <row r="1421" spans="6:13" x14ac:dyDescent="0.25">
      <c r="F1421"/>
      <c r="G1421"/>
      <c r="H1421"/>
      <c r="I1421"/>
      <c r="J1421"/>
      <c r="K1421"/>
      <c r="L1421"/>
      <c r="M1421" s="12" t="str">
        <f t="shared" si="70"/>
        <v/>
      </c>
    </row>
    <row r="1422" spans="6:13" x14ac:dyDescent="0.25">
      <c r="F1422"/>
      <c r="G1422"/>
      <c r="H1422"/>
      <c r="I1422"/>
      <c r="J1422"/>
      <c r="K1422"/>
      <c r="L1422"/>
      <c r="M1422" s="12" t="str">
        <f t="shared" si="70"/>
        <v/>
      </c>
    </row>
    <row r="1423" spans="6:13" x14ac:dyDescent="0.25">
      <c r="F1423"/>
      <c r="G1423"/>
      <c r="H1423"/>
      <c r="I1423"/>
      <c r="J1423"/>
      <c r="K1423"/>
      <c r="L1423"/>
      <c r="M1423" s="12" t="str">
        <f t="shared" si="70"/>
        <v/>
      </c>
    </row>
    <row r="1424" spans="6:13" x14ac:dyDescent="0.25">
      <c r="F1424"/>
      <c r="G1424"/>
      <c r="H1424"/>
      <c r="I1424"/>
      <c r="J1424"/>
      <c r="K1424"/>
      <c r="L1424"/>
      <c r="M1424" s="12" t="str">
        <f t="shared" si="70"/>
        <v/>
      </c>
    </row>
    <row r="1425" spans="6:13" x14ac:dyDescent="0.25">
      <c r="F1425"/>
      <c r="G1425"/>
      <c r="H1425"/>
      <c r="I1425"/>
      <c r="J1425"/>
      <c r="K1425"/>
      <c r="L1425"/>
      <c r="M1425" s="12" t="str">
        <f t="shared" si="70"/>
        <v/>
      </c>
    </row>
    <row r="1426" spans="6:13" x14ac:dyDescent="0.25">
      <c r="F1426"/>
      <c r="G1426"/>
      <c r="H1426"/>
      <c r="I1426"/>
      <c r="J1426"/>
      <c r="K1426"/>
      <c r="L1426"/>
      <c r="M1426" s="12" t="str">
        <f t="shared" si="70"/>
        <v/>
      </c>
    </row>
    <row r="1427" spans="6:13" x14ac:dyDescent="0.25">
      <c r="F1427"/>
      <c r="G1427"/>
      <c r="H1427"/>
      <c r="I1427"/>
      <c r="J1427"/>
      <c r="K1427"/>
      <c r="L1427"/>
      <c r="M1427" s="12" t="str">
        <f t="shared" si="70"/>
        <v/>
      </c>
    </row>
    <row r="1428" spans="6:13" x14ac:dyDescent="0.25">
      <c r="F1428"/>
      <c r="G1428"/>
      <c r="H1428"/>
      <c r="I1428"/>
      <c r="J1428"/>
      <c r="K1428"/>
      <c r="L1428"/>
      <c r="M1428" s="12" t="str">
        <f t="shared" si="70"/>
        <v/>
      </c>
    </row>
    <row r="1429" spans="6:13" x14ac:dyDescent="0.25">
      <c r="F1429"/>
      <c r="G1429"/>
      <c r="H1429"/>
      <c r="I1429"/>
      <c r="J1429"/>
      <c r="K1429"/>
      <c r="L1429"/>
      <c r="M1429" s="12" t="str">
        <f t="shared" si="70"/>
        <v/>
      </c>
    </row>
    <row r="1430" spans="6:13" x14ac:dyDescent="0.25">
      <c r="F1430"/>
      <c r="G1430"/>
      <c r="H1430"/>
      <c r="I1430"/>
      <c r="J1430"/>
      <c r="K1430"/>
      <c r="L1430"/>
      <c r="M1430" s="12" t="str">
        <f t="shared" si="70"/>
        <v/>
      </c>
    </row>
    <row r="1431" spans="6:13" x14ac:dyDescent="0.25">
      <c r="F1431"/>
      <c r="G1431"/>
      <c r="H1431"/>
      <c r="I1431"/>
      <c r="J1431"/>
      <c r="K1431"/>
      <c r="L1431"/>
      <c r="M1431" s="12" t="str">
        <f t="shared" si="70"/>
        <v/>
      </c>
    </row>
    <row r="1432" spans="6:13" x14ac:dyDescent="0.25">
      <c r="F1432"/>
      <c r="G1432"/>
      <c r="H1432"/>
      <c r="I1432"/>
      <c r="J1432"/>
      <c r="K1432"/>
      <c r="L1432"/>
      <c r="M1432" s="12" t="str">
        <f t="shared" si="70"/>
        <v/>
      </c>
    </row>
    <row r="1433" spans="6:13" x14ac:dyDescent="0.25">
      <c r="F1433"/>
      <c r="G1433"/>
      <c r="H1433"/>
      <c r="I1433"/>
      <c r="J1433"/>
      <c r="K1433"/>
      <c r="L1433"/>
      <c r="M1433" s="12" t="str">
        <f t="shared" si="70"/>
        <v/>
      </c>
    </row>
    <row r="1434" spans="6:13" x14ac:dyDescent="0.25">
      <c r="F1434"/>
      <c r="G1434"/>
      <c r="H1434"/>
      <c r="I1434"/>
      <c r="J1434"/>
      <c r="K1434"/>
      <c r="L1434"/>
      <c r="M1434" s="12" t="str">
        <f t="shared" si="70"/>
        <v/>
      </c>
    </row>
    <row r="1435" spans="6:13" x14ac:dyDescent="0.25">
      <c r="F1435"/>
      <c r="G1435"/>
      <c r="H1435"/>
      <c r="I1435"/>
      <c r="J1435"/>
      <c r="K1435"/>
      <c r="L1435"/>
      <c r="M1435" s="12" t="str">
        <f t="shared" si="70"/>
        <v/>
      </c>
    </row>
    <row r="1436" spans="6:13" x14ac:dyDescent="0.25">
      <c r="F1436"/>
      <c r="G1436"/>
      <c r="H1436"/>
      <c r="I1436"/>
      <c r="J1436"/>
      <c r="K1436"/>
      <c r="L1436"/>
      <c r="M1436" s="12" t="str">
        <f t="shared" si="70"/>
        <v/>
      </c>
    </row>
    <row r="1437" spans="6:13" x14ac:dyDescent="0.25">
      <c r="F1437"/>
      <c r="G1437"/>
      <c r="H1437"/>
      <c r="I1437"/>
      <c r="J1437"/>
      <c r="K1437"/>
      <c r="L1437"/>
      <c r="M1437" s="12" t="str">
        <f t="shared" si="70"/>
        <v/>
      </c>
    </row>
    <row r="1438" spans="6:13" x14ac:dyDescent="0.25">
      <c r="F1438"/>
      <c r="G1438"/>
      <c r="H1438"/>
      <c r="I1438"/>
      <c r="J1438"/>
      <c r="K1438"/>
      <c r="L1438"/>
      <c r="M1438" s="12" t="str">
        <f t="shared" si="70"/>
        <v/>
      </c>
    </row>
    <row r="1439" spans="6:13" x14ac:dyDescent="0.25">
      <c r="F1439"/>
      <c r="G1439"/>
      <c r="H1439"/>
      <c r="I1439"/>
      <c r="J1439"/>
      <c r="K1439"/>
      <c r="L1439"/>
      <c r="M1439" s="12" t="str">
        <f t="shared" si="70"/>
        <v/>
      </c>
    </row>
    <row r="1440" spans="6:13" x14ac:dyDescent="0.25">
      <c r="F1440"/>
      <c r="G1440"/>
      <c r="H1440"/>
      <c r="I1440"/>
      <c r="J1440"/>
      <c r="K1440"/>
      <c r="L1440"/>
      <c r="M1440" s="12" t="str">
        <f t="shared" si="70"/>
        <v/>
      </c>
    </row>
    <row r="1441" spans="6:13" x14ac:dyDescent="0.25">
      <c r="F1441"/>
      <c r="G1441"/>
      <c r="H1441"/>
      <c r="I1441"/>
      <c r="J1441"/>
      <c r="K1441"/>
      <c r="L1441"/>
      <c r="M1441" s="12" t="str">
        <f t="shared" si="70"/>
        <v/>
      </c>
    </row>
    <row r="1442" spans="6:13" x14ac:dyDescent="0.25">
      <c r="F1442"/>
      <c r="G1442"/>
      <c r="H1442"/>
      <c r="I1442"/>
      <c r="J1442"/>
      <c r="K1442"/>
      <c r="L1442"/>
      <c r="M1442" s="12" t="str">
        <f t="shared" si="70"/>
        <v/>
      </c>
    </row>
    <row r="1443" spans="6:13" x14ac:dyDescent="0.25">
      <c r="F1443"/>
      <c r="G1443"/>
      <c r="H1443"/>
      <c r="I1443"/>
      <c r="J1443"/>
      <c r="K1443"/>
      <c r="L1443"/>
      <c r="M1443" s="12" t="str">
        <f t="shared" si="70"/>
        <v/>
      </c>
    </row>
    <row r="1444" spans="6:13" x14ac:dyDescent="0.25">
      <c r="F1444"/>
      <c r="G1444"/>
      <c r="H1444"/>
      <c r="I1444"/>
      <c r="J1444"/>
      <c r="K1444"/>
      <c r="L1444"/>
      <c r="M1444" s="12" t="str">
        <f t="shared" si="70"/>
        <v/>
      </c>
    </row>
    <row r="1445" spans="6:13" x14ac:dyDescent="0.25">
      <c r="F1445"/>
      <c r="G1445"/>
      <c r="H1445"/>
      <c r="I1445"/>
      <c r="J1445"/>
      <c r="K1445"/>
      <c r="L1445"/>
      <c r="M1445" s="12" t="str">
        <f t="shared" si="70"/>
        <v/>
      </c>
    </row>
    <row r="1446" spans="6:13" x14ac:dyDescent="0.25">
      <c r="F1446"/>
      <c r="G1446"/>
      <c r="H1446"/>
      <c r="I1446"/>
      <c r="J1446"/>
      <c r="K1446"/>
      <c r="L1446"/>
      <c r="M1446" s="12" t="str">
        <f t="shared" si="70"/>
        <v/>
      </c>
    </row>
    <row r="1447" spans="6:13" x14ac:dyDescent="0.25">
      <c r="F1447"/>
      <c r="G1447"/>
      <c r="H1447"/>
      <c r="I1447"/>
      <c r="J1447"/>
      <c r="K1447"/>
      <c r="L1447"/>
      <c r="M1447" s="12" t="str">
        <f t="shared" si="70"/>
        <v/>
      </c>
    </row>
    <row r="1448" spans="6:13" x14ac:dyDescent="0.25">
      <c r="F1448"/>
      <c r="G1448"/>
      <c r="H1448"/>
      <c r="I1448"/>
      <c r="J1448"/>
      <c r="K1448"/>
      <c r="L1448"/>
      <c r="M1448" s="12" t="str">
        <f t="shared" si="70"/>
        <v/>
      </c>
    </row>
    <row r="1449" spans="6:13" x14ac:dyDescent="0.25">
      <c r="F1449"/>
      <c r="G1449"/>
      <c r="H1449"/>
      <c r="I1449"/>
      <c r="J1449"/>
      <c r="K1449"/>
      <c r="L1449"/>
      <c r="M1449" s="12" t="str">
        <f t="shared" si="70"/>
        <v/>
      </c>
    </row>
    <row r="1450" spans="6:13" x14ac:dyDescent="0.25">
      <c r="F1450"/>
      <c r="G1450"/>
      <c r="H1450"/>
      <c r="I1450"/>
      <c r="J1450"/>
      <c r="K1450"/>
      <c r="L1450"/>
      <c r="M1450" s="12" t="str">
        <f t="shared" si="70"/>
        <v/>
      </c>
    </row>
    <row r="1451" spans="6:13" x14ac:dyDescent="0.25">
      <c r="F1451"/>
      <c r="G1451"/>
      <c r="H1451"/>
      <c r="I1451"/>
      <c r="J1451"/>
      <c r="K1451"/>
      <c r="L1451"/>
      <c r="M1451" s="12" t="str">
        <f t="shared" si="70"/>
        <v/>
      </c>
    </row>
    <row r="1452" spans="6:13" x14ac:dyDescent="0.25">
      <c r="F1452"/>
      <c r="G1452"/>
      <c r="H1452"/>
      <c r="I1452"/>
      <c r="J1452"/>
      <c r="K1452"/>
      <c r="L1452"/>
      <c r="M1452" s="12" t="str">
        <f t="shared" si="70"/>
        <v/>
      </c>
    </row>
    <row r="1453" spans="6:13" x14ac:dyDescent="0.25">
      <c r="F1453"/>
      <c r="G1453"/>
      <c r="H1453"/>
      <c r="I1453"/>
      <c r="J1453"/>
      <c r="K1453"/>
      <c r="L1453"/>
      <c r="M1453" s="12" t="str">
        <f t="shared" si="70"/>
        <v/>
      </c>
    </row>
    <row r="1454" spans="6:13" x14ac:dyDescent="0.25">
      <c r="F1454"/>
      <c r="G1454"/>
      <c r="H1454"/>
      <c r="I1454"/>
      <c r="J1454"/>
      <c r="K1454"/>
      <c r="L1454"/>
      <c r="M1454" s="12" t="str">
        <f t="shared" si="70"/>
        <v/>
      </c>
    </row>
    <row r="1455" spans="6:13" x14ac:dyDescent="0.25">
      <c r="F1455"/>
      <c r="G1455"/>
      <c r="H1455"/>
      <c r="I1455"/>
      <c r="J1455"/>
      <c r="K1455"/>
      <c r="L1455"/>
      <c r="M1455" s="12" t="str">
        <f t="shared" si="70"/>
        <v/>
      </c>
    </row>
    <row r="1456" spans="6:13" x14ac:dyDescent="0.25">
      <c r="F1456"/>
      <c r="G1456"/>
      <c r="H1456"/>
      <c r="I1456"/>
      <c r="J1456"/>
      <c r="K1456"/>
      <c r="L1456"/>
      <c r="M1456" s="12" t="str">
        <f t="shared" si="70"/>
        <v/>
      </c>
    </row>
    <row r="1457" spans="6:13" x14ac:dyDescent="0.25">
      <c r="F1457"/>
      <c r="G1457"/>
      <c r="H1457"/>
      <c r="I1457"/>
      <c r="J1457"/>
      <c r="K1457"/>
      <c r="L1457"/>
      <c r="M1457" s="12" t="str">
        <f t="shared" si="70"/>
        <v/>
      </c>
    </row>
    <row r="1458" spans="6:13" x14ac:dyDescent="0.25">
      <c r="F1458"/>
      <c r="G1458"/>
      <c r="H1458"/>
      <c r="I1458"/>
      <c r="J1458"/>
      <c r="K1458"/>
      <c r="L1458"/>
      <c r="M1458" s="12" t="str">
        <f t="shared" si="70"/>
        <v/>
      </c>
    </row>
    <row r="1459" spans="6:13" x14ac:dyDescent="0.25">
      <c r="F1459"/>
      <c r="G1459"/>
      <c r="H1459"/>
      <c r="I1459"/>
      <c r="J1459"/>
      <c r="K1459"/>
      <c r="L1459"/>
      <c r="M1459" s="12" t="str">
        <f t="shared" si="70"/>
        <v/>
      </c>
    </row>
    <row r="1460" spans="6:13" x14ac:dyDescent="0.25">
      <c r="F1460"/>
      <c r="G1460"/>
      <c r="H1460"/>
      <c r="I1460"/>
      <c r="J1460"/>
      <c r="K1460"/>
      <c r="L1460"/>
      <c r="M1460" s="12" t="str">
        <f t="shared" si="70"/>
        <v/>
      </c>
    </row>
    <row r="1461" spans="6:13" x14ac:dyDescent="0.25">
      <c r="F1461"/>
      <c r="G1461"/>
      <c r="H1461"/>
      <c r="I1461"/>
      <c r="J1461"/>
      <c r="K1461"/>
      <c r="L1461"/>
      <c r="M1461" s="12" t="str">
        <f t="shared" si="70"/>
        <v/>
      </c>
    </row>
    <row r="1462" spans="6:13" x14ac:dyDescent="0.25">
      <c r="F1462"/>
      <c r="G1462"/>
      <c r="H1462"/>
      <c r="I1462"/>
      <c r="J1462"/>
      <c r="K1462"/>
      <c r="L1462"/>
      <c r="M1462" s="12" t="str">
        <f t="shared" si="70"/>
        <v/>
      </c>
    </row>
    <row r="1463" spans="6:13" x14ac:dyDescent="0.25">
      <c r="F1463"/>
      <c r="G1463"/>
      <c r="H1463"/>
      <c r="I1463"/>
      <c r="J1463"/>
      <c r="K1463"/>
      <c r="L1463"/>
      <c r="M1463" s="12" t="str">
        <f t="shared" si="70"/>
        <v/>
      </c>
    </row>
    <row r="1464" spans="6:13" x14ac:dyDescent="0.25">
      <c r="F1464"/>
      <c r="G1464"/>
      <c r="H1464"/>
      <c r="I1464"/>
      <c r="J1464"/>
      <c r="K1464"/>
      <c r="L1464"/>
      <c r="M1464" s="12" t="str">
        <f t="shared" si="70"/>
        <v/>
      </c>
    </row>
    <row r="1465" spans="6:13" x14ac:dyDescent="0.25">
      <c r="F1465"/>
      <c r="G1465"/>
      <c r="H1465"/>
      <c r="I1465"/>
      <c r="J1465"/>
      <c r="K1465"/>
      <c r="L1465"/>
      <c r="M1465" s="12" t="str">
        <f t="shared" si="70"/>
        <v/>
      </c>
    </row>
    <row r="1466" spans="6:13" x14ac:dyDescent="0.25">
      <c r="F1466"/>
      <c r="G1466"/>
      <c r="H1466"/>
      <c r="I1466"/>
      <c r="J1466"/>
      <c r="K1466"/>
      <c r="L1466"/>
      <c r="M1466" s="12" t="str">
        <f t="shared" si="70"/>
        <v/>
      </c>
    </row>
    <row r="1467" spans="6:13" x14ac:dyDescent="0.25">
      <c r="F1467"/>
      <c r="G1467"/>
      <c r="H1467"/>
      <c r="I1467"/>
      <c r="J1467"/>
      <c r="K1467"/>
      <c r="L1467"/>
      <c r="M1467" s="12" t="str">
        <f t="shared" si="70"/>
        <v/>
      </c>
    </row>
    <row r="1468" spans="6:13" x14ac:dyDescent="0.25">
      <c r="F1468"/>
      <c r="G1468"/>
      <c r="H1468"/>
      <c r="I1468"/>
      <c r="J1468"/>
      <c r="K1468"/>
      <c r="L1468"/>
      <c r="M1468" s="12" t="str">
        <f t="shared" si="70"/>
        <v/>
      </c>
    </row>
    <row r="1469" spans="6:13" x14ac:dyDescent="0.25">
      <c r="F1469"/>
      <c r="G1469"/>
      <c r="H1469"/>
      <c r="I1469"/>
      <c r="J1469"/>
      <c r="K1469"/>
      <c r="L1469"/>
      <c r="M1469" s="12" t="str">
        <f t="shared" si="70"/>
        <v/>
      </c>
    </row>
    <row r="1470" spans="6:13" x14ac:dyDescent="0.25">
      <c r="F1470"/>
      <c r="G1470"/>
      <c r="H1470"/>
      <c r="I1470"/>
      <c r="J1470"/>
      <c r="K1470"/>
      <c r="L1470"/>
      <c r="M1470" s="12" t="str">
        <f t="shared" si="70"/>
        <v/>
      </c>
    </row>
    <row r="1471" spans="6:13" x14ac:dyDescent="0.25">
      <c r="F1471"/>
      <c r="G1471"/>
      <c r="H1471"/>
      <c r="I1471"/>
      <c r="J1471"/>
      <c r="K1471"/>
      <c r="L1471"/>
      <c r="M1471" s="12" t="str">
        <f t="shared" si="70"/>
        <v/>
      </c>
    </row>
    <row r="1472" spans="6:13" x14ac:dyDescent="0.25">
      <c r="F1472"/>
      <c r="G1472"/>
      <c r="H1472"/>
      <c r="I1472"/>
      <c r="J1472"/>
      <c r="K1472"/>
      <c r="L1472"/>
      <c r="M1472" s="12" t="str">
        <f t="shared" si="70"/>
        <v/>
      </c>
    </row>
    <row r="1473" spans="6:13" x14ac:dyDescent="0.25">
      <c r="F1473"/>
      <c r="G1473"/>
      <c r="H1473"/>
      <c r="I1473"/>
      <c r="J1473"/>
      <c r="K1473"/>
      <c r="L1473"/>
      <c r="M1473" s="12" t="str">
        <f t="shared" si="70"/>
        <v/>
      </c>
    </row>
    <row r="1474" spans="6:13" x14ac:dyDescent="0.25">
      <c r="F1474"/>
      <c r="G1474"/>
      <c r="H1474"/>
      <c r="I1474"/>
      <c r="J1474"/>
      <c r="K1474"/>
      <c r="L1474"/>
      <c r="M1474" s="12" t="str">
        <f t="shared" si="70"/>
        <v/>
      </c>
    </row>
    <row r="1475" spans="6:13" x14ac:dyDescent="0.25">
      <c r="F1475"/>
      <c r="G1475"/>
      <c r="H1475"/>
      <c r="I1475"/>
      <c r="J1475"/>
      <c r="K1475"/>
      <c r="L1475"/>
      <c r="M1475" s="12" t="str">
        <f t="shared" ref="M1475:M1538" si="71">IF(ISERR(L1475/K1475),"",L1475/K1475)</f>
        <v/>
      </c>
    </row>
    <row r="1476" spans="6:13" x14ac:dyDescent="0.25">
      <c r="F1476"/>
      <c r="G1476"/>
      <c r="H1476"/>
      <c r="I1476"/>
      <c r="J1476"/>
      <c r="K1476"/>
      <c r="L1476"/>
      <c r="M1476" s="12" t="str">
        <f t="shared" si="71"/>
        <v/>
      </c>
    </row>
    <row r="1477" spans="6:13" x14ac:dyDescent="0.25">
      <c r="F1477"/>
      <c r="G1477"/>
      <c r="H1477"/>
      <c r="I1477"/>
      <c r="J1477"/>
      <c r="K1477"/>
      <c r="L1477"/>
      <c r="M1477" s="12" t="str">
        <f t="shared" si="71"/>
        <v/>
      </c>
    </row>
    <row r="1478" spans="6:13" x14ac:dyDescent="0.25">
      <c r="F1478"/>
      <c r="G1478"/>
      <c r="H1478"/>
      <c r="I1478"/>
      <c r="J1478"/>
      <c r="K1478"/>
      <c r="L1478"/>
      <c r="M1478" s="12" t="str">
        <f t="shared" si="71"/>
        <v/>
      </c>
    </row>
    <row r="1479" spans="6:13" x14ac:dyDescent="0.25">
      <c r="F1479"/>
      <c r="G1479"/>
      <c r="H1479"/>
      <c r="I1479"/>
      <c r="J1479"/>
      <c r="K1479"/>
      <c r="L1479"/>
      <c r="M1479" s="12" t="str">
        <f t="shared" si="71"/>
        <v/>
      </c>
    </row>
    <row r="1480" spans="6:13" x14ac:dyDescent="0.25">
      <c r="F1480"/>
      <c r="G1480"/>
      <c r="H1480"/>
      <c r="I1480"/>
      <c r="J1480"/>
      <c r="K1480"/>
      <c r="L1480"/>
      <c r="M1480" s="12" t="str">
        <f t="shared" si="71"/>
        <v/>
      </c>
    </row>
    <row r="1481" spans="6:13" x14ac:dyDescent="0.25">
      <c r="F1481"/>
      <c r="G1481"/>
      <c r="H1481"/>
      <c r="I1481"/>
      <c r="J1481"/>
      <c r="K1481"/>
      <c r="L1481"/>
      <c r="M1481" s="12" t="str">
        <f t="shared" si="71"/>
        <v/>
      </c>
    </row>
    <row r="1482" spans="6:13" x14ac:dyDescent="0.25">
      <c r="F1482"/>
      <c r="G1482"/>
      <c r="H1482"/>
      <c r="I1482"/>
      <c r="J1482"/>
      <c r="K1482"/>
      <c r="L1482"/>
      <c r="M1482" s="12" t="str">
        <f t="shared" si="71"/>
        <v/>
      </c>
    </row>
    <row r="1483" spans="6:13" x14ac:dyDescent="0.25">
      <c r="F1483"/>
      <c r="G1483"/>
      <c r="H1483"/>
      <c r="I1483"/>
      <c r="J1483"/>
      <c r="K1483"/>
      <c r="L1483"/>
      <c r="M1483" s="12" t="str">
        <f t="shared" si="71"/>
        <v/>
      </c>
    </row>
    <row r="1484" spans="6:13" x14ac:dyDescent="0.25">
      <c r="F1484"/>
      <c r="G1484"/>
      <c r="H1484"/>
      <c r="I1484"/>
      <c r="J1484"/>
      <c r="K1484"/>
      <c r="L1484"/>
      <c r="M1484" s="12" t="str">
        <f t="shared" si="71"/>
        <v/>
      </c>
    </row>
    <row r="1485" spans="6:13" x14ac:dyDescent="0.25">
      <c r="F1485"/>
      <c r="G1485"/>
      <c r="H1485"/>
      <c r="I1485"/>
      <c r="J1485"/>
      <c r="K1485"/>
      <c r="L1485"/>
      <c r="M1485" s="12" t="str">
        <f t="shared" si="71"/>
        <v/>
      </c>
    </row>
    <row r="1486" spans="6:13" x14ac:dyDescent="0.25">
      <c r="F1486"/>
      <c r="G1486"/>
      <c r="H1486"/>
      <c r="I1486"/>
      <c r="J1486"/>
      <c r="K1486"/>
      <c r="L1486"/>
      <c r="M1486" s="12" t="str">
        <f t="shared" si="71"/>
        <v/>
      </c>
    </row>
    <row r="1487" spans="6:13" x14ac:dyDescent="0.25">
      <c r="F1487"/>
      <c r="G1487"/>
      <c r="H1487"/>
      <c r="I1487"/>
      <c r="J1487"/>
      <c r="K1487"/>
      <c r="L1487"/>
      <c r="M1487" s="12" t="str">
        <f t="shared" si="71"/>
        <v/>
      </c>
    </row>
    <row r="1488" spans="6:13" x14ac:dyDescent="0.25">
      <c r="F1488"/>
      <c r="G1488"/>
      <c r="H1488"/>
      <c r="I1488"/>
      <c r="J1488"/>
      <c r="K1488"/>
      <c r="L1488"/>
      <c r="M1488" s="12" t="str">
        <f t="shared" si="71"/>
        <v/>
      </c>
    </row>
    <row r="1489" spans="6:13" x14ac:dyDescent="0.25">
      <c r="F1489"/>
      <c r="G1489"/>
      <c r="H1489"/>
      <c r="I1489"/>
      <c r="J1489"/>
      <c r="K1489"/>
      <c r="L1489"/>
      <c r="M1489" s="12" t="str">
        <f t="shared" si="71"/>
        <v/>
      </c>
    </row>
    <row r="1490" spans="6:13" x14ac:dyDescent="0.25">
      <c r="F1490"/>
      <c r="G1490"/>
      <c r="H1490"/>
      <c r="I1490"/>
      <c r="J1490"/>
      <c r="K1490"/>
      <c r="L1490"/>
      <c r="M1490" s="12" t="str">
        <f t="shared" si="71"/>
        <v/>
      </c>
    </row>
    <row r="1491" spans="6:13" x14ac:dyDescent="0.25">
      <c r="F1491"/>
      <c r="G1491"/>
      <c r="H1491"/>
      <c r="I1491"/>
      <c r="J1491"/>
      <c r="K1491"/>
      <c r="L1491"/>
      <c r="M1491" s="12" t="str">
        <f t="shared" si="71"/>
        <v/>
      </c>
    </row>
    <row r="1492" spans="6:13" x14ac:dyDescent="0.25">
      <c r="F1492"/>
      <c r="G1492"/>
      <c r="H1492"/>
      <c r="I1492"/>
      <c r="J1492"/>
      <c r="K1492"/>
      <c r="L1492"/>
      <c r="M1492" s="12" t="str">
        <f t="shared" si="71"/>
        <v/>
      </c>
    </row>
    <row r="1493" spans="6:13" x14ac:dyDescent="0.25">
      <c r="F1493"/>
      <c r="G1493"/>
      <c r="H1493"/>
      <c r="I1493"/>
      <c r="J1493"/>
      <c r="K1493"/>
      <c r="L1493"/>
      <c r="M1493" s="12" t="str">
        <f t="shared" si="71"/>
        <v/>
      </c>
    </row>
    <row r="1494" spans="6:13" x14ac:dyDescent="0.25">
      <c r="F1494"/>
      <c r="G1494"/>
      <c r="H1494"/>
      <c r="I1494"/>
      <c r="J1494"/>
      <c r="K1494"/>
      <c r="L1494"/>
      <c r="M1494" s="12" t="str">
        <f t="shared" si="71"/>
        <v/>
      </c>
    </row>
    <row r="1495" spans="6:13" x14ac:dyDescent="0.25">
      <c r="F1495"/>
      <c r="G1495"/>
      <c r="H1495"/>
      <c r="I1495"/>
      <c r="J1495"/>
      <c r="K1495"/>
      <c r="L1495"/>
      <c r="M1495" s="12" t="str">
        <f t="shared" si="71"/>
        <v/>
      </c>
    </row>
    <row r="1496" spans="6:13" x14ac:dyDescent="0.25">
      <c r="F1496"/>
      <c r="G1496"/>
      <c r="H1496"/>
      <c r="I1496"/>
      <c r="J1496"/>
      <c r="K1496"/>
      <c r="L1496"/>
      <c r="M1496" s="12" t="str">
        <f t="shared" si="71"/>
        <v/>
      </c>
    </row>
    <row r="1497" spans="6:13" x14ac:dyDescent="0.25">
      <c r="F1497"/>
      <c r="G1497"/>
      <c r="H1497"/>
      <c r="I1497"/>
      <c r="J1497"/>
      <c r="K1497"/>
      <c r="L1497"/>
      <c r="M1497" s="12" t="str">
        <f t="shared" si="71"/>
        <v/>
      </c>
    </row>
    <row r="1498" spans="6:13" x14ac:dyDescent="0.25">
      <c r="F1498"/>
      <c r="G1498"/>
      <c r="H1498"/>
      <c r="I1498"/>
      <c r="J1498"/>
      <c r="K1498"/>
      <c r="L1498"/>
      <c r="M1498" s="12" t="str">
        <f t="shared" si="71"/>
        <v/>
      </c>
    </row>
    <row r="1499" spans="6:13" x14ac:dyDescent="0.25">
      <c r="F1499"/>
      <c r="G1499"/>
      <c r="H1499"/>
      <c r="I1499"/>
      <c r="J1499"/>
      <c r="K1499"/>
      <c r="L1499"/>
      <c r="M1499" s="12" t="str">
        <f t="shared" si="71"/>
        <v/>
      </c>
    </row>
    <row r="1500" spans="6:13" x14ac:dyDescent="0.25">
      <c r="F1500"/>
      <c r="G1500"/>
      <c r="H1500"/>
      <c r="I1500"/>
      <c r="J1500"/>
      <c r="K1500"/>
      <c r="L1500"/>
      <c r="M1500" s="12" t="str">
        <f t="shared" si="71"/>
        <v/>
      </c>
    </row>
    <row r="1501" spans="6:13" x14ac:dyDescent="0.25">
      <c r="F1501"/>
      <c r="G1501"/>
      <c r="H1501"/>
      <c r="I1501"/>
      <c r="J1501"/>
      <c r="K1501"/>
      <c r="L1501"/>
      <c r="M1501" s="12" t="str">
        <f t="shared" si="71"/>
        <v/>
      </c>
    </row>
    <row r="1502" spans="6:13" x14ac:dyDescent="0.25">
      <c r="F1502"/>
      <c r="G1502"/>
      <c r="H1502"/>
      <c r="I1502"/>
      <c r="J1502"/>
      <c r="K1502"/>
      <c r="L1502"/>
      <c r="M1502" s="12" t="str">
        <f t="shared" si="71"/>
        <v/>
      </c>
    </row>
    <row r="1503" spans="6:13" x14ac:dyDescent="0.25">
      <c r="F1503"/>
      <c r="G1503"/>
      <c r="H1503"/>
      <c r="I1503"/>
      <c r="J1503"/>
      <c r="K1503"/>
      <c r="L1503"/>
      <c r="M1503" s="12" t="str">
        <f t="shared" si="71"/>
        <v/>
      </c>
    </row>
    <row r="1504" spans="6:13" x14ac:dyDescent="0.25">
      <c r="F1504"/>
      <c r="G1504"/>
      <c r="H1504"/>
      <c r="I1504"/>
      <c r="J1504"/>
      <c r="K1504"/>
      <c r="L1504"/>
      <c r="M1504" s="12" t="str">
        <f t="shared" si="71"/>
        <v/>
      </c>
    </row>
    <row r="1505" spans="6:13" x14ac:dyDescent="0.25">
      <c r="F1505"/>
      <c r="G1505"/>
      <c r="H1505"/>
      <c r="I1505"/>
      <c r="J1505"/>
      <c r="K1505"/>
      <c r="L1505"/>
      <c r="M1505" s="12" t="str">
        <f t="shared" si="71"/>
        <v/>
      </c>
    </row>
    <row r="1506" spans="6:13" x14ac:dyDescent="0.25">
      <c r="F1506"/>
      <c r="G1506"/>
      <c r="H1506"/>
      <c r="I1506"/>
      <c r="J1506"/>
      <c r="K1506"/>
      <c r="L1506"/>
      <c r="M1506" s="12" t="str">
        <f t="shared" si="71"/>
        <v/>
      </c>
    </row>
    <row r="1507" spans="6:13" x14ac:dyDescent="0.25">
      <c r="F1507"/>
      <c r="G1507"/>
      <c r="H1507"/>
      <c r="I1507"/>
      <c r="J1507"/>
      <c r="K1507"/>
      <c r="L1507"/>
      <c r="M1507" s="12" t="str">
        <f t="shared" si="71"/>
        <v/>
      </c>
    </row>
    <row r="1508" spans="6:13" x14ac:dyDescent="0.25">
      <c r="F1508"/>
      <c r="G1508"/>
      <c r="H1508"/>
      <c r="I1508"/>
      <c r="J1508"/>
      <c r="K1508"/>
      <c r="L1508"/>
      <c r="M1508" s="12" t="str">
        <f t="shared" si="71"/>
        <v/>
      </c>
    </row>
    <row r="1509" spans="6:13" x14ac:dyDescent="0.25">
      <c r="F1509"/>
      <c r="G1509"/>
      <c r="H1509"/>
      <c r="I1509"/>
      <c r="J1509"/>
      <c r="K1509"/>
      <c r="L1509"/>
      <c r="M1509" s="12" t="str">
        <f t="shared" si="71"/>
        <v/>
      </c>
    </row>
    <row r="1510" spans="6:13" x14ac:dyDescent="0.25">
      <c r="F1510"/>
      <c r="G1510"/>
      <c r="H1510"/>
      <c r="I1510"/>
      <c r="J1510"/>
      <c r="K1510"/>
      <c r="L1510"/>
      <c r="M1510" s="12" t="str">
        <f t="shared" si="71"/>
        <v/>
      </c>
    </row>
    <row r="1511" spans="6:13" x14ac:dyDescent="0.25">
      <c r="F1511"/>
      <c r="G1511"/>
      <c r="H1511"/>
      <c r="I1511"/>
      <c r="J1511"/>
      <c r="K1511"/>
      <c r="L1511"/>
      <c r="M1511" s="12" t="str">
        <f t="shared" si="71"/>
        <v/>
      </c>
    </row>
    <row r="1512" spans="6:13" x14ac:dyDescent="0.25">
      <c r="F1512"/>
      <c r="G1512"/>
      <c r="H1512"/>
      <c r="I1512"/>
      <c r="J1512"/>
      <c r="K1512"/>
      <c r="L1512"/>
      <c r="M1512" s="12" t="str">
        <f t="shared" si="71"/>
        <v/>
      </c>
    </row>
    <row r="1513" spans="6:13" x14ac:dyDescent="0.25">
      <c r="F1513"/>
      <c r="G1513"/>
      <c r="H1513"/>
      <c r="I1513"/>
      <c r="J1513"/>
      <c r="K1513"/>
      <c r="L1513"/>
      <c r="M1513" s="12" t="str">
        <f t="shared" si="71"/>
        <v/>
      </c>
    </row>
    <row r="1514" spans="6:13" x14ac:dyDescent="0.25">
      <c r="F1514"/>
      <c r="G1514"/>
      <c r="H1514"/>
      <c r="I1514"/>
      <c r="J1514"/>
      <c r="K1514"/>
      <c r="L1514"/>
      <c r="M1514" s="12" t="str">
        <f t="shared" si="71"/>
        <v/>
      </c>
    </row>
    <row r="1515" spans="6:13" x14ac:dyDescent="0.25">
      <c r="F1515"/>
      <c r="G1515"/>
      <c r="H1515"/>
      <c r="I1515"/>
      <c r="J1515"/>
      <c r="K1515"/>
      <c r="L1515"/>
      <c r="M1515" s="12" t="str">
        <f t="shared" si="71"/>
        <v/>
      </c>
    </row>
    <row r="1516" spans="6:13" x14ac:dyDescent="0.25">
      <c r="F1516"/>
      <c r="G1516"/>
      <c r="H1516"/>
      <c r="I1516"/>
      <c r="J1516"/>
      <c r="K1516"/>
      <c r="L1516"/>
      <c r="M1516" s="12" t="str">
        <f t="shared" si="71"/>
        <v/>
      </c>
    </row>
    <row r="1517" spans="6:13" x14ac:dyDescent="0.25">
      <c r="F1517"/>
      <c r="G1517"/>
      <c r="H1517"/>
      <c r="I1517"/>
      <c r="J1517"/>
      <c r="K1517"/>
      <c r="L1517"/>
      <c r="M1517" s="12" t="str">
        <f t="shared" si="71"/>
        <v/>
      </c>
    </row>
    <row r="1518" spans="6:13" x14ac:dyDescent="0.25">
      <c r="F1518"/>
      <c r="G1518"/>
      <c r="H1518"/>
      <c r="I1518"/>
      <c r="J1518"/>
      <c r="K1518"/>
      <c r="L1518"/>
      <c r="M1518" s="12" t="str">
        <f t="shared" si="71"/>
        <v/>
      </c>
    </row>
    <row r="1519" spans="6:13" x14ac:dyDescent="0.25">
      <c r="F1519"/>
      <c r="G1519"/>
      <c r="H1519"/>
      <c r="I1519"/>
      <c r="J1519"/>
      <c r="K1519"/>
      <c r="L1519"/>
      <c r="M1519" s="12" t="str">
        <f t="shared" si="71"/>
        <v/>
      </c>
    </row>
    <row r="1520" spans="6:13" x14ac:dyDescent="0.25">
      <c r="F1520"/>
      <c r="G1520"/>
      <c r="H1520"/>
      <c r="I1520"/>
      <c r="J1520"/>
      <c r="K1520"/>
      <c r="L1520"/>
      <c r="M1520" s="12" t="str">
        <f t="shared" si="71"/>
        <v/>
      </c>
    </row>
    <row r="1521" spans="6:13" x14ac:dyDescent="0.25">
      <c r="F1521"/>
      <c r="G1521"/>
      <c r="H1521"/>
      <c r="I1521"/>
      <c r="J1521"/>
      <c r="K1521"/>
      <c r="L1521"/>
      <c r="M1521" s="12" t="str">
        <f t="shared" si="71"/>
        <v/>
      </c>
    </row>
    <row r="1522" spans="6:13" x14ac:dyDescent="0.25">
      <c r="F1522"/>
      <c r="G1522"/>
      <c r="H1522"/>
      <c r="I1522"/>
      <c r="J1522"/>
      <c r="K1522"/>
      <c r="L1522"/>
      <c r="M1522" s="12" t="str">
        <f t="shared" si="71"/>
        <v/>
      </c>
    </row>
    <row r="1523" spans="6:13" x14ac:dyDescent="0.25">
      <c r="F1523"/>
      <c r="G1523"/>
      <c r="H1523"/>
      <c r="I1523"/>
      <c r="J1523"/>
      <c r="K1523"/>
      <c r="L1523"/>
      <c r="M1523" s="12" t="str">
        <f t="shared" si="71"/>
        <v/>
      </c>
    </row>
    <row r="1524" spans="6:13" x14ac:dyDescent="0.25">
      <c r="F1524"/>
      <c r="G1524"/>
      <c r="H1524"/>
      <c r="I1524"/>
      <c r="J1524"/>
      <c r="K1524"/>
      <c r="L1524"/>
      <c r="M1524" s="12" t="str">
        <f t="shared" si="71"/>
        <v/>
      </c>
    </row>
    <row r="1525" spans="6:13" x14ac:dyDescent="0.25">
      <c r="F1525"/>
      <c r="G1525"/>
      <c r="H1525"/>
      <c r="I1525"/>
      <c r="J1525"/>
      <c r="K1525"/>
      <c r="L1525"/>
      <c r="M1525" s="12" t="str">
        <f t="shared" si="71"/>
        <v/>
      </c>
    </row>
    <row r="1526" spans="6:13" x14ac:dyDescent="0.25">
      <c r="F1526"/>
      <c r="G1526"/>
      <c r="H1526"/>
      <c r="I1526"/>
      <c r="J1526"/>
      <c r="K1526"/>
      <c r="L1526"/>
      <c r="M1526" s="12" t="str">
        <f t="shared" si="71"/>
        <v/>
      </c>
    </row>
    <row r="1527" spans="6:13" x14ac:dyDescent="0.25">
      <c r="F1527"/>
      <c r="G1527"/>
      <c r="H1527"/>
      <c r="I1527"/>
      <c r="J1527"/>
      <c r="K1527"/>
      <c r="L1527"/>
      <c r="M1527" s="12" t="str">
        <f t="shared" si="71"/>
        <v/>
      </c>
    </row>
    <row r="1528" spans="6:13" x14ac:dyDescent="0.25">
      <c r="F1528"/>
      <c r="G1528"/>
      <c r="H1528"/>
      <c r="I1528"/>
      <c r="J1528"/>
      <c r="K1528"/>
      <c r="L1528"/>
      <c r="M1528" s="12" t="str">
        <f t="shared" si="71"/>
        <v/>
      </c>
    </row>
    <row r="1529" spans="6:13" x14ac:dyDescent="0.25">
      <c r="F1529"/>
      <c r="G1529"/>
      <c r="H1529"/>
      <c r="I1529"/>
      <c r="J1529"/>
      <c r="K1529"/>
      <c r="L1529"/>
      <c r="M1529" s="12" t="str">
        <f t="shared" si="71"/>
        <v/>
      </c>
    </row>
    <row r="1530" spans="6:13" x14ac:dyDescent="0.25">
      <c r="F1530"/>
      <c r="G1530"/>
      <c r="H1530"/>
      <c r="I1530"/>
      <c r="J1530"/>
      <c r="K1530"/>
      <c r="L1530"/>
      <c r="M1530" s="12" t="str">
        <f t="shared" si="71"/>
        <v/>
      </c>
    </row>
    <row r="1531" spans="6:13" x14ac:dyDescent="0.25">
      <c r="F1531"/>
      <c r="G1531"/>
      <c r="H1531"/>
      <c r="I1531"/>
      <c r="J1531"/>
      <c r="K1531"/>
      <c r="L1531"/>
      <c r="M1531" s="12" t="str">
        <f t="shared" si="71"/>
        <v/>
      </c>
    </row>
    <row r="1532" spans="6:13" x14ac:dyDescent="0.25">
      <c r="F1532"/>
      <c r="G1532"/>
      <c r="H1532"/>
      <c r="I1532"/>
      <c r="J1532"/>
      <c r="K1532"/>
      <c r="L1532"/>
      <c r="M1532" s="12" t="str">
        <f t="shared" si="71"/>
        <v/>
      </c>
    </row>
    <row r="1533" spans="6:13" x14ac:dyDescent="0.25">
      <c r="F1533"/>
      <c r="G1533"/>
      <c r="H1533"/>
      <c r="I1533"/>
      <c r="J1533"/>
      <c r="K1533"/>
      <c r="L1533"/>
      <c r="M1533" s="12" t="str">
        <f t="shared" si="71"/>
        <v/>
      </c>
    </row>
    <row r="1534" spans="6:13" x14ac:dyDescent="0.25">
      <c r="F1534"/>
      <c r="G1534"/>
      <c r="H1534"/>
      <c r="I1534"/>
      <c r="J1534"/>
      <c r="K1534"/>
      <c r="L1534"/>
      <c r="M1534" s="12" t="str">
        <f t="shared" si="71"/>
        <v/>
      </c>
    </row>
    <row r="1535" spans="6:13" x14ac:dyDescent="0.25">
      <c r="F1535"/>
      <c r="G1535"/>
      <c r="H1535"/>
      <c r="I1535"/>
      <c r="J1535"/>
      <c r="K1535"/>
      <c r="L1535"/>
      <c r="M1535" s="12" t="str">
        <f t="shared" si="71"/>
        <v/>
      </c>
    </row>
    <row r="1536" spans="6:13" x14ac:dyDescent="0.25">
      <c r="F1536"/>
      <c r="G1536"/>
      <c r="H1536"/>
      <c r="I1536"/>
      <c r="J1536"/>
      <c r="K1536"/>
      <c r="L1536"/>
      <c r="M1536" s="12" t="str">
        <f t="shared" si="71"/>
        <v/>
      </c>
    </row>
    <row r="1537" spans="6:13" x14ac:dyDescent="0.25">
      <c r="F1537"/>
      <c r="G1537"/>
      <c r="H1537"/>
      <c r="I1537"/>
      <c r="J1537"/>
      <c r="K1537"/>
      <c r="L1537"/>
      <c r="M1537" s="12" t="str">
        <f t="shared" si="71"/>
        <v/>
      </c>
    </row>
    <row r="1538" spans="6:13" x14ac:dyDescent="0.25">
      <c r="F1538"/>
      <c r="G1538"/>
      <c r="H1538"/>
      <c r="I1538"/>
      <c r="J1538"/>
      <c r="K1538"/>
      <c r="L1538"/>
      <c r="M1538" s="12" t="str">
        <f t="shared" si="71"/>
        <v/>
      </c>
    </row>
    <row r="1539" spans="6:13" x14ac:dyDescent="0.25">
      <c r="F1539"/>
      <c r="G1539"/>
      <c r="H1539"/>
      <c r="I1539"/>
      <c r="J1539"/>
      <c r="K1539"/>
      <c r="L1539"/>
      <c r="M1539" s="12" t="str">
        <f t="shared" ref="M1539:M1602" si="72">IF(ISERR(L1539/K1539),"",L1539/K1539)</f>
        <v/>
      </c>
    </row>
    <row r="1540" spans="6:13" x14ac:dyDescent="0.25">
      <c r="F1540"/>
      <c r="G1540"/>
      <c r="H1540"/>
      <c r="I1540"/>
      <c r="J1540"/>
      <c r="K1540"/>
      <c r="L1540"/>
      <c r="M1540" s="12" t="str">
        <f t="shared" si="72"/>
        <v/>
      </c>
    </row>
    <row r="1541" spans="6:13" x14ac:dyDescent="0.25">
      <c r="F1541"/>
      <c r="G1541"/>
      <c r="H1541"/>
      <c r="I1541"/>
      <c r="J1541"/>
      <c r="K1541"/>
      <c r="L1541"/>
      <c r="M1541" s="12" t="str">
        <f t="shared" si="72"/>
        <v/>
      </c>
    </row>
    <row r="1542" spans="6:13" x14ac:dyDescent="0.25">
      <c r="F1542"/>
      <c r="G1542"/>
      <c r="H1542"/>
      <c r="I1542"/>
      <c r="J1542"/>
      <c r="K1542"/>
      <c r="L1542"/>
      <c r="M1542" s="12" t="str">
        <f t="shared" si="72"/>
        <v/>
      </c>
    </row>
    <row r="1543" spans="6:13" x14ac:dyDescent="0.25">
      <c r="F1543"/>
      <c r="G1543"/>
      <c r="H1543"/>
      <c r="I1543"/>
      <c r="J1543"/>
      <c r="K1543"/>
      <c r="L1543"/>
      <c r="M1543" s="12" t="str">
        <f t="shared" si="72"/>
        <v/>
      </c>
    </row>
    <row r="1544" spans="6:13" x14ac:dyDescent="0.25">
      <c r="F1544"/>
      <c r="G1544"/>
      <c r="H1544"/>
      <c r="I1544"/>
      <c r="J1544"/>
      <c r="K1544"/>
      <c r="L1544"/>
      <c r="M1544" s="12" t="str">
        <f t="shared" si="72"/>
        <v/>
      </c>
    </row>
    <row r="1545" spans="6:13" x14ac:dyDescent="0.25">
      <c r="F1545"/>
      <c r="G1545"/>
      <c r="H1545"/>
      <c r="I1545"/>
      <c r="J1545"/>
      <c r="K1545"/>
      <c r="L1545"/>
      <c r="M1545" s="12" t="str">
        <f t="shared" si="72"/>
        <v/>
      </c>
    </row>
    <row r="1546" spans="6:13" x14ac:dyDescent="0.25">
      <c r="F1546"/>
      <c r="G1546"/>
      <c r="H1546"/>
      <c r="I1546"/>
      <c r="J1546"/>
      <c r="K1546"/>
      <c r="L1546"/>
      <c r="M1546" s="12" t="str">
        <f t="shared" si="72"/>
        <v/>
      </c>
    </row>
    <row r="1547" spans="6:13" x14ac:dyDescent="0.25">
      <c r="F1547"/>
      <c r="G1547"/>
      <c r="H1547"/>
      <c r="I1547"/>
      <c r="J1547"/>
      <c r="K1547"/>
      <c r="L1547"/>
      <c r="M1547" s="12" t="str">
        <f t="shared" si="72"/>
        <v/>
      </c>
    </row>
    <row r="1548" spans="6:13" x14ac:dyDescent="0.25">
      <c r="F1548"/>
      <c r="G1548"/>
      <c r="H1548"/>
      <c r="I1548"/>
      <c r="J1548"/>
      <c r="K1548"/>
      <c r="L1548"/>
      <c r="M1548" s="12" t="str">
        <f t="shared" si="72"/>
        <v/>
      </c>
    </row>
    <row r="1549" spans="6:13" x14ac:dyDescent="0.25">
      <c r="F1549"/>
      <c r="G1549"/>
      <c r="H1549"/>
      <c r="I1549"/>
      <c r="J1549"/>
      <c r="K1549"/>
      <c r="L1549"/>
      <c r="M1549" s="12" t="str">
        <f t="shared" si="72"/>
        <v/>
      </c>
    </row>
    <row r="1550" spans="6:13" x14ac:dyDescent="0.25">
      <c r="F1550"/>
      <c r="G1550"/>
      <c r="H1550"/>
      <c r="I1550"/>
      <c r="J1550"/>
      <c r="K1550"/>
      <c r="L1550"/>
      <c r="M1550" s="12" t="str">
        <f t="shared" si="72"/>
        <v/>
      </c>
    </row>
    <row r="1551" spans="6:13" x14ac:dyDescent="0.25">
      <c r="F1551"/>
      <c r="G1551"/>
      <c r="H1551"/>
      <c r="I1551"/>
      <c r="J1551"/>
      <c r="K1551"/>
      <c r="L1551"/>
      <c r="M1551" s="12" t="str">
        <f t="shared" si="72"/>
        <v/>
      </c>
    </row>
    <row r="1552" spans="6:13" x14ac:dyDescent="0.25">
      <c r="F1552"/>
      <c r="G1552"/>
      <c r="H1552"/>
      <c r="I1552"/>
      <c r="J1552"/>
      <c r="K1552"/>
      <c r="L1552"/>
      <c r="M1552" s="12" t="str">
        <f t="shared" si="72"/>
        <v/>
      </c>
    </row>
    <row r="1553" spans="6:13" x14ac:dyDescent="0.25">
      <c r="F1553"/>
      <c r="G1553"/>
      <c r="H1553"/>
      <c r="I1553"/>
      <c r="J1553"/>
      <c r="K1553"/>
      <c r="L1553"/>
      <c r="M1553" s="12" t="str">
        <f t="shared" si="72"/>
        <v/>
      </c>
    </row>
    <row r="1554" spans="6:13" x14ac:dyDescent="0.25">
      <c r="F1554"/>
      <c r="G1554"/>
      <c r="H1554"/>
      <c r="I1554"/>
      <c r="J1554"/>
      <c r="K1554"/>
      <c r="L1554"/>
      <c r="M1554" s="12" t="str">
        <f t="shared" si="72"/>
        <v/>
      </c>
    </row>
    <row r="1555" spans="6:13" x14ac:dyDescent="0.25">
      <c r="F1555"/>
      <c r="G1555"/>
      <c r="H1555"/>
      <c r="I1555"/>
      <c r="J1555"/>
      <c r="K1555"/>
      <c r="L1555"/>
      <c r="M1555" s="12" t="str">
        <f t="shared" si="72"/>
        <v/>
      </c>
    </row>
    <row r="1556" spans="6:13" x14ac:dyDescent="0.25">
      <c r="F1556"/>
      <c r="G1556"/>
      <c r="H1556"/>
      <c r="I1556"/>
      <c r="J1556"/>
      <c r="K1556"/>
      <c r="L1556"/>
      <c r="M1556" s="12" t="str">
        <f t="shared" si="72"/>
        <v/>
      </c>
    </row>
    <row r="1557" spans="6:13" x14ac:dyDescent="0.25">
      <c r="F1557"/>
      <c r="G1557"/>
      <c r="H1557"/>
      <c r="I1557"/>
      <c r="J1557"/>
      <c r="K1557"/>
      <c r="L1557"/>
      <c r="M1557" s="12" t="str">
        <f t="shared" si="72"/>
        <v/>
      </c>
    </row>
    <row r="1558" spans="6:13" x14ac:dyDescent="0.25">
      <c r="F1558"/>
      <c r="G1558"/>
      <c r="H1558"/>
      <c r="I1558"/>
      <c r="J1558"/>
      <c r="K1558"/>
      <c r="L1558"/>
      <c r="M1558" s="12" t="str">
        <f t="shared" si="72"/>
        <v/>
      </c>
    </row>
    <row r="1559" spans="6:13" x14ac:dyDescent="0.25">
      <c r="F1559"/>
      <c r="G1559"/>
      <c r="H1559"/>
      <c r="I1559"/>
      <c r="J1559"/>
      <c r="K1559"/>
      <c r="L1559"/>
      <c r="M1559" s="12" t="str">
        <f t="shared" si="72"/>
        <v/>
      </c>
    </row>
    <row r="1560" spans="6:13" x14ac:dyDescent="0.25">
      <c r="F1560"/>
      <c r="G1560"/>
      <c r="H1560"/>
      <c r="I1560"/>
      <c r="J1560"/>
      <c r="K1560"/>
      <c r="L1560"/>
      <c r="M1560" s="12" t="str">
        <f t="shared" si="72"/>
        <v/>
      </c>
    </row>
    <row r="1561" spans="6:13" x14ac:dyDescent="0.25">
      <c r="F1561"/>
      <c r="G1561"/>
      <c r="H1561"/>
      <c r="I1561"/>
      <c r="J1561"/>
      <c r="K1561"/>
      <c r="L1561"/>
      <c r="M1561" s="12" t="str">
        <f t="shared" si="72"/>
        <v/>
      </c>
    </row>
    <row r="1562" spans="6:13" x14ac:dyDescent="0.25">
      <c r="F1562"/>
      <c r="G1562"/>
      <c r="H1562"/>
      <c r="I1562"/>
      <c r="J1562"/>
      <c r="K1562"/>
      <c r="L1562"/>
      <c r="M1562" s="12" t="str">
        <f t="shared" si="72"/>
        <v/>
      </c>
    </row>
    <row r="1563" spans="6:13" x14ac:dyDescent="0.25">
      <c r="F1563"/>
      <c r="G1563"/>
      <c r="H1563"/>
      <c r="I1563"/>
      <c r="J1563"/>
      <c r="K1563"/>
      <c r="L1563"/>
      <c r="M1563" s="12" t="str">
        <f t="shared" si="72"/>
        <v/>
      </c>
    </row>
    <row r="1564" spans="6:13" x14ac:dyDescent="0.25">
      <c r="F1564"/>
      <c r="G1564"/>
      <c r="H1564"/>
      <c r="I1564"/>
      <c r="J1564"/>
      <c r="K1564"/>
      <c r="L1564"/>
      <c r="M1564" s="12" t="str">
        <f t="shared" si="72"/>
        <v/>
      </c>
    </row>
    <row r="1565" spans="6:13" x14ac:dyDescent="0.25">
      <c r="F1565"/>
      <c r="G1565"/>
      <c r="H1565"/>
      <c r="I1565"/>
      <c r="J1565"/>
      <c r="K1565"/>
      <c r="L1565"/>
      <c r="M1565" s="12" t="str">
        <f t="shared" si="72"/>
        <v/>
      </c>
    </row>
    <row r="1566" spans="6:13" x14ac:dyDescent="0.25">
      <c r="F1566"/>
      <c r="G1566"/>
      <c r="H1566"/>
      <c r="I1566"/>
      <c r="J1566"/>
      <c r="K1566"/>
      <c r="L1566"/>
      <c r="M1566" s="12" t="str">
        <f t="shared" si="72"/>
        <v/>
      </c>
    </row>
    <row r="1567" spans="6:13" x14ac:dyDescent="0.25">
      <c r="F1567"/>
      <c r="G1567"/>
      <c r="H1567"/>
      <c r="I1567"/>
      <c r="J1567"/>
      <c r="K1567"/>
      <c r="L1567"/>
      <c r="M1567" s="12" t="str">
        <f t="shared" si="72"/>
        <v/>
      </c>
    </row>
    <row r="1568" spans="6:13" x14ac:dyDescent="0.25">
      <c r="F1568"/>
      <c r="G1568"/>
      <c r="H1568"/>
      <c r="I1568"/>
      <c r="J1568"/>
      <c r="K1568"/>
      <c r="L1568"/>
      <c r="M1568" s="12" t="str">
        <f t="shared" si="72"/>
        <v/>
      </c>
    </row>
    <row r="1569" spans="6:13" x14ac:dyDescent="0.25">
      <c r="F1569"/>
      <c r="G1569"/>
      <c r="H1569"/>
      <c r="I1569"/>
      <c r="J1569"/>
      <c r="K1569"/>
      <c r="L1569"/>
      <c r="M1569" s="12" t="str">
        <f t="shared" si="72"/>
        <v/>
      </c>
    </row>
    <row r="1570" spans="6:13" x14ac:dyDescent="0.25">
      <c r="F1570"/>
      <c r="G1570"/>
      <c r="H1570"/>
      <c r="I1570"/>
      <c r="J1570"/>
      <c r="K1570"/>
      <c r="L1570"/>
      <c r="M1570" s="12" t="str">
        <f t="shared" si="72"/>
        <v/>
      </c>
    </row>
    <row r="1571" spans="6:13" x14ac:dyDescent="0.25">
      <c r="F1571"/>
      <c r="G1571"/>
      <c r="H1571"/>
      <c r="I1571"/>
      <c r="J1571"/>
      <c r="K1571"/>
      <c r="L1571"/>
      <c r="M1571" s="12" t="str">
        <f t="shared" si="72"/>
        <v/>
      </c>
    </row>
    <row r="1572" spans="6:13" x14ac:dyDescent="0.25">
      <c r="F1572"/>
      <c r="G1572"/>
      <c r="H1572"/>
      <c r="I1572"/>
      <c r="J1572"/>
      <c r="K1572"/>
      <c r="L1572"/>
      <c r="M1572" s="12" t="str">
        <f t="shared" si="72"/>
        <v/>
      </c>
    </row>
    <row r="1573" spans="6:13" x14ac:dyDescent="0.25">
      <c r="F1573"/>
      <c r="G1573"/>
      <c r="H1573"/>
      <c r="I1573"/>
      <c r="J1573"/>
      <c r="K1573"/>
      <c r="L1573"/>
      <c r="M1573" s="12" t="str">
        <f t="shared" si="72"/>
        <v/>
      </c>
    </row>
    <row r="1574" spans="6:13" x14ac:dyDescent="0.25">
      <c r="F1574"/>
      <c r="G1574"/>
      <c r="H1574"/>
      <c r="I1574"/>
      <c r="J1574"/>
      <c r="K1574"/>
      <c r="L1574"/>
      <c r="M1574" s="12" t="str">
        <f t="shared" si="72"/>
        <v/>
      </c>
    </row>
    <row r="1575" spans="6:13" x14ac:dyDescent="0.25">
      <c r="F1575"/>
      <c r="G1575"/>
      <c r="H1575"/>
      <c r="I1575"/>
      <c r="J1575"/>
      <c r="K1575"/>
      <c r="L1575"/>
      <c r="M1575" s="12" t="str">
        <f t="shared" si="72"/>
        <v/>
      </c>
    </row>
    <row r="1576" spans="6:13" x14ac:dyDescent="0.25">
      <c r="F1576"/>
      <c r="G1576"/>
      <c r="H1576"/>
      <c r="I1576"/>
      <c r="J1576"/>
      <c r="K1576"/>
      <c r="L1576"/>
      <c r="M1576" s="12" t="str">
        <f t="shared" si="72"/>
        <v/>
      </c>
    </row>
    <row r="1577" spans="6:13" x14ac:dyDescent="0.25">
      <c r="F1577"/>
      <c r="G1577"/>
      <c r="H1577"/>
      <c r="I1577"/>
      <c r="J1577"/>
      <c r="K1577"/>
      <c r="L1577"/>
      <c r="M1577" s="12" t="str">
        <f t="shared" si="72"/>
        <v/>
      </c>
    </row>
    <row r="1578" spans="6:13" x14ac:dyDescent="0.25">
      <c r="F1578"/>
      <c r="G1578"/>
      <c r="H1578"/>
      <c r="I1578"/>
      <c r="J1578"/>
      <c r="K1578"/>
      <c r="L1578"/>
      <c r="M1578" s="12" t="str">
        <f t="shared" si="72"/>
        <v/>
      </c>
    </row>
    <row r="1579" spans="6:13" x14ac:dyDescent="0.25">
      <c r="F1579"/>
      <c r="G1579"/>
      <c r="H1579"/>
      <c r="I1579"/>
      <c r="J1579"/>
      <c r="K1579"/>
      <c r="L1579"/>
      <c r="M1579" s="12" t="str">
        <f t="shared" si="72"/>
        <v/>
      </c>
    </row>
    <row r="1580" spans="6:13" x14ac:dyDescent="0.25">
      <c r="F1580"/>
      <c r="G1580"/>
      <c r="H1580"/>
      <c r="I1580"/>
      <c r="J1580"/>
      <c r="K1580"/>
      <c r="L1580"/>
      <c r="M1580" s="12" t="str">
        <f t="shared" si="72"/>
        <v/>
      </c>
    </row>
    <row r="1581" spans="6:13" x14ac:dyDescent="0.25">
      <c r="F1581"/>
      <c r="G1581"/>
      <c r="H1581"/>
      <c r="I1581"/>
      <c r="J1581"/>
      <c r="K1581"/>
      <c r="L1581"/>
      <c r="M1581" s="12" t="str">
        <f t="shared" si="72"/>
        <v/>
      </c>
    </row>
    <row r="1582" spans="6:13" x14ac:dyDescent="0.25">
      <c r="F1582"/>
      <c r="G1582"/>
      <c r="H1582"/>
      <c r="I1582"/>
      <c r="J1582"/>
      <c r="K1582"/>
      <c r="L1582"/>
      <c r="M1582" s="12" t="str">
        <f t="shared" si="72"/>
        <v/>
      </c>
    </row>
    <row r="1583" spans="6:13" x14ac:dyDescent="0.25">
      <c r="F1583"/>
      <c r="G1583"/>
      <c r="H1583"/>
      <c r="I1583"/>
      <c r="J1583"/>
      <c r="K1583"/>
      <c r="L1583"/>
      <c r="M1583" s="12" t="str">
        <f t="shared" si="72"/>
        <v/>
      </c>
    </row>
    <row r="1584" spans="6:13" x14ac:dyDescent="0.25">
      <c r="F1584"/>
      <c r="G1584"/>
      <c r="H1584"/>
      <c r="I1584"/>
      <c r="J1584"/>
      <c r="K1584"/>
      <c r="L1584"/>
      <c r="M1584" s="12" t="str">
        <f t="shared" si="72"/>
        <v/>
      </c>
    </row>
    <row r="1585" spans="6:13" x14ac:dyDescent="0.25">
      <c r="F1585"/>
      <c r="G1585"/>
      <c r="H1585"/>
      <c r="I1585"/>
      <c r="J1585"/>
      <c r="K1585"/>
      <c r="L1585"/>
      <c r="M1585" s="12" t="str">
        <f t="shared" si="72"/>
        <v/>
      </c>
    </row>
    <row r="1586" spans="6:13" x14ac:dyDescent="0.25">
      <c r="F1586"/>
      <c r="G1586"/>
      <c r="H1586"/>
      <c r="I1586"/>
      <c r="J1586"/>
      <c r="K1586"/>
      <c r="L1586"/>
      <c r="M1586" s="12" t="str">
        <f t="shared" si="72"/>
        <v/>
      </c>
    </row>
    <row r="1587" spans="6:13" x14ac:dyDescent="0.25">
      <c r="F1587"/>
      <c r="G1587"/>
      <c r="H1587"/>
      <c r="I1587"/>
      <c r="J1587"/>
      <c r="K1587"/>
      <c r="L1587"/>
      <c r="M1587" s="12" t="str">
        <f t="shared" si="72"/>
        <v/>
      </c>
    </row>
    <row r="1588" spans="6:13" x14ac:dyDescent="0.25">
      <c r="F1588"/>
      <c r="G1588"/>
      <c r="H1588"/>
      <c r="I1588"/>
      <c r="J1588"/>
      <c r="K1588"/>
      <c r="L1588"/>
      <c r="M1588" s="12" t="str">
        <f t="shared" si="72"/>
        <v/>
      </c>
    </row>
    <row r="1589" spans="6:13" x14ac:dyDescent="0.25">
      <c r="F1589"/>
      <c r="G1589"/>
      <c r="H1589"/>
      <c r="I1589"/>
      <c r="J1589"/>
      <c r="K1589"/>
      <c r="L1589"/>
      <c r="M1589" s="12" t="str">
        <f t="shared" si="72"/>
        <v/>
      </c>
    </row>
    <row r="1590" spans="6:13" x14ac:dyDescent="0.25">
      <c r="F1590"/>
      <c r="G1590"/>
      <c r="H1590"/>
      <c r="I1590"/>
      <c r="J1590"/>
      <c r="K1590"/>
      <c r="L1590"/>
      <c r="M1590" s="12" t="str">
        <f t="shared" si="72"/>
        <v/>
      </c>
    </row>
    <row r="1591" spans="6:13" x14ac:dyDescent="0.25">
      <c r="F1591"/>
      <c r="G1591"/>
      <c r="H1591"/>
      <c r="I1591"/>
      <c r="J1591"/>
      <c r="K1591"/>
      <c r="L1591"/>
      <c r="M1591" s="12" t="str">
        <f t="shared" si="72"/>
        <v/>
      </c>
    </row>
    <row r="1592" spans="6:13" x14ac:dyDescent="0.25">
      <c r="F1592"/>
      <c r="G1592"/>
      <c r="H1592"/>
      <c r="I1592"/>
      <c r="J1592"/>
      <c r="K1592"/>
      <c r="L1592"/>
      <c r="M1592" s="12" t="str">
        <f t="shared" si="72"/>
        <v/>
      </c>
    </row>
    <row r="1593" spans="6:13" x14ac:dyDescent="0.25">
      <c r="F1593"/>
      <c r="G1593"/>
      <c r="H1593"/>
      <c r="I1593"/>
      <c r="J1593"/>
      <c r="K1593"/>
      <c r="L1593"/>
      <c r="M1593" s="12" t="str">
        <f t="shared" si="72"/>
        <v/>
      </c>
    </row>
    <row r="1594" spans="6:13" x14ac:dyDescent="0.25">
      <c r="F1594"/>
      <c r="G1594"/>
      <c r="H1594"/>
      <c r="I1594"/>
      <c r="J1594"/>
      <c r="K1594"/>
      <c r="L1594"/>
      <c r="M1594" s="12" t="str">
        <f t="shared" si="72"/>
        <v/>
      </c>
    </row>
    <row r="1595" spans="6:13" x14ac:dyDescent="0.25">
      <c r="F1595"/>
      <c r="G1595"/>
      <c r="H1595"/>
      <c r="I1595"/>
      <c r="J1595"/>
      <c r="K1595"/>
      <c r="L1595"/>
      <c r="M1595" s="12" t="str">
        <f t="shared" si="72"/>
        <v/>
      </c>
    </row>
    <row r="1596" spans="6:13" x14ac:dyDescent="0.25">
      <c r="F1596"/>
      <c r="G1596"/>
      <c r="H1596"/>
      <c r="I1596"/>
      <c r="J1596"/>
      <c r="K1596"/>
      <c r="L1596"/>
      <c r="M1596" s="12" t="str">
        <f t="shared" si="72"/>
        <v/>
      </c>
    </row>
    <row r="1597" spans="6:13" x14ac:dyDescent="0.25">
      <c r="F1597"/>
      <c r="G1597"/>
      <c r="H1597"/>
      <c r="I1597"/>
      <c r="J1597"/>
      <c r="K1597"/>
      <c r="L1597"/>
      <c r="M1597" s="12" t="str">
        <f t="shared" si="72"/>
        <v/>
      </c>
    </row>
    <row r="1598" spans="6:13" x14ac:dyDescent="0.25">
      <c r="F1598"/>
      <c r="G1598"/>
      <c r="H1598"/>
      <c r="I1598"/>
      <c r="J1598"/>
      <c r="K1598"/>
      <c r="L1598"/>
      <c r="M1598" s="12" t="str">
        <f t="shared" si="72"/>
        <v/>
      </c>
    </row>
    <row r="1599" spans="6:13" x14ac:dyDescent="0.25">
      <c r="F1599"/>
      <c r="G1599"/>
      <c r="H1599"/>
      <c r="I1599"/>
      <c r="J1599"/>
      <c r="K1599"/>
      <c r="L1599"/>
      <c r="M1599" s="12" t="str">
        <f t="shared" si="72"/>
        <v/>
      </c>
    </row>
    <row r="1600" spans="6:13" x14ac:dyDescent="0.25">
      <c r="F1600"/>
      <c r="G1600"/>
      <c r="H1600"/>
      <c r="I1600"/>
      <c r="J1600"/>
      <c r="K1600"/>
      <c r="L1600"/>
      <c r="M1600" s="12" t="str">
        <f t="shared" si="72"/>
        <v/>
      </c>
    </row>
    <row r="1601" spans="6:13" x14ac:dyDescent="0.25">
      <c r="F1601"/>
      <c r="G1601"/>
      <c r="H1601"/>
      <c r="I1601"/>
      <c r="J1601"/>
      <c r="K1601"/>
      <c r="L1601"/>
      <c r="M1601" s="12" t="str">
        <f t="shared" si="72"/>
        <v/>
      </c>
    </row>
    <row r="1602" spans="6:13" x14ac:dyDescent="0.25">
      <c r="F1602"/>
      <c r="G1602"/>
      <c r="H1602"/>
      <c r="I1602"/>
      <c r="J1602"/>
      <c r="K1602"/>
      <c r="L1602"/>
      <c r="M1602" s="12" t="str">
        <f t="shared" si="72"/>
        <v/>
      </c>
    </row>
    <row r="1603" spans="6:13" x14ac:dyDescent="0.25">
      <c r="F1603"/>
      <c r="G1603"/>
      <c r="H1603"/>
      <c r="I1603"/>
      <c r="J1603"/>
      <c r="K1603"/>
      <c r="L1603"/>
      <c r="M1603" s="12" t="str">
        <f t="shared" ref="M1603:M1620" si="73">IF(ISERR(L1603/K1603),"",L1603/K1603)</f>
        <v/>
      </c>
    </row>
    <row r="1604" spans="6:13" x14ac:dyDescent="0.25">
      <c r="F1604"/>
      <c r="G1604"/>
      <c r="H1604"/>
      <c r="I1604"/>
      <c r="J1604"/>
      <c r="K1604"/>
      <c r="L1604"/>
      <c r="M1604" s="12" t="str">
        <f t="shared" si="73"/>
        <v/>
      </c>
    </row>
    <row r="1605" spans="6:13" x14ac:dyDescent="0.25">
      <c r="F1605"/>
      <c r="G1605"/>
      <c r="H1605"/>
      <c r="I1605"/>
      <c r="J1605"/>
      <c r="K1605"/>
      <c r="L1605"/>
      <c r="M1605" s="12" t="str">
        <f t="shared" si="73"/>
        <v/>
      </c>
    </row>
    <row r="1606" spans="6:13" x14ac:dyDescent="0.25">
      <c r="F1606"/>
      <c r="G1606"/>
      <c r="H1606"/>
      <c r="I1606"/>
      <c r="J1606"/>
      <c r="K1606"/>
      <c r="L1606"/>
      <c r="M1606" s="12" t="str">
        <f t="shared" si="73"/>
        <v/>
      </c>
    </row>
    <row r="1607" spans="6:13" x14ac:dyDescent="0.25">
      <c r="F1607"/>
      <c r="G1607"/>
      <c r="H1607"/>
      <c r="I1607"/>
      <c r="J1607"/>
      <c r="K1607"/>
      <c r="L1607"/>
      <c r="M1607" s="12" t="str">
        <f t="shared" si="73"/>
        <v/>
      </c>
    </row>
    <row r="1608" spans="6:13" x14ac:dyDescent="0.25">
      <c r="F1608"/>
      <c r="G1608"/>
      <c r="H1608"/>
      <c r="I1608"/>
      <c r="J1608"/>
      <c r="K1608"/>
      <c r="L1608"/>
      <c r="M1608" s="12" t="str">
        <f t="shared" si="73"/>
        <v/>
      </c>
    </row>
    <row r="1609" spans="6:13" x14ac:dyDescent="0.25">
      <c r="F1609"/>
      <c r="G1609"/>
      <c r="H1609"/>
      <c r="I1609"/>
      <c r="J1609"/>
      <c r="K1609"/>
      <c r="L1609"/>
      <c r="M1609" s="12" t="str">
        <f t="shared" si="73"/>
        <v/>
      </c>
    </row>
    <row r="1610" spans="6:13" x14ac:dyDescent="0.25">
      <c r="F1610"/>
      <c r="G1610"/>
      <c r="H1610"/>
      <c r="I1610"/>
      <c r="J1610"/>
      <c r="K1610"/>
      <c r="L1610"/>
      <c r="M1610" s="12" t="str">
        <f t="shared" si="73"/>
        <v/>
      </c>
    </row>
    <row r="1611" spans="6:13" x14ac:dyDescent="0.25">
      <c r="F1611"/>
      <c r="G1611"/>
      <c r="H1611"/>
      <c r="I1611"/>
      <c r="J1611"/>
      <c r="K1611"/>
      <c r="L1611"/>
      <c r="M1611" s="12" t="str">
        <f t="shared" si="73"/>
        <v/>
      </c>
    </row>
    <row r="1612" spans="6:13" x14ac:dyDescent="0.25">
      <c r="F1612"/>
      <c r="G1612"/>
      <c r="H1612"/>
      <c r="I1612"/>
      <c r="J1612"/>
      <c r="K1612"/>
      <c r="L1612"/>
      <c r="M1612" s="12" t="str">
        <f t="shared" si="73"/>
        <v/>
      </c>
    </row>
    <row r="1613" spans="6:13" x14ac:dyDescent="0.25">
      <c r="F1613"/>
      <c r="G1613"/>
      <c r="H1613"/>
      <c r="I1613"/>
      <c r="J1613"/>
      <c r="K1613"/>
      <c r="L1613"/>
      <c r="M1613" s="12" t="str">
        <f t="shared" si="73"/>
        <v/>
      </c>
    </row>
    <row r="1614" spans="6:13" x14ac:dyDescent="0.25">
      <c r="F1614"/>
      <c r="G1614"/>
      <c r="H1614"/>
      <c r="I1614"/>
      <c r="J1614"/>
      <c r="K1614"/>
      <c r="L1614"/>
      <c r="M1614" s="12" t="str">
        <f t="shared" si="73"/>
        <v/>
      </c>
    </row>
    <row r="1615" spans="6:13" x14ac:dyDescent="0.25">
      <c r="F1615"/>
      <c r="G1615"/>
      <c r="H1615"/>
      <c r="I1615"/>
      <c r="J1615"/>
      <c r="K1615"/>
      <c r="L1615"/>
      <c r="M1615" s="12" t="str">
        <f t="shared" si="73"/>
        <v/>
      </c>
    </row>
    <row r="1616" spans="6:13" x14ac:dyDescent="0.25">
      <c r="F1616"/>
      <c r="G1616"/>
      <c r="H1616"/>
      <c r="I1616"/>
      <c r="J1616"/>
      <c r="K1616"/>
      <c r="L1616"/>
      <c r="M1616" s="12" t="str">
        <f t="shared" si="73"/>
        <v/>
      </c>
    </row>
    <row r="1617" spans="6:13" x14ac:dyDescent="0.25">
      <c r="F1617"/>
      <c r="G1617"/>
      <c r="H1617"/>
      <c r="I1617"/>
      <c r="J1617"/>
      <c r="K1617"/>
      <c r="L1617"/>
      <c r="M1617" s="12" t="str">
        <f t="shared" si="73"/>
        <v/>
      </c>
    </row>
    <row r="1618" spans="6:13" x14ac:dyDescent="0.25">
      <c r="F1618"/>
      <c r="G1618"/>
      <c r="H1618"/>
      <c r="I1618"/>
      <c r="J1618"/>
      <c r="K1618"/>
      <c r="L1618"/>
      <c r="M1618" s="12" t="str">
        <f t="shared" si="73"/>
        <v/>
      </c>
    </row>
    <row r="1619" spans="6:13" x14ac:dyDescent="0.25">
      <c r="F1619"/>
      <c r="G1619"/>
      <c r="H1619"/>
      <c r="I1619"/>
      <c r="J1619"/>
      <c r="K1619"/>
      <c r="L1619"/>
      <c r="M1619" s="12" t="str">
        <f t="shared" si="73"/>
        <v/>
      </c>
    </row>
    <row r="1620" spans="6:13" x14ac:dyDescent="0.25">
      <c r="F1620"/>
      <c r="G1620"/>
      <c r="H1620"/>
      <c r="I1620"/>
      <c r="J1620"/>
      <c r="K1620"/>
      <c r="L1620"/>
      <c r="M1620" s="12" t="str">
        <f t="shared" si="73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data</vt:lpstr>
      <vt:lpstr>TABLEAU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</dc:creator>
  <cp:lastModifiedBy>COLLIN</cp:lastModifiedBy>
  <dcterms:created xsi:type="dcterms:W3CDTF">2017-03-08T08:03:04Z</dcterms:created>
  <dcterms:modified xsi:type="dcterms:W3CDTF">2017-06-09T08:32:31Z</dcterms:modified>
</cp:coreProperties>
</file>