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18915" windowHeight="11580" tabRatio="282" activeTab="2"/>
  </bookViews>
  <sheets>
    <sheet name="Param" sheetId="3" r:id="rId1"/>
    <sheet name="Data" sheetId="1" r:id="rId2"/>
    <sheet name="Tableau" sheetId="2" r:id="rId3"/>
  </sheets>
  <definedNames>
    <definedName name="_xlnm._FilterDatabase" localSheetId="2" hidden="1">Tableau!$B$3:$B$5</definedName>
    <definedName name="BUREAU_DELL_SQLEXPRESS_vnc5_CA_MENSUELCLIENT" localSheetId="1" hidden="1">Data!$A$1:$G$3349</definedName>
    <definedName name="bureau_dell_sqlexpress_vnc5_CA_MENSUELCLIENT_CODECLIENT" localSheetId="1" hidden="1">Data!$I$1:$I$220</definedName>
  </definedNames>
  <calcPr calcId="145621"/>
</workbook>
</file>

<file path=xl/calcChain.xml><?xml version="1.0" encoding="utf-8"?>
<calcChain xmlns="http://schemas.openxmlformats.org/spreadsheetml/2006/main">
  <c r="C3" i="2" l="1"/>
  <c r="B3" i="3" l="1"/>
  <c r="B5" i="2" l="1"/>
  <c r="D5" i="2" l="1"/>
  <c r="D4" i="2"/>
  <c r="B4" i="2" l="1"/>
  <c r="U1" i="2"/>
  <c r="W1" i="2"/>
  <c r="Y1" i="2"/>
  <c r="AA1" i="2"/>
  <c r="M1" i="2"/>
  <c r="O1" i="2"/>
  <c r="Q1" i="2"/>
  <c r="S1" i="2"/>
  <c r="I1" i="2"/>
  <c r="K1" i="2"/>
  <c r="G1" i="2"/>
  <c r="E1" i="2"/>
  <c r="AA5" i="2" l="1"/>
  <c r="W5" i="2"/>
  <c r="S5" i="2"/>
  <c r="O5" i="2"/>
  <c r="K5" i="2"/>
  <c r="G5" i="2"/>
  <c r="AA4" i="2"/>
  <c r="W4" i="2"/>
  <c r="S4" i="2"/>
  <c r="O4" i="2"/>
  <c r="K4" i="2"/>
  <c r="G4" i="2"/>
  <c r="Y5" i="2"/>
  <c r="U5" i="2"/>
  <c r="Q5" i="2"/>
  <c r="M5" i="2"/>
  <c r="I5" i="2"/>
  <c r="E5" i="2"/>
  <c r="Y4" i="2"/>
  <c r="U4" i="2"/>
  <c r="Q4" i="2"/>
  <c r="R4" i="2" s="1"/>
  <c r="M4" i="2"/>
  <c r="I4" i="2"/>
  <c r="J4" i="2" s="1"/>
  <c r="E4" i="2"/>
  <c r="F4" i="2" s="1"/>
  <c r="N4" i="2"/>
  <c r="Z4" i="2"/>
  <c r="H4" i="2"/>
  <c r="L4" i="2"/>
  <c r="P4" i="2"/>
  <c r="T4" i="2"/>
  <c r="X4" i="2"/>
  <c r="AB4" i="2"/>
  <c r="C4" i="2"/>
  <c r="V4" i="2" l="1"/>
</calcChain>
</file>

<file path=xl/connections.xml><?xml version="1.0" encoding="utf-8"?>
<connections xmlns="http://schemas.openxmlformats.org/spreadsheetml/2006/main">
  <connection id="1" odcFile="V:\V5\SQLEXPRESS vnc5 CA_MENSUELCLIENT.odc" keepAlive="1" name="bureau-dell_sqlEXPRESS vnc5 CA_MENSUELCLIENT" type="5" refreshedVersion="4" saveData="1">
    <dbPr connection="Provider=SQLOLEDB.1;Persist Security Info=True;User ID=vinicom;Initial Catalog=vnc5;Data Source=bureau-dell\sqlEXPRESS;Use Procedure for Prepare=1;Auto Translate=True;Packet Size=4096;Workstation ID=BUREAU-DELL;Use Encryption for Data=False;Tag with column collation when possible=False" command="&quot;vnc5&quot;.&quot;dbo&quot;.&quot;CA_MENSUELCLIENT&quot;" commandType="3"/>
  </connection>
  <connection id="2" odcFile="V:\V5\sqlexpress vnc5 CA_MENSUELCLIENT_CODECLIENT.odc" keepAlive="1" name="bureau-dell_sqlexpress vnc5 CA_MENSUELCLIENT_CODECLIENT" type="5" refreshedVersion="4" savePassword="1" saveData="1">
    <dbPr connection="Provider=SQLOLEDB.1;Integrated Security=SSPI;Persist Security Info=True;User ID=vinicom;Initial Catalog=vnc5;Data Source=bureau-dell\sqlexpress;Use Procedure for Prepare=1;Auto Translate=True;Packet Size=4096;Workstation ID=BUREAU-DELL;Use Encryption for Data=False;Tag with column collation when possible=False" command="&quot;vnc5&quot;.&quot;dbo&quot;.&quot;CA_MENSUELCLIENT_CODECLIENT&quot;" commandType="3"/>
  </connection>
</connections>
</file>

<file path=xl/sharedStrings.xml><?xml version="1.0" encoding="utf-8"?>
<sst xmlns="http://schemas.openxmlformats.org/spreadsheetml/2006/main" count="258" uniqueCount="235">
  <si>
    <t>Année</t>
  </si>
  <si>
    <t>CA</t>
  </si>
  <si>
    <t>Evol %</t>
  </si>
  <si>
    <t>239</t>
  </si>
  <si>
    <t>Annee2</t>
  </si>
  <si>
    <t>Année de référence</t>
  </si>
  <si>
    <t>VINICOM</t>
  </si>
  <si>
    <t>Origine</t>
  </si>
  <si>
    <t>Colonne1</t>
  </si>
  <si>
    <t>Colonne2</t>
  </si>
  <si>
    <t>Colonne3</t>
  </si>
  <si>
    <t>Colonne4</t>
  </si>
  <si>
    <t>Colonne5</t>
  </si>
  <si>
    <t>Colonne6</t>
  </si>
  <si>
    <t>Colonne7</t>
  </si>
  <si>
    <t>CLT_CODE</t>
  </si>
  <si>
    <t>002</t>
  </si>
  <si>
    <t>0035016</t>
  </si>
  <si>
    <t>003517</t>
  </si>
  <si>
    <t>019</t>
  </si>
  <si>
    <t>026</t>
  </si>
  <si>
    <t>039</t>
  </si>
  <si>
    <t>040</t>
  </si>
  <si>
    <t>046</t>
  </si>
  <si>
    <t>059</t>
  </si>
  <si>
    <t>062</t>
  </si>
  <si>
    <t>078</t>
  </si>
  <si>
    <t>086</t>
  </si>
  <si>
    <t>110</t>
  </si>
  <si>
    <t>114</t>
  </si>
  <si>
    <t>114007</t>
  </si>
  <si>
    <t>114008</t>
  </si>
  <si>
    <t>114010</t>
  </si>
  <si>
    <t>114011</t>
  </si>
  <si>
    <t>114014</t>
  </si>
  <si>
    <t>114015</t>
  </si>
  <si>
    <t>114016</t>
  </si>
  <si>
    <t>114017</t>
  </si>
  <si>
    <t>114018</t>
  </si>
  <si>
    <t>114019</t>
  </si>
  <si>
    <t>122002</t>
  </si>
  <si>
    <t>122003</t>
  </si>
  <si>
    <t>122004</t>
  </si>
  <si>
    <t>122006</t>
  </si>
  <si>
    <t>122010</t>
  </si>
  <si>
    <t>122011</t>
  </si>
  <si>
    <t>122012</t>
  </si>
  <si>
    <t>122014</t>
  </si>
  <si>
    <t>122015</t>
  </si>
  <si>
    <t>122018</t>
  </si>
  <si>
    <t>122020</t>
  </si>
  <si>
    <t>122021</t>
  </si>
  <si>
    <t>122022</t>
  </si>
  <si>
    <t>122023</t>
  </si>
  <si>
    <t>122024</t>
  </si>
  <si>
    <t>122025</t>
  </si>
  <si>
    <t>122031</t>
  </si>
  <si>
    <t>122039</t>
  </si>
  <si>
    <t>122045</t>
  </si>
  <si>
    <t>122046</t>
  </si>
  <si>
    <t>122047</t>
  </si>
  <si>
    <t>122052</t>
  </si>
  <si>
    <t>122053</t>
  </si>
  <si>
    <t>122054</t>
  </si>
  <si>
    <t>127003</t>
  </si>
  <si>
    <t>127004</t>
  </si>
  <si>
    <t>127005</t>
  </si>
  <si>
    <t>127006</t>
  </si>
  <si>
    <t>129001</t>
  </si>
  <si>
    <t>129002</t>
  </si>
  <si>
    <t>129004</t>
  </si>
  <si>
    <t>129006</t>
  </si>
  <si>
    <t>129009</t>
  </si>
  <si>
    <t>129012</t>
  </si>
  <si>
    <t>129014</t>
  </si>
  <si>
    <t>129015</t>
  </si>
  <si>
    <t>129016</t>
  </si>
  <si>
    <t>129017</t>
  </si>
  <si>
    <t>129018</t>
  </si>
  <si>
    <t>129020</t>
  </si>
  <si>
    <t>129021</t>
  </si>
  <si>
    <t>129023</t>
  </si>
  <si>
    <t>129024</t>
  </si>
  <si>
    <t>129025</t>
  </si>
  <si>
    <t>129031</t>
  </si>
  <si>
    <t>129032</t>
  </si>
  <si>
    <t>129033</t>
  </si>
  <si>
    <t>129039</t>
  </si>
  <si>
    <t>129040</t>
  </si>
  <si>
    <t>129041</t>
  </si>
  <si>
    <t>129051</t>
  </si>
  <si>
    <t>129055</t>
  </si>
  <si>
    <t>129056</t>
  </si>
  <si>
    <t>129057</t>
  </si>
  <si>
    <t>129059</t>
  </si>
  <si>
    <t>129061</t>
  </si>
  <si>
    <t>129064</t>
  </si>
  <si>
    <t>129065</t>
  </si>
  <si>
    <t>129067</t>
  </si>
  <si>
    <t>129068</t>
  </si>
  <si>
    <t>129069</t>
  </si>
  <si>
    <t>129070</t>
  </si>
  <si>
    <t>134</t>
  </si>
  <si>
    <t>135002</t>
  </si>
  <si>
    <t>135002D</t>
  </si>
  <si>
    <t>135003</t>
  </si>
  <si>
    <t>135011</t>
  </si>
  <si>
    <t>135017</t>
  </si>
  <si>
    <t>135021</t>
  </si>
  <si>
    <t>135026</t>
  </si>
  <si>
    <t>135029</t>
  </si>
  <si>
    <t>135031</t>
  </si>
  <si>
    <t>135034</t>
  </si>
  <si>
    <t>135036</t>
  </si>
  <si>
    <t>135038</t>
  </si>
  <si>
    <t>135039</t>
  </si>
  <si>
    <t>135040</t>
  </si>
  <si>
    <t>135041</t>
  </si>
  <si>
    <t>135042</t>
  </si>
  <si>
    <t>135043</t>
  </si>
  <si>
    <t>135044</t>
  </si>
  <si>
    <t>135053</t>
  </si>
  <si>
    <t>135054</t>
  </si>
  <si>
    <t>135055</t>
  </si>
  <si>
    <t>135058</t>
  </si>
  <si>
    <t>135059</t>
  </si>
  <si>
    <t>135061</t>
  </si>
  <si>
    <t>135062</t>
  </si>
  <si>
    <t>135063</t>
  </si>
  <si>
    <t>135064</t>
  </si>
  <si>
    <t>135068</t>
  </si>
  <si>
    <t>135070</t>
  </si>
  <si>
    <t>135072</t>
  </si>
  <si>
    <t>135073</t>
  </si>
  <si>
    <t>135074</t>
  </si>
  <si>
    <t>135075</t>
  </si>
  <si>
    <t>135076</t>
  </si>
  <si>
    <t>135080</t>
  </si>
  <si>
    <t>135100</t>
  </si>
  <si>
    <t>137</t>
  </si>
  <si>
    <t>139</t>
  </si>
  <si>
    <t>144006</t>
  </si>
  <si>
    <t>144007</t>
  </si>
  <si>
    <t>144009</t>
  </si>
  <si>
    <t>144011</t>
  </si>
  <si>
    <t>144012</t>
  </si>
  <si>
    <t>144016</t>
  </si>
  <si>
    <t>144018</t>
  </si>
  <si>
    <t>144022</t>
  </si>
  <si>
    <t>144023</t>
  </si>
  <si>
    <t>144024</t>
  </si>
  <si>
    <t>144025</t>
  </si>
  <si>
    <t>144029</t>
  </si>
  <si>
    <t>144030</t>
  </si>
  <si>
    <t>144032</t>
  </si>
  <si>
    <t>144035</t>
  </si>
  <si>
    <t>144036</t>
  </si>
  <si>
    <t>144037</t>
  </si>
  <si>
    <t>144041</t>
  </si>
  <si>
    <t>144043</t>
  </si>
  <si>
    <t>144044</t>
  </si>
  <si>
    <t>144045</t>
  </si>
  <si>
    <t>144047</t>
  </si>
  <si>
    <t>144048</t>
  </si>
  <si>
    <t>144049</t>
  </si>
  <si>
    <t>145</t>
  </si>
  <si>
    <t>149006</t>
  </si>
  <si>
    <t>149008</t>
  </si>
  <si>
    <t>149009</t>
  </si>
  <si>
    <t>150002</t>
  </si>
  <si>
    <t>150003</t>
  </si>
  <si>
    <t>150004</t>
  </si>
  <si>
    <t>150005</t>
  </si>
  <si>
    <t>150006</t>
  </si>
  <si>
    <t>150007</t>
  </si>
  <si>
    <t>150008</t>
  </si>
  <si>
    <t>150009</t>
  </si>
  <si>
    <t>150010</t>
  </si>
  <si>
    <t>150101</t>
  </si>
  <si>
    <t>153001</t>
  </si>
  <si>
    <t>153002</t>
  </si>
  <si>
    <t>153004</t>
  </si>
  <si>
    <t>153005</t>
  </si>
  <si>
    <t>153006</t>
  </si>
  <si>
    <t>153007</t>
  </si>
  <si>
    <t>153008</t>
  </si>
  <si>
    <t>156003</t>
  </si>
  <si>
    <t>156008</t>
  </si>
  <si>
    <t>156009</t>
  </si>
  <si>
    <t>156011</t>
  </si>
  <si>
    <t>156013</t>
  </si>
  <si>
    <t>156017</t>
  </si>
  <si>
    <t>156022</t>
  </si>
  <si>
    <t>156024</t>
  </si>
  <si>
    <t>156025</t>
  </si>
  <si>
    <t>156027</t>
  </si>
  <si>
    <t>156030</t>
  </si>
  <si>
    <t>156031</t>
  </si>
  <si>
    <t>156032</t>
  </si>
  <si>
    <t>156033</t>
  </si>
  <si>
    <t>156034</t>
  </si>
  <si>
    <t>156036</t>
  </si>
  <si>
    <t>156037</t>
  </si>
  <si>
    <t>156038</t>
  </si>
  <si>
    <t>156039</t>
  </si>
  <si>
    <t>156040</t>
  </si>
  <si>
    <t>157</t>
  </si>
  <si>
    <t>161001</t>
  </si>
  <si>
    <t>162001</t>
  </si>
  <si>
    <t>169</t>
  </si>
  <si>
    <t>176001</t>
  </si>
  <si>
    <t>185001</t>
  </si>
  <si>
    <t>185004</t>
  </si>
  <si>
    <t>185005</t>
  </si>
  <si>
    <t>185006</t>
  </si>
  <si>
    <t>185008</t>
  </si>
  <si>
    <t>185009</t>
  </si>
  <si>
    <t>185015</t>
  </si>
  <si>
    <t>185017</t>
  </si>
  <si>
    <t>185020</t>
  </si>
  <si>
    <t>191000</t>
  </si>
  <si>
    <t>201</t>
  </si>
  <si>
    <t>202</t>
  </si>
  <si>
    <t>204</t>
  </si>
  <si>
    <t>329002</t>
  </si>
  <si>
    <t>435000</t>
  </si>
  <si>
    <t>514002</t>
  </si>
  <si>
    <t>522003</t>
  </si>
  <si>
    <t>522015</t>
  </si>
  <si>
    <t>522042</t>
  </si>
  <si>
    <t>556003</t>
  </si>
  <si>
    <t>601</t>
  </si>
  <si>
    <t>735002</t>
  </si>
  <si>
    <t>999</t>
  </si>
  <si>
    <t>VINILITIGE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</si>
</sst>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44" fontId="0" fillId="0" borderId="1" xfId="1" applyFont="1" applyBorder="1"/>
    <xf numFmtId="0" fontId="0" fillId="0" borderId="4" xfId="0" applyNumberFormat="1" applyBorder="1" applyAlignment="1">
      <alignment horizontal="center"/>
    </xf>
    <xf numFmtId="0" fontId="3" fillId="0" borderId="3" xfId="0" applyNumberFormat="1" applyFont="1" applyBorder="1" applyAlignment="1">
      <alignment horizontal="center"/>
    </xf>
    <xf numFmtId="0" fontId="0" fillId="0" borderId="0" xfId="0" applyProtection="1">
      <protection locked="0"/>
    </xf>
    <xf numFmtId="0" fontId="3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4" xfId="2" applyFont="1" applyBorder="1" applyAlignment="1">
      <alignment horizontal="center" vertical="center"/>
    </xf>
    <xf numFmtId="9" fontId="0" fillId="0" borderId="3" xfId="2" applyFont="1" applyBorder="1" applyAlignment="1">
      <alignment horizontal="center" vertic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180975</xdr:rowOff>
        </xdr:from>
        <xdr:to>
          <xdr:col>2</xdr:col>
          <xdr:colOff>47625</xdr:colOff>
          <xdr:row>5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BUREAU-DELL_SQLEXPRESS vnc5 CA_MENSUELCLIENT" backgroundRefresh="0" connectionId="1" autoFormatId="16" applyNumberFormats="0" applyBorderFormats="0" applyFontFormats="0" applyPatternFormats="0" applyAlignmentFormats="0" applyWidthHeightFormats="0">
  <queryTableRefresh nextId="8">
    <queryTableFields count="7">
      <queryTableField id="1" name="CLT_CODE" tableColumnId="1"/>
      <queryTableField id="2" name="CLT_NOM" tableColumnId="2"/>
      <queryTableField id="3" name="CLT_RS" tableColumnId="3"/>
      <queryTableField id="4" name="annee" tableColumnId="4"/>
      <queryTableField id="5" name="mois" tableColumnId="5"/>
      <queryTableField id="6" name="CAHT" tableColumnId="6"/>
      <queryTableField id="7" name="CMD_ORIGINE" tableColumnId="7"/>
    </queryTableFields>
  </queryTableRefresh>
</queryTable>
</file>

<file path=xl/queryTables/queryTable2.xml><?xml version="1.0" encoding="utf-8"?>
<queryTable xmlns="http://schemas.openxmlformats.org/spreadsheetml/2006/main" name="bureau-dell_sqlexpress vnc5 CA_MENSUELCLIENT_CODECLIENT" backgroundRefresh="0" connectionId="2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LT_CODE" tableColumnId="1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au_BUREAU_DELL_SQLEXPRESS_vnc5_CA_MENSUELCLIENT" displayName="Tableau_BUREAU_DELL_SQLEXPRESS_vnc5_CA_MENSUELCLIENT" ref="A1:G3349" tableType="queryTable" totalsRowShown="0">
  <tableColumns count="7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_bureau_dell_sqlexpress_vnc5_CA_MENSUELCLIENT_CODECLIENT" displayName="Tableau_bureau_dell_sqlexpress_vnc5_CA_MENSUELCLIENT_CODECLIENT" ref="I1:J220" tableType="queryTable" totalsRowShown="0">
  <tableColumns count="2">
    <tableColumn id="1" uniqueName="1" name="CLT_CODE" queryTableFieldId="1"/>
    <tableColumn id="3" uniqueName="3" name="239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2:B4"/>
  <sheetViews>
    <sheetView workbookViewId="0">
      <selection activeCell="B8" sqref="B8"/>
    </sheetView>
  </sheetViews>
  <sheetFormatPr baseColWidth="10" defaultRowHeight="15" x14ac:dyDescent="0.25"/>
  <cols>
    <col min="1" max="1" width="18.85546875" bestFit="1" customWidth="1"/>
  </cols>
  <sheetData>
    <row r="2" spans="1:2" x14ac:dyDescent="0.25">
      <c r="A2" t="s">
        <v>5</v>
      </c>
      <c r="B2" s="9">
        <v>2016</v>
      </c>
    </row>
    <row r="3" spans="1:2" x14ac:dyDescent="0.25">
      <c r="A3" t="s">
        <v>4</v>
      </c>
      <c r="B3">
        <f>B2-1</f>
        <v>2015</v>
      </c>
    </row>
    <row r="4" spans="1:2" x14ac:dyDescent="0.25">
      <c r="A4" t="s">
        <v>7</v>
      </c>
      <c r="B4" t="s">
        <v>6</v>
      </c>
    </row>
  </sheetData>
  <dataValidations count="1">
    <dataValidation type="list" showInputMessage="1" showErrorMessage="1" sqref="B4">
      <formula1>"VINICOM,HOBIVIN"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3.MEFTableauCAMensuelClient">
                <anchor moveWithCells="1" sizeWithCells="1">
                  <from>
                    <xdr:col>1</xdr:col>
                    <xdr:colOff>19050</xdr:colOff>
                    <xdr:row>4</xdr:row>
                    <xdr:rowOff>180975</xdr:rowOff>
                  </from>
                  <to>
                    <xdr:col>2</xdr:col>
                    <xdr:colOff>47625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220"/>
  <sheetViews>
    <sheetView topLeftCell="A222" workbookViewId="0">
      <selection activeCell="H255" sqref="H255"/>
    </sheetView>
  </sheetViews>
  <sheetFormatPr baseColWidth="10" defaultRowHeight="15" x14ac:dyDescent="0.25"/>
  <cols>
    <col min="1" max="1" width="10.140625" bestFit="1" customWidth="1"/>
    <col min="2" max="2" width="42.7109375" bestFit="1" customWidth="1"/>
    <col min="3" max="3" width="47.140625" bestFit="1" customWidth="1"/>
    <col min="4" max="4" width="6.5703125" bestFit="1" customWidth="1"/>
    <col min="5" max="5" width="5.28515625" bestFit="1" customWidth="1"/>
    <col min="6" max="6" width="9" bestFit="1" customWidth="1"/>
    <col min="7" max="7" width="13.85546875" customWidth="1"/>
    <col min="9" max="9" width="10.140625" customWidth="1"/>
    <col min="10" max="10" width="4" customWidth="1"/>
  </cols>
  <sheetData>
    <row r="1" spans="1:11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I1" t="s">
        <v>15</v>
      </c>
      <c r="J1" t="s">
        <v>3</v>
      </c>
      <c r="K1" t="s">
        <v>0</v>
      </c>
    </row>
    <row r="2" spans="1:11" x14ac:dyDescent="0.25">
      <c r="I2" t="s">
        <v>16</v>
      </c>
      <c r="K2">
        <v>2016</v>
      </c>
    </row>
    <row r="3" spans="1:11" x14ac:dyDescent="0.25">
      <c r="I3" t="s">
        <v>17</v>
      </c>
      <c r="K3">
        <v>2015</v>
      </c>
    </row>
    <row r="4" spans="1:11" x14ac:dyDescent="0.25">
      <c r="I4" t="s">
        <v>18</v>
      </c>
    </row>
    <row r="5" spans="1:11" x14ac:dyDescent="0.25">
      <c r="I5" t="s">
        <v>19</v>
      </c>
    </row>
    <row r="6" spans="1:11" x14ac:dyDescent="0.25">
      <c r="I6" t="s">
        <v>20</v>
      </c>
    </row>
    <row r="7" spans="1:11" x14ac:dyDescent="0.25">
      <c r="I7" t="s">
        <v>21</v>
      </c>
    </row>
    <row r="8" spans="1:11" x14ac:dyDescent="0.25">
      <c r="I8" t="s">
        <v>22</v>
      </c>
    </row>
    <row r="9" spans="1:11" x14ac:dyDescent="0.25">
      <c r="I9" t="s">
        <v>23</v>
      </c>
    </row>
    <row r="10" spans="1:11" x14ac:dyDescent="0.25">
      <c r="I10" t="s">
        <v>24</v>
      </c>
    </row>
    <row r="11" spans="1:11" x14ac:dyDescent="0.25">
      <c r="I11" t="s">
        <v>25</v>
      </c>
    </row>
    <row r="12" spans="1:11" x14ac:dyDescent="0.25">
      <c r="I12" t="s">
        <v>26</v>
      </c>
    </row>
    <row r="13" spans="1:11" x14ac:dyDescent="0.25">
      <c r="I13" t="s">
        <v>27</v>
      </c>
    </row>
    <row r="14" spans="1:11" x14ac:dyDescent="0.25">
      <c r="I14" t="s">
        <v>28</v>
      </c>
    </row>
    <row r="15" spans="1:11" x14ac:dyDescent="0.25">
      <c r="I15" t="s">
        <v>29</v>
      </c>
    </row>
    <row r="16" spans="1:11" x14ac:dyDescent="0.25">
      <c r="I16" t="s">
        <v>30</v>
      </c>
    </row>
    <row r="17" spans="9:9" x14ac:dyDescent="0.25">
      <c r="I17" t="s">
        <v>31</v>
      </c>
    </row>
    <row r="18" spans="9:9" x14ac:dyDescent="0.25">
      <c r="I18" t="s">
        <v>32</v>
      </c>
    </row>
    <row r="19" spans="9:9" x14ac:dyDescent="0.25">
      <c r="I19" t="s">
        <v>33</v>
      </c>
    </row>
    <row r="20" spans="9:9" x14ac:dyDescent="0.25">
      <c r="I20" t="s">
        <v>34</v>
      </c>
    </row>
    <row r="21" spans="9:9" x14ac:dyDescent="0.25">
      <c r="I21" t="s">
        <v>35</v>
      </c>
    </row>
    <row r="22" spans="9:9" x14ac:dyDescent="0.25">
      <c r="I22" t="s">
        <v>36</v>
      </c>
    </row>
    <row r="23" spans="9:9" x14ac:dyDescent="0.25">
      <c r="I23" t="s">
        <v>37</v>
      </c>
    </row>
    <row r="24" spans="9:9" x14ac:dyDescent="0.25">
      <c r="I24" t="s">
        <v>38</v>
      </c>
    </row>
    <row r="25" spans="9:9" x14ac:dyDescent="0.25">
      <c r="I25" t="s">
        <v>39</v>
      </c>
    </row>
    <row r="26" spans="9:9" x14ac:dyDescent="0.25">
      <c r="I26" t="s">
        <v>40</v>
      </c>
    </row>
    <row r="27" spans="9:9" x14ac:dyDescent="0.25">
      <c r="I27" t="s">
        <v>41</v>
      </c>
    </row>
    <row r="28" spans="9:9" x14ac:dyDescent="0.25">
      <c r="I28" t="s">
        <v>42</v>
      </c>
    </row>
    <row r="29" spans="9:9" x14ac:dyDescent="0.25">
      <c r="I29" t="s">
        <v>43</v>
      </c>
    </row>
    <row r="30" spans="9:9" x14ac:dyDescent="0.25">
      <c r="I30" t="s">
        <v>44</v>
      </c>
    </row>
    <row r="31" spans="9:9" x14ac:dyDescent="0.25">
      <c r="I31" t="s">
        <v>45</v>
      </c>
    </row>
    <row r="32" spans="9:9" x14ac:dyDescent="0.25">
      <c r="I32" t="s">
        <v>46</v>
      </c>
    </row>
    <row r="33" spans="9:9" x14ac:dyDescent="0.25">
      <c r="I33" t="s">
        <v>47</v>
      </c>
    </row>
    <row r="34" spans="9:9" x14ac:dyDescent="0.25">
      <c r="I34" t="s">
        <v>48</v>
      </c>
    </row>
    <row r="35" spans="9:9" x14ac:dyDescent="0.25">
      <c r="I35" t="s">
        <v>49</v>
      </c>
    </row>
    <row r="36" spans="9:9" x14ac:dyDescent="0.25">
      <c r="I36" t="s">
        <v>50</v>
      </c>
    </row>
    <row r="37" spans="9:9" x14ac:dyDescent="0.25">
      <c r="I37" t="s">
        <v>51</v>
      </c>
    </row>
    <row r="38" spans="9:9" x14ac:dyDescent="0.25">
      <c r="I38" t="s">
        <v>52</v>
      </c>
    </row>
    <row r="39" spans="9:9" x14ac:dyDescent="0.25">
      <c r="I39" t="s">
        <v>53</v>
      </c>
    </row>
    <row r="40" spans="9:9" x14ac:dyDescent="0.25">
      <c r="I40" t="s">
        <v>54</v>
      </c>
    </row>
    <row r="41" spans="9:9" x14ac:dyDescent="0.25">
      <c r="I41" t="s">
        <v>55</v>
      </c>
    </row>
    <row r="42" spans="9:9" x14ac:dyDescent="0.25">
      <c r="I42" t="s">
        <v>56</v>
      </c>
    </row>
    <row r="43" spans="9:9" x14ac:dyDescent="0.25">
      <c r="I43" t="s">
        <v>57</v>
      </c>
    </row>
    <row r="44" spans="9:9" x14ac:dyDescent="0.25">
      <c r="I44" t="s">
        <v>58</v>
      </c>
    </row>
    <row r="45" spans="9:9" x14ac:dyDescent="0.25">
      <c r="I45" t="s">
        <v>59</v>
      </c>
    </row>
    <row r="46" spans="9:9" x14ac:dyDescent="0.25">
      <c r="I46" t="s">
        <v>60</v>
      </c>
    </row>
    <row r="47" spans="9:9" x14ac:dyDescent="0.25">
      <c r="I47" t="s">
        <v>61</v>
      </c>
    </row>
    <row r="48" spans="9:9" x14ac:dyDescent="0.25">
      <c r="I48" t="s">
        <v>62</v>
      </c>
    </row>
    <row r="49" spans="9:9" x14ac:dyDescent="0.25">
      <c r="I49" t="s">
        <v>63</v>
      </c>
    </row>
    <row r="50" spans="9:9" x14ac:dyDescent="0.25">
      <c r="I50" t="s">
        <v>64</v>
      </c>
    </row>
    <row r="51" spans="9:9" x14ac:dyDescent="0.25">
      <c r="I51" t="s">
        <v>65</v>
      </c>
    </row>
    <row r="52" spans="9:9" x14ac:dyDescent="0.25">
      <c r="I52" t="s">
        <v>66</v>
      </c>
    </row>
    <row r="53" spans="9:9" x14ac:dyDescent="0.25">
      <c r="I53" t="s">
        <v>67</v>
      </c>
    </row>
    <row r="54" spans="9:9" x14ac:dyDescent="0.25">
      <c r="I54" t="s">
        <v>68</v>
      </c>
    </row>
    <row r="55" spans="9:9" x14ac:dyDescent="0.25">
      <c r="I55" t="s">
        <v>69</v>
      </c>
    </row>
    <row r="56" spans="9:9" x14ac:dyDescent="0.25">
      <c r="I56" t="s">
        <v>70</v>
      </c>
    </row>
    <row r="57" spans="9:9" x14ac:dyDescent="0.25">
      <c r="I57" t="s">
        <v>71</v>
      </c>
    </row>
    <row r="58" spans="9:9" x14ac:dyDescent="0.25">
      <c r="I58" t="s">
        <v>72</v>
      </c>
    </row>
    <row r="59" spans="9:9" x14ac:dyDescent="0.25">
      <c r="I59" t="s">
        <v>73</v>
      </c>
    </row>
    <row r="60" spans="9:9" x14ac:dyDescent="0.25">
      <c r="I60" t="s">
        <v>74</v>
      </c>
    </row>
    <row r="61" spans="9:9" x14ac:dyDescent="0.25">
      <c r="I61" t="s">
        <v>75</v>
      </c>
    </row>
    <row r="62" spans="9:9" x14ac:dyDescent="0.25">
      <c r="I62" t="s">
        <v>76</v>
      </c>
    </row>
    <row r="63" spans="9:9" x14ac:dyDescent="0.25">
      <c r="I63" t="s">
        <v>77</v>
      </c>
    </row>
    <row r="64" spans="9:9" x14ac:dyDescent="0.25">
      <c r="I64" t="s">
        <v>78</v>
      </c>
    </row>
    <row r="65" spans="9:9" x14ac:dyDescent="0.25">
      <c r="I65" t="s">
        <v>79</v>
      </c>
    </row>
    <row r="66" spans="9:9" x14ac:dyDescent="0.25">
      <c r="I66" t="s">
        <v>80</v>
      </c>
    </row>
    <row r="67" spans="9:9" x14ac:dyDescent="0.25">
      <c r="I67" t="s">
        <v>81</v>
      </c>
    </row>
    <row r="68" spans="9:9" x14ac:dyDescent="0.25">
      <c r="I68" t="s">
        <v>82</v>
      </c>
    </row>
    <row r="69" spans="9:9" x14ac:dyDescent="0.25">
      <c r="I69" t="s">
        <v>83</v>
      </c>
    </row>
    <row r="70" spans="9:9" x14ac:dyDescent="0.25">
      <c r="I70" t="s">
        <v>84</v>
      </c>
    </row>
    <row r="71" spans="9:9" x14ac:dyDescent="0.25">
      <c r="I71" t="s">
        <v>85</v>
      </c>
    </row>
    <row r="72" spans="9:9" x14ac:dyDescent="0.25">
      <c r="I72" t="s">
        <v>86</v>
      </c>
    </row>
    <row r="73" spans="9:9" x14ac:dyDescent="0.25">
      <c r="I73" t="s">
        <v>87</v>
      </c>
    </row>
    <row r="74" spans="9:9" x14ac:dyDescent="0.25">
      <c r="I74" t="s">
        <v>88</v>
      </c>
    </row>
    <row r="75" spans="9:9" x14ac:dyDescent="0.25">
      <c r="I75" t="s">
        <v>89</v>
      </c>
    </row>
    <row r="76" spans="9:9" x14ac:dyDescent="0.25">
      <c r="I76" t="s">
        <v>90</v>
      </c>
    </row>
    <row r="77" spans="9:9" x14ac:dyDescent="0.25">
      <c r="I77" t="s">
        <v>91</v>
      </c>
    </row>
    <row r="78" spans="9:9" x14ac:dyDescent="0.25">
      <c r="I78" t="s">
        <v>92</v>
      </c>
    </row>
    <row r="79" spans="9:9" x14ac:dyDescent="0.25">
      <c r="I79" t="s">
        <v>93</v>
      </c>
    </row>
    <row r="80" spans="9:9" x14ac:dyDescent="0.25">
      <c r="I80" t="s">
        <v>94</v>
      </c>
    </row>
    <row r="81" spans="9:9" x14ac:dyDescent="0.25">
      <c r="I81" t="s">
        <v>95</v>
      </c>
    </row>
    <row r="82" spans="9:9" x14ac:dyDescent="0.25">
      <c r="I82" t="s">
        <v>96</v>
      </c>
    </row>
    <row r="83" spans="9:9" x14ac:dyDescent="0.25">
      <c r="I83" t="s">
        <v>97</v>
      </c>
    </row>
    <row r="84" spans="9:9" x14ac:dyDescent="0.25">
      <c r="I84" t="s">
        <v>98</v>
      </c>
    </row>
    <row r="85" spans="9:9" x14ac:dyDescent="0.25">
      <c r="I85" t="s">
        <v>99</v>
      </c>
    </row>
    <row r="86" spans="9:9" x14ac:dyDescent="0.25">
      <c r="I86" t="s">
        <v>100</v>
      </c>
    </row>
    <row r="87" spans="9:9" x14ac:dyDescent="0.25">
      <c r="I87" t="s">
        <v>101</v>
      </c>
    </row>
    <row r="88" spans="9:9" x14ac:dyDescent="0.25">
      <c r="I88" t="s">
        <v>102</v>
      </c>
    </row>
    <row r="89" spans="9:9" x14ac:dyDescent="0.25">
      <c r="I89" t="s">
        <v>103</v>
      </c>
    </row>
    <row r="90" spans="9:9" x14ac:dyDescent="0.25">
      <c r="I90" t="s">
        <v>104</v>
      </c>
    </row>
    <row r="91" spans="9:9" x14ac:dyDescent="0.25">
      <c r="I91" t="s">
        <v>105</v>
      </c>
    </row>
    <row r="92" spans="9:9" x14ac:dyDescent="0.25">
      <c r="I92" t="s">
        <v>106</v>
      </c>
    </row>
    <row r="93" spans="9:9" x14ac:dyDescent="0.25">
      <c r="I93" t="s">
        <v>107</v>
      </c>
    </row>
    <row r="94" spans="9:9" x14ac:dyDescent="0.25">
      <c r="I94" t="s">
        <v>108</v>
      </c>
    </row>
    <row r="95" spans="9:9" x14ac:dyDescent="0.25">
      <c r="I95" t="s">
        <v>109</v>
      </c>
    </row>
    <row r="96" spans="9:9" x14ac:dyDescent="0.25">
      <c r="I96" t="s">
        <v>110</v>
      </c>
    </row>
    <row r="97" spans="9:9" x14ac:dyDescent="0.25">
      <c r="I97" t="s">
        <v>111</v>
      </c>
    </row>
    <row r="98" spans="9:9" x14ac:dyDescent="0.25">
      <c r="I98" t="s">
        <v>112</v>
      </c>
    </row>
    <row r="99" spans="9:9" x14ac:dyDescent="0.25">
      <c r="I99" t="s">
        <v>113</v>
      </c>
    </row>
    <row r="100" spans="9:9" x14ac:dyDescent="0.25">
      <c r="I100" t="s">
        <v>114</v>
      </c>
    </row>
    <row r="101" spans="9:9" x14ac:dyDescent="0.25">
      <c r="I101" t="s">
        <v>115</v>
      </c>
    </row>
    <row r="102" spans="9:9" x14ac:dyDescent="0.25">
      <c r="I102" t="s">
        <v>116</v>
      </c>
    </row>
    <row r="103" spans="9:9" x14ac:dyDescent="0.25">
      <c r="I103" t="s">
        <v>117</v>
      </c>
    </row>
    <row r="104" spans="9:9" x14ac:dyDescent="0.25">
      <c r="I104" t="s">
        <v>118</v>
      </c>
    </row>
    <row r="105" spans="9:9" x14ac:dyDescent="0.25">
      <c r="I105" t="s">
        <v>119</v>
      </c>
    </row>
    <row r="106" spans="9:9" x14ac:dyDescent="0.25">
      <c r="I106" t="s">
        <v>120</v>
      </c>
    </row>
    <row r="107" spans="9:9" x14ac:dyDescent="0.25">
      <c r="I107" t="s">
        <v>121</v>
      </c>
    </row>
    <row r="108" spans="9:9" x14ac:dyDescent="0.25">
      <c r="I108" t="s">
        <v>122</v>
      </c>
    </row>
    <row r="109" spans="9:9" x14ac:dyDescent="0.25">
      <c r="I109" t="s">
        <v>123</v>
      </c>
    </row>
    <row r="110" spans="9:9" x14ac:dyDescent="0.25">
      <c r="I110" t="s">
        <v>124</v>
      </c>
    </row>
    <row r="111" spans="9:9" x14ac:dyDescent="0.25">
      <c r="I111" t="s">
        <v>125</v>
      </c>
    </row>
    <row r="112" spans="9:9" x14ac:dyDescent="0.25">
      <c r="I112" t="s">
        <v>126</v>
      </c>
    </row>
    <row r="113" spans="9:9" x14ac:dyDescent="0.25">
      <c r="I113" t="s">
        <v>127</v>
      </c>
    </row>
    <row r="114" spans="9:9" x14ac:dyDescent="0.25">
      <c r="I114" t="s">
        <v>128</v>
      </c>
    </row>
    <row r="115" spans="9:9" x14ac:dyDescent="0.25">
      <c r="I115" t="s">
        <v>129</v>
      </c>
    </row>
    <row r="116" spans="9:9" x14ac:dyDescent="0.25">
      <c r="I116" t="s">
        <v>130</v>
      </c>
    </row>
    <row r="117" spans="9:9" x14ac:dyDescent="0.25">
      <c r="I117" t="s">
        <v>131</v>
      </c>
    </row>
    <row r="118" spans="9:9" x14ac:dyDescent="0.25">
      <c r="I118" t="s">
        <v>132</v>
      </c>
    </row>
    <row r="119" spans="9:9" x14ac:dyDescent="0.25">
      <c r="I119" t="s">
        <v>133</v>
      </c>
    </row>
    <row r="120" spans="9:9" x14ac:dyDescent="0.25">
      <c r="I120" t="s">
        <v>134</v>
      </c>
    </row>
    <row r="121" spans="9:9" x14ac:dyDescent="0.25">
      <c r="I121" t="s">
        <v>135</v>
      </c>
    </row>
    <row r="122" spans="9:9" x14ac:dyDescent="0.25">
      <c r="I122" t="s">
        <v>136</v>
      </c>
    </row>
    <row r="123" spans="9:9" x14ac:dyDescent="0.25">
      <c r="I123" t="s">
        <v>137</v>
      </c>
    </row>
    <row r="124" spans="9:9" x14ac:dyDescent="0.25">
      <c r="I124" t="s">
        <v>138</v>
      </c>
    </row>
    <row r="125" spans="9:9" x14ac:dyDescent="0.25">
      <c r="I125" t="s">
        <v>139</v>
      </c>
    </row>
    <row r="126" spans="9:9" x14ac:dyDescent="0.25">
      <c r="I126" t="s">
        <v>140</v>
      </c>
    </row>
    <row r="127" spans="9:9" x14ac:dyDescent="0.25">
      <c r="I127" t="s">
        <v>141</v>
      </c>
    </row>
    <row r="128" spans="9:9" x14ac:dyDescent="0.25">
      <c r="I128" t="s">
        <v>142</v>
      </c>
    </row>
    <row r="129" spans="9:9" x14ac:dyDescent="0.25">
      <c r="I129" t="s">
        <v>143</v>
      </c>
    </row>
    <row r="130" spans="9:9" x14ac:dyDescent="0.25">
      <c r="I130" t="s">
        <v>144</v>
      </c>
    </row>
    <row r="131" spans="9:9" x14ac:dyDescent="0.25">
      <c r="I131" t="s">
        <v>145</v>
      </c>
    </row>
    <row r="132" spans="9:9" x14ac:dyDescent="0.25">
      <c r="I132" t="s">
        <v>146</v>
      </c>
    </row>
    <row r="133" spans="9:9" x14ac:dyDescent="0.25">
      <c r="I133" t="s">
        <v>147</v>
      </c>
    </row>
    <row r="134" spans="9:9" x14ac:dyDescent="0.25">
      <c r="I134" t="s">
        <v>148</v>
      </c>
    </row>
    <row r="135" spans="9:9" x14ac:dyDescent="0.25">
      <c r="I135" t="s">
        <v>149</v>
      </c>
    </row>
    <row r="136" spans="9:9" x14ac:dyDescent="0.25">
      <c r="I136" t="s">
        <v>150</v>
      </c>
    </row>
    <row r="137" spans="9:9" x14ac:dyDescent="0.25">
      <c r="I137" t="s">
        <v>151</v>
      </c>
    </row>
    <row r="138" spans="9:9" x14ac:dyDescent="0.25">
      <c r="I138" t="s">
        <v>152</v>
      </c>
    </row>
    <row r="139" spans="9:9" x14ac:dyDescent="0.25">
      <c r="I139" t="s">
        <v>153</v>
      </c>
    </row>
    <row r="140" spans="9:9" x14ac:dyDescent="0.25">
      <c r="I140" t="s">
        <v>154</v>
      </c>
    </row>
    <row r="141" spans="9:9" x14ac:dyDescent="0.25">
      <c r="I141" t="s">
        <v>155</v>
      </c>
    </row>
    <row r="142" spans="9:9" x14ac:dyDescent="0.25">
      <c r="I142" t="s">
        <v>156</v>
      </c>
    </row>
    <row r="143" spans="9:9" x14ac:dyDescent="0.25">
      <c r="I143" t="s">
        <v>157</v>
      </c>
    </row>
    <row r="144" spans="9:9" x14ac:dyDescent="0.25">
      <c r="I144" t="s">
        <v>158</v>
      </c>
    </row>
    <row r="145" spans="9:9" x14ac:dyDescent="0.25">
      <c r="I145" t="s">
        <v>159</v>
      </c>
    </row>
    <row r="146" spans="9:9" x14ac:dyDescent="0.25">
      <c r="I146" t="s">
        <v>160</v>
      </c>
    </row>
    <row r="147" spans="9:9" x14ac:dyDescent="0.25">
      <c r="I147" t="s">
        <v>161</v>
      </c>
    </row>
    <row r="148" spans="9:9" x14ac:dyDescent="0.25">
      <c r="I148" t="s">
        <v>162</v>
      </c>
    </row>
    <row r="149" spans="9:9" x14ac:dyDescent="0.25">
      <c r="I149" t="s">
        <v>163</v>
      </c>
    </row>
    <row r="150" spans="9:9" x14ac:dyDescent="0.25">
      <c r="I150" t="s">
        <v>164</v>
      </c>
    </row>
    <row r="151" spans="9:9" x14ac:dyDescent="0.25">
      <c r="I151" t="s">
        <v>165</v>
      </c>
    </row>
    <row r="152" spans="9:9" x14ac:dyDescent="0.25">
      <c r="I152" t="s">
        <v>166</v>
      </c>
    </row>
    <row r="153" spans="9:9" x14ac:dyDescent="0.25">
      <c r="I153" t="s">
        <v>167</v>
      </c>
    </row>
    <row r="154" spans="9:9" x14ac:dyDescent="0.25">
      <c r="I154" t="s">
        <v>168</v>
      </c>
    </row>
    <row r="155" spans="9:9" x14ac:dyDescent="0.25">
      <c r="I155" t="s">
        <v>169</v>
      </c>
    </row>
    <row r="156" spans="9:9" x14ac:dyDescent="0.25">
      <c r="I156" t="s">
        <v>170</v>
      </c>
    </row>
    <row r="157" spans="9:9" x14ac:dyDescent="0.25">
      <c r="I157" t="s">
        <v>171</v>
      </c>
    </row>
    <row r="158" spans="9:9" x14ac:dyDescent="0.25">
      <c r="I158" t="s">
        <v>172</v>
      </c>
    </row>
    <row r="159" spans="9:9" x14ac:dyDescent="0.25">
      <c r="I159" t="s">
        <v>173</v>
      </c>
    </row>
    <row r="160" spans="9:9" x14ac:dyDescent="0.25">
      <c r="I160" t="s">
        <v>174</v>
      </c>
    </row>
    <row r="161" spans="9:9" x14ac:dyDescent="0.25">
      <c r="I161" t="s">
        <v>175</v>
      </c>
    </row>
    <row r="162" spans="9:9" x14ac:dyDescent="0.25">
      <c r="I162" t="s">
        <v>176</v>
      </c>
    </row>
    <row r="163" spans="9:9" x14ac:dyDescent="0.25">
      <c r="I163" t="s">
        <v>177</v>
      </c>
    </row>
    <row r="164" spans="9:9" x14ac:dyDescent="0.25">
      <c r="I164" t="s">
        <v>178</v>
      </c>
    </row>
    <row r="165" spans="9:9" x14ac:dyDescent="0.25">
      <c r="I165" t="s">
        <v>179</v>
      </c>
    </row>
    <row r="166" spans="9:9" x14ac:dyDescent="0.25">
      <c r="I166" t="s">
        <v>180</v>
      </c>
    </row>
    <row r="167" spans="9:9" x14ac:dyDescent="0.25">
      <c r="I167" t="s">
        <v>181</v>
      </c>
    </row>
    <row r="168" spans="9:9" x14ac:dyDescent="0.25">
      <c r="I168" t="s">
        <v>182</v>
      </c>
    </row>
    <row r="169" spans="9:9" x14ac:dyDescent="0.25">
      <c r="I169" t="s">
        <v>183</v>
      </c>
    </row>
    <row r="170" spans="9:9" x14ac:dyDescent="0.25">
      <c r="I170" t="s">
        <v>184</v>
      </c>
    </row>
    <row r="171" spans="9:9" x14ac:dyDescent="0.25">
      <c r="I171" t="s">
        <v>185</v>
      </c>
    </row>
    <row r="172" spans="9:9" x14ac:dyDescent="0.25">
      <c r="I172" t="s">
        <v>186</v>
      </c>
    </row>
    <row r="173" spans="9:9" x14ac:dyDescent="0.25">
      <c r="I173" t="s">
        <v>187</v>
      </c>
    </row>
    <row r="174" spans="9:9" x14ac:dyDescent="0.25">
      <c r="I174" t="s">
        <v>188</v>
      </c>
    </row>
    <row r="175" spans="9:9" x14ac:dyDescent="0.25">
      <c r="I175" t="s">
        <v>189</v>
      </c>
    </row>
    <row r="176" spans="9:9" x14ac:dyDescent="0.25">
      <c r="I176" t="s">
        <v>190</v>
      </c>
    </row>
    <row r="177" spans="9:9" x14ac:dyDescent="0.25">
      <c r="I177" t="s">
        <v>191</v>
      </c>
    </row>
    <row r="178" spans="9:9" x14ac:dyDescent="0.25">
      <c r="I178" t="s">
        <v>192</v>
      </c>
    </row>
    <row r="179" spans="9:9" x14ac:dyDescent="0.25">
      <c r="I179" t="s">
        <v>193</v>
      </c>
    </row>
    <row r="180" spans="9:9" x14ac:dyDescent="0.25">
      <c r="I180" t="s">
        <v>194</v>
      </c>
    </row>
    <row r="181" spans="9:9" x14ac:dyDescent="0.25">
      <c r="I181" t="s">
        <v>195</v>
      </c>
    </row>
    <row r="182" spans="9:9" x14ac:dyDescent="0.25">
      <c r="I182" t="s">
        <v>196</v>
      </c>
    </row>
    <row r="183" spans="9:9" x14ac:dyDescent="0.25">
      <c r="I183" t="s">
        <v>197</v>
      </c>
    </row>
    <row r="184" spans="9:9" x14ac:dyDescent="0.25">
      <c r="I184" t="s">
        <v>198</v>
      </c>
    </row>
    <row r="185" spans="9:9" x14ac:dyDescent="0.25">
      <c r="I185" t="s">
        <v>199</v>
      </c>
    </row>
    <row r="186" spans="9:9" x14ac:dyDescent="0.25">
      <c r="I186" t="s">
        <v>200</v>
      </c>
    </row>
    <row r="187" spans="9:9" x14ac:dyDescent="0.25">
      <c r="I187" t="s">
        <v>201</v>
      </c>
    </row>
    <row r="188" spans="9:9" x14ac:dyDescent="0.25">
      <c r="I188" t="s">
        <v>202</v>
      </c>
    </row>
    <row r="189" spans="9:9" x14ac:dyDescent="0.25">
      <c r="I189" t="s">
        <v>203</v>
      </c>
    </row>
    <row r="190" spans="9:9" x14ac:dyDescent="0.25">
      <c r="I190" t="s">
        <v>204</v>
      </c>
    </row>
    <row r="191" spans="9:9" x14ac:dyDescent="0.25">
      <c r="I191" t="s">
        <v>205</v>
      </c>
    </row>
    <row r="192" spans="9:9" x14ac:dyDescent="0.25">
      <c r="I192" t="s">
        <v>206</v>
      </c>
    </row>
    <row r="193" spans="9:9" x14ac:dyDescent="0.25">
      <c r="I193" t="s">
        <v>207</v>
      </c>
    </row>
    <row r="194" spans="9:9" x14ac:dyDescent="0.25">
      <c r="I194" t="s">
        <v>208</v>
      </c>
    </row>
    <row r="195" spans="9:9" x14ac:dyDescent="0.25">
      <c r="I195" t="s">
        <v>209</v>
      </c>
    </row>
    <row r="196" spans="9:9" x14ac:dyDescent="0.25">
      <c r="I196" t="s">
        <v>210</v>
      </c>
    </row>
    <row r="197" spans="9:9" x14ac:dyDescent="0.25">
      <c r="I197" t="s">
        <v>211</v>
      </c>
    </row>
    <row r="198" spans="9:9" x14ac:dyDescent="0.25">
      <c r="I198" t="s">
        <v>212</v>
      </c>
    </row>
    <row r="199" spans="9:9" x14ac:dyDescent="0.25">
      <c r="I199" t="s">
        <v>213</v>
      </c>
    </row>
    <row r="200" spans="9:9" x14ac:dyDescent="0.25">
      <c r="I200" t="s">
        <v>214</v>
      </c>
    </row>
    <row r="201" spans="9:9" x14ac:dyDescent="0.25">
      <c r="I201" t="s">
        <v>215</v>
      </c>
    </row>
    <row r="202" spans="9:9" x14ac:dyDescent="0.25">
      <c r="I202" t="s">
        <v>216</v>
      </c>
    </row>
    <row r="203" spans="9:9" x14ac:dyDescent="0.25">
      <c r="I203" t="s">
        <v>217</v>
      </c>
    </row>
    <row r="204" spans="9:9" x14ac:dyDescent="0.25">
      <c r="I204" t="s">
        <v>218</v>
      </c>
    </row>
    <row r="205" spans="9:9" x14ac:dyDescent="0.25">
      <c r="I205" t="s">
        <v>219</v>
      </c>
    </row>
    <row r="206" spans="9:9" x14ac:dyDescent="0.25">
      <c r="I206" t="s">
        <v>220</v>
      </c>
    </row>
    <row r="207" spans="9:9" x14ac:dyDescent="0.25">
      <c r="I207" t="s">
        <v>221</v>
      </c>
    </row>
    <row r="208" spans="9:9" x14ac:dyDescent="0.25">
      <c r="I208" t="s">
        <v>222</v>
      </c>
    </row>
    <row r="209" spans="9:9" x14ac:dyDescent="0.25">
      <c r="I209" t="s">
        <v>223</v>
      </c>
    </row>
    <row r="210" spans="9:9" x14ac:dyDescent="0.25">
      <c r="I210" t="s">
        <v>224</v>
      </c>
    </row>
    <row r="211" spans="9:9" x14ac:dyDescent="0.25">
      <c r="I211" t="s">
        <v>225</v>
      </c>
    </row>
    <row r="212" spans="9:9" x14ac:dyDescent="0.25">
      <c r="I212" t="s">
        <v>226</v>
      </c>
    </row>
    <row r="213" spans="9:9" x14ac:dyDescent="0.25">
      <c r="I213" t="s">
        <v>227</v>
      </c>
    </row>
    <row r="214" spans="9:9" x14ac:dyDescent="0.25">
      <c r="I214" t="s">
        <v>228</v>
      </c>
    </row>
    <row r="215" spans="9:9" x14ac:dyDescent="0.25">
      <c r="I215" t="s">
        <v>229</v>
      </c>
    </row>
    <row r="216" spans="9:9" x14ac:dyDescent="0.25">
      <c r="I216" t="s">
        <v>230</v>
      </c>
    </row>
    <row r="217" spans="9:9" x14ac:dyDescent="0.25">
      <c r="I217" t="s">
        <v>231</v>
      </c>
    </row>
    <row r="218" spans="9:9" x14ac:dyDescent="0.25">
      <c r="I218" t="s">
        <v>232</v>
      </c>
    </row>
    <row r="219" spans="9:9" x14ac:dyDescent="0.25">
      <c r="I219" t="s">
        <v>233</v>
      </c>
    </row>
    <row r="220" spans="9:9" x14ac:dyDescent="0.25">
      <c r="I220" t="s">
        <v>234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B5"/>
  <sheetViews>
    <sheetView tabSelected="1" zoomScale="80" zoomScaleNormal="80" workbookViewId="0">
      <selection activeCell="B15" sqref="B15"/>
    </sheetView>
  </sheetViews>
  <sheetFormatPr baseColWidth="10" defaultRowHeight="15" x14ac:dyDescent="0.25"/>
  <cols>
    <col min="1" max="1" width="4.42578125" bestFit="1" customWidth="1"/>
    <col min="2" max="2" width="11.28515625" style="1" bestFit="1" customWidth="1"/>
    <col min="3" max="3" width="46.7109375" bestFit="1" customWidth="1"/>
    <col min="4" max="4" width="7.42578125" bestFit="1" customWidth="1"/>
    <col min="5" max="5" width="12.85546875" bestFit="1" customWidth="1"/>
    <col min="6" max="6" width="7.85546875" bestFit="1" customWidth="1"/>
    <col min="7" max="7" width="12.85546875" bestFit="1" customWidth="1"/>
    <col min="8" max="8" width="8.140625" bestFit="1" customWidth="1"/>
    <col min="9" max="9" width="12.85546875" bestFit="1" customWidth="1"/>
    <col min="10" max="10" width="7.85546875" bestFit="1" customWidth="1"/>
    <col min="11" max="11" width="12.85546875" bestFit="1" customWidth="1"/>
    <col min="12" max="12" width="7.28515625" bestFit="1" customWidth="1"/>
    <col min="13" max="13" width="12.85546875" bestFit="1" customWidth="1"/>
    <col min="14" max="14" width="8.85546875" bestFit="1" customWidth="1"/>
    <col min="15" max="15" width="12.85546875" bestFit="1" customWidth="1"/>
    <col min="16" max="16" width="7.85546875" bestFit="1" customWidth="1"/>
    <col min="17" max="17" width="12.85546875" bestFit="1" customWidth="1"/>
    <col min="18" max="18" width="7.28515625" bestFit="1" customWidth="1"/>
    <col min="19" max="19" width="12.85546875" bestFit="1" customWidth="1"/>
    <col min="20" max="20" width="7.28515625" bestFit="1" customWidth="1"/>
    <col min="21" max="21" width="12.85546875" bestFit="1" customWidth="1"/>
    <col min="22" max="22" width="7.85546875" bestFit="1" customWidth="1"/>
    <col min="23" max="23" width="12.85546875" bestFit="1" customWidth="1"/>
    <col min="24" max="24" width="7.28515625" bestFit="1" customWidth="1"/>
    <col min="25" max="25" width="12.85546875" bestFit="1" customWidth="1"/>
    <col min="26" max="26" width="7.85546875" bestFit="1" customWidth="1"/>
    <col min="27" max="27" width="12.85546875" bestFit="1" customWidth="1"/>
    <col min="28" max="28" width="7.28515625" bestFit="1" customWidth="1"/>
  </cols>
  <sheetData>
    <row r="1" spans="1:28" x14ac:dyDescent="0.25">
      <c r="D1" s="3" t="s">
        <v>0</v>
      </c>
      <c r="E1" s="11" t="str">
        <f>TEXT(DATE(2017,E2,1),"mmmm")</f>
        <v>janvier</v>
      </c>
      <c r="F1" s="11"/>
      <c r="G1" s="11" t="str">
        <f>TEXT(DATE(2017,G2,1),"mmmm")</f>
        <v>février</v>
      </c>
      <c r="H1" s="11"/>
      <c r="I1" s="11" t="str">
        <f>TEXT(DATE(2017,I2,1),"mmmm")</f>
        <v>mars</v>
      </c>
      <c r="J1" s="11"/>
      <c r="K1" s="11" t="str">
        <f>TEXT(DATE(2017,K2,1),"mmmm")</f>
        <v>avril</v>
      </c>
      <c r="L1" s="11"/>
      <c r="M1" s="11" t="str">
        <f t="shared" ref="M1" si="0">TEXT(DATE(2017,M2,1),"mmmm")</f>
        <v>mai</v>
      </c>
      <c r="N1" s="11"/>
      <c r="O1" s="11" t="str">
        <f t="shared" ref="O1" si="1">TEXT(DATE(2017,O2,1),"mmmm")</f>
        <v>juin</v>
      </c>
      <c r="P1" s="11"/>
      <c r="Q1" s="11" t="str">
        <f t="shared" ref="Q1" si="2">TEXT(DATE(2017,Q2,1),"mmmm")</f>
        <v>juillet</v>
      </c>
      <c r="R1" s="11"/>
      <c r="S1" s="11" t="str">
        <f t="shared" ref="S1" si="3">TEXT(DATE(2017,S2,1),"mmmm")</f>
        <v>août</v>
      </c>
      <c r="T1" s="11"/>
      <c r="U1" s="11" t="str">
        <f>TEXT(DATE(2017,U2,1),"mmmm")</f>
        <v>septembre</v>
      </c>
      <c r="V1" s="11"/>
      <c r="W1" s="11" t="str">
        <f t="shared" ref="W1" si="4">TEXT(DATE(2017,W2,1),"mmmm")</f>
        <v>octobre</v>
      </c>
      <c r="X1" s="11"/>
      <c r="Y1" s="11" t="str">
        <f t="shared" ref="Y1" si="5">TEXT(DATE(2017,Y2,1),"mmmm")</f>
        <v>novembre</v>
      </c>
      <c r="Z1" s="11"/>
      <c r="AA1" s="11" t="str">
        <f t="shared" ref="AA1" si="6">TEXT(DATE(2017,AA2,1),"mmmm")</f>
        <v>décembre</v>
      </c>
      <c r="AB1" s="11"/>
    </row>
    <row r="2" spans="1:28" hidden="1" x14ac:dyDescent="0.25">
      <c r="E2" s="14">
        <v>1</v>
      </c>
      <c r="F2" s="14"/>
      <c r="G2">
        <v>2</v>
      </c>
      <c r="I2">
        <v>3</v>
      </c>
      <c r="K2">
        <v>4</v>
      </c>
      <c r="M2">
        <v>5</v>
      </c>
      <c r="O2">
        <v>6</v>
      </c>
      <c r="Q2">
        <v>7</v>
      </c>
      <c r="S2">
        <v>8</v>
      </c>
      <c r="U2">
        <v>9</v>
      </c>
      <c r="W2">
        <v>10</v>
      </c>
      <c r="Y2">
        <v>11</v>
      </c>
      <c r="AA2">
        <v>12</v>
      </c>
    </row>
    <row r="3" spans="1:28" x14ac:dyDescent="0.25">
      <c r="B3" s="2"/>
      <c r="C3" s="3" t="str">
        <f>Param!$B$4</f>
        <v>VINICOM</v>
      </c>
      <c r="D3" s="3"/>
      <c r="E3" s="4" t="s">
        <v>1</v>
      </c>
      <c r="F3" s="4" t="s">
        <v>2</v>
      </c>
      <c r="G3" s="4" t="s">
        <v>1</v>
      </c>
      <c r="H3" s="4" t="s">
        <v>2</v>
      </c>
      <c r="I3" s="4" t="s">
        <v>1</v>
      </c>
      <c r="J3" s="4" t="s">
        <v>2</v>
      </c>
      <c r="K3" s="4" t="s">
        <v>1</v>
      </c>
      <c r="L3" s="4" t="s">
        <v>2</v>
      </c>
      <c r="M3" s="5" t="s">
        <v>1</v>
      </c>
      <c r="N3" s="5" t="s">
        <v>2</v>
      </c>
      <c r="O3" s="5" t="s">
        <v>1</v>
      </c>
      <c r="P3" s="5" t="s">
        <v>2</v>
      </c>
      <c r="Q3" s="5" t="s">
        <v>1</v>
      </c>
      <c r="R3" s="5" t="s">
        <v>2</v>
      </c>
      <c r="S3" s="5" t="s">
        <v>1</v>
      </c>
      <c r="T3" s="5" t="s">
        <v>2</v>
      </c>
      <c r="U3" s="5" t="s">
        <v>1</v>
      </c>
      <c r="V3" s="5" t="s">
        <v>2</v>
      </c>
      <c r="W3" s="5" t="s">
        <v>1</v>
      </c>
      <c r="X3" s="5" t="s">
        <v>2</v>
      </c>
      <c r="Y3" s="5" t="s">
        <v>1</v>
      </c>
      <c r="Z3" s="5" t="s">
        <v>2</v>
      </c>
      <c r="AA3" s="5" t="s">
        <v>1</v>
      </c>
      <c r="AB3" s="5" t="s">
        <v>2</v>
      </c>
    </row>
    <row r="4" spans="1:28" x14ac:dyDescent="0.25">
      <c r="A4" s="10">
        <v>1</v>
      </c>
      <c r="B4" s="7" t="str">
        <f>INDEX(Data!I:I,Tableau!A4+1)</f>
        <v>002</v>
      </c>
      <c r="C4" s="12" t="e">
        <f>VLOOKUP(B4,Tableau_BUREAU_DELL_SQLEXPRESS_vnc5_CA_MENSUELCLIENT[],2)</f>
        <v>#N/A</v>
      </c>
      <c r="D4" s="3">
        <f>Param!$B$2</f>
        <v>2016</v>
      </c>
      <c r="E4" s="6">
        <f>SUMIFS(Data!$F:$F,Data!$A:$A,Tableau!$B4,Data!$D:$D,Tableau!$D4,Data!$E:$E,Tableau!E$2,Data!$G:$G,Tableau!C$3)</f>
        <v>0</v>
      </c>
      <c r="F4" s="15">
        <f>IF(E4&lt;&gt;0,(E4-E5)/E4,0)</f>
        <v>0</v>
      </c>
      <c r="G4" s="6">
        <f>SUMIFS(Data!$F:$F,Data!$A:$A,Tableau!$B4,Data!$D:$D,Tableau!$D4,Data!$E:$E,Tableau!G$2,Data!$G:$G,Tableau!C$3)</f>
        <v>0</v>
      </c>
      <c r="H4" s="15">
        <f>IF(G4&lt;&gt;0,(G4-G5)/G4,0)</f>
        <v>0</v>
      </c>
      <c r="I4" s="6">
        <f>SUMIFS(Data!$F:$F,Data!$A:$A,Tableau!$B4,Data!$D:$D,Tableau!$D4,Data!$E:$E,Tableau!I$2,Data!$G:$G,Tableau!C$3)</f>
        <v>0</v>
      </c>
      <c r="J4" s="15">
        <f>IF(I4&lt;&gt;0,(I4-I5)/I4,0)</f>
        <v>0</v>
      </c>
      <c r="K4" s="6">
        <f>SUMIFS(Data!$F:$F,Data!$A:$A,Tableau!$B4,Data!$D:$D,Tableau!$D4,Data!$E:$E,Tableau!K$2,Data!$G:$G,Tableau!C$3)</f>
        <v>0</v>
      </c>
      <c r="L4" s="15">
        <f>IF(K4&lt;&gt;0,(K4-K5)/K4,0)</f>
        <v>0</v>
      </c>
      <c r="M4" s="6">
        <f>SUMIFS(Data!$F:$F,Data!$A:$A,Tableau!$B4,Data!$D:$D,Tableau!$D4,Data!$E:$E,Tableau!M$2,Data!$G:$G,Tableau!C$3)</f>
        <v>0</v>
      </c>
      <c r="N4" s="15">
        <f t="shared" ref="N4" si="7">IF(M4&lt;&gt;0,(M4-M5)/M4,0)</f>
        <v>0</v>
      </c>
      <c r="O4" s="6">
        <f>SUMIFS(Data!$F:$F,Data!$A:$A,Tableau!$B4,Data!$D:$D,Tableau!$D4,Data!$E:$E,Tableau!O$2,Data!$G:$G,Tableau!C$3)</f>
        <v>0</v>
      </c>
      <c r="P4" s="15">
        <f t="shared" ref="P4" si="8">IF(O4&lt;&gt;0,(O4-O5)/O4,0)</f>
        <v>0</v>
      </c>
      <c r="Q4" s="6">
        <f>SUMIFS(Data!$F:$F,Data!$A:$A,Tableau!$B4,Data!$D:$D,Tableau!$D4,Data!$E:$E,Tableau!Q$2,Data!$G:$G,Tableau!C$3)</f>
        <v>0</v>
      </c>
      <c r="R4" s="15">
        <f t="shared" ref="R4" si="9">IF(Q4&lt;&gt;0,(Q4-Q5)/Q4,0)</f>
        <v>0</v>
      </c>
      <c r="S4" s="6">
        <f>SUMIFS(Data!$F:$F,Data!$A:$A,Tableau!$B4,Data!$D:$D,Tableau!$D4,Data!$E:$E,Tableau!S$2,Data!$G:$G,Tableau!C$3)</f>
        <v>0</v>
      </c>
      <c r="T4" s="15">
        <f t="shared" ref="T4" si="10">IF(S4&lt;&gt;0,(S4-S5)/S4,0)</f>
        <v>0</v>
      </c>
      <c r="U4" s="6">
        <f>SUMIFS(Data!$F:$F,Data!$A:$A,Tableau!$B4,Data!$D:$D,Tableau!$D4,Data!$E:$E,Tableau!U$2,Data!$G:$G,Tableau!C$3)</f>
        <v>0</v>
      </c>
      <c r="V4" s="15">
        <f t="shared" ref="V4" si="11">IF(U4&lt;&gt;0,(U4-U5)/U4,0)</f>
        <v>0</v>
      </c>
      <c r="W4" s="6">
        <f>SUMIFS(Data!$F:$F,Data!$A:$A,Tableau!$B4,Data!$D:$D,Tableau!$D4,Data!$E:$E,Tableau!W$2,Data!$G:$G,Tableau!C$3)</f>
        <v>0</v>
      </c>
      <c r="X4" s="15">
        <f t="shared" ref="X4" si="12">IF(W4&lt;&gt;0,(W4-W5)/W4,0)</f>
        <v>0</v>
      </c>
      <c r="Y4" s="6">
        <f>SUMIFS(Data!$F:$F,Data!$A:$A,Tableau!$B4,Data!$D:$D,Tableau!$D4,Data!$E:$E,Tableau!Y$2,Data!$G:$G,Tableau!C$3)</f>
        <v>0</v>
      </c>
      <c r="Z4" s="15">
        <f t="shared" ref="Z4" si="13">IF(Y4&lt;&gt;0,(Y4-Y5)/Y4,0)</f>
        <v>0</v>
      </c>
      <c r="AA4" s="6">
        <f>SUMIFS(Data!$F:$F,Data!$A:$A,Tableau!$B4,Data!$D:$D,Tableau!$D4,Data!$E:$E,Tableau!AA$2,Data!$G:$G,Tableau!C$3)</f>
        <v>0</v>
      </c>
      <c r="AB4" s="15">
        <f t="shared" ref="AB4" si="14">IF(AA4&lt;&gt;0,(AA4-AA5)/AA4,0)</f>
        <v>0</v>
      </c>
    </row>
    <row r="5" spans="1:28" x14ac:dyDescent="0.25">
      <c r="A5" s="10"/>
      <c r="B5" s="8" t="str">
        <f>INDEX(Data!I:I,Tableau!A4+1)</f>
        <v>002</v>
      </c>
      <c r="C5" s="13"/>
      <c r="D5" s="3">
        <f>Param!$B$3</f>
        <v>2015</v>
      </c>
      <c r="E5" s="6">
        <f>SUMIFS(Data!$F:$F,Data!$A:$A,Tableau!$B4,Data!$D:$D,Tableau!$D5,Data!$E:$E,Tableau!E$2,Data!$G:$G,Tableau!C$3)</f>
        <v>0</v>
      </c>
      <c r="F5" s="16"/>
      <c r="G5" s="6">
        <f>SUMIFS(Data!$F:$F,Data!$A:$A,Tableau!$B4,Data!$D:$D,Tableau!$D5,Data!$E:$E,Tableau!G$2,Data!$G:$G,Tableau!C$3)</f>
        <v>0</v>
      </c>
      <c r="H5" s="16"/>
      <c r="I5" s="6">
        <f>SUMIFS(Data!$F:$F,Data!$A:$A,Tableau!$B4,Data!$D:$D,Tableau!$D5,Data!$E:$E,Tableau!I$2,Data!$G:$G,Tableau!C$3)</f>
        <v>0</v>
      </c>
      <c r="J5" s="16"/>
      <c r="K5" s="6">
        <f>SUMIFS(Data!$F:$F,Data!$A:$A,Tableau!$B4,Data!$D:$D,Tableau!$D5,Data!$E:$E,Tableau!K$2,Data!$G:$G,Tableau!C$3)</f>
        <v>0</v>
      </c>
      <c r="L5" s="16"/>
      <c r="M5" s="6">
        <f>SUMIFS(Data!$F:$F,Data!$A:$A,Tableau!$B4,Data!$D:$D,Tableau!$D5,Data!$E:$E,Tableau!M$2,Data!$G:$G,Tableau!C$3)</f>
        <v>0</v>
      </c>
      <c r="N5" s="16"/>
      <c r="O5" s="6">
        <f>SUMIFS(Data!$F:$F,Data!$A:$A,Tableau!$B4,Data!$D:$D,Tableau!$D5,Data!$E:$E,Tableau!O$2,Data!$G:$G,Tableau!C$3)</f>
        <v>0</v>
      </c>
      <c r="P5" s="16"/>
      <c r="Q5" s="6">
        <f>SUMIFS(Data!$F:$F,Data!$A:$A,Tableau!$B4,Data!$D:$D,Tableau!$D5,Data!$E:$E,Tableau!Q$2,Data!$G:$G,Tableau!C$3)</f>
        <v>0</v>
      </c>
      <c r="R5" s="16"/>
      <c r="S5" s="6">
        <f>SUMIFS(Data!$F:$F,Data!$A:$A,Tableau!$B4,Data!$D:$D,Tableau!$D5,Data!$E:$E,Tableau!S$2,Data!$G:$G,Tableau!C$3)</f>
        <v>0</v>
      </c>
      <c r="T5" s="16"/>
      <c r="U5" s="6">
        <f>SUMIFS(Data!$F:$F,Data!$A:$A,Tableau!$B4,Data!$D:$D,Tableau!$D5,Data!$E:$E,Tableau!U$2,Data!$G:$G,Tableau!C$3)</f>
        <v>0</v>
      </c>
      <c r="V5" s="16"/>
      <c r="W5" s="6">
        <f>SUMIFS(Data!$F:$F,Data!$A:$A,Tableau!$B4,Data!$D:$D,Tableau!$D5,Data!$E:$E,Tableau!W$2,Data!$G:$G,Tableau!C$3)</f>
        <v>0</v>
      </c>
      <c r="X5" s="16"/>
      <c r="Y5" s="6">
        <f>SUMIFS(Data!$F:$F,Data!$A:$A,Tableau!$B4,Data!$D:$D,Tableau!$D5,Data!$E:$E,Tableau!Y$2,Data!$G:$G,Tableau!C$3)</f>
        <v>0</v>
      </c>
      <c r="Z5" s="16"/>
      <c r="AA5" s="6">
        <f>SUMIFS(Data!$F:$F,Data!$A:$A,Tableau!$B4,Data!$D:$D,Tableau!$D5,Data!$E:$E,Tableau!AA$2,Data!$G:$G,Tableau!C$3)</f>
        <v>0</v>
      </c>
      <c r="AB5" s="16"/>
    </row>
  </sheetData>
  <mergeCells count="27">
    <mergeCell ref="X4:X5"/>
    <mergeCell ref="Z4:Z5"/>
    <mergeCell ref="AB4:AB5"/>
    <mergeCell ref="Q1:R1"/>
    <mergeCell ref="S1:T1"/>
    <mergeCell ref="U1:V1"/>
    <mergeCell ref="N4:N5"/>
    <mergeCell ref="P4:P5"/>
    <mergeCell ref="R4:R5"/>
    <mergeCell ref="T4:T5"/>
    <mergeCell ref="V4:V5"/>
    <mergeCell ref="A4:A5"/>
    <mergeCell ref="W1:X1"/>
    <mergeCell ref="Y1:Z1"/>
    <mergeCell ref="AA1:AB1"/>
    <mergeCell ref="C4:C5"/>
    <mergeCell ref="E2:F2"/>
    <mergeCell ref="E1:F1"/>
    <mergeCell ref="F4:F5"/>
    <mergeCell ref="H4:H5"/>
    <mergeCell ref="G1:H1"/>
    <mergeCell ref="I1:J1"/>
    <mergeCell ref="K1:L1"/>
    <mergeCell ref="L4:L5"/>
    <mergeCell ref="J4:J5"/>
    <mergeCell ref="M1:N1"/>
    <mergeCell ref="O1:P1"/>
  </mergeCells>
  <pageMargins left="0.7" right="0.7" top="0.75" bottom="0.75" header="0.3" footer="0.3"/>
  <ignoredErrors>
    <ignoredError sqref="C4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</vt:lpstr>
      <vt:lpstr>Data</vt:lpstr>
      <vt:lpstr>Tableau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</dc:creator>
  <cp:lastModifiedBy>COLLIN</cp:lastModifiedBy>
  <dcterms:created xsi:type="dcterms:W3CDTF">2017-01-06T07:32:57Z</dcterms:created>
  <dcterms:modified xsi:type="dcterms:W3CDTF">2017-06-09T11:52:33Z</dcterms:modified>
</cp:coreProperties>
</file>